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4" fontId="3" fillId="3" borderId="0" pivotButton="0" quotePrefix="0" xfId="0"/>
    <xf numFmtId="172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s="2" t="inlineStr">
        <is>
          <t>Master check (0 = all pass)</t>
        </is>
      </c>
      <c r="F22" s="3">
        <f>Checks!$F$19</f>
        <v/>
      </c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  <row r="29">
      <c r="D29" t="inlineStr">
        <is>
          <t>Monte Carlo (Inputs F311): the draw table is pasted from case_p.py (seed 20180717, P-F42 parameters); the per-run results beside it are pasted from the mirror with a stamp (no native data table: one could not be generated and verified without macros).</t>
        </is>
      </c>
    </row>
  </sheetData>
  <conditionalFormatting sqref="F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3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5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3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3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3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3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3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3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3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3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3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3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3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3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3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3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3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3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3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3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3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3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3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3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3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654.6335649688092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205.2822002103596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6" t="n">
        <v>8.699999999999999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6" t="n">
        <v>8.699999999999999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9.800000000000001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6" t="n">
        <v>8.699999999999999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9.800000000000001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68.90000000000001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0.02392266780166877</v>
      </c>
      <c r="Q298" s="6" t="n">
        <v>0.02454614391592512</v>
      </c>
      <c r="R298" s="6" t="n">
        <v>0.02555674578798327</v>
      </c>
      <c r="S298" s="6" t="n">
        <v>0.02624386397929464</v>
      </c>
      <c r="T298" s="6" t="n">
        <v>0.0280198871951497</v>
      </c>
      <c r="U298" s="6" t="n">
        <v>0.02842968849865342</v>
      </c>
      <c r="V298" s="6" t="n">
        <v>0.02902462138855125</v>
      </c>
      <c r="W298" s="6" t="n">
        <v>0.03009523497947188</v>
      </c>
      <c r="X298" s="6" t="n">
        <v>0.03085090837794667</v>
      </c>
      <c r="Y298" s="6" t="n">
        <v>0.03117754709209612</v>
      </c>
      <c r="Z298" s="6" t="n">
        <v>0.03251978689750772</v>
      </c>
      <c r="AA298" s="6" t="n">
        <v>0.03351802482461583</v>
      </c>
      <c r="AB298" s="6" t="n">
        <v>0.03568353293469283</v>
      </c>
      <c r="AC298" s="6" t="n">
        <v>0.03603291784291471</v>
      </c>
      <c r="AD298" s="6" t="n">
        <v>0.03782566855372986</v>
      </c>
      <c r="AE298" s="6" t="n">
        <v>0.03930240289051411</v>
      </c>
      <c r="AF298" s="6" t="n">
        <v>0.04288940539490554</v>
      </c>
      <c r="AG298" s="6" t="n">
        <v>0.04417160329008456</v>
      </c>
      <c r="AH298" s="6" t="n">
        <v>0.04612909026893513</v>
      </c>
      <c r="AI298" s="6" t="n">
        <v>0.04759606862657972</v>
      </c>
      <c r="AJ298" s="6" t="n">
        <v>0.05044534581552167</v>
      </c>
      <c r="AK298" s="6" t="n">
        <v>0.05164454173346997</v>
      </c>
      <c r="AL298" s="6" t="n">
        <v>0.05334294141157599</v>
      </c>
      <c r="AM298" s="6" t="n">
        <v>0.05523807330280946</v>
      </c>
      <c r="AN298" s="6" t="n">
        <v>0.0568902733573489</v>
      </c>
      <c r="AO298" s="6" t="n">
        <v>0.0589030138380523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0.02492121667112088</v>
      </c>
      <c r="R299" s="6" t="n">
        <v>0.02664660047040042</v>
      </c>
      <c r="S299" s="6" t="n">
        <v>0.02759604458467765</v>
      </c>
      <c r="T299" s="6" t="n">
        <v>0.02888825064959648</v>
      </c>
      <c r="U299" s="6" t="n">
        <v>0.0296987112931962</v>
      </c>
      <c r="V299" s="6" t="n">
        <v>0.03105885768561841</v>
      </c>
      <c r="W299" s="6" t="n">
        <v>0.03277706730010246</v>
      </c>
      <c r="X299" s="6" t="n">
        <v>0.03427956112200796</v>
      </c>
      <c r="Y299" s="6" t="n">
        <v>0.03185352351247105</v>
      </c>
      <c r="Z299" s="6" t="n">
        <v>0.03335144112570533</v>
      </c>
      <c r="AA299" s="6" t="n">
        <v>0.03404882778677493</v>
      </c>
      <c r="AB299" s="6" t="n">
        <v>0.03570569600105964</v>
      </c>
      <c r="AC299" s="6" t="n">
        <v>0.03672091019892312</v>
      </c>
      <c r="AD299" s="6" t="n">
        <v>0.0384689461355592</v>
      </c>
      <c r="AE299" s="6" t="n">
        <v>0.04158438492613827</v>
      </c>
      <c r="AF299" s="6" t="n">
        <v>0.04382240991310483</v>
      </c>
      <c r="AG299" s="6" t="n">
        <v>0.04413949061350413</v>
      </c>
      <c r="AH299" s="6" t="n">
        <v>0.04642087223316833</v>
      </c>
      <c r="AI299" s="6" t="n">
        <v>0.04787232137396746</v>
      </c>
      <c r="AJ299" s="6" t="n">
        <v>0.0502195640539474</v>
      </c>
      <c r="AK299" s="6" t="n">
        <v>0.05170891802557741</v>
      </c>
      <c r="AL299" s="6" t="n">
        <v>0.0541382044749565</v>
      </c>
      <c r="AM299" s="6" t="n">
        <v>0.05666149382313952</v>
      </c>
      <c r="AN299" s="6" t="n">
        <v>0.05940104456083106</v>
      </c>
      <c r="AO299" s="6" t="n">
        <v>0.05801564146445255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0.01109281170584355</v>
      </c>
      <c r="Y300" s="6" t="n">
        <v>0.01611192821167361</v>
      </c>
      <c r="Z300" s="6" t="n">
        <v>0.01761625979950614</v>
      </c>
      <c r="AA300" s="6" t="n">
        <v>0.01756090365083943</v>
      </c>
      <c r="AB300" s="6" t="n">
        <v>0.01888075218483377</v>
      </c>
      <c r="AC300" s="6" t="n">
        <v>0.01890834059725892</v>
      </c>
      <c r="AD300" s="6" t="n">
        <v>0.02002427691925613</v>
      </c>
      <c r="AE300" s="6" t="n">
        <v>0.0220425537786885</v>
      </c>
      <c r="AF300" s="6" t="n">
        <v>0.02353641033974216</v>
      </c>
      <c r="AG300" s="6" t="n">
        <v>0.02376200405504096</v>
      </c>
      <c r="AH300" s="6" t="n">
        <v>0.02514405847890659</v>
      </c>
      <c r="AI300" s="6" t="n">
        <v>0.02522742917041925</v>
      </c>
      <c r="AJ300" s="6" t="n">
        <v>0.02649633835540665</v>
      </c>
      <c r="AK300" s="6" t="n">
        <v>0.02661192441658703</v>
      </c>
      <c r="AL300" s="6" t="n">
        <v>0.02773427333606693</v>
      </c>
      <c r="AM300" s="6" t="n">
        <v>0.02874043283146949</v>
      </c>
      <c r="AN300" s="6" t="n">
        <v>0.0299976714643956</v>
      </c>
      <c r="AO300" s="6" t="n">
        <v>0.02696870435180381</v>
      </c>
      <c r="AP300" s="6" t="n">
        <v>0.09367671694203662</v>
      </c>
      <c r="AQ300" s="6" t="n">
        <v>0.08896197241765595</v>
      </c>
      <c r="AR300" s="6" t="n">
        <v>0.09361458458293083</v>
      </c>
      <c r="AS300" s="6" t="n">
        <v>0.09576367135514924</v>
      </c>
      <c r="AT300" s="6" t="n">
        <v>0.1003452008485892</v>
      </c>
      <c r="AU300" s="6" t="n">
        <v>0.1211807802058968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523.706851937146</v>
      </c>
      <c r="Q301" s="6" t="n">
        <v>511.178386892796</v>
      </c>
      <c r="R301" s="6" t="n">
        <v>498.3234031353907</v>
      </c>
      <c r="S301" s="6" t="n">
        <v>484.939160253008</v>
      </c>
      <c r="T301" s="6" t="n">
        <v>471.1950688657449</v>
      </c>
      <c r="U301" s="6" t="n">
        <v>456.5208619511391</v>
      </c>
      <c r="V301" s="6" t="n">
        <v>441.6320392859556</v>
      </c>
      <c r="W301" s="6" t="n">
        <v>426.4316461898899</v>
      </c>
      <c r="X301" s="6" t="n">
        <v>410.670565420482</v>
      </c>
      <c r="Y301" s="6" t="n">
        <v>394.5137333144662</v>
      </c>
      <c r="Z301" s="6" t="n">
        <v>378.1858382757424</v>
      </c>
      <c r="AA301" s="6" t="n">
        <v>361.1550030539818</v>
      </c>
      <c r="AB301" s="6" t="n">
        <v>343.601383789931</v>
      </c>
      <c r="AC301" s="6" t="n">
        <v>324.9136730907077</v>
      </c>
      <c r="AD301" s="6" t="n">
        <v>306.0429871210849</v>
      </c>
      <c r="AE301" s="6" t="n">
        <v>286.2334253203931</v>
      </c>
      <c r="AF301" s="6" t="n">
        <v>265.6504876290365</v>
      </c>
      <c r="AG301" s="6" t="n">
        <v>243.1890121482145</v>
      </c>
      <c r="AH301" s="6" t="n">
        <v>220.0560408441478</v>
      </c>
      <c r="AI301" s="6" t="n">
        <v>195.8979201966794</v>
      </c>
      <c r="AJ301" s="6" t="n">
        <v>170.9715329316689</v>
      </c>
      <c r="AK301" s="6" t="n">
        <v>144.5529596797414</v>
      </c>
      <c r="AL301" s="6" t="n">
        <v>117.5063593087692</v>
      </c>
      <c r="AM301" s="6" t="n">
        <v>89.57029538904513</v>
      </c>
      <c r="AN301" s="6" t="n">
        <v>60.64173791255745</v>
      </c>
      <c r="AO301" s="6" t="n">
        <v>30.84791194673654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6" t="n">
        <v>93.8</v>
      </c>
      <c r="K302" s="6" t="n">
        <v>92.90000000000001</v>
      </c>
      <c r="L302" s="6" t="n">
        <v>93.8</v>
      </c>
      <c r="M302" s="6" t="n">
        <v>90.59999999999999</v>
      </c>
      <c r="N302" s="6" t="n">
        <v>93.8</v>
      </c>
      <c r="O302" s="6" t="n">
        <v>92.90000000000001</v>
      </c>
      <c r="P302" s="6" t="n">
        <v>93.8</v>
      </c>
      <c r="Q302" s="6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1.909166666666667</v>
      </c>
      <c r="AK308" s="6" t="n">
        <v>1.909166666666667</v>
      </c>
      <c r="AL308" s="6" t="n">
        <v>1.909166666666667</v>
      </c>
      <c r="AM308" s="6" t="n">
        <v>2.454166666666667</v>
      </c>
      <c r="AN308" s="6" t="n">
        <v>2.454166666666667</v>
      </c>
      <c r="AO308" s="6" t="n">
        <v>2.454166666666667</v>
      </c>
      <c r="AP308" s="6" t="n">
        <v>0.545</v>
      </c>
      <c r="AQ308" s="6" t="n">
        <v>8.112142857142857</v>
      </c>
      <c r="AR308" s="6" t="n">
        <v>6.692142857142858</v>
      </c>
      <c r="AS308" s="6" t="n">
        <v>7.147142857142857</v>
      </c>
      <c r="AT308" s="6" t="n">
        <v>6.147142857142857</v>
      </c>
      <c r="AU308" s="6" t="n">
        <v>8.787142857142857</v>
      </c>
      <c r="AV308" s="6" t="n">
        <v>6.832142857142857</v>
      </c>
      <c r="AW308" s="6" t="n">
        <v>15.10214285714286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6" t="n">
        <v>0</v>
      </c>
      <c r="K309" s="6" t="n">
        <v>73.19638124762608</v>
      </c>
      <c r="L309" s="6" t="n">
        <v>74.67946239953815</v>
      </c>
      <c r="M309" s="6" t="n">
        <v>76.57139680476166</v>
      </c>
      <c r="N309" s="6" t="n">
        <v>79.25598227449528</v>
      </c>
      <c r="O309" s="6" t="n">
        <v>83.12578691088112</v>
      </c>
      <c r="P309" s="6" t="n">
        <v>88.48835197709543</v>
      </c>
      <c r="Q309" s="6" t="n">
        <v>95.49171221284163</v>
      </c>
      <c r="R309" s="6" t="n">
        <v>104.3698997617098</v>
      </c>
      <c r="S309" s="6" t="n">
        <v>115.128048112535</v>
      </c>
      <c r="T309" s="6" t="n">
        <v>127.7934260725741</v>
      </c>
      <c r="U309" s="6" t="n">
        <v>142.2505630606629</v>
      </c>
      <c r="V309" s="6" t="n">
        <v>158.4392155208578</v>
      </c>
      <c r="W309" s="6" t="n">
        <v>176.1364752576458</v>
      </c>
      <c r="X309" s="6" t="n">
        <v>195.0939697618758</v>
      </c>
      <c r="Y309" s="6" t="n">
        <v>215.0844771618137</v>
      </c>
      <c r="Z309" s="6" t="n">
        <v>235.7735753896208</v>
      </c>
      <c r="AA309" s="6" t="n">
        <v>256.8890582614347</v>
      </c>
      <c r="AB309" s="6" t="n">
        <v>278.8136177836356</v>
      </c>
      <c r="AC309" s="6" t="n">
        <v>299.7483327392383</v>
      </c>
      <c r="AD309" s="6" t="n">
        <v>320.1711342509395</v>
      </c>
      <c r="AE309" s="6" t="n">
        <v>339.7078840383886</v>
      </c>
      <c r="AF309" s="6" t="n">
        <v>358.13553524933</v>
      </c>
      <c r="AG309" s="6" t="n">
        <v>375.161458098032</v>
      </c>
      <c r="AH309" s="6" t="n">
        <v>390.6614145507713</v>
      </c>
      <c r="AI309" s="6" t="n">
        <v>404.4469329527338</v>
      </c>
      <c r="AJ309" s="6" t="n">
        <v>416.4034690399866</v>
      </c>
      <c r="AK309" s="6" t="n">
        <v>426.5694166239568</v>
      </c>
      <c r="AL309" s="6" t="n">
        <v>434.9386061182598</v>
      </c>
      <c r="AM309" s="6" t="n">
        <v>441.6990152668543</v>
      </c>
      <c r="AN309" s="6" t="n">
        <v>447.044235304092</v>
      </c>
      <c r="AO309" s="6" t="n">
        <v>451.1534174933294</v>
      </c>
      <c r="AP309" s="6" t="n">
        <v>454.5638666665233</v>
      </c>
      <c r="AQ309" s="6" t="n">
        <v>487.2304783947756</v>
      </c>
      <c r="AR309" s="6" t="n">
        <v>521.3236020388853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>
      <c r="D311" t="inlineStr">
        <is>
          <t>Monte Carlo run number (0 = off; 1 to 1,000 reads that row of the draw table, Scenario 1 only)</t>
        </is>
      </c>
      <c r="E311" t="inlineStr">
        <is>
          <t>index</t>
        </is>
      </c>
      <c r="F311" s="5" t="n">
        <v>0</v>
      </c>
      <c r="AN311" s="2" t="inlineStr">
        <is>
          <t>Per-run results pasted from case_p.py v1.4 (2026-10-03; P-F42), not live: min DSCR, min historic DSCR, equity IRR, historic DSCR &lt; 1.20x, &lt; 1.10x</t>
        </is>
      </c>
    </row>
    <row r="312">
      <c r="D312" t="inlineStr">
        <is>
          <t>Monte Carlo active (run number above 0 and Scenario 1)</t>
        </is>
      </c>
      <c r="E312" t="inlineStr">
        <is>
          <t>flag</t>
        </is>
      </c>
      <c r="F312" s="9">
        <f>IF(AND(Inputs!$F$311&gt;0,Inputs!$F$8=1),1,0)</f>
        <v/>
      </c>
      <c r="J312" s="2" t="inlineStr">
        <is>
          <t>Draw table: availability shocks OY1-OY26 (points), dispatch (%), heat-rate degradation (% a year), FX drift (factor)</t>
        </is>
      </c>
      <c r="AN312" s="2" t="inlineStr">
        <is>
          <t>Min DSCR</t>
        </is>
      </c>
      <c r="AO312" s="2" t="inlineStr">
        <is>
          <t>Min hist DSCR</t>
        </is>
      </c>
      <c r="AP312" s="2" t="inlineStr">
        <is>
          <t>Equity IRR</t>
        </is>
      </c>
      <c r="AQ312" s="2" t="inlineStr">
        <is>
          <t>Lock-up (&lt;1.20x)</t>
        </is>
      </c>
      <c r="AR312" s="2" t="inlineStr">
        <is>
          <t>Default (&lt;1.10x)</t>
        </is>
      </c>
    </row>
    <row r="313">
      <c r="D313" t="inlineStr">
        <is>
          <t>Run 1</t>
        </is>
      </c>
      <c r="J313" s="6" t="n">
        <v>-0.1303372945655941</v>
      </c>
      <c r="K313" s="6" t="n">
        <v>-0.2220046162925677</v>
      </c>
      <c r="L313" s="6" t="n">
        <v>0.9591138059123669</v>
      </c>
      <c r="M313" s="6" t="n">
        <v>1.919509389623777</v>
      </c>
      <c r="N313" s="6" t="n">
        <v>1.444053421276014</v>
      </c>
      <c r="O313" s="6" t="n">
        <v>2.752952295924899</v>
      </c>
      <c r="P313" s="6" t="n">
        <v>0.7653918490863822</v>
      </c>
      <c r="Q313" s="6" t="n">
        <v>-0.5591302974872701</v>
      </c>
      <c r="R313" s="6" t="n">
        <v>0.1939775570295897</v>
      </c>
      <c r="S313" s="6" t="n">
        <v>-1.340178364722798</v>
      </c>
      <c r="T313" s="6" t="n">
        <v>-0.1091519972515591</v>
      </c>
      <c r="U313" s="6" t="n">
        <v>-2.048280693071093</v>
      </c>
      <c r="V313" s="6" t="n">
        <v>0.6801999453142397</v>
      </c>
      <c r="W313" s="6" t="n">
        <v>-0.6257801386245951</v>
      </c>
      <c r="X313" s="6" t="n">
        <v>0.5264098222094427</v>
      </c>
      <c r="Y313" s="6" t="n">
        <v>0.5564134275438262</v>
      </c>
      <c r="Z313" s="6" t="n">
        <v>-1.446297499641864</v>
      </c>
      <c r="AA313" s="6" t="n">
        <v>1.758138930960189</v>
      </c>
      <c r="AB313" s="6" t="n">
        <v>0.3569432911169952</v>
      </c>
      <c r="AC313" s="6" t="n">
        <v>-0.9696847330719314</v>
      </c>
      <c r="AD313" s="6" t="n">
        <v>0.4245436811594178</v>
      </c>
      <c r="AE313" s="6" t="n">
        <v>1.176728055973582</v>
      </c>
      <c r="AF313" s="6" t="n">
        <v>-2.155207130627543</v>
      </c>
      <c r="AG313" s="6" t="n">
        <v>0.2765743002120836</v>
      </c>
      <c r="AH313" s="6" t="n">
        <v>-0.3432380602708163</v>
      </c>
      <c r="AI313" s="6" t="n">
        <v>-1.908362245498541</v>
      </c>
      <c r="AJ313" s="6" t="n">
        <v>62.95814435176902</v>
      </c>
      <c r="AK313" s="6" t="n">
        <v>0.1239081697738601</v>
      </c>
      <c r="AL313" s="6" t="n">
        <v>1.010029720151749</v>
      </c>
      <c r="AN313" s="6" t="n">
        <v>1.34925157909214</v>
      </c>
      <c r="AO313" s="6" t="n">
        <v>1.34925157909214</v>
      </c>
      <c r="AP313" s="6" t="n">
        <v>0.135794039770109</v>
      </c>
      <c r="AQ313" s="6" t="n">
        <v>0</v>
      </c>
      <c r="AR313" s="6" t="n">
        <v>0</v>
      </c>
    </row>
    <row r="314">
      <c r="D314" t="inlineStr">
        <is>
          <t>Run 2</t>
        </is>
      </c>
      <c r="J314" s="6" t="n">
        <v>0.07215836851700588</v>
      </c>
      <c r="K314" s="6" t="n">
        <v>1.727478233984465</v>
      </c>
      <c r="L314" s="6" t="n">
        <v>-2.128219232576012</v>
      </c>
      <c r="M314" s="6" t="n">
        <v>-0.435295515185473</v>
      </c>
      <c r="N314" s="6" t="n">
        <v>-0.9014638048497218</v>
      </c>
      <c r="O314" s="6" t="n">
        <v>-1.696853376870438</v>
      </c>
      <c r="P314" s="6" t="n">
        <v>-0.706500184181448</v>
      </c>
      <c r="Q314" s="6" t="n">
        <v>-2.227345992829054</v>
      </c>
      <c r="R314" s="6" t="n">
        <v>-1.080950534574479</v>
      </c>
      <c r="S314" s="6" t="n">
        <v>2.941846553728023</v>
      </c>
      <c r="T314" s="6" t="n">
        <v>-1.24775638522025</v>
      </c>
      <c r="U314" s="6" t="n">
        <v>-3.761189773032302</v>
      </c>
      <c r="V314" s="6" t="n">
        <v>0.6160197996651862</v>
      </c>
      <c r="W314" s="6" t="n">
        <v>0.7173959201505041</v>
      </c>
      <c r="X314" s="6" t="n">
        <v>-1.186373985571617</v>
      </c>
      <c r="Y314" s="6" t="n">
        <v>0.7438478061352801</v>
      </c>
      <c r="Z314" s="6" t="n">
        <v>0.9271015694131278</v>
      </c>
      <c r="AA314" s="6" t="n">
        <v>-1.02340597298503</v>
      </c>
      <c r="AB314" s="6" t="n">
        <v>-0.9466815707660093</v>
      </c>
      <c r="AC314" s="6" t="n">
        <v>1.105750007029035</v>
      </c>
      <c r="AD314" s="6" t="n">
        <v>1.153255518983822</v>
      </c>
      <c r="AE314" s="6" t="n">
        <v>-1.345474765664868</v>
      </c>
      <c r="AF314" s="6" t="n">
        <v>1.300087139455508</v>
      </c>
      <c r="AG314" s="6" t="n">
        <v>-3.512146798348325</v>
      </c>
      <c r="AH314" s="6" t="n">
        <v>0.155104805547251</v>
      </c>
      <c r="AI314" s="6" t="n">
        <v>-2.875705378982229</v>
      </c>
      <c r="AJ314" s="6" t="n">
        <v>72.59438768843512</v>
      </c>
      <c r="AK314" s="6" t="n">
        <v>0.1475025741929487</v>
      </c>
      <c r="AL314" s="6" t="n">
        <v>1.037836829377317</v>
      </c>
      <c r="AN314" s="6" t="n">
        <v>1.347992316049117</v>
      </c>
      <c r="AO314" s="6" t="n">
        <v>1.348666373250509</v>
      </c>
      <c r="AP314" s="6" t="n">
        <v>0.1326511003801645</v>
      </c>
      <c r="AQ314" s="6" t="n">
        <v>0</v>
      </c>
      <c r="AR314" s="6" t="n">
        <v>0</v>
      </c>
    </row>
    <row r="315">
      <c r="D315" t="inlineStr">
        <is>
          <t>Run 3</t>
        </is>
      </c>
      <c r="J315" s="6" t="n">
        <v>-0.4124460864071066</v>
      </c>
      <c r="K315" s="6" t="n">
        <v>-2.866121148204043</v>
      </c>
      <c r="L315" s="6" t="n">
        <v>-2.722406629589309</v>
      </c>
      <c r="M315" s="6" t="n">
        <v>-0.0138933813204652</v>
      </c>
      <c r="N315" s="6" t="n">
        <v>3.143442675419206</v>
      </c>
      <c r="O315" s="6" t="n">
        <v>0.8263973083924496</v>
      </c>
      <c r="P315" s="6" t="n">
        <v>-1.137749249867149</v>
      </c>
      <c r="Q315" s="6" t="n">
        <v>-1.016301366251742</v>
      </c>
      <c r="R315" s="6" t="n">
        <v>0.4487800461655654</v>
      </c>
      <c r="S315" s="6" t="n">
        <v>1.067669114543833</v>
      </c>
      <c r="T315" s="6" t="n">
        <v>0.9317847118512713</v>
      </c>
      <c r="U315" s="6" t="n">
        <v>2.246823016463854</v>
      </c>
      <c r="V315" s="6" t="n">
        <v>-1.737345756531608</v>
      </c>
      <c r="W315" s="6" t="n">
        <v>-1.798632729468296</v>
      </c>
      <c r="X315" s="6" t="n">
        <v>-0.7213962637813149</v>
      </c>
      <c r="Y315" s="6" t="n">
        <v>3.96360412668716</v>
      </c>
      <c r="Z315" s="6" t="n">
        <v>0.4936639528841595</v>
      </c>
      <c r="AA315" s="6" t="n">
        <v>-0.3337622345717683</v>
      </c>
      <c r="AB315" s="6" t="n">
        <v>-1.567482552299974</v>
      </c>
      <c r="AC315" s="6" t="n">
        <v>1.774156158872708</v>
      </c>
      <c r="AD315" s="6" t="n">
        <v>0.4226043454940572</v>
      </c>
      <c r="AE315" s="6" t="n">
        <v>-0.6182350510952598</v>
      </c>
      <c r="AF315" s="6" t="n">
        <v>1.69403713703969</v>
      </c>
      <c r="AG315" s="6" t="n">
        <v>2.842618939081781</v>
      </c>
      <c r="AH315" s="6" t="n">
        <v>-1.326199084430008</v>
      </c>
      <c r="AI315" s="6" t="n">
        <v>3.152120545379559</v>
      </c>
      <c r="AJ315" s="6" t="n">
        <v>59.49450822021559</v>
      </c>
      <c r="AK315" s="6" t="n">
        <v>0.1442285217108952</v>
      </c>
      <c r="AL315" s="6" t="n">
        <v>1.068384219084853</v>
      </c>
      <c r="AN315" s="6" t="n">
        <v>1.332320674024706</v>
      </c>
      <c r="AO315" s="6" t="n">
        <v>1.332534156573854</v>
      </c>
      <c r="AP315" s="6" t="n">
        <v>0.1299737649639728</v>
      </c>
      <c r="AQ315" s="6" t="n">
        <v>0</v>
      </c>
      <c r="AR315" s="6" t="n">
        <v>0</v>
      </c>
    </row>
    <row r="316">
      <c r="D316" t="inlineStr">
        <is>
          <t>Run 4</t>
        </is>
      </c>
      <c r="J316" s="6" t="n">
        <v>-4.240814455261436</v>
      </c>
      <c r="K316" s="6" t="n">
        <v>-1.595347997355942</v>
      </c>
      <c r="L316" s="6" t="n">
        <v>0.7892626608607176</v>
      </c>
      <c r="M316" s="6" t="n">
        <v>-1.435673190061561</v>
      </c>
      <c r="N316" s="6" t="n">
        <v>-1.140852878867033</v>
      </c>
      <c r="O316" s="6" t="n">
        <v>4.890010854856706</v>
      </c>
      <c r="P316" s="6" t="n">
        <v>-0.6698873326080096</v>
      </c>
      <c r="Q316" s="6" t="n">
        <v>-1.78343232701582</v>
      </c>
      <c r="R316" s="6" t="n">
        <v>2.942655262133117</v>
      </c>
      <c r="S316" s="6" t="n">
        <v>-0.2761459192125775</v>
      </c>
      <c r="T316" s="6" t="n">
        <v>-1.172669668191138</v>
      </c>
      <c r="U316" s="6" t="n">
        <v>2.228746371529723</v>
      </c>
      <c r="V316" s="6" t="n">
        <v>1.196082684001136</v>
      </c>
      <c r="W316" s="6" t="n">
        <v>-3.561732803755055</v>
      </c>
      <c r="X316" s="6" t="n">
        <v>-1.090697676955426</v>
      </c>
      <c r="Y316" s="6" t="n">
        <v>1.799865214953339</v>
      </c>
      <c r="Z316" s="6" t="n">
        <v>-0.8206871890934594</v>
      </c>
      <c r="AA316" s="6" t="n">
        <v>1.07793197564414</v>
      </c>
      <c r="AB316" s="6" t="n">
        <v>5</v>
      </c>
      <c r="AC316" s="6" t="n">
        <v>1.296574949880505</v>
      </c>
      <c r="AD316" s="6" t="n">
        <v>-1.034176306733835</v>
      </c>
      <c r="AE316" s="6" t="n">
        <v>2.412500646876783</v>
      </c>
      <c r="AF316" s="6" t="n">
        <v>-2.411205138235339</v>
      </c>
      <c r="AG316" s="6" t="n">
        <v>1.902352022488768</v>
      </c>
      <c r="AH316" s="6" t="n">
        <v>2.515176260888445</v>
      </c>
      <c r="AI316" s="6" t="n">
        <v>0.01527698150359095</v>
      </c>
      <c r="AJ316" s="6" t="n">
        <v>80.09550653646589</v>
      </c>
      <c r="AK316" s="6" t="n">
        <v>0.1420134992540608</v>
      </c>
      <c r="AL316" s="6" t="n">
        <v>1.034453948793237</v>
      </c>
      <c r="AN316" s="6" t="n">
        <v>1.346611652244882</v>
      </c>
      <c r="AO316" s="6" t="n">
        <v>1.350468128612468</v>
      </c>
      <c r="AP316" s="6" t="n">
        <v>0.1339943287829712</v>
      </c>
      <c r="AQ316" s="6" t="n">
        <v>0</v>
      </c>
      <c r="AR316" s="6" t="n">
        <v>0</v>
      </c>
    </row>
    <row r="317">
      <c r="D317" t="inlineStr">
        <is>
          <t>Run 5</t>
        </is>
      </c>
      <c r="J317" s="6" t="n">
        <v>-4.511564221051317</v>
      </c>
      <c r="K317" s="6" t="n">
        <v>0.2828562841686363</v>
      </c>
      <c r="L317" s="6" t="n">
        <v>0.2728911049223061</v>
      </c>
      <c r="M317" s="6" t="n">
        <v>-0.4028430178996003</v>
      </c>
      <c r="N317" s="6" t="n">
        <v>-1.173109378789525</v>
      </c>
      <c r="O317" s="6" t="n">
        <v>0.2765886919925804</v>
      </c>
      <c r="P317" s="6" t="n">
        <v>-1.391190906306765</v>
      </c>
      <c r="Q317" s="6" t="n">
        <v>-1.252266229818049</v>
      </c>
      <c r="R317" s="6" t="n">
        <v>1.188142378620632</v>
      </c>
      <c r="S317" s="6" t="n">
        <v>-2.411049193003235</v>
      </c>
      <c r="T317" s="6" t="n">
        <v>1.889004781325842</v>
      </c>
      <c r="U317" s="6" t="n">
        <v>0.8247898908130108</v>
      </c>
      <c r="V317" s="6" t="n">
        <v>2.061000137891976</v>
      </c>
      <c r="W317" s="6" t="n">
        <v>-4.217411204394141</v>
      </c>
      <c r="X317" s="6" t="n">
        <v>1.762860859342931</v>
      </c>
      <c r="Y317" s="6" t="n">
        <v>2.01977129042488</v>
      </c>
      <c r="Z317" s="6" t="n">
        <v>0.3345021982432443</v>
      </c>
      <c r="AA317" s="6" t="n">
        <v>-0.3212587738420795</v>
      </c>
      <c r="AB317" s="6" t="n">
        <v>2.505846766622237</v>
      </c>
      <c r="AC317" s="6" t="n">
        <v>0.6987432995498494</v>
      </c>
      <c r="AD317" s="6" t="n">
        <v>-0.2021110797091812</v>
      </c>
      <c r="AE317" s="6" t="n">
        <v>-3.66935761601354</v>
      </c>
      <c r="AF317" s="6" t="n">
        <v>3.996638485092418</v>
      </c>
      <c r="AG317" s="6" t="n">
        <v>0.04740745333787749</v>
      </c>
      <c r="AH317" s="6" t="n">
        <v>2.283619469621366</v>
      </c>
      <c r="AI317" s="6" t="n">
        <v>-0.6332137105921105</v>
      </c>
      <c r="AJ317" s="6" t="n">
        <v>61.55335060562065</v>
      </c>
      <c r="AK317" s="6" t="n">
        <v>0.2320657283640598</v>
      </c>
      <c r="AL317" s="6" t="n">
        <v>1.067243375494149</v>
      </c>
      <c r="AN317" s="6" t="n">
        <v>1.325313514438141</v>
      </c>
      <c r="AO317" s="6" t="n">
        <v>1.325570646935207</v>
      </c>
      <c r="AP317" s="6" t="n">
        <v>0.1281151038748796</v>
      </c>
      <c r="AQ317" s="6" t="n">
        <v>0</v>
      </c>
      <c r="AR317" s="6" t="n">
        <v>0</v>
      </c>
    </row>
    <row r="318">
      <c r="D318" t="inlineStr">
        <is>
          <t>Run 6</t>
        </is>
      </c>
      <c r="J318" s="6" t="n">
        <v>3.3046587695413</v>
      </c>
      <c r="K318" s="6" t="n">
        <v>2.306057595577449</v>
      </c>
      <c r="L318" s="6" t="n">
        <v>-2.398863908156461</v>
      </c>
      <c r="M318" s="6" t="n">
        <v>0.8933168550927643</v>
      </c>
      <c r="N318" s="6" t="n">
        <v>2.705265860854432</v>
      </c>
      <c r="O318" s="6" t="n">
        <v>1.491654992934809</v>
      </c>
      <c r="P318" s="6" t="n">
        <v>1.997092454000136</v>
      </c>
      <c r="Q318" s="6" t="n">
        <v>-0.2213059446216429</v>
      </c>
      <c r="R318" s="6" t="n">
        <v>0.2576064438367699</v>
      </c>
      <c r="S318" s="6" t="n">
        <v>0.2488383272910454</v>
      </c>
      <c r="T318" s="6" t="n">
        <v>-0.9994972557080612</v>
      </c>
      <c r="U318" s="6" t="n">
        <v>-2.423034721759989</v>
      </c>
      <c r="V318" s="6" t="n">
        <v>-0.3109464516829929</v>
      </c>
      <c r="W318" s="6" t="n">
        <v>-0.2438840365395227</v>
      </c>
      <c r="X318" s="6" t="n">
        <v>2.105448592851658</v>
      </c>
      <c r="Y318" s="6" t="n">
        <v>2.450247501805983</v>
      </c>
      <c r="Z318" s="6" t="n">
        <v>0.6787632707702672</v>
      </c>
      <c r="AA318" s="6" t="n">
        <v>-2.484851916129349</v>
      </c>
      <c r="AB318" s="6" t="n">
        <v>-3.236234313156693</v>
      </c>
      <c r="AC318" s="6" t="n">
        <v>2.473860775950704</v>
      </c>
      <c r="AD318" s="6" t="n">
        <v>1.734139674485877</v>
      </c>
      <c r="AE318" s="6" t="n">
        <v>3.298025006983519</v>
      </c>
      <c r="AF318" s="6" t="n">
        <v>-1.402633450734336</v>
      </c>
      <c r="AG318" s="6" t="n">
        <v>-2.264528500247919</v>
      </c>
      <c r="AH318" s="6" t="n">
        <v>1.596513354491937</v>
      </c>
      <c r="AI318" s="6" t="n">
        <v>0.4159904366039636</v>
      </c>
      <c r="AJ318" s="6" t="n">
        <v>67.67924344628199</v>
      </c>
      <c r="AK318" s="6" t="n">
        <v>0.09265213899461935</v>
      </c>
      <c r="AL318" s="6" t="n">
        <v>0.9949042260945189</v>
      </c>
      <c r="AN318" s="6" t="n">
        <v>1.355870531027698</v>
      </c>
      <c r="AO318" s="6" t="n">
        <v>1.355870531027698</v>
      </c>
      <c r="AP318" s="6" t="n">
        <v>0.1395581702134771</v>
      </c>
      <c r="AQ318" s="6" t="n">
        <v>0</v>
      </c>
      <c r="AR318" s="6" t="n">
        <v>0</v>
      </c>
    </row>
    <row r="319">
      <c r="D319" t="inlineStr">
        <is>
          <t>Run 7</t>
        </is>
      </c>
      <c r="J319" s="6" t="n">
        <v>-5.081868417483616</v>
      </c>
      <c r="K319" s="6" t="n">
        <v>-0.1146200315406917</v>
      </c>
      <c r="L319" s="6" t="n">
        <v>-1.716113167387465</v>
      </c>
      <c r="M319" s="6" t="n">
        <v>0.9430787980068629</v>
      </c>
      <c r="N319" s="6" t="n">
        <v>-1.663912306726132</v>
      </c>
      <c r="O319" s="6" t="n">
        <v>-4.00494435486044</v>
      </c>
      <c r="P319" s="6" t="n">
        <v>-0.184049533024758</v>
      </c>
      <c r="Q319" s="6" t="n">
        <v>1.093621657166257</v>
      </c>
      <c r="R319" s="6" t="n">
        <v>-3.3198979518494</v>
      </c>
      <c r="S319" s="6" t="n">
        <v>-3.50306185916819</v>
      </c>
      <c r="T319" s="6" t="n">
        <v>-1.775087597310625</v>
      </c>
      <c r="U319" s="6" t="n">
        <v>-4.034490254990239</v>
      </c>
      <c r="V319" s="6" t="n">
        <v>2.324391871033357</v>
      </c>
      <c r="W319" s="6" t="n">
        <v>-0.002723711667225183</v>
      </c>
      <c r="X319" s="6" t="n">
        <v>-0.1082476525435489</v>
      </c>
      <c r="Y319" s="6" t="n">
        <v>-0.05785242012291369</v>
      </c>
      <c r="Z319" s="6" t="n">
        <v>4.297560353322217</v>
      </c>
      <c r="AA319" s="6" t="n">
        <v>0.2337460934051747</v>
      </c>
      <c r="AB319" s="6" t="n">
        <v>0.8982726076353001</v>
      </c>
      <c r="AC319" s="6" t="n">
        <v>-2.934173004795566</v>
      </c>
      <c r="AD319" s="6" t="n">
        <v>2.635794351817736</v>
      </c>
      <c r="AE319" s="6" t="n">
        <v>2.5339705533155</v>
      </c>
      <c r="AF319" s="6" t="n">
        <v>-4.924446074948847</v>
      </c>
      <c r="AG319" s="6" t="n">
        <v>0.6457910107255891</v>
      </c>
      <c r="AH319" s="6" t="n">
        <v>-0.7831873841521683</v>
      </c>
      <c r="AI319" s="6" t="n">
        <v>1.908443707670989</v>
      </c>
      <c r="AJ319" s="6" t="n">
        <v>69.81107662930432</v>
      </c>
      <c r="AK319" s="6" t="n">
        <v>0.08709258832421216</v>
      </c>
      <c r="AL319" s="6" t="n">
        <v>1.066223147886919</v>
      </c>
      <c r="AN319" s="6" t="n">
        <v>1.328499808673063</v>
      </c>
      <c r="AO319" s="6" t="n">
        <v>1.328499808673063</v>
      </c>
      <c r="AP319" s="6" t="n">
        <v>0.1316058208627126</v>
      </c>
      <c r="AQ319" s="6" t="n">
        <v>0</v>
      </c>
      <c r="AR319" s="6" t="n">
        <v>0</v>
      </c>
    </row>
    <row r="320">
      <c r="D320" t="inlineStr">
        <is>
          <t>Run 8</t>
        </is>
      </c>
      <c r="J320" s="6" t="n">
        <v>0.7894358924957636</v>
      </c>
      <c r="K320" s="6" t="n">
        <v>-4.158498595449301</v>
      </c>
      <c r="L320" s="6" t="n">
        <v>1.790450721747516</v>
      </c>
      <c r="M320" s="6" t="n">
        <v>2.911286553183836</v>
      </c>
      <c r="N320" s="6" t="n">
        <v>-1.407247162850463</v>
      </c>
      <c r="O320" s="6" t="n">
        <v>-0.8204717610359311</v>
      </c>
      <c r="P320" s="6" t="n">
        <v>3.464423157213575</v>
      </c>
      <c r="Q320" s="6" t="n">
        <v>-0.8219227286942355</v>
      </c>
      <c r="R320" s="6" t="n">
        <v>-1.962871102273372</v>
      </c>
      <c r="S320" s="6" t="n">
        <v>0.6828264869427773</v>
      </c>
      <c r="T320" s="6" t="n">
        <v>-3.857564940229861</v>
      </c>
      <c r="U320" s="6" t="n">
        <v>0.5284366367000197</v>
      </c>
      <c r="V320" s="6" t="n">
        <v>2.707673882480897</v>
      </c>
      <c r="W320" s="6" t="n">
        <v>0.8268181131995694</v>
      </c>
      <c r="X320" s="6" t="n">
        <v>5</v>
      </c>
      <c r="Y320" s="6" t="n">
        <v>-0.9435404409358038</v>
      </c>
      <c r="Z320" s="6" t="n">
        <v>1.265236451055519</v>
      </c>
      <c r="AA320" s="6" t="n">
        <v>-4.179799050096485</v>
      </c>
      <c r="AB320" s="6" t="n">
        <v>-1.090437724820059</v>
      </c>
      <c r="AC320" s="6" t="n">
        <v>1.180093332016345</v>
      </c>
      <c r="AD320" s="6" t="n">
        <v>2.135951713184053</v>
      </c>
      <c r="AE320" s="6" t="n">
        <v>-1.614162384279486</v>
      </c>
      <c r="AF320" s="6" t="n">
        <v>0.1589467316201482</v>
      </c>
      <c r="AG320" s="6" t="n">
        <v>1.510903596840225</v>
      </c>
      <c r="AH320" s="6" t="n">
        <v>3.632680737232163</v>
      </c>
      <c r="AI320" s="6" t="n">
        <v>-0.5352812667147272</v>
      </c>
      <c r="AJ320" s="6" t="n">
        <v>69.84768636752338</v>
      </c>
      <c r="AK320" s="6" t="n">
        <v>0.1369478805322976</v>
      </c>
      <c r="AL320" s="6" t="n">
        <v>0.9938583239489155</v>
      </c>
      <c r="AN320" s="6" t="n">
        <v>1.347283359347321</v>
      </c>
      <c r="AO320" s="6" t="n">
        <v>1.352903453403872</v>
      </c>
      <c r="AP320" s="6" t="n">
        <v>0.1389446568870808</v>
      </c>
      <c r="AQ320" s="6" t="n">
        <v>0</v>
      </c>
      <c r="AR320" s="6" t="n">
        <v>0</v>
      </c>
    </row>
    <row r="321">
      <c r="D321" t="inlineStr">
        <is>
          <t>Run 9</t>
        </is>
      </c>
      <c r="J321" s="6" t="n">
        <v>3.800799075559078</v>
      </c>
      <c r="K321" s="6" t="n">
        <v>-2.457719891563835</v>
      </c>
      <c r="L321" s="6" t="n">
        <v>-2.319711631694604</v>
      </c>
      <c r="M321" s="6" t="n">
        <v>1.092562950539962</v>
      </c>
      <c r="N321" s="6" t="n">
        <v>-0.3886380804491172</v>
      </c>
      <c r="O321" s="6" t="n">
        <v>2.857061040723071</v>
      </c>
      <c r="P321" s="6" t="n">
        <v>-1.293320126902051</v>
      </c>
      <c r="Q321" s="6" t="n">
        <v>0.3399900677862513</v>
      </c>
      <c r="R321" s="6" t="n">
        <v>-0.631087840047629</v>
      </c>
      <c r="S321" s="6" t="n">
        <v>-6.287052744868345</v>
      </c>
      <c r="T321" s="6" t="n">
        <v>4.583049905790537</v>
      </c>
      <c r="U321" s="6" t="n">
        <v>1.476589761297908</v>
      </c>
      <c r="V321" s="6" t="n">
        <v>-0.7177771681074427</v>
      </c>
      <c r="W321" s="6" t="n">
        <v>0.8565151830616408</v>
      </c>
      <c r="X321" s="6" t="n">
        <v>0.5419364777336731</v>
      </c>
      <c r="Y321" s="6" t="n">
        <v>-0.4361882787614033</v>
      </c>
      <c r="Z321" s="6" t="n">
        <v>-0.8670024958952437</v>
      </c>
      <c r="AA321" s="6" t="n">
        <v>1.202924342138785</v>
      </c>
      <c r="AB321" s="6" t="n">
        <v>0.4142147826713733</v>
      </c>
      <c r="AC321" s="6" t="n">
        <v>0.7710938777962546</v>
      </c>
      <c r="AD321" s="6" t="n">
        <v>1.888610270703288</v>
      </c>
      <c r="AE321" s="6" t="n">
        <v>2.780366050486698</v>
      </c>
      <c r="AF321" s="6" t="n">
        <v>1.470037114531032</v>
      </c>
      <c r="AG321" s="6" t="n">
        <v>1.727254117085151</v>
      </c>
      <c r="AH321" s="6" t="n">
        <v>-2.484462050985373</v>
      </c>
      <c r="AI321" s="6" t="n">
        <v>0.3267095092761751</v>
      </c>
      <c r="AJ321" s="6" t="n">
        <v>70.73718695371426</v>
      </c>
      <c r="AK321" s="6" t="n">
        <v>0.1286915453948844</v>
      </c>
      <c r="AL321" s="6" t="n">
        <v>1.041628512566471</v>
      </c>
      <c r="AN321" s="6" t="n">
        <v>1.348209512750431</v>
      </c>
      <c r="AO321" s="6" t="n">
        <v>1.348807208366115</v>
      </c>
      <c r="AP321" s="6" t="n">
        <v>0.1329215983211633</v>
      </c>
      <c r="AQ321" s="6" t="n">
        <v>0</v>
      </c>
      <c r="AR321" s="6" t="n">
        <v>0</v>
      </c>
    </row>
    <row r="322">
      <c r="D322" t="inlineStr">
        <is>
          <t>Run 10</t>
        </is>
      </c>
      <c r="J322" s="6" t="n">
        <v>2.812858947066281</v>
      </c>
      <c r="K322" s="6" t="n">
        <v>0.1021713452287428</v>
      </c>
      <c r="L322" s="6" t="n">
        <v>1.233596906964976</v>
      </c>
      <c r="M322" s="6" t="n">
        <v>-1.422291300716621</v>
      </c>
      <c r="N322" s="6" t="n">
        <v>1.068205677625514</v>
      </c>
      <c r="O322" s="6" t="n">
        <v>0.8976092875979469</v>
      </c>
      <c r="P322" s="6" t="n">
        <v>-0.820600835676527</v>
      </c>
      <c r="Q322" s="6" t="n">
        <v>1.347290355100331</v>
      </c>
      <c r="R322" s="6" t="n">
        <v>-4.090634260122116</v>
      </c>
      <c r="S322" s="6" t="n">
        <v>-0.4566937142856483</v>
      </c>
      <c r="T322" s="6" t="n">
        <v>1.922253129615876</v>
      </c>
      <c r="U322" s="6" t="n">
        <v>2.985374727509718</v>
      </c>
      <c r="V322" s="6" t="n">
        <v>0.9267470930168972</v>
      </c>
      <c r="W322" s="6" t="n">
        <v>-1.278518490408994</v>
      </c>
      <c r="X322" s="6" t="n">
        <v>4.333417177386833</v>
      </c>
      <c r="Y322" s="6" t="n">
        <v>4.386583341529667</v>
      </c>
      <c r="Z322" s="6" t="n">
        <v>0.3537712812141499</v>
      </c>
      <c r="AA322" s="6" t="n">
        <v>-1.667811457496604</v>
      </c>
      <c r="AB322" s="6" t="n">
        <v>-0.5393639883990767</v>
      </c>
      <c r="AC322" s="6" t="n">
        <v>4.85595600765887</v>
      </c>
      <c r="AD322" s="6" t="n">
        <v>-1.77965852152714</v>
      </c>
      <c r="AE322" s="6" t="n">
        <v>3.147372681576756</v>
      </c>
      <c r="AF322" s="6" t="n">
        <v>0.4328227301638087</v>
      </c>
      <c r="AG322" s="6" t="n">
        <v>-3.721709086316273</v>
      </c>
      <c r="AH322" s="6" t="n">
        <v>0.4920740200710633</v>
      </c>
      <c r="AI322" s="6" t="n">
        <v>0.1220612229851629</v>
      </c>
      <c r="AJ322" s="6" t="n">
        <v>61.75855280208872</v>
      </c>
      <c r="AK322" s="6" t="n">
        <v>0.1572893634662991</v>
      </c>
      <c r="AL322" s="6" t="n">
        <v>1.066073604892032</v>
      </c>
      <c r="AN322" s="6" t="n">
        <v>1.329151432607916</v>
      </c>
      <c r="AO322" s="6" t="n">
        <v>1.331964856360063</v>
      </c>
      <c r="AP322" s="6" t="n">
        <v>0.1297117013118935</v>
      </c>
      <c r="AQ322" s="6" t="n">
        <v>0</v>
      </c>
      <c r="AR322" s="6" t="n">
        <v>0</v>
      </c>
    </row>
    <row r="323">
      <c r="D323" t="inlineStr">
        <is>
          <t>Run 11</t>
        </is>
      </c>
      <c r="J323" s="6" t="n">
        <v>0.6365983345435919</v>
      </c>
      <c r="K323" s="6" t="n">
        <v>-0.6587128899048649</v>
      </c>
      <c r="L323" s="6" t="n">
        <v>-1.516072602064894</v>
      </c>
      <c r="M323" s="6" t="n">
        <v>-1.067601438898729</v>
      </c>
      <c r="N323" s="6" t="n">
        <v>-2.630833163793166</v>
      </c>
      <c r="O323" s="6" t="n">
        <v>-2.168594120060758</v>
      </c>
      <c r="P323" s="6" t="n">
        <v>-0.1325425323073386</v>
      </c>
      <c r="Q323" s="6" t="n">
        <v>-1.111019757196019</v>
      </c>
      <c r="R323" s="6" t="n">
        <v>-1.70421384900394</v>
      </c>
      <c r="S323" s="6" t="n">
        <v>-0.8133236687560901</v>
      </c>
      <c r="T323" s="6" t="n">
        <v>-1.594655728035157</v>
      </c>
      <c r="U323" s="6" t="n">
        <v>2.113607142077684</v>
      </c>
      <c r="V323" s="6" t="n">
        <v>1.060988277793206</v>
      </c>
      <c r="W323" s="6" t="n">
        <v>-0.8924594971445835</v>
      </c>
      <c r="X323" s="6" t="n">
        <v>0.5361873870259087</v>
      </c>
      <c r="Y323" s="6" t="n">
        <v>-0.6212605256965619</v>
      </c>
      <c r="Z323" s="6" t="n">
        <v>0.459260889429899</v>
      </c>
      <c r="AA323" s="6" t="n">
        <v>2.321011305166219</v>
      </c>
      <c r="AB323" s="6" t="n">
        <v>0.01039357473667415</v>
      </c>
      <c r="AC323" s="6" t="n">
        <v>-2.014057584886288</v>
      </c>
      <c r="AD323" s="6" t="n">
        <v>-1.305347513156093</v>
      </c>
      <c r="AE323" s="6" t="n">
        <v>-1.251267796249192</v>
      </c>
      <c r="AF323" s="6" t="n">
        <v>3.31707712311771</v>
      </c>
      <c r="AG323" s="6" t="n">
        <v>0.3829911888539048</v>
      </c>
      <c r="AH323" s="6" t="n">
        <v>-1.490788663456157</v>
      </c>
      <c r="AI323" s="6" t="n">
        <v>-1.19215751745642</v>
      </c>
      <c r="AJ323" s="6" t="n">
        <v>71.36935241190415</v>
      </c>
      <c r="AK323" s="6" t="n">
        <v>0.07516158491970645</v>
      </c>
      <c r="AL323" s="6" t="n">
        <v>1.040272796741573</v>
      </c>
      <c r="AN323" s="6" t="n">
        <v>1.34855408395866</v>
      </c>
      <c r="AO323" s="6" t="n">
        <v>1.34855408395866</v>
      </c>
      <c r="AP323" s="6" t="n">
        <v>0.1342977527404504</v>
      </c>
      <c r="AQ323" s="6" t="n">
        <v>0</v>
      </c>
      <c r="AR323" s="6" t="n">
        <v>0</v>
      </c>
    </row>
    <row r="324">
      <c r="D324" t="inlineStr">
        <is>
          <t>Run 12</t>
        </is>
      </c>
      <c r="J324" s="6" t="n">
        <v>0.351862083840833</v>
      </c>
      <c r="K324" s="6" t="n">
        <v>-2.922417872833622</v>
      </c>
      <c r="L324" s="6" t="n">
        <v>3.17001627126093</v>
      </c>
      <c r="M324" s="6" t="n">
        <v>1.799214716142215</v>
      </c>
      <c r="N324" s="6" t="n">
        <v>0.5498188867093186</v>
      </c>
      <c r="O324" s="6" t="n">
        <v>-3.295992684089507</v>
      </c>
      <c r="P324" s="6" t="n">
        <v>-0.5796375153058512</v>
      </c>
      <c r="Q324" s="6" t="n">
        <v>-1.323601907102664</v>
      </c>
      <c r="R324" s="6" t="n">
        <v>2.397814566943938</v>
      </c>
      <c r="S324" s="6" t="n">
        <v>-1.164766812383591</v>
      </c>
      <c r="T324" s="6" t="n">
        <v>-0.7469709695206547</v>
      </c>
      <c r="U324" s="6" t="n">
        <v>-0.4803459018061485</v>
      </c>
      <c r="V324" s="6" t="n">
        <v>1.838345797762929</v>
      </c>
      <c r="W324" s="6" t="n">
        <v>-0.1343901005664316</v>
      </c>
      <c r="X324" s="6" t="n">
        <v>-1.355643905006302</v>
      </c>
      <c r="Y324" s="6" t="n">
        <v>1.699736567338052</v>
      </c>
      <c r="Z324" s="6" t="n">
        <v>-1.530329139608587</v>
      </c>
      <c r="AA324" s="6" t="n">
        <v>-2.335738384123917</v>
      </c>
      <c r="AB324" s="6" t="n">
        <v>0.8594865098817938</v>
      </c>
      <c r="AC324" s="6" t="n">
        <v>-1.197473862322713</v>
      </c>
      <c r="AD324" s="6" t="n">
        <v>0.737118128423464</v>
      </c>
      <c r="AE324" s="6" t="n">
        <v>-0.7700935187281049</v>
      </c>
      <c r="AF324" s="6" t="n">
        <v>-1.631360664616791</v>
      </c>
      <c r="AG324" s="6" t="n">
        <v>-2.367956179432211</v>
      </c>
      <c r="AH324" s="6" t="n">
        <v>-1.20842146814221</v>
      </c>
      <c r="AI324" s="6" t="n">
        <v>0.6252906548432183</v>
      </c>
      <c r="AJ324" s="6" t="n">
        <v>65.94668725791112</v>
      </c>
      <c r="AK324" s="6" t="n">
        <v>0.09541262191618399</v>
      </c>
      <c r="AL324" s="6" t="n">
        <v>1.017007802512921</v>
      </c>
      <c r="AN324" s="6" t="n">
        <v>1.349339183879664</v>
      </c>
      <c r="AO324" s="6" t="n">
        <v>1.349339183879664</v>
      </c>
      <c r="AP324" s="6" t="n">
        <v>0.1358960685211504</v>
      </c>
      <c r="AQ324" s="6" t="n">
        <v>0</v>
      </c>
      <c r="AR324" s="6" t="n">
        <v>0</v>
      </c>
    </row>
    <row r="325">
      <c r="D325" t="inlineStr">
        <is>
          <t>Run 13</t>
        </is>
      </c>
      <c r="J325" s="6" t="n">
        <v>0.2457862689918351</v>
      </c>
      <c r="K325" s="6" t="n">
        <v>-0.694837583036049</v>
      </c>
      <c r="L325" s="6" t="n">
        <v>0.4144953606141342</v>
      </c>
      <c r="M325" s="6" t="n">
        <v>0.6929997123154519</v>
      </c>
      <c r="N325" s="6" t="n">
        <v>0.9842265238899089</v>
      </c>
      <c r="O325" s="6" t="n">
        <v>-3.320192810143813</v>
      </c>
      <c r="P325" s="6" t="n">
        <v>1.689719087050664</v>
      </c>
      <c r="Q325" s="6" t="n">
        <v>1.823342065710214</v>
      </c>
      <c r="R325" s="6" t="n">
        <v>0.5813725504187648</v>
      </c>
      <c r="S325" s="6" t="n">
        <v>0.9321355116564007</v>
      </c>
      <c r="T325" s="6" t="n">
        <v>1.404523328828423</v>
      </c>
      <c r="U325" s="6" t="n">
        <v>0.309480387160974</v>
      </c>
      <c r="V325" s="6" t="n">
        <v>0.1202694379283786</v>
      </c>
      <c r="W325" s="6" t="n">
        <v>-1.184559125872765</v>
      </c>
      <c r="X325" s="6" t="n">
        <v>1.095790265039591</v>
      </c>
      <c r="Y325" s="6" t="n">
        <v>-2.622772755999015</v>
      </c>
      <c r="Z325" s="6" t="n">
        <v>0.7110906684371209</v>
      </c>
      <c r="AA325" s="6" t="n">
        <v>1.709026325204799</v>
      </c>
      <c r="AB325" s="6" t="n">
        <v>3.373856274101749</v>
      </c>
      <c r="AC325" s="6" t="n">
        <v>-1.783418269976656</v>
      </c>
      <c r="AD325" s="6" t="n">
        <v>4.498027747563173</v>
      </c>
      <c r="AE325" s="6" t="n">
        <v>-2.055280348073077</v>
      </c>
      <c r="AF325" s="6" t="n">
        <v>1.507400391023189</v>
      </c>
      <c r="AG325" s="6" t="n">
        <v>-4.557439252256602</v>
      </c>
      <c r="AH325" s="6" t="n">
        <v>3.96447406836782</v>
      </c>
      <c r="AI325" s="6" t="n">
        <v>-1.571384948593894</v>
      </c>
      <c r="AJ325" s="6" t="n">
        <v>64.35540691214243</v>
      </c>
      <c r="AK325" s="6" t="n">
        <v>0.02479286628347337</v>
      </c>
      <c r="AL325" s="6" t="n">
        <v>1.016032445642356</v>
      </c>
      <c r="AN325" s="6" t="n">
        <v>1.349160949432461</v>
      </c>
      <c r="AO325" s="6" t="n">
        <v>1.349160949432461</v>
      </c>
      <c r="AP325" s="6" t="n">
        <v>0.1371811807328325</v>
      </c>
      <c r="AQ325" s="6" t="n">
        <v>0</v>
      </c>
      <c r="AR325" s="6" t="n">
        <v>0</v>
      </c>
    </row>
    <row r="326">
      <c r="D326" t="inlineStr">
        <is>
          <t>Run 14</t>
        </is>
      </c>
      <c r="J326" s="6" t="n">
        <v>2.447619234829362</v>
      </c>
      <c r="K326" s="6" t="n">
        <v>-1.701389971272169</v>
      </c>
      <c r="L326" s="6" t="n">
        <v>-1.067182866320704</v>
      </c>
      <c r="M326" s="6" t="n">
        <v>1.10971590179412</v>
      </c>
      <c r="N326" s="6" t="n">
        <v>-0.339747403789505</v>
      </c>
      <c r="O326" s="6" t="n">
        <v>-0.1140730252431165</v>
      </c>
      <c r="P326" s="6" t="n">
        <v>-1.185099636198452</v>
      </c>
      <c r="Q326" s="6" t="n">
        <v>-3.463162755999583</v>
      </c>
      <c r="R326" s="6" t="n">
        <v>1.003609931133804</v>
      </c>
      <c r="S326" s="6" t="n">
        <v>-0.5997228926529837</v>
      </c>
      <c r="T326" s="6" t="n">
        <v>0.411592809089468</v>
      </c>
      <c r="U326" s="6" t="n">
        <v>-2.142802229115036</v>
      </c>
      <c r="V326" s="6" t="n">
        <v>-0.1505958518462489</v>
      </c>
      <c r="W326" s="6" t="n">
        <v>0.2324489708026915</v>
      </c>
      <c r="X326" s="6" t="n">
        <v>-0.5840106651561734</v>
      </c>
      <c r="Y326" s="6" t="n">
        <v>0.9470256185313777</v>
      </c>
      <c r="Z326" s="6" t="n">
        <v>-1.780701208832085</v>
      </c>
      <c r="AA326" s="6" t="n">
        <v>3.287065046549297</v>
      </c>
      <c r="AB326" s="6" t="n">
        <v>1.439541879004543</v>
      </c>
      <c r="AC326" s="6" t="n">
        <v>0.0775389720918459</v>
      </c>
      <c r="AD326" s="6" t="n">
        <v>0.2110993393314191</v>
      </c>
      <c r="AE326" s="6" t="n">
        <v>-0.6658808621992935</v>
      </c>
      <c r="AF326" s="6" t="n">
        <v>-0.2760315125054447</v>
      </c>
      <c r="AG326" s="6" t="n">
        <v>-0.5331057571271127</v>
      </c>
      <c r="AH326" s="6" t="n">
        <v>-3.477089446114664</v>
      </c>
      <c r="AI326" s="6" t="n">
        <v>-0.834481113290532</v>
      </c>
      <c r="AJ326" s="6" t="n">
        <v>67.42250861340513</v>
      </c>
      <c r="AK326" s="6" t="n">
        <v>0.160062610475969</v>
      </c>
      <c r="AL326" s="6" t="n">
        <v>1.090605512643741</v>
      </c>
      <c r="AN326" s="6" t="n">
        <v>1.327179834020766</v>
      </c>
      <c r="AO326" s="6" t="n">
        <v>1.327470219408293</v>
      </c>
      <c r="AP326" s="6" t="n">
        <v>0.1283072126265951</v>
      </c>
      <c r="AQ326" s="6" t="n">
        <v>0</v>
      </c>
      <c r="AR326" s="6" t="n">
        <v>0</v>
      </c>
    </row>
    <row r="327">
      <c r="D327" t="inlineStr">
        <is>
          <t>Run 15</t>
        </is>
      </c>
      <c r="J327" s="6" t="n">
        <v>1.980062836771287</v>
      </c>
      <c r="K327" s="6" t="n">
        <v>-1.763910877631573</v>
      </c>
      <c r="L327" s="6" t="n">
        <v>2.558750814028377</v>
      </c>
      <c r="M327" s="6" t="n">
        <v>2.164677841230649</v>
      </c>
      <c r="N327" s="6" t="n">
        <v>1.034592347334084</v>
      </c>
      <c r="O327" s="6" t="n">
        <v>-1.338968514642545</v>
      </c>
      <c r="P327" s="6" t="n">
        <v>-0.559374609116247</v>
      </c>
      <c r="Q327" s="6" t="n">
        <v>0.8016860983229614</v>
      </c>
      <c r="R327" s="6" t="n">
        <v>-1.273298551808025</v>
      </c>
      <c r="S327" s="6" t="n">
        <v>-1.403666710912848</v>
      </c>
      <c r="T327" s="6" t="n">
        <v>-3.015634856671615</v>
      </c>
      <c r="U327" s="6" t="n">
        <v>1.950665826654297</v>
      </c>
      <c r="V327" s="6" t="n">
        <v>2.153864112863844</v>
      </c>
      <c r="W327" s="6" t="n">
        <v>-2.155258273059123</v>
      </c>
      <c r="X327" s="6" t="n">
        <v>-1.006242143631574</v>
      </c>
      <c r="Y327" s="6" t="n">
        <v>0.1721948885393458</v>
      </c>
      <c r="Z327" s="6" t="n">
        <v>2.034072790324086</v>
      </c>
      <c r="AA327" s="6" t="n">
        <v>-0.4616239742810466</v>
      </c>
      <c r="AB327" s="6" t="n">
        <v>3.609070876890938</v>
      </c>
      <c r="AC327" s="6" t="n">
        <v>0.5730691547086413</v>
      </c>
      <c r="AD327" s="6" t="n">
        <v>0.3044823018449507</v>
      </c>
      <c r="AE327" s="6" t="n">
        <v>-1.996643138910988</v>
      </c>
      <c r="AF327" s="6" t="n">
        <v>-2.071793438146265</v>
      </c>
      <c r="AG327" s="6" t="n">
        <v>-1.660818932419109</v>
      </c>
      <c r="AH327" s="6" t="n">
        <v>2.139679280571561</v>
      </c>
      <c r="AI327" s="6" t="n">
        <v>-0.3087025036858835</v>
      </c>
      <c r="AJ327" s="6" t="n">
        <v>74.32014007269271</v>
      </c>
      <c r="AK327" s="6" t="n">
        <v>0.1528336370641462</v>
      </c>
      <c r="AL327" s="6" t="n">
        <v>1.052043350027916</v>
      </c>
      <c r="AN327" s="6" t="n">
        <v>1.343834732567319</v>
      </c>
      <c r="AO327" s="6" t="n">
        <v>1.343846437592112</v>
      </c>
      <c r="AP327" s="6" t="n">
        <v>0.1317162793171253</v>
      </c>
      <c r="AQ327" s="6" t="n">
        <v>0</v>
      </c>
      <c r="AR327" s="6" t="n">
        <v>0</v>
      </c>
    </row>
    <row r="328">
      <c r="D328" t="inlineStr">
        <is>
          <t>Run 16</t>
        </is>
      </c>
      <c r="J328" s="6" t="n">
        <v>0.4086361412573071</v>
      </c>
      <c r="K328" s="6" t="n">
        <v>-2.410833161637254</v>
      </c>
      <c r="L328" s="6" t="n">
        <v>1.913205083129788</v>
      </c>
      <c r="M328" s="6" t="n">
        <v>-0.336064909669723</v>
      </c>
      <c r="N328" s="6" t="n">
        <v>-3.166419995227352</v>
      </c>
      <c r="O328" s="6" t="n">
        <v>-1.733512556070972</v>
      </c>
      <c r="P328" s="6" t="n">
        <v>-2.02636980693949</v>
      </c>
      <c r="Q328" s="6" t="n">
        <v>0.9253444304634794</v>
      </c>
      <c r="R328" s="6" t="n">
        <v>-0.5694033355435479</v>
      </c>
      <c r="S328" s="6" t="n">
        <v>-2.989248533266347</v>
      </c>
      <c r="T328" s="6" t="n">
        <v>-0.9057579613800397</v>
      </c>
      <c r="U328" s="6" t="n">
        <v>0.2701582133849041</v>
      </c>
      <c r="V328" s="6" t="n">
        <v>0.6160357989386188</v>
      </c>
      <c r="W328" s="6" t="n">
        <v>-0.3080692016429495</v>
      </c>
      <c r="X328" s="6" t="n">
        <v>-0.1082667883848803</v>
      </c>
      <c r="Y328" s="6" t="n">
        <v>-2.703707545012129</v>
      </c>
      <c r="Z328" s="6" t="n">
        <v>-1.251185365901655</v>
      </c>
      <c r="AA328" s="6" t="n">
        <v>0.5460229429842856</v>
      </c>
      <c r="AB328" s="6" t="n">
        <v>-1.446065072230868</v>
      </c>
      <c r="AC328" s="6" t="n">
        <v>0.5062076336627052</v>
      </c>
      <c r="AD328" s="6" t="n">
        <v>0.6558059526525675</v>
      </c>
      <c r="AE328" s="6" t="n">
        <v>3.104799024589289</v>
      </c>
      <c r="AF328" s="6" t="n">
        <v>-4.529262464319938</v>
      </c>
      <c r="AG328" s="6" t="n">
        <v>-1.176495696701768</v>
      </c>
      <c r="AH328" s="6" t="n">
        <v>-0.8298859567084181</v>
      </c>
      <c r="AI328" s="6" t="n">
        <v>-2.384028738152497</v>
      </c>
      <c r="AJ328" s="6" t="n">
        <v>65.40336232592932</v>
      </c>
      <c r="AK328" s="6" t="n">
        <v>0.1184379960289121</v>
      </c>
      <c r="AL328" s="6" t="n">
        <v>1.061715383405055</v>
      </c>
      <c r="AN328" s="6" t="n">
        <v>1.340774234922304</v>
      </c>
      <c r="AO328" s="6" t="n">
        <v>1.340997422729415</v>
      </c>
      <c r="AP328" s="6" t="n">
        <v>0.1312717099941715</v>
      </c>
      <c r="AQ328" s="6" t="n">
        <v>0</v>
      </c>
      <c r="AR328" s="6" t="n">
        <v>0</v>
      </c>
    </row>
    <row r="329">
      <c r="D329" t="inlineStr">
        <is>
          <t>Run 17</t>
        </is>
      </c>
      <c r="J329" s="6" t="n">
        <v>-0.6371019744282878</v>
      </c>
      <c r="K329" s="6" t="n">
        <v>-0.6928930140868702</v>
      </c>
      <c r="L329" s="6" t="n">
        <v>-1.038639404688284</v>
      </c>
      <c r="M329" s="6" t="n">
        <v>-1.43028373818363</v>
      </c>
      <c r="N329" s="6" t="n">
        <v>2.347663916283507</v>
      </c>
      <c r="O329" s="6" t="n">
        <v>1.65071817830743</v>
      </c>
      <c r="P329" s="6" t="n">
        <v>-3.625109907287563</v>
      </c>
      <c r="Q329" s="6" t="n">
        <v>-1.096666720497003</v>
      </c>
      <c r="R329" s="6" t="n">
        <v>2.589863361147744</v>
      </c>
      <c r="S329" s="6" t="n">
        <v>0.2833985434173384</v>
      </c>
      <c r="T329" s="6" t="n">
        <v>0.3455955196287168</v>
      </c>
      <c r="U329" s="6" t="n">
        <v>1.554455919322669</v>
      </c>
      <c r="V329" s="6" t="n">
        <v>-1.889385106188194</v>
      </c>
      <c r="W329" s="6" t="n">
        <v>-1.272920515537114</v>
      </c>
      <c r="X329" s="6" t="n">
        <v>1.892141019661546</v>
      </c>
      <c r="Y329" s="6" t="n">
        <v>0.9513696704732846</v>
      </c>
      <c r="Z329" s="6" t="n">
        <v>-0.3084054834632515</v>
      </c>
      <c r="AA329" s="6" t="n">
        <v>-0.5985246825381114</v>
      </c>
      <c r="AB329" s="6" t="n">
        <v>-0.05674924192371873</v>
      </c>
      <c r="AC329" s="6" t="n">
        <v>5</v>
      </c>
      <c r="AD329" s="6" t="n">
        <v>0.3930661020732346</v>
      </c>
      <c r="AE329" s="6" t="n">
        <v>-4.043008736183053</v>
      </c>
      <c r="AF329" s="6" t="n">
        <v>-1.530850750378039</v>
      </c>
      <c r="AG329" s="6" t="n">
        <v>0.911185890159677</v>
      </c>
      <c r="AH329" s="6" t="n">
        <v>4.573918067871449</v>
      </c>
      <c r="AI329" s="6" t="n">
        <v>0.8060863175029391</v>
      </c>
      <c r="AJ329" s="6" t="n">
        <v>56.15886694977737</v>
      </c>
      <c r="AK329" s="6" t="n">
        <v>0.05191957475157524</v>
      </c>
      <c r="AL329" s="6" t="n">
        <v>1.009986813432515</v>
      </c>
      <c r="AN329" s="6" t="n">
        <v>1.346637374056797</v>
      </c>
      <c r="AO329" s="6" t="n">
        <v>1.346637374056797</v>
      </c>
      <c r="AP329" s="6" t="n">
        <v>0.1363370743562085</v>
      </c>
      <c r="AQ329" s="6" t="n">
        <v>0</v>
      </c>
      <c r="AR329" s="6" t="n">
        <v>0</v>
      </c>
    </row>
    <row r="330">
      <c r="D330" t="inlineStr">
        <is>
          <t>Run 18</t>
        </is>
      </c>
      <c r="J330" s="6" t="n">
        <v>-2.301318624508477</v>
      </c>
      <c r="K330" s="6" t="n">
        <v>3.91015476873765</v>
      </c>
      <c r="L330" s="6" t="n">
        <v>-1.866925673237682</v>
      </c>
      <c r="M330" s="6" t="n">
        <v>-2.90343029372581</v>
      </c>
      <c r="N330" s="6" t="n">
        <v>-1.654794578789736</v>
      </c>
      <c r="O330" s="6" t="n">
        <v>1.311844380246762</v>
      </c>
      <c r="P330" s="6" t="n">
        <v>1.220946695626781</v>
      </c>
      <c r="Q330" s="6" t="n">
        <v>3.50716664731024</v>
      </c>
      <c r="R330" s="6" t="n">
        <v>0.8371970759531372</v>
      </c>
      <c r="S330" s="6" t="n">
        <v>0.5266012044661581</v>
      </c>
      <c r="T330" s="6" t="n">
        <v>2.047838002670465</v>
      </c>
      <c r="U330" s="6" t="n">
        <v>1.665365224792304</v>
      </c>
      <c r="V330" s="6" t="n">
        <v>-0.8459006340165287</v>
      </c>
      <c r="W330" s="6" t="n">
        <v>-2.149068379642746</v>
      </c>
      <c r="X330" s="6" t="n">
        <v>-0.3717671782223588</v>
      </c>
      <c r="Y330" s="6" t="n">
        <v>1.931938722651264</v>
      </c>
      <c r="Z330" s="6" t="n">
        <v>2.374170361913126</v>
      </c>
      <c r="AA330" s="6" t="n">
        <v>2.134489219402731</v>
      </c>
      <c r="AB330" s="6" t="n">
        <v>1.21652287394452</v>
      </c>
      <c r="AC330" s="6" t="n">
        <v>-0.8330695135478585</v>
      </c>
      <c r="AD330" s="6" t="n">
        <v>1.015482690615376</v>
      </c>
      <c r="AE330" s="6" t="n">
        <v>1.021179947571791</v>
      </c>
      <c r="AF330" s="6" t="n">
        <v>1.219107858837258</v>
      </c>
      <c r="AG330" s="6" t="n">
        <v>-2.18753025165393</v>
      </c>
      <c r="AH330" s="6" t="n">
        <v>1.829594677062929</v>
      </c>
      <c r="AI330" s="6" t="n">
        <v>0.1280051168344337</v>
      </c>
      <c r="AJ330" s="6" t="n">
        <v>77.69204536543637</v>
      </c>
      <c r="AK330" s="6" t="n">
        <v>0.132624116463536</v>
      </c>
      <c r="AL330" s="6" t="n">
        <v>1.092418012213434</v>
      </c>
      <c r="AN330" s="6" t="n">
        <v>1.308428752408789</v>
      </c>
      <c r="AO330" s="6" t="n">
        <v>1.313749091859662</v>
      </c>
      <c r="AP330" s="6" t="n">
        <v>0.1292564502814826</v>
      </c>
      <c r="AQ330" s="6" t="n">
        <v>0</v>
      </c>
      <c r="AR330" s="6" t="n">
        <v>0</v>
      </c>
    </row>
    <row r="331">
      <c r="D331" t="inlineStr">
        <is>
          <t>Run 19</t>
        </is>
      </c>
      <c r="J331" s="6" t="n">
        <v>0.4221894234396428</v>
      </c>
      <c r="K331" s="6" t="n">
        <v>-0.4615257996136594</v>
      </c>
      <c r="L331" s="6" t="n">
        <v>3.115142089039499</v>
      </c>
      <c r="M331" s="6" t="n">
        <v>1.253368115259146</v>
      </c>
      <c r="N331" s="6" t="n">
        <v>-1.932330368673249</v>
      </c>
      <c r="O331" s="6" t="n">
        <v>-5.190976867868451</v>
      </c>
      <c r="P331" s="6" t="n">
        <v>-0.3032967912245481</v>
      </c>
      <c r="Q331" s="6" t="n">
        <v>0.909412288464467</v>
      </c>
      <c r="R331" s="6" t="n">
        <v>-0.08748290669522157</v>
      </c>
      <c r="S331" s="6" t="n">
        <v>0.3955349559692704</v>
      </c>
      <c r="T331" s="6" t="n">
        <v>2.928441560947877</v>
      </c>
      <c r="U331" s="6" t="n">
        <v>2.821003631729755</v>
      </c>
      <c r="V331" s="6" t="n">
        <v>2.355590130617709</v>
      </c>
      <c r="W331" s="6" t="n">
        <v>0.9183617338698433</v>
      </c>
      <c r="X331" s="6" t="n">
        <v>2.013151176485043</v>
      </c>
      <c r="Y331" s="6" t="n">
        <v>0.9182291663672667</v>
      </c>
      <c r="Z331" s="6" t="n">
        <v>2.005962957517089</v>
      </c>
      <c r="AA331" s="6" t="n">
        <v>1.77776830792267</v>
      </c>
      <c r="AB331" s="6" t="n">
        <v>-0.7092643057313229</v>
      </c>
      <c r="AC331" s="6" t="n">
        <v>-1.683383188389808</v>
      </c>
      <c r="AD331" s="6" t="n">
        <v>-0.1660000168915518</v>
      </c>
      <c r="AE331" s="6" t="n">
        <v>-0.1451425994097831</v>
      </c>
      <c r="AF331" s="6" t="n">
        <v>0.6933801587867897</v>
      </c>
      <c r="AG331" s="6" t="n">
        <v>1.861470914528425</v>
      </c>
      <c r="AH331" s="6" t="n">
        <v>0.0621166434842697</v>
      </c>
      <c r="AI331" s="6" t="n">
        <v>-5.005026886638658</v>
      </c>
      <c r="AJ331" s="6" t="n">
        <v>72.32061549675198</v>
      </c>
      <c r="AK331" s="6" t="n">
        <v>0.1473203490729788</v>
      </c>
      <c r="AL331" s="6" t="n">
        <v>1.009458624255322</v>
      </c>
      <c r="AN331" s="6" t="n">
        <v>1.338521643837311</v>
      </c>
      <c r="AO331" s="6" t="n">
        <v>1.347913885628104</v>
      </c>
      <c r="AP331" s="6" t="n">
        <v>0.136478381347879</v>
      </c>
      <c r="AQ331" s="6" t="n">
        <v>0</v>
      </c>
      <c r="AR331" s="6" t="n">
        <v>0</v>
      </c>
    </row>
    <row r="332">
      <c r="D332" t="inlineStr">
        <is>
          <t>Run 20</t>
        </is>
      </c>
      <c r="J332" s="6" t="n">
        <v>-1.189174628472374</v>
      </c>
      <c r="K332" s="6" t="n">
        <v>0.1208324212137691</v>
      </c>
      <c r="L332" s="6" t="n">
        <v>4.817440450691936</v>
      </c>
      <c r="M332" s="6" t="n">
        <v>-0.5254537095171883</v>
      </c>
      <c r="N332" s="6" t="n">
        <v>-2.40689784375464</v>
      </c>
      <c r="O332" s="6" t="n">
        <v>-2.065454179936256</v>
      </c>
      <c r="P332" s="6" t="n">
        <v>-2.270596173793741</v>
      </c>
      <c r="Q332" s="6" t="n">
        <v>1.436493240516384</v>
      </c>
      <c r="R332" s="6" t="n">
        <v>1.430443693348119</v>
      </c>
      <c r="S332" s="6" t="n">
        <v>0.1427650975746947</v>
      </c>
      <c r="T332" s="6" t="n">
        <v>1.081193648538226</v>
      </c>
      <c r="U332" s="6" t="n">
        <v>-0.6961655483949954</v>
      </c>
      <c r="V332" s="6" t="n">
        <v>-0.9092632699275592</v>
      </c>
      <c r="W332" s="6" t="n">
        <v>2.001977237975814</v>
      </c>
      <c r="X332" s="6" t="n">
        <v>1.699132784077792</v>
      </c>
      <c r="Y332" s="6" t="n">
        <v>1.119953927639036</v>
      </c>
      <c r="Z332" s="6" t="n">
        <v>-0.9829814788337478</v>
      </c>
      <c r="AA332" s="6" t="n">
        <v>2.432589446058236</v>
      </c>
      <c r="AB332" s="6" t="n">
        <v>1.613096894297789</v>
      </c>
      <c r="AC332" s="6" t="n">
        <v>-0.3568319181170493</v>
      </c>
      <c r="AD332" s="6" t="n">
        <v>0.3565497613564277</v>
      </c>
      <c r="AE332" s="6" t="n">
        <v>-2.568916031873622</v>
      </c>
      <c r="AF332" s="6" t="n">
        <v>-1.31740276582988</v>
      </c>
      <c r="AG332" s="6" t="n">
        <v>-1.654485928944708</v>
      </c>
      <c r="AH332" s="6" t="n">
        <v>0.3102768474210375</v>
      </c>
      <c r="AI332" s="6" t="n">
        <v>-1.894220141743634</v>
      </c>
      <c r="AJ332" s="6" t="n">
        <v>72.56546117942486</v>
      </c>
      <c r="AK332" s="6" t="n">
        <v>0.07774079972503417</v>
      </c>
      <c r="AL332" s="6" t="n">
        <v>1.047955287211678</v>
      </c>
      <c r="AN332" s="6" t="n">
        <v>1.348220419322331</v>
      </c>
      <c r="AO332" s="6" t="n">
        <v>1.349022109958552</v>
      </c>
      <c r="AP332" s="6" t="n">
        <v>0.133899773585554</v>
      </c>
      <c r="AQ332" s="6" t="n">
        <v>0</v>
      </c>
      <c r="AR332" s="6" t="n">
        <v>0</v>
      </c>
    </row>
    <row r="333">
      <c r="D333" t="inlineStr">
        <is>
          <t>Run 21</t>
        </is>
      </c>
      <c r="J333" s="6" t="n">
        <v>2.692153359243068</v>
      </c>
      <c r="K333" s="6" t="n">
        <v>0.02491329357262466</v>
      </c>
      <c r="L333" s="6" t="n">
        <v>3.541081337665953</v>
      </c>
      <c r="M333" s="6" t="n">
        <v>2.620895195921348</v>
      </c>
      <c r="N333" s="6" t="n">
        <v>-1.147757132048298</v>
      </c>
      <c r="O333" s="6" t="n">
        <v>4.333388017152591</v>
      </c>
      <c r="P333" s="6" t="n">
        <v>1.688874404835893</v>
      </c>
      <c r="Q333" s="6" t="n">
        <v>1.76408387657071</v>
      </c>
      <c r="R333" s="6" t="n">
        <v>-1.041831479377906</v>
      </c>
      <c r="S333" s="6" t="n">
        <v>-3.010224732236204</v>
      </c>
      <c r="T333" s="6" t="n">
        <v>5</v>
      </c>
      <c r="U333" s="6" t="n">
        <v>-1.002238648368476</v>
      </c>
      <c r="V333" s="6" t="n">
        <v>0.005585558608463602</v>
      </c>
      <c r="W333" s="6" t="n">
        <v>-1.069197935855204</v>
      </c>
      <c r="X333" s="6" t="n">
        <v>3.70702453935623</v>
      </c>
      <c r="Y333" s="6" t="n">
        <v>2.701325464792843</v>
      </c>
      <c r="Z333" s="6" t="n">
        <v>-0.574557976613586</v>
      </c>
      <c r="AA333" s="6" t="n">
        <v>-0.07432790652378195</v>
      </c>
      <c r="AB333" s="6" t="n">
        <v>-2.095378848758098</v>
      </c>
      <c r="AC333" s="6" t="n">
        <v>1.231052690335971</v>
      </c>
      <c r="AD333" s="6" t="n">
        <v>1.441431021010246</v>
      </c>
      <c r="AE333" s="6" t="n">
        <v>-1.361703585904255</v>
      </c>
      <c r="AF333" s="6" t="n">
        <v>-0.8767968746831465</v>
      </c>
      <c r="AG333" s="6" t="n">
        <v>-4.028699662327245</v>
      </c>
      <c r="AH333" s="6" t="n">
        <v>1.873409910321391</v>
      </c>
      <c r="AI333" s="6" t="n">
        <v>0.7328321027346014</v>
      </c>
      <c r="AJ333" s="6" t="n">
        <v>63.06448185007858</v>
      </c>
      <c r="AK333" s="6" t="n">
        <v>0.05681631230790277</v>
      </c>
      <c r="AL333" s="6" t="n">
        <v>1.080191233135484</v>
      </c>
      <c r="AN333" s="6" t="n">
        <v>1.336733217636725</v>
      </c>
      <c r="AO333" s="6" t="n">
        <v>1.337516991476851</v>
      </c>
      <c r="AP333" s="6" t="n">
        <v>0.1311382980352465</v>
      </c>
      <c r="AQ333" s="6" t="n">
        <v>0</v>
      </c>
      <c r="AR333" s="6" t="n">
        <v>0</v>
      </c>
    </row>
    <row r="334">
      <c r="D334" t="inlineStr">
        <is>
          <t>Run 22</t>
        </is>
      </c>
      <c r="J334" s="6" t="n">
        <v>-3.508640659710874</v>
      </c>
      <c r="K334" s="6" t="n">
        <v>0.4625291094670361</v>
      </c>
      <c r="L334" s="6" t="n">
        <v>-4.190355258482199</v>
      </c>
      <c r="M334" s="6" t="n">
        <v>0.6217061219059149</v>
      </c>
      <c r="N334" s="6" t="n">
        <v>-0.04839278397291504</v>
      </c>
      <c r="O334" s="6" t="n">
        <v>3.679605233149716</v>
      </c>
      <c r="P334" s="6" t="n">
        <v>0.6844637776982581</v>
      </c>
      <c r="Q334" s="6" t="n">
        <v>1.644703047606334</v>
      </c>
      <c r="R334" s="6" t="n">
        <v>0.2077957390858288</v>
      </c>
      <c r="S334" s="6" t="n">
        <v>0.7956516547704285</v>
      </c>
      <c r="T334" s="6" t="n">
        <v>-0.1304492041779142</v>
      </c>
      <c r="U334" s="6" t="n">
        <v>-1.84211737705388</v>
      </c>
      <c r="V334" s="6" t="n">
        <v>1.924517496142877</v>
      </c>
      <c r="W334" s="6" t="n">
        <v>1.797507453178219</v>
      </c>
      <c r="X334" s="6" t="n">
        <v>-1.024195738113093</v>
      </c>
      <c r="Y334" s="6" t="n">
        <v>-4.288006060544185</v>
      </c>
      <c r="Z334" s="6" t="n">
        <v>-0.7846224703371025</v>
      </c>
      <c r="AA334" s="6" t="n">
        <v>-0.508388431484722</v>
      </c>
      <c r="AB334" s="6" t="n">
        <v>0.5349409431763296</v>
      </c>
      <c r="AC334" s="6" t="n">
        <v>-4.956756998789064</v>
      </c>
      <c r="AD334" s="6" t="n">
        <v>-1.239296375303667</v>
      </c>
      <c r="AE334" s="6" t="n">
        <v>-0.5846876346520898</v>
      </c>
      <c r="AF334" s="6" t="n">
        <v>1.418471644437078</v>
      </c>
      <c r="AG334" s="6" t="n">
        <v>-1.208439445305538</v>
      </c>
      <c r="AH334" s="6" t="n">
        <v>-3.613186121742016</v>
      </c>
      <c r="AI334" s="6" t="n">
        <v>-2.600611915507149</v>
      </c>
      <c r="AJ334" s="6" t="n">
        <v>81.15300885363538</v>
      </c>
      <c r="AK334" s="6" t="n">
        <v>0.08509375523218969</v>
      </c>
      <c r="AL334" s="6" t="n">
        <v>1.044633449403629</v>
      </c>
      <c r="AN334" s="6" t="n">
        <v>1.354124799687046</v>
      </c>
      <c r="AO334" s="6" t="n">
        <v>1.355428354595454</v>
      </c>
      <c r="AP334" s="6" t="n">
        <v>0.1343684593526724</v>
      </c>
      <c r="AQ334" s="6" t="n">
        <v>0</v>
      </c>
      <c r="AR334" s="6" t="n">
        <v>0</v>
      </c>
    </row>
    <row r="335">
      <c r="D335" t="inlineStr">
        <is>
          <t>Run 23</t>
        </is>
      </c>
      <c r="J335" s="6" t="n">
        <v>0.260367143232822</v>
      </c>
      <c r="K335" s="6" t="n">
        <v>-1.002912244553129</v>
      </c>
      <c r="L335" s="6" t="n">
        <v>1.228144922055062</v>
      </c>
      <c r="M335" s="6" t="n">
        <v>2.583108754421899</v>
      </c>
      <c r="N335" s="6" t="n">
        <v>-1.949701539904646</v>
      </c>
      <c r="O335" s="6" t="n">
        <v>-1.99163707933437</v>
      </c>
      <c r="P335" s="6" t="n">
        <v>-0.5132406949026725</v>
      </c>
      <c r="Q335" s="6" t="n">
        <v>1.7041304332804</v>
      </c>
      <c r="R335" s="6" t="n">
        <v>-1.363476180885358</v>
      </c>
      <c r="S335" s="6" t="n">
        <v>-1.443227426100399</v>
      </c>
      <c r="T335" s="6" t="n">
        <v>-0.7919899449357168</v>
      </c>
      <c r="U335" s="6" t="n">
        <v>2.867899813713336</v>
      </c>
      <c r="V335" s="6" t="n">
        <v>-2.976590373406929</v>
      </c>
      <c r="W335" s="6" t="n">
        <v>3.820388260132471</v>
      </c>
      <c r="X335" s="6" t="n">
        <v>0.4052078301705348</v>
      </c>
      <c r="Y335" s="6" t="n">
        <v>3.880177490398607</v>
      </c>
      <c r="Z335" s="6" t="n">
        <v>1.75839257372388</v>
      </c>
      <c r="AA335" s="6" t="n">
        <v>2.764720662324667</v>
      </c>
      <c r="AB335" s="6" t="n">
        <v>1.79276693341472</v>
      </c>
      <c r="AC335" s="6" t="n">
        <v>0.7145033822668013</v>
      </c>
      <c r="AD335" s="6" t="n">
        <v>-0.1241057551294108</v>
      </c>
      <c r="AE335" s="6" t="n">
        <v>2.89422315144085</v>
      </c>
      <c r="AF335" s="6" t="n">
        <v>1.408861330767416</v>
      </c>
      <c r="AG335" s="6" t="n">
        <v>2.755045887354414</v>
      </c>
      <c r="AH335" s="6" t="n">
        <v>-0.9291886219547612</v>
      </c>
      <c r="AI335" s="6" t="n">
        <v>1.531000208125567</v>
      </c>
      <c r="AJ335" s="6" t="n">
        <v>81.19722555829101</v>
      </c>
      <c r="AK335" s="6" t="n">
        <v>0.1160062381107154</v>
      </c>
      <c r="AL335" s="6" t="n">
        <v>1.094729117074863</v>
      </c>
      <c r="AN335" s="6" t="n">
        <v>1.336395397740432</v>
      </c>
      <c r="AO335" s="6" t="n">
        <v>1.336923529783003</v>
      </c>
      <c r="AP335" s="6" t="n">
        <v>0.1301279442182323</v>
      </c>
      <c r="AQ335" s="6" t="n">
        <v>0</v>
      </c>
      <c r="AR335" s="6" t="n">
        <v>0</v>
      </c>
    </row>
    <row r="336">
      <c r="D336" t="inlineStr">
        <is>
          <t>Run 24</t>
        </is>
      </c>
      <c r="J336" s="6" t="n">
        <v>0.7338369465126598</v>
      </c>
      <c r="K336" s="6" t="n">
        <v>0.5633798256624569</v>
      </c>
      <c r="L336" s="6" t="n">
        <v>-1.04388656544919</v>
      </c>
      <c r="M336" s="6" t="n">
        <v>-1.017529855284301</v>
      </c>
      <c r="N336" s="6" t="n">
        <v>-0.6354939224010578</v>
      </c>
      <c r="O336" s="6" t="n">
        <v>4.688516749178889</v>
      </c>
      <c r="P336" s="6" t="n">
        <v>-0.4802267032555068</v>
      </c>
      <c r="Q336" s="6" t="n">
        <v>2.242530343725903</v>
      </c>
      <c r="R336" s="6" t="n">
        <v>-3.031277347650561</v>
      </c>
      <c r="S336" s="6" t="n">
        <v>2.362421569388269</v>
      </c>
      <c r="T336" s="6" t="n">
        <v>-0.3056857032486504</v>
      </c>
      <c r="U336" s="6" t="n">
        <v>-1.997497269212308</v>
      </c>
      <c r="V336" s="6" t="n">
        <v>1.112635516683478</v>
      </c>
      <c r="W336" s="6" t="n">
        <v>-0.4898445092912522</v>
      </c>
      <c r="X336" s="6" t="n">
        <v>2.098661325175542</v>
      </c>
      <c r="Y336" s="6" t="n">
        <v>3.167852778302341</v>
      </c>
      <c r="Z336" s="6" t="n">
        <v>2.716074867328591</v>
      </c>
      <c r="AA336" s="6" t="n">
        <v>-0.02790571021996717</v>
      </c>
      <c r="AB336" s="6" t="n">
        <v>-0.5265020044116622</v>
      </c>
      <c r="AC336" s="6" t="n">
        <v>2.570679458593761</v>
      </c>
      <c r="AD336" s="6" t="n">
        <v>1.380091293002568</v>
      </c>
      <c r="AE336" s="6" t="n">
        <v>2.257481578029627</v>
      </c>
      <c r="AF336" s="6" t="n">
        <v>-5.035122906934575</v>
      </c>
      <c r="AG336" s="6" t="n">
        <v>-0.7077118209309583</v>
      </c>
      <c r="AH336" s="6" t="n">
        <v>0.06474810984116611</v>
      </c>
      <c r="AI336" s="6" t="n">
        <v>1.437075910240355</v>
      </c>
      <c r="AJ336" s="6" t="n">
        <v>67.53672868413408</v>
      </c>
      <c r="AK336" s="6" t="n">
        <v>0.1146096032833125</v>
      </c>
      <c r="AL336" s="6" t="n">
        <v>1.075878384825373</v>
      </c>
      <c r="AN336" s="6" t="n">
        <v>1.335656858831045</v>
      </c>
      <c r="AO336" s="6" t="n">
        <v>1.335899691029721</v>
      </c>
      <c r="AP336" s="6" t="n">
        <v>0.1304109920365356</v>
      </c>
      <c r="AQ336" s="6" t="n">
        <v>0</v>
      </c>
      <c r="AR336" s="6" t="n">
        <v>0</v>
      </c>
    </row>
    <row r="337">
      <c r="D337" t="inlineStr">
        <is>
          <t>Run 25</t>
        </is>
      </c>
      <c r="J337" s="6" t="n">
        <v>-4.676760525805537</v>
      </c>
      <c r="K337" s="6" t="n">
        <v>-1.46741506720971</v>
      </c>
      <c r="L337" s="6" t="n">
        <v>-2.875025105812365</v>
      </c>
      <c r="M337" s="6" t="n">
        <v>-2.851765612574811</v>
      </c>
      <c r="N337" s="6" t="n">
        <v>0.4041716377160466</v>
      </c>
      <c r="O337" s="6" t="n">
        <v>-1.658748237917469</v>
      </c>
      <c r="P337" s="6" t="n">
        <v>0.5874731585211709</v>
      </c>
      <c r="Q337" s="6" t="n">
        <v>0.8745381755611402</v>
      </c>
      <c r="R337" s="6" t="n">
        <v>0.07438869729944125</v>
      </c>
      <c r="S337" s="6" t="n">
        <v>0.1384049618211457</v>
      </c>
      <c r="T337" s="6" t="n">
        <v>3.093790811013791</v>
      </c>
      <c r="U337" s="6" t="n">
        <v>-0.1730175431419189</v>
      </c>
      <c r="V337" s="6" t="n">
        <v>-1.190118752481774</v>
      </c>
      <c r="W337" s="6" t="n">
        <v>0.1777474843930127</v>
      </c>
      <c r="X337" s="6" t="n">
        <v>-1.744638013859392</v>
      </c>
      <c r="Y337" s="6" t="n">
        <v>3.427539692971997</v>
      </c>
      <c r="Z337" s="6" t="n">
        <v>-2.653882786218352</v>
      </c>
      <c r="AA337" s="6" t="n">
        <v>-1.856835746647333</v>
      </c>
      <c r="AB337" s="6" t="n">
        <v>1.199769845291033</v>
      </c>
      <c r="AC337" s="6" t="n">
        <v>-0.9017721514903598</v>
      </c>
      <c r="AD337" s="6" t="n">
        <v>-1.329250337979428</v>
      </c>
      <c r="AE337" s="6" t="n">
        <v>1.766400982414844</v>
      </c>
      <c r="AF337" s="6" t="n">
        <v>-0.5613441988092752</v>
      </c>
      <c r="AG337" s="6" t="n">
        <v>-0.8095808737503246</v>
      </c>
      <c r="AH337" s="6" t="n">
        <v>0.8490849074955009</v>
      </c>
      <c r="AI337" s="6" t="n">
        <v>3.197800106415698</v>
      </c>
      <c r="AJ337" s="6" t="n">
        <v>67.24373935208997</v>
      </c>
      <c r="AK337" s="6" t="n">
        <v>0.1771872130158782</v>
      </c>
      <c r="AL337" s="6" t="n">
        <v>1.062688988895845</v>
      </c>
      <c r="AN337" s="6" t="n">
        <v>1.310190809113298</v>
      </c>
      <c r="AO337" s="6" t="n">
        <v>1.319992635680893</v>
      </c>
      <c r="AP337" s="6" t="n">
        <v>0.1297389069689168</v>
      </c>
      <c r="AQ337" s="6" t="n">
        <v>0</v>
      </c>
      <c r="AR337" s="6" t="n">
        <v>0</v>
      </c>
    </row>
    <row r="338">
      <c r="D338" t="inlineStr">
        <is>
          <t>Run 26</t>
        </is>
      </c>
      <c r="J338" s="6" t="n">
        <v>-2.58209294451289</v>
      </c>
      <c r="K338" s="6" t="n">
        <v>3.236861746086512</v>
      </c>
      <c r="L338" s="6" t="n">
        <v>0.4923175099633043</v>
      </c>
      <c r="M338" s="6" t="n">
        <v>2.202030673412963</v>
      </c>
      <c r="N338" s="6" t="n">
        <v>0.3046724787906167</v>
      </c>
      <c r="O338" s="6" t="n">
        <v>1.809310862931024</v>
      </c>
      <c r="P338" s="6" t="n">
        <v>0.744768018452917</v>
      </c>
      <c r="Q338" s="6" t="n">
        <v>-1.701814226969903</v>
      </c>
      <c r="R338" s="6" t="n">
        <v>0.2132256652965546</v>
      </c>
      <c r="S338" s="6" t="n">
        <v>2.141054142464376</v>
      </c>
      <c r="T338" s="6" t="n">
        <v>-4.704459526142012</v>
      </c>
      <c r="U338" s="6" t="n">
        <v>0.8114558754267583</v>
      </c>
      <c r="V338" s="6" t="n">
        <v>0.1326497364480857</v>
      </c>
      <c r="W338" s="6" t="n">
        <v>0.1015306161604562</v>
      </c>
      <c r="X338" s="6" t="n">
        <v>3.083156851840895</v>
      </c>
      <c r="Y338" s="6" t="n">
        <v>0.07015356113719706</v>
      </c>
      <c r="Z338" s="6" t="n">
        <v>1.479239513766752</v>
      </c>
      <c r="AA338" s="6" t="n">
        <v>-2.026593305063088</v>
      </c>
      <c r="AB338" s="6" t="n">
        <v>0.507478163801928</v>
      </c>
      <c r="AC338" s="6" t="n">
        <v>-0.4392766019517098</v>
      </c>
      <c r="AD338" s="6" t="n">
        <v>-2.205289429576669</v>
      </c>
      <c r="AE338" s="6" t="n">
        <v>0.8168333131970364</v>
      </c>
      <c r="AF338" s="6" t="n">
        <v>-1.718021451692052</v>
      </c>
      <c r="AG338" s="6" t="n">
        <v>-1.581396801195583</v>
      </c>
      <c r="AH338" s="6" t="n">
        <v>2.012195390242127</v>
      </c>
      <c r="AI338" s="6" t="n">
        <v>-2.82147921838438</v>
      </c>
      <c r="AJ338" s="6" t="n">
        <v>82.04860407413547</v>
      </c>
      <c r="AK338" s="6" t="n">
        <v>0.1662119679713608</v>
      </c>
      <c r="AL338" s="6" t="n">
        <v>1.004854768754363</v>
      </c>
      <c r="AN338" s="6" t="n">
        <v>1.361961667771789</v>
      </c>
      <c r="AO338" s="6" t="n">
        <v>1.3621917701897</v>
      </c>
      <c r="AP338" s="6" t="n">
        <v>0.1378001006667893</v>
      </c>
      <c r="AQ338" s="6" t="n">
        <v>0</v>
      </c>
      <c r="AR338" s="6" t="n">
        <v>0</v>
      </c>
    </row>
    <row r="339">
      <c r="D339" t="inlineStr">
        <is>
          <t>Run 27</t>
        </is>
      </c>
      <c r="J339" s="6" t="n">
        <v>1.222981903963848</v>
      </c>
      <c r="K339" s="6" t="n">
        <v>0.9282907218422733</v>
      </c>
      <c r="L339" s="6" t="n">
        <v>3.10536146788129</v>
      </c>
      <c r="M339" s="6" t="n">
        <v>-0.5277672619972519</v>
      </c>
      <c r="N339" s="6" t="n">
        <v>-1.191119311007715</v>
      </c>
      <c r="O339" s="6" t="n">
        <v>0.3745021233743197</v>
      </c>
      <c r="P339" s="6" t="n">
        <v>-1.628809938260593</v>
      </c>
      <c r="Q339" s="6" t="n">
        <v>1.550072249788475</v>
      </c>
      <c r="R339" s="6" t="n">
        <v>-1.013864718698283</v>
      </c>
      <c r="S339" s="6" t="n">
        <v>-0.2844780631460403</v>
      </c>
      <c r="T339" s="6" t="n">
        <v>0.6695383457016276</v>
      </c>
      <c r="U339" s="6" t="n">
        <v>-0.3416807086360633</v>
      </c>
      <c r="V339" s="6" t="n">
        <v>0.9140366113773924</v>
      </c>
      <c r="W339" s="6" t="n">
        <v>2.527376855134375</v>
      </c>
      <c r="X339" s="6" t="n">
        <v>4.469741279721608</v>
      </c>
      <c r="Y339" s="6" t="n">
        <v>0.7845619453754007</v>
      </c>
      <c r="Z339" s="6" t="n">
        <v>-1.41236483144719</v>
      </c>
      <c r="AA339" s="6" t="n">
        <v>-4.875032855814217</v>
      </c>
      <c r="AB339" s="6" t="n">
        <v>1.657794484408476</v>
      </c>
      <c r="AC339" s="6" t="n">
        <v>-1.072301651258864</v>
      </c>
      <c r="AD339" s="6" t="n">
        <v>1.028801968353342</v>
      </c>
      <c r="AE339" s="6" t="n">
        <v>0.009764484956781961</v>
      </c>
      <c r="AF339" s="6" t="n">
        <v>-3.269886836392932</v>
      </c>
      <c r="AG339" s="6" t="n">
        <v>-1.74202412715309</v>
      </c>
      <c r="AH339" s="6" t="n">
        <v>0.4083769657461752</v>
      </c>
      <c r="AI339" s="6" t="n">
        <v>2.819693990207707</v>
      </c>
      <c r="AJ339" s="6" t="n">
        <v>77.07296992537854</v>
      </c>
      <c r="AK339" s="6" t="n">
        <v>0.1695433012155779</v>
      </c>
      <c r="AL339" s="6" t="n">
        <v>1.072535352247873</v>
      </c>
      <c r="AN339" s="6" t="n">
        <v>1.334679622543307</v>
      </c>
      <c r="AO339" s="6" t="n">
        <v>1.33476495363817</v>
      </c>
      <c r="AP339" s="6" t="n">
        <v>0.1298061459907985</v>
      </c>
      <c r="AQ339" s="6" t="n">
        <v>0</v>
      </c>
      <c r="AR339" s="6" t="n">
        <v>0</v>
      </c>
    </row>
    <row r="340">
      <c r="D340" t="inlineStr">
        <is>
          <t>Run 28</t>
        </is>
      </c>
      <c r="J340" s="6" t="n">
        <v>-0.003634193649115538</v>
      </c>
      <c r="K340" s="6" t="n">
        <v>-0.1177554450071384</v>
      </c>
      <c r="L340" s="6" t="n">
        <v>0.1697765002768442</v>
      </c>
      <c r="M340" s="6" t="n">
        <v>-3.012138711847979</v>
      </c>
      <c r="N340" s="6" t="n">
        <v>1.593714181406003</v>
      </c>
      <c r="O340" s="6" t="n">
        <v>1.067923527756302</v>
      </c>
      <c r="P340" s="6" t="n">
        <v>2.349797255599109</v>
      </c>
      <c r="Q340" s="6" t="n">
        <v>0.802171530463053</v>
      </c>
      <c r="R340" s="6" t="n">
        <v>-0.798213482244688</v>
      </c>
      <c r="S340" s="6" t="n">
        <v>-2.016823358975822</v>
      </c>
      <c r="T340" s="6" t="n">
        <v>-2.081782616004078</v>
      </c>
      <c r="U340" s="6" t="n">
        <v>1.180616323584612</v>
      </c>
      <c r="V340" s="6" t="n">
        <v>2.12434096099051</v>
      </c>
      <c r="W340" s="6" t="n">
        <v>2.666353189262581</v>
      </c>
      <c r="X340" s="6" t="n">
        <v>-0.3662081803032436</v>
      </c>
      <c r="Y340" s="6" t="n">
        <v>1.643495948110568</v>
      </c>
      <c r="Z340" s="6" t="n">
        <v>0.3994555061440522</v>
      </c>
      <c r="AA340" s="6" t="n">
        <v>-1.226363659325787</v>
      </c>
      <c r="AB340" s="6" t="n">
        <v>1.075352433960906</v>
      </c>
      <c r="AC340" s="6" t="n">
        <v>-1.776938066816017</v>
      </c>
      <c r="AD340" s="6" t="n">
        <v>0.09871793657451473</v>
      </c>
      <c r="AE340" s="6" t="n">
        <v>-0.4372455029047317</v>
      </c>
      <c r="AF340" s="6" t="n">
        <v>1.077824869008385</v>
      </c>
      <c r="AG340" s="6" t="n">
        <v>4.372176710206741</v>
      </c>
      <c r="AH340" s="6" t="n">
        <v>1.378101293747152</v>
      </c>
      <c r="AI340" s="6" t="n">
        <v>2.175948517599179</v>
      </c>
      <c r="AJ340" s="6" t="n">
        <v>81.70377342338293</v>
      </c>
      <c r="AK340" s="6" t="n">
        <v>0.1360497237139967</v>
      </c>
      <c r="AL340" s="6" t="n">
        <v>1.037392605044698</v>
      </c>
      <c r="AN340" s="6" t="n">
        <v>1.323764667025438</v>
      </c>
      <c r="AO340" s="6" t="n">
        <v>1.335230761344793</v>
      </c>
      <c r="AP340" s="6" t="n">
        <v>0.1338262668919344</v>
      </c>
      <c r="AQ340" s="6" t="n">
        <v>0</v>
      </c>
      <c r="AR340" s="6" t="n">
        <v>0</v>
      </c>
    </row>
    <row r="341">
      <c r="D341" t="inlineStr">
        <is>
          <t>Run 29</t>
        </is>
      </c>
      <c r="J341" s="6" t="n">
        <v>-0.1204574882944815</v>
      </c>
      <c r="K341" s="6" t="n">
        <v>0.3221904249249511</v>
      </c>
      <c r="L341" s="6" t="n">
        <v>2.272554712228755</v>
      </c>
      <c r="M341" s="6" t="n">
        <v>-2.65316304433259</v>
      </c>
      <c r="N341" s="6" t="n">
        <v>-0.06863175384384648</v>
      </c>
      <c r="O341" s="6" t="n">
        <v>-1.247462448101908</v>
      </c>
      <c r="P341" s="6" t="n">
        <v>0.3048037803859318</v>
      </c>
      <c r="Q341" s="6" t="n">
        <v>-0.6684191153679609</v>
      </c>
      <c r="R341" s="6" t="n">
        <v>-1.988851571879462</v>
      </c>
      <c r="S341" s="6" t="n">
        <v>-1.574273534342807</v>
      </c>
      <c r="T341" s="6" t="n">
        <v>-2.348938168067564</v>
      </c>
      <c r="U341" s="6" t="n">
        <v>-1.504344314218629</v>
      </c>
      <c r="V341" s="6" t="n">
        <v>1.174999038774718</v>
      </c>
      <c r="W341" s="6" t="n">
        <v>0.3721657351133902</v>
      </c>
      <c r="X341" s="6" t="n">
        <v>1.701943894944023</v>
      </c>
      <c r="Y341" s="6" t="n">
        <v>-2.170257730038122</v>
      </c>
      <c r="Z341" s="6" t="n">
        <v>3.141139197118561</v>
      </c>
      <c r="AA341" s="6" t="n">
        <v>3.283102662105682</v>
      </c>
      <c r="AB341" s="6" t="n">
        <v>2.89982309974789</v>
      </c>
      <c r="AC341" s="6" t="n">
        <v>-0.4620112185348073</v>
      </c>
      <c r="AD341" s="6" t="n">
        <v>-1.416779915431116</v>
      </c>
      <c r="AE341" s="6" t="n">
        <v>0.3120778498268114</v>
      </c>
      <c r="AF341" s="6" t="n">
        <v>0.461283889833501</v>
      </c>
      <c r="AG341" s="6" t="n">
        <v>-1.309897271636967</v>
      </c>
      <c r="AH341" s="6" t="n">
        <v>-2.283445651045279</v>
      </c>
      <c r="AI341" s="6" t="n">
        <v>0.3263054712760565</v>
      </c>
      <c r="AJ341" s="6" t="n">
        <v>81.06597761431587</v>
      </c>
      <c r="AK341" s="6" t="n">
        <v>0.04164827745440276</v>
      </c>
      <c r="AL341" s="6" t="n">
        <v>1.038384251075525</v>
      </c>
      <c r="AN341" s="6" t="n">
        <v>1.335232633186642</v>
      </c>
      <c r="AO341" s="6" t="n">
        <v>1.344814811577942</v>
      </c>
      <c r="AP341" s="6" t="n">
        <v>0.1359052736319525</v>
      </c>
      <c r="AQ341" s="6" t="n">
        <v>0</v>
      </c>
      <c r="AR341" s="6" t="n">
        <v>0</v>
      </c>
    </row>
    <row r="342">
      <c r="D342" t="inlineStr">
        <is>
          <t>Run 30</t>
        </is>
      </c>
      <c r="J342" s="6" t="n">
        <v>3.13898248937265</v>
      </c>
      <c r="K342" s="6" t="n">
        <v>-0.1377890588147515</v>
      </c>
      <c r="L342" s="6" t="n">
        <v>0.9158209186271432</v>
      </c>
      <c r="M342" s="6" t="n">
        <v>0.2904111333478964</v>
      </c>
      <c r="N342" s="6" t="n">
        <v>-0.03682956917612964</v>
      </c>
      <c r="O342" s="6" t="n">
        <v>-1.175308069688302</v>
      </c>
      <c r="P342" s="6" t="n">
        <v>0.2459570959862804</v>
      </c>
      <c r="Q342" s="6" t="n">
        <v>-2.08259846956483</v>
      </c>
      <c r="R342" s="6" t="n">
        <v>-4.262641622447087</v>
      </c>
      <c r="S342" s="6" t="n">
        <v>-2.318206851448855</v>
      </c>
      <c r="T342" s="6" t="n">
        <v>-2.336612373440348</v>
      </c>
      <c r="U342" s="6" t="n">
        <v>2.444007735282766</v>
      </c>
      <c r="V342" s="6" t="n">
        <v>1.011509080647633</v>
      </c>
      <c r="W342" s="6" t="n">
        <v>-0.8565562488932689</v>
      </c>
      <c r="X342" s="6" t="n">
        <v>0.7705028939105097</v>
      </c>
      <c r="Y342" s="6" t="n">
        <v>5</v>
      </c>
      <c r="Z342" s="6" t="n">
        <v>1.998755590562072</v>
      </c>
      <c r="AA342" s="6" t="n">
        <v>-1.666667775402619</v>
      </c>
      <c r="AB342" s="6" t="n">
        <v>-2.850439791006099</v>
      </c>
      <c r="AC342" s="6" t="n">
        <v>-0.1325770328734354</v>
      </c>
      <c r="AD342" s="6" t="n">
        <v>1.975984524087233</v>
      </c>
      <c r="AE342" s="6" t="n">
        <v>-2.85167510914437</v>
      </c>
      <c r="AF342" s="6" t="n">
        <v>0.4464133051891347</v>
      </c>
      <c r="AG342" s="6" t="n">
        <v>-2.024652050819508</v>
      </c>
      <c r="AH342" s="6" t="n">
        <v>-0.6745730707998787</v>
      </c>
      <c r="AI342" s="6" t="n">
        <v>-1.481419740064008</v>
      </c>
      <c r="AJ342" s="6" t="n">
        <v>72.41639241672732</v>
      </c>
      <c r="AK342" s="6" t="n">
        <v>0.09874507637010335</v>
      </c>
      <c r="AL342" s="6" t="n">
        <v>1.062017389078601</v>
      </c>
      <c r="AN342" s="6" t="n">
        <v>1.345126595368013</v>
      </c>
      <c r="AO342" s="6" t="n">
        <v>1.345291311773422</v>
      </c>
      <c r="AP342" s="6" t="n">
        <v>0.1317523723200318</v>
      </c>
      <c r="AQ342" s="6" t="n">
        <v>0</v>
      </c>
      <c r="AR342" s="6" t="n">
        <v>0</v>
      </c>
    </row>
    <row r="343">
      <c r="D343" t="inlineStr">
        <is>
          <t>Run 31</t>
        </is>
      </c>
      <c r="J343" s="6" t="n">
        <v>-0.2739415348826263</v>
      </c>
      <c r="K343" s="6" t="n">
        <v>1.465127657081363</v>
      </c>
      <c r="L343" s="6" t="n">
        <v>-1.502076426207074</v>
      </c>
      <c r="M343" s="6" t="n">
        <v>0.009600629548084867</v>
      </c>
      <c r="N343" s="6" t="n">
        <v>-0.8544664747803028</v>
      </c>
      <c r="O343" s="6" t="n">
        <v>-1.066540455505461</v>
      </c>
      <c r="P343" s="6" t="n">
        <v>1.311656724743294</v>
      </c>
      <c r="Q343" s="6" t="n">
        <v>-0.09729835701697859</v>
      </c>
      <c r="R343" s="6" t="n">
        <v>-2.25392135423659</v>
      </c>
      <c r="S343" s="6" t="n">
        <v>-0.2041647995232325</v>
      </c>
      <c r="T343" s="6" t="n">
        <v>-0.008953171195516321</v>
      </c>
      <c r="U343" s="6" t="n">
        <v>1.696044508025172</v>
      </c>
      <c r="V343" s="6" t="n">
        <v>-1.161326625477172</v>
      </c>
      <c r="W343" s="6" t="n">
        <v>2.447193703874502</v>
      </c>
      <c r="X343" s="6" t="n">
        <v>-0.5476245754862247</v>
      </c>
      <c r="Y343" s="6" t="n">
        <v>-0.2201750941499343</v>
      </c>
      <c r="Z343" s="6" t="n">
        <v>-0.2092764054818151</v>
      </c>
      <c r="AA343" s="6" t="n">
        <v>2.375415788272937</v>
      </c>
      <c r="AB343" s="6" t="n">
        <v>2.105219941023404</v>
      </c>
      <c r="AC343" s="6" t="n">
        <v>0.5237455042610705</v>
      </c>
      <c r="AD343" s="6" t="n">
        <v>-0.09361887358714541</v>
      </c>
      <c r="AE343" s="6" t="n">
        <v>-2.865080637704522</v>
      </c>
      <c r="AF343" s="6" t="n">
        <v>2.648234236011285</v>
      </c>
      <c r="AG343" s="6" t="n">
        <v>-0.7364854278148564</v>
      </c>
      <c r="AH343" s="6" t="n">
        <v>-3.057905485135717</v>
      </c>
      <c r="AI343" s="6" t="n">
        <v>2.831840507051894</v>
      </c>
      <c r="AJ343" s="6" t="n">
        <v>76.21456873980523</v>
      </c>
      <c r="AK343" s="6" t="n">
        <v>0.1335731853456698</v>
      </c>
      <c r="AL343" s="6" t="n">
        <v>1.053702979326057</v>
      </c>
      <c r="AN343" s="6" t="n">
        <v>1.347163584152673</v>
      </c>
      <c r="AO343" s="6" t="n">
        <v>1.347730841073924</v>
      </c>
      <c r="AP343" s="6" t="n">
        <v>0.1320900535142659</v>
      </c>
      <c r="AQ343" s="6" t="n">
        <v>0</v>
      </c>
      <c r="AR343" s="6" t="n">
        <v>0</v>
      </c>
    </row>
    <row r="344">
      <c r="D344" t="inlineStr">
        <is>
          <t>Run 32</t>
        </is>
      </c>
      <c r="J344" s="6" t="n">
        <v>1.676517458391658</v>
      </c>
      <c r="K344" s="6" t="n">
        <v>2.923822188846858</v>
      </c>
      <c r="L344" s="6" t="n">
        <v>-1.745618366562276</v>
      </c>
      <c r="M344" s="6" t="n">
        <v>-1.072683359027676</v>
      </c>
      <c r="N344" s="6" t="n">
        <v>-4.203612385466539</v>
      </c>
      <c r="O344" s="6" t="n">
        <v>0.2843036038028446</v>
      </c>
      <c r="P344" s="6" t="n">
        <v>0.532645723097089</v>
      </c>
      <c r="Q344" s="6" t="n">
        <v>1.543580168360423</v>
      </c>
      <c r="R344" s="6" t="n">
        <v>-2.158442284568701</v>
      </c>
      <c r="S344" s="6" t="n">
        <v>0.01235994565681162</v>
      </c>
      <c r="T344" s="6" t="n">
        <v>3.049281825836636</v>
      </c>
      <c r="U344" s="6" t="n">
        <v>0.6782008083770926</v>
      </c>
      <c r="V344" s="6" t="n">
        <v>-0.374647755459664</v>
      </c>
      <c r="W344" s="6" t="n">
        <v>-0.1723925525869484</v>
      </c>
      <c r="X344" s="6" t="n">
        <v>2.54015716700835</v>
      </c>
      <c r="Y344" s="6" t="n">
        <v>-0.4825695526441276</v>
      </c>
      <c r="Z344" s="6" t="n">
        <v>-1.076175587443599</v>
      </c>
      <c r="AA344" s="6" t="n">
        <v>2.025260634522531</v>
      </c>
      <c r="AB344" s="6" t="n">
        <v>1.203648475533768</v>
      </c>
      <c r="AC344" s="6" t="n">
        <v>0.09472535405848252</v>
      </c>
      <c r="AD344" s="6" t="n">
        <v>-1.785764089084383</v>
      </c>
      <c r="AE344" s="6" t="n">
        <v>-0.006476654900089628</v>
      </c>
      <c r="AF344" s="6" t="n">
        <v>-1.564027928974512</v>
      </c>
      <c r="AG344" s="6" t="n">
        <v>-1.343050956496283</v>
      </c>
      <c r="AH344" s="6" t="n">
        <v>2.821187860215382</v>
      </c>
      <c r="AI344" s="6" t="n">
        <v>-3.816555406253932</v>
      </c>
      <c r="AJ344" s="6" t="n">
        <v>71.8571388247058</v>
      </c>
      <c r="AK344" s="6" t="n">
        <v>0.1636694450926167</v>
      </c>
      <c r="AL344" s="6" t="n">
        <v>1.052093417557193</v>
      </c>
      <c r="AN344" s="6" t="n">
        <v>1.339670350149105</v>
      </c>
      <c r="AO344" s="6" t="n">
        <v>1.340007706374176</v>
      </c>
      <c r="AP344" s="6" t="n">
        <v>0.1312064095436127</v>
      </c>
      <c r="AQ344" s="6" t="n">
        <v>0</v>
      </c>
      <c r="AR344" s="6" t="n">
        <v>0</v>
      </c>
    </row>
    <row r="345">
      <c r="D345" t="inlineStr">
        <is>
          <t>Run 33</t>
        </is>
      </c>
      <c r="J345" s="6" t="n">
        <v>1.406774970439552</v>
      </c>
      <c r="K345" s="6" t="n">
        <v>-2.079791526164427</v>
      </c>
      <c r="L345" s="6" t="n">
        <v>-0.8001777450610928</v>
      </c>
      <c r="M345" s="6" t="n">
        <v>2.090978652977637</v>
      </c>
      <c r="N345" s="6" t="n">
        <v>-0.2113077568138717</v>
      </c>
      <c r="O345" s="6" t="n">
        <v>1.332597486453274</v>
      </c>
      <c r="P345" s="6" t="n">
        <v>-1.849105201177363</v>
      </c>
      <c r="Q345" s="6" t="n">
        <v>-1.747334195515456</v>
      </c>
      <c r="R345" s="6" t="n">
        <v>-1.20750956612099</v>
      </c>
      <c r="S345" s="6" t="n">
        <v>-0.5619397611927317</v>
      </c>
      <c r="T345" s="6" t="n">
        <v>1.637156337870273</v>
      </c>
      <c r="U345" s="6" t="n">
        <v>1.775811444027823</v>
      </c>
      <c r="V345" s="6" t="n">
        <v>0.2996165564188766</v>
      </c>
      <c r="W345" s="6" t="n">
        <v>0.892699555230253</v>
      </c>
      <c r="X345" s="6" t="n">
        <v>-0.9489428754099297</v>
      </c>
      <c r="Y345" s="6" t="n">
        <v>1.125566903864636</v>
      </c>
      <c r="Z345" s="6" t="n">
        <v>-2.16273693703864</v>
      </c>
      <c r="AA345" s="6" t="n">
        <v>1.899467763962639</v>
      </c>
      <c r="AB345" s="6" t="n">
        <v>-1.676025638142818</v>
      </c>
      <c r="AC345" s="6" t="n">
        <v>0.7507700009636604</v>
      </c>
      <c r="AD345" s="6" t="n">
        <v>-1.74833269567971</v>
      </c>
      <c r="AE345" s="6" t="n">
        <v>2.124645483263734</v>
      </c>
      <c r="AF345" s="6" t="n">
        <v>-0.007528463879338798</v>
      </c>
      <c r="AG345" s="6" t="n">
        <v>1.095704155875653</v>
      </c>
      <c r="AH345" s="6" t="n">
        <v>-0.2294499231315258</v>
      </c>
      <c r="AI345" s="6" t="n">
        <v>-0.2604754076992664</v>
      </c>
      <c r="AJ345" s="6" t="n">
        <v>81.50976897186449</v>
      </c>
      <c r="AK345" s="6" t="n">
        <v>0.0964549997772096</v>
      </c>
      <c r="AL345" s="6" t="n">
        <v>1.048429436135643</v>
      </c>
      <c r="AN345" s="6" t="n">
        <v>1.352138893615756</v>
      </c>
      <c r="AO345" s="6" t="n">
        <v>1.352138893615756</v>
      </c>
      <c r="AP345" s="6" t="n">
        <v>0.1337951134791006</v>
      </c>
      <c r="AQ345" s="6" t="n">
        <v>0</v>
      </c>
      <c r="AR345" s="6" t="n">
        <v>0</v>
      </c>
    </row>
    <row r="346">
      <c r="D346" t="inlineStr">
        <is>
          <t>Run 34</t>
        </is>
      </c>
      <c r="J346" s="6" t="n">
        <v>0.7177050284670662</v>
      </c>
      <c r="K346" s="6" t="n">
        <v>1.005431871888461</v>
      </c>
      <c r="L346" s="6" t="n">
        <v>-1.487965186707255</v>
      </c>
      <c r="M346" s="6" t="n">
        <v>0.3819465708001315</v>
      </c>
      <c r="N346" s="6" t="n">
        <v>-0.6757902991024255</v>
      </c>
      <c r="O346" s="6" t="n">
        <v>0.7819776816565505</v>
      </c>
      <c r="P346" s="6" t="n">
        <v>3.306117479908771</v>
      </c>
      <c r="Q346" s="6" t="n">
        <v>-1.400721916963283</v>
      </c>
      <c r="R346" s="6" t="n">
        <v>-1.799203542085573</v>
      </c>
      <c r="S346" s="6" t="n">
        <v>0.8987042086111531</v>
      </c>
      <c r="T346" s="6" t="n">
        <v>3.684565657547714</v>
      </c>
      <c r="U346" s="6" t="n">
        <v>2.977469580579876</v>
      </c>
      <c r="V346" s="6" t="n">
        <v>1.085690025583512</v>
      </c>
      <c r="W346" s="6" t="n">
        <v>-0.6117016459833493</v>
      </c>
      <c r="X346" s="6" t="n">
        <v>-1.304674685070677</v>
      </c>
      <c r="Y346" s="6" t="n">
        <v>2.983719215852174</v>
      </c>
      <c r="Z346" s="6" t="n">
        <v>-0.2199169189310629</v>
      </c>
      <c r="AA346" s="6" t="n">
        <v>3.055666304065992</v>
      </c>
      <c r="AB346" s="6" t="n">
        <v>-0.9277583554962029</v>
      </c>
      <c r="AC346" s="6" t="n">
        <v>-0.4503545972597174</v>
      </c>
      <c r="AD346" s="6" t="n">
        <v>1.592143264945677</v>
      </c>
      <c r="AE346" s="6" t="n">
        <v>1.266358524346126</v>
      </c>
      <c r="AF346" s="6" t="n">
        <v>-2.310455765624662</v>
      </c>
      <c r="AG346" s="6" t="n">
        <v>3.572881980788518</v>
      </c>
      <c r="AH346" s="6" t="n">
        <v>0.7105864874709694</v>
      </c>
      <c r="AI346" s="6" t="n">
        <v>2.883218957251271</v>
      </c>
      <c r="AJ346" s="6" t="n">
        <v>78.91366589637458</v>
      </c>
      <c r="AK346" s="6" t="n">
        <v>0.1428489040280213</v>
      </c>
      <c r="AL346" s="6" t="n">
        <v>1.047413260839405</v>
      </c>
      <c r="AN346" s="6" t="n">
        <v>1.347830586650964</v>
      </c>
      <c r="AO346" s="6" t="n">
        <v>1.348561724460118</v>
      </c>
      <c r="AP346" s="6" t="n">
        <v>0.1324475262041986</v>
      </c>
      <c r="AQ346" s="6" t="n">
        <v>0</v>
      </c>
      <c r="AR346" s="6" t="n">
        <v>0</v>
      </c>
    </row>
    <row r="347">
      <c r="D347" t="inlineStr">
        <is>
          <t>Run 35</t>
        </is>
      </c>
      <c r="J347" s="6" t="n">
        <v>-2.678476152955179</v>
      </c>
      <c r="K347" s="6" t="n">
        <v>2.699988703141711</v>
      </c>
      <c r="L347" s="6" t="n">
        <v>-1.323213306019213</v>
      </c>
      <c r="M347" s="6" t="n">
        <v>0.2927868318945808</v>
      </c>
      <c r="N347" s="6" t="n">
        <v>0.7649706968021138</v>
      </c>
      <c r="O347" s="6" t="n">
        <v>1.699426732913886</v>
      </c>
      <c r="P347" s="6" t="n">
        <v>-1.154091039325924</v>
      </c>
      <c r="Q347" s="6" t="n">
        <v>-0.7623617652651223</v>
      </c>
      <c r="R347" s="6" t="n">
        <v>0.3329765121781186</v>
      </c>
      <c r="S347" s="6" t="n">
        <v>1.969904039923004</v>
      </c>
      <c r="T347" s="6" t="n">
        <v>4.140298794122549</v>
      </c>
      <c r="U347" s="6" t="n">
        <v>-0.9512612304552454</v>
      </c>
      <c r="V347" s="6" t="n">
        <v>0.4309488627871403</v>
      </c>
      <c r="W347" s="6" t="n">
        <v>-1.59100645967161</v>
      </c>
      <c r="X347" s="6" t="n">
        <v>-1.868244754022507</v>
      </c>
      <c r="Y347" s="6" t="n">
        <v>-3.374196063135892</v>
      </c>
      <c r="Z347" s="6" t="n">
        <v>0.08341803151262854</v>
      </c>
      <c r="AA347" s="6" t="n">
        <v>-1.137679537164969</v>
      </c>
      <c r="AB347" s="6" t="n">
        <v>2.419302147612844</v>
      </c>
      <c r="AC347" s="6" t="n">
        <v>-0.9179032945114305</v>
      </c>
      <c r="AD347" s="6" t="n">
        <v>-0.5984184051565443</v>
      </c>
      <c r="AE347" s="6" t="n">
        <v>1.927232908734507</v>
      </c>
      <c r="AF347" s="6" t="n">
        <v>0.3619367174089497</v>
      </c>
      <c r="AG347" s="6" t="n">
        <v>-0.2880639301698295</v>
      </c>
      <c r="AH347" s="6" t="n">
        <v>-1.236013025220327</v>
      </c>
      <c r="AI347" s="6" t="n">
        <v>-0.2692067084576032</v>
      </c>
      <c r="AJ347" s="6" t="n">
        <v>81.02973130223882</v>
      </c>
      <c r="AK347" s="6" t="n">
        <v>0.1021047666488396</v>
      </c>
      <c r="AL347" s="6" t="n">
        <v>0.9994567531495672</v>
      </c>
      <c r="AN347" s="6" t="n">
        <v>1.364053816647088</v>
      </c>
      <c r="AO347" s="6" t="n">
        <v>1.364297469494576</v>
      </c>
      <c r="AP347" s="6" t="n">
        <v>0.1403285333007748</v>
      </c>
      <c r="AQ347" s="6" t="n">
        <v>0</v>
      </c>
      <c r="AR347" s="6" t="n">
        <v>0</v>
      </c>
    </row>
    <row r="348">
      <c r="D348" t="inlineStr">
        <is>
          <t>Run 36</t>
        </is>
      </c>
      <c r="J348" s="6" t="n">
        <v>-0.04194384732842153</v>
      </c>
      <c r="K348" s="6" t="n">
        <v>1.946452441402077</v>
      </c>
      <c r="L348" s="6" t="n">
        <v>3.006208417259944</v>
      </c>
      <c r="M348" s="6" t="n">
        <v>-0.7163961514001475</v>
      </c>
      <c r="N348" s="6" t="n">
        <v>-1.081052580612164</v>
      </c>
      <c r="O348" s="6" t="n">
        <v>2.625053053181662</v>
      </c>
      <c r="P348" s="6" t="n">
        <v>-2.963821451609127</v>
      </c>
      <c r="Q348" s="6" t="n">
        <v>-3.844382900347585</v>
      </c>
      <c r="R348" s="6" t="n">
        <v>-1.196623252003841</v>
      </c>
      <c r="S348" s="6" t="n">
        <v>1.326880785421624</v>
      </c>
      <c r="T348" s="6" t="n">
        <v>0.2628101092369078</v>
      </c>
      <c r="U348" s="6" t="n">
        <v>0.8486709534404855</v>
      </c>
      <c r="V348" s="6" t="n">
        <v>0.06219061354974939</v>
      </c>
      <c r="W348" s="6" t="n">
        <v>-1.159853092436277</v>
      </c>
      <c r="X348" s="6" t="n">
        <v>0.3495344384066263</v>
      </c>
      <c r="Y348" s="6" t="n">
        <v>2.160548741532019</v>
      </c>
      <c r="Z348" s="6" t="n">
        <v>-0.9423191725897357</v>
      </c>
      <c r="AA348" s="6" t="n">
        <v>-0.3478337616015388</v>
      </c>
      <c r="AB348" s="6" t="n">
        <v>-2.358738836178286</v>
      </c>
      <c r="AC348" s="6" t="n">
        <v>-0.1720865568383304</v>
      </c>
      <c r="AD348" s="6" t="n">
        <v>-1.175906523143665</v>
      </c>
      <c r="AE348" s="6" t="n">
        <v>4.78148172500432</v>
      </c>
      <c r="AF348" s="6" t="n">
        <v>-0.8249176472867703</v>
      </c>
      <c r="AG348" s="6" t="n">
        <v>-0.6486063755557135</v>
      </c>
      <c r="AH348" s="6" t="n">
        <v>-0.1840191131696706</v>
      </c>
      <c r="AI348" s="6" t="n">
        <v>0.7618305747844194</v>
      </c>
      <c r="AJ348" s="6" t="n">
        <v>77.61681385416266</v>
      </c>
      <c r="AK348" s="6" t="n">
        <v>0.1311432280813775</v>
      </c>
      <c r="AL348" s="6" t="n">
        <v>1.096387156658093</v>
      </c>
      <c r="AN348" s="6" t="n">
        <v>1.329082868618757</v>
      </c>
      <c r="AO348" s="6" t="n">
        <v>1.329383537539586</v>
      </c>
      <c r="AP348" s="6" t="n">
        <v>0.1288537548409519</v>
      </c>
      <c r="AQ348" s="6" t="n">
        <v>0</v>
      </c>
      <c r="AR348" s="6" t="n">
        <v>0</v>
      </c>
    </row>
    <row r="349">
      <c r="D349" t="inlineStr">
        <is>
          <t>Run 37</t>
        </is>
      </c>
      <c r="J349" s="6" t="n">
        <v>-1.474843793969129</v>
      </c>
      <c r="K349" s="6" t="n">
        <v>-2.558234096341663</v>
      </c>
      <c r="L349" s="6" t="n">
        <v>1.02559603173399</v>
      </c>
      <c r="M349" s="6" t="n">
        <v>1.871964435760575</v>
      </c>
      <c r="N349" s="6" t="n">
        <v>2.450452415663643</v>
      </c>
      <c r="O349" s="6" t="n">
        <v>0.7338119743981159</v>
      </c>
      <c r="P349" s="6" t="n">
        <v>-2.166911681073618</v>
      </c>
      <c r="Q349" s="6" t="n">
        <v>0.394546897733609</v>
      </c>
      <c r="R349" s="6" t="n">
        <v>2.480771371811185</v>
      </c>
      <c r="S349" s="6" t="n">
        <v>3.51733824079695</v>
      </c>
      <c r="T349" s="6" t="n">
        <v>0.8154596898364364</v>
      </c>
      <c r="U349" s="6" t="n">
        <v>2.956397594932761</v>
      </c>
      <c r="V349" s="6" t="n">
        <v>-4.465631310637283</v>
      </c>
      <c r="W349" s="6" t="n">
        <v>-1.685622517818506</v>
      </c>
      <c r="X349" s="6" t="n">
        <v>0.3523560582056732</v>
      </c>
      <c r="Y349" s="6" t="n">
        <v>-1.982615194470987</v>
      </c>
      <c r="Z349" s="6" t="n">
        <v>0.7170009701195357</v>
      </c>
      <c r="AA349" s="6" t="n">
        <v>0.3953342510207698</v>
      </c>
      <c r="AB349" s="6" t="n">
        <v>-2.598254569906036</v>
      </c>
      <c r="AC349" s="6" t="n">
        <v>-0.2037164896998098</v>
      </c>
      <c r="AD349" s="6" t="n">
        <v>0.7231074889600768</v>
      </c>
      <c r="AE349" s="6" t="n">
        <v>0.2635289510958748</v>
      </c>
      <c r="AF349" s="6" t="n">
        <v>0.871179822045004</v>
      </c>
      <c r="AG349" s="6" t="n">
        <v>1.788475138845091</v>
      </c>
      <c r="AH349" s="6" t="n">
        <v>-2.980130137547487</v>
      </c>
      <c r="AI349" s="6" t="n">
        <v>-0.3983363468114058</v>
      </c>
      <c r="AJ349" s="6" t="n">
        <v>71.94841093495035</v>
      </c>
      <c r="AK349" s="6" t="n">
        <v>0.1686062192471983</v>
      </c>
      <c r="AL349" s="6" t="n">
        <v>1.056357259375886</v>
      </c>
      <c r="AN349" s="6" t="n">
        <v>1.339288046633183</v>
      </c>
      <c r="AO349" s="6" t="n">
        <v>1.339391604413027</v>
      </c>
      <c r="AP349" s="6" t="n">
        <v>0.1307887673234324</v>
      </c>
      <c r="AQ349" s="6" t="n">
        <v>0</v>
      </c>
      <c r="AR349" s="6" t="n">
        <v>0</v>
      </c>
    </row>
    <row r="350">
      <c r="D350" t="inlineStr">
        <is>
          <t>Run 38</t>
        </is>
      </c>
      <c r="J350" s="6" t="n">
        <v>-0.2428369826280281</v>
      </c>
      <c r="K350" s="6" t="n">
        <v>-0.1332074930331487</v>
      </c>
      <c r="L350" s="6" t="n">
        <v>-1.073295786498603</v>
      </c>
      <c r="M350" s="6" t="n">
        <v>1.15274610091565</v>
      </c>
      <c r="N350" s="6" t="n">
        <v>-3.115639639483793</v>
      </c>
      <c r="O350" s="6" t="n">
        <v>0.258644548554161</v>
      </c>
      <c r="P350" s="6" t="n">
        <v>4.996872385184715</v>
      </c>
      <c r="Q350" s="6" t="n">
        <v>0.4589244394905695</v>
      </c>
      <c r="R350" s="6" t="n">
        <v>0.05837981212596875</v>
      </c>
      <c r="S350" s="6" t="n">
        <v>-1.587812000636178</v>
      </c>
      <c r="T350" s="6" t="n">
        <v>1.053928879503998</v>
      </c>
      <c r="U350" s="6" t="n">
        <v>-1.374193539780769</v>
      </c>
      <c r="V350" s="6" t="n">
        <v>1.951225390071543</v>
      </c>
      <c r="W350" s="6" t="n">
        <v>1.098580865671408</v>
      </c>
      <c r="X350" s="6" t="n">
        <v>3.530307615449169</v>
      </c>
      <c r="Y350" s="6" t="n">
        <v>1.133694550979845</v>
      </c>
      <c r="Z350" s="6" t="n">
        <v>1.031305395876013</v>
      </c>
      <c r="AA350" s="6" t="n">
        <v>-1.746280776646135</v>
      </c>
      <c r="AB350" s="6" t="n">
        <v>0.8023262116810439</v>
      </c>
      <c r="AC350" s="6" t="n">
        <v>3.283511352562761</v>
      </c>
      <c r="AD350" s="6" t="n">
        <v>0.2543050558639093</v>
      </c>
      <c r="AE350" s="6" t="n">
        <v>-0.5531121759533781</v>
      </c>
      <c r="AF350" s="6" t="n">
        <v>-2.166712834151736</v>
      </c>
      <c r="AG350" s="6" t="n">
        <v>0.4742936519490412</v>
      </c>
      <c r="AH350" s="6" t="n">
        <v>5</v>
      </c>
      <c r="AI350" s="6" t="n">
        <v>0.700061804993366</v>
      </c>
      <c r="AJ350" s="6" t="n">
        <v>70.51033540935845</v>
      </c>
      <c r="AK350" s="6" t="n">
        <v>0.1228769573984188</v>
      </c>
      <c r="AL350" s="6" t="n">
        <v>1.10101095444096</v>
      </c>
      <c r="AN350" s="6" t="n">
        <v>1.325273479960302</v>
      </c>
      <c r="AO350" s="6" t="n">
        <v>1.327174514044036</v>
      </c>
      <c r="AP350" s="6" t="n">
        <v>0.1291933386039406</v>
      </c>
      <c r="AQ350" s="6" t="n">
        <v>0</v>
      </c>
      <c r="AR350" s="6" t="n">
        <v>0</v>
      </c>
    </row>
    <row r="351">
      <c r="D351" t="inlineStr">
        <is>
          <t>Run 39</t>
        </is>
      </c>
      <c r="J351" s="6" t="n">
        <v>-3.30131169152022</v>
      </c>
      <c r="K351" s="6" t="n">
        <v>-3.233245551240112</v>
      </c>
      <c r="L351" s="6" t="n">
        <v>-3.263606706754996</v>
      </c>
      <c r="M351" s="6" t="n">
        <v>-0.1738036768087399</v>
      </c>
      <c r="N351" s="6" t="n">
        <v>-1.866865827770797</v>
      </c>
      <c r="O351" s="6" t="n">
        <v>0.986640923381739</v>
      </c>
      <c r="P351" s="6" t="n">
        <v>-2.054244032077471</v>
      </c>
      <c r="Q351" s="6" t="n">
        <v>2.571944508871897</v>
      </c>
      <c r="R351" s="6" t="n">
        <v>-1.604874298408189</v>
      </c>
      <c r="S351" s="6" t="n">
        <v>-2.604083780653689</v>
      </c>
      <c r="T351" s="6" t="n">
        <v>0.2426726812350824</v>
      </c>
      <c r="U351" s="6" t="n">
        <v>2.267023551419418</v>
      </c>
      <c r="V351" s="6" t="n">
        <v>0.8677625917999754</v>
      </c>
      <c r="W351" s="6" t="n">
        <v>-1.285715936665641</v>
      </c>
      <c r="X351" s="6" t="n">
        <v>0.5806392359880802</v>
      </c>
      <c r="Y351" s="6" t="n">
        <v>-1.058466026708136</v>
      </c>
      <c r="Z351" s="6" t="n">
        <v>-0.5577332787735189</v>
      </c>
      <c r="AA351" s="6" t="n">
        <v>2.114017536809804</v>
      </c>
      <c r="AB351" s="6" t="n">
        <v>0.8517677819999199</v>
      </c>
      <c r="AC351" s="6" t="n">
        <v>-1.344582230586046</v>
      </c>
      <c r="AD351" s="6" t="n">
        <v>-2.392427944675932</v>
      </c>
      <c r="AE351" s="6" t="n">
        <v>2.138174613370198</v>
      </c>
      <c r="AF351" s="6" t="n">
        <v>2.201020511219638</v>
      </c>
      <c r="AG351" s="6" t="n">
        <v>-2.047917301376674</v>
      </c>
      <c r="AH351" s="6" t="n">
        <v>-1.355407688081571</v>
      </c>
      <c r="AI351" s="6" t="n">
        <v>-1.86120260672735</v>
      </c>
      <c r="AJ351" s="6" t="n">
        <v>68.98798812616954</v>
      </c>
      <c r="AK351" s="6" t="n">
        <v>0.1214964696168351</v>
      </c>
      <c r="AL351" s="6" t="n">
        <v>1.049926088910482</v>
      </c>
      <c r="AN351" s="6" t="n">
        <v>1.345476640763734</v>
      </c>
      <c r="AO351" s="6" t="n">
        <v>1.346325018321306</v>
      </c>
      <c r="AP351" s="6" t="n">
        <v>0.1325169126805811</v>
      </c>
      <c r="AQ351" s="6" t="n">
        <v>0</v>
      </c>
      <c r="AR351" s="6" t="n">
        <v>0</v>
      </c>
    </row>
    <row r="352">
      <c r="D352" t="inlineStr">
        <is>
          <t>Run 40</t>
        </is>
      </c>
      <c r="J352" s="6" t="n">
        <v>-2.765872976278514</v>
      </c>
      <c r="K352" s="6" t="n">
        <v>-0.9057071045577484</v>
      </c>
      <c r="L352" s="6" t="n">
        <v>-1.925895691058933</v>
      </c>
      <c r="M352" s="6" t="n">
        <v>-0.2775428048192178</v>
      </c>
      <c r="N352" s="6" t="n">
        <v>1.461222212189035</v>
      </c>
      <c r="O352" s="6" t="n">
        <v>0.7888207512585802</v>
      </c>
      <c r="P352" s="6" t="n">
        <v>-1.313194947040641</v>
      </c>
      <c r="Q352" s="6" t="n">
        <v>-2.552601437375444</v>
      </c>
      <c r="R352" s="6" t="n">
        <v>-0.1630060102757533</v>
      </c>
      <c r="S352" s="6" t="n">
        <v>2.120675856606403</v>
      </c>
      <c r="T352" s="6" t="n">
        <v>-0.846493153590917</v>
      </c>
      <c r="U352" s="6" t="n">
        <v>-0.6996709872266367</v>
      </c>
      <c r="V352" s="6" t="n">
        <v>-1.372304494500057</v>
      </c>
      <c r="W352" s="6" t="n">
        <v>-2.374810142257338</v>
      </c>
      <c r="X352" s="6" t="n">
        <v>-1.505011718722253</v>
      </c>
      <c r="Y352" s="6" t="n">
        <v>3.568833091071126</v>
      </c>
      <c r="Z352" s="6" t="n">
        <v>-1.747391811981005</v>
      </c>
      <c r="AA352" s="6" t="n">
        <v>0.6093221289140478</v>
      </c>
      <c r="AB352" s="6" t="n">
        <v>0.6461590209144542</v>
      </c>
      <c r="AC352" s="6" t="n">
        <v>0.6668198067182025</v>
      </c>
      <c r="AD352" s="6" t="n">
        <v>-1.970017036753752</v>
      </c>
      <c r="AE352" s="6" t="n">
        <v>0.6882676997718452</v>
      </c>
      <c r="AF352" s="6" t="n">
        <v>0.5072914954775848</v>
      </c>
      <c r="AG352" s="6" t="n">
        <v>-1.453847362059267</v>
      </c>
      <c r="AH352" s="6" t="n">
        <v>-2.803013505708759</v>
      </c>
      <c r="AI352" s="6" t="n">
        <v>2.552922194423327</v>
      </c>
      <c r="AJ352" s="6" t="n">
        <v>66.16689821093314</v>
      </c>
      <c r="AK352" s="6" t="n">
        <v>0.1182251396262584</v>
      </c>
      <c r="AL352" s="6" t="n">
        <v>1.038963477027654</v>
      </c>
      <c r="AN352" s="6" t="n">
        <v>1.348266583135556</v>
      </c>
      <c r="AO352" s="6" t="n">
        <v>1.34834332753983</v>
      </c>
      <c r="AP352" s="6" t="n">
        <v>0.1329994232822444</v>
      </c>
      <c r="AQ352" s="6" t="n">
        <v>0</v>
      </c>
      <c r="AR352" s="6" t="n">
        <v>0</v>
      </c>
    </row>
    <row r="353">
      <c r="D353" t="inlineStr">
        <is>
          <t>Run 41</t>
        </is>
      </c>
      <c r="J353" s="6" t="n">
        <v>-2.667898077085046</v>
      </c>
      <c r="K353" s="6" t="n">
        <v>1.715955860660691</v>
      </c>
      <c r="L353" s="6" t="n">
        <v>0.3486998880137569</v>
      </c>
      <c r="M353" s="6" t="n">
        <v>0.376016204234785</v>
      </c>
      <c r="N353" s="6" t="n">
        <v>-1.457971434704391</v>
      </c>
      <c r="O353" s="6" t="n">
        <v>-2.903508711320252</v>
      </c>
      <c r="P353" s="6" t="n">
        <v>-0.07357598912520311</v>
      </c>
      <c r="Q353" s="6" t="n">
        <v>0.7026097002466196</v>
      </c>
      <c r="R353" s="6" t="n">
        <v>-3.137255344772121</v>
      </c>
      <c r="S353" s="6" t="n">
        <v>2.605463815722874</v>
      </c>
      <c r="T353" s="6" t="n">
        <v>-0.8299371132184017</v>
      </c>
      <c r="U353" s="6" t="n">
        <v>1.509313269424258</v>
      </c>
      <c r="V353" s="6" t="n">
        <v>-1.24435995127267</v>
      </c>
      <c r="W353" s="6" t="n">
        <v>-2.564091565757136</v>
      </c>
      <c r="X353" s="6" t="n">
        <v>-1.175418832602712</v>
      </c>
      <c r="Y353" s="6" t="n">
        <v>1.706223178880011</v>
      </c>
      <c r="Z353" s="6" t="n">
        <v>3.498351742984897</v>
      </c>
      <c r="AA353" s="6" t="n">
        <v>1.835444611165548</v>
      </c>
      <c r="AB353" s="6" t="n">
        <v>-0.6653171279843868</v>
      </c>
      <c r="AC353" s="6" t="n">
        <v>0.1497743759690089</v>
      </c>
      <c r="AD353" s="6" t="n">
        <v>-0.7456253007396282</v>
      </c>
      <c r="AE353" s="6" t="n">
        <v>0.6473653800812634</v>
      </c>
      <c r="AF353" s="6" t="n">
        <v>4.188697445314112</v>
      </c>
      <c r="AG353" s="6" t="n">
        <v>-1.369138309701016</v>
      </c>
      <c r="AH353" s="6" t="n">
        <v>-1.233515271003791</v>
      </c>
      <c r="AI353" s="6" t="n">
        <v>1.005004500021652</v>
      </c>
      <c r="AJ353" s="6" t="n">
        <v>71.63978699636749</v>
      </c>
      <c r="AK353" s="6" t="n">
        <v>0.1330670859321414</v>
      </c>
      <c r="AL353" s="6" t="n">
        <v>1.093137552317301</v>
      </c>
      <c r="AN353" s="6" t="n">
        <v>1.333416897028135</v>
      </c>
      <c r="AO353" s="6" t="n">
        <v>1.334647888542004</v>
      </c>
      <c r="AP353" s="6" t="n">
        <v>0.1294636235534793</v>
      </c>
      <c r="AQ353" s="6" t="n">
        <v>0</v>
      </c>
      <c r="AR353" s="6" t="n">
        <v>0</v>
      </c>
    </row>
    <row r="354">
      <c r="D354" t="inlineStr">
        <is>
          <t>Run 42</t>
        </is>
      </c>
      <c r="J354" s="6" t="n">
        <v>4.353507140170743</v>
      </c>
      <c r="K354" s="6" t="n">
        <v>0.5678014629530127</v>
      </c>
      <c r="L354" s="6" t="n">
        <v>-0.028153681274591</v>
      </c>
      <c r="M354" s="6" t="n">
        <v>0.707288695135032</v>
      </c>
      <c r="N354" s="6" t="n">
        <v>-3.199009860792782</v>
      </c>
      <c r="O354" s="6" t="n">
        <v>-1.954507479596066</v>
      </c>
      <c r="P354" s="6" t="n">
        <v>3.589583731419252</v>
      </c>
      <c r="Q354" s="6" t="n">
        <v>0.3987624045017982</v>
      </c>
      <c r="R354" s="6" t="n">
        <v>-1.923192968227767</v>
      </c>
      <c r="S354" s="6" t="n">
        <v>2.799922831848395</v>
      </c>
      <c r="T354" s="6" t="n">
        <v>1.305255596356719</v>
      </c>
      <c r="U354" s="6" t="n">
        <v>-2.289594637768116</v>
      </c>
      <c r="V354" s="6" t="n">
        <v>0.5897070801772422</v>
      </c>
      <c r="W354" s="6" t="n">
        <v>0.4821447111629561</v>
      </c>
      <c r="X354" s="6" t="n">
        <v>0.5806806403016063</v>
      </c>
      <c r="Y354" s="6" t="n">
        <v>-1.5356171194935</v>
      </c>
      <c r="Z354" s="6" t="n">
        <v>1.670938514391933</v>
      </c>
      <c r="AA354" s="6" t="n">
        <v>-2.552225897014498</v>
      </c>
      <c r="AB354" s="6" t="n">
        <v>-0.702185025358673</v>
      </c>
      <c r="AC354" s="6" t="n">
        <v>4.338476040352453</v>
      </c>
      <c r="AD354" s="6" t="n">
        <v>1.734912659541977</v>
      </c>
      <c r="AE354" s="6" t="n">
        <v>-2.861977279073897</v>
      </c>
      <c r="AF354" s="6" t="n">
        <v>-0.743521865275807</v>
      </c>
      <c r="AG354" s="6" t="n">
        <v>-1.200801956865621</v>
      </c>
      <c r="AH354" s="6" t="n">
        <v>1.10440473202836</v>
      </c>
      <c r="AI354" s="6" t="n">
        <v>-0.7742282869631782</v>
      </c>
      <c r="AJ354" s="6" t="n">
        <v>73.49423343666722</v>
      </c>
      <c r="AK354" s="6" t="n">
        <v>0.1687993639761262</v>
      </c>
      <c r="AL354" s="6" t="n">
        <v>1.050043805848766</v>
      </c>
      <c r="AN354" s="6" t="n">
        <v>1.343354856741211</v>
      </c>
      <c r="AO354" s="6" t="n">
        <v>1.345113906515065</v>
      </c>
      <c r="AP354" s="6" t="n">
        <v>0.1314004377282827</v>
      </c>
      <c r="AQ354" s="6" t="n">
        <v>0</v>
      </c>
      <c r="AR354" s="6" t="n">
        <v>0</v>
      </c>
    </row>
    <row r="355">
      <c r="D355" t="inlineStr">
        <is>
          <t>Run 43</t>
        </is>
      </c>
      <c r="J355" s="6" t="n">
        <v>0.3164641589239962</v>
      </c>
      <c r="K355" s="6" t="n">
        <v>-0.2382899471596663</v>
      </c>
      <c r="L355" s="6" t="n">
        <v>-0.5423181880995589</v>
      </c>
      <c r="M355" s="6" t="n">
        <v>2.424921625135761</v>
      </c>
      <c r="N355" s="6" t="n">
        <v>2.069098613443561</v>
      </c>
      <c r="O355" s="6" t="n">
        <v>1.16606619758216</v>
      </c>
      <c r="P355" s="6" t="n">
        <v>1.618239078056376</v>
      </c>
      <c r="Q355" s="6" t="n">
        <v>1.867563469664387</v>
      </c>
      <c r="R355" s="6" t="n">
        <v>3.261561775068386</v>
      </c>
      <c r="S355" s="6" t="n">
        <v>3.055743427942631</v>
      </c>
      <c r="T355" s="6" t="n">
        <v>0.7304699205658601</v>
      </c>
      <c r="U355" s="6" t="n">
        <v>-1.162358147185645</v>
      </c>
      <c r="V355" s="6" t="n">
        <v>0.5487935027514853</v>
      </c>
      <c r="W355" s="6" t="n">
        <v>-0.01542967838039369</v>
      </c>
      <c r="X355" s="6" t="n">
        <v>-4.972930616788829</v>
      </c>
      <c r="Y355" s="6" t="n">
        <v>-0.09539574530271516</v>
      </c>
      <c r="Z355" s="6" t="n">
        <v>-3.498111319628725</v>
      </c>
      <c r="AA355" s="6" t="n">
        <v>-2.673452174868408</v>
      </c>
      <c r="AB355" s="6" t="n">
        <v>1.410484436900768</v>
      </c>
      <c r="AC355" s="6" t="n">
        <v>-0.5937196306617596</v>
      </c>
      <c r="AD355" s="6" t="n">
        <v>2.786215736723946</v>
      </c>
      <c r="AE355" s="6" t="n">
        <v>0.317407501839524</v>
      </c>
      <c r="AF355" s="6" t="n">
        <v>-1.545430462904437</v>
      </c>
      <c r="AG355" s="6" t="n">
        <v>0.1676738881917838</v>
      </c>
      <c r="AH355" s="6" t="n">
        <v>-3.042791146473023</v>
      </c>
      <c r="AI355" s="6" t="n">
        <v>0.7849283517662416</v>
      </c>
      <c r="AJ355" s="6" t="n">
        <v>78.31438388866539</v>
      </c>
      <c r="AK355" s="6" t="n">
        <v>0.1446426782432809</v>
      </c>
      <c r="AL355" s="6" t="n">
        <v>1.078438589831807</v>
      </c>
      <c r="AN355" s="6" t="n">
        <v>1.33346578486561</v>
      </c>
      <c r="AO355" s="6" t="n">
        <v>1.33421946355795</v>
      </c>
      <c r="AP355" s="6" t="n">
        <v>0.1300167910357493</v>
      </c>
      <c r="AQ355" s="6" t="n">
        <v>0</v>
      </c>
      <c r="AR355" s="6" t="n">
        <v>0</v>
      </c>
    </row>
    <row r="356">
      <c r="D356" t="inlineStr">
        <is>
          <t>Run 44</t>
        </is>
      </c>
      <c r="J356" s="6" t="n">
        <v>1.757988418503138</v>
      </c>
      <c r="K356" s="6" t="n">
        <v>-0.7630569591397174</v>
      </c>
      <c r="L356" s="6" t="n">
        <v>-1.092339971622207</v>
      </c>
      <c r="M356" s="6" t="n">
        <v>-1.90193105119552</v>
      </c>
      <c r="N356" s="6" t="n">
        <v>1.292584985138945</v>
      </c>
      <c r="O356" s="6" t="n">
        <v>1.750290937046761</v>
      </c>
      <c r="P356" s="6" t="n">
        <v>1.65036674407749</v>
      </c>
      <c r="Q356" s="6" t="n">
        <v>1.696386297370232</v>
      </c>
      <c r="R356" s="6" t="n">
        <v>3.283429227510954</v>
      </c>
      <c r="S356" s="6" t="n">
        <v>5</v>
      </c>
      <c r="T356" s="6" t="n">
        <v>2.492883528728399</v>
      </c>
      <c r="U356" s="6" t="n">
        <v>2.621135412108801</v>
      </c>
      <c r="V356" s="6" t="n">
        <v>-1.610781427034557</v>
      </c>
      <c r="W356" s="6" t="n">
        <v>-1.927673095986359</v>
      </c>
      <c r="X356" s="6" t="n">
        <v>-3.822544130410023</v>
      </c>
      <c r="Y356" s="6" t="n">
        <v>4.098990670561821</v>
      </c>
      <c r="Z356" s="6" t="n">
        <v>-0.3074774659169868</v>
      </c>
      <c r="AA356" s="6" t="n">
        <v>-0.8792262870035895</v>
      </c>
      <c r="AB356" s="6" t="n">
        <v>0.1228423274413874</v>
      </c>
      <c r="AC356" s="6" t="n">
        <v>0.3861889921394423</v>
      </c>
      <c r="AD356" s="6" t="n">
        <v>-2.513388620071876</v>
      </c>
      <c r="AE356" s="6" t="n">
        <v>-0.5833569712893028</v>
      </c>
      <c r="AF356" s="6" t="n">
        <v>-2.209853757872585</v>
      </c>
      <c r="AG356" s="6" t="n">
        <v>0.6723186195010096</v>
      </c>
      <c r="AH356" s="6" t="n">
        <v>-2.327476344267361</v>
      </c>
      <c r="AI356" s="6" t="n">
        <v>0.4646544084952461</v>
      </c>
      <c r="AJ356" s="6" t="n">
        <v>76.03615666442084</v>
      </c>
      <c r="AK356" s="6" t="n">
        <v>0.08768177318132483</v>
      </c>
      <c r="AL356" s="6" t="n">
        <v>1.003121267998722</v>
      </c>
      <c r="AN356" s="6" t="n">
        <v>1.353970578566309</v>
      </c>
      <c r="AO356" s="6" t="n">
        <v>1.357396071224834</v>
      </c>
      <c r="AP356" s="6" t="n">
        <v>0.1394926093512168</v>
      </c>
      <c r="AQ356" s="6" t="n">
        <v>0</v>
      </c>
      <c r="AR356" s="6" t="n">
        <v>0</v>
      </c>
    </row>
    <row r="357">
      <c r="D357" t="inlineStr">
        <is>
          <t>Run 45</t>
        </is>
      </c>
      <c r="J357" s="6" t="n">
        <v>1.782696680958482</v>
      </c>
      <c r="K357" s="6" t="n">
        <v>2.375740860471856</v>
      </c>
      <c r="L357" s="6" t="n">
        <v>2.383525413232067</v>
      </c>
      <c r="M357" s="6" t="n">
        <v>-2.175377649760621</v>
      </c>
      <c r="N357" s="6" t="n">
        <v>-0.2388894470725317</v>
      </c>
      <c r="O357" s="6" t="n">
        <v>-1.727486907134023</v>
      </c>
      <c r="P357" s="6" t="n">
        <v>-1.286187165478414</v>
      </c>
      <c r="Q357" s="6" t="n">
        <v>2.242111703637891</v>
      </c>
      <c r="R357" s="6" t="n">
        <v>-3.043722763335653</v>
      </c>
      <c r="S357" s="6" t="n">
        <v>1.679939446673229</v>
      </c>
      <c r="T357" s="6" t="n">
        <v>1.672385030498099</v>
      </c>
      <c r="U357" s="6" t="n">
        <v>0.08070949969742663</v>
      </c>
      <c r="V357" s="6" t="n">
        <v>0.2868107224384685</v>
      </c>
      <c r="W357" s="6" t="n">
        <v>2.6016262635412</v>
      </c>
      <c r="X357" s="6" t="n">
        <v>2.929892451367307</v>
      </c>
      <c r="Y357" s="6" t="n">
        <v>0.8574011786348984</v>
      </c>
      <c r="Z357" s="6" t="n">
        <v>3.41976609635765</v>
      </c>
      <c r="AA357" s="6" t="n">
        <v>-0.2553688568421116</v>
      </c>
      <c r="AB357" s="6" t="n">
        <v>2.45617210102507</v>
      </c>
      <c r="AC357" s="6" t="n">
        <v>2.204752616230444</v>
      </c>
      <c r="AD357" s="6" t="n">
        <v>-0.3528343826770051</v>
      </c>
      <c r="AE357" s="6" t="n">
        <v>2.178177353633873</v>
      </c>
      <c r="AF357" s="6" t="n">
        <v>2.191730413017689</v>
      </c>
      <c r="AG357" s="6" t="n">
        <v>2.42887128029426</v>
      </c>
      <c r="AH357" s="6" t="n">
        <v>-1.166530119295724</v>
      </c>
      <c r="AI357" s="6" t="n">
        <v>1.666604598383774</v>
      </c>
      <c r="AJ357" s="6" t="n">
        <v>68.28097702215982</v>
      </c>
      <c r="AK357" s="6" t="n">
        <v>0.1477130132956199</v>
      </c>
      <c r="AL357" s="6" t="n">
        <v>1.050712599917207</v>
      </c>
      <c r="AN357" s="6" t="n">
        <v>1.32567609549388</v>
      </c>
      <c r="AO357" s="6" t="n">
        <v>1.332854681580009</v>
      </c>
      <c r="AP357" s="6" t="n">
        <v>0.1313711924496158</v>
      </c>
      <c r="AQ357" s="6" t="n">
        <v>0</v>
      </c>
      <c r="AR357" s="6" t="n">
        <v>0</v>
      </c>
    </row>
    <row r="358">
      <c r="D358" t="inlineStr">
        <is>
          <t>Run 46</t>
        </is>
      </c>
      <c r="J358" s="6" t="n">
        <v>0.22097490452581</v>
      </c>
      <c r="K358" s="6" t="n">
        <v>3.922944461144615</v>
      </c>
      <c r="L358" s="6" t="n">
        <v>-2.727208673266641</v>
      </c>
      <c r="M358" s="6" t="n">
        <v>0.1407226008214099</v>
      </c>
      <c r="N358" s="6" t="n">
        <v>0.03693095165951646</v>
      </c>
      <c r="O358" s="6" t="n">
        <v>-1.411507250015052</v>
      </c>
      <c r="P358" s="6" t="n">
        <v>1.661067727393073</v>
      </c>
      <c r="Q358" s="6" t="n">
        <v>0.9929915001741422</v>
      </c>
      <c r="R358" s="6" t="n">
        <v>-0.353318104993007</v>
      </c>
      <c r="S358" s="6" t="n">
        <v>-2.532856922334329</v>
      </c>
      <c r="T358" s="6" t="n">
        <v>-1.744613718081068</v>
      </c>
      <c r="U358" s="6" t="n">
        <v>-1.067246495341539</v>
      </c>
      <c r="V358" s="6" t="n">
        <v>1.277842890519666</v>
      </c>
      <c r="W358" s="6" t="n">
        <v>0.5959474861153286</v>
      </c>
      <c r="X358" s="6" t="n">
        <v>-2.192309561914203</v>
      </c>
      <c r="Y358" s="6" t="n">
        <v>-0.06511164015743004</v>
      </c>
      <c r="Z358" s="6" t="n">
        <v>-0.287966764739208</v>
      </c>
      <c r="AA358" s="6" t="n">
        <v>1.774098667529207</v>
      </c>
      <c r="AB358" s="6" t="n">
        <v>0.05278257448195549</v>
      </c>
      <c r="AC358" s="6" t="n">
        <v>2.221970337018767</v>
      </c>
      <c r="AD358" s="6" t="n">
        <v>1.656189733753827</v>
      </c>
      <c r="AE358" s="6" t="n">
        <v>-0.4802611883876775</v>
      </c>
      <c r="AF358" s="6" t="n">
        <v>1.479793666796819</v>
      </c>
      <c r="AG358" s="6" t="n">
        <v>-2.31599305901599</v>
      </c>
      <c r="AH358" s="6" t="n">
        <v>-0.7383602395911423</v>
      </c>
      <c r="AI358" s="6" t="n">
        <v>0.9379823391683308</v>
      </c>
      <c r="AJ358" s="6" t="n">
        <v>79.3815676073159</v>
      </c>
      <c r="AK358" s="6" t="n">
        <v>0.1073599829949076</v>
      </c>
      <c r="AL358" s="6" t="n">
        <v>1.070979836524615</v>
      </c>
      <c r="AN358" s="6" t="n">
        <v>1.344761682137422</v>
      </c>
      <c r="AO358" s="6" t="n">
        <v>1.345473047036192</v>
      </c>
      <c r="AP358" s="6" t="n">
        <v>0.1316746508240367</v>
      </c>
      <c r="AQ358" s="6" t="n">
        <v>0</v>
      </c>
      <c r="AR358" s="6" t="n">
        <v>0</v>
      </c>
    </row>
    <row r="359">
      <c r="D359" t="inlineStr">
        <is>
          <t>Run 47</t>
        </is>
      </c>
      <c r="J359" s="6" t="n">
        <v>-1.402686284543514</v>
      </c>
      <c r="K359" s="6" t="n">
        <v>-3.918274667386858</v>
      </c>
      <c r="L359" s="6" t="n">
        <v>-4.154044324898698</v>
      </c>
      <c r="M359" s="6" t="n">
        <v>0.3404624868556763</v>
      </c>
      <c r="N359" s="6" t="n">
        <v>-1.298380876136373</v>
      </c>
      <c r="O359" s="6" t="n">
        <v>5</v>
      </c>
      <c r="P359" s="6" t="n">
        <v>-0.03300241306700877</v>
      </c>
      <c r="Q359" s="6" t="n">
        <v>3.813069923700241</v>
      </c>
      <c r="R359" s="6" t="n">
        <v>0.5031642976064626</v>
      </c>
      <c r="S359" s="6" t="n">
        <v>-1.2760024468225</v>
      </c>
      <c r="T359" s="6" t="n">
        <v>1.352096430813821</v>
      </c>
      <c r="U359" s="6" t="n">
        <v>-4.104015399233095</v>
      </c>
      <c r="V359" s="6" t="n">
        <v>2.06506332676237</v>
      </c>
      <c r="W359" s="6" t="n">
        <v>1.150011596456533</v>
      </c>
      <c r="X359" s="6" t="n">
        <v>-0.122251586008812</v>
      </c>
      <c r="Y359" s="6" t="n">
        <v>2.404004763122886</v>
      </c>
      <c r="Z359" s="6" t="n">
        <v>-0.4017076793977825</v>
      </c>
      <c r="AA359" s="6" t="n">
        <v>-5.087002859903855</v>
      </c>
      <c r="AB359" s="6" t="n">
        <v>-0.6323833903649718</v>
      </c>
      <c r="AC359" s="6" t="n">
        <v>-1.502133551851218</v>
      </c>
      <c r="AD359" s="6" t="n">
        <v>-0.6893237646942396</v>
      </c>
      <c r="AE359" s="6" t="n">
        <v>0.9243136011977116</v>
      </c>
      <c r="AF359" s="6" t="n">
        <v>1.341107608023709</v>
      </c>
      <c r="AG359" s="6" t="n">
        <v>2.768914064996768</v>
      </c>
      <c r="AH359" s="6" t="n">
        <v>-1.224655541227758</v>
      </c>
      <c r="AI359" s="6" t="n">
        <v>-1.320546565912797</v>
      </c>
      <c r="AJ359" s="6" t="n">
        <v>71.95660069909805</v>
      </c>
      <c r="AK359" s="6" t="n">
        <v>0.1553996282983449</v>
      </c>
      <c r="AL359" s="6" t="n">
        <v>1.034342126262338</v>
      </c>
      <c r="AN359" s="6" t="n">
        <v>1.340979240813546</v>
      </c>
      <c r="AO359" s="6" t="n">
        <v>1.341559385947447</v>
      </c>
      <c r="AP359" s="6" t="n">
        <v>0.1329546681548759</v>
      </c>
      <c r="AQ359" s="6" t="n">
        <v>0</v>
      </c>
      <c r="AR359" s="6" t="n">
        <v>0</v>
      </c>
    </row>
    <row r="360">
      <c r="D360" t="inlineStr">
        <is>
          <t>Run 48</t>
        </is>
      </c>
      <c r="J360" s="6" t="n">
        <v>0.3409244538914639</v>
      </c>
      <c r="K360" s="6" t="n">
        <v>0.32631831729464</v>
      </c>
      <c r="L360" s="6" t="n">
        <v>-1.080538826417591</v>
      </c>
      <c r="M360" s="6" t="n">
        <v>-2.095500320349234</v>
      </c>
      <c r="N360" s="6" t="n">
        <v>-4.893890610601831</v>
      </c>
      <c r="O360" s="6" t="n">
        <v>-3.077257150381585</v>
      </c>
      <c r="P360" s="6" t="n">
        <v>-0.4218451027458656</v>
      </c>
      <c r="Q360" s="6" t="n">
        <v>1.213264951299606</v>
      </c>
      <c r="R360" s="6" t="n">
        <v>1.498016800368676</v>
      </c>
      <c r="S360" s="6" t="n">
        <v>-0.1543003456233077</v>
      </c>
      <c r="T360" s="6" t="n">
        <v>-1.517569857203464</v>
      </c>
      <c r="U360" s="6" t="n">
        <v>-1.531486567541956</v>
      </c>
      <c r="V360" s="6" t="n">
        <v>1.988768822637329</v>
      </c>
      <c r="W360" s="6" t="n">
        <v>-1.618530951946715</v>
      </c>
      <c r="X360" s="6" t="n">
        <v>0.7062584937052759</v>
      </c>
      <c r="Y360" s="6" t="n">
        <v>0.2441266807897444</v>
      </c>
      <c r="Z360" s="6" t="n">
        <v>2.53152394616058</v>
      </c>
      <c r="AA360" s="6" t="n">
        <v>-2.925680544785974</v>
      </c>
      <c r="AB360" s="6" t="n">
        <v>-0.8494025093075361</v>
      </c>
      <c r="AC360" s="6" t="n">
        <v>1.059558557867031</v>
      </c>
      <c r="AD360" s="6" t="n">
        <v>-1.71789451254353</v>
      </c>
      <c r="AE360" s="6" t="n">
        <v>0.3699463150325345</v>
      </c>
      <c r="AF360" s="6" t="n">
        <v>-1.334250373216108</v>
      </c>
      <c r="AG360" s="6" t="n">
        <v>-0.9826548699224048</v>
      </c>
      <c r="AH360" s="6" t="n">
        <v>0.1610997530983187</v>
      </c>
      <c r="AI360" s="6" t="n">
        <v>0.2232577541042689</v>
      </c>
      <c r="AJ360" s="6" t="n">
        <v>69.9410555220755</v>
      </c>
      <c r="AK360" s="6" t="n">
        <v>0.20076187982442</v>
      </c>
      <c r="AL360" s="6" t="n">
        <v>1.040940997096063</v>
      </c>
      <c r="AN360" s="6" t="n">
        <v>1.323370161469647</v>
      </c>
      <c r="AO360" s="6" t="n">
        <v>1.325286992224907</v>
      </c>
      <c r="AP360" s="6" t="n">
        <v>0.1309509078912735</v>
      </c>
      <c r="AQ360" s="6" t="n">
        <v>0</v>
      </c>
      <c r="AR360" s="6" t="n">
        <v>0</v>
      </c>
    </row>
    <row r="361">
      <c r="D361" t="inlineStr">
        <is>
          <t>Run 49</t>
        </is>
      </c>
      <c r="J361" s="6" t="n">
        <v>-0.7314316089768559</v>
      </c>
      <c r="K361" s="6" t="n">
        <v>-1.180891489963768</v>
      </c>
      <c r="L361" s="6" t="n">
        <v>-2.586355302790722</v>
      </c>
      <c r="M361" s="6" t="n">
        <v>0.009418800502067516</v>
      </c>
      <c r="N361" s="6" t="n">
        <v>-1.26958466688214</v>
      </c>
      <c r="O361" s="6" t="n">
        <v>0.7821417602293448</v>
      </c>
      <c r="P361" s="6" t="n">
        <v>1.844206941210138</v>
      </c>
      <c r="Q361" s="6" t="n">
        <v>0.2442165838529909</v>
      </c>
      <c r="R361" s="6" t="n">
        <v>0.2255628895186464</v>
      </c>
      <c r="S361" s="6" t="n">
        <v>-1.943893628220457</v>
      </c>
      <c r="T361" s="6" t="n">
        <v>-0.2429648847564971</v>
      </c>
      <c r="U361" s="6" t="n">
        <v>-2.013773792395672</v>
      </c>
      <c r="V361" s="6" t="n">
        <v>-2.542064914047541</v>
      </c>
      <c r="W361" s="6" t="n">
        <v>-0.6423399987270139</v>
      </c>
      <c r="X361" s="6" t="n">
        <v>0.1115332738298422</v>
      </c>
      <c r="Y361" s="6" t="n">
        <v>-2.897369818849707</v>
      </c>
      <c r="Z361" s="6" t="n">
        <v>1.778653276233422</v>
      </c>
      <c r="AA361" s="6" t="n">
        <v>0.2047872422854935</v>
      </c>
      <c r="AB361" s="6" t="n">
        <v>-2.558538295435644</v>
      </c>
      <c r="AC361" s="6" t="n">
        <v>-2.612287228325485</v>
      </c>
      <c r="AD361" s="6" t="n">
        <v>2.295312129389668</v>
      </c>
      <c r="AE361" s="6" t="n">
        <v>-0.2624024704021352</v>
      </c>
      <c r="AF361" s="6" t="n">
        <v>0.436189740568294</v>
      </c>
      <c r="AG361" s="6" t="n">
        <v>-1.200194795310058</v>
      </c>
      <c r="AH361" s="6" t="n">
        <v>-3.319275366854852</v>
      </c>
      <c r="AI361" s="6" t="n">
        <v>-1.646153778854009</v>
      </c>
      <c r="AJ361" s="6" t="n">
        <v>81.78273591109132</v>
      </c>
      <c r="AK361" s="6" t="n">
        <v>0.1576018267908931</v>
      </c>
      <c r="AL361" s="6" t="n">
        <v>1.046319819352922</v>
      </c>
      <c r="AN361" s="6" t="n">
        <v>1.34839582468741</v>
      </c>
      <c r="AO361" s="6" t="n">
        <v>1.348835582058717</v>
      </c>
      <c r="AP361" s="6" t="n">
        <v>0.1325003502103162</v>
      </c>
      <c r="AQ361" s="6" t="n">
        <v>0</v>
      </c>
      <c r="AR361" s="6" t="n">
        <v>0</v>
      </c>
    </row>
    <row r="362">
      <c r="D362" t="inlineStr">
        <is>
          <t>Run 50</t>
        </is>
      </c>
      <c r="J362" s="6" t="n">
        <v>-3.787504642634114</v>
      </c>
      <c r="K362" s="6" t="n">
        <v>-0.7773335216630836</v>
      </c>
      <c r="L362" s="6" t="n">
        <v>-0.303995859621124</v>
      </c>
      <c r="M362" s="6" t="n">
        <v>1.982564856364002</v>
      </c>
      <c r="N362" s="6" t="n">
        <v>2.305546479591728</v>
      </c>
      <c r="O362" s="6" t="n">
        <v>0.7443689401657442</v>
      </c>
      <c r="P362" s="6" t="n">
        <v>0.4906364545764569</v>
      </c>
      <c r="Q362" s="6" t="n">
        <v>2.827219453644223</v>
      </c>
      <c r="R362" s="6" t="n">
        <v>-0.4181776186552616</v>
      </c>
      <c r="S362" s="6" t="n">
        <v>0.5275881758240856</v>
      </c>
      <c r="T362" s="6" t="n">
        <v>-2.061745985945037</v>
      </c>
      <c r="U362" s="6" t="n">
        <v>-1.213997651046186</v>
      </c>
      <c r="V362" s="6" t="n">
        <v>-0.2859694487179084</v>
      </c>
      <c r="W362" s="6" t="n">
        <v>-0.984576722132544</v>
      </c>
      <c r="X362" s="6" t="n">
        <v>-1.425314761579957</v>
      </c>
      <c r="Y362" s="6" t="n">
        <v>-1.643466405625607</v>
      </c>
      <c r="Z362" s="6" t="n">
        <v>2.785157492363335</v>
      </c>
      <c r="AA362" s="6" t="n">
        <v>-1.160514052624454</v>
      </c>
      <c r="AB362" s="6" t="n">
        <v>-2.125841196965625</v>
      </c>
      <c r="AC362" s="6" t="n">
        <v>-0.5786440681739361</v>
      </c>
      <c r="AD362" s="6" t="n">
        <v>-2.560768659078513</v>
      </c>
      <c r="AE362" s="6" t="n">
        <v>-4.475528859930812</v>
      </c>
      <c r="AF362" s="6" t="n">
        <v>-0.6307062416150864</v>
      </c>
      <c r="AG362" s="6" t="n">
        <v>0.9580355223599822</v>
      </c>
      <c r="AH362" s="6" t="n">
        <v>-4.404749558366761</v>
      </c>
      <c r="AI362" s="6" t="n">
        <v>-3.166886878341028</v>
      </c>
      <c r="AJ362" s="6" t="n">
        <v>79.67706428789464</v>
      </c>
      <c r="AK362" s="6" t="n">
        <v>0.1661069397265088</v>
      </c>
      <c r="AL362" s="6" t="n">
        <v>1.060059000911999</v>
      </c>
      <c r="AN362" s="6" t="n">
        <v>1.339996386096022</v>
      </c>
      <c r="AO362" s="6" t="n">
        <v>1.340503724963711</v>
      </c>
      <c r="AP362" s="6" t="n">
        <v>0.1310495365983226</v>
      </c>
      <c r="AQ362" s="6" t="n">
        <v>0</v>
      </c>
      <c r="AR362" s="6" t="n">
        <v>0</v>
      </c>
    </row>
    <row r="363">
      <c r="D363" t="inlineStr">
        <is>
          <t>Run 51</t>
        </is>
      </c>
      <c r="J363" s="6" t="n">
        <v>-2.277896115316987</v>
      </c>
      <c r="K363" s="6" t="n">
        <v>0.4399182383805837</v>
      </c>
      <c r="L363" s="6" t="n">
        <v>2.360441185873157</v>
      </c>
      <c r="M363" s="6" t="n">
        <v>-0.5741823454835722</v>
      </c>
      <c r="N363" s="6" t="n">
        <v>0.8051409118411716</v>
      </c>
      <c r="O363" s="6" t="n">
        <v>1.431536799497223</v>
      </c>
      <c r="P363" s="6" t="n">
        <v>-0.8892927884050941</v>
      </c>
      <c r="Q363" s="6" t="n">
        <v>-0.9076356285851827</v>
      </c>
      <c r="R363" s="6" t="n">
        <v>1.741466553935997</v>
      </c>
      <c r="S363" s="6" t="n">
        <v>-3.069639745904523</v>
      </c>
      <c r="T363" s="6" t="n">
        <v>2.298240147496242</v>
      </c>
      <c r="U363" s="6" t="n">
        <v>0.8297431497543751</v>
      </c>
      <c r="V363" s="6" t="n">
        <v>1.011394065355273</v>
      </c>
      <c r="W363" s="6" t="n">
        <v>-2.739283138930572</v>
      </c>
      <c r="X363" s="6" t="n">
        <v>3.006814094693645</v>
      </c>
      <c r="Y363" s="6" t="n">
        <v>-1.037113218827543</v>
      </c>
      <c r="Z363" s="6" t="n">
        <v>0.8383825855037372</v>
      </c>
      <c r="AA363" s="6" t="n">
        <v>0.119082069430137</v>
      </c>
      <c r="AB363" s="6" t="n">
        <v>-1.910273494674382</v>
      </c>
      <c r="AC363" s="6" t="n">
        <v>1.158418395054299</v>
      </c>
      <c r="AD363" s="6" t="n">
        <v>-0.7103337970247597</v>
      </c>
      <c r="AE363" s="6" t="n">
        <v>-1.176642157972875</v>
      </c>
      <c r="AF363" s="6" t="n">
        <v>-0.7138060577048022</v>
      </c>
      <c r="AG363" s="6" t="n">
        <v>0.6245179913205513</v>
      </c>
      <c r="AH363" s="6" t="n">
        <v>2.630532069927293</v>
      </c>
      <c r="AI363" s="6" t="n">
        <v>1.761706787157205</v>
      </c>
      <c r="AJ363" s="6" t="n">
        <v>66.04579524629952</v>
      </c>
      <c r="AK363" s="6" t="n">
        <v>0.1766485248807274</v>
      </c>
      <c r="AL363" s="6" t="n">
        <v>1.036672101133495</v>
      </c>
      <c r="AN363" s="6" t="n">
        <v>1.343295228838543</v>
      </c>
      <c r="AO363" s="6" t="n">
        <v>1.343652055348928</v>
      </c>
      <c r="AP363" s="6" t="n">
        <v>0.1319518654665734</v>
      </c>
      <c r="AQ363" s="6" t="n">
        <v>0</v>
      </c>
      <c r="AR363" s="6" t="n">
        <v>0</v>
      </c>
    </row>
    <row r="364">
      <c r="D364" t="inlineStr">
        <is>
          <t>Run 52</t>
        </is>
      </c>
      <c r="J364" s="6" t="n">
        <v>2.413280665316865</v>
      </c>
      <c r="K364" s="6" t="n">
        <v>1.153153952229841</v>
      </c>
      <c r="L364" s="6" t="n">
        <v>-0.7727705520961375</v>
      </c>
      <c r="M364" s="6" t="n">
        <v>-1.111183856618301</v>
      </c>
      <c r="N364" s="6" t="n">
        <v>-0.1629078869954689</v>
      </c>
      <c r="O364" s="6" t="n">
        <v>-0.9424639908479917</v>
      </c>
      <c r="P364" s="6" t="n">
        <v>1.419643843922446</v>
      </c>
      <c r="Q364" s="6" t="n">
        <v>-1.534486052276627</v>
      </c>
      <c r="R364" s="6" t="n">
        <v>1.35456623223111</v>
      </c>
      <c r="S364" s="6" t="n">
        <v>0.04576015050670171</v>
      </c>
      <c r="T364" s="6" t="n">
        <v>1.24946441551964</v>
      </c>
      <c r="U364" s="6" t="n">
        <v>-1.812918943534432</v>
      </c>
      <c r="V364" s="6" t="n">
        <v>2.17830201326486</v>
      </c>
      <c r="W364" s="6" t="n">
        <v>-0.7296506036932905</v>
      </c>
      <c r="X364" s="6" t="n">
        <v>2.161861709993985</v>
      </c>
      <c r="Y364" s="6" t="n">
        <v>-1.371472304654153</v>
      </c>
      <c r="Z364" s="6" t="n">
        <v>3.952469961443722</v>
      </c>
      <c r="AA364" s="6" t="n">
        <v>1.13907735227191</v>
      </c>
      <c r="AB364" s="6" t="n">
        <v>4.590856781384411</v>
      </c>
      <c r="AC364" s="6" t="n">
        <v>2.654764595180418</v>
      </c>
      <c r="AD364" s="6" t="n">
        <v>0.2142803759191818</v>
      </c>
      <c r="AE364" s="6" t="n">
        <v>-0.8636777757568312</v>
      </c>
      <c r="AF364" s="6" t="n">
        <v>-1.978626197747144</v>
      </c>
      <c r="AG364" s="6" t="n">
        <v>2.083174726313598</v>
      </c>
      <c r="AH364" s="6" t="n">
        <v>-1.669635090119327</v>
      </c>
      <c r="AI364" s="6" t="n">
        <v>0.8224506589125901</v>
      </c>
      <c r="AJ364" s="6" t="n">
        <v>69.2842489870588</v>
      </c>
      <c r="AK364" s="6" t="n">
        <v>0.1364226445336106</v>
      </c>
      <c r="AL364" s="6" t="n">
        <v>1.054529048141042</v>
      </c>
      <c r="AN364" s="6" t="n">
        <v>1.33988298067468</v>
      </c>
      <c r="AO364" s="6" t="n">
        <v>1.341868563581241</v>
      </c>
      <c r="AP364" s="6" t="n">
        <v>0.1312566053938043</v>
      </c>
      <c r="AQ364" s="6" t="n">
        <v>0</v>
      </c>
      <c r="AR364" s="6" t="n">
        <v>0</v>
      </c>
    </row>
    <row r="365">
      <c r="D365" t="inlineStr">
        <is>
          <t>Run 53</t>
        </is>
      </c>
      <c r="J365" s="6" t="n">
        <v>-0.8570814509373872</v>
      </c>
      <c r="K365" s="6" t="n">
        <v>1.718500765695409</v>
      </c>
      <c r="L365" s="6" t="n">
        <v>-0.3860398502842342</v>
      </c>
      <c r="M365" s="6" t="n">
        <v>-2.763492535135909</v>
      </c>
      <c r="N365" s="6" t="n">
        <v>1.225570367767656</v>
      </c>
      <c r="O365" s="6" t="n">
        <v>1.084364906800925</v>
      </c>
      <c r="P365" s="6" t="n">
        <v>-1.067817063767802</v>
      </c>
      <c r="Q365" s="6" t="n">
        <v>-1.436503628796482</v>
      </c>
      <c r="R365" s="6" t="n">
        <v>2.750135654052245</v>
      </c>
      <c r="S365" s="6" t="n">
        <v>1.094236108357941</v>
      </c>
      <c r="T365" s="6" t="n">
        <v>1.416550781915425</v>
      </c>
      <c r="U365" s="6" t="n">
        <v>1.49217294717306</v>
      </c>
      <c r="V365" s="6" t="n">
        <v>-3.467488138041583</v>
      </c>
      <c r="W365" s="6" t="n">
        <v>1.092541525613129</v>
      </c>
      <c r="X365" s="6" t="n">
        <v>2.447423249181077</v>
      </c>
      <c r="Y365" s="6" t="n">
        <v>0.5343142528207022</v>
      </c>
      <c r="Z365" s="6" t="n">
        <v>-1.900460723340851</v>
      </c>
      <c r="AA365" s="6" t="n">
        <v>-1.294973951701953</v>
      </c>
      <c r="AB365" s="6" t="n">
        <v>1.578628495773796</v>
      </c>
      <c r="AC365" s="6" t="n">
        <v>0.8126507974948532</v>
      </c>
      <c r="AD365" s="6" t="n">
        <v>-0.364104882970948</v>
      </c>
      <c r="AE365" s="6" t="n">
        <v>0.5532045245382025</v>
      </c>
      <c r="AF365" s="6" t="n">
        <v>2.688668852881122</v>
      </c>
      <c r="AG365" s="6" t="n">
        <v>0.07616020429032272</v>
      </c>
      <c r="AH365" s="6" t="n">
        <v>-2.876982911332453</v>
      </c>
      <c r="AI365" s="6" t="n">
        <v>-0.02960550761221243</v>
      </c>
      <c r="AJ365" s="6" t="n">
        <v>74.30011789036574</v>
      </c>
      <c r="AK365" s="6" t="n">
        <v>0.06570784974591254</v>
      </c>
      <c r="AL365" s="6" t="n">
        <v>1.081758950912846</v>
      </c>
      <c r="AN365" s="6" t="n">
        <v>1.316369327931653</v>
      </c>
      <c r="AO365" s="6" t="n">
        <v>1.326256046609634</v>
      </c>
      <c r="AP365" s="6" t="n">
        <v>0.1312703667022808</v>
      </c>
      <c r="AQ365" s="6" t="n">
        <v>0</v>
      </c>
      <c r="AR365" s="6" t="n">
        <v>0</v>
      </c>
    </row>
    <row r="366">
      <c r="D366" t="inlineStr">
        <is>
          <t>Run 54</t>
        </is>
      </c>
      <c r="J366" s="6" t="n">
        <v>3.268761751813777</v>
      </c>
      <c r="K366" s="6" t="n">
        <v>0.3376532856117794</v>
      </c>
      <c r="L366" s="6" t="n">
        <v>-0.06642242588574505</v>
      </c>
      <c r="M366" s="6" t="n">
        <v>0.5400153893640681</v>
      </c>
      <c r="N366" s="6" t="n">
        <v>0.6649791436389664</v>
      </c>
      <c r="O366" s="6" t="n">
        <v>-0.9593286826183353</v>
      </c>
      <c r="P366" s="6" t="n">
        <v>-3.011089479051567</v>
      </c>
      <c r="Q366" s="6" t="n">
        <v>-2.545352743817698</v>
      </c>
      <c r="R366" s="6" t="n">
        <v>1.163238777363967</v>
      </c>
      <c r="S366" s="6" t="n">
        <v>0.8158932235427846</v>
      </c>
      <c r="T366" s="6" t="n">
        <v>-2.214442906386055</v>
      </c>
      <c r="U366" s="6" t="n">
        <v>-2.034671599325512</v>
      </c>
      <c r="V366" s="6" t="n">
        <v>0.438047624448497</v>
      </c>
      <c r="W366" s="6" t="n">
        <v>-0.007507840755944349</v>
      </c>
      <c r="X366" s="6" t="n">
        <v>-1.998942982945684</v>
      </c>
      <c r="Y366" s="6" t="n">
        <v>-1.582052637571251</v>
      </c>
      <c r="Z366" s="6" t="n">
        <v>-2.995022916531351</v>
      </c>
      <c r="AA366" s="6" t="n">
        <v>0.004041503583860195</v>
      </c>
      <c r="AB366" s="6" t="n">
        <v>-0.3634529966952857</v>
      </c>
      <c r="AC366" s="6" t="n">
        <v>-1.884850656652039</v>
      </c>
      <c r="AD366" s="6" t="n">
        <v>0.8638744230132338</v>
      </c>
      <c r="AE366" s="6" t="n">
        <v>2.267767275960629</v>
      </c>
      <c r="AF366" s="6" t="n">
        <v>1.620211914527543</v>
      </c>
      <c r="AG366" s="6" t="n">
        <v>-1.164007894598639</v>
      </c>
      <c r="AH366" s="6" t="n">
        <v>0.8914763024954073</v>
      </c>
      <c r="AI366" s="6" t="n">
        <v>-0.2817565507413416</v>
      </c>
      <c r="AJ366" s="6" t="n">
        <v>73.70676185321113</v>
      </c>
      <c r="AK366" s="6" t="n">
        <v>0.08721406050848181</v>
      </c>
      <c r="AL366" s="6" t="n">
        <v>1.072553978250469</v>
      </c>
      <c r="AN366" s="6" t="n">
        <v>1.343193454895607</v>
      </c>
      <c r="AO366" s="6" t="n">
        <v>1.343544254209113</v>
      </c>
      <c r="AP366" s="6" t="n">
        <v>0.1312772818976858</v>
      </c>
      <c r="AQ366" s="6" t="n">
        <v>0</v>
      </c>
      <c r="AR366" s="6" t="n">
        <v>0</v>
      </c>
    </row>
    <row r="367">
      <c r="D367" t="inlineStr">
        <is>
          <t>Run 55</t>
        </is>
      </c>
      <c r="J367" s="6" t="n">
        <v>-0.7693020916470881</v>
      </c>
      <c r="K367" s="6" t="n">
        <v>-1.985261679534404</v>
      </c>
      <c r="L367" s="6" t="n">
        <v>2.503545202951002</v>
      </c>
      <c r="M367" s="6" t="n">
        <v>-2.718304497827702</v>
      </c>
      <c r="N367" s="6" t="n">
        <v>-1.151286967040864</v>
      </c>
      <c r="O367" s="6" t="n">
        <v>4.204031162702308</v>
      </c>
      <c r="P367" s="6" t="n">
        <v>-4.264476416995404</v>
      </c>
      <c r="Q367" s="6" t="n">
        <v>0.3486293478335629</v>
      </c>
      <c r="R367" s="6" t="n">
        <v>-1.275024990027341</v>
      </c>
      <c r="S367" s="6" t="n">
        <v>-3.201444705045693</v>
      </c>
      <c r="T367" s="6" t="n">
        <v>-2.152697321970655</v>
      </c>
      <c r="U367" s="6" t="n">
        <v>-0.2390672682181872</v>
      </c>
      <c r="V367" s="6" t="n">
        <v>-1.549659426813452</v>
      </c>
      <c r="W367" s="6" t="n">
        <v>-0.4480091390269368</v>
      </c>
      <c r="X367" s="6" t="n">
        <v>-1.950506352651678</v>
      </c>
      <c r="Y367" s="6" t="n">
        <v>-0.08908404177554871</v>
      </c>
      <c r="Z367" s="6" t="n">
        <v>-1.174738810499621</v>
      </c>
      <c r="AA367" s="6" t="n">
        <v>2.962711388725902</v>
      </c>
      <c r="AB367" s="6" t="n">
        <v>2.314334151384992</v>
      </c>
      <c r="AC367" s="6" t="n">
        <v>1.862632172888826</v>
      </c>
      <c r="AD367" s="6" t="n">
        <v>-0.7522657872631379</v>
      </c>
      <c r="AE367" s="6" t="n">
        <v>-1.614900278382948</v>
      </c>
      <c r="AF367" s="6" t="n">
        <v>0.5686549163404447</v>
      </c>
      <c r="AG367" s="6" t="n">
        <v>0.1915238891367857</v>
      </c>
      <c r="AH367" s="6" t="n">
        <v>-1.472950687680842</v>
      </c>
      <c r="AI367" s="6" t="n">
        <v>-0.9574440742109482</v>
      </c>
      <c r="AJ367" s="6" t="n">
        <v>84.40610492388083</v>
      </c>
      <c r="AK367" s="6" t="n">
        <v>0.1479992933687896</v>
      </c>
      <c r="AL367" s="6" t="n">
        <v>0.9940971171175438</v>
      </c>
      <c r="AN367" s="6" t="n">
        <v>1.346816365727632</v>
      </c>
      <c r="AO367" s="6" t="n">
        <v>1.354687860432457</v>
      </c>
      <c r="AP367" s="6" t="n">
        <v>0.140654891183418</v>
      </c>
      <c r="AQ367" s="6" t="n">
        <v>0</v>
      </c>
      <c r="AR367" s="6" t="n">
        <v>0</v>
      </c>
    </row>
    <row r="368">
      <c r="D368" t="inlineStr">
        <is>
          <t>Run 56</t>
        </is>
      </c>
      <c r="J368" s="6" t="n">
        <v>0.4377127803218405</v>
      </c>
      <c r="K368" s="6" t="n">
        <v>-3.280427261786824</v>
      </c>
      <c r="L368" s="6" t="n">
        <v>-1.18385718408221</v>
      </c>
      <c r="M368" s="6" t="n">
        <v>1.642823152916469</v>
      </c>
      <c r="N368" s="6" t="n">
        <v>2.640840167559611</v>
      </c>
      <c r="O368" s="6" t="n">
        <v>1.834971084473044</v>
      </c>
      <c r="P368" s="6" t="n">
        <v>2.089987048792797</v>
      </c>
      <c r="Q368" s="6" t="n">
        <v>-3.680116718920861</v>
      </c>
      <c r="R368" s="6" t="n">
        <v>-3.719434234106459</v>
      </c>
      <c r="S368" s="6" t="n">
        <v>-3.881427530630805</v>
      </c>
      <c r="T368" s="6" t="n">
        <v>0.07313531670822822</v>
      </c>
      <c r="U368" s="6" t="n">
        <v>-2.511137992434581</v>
      </c>
      <c r="V368" s="6" t="n">
        <v>-4.001599855086114</v>
      </c>
      <c r="W368" s="6" t="n">
        <v>2.700796857153895</v>
      </c>
      <c r="X368" s="6" t="n">
        <v>3.625316163690521</v>
      </c>
      <c r="Y368" s="6" t="n">
        <v>2.779031056176846</v>
      </c>
      <c r="Z368" s="6" t="n">
        <v>-0.4721043198251567</v>
      </c>
      <c r="AA368" s="6" t="n">
        <v>1.105983166326365</v>
      </c>
      <c r="AB368" s="6" t="n">
        <v>-0.1787037244333011</v>
      </c>
      <c r="AC368" s="6" t="n">
        <v>-0.2232338122842744</v>
      </c>
      <c r="AD368" s="6" t="n">
        <v>3.906762851482203</v>
      </c>
      <c r="AE368" s="6" t="n">
        <v>0.4083987774793095</v>
      </c>
      <c r="AF368" s="6" t="n">
        <v>1.37351172430765</v>
      </c>
      <c r="AG368" s="6" t="n">
        <v>4.226224620157296</v>
      </c>
      <c r="AH368" s="6" t="n">
        <v>1.57331356579179</v>
      </c>
      <c r="AI368" s="6" t="n">
        <v>0.2117077828079264</v>
      </c>
      <c r="AJ368" s="6" t="n">
        <v>74.28068487967842</v>
      </c>
      <c r="AK368" s="6" t="n">
        <v>0.1144120617320232</v>
      </c>
      <c r="AL368" s="6" t="n">
        <v>1.13122603061099</v>
      </c>
      <c r="AN368" s="6" t="n">
        <v>1.319152116428078</v>
      </c>
      <c r="AO368" s="6" t="n">
        <v>1.319952547390707</v>
      </c>
      <c r="AP368" s="6" t="n">
        <v>0.1276404587830193</v>
      </c>
      <c r="AQ368" s="6" t="n">
        <v>0</v>
      </c>
      <c r="AR368" s="6" t="n">
        <v>0</v>
      </c>
    </row>
    <row r="369">
      <c r="D369" t="inlineStr">
        <is>
          <t>Run 57</t>
        </is>
      </c>
      <c r="J369" s="6" t="n">
        <v>-1.362831904428432</v>
      </c>
      <c r="K369" s="6" t="n">
        <v>3.089909260036582</v>
      </c>
      <c r="L369" s="6" t="n">
        <v>2.355901752808683</v>
      </c>
      <c r="M369" s="6" t="n">
        <v>-1.124297521736303</v>
      </c>
      <c r="N369" s="6" t="n">
        <v>-1.40633191833119</v>
      </c>
      <c r="O369" s="6" t="n">
        <v>0.780017058120396</v>
      </c>
      <c r="P369" s="6" t="n">
        <v>-2.948505139726992</v>
      </c>
      <c r="Q369" s="6" t="n">
        <v>1.726482041979075</v>
      </c>
      <c r="R369" s="6" t="n">
        <v>1.384702908936675</v>
      </c>
      <c r="S369" s="6" t="n">
        <v>3.170778325726777</v>
      </c>
      <c r="T369" s="6" t="n">
        <v>2.284049490177073</v>
      </c>
      <c r="U369" s="6" t="n">
        <v>-3.75201035502315</v>
      </c>
      <c r="V369" s="6" t="n">
        <v>0.4779859534988152</v>
      </c>
      <c r="W369" s="6" t="n">
        <v>-0.1927571389305195</v>
      </c>
      <c r="X369" s="6" t="n">
        <v>-0.4205863642970574</v>
      </c>
      <c r="Y369" s="6" t="n">
        <v>2.615960919982217</v>
      </c>
      <c r="Z369" s="6" t="n">
        <v>0.7344863865236211</v>
      </c>
      <c r="AA369" s="6" t="n">
        <v>1.4586557069873</v>
      </c>
      <c r="AB369" s="6" t="n">
        <v>1.699474352401407</v>
      </c>
      <c r="AC369" s="6" t="n">
        <v>-7.014174666492369</v>
      </c>
      <c r="AD369" s="6" t="n">
        <v>-1.292940270170413</v>
      </c>
      <c r="AE369" s="6" t="n">
        <v>2.599396079591709</v>
      </c>
      <c r="AF369" s="6" t="n">
        <v>1.632237066309072</v>
      </c>
      <c r="AG369" s="6" t="n">
        <v>0.7545851151863404</v>
      </c>
      <c r="AH369" s="6" t="n">
        <v>-0.9045370669146259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1.042230370345747</v>
      </c>
      <c r="AN369" s="6" t="n">
        <v>1.344068057311857</v>
      </c>
      <c r="AO369" s="6" t="n">
        <v>1.344888556064535</v>
      </c>
      <c r="AP369" s="6" t="n">
        <v>0.1331617700512013</v>
      </c>
      <c r="AQ369" s="6" t="n">
        <v>0</v>
      </c>
      <c r="AR369" s="6" t="n">
        <v>0</v>
      </c>
    </row>
    <row r="370">
      <c r="D370" t="inlineStr">
        <is>
          <t>Run 58</t>
        </is>
      </c>
      <c r="J370" s="6" t="n">
        <v>0.6467464421811157</v>
      </c>
      <c r="K370" s="6" t="n">
        <v>1.069761606693015</v>
      </c>
      <c r="L370" s="6" t="n">
        <v>1.708663447586726</v>
      </c>
      <c r="M370" s="6" t="n">
        <v>-2.360049242225136</v>
      </c>
      <c r="N370" s="6" t="n">
        <v>2.725815531918428</v>
      </c>
      <c r="O370" s="6" t="n">
        <v>0.5108306599015285</v>
      </c>
      <c r="P370" s="6" t="n">
        <v>-0.9605384487888755</v>
      </c>
      <c r="Q370" s="6" t="n">
        <v>-2.422759831131548</v>
      </c>
      <c r="R370" s="6" t="n">
        <v>1.271360030963099</v>
      </c>
      <c r="S370" s="6" t="n">
        <v>1.048396346581786</v>
      </c>
      <c r="T370" s="6" t="n">
        <v>0.3412691777932225</v>
      </c>
      <c r="U370" s="6" t="n">
        <v>-0.6699848707409388</v>
      </c>
      <c r="V370" s="6" t="n">
        <v>-1.828499481338154</v>
      </c>
      <c r="W370" s="6" t="n">
        <v>-2.647707124401174</v>
      </c>
      <c r="X370" s="6" t="n">
        <v>0.7285469387945748</v>
      </c>
      <c r="Y370" s="6" t="n">
        <v>-2.35108897011112</v>
      </c>
      <c r="Z370" s="6" t="n">
        <v>0.05381360219267814</v>
      </c>
      <c r="AA370" s="6" t="n">
        <v>-0.04463452566696417</v>
      </c>
      <c r="AB370" s="6" t="n">
        <v>1.362981761055309</v>
      </c>
      <c r="AC370" s="6" t="n">
        <v>2.41318194204919</v>
      </c>
      <c r="AD370" s="6" t="n">
        <v>0.4648718956255904</v>
      </c>
      <c r="AE370" s="6" t="n">
        <v>3.064398420409586</v>
      </c>
      <c r="AF370" s="6" t="n">
        <v>1.978930273918409</v>
      </c>
      <c r="AG370" s="6" t="n">
        <v>-0.5122759210998746</v>
      </c>
      <c r="AH370" s="6" t="n">
        <v>0.5202068822259758</v>
      </c>
      <c r="AI370" s="6" t="n">
        <v>-1.141495329935331</v>
      </c>
      <c r="AJ370" s="6" t="n">
        <v>57.35178208911997</v>
      </c>
      <c r="AK370" s="6" t="n">
        <v>0.1123443300665337</v>
      </c>
      <c r="AL370" s="6" t="n">
        <v>1.101159161214749</v>
      </c>
      <c r="AN370" s="6" t="n">
        <v>1.31002670914699</v>
      </c>
      <c r="AO370" s="6" t="n">
        <v>1.317020332537916</v>
      </c>
      <c r="AP370" s="6" t="n">
        <v>0.128187472038977</v>
      </c>
      <c r="AQ370" s="6" t="n">
        <v>0</v>
      </c>
      <c r="AR370" s="6" t="n">
        <v>0</v>
      </c>
    </row>
    <row r="371">
      <c r="D371" t="inlineStr">
        <is>
          <t>Run 59</t>
        </is>
      </c>
      <c r="J371" s="6" t="n">
        <v>-3.490970134625511</v>
      </c>
      <c r="K371" s="6" t="n">
        <v>3.070914434859562</v>
      </c>
      <c r="L371" s="6" t="n">
        <v>0.725382630678359</v>
      </c>
      <c r="M371" s="6" t="n">
        <v>-3.655096621594992</v>
      </c>
      <c r="N371" s="6" t="n">
        <v>1.864255558916166</v>
      </c>
      <c r="O371" s="6" t="n">
        <v>1.409466905689189</v>
      </c>
      <c r="P371" s="6" t="n">
        <v>2.730759175000288</v>
      </c>
      <c r="Q371" s="6" t="n">
        <v>-1.79868354234524</v>
      </c>
      <c r="R371" s="6" t="n">
        <v>3.225233911293928</v>
      </c>
      <c r="S371" s="6" t="n">
        <v>4.632519344858496</v>
      </c>
      <c r="T371" s="6" t="n">
        <v>2.300119150967615</v>
      </c>
      <c r="U371" s="6" t="n">
        <v>1.632421068238138</v>
      </c>
      <c r="V371" s="6" t="n">
        <v>-1.228417524515542</v>
      </c>
      <c r="W371" s="6" t="n">
        <v>-1.517877746939343</v>
      </c>
      <c r="X371" s="6" t="n">
        <v>1.547294571772636</v>
      </c>
      <c r="Y371" s="6" t="n">
        <v>0.4309882886839348</v>
      </c>
      <c r="Z371" s="6" t="n">
        <v>0.5347879034443331</v>
      </c>
      <c r="AA371" s="6" t="n">
        <v>2.12484460791416</v>
      </c>
      <c r="AB371" s="6" t="n">
        <v>-0.8056583608832776</v>
      </c>
      <c r="AC371" s="6" t="n">
        <v>-0.9068752803681291</v>
      </c>
      <c r="AD371" s="6" t="n">
        <v>1.391299256037554</v>
      </c>
      <c r="AE371" s="6" t="n">
        <v>-0.9908255026906735</v>
      </c>
      <c r="AF371" s="6" t="n">
        <v>-3.136477679779363</v>
      </c>
      <c r="AG371" s="6" t="n">
        <v>-1.554550353546221</v>
      </c>
      <c r="AH371" s="6" t="n">
        <v>1.57637247041572</v>
      </c>
      <c r="AI371" s="6" t="n">
        <v>-0.8293410390258337</v>
      </c>
      <c r="AJ371" s="6" t="n">
        <v>77.77283980019602</v>
      </c>
      <c r="AK371" s="6" t="n">
        <v>0.1077289129017537</v>
      </c>
      <c r="AL371" s="6" t="n">
        <v>1.041589905962255</v>
      </c>
      <c r="AN371" s="6" t="n">
        <v>1.313210732262008</v>
      </c>
      <c r="AO371" s="6" t="n">
        <v>1.327089171482899</v>
      </c>
      <c r="AP371" s="6" t="n">
        <v>0.1335014979218601</v>
      </c>
      <c r="AQ371" s="6" t="n">
        <v>0</v>
      </c>
      <c r="AR371" s="6" t="n">
        <v>0</v>
      </c>
    </row>
    <row r="372">
      <c r="D372" t="inlineStr">
        <is>
          <t>Run 60</t>
        </is>
      </c>
      <c r="J372" s="6" t="n">
        <v>-3.401004312741066</v>
      </c>
      <c r="K372" s="6" t="n">
        <v>2.767424041622686</v>
      </c>
      <c r="L372" s="6" t="n">
        <v>-2.440615517649509</v>
      </c>
      <c r="M372" s="6" t="n">
        <v>-0.8601288751460054</v>
      </c>
      <c r="N372" s="6" t="n">
        <v>-1.22063783720824</v>
      </c>
      <c r="O372" s="6" t="n">
        <v>-0.5389655836016946</v>
      </c>
      <c r="P372" s="6" t="n">
        <v>0.9337808935031759</v>
      </c>
      <c r="Q372" s="6" t="n">
        <v>1.680107826951161</v>
      </c>
      <c r="R372" s="6" t="n">
        <v>0.7547667245371377</v>
      </c>
      <c r="S372" s="6" t="n">
        <v>-0.832463491344321</v>
      </c>
      <c r="T372" s="6" t="n">
        <v>-0.1877218736282507</v>
      </c>
      <c r="U372" s="6" t="n">
        <v>-0.6138459969404765</v>
      </c>
      <c r="V372" s="6" t="n">
        <v>-2.12969031266461</v>
      </c>
      <c r="W372" s="6" t="n">
        <v>-1.302657407865026</v>
      </c>
      <c r="X372" s="6" t="n">
        <v>1.852168197797573</v>
      </c>
      <c r="Y372" s="6" t="n">
        <v>3.820476269750216</v>
      </c>
      <c r="Z372" s="6" t="n">
        <v>0.6500889906008256</v>
      </c>
      <c r="AA372" s="6" t="n">
        <v>1.51362070213077</v>
      </c>
      <c r="AB372" s="6" t="n">
        <v>1.793144839495058</v>
      </c>
      <c r="AC372" s="6" t="n">
        <v>1.407442281248813</v>
      </c>
      <c r="AD372" s="6" t="n">
        <v>-1.754748726358907</v>
      </c>
      <c r="AE372" s="6" t="n">
        <v>2.415228508050491</v>
      </c>
      <c r="AF372" s="6" t="n">
        <v>2.356419573986493</v>
      </c>
      <c r="AG372" s="6" t="n">
        <v>-0.06431296165530161</v>
      </c>
      <c r="AH372" s="6" t="n">
        <v>0.6741209897731141</v>
      </c>
      <c r="AI372" s="6" t="n">
        <v>-1.245893489279544</v>
      </c>
      <c r="AJ372" s="6" t="n">
        <v>78.36096269500629</v>
      </c>
      <c r="AK372" s="6" t="n">
        <v>0.1527579526117313</v>
      </c>
      <c r="AL372" s="6" t="n">
        <v>1.051203924567584</v>
      </c>
      <c r="AN372" s="6" t="n">
        <v>1.346330994763459</v>
      </c>
      <c r="AO372" s="6" t="n">
        <v>1.347348464556623</v>
      </c>
      <c r="AP372" s="6" t="n">
        <v>0.1321762167039881</v>
      </c>
      <c r="AQ372" s="6" t="n">
        <v>0</v>
      </c>
      <c r="AR372" s="6" t="n">
        <v>0</v>
      </c>
    </row>
    <row r="373">
      <c r="D373" t="inlineStr">
        <is>
          <t>Run 61</t>
        </is>
      </c>
      <c r="J373" s="6" t="n">
        <v>2.280295688316769</v>
      </c>
      <c r="K373" s="6" t="n">
        <v>1.346499894487285</v>
      </c>
      <c r="L373" s="6" t="n">
        <v>1.041146428063754</v>
      </c>
      <c r="M373" s="6" t="n">
        <v>0.162969018539886</v>
      </c>
      <c r="N373" s="6" t="n">
        <v>0.4652538759065392</v>
      </c>
      <c r="O373" s="6" t="n">
        <v>2.238439006378213</v>
      </c>
      <c r="P373" s="6" t="n">
        <v>-1.288568119659551</v>
      </c>
      <c r="Q373" s="6" t="n">
        <v>1.757846867149387</v>
      </c>
      <c r="R373" s="6" t="n">
        <v>1.463517711139762</v>
      </c>
      <c r="S373" s="6" t="n">
        <v>0.9123568364423672</v>
      </c>
      <c r="T373" s="6" t="n">
        <v>-2.443811385958135</v>
      </c>
      <c r="U373" s="6" t="n">
        <v>2.635865204200637</v>
      </c>
      <c r="V373" s="6" t="n">
        <v>1.810077705935529</v>
      </c>
      <c r="W373" s="6" t="n">
        <v>2.202131794706432</v>
      </c>
      <c r="X373" s="6" t="n">
        <v>-0.5969977753124678</v>
      </c>
      <c r="Y373" s="6" t="n">
        <v>3.947939937810635</v>
      </c>
      <c r="Z373" s="6" t="n">
        <v>-0.7374320981014543</v>
      </c>
      <c r="AA373" s="6" t="n">
        <v>-2.219842297641262</v>
      </c>
      <c r="AB373" s="6" t="n">
        <v>-0.7405620097483351</v>
      </c>
      <c r="AC373" s="6" t="n">
        <v>3.81144868892929</v>
      </c>
      <c r="AD373" s="6" t="n">
        <v>-3.313557804436321</v>
      </c>
      <c r="AE373" s="6" t="n">
        <v>-3.272711857305229</v>
      </c>
      <c r="AF373" s="6" t="n">
        <v>-0.8983976705746957</v>
      </c>
      <c r="AG373" s="6" t="n">
        <v>2.827654136099994</v>
      </c>
      <c r="AH373" s="6" t="n">
        <v>3.886110467697702</v>
      </c>
      <c r="AI373" s="6" t="n">
        <v>0.4879685196390419</v>
      </c>
      <c r="AJ373" s="6" t="n">
        <v>82.89695367202437</v>
      </c>
      <c r="AK373" s="6" t="n">
        <v>0.06198224315185069</v>
      </c>
      <c r="AL373" s="6" t="n">
        <v>1.041488040330273</v>
      </c>
      <c r="AN373" s="6" t="n">
        <v>1.355627305864383</v>
      </c>
      <c r="AO373" s="6" t="n">
        <v>1.355722497880593</v>
      </c>
      <c r="AP373" s="6" t="n">
        <v>0.135707186314287</v>
      </c>
      <c r="AQ373" s="6" t="n">
        <v>0</v>
      </c>
      <c r="AR373" s="6" t="n">
        <v>0</v>
      </c>
    </row>
    <row r="374">
      <c r="D374" t="inlineStr">
        <is>
          <t>Run 62</t>
        </is>
      </c>
      <c r="J374" s="6" t="n">
        <v>0.3454369005615971</v>
      </c>
      <c r="K374" s="6" t="n">
        <v>1.618309348323446</v>
      </c>
      <c r="L374" s="6" t="n">
        <v>-2.864386501478445</v>
      </c>
      <c r="M374" s="6" t="n">
        <v>-1.063106336950236</v>
      </c>
      <c r="N374" s="6" t="n">
        <v>2.620889658591787</v>
      </c>
      <c r="O374" s="6" t="n">
        <v>0.801078969789162</v>
      </c>
      <c r="P374" s="6" t="n">
        <v>0.3992664161603092</v>
      </c>
      <c r="Q374" s="6" t="n">
        <v>1.725804317949755</v>
      </c>
      <c r="R374" s="6" t="n">
        <v>0.8386423945855342</v>
      </c>
      <c r="S374" s="6" t="n">
        <v>-3.266640911156249</v>
      </c>
      <c r="T374" s="6" t="n">
        <v>4.128740462320136</v>
      </c>
      <c r="U374" s="6" t="n">
        <v>-1.051603751156357</v>
      </c>
      <c r="V374" s="6" t="n">
        <v>1.645412127528135</v>
      </c>
      <c r="W374" s="6" t="n">
        <v>-3.041910105006836</v>
      </c>
      <c r="X374" s="6" t="n">
        <v>1.697256992516203</v>
      </c>
      <c r="Y374" s="6" t="n">
        <v>-0.3929380670164528</v>
      </c>
      <c r="Z374" s="6" t="n">
        <v>2.129471715389431</v>
      </c>
      <c r="AA374" s="6" t="n">
        <v>-2.281534082729203</v>
      </c>
      <c r="AB374" s="6" t="n">
        <v>-2.446483824536764</v>
      </c>
      <c r="AC374" s="6" t="n">
        <v>2.510299531859925</v>
      </c>
      <c r="AD374" s="6" t="n">
        <v>0.8074279536041828</v>
      </c>
      <c r="AE374" s="6" t="n">
        <v>0.04380948743951917</v>
      </c>
      <c r="AF374" s="6" t="n">
        <v>-0.920405240191618</v>
      </c>
      <c r="AG374" s="6" t="n">
        <v>-1.89955627912438</v>
      </c>
      <c r="AH374" s="6" t="n">
        <v>-0.6680806546089763</v>
      </c>
      <c r="AI374" s="6" t="n">
        <v>-1.596804964566068</v>
      </c>
      <c r="AJ374" s="6" t="n">
        <v>75.27218629594965</v>
      </c>
      <c r="AK374" s="6" t="n">
        <v>0.0809404516732242</v>
      </c>
      <c r="AL374" s="6" t="n">
        <v>1.068049865695323</v>
      </c>
      <c r="AN374" s="6" t="n">
        <v>1.342521509523076</v>
      </c>
      <c r="AO374" s="6" t="n">
        <v>1.343772136083536</v>
      </c>
      <c r="AP374" s="6" t="n">
        <v>0.1322065748021064</v>
      </c>
      <c r="AQ374" s="6" t="n">
        <v>0</v>
      </c>
      <c r="AR374" s="6" t="n">
        <v>0</v>
      </c>
    </row>
    <row r="375">
      <c r="D375" t="inlineStr">
        <is>
          <t>Run 63</t>
        </is>
      </c>
      <c r="J375" s="6" t="n">
        <v>0.586618353636381</v>
      </c>
      <c r="K375" s="6" t="n">
        <v>0.8848351815579725</v>
      </c>
      <c r="L375" s="6" t="n">
        <v>2.119880031369105</v>
      </c>
      <c r="M375" s="6" t="n">
        <v>4.08857406811806</v>
      </c>
      <c r="N375" s="6" t="n">
        <v>-0.8933559150936006</v>
      </c>
      <c r="O375" s="6" t="n">
        <v>3.055843058811973</v>
      </c>
      <c r="P375" s="6" t="n">
        <v>-2.562075657580928</v>
      </c>
      <c r="Q375" s="6" t="n">
        <v>1.031919930008531</v>
      </c>
      <c r="R375" s="6" t="n">
        <v>-1.998609589305847</v>
      </c>
      <c r="S375" s="6" t="n">
        <v>1.541870787968635</v>
      </c>
      <c r="T375" s="6" t="n">
        <v>2.19859691408634</v>
      </c>
      <c r="U375" s="6" t="n">
        <v>-0.8482024239198782</v>
      </c>
      <c r="V375" s="6" t="n">
        <v>-3.880930144565305</v>
      </c>
      <c r="W375" s="6" t="n">
        <v>-0.01109506790848656</v>
      </c>
      <c r="X375" s="6" t="n">
        <v>1.763850669447227</v>
      </c>
      <c r="Y375" s="6" t="n">
        <v>-1.945285739371613</v>
      </c>
      <c r="Z375" s="6" t="n">
        <v>-0.505677621021978</v>
      </c>
      <c r="AA375" s="6" t="n">
        <v>0.1299300379401296</v>
      </c>
      <c r="AB375" s="6" t="n">
        <v>-0.7511172187284684</v>
      </c>
      <c r="AC375" s="6" t="n">
        <v>0.4958905030687354</v>
      </c>
      <c r="AD375" s="6" t="n">
        <v>0.2840740356730063</v>
      </c>
      <c r="AE375" s="6" t="n">
        <v>0.3179090680530128</v>
      </c>
      <c r="AF375" s="6" t="n">
        <v>-0.08310706891871654</v>
      </c>
      <c r="AG375" s="6" t="n">
        <v>-1.853351924016385</v>
      </c>
      <c r="AH375" s="6" t="n">
        <v>0.821345504333478</v>
      </c>
      <c r="AI375" s="6" t="n">
        <v>2.35115623608953</v>
      </c>
      <c r="AJ375" s="6" t="n">
        <v>66.19911265263477</v>
      </c>
      <c r="AK375" s="6" t="n">
        <v>0.1759865633257791</v>
      </c>
      <c r="AL375" s="6" t="n">
        <v>1.121765567333094</v>
      </c>
      <c r="AN375" s="6" t="n">
        <v>1.313562001175283</v>
      </c>
      <c r="AO375" s="6" t="n">
        <v>1.313920147245646</v>
      </c>
      <c r="AP375" s="6" t="n">
        <v>0.1267728935840634</v>
      </c>
      <c r="AQ375" s="6" t="n">
        <v>0</v>
      </c>
      <c r="AR375" s="6" t="n">
        <v>0</v>
      </c>
    </row>
    <row r="376">
      <c r="D376" t="inlineStr">
        <is>
          <t>Run 64</t>
        </is>
      </c>
      <c r="J376" s="6" t="n">
        <v>-1.386120704911382</v>
      </c>
      <c r="K376" s="6" t="n">
        <v>1.395487811408849</v>
      </c>
      <c r="L376" s="6" t="n">
        <v>0.4853273833531347</v>
      </c>
      <c r="M376" s="6" t="n">
        <v>-1.067527491942416</v>
      </c>
      <c r="N376" s="6" t="n">
        <v>-0.9599276880789002</v>
      </c>
      <c r="O376" s="6" t="n">
        <v>3.069110669585557</v>
      </c>
      <c r="P376" s="6" t="n">
        <v>-2.141709034367003</v>
      </c>
      <c r="Q376" s="6" t="n">
        <v>5</v>
      </c>
      <c r="R376" s="6" t="n">
        <v>0.1665010425461426</v>
      </c>
      <c r="S376" s="6" t="n">
        <v>-3.083472395182567</v>
      </c>
      <c r="T376" s="6" t="n">
        <v>2.434608074029265</v>
      </c>
      <c r="U376" s="6" t="n">
        <v>-3.652417651510686</v>
      </c>
      <c r="V376" s="6" t="n">
        <v>-4.752785328297914</v>
      </c>
      <c r="W376" s="6" t="n">
        <v>-1.398119961059558</v>
      </c>
      <c r="X376" s="6" t="n">
        <v>-0.8375129182573479</v>
      </c>
      <c r="Y376" s="6" t="n">
        <v>2.416190680270159</v>
      </c>
      <c r="Z376" s="6" t="n">
        <v>0.9067633818974323</v>
      </c>
      <c r="AA376" s="6" t="n">
        <v>0.7440308447584203</v>
      </c>
      <c r="AB376" s="6" t="n">
        <v>-1.392174453366655</v>
      </c>
      <c r="AC376" s="6" t="n">
        <v>-0.7039706452421243</v>
      </c>
      <c r="AD376" s="6" t="n">
        <v>-1.351711673729458</v>
      </c>
      <c r="AE376" s="6" t="n">
        <v>1.82117001841186</v>
      </c>
      <c r="AF376" s="6" t="n">
        <v>-2.836166599010973</v>
      </c>
      <c r="AG376" s="6" t="n">
        <v>1.306986968115154</v>
      </c>
      <c r="AH376" s="6" t="n">
        <v>1.232832938017508</v>
      </c>
      <c r="AI376" s="6" t="n">
        <v>-0.08352786132944988</v>
      </c>
      <c r="AJ376" s="6" t="n">
        <v>74.38247687113221</v>
      </c>
      <c r="AK376" s="6" t="n">
        <v>0.1604737290279121</v>
      </c>
      <c r="AL376" s="6" t="n">
        <v>1.040856616094052</v>
      </c>
      <c r="AN376" s="6" t="n">
        <v>1.345131687594594</v>
      </c>
      <c r="AO376" s="6" t="n">
        <v>1.347178726231114</v>
      </c>
      <c r="AP376" s="6" t="n">
        <v>0.1323713673803672</v>
      </c>
      <c r="AQ376" s="6" t="n">
        <v>0</v>
      </c>
      <c r="AR376" s="6" t="n">
        <v>0</v>
      </c>
    </row>
    <row r="377">
      <c r="D377" t="inlineStr">
        <is>
          <t>Run 65</t>
        </is>
      </c>
      <c r="J377" s="6" t="n">
        <v>-2.496592527445506</v>
      </c>
      <c r="K377" s="6" t="n">
        <v>-1.108289502549069</v>
      </c>
      <c r="L377" s="6" t="n">
        <v>-0.5444105950162941</v>
      </c>
      <c r="M377" s="6" t="n">
        <v>-1.78662611314666</v>
      </c>
      <c r="N377" s="6" t="n">
        <v>0.3424112458454905</v>
      </c>
      <c r="O377" s="6" t="n">
        <v>-1.430749227034415</v>
      </c>
      <c r="P377" s="6" t="n">
        <v>-1.826469631350496</v>
      </c>
      <c r="Q377" s="6" t="n">
        <v>-1.322895356849274</v>
      </c>
      <c r="R377" s="6" t="n">
        <v>-4.474324045572077</v>
      </c>
      <c r="S377" s="6" t="n">
        <v>-2.897130726797729</v>
      </c>
      <c r="T377" s="6" t="n">
        <v>-0.4321119768096081</v>
      </c>
      <c r="U377" s="6" t="n">
        <v>-0.2446639217019574</v>
      </c>
      <c r="V377" s="6" t="n">
        <v>-0.8189391995476749</v>
      </c>
      <c r="W377" s="6" t="n">
        <v>-2.577482414928133</v>
      </c>
      <c r="X377" s="6" t="n">
        <v>3.226091837974647</v>
      </c>
      <c r="Y377" s="6" t="n">
        <v>-1.719889543912909</v>
      </c>
      <c r="Z377" s="6" t="n">
        <v>1.676971904969034</v>
      </c>
      <c r="AA377" s="6" t="n">
        <v>1.908974334348126</v>
      </c>
      <c r="AB377" s="6" t="n">
        <v>-2.142305802816606</v>
      </c>
      <c r="AC377" s="6" t="n">
        <v>0.3510991785632967</v>
      </c>
      <c r="AD377" s="6" t="n">
        <v>3.590224267704451</v>
      </c>
      <c r="AE377" s="6" t="n">
        <v>1.51516882211392</v>
      </c>
      <c r="AF377" s="6" t="n">
        <v>-1.502915503554796</v>
      </c>
      <c r="AG377" s="6" t="n">
        <v>2.645740475582207</v>
      </c>
      <c r="AH377" s="6" t="n">
        <v>3.513116576399679</v>
      </c>
      <c r="AI377" s="6" t="n">
        <v>2.783326151797505</v>
      </c>
      <c r="AJ377" s="6" t="n">
        <v>74.46725450605157</v>
      </c>
      <c r="AK377" s="6" t="n">
        <v>0.1291931578327591</v>
      </c>
      <c r="AL377" s="6" t="n">
        <v>1.06339056071957</v>
      </c>
      <c r="AN377" s="6" t="n">
        <v>1.331212987996515</v>
      </c>
      <c r="AO377" s="6" t="n">
        <v>1.33604959817756</v>
      </c>
      <c r="AP377" s="6" t="n">
        <v>0.1311267793305451</v>
      </c>
      <c r="AQ377" s="6" t="n">
        <v>0</v>
      </c>
      <c r="AR377" s="6" t="n">
        <v>0</v>
      </c>
    </row>
    <row r="378">
      <c r="D378" t="inlineStr">
        <is>
          <t>Run 66</t>
        </is>
      </c>
      <c r="J378" s="6" t="n">
        <v>0.175694096494897</v>
      </c>
      <c r="K378" s="6" t="n">
        <v>-0.5658561707604429</v>
      </c>
      <c r="L378" s="6" t="n">
        <v>0.6460982116388392</v>
      </c>
      <c r="M378" s="6" t="n">
        <v>1.875676883892078</v>
      </c>
      <c r="N378" s="6" t="n">
        <v>2.631683739131034</v>
      </c>
      <c r="O378" s="6" t="n">
        <v>1.317293094991376</v>
      </c>
      <c r="P378" s="6" t="n">
        <v>-1.014849070732026</v>
      </c>
      <c r="Q378" s="6" t="n">
        <v>3.023821069271232</v>
      </c>
      <c r="R378" s="6" t="n">
        <v>0.06527400531383999</v>
      </c>
      <c r="S378" s="6" t="n">
        <v>-1.411824656011069</v>
      </c>
      <c r="T378" s="6" t="n">
        <v>-0.917817843929055</v>
      </c>
      <c r="U378" s="6" t="n">
        <v>1.354515834386464</v>
      </c>
      <c r="V378" s="6" t="n">
        <v>-1.518188614655756</v>
      </c>
      <c r="W378" s="6" t="n">
        <v>1.016785555225269</v>
      </c>
      <c r="X378" s="6" t="n">
        <v>1.50319348703632</v>
      </c>
      <c r="Y378" s="6" t="n">
        <v>3.38266884780884</v>
      </c>
      <c r="Z378" s="6" t="n">
        <v>-4.285809369540626</v>
      </c>
      <c r="AA378" s="6" t="n">
        <v>-0.8726821207282107</v>
      </c>
      <c r="AB378" s="6" t="n">
        <v>-5.222986417273442</v>
      </c>
      <c r="AC378" s="6" t="n">
        <v>1.632275064117793</v>
      </c>
      <c r="AD378" s="6" t="n">
        <v>-1.493698401944274</v>
      </c>
      <c r="AE378" s="6" t="n">
        <v>-0.8786511565697531</v>
      </c>
      <c r="AF378" s="6" t="n">
        <v>-0.1584514224836001</v>
      </c>
      <c r="AG378" s="6" t="n">
        <v>-1.231594560560353</v>
      </c>
      <c r="AH378" s="6" t="n">
        <v>0.5949968889808017</v>
      </c>
      <c r="AI378" s="6" t="n">
        <v>1.210759291233624</v>
      </c>
      <c r="AJ378" s="6" t="n">
        <v>74.10007582451033</v>
      </c>
      <c r="AK378" s="6" t="n">
        <v>0.122831331689042</v>
      </c>
      <c r="AL378" s="6" t="n">
        <v>1.09863859617832</v>
      </c>
      <c r="AN378" s="6" t="n">
        <v>1.329152797453295</v>
      </c>
      <c r="AO378" s="6" t="n">
        <v>1.329206691278681</v>
      </c>
      <c r="AP378" s="6" t="n">
        <v>0.129375520803008</v>
      </c>
      <c r="AQ378" s="6" t="n">
        <v>0</v>
      </c>
      <c r="AR378" s="6" t="n">
        <v>0</v>
      </c>
    </row>
    <row r="379">
      <c r="D379" t="inlineStr">
        <is>
          <t>Run 67</t>
        </is>
      </c>
      <c r="J379" s="6" t="n">
        <v>-2.025851607121125</v>
      </c>
      <c r="K379" s="6" t="n">
        <v>-0.5023563110035792</v>
      </c>
      <c r="L379" s="6" t="n">
        <v>-2.358625564452395</v>
      </c>
      <c r="M379" s="6" t="n">
        <v>1.195546419048928</v>
      </c>
      <c r="N379" s="6" t="n">
        <v>0.7075556904899911</v>
      </c>
      <c r="O379" s="6" t="n">
        <v>-0.434076904670896</v>
      </c>
      <c r="P379" s="6" t="n">
        <v>1.983733532839934</v>
      </c>
      <c r="Q379" s="6" t="n">
        <v>0.6074784881067732</v>
      </c>
      <c r="R379" s="6" t="n">
        <v>-1.525869545885491</v>
      </c>
      <c r="S379" s="6" t="n">
        <v>0.0703009760867413</v>
      </c>
      <c r="T379" s="6" t="n">
        <v>0.7076665015542168</v>
      </c>
      <c r="U379" s="6" t="n">
        <v>0.5444022630817393</v>
      </c>
      <c r="V379" s="6" t="n">
        <v>0.2656107903148514</v>
      </c>
      <c r="W379" s="6" t="n">
        <v>-2.418405226297071</v>
      </c>
      <c r="X379" s="6" t="n">
        <v>0.684590622450641</v>
      </c>
      <c r="Y379" s="6" t="n">
        <v>1.513640445753965</v>
      </c>
      <c r="Z379" s="6" t="n">
        <v>3.378909002767684</v>
      </c>
      <c r="AA379" s="6" t="n">
        <v>1.528448046785257</v>
      </c>
      <c r="AB379" s="6" t="n">
        <v>-0.2604326591973083</v>
      </c>
      <c r="AC379" s="6" t="n">
        <v>-1.862118042711955</v>
      </c>
      <c r="AD379" s="6" t="n">
        <v>-0.1139867604335031</v>
      </c>
      <c r="AE379" s="6" t="n">
        <v>-0.5221133151018779</v>
      </c>
      <c r="AF379" s="6" t="n">
        <v>-1.659057576513515</v>
      </c>
      <c r="AG379" s="6" t="n">
        <v>2.382558304584646</v>
      </c>
      <c r="AH379" s="6" t="n">
        <v>-1.245615201972565</v>
      </c>
      <c r="AI379" s="6" t="n">
        <v>1.365937759557698</v>
      </c>
      <c r="AJ379" s="6" t="n">
        <v>73.87001592050277</v>
      </c>
      <c r="AK379" s="6" t="n">
        <v>0.05906938988954104</v>
      </c>
      <c r="AL379" s="6" t="n">
        <v>1.068909964245493</v>
      </c>
      <c r="AN379" s="6" t="n">
        <v>1.34619686915058</v>
      </c>
      <c r="AO379" s="6" t="n">
        <v>1.346442377201708</v>
      </c>
      <c r="AP379" s="6" t="n">
        <v>0.132789129964055</v>
      </c>
      <c r="AQ379" s="6" t="n">
        <v>0</v>
      </c>
      <c r="AR379" s="6" t="n">
        <v>0</v>
      </c>
    </row>
    <row r="380">
      <c r="D380" t="inlineStr">
        <is>
          <t>Run 68</t>
        </is>
      </c>
      <c r="J380" s="6" t="n">
        <v>-1.376849789294018</v>
      </c>
      <c r="K380" s="6" t="n">
        <v>-1.946964644909903</v>
      </c>
      <c r="L380" s="6" t="n">
        <v>-0.3900193519158413</v>
      </c>
      <c r="M380" s="6" t="n">
        <v>-2.974076143097932</v>
      </c>
      <c r="N380" s="6" t="n">
        <v>-0.5908517592833427</v>
      </c>
      <c r="O380" s="6" t="n">
        <v>0.8265163144431917</v>
      </c>
      <c r="P380" s="6" t="n">
        <v>-0.7917536108845056</v>
      </c>
      <c r="Q380" s="6" t="n">
        <v>1.070726478695168</v>
      </c>
      <c r="R380" s="6" t="n">
        <v>-0.8568125482333078</v>
      </c>
      <c r="S380" s="6" t="n">
        <v>-0.2122180492099642</v>
      </c>
      <c r="T380" s="6" t="n">
        <v>-2.321826593183592</v>
      </c>
      <c r="U380" s="6" t="n">
        <v>1.689113650802679</v>
      </c>
      <c r="V380" s="6" t="n">
        <v>-2.388575035549994</v>
      </c>
      <c r="W380" s="6" t="n">
        <v>-2.454372428193584</v>
      </c>
      <c r="X380" s="6" t="n">
        <v>-2.837985399003413</v>
      </c>
      <c r="Y380" s="6" t="n">
        <v>0.9423323605366999</v>
      </c>
      <c r="Z380" s="6" t="n">
        <v>-3.373175397865542</v>
      </c>
      <c r="AA380" s="6" t="n">
        <v>-0.120504596801095</v>
      </c>
      <c r="AB380" s="6" t="n">
        <v>1.777972363454585</v>
      </c>
      <c r="AC380" s="6" t="n">
        <v>1.379757049529552</v>
      </c>
      <c r="AD380" s="6" t="n">
        <v>3.195931431903121</v>
      </c>
      <c r="AE380" s="6" t="n">
        <v>-2.25928573112847</v>
      </c>
      <c r="AF380" s="6" t="n">
        <v>-1.241513714035977</v>
      </c>
      <c r="AG380" s="6" t="n">
        <v>0.6931482697828956</v>
      </c>
      <c r="AH380" s="6" t="n">
        <v>-3.415102128653255</v>
      </c>
      <c r="AI380" s="6" t="n">
        <v>-2.803862295899062</v>
      </c>
      <c r="AJ380" s="6" t="n">
        <v>80.62540026274243</v>
      </c>
      <c r="AK380" s="6" t="n">
        <v>0.1201084139218715</v>
      </c>
      <c r="AL380" s="6" t="n">
        <v>1.023918978237239</v>
      </c>
      <c r="AN380" s="6" t="n">
        <v>1.329853636054559</v>
      </c>
      <c r="AO380" s="6" t="n">
        <v>1.33852563534775</v>
      </c>
      <c r="AP380" s="6" t="n">
        <v>0.1359423052074509</v>
      </c>
      <c r="AQ380" s="6" t="n">
        <v>0</v>
      </c>
      <c r="AR380" s="6" t="n">
        <v>0</v>
      </c>
    </row>
    <row r="381">
      <c r="D381" t="inlineStr">
        <is>
          <t>Run 69</t>
        </is>
      </c>
      <c r="J381" s="6" t="n">
        <v>-0.5297703519449261</v>
      </c>
      <c r="K381" s="6" t="n">
        <v>-0.164672712464638</v>
      </c>
      <c r="L381" s="6" t="n">
        <v>0.004228963239068985</v>
      </c>
      <c r="M381" s="6" t="n">
        <v>1.51076225850664</v>
      </c>
      <c r="N381" s="6" t="n">
        <v>0.2168600838548869</v>
      </c>
      <c r="O381" s="6" t="n">
        <v>-0.9364035502703594</v>
      </c>
      <c r="P381" s="6" t="n">
        <v>-0.4260115613485449</v>
      </c>
      <c r="Q381" s="6" t="n">
        <v>0.4733820512297035</v>
      </c>
      <c r="R381" s="6" t="n">
        <v>-0.1461567490243934</v>
      </c>
      <c r="S381" s="6" t="n">
        <v>-1.163438054917319</v>
      </c>
      <c r="T381" s="6" t="n">
        <v>-2.382690105158683</v>
      </c>
      <c r="U381" s="6" t="n">
        <v>-2.070162158768011</v>
      </c>
      <c r="V381" s="6" t="n">
        <v>-1.200052227713615</v>
      </c>
      <c r="W381" s="6" t="n">
        <v>3.483044054185558</v>
      </c>
      <c r="X381" s="6" t="n">
        <v>-3.250547633995218</v>
      </c>
      <c r="Y381" s="6" t="n">
        <v>3.658987570721477</v>
      </c>
      <c r="Z381" s="6" t="n">
        <v>-0.8846294956568088</v>
      </c>
      <c r="AA381" s="6" t="n">
        <v>-2.258763559890107</v>
      </c>
      <c r="AB381" s="6" t="n">
        <v>-2.325528693463385</v>
      </c>
      <c r="AC381" s="6" t="n">
        <v>-0.7521086051729421</v>
      </c>
      <c r="AD381" s="6" t="n">
        <v>0.02521637239905933</v>
      </c>
      <c r="AE381" s="6" t="n">
        <v>-0.00417211782975249</v>
      </c>
      <c r="AF381" s="6" t="n">
        <v>-1.433042974099022</v>
      </c>
      <c r="AG381" s="6" t="n">
        <v>-1.4169892987834</v>
      </c>
      <c r="AH381" s="6" t="n">
        <v>0.3367698403837073</v>
      </c>
      <c r="AI381" s="6" t="n">
        <v>-1.561134461141793</v>
      </c>
      <c r="AJ381" s="6" t="n">
        <v>68.2031461065359</v>
      </c>
      <c r="AK381" s="6" t="n">
        <v>0.1247902575260458</v>
      </c>
      <c r="AL381" s="6" t="n">
        <v>1.055628480592512</v>
      </c>
      <c r="AN381" s="6" t="n">
        <v>1.342741491609421</v>
      </c>
      <c r="AO381" s="6" t="n">
        <v>1.342981001774084</v>
      </c>
      <c r="AP381" s="6" t="n">
        <v>0.1317050407695465</v>
      </c>
      <c r="AQ381" s="6" t="n">
        <v>0</v>
      </c>
      <c r="AR381" s="6" t="n">
        <v>0</v>
      </c>
    </row>
    <row r="382">
      <c r="D382" t="inlineStr">
        <is>
          <t>Run 70</t>
        </is>
      </c>
      <c r="J382" s="6" t="n">
        <v>1.843252887828304</v>
      </c>
      <c r="K382" s="6" t="n">
        <v>0.003650652388417051</v>
      </c>
      <c r="L382" s="6" t="n">
        <v>-0.4095621570052811</v>
      </c>
      <c r="M382" s="6" t="n">
        <v>-2.739327018539146</v>
      </c>
      <c r="N382" s="6" t="n">
        <v>2.48300254018584</v>
      </c>
      <c r="O382" s="6" t="n">
        <v>-4.570821214851598</v>
      </c>
      <c r="P382" s="6" t="n">
        <v>-1.134302924096959</v>
      </c>
      <c r="Q382" s="6" t="n">
        <v>-3.144513708925554</v>
      </c>
      <c r="R382" s="6" t="n">
        <v>-0.2157248835269312</v>
      </c>
      <c r="S382" s="6" t="n">
        <v>1.148888897095125</v>
      </c>
      <c r="T382" s="6" t="n">
        <v>0.525964079811073</v>
      </c>
      <c r="U382" s="6" t="n">
        <v>-0.7419832745501351</v>
      </c>
      <c r="V382" s="6" t="n">
        <v>-2.341051533674518</v>
      </c>
      <c r="W382" s="6" t="n">
        <v>2.609139206512114</v>
      </c>
      <c r="X382" s="6" t="n">
        <v>0.217028434992598</v>
      </c>
      <c r="Y382" s="6" t="n">
        <v>-2.311142461072511</v>
      </c>
      <c r="Z382" s="6" t="n">
        <v>0.6587333412005153</v>
      </c>
      <c r="AA382" s="6" t="n">
        <v>-3.379990201282383</v>
      </c>
      <c r="AB382" s="6" t="n">
        <v>-0.1604084755274488</v>
      </c>
      <c r="AC382" s="6" t="n">
        <v>0.8167763468217974</v>
      </c>
      <c r="AD382" s="6" t="n">
        <v>3.135272778982562</v>
      </c>
      <c r="AE382" s="6" t="n">
        <v>-1.197887244544606</v>
      </c>
      <c r="AF382" s="6" t="n">
        <v>1.355533952234879</v>
      </c>
      <c r="AG382" s="6" t="n">
        <v>1.677966247319592</v>
      </c>
      <c r="AH382" s="6" t="n">
        <v>-1.222725832521825</v>
      </c>
      <c r="AI382" s="6" t="n">
        <v>3.231187509462446</v>
      </c>
      <c r="AJ382" s="6" t="n">
        <v>75.11985976339932</v>
      </c>
      <c r="AK382" s="6" t="n">
        <v>0.1528297314571099</v>
      </c>
      <c r="AL382" s="6" t="n">
        <v>1.054117850384542</v>
      </c>
      <c r="AN382" s="6" t="n">
        <v>1.31872662731136</v>
      </c>
      <c r="AO382" s="6" t="n">
        <v>1.32808809592057</v>
      </c>
      <c r="AP382" s="6" t="n">
        <v>0.1307311770027964</v>
      </c>
      <c r="AQ382" s="6" t="n">
        <v>0</v>
      </c>
      <c r="AR382" s="6" t="n">
        <v>0</v>
      </c>
    </row>
    <row r="383">
      <c r="D383" t="inlineStr">
        <is>
          <t>Run 71</t>
        </is>
      </c>
      <c r="J383" s="6" t="n">
        <v>2.264354751527148</v>
      </c>
      <c r="K383" s="6" t="n">
        <v>0.4832731695706551</v>
      </c>
      <c r="L383" s="6" t="n">
        <v>-2.447893820042793</v>
      </c>
      <c r="M383" s="6" t="n">
        <v>2.515980846727009</v>
      </c>
      <c r="N383" s="6" t="n">
        <v>-5.15595653241583</v>
      </c>
      <c r="O383" s="6" t="n">
        <v>-2.948529485190634</v>
      </c>
      <c r="P383" s="6" t="n">
        <v>-2.878062265142471</v>
      </c>
      <c r="Q383" s="6" t="n">
        <v>-0.294990326393112</v>
      </c>
      <c r="R383" s="6" t="n">
        <v>1.964744351824969</v>
      </c>
      <c r="S383" s="6" t="n">
        <v>-1.546945913883948</v>
      </c>
      <c r="T383" s="6" t="n">
        <v>3.617195319122744</v>
      </c>
      <c r="U383" s="6" t="n">
        <v>1.008962221507498</v>
      </c>
      <c r="V383" s="6" t="n">
        <v>-3.984931933896248</v>
      </c>
      <c r="W383" s="6" t="n">
        <v>-3.372757766377132</v>
      </c>
      <c r="X383" s="6" t="n">
        <v>-0.3355595784343208</v>
      </c>
      <c r="Y383" s="6" t="n">
        <v>-1.384315211733387</v>
      </c>
      <c r="Z383" s="6" t="n">
        <v>-4.651580750740797</v>
      </c>
      <c r="AA383" s="6" t="n">
        <v>1.276071485395686</v>
      </c>
      <c r="AB383" s="6" t="n">
        <v>-2.616624349459421</v>
      </c>
      <c r="AC383" s="6" t="n">
        <v>-0.7636801843392527</v>
      </c>
      <c r="AD383" s="6" t="n">
        <v>4.028892441911035</v>
      </c>
      <c r="AE383" s="6" t="n">
        <v>1.834679182864825</v>
      </c>
      <c r="AF383" s="6" t="n">
        <v>-3.157623521065864</v>
      </c>
      <c r="AG383" s="6" t="n">
        <v>1.609550530668461</v>
      </c>
      <c r="AH383" s="6" t="n">
        <v>3.223970578752562</v>
      </c>
      <c r="AI383" s="6" t="n">
        <v>-1.083124145706094</v>
      </c>
      <c r="AJ383" s="6" t="n">
        <v>70.61462427353452</v>
      </c>
      <c r="AK383" s="6" t="n">
        <v>0.1004684686481326</v>
      </c>
      <c r="AL383" s="6" t="n">
        <v>1.105529460254241</v>
      </c>
      <c r="AN383" s="6" t="n">
        <v>1.319942990451024</v>
      </c>
      <c r="AO383" s="6" t="n">
        <v>1.320442806983274</v>
      </c>
      <c r="AP383" s="6" t="n">
        <v>0.1292899528333064</v>
      </c>
      <c r="AQ383" s="6" t="n">
        <v>0</v>
      </c>
      <c r="AR383" s="6" t="n">
        <v>0</v>
      </c>
    </row>
    <row r="384">
      <c r="D384" t="inlineStr">
        <is>
          <t>Run 72</t>
        </is>
      </c>
      <c r="J384" s="6" t="n">
        <v>0.482820240899965</v>
      </c>
      <c r="K384" s="6" t="n">
        <v>-0.2633381845269286</v>
      </c>
      <c r="L384" s="6" t="n">
        <v>3.742936783150913</v>
      </c>
      <c r="M384" s="6" t="n">
        <v>-2.464703740729289</v>
      </c>
      <c r="N384" s="6" t="n">
        <v>-0.5551369063249864</v>
      </c>
      <c r="O384" s="6" t="n">
        <v>-1.930271416770344</v>
      </c>
      <c r="P384" s="6" t="n">
        <v>0.8625162559102245</v>
      </c>
      <c r="Q384" s="6" t="n">
        <v>-1.437143488461496</v>
      </c>
      <c r="R384" s="6" t="n">
        <v>3.593957853881677</v>
      </c>
      <c r="S384" s="6" t="n">
        <v>1.857102116404215</v>
      </c>
      <c r="T384" s="6" t="n">
        <v>-2.557802724424378</v>
      </c>
      <c r="U384" s="6" t="n">
        <v>0.6037859395410154</v>
      </c>
      <c r="V384" s="6" t="n">
        <v>-0.7671734014073682</v>
      </c>
      <c r="W384" s="6" t="n">
        <v>-0.06327658575100421</v>
      </c>
      <c r="X384" s="6" t="n">
        <v>-1.859906811864041</v>
      </c>
      <c r="Y384" s="6" t="n">
        <v>-0.9110926059419941</v>
      </c>
      <c r="Z384" s="6" t="n">
        <v>0.3640989734793493</v>
      </c>
      <c r="AA384" s="6" t="n">
        <v>-0.6148591505115938</v>
      </c>
      <c r="AB384" s="6" t="n">
        <v>-2.334323333117308</v>
      </c>
      <c r="AC384" s="6" t="n">
        <v>1.483931227059591</v>
      </c>
      <c r="AD384" s="6" t="n">
        <v>1.664059745716084</v>
      </c>
      <c r="AE384" s="6" t="n">
        <v>2.687146910772698</v>
      </c>
      <c r="AF384" s="6" t="n">
        <v>4.616765762164953</v>
      </c>
      <c r="AG384" s="6" t="n">
        <v>-0.5537296255706124</v>
      </c>
      <c r="AH384" s="6" t="n">
        <v>-0.4454726737903181</v>
      </c>
      <c r="AI384" s="6" t="n">
        <v>2.660820454972334</v>
      </c>
      <c r="AJ384" s="6" t="n">
        <v>78.93341105964345</v>
      </c>
      <c r="AK384" s="6" t="n">
        <v>0.1242351852558161</v>
      </c>
      <c r="AL384" s="6" t="n">
        <v>1.061548234998604</v>
      </c>
      <c r="AN384" s="6" t="n">
        <v>1.323908846177177</v>
      </c>
      <c r="AO384" s="6" t="n">
        <v>1.331440656563505</v>
      </c>
      <c r="AP384" s="6" t="n">
        <v>0.1315221832544884</v>
      </c>
      <c r="AQ384" s="6" t="n">
        <v>0</v>
      </c>
      <c r="AR384" s="6" t="n">
        <v>0</v>
      </c>
    </row>
    <row r="385">
      <c r="D385" t="inlineStr">
        <is>
          <t>Run 73</t>
        </is>
      </c>
      <c r="J385" s="6" t="n">
        <v>-0.09036049085345203</v>
      </c>
      <c r="K385" s="6" t="n">
        <v>-0.8866822857739974</v>
      </c>
      <c r="L385" s="6" t="n">
        <v>0.4819535244493921</v>
      </c>
      <c r="M385" s="6" t="n">
        <v>2.806645748579561</v>
      </c>
      <c r="N385" s="6" t="n">
        <v>-0.9459358398008338</v>
      </c>
      <c r="O385" s="6" t="n">
        <v>2.491409564460729</v>
      </c>
      <c r="P385" s="6" t="n">
        <v>0.1359711491984911</v>
      </c>
      <c r="Q385" s="6" t="n">
        <v>-0.3276784517926413</v>
      </c>
      <c r="R385" s="6" t="n">
        <v>-1.81706773515254</v>
      </c>
      <c r="S385" s="6" t="n">
        <v>-1.797178499222893</v>
      </c>
      <c r="T385" s="6" t="n">
        <v>-0.9132596060008478</v>
      </c>
      <c r="U385" s="6" t="n">
        <v>0.7133227773785265</v>
      </c>
      <c r="V385" s="6" t="n">
        <v>-0.9161600118447067</v>
      </c>
      <c r="W385" s="6" t="n">
        <v>-0.6752023746923778</v>
      </c>
      <c r="X385" s="6" t="n">
        <v>-0.8614898983436244</v>
      </c>
      <c r="Y385" s="6" t="n">
        <v>1.906042183080025</v>
      </c>
      <c r="Z385" s="6" t="n">
        <v>0.03070387124367105</v>
      </c>
      <c r="AA385" s="6" t="n">
        <v>0.9707864723205782</v>
      </c>
      <c r="AB385" s="6" t="n">
        <v>-0.3560757888334288</v>
      </c>
      <c r="AC385" s="6" t="n">
        <v>0.6150421728372074</v>
      </c>
      <c r="AD385" s="6" t="n">
        <v>-1.819176884303744</v>
      </c>
      <c r="AE385" s="6" t="n">
        <v>1.090657526452352</v>
      </c>
      <c r="AF385" s="6" t="n">
        <v>-0.514462769055354</v>
      </c>
      <c r="AG385" s="6" t="n">
        <v>3.065861677717312</v>
      </c>
      <c r="AH385" s="6" t="n">
        <v>-3.226364198259025</v>
      </c>
      <c r="AI385" s="6" t="n">
        <v>1.240049820850066</v>
      </c>
      <c r="AJ385" s="6" t="n">
        <v>75.93395712930592</v>
      </c>
      <c r="AK385" s="6" t="n">
        <v>0.127160202328089</v>
      </c>
      <c r="AL385" s="6" t="n">
        <v>1.033554462216212</v>
      </c>
      <c r="AN385" s="6" t="n">
        <v>1.351699328047503</v>
      </c>
      <c r="AO385" s="6" t="n">
        <v>1.352507721735576</v>
      </c>
      <c r="AP385" s="6" t="n">
        <v>0.1342497356794779</v>
      </c>
      <c r="AQ385" s="6" t="n">
        <v>0</v>
      </c>
      <c r="AR385" s="6" t="n">
        <v>0</v>
      </c>
    </row>
    <row r="386">
      <c r="D386" t="inlineStr">
        <is>
          <t>Run 74</t>
        </is>
      </c>
      <c r="J386" s="6" t="n">
        <v>1.166935883072679</v>
      </c>
      <c r="K386" s="6" t="n">
        <v>2.214532878482891</v>
      </c>
      <c r="L386" s="6" t="n">
        <v>-2.72490820574154</v>
      </c>
      <c r="M386" s="6" t="n">
        <v>-3.294744168040338</v>
      </c>
      <c r="N386" s="6" t="n">
        <v>2.208608765079483</v>
      </c>
      <c r="O386" s="6" t="n">
        <v>1.440842435155477</v>
      </c>
      <c r="P386" s="6" t="n">
        <v>0.9339094566706044</v>
      </c>
      <c r="Q386" s="6" t="n">
        <v>-2.510630107123594</v>
      </c>
      <c r="R386" s="6" t="n">
        <v>-2.45816494069007</v>
      </c>
      <c r="S386" s="6" t="n">
        <v>0.5160997881804334</v>
      </c>
      <c r="T386" s="6" t="n">
        <v>0.4172120050632027</v>
      </c>
      <c r="U386" s="6" t="n">
        <v>2.303878599075319</v>
      </c>
      <c r="V386" s="6" t="n">
        <v>-0.683889171581722</v>
      </c>
      <c r="W386" s="6" t="n">
        <v>2.042853282794978</v>
      </c>
      <c r="X386" s="6" t="n">
        <v>0.7075368338869807</v>
      </c>
      <c r="Y386" s="6" t="n">
        <v>3.610156363846224</v>
      </c>
      <c r="Z386" s="6" t="n">
        <v>3.709147200285354</v>
      </c>
      <c r="AA386" s="6" t="n">
        <v>-2.26841316663349</v>
      </c>
      <c r="AB386" s="6" t="n">
        <v>3.256456563274926</v>
      </c>
      <c r="AC386" s="6" t="n">
        <v>0.7349314575344501</v>
      </c>
      <c r="AD386" s="6" t="n">
        <v>2.319162641125591</v>
      </c>
      <c r="AE386" s="6" t="n">
        <v>-1.480491908198129</v>
      </c>
      <c r="AF386" s="6" t="n">
        <v>-1.110139118095288</v>
      </c>
      <c r="AG386" s="6" t="n">
        <v>-0.9287472177787559</v>
      </c>
      <c r="AH386" s="6" t="n">
        <v>0.005668573865445613</v>
      </c>
      <c r="AI386" s="6" t="n">
        <v>4.002559853878401</v>
      </c>
      <c r="AJ386" s="6" t="n">
        <v>62.45349902787196</v>
      </c>
      <c r="AK386" s="6" t="n">
        <v>0.1672599066667333</v>
      </c>
      <c r="AL386" s="6" t="n">
        <v>1.039074335336549</v>
      </c>
      <c r="AN386" s="6" t="n">
        <v>1.308844615086833</v>
      </c>
      <c r="AO386" s="6" t="n">
        <v>1.321750685822431</v>
      </c>
      <c r="AP386" s="6" t="n">
        <v>0.130994902012107</v>
      </c>
      <c r="AQ386" s="6" t="n">
        <v>0</v>
      </c>
      <c r="AR386" s="6" t="n">
        <v>0</v>
      </c>
    </row>
    <row r="387">
      <c r="D387" t="inlineStr">
        <is>
          <t>Run 75</t>
        </is>
      </c>
      <c r="J387" s="6" t="n">
        <v>-4.44766798221792</v>
      </c>
      <c r="K387" s="6" t="n">
        <v>1.007084001294021</v>
      </c>
      <c r="L387" s="6" t="n">
        <v>-0.9443438001281957</v>
      </c>
      <c r="M387" s="6" t="n">
        <v>3.078907343648475</v>
      </c>
      <c r="N387" s="6" t="n">
        <v>0.2103666697464624</v>
      </c>
      <c r="O387" s="6" t="n">
        <v>-2.152524076013539</v>
      </c>
      <c r="P387" s="6" t="n">
        <v>-0.1459464254885754</v>
      </c>
      <c r="Q387" s="6" t="n">
        <v>-2.374559541880424</v>
      </c>
      <c r="R387" s="6" t="n">
        <v>-1.286670208028263</v>
      </c>
      <c r="S387" s="6" t="n">
        <v>-2.433804359899101</v>
      </c>
      <c r="T387" s="6" t="n">
        <v>-1.69500324909596</v>
      </c>
      <c r="U387" s="6" t="n">
        <v>-1.386662362695133</v>
      </c>
      <c r="V387" s="6" t="n">
        <v>1.997123166767312</v>
      </c>
      <c r="W387" s="6" t="n">
        <v>3.620850409810338</v>
      </c>
      <c r="X387" s="6" t="n">
        <v>-0.1019633040743919</v>
      </c>
      <c r="Y387" s="6" t="n">
        <v>-4.037016407184716</v>
      </c>
      <c r="Z387" s="6" t="n">
        <v>-1.760743846766893</v>
      </c>
      <c r="AA387" s="6" t="n">
        <v>1.153532773462653</v>
      </c>
      <c r="AB387" s="6" t="n">
        <v>1.45260720886776</v>
      </c>
      <c r="AC387" s="6" t="n">
        <v>-1.789012542652388</v>
      </c>
      <c r="AD387" s="6" t="n">
        <v>-1.727069872094694</v>
      </c>
      <c r="AE387" s="6" t="n">
        <v>-0.01410154061835536</v>
      </c>
      <c r="AF387" s="6" t="n">
        <v>2.928404058087104</v>
      </c>
      <c r="AG387" s="6" t="n">
        <v>-0.9644772028490165</v>
      </c>
      <c r="AH387" s="6" t="n">
        <v>1.439320142672751</v>
      </c>
      <c r="AI387" s="6" t="n">
        <v>3.04698474730312</v>
      </c>
      <c r="AJ387" s="6" t="n">
        <v>68.65432047042052</v>
      </c>
      <c r="AK387" s="6" t="n">
        <v>0.09990484759570264</v>
      </c>
      <c r="AL387" s="6" t="n">
        <v>1.034720530296761</v>
      </c>
      <c r="AN387" s="6" t="n">
        <v>1.343316132034998</v>
      </c>
      <c r="AO387" s="6" t="n">
        <v>1.343316132034998</v>
      </c>
      <c r="AP387" s="6" t="n">
        <v>0.1335798384527483</v>
      </c>
      <c r="AQ387" s="6" t="n">
        <v>0</v>
      </c>
      <c r="AR387" s="6" t="n">
        <v>0</v>
      </c>
    </row>
    <row r="388">
      <c r="D388" t="inlineStr">
        <is>
          <t>Run 76</t>
        </is>
      </c>
      <c r="J388" s="6" t="n">
        <v>-1.725993394462949</v>
      </c>
      <c r="K388" s="6" t="n">
        <v>-1.107597143650913</v>
      </c>
      <c r="L388" s="6" t="n">
        <v>-0.6261267963299668</v>
      </c>
      <c r="M388" s="6" t="n">
        <v>-0.3645082577397913</v>
      </c>
      <c r="N388" s="6" t="n">
        <v>-4.166986077830694</v>
      </c>
      <c r="O388" s="6" t="n">
        <v>-1.06716374917068</v>
      </c>
      <c r="P388" s="6" t="n">
        <v>-0.4090534331903278</v>
      </c>
      <c r="Q388" s="6" t="n">
        <v>-0.2432775124038185</v>
      </c>
      <c r="R388" s="6" t="n">
        <v>4.443032170091547</v>
      </c>
      <c r="S388" s="6" t="n">
        <v>-0.4092392728351826</v>
      </c>
      <c r="T388" s="6" t="n">
        <v>-0.4546674888544759</v>
      </c>
      <c r="U388" s="6" t="n">
        <v>-3.608982732938061</v>
      </c>
      <c r="V388" s="6" t="n">
        <v>1.08382677440085</v>
      </c>
      <c r="W388" s="6" t="n">
        <v>0.2013853147186999</v>
      </c>
      <c r="X388" s="6" t="n">
        <v>1.719284182781615</v>
      </c>
      <c r="Y388" s="6" t="n">
        <v>0.879219423969831</v>
      </c>
      <c r="Z388" s="6" t="n">
        <v>2.793159554762449</v>
      </c>
      <c r="AA388" s="6" t="n">
        <v>-0.7791642273757152</v>
      </c>
      <c r="AB388" s="6" t="n">
        <v>-1.006911331831573</v>
      </c>
      <c r="AC388" s="6" t="n">
        <v>-3.996107241752186</v>
      </c>
      <c r="AD388" s="6" t="n">
        <v>1.538143757753338</v>
      </c>
      <c r="AE388" s="6" t="n">
        <v>-3.712362850503836</v>
      </c>
      <c r="AF388" s="6" t="n">
        <v>-0.8850372395739758</v>
      </c>
      <c r="AG388" s="6" t="n">
        <v>-0.4189162765213353</v>
      </c>
      <c r="AH388" s="6" t="n">
        <v>0.2132766082853047</v>
      </c>
      <c r="AI388" s="6" t="n">
        <v>-1.293234098625899</v>
      </c>
      <c r="AJ388" s="6" t="n">
        <v>73.00099182722367</v>
      </c>
      <c r="AK388" s="6" t="n">
        <v>0.2170307163568939</v>
      </c>
      <c r="AL388" s="6" t="n">
        <v>1.011757967631823</v>
      </c>
      <c r="AN388" s="6" t="n">
        <v>1.356070190387924</v>
      </c>
      <c r="AO388" s="6" t="n">
        <v>1.356070190387924</v>
      </c>
      <c r="AP388" s="6" t="n">
        <v>0.1347011050033025</v>
      </c>
      <c r="AQ388" s="6" t="n">
        <v>0</v>
      </c>
      <c r="AR388" s="6" t="n">
        <v>0</v>
      </c>
    </row>
    <row r="389">
      <c r="D389" t="inlineStr">
        <is>
          <t>Run 77</t>
        </is>
      </c>
      <c r="J389" s="6" t="n">
        <v>-2.063402776923057</v>
      </c>
      <c r="K389" s="6" t="n">
        <v>-0.2264495914223931</v>
      </c>
      <c r="L389" s="6" t="n">
        <v>-0.8742821677377112</v>
      </c>
      <c r="M389" s="6" t="n">
        <v>1.04577919612225</v>
      </c>
      <c r="N389" s="6" t="n">
        <v>0.1997369686662851</v>
      </c>
      <c r="O389" s="6" t="n">
        <v>-0.07303160923855145</v>
      </c>
      <c r="P389" s="6" t="n">
        <v>2.329554947233865</v>
      </c>
      <c r="Q389" s="6" t="n">
        <v>-0.353055302791599</v>
      </c>
      <c r="R389" s="6" t="n">
        <v>-0.8686006115902314</v>
      </c>
      <c r="S389" s="6" t="n">
        <v>-0.7343518748204991</v>
      </c>
      <c r="T389" s="6" t="n">
        <v>0.3311581807654042</v>
      </c>
      <c r="U389" s="6" t="n">
        <v>0.06838183889306432</v>
      </c>
      <c r="V389" s="6" t="n">
        <v>-0.8416237652953676</v>
      </c>
      <c r="W389" s="6" t="n">
        <v>0.03246340293752314</v>
      </c>
      <c r="X389" s="6" t="n">
        <v>-1.581240345682585</v>
      </c>
      <c r="Y389" s="6" t="n">
        <v>-0.1748284777330571</v>
      </c>
      <c r="Z389" s="6" t="n">
        <v>-0.8164405806726769</v>
      </c>
      <c r="AA389" s="6" t="n">
        <v>-0.4010056699116403</v>
      </c>
      <c r="AB389" s="6" t="n">
        <v>1.600727920241435</v>
      </c>
      <c r="AC389" s="6" t="n">
        <v>-2.291921657149248</v>
      </c>
      <c r="AD389" s="6" t="n">
        <v>1.366240662817941</v>
      </c>
      <c r="AE389" s="6" t="n">
        <v>2.718240870657344</v>
      </c>
      <c r="AF389" s="6" t="n">
        <v>0.9423460665764944</v>
      </c>
      <c r="AG389" s="6" t="n">
        <v>1.906739444209641</v>
      </c>
      <c r="AH389" s="6" t="n">
        <v>3.487766947141373</v>
      </c>
      <c r="AI389" s="6" t="n">
        <v>-0.9257021615370445</v>
      </c>
      <c r="AJ389" s="6" t="n">
        <v>78.16418555244788</v>
      </c>
      <c r="AK389" s="6" t="n">
        <v>0.1135204294317842</v>
      </c>
      <c r="AL389" s="6" t="n">
        <v>0.9738963752743274</v>
      </c>
      <c r="AN389" s="6" t="n">
        <v>1.366972079014139</v>
      </c>
      <c r="AO389" s="6" t="n">
        <v>1.366972079014139</v>
      </c>
      <c r="AP389" s="6" t="n">
        <v>0.1457308415108168</v>
      </c>
      <c r="AQ389" s="6" t="n">
        <v>0</v>
      </c>
      <c r="AR389" s="6" t="n">
        <v>0</v>
      </c>
    </row>
    <row r="390">
      <c r="D390" t="inlineStr">
        <is>
          <t>Run 78</t>
        </is>
      </c>
      <c r="J390" s="6" t="n">
        <v>0.7575651009078542</v>
      </c>
      <c r="K390" s="6" t="n">
        <v>0.4797557001918318</v>
      </c>
      <c r="L390" s="6" t="n">
        <v>0.2824142169515098</v>
      </c>
      <c r="M390" s="6" t="n">
        <v>1.047958112050887</v>
      </c>
      <c r="N390" s="6" t="n">
        <v>2.371538509127549</v>
      </c>
      <c r="O390" s="6" t="n">
        <v>-1.411633775042811</v>
      </c>
      <c r="P390" s="6" t="n">
        <v>1.165631162971719</v>
      </c>
      <c r="Q390" s="6" t="n">
        <v>1.632803028293194</v>
      </c>
      <c r="R390" s="6" t="n">
        <v>-4.249526255697915</v>
      </c>
      <c r="S390" s="6" t="n">
        <v>-3.220593391350489</v>
      </c>
      <c r="T390" s="6" t="n">
        <v>1.294328102063186</v>
      </c>
      <c r="U390" s="6" t="n">
        <v>-3.716300304541946</v>
      </c>
      <c r="V390" s="6" t="n">
        <v>-0.2404059300690717</v>
      </c>
      <c r="W390" s="6" t="n">
        <v>1.438825682521082</v>
      </c>
      <c r="X390" s="6" t="n">
        <v>-1.354970182402703</v>
      </c>
      <c r="Y390" s="6" t="n">
        <v>4.032187953063207</v>
      </c>
      <c r="Z390" s="6" t="n">
        <v>2.247133940803878</v>
      </c>
      <c r="AA390" s="6" t="n">
        <v>3.041394662424716</v>
      </c>
      <c r="AB390" s="6" t="n">
        <v>-2.005381133376755</v>
      </c>
      <c r="AC390" s="6" t="n">
        <v>-0.07454501055874729</v>
      </c>
      <c r="AD390" s="6" t="n">
        <v>-3.184685218757743</v>
      </c>
      <c r="AE390" s="6" t="n">
        <v>-1.389942649017247</v>
      </c>
      <c r="AF390" s="6" t="n">
        <v>1.216769398095372</v>
      </c>
      <c r="AG390" s="6" t="n">
        <v>0.3056472110307341</v>
      </c>
      <c r="AH390" s="6" t="n">
        <v>1.530658508322182</v>
      </c>
      <c r="AI390" s="6" t="n">
        <v>2.03712386138966</v>
      </c>
      <c r="AJ390" s="6" t="n">
        <v>75.76398439231306</v>
      </c>
      <c r="AK390" s="6" t="n">
        <v>0.1811852025223162</v>
      </c>
      <c r="AL390" s="6" t="n">
        <v>1.037561833672529</v>
      </c>
      <c r="AN390" s="6" t="n">
        <v>1.347933884467285</v>
      </c>
      <c r="AO390" s="6" t="n">
        <v>1.348388419731927</v>
      </c>
      <c r="AP390" s="6" t="n">
        <v>0.1323345567698664</v>
      </c>
      <c r="AQ390" s="6" t="n">
        <v>0</v>
      </c>
      <c r="AR390" s="6" t="n">
        <v>0</v>
      </c>
    </row>
    <row r="391">
      <c r="D391" t="inlineStr">
        <is>
          <t>Run 79</t>
        </is>
      </c>
      <c r="J391" s="6" t="n">
        <v>0.7391363355679711</v>
      </c>
      <c r="K391" s="6" t="n">
        <v>-2.921070748916471</v>
      </c>
      <c r="L391" s="6" t="n">
        <v>-0.9336018007303535</v>
      </c>
      <c r="M391" s="6" t="n">
        <v>0.5499777343669076</v>
      </c>
      <c r="N391" s="6" t="n">
        <v>0.3667595348878827</v>
      </c>
      <c r="O391" s="6" t="n">
        <v>2.10169873908514</v>
      </c>
      <c r="P391" s="6" t="n">
        <v>-0.7223286424672285</v>
      </c>
      <c r="Q391" s="6" t="n">
        <v>1.427636732693387</v>
      </c>
      <c r="R391" s="6" t="n">
        <v>-2.282806677777987</v>
      </c>
      <c r="S391" s="6" t="n">
        <v>-0.5485694866264573</v>
      </c>
      <c r="T391" s="6" t="n">
        <v>2.845702071529721</v>
      </c>
      <c r="U391" s="6" t="n">
        <v>-3.046105091243549</v>
      </c>
      <c r="V391" s="6" t="n">
        <v>-0.7449037331641279</v>
      </c>
      <c r="W391" s="6" t="n">
        <v>2.310013167248243</v>
      </c>
      <c r="X391" s="6" t="n">
        <v>3.148593832101731</v>
      </c>
      <c r="Y391" s="6" t="n">
        <v>2.690082929363042</v>
      </c>
      <c r="Z391" s="6" t="n">
        <v>-1.018688706361862</v>
      </c>
      <c r="AA391" s="6" t="n">
        <v>-0.8377931119214694</v>
      </c>
      <c r="AB391" s="6" t="n">
        <v>1.257180030847753</v>
      </c>
      <c r="AC391" s="6" t="n">
        <v>0.8339170064757256</v>
      </c>
      <c r="AD391" s="6" t="n">
        <v>-1.567189575147514</v>
      </c>
      <c r="AE391" s="6" t="n">
        <v>-1.452656929772817</v>
      </c>
      <c r="AF391" s="6" t="n">
        <v>0.7170447431348621</v>
      </c>
      <c r="AG391" s="6" t="n">
        <v>-1.442967502774039</v>
      </c>
      <c r="AH391" s="6" t="n">
        <v>-3.401545187747623</v>
      </c>
      <c r="AI391" s="6" t="n">
        <v>-2.269869263014663</v>
      </c>
      <c r="AJ391" s="6" t="n">
        <v>60.38170285148142</v>
      </c>
      <c r="AK391" s="6" t="n">
        <v>0.1463108668794366</v>
      </c>
      <c r="AL391" s="6" t="n">
        <v>1.077904945388457</v>
      </c>
      <c r="AN391" s="6" t="n">
        <v>1.326743577997662</v>
      </c>
      <c r="AO391" s="6" t="n">
        <v>1.327164331879395</v>
      </c>
      <c r="AP391" s="6" t="n">
        <v>0.1293619973212152</v>
      </c>
      <c r="AQ391" s="6" t="n">
        <v>0</v>
      </c>
      <c r="AR391" s="6" t="n">
        <v>0</v>
      </c>
    </row>
    <row r="392">
      <c r="D392" t="inlineStr">
        <is>
          <t>Run 80</t>
        </is>
      </c>
      <c r="J392" s="6" t="n">
        <v>-2.147298509934788</v>
      </c>
      <c r="K392" s="6" t="n">
        <v>-0.5039900457889273</v>
      </c>
      <c r="L392" s="6" t="n">
        <v>-1.331871076148075</v>
      </c>
      <c r="M392" s="6" t="n">
        <v>-1.350331539908762</v>
      </c>
      <c r="N392" s="6" t="n">
        <v>-0.2661814239627873</v>
      </c>
      <c r="O392" s="6" t="n">
        <v>-4.161205343820326</v>
      </c>
      <c r="P392" s="6" t="n">
        <v>2.322676970650975</v>
      </c>
      <c r="Q392" s="6" t="n">
        <v>0.8227494684181114</v>
      </c>
      <c r="R392" s="6" t="n">
        <v>-1.310866159212593</v>
      </c>
      <c r="S392" s="6" t="n">
        <v>0.1042703609734172</v>
      </c>
      <c r="T392" s="6" t="n">
        <v>-1.695337243679663</v>
      </c>
      <c r="U392" s="6" t="n">
        <v>0.2898539060935989</v>
      </c>
      <c r="V392" s="6" t="n">
        <v>-0.4921372116321519</v>
      </c>
      <c r="W392" s="6" t="n">
        <v>0.9782868493315653</v>
      </c>
      <c r="X392" s="6" t="n">
        <v>1.026166879998302</v>
      </c>
      <c r="Y392" s="6" t="n">
        <v>0.4793815853175535</v>
      </c>
      <c r="Z392" s="6" t="n">
        <v>2.102958091619182</v>
      </c>
      <c r="AA392" s="6" t="n">
        <v>0.7870806577110653</v>
      </c>
      <c r="AB392" s="6" t="n">
        <v>-0.02591981452609267</v>
      </c>
      <c r="AC392" s="6" t="n">
        <v>3.071554537094394</v>
      </c>
      <c r="AD392" s="6" t="n">
        <v>-2.4515451506925</v>
      </c>
      <c r="AE392" s="6" t="n">
        <v>0.7945551576651831</v>
      </c>
      <c r="AF392" s="6" t="n">
        <v>-2.006283696532547</v>
      </c>
      <c r="AG392" s="6" t="n">
        <v>-3.130510867406797</v>
      </c>
      <c r="AH392" s="6" t="n">
        <v>-1.494154176641437</v>
      </c>
      <c r="AI392" s="6" t="n">
        <v>-1.623169275634236</v>
      </c>
      <c r="AJ392" s="6" t="n">
        <v>73.44132402708652</v>
      </c>
      <c r="AK392" s="6" t="n">
        <v>0.152453567247501</v>
      </c>
      <c r="AL392" s="6" t="n">
        <v>1.025509100485543</v>
      </c>
      <c r="AN392" s="6" t="n">
        <v>1.345533751295686</v>
      </c>
      <c r="AO392" s="6" t="n">
        <v>1.350520778106262</v>
      </c>
      <c r="AP392" s="6" t="n">
        <v>0.1343747143468647</v>
      </c>
      <c r="AQ392" s="6" t="n">
        <v>0</v>
      </c>
      <c r="AR392" s="6" t="n">
        <v>0</v>
      </c>
    </row>
    <row r="393">
      <c r="D393" t="inlineStr">
        <is>
          <t>Run 81</t>
        </is>
      </c>
      <c r="J393" s="6" t="n">
        <v>0.4440758703964551</v>
      </c>
      <c r="K393" s="6" t="n">
        <v>1.87852276123115</v>
      </c>
      <c r="L393" s="6" t="n">
        <v>1.889983222650271</v>
      </c>
      <c r="M393" s="6" t="n">
        <v>-3.348846655268386</v>
      </c>
      <c r="N393" s="6" t="n">
        <v>-1.599502548518882</v>
      </c>
      <c r="O393" s="6" t="n">
        <v>1.264707703073056</v>
      </c>
      <c r="P393" s="6" t="n">
        <v>0.676561187687526</v>
      </c>
      <c r="Q393" s="6" t="n">
        <v>1.553916671980752</v>
      </c>
      <c r="R393" s="6" t="n">
        <v>2.080539698960636</v>
      </c>
      <c r="S393" s="6" t="n">
        <v>4.195717961243426</v>
      </c>
      <c r="T393" s="6" t="n">
        <v>-1.746367882107703</v>
      </c>
      <c r="U393" s="6" t="n">
        <v>2.235132126767009</v>
      </c>
      <c r="V393" s="6" t="n">
        <v>-1.282194489669584</v>
      </c>
      <c r="W393" s="6" t="n">
        <v>-0.5453310597660085</v>
      </c>
      <c r="X393" s="6" t="n">
        <v>-0.2814652390509974</v>
      </c>
      <c r="Y393" s="6" t="n">
        <v>-0.9810209542829509</v>
      </c>
      <c r="Z393" s="6" t="n">
        <v>-1.373592926457242</v>
      </c>
      <c r="AA393" s="6" t="n">
        <v>-2.669836352131835</v>
      </c>
      <c r="AB393" s="6" t="n">
        <v>-0.2398771999369607</v>
      </c>
      <c r="AC393" s="6" t="n">
        <v>-4.494518580641587</v>
      </c>
      <c r="AD393" s="6" t="n">
        <v>0.5031733435237365</v>
      </c>
      <c r="AE393" s="6" t="n">
        <v>-0.08402838254097041</v>
      </c>
      <c r="AF393" s="6" t="n">
        <v>-1.763126738053512</v>
      </c>
      <c r="AG393" s="6" t="n">
        <v>2.325081693296253</v>
      </c>
      <c r="AH393" s="6" t="n">
        <v>-0.5934726712298798</v>
      </c>
      <c r="AI393" s="6" t="n">
        <v>1.270590632409829</v>
      </c>
      <c r="AJ393" s="6" t="n">
        <v>78.55187041877279</v>
      </c>
      <c r="AK393" s="6" t="n">
        <v>0.07565781850237779</v>
      </c>
      <c r="AL393" s="6" t="n">
        <v>1.063599191704356</v>
      </c>
      <c r="AN393" s="6" t="n">
        <v>1.313563405027816</v>
      </c>
      <c r="AO393" s="6" t="n">
        <v>1.319855471950238</v>
      </c>
      <c r="AP393" s="6" t="n">
        <v>0.1323888918140389</v>
      </c>
      <c r="AQ393" s="6" t="n">
        <v>0</v>
      </c>
      <c r="AR393" s="6" t="n">
        <v>0</v>
      </c>
    </row>
    <row r="394">
      <c r="D394" t="inlineStr">
        <is>
          <t>Run 82</t>
        </is>
      </c>
      <c r="J394" s="6" t="n">
        <v>-1.399570683997943</v>
      </c>
      <c r="K394" s="6" t="n">
        <v>0.09791745138191611</v>
      </c>
      <c r="L394" s="6" t="n">
        <v>2.70732010893579</v>
      </c>
      <c r="M394" s="6" t="n">
        <v>-1.529107948668317</v>
      </c>
      <c r="N394" s="6" t="n">
        <v>-1.126416571212964</v>
      </c>
      <c r="O394" s="6" t="n">
        <v>0.632726717012279</v>
      </c>
      <c r="P394" s="6" t="n">
        <v>1.11080041190119</v>
      </c>
      <c r="Q394" s="6" t="n">
        <v>0.3280811367822053</v>
      </c>
      <c r="R394" s="6" t="n">
        <v>-1.990521371109768</v>
      </c>
      <c r="S394" s="6" t="n">
        <v>1.540848437529966</v>
      </c>
      <c r="T394" s="6" t="n">
        <v>1.095068768152437</v>
      </c>
      <c r="U394" s="6" t="n">
        <v>3.448052198087443</v>
      </c>
      <c r="V394" s="6" t="n">
        <v>-0.194117101873889</v>
      </c>
      <c r="W394" s="6" t="n">
        <v>-4.194691453181004</v>
      </c>
      <c r="X394" s="6" t="n">
        <v>-1.759427214394599</v>
      </c>
      <c r="Y394" s="6" t="n">
        <v>0.271088022005448</v>
      </c>
      <c r="Z394" s="6" t="n">
        <v>-0.3998186037930601</v>
      </c>
      <c r="AA394" s="6" t="n">
        <v>-0.03663591385349872</v>
      </c>
      <c r="AB394" s="6" t="n">
        <v>0.01813585439751568</v>
      </c>
      <c r="AC394" s="6" t="n">
        <v>-2.061497257160193</v>
      </c>
      <c r="AD394" s="6" t="n">
        <v>0.5449455145531117</v>
      </c>
      <c r="AE394" s="6" t="n">
        <v>-0.4242111900167774</v>
      </c>
      <c r="AF394" s="6" t="n">
        <v>-1.451266563837628</v>
      </c>
      <c r="AG394" s="6" t="n">
        <v>-1.852440250381522</v>
      </c>
      <c r="AH394" s="6" t="n">
        <v>0.7905933474683491</v>
      </c>
      <c r="AI394" s="6" t="n">
        <v>1.205776254093859</v>
      </c>
      <c r="AJ394" s="6" t="n">
        <v>76.86459849778099</v>
      </c>
      <c r="AK394" s="6" t="n">
        <v>0.1200708811253139</v>
      </c>
      <c r="AL394" s="6" t="n">
        <v>1.028196420291827</v>
      </c>
      <c r="AN394" s="6" t="n">
        <v>1.347805145304259</v>
      </c>
      <c r="AO394" s="6" t="n">
        <v>1.352303303513569</v>
      </c>
      <c r="AP394" s="6" t="n">
        <v>0.1350049104020018</v>
      </c>
      <c r="AQ394" s="6" t="n">
        <v>0</v>
      </c>
      <c r="AR394" s="6" t="n">
        <v>0</v>
      </c>
    </row>
    <row r="395">
      <c r="D395" t="inlineStr">
        <is>
          <t>Run 83</t>
        </is>
      </c>
      <c r="J395" s="6" t="n">
        <v>-0.668577596093574</v>
      </c>
      <c r="K395" s="6" t="n">
        <v>0.7020377630227889</v>
      </c>
      <c r="L395" s="6" t="n">
        <v>2.197389369531618</v>
      </c>
      <c r="M395" s="6" t="n">
        <v>-0.4793328210186735</v>
      </c>
      <c r="N395" s="6" t="n">
        <v>-3.033027111472774</v>
      </c>
      <c r="O395" s="6" t="n">
        <v>1.838707957539266</v>
      </c>
      <c r="P395" s="6" t="n">
        <v>-2.221708219931247</v>
      </c>
      <c r="Q395" s="6" t="n">
        <v>-0.5184729293971518</v>
      </c>
      <c r="R395" s="6" t="n">
        <v>-0.9099419553359336</v>
      </c>
      <c r="S395" s="6" t="n">
        <v>-2.509149061233872</v>
      </c>
      <c r="T395" s="6" t="n">
        <v>-2.956386851666287</v>
      </c>
      <c r="U395" s="6" t="n">
        <v>0.587428893098547</v>
      </c>
      <c r="V395" s="6" t="n">
        <v>-0.0736723989628867</v>
      </c>
      <c r="W395" s="6" t="n">
        <v>1.230750489449161</v>
      </c>
      <c r="X395" s="6" t="n">
        <v>1.471041035752278</v>
      </c>
      <c r="Y395" s="6" t="n">
        <v>-1.138365369763587</v>
      </c>
      <c r="Z395" s="6" t="n">
        <v>1.048207231584696</v>
      </c>
      <c r="AA395" s="6" t="n">
        <v>-0.9525274602970105</v>
      </c>
      <c r="AB395" s="6" t="n">
        <v>-4.510664484121438</v>
      </c>
      <c r="AC395" s="6" t="n">
        <v>1.427300146664641</v>
      </c>
      <c r="AD395" s="6" t="n">
        <v>-3.630436320626319</v>
      </c>
      <c r="AE395" s="6" t="n">
        <v>-0.1607195899130776</v>
      </c>
      <c r="AF395" s="6" t="n">
        <v>-0.8648995285270893</v>
      </c>
      <c r="AG395" s="6" t="n">
        <v>-2.069244555783479</v>
      </c>
      <c r="AH395" s="6" t="n">
        <v>1.563566033182771</v>
      </c>
      <c r="AI395" s="6" t="n">
        <v>-4.089653146725054</v>
      </c>
      <c r="AJ395" s="6" t="n">
        <v>80.21402194133292</v>
      </c>
      <c r="AK395" s="6" t="n">
        <v>0.08485557054012108</v>
      </c>
      <c r="AL395" s="6" t="n">
        <v>0.9904799645563958</v>
      </c>
      <c r="AN395" s="6" t="n">
        <v>1.363537928066312</v>
      </c>
      <c r="AO395" s="6" t="n">
        <v>1.363537928066312</v>
      </c>
      <c r="AP395" s="6" t="n">
        <v>0.1425919744262435</v>
      </c>
      <c r="AQ395" s="6" t="n">
        <v>0</v>
      </c>
      <c r="AR395" s="6" t="n">
        <v>0</v>
      </c>
    </row>
    <row r="396">
      <c r="D396" t="inlineStr">
        <is>
          <t>Run 84</t>
        </is>
      </c>
      <c r="J396" s="6" t="n">
        <v>-2.566817256606182</v>
      </c>
      <c r="K396" s="6" t="n">
        <v>1.086606084779825</v>
      </c>
      <c r="L396" s="6" t="n">
        <v>-3.887186786662493</v>
      </c>
      <c r="M396" s="6" t="n">
        <v>-2.238719492357203</v>
      </c>
      <c r="N396" s="6" t="n">
        <v>-0.4144552233595603</v>
      </c>
      <c r="O396" s="6" t="n">
        <v>0.1168115953818571</v>
      </c>
      <c r="P396" s="6" t="n">
        <v>3.479723521360448</v>
      </c>
      <c r="Q396" s="6" t="n">
        <v>3.012217683898767</v>
      </c>
      <c r="R396" s="6" t="n">
        <v>-2.73328161985819</v>
      </c>
      <c r="S396" s="6" t="n">
        <v>-1.010672473066595</v>
      </c>
      <c r="T396" s="6" t="n">
        <v>3.114342155461766</v>
      </c>
      <c r="U396" s="6" t="n">
        <v>-1.348435477201388</v>
      </c>
      <c r="V396" s="6" t="n">
        <v>-3.938032611197282</v>
      </c>
      <c r="W396" s="6" t="n">
        <v>0.5691772244638938</v>
      </c>
      <c r="X396" s="6" t="n">
        <v>0.1954670509627421</v>
      </c>
      <c r="Y396" s="6" t="n">
        <v>0.5568476476076628</v>
      </c>
      <c r="Z396" s="6" t="n">
        <v>0.6829492905923157</v>
      </c>
      <c r="AA396" s="6" t="n">
        <v>-0.1811065537615303</v>
      </c>
      <c r="AB396" s="6" t="n">
        <v>-0.6899179316035983</v>
      </c>
      <c r="AC396" s="6" t="n">
        <v>-1.121101616053496</v>
      </c>
      <c r="AD396" s="6" t="n">
        <v>3.382581078650887</v>
      </c>
      <c r="AE396" s="6" t="n">
        <v>1.20313536120771</v>
      </c>
      <c r="AF396" s="6" t="n">
        <v>3.526087256673234</v>
      </c>
      <c r="AG396" s="6" t="n">
        <v>1.365808755858449</v>
      </c>
      <c r="AH396" s="6" t="n">
        <v>1.72350945104374</v>
      </c>
      <c r="AI396" s="6" t="n">
        <v>0.6662350559017075</v>
      </c>
      <c r="AJ396" s="6" t="n">
        <v>83.93719760786571</v>
      </c>
      <c r="AK396" s="6" t="n">
        <v>0.1676305061447841</v>
      </c>
      <c r="AL396" s="6" t="n">
        <v>1.013233593887447</v>
      </c>
      <c r="AN396" s="6" t="n">
        <v>1.340421212684096</v>
      </c>
      <c r="AO396" s="6" t="n">
        <v>1.349738183830975</v>
      </c>
      <c r="AP396" s="6" t="n">
        <v>0.1366407553313248</v>
      </c>
      <c r="AQ396" s="6" t="n">
        <v>0</v>
      </c>
      <c r="AR396" s="6" t="n">
        <v>0</v>
      </c>
    </row>
    <row r="397">
      <c r="D397" t="inlineStr">
        <is>
          <t>Run 85</t>
        </is>
      </c>
      <c r="J397" s="6" t="n">
        <v>1.840996666677792</v>
      </c>
      <c r="K397" s="6" t="n">
        <v>0.5596620660416809</v>
      </c>
      <c r="L397" s="6" t="n">
        <v>3.200404281742776</v>
      </c>
      <c r="M397" s="6" t="n">
        <v>-3.569334465228299</v>
      </c>
      <c r="N397" s="6" t="n">
        <v>1.471134454517374</v>
      </c>
      <c r="O397" s="6" t="n">
        <v>2.403762004625541</v>
      </c>
      <c r="P397" s="6" t="n">
        <v>-0.4752912882369403</v>
      </c>
      <c r="Q397" s="6" t="n">
        <v>1.405805771973734</v>
      </c>
      <c r="R397" s="6" t="n">
        <v>-1.006841128414464</v>
      </c>
      <c r="S397" s="6" t="n">
        <v>2.423621081898452</v>
      </c>
      <c r="T397" s="6" t="n">
        <v>0.9697632517129715</v>
      </c>
      <c r="U397" s="6" t="n">
        <v>-3.975302796132322</v>
      </c>
      <c r="V397" s="6" t="n">
        <v>1.599268182138474</v>
      </c>
      <c r="W397" s="6" t="n">
        <v>-0.5788489346616512</v>
      </c>
      <c r="X397" s="6" t="n">
        <v>2.215058319634812</v>
      </c>
      <c r="Y397" s="6" t="n">
        <v>-0.7614602769261176</v>
      </c>
      <c r="Z397" s="6" t="n">
        <v>2.515525513883788</v>
      </c>
      <c r="AA397" s="6" t="n">
        <v>-1.090709198198372</v>
      </c>
      <c r="AB397" s="6" t="n">
        <v>0.394267405321874</v>
      </c>
      <c r="AC397" s="6" t="n">
        <v>0.5954737831430575</v>
      </c>
      <c r="AD397" s="6" t="n">
        <v>0.8019053167656665</v>
      </c>
      <c r="AE397" s="6" t="n">
        <v>-1.189968473833474</v>
      </c>
      <c r="AF397" s="6" t="n">
        <v>0.336400887686307</v>
      </c>
      <c r="AG397" s="6" t="n">
        <v>0.9576990642695706</v>
      </c>
      <c r="AH397" s="6" t="n">
        <v>-0.1917086672174838</v>
      </c>
      <c r="AI397" s="6" t="n">
        <v>-0.06125628734662187</v>
      </c>
      <c r="AJ397" s="6" t="n">
        <v>68.71143674387858</v>
      </c>
      <c r="AK397" s="6" t="n">
        <v>0.1888427765129209</v>
      </c>
      <c r="AL397" s="6" t="n">
        <v>1.101414383219501</v>
      </c>
      <c r="AN397" s="6" t="n">
        <v>1.291312599474032</v>
      </c>
      <c r="AO397" s="6" t="n">
        <v>1.303043637336741</v>
      </c>
      <c r="AP397" s="6" t="n">
        <v>0.1268553366788022</v>
      </c>
      <c r="AQ397" s="6" t="n">
        <v>0</v>
      </c>
      <c r="AR397" s="6" t="n">
        <v>0</v>
      </c>
    </row>
    <row r="398">
      <c r="D398" t="inlineStr">
        <is>
          <t>Run 86</t>
        </is>
      </c>
      <c r="J398" s="6" t="n">
        <v>3.197849214640004</v>
      </c>
      <c r="K398" s="6" t="n">
        <v>-0.5823603173789955</v>
      </c>
      <c r="L398" s="6" t="n">
        <v>-2.108538016797494</v>
      </c>
      <c r="M398" s="6" t="n">
        <v>1.566690858679517</v>
      </c>
      <c r="N398" s="6" t="n">
        <v>-1.760432280531056</v>
      </c>
      <c r="O398" s="6" t="n">
        <v>-0.9571393809226576</v>
      </c>
      <c r="P398" s="6" t="n">
        <v>-1.218214146725075</v>
      </c>
      <c r="Q398" s="6" t="n">
        <v>-4.604501563795981</v>
      </c>
      <c r="R398" s="6" t="n">
        <v>-4.149846976876684</v>
      </c>
      <c r="S398" s="6" t="n">
        <v>-1.415916543995335</v>
      </c>
      <c r="T398" s="6" t="n">
        <v>-0.2412417356339639</v>
      </c>
      <c r="U398" s="6" t="n">
        <v>0.8732002567716399</v>
      </c>
      <c r="V398" s="6" t="n">
        <v>1.86078531701511</v>
      </c>
      <c r="W398" s="6" t="n">
        <v>-4.547431521803956</v>
      </c>
      <c r="X398" s="6" t="n">
        <v>1.674207465924037</v>
      </c>
      <c r="Y398" s="6" t="n">
        <v>-2.112003997589816</v>
      </c>
      <c r="Z398" s="6" t="n">
        <v>3.724083995455197</v>
      </c>
      <c r="AA398" s="6" t="n">
        <v>0.7768268349630749</v>
      </c>
      <c r="AB398" s="6" t="n">
        <v>2.747024469042599</v>
      </c>
      <c r="AC398" s="6" t="n">
        <v>-5.55459102691113</v>
      </c>
      <c r="AD398" s="6" t="n">
        <v>0.6605837938726079</v>
      </c>
      <c r="AE398" s="6" t="n">
        <v>-1.320594285722874</v>
      </c>
      <c r="AF398" s="6" t="n">
        <v>3.758393772425899</v>
      </c>
      <c r="AG398" s="6" t="n">
        <v>-0.469501632613162</v>
      </c>
      <c r="AH398" s="6" t="n">
        <v>-1.096357922547659</v>
      </c>
      <c r="AI398" s="6" t="n">
        <v>-0.4678153622428796</v>
      </c>
      <c r="AJ398" s="6" t="n">
        <v>79.34423511546319</v>
      </c>
      <c r="AK398" s="6" t="n">
        <v>0.1040837209669118</v>
      </c>
      <c r="AL398" s="6" t="n">
        <v>1.028036545959413</v>
      </c>
      <c r="AN398" s="6" t="n">
        <v>1.356110046590409</v>
      </c>
      <c r="AO398" s="6" t="n">
        <v>1.356709296144805</v>
      </c>
      <c r="AP398" s="6" t="n">
        <v>0.1350623208667474</v>
      </c>
      <c r="AQ398" s="6" t="n">
        <v>0</v>
      </c>
      <c r="AR398" s="6" t="n">
        <v>0</v>
      </c>
    </row>
    <row r="399">
      <c r="D399" t="inlineStr">
        <is>
          <t>Run 87</t>
        </is>
      </c>
      <c r="J399" s="6" t="n">
        <v>-1.160764699431228</v>
      </c>
      <c r="K399" s="6" t="n">
        <v>1.764894326215242</v>
      </c>
      <c r="L399" s="6" t="n">
        <v>0.1019058218944194</v>
      </c>
      <c r="M399" s="6" t="n">
        <v>-1.276158775712547</v>
      </c>
      <c r="N399" s="6" t="n">
        <v>0.1538640485870302</v>
      </c>
      <c r="O399" s="6" t="n">
        <v>-2.11056359484552</v>
      </c>
      <c r="P399" s="6" t="n">
        <v>-1.061127079898226</v>
      </c>
      <c r="Q399" s="6" t="n">
        <v>0.244148001913819</v>
      </c>
      <c r="R399" s="6" t="n">
        <v>-1.879981596251675</v>
      </c>
      <c r="S399" s="6" t="n">
        <v>1.138802214492872</v>
      </c>
      <c r="T399" s="6" t="n">
        <v>0.647845698808045</v>
      </c>
      <c r="U399" s="6" t="n">
        <v>-1.850261833692546</v>
      </c>
      <c r="V399" s="6" t="n">
        <v>-1.343880423645187</v>
      </c>
      <c r="W399" s="6" t="n">
        <v>-0.2808821054397641</v>
      </c>
      <c r="X399" s="6" t="n">
        <v>0.9597773937169</v>
      </c>
      <c r="Y399" s="6" t="n">
        <v>-2.975519287884405</v>
      </c>
      <c r="Z399" s="6" t="n">
        <v>2.010748783763337</v>
      </c>
      <c r="AA399" s="6" t="n">
        <v>-0.9161132376341409</v>
      </c>
      <c r="AB399" s="6" t="n">
        <v>1.803216669723155</v>
      </c>
      <c r="AC399" s="6" t="n">
        <v>-1.007716568326853</v>
      </c>
      <c r="AD399" s="6" t="n">
        <v>-1.187920281139949</v>
      </c>
      <c r="AE399" s="6" t="n">
        <v>1.331341970425212</v>
      </c>
      <c r="AF399" s="6" t="n">
        <v>-0.150126100577848</v>
      </c>
      <c r="AG399" s="6" t="n">
        <v>-2.559574817069711</v>
      </c>
      <c r="AH399" s="6" t="n">
        <v>1.098812925260622</v>
      </c>
      <c r="AI399" s="6" t="n">
        <v>-0.8617137289093821</v>
      </c>
      <c r="AJ399" s="6" t="n">
        <v>68.33752112030254</v>
      </c>
      <c r="AK399" s="6" t="n">
        <v>0.1743232017199121</v>
      </c>
      <c r="AL399" s="6" t="n">
        <v>1.002661338956666</v>
      </c>
      <c r="AN399" s="6" t="n">
        <v>1.352769882798817</v>
      </c>
      <c r="AO399" s="6" t="n">
        <v>1.353860253594563</v>
      </c>
      <c r="AP399" s="6" t="n">
        <v>0.1364584384580813</v>
      </c>
      <c r="AQ399" s="6" t="n">
        <v>0</v>
      </c>
      <c r="AR399" s="6" t="n">
        <v>0</v>
      </c>
    </row>
    <row r="400">
      <c r="D400" t="inlineStr">
        <is>
          <t>Run 88</t>
        </is>
      </c>
      <c r="J400" s="6" t="n">
        <v>-1.230089217120159</v>
      </c>
      <c r="K400" s="6" t="n">
        <v>-2.162430741015095</v>
      </c>
      <c r="L400" s="6" t="n">
        <v>-0.2767640051620108</v>
      </c>
      <c r="M400" s="6" t="n">
        <v>2.18220325951443</v>
      </c>
      <c r="N400" s="6" t="n">
        <v>-5.152617690290048</v>
      </c>
      <c r="O400" s="6" t="n">
        <v>-0.3920539822052036</v>
      </c>
      <c r="P400" s="6" t="n">
        <v>0.09453560509728208</v>
      </c>
      <c r="Q400" s="6" t="n">
        <v>1.403127042743068</v>
      </c>
      <c r="R400" s="6" t="n">
        <v>-0.8439127659702588</v>
      </c>
      <c r="S400" s="6" t="n">
        <v>1.495428341005964</v>
      </c>
      <c r="T400" s="6" t="n">
        <v>1.285596234896854</v>
      </c>
      <c r="U400" s="6" t="n">
        <v>-3.596342547194848</v>
      </c>
      <c r="V400" s="6" t="n">
        <v>-0.1123049803846565</v>
      </c>
      <c r="W400" s="6" t="n">
        <v>-0.2418038232944464</v>
      </c>
      <c r="X400" s="6" t="n">
        <v>-2.523201913469878</v>
      </c>
      <c r="Y400" s="6" t="n">
        <v>-0.8457174454475014</v>
      </c>
      <c r="Z400" s="6" t="n">
        <v>1.668401408010303</v>
      </c>
      <c r="AA400" s="6" t="n">
        <v>3.711073539886253</v>
      </c>
      <c r="AB400" s="6" t="n">
        <v>3.359989512443013</v>
      </c>
      <c r="AC400" s="6" t="n">
        <v>3.070860396669474</v>
      </c>
      <c r="AD400" s="6" t="n">
        <v>0.6223283323729424</v>
      </c>
      <c r="AE400" s="6" t="n">
        <v>-0.5186321279840134</v>
      </c>
      <c r="AF400" s="6" t="n">
        <v>-1.885763251649031</v>
      </c>
      <c r="AG400" s="6" t="n">
        <v>0.8417850092698621</v>
      </c>
      <c r="AH400" s="6" t="n">
        <v>0.7480887486901691</v>
      </c>
      <c r="AI400" s="6" t="n">
        <v>1.517993528266899</v>
      </c>
      <c r="AJ400" s="6" t="n">
        <v>81.7502819546753</v>
      </c>
      <c r="AK400" s="6" t="n">
        <v>0.1061613255005782</v>
      </c>
      <c r="AL400" s="6" t="n">
        <v>1.069578489768882</v>
      </c>
      <c r="AN400" s="6" t="n">
        <v>1.334430708925548</v>
      </c>
      <c r="AO400" s="6" t="n">
        <v>1.339340058275275</v>
      </c>
      <c r="AP400" s="6" t="n">
        <v>0.1317791457991355</v>
      </c>
      <c r="AQ400" s="6" t="n">
        <v>0</v>
      </c>
      <c r="AR400" s="6" t="n">
        <v>0</v>
      </c>
    </row>
    <row r="401">
      <c r="D401" t="inlineStr">
        <is>
          <t>Run 89</t>
        </is>
      </c>
      <c r="J401" s="6" t="n">
        <v>0.07295903160776619</v>
      </c>
      <c r="K401" s="6" t="n">
        <v>0.9355039314053599</v>
      </c>
      <c r="L401" s="6" t="n">
        <v>4.855556668676435</v>
      </c>
      <c r="M401" s="6" t="n">
        <v>-2.382647103844449</v>
      </c>
      <c r="N401" s="6" t="n">
        <v>-1.165860096804102</v>
      </c>
      <c r="O401" s="6" t="n">
        <v>0.9254983151604929</v>
      </c>
      <c r="P401" s="6" t="n">
        <v>0.7712802606084636</v>
      </c>
      <c r="Q401" s="6" t="n">
        <v>1.482477185573496</v>
      </c>
      <c r="R401" s="6" t="n">
        <v>-2.938366609996484</v>
      </c>
      <c r="S401" s="6" t="n">
        <v>1.142641240662075</v>
      </c>
      <c r="T401" s="6" t="n">
        <v>2.576687634341457</v>
      </c>
      <c r="U401" s="6" t="n">
        <v>0.6592576184345027</v>
      </c>
      <c r="V401" s="6" t="n">
        <v>0.6716289799331341</v>
      </c>
      <c r="W401" s="6" t="n">
        <v>-1.644130993773884</v>
      </c>
      <c r="X401" s="6" t="n">
        <v>-0.2741823370477389</v>
      </c>
      <c r="Y401" s="6" t="n">
        <v>0.1424659227491583</v>
      </c>
      <c r="Z401" s="6" t="n">
        <v>0.3799293311086071</v>
      </c>
      <c r="AA401" s="6" t="n">
        <v>-0.08562408765071977</v>
      </c>
      <c r="AB401" s="6" t="n">
        <v>-3.428119008408243</v>
      </c>
      <c r="AC401" s="6" t="n">
        <v>1.264089925880046</v>
      </c>
      <c r="AD401" s="6" t="n">
        <v>2.953266646826386</v>
      </c>
      <c r="AE401" s="6" t="n">
        <v>-0.04409461385094827</v>
      </c>
      <c r="AF401" s="6" t="n">
        <v>0.3434650104668459</v>
      </c>
      <c r="AG401" s="6" t="n">
        <v>2.258469574026738</v>
      </c>
      <c r="AH401" s="6" t="n">
        <v>-0.5721367664777385</v>
      </c>
      <c r="AI401" s="6" t="n">
        <v>-1.74418375402984</v>
      </c>
      <c r="AJ401" s="6" t="n">
        <v>75.06637621124099</v>
      </c>
      <c r="AK401" s="6" t="n">
        <v>0.09625531044761683</v>
      </c>
      <c r="AL401" s="6" t="n">
        <v>1.104295396270028</v>
      </c>
      <c r="AN401" s="6" t="n">
        <v>1.315028767350888</v>
      </c>
      <c r="AO401" s="6" t="n">
        <v>1.32099431426927</v>
      </c>
      <c r="AP401" s="6" t="n">
        <v>0.1296300207566389</v>
      </c>
      <c r="AQ401" s="6" t="n">
        <v>0</v>
      </c>
      <c r="AR401" s="6" t="n">
        <v>0</v>
      </c>
    </row>
    <row r="402">
      <c r="D402" t="inlineStr">
        <is>
          <t>Run 90</t>
        </is>
      </c>
      <c r="J402" s="6" t="n">
        <v>-1.713568489137919</v>
      </c>
      <c r="K402" s="6" t="n">
        <v>0.1234386809243279</v>
      </c>
      <c r="L402" s="6" t="n">
        <v>1.089195286128124</v>
      </c>
      <c r="M402" s="6" t="n">
        <v>-2.541633061815154</v>
      </c>
      <c r="N402" s="6" t="n">
        <v>0.8599095071497381</v>
      </c>
      <c r="O402" s="6" t="n">
        <v>-1.534447694919781</v>
      </c>
      <c r="P402" s="6" t="n">
        <v>0.5914826883028794</v>
      </c>
      <c r="Q402" s="6" t="n">
        <v>0.1956142345589558</v>
      </c>
      <c r="R402" s="6" t="n">
        <v>-2.303814522872341</v>
      </c>
      <c r="S402" s="6" t="n">
        <v>1.254779706986263</v>
      </c>
      <c r="T402" s="6" t="n">
        <v>-0.4525505024420263</v>
      </c>
      <c r="U402" s="6" t="n">
        <v>-0.0707348477594231</v>
      </c>
      <c r="V402" s="6" t="n">
        <v>0.6111422487242631</v>
      </c>
      <c r="W402" s="6" t="n">
        <v>1.801678063543702</v>
      </c>
      <c r="X402" s="6" t="n">
        <v>-2.951510765020543</v>
      </c>
      <c r="Y402" s="6" t="n">
        <v>-3.14557653906651</v>
      </c>
      <c r="Z402" s="6" t="n">
        <v>0.6880241819907997</v>
      </c>
      <c r="AA402" s="6" t="n">
        <v>1.482278934107479</v>
      </c>
      <c r="AB402" s="6" t="n">
        <v>-2.538823044586554</v>
      </c>
      <c r="AC402" s="6" t="n">
        <v>0.6624173988150018</v>
      </c>
      <c r="AD402" s="6" t="n">
        <v>-1.583761028451739</v>
      </c>
      <c r="AE402" s="6" t="n">
        <v>-1.636447863482591</v>
      </c>
      <c r="AF402" s="6" t="n">
        <v>-0.7880944547100538</v>
      </c>
      <c r="AG402" s="6" t="n">
        <v>-1.901855367307294</v>
      </c>
      <c r="AH402" s="6" t="n">
        <v>1.404626991112168</v>
      </c>
      <c r="AI402" s="6" t="n">
        <v>-0.7451366253056101</v>
      </c>
      <c r="AJ402" s="6" t="n">
        <v>66.75735910724705</v>
      </c>
      <c r="AK402" s="6" t="n">
        <v>0.1892416392454958</v>
      </c>
      <c r="AL402" s="6" t="n">
        <v>1.039310458036495</v>
      </c>
      <c r="AN402" s="6" t="n">
        <v>1.320690920072918</v>
      </c>
      <c r="AO402" s="6" t="n">
        <v>1.329505547892359</v>
      </c>
      <c r="AP402" s="6" t="n">
        <v>0.1311944661132075</v>
      </c>
      <c r="AQ402" s="6" t="n">
        <v>0</v>
      </c>
      <c r="AR402" s="6" t="n">
        <v>0</v>
      </c>
    </row>
    <row r="403">
      <c r="D403" t="inlineStr">
        <is>
          <t>Run 91</t>
        </is>
      </c>
      <c r="J403" s="6" t="n">
        <v>2.910093808769237</v>
      </c>
      <c r="K403" s="6" t="n">
        <v>5</v>
      </c>
      <c r="L403" s="6" t="n">
        <v>-2.977319906234547</v>
      </c>
      <c r="M403" s="6" t="n">
        <v>-1.491028237475708</v>
      </c>
      <c r="N403" s="6" t="n">
        <v>-1.86768147156086</v>
      </c>
      <c r="O403" s="6" t="n">
        <v>1.224726587424148</v>
      </c>
      <c r="P403" s="6" t="n">
        <v>-1.038032489916475</v>
      </c>
      <c r="Q403" s="6" t="n">
        <v>1.0987525881613</v>
      </c>
      <c r="R403" s="6" t="n">
        <v>4.687868593742386</v>
      </c>
      <c r="S403" s="6" t="n">
        <v>-0.2831211085919552</v>
      </c>
      <c r="T403" s="6" t="n">
        <v>2.693084004351926</v>
      </c>
      <c r="U403" s="6" t="n">
        <v>0.3419020690301953</v>
      </c>
      <c r="V403" s="6" t="n">
        <v>1.719213003509025</v>
      </c>
      <c r="W403" s="6" t="n">
        <v>1.285889719838193</v>
      </c>
      <c r="X403" s="6" t="n">
        <v>-0.2058987373517992</v>
      </c>
      <c r="Y403" s="6" t="n">
        <v>2.444111324664461</v>
      </c>
      <c r="Z403" s="6" t="n">
        <v>0.7043275132022322</v>
      </c>
      <c r="AA403" s="6" t="n">
        <v>1.481140390850586</v>
      </c>
      <c r="AB403" s="6" t="n">
        <v>0.1317656337040317</v>
      </c>
      <c r="AC403" s="6" t="n">
        <v>0.02354586246292645</v>
      </c>
      <c r="AD403" s="6" t="n">
        <v>-1.398626526900707</v>
      </c>
      <c r="AE403" s="6" t="n">
        <v>0.9616311282257141</v>
      </c>
      <c r="AF403" s="6" t="n">
        <v>0.9377686760677211</v>
      </c>
      <c r="AG403" s="6" t="n">
        <v>0.1549981932552158</v>
      </c>
      <c r="AH403" s="6" t="n">
        <v>0.7411185206115988</v>
      </c>
      <c r="AI403" s="6" t="n">
        <v>2.516590809267639</v>
      </c>
      <c r="AJ403" s="6" t="n">
        <v>66.69425701755938</v>
      </c>
      <c r="AK403" s="6" t="n">
        <v>0.1132742187347699</v>
      </c>
      <c r="AL403" s="6" t="n">
        <v>1.053601986119789</v>
      </c>
      <c r="AN403" s="6" t="n">
        <v>1.336025460582821</v>
      </c>
      <c r="AO403" s="6" t="n">
        <v>1.340188486107255</v>
      </c>
      <c r="AP403" s="6" t="n">
        <v>0.1320186532245602</v>
      </c>
      <c r="AQ403" s="6" t="n">
        <v>0</v>
      </c>
      <c r="AR403" s="6" t="n">
        <v>0</v>
      </c>
    </row>
    <row r="404">
      <c r="D404" t="inlineStr">
        <is>
          <t>Run 92</t>
        </is>
      </c>
      <c r="J404" s="6" t="n">
        <v>0.4828305581039773</v>
      </c>
      <c r="K404" s="6" t="n">
        <v>-0.08756369415870456</v>
      </c>
      <c r="L404" s="6" t="n">
        <v>1.125982549708857</v>
      </c>
      <c r="M404" s="6" t="n">
        <v>0.9350963058220081</v>
      </c>
      <c r="N404" s="6" t="n">
        <v>-0.6822458600099173</v>
      </c>
      <c r="O404" s="6" t="n">
        <v>0.5484320588862932</v>
      </c>
      <c r="P404" s="6" t="n">
        <v>-0.0940678985528461</v>
      </c>
      <c r="Q404" s="6" t="n">
        <v>3.282549387626883</v>
      </c>
      <c r="R404" s="6" t="n">
        <v>-1.952613607207843</v>
      </c>
      <c r="S404" s="6" t="n">
        <v>-2.900995629804006</v>
      </c>
      <c r="T404" s="6" t="n">
        <v>-0.9385631561088201</v>
      </c>
      <c r="U404" s="6" t="n">
        <v>0.7832514313702514</v>
      </c>
      <c r="V404" s="6" t="n">
        <v>0.7843638255310489</v>
      </c>
      <c r="W404" s="6" t="n">
        <v>1.39982795319053</v>
      </c>
      <c r="X404" s="6" t="n">
        <v>-0.1437723309846344</v>
      </c>
      <c r="Y404" s="6" t="n">
        <v>0.5837164886016399</v>
      </c>
      <c r="Z404" s="6" t="n">
        <v>1.11684130037338</v>
      </c>
      <c r="AA404" s="6" t="n">
        <v>-1.580564814990188</v>
      </c>
      <c r="AB404" s="6" t="n">
        <v>-1.299975464048916</v>
      </c>
      <c r="AC404" s="6" t="n">
        <v>1.188686701850855</v>
      </c>
      <c r="AD404" s="6" t="n">
        <v>-2.169031543539438</v>
      </c>
      <c r="AE404" s="6" t="n">
        <v>-0.6753146262358261</v>
      </c>
      <c r="AF404" s="6" t="n">
        <v>0.09192940675974766</v>
      </c>
      <c r="AG404" s="6" t="n">
        <v>-0.6333154328314921</v>
      </c>
      <c r="AH404" s="6" t="n">
        <v>-0.5563472366318056</v>
      </c>
      <c r="AI404" s="6" t="n">
        <v>-1.254195079459458</v>
      </c>
      <c r="AJ404" s="6" t="n">
        <v>63.69520578094388</v>
      </c>
      <c r="AK404" s="6" t="n">
        <v>0.1544313188841892</v>
      </c>
      <c r="AL404" s="6" t="n">
        <v>1.051683500857116</v>
      </c>
      <c r="AN404" s="6" t="n">
        <v>1.339510150705941</v>
      </c>
      <c r="AO404" s="6" t="n">
        <v>1.339527819780736</v>
      </c>
      <c r="AP404" s="6" t="n">
        <v>0.1310830481849594</v>
      </c>
      <c r="AQ404" s="6" t="n">
        <v>0</v>
      </c>
      <c r="AR404" s="6" t="n">
        <v>0</v>
      </c>
    </row>
    <row r="405">
      <c r="D405" t="inlineStr">
        <is>
          <t>Run 93</t>
        </is>
      </c>
      <c r="J405" s="6" t="n">
        <v>1.294886770310854</v>
      </c>
      <c r="K405" s="6" t="n">
        <v>-1.585395668402773</v>
      </c>
      <c r="L405" s="6" t="n">
        <v>1.302572562856363</v>
      </c>
      <c r="M405" s="6" t="n">
        <v>-0.09812249770012513</v>
      </c>
      <c r="N405" s="6" t="n">
        <v>0.5239732618157501</v>
      </c>
      <c r="O405" s="6" t="n">
        <v>2.856075393069999</v>
      </c>
      <c r="P405" s="6" t="n">
        <v>1.338219238726767</v>
      </c>
      <c r="Q405" s="6" t="n">
        <v>2.874654430543016</v>
      </c>
      <c r="R405" s="6" t="n">
        <v>-2.008187904955063</v>
      </c>
      <c r="S405" s="6" t="n">
        <v>-0.04911980848720689</v>
      </c>
      <c r="T405" s="6" t="n">
        <v>-0.2019629789618175</v>
      </c>
      <c r="U405" s="6" t="n">
        <v>0.030330920616268</v>
      </c>
      <c r="V405" s="6" t="n">
        <v>3.407218999530628</v>
      </c>
      <c r="W405" s="6" t="n">
        <v>-2.755822732658904</v>
      </c>
      <c r="X405" s="6" t="n">
        <v>3.426117018033443</v>
      </c>
      <c r="Y405" s="6" t="n">
        <v>1.352469068859275</v>
      </c>
      <c r="Z405" s="6" t="n">
        <v>0.4695261955554634</v>
      </c>
      <c r="AA405" s="6" t="n">
        <v>0.575435103051428</v>
      </c>
      <c r="AB405" s="6" t="n">
        <v>2.283624608931249</v>
      </c>
      <c r="AC405" s="6" t="n">
        <v>-1.378887026293693</v>
      </c>
      <c r="AD405" s="6" t="n">
        <v>-0.5998362535256422</v>
      </c>
      <c r="AE405" s="6" t="n">
        <v>1.029925506439069</v>
      </c>
      <c r="AF405" s="6" t="n">
        <v>1.611035508538459</v>
      </c>
      <c r="AG405" s="6" t="n">
        <v>2.995862003467882</v>
      </c>
      <c r="AH405" s="6" t="n">
        <v>-3.475800325972239</v>
      </c>
      <c r="AI405" s="6" t="n">
        <v>-3.797826587989127</v>
      </c>
      <c r="AJ405" s="6" t="n">
        <v>74.94892321993433</v>
      </c>
      <c r="AK405" s="6" t="n">
        <v>0.1139718272093684</v>
      </c>
      <c r="AL405" s="6" t="n">
        <v>0.9666679887852889</v>
      </c>
      <c r="AN405" s="6" t="n">
        <v>1.362822396479799</v>
      </c>
      <c r="AO405" s="6" t="n">
        <v>1.362822396479799</v>
      </c>
      <c r="AP405" s="6" t="n">
        <v>0.1472365406704708</v>
      </c>
      <c r="AQ405" s="6" t="n">
        <v>0</v>
      </c>
      <c r="AR405" s="6" t="n">
        <v>0</v>
      </c>
    </row>
    <row r="406">
      <c r="D406" t="inlineStr">
        <is>
          <t>Run 94</t>
        </is>
      </c>
      <c r="J406" s="6" t="n">
        <v>-3.545498182978467</v>
      </c>
      <c r="K406" s="6" t="n">
        <v>-2.010095727324051</v>
      </c>
      <c r="L406" s="6" t="n">
        <v>-0.9107521609636003</v>
      </c>
      <c r="M406" s="6" t="n">
        <v>0.6520586863267038</v>
      </c>
      <c r="N406" s="6" t="n">
        <v>-0.2348946913070126</v>
      </c>
      <c r="O406" s="6" t="n">
        <v>-1.037487957773801</v>
      </c>
      <c r="P406" s="6" t="n">
        <v>0.6280062822454429</v>
      </c>
      <c r="Q406" s="6" t="n">
        <v>-0.7417107923962195</v>
      </c>
      <c r="R406" s="6" t="n">
        <v>2.470468031379934</v>
      </c>
      <c r="S406" s="6" t="n">
        <v>-1.176400774482385</v>
      </c>
      <c r="T406" s="6" t="n">
        <v>3.127506142813314</v>
      </c>
      <c r="U406" s="6" t="n">
        <v>-3.745843848085851</v>
      </c>
      <c r="V406" s="6" t="n">
        <v>1.714619210917806</v>
      </c>
      <c r="W406" s="6" t="n">
        <v>0.7657829595370934</v>
      </c>
      <c r="X406" s="6" t="n">
        <v>-3.077140206393195</v>
      </c>
      <c r="Y406" s="6" t="n">
        <v>0.1165502283793972</v>
      </c>
      <c r="Z406" s="6" t="n">
        <v>-0.3315460760712176</v>
      </c>
      <c r="AA406" s="6" t="n">
        <v>-3.606123421500859</v>
      </c>
      <c r="AB406" s="6" t="n">
        <v>2.40900843797621</v>
      </c>
      <c r="AC406" s="6" t="n">
        <v>1.074978152492055</v>
      </c>
      <c r="AD406" s="6" t="n">
        <v>0.9965793424729757</v>
      </c>
      <c r="AE406" s="6" t="n">
        <v>-1.181312393653925</v>
      </c>
      <c r="AF406" s="6" t="n">
        <v>-3.054342104033508</v>
      </c>
      <c r="AG406" s="6" t="n">
        <v>2.318341382052491</v>
      </c>
      <c r="AH406" s="6" t="n">
        <v>-1.401151915411138</v>
      </c>
      <c r="AI406" s="6" t="n">
        <v>1.19920498253825</v>
      </c>
      <c r="AJ406" s="6" t="n">
        <v>69.65880413586569</v>
      </c>
      <c r="AK406" s="6" t="n">
        <v>0.11357959639599</v>
      </c>
      <c r="AL406" s="6" t="n">
        <v>1.045935664917531</v>
      </c>
      <c r="AN406" s="6" t="n">
        <v>1.348280543684822</v>
      </c>
      <c r="AO406" s="6" t="n">
        <v>1.348622460031624</v>
      </c>
      <c r="AP406" s="6" t="n">
        <v>0.1328426857389527</v>
      </c>
      <c r="AQ406" s="6" t="n">
        <v>0</v>
      </c>
      <c r="AR406" s="6" t="n">
        <v>0</v>
      </c>
    </row>
    <row r="407">
      <c r="D407" t="inlineStr">
        <is>
          <t>Run 95</t>
        </is>
      </c>
      <c r="J407" s="6" t="n">
        <v>-2.909756445875213</v>
      </c>
      <c r="K407" s="6" t="n">
        <v>-0.532311940042195</v>
      </c>
      <c r="L407" s="6" t="n">
        <v>3.41679455440057</v>
      </c>
      <c r="M407" s="6" t="n">
        <v>1.537731763787353</v>
      </c>
      <c r="N407" s="6" t="n">
        <v>-1.76289596238712</v>
      </c>
      <c r="O407" s="6" t="n">
        <v>-3.251718316592686</v>
      </c>
      <c r="P407" s="6" t="n">
        <v>0.3279664212019049</v>
      </c>
      <c r="Q407" s="6" t="n">
        <v>-0.8522993937110972</v>
      </c>
      <c r="R407" s="6" t="n">
        <v>-3.408248693588305</v>
      </c>
      <c r="S407" s="6" t="n">
        <v>0.9613509346789171</v>
      </c>
      <c r="T407" s="6" t="n">
        <v>2.044989759662823</v>
      </c>
      <c r="U407" s="6" t="n">
        <v>-2.749200602769041</v>
      </c>
      <c r="V407" s="6" t="n">
        <v>-2.853919418983385</v>
      </c>
      <c r="W407" s="6" t="n">
        <v>-0.3512992017083639</v>
      </c>
      <c r="X407" s="6" t="n">
        <v>-0.951155136123381</v>
      </c>
      <c r="Y407" s="6" t="n">
        <v>0.6655364646088854</v>
      </c>
      <c r="Z407" s="6" t="n">
        <v>-0.7023297016864762</v>
      </c>
      <c r="AA407" s="6" t="n">
        <v>0.3775565905198023</v>
      </c>
      <c r="AB407" s="6" t="n">
        <v>-0.4678475601002284</v>
      </c>
      <c r="AC407" s="6" t="n">
        <v>-0.7198415046289612</v>
      </c>
      <c r="AD407" s="6" t="n">
        <v>0.9111038963620728</v>
      </c>
      <c r="AE407" s="6" t="n">
        <v>-0.5595494935552076</v>
      </c>
      <c r="AF407" s="6" t="n">
        <v>3.095988704205363</v>
      </c>
      <c r="AG407" s="6" t="n">
        <v>-1.727489498697544</v>
      </c>
      <c r="AH407" s="6" t="n">
        <v>2.696879039928044</v>
      </c>
      <c r="AI407" s="6" t="n">
        <v>2.908788797144165</v>
      </c>
      <c r="AJ407" s="6" t="n">
        <v>74.86741505712712</v>
      </c>
      <c r="AK407" s="6" t="n">
        <v>0.08539686010058611</v>
      </c>
      <c r="AL407" s="6" t="n">
        <v>1.053383015894256</v>
      </c>
      <c r="AN407" s="6" t="n">
        <v>1.349075497435346</v>
      </c>
      <c r="AO407" s="6" t="n">
        <v>1.349359274738302</v>
      </c>
      <c r="AP407" s="6" t="n">
        <v>0.1331253857687537</v>
      </c>
      <c r="AQ407" s="6" t="n">
        <v>0</v>
      </c>
      <c r="AR407" s="6" t="n">
        <v>0</v>
      </c>
    </row>
    <row r="408">
      <c r="D408" t="inlineStr">
        <is>
          <t>Run 96</t>
        </is>
      </c>
      <c r="J408" s="6" t="n">
        <v>1.424606124718799</v>
      </c>
      <c r="K408" s="6" t="n">
        <v>0.5012266649433922</v>
      </c>
      <c r="L408" s="6" t="n">
        <v>2.489773162067566</v>
      </c>
      <c r="M408" s="6" t="n">
        <v>0.7978808092000589</v>
      </c>
      <c r="N408" s="6" t="n">
        <v>-1.585168716616338</v>
      </c>
      <c r="O408" s="6" t="n">
        <v>-0.5200982499447921</v>
      </c>
      <c r="P408" s="6" t="n">
        <v>-0.9611444920151041</v>
      </c>
      <c r="Q408" s="6" t="n">
        <v>-0.428702918861385</v>
      </c>
      <c r="R408" s="6" t="n">
        <v>1.041321433195936</v>
      </c>
      <c r="S408" s="6" t="n">
        <v>-2.557159574630525</v>
      </c>
      <c r="T408" s="6" t="n">
        <v>-0.6509551147072992</v>
      </c>
      <c r="U408" s="6" t="n">
        <v>-1.785142148405692</v>
      </c>
      <c r="V408" s="6" t="n">
        <v>-2.765064560743027</v>
      </c>
      <c r="W408" s="6" t="n">
        <v>0.08586996851726737</v>
      </c>
      <c r="X408" s="6" t="n">
        <v>1.933045065118211</v>
      </c>
      <c r="Y408" s="6" t="n">
        <v>-1.531009042420208</v>
      </c>
      <c r="Z408" s="6" t="n">
        <v>-0.1936690733756332</v>
      </c>
      <c r="AA408" s="6" t="n">
        <v>0.7444374924852069</v>
      </c>
      <c r="AB408" s="6" t="n">
        <v>0.1375729963144647</v>
      </c>
      <c r="AC408" s="6" t="n">
        <v>-2.954943965907553</v>
      </c>
      <c r="AD408" s="6" t="n">
        <v>1.488035023466388</v>
      </c>
      <c r="AE408" s="6" t="n">
        <v>-0.4437296007333533</v>
      </c>
      <c r="AF408" s="6" t="n">
        <v>4.198822518143439</v>
      </c>
      <c r="AG408" s="6" t="n">
        <v>1.052043308027154</v>
      </c>
      <c r="AH408" s="6" t="n">
        <v>-2.562649760776075</v>
      </c>
      <c r="AI408" s="6" t="n">
        <v>-0.1081330961155809</v>
      </c>
      <c r="AJ408" s="6" t="n">
        <v>71.60219835743307</v>
      </c>
      <c r="AK408" s="6" t="n">
        <v>0.1310476172034045</v>
      </c>
      <c r="AL408" s="6" t="n">
        <v>1.014607692671533</v>
      </c>
      <c r="AN408" s="6" t="n">
        <v>1.351897915079683</v>
      </c>
      <c r="AO408" s="6" t="n">
        <v>1.351897915079683</v>
      </c>
      <c r="AP408" s="6" t="n">
        <v>0.1359694014614059</v>
      </c>
      <c r="AQ408" s="6" t="n">
        <v>0</v>
      </c>
      <c r="AR408" s="6" t="n">
        <v>0</v>
      </c>
    </row>
    <row r="409">
      <c r="D409" t="inlineStr">
        <is>
          <t>Run 97</t>
        </is>
      </c>
      <c r="J409" s="6" t="n">
        <v>2.221504830822634</v>
      </c>
      <c r="K409" s="6" t="n">
        <v>-3.558340483141528</v>
      </c>
      <c r="L409" s="6" t="n">
        <v>1.253720809340864</v>
      </c>
      <c r="M409" s="6" t="n">
        <v>0.5079658478693544</v>
      </c>
      <c r="N409" s="6" t="n">
        <v>-0.1820326422248653</v>
      </c>
      <c r="O409" s="6" t="n">
        <v>-2.517311000995786</v>
      </c>
      <c r="P409" s="6" t="n">
        <v>1.223165631538109</v>
      </c>
      <c r="Q409" s="6" t="n">
        <v>-0.2388778650883046</v>
      </c>
      <c r="R409" s="6" t="n">
        <v>1.677889078881235</v>
      </c>
      <c r="S409" s="6" t="n">
        <v>2.001557625797238</v>
      </c>
      <c r="T409" s="6" t="n">
        <v>0.5008334230447105</v>
      </c>
      <c r="U409" s="6" t="n">
        <v>-1.642165129489821</v>
      </c>
      <c r="V409" s="6" t="n">
        <v>2.767331924450882</v>
      </c>
      <c r="W409" s="6" t="n">
        <v>4.431287097372447</v>
      </c>
      <c r="X409" s="6" t="n">
        <v>1.991939413837613</v>
      </c>
      <c r="Y409" s="6" t="n">
        <v>1.982296840247055</v>
      </c>
      <c r="Z409" s="6" t="n">
        <v>-3.680171318680686</v>
      </c>
      <c r="AA409" s="6" t="n">
        <v>2.887145989867185</v>
      </c>
      <c r="AB409" s="6" t="n">
        <v>-1.982146251863872</v>
      </c>
      <c r="AC409" s="6" t="n">
        <v>-2.069886662866554</v>
      </c>
      <c r="AD409" s="6" t="n">
        <v>2.113173265038777</v>
      </c>
      <c r="AE409" s="6" t="n">
        <v>1.926692800715936</v>
      </c>
      <c r="AF409" s="6" t="n">
        <v>0.5483799358449254</v>
      </c>
      <c r="AG409" s="6" t="n">
        <v>0.9109226091172484</v>
      </c>
      <c r="AH409" s="6" t="n">
        <v>0.2847052831025459</v>
      </c>
      <c r="AI409" s="6" t="n">
        <v>0.1187480395145427</v>
      </c>
      <c r="AJ409" s="6" t="n">
        <v>73.12053701979707</v>
      </c>
      <c r="AK409" s="6" t="n">
        <v>0.06532184147821311</v>
      </c>
      <c r="AL409" s="6" t="n">
        <v>1.0248297606652</v>
      </c>
      <c r="AN409" s="6" t="n">
        <v>1.351440470214018</v>
      </c>
      <c r="AO409" s="6" t="n">
        <v>1.352808479844</v>
      </c>
      <c r="AP409" s="6" t="n">
        <v>0.1363628401178079</v>
      </c>
      <c r="AQ409" s="6" t="n">
        <v>0</v>
      </c>
      <c r="AR409" s="6" t="n">
        <v>0</v>
      </c>
    </row>
    <row r="410">
      <c r="D410" t="inlineStr">
        <is>
          <t>Run 98</t>
        </is>
      </c>
      <c r="J410" s="6" t="n">
        <v>-1.217174354985654</v>
      </c>
      <c r="K410" s="6" t="n">
        <v>-4.271411619060316</v>
      </c>
      <c r="L410" s="6" t="n">
        <v>-1.791464901708591</v>
      </c>
      <c r="M410" s="6" t="n">
        <v>-0.9166961587521441</v>
      </c>
      <c r="N410" s="6" t="n">
        <v>-0.8615006671614985</v>
      </c>
      <c r="O410" s="6" t="n">
        <v>1.313587489689332</v>
      </c>
      <c r="P410" s="6" t="n">
        <v>0.4124339876254434</v>
      </c>
      <c r="Q410" s="6" t="n">
        <v>0.7889274806336279</v>
      </c>
      <c r="R410" s="6" t="n">
        <v>0.9161227818496405</v>
      </c>
      <c r="S410" s="6" t="n">
        <v>0.06788288604093168</v>
      </c>
      <c r="T410" s="6" t="n">
        <v>-2.374583962408725</v>
      </c>
      <c r="U410" s="6" t="n">
        <v>-1.712464362008848</v>
      </c>
      <c r="V410" s="6" t="n">
        <v>-2.288687641765349</v>
      </c>
      <c r="W410" s="6" t="n">
        <v>2.576763612152212</v>
      </c>
      <c r="X410" s="6" t="n">
        <v>1.891001513956315</v>
      </c>
      <c r="Y410" s="6" t="n">
        <v>-1.903526116669125</v>
      </c>
      <c r="Z410" s="6" t="n">
        <v>1.587714991110475</v>
      </c>
      <c r="AA410" s="6" t="n">
        <v>2.76413922814797</v>
      </c>
      <c r="AB410" s="6" t="n">
        <v>1.065938988452386</v>
      </c>
      <c r="AC410" s="6" t="n">
        <v>2.797406193815267</v>
      </c>
      <c r="AD410" s="6" t="n">
        <v>-0.8669526383592715</v>
      </c>
      <c r="AE410" s="6" t="n">
        <v>3.182820672748238</v>
      </c>
      <c r="AF410" s="6" t="n">
        <v>-2.473938378995448</v>
      </c>
      <c r="AG410" s="6" t="n">
        <v>-0.445449948010094</v>
      </c>
      <c r="AH410" s="6" t="n">
        <v>-1.330490096389646</v>
      </c>
      <c r="AI410" s="6" t="n">
        <v>0.7243566268798109</v>
      </c>
      <c r="AJ410" s="6" t="n">
        <v>69.72569636447562</v>
      </c>
      <c r="AK410" s="6" t="n">
        <v>0.1369077126653664</v>
      </c>
      <c r="AL410" s="6" t="n">
        <v>1.047127613972735</v>
      </c>
      <c r="AN410" s="6" t="n">
        <v>1.33394718217059</v>
      </c>
      <c r="AO410" s="6" t="n">
        <v>1.33835130935489</v>
      </c>
      <c r="AP410" s="6" t="n">
        <v>0.1319905302656779</v>
      </c>
      <c r="AQ410" s="6" t="n">
        <v>0</v>
      </c>
      <c r="AR410" s="6" t="n">
        <v>0</v>
      </c>
    </row>
    <row r="411">
      <c r="D411" t="inlineStr">
        <is>
          <t>Run 99</t>
        </is>
      </c>
      <c r="J411" s="6" t="n">
        <v>-1.015365251749177</v>
      </c>
      <c r="K411" s="6" t="n">
        <v>-3.272547968146457</v>
      </c>
      <c r="L411" s="6" t="n">
        <v>0.9962249830854965</v>
      </c>
      <c r="M411" s="6" t="n">
        <v>-0.7127064434039169</v>
      </c>
      <c r="N411" s="6" t="n">
        <v>2.330213123333579</v>
      </c>
      <c r="O411" s="6" t="n">
        <v>-3.810145588400651</v>
      </c>
      <c r="P411" s="6" t="n">
        <v>0.9682268763545115</v>
      </c>
      <c r="Q411" s="6" t="n">
        <v>3.568040719601976</v>
      </c>
      <c r="R411" s="6" t="n">
        <v>0.4425122132609223</v>
      </c>
      <c r="S411" s="6" t="n">
        <v>-0.562642918845192</v>
      </c>
      <c r="T411" s="6" t="n">
        <v>-3.473519748042031</v>
      </c>
      <c r="U411" s="6" t="n">
        <v>2.334141071599145</v>
      </c>
      <c r="V411" s="6" t="n">
        <v>2.514408332714453</v>
      </c>
      <c r="W411" s="6" t="n">
        <v>-1.886293814426969</v>
      </c>
      <c r="X411" s="6" t="n">
        <v>-0.6939948710368823</v>
      </c>
      <c r="Y411" s="6" t="n">
        <v>-1.228297598118671</v>
      </c>
      <c r="Z411" s="6" t="n">
        <v>-1.274375870127219</v>
      </c>
      <c r="AA411" s="6" t="n">
        <v>2.912962019915103</v>
      </c>
      <c r="AB411" s="6" t="n">
        <v>-0.9549460714619468</v>
      </c>
      <c r="AC411" s="6" t="n">
        <v>1.793341906094842</v>
      </c>
      <c r="AD411" s="6" t="n">
        <v>1.313895106778042</v>
      </c>
      <c r="AE411" s="6" t="n">
        <v>2.045812445773844</v>
      </c>
      <c r="AF411" s="6" t="n">
        <v>-0.02492244138086129</v>
      </c>
      <c r="AG411" s="6" t="n">
        <v>0.8086924711431684</v>
      </c>
      <c r="AH411" s="6" t="n">
        <v>-0.5505877913731022</v>
      </c>
      <c r="AI411" s="6" t="n">
        <v>1.062039669346624</v>
      </c>
      <c r="AJ411" s="6" t="n">
        <v>74.20151668485776</v>
      </c>
      <c r="AK411" s="6" t="n">
        <v>0.1454320275849397</v>
      </c>
      <c r="AL411" s="6" t="n">
        <v>1.041347730694816</v>
      </c>
      <c r="AN411" s="6" t="n">
        <v>1.343853395694187</v>
      </c>
      <c r="AO411" s="6" t="n">
        <v>1.346977090622186</v>
      </c>
      <c r="AP411" s="6" t="n">
        <v>0.1328437399868393</v>
      </c>
      <c r="AQ411" s="6" t="n">
        <v>0</v>
      </c>
      <c r="AR411" s="6" t="n">
        <v>0</v>
      </c>
    </row>
    <row r="412">
      <c r="D412" t="inlineStr">
        <is>
          <t>Run 100</t>
        </is>
      </c>
      <c r="J412" s="6" t="n">
        <v>-0.4798527055971865</v>
      </c>
      <c r="K412" s="6" t="n">
        <v>0.3726320457662532</v>
      </c>
      <c r="L412" s="6" t="n">
        <v>-0.7738736697525259</v>
      </c>
      <c r="M412" s="6" t="n">
        <v>-1.351139899560779</v>
      </c>
      <c r="N412" s="6" t="n">
        <v>-2.096688598843438</v>
      </c>
      <c r="O412" s="6" t="n">
        <v>1.366742845537418</v>
      </c>
      <c r="P412" s="6" t="n">
        <v>-0.6628655762735456</v>
      </c>
      <c r="Q412" s="6" t="n">
        <v>-1.182284230588069</v>
      </c>
      <c r="R412" s="6" t="n">
        <v>-5.043323331461136</v>
      </c>
      <c r="S412" s="6" t="n">
        <v>-0.8821358756980304</v>
      </c>
      <c r="T412" s="6" t="n">
        <v>2.704430507187485</v>
      </c>
      <c r="U412" s="6" t="n">
        <v>-0.6549318372291013</v>
      </c>
      <c r="V412" s="6" t="n">
        <v>-1.772472398670974</v>
      </c>
      <c r="W412" s="6" t="n">
        <v>2.942172684708914</v>
      </c>
      <c r="X412" s="6" t="n">
        <v>2.475927105074841</v>
      </c>
      <c r="Y412" s="6" t="n">
        <v>-3.898573837931329</v>
      </c>
      <c r="Z412" s="6" t="n">
        <v>-1.307427115773504</v>
      </c>
      <c r="AA412" s="6" t="n">
        <v>-2.236255282755017</v>
      </c>
      <c r="AB412" s="6" t="n">
        <v>4.310982729032117</v>
      </c>
      <c r="AC412" s="6" t="n">
        <v>-1.274294204499475</v>
      </c>
      <c r="AD412" s="6" t="n">
        <v>0.007374520656650552</v>
      </c>
      <c r="AE412" s="6" t="n">
        <v>3.18445943405205</v>
      </c>
      <c r="AF412" s="6" t="n">
        <v>0.5659500666255179</v>
      </c>
      <c r="AG412" s="6" t="n">
        <v>-0.7872365672404372</v>
      </c>
      <c r="AH412" s="6" t="n">
        <v>2.058731513746915</v>
      </c>
      <c r="AI412" s="6" t="n">
        <v>3.027986445529322</v>
      </c>
      <c r="AJ412" s="6" t="n">
        <v>71.78422873867171</v>
      </c>
      <c r="AK412" s="6" t="n">
        <v>0.1611804641643861</v>
      </c>
      <c r="AL412" s="6" t="n">
        <v>1.073223697411646</v>
      </c>
      <c r="AN412" s="6" t="n">
        <v>1.331291480224923</v>
      </c>
      <c r="AO412" s="6" t="n">
        <v>1.332217192170988</v>
      </c>
      <c r="AP412" s="6" t="n">
        <v>0.1293046500012114</v>
      </c>
      <c r="AQ412" s="6" t="n">
        <v>0</v>
      </c>
      <c r="AR412" s="6" t="n">
        <v>0</v>
      </c>
    </row>
    <row r="413">
      <c r="D413" t="inlineStr">
        <is>
          <t>Run 101</t>
        </is>
      </c>
      <c r="J413" s="6" t="n">
        <v>-2.029640162666126</v>
      </c>
      <c r="K413" s="6" t="n">
        <v>2.662831846171821</v>
      </c>
      <c r="L413" s="6" t="n">
        <v>5</v>
      </c>
      <c r="M413" s="6" t="n">
        <v>-0.2666078916070666</v>
      </c>
      <c r="N413" s="6" t="n">
        <v>0.4558483322576123</v>
      </c>
      <c r="O413" s="6" t="n">
        <v>-0.9686166113444383</v>
      </c>
      <c r="P413" s="6" t="n">
        <v>-0.2461555654402635</v>
      </c>
      <c r="Q413" s="6" t="n">
        <v>-1.106453840518653</v>
      </c>
      <c r="R413" s="6" t="n">
        <v>-3.078904913697719</v>
      </c>
      <c r="S413" s="6" t="n">
        <v>-0.9768228965666099</v>
      </c>
      <c r="T413" s="6" t="n">
        <v>-1.047403608989843</v>
      </c>
      <c r="U413" s="6" t="n">
        <v>-0.2064357305952478</v>
      </c>
      <c r="V413" s="6" t="n">
        <v>-3.259648839402868</v>
      </c>
      <c r="W413" s="6" t="n">
        <v>-0.341764027622375</v>
      </c>
      <c r="X413" s="6" t="n">
        <v>0.3985827088838381</v>
      </c>
      <c r="Y413" s="6" t="n">
        <v>2.479967750088144</v>
      </c>
      <c r="Z413" s="6" t="n">
        <v>1.720367776842087</v>
      </c>
      <c r="AA413" s="6" t="n">
        <v>3.204277822911939</v>
      </c>
      <c r="AB413" s="6" t="n">
        <v>0.580624113444333</v>
      </c>
      <c r="AC413" s="6" t="n">
        <v>-1.301675209728212</v>
      </c>
      <c r="AD413" s="6" t="n">
        <v>0.5801863084437933</v>
      </c>
      <c r="AE413" s="6" t="n">
        <v>0.2184040322893782</v>
      </c>
      <c r="AF413" s="6" t="n">
        <v>-0.6523423983101265</v>
      </c>
      <c r="AG413" s="6" t="n">
        <v>0.3152430626397143</v>
      </c>
      <c r="AH413" s="6" t="n">
        <v>3.550117114610258</v>
      </c>
      <c r="AI413" s="6" t="n">
        <v>2.7185931139299</v>
      </c>
      <c r="AJ413" s="6" t="n">
        <v>79.05854583027585</v>
      </c>
      <c r="AK413" s="6" t="n">
        <v>0.1017904242281067</v>
      </c>
      <c r="AL413" s="6" t="n">
        <v>1.02456129771396</v>
      </c>
      <c r="AN413" s="6" t="n">
        <v>1.356060390805957</v>
      </c>
      <c r="AO413" s="6" t="n">
        <v>1.356734352780074</v>
      </c>
      <c r="AP413" s="6" t="n">
        <v>0.1362623949915439</v>
      </c>
      <c r="AQ413" s="6" t="n">
        <v>0</v>
      </c>
      <c r="AR413" s="6" t="n">
        <v>0</v>
      </c>
    </row>
    <row r="414">
      <c r="D414" t="inlineStr">
        <is>
          <t>Run 102</t>
        </is>
      </c>
      <c r="J414" s="6" t="n">
        <v>0.8912195887491832</v>
      </c>
      <c r="K414" s="6" t="n">
        <v>1.163459365868</v>
      </c>
      <c r="L414" s="6" t="n">
        <v>0.8570137577442145</v>
      </c>
      <c r="M414" s="6" t="n">
        <v>1.746782383619583</v>
      </c>
      <c r="N414" s="6" t="n">
        <v>-0.2345522995286052</v>
      </c>
      <c r="O414" s="6" t="n">
        <v>3.507836492671252</v>
      </c>
      <c r="P414" s="6" t="n">
        <v>0.2104191010194189</v>
      </c>
      <c r="Q414" s="6" t="n">
        <v>-2.285800614984636</v>
      </c>
      <c r="R414" s="6" t="n">
        <v>-0.6580774403707843</v>
      </c>
      <c r="S414" s="6" t="n">
        <v>0.964212358404207</v>
      </c>
      <c r="T414" s="6" t="n">
        <v>-0.2634435206658317</v>
      </c>
      <c r="U414" s="6" t="n">
        <v>1.116179507322624</v>
      </c>
      <c r="V414" s="6" t="n">
        <v>-0.3375849658131926</v>
      </c>
      <c r="W414" s="6" t="n">
        <v>2.44136435685244</v>
      </c>
      <c r="X414" s="6" t="n">
        <v>0.4188775354156579</v>
      </c>
      <c r="Y414" s="6" t="n">
        <v>1.573406604337664</v>
      </c>
      <c r="Z414" s="6" t="n">
        <v>1.201884275637987</v>
      </c>
      <c r="AA414" s="6" t="n">
        <v>-2.15862562254862</v>
      </c>
      <c r="AB414" s="6" t="n">
        <v>2.481777801699659</v>
      </c>
      <c r="AC414" s="6" t="n">
        <v>-3.44920027730186</v>
      </c>
      <c r="AD414" s="6" t="n">
        <v>0.228431521732512</v>
      </c>
      <c r="AE414" s="6" t="n">
        <v>0.2854278768799038</v>
      </c>
      <c r="AF414" s="6" t="n">
        <v>3.100119726880641</v>
      </c>
      <c r="AG414" s="6" t="n">
        <v>-2.150880928863529</v>
      </c>
      <c r="AH414" s="6" t="n">
        <v>0.3612788036103611</v>
      </c>
      <c r="AI414" s="6" t="n">
        <v>0.9934563494851075</v>
      </c>
      <c r="AJ414" s="6" t="n">
        <v>66.09368867520203</v>
      </c>
      <c r="AK414" s="6" t="n">
        <v>0.1186801400208937</v>
      </c>
      <c r="AL414" s="6" t="n">
        <v>1.035820664266949</v>
      </c>
      <c r="AN414" s="6" t="n">
        <v>1.345744801897319</v>
      </c>
      <c r="AO414" s="6" t="n">
        <v>1.345744801897319</v>
      </c>
      <c r="AP414" s="6" t="n">
        <v>0.1329041734159664</v>
      </c>
      <c r="AQ414" s="6" t="n">
        <v>0</v>
      </c>
      <c r="AR414" s="6" t="n">
        <v>0</v>
      </c>
    </row>
    <row r="415">
      <c r="D415" t="inlineStr">
        <is>
          <t>Run 103</t>
        </is>
      </c>
      <c r="J415" s="6" t="n">
        <v>-0.8238671569399204</v>
      </c>
      <c r="K415" s="6" t="n">
        <v>0.7886712971902679</v>
      </c>
      <c r="L415" s="6" t="n">
        <v>-1.490679428329808</v>
      </c>
      <c r="M415" s="6" t="n">
        <v>-4.378184873091215</v>
      </c>
      <c r="N415" s="6" t="n">
        <v>0.5204644961911733</v>
      </c>
      <c r="O415" s="6" t="n">
        <v>0.7537501460985366</v>
      </c>
      <c r="P415" s="6" t="n">
        <v>0.2038539272361027</v>
      </c>
      <c r="Q415" s="6" t="n">
        <v>0.9803590121404695</v>
      </c>
      <c r="R415" s="6" t="n">
        <v>-3.044596305046376</v>
      </c>
      <c r="S415" s="6" t="n">
        <v>-1.955865592585362</v>
      </c>
      <c r="T415" s="6" t="n">
        <v>4.328773862521571</v>
      </c>
      <c r="U415" s="6" t="n">
        <v>-2.127782173498895</v>
      </c>
      <c r="V415" s="6" t="n">
        <v>-0.6716300724158207</v>
      </c>
      <c r="W415" s="6" t="n">
        <v>1.003621948760844</v>
      </c>
      <c r="X415" s="6" t="n">
        <v>3.133777738805123</v>
      </c>
      <c r="Y415" s="6" t="n">
        <v>-1.305986769295329</v>
      </c>
      <c r="Z415" s="6" t="n">
        <v>2.380847033133921</v>
      </c>
      <c r="AA415" s="6" t="n">
        <v>1.893536558985074</v>
      </c>
      <c r="AB415" s="6" t="n">
        <v>-2.085915479876424</v>
      </c>
      <c r="AC415" s="6" t="n">
        <v>-2.167897063090611</v>
      </c>
      <c r="AD415" s="6" t="n">
        <v>-2.523486066546586</v>
      </c>
      <c r="AE415" s="6" t="n">
        <v>-3.491027531011551</v>
      </c>
      <c r="AF415" s="6" t="n">
        <v>1.110931789825008</v>
      </c>
      <c r="AG415" s="6" t="n">
        <v>-4.70994189731085</v>
      </c>
      <c r="AH415" s="6" t="n">
        <v>-0.753160061379383</v>
      </c>
      <c r="AI415" s="6" t="n">
        <v>1.333097811417663</v>
      </c>
      <c r="AJ415" s="6" t="n">
        <v>66.89810493714694</v>
      </c>
      <c r="AK415" s="6" t="n">
        <v>0.1775031168631891</v>
      </c>
      <c r="AL415" s="6" t="n">
        <v>1.040201728772441</v>
      </c>
      <c r="AN415" s="6" t="n">
        <v>1.294624250293161</v>
      </c>
      <c r="AO415" s="6" t="n">
        <v>1.305881710825839</v>
      </c>
      <c r="AP415" s="6" t="n">
        <v>0.131032366109813</v>
      </c>
      <c r="AQ415" s="6" t="n">
        <v>0</v>
      </c>
      <c r="AR415" s="6" t="n">
        <v>0</v>
      </c>
    </row>
    <row r="416">
      <c r="D416" t="inlineStr">
        <is>
          <t>Run 104</t>
        </is>
      </c>
      <c r="J416" s="6" t="n">
        <v>-0.4747454508963456</v>
      </c>
      <c r="K416" s="6" t="n">
        <v>-1.695337651444025</v>
      </c>
      <c r="L416" s="6" t="n">
        <v>2.298700030673729</v>
      </c>
      <c r="M416" s="6" t="n">
        <v>0.4692385954926109</v>
      </c>
      <c r="N416" s="6" t="n">
        <v>0.09596201752991901</v>
      </c>
      <c r="O416" s="6" t="n">
        <v>2.009855480347267</v>
      </c>
      <c r="P416" s="6" t="n">
        <v>0.3418509194967832</v>
      </c>
      <c r="Q416" s="6" t="n">
        <v>-3.479183356972651</v>
      </c>
      <c r="R416" s="6" t="n">
        <v>1.019282670539135</v>
      </c>
      <c r="S416" s="6" t="n">
        <v>1.069945040522924</v>
      </c>
      <c r="T416" s="6" t="n">
        <v>1.502224451390853</v>
      </c>
      <c r="U416" s="6" t="n">
        <v>0.0988378237571203</v>
      </c>
      <c r="V416" s="6" t="n">
        <v>-0.2536861566214585</v>
      </c>
      <c r="W416" s="6" t="n">
        <v>2.2044671799792</v>
      </c>
      <c r="X416" s="6" t="n">
        <v>-5.386573583429451</v>
      </c>
      <c r="Y416" s="6" t="n">
        <v>-1.95223615772874</v>
      </c>
      <c r="Z416" s="6" t="n">
        <v>2.797832446133819</v>
      </c>
      <c r="AA416" s="6" t="n">
        <v>0.8171227636445964</v>
      </c>
      <c r="AB416" s="6" t="n">
        <v>0.7638733964073752</v>
      </c>
      <c r="AC416" s="6" t="n">
        <v>0.07433387603803393</v>
      </c>
      <c r="AD416" s="6" t="n">
        <v>0.8151909514071649</v>
      </c>
      <c r="AE416" s="6" t="n">
        <v>-0.3976085661708281</v>
      </c>
      <c r="AF416" s="6" t="n">
        <v>2.447194124993179</v>
      </c>
      <c r="AG416" s="6" t="n">
        <v>0.4779380995828186</v>
      </c>
      <c r="AH416" s="6" t="n">
        <v>-1.702446819851242</v>
      </c>
      <c r="AI416" s="6" t="n">
        <v>0.04933405583261342</v>
      </c>
      <c r="AJ416" s="6" t="n">
        <v>71.37763145085169</v>
      </c>
      <c r="AK416" s="6" t="n">
        <v>0.0657841989429751</v>
      </c>
      <c r="AL416" s="6" t="n">
        <v>1.007046447022896</v>
      </c>
      <c r="AN416" s="6" t="n">
        <v>1.355315058976671</v>
      </c>
      <c r="AO416" s="6" t="n">
        <v>1.355315058976671</v>
      </c>
      <c r="AP416" s="6" t="n">
        <v>0.1381864150810831</v>
      </c>
      <c r="AQ416" s="6" t="n">
        <v>0</v>
      </c>
      <c r="AR416" s="6" t="n">
        <v>0</v>
      </c>
    </row>
    <row r="417">
      <c r="D417" t="inlineStr">
        <is>
          <t>Run 105</t>
        </is>
      </c>
      <c r="J417" s="6" t="n">
        <v>-0.1871500424379072</v>
      </c>
      <c r="K417" s="6" t="n">
        <v>3.235324611785811</v>
      </c>
      <c r="L417" s="6" t="n">
        <v>1.614823758747538</v>
      </c>
      <c r="M417" s="6" t="n">
        <v>-0.3868530139269978</v>
      </c>
      <c r="N417" s="6" t="n">
        <v>0.4126308752780316</v>
      </c>
      <c r="O417" s="6" t="n">
        <v>1.640253735650123</v>
      </c>
      <c r="P417" s="6" t="n">
        <v>-1.33027825783619</v>
      </c>
      <c r="Q417" s="6" t="n">
        <v>1.573161617848678</v>
      </c>
      <c r="R417" s="6" t="n">
        <v>-3.329017682259878</v>
      </c>
      <c r="S417" s="6" t="n">
        <v>-0.7251765134608876</v>
      </c>
      <c r="T417" s="6" t="n">
        <v>-2.924455551043477</v>
      </c>
      <c r="U417" s="6" t="n">
        <v>-1.918601454311794</v>
      </c>
      <c r="V417" s="6" t="n">
        <v>-3.385304852019027</v>
      </c>
      <c r="W417" s="6" t="n">
        <v>-2.792179446267321</v>
      </c>
      <c r="X417" s="6" t="n">
        <v>1.487739896113643</v>
      </c>
      <c r="Y417" s="6" t="n">
        <v>-0.291643786112517</v>
      </c>
      <c r="Z417" s="6" t="n">
        <v>-0.9489323107550609</v>
      </c>
      <c r="AA417" s="6" t="n">
        <v>-0.658406501226832</v>
      </c>
      <c r="AB417" s="6" t="n">
        <v>1.384119684087024</v>
      </c>
      <c r="AC417" s="6" t="n">
        <v>-0.6433345992474095</v>
      </c>
      <c r="AD417" s="6" t="n">
        <v>-0.3006000524466305</v>
      </c>
      <c r="AE417" s="6" t="n">
        <v>-1.1960654756858</v>
      </c>
      <c r="AF417" s="6" t="n">
        <v>1.598942333989513</v>
      </c>
      <c r="AG417" s="6" t="n">
        <v>1.530535739633671</v>
      </c>
      <c r="AH417" s="6" t="n">
        <v>0.2331556338466331</v>
      </c>
      <c r="AI417" s="6" t="n">
        <v>2.187831845559711</v>
      </c>
      <c r="AJ417" s="6" t="n">
        <v>71.04518624813326</v>
      </c>
      <c r="AK417" s="6" t="n">
        <v>0.1083885301298492</v>
      </c>
      <c r="AL417" s="6" t="n">
        <v>0.9997393829848428</v>
      </c>
      <c r="AN417" s="6" t="n">
        <v>1.355704392152973</v>
      </c>
      <c r="AO417" s="6" t="n">
        <v>1.355704392152973</v>
      </c>
      <c r="AP417" s="6" t="n">
        <v>0.1389767720811752</v>
      </c>
      <c r="AQ417" s="6" t="n">
        <v>0</v>
      </c>
      <c r="AR417" s="6" t="n">
        <v>0</v>
      </c>
    </row>
    <row r="418">
      <c r="D418" t="inlineStr">
        <is>
          <t>Run 106</t>
        </is>
      </c>
      <c r="J418" s="6" t="n">
        <v>-1.468988550920826</v>
      </c>
      <c r="K418" s="6" t="n">
        <v>-0.9131587490031984</v>
      </c>
      <c r="L418" s="6" t="n">
        <v>-2.473726956413636</v>
      </c>
      <c r="M418" s="6" t="n">
        <v>0.4305605901364798</v>
      </c>
      <c r="N418" s="6" t="n">
        <v>3.371863116589836</v>
      </c>
      <c r="O418" s="6" t="n">
        <v>-0.3650668197497589</v>
      </c>
      <c r="P418" s="6" t="n">
        <v>-2.83324084943592</v>
      </c>
      <c r="Q418" s="6" t="n">
        <v>0.9823558513763641</v>
      </c>
      <c r="R418" s="6" t="n">
        <v>-0.7547590078227884</v>
      </c>
      <c r="S418" s="6" t="n">
        <v>-0.4758674790220794</v>
      </c>
      <c r="T418" s="6" t="n">
        <v>5</v>
      </c>
      <c r="U418" s="6" t="n">
        <v>-2.183001237254846</v>
      </c>
      <c r="V418" s="6" t="n">
        <v>0.9997938301978276</v>
      </c>
      <c r="W418" s="6" t="n">
        <v>0.4322624826526508</v>
      </c>
      <c r="X418" s="6" t="n">
        <v>-2.363145608273888</v>
      </c>
      <c r="Y418" s="6" t="n">
        <v>0.7487125930927835</v>
      </c>
      <c r="Z418" s="6" t="n">
        <v>0.3839146824731618</v>
      </c>
      <c r="AA418" s="6" t="n">
        <v>-4.591303650351945</v>
      </c>
      <c r="AB418" s="6" t="n">
        <v>0.9798858452640796</v>
      </c>
      <c r="AC418" s="6" t="n">
        <v>2.211711354316524</v>
      </c>
      <c r="AD418" s="6" t="n">
        <v>0.7909305691802423</v>
      </c>
      <c r="AE418" s="6" t="n">
        <v>-2.396086195224594</v>
      </c>
      <c r="AF418" s="6" t="n">
        <v>-1.147823090234229</v>
      </c>
      <c r="AG418" s="6" t="n">
        <v>2.411835289991237</v>
      </c>
      <c r="AH418" s="6" t="n">
        <v>-0.8744652587467292</v>
      </c>
      <c r="AI418" s="6" t="n">
        <v>4.485712533833</v>
      </c>
      <c r="AJ418" s="6" t="n">
        <v>80.39278538229769</v>
      </c>
      <c r="AK418" s="6" t="n">
        <v>0.1160520125028148</v>
      </c>
      <c r="AL418" s="6" t="n">
        <v>1.074307433349669</v>
      </c>
      <c r="AN418" s="6" t="n">
        <v>1.342562725369109</v>
      </c>
      <c r="AO418" s="6" t="n">
        <v>1.343229326365625</v>
      </c>
      <c r="AP418" s="6" t="n">
        <v>0.13138885122435</v>
      </c>
      <c r="AQ418" s="6" t="n">
        <v>0</v>
      </c>
      <c r="AR418" s="6" t="n">
        <v>0</v>
      </c>
    </row>
    <row r="419">
      <c r="D419" t="inlineStr">
        <is>
          <t>Run 107</t>
        </is>
      </c>
      <c r="J419" s="6" t="n">
        <v>0.5265219101280099</v>
      </c>
      <c r="K419" s="6" t="n">
        <v>-3.118428149476559</v>
      </c>
      <c r="L419" s="6" t="n">
        <v>0.2251868780695081</v>
      </c>
      <c r="M419" s="6" t="n">
        <v>1.187342295623663</v>
      </c>
      <c r="N419" s="6" t="n">
        <v>1.575024382554342</v>
      </c>
      <c r="O419" s="6" t="n">
        <v>0.04046186632892287</v>
      </c>
      <c r="P419" s="6" t="n">
        <v>1.19823938411649</v>
      </c>
      <c r="Q419" s="6" t="n">
        <v>0.5609904495068714</v>
      </c>
      <c r="R419" s="6" t="n">
        <v>-3.90380875719116</v>
      </c>
      <c r="S419" s="6" t="n">
        <v>-0.7842271590761938</v>
      </c>
      <c r="T419" s="6" t="n">
        <v>0.4046768480436712</v>
      </c>
      <c r="U419" s="6" t="n">
        <v>-3.260686347441685</v>
      </c>
      <c r="V419" s="6" t="n">
        <v>-1.334946756273234</v>
      </c>
      <c r="W419" s="6" t="n">
        <v>0.4771023561481274</v>
      </c>
      <c r="X419" s="6" t="n">
        <v>0.8252319865881688</v>
      </c>
      <c r="Y419" s="6" t="n">
        <v>-1.396304907543889</v>
      </c>
      <c r="Z419" s="6" t="n">
        <v>-0.0761187964271481</v>
      </c>
      <c r="AA419" s="6" t="n">
        <v>-0.6310994303399332</v>
      </c>
      <c r="AB419" s="6" t="n">
        <v>1.467633336003285</v>
      </c>
      <c r="AC419" s="6" t="n">
        <v>2.064981575955021</v>
      </c>
      <c r="AD419" s="6" t="n">
        <v>1.973320305607191</v>
      </c>
      <c r="AE419" s="6" t="n">
        <v>-0.1817308647284965</v>
      </c>
      <c r="AF419" s="6" t="n">
        <v>-0.1008912607180089</v>
      </c>
      <c r="AG419" s="6" t="n">
        <v>1.15797544540867</v>
      </c>
      <c r="AH419" s="6" t="n">
        <v>-1.8024975644365</v>
      </c>
      <c r="AI419" s="6" t="n">
        <v>-2.968967136281645</v>
      </c>
      <c r="AJ419" s="6" t="n">
        <v>78.09966234084357</v>
      </c>
      <c r="AK419" s="6" t="n">
        <v>0.1478296914101531</v>
      </c>
      <c r="AL419" s="6" t="n">
        <v>1.056448767356868</v>
      </c>
      <c r="AN419" s="6" t="n">
        <v>1.344014560497179</v>
      </c>
      <c r="AO419" s="6" t="n">
        <v>1.344602880810197</v>
      </c>
      <c r="AP419" s="6" t="n">
        <v>0.1314515775252595</v>
      </c>
      <c r="AQ419" s="6" t="n">
        <v>0</v>
      </c>
      <c r="AR419" s="6" t="n">
        <v>0</v>
      </c>
    </row>
    <row r="420">
      <c r="D420" t="inlineStr">
        <is>
          <t>Run 108</t>
        </is>
      </c>
      <c r="J420" s="6" t="n">
        <v>1.517775449920263</v>
      </c>
      <c r="K420" s="6" t="n">
        <v>-1.348709161393223</v>
      </c>
      <c r="L420" s="6" t="n">
        <v>4.240172252854741</v>
      </c>
      <c r="M420" s="6" t="n">
        <v>-0.7376653002062394</v>
      </c>
      <c r="N420" s="6" t="n">
        <v>-2.506896690698089</v>
      </c>
      <c r="O420" s="6" t="n">
        <v>-0.5539239970944018</v>
      </c>
      <c r="P420" s="6" t="n">
        <v>-2.248200374157463</v>
      </c>
      <c r="Q420" s="6" t="n">
        <v>-0.2827749743321353</v>
      </c>
      <c r="R420" s="6" t="n">
        <v>-2.694557923624657</v>
      </c>
      <c r="S420" s="6" t="n">
        <v>1.649304040512371</v>
      </c>
      <c r="T420" s="6" t="n">
        <v>1.195798651471189</v>
      </c>
      <c r="U420" s="6" t="n">
        <v>-0.3440810193358087</v>
      </c>
      <c r="V420" s="6" t="n">
        <v>-6.689617028007741</v>
      </c>
      <c r="W420" s="6" t="n">
        <v>2.265950807768198</v>
      </c>
      <c r="X420" s="6" t="n">
        <v>-1.241858640322676</v>
      </c>
      <c r="Y420" s="6" t="n">
        <v>-2.136282702584988</v>
      </c>
      <c r="Z420" s="6" t="n">
        <v>2.930110857426412</v>
      </c>
      <c r="AA420" s="6" t="n">
        <v>-1.967348830156229</v>
      </c>
      <c r="AB420" s="6" t="n">
        <v>0.6710898465833411</v>
      </c>
      <c r="AC420" s="6" t="n">
        <v>0.8940202966507542</v>
      </c>
      <c r="AD420" s="6" t="n">
        <v>0.8578020300343711</v>
      </c>
      <c r="AE420" s="6" t="n">
        <v>-0.8875425907415959</v>
      </c>
      <c r="AF420" s="6" t="n">
        <v>1.360200695345473</v>
      </c>
      <c r="AG420" s="6" t="n">
        <v>1.283446730367269</v>
      </c>
      <c r="AH420" s="6" t="n">
        <v>0.04587306772463075</v>
      </c>
      <c r="AI420" s="6" t="n">
        <v>5</v>
      </c>
      <c r="AJ420" s="6" t="n">
        <v>62.78234631045723</v>
      </c>
      <c r="AK420" s="6" t="n">
        <v>0.1265414307917887</v>
      </c>
      <c r="AL420" s="6" t="n">
        <v>1.019944443529477</v>
      </c>
      <c r="AN420" s="6" t="n">
        <v>1.346092190492069</v>
      </c>
      <c r="AO420" s="6" t="n">
        <v>1.346092190492069</v>
      </c>
      <c r="AP420" s="6" t="n">
        <v>0.1344656996563001</v>
      </c>
      <c r="AQ420" s="6" t="n">
        <v>0</v>
      </c>
      <c r="AR420" s="6" t="n">
        <v>0</v>
      </c>
    </row>
    <row r="421">
      <c r="D421" t="inlineStr">
        <is>
          <t>Run 109</t>
        </is>
      </c>
      <c r="J421" s="6" t="n">
        <v>1.028816557883618</v>
      </c>
      <c r="K421" s="6" t="n">
        <v>2.998224591373288</v>
      </c>
      <c r="L421" s="6" t="n">
        <v>0.04229792271927488</v>
      </c>
      <c r="M421" s="6" t="n">
        <v>0.02277581602216338</v>
      </c>
      <c r="N421" s="6" t="n">
        <v>-2.05774443021861</v>
      </c>
      <c r="O421" s="6" t="n">
        <v>1.640439868846427</v>
      </c>
      <c r="P421" s="6" t="n">
        <v>-0.9882802905883361</v>
      </c>
      <c r="Q421" s="6" t="n">
        <v>1.942892028587127</v>
      </c>
      <c r="R421" s="6" t="n">
        <v>-1.422259642572397</v>
      </c>
      <c r="S421" s="6" t="n">
        <v>3.745027121589307</v>
      </c>
      <c r="T421" s="6" t="n">
        <v>-0.880478802351519</v>
      </c>
      <c r="U421" s="6" t="n">
        <v>1.369550243179726</v>
      </c>
      <c r="V421" s="6" t="n">
        <v>-2.036003689125903</v>
      </c>
      <c r="W421" s="6" t="n">
        <v>-1.493706071667884</v>
      </c>
      <c r="X421" s="6" t="n">
        <v>1.464315652550542</v>
      </c>
      <c r="Y421" s="6" t="n">
        <v>0.5163496844075218</v>
      </c>
      <c r="Z421" s="6" t="n">
        <v>2.280926678463165</v>
      </c>
      <c r="AA421" s="6" t="n">
        <v>-1.570449291999065</v>
      </c>
      <c r="AB421" s="6" t="n">
        <v>0.7420707492121887</v>
      </c>
      <c r="AC421" s="6" t="n">
        <v>-0.3226208700911524</v>
      </c>
      <c r="AD421" s="6" t="n">
        <v>1.084976140763097</v>
      </c>
      <c r="AE421" s="6" t="n">
        <v>1.316253925719302</v>
      </c>
      <c r="AF421" s="6" t="n">
        <v>-4.043185158281562</v>
      </c>
      <c r="AG421" s="6" t="n">
        <v>-0.5267564377835611</v>
      </c>
      <c r="AH421" s="6" t="n">
        <v>-3.057786495930029</v>
      </c>
      <c r="AI421" s="6" t="n">
        <v>0.1955804684682576</v>
      </c>
      <c r="AJ421" s="6" t="n">
        <v>81.62694943816102</v>
      </c>
      <c r="AK421" s="6" t="n">
        <v>0.1458499667640198</v>
      </c>
      <c r="AL421" s="6" t="n">
        <v>1.006821209828849</v>
      </c>
      <c r="AN421" s="6" t="n">
        <v>1.358913047548822</v>
      </c>
      <c r="AO421" s="6" t="n">
        <v>1.358913047548822</v>
      </c>
      <c r="AP421" s="6" t="n">
        <v>0.1382165491632689</v>
      </c>
      <c r="AQ421" s="6" t="n">
        <v>0</v>
      </c>
      <c r="AR421" s="6" t="n">
        <v>0</v>
      </c>
    </row>
    <row r="422">
      <c r="D422" t="inlineStr">
        <is>
          <t>Run 110</t>
        </is>
      </c>
      <c r="J422" s="6" t="n">
        <v>3.221955727974442</v>
      </c>
      <c r="K422" s="6" t="n">
        <v>-0.220676621330531</v>
      </c>
      <c r="L422" s="6" t="n">
        <v>1.066998417482875</v>
      </c>
      <c r="M422" s="6" t="n">
        <v>1.380379463770859</v>
      </c>
      <c r="N422" s="6" t="n">
        <v>-2.472036713893587</v>
      </c>
      <c r="O422" s="6" t="n">
        <v>0.4867366187666222</v>
      </c>
      <c r="P422" s="6" t="n">
        <v>-0.529499803837967</v>
      </c>
      <c r="Q422" s="6" t="n">
        <v>1.608442384939502</v>
      </c>
      <c r="R422" s="6" t="n">
        <v>-1.207515034576355</v>
      </c>
      <c r="S422" s="6" t="n">
        <v>-1.664695745384458</v>
      </c>
      <c r="T422" s="6" t="n">
        <v>1.034631797338397</v>
      </c>
      <c r="U422" s="6" t="n">
        <v>-2.624386371246829</v>
      </c>
      <c r="V422" s="6" t="n">
        <v>1.42113375273026</v>
      </c>
      <c r="W422" s="6" t="n">
        <v>1.22011981440001</v>
      </c>
      <c r="X422" s="6" t="n">
        <v>1.766654885709165</v>
      </c>
      <c r="Y422" s="6" t="n">
        <v>1.482436522913432</v>
      </c>
      <c r="Z422" s="6" t="n">
        <v>0.4550028946574669</v>
      </c>
      <c r="AA422" s="6" t="n">
        <v>5</v>
      </c>
      <c r="AB422" s="6" t="n">
        <v>0.2234463297864554</v>
      </c>
      <c r="AC422" s="6" t="n">
        <v>2.106472577864746</v>
      </c>
      <c r="AD422" s="6" t="n">
        <v>-3.365085948297454</v>
      </c>
      <c r="AE422" s="6" t="n">
        <v>3.229367472271187</v>
      </c>
      <c r="AF422" s="6" t="n">
        <v>-0.7086507218992845</v>
      </c>
      <c r="AG422" s="6" t="n">
        <v>-1.247788056591631</v>
      </c>
      <c r="AH422" s="6" t="n">
        <v>1.218711221448097</v>
      </c>
      <c r="AI422" s="6" t="n">
        <v>-1.337390482811298</v>
      </c>
      <c r="AJ422" s="6" t="n">
        <v>77.23609377692786</v>
      </c>
      <c r="AK422" s="6" t="n">
        <v>0.1505769803566514</v>
      </c>
      <c r="AL422" s="6" t="n">
        <v>1.073051587323332</v>
      </c>
      <c r="AN422" s="6" t="n">
        <v>1.336367769803176</v>
      </c>
      <c r="AO422" s="6" t="n">
        <v>1.33660522302822</v>
      </c>
      <c r="AP422" s="6" t="n">
        <v>0.1302720176365269</v>
      </c>
      <c r="AQ422" s="6" t="n">
        <v>0</v>
      </c>
      <c r="AR422" s="6" t="n">
        <v>0</v>
      </c>
    </row>
    <row r="423">
      <c r="D423" t="inlineStr">
        <is>
          <t>Run 111</t>
        </is>
      </c>
      <c r="J423" s="6" t="n">
        <v>3.794442641175598</v>
      </c>
      <c r="K423" s="6" t="n">
        <v>1.509537421827438</v>
      </c>
      <c r="L423" s="6" t="n">
        <v>-3.986719749417555</v>
      </c>
      <c r="M423" s="6" t="n">
        <v>-2.125330278086708</v>
      </c>
      <c r="N423" s="6" t="n">
        <v>0.2284603612814459</v>
      </c>
      <c r="O423" s="6" t="n">
        <v>1.013804278327979</v>
      </c>
      <c r="P423" s="6" t="n">
        <v>0.454463487546988</v>
      </c>
      <c r="Q423" s="6" t="n">
        <v>0.17415151935098</v>
      </c>
      <c r="R423" s="6" t="n">
        <v>1.350718436451706</v>
      </c>
      <c r="S423" s="6" t="n">
        <v>-2.294937902717188</v>
      </c>
      <c r="T423" s="6" t="n">
        <v>-4.37104323514837</v>
      </c>
      <c r="U423" s="6" t="n">
        <v>-0.07129583344446726</v>
      </c>
      <c r="V423" s="6" t="n">
        <v>-2.438538843017438</v>
      </c>
      <c r="W423" s="6" t="n">
        <v>-0.02180733360714292</v>
      </c>
      <c r="X423" s="6" t="n">
        <v>1.137031921655589</v>
      </c>
      <c r="Y423" s="6" t="n">
        <v>3.355154393335225</v>
      </c>
      <c r="Z423" s="6" t="n">
        <v>-1.126013799838983</v>
      </c>
      <c r="AA423" s="6" t="n">
        <v>1.424126058264154</v>
      </c>
      <c r="AB423" s="6" t="n">
        <v>1.943033104557356</v>
      </c>
      <c r="AC423" s="6" t="n">
        <v>-0.6704029272123952</v>
      </c>
      <c r="AD423" s="6" t="n">
        <v>-0.0445325699642754</v>
      </c>
      <c r="AE423" s="6" t="n">
        <v>-1.786521412911557</v>
      </c>
      <c r="AF423" s="6" t="n">
        <v>-2.132072899692665</v>
      </c>
      <c r="AG423" s="6" t="n">
        <v>-1.476997643620709</v>
      </c>
      <c r="AH423" s="6" t="n">
        <v>0.9028871149323565</v>
      </c>
      <c r="AI423" s="6" t="n">
        <v>-3.003328861222863</v>
      </c>
      <c r="AJ423" s="6" t="n">
        <v>74.96676927901386</v>
      </c>
      <c r="AK423" s="6" t="n">
        <v>0.1050949540002758</v>
      </c>
      <c r="AL423" s="6" t="n">
        <v>1.043637683442709</v>
      </c>
      <c r="AN423" s="6" t="n">
        <v>1.331105667218702</v>
      </c>
      <c r="AO423" s="6" t="n">
        <v>1.339320903812482</v>
      </c>
      <c r="AP423" s="6" t="n">
        <v>0.1334864203297914</v>
      </c>
      <c r="AQ423" s="6" t="n">
        <v>0</v>
      </c>
      <c r="AR423" s="6" t="n">
        <v>0</v>
      </c>
    </row>
    <row r="424">
      <c r="D424" t="inlineStr">
        <is>
          <t>Run 112</t>
        </is>
      </c>
      <c r="J424" s="6" t="n">
        <v>1.21134466738178</v>
      </c>
      <c r="K424" s="6" t="n">
        <v>-0.7894620267652007</v>
      </c>
      <c r="L424" s="6" t="n">
        <v>3.797175943214538</v>
      </c>
      <c r="M424" s="6" t="n">
        <v>-2.589939216296687</v>
      </c>
      <c r="N424" s="6" t="n">
        <v>1.443083922110844</v>
      </c>
      <c r="O424" s="6" t="n">
        <v>-0.8055660714930895</v>
      </c>
      <c r="P424" s="6" t="n">
        <v>0.4593419457562497</v>
      </c>
      <c r="Q424" s="6" t="n">
        <v>1.194289066975257</v>
      </c>
      <c r="R424" s="6" t="n">
        <v>-1.062056990110017</v>
      </c>
      <c r="S424" s="6" t="n">
        <v>-2.471917945533443</v>
      </c>
      <c r="T424" s="6" t="n">
        <v>3.542502447640873</v>
      </c>
      <c r="U424" s="6" t="n">
        <v>-0.4726729534249671</v>
      </c>
      <c r="V424" s="6" t="n">
        <v>-0.4539396779283469</v>
      </c>
      <c r="W424" s="6" t="n">
        <v>3.315958717186367</v>
      </c>
      <c r="X424" s="6" t="n">
        <v>-0.700181533532661</v>
      </c>
      <c r="Y424" s="6" t="n">
        <v>0.8419402648797828</v>
      </c>
      <c r="Z424" s="6" t="n">
        <v>-0.6492622506987811</v>
      </c>
      <c r="AA424" s="6" t="n">
        <v>-0.8728777107162582</v>
      </c>
      <c r="AB424" s="6" t="n">
        <v>1.337619805705997</v>
      </c>
      <c r="AC424" s="6" t="n">
        <v>-2.669325356948826</v>
      </c>
      <c r="AD424" s="6" t="n">
        <v>1.19083070044313</v>
      </c>
      <c r="AE424" s="6" t="n">
        <v>-0.7698982346429931</v>
      </c>
      <c r="AF424" s="6" t="n">
        <v>0.2985764204825831</v>
      </c>
      <c r="AG424" s="6" t="n">
        <v>2.057868981577785</v>
      </c>
      <c r="AH424" s="6" t="n">
        <v>-1.352018674577421</v>
      </c>
      <c r="AI424" s="6" t="n">
        <v>-2.28219788956738</v>
      </c>
      <c r="AJ424" s="6" t="n">
        <v>72.18046594586588</v>
      </c>
      <c r="AK424" s="6" t="n">
        <v>0.1378768625421912</v>
      </c>
      <c r="AL424" s="6" t="n">
        <v>1.057140712240561</v>
      </c>
      <c r="AN424" s="6" t="n">
        <v>1.319927187692179</v>
      </c>
      <c r="AO424" s="6" t="n">
        <v>1.328798390749429</v>
      </c>
      <c r="AP424" s="6" t="n">
        <v>0.1312847228882179</v>
      </c>
      <c r="AQ424" s="6" t="n">
        <v>0</v>
      </c>
      <c r="AR424" s="6" t="n">
        <v>0</v>
      </c>
    </row>
    <row r="425">
      <c r="D425" t="inlineStr">
        <is>
          <t>Run 113</t>
        </is>
      </c>
      <c r="J425" s="6" t="n">
        <v>-0.7513949410235929</v>
      </c>
      <c r="K425" s="6" t="n">
        <v>4.549146279718917</v>
      </c>
      <c r="L425" s="6" t="n">
        <v>-3.761902093351418</v>
      </c>
      <c r="M425" s="6" t="n">
        <v>-1.68873598310449</v>
      </c>
      <c r="N425" s="6" t="n">
        <v>-0.3442750011034936</v>
      </c>
      <c r="O425" s="6" t="n">
        <v>-2.640834924721426</v>
      </c>
      <c r="P425" s="6" t="n">
        <v>0.1549736202289688</v>
      </c>
      <c r="Q425" s="6" t="n">
        <v>-1.723734551227475</v>
      </c>
      <c r="R425" s="6" t="n">
        <v>-1.739114680469668</v>
      </c>
      <c r="S425" s="6" t="n">
        <v>-2.136904205686023</v>
      </c>
      <c r="T425" s="6" t="n">
        <v>-3.259987024628954</v>
      </c>
      <c r="U425" s="6" t="n">
        <v>0.8864857017597938</v>
      </c>
      <c r="V425" s="6" t="n">
        <v>-0.4329324264812747</v>
      </c>
      <c r="W425" s="6" t="n">
        <v>-2.073416881234065</v>
      </c>
      <c r="X425" s="6" t="n">
        <v>3.345839505242201</v>
      </c>
      <c r="Y425" s="6" t="n">
        <v>1.568377809519345</v>
      </c>
      <c r="Z425" s="6" t="n">
        <v>-1.06289572061532</v>
      </c>
      <c r="AA425" s="6" t="n">
        <v>-2.791270752498153</v>
      </c>
      <c r="AB425" s="6" t="n">
        <v>2.435888605399129</v>
      </c>
      <c r="AC425" s="6" t="n">
        <v>0.02229634012423349</v>
      </c>
      <c r="AD425" s="6" t="n">
        <v>-0.6087072251521128</v>
      </c>
      <c r="AE425" s="6" t="n">
        <v>0.8171054700585803</v>
      </c>
      <c r="AF425" s="6" t="n">
        <v>-2.80232258372205</v>
      </c>
      <c r="AG425" s="6" t="n">
        <v>-1.490943034146183</v>
      </c>
      <c r="AH425" s="6" t="n">
        <v>-2.344327387886532</v>
      </c>
      <c r="AI425" s="6" t="n">
        <v>0.8289372788240578</v>
      </c>
      <c r="AJ425" s="6" t="n">
        <v>79.40096191974483</v>
      </c>
      <c r="AK425" s="6" t="n">
        <v>0.0991731770000961</v>
      </c>
      <c r="AL425" s="6" t="n">
        <v>1.099387189706339</v>
      </c>
      <c r="AN425" s="6" t="n">
        <v>1.325545006601257</v>
      </c>
      <c r="AO425" s="6" t="n">
        <v>1.330517035225678</v>
      </c>
      <c r="AP425" s="6" t="n">
        <v>0.1299934411839128</v>
      </c>
      <c r="AQ425" s="6" t="n">
        <v>0</v>
      </c>
      <c r="AR425" s="6" t="n">
        <v>0</v>
      </c>
    </row>
    <row r="426">
      <c r="D426" t="inlineStr">
        <is>
          <t>Run 114</t>
        </is>
      </c>
      <c r="J426" s="6" t="n">
        <v>-0.04657863766467362</v>
      </c>
      <c r="K426" s="6" t="n">
        <v>1.617175052978199</v>
      </c>
      <c r="L426" s="6" t="n">
        <v>0.9483370216926169</v>
      </c>
      <c r="M426" s="6" t="n">
        <v>-2.007679477274506</v>
      </c>
      <c r="N426" s="6" t="n">
        <v>0.6093567800370301</v>
      </c>
      <c r="O426" s="6" t="n">
        <v>3.346865357783294</v>
      </c>
      <c r="P426" s="6" t="n">
        <v>-1.086895958257584</v>
      </c>
      <c r="Q426" s="6" t="n">
        <v>1.446714340901685</v>
      </c>
      <c r="R426" s="6" t="n">
        <v>0.293141382065362</v>
      </c>
      <c r="S426" s="6" t="n">
        <v>-2.471020417786618</v>
      </c>
      <c r="T426" s="6" t="n">
        <v>-1.956247465120615</v>
      </c>
      <c r="U426" s="6" t="n">
        <v>0.8445051325495087</v>
      </c>
      <c r="V426" s="6" t="n">
        <v>-0.1804992997010481</v>
      </c>
      <c r="W426" s="6" t="n">
        <v>-0.725811988293301</v>
      </c>
      <c r="X426" s="6" t="n">
        <v>4.328867866848865</v>
      </c>
      <c r="Y426" s="6" t="n">
        <v>3.045325097123258</v>
      </c>
      <c r="Z426" s="6" t="n">
        <v>-1.340639215408306</v>
      </c>
      <c r="AA426" s="6" t="n">
        <v>-1.978438940788688</v>
      </c>
      <c r="AB426" s="6" t="n">
        <v>-2.309438620363431</v>
      </c>
      <c r="AC426" s="6" t="n">
        <v>-5.72851872987068</v>
      </c>
      <c r="AD426" s="6" t="n">
        <v>-1.160144571212861</v>
      </c>
      <c r="AE426" s="6" t="n">
        <v>0.5033296057006083</v>
      </c>
      <c r="AF426" s="6" t="n">
        <v>-0.6339158603100188</v>
      </c>
      <c r="AG426" s="6" t="n">
        <v>-0.7609742192526839</v>
      </c>
      <c r="AH426" s="6" t="n">
        <v>-0.1848914754948351</v>
      </c>
      <c r="AI426" s="6" t="n">
        <v>2.122549496566279</v>
      </c>
      <c r="AJ426" s="6" t="n">
        <v>75.28909221331838</v>
      </c>
      <c r="AK426" s="6" t="n">
        <v>0.0761999394257292</v>
      </c>
      <c r="AL426" s="6" t="n">
        <v>1.058249247534307</v>
      </c>
      <c r="AN426" s="6" t="n">
        <v>1.333280732885588</v>
      </c>
      <c r="AO426" s="6" t="n">
        <v>1.339599135234257</v>
      </c>
      <c r="AP426" s="6" t="n">
        <v>0.1328796798432293</v>
      </c>
      <c r="AQ426" s="6" t="n">
        <v>0</v>
      </c>
      <c r="AR426" s="6" t="n">
        <v>0</v>
      </c>
    </row>
    <row r="427">
      <c r="D427" t="inlineStr">
        <is>
          <t>Run 115</t>
        </is>
      </c>
      <c r="J427" s="6" t="n">
        <v>3.086880700036103</v>
      </c>
      <c r="K427" s="6" t="n">
        <v>-4.00153690475189</v>
      </c>
      <c r="L427" s="6" t="n">
        <v>-3.073266432088996</v>
      </c>
      <c r="M427" s="6" t="n">
        <v>2.027790955039547</v>
      </c>
      <c r="N427" s="6" t="n">
        <v>-0.5828937173727822</v>
      </c>
      <c r="O427" s="6" t="n">
        <v>0.6868581975086125</v>
      </c>
      <c r="P427" s="6" t="n">
        <v>0.2957654508149149</v>
      </c>
      <c r="Q427" s="6" t="n">
        <v>2.853306005881904</v>
      </c>
      <c r="R427" s="6" t="n">
        <v>0.2241102913637111</v>
      </c>
      <c r="S427" s="6" t="n">
        <v>-2.765799387459101</v>
      </c>
      <c r="T427" s="6" t="n">
        <v>-1.561029369783692</v>
      </c>
      <c r="U427" s="6" t="n">
        <v>1.710057451000695</v>
      </c>
      <c r="V427" s="6" t="n">
        <v>-2.588023709039642</v>
      </c>
      <c r="W427" s="6" t="n">
        <v>-1.50704571381057</v>
      </c>
      <c r="X427" s="6" t="n">
        <v>4.310410036111424</v>
      </c>
      <c r="Y427" s="6" t="n">
        <v>-0.3020156485997997</v>
      </c>
      <c r="Z427" s="6" t="n">
        <v>0.2012252633388534</v>
      </c>
      <c r="AA427" s="6" t="n">
        <v>2.53522585287568</v>
      </c>
      <c r="AB427" s="6" t="n">
        <v>1.99637119562482</v>
      </c>
      <c r="AC427" s="6" t="n">
        <v>-1.715037125372213</v>
      </c>
      <c r="AD427" s="6" t="n">
        <v>1.581023017766384</v>
      </c>
      <c r="AE427" s="6" t="n">
        <v>0.3940970279139673</v>
      </c>
      <c r="AF427" s="6" t="n">
        <v>2.128353819848174</v>
      </c>
      <c r="AG427" s="6" t="n">
        <v>-0.9846979851524711</v>
      </c>
      <c r="AH427" s="6" t="n">
        <v>0.8906112162770629</v>
      </c>
      <c r="AI427" s="6" t="n">
        <v>1.504847803281174</v>
      </c>
      <c r="AJ427" s="6" t="n">
        <v>76.56446096448691</v>
      </c>
      <c r="AK427" s="6" t="n">
        <v>0.1147838029173505</v>
      </c>
      <c r="AL427" s="6" t="n">
        <v>1.034298808882114</v>
      </c>
      <c r="AN427" s="6" t="n">
        <v>1.3440842324228</v>
      </c>
      <c r="AO427" s="6" t="n">
        <v>1.345888616232269</v>
      </c>
      <c r="AP427" s="6" t="n">
        <v>0.1344384523193427</v>
      </c>
      <c r="AQ427" s="6" t="n">
        <v>0</v>
      </c>
      <c r="AR427" s="6" t="n">
        <v>0</v>
      </c>
    </row>
    <row r="428">
      <c r="D428" t="inlineStr">
        <is>
          <t>Run 116</t>
        </is>
      </c>
      <c r="J428" s="6" t="n">
        <v>2.666945929397035</v>
      </c>
      <c r="K428" s="6" t="n">
        <v>-1.920387985892537</v>
      </c>
      <c r="L428" s="6" t="n">
        <v>0.7837428971788166</v>
      </c>
      <c r="M428" s="6" t="n">
        <v>-1.590947048880417</v>
      </c>
      <c r="N428" s="6" t="n">
        <v>-1.651140102549216</v>
      </c>
      <c r="O428" s="6" t="n">
        <v>-4.173599750955253</v>
      </c>
      <c r="P428" s="6" t="n">
        <v>-2.446453532719357</v>
      </c>
      <c r="Q428" s="6" t="n">
        <v>-2.079528479574544</v>
      </c>
      <c r="R428" s="6" t="n">
        <v>-3.405287878904484</v>
      </c>
      <c r="S428" s="6" t="n">
        <v>1.467520173892262</v>
      </c>
      <c r="T428" s="6" t="n">
        <v>-2.289264608479718</v>
      </c>
      <c r="U428" s="6" t="n">
        <v>-1.110393549424576</v>
      </c>
      <c r="V428" s="6" t="n">
        <v>-2.59292071808094</v>
      </c>
      <c r="W428" s="6" t="n">
        <v>-0.945962309106946</v>
      </c>
      <c r="X428" s="6" t="n">
        <v>0.3177459042797023</v>
      </c>
      <c r="Y428" s="6" t="n">
        <v>-2.929121335329924</v>
      </c>
      <c r="Z428" s="6" t="n">
        <v>2.275975515512592</v>
      </c>
      <c r="AA428" s="6" t="n">
        <v>0.1813882776411178</v>
      </c>
      <c r="AB428" s="6" t="n">
        <v>0.1015520566485018</v>
      </c>
      <c r="AC428" s="6" t="n">
        <v>-0.8284730762846672</v>
      </c>
      <c r="AD428" s="6" t="n">
        <v>1.879100734621448</v>
      </c>
      <c r="AE428" s="6" t="n">
        <v>2.571645265861619</v>
      </c>
      <c r="AF428" s="6" t="n">
        <v>-0.1884856004575582</v>
      </c>
      <c r="AG428" s="6" t="n">
        <v>-1.579073718719777</v>
      </c>
      <c r="AH428" s="6" t="n">
        <v>-0.247166628239582</v>
      </c>
      <c r="AI428" s="6" t="n">
        <v>1.975923714831602</v>
      </c>
      <c r="AJ428" s="6" t="n">
        <v>76.77808067676926</v>
      </c>
      <c r="AK428" s="6" t="n">
        <v>0.1632215970773332</v>
      </c>
      <c r="AL428" s="6" t="n">
        <v>1.046241495703999</v>
      </c>
      <c r="AN428" s="6" t="n">
        <v>1.335157378926486</v>
      </c>
      <c r="AO428" s="6" t="n">
        <v>1.338061978397002</v>
      </c>
      <c r="AP428" s="6" t="n">
        <v>0.1315862848956513</v>
      </c>
      <c r="AQ428" s="6" t="n">
        <v>0</v>
      </c>
      <c r="AR428" s="6" t="n">
        <v>0</v>
      </c>
    </row>
    <row r="429">
      <c r="D429" t="inlineStr">
        <is>
          <t>Run 117</t>
        </is>
      </c>
      <c r="J429" s="6" t="n">
        <v>2.798095096010993</v>
      </c>
      <c r="K429" s="6" t="n">
        <v>-2.289478886160452</v>
      </c>
      <c r="L429" s="6" t="n">
        <v>-0.6122284867307135</v>
      </c>
      <c r="M429" s="6" t="n">
        <v>-1.190190371951662</v>
      </c>
      <c r="N429" s="6" t="n">
        <v>1.635171019349063</v>
      </c>
      <c r="O429" s="6" t="n">
        <v>-1.7014142627134</v>
      </c>
      <c r="P429" s="6" t="n">
        <v>-4.202985625649573</v>
      </c>
      <c r="Q429" s="6" t="n">
        <v>-0.9618373983569855</v>
      </c>
      <c r="R429" s="6" t="n">
        <v>-2.097725564060573</v>
      </c>
      <c r="S429" s="6" t="n">
        <v>0.4434114410803185</v>
      </c>
      <c r="T429" s="6" t="n">
        <v>-0.9108960265282869</v>
      </c>
      <c r="U429" s="6" t="n">
        <v>-0.5802415790194803</v>
      </c>
      <c r="V429" s="6" t="n">
        <v>0.2802627479465912</v>
      </c>
      <c r="W429" s="6" t="n">
        <v>-1.388835619284335</v>
      </c>
      <c r="X429" s="6" t="n">
        <v>-1.997134231367408</v>
      </c>
      <c r="Y429" s="6" t="n">
        <v>1.726332379789737</v>
      </c>
      <c r="Z429" s="6" t="n">
        <v>-0.3889761860228463</v>
      </c>
      <c r="AA429" s="6" t="n">
        <v>-1.057066838134811</v>
      </c>
      <c r="AB429" s="6" t="n">
        <v>-1.354016269854917</v>
      </c>
      <c r="AC429" s="6" t="n">
        <v>0.6763860920727225</v>
      </c>
      <c r="AD429" s="6" t="n">
        <v>0.682768343210812</v>
      </c>
      <c r="AE429" s="6" t="n">
        <v>-2.812609229811224</v>
      </c>
      <c r="AF429" s="6" t="n">
        <v>-2.150579566329602</v>
      </c>
      <c r="AG429" s="6" t="n">
        <v>-0.1412278749809767</v>
      </c>
      <c r="AH429" s="6" t="n">
        <v>-1.434945966464839</v>
      </c>
      <c r="AI429" s="6" t="n">
        <v>1.150535795994979</v>
      </c>
      <c r="AJ429" s="6" t="n">
        <v>64.20468456501644</v>
      </c>
      <c r="AK429" s="6" t="n">
        <v>0.1193280755239182</v>
      </c>
      <c r="AL429" s="6" t="n">
        <v>1.089565729912348</v>
      </c>
      <c r="AN429" s="6" t="n">
        <v>1.329534663402664</v>
      </c>
      <c r="AO429" s="6" t="n">
        <v>1.330851710534926</v>
      </c>
      <c r="AP429" s="6" t="n">
        <v>0.1294527432060942</v>
      </c>
      <c r="AQ429" s="6" t="n">
        <v>0</v>
      </c>
      <c r="AR429" s="6" t="n">
        <v>0</v>
      </c>
    </row>
    <row r="430">
      <c r="D430" t="inlineStr">
        <is>
          <t>Run 118</t>
        </is>
      </c>
      <c r="J430" s="6" t="n">
        <v>-4.834958664679383</v>
      </c>
      <c r="K430" s="6" t="n">
        <v>0.5350257825234885</v>
      </c>
      <c r="L430" s="6" t="n">
        <v>-1.760581570120189</v>
      </c>
      <c r="M430" s="6" t="n">
        <v>1.604612837434653</v>
      </c>
      <c r="N430" s="6" t="n">
        <v>1.541123565836349</v>
      </c>
      <c r="O430" s="6" t="n">
        <v>-2.40272007948056</v>
      </c>
      <c r="P430" s="6" t="n">
        <v>2.037048683908346</v>
      </c>
      <c r="Q430" s="6" t="n">
        <v>1.142945832640946</v>
      </c>
      <c r="R430" s="6" t="n">
        <v>3.821172954361675</v>
      </c>
      <c r="S430" s="6" t="n">
        <v>-0.2472664088140455</v>
      </c>
      <c r="T430" s="6" t="n">
        <v>0.6005315863202346</v>
      </c>
      <c r="U430" s="6" t="n">
        <v>-2.355452573868685</v>
      </c>
      <c r="V430" s="6" t="n">
        <v>1.59060564618868</v>
      </c>
      <c r="W430" s="6" t="n">
        <v>1.770348044122983</v>
      </c>
      <c r="X430" s="6" t="n">
        <v>2.751559953403182</v>
      </c>
      <c r="Y430" s="6" t="n">
        <v>0.2385009146397404</v>
      </c>
      <c r="Z430" s="6" t="n">
        <v>-0.5568641313503355</v>
      </c>
      <c r="AA430" s="6" t="n">
        <v>-0.2041252516854634</v>
      </c>
      <c r="AB430" s="6" t="n">
        <v>-2.388920866262921</v>
      </c>
      <c r="AC430" s="6" t="n">
        <v>1.848884167326675</v>
      </c>
      <c r="AD430" s="6" t="n">
        <v>-0.06354212328175457</v>
      </c>
      <c r="AE430" s="6" t="n">
        <v>-2.707735818533057</v>
      </c>
      <c r="AF430" s="6" t="n">
        <v>1.082252520465589</v>
      </c>
      <c r="AG430" s="6" t="n">
        <v>-1.556569814972842</v>
      </c>
      <c r="AH430" s="6" t="n">
        <v>-1.25094912669927</v>
      </c>
      <c r="AI430" s="6" t="n">
        <v>2.663716657952045</v>
      </c>
      <c r="AJ430" s="6" t="n">
        <v>79.67741173764406</v>
      </c>
      <c r="AK430" s="6" t="n">
        <v>0.1218572018550317</v>
      </c>
      <c r="AL430" s="6" t="n">
        <v>1.097018358768105</v>
      </c>
      <c r="AN430" s="6" t="n">
        <v>1.332755641054826</v>
      </c>
      <c r="AO430" s="6" t="n">
        <v>1.332755641054826</v>
      </c>
      <c r="AP430" s="6" t="n">
        <v>0.1295219084665047</v>
      </c>
      <c r="AQ430" s="6" t="n">
        <v>0</v>
      </c>
      <c r="AR430" s="6" t="n">
        <v>0</v>
      </c>
    </row>
    <row r="431">
      <c r="D431" t="inlineStr">
        <is>
          <t>Run 119</t>
        </is>
      </c>
      <c r="J431" s="6" t="n">
        <v>2.391482802216256</v>
      </c>
      <c r="K431" s="6" t="n">
        <v>1.923327119348648</v>
      </c>
      <c r="L431" s="6" t="n">
        <v>1.619317580713547</v>
      </c>
      <c r="M431" s="6" t="n">
        <v>-1.974039208036923</v>
      </c>
      <c r="N431" s="6" t="n">
        <v>0.5951993509915652</v>
      </c>
      <c r="O431" s="6" t="n">
        <v>-1.914434654458315</v>
      </c>
      <c r="P431" s="6" t="n">
        <v>-0.4526212945896227</v>
      </c>
      <c r="Q431" s="6" t="n">
        <v>0.2641046483329579</v>
      </c>
      <c r="R431" s="6" t="n">
        <v>-1.31736464127597</v>
      </c>
      <c r="S431" s="6" t="n">
        <v>1.017290818500613</v>
      </c>
      <c r="T431" s="6" t="n">
        <v>0.7248358088901254</v>
      </c>
      <c r="U431" s="6" t="n">
        <v>0.5503178357519481</v>
      </c>
      <c r="V431" s="6" t="n">
        <v>0.9566494982504341</v>
      </c>
      <c r="W431" s="6" t="n">
        <v>-1.982993040757124</v>
      </c>
      <c r="X431" s="6" t="n">
        <v>1.491939047293465</v>
      </c>
      <c r="Y431" s="6" t="n">
        <v>1.735184064633797</v>
      </c>
      <c r="Z431" s="6" t="n">
        <v>0.7597370926287121</v>
      </c>
      <c r="AA431" s="6" t="n">
        <v>-0.1856660870385555</v>
      </c>
      <c r="AB431" s="6" t="n">
        <v>-0.9456833370445689</v>
      </c>
      <c r="AC431" s="6" t="n">
        <v>-1.013629651349812</v>
      </c>
      <c r="AD431" s="6" t="n">
        <v>-2.371392887959747</v>
      </c>
      <c r="AE431" s="6" t="n">
        <v>3.10753876473074</v>
      </c>
      <c r="AF431" s="6" t="n">
        <v>2.817389973497618</v>
      </c>
      <c r="AG431" s="6" t="n">
        <v>3.537759413271479</v>
      </c>
      <c r="AH431" s="6" t="n">
        <v>-1.714547538644478</v>
      </c>
      <c r="AI431" s="6" t="n">
        <v>3.675660268406955</v>
      </c>
      <c r="AJ431" s="6" t="n">
        <v>78.79762499983812</v>
      </c>
      <c r="AK431" s="6" t="n">
        <v>0.1802802245369337</v>
      </c>
      <c r="AL431" s="6" t="n">
        <v>1.039143867527612</v>
      </c>
      <c r="AN431" s="6" t="n">
        <v>1.334235720369447</v>
      </c>
      <c r="AO431" s="6" t="n">
        <v>1.340071729516582</v>
      </c>
      <c r="AP431" s="6" t="n">
        <v>0.1323946733428716</v>
      </c>
      <c r="AQ431" s="6" t="n">
        <v>0</v>
      </c>
      <c r="AR431" s="6" t="n">
        <v>0</v>
      </c>
    </row>
    <row r="432">
      <c r="D432" t="inlineStr">
        <is>
          <t>Run 120</t>
        </is>
      </c>
      <c r="J432" s="6" t="n">
        <v>1.922174908769418</v>
      </c>
      <c r="K432" s="6" t="n">
        <v>-3.457513052847722</v>
      </c>
      <c r="L432" s="6" t="n">
        <v>-0.2749741288221191</v>
      </c>
      <c r="M432" s="6" t="n">
        <v>2.898095978207137</v>
      </c>
      <c r="N432" s="6" t="n">
        <v>-3.450750176692842</v>
      </c>
      <c r="O432" s="6" t="n">
        <v>0.08456344943794822</v>
      </c>
      <c r="P432" s="6" t="n">
        <v>1.646996290785248</v>
      </c>
      <c r="Q432" s="6" t="n">
        <v>1.92771937029257</v>
      </c>
      <c r="R432" s="6" t="n">
        <v>0.6063974497731991</v>
      </c>
      <c r="S432" s="6" t="n">
        <v>0.4592725796910859</v>
      </c>
      <c r="T432" s="6" t="n">
        <v>1.036111609274398</v>
      </c>
      <c r="U432" s="6" t="n">
        <v>-2.581423954016995</v>
      </c>
      <c r="V432" s="6" t="n">
        <v>0.07179151147371919</v>
      </c>
      <c r="W432" s="6" t="n">
        <v>1.547661536137312</v>
      </c>
      <c r="X432" s="6" t="n">
        <v>-1.603964319353428</v>
      </c>
      <c r="Y432" s="6" t="n">
        <v>3.90768953240552</v>
      </c>
      <c r="Z432" s="6" t="n">
        <v>1.303311409128552</v>
      </c>
      <c r="AA432" s="6" t="n">
        <v>0.9472299724260221</v>
      </c>
      <c r="AB432" s="6" t="n">
        <v>-0.3200297957041968</v>
      </c>
      <c r="AC432" s="6" t="n">
        <v>-0.6535519839084497</v>
      </c>
      <c r="AD432" s="6" t="n">
        <v>-1.882383586533793</v>
      </c>
      <c r="AE432" s="6" t="n">
        <v>0.492626940922987</v>
      </c>
      <c r="AF432" s="6" t="n">
        <v>-1.105956875033355</v>
      </c>
      <c r="AG432" s="6" t="n">
        <v>-1.593284099200287</v>
      </c>
      <c r="AH432" s="6" t="n">
        <v>-2.535428354781011</v>
      </c>
      <c r="AI432" s="6" t="n">
        <v>0.400284559566613</v>
      </c>
      <c r="AJ432" s="6" t="n">
        <v>67.89046432878385</v>
      </c>
      <c r="AK432" s="6" t="n">
        <v>0.1616507416220773</v>
      </c>
      <c r="AL432" s="6" t="n">
        <v>1.053080727707365</v>
      </c>
      <c r="AN432" s="6" t="n">
        <v>1.338949911697173</v>
      </c>
      <c r="AO432" s="6" t="n">
        <v>1.340114834692223</v>
      </c>
      <c r="AP432" s="6" t="n">
        <v>0.1309337758519229</v>
      </c>
      <c r="AQ432" s="6" t="n">
        <v>0</v>
      </c>
      <c r="AR432" s="6" t="n">
        <v>0</v>
      </c>
    </row>
    <row r="433">
      <c r="D433" t="inlineStr">
        <is>
          <t>Run 121</t>
        </is>
      </c>
      <c r="J433" s="6" t="n">
        <v>0.9801614741268448</v>
      </c>
      <c r="K433" s="6" t="n">
        <v>1.16155807957968</v>
      </c>
      <c r="L433" s="6" t="n">
        <v>-1.066959031377076</v>
      </c>
      <c r="M433" s="6" t="n">
        <v>3.583156458025587</v>
      </c>
      <c r="N433" s="6" t="n">
        <v>-2.992158341218869</v>
      </c>
      <c r="O433" s="6" t="n">
        <v>-0.444914637983805</v>
      </c>
      <c r="P433" s="6" t="n">
        <v>-1.097091543231252</v>
      </c>
      <c r="Q433" s="6" t="n">
        <v>0.07710087354494857</v>
      </c>
      <c r="R433" s="6" t="n">
        <v>-0.6942101388172047</v>
      </c>
      <c r="S433" s="6" t="n">
        <v>3.135198160338172</v>
      </c>
      <c r="T433" s="6" t="n">
        <v>0.6214812971935793</v>
      </c>
      <c r="U433" s="6" t="n">
        <v>2.090679443873836</v>
      </c>
      <c r="V433" s="6" t="n">
        <v>-0.2267419666909419</v>
      </c>
      <c r="W433" s="6" t="n">
        <v>-2.569149512761147</v>
      </c>
      <c r="X433" s="6" t="n">
        <v>0.9673971427356982</v>
      </c>
      <c r="Y433" s="6" t="n">
        <v>-1.233107616750913</v>
      </c>
      <c r="Z433" s="6" t="n">
        <v>-1.730546810517031</v>
      </c>
      <c r="AA433" s="6" t="n">
        <v>0.9342379198276476</v>
      </c>
      <c r="AB433" s="6" t="n">
        <v>-0.241507287482854</v>
      </c>
      <c r="AC433" s="6" t="n">
        <v>-1.071615709254418</v>
      </c>
      <c r="AD433" s="6" t="n">
        <v>3.064692824953496</v>
      </c>
      <c r="AE433" s="6" t="n">
        <v>3.01153223446421</v>
      </c>
      <c r="AF433" s="6" t="n">
        <v>-0.1233197582339579</v>
      </c>
      <c r="AG433" s="6" t="n">
        <v>-2.873165871695455</v>
      </c>
      <c r="AH433" s="6" t="n">
        <v>-1.005877293172441</v>
      </c>
      <c r="AI433" s="6" t="n">
        <v>-2.263235217876185</v>
      </c>
      <c r="AJ433" s="6" t="n">
        <v>78.23961694645968</v>
      </c>
      <c r="AK433" s="6" t="n">
        <v>0.1276245009745799</v>
      </c>
      <c r="AL433" s="6" t="n">
        <v>1.027439185554086</v>
      </c>
      <c r="AN433" s="6" t="n">
        <v>1.35349062232438</v>
      </c>
      <c r="AO433" s="6" t="n">
        <v>1.35349062232438</v>
      </c>
      <c r="AP433" s="6" t="n">
        <v>0.1350378153543626</v>
      </c>
      <c r="AQ433" s="6" t="n">
        <v>0</v>
      </c>
      <c r="AR433" s="6" t="n">
        <v>0</v>
      </c>
    </row>
    <row r="434">
      <c r="D434" t="inlineStr">
        <is>
          <t>Run 122</t>
        </is>
      </c>
      <c r="J434" s="6" t="n">
        <v>-1.282725198864034</v>
      </c>
      <c r="K434" s="6" t="n">
        <v>2.535128943043806</v>
      </c>
      <c r="L434" s="6" t="n">
        <v>-2.294975452362084</v>
      </c>
      <c r="M434" s="6" t="n">
        <v>-0.075698323941603</v>
      </c>
      <c r="N434" s="6" t="n">
        <v>-1.223754407210889</v>
      </c>
      <c r="O434" s="6" t="n">
        <v>-0.1348271537904198</v>
      </c>
      <c r="P434" s="6" t="n">
        <v>-0.5823656880997901</v>
      </c>
      <c r="Q434" s="6" t="n">
        <v>5</v>
      </c>
      <c r="R434" s="6" t="n">
        <v>0.4438580552686257</v>
      </c>
      <c r="S434" s="6" t="n">
        <v>-1.331680170225448</v>
      </c>
      <c r="T434" s="6" t="n">
        <v>-4.866872183938618</v>
      </c>
      <c r="U434" s="6" t="n">
        <v>-2.32518075324818</v>
      </c>
      <c r="V434" s="6" t="n">
        <v>0.7088020276914347</v>
      </c>
      <c r="W434" s="6" t="n">
        <v>-2.910216803673147</v>
      </c>
      <c r="X434" s="6" t="n">
        <v>2.300833794403628</v>
      </c>
      <c r="Y434" s="6" t="n">
        <v>-2.888240576755678</v>
      </c>
      <c r="Z434" s="6" t="n">
        <v>-1.733414551638206</v>
      </c>
      <c r="AA434" s="6" t="n">
        <v>-1.790707676308904</v>
      </c>
      <c r="AB434" s="6" t="n">
        <v>3.338548323886501</v>
      </c>
      <c r="AC434" s="6" t="n">
        <v>2.300146034887371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-2.642546636191949</v>
      </c>
      <c r="AH434" s="6" t="n">
        <v>-0.549647055887973</v>
      </c>
      <c r="AI434" s="6" t="n">
        <v>-0.9222302345430945</v>
      </c>
      <c r="AJ434" s="6" t="n">
        <v>62.640022468716</v>
      </c>
      <c r="AK434" s="6" t="n">
        <v>0.06397100310347234</v>
      </c>
      <c r="AL434" s="6" t="n">
        <v>1.117485622056832</v>
      </c>
      <c r="AN434" s="6" t="n">
        <v>1.329113234900414</v>
      </c>
      <c r="AO434" s="6" t="n">
        <v>1.329176031507643</v>
      </c>
      <c r="AP434" s="6" t="n">
        <v>0.1292983078778176</v>
      </c>
      <c r="AQ434" s="6" t="n">
        <v>0</v>
      </c>
      <c r="AR434" s="6" t="n">
        <v>0</v>
      </c>
    </row>
    <row r="435">
      <c r="D435" t="inlineStr">
        <is>
          <t>Run 123</t>
        </is>
      </c>
      <c r="J435" s="6" t="n">
        <v>-1.602662695920301</v>
      </c>
      <c r="K435" s="6" t="n">
        <v>0.3434277428067399</v>
      </c>
      <c r="L435" s="6" t="n">
        <v>-1.672578991619324</v>
      </c>
      <c r="M435" s="6" t="n">
        <v>2.375364962311569</v>
      </c>
      <c r="N435" s="6" t="n">
        <v>3.308618001715841</v>
      </c>
      <c r="O435" s="6" t="n">
        <v>1.097223198471144</v>
      </c>
      <c r="P435" s="6" t="n">
        <v>-0.4276184769143052</v>
      </c>
      <c r="Q435" s="6" t="n">
        <v>3.729609503249802</v>
      </c>
      <c r="R435" s="6" t="n">
        <v>-1.716352238083572</v>
      </c>
      <c r="S435" s="6" t="n">
        <v>1.359265662243852</v>
      </c>
      <c r="T435" s="6" t="n">
        <v>0.838064178415535</v>
      </c>
      <c r="U435" s="6" t="n">
        <v>1.182239674522714</v>
      </c>
      <c r="V435" s="6" t="n">
        <v>-0.371536019266506</v>
      </c>
      <c r="W435" s="6" t="n">
        <v>-1.052124584952763</v>
      </c>
      <c r="X435" s="6" t="n">
        <v>0.2139244296009601</v>
      </c>
      <c r="Y435" s="6" t="n">
        <v>-0.5130932087184361</v>
      </c>
      <c r="Z435" s="6" t="n">
        <v>-0.9359015313190046</v>
      </c>
      <c r="AA435" s="6" t="n">
        <v>-0.6663407743018437</v>
      </c>
      <c r="AB435" s="6" t="n">
        <v>2.505988853004122</v>
      </c>
      <c r="AC435" s="6" t="n">
        <v>0.01933139136936098</v>
      </c>
      <c r="AD435" s="6" t="n">
        <v>-1.090184032105988</v>
      </c>
      <c r="AE435" s="6" t="n">
        <v>-2.365222539735369</v>
      </c>
      <c r="AF435" s="6" t="n">
        <v>1.891041154757982</v>
      </c>
      <c r="AG435" s="6" t="n">
        <v>-2.132425857983582</v>
      </c>
      <c r="AH435" s="6" t="n">
        <v>-0.278145460578068</v>
      </c>
      <c r="AI435" s="6" t="n">
        <v>-1.096399125250821</v>
      </c>
      <c r="AJ435" s="6" t="n">
        <v>76.65922955713212</v>
      </c>
      <c r="AK435" s="6" t="n">
        <v>0.1311746441217194</v>
      </c>
      <c r="AL435" s="6" t="n">
        <v>1.073742023562023</v>
      </c>
      <c r="AN435" s="6" t="n">
        <v>1.337805539053616</v>
      </c>
      <c r="AO435" s="6" t="n">
        <v>1.338076811321077</v>
      </c>
      <c r="AP435" s="6" t="n">
        <v>0.1306937034467628</v>
      </c>
      <c r="AQ435" s="6" t="n">
        <v>0</v>
      </c>
      <c r="AR435" s="6" t="n">
        <v>0</v>
      </c>
    </row>
    <row r="436">
      <c r="D436" t="inlineStr">
        <is>
          <t>Run 124</t>
        </is>
      </c>
      <c r="J436" s="6" t="n">
        <v>0.7948746660064233</v>
      </c>
      <c r="K436" s="6" t="n">
        <v>0.1474071492019313</v>
      </c>
      <c r="L436" s="6" t="n">
        <v>-1.138963914769591</v>
      </c>
      <c r="M436" s="6" t="n">
        <v>-0.06603368244235225</v>
      </c>
      <c r="N436" s="6" t="n">
        <v>-1.287756465616608</v>
      </c>
      <c r="O436" s="6" t="n">
        <v>-0.5680273907481677</v>
      </c>
      <c r="P436" s="6" t="n">
        <v>-0.2156961761350832</v>
      </c>
      <c r="Q436" s="6" t="n">
        <v>-3.197985016972912</v>
      </c>
      <c r="R436" s="6" t="n">
        <v>-2.879766063114255</v>
      </c>
      <c r="S436" s="6" t="n">
        <v>4.451135899537267</v>
      </c>
      <c r="T436" s="6" t="n">
        <v>1.22555365961484</v>
      </c>
      <c r="U436" s="6" t="n">
        <v>2.525250256129957</v>
      </c>
      <c r="V436" s="6" t="n">
        <v>1.168239350659562</v>
      </c>
      <c r="W436" s="6" t="n">
        <v>-1.605980495944889</v>
      </c>
      <c r="X436" s="6" t="n">
        <v>0.206570804455074</v>
      </c>
      <c r="Y436" s="6" t="n">
        <v>3.469126418939936</v>
      </c>
      <c r="Z436" s="6" t="n">
        <v>-4.297138707205099</v>
      </c>
      <c r="AA436" s="6" t="n">
        <v>-0.1706386799696719</v>
      </c>
      <c r="AB436" s="6" t="n">
        <v>0.2650440050595765</v>
      </c>
      <c r="AC436" s="6" t="n">
        <v>2.614854015629176</v>
      </c>
      <c r="AD436" s="6" t="n">
        <v>-1.580448345701002</v>
      </c>
      <c r="AE436" s="6" t="n">
        <v>0.226413632536375</v>
      </c>
      <c r="AF436" s="6" t="n">
        <v>-0.3319063183335416</v>
      </c>
      <c r="AG436" s="6" t="n">
        <v>-3.743125009689351</v>
      </c>
      <c r="AH436" s="6" t="n">
        <v>-2.619258937288515</v>
      </c>
      <c r="AI436" s="6" t="n">
        <v>-2.255944985610072</v>
      </c>
      <c r="AJ436" s="6" t="n">
        <v>73.96164725521589</v>
      </c>
      <c r="AK436" s="6" t="n">
        <v>0.07475988339939116</v>
      </c>
      <c r="AL436" s="6" t="n">
        <v>1.012002367076952</v>
      </c>
      <c r="AN436" s="6" t="n">
        <v>1.354263733025097</v>
      </c>
      <c r="AO436" s="6" t="n">
        <v>1.354263733025097</v>
      </c>
      <c r="AP436" s="6" t="n">
        <v>0.1376520899978386</v>
      </c>
      <c r="AQ436" s="6" t="n">
        <v>0</v>
      </c>
      <c r="AR436" s="6" t="n">
        <v>0</v>
      </c>
    </row>
    <row r="437">
      <c r="D437" t="inlineStr">
        <is>
          <t>Run 125</t>
        </is>
      </c>
      <c r="J437" s="6" t="n">
        <v>0.04941068836279676</v>
      </c>
      <c r="K437" s="6" t="n">
        <v>-0.8411631236367783</v>
      </c>
      <c r="L437" s="6" t="n">
        <v>1.870559773460397</v>
      </c>
      <c r="M437" s="6" t="n">
        <v>3.037692293735243</v>
      </c>
      <c r="N437" s="6" t="n">
        <v>0.1683844397017447</v>
      </c>
      <c r="O437" s="6" t="n">
        <v>-2.617590622845164</v>
      </c>
      <c r="P437" s="6" t="n">
        <v>-1.723438694926491</v>
      </c>
      <c r="Q437" s="6" t="n">
        <v>-0.1576672600774506</v>
      </c>
      <c r="R437" s="6" t="n">
        <v>2.214564664131612</v>
      </c>
      <c r="S437" s="6" t="n">
        <v>-2.434953163510581</v>
      </c>
      <c r="T437" s="6" t="n">
        <v>-2.742850938178527</v>
      </c>
      <c r="U437" s="6" t="n">
        <v>2.080777930785144</v>
      </c>
      <c r="V437" s="6" t="n">
        <v>0.5637171524099324</v>
      </c>
      <c r="W437" s="6" t="n">
        <v>-2.10518815881757</v>
      </c>
      <c r="X437" s="6" t="n">
        <v>3.371468866425269</v>
      </c>
      <c r="Y437" s="6" t="n">
        <v>0.1665280001883594</v>
      </c>
      <c r="Z437" s="6" t="n">
        <v>2.231314045267539</v>
      </c>
      <c r="AA437" s="6" t="n">
        <v>2.074560922367843</v>
      </c>
      <c r="AB437" s="6" t="n">
        <v>3.315367561829869</v>
      </c>
      <c r="AC437" s="6" t="n">
        <v>-7.812469900070637</v>
      </c>
      <c r="AD437" s="6" t="n">
        <v>-1.517689573040043</v>
      </c>
      <c r="AE437" s="6" t="n">
        <v>-1.623372892378991</v>
      </c>
      <c r="AF437" s="6" t="n">
        <v>-1.698759663008394</v>
      </c>
      <c r="AG437" s="6" t="n">
        <v>0.9166103764758877</v>
      </c>
      <c r="AH437" s="6" t="n">
        <v>2.077463498881773</v>
      </c>
      <c r="AI437" s="6" t="n">
        <v>-0.4749282391935569</v>
      </c>
      <c r="AJ437" s="6" t="n">
        <v>79.12914410794214</v>
      </c>
      <c r="AK437" s="6" t="n">
        <v>0.04915453031601265</v>
      </c>
      <c r="AL437" s="6" t="n">
        <v>1.125291087193354</v>
      </c>
      <c r="AN437" s="6" t="n">
        <v>1.33290332422564</v>
      </c>
      <c r="AO437" s="6" t="n">
        <v>1.333252323707693</v>
      </c>
      <c r="AP437" s="6" t="n">
        <v>0.1301620660052654</v>
      </c>
      <c r="AQ437" s="6" t="n">
        <v>0</v>
      </c>
      <c r="AR437" s="6" t="n">
        <v>0</v>
      </c>
    </row>
    <row r="438">
      <c r="D438" t="inlineStr">
        <is>
          <t>Run 126</t>
        </is>
      </c>
      <c r="J438" s="6" t="n">
        <v>1.908428286697555</v>
      </c>
      <c r="K438" s="6" t="n">
        <v>3.178800466696873</v>
      </c>
      <c r="L438" s="6" t="n">
        <v>0.2494433525803489</v>
      </c>
      <c r="M438" s="6" t="n">
        <v>2.176926421963989</v>
      </c>
      <c r="N438" s="6" t="n">
        <v>-1.013122829724448</v>
      </c>
      <c r="O438" s="6" t="n">
        <v>-1.353412647500791</v>
      </c>
      <c r="P438" s="6" t="n">
        <v>-0.5314310708765044</v>
      </c>
      <c r="Q438" s="6" t="n">
        <v>0.01043639652398369</v>
      </c>
      <c r="R438" s="6" t="n">
        <v>0.5971971431203844</v>
      </c>
      <c r="S438" s="6" t="n">
        <v>-0.9687095130523027</v>
      </c>
      <c r="T438" s="6" t="n">
        <v>0.9676322676737176</v>
      </c>
      <c r="U438" s="6" t="n">
        <v>2.075775879486633</v>
      </c>
      <c r="V438" s="6" t="n">
        <v>-3.218761552590287</v>
      </c>
      <c r="W438" s="6" t="n">
        <v>-0.3982528662665624</v>
      </c>
      <c r="X438" s="6" t="n">
        <v>1.371604906623875</v>
      </c>
      <c r="Y438" s="6" t="n">
        <v>2.378596960921094</v>
      </c>
      <c r="Z438" s="6" t="n">
        <v>-3.534786858065428</v>
      </c>
      <c r="AA438" s="6" t="n">
        <v>0.8962786575657776</v>
      </c>
      <c r="AB438" s="6" t="n">
        <v>1.173438167332747</v>
      </c>
      <c r="AC438" s="6" t="n">
        <v>-1.351286204565207</v>
      </c>
      <c r="AD438" s="6" t="n">
        <v>-1.899470433358582</v>
      </c>
      <c r="AE438" s="6" t="n">
        <v>-2.996637106265088</v>
      </c>
      <c r="AF438" s="6" t="n">
        <v>-2.189718635782757</v>
      </c>
      <c r="AG438" s="6" t="n">
        <v>2.833324183324372</v>
      </c>
      <c r="AH438" s="6" t="n">
        <v>-0.6069081107768846</v>
      </c>
      <c r="AI438" s="6" t="n">
        <v>0.452040049110538</v>
      </c>
      <c r="AJ438" s="6" t="n">
        <v>63.90934356143458</v>
      </c>
      <c r="AK438" s="6" t="n">
        <v>0.1561724825028103</v>
      </c>
      <c r="AL438" s="6" t="n">
        <v>1.02898219587292</v>
      </c>
      <c r="AN438" s="6" t="n">
        <v>1.345775691045822</v>
      </c>
      <c r="AO438" s="6" t="n">
        <v>1.345798532179334</v>
      </c>
      <c r="AP438" s="6" t="n">
        <v>0.133098501137635</v>
      </c>
      <c r="AQ438" s="6" t="n">
        <v>0</v>
      </c>
      <c r="AR438" s="6" t="n">
        <v>0</v>
      </c>
    </row>
    <row r="439">
      <c r="D439" t="inlineStr">
        <is>
          <t>Run 127</t>
        </is>
      </c>
      <c r="J439" s="6" t="n">
        <v>-1.068764170369856</v>
      </c>
      <c r="K439" s="6" t="n">
        <v>-0.1514956049255877</v>
      </c>
      <c r="L439" s="6" t="n">
        <v>-0.5265849445224664</v>
      </c>
      <c r="M439" s="6" t="n">
        <v>1.322964583692767</v>
      </c>
      <c r="N439" s="6" t="n">
        <v>-0.3738193796103648</v>
      </c>
      <c r="O439" s="6" t="n">
        <v>2.141631399314174</v>
      </c>
      <c r="P439" s="6" t="n">
        <v>-0.6306829587063236</v>
      </c>
      <c r="Q439" s="6" t="n">
        <v>-0.3828460750210645</v>
      </c>
      <c r="R439" s="6" t="n">
        <v>1.56020392419659</v>
      </c>
      <c r="S439" s="6" t="n">
        <v>-1.663611290849725</v>
      </c>
      <c r="T439" s="6" t="n">
        <v>0.3302595532853338</v>
      </c>
      <c r="U439" s="6" t="n">
        <v>-3.024090766730688</v>
      </c>
      <c r="V439" s="6" t="n">
        <v>1.061658476422193</v>
      </c>
      <c r="W439" s="6" t="n">
        <v>0.6772563847286017</v>
      </c>
      <c r="X439" s="6" t="n">
        <v>-0.9791680422123755</v>
      </c>
      <c r="Y439" s="6" t="n">
        <v>1.759928963985345</v>
      </c>
      <c r="Z439" s="6" t="n">
        <v>3.140832966324701</v>
      </c>
      <c r="AA439" s="6" t="n">
        <v>-2.210121411957207</v>
      </c>
      <c r="AB439" s="6" t="n">
        <v>-2.611240387226352</v>
      </c>
      <c r="AC439" s="6" t="n">
        <v>-0.8814808001345336</v>
      </c>
      <c r="AD439" s="6" t="n">
        <v>-1.222194622393542</v>
      </c>
      <c r="AE439" s="6" t="n">
        <v>-1.180733015783328</v>
      </c>
      <c r="AF439" s="6" t="n">
        <v>0.6456103140921776</v>
      </c>
      <c r="AG439" s="6" t="n">
        <v>3.275219913803096</v>
      </c>
      <c r="AH439" s="6" t="n">
        <v>-0.4729945330596119</v>
      </c>
      <c r="AI439" s="6" t="n">
        <v>3.251346624997654</v>
      </c>
      <c r="AJ439" s="6" t="n">
        <v>82.7504133154425</v>
      </c>
      <c r="AK439" s="6" t="n">
        <v>0.123004697704672</v>
      </c>
      <c r="AL439" s="6" t="n">
        <v>1.049877023265676</v>
      </c>
      <c r="AN439" s="6" t="n">
        <v>1.35072291450628</v>
      </c>
      <c r="AO439" s="6" t="n">
        <v>1.351347250649368</v>
      </c>
      <c r="AP439" s="6" t="n">
        <v>0.1331389610457461</v>
      </c>
      <c r="AQ439" s="6" t="n">
        <v>0</v>
      </c>
      <c r="AR439" s="6" t="n">
        <v>0</v>
      </c>
    </row>
    <row r="440">
      <c r="D440" t="inlineStr">
        <is>
          <t>Run 128</t>
        </is>
      </c>
      <c r="J440" s="6" t="n">
        <v>3.826339864350707</v>
      </c>
      <c r="K440" s="6" t="n">
        <v>0.1336432966928236</v>
      </c>
      <c r="L440" s="6" t="n">
        <v>-1.067022164954736</v>
      </c>
      <c r="M440" s="6" t="n">
        <v>-3.341169821038943</v>
      </c>
      <c r="N440" s="6" t="n">
        <v>-1.080984203205908</v>
      </c>
      <c r="O440" s="6" t="n">
        <v>-0.2662492004900345</v>
      </c>
      <c r="P440" s="6" t="n">
        <v>1.202788377201888</v>
      </c>
      <c r="Q440" s="6" t="n">
        <v>-2.95496428781023</v>
      </c>
      <c r="R440" s="6" t="n">
        <v>3.997134281878902</v>
      </c>
      <c r="S440" s="6" t="n">
        <v>3.73946409963968</v>
      </c>
      <c r="T440" s="6" t="n">
        <v>-0.7396843126752077</v>
      </c>
      <c r="U440" s="6" t="n">
        <v>-3.15411584017016</v>
      </c>
      <c r="V440" s="6" t="n">
        <v>-0.8491722385303879</v>
      </c>
      <c r="W440" s="6" t="n">
        <v>3.906891063598892</v>
      </c>
      <c r="X440" s="6" t="n">
        <v>-1.519298691979619</v>
      </c>
      <c r="Y440" s="6" t="n">
        <v>1.830112598496181</v>
      </c>
      <c r="Z440" s="6" t="n">
        <v>-0.09509258846447445</v>
      </c>
      <c r="AA440" s="6" t="n">
        <v>0.7244942561519151</v>
      </c>
      <c r="AB440" s="6" t="n">
        <v>1.185803249054159</v>
      </c>
      <c r="AC440" s="6" t="n">
        <v>1.47065037683167</v>
      </c>
      <c r="AD440" s="6" t="n">
        <v>2.632747790783691</v>
      </c>
      <c r="AE440" s="6" t="n">
        <v>2.232469113113702</v>
      </c>
      <c r="AF440" s="6" t="n">
        <v>-5.129285211700569</v>
      </c>
      <c r="AG440" s="6" t="n">
        <v>-1.092726006736141</v>
      </c>
      <c r="AH440" s="6" t="n">
        <v>-0.6808317996472707</v>
      </c>
      <c r="AI440" s="6" t="n">
        <v>-1.585779287895696</v>
      </c>
      <c r="AJ440" s="6" t="n">
        <v>70.5802689504639</v>
      </c>
      <c r="AK440" s="6" t="n">
        <v>0.0745724641981638</v>
      </c>
      <c r="AL440" s="6" t="n">
        <v>1.027787733096445</v>
      </c>
      <c r="AN440" s="6" t="n">
        <v>1.321150730815118</v>
      </c>
      <c r="AO440" s="6" t="n">
        <v>1.329262184053241</v>
      </c>
      <c r="AP440" s="6" t="n">
        <v>0.1348750131173336</v>
      </c>
      <c r="AQ440" s="6" t="n">
        <v>0</v>
      </c>
      <c r="AR440" s="6" t="n">
        <v>0</v>
      </c>
    </row>
    <row r="441">
      <c r="D441" t="inlineStr">
        <is>
          <t>Run 129</t>
        </is>
      </c>
      <c r="J441" s="6" t="n">
        <v>1.118597109637879</v>
      </c>
      <c r="K441" s="6" t="n">
        <v>-2.461981779042602</v>
      </c>
      <c r="L441" s="6" t="n">
        <v>-0.3766955361528052</v>
      </c>
      <c r="M441" s="6" t="n">
        <v>3.109072072456038</v>
      </c>
      <c r="N441" s="6" t="n">
        <v>4.292146188015938</v>
      </c>
      <c r="O441" s="6" t="n">
        <v>-0.921660306458611</v>
      </c>
      <c r="P441" s="6" t="n">
        <v>5</v>
      </c>
      <c r="Q441" s="6" t="n">
        <v>-1.430206868803533</v>
      </c>
      <c r="R441" s="6" t="n">
        <v>-0.1301004116059759</v>
      </c>
      <c r="S441" s="6" t="n">
        <v>0.1772302810373033</v>
      </c>
      <c r="T441" s="6" t="n">
        <v>1.656032977732889</v>
      </c>
      <c r="U441" s="6" t="n">
        <v>-0.0551003404792334</v>
      </c>
      <c r="V441" s="6" t="n">
        <v>1.574406006548006</v>
      </c>
      <c r="W441" s="6" t="n">
        <v>-2.803021664285513</v>
      </c>
      <c r="X441" s="6" t="n">
        <v>-1.963119193396161</v>
      </c>
      <c r="Y441" s="6" t="n">
        <v>0.5588119457798858</v>
      </c>
      <c r="Z441" s="6" t="n">
        <v>-1.89628009386721</v>
      </c>
      <c r="AA441" s="6" t="n">
        <v>-4.110172839291762</v>
      </c>
      <c r="AB441" s="6" t="n">
        <v>-2.251536938392923</v>
      </c>
      <c r="AC441" s="6" t="n">
        <v>-0.5072825252285784</v>
      </c>
      <c r="AD441" s="6" t="n">
        <v>-1.693672510512395</v>
      </c>
      <c r="AE441" s="6" t="n">
        <v>-2.576553578694688</v>
      </c>
      <c r="AF441" s="6" t="n">
        <v>-1.308323633842141</v>
      </c>
      <c r="AG441" s="6" t="n">
        <v>1.939346522613858</v>
      </c>
      <c r="AH441" s="6" t="n">
        <v>-0.6470008905326842</v>
      </c>
      <c r="AI441" s="6" t="n">
        <v>0.1804703231447976</v>
      </c>
      <c r="AJ441" s="6" t="n">
        <v>73.74403550952437</v>
      </c>
      <c r="AK441" s="6" t="n">
        <v>0.08827842120677158</v>
      </c>
      <c r="AL441" s="6" t="n">
        <v>1.077835621059511</v>
      </c>
      <c r="AN441" s="6" t="n">
        <v>1.338530389234011</v>
      </c>
      <c r="AO441" s="6" t="n">
        <v>1.338785703792321</v>
      </c>
      <c r="AP441" s="6" t="n">
        <v>0.1312179257217479</v>
      </c>
      <c r="AQ441" s="6" t="n">
        <v>0</v>
      </c>
      <c r="AR441" s="6" t="n">
        <v>0</v>
      </c>
    </row>
    <row r="442">
      <c r="D442" t="inlineStr">
        <is>
          <t>Run 130</t>
        </is>
      </c>
      <c r="J442" s="6" t="n">
        <v>-0.5075458108921058</v>
      </c>
      <c r="K442" s="6" t="n">
        <v>2.066352078597256</v>
      </c>
      <c r="L442" s="6" t="n">
        <v>-3.395016483435089</v>
      </c>
      <c r="M442" s="6" t="n">
        <v>-0.6925760211928432</v>
      </c>
      <c r="N442" s="6" t="n">
        <v>0.79538192607896</v>
      </c>
      <c r="O442" s="6" t="n">
        <v>-0.4391073971260635</v>
      </c>
      <c r="P442" s="6" t="n">
        <v>0.7346853317771899</v>
      </c>
      <c r="Q442" s="6" t="n">
        <v>1.424166321753571</v>
      </c>
      <c r="R442" s="6" t="n">
        <v>-4.738818085803493</v>
      </c>
      <c r="S442" s="6" t="n">
        <v>1.903003098557923</v>
      </c>
      <c r="T442" s="6" t="n">
        <v>4.830708031531959</v>
      </c>
      <c r="U442" s="6" t="n">
        <v>0.3758107010010694</v>
      </c>
      <c r="V442" s="6" t="n">
        <v>-0.5425621805556208</v>
      </c>
      <c r="W442" s="6" t="n">
        <v>-0.1962394028642173</v>
      </c>
      <c r="X442" s="6" t="n">
        <v>4.512664271444165</v>
      </c>
      <c r="Y442" s="6" t="n">
        <v>-0.643621446892665</v>
      </c>
      <c r="Z442" s="6" t="n">
        <v>2.904644560399043</v>
      </c>
      <c r="AA442" s="6" t="n">
        <v>-3.37965899074126</v>
      </c>
      <c r="AB442" s="6" t="n">
        <v>-3.447241004402776</v>
      </c>
      <c r="AC442" s="6" t="n">
        <v>2.087796891926873</v>
      </c>
      <c r="AD442" s="6" t="n">
        <v>5</v>
      </c>
      <c r="AE442" s="6" t="n">
        <v>-1.246608113511423</v>
      </c>
      <c r="AF442" s="6" t="n">
        <v>-1.304369889262205</v>
      </c>
      <c r="AG442" s="6" t="n">
        <v>3.502543436625821</v>
      </c>
      <c r="AH442" s="6" t="n">
        <v>0.8654703831663481</v>
      </c>
      <c r="AI442" s="6" t="n">
        <v>4.151902363392358</v>
      </c>
      <c r="AJ442" s="6" t="n">
        <v>71.17797567412505</v>
      </c>
      <c r="AK442" s="6" t="n">
        <v>0.07665169083138959</v>
      </c>
      <c r="AL442" s="6" t="n">
        <v>1.020202548959867</v>
      </c>
      <c r="AN442" s="6" t="n">
        <v>1.352553804536107</v>
      </c>
      <c r="AO442" s="6" t="n">
        <v>1.353003382850092</v>
      </c>
      <c r="AP442" s="6" t="n">
        <v>0.1366353686127962</v>
      </c>
      <c r="AQ442" s="6" t="n">
        <v>0</v>
      </c>
      <c r="AR442" s="6" t="n">
        <v>0</v>
      </c>
    </row>
    <row r="443">
      <c r="D443" t="inlineStr">
        <is>
          <t>Run 131</t>
        </is>
      </c>
      <c r="J443" s="6" t="n">
        <v>3.493264526256772</v>
      </c>
      <c r="K443" s="6" t="n">
        <v>0.818813854808094</v>
      </c>
      <c r="L443" s="6" t="n">
        <v>0.8700307779193687</v>
      </c>
      <c r="M443" s="6" t="n">
        <v>-4.232068179645633</v>
      </c>
      <c r="N443" s="6" t="n">
        <v>-2.570310626500161</v>
      </c>
      <c r="O443" s="6" t="n">
        <v>1.167555025949257</v>
      </c>
      <c r="P443" s="6" t="n">
        <v>-1.774738664121152</v>
      </c>
      <c r="Q443" s="6" t="n">
        <v>1.439145069597288</v>
      </c>
      <c r="R443" s="6" t="n">
        <v>-3.142700146652631</v>
      </c>
      <c r="S443" s="6" t="n">
        <v>1.24044795850811</v>
      </c>
      <c r="T443" s="6" t="n">
        <v>-0.7127241689600101</v>
      </c>
      <c r="U443" s="6" t="n">
        <v>1.705514528703363</v>
      </c>
      <c r="V443" s="6" t="n">
        <v>0.663301793240204</v>
      </c>
      <c r="W443" s="6" t="n">
        <v>-0.3880721674246177</v>
      </c>
      <c r="X443" s="6" t="n">
        <v>0.1599108100669917</v>
      </c>
      <c r="Y443" s="6" t="n">
        <v>-0.138022314123863</v>
      </c>
      <c r="Z443" s="6" t="n">
        <v>-2.219259862653497</v>
      </c>
      <c r="AA443" s="6" t="n">
        <v>-2.360134126104713</v>
      </c>
      <c r="AB443" s="6" t="n">
        <v>-4.38932800831196</v>
      </c>
      <c r="AC443" s="6" t="n">
        <v>-1.037372602082533</v>
      </c>
      <c r="AD443" s="6" t="n">
        <v>-2.261684682568737</v>
      </c>
      <c r="AE443" s="6" t="n">
        <v>-3.126032095922998</v>
      </c>
      <c r="AF443" s="6" t="n">
        <v>0.1819156149899656</v>
      </c>
      <c r="AG443" s="6" t="n">
        <v>2.669322744012497</v>
      </c>
      <c r="AH443" s="6" t="n">
        <v>-0.2467295466579266</v>
      </c>
      <c r="AI443" s="6" t="n">
        <v>-0.4028515286549504</v>
      </c>
      <c r="AJ443" s="6" t="n">
        <v>71.53611067193469</v>
      </c>
      <c r="AK443" s="6" t="n">
        <v>0.1627425347420316</v>
      </c>
      <c r="AL443" s="6" t="n">
        <v>1.027997106977985</v>
      </c>
      <c r="AN443" s="6" t="n">
        <v>1.303049430996836</v>
      </c>
      <c r="AO443" s="6" t="n">
        <v>1.307080495875391</v>
      </c>
      <c r="AP443" s="6" t="n">
        <v>0.1331131295690399</v>
      </c>
      <c r="AQ443" s="6" t="n">
        <v>0</v>
      </c>
      <c r="AR443" s="6" t="n">
        <v>0</v>
      </c>
    </row>
    <row r="444">
      <c r="D444" t="inlineStr">
        <is>
          <t>Run 132</t>
        </is>
      </c>
      <c r="J444" s="6" t="n">
        <v>0.492042621909752</v>
      </c>
      <c r="K444" s="6" t="n">
        <v>0.6969228239241634</v>
      </c>
      <c r="L444" s="6" t="n">
        <v>2.87157844832529</v>
      </c>
      <c r="M444" s="6" t="n">
        <v>0.6075152134103705</v>
      </c>
      <c r="N444" s="6" t="n">
        <v>-0.01236861252640807</v>
      </c>
      <c r="O444" s="6" t="n">
        <v>-1.535254718805604</v>
      </c>
      <c r="P444" s="6" t="n">
        <v>0.8765572879580615</v>
      </c>
      <c r="Q444" s="6" t="n">
        <v>1.582134376592172</v>
      </c>
      <c r="R444" s="6" t="n">
        <v>1.216988409260923</v>
      </c>
      <c r="S444" s="6" t="n">
        <v>4.123414308511658</v>
      </c>
      <c r="T444" s="6" t="n">
        <v>0.9512220573168607</v>
      </c>
      <c r="U444" s="6" t="n">
        <v>-3.652196443480658</v>
      </c>
      <c r="V444" s="6" t="n">
        <v>-2.07616305447015</v>
      </c>
      <c r="W444" s="6" t="n">
        <v>1.047953752940058</v>
      </c>
      <c r="X444" s="6" t="n">
        <v>2.888555284803214</v>
      </c>
      <c r="Y444" s="6" t="n">
        <v>1.717712630126086</v>
      </c>
      <c r="Z444" s="6" t="n">
        <v>-0.9203656988972486</v>
      </c>
      <c r="AA444" s="6" t="n">
        <v>-1.45284069109884</v>
      </c>
      <c r="AB444" s="6" t="n">
        <v>3.126815263775661</v>
      </c>
      <c r="AC444" s="6" t="n">
        <v>1.327839911269297</v>
      </c>
      <c r="AD444" s="6" t="n">
        <v>1.531551961401723</v>
      </c>
      <c r="AE444" s="6" t="n">
        <v>1.125321416813927</v>
      </c>
      <c r="AF444" s="6" t="n">
        <v>-0.7692589922299471</v>
      </c>
      <c r="AG444" s="6" t="n">
        <v>-2.976008538536165</v>
      </c>
      <c r="AH444" s="6" t="n">
        <v>1.337290829133532</v>
      </c>
      <c r="AI444" s="6" t="n">
        <v>-0.1594527672615051</v>
      </c>
      <c r="AJ444" s="6" t="n">
        <v>71.16142285106952</v>
      </c>
      <c r="AK444" s="6" t="n">
        <v>0.08457563914267544</v>
      </c>
      <c r="AL444" s="6" t="n">
        <v>1.062374838816465</v>
      </c>
      <c r="AN444" s="6" t="n">
        <v>1.344294519750952</v>
      </c>
      <c r="AO444" s="6" t="n">
        <v>1.344844018794396</v>
      </c>
      <c r="AP444" s="6" t="n">
        <v>0.1320545579424502</v>
      </c>
      <c r="AQ444" s="6" t="n">
        <v>0</v>
      </c>
      <c r="AR444" s="6" t="n">
        <v>0</v>
      </c>
    </row>
    <row r="445">
      <c r="D445" t="inlineStr">
        <is>
          <t>Run 133</t>
        </is>
      </c>
      <c r="J445" s="6" t="n">
        <v>-0.229104946140441</v>
      </c>
      <c r="K445" s="6" t="n">
        <v>-2.244014289733303</v>
      </c>
      <c r="L445" s="6" t="n">
        <v>0.4245244826131224</v>
      </c>
      <c r="M445" s="6" t="n">
        <v>2.096285687314944</v>
      </c>
      <c r="N445" s="6" t="n">
        <v>-0.05392478859253985</v>
      </c>
      <c r="O445" s="6" t="n">
        <v>-3.778220264460959</v>
      </c>
      <c r="P445" s="6" t="n">
        <v>5</v>
      </c>
      <c r="Q445" s="6" t="n">
        <v>1.621883541428677</v>
      </c>
      <c r="R445" s="6" t="n">
        <v>-2.258984756895367</v>
      </c>
      <c r="S445" s="6" t="n">
        <v>-1.831352206219233</v>
      </c>
      <c r="T445" s="6" t="n">
        <v>2.486998981358769</v>
      </c>
      <c r="U445" s="6" t="n">
        <v>-0.3263651817283269</v>
      </c>
      <c r="V445" s="6" t="n">
        <v>-0.4668137691465295</v>
      </c>
      <c r="W445" s="6" t="n">
        <v>2.832304574950062</v>
      </c>
      <c r="X445" s="6" t="n">
        <v>0.9491705097743613</v>
      </c>
      <c r="Y445" s="6" t="n">
        <v>2.272643778008372</v>
      </c>
      <c r="Z445" s="6" t="n">
        <v>3.11339705310103</v>
      </c>
      <c r="AA445" s="6" t="n">
        <v>0.0007874841552773752</v>
      </c>
      <c r="AB445" s="6" t="n">
        <v>0.01728830040026557</v>
      </c>
      <c r="AC445" s="6" t="n">
        <v>3.782480361095201</v>
      </c>
      <c r="AD445" s="6" t="n">
        <v>0.6599818652317945</v>
      </c>
      <c r="AE445" s="6" t="n">
        <v>-2.338590809447314</v>
      </c>
      <c r="AF445" s="6" t="n">
        <v>-5.577514823838574</v>
      </c>
      <c r="AG445" s="6" t="n">
        <v>1.736409625330518</v>
      </c>
      <c r="AH445" s="6" t="n">
        <v>-2.405514159311361</v>
      </c>
      <c r="AI445" s="6" t="n">
        <v>-2.868727675838242</v>
      </c>
      <c r="AJ445" s="6" t="n">
        <v>71.52610932480215</v>
      </c>
      <c r="AK445" s="6" t="n">
        <v>0.1426379377241051</v>
      </c>
      <c r="AL445" s="6" t="n">
        <v>1.04009574030417</v>
      </c>
      <c r="AN445" s="6" t="n">
        <v>1.343993969025222</v>
      </c>
      <c r="AO445" s="6" t="n">
        <v>1.345954433812763</v>
      </c>
      <c r="AP445" s="6" t="n">
        <v>0.1329471586454633</v>
      </c>
      <c r="AQ445" s="6" t="n">
        <v>0</v>
      </c>
      <c r="AR445" s="6" t="n">
        <v>0</v>
      </c>
    </row>
    <row r="446">
      <c r="D446" t="inlineStr">
        <is>
          <t>Run 134</t>
        </is>
      </c>
      <c r="J446" s="6" t="n">
        <v>3.833698424117032</v>
      </c>
      <c r="K446" s="6" t="n">
        <v>0.3042051905560055</v>
      </c>
      <c r="L446" s="6" t="n">
        <v>-2.081368502561256</v>
      </c>
      <c r="M446" s="6" t="n">
        <v>4.91035492523428</v>
      </c>
      <c r="N446" s="6" t="n">
        <v>-2.616935443603412</v>
      </c>
      <c r="O446" s="6" t="n">
        <v>-2.464258619814151</v>
      </c>
      <c r="P446" s="6" t="n">
        <v>-0.2404850019711326</v>
      </c>
      <c r="Q446" s="6" t="n">
        <v>0.03728605845318268</v>
      </c>
      <c r="R446" s="6" t="n">
        <v>1.859714846918987</v>
      </c>
      <c r="S446" s="6" t="n">
        <v>-2.162986853577935</v>
      </c>
      <c r="T446" s="6" t="n">
        <v>0.1211796481205898</v>
      </c>
      <c r="U446" s="6" t="n">
        <v>0.6383406686670948</v>
      </c>
      <c r="V446" s="6" t="n">
        <v>0.6230043157864569</v>
      </c>
      <c r="W446" s="6" t="n">
        <v>1.455052053747142</v>
      </c>
      <c r="X446" s="6" t="n">
        <v>-2.878465607313116</v>
      </c>
      <c r="Y446" s="6" t="n">
        <v>1.256658213070765</v>
      </c>
      <c r="Z446" s="6" t="n">
        <v>-0.7002644780283882</v>
      </c>
      <c r="AA446" s="6" t="n">
        <v>-1.664814809935382</v>
      </c>
      <c r="AB446" s="6" t="n">
        <v>2.689176541394062</v>
      </c>
      <c r="AC446" s="6" t="n">
        <v>-1.277156157826717</v>
      </c>
      <c r="AD446" s="6" t="n">
        <v>-2.841225833816281</v>
      </c>
      <c r="AE446" s="6" t="n">
        <v>0.9600809627427846</v>
      </c>
      <c r="AF446" s="6" t="n">
        <v>0.4484120639466441</v>
      </c>
      <c r="AG446" s="6" t="n">
        <v>-1.238580608851878</v>
      </c>
      <c r="AH446" s="6" t="n">
        <v>0.8079517654020683</v>
      </c>
      <c r="AI446" s="6" t="n">
        <v>3.247731461677671</v>
      </c>
      <c r="AJ446" s="6" t="n">
        <v>81.12008961006855</v>
      </c>
      <c r="AK446" s="6" t="n">
        <v>0.1393644215874537</v>
      </c>
      <c r="AL446" s="6" t="n">
        <v>1.064651139575574</v>
      </c>
      <c r="AN446" s="6" t="n">
        <v>1.341221386632503</v>
      </c>
      <c r="AO446" s="6" t="n">
        <v>1.342128899663746</v>
      </c>
      <c r="AP446" s="6" t="n">
        <v>0.1314597497843334</v>
      </c>
      <c r="AQ446" s="6" t="n">
        <v>0</v>
      </c>
      <c r="AR446" s="6" t="n">
        <v>0</v>
      </c>
    </row>
    <row r="447">
      <c r="D447" t="inlineStr">
        <is>
          <t>Run 135</t>
        </is>
      </c>
      <c r="J447" s="6" t="n">
        <v>-0.1157695020341671</v>
      </c>
      <c r="K447" s="6" t="n">
        <v>-3.114145579896438</v>
      </c>
      <c r="L447" s="6" t="n">
        <v>2.440801962642646</v>
      </c>
      <c r="M447" s="6" t="n">
        <v>-0.9800868062557062</v>
      </c>
      <c r="N447" s="6" t="n">
        <v>4.33954207546549</v>
      </c>
      <c r="O447" s="6" t="n">
        <v>-1.086821984573466</v>
      </c>
      <c r="P447" s="6" t="n">
        <v>-3.524671624982545</v>
      </c>
      <c r="Q447" s="6" t="n">
        <v>-2.005500111185457</v>
      </c>
      <c r="R447" s="6" t="n">
        <v>-0.3241737182346889</v>
      </c>
      <c r="S447" s="6" t="n">
        <v>-1.32863053037627</v>
      </c>
      <c r="T447" s="6" t="n">
        <v>1.9454093305391</v>
      </c>
      <c r="U447" s="6" t="n">
        <v>0.7376542702148507</v>
      </c>
      <c r="V447" s="6" t="n">
        <v>-1.22287229386508</v>
      </c>
      <c r="W447" s="6" t="n">
        <v>-2.763705767485884</v>
      </c>
      <c r="X447" s="6" t="n">
        <v>0.3375485781636763</v>
      </c>
      <c r="Y447" s="6" t="n">
        <v>2.24106175935369</v>
      </c>
      <c r="Z447" s="6" t="n">
        <v>3.78202898888009</v>
      </c>
      <c r="AA447" s="6" t="n">
        <v>-0.4558965669175584</v>
      </c>
      <c r="AB447" s="6" t="n">
        <v>0.4490714596964839</v>
      </c>
      <c r="AC447" s="6" t="n">
        <v>-0.02974897104757578</v>
      </c>
      <c r="AD447" s="6" t="n">
        <v>-0.6361555557450641</v>
      </c>
      <c r="AE447" s="6" t="n">
        <v>1.242697190203396</v>
      </c>
      <c r="AF447" s="6" t="n">
        <v>4.880104659752251</v>
      </c>
      <c r="AG447" s="6" t="n">
        <v>-1.995213072987851</v>
      </c>
      <c r="AH447" s="6" t="n">
        <v>1.497508984283026</v>
      </c>
      <c r="AI447" s="6" t="n">
        <v>-3.124920174855172</v>
      </c>
      <c r="AJ447" s="6" t="n">
        <v>74.64654911583763</v>
      </c>
      <c r="AK447" s="6" t="n">
        <v>0.1339123179504574</v>
      </c>
      <c r="AL447" s="6" t="n">
        <v>1.137519587883824</v>
      </c>
      <c r="AN447" s="6" t="n">
        <v>1.321208157671915</v>
      </c>
      <c r="AO447" s="6" t="n">
        <v>1.3216746725977</v>
      </c>
      <c r="AP447" s="6" t="n">
        <v>0.1273704364007094</v>
      </c>
      <c r="AQ447" s="6" t="n">
        <v>0</v>
      </c>
      <c r="AR447" s="6" t="n">
        <v>0</v>
      </c>
    </row>
    <row r="448">
      <c r="D448" t="inlineStr">
        <is>
          <t>Run 136</t>
        </is>
      </c>
      <c r="J448" s="6" t="n">
        <v>-2.101612378147922</v>
      </c>
      <c r="K448" s="6" t="n">
        <v>0.6261733823195271</v>
      </c>
      <c r="L448" s="6" t="n">
        <v>3.992589557998127</v>
      </c>
      <c r="M448" s="6" t="n">
        <v>2.218061391916504</v>
      </c>
      <c r="N448" s="6" t="n">
        <v>-0.2658583850665224</v>
      </c>
      <c r="O448" s="6" t="n">
        <v>-1.821392776601504</v>
      </c>
      <c r="P448" s="6" t="n">
        <v>1.141191596495313</v>
      </c>
      <c r="Q448" s="6" t="n">
        <v>0.1030697386463741</v>
      </c>
      <c r="R448" s="6" t="n">
        <v>-4.167959770549161</v>
      </c>
      <c r="S448" s="6" t="n">
        <v>-1.948534220024492</v>
      </c>
      <c r="T448" s="6" t="n">
        <v>-0.9615398903211998</v>
      </c>
      <c r="U448" s="6" t="n">
        <v>-2.017023646337247</v>
      </c>
      <c r="V448" s="6" t="n">
        <v>0.0718103035829679</v>
      </c>
      <c r="W448" s="6" t="n">
        <v>0.3786630153183477</v>
      </c>
      <c r="X448" s="6" t="n">
        <v>0.6804782039596204</v>
      </c>
      <c r="Y448" s="6" t="n">
        <v>-0.334172714185291</v>
      </c>
      <c r="Z448" s="6" t="n">
        <v>1.229821208239193</v>
      </c>
      <c r="AA448" s="6" t="n">
        <v>2.877983151484357</v>
      </c>
      <c r="AB448" s="6" t="n">
        <v>1.806176009916072</v>
      </c>
      <c r="AC448" s="6" t="n">
        <v>-3.690573325530616</v>
      </c>
      <c r="AD448" s="6" t="n">
        <v>-1.418268127413664</v>
      </c>
      <c r="AE448" s="6" t="n">
        <v>-3.059515301330586</v>
      </c>
      <c r="AF448" s="6" t="n">
        <v>0.3047757860213328</v>
      </c>
      <c r="AG448" s="6" t="n">
        <v>-0.4477966388826315</v>
      </c>
      <c r="AH448" s="6" t="n">
        <v>-2.761899480007903</v>
      </c>
      <c r="AI448" s="6" t="n">
        <v>-2.653921062189244</v>
      </c>
      <c r="AJ448" s="6" t="n">
        <v>77.37503010181867</v>
      </c>
      <c r="AK448" s="6" t="n">
        <v>0.1126143159278837</v>
      </c>
      <c r="AL448" s="6" t="n">
        <v>1.057477080954273</v>
      </c>
      <c r="AN448" s="6" t="n">
        <v>1.346745786400711</v>
      </c>
      <c r="AO448" s="6" t="n">
        <v>1.346955432218776</v>
      </c>
      <c r="AP448" s="6" t="n">
        <v>0.1322816299038389</v>
      </c>
      <c r="AQ448" s="6" t="n">
        <v>0</v>
      </c>
      <c r="AR448" s="6" t="n">
        <v>0</v>
      </c>
    </row>
    <row r="449">
      <c r="D449" t="inlineStr">
        <is>
          <t>Run 137</t>
        </is>
      </c>
      <c r="J449" s="6" t="n">
        <v>0.1120660284959425</v>
      </c>
      <c r="K449" s="6" t="n">
        <v>1.886573671804164</v>
      </c>
      <c r="L449" s="6" t="n">
        <v>2.469577275502499</v>
      </c>
      <c r="M449" s="6" t="n">
        <v>1.926947392533124</v>
      </c>
      <c r="N449" s="6" t="n">
        <v>-2.793150108651527</v>
      </c>
      <c r="O449" s="6" t="n">
        <v>0.962689783124251</v>
      </c>
      <c r="P449" s="6" t="n">
        <v>-1.436967729167039</v>
      </c>
      <c r="Q449" s="6" t="n">
        <v>-1.800950267281105</v>
      </c>
      <c r="R449" s="6" t="n">
        <v>0.1034935615501151</v>
      </c>
      <c r="S449" s="6" t="n">
        <v>-1.412527601288918</v>
      </c>
      <c r="T449" s="6" t="n">
        <v>-1.106527694382939</v>
      </c>
      <c r="U449" s="6" t="n">
        <v>2.102414700503084</v>
      </c>
      <c r="V449" s="6" t="n">
        <v>-0.3967702691311704</v>
      </c>
      <c r="W449" s="6" t="n">
        <v>0.4146687407921852</v>
      </c>
      <c r="X449" s="6" t="n">
        <v>-3.279882913068149</v>
      </c>
      <c r="Y449" s="6" t="n">
        <v>3.185077672454767</v>
      </c>
      <c r="Z449" s="6" t="n">
        <v>0.2135913786196222</v>
      </c>
      <c r="AA449" s="6" t="n">
        <v>3.339430780680625</v>
      </c>
      <c r="AB449" s="6" t="n">
        <v>2.126264695196104</v>
      </c>
      <c r="AC449" s="6" t="n">
        <v>3.412345760873845</v>
      </c>
      <c r="AD449" s="6" t="n">
        <v>0.197261612824853</v>
      </c>
      <c r="AE449" s="6" t="n">
        <v>-0.3114388704408413</v>
      </c>
      <c r="AF449" s="6" t="n">
        <v>-4.638818227402672</v>
      </c>
      <c r="AG449" s="6" t="n">
        <v>2.902441300037888</v>
      </c>
      <c r="AH449" s="6" t="n">
        <v>0.4780250812730568</v>
      </c>
      <c r="AI449" s="6" t="n">
        <v>-1.816699149427246</v>
      </c>
      <c r="AJ449" s="6" t="n">
        <v>73.65891476584369</v>
      </c>
      <c r="AK449" s="6" t="n">
        <v>0.1587938045289896</v>
      </c>
      <c r="AL449" s="6" t="n">
        <v>1.101652971460074</v>
      </c>
      <c r="AN449" s="6" t="n">
        <v>1.324065260801973</v>
      </c>
      <c r="AO449" s="6" t="n">
        <v>1.324214894796419</v>
      </c>
      <c r="AP449" s="6" t="n">
        <v>0.1280990844082252</v>
      </c>
      <c r="AQ449" s="6" t="n">
        <v>0</v>
      </c>
      <c r="AR449" s="6" t="n">
        <v>0</v>
      </c>
    </row>
    <row r="450">
      <c r="D450" t="inlineStr">
        <is>
          <t>Run 138</t>
        </is>
      </c>
      <c r="J450" s="6" t="n">
        <v>-1.17903486278398</v>
      </c>
      <c r="K450" s="6" t="n">
        <v>5</v>
      </c>
      <c r="L450" s="6" t="n">
        <v>-1.893748143278916</v>
      </c>
      <c r="M450" s="6" t="n">
        <v>-3.61452886565979</v>
      </c>
      <c r="N450" s="6" t="n">
        <v>0.07099440382649605</v>
      </c>
      <c r="O450" s="6" t="n">
        <v>2.902756968086896</v>
      </c>
      <c r="P450" s="6" t="n">
        <v>-0.3011896131862606</v>
      </c>
      <c r="Q450" s="6" t="n">
        <v>-1.768820370155851</v>
      </c>
      <c r="R450" s="6" t="n">
        <v>-1.231267472022015</v>
      </c>
      <c r="S450" s="6" t="n">
        <v>-2.016983760246294</v>
      </c>
      <c r="T450" s="6" t="n">
        <v>1.318674029296031</v>
      </c>
      <c r="U450" s="6" t="n">
        <v>2.282863242337531</v>
      </c>
      <c r="V450" s="6" t="n">
        <v>2.764494615668539</v>
      </c>
      <c r="W450" s="6" t="n">
        <v>-0.4705544183818416</v>
      </c>
      <c r="X450" s="6" t="n">
        <v>2.348226985140737</v>
      </c>
      <c r="Y450" s="6" t="n">
        <v>0.3089871852381084</v>
      </c>
      <c r="Z450" s="6" t="n">
        <v>0.3233486980651601</v>
      </c>
      <c r="AA450" s="6" t="n">
        <v>-1.462747630408582</v>
      </c>
      <c r="AB450" s="6" t="n">
        <v>0.4554435834687137</v>
      </c>
      <c r="AC450" s="6" t="n">
        <v>-3.766047858462938</v>
      </c>
      <c r="AD450" s="6" t="n">
        <v>3.684310092193203</v>
      </c>
      <c r="AE450" s="6" t="n">
        <v>-0.08061929701544428</v>
      </c>
      <c r="AF450" s="6" t="n">
        <v>0.4035493221041883</v>
      </c>
      <c r="AG450" s="6" t="n">
        <v>1.644520599205843</v>
      </c>
      <c r="AH450" s="6" t="n">
        <v>0.955424040363173</v>
      </c>
      <c r="AI450" s="6" t="n">
        <v>-0.7091424026455738</v>
      </c>
      <c r="AJ450" s="6" t="n">
        <v>77.93077221923103</v>
      </c>
      <c r="AK450" s="6" t="n">
        <v>0.1738158274105929</v>
      </c>
      <c r="AL450" s="6" t="n">
        <v>1.085466242662745</v>
      </c>
      <c r="AN450" s="6" t="n">
        <v>1.297132844479144</v>
      </c>
      <c r="AO450" s="6" t="n">
        <v>1.306261726710766</v>
      </c>
      <c r="AP450" s="6" t="n">
        <v>0.1282070687094226</v>
      </c>
      <c r="AQ450" s="6" t="n">
        <v>0</v>
      </c>
      <c r="AR450" s="6" t="n">
        <v>0</v>
      </c>
    </row>
    <row r="451">
      <c r="D451" t="inlineStr">
        <is>
          <t>Run 139</t>
        </is>
      </c>
      <c r="J451" s="6" t="n">
        <v>-1.864339521106709</v>
      </c>
      <c r="K451" s="6" t="n">
        <v>2.001509954342211</v>
      </c>
      <c r="L451" s="6" t="n">
        <v>1.865867384811105</v>
      </c>
      <c r="M451" s="6" t="n">
        <v>-1.608005179540028</v>
      </c>
      <c r="N451" s="6" t="n">
        <v>-0.04372370034922492</v>
      </c>
      <c r="O451" s="6" t="n">
        <v>-0.8187566070165064</v>
      </c>
      <c r="P451" s="6" t="n">
        <v>1.197032502223478</v>
      </c>
      <c r="Q451" s="6" t="n">
        <v>1.039874801153567</v>
      </c>
      <c r="R451" s="6" t="n">
        <v>-2.86536334132405</v>
      </c>
      <c r="S451" s="6" t="n">
        <v>-0.04167597157899688</v>
      </c>
      <c r="T451" s="6" t="n">
        <v>-0.3063358507392962</v>
      </c>
      <c r="U451" s="6" t="n">
        <v>-1.106011465828096</v>
      </c>
      <c r="V451" s="6" t="n">
        <v>1.649128869109612</v>
      </c>
      <c r="W451" s="6" t="n">
        <v>-3.39846544488251</v>
      </c>
      <c r="X451" s="6" t="n">
        <v>-0.4896484364819229</v>
      </c>
      <c r="Y451" s="6" t="n">
        <v>-2.606266019269493</v>
      </c>
      <c r="Z451" s="6" t="n">
        <v>-0.7475235249789821</v>
      </c>
      <c r="AA451" s="6" t="n">
        <v>-2.666036670354465</v>
      </c>
      <c r="AB451" s="6" t="n">
        <v>2.007748205772109</v>
      </c>
      <c r="AC451" s="6" t="n">
        <v>-0.1000858094385786</v>
      </c>
      <c r="AD451" s="6" t="n">
        <v>2.971892096046834</v>
      </c>
      <c r="AE451" s="6" t="n">
        <v>-0.1532656432087929</v>
      </c>
      <c r="AF451" s="6" t="n">
        <v>1.376697516077018</v>
      </c>
      <c r="AG451" s="6" t="n">
        <v>-1.116891175785585</v>
      </c>
      <c r="AH451" s="6" t="n">
        <v>2.168547597652372</v>
      </c>
      <c r="AI451" s="6" t="n">
        <v>3.566772573742002</v>
      </c>
      <c r="AJ451" s="6" t="n">
        <v>76.00906196662487</v>
      </c>
      <c r="AK451" s="6" t="n">
        <v>0.09852787981882827</v>
      </c>
      <c r="AL451" s="6" t="n">
        <v>1.01787692574568</v>
      </c>
      <c r="AN451" s="6" t="n">
        <v>1.351699530188265</v>
      </c>
      <c r="AO451" s="6" t="n">
        <v>1.356416927917419</v>
      </c>
      <c r="AP451" s="6" t="n">
        <v>0.1367575024078432</v>
      </c>
      <c r="AQ451" s="6" t="n">
        <v>0</v>
      </c>
      <c r="AR451" s="6" t="n">
        <v>0</v>
      </c>
    </row>
    <row r="452">
      <c r="D452" t="inlineStr">
        <is>
          <t>Run 140</t>
        </is>
      </c>
      <c r="J452" s="6" t="n">
        <v>-0.5977300604642189</v>
      </c>
      <c r="K452" s="6" t="n">
        <v>-1.074152433633111</v>
      </c>
      <c r="L452" s="6" t="n">
        <v>-0.4407186038020824</v>
      </c>
      <c r="M452" s="6" t="n">
        <v>1.606535078920529</v>
      </c>
      <c r="N452" s="6" t="n">
        <v>0.8749311279397998</v>
      </c>
      <c r="O452" s="6" t="n">
        <v>3.704599858596438</v>
      </c>
      <c r="P452" s="6" t="n">
        <v>-0.5397265739034417</v>
      </c>
      <c r="Q452" s="6" t="n">
        <v>-1.155080147081829</v>
      </c>
      <c r="R452" s="6" t="n">
        <v>-0.1720947046494037</v>
      </c>
      <c r="S452" s="6" t="n">
        <v>-2.562266893466725</v>
      </c>
      <c r="T452" s="6" t="n">
        <v>-1.027403579359383</v>
      </c>
      <c r="U452" s="6" t="n">
        <v>-1.788093083938294</v>
      </c>
      <c r="V452" s="6" t="n">
        <v>-1.11128543557459</v>
      </c>
      <c r="W452" s="6" t="n">
        <v>0.8102892022435061</v>
      </c>
      <c r="X452" s="6" t="n">
        <v>1.356356996504994</v>
      </c>
      <c r="Y452" s="6" t="n">
        <v>0.6081737838831988</v>
      </c>
      <c r="Z452" s="6" t="n">
        <v>2.21953492511399</v>
      </c>
      <c r="AA452" s="6" t="n">
        <v>-1.036820893290539</v>
      </c>
      <c r="AB452" s="6" t="n">
        <v>-0.09476844898201128</v>
      </c>
      <c r="AC452" s="6" t="n">
        <v>1.984454421828506</v>
      </c>
      <c r="AD452" s="6" t="n">
        <v>-0.07348178163564997</v>
      </c>
      <c r="AE452" s="6" t="n">
        <v>-2.353191787978665</v>
      </c>
      <c r="AF452" s="6" t="n">
        <v>-0.8262247868188053</v>
      </c>
      <c r="AG452" s="6" t="n">
        <v>-4.542158625551566</v>
      </c>
      <c r="AH452" s="6" t="n">
        <v>-1.209216978992604</v>
      </c>
      <c r="AI452" s="6" t="n">
        <v>1.382300749285151</v>
      </c>
      <c r="AJ452" s="6" t="n">
        <v>71.99819677964213</v>
      </c>
      <c r="AK452" s="6" t="n">
        <v>0.1302226270900165</v>
      </c>
      <c r="AL452" s="6" t="n">
        <v>1.072249505965922</v>
      </c>
      <c r="AN452" s="6" t="n">
        <v>1.336058913528058</v>
      </c>
      <c r="AO452" s="6" t="n">
        <v>1.336444462877902</v>
      </c>
      <c r="AP452" s="6" t="n">
        <v>0.1303899561239215</v>
      </c>
      <c r="AQ452" s="6" t="n">
        <v>0</v>
      </c>
      <c r="AR452" s="6" t="n">
        <v>0</v>
      </c>
    </row>
    <row r="453">
      <c r="D453" t="inlineStr">
        <is>
          <t>Run 141</t>
        </is>
      </c>
      <c r="J453" s="6" t="n">
        <v>-1.36338365675714</v>
      </c>
      <c r="K453" s="6" t="n">
        <v>-0.02631754571856331</v>
      </c>
      <c r="L453" s="6" t="n">
        <v>0.8702044222187509</v>
      </c>
      <c r="M453" s="6" t="n">
        <v>-2.746188401226565</v>
      </c>
      <c r="N453" s="6" t="n">
        <v>-0.3061692903723261</v>
      </c>
      <c r="O453" s="6" t="n">
        <v>-0.3465057312948663</v>
      </c>
      <c r="P453" s="6" t="n">
        <v>-1.397750205082194</v>
      </c>
      <c r="Q453" s="6" t="n">
        <v>0.1121513980789998</v>
      </c>
      <c r="R453" s="6" t="n">
        <v>-0.7458738259859304</v>
      </c>
      <c r="S453" s="6" t="n">
        <v>-0.874049065280362</v>
      </c>
      <c r="T453" s="6" t="n">
        <v>0.125454666682196</v>
      </c>
      <c r="U453" s="6" t="n">
        <v>0.4510590096673951</v>
      </c>
      <c r="V453" s="6" t="n">
        <v>-0.654266395830947</v>
      </c>
      <c r="W453" s="6" t="n">
        <v>-2.317913276815255</v>
      </c>
      <c r="X453" s="6" t="n">
        <v>-1.837795129020383</v>
      </c>
      <c r="Y453" s="6" t="n">
        <v>2.478691074816013</v>
      </c>
      <c r="Z453" s="6" t="n">
        <v>-1.265709334634959</v>
      </c>
      <c r="AA453" s="6" t="n">
        <v>2.913867351438668</v>
      </c>
      <c r="AB453" s="6" t="n">
        <v>3.00206038201444</v>
      </c>
      <c r="AC453" s="6" t="n">
        <v>0.8945011102096148</v>
      </c>
      <c r="AD453" s="6" t="n">
        <v>-2.074070789379571</v>
      </c>
      <c r="AE453" s="6" t="n">
        <v>-3.894323049678867</v>
      </c>
      <c r="AF453" s="6" t="n">
        <v>-2.550051128807798</v>
      </c>
      <c r="AG453" s="6" t="n">
        <v>1.688310538824453</v>
      </c>
      <c r="AH453" s="6" t="n">
        <v>1.284351343885646</v>
      </c>
      <c r="AI453" s="6" t="n">
        <v>-0.6970708441841768</v>
      </c>
      <c r="AJ453" s="6" t="n">
        <v>83.84434527038995</v>
      </c>
      <c r="AK453" s="6" t="n">
        <v>0.1669789328096302</v>
      </c>
      <c r="AL453" s="6" t="n">
        <v>1.071045794114913</v>
      </c>
      <c r="AN453" s="6" t="n">
        <v>1.315559694817249</v>
      </c>
      <c r="AO453" s="6" t="n">
        <v>1.323398268491223</v>
      </c>
      <c r="AP453" s="6" t="n">
        <v>0.1300810991303108</v>
      </c>
      <c r="AQ453" s="6" t="n">
        <v>0</v>
      </c>
      <c r="AR453" s="6" t="n">
        <v>0</v>
      </c>
    </row>
    <row r="454">
      <c r="D454" t="inlineStr">
        <is>
          <t>Run 142</t>
        </is>
      </c>
      <c r="J454" s="6" t="n">
        <v>0.2750532256992436</v>
      </c>
      <c r="K454" s="6" t="n">
        <v>1.739959861394942</v>
      </c>
      <c r="L454" s="6" t="n">
        <v>-1.529368998995254</v>
      </c>
      <c r="M454" s="6" t="n">
        <v>-1.203654316799</v>
      </c>
      <c r="N454" s="6" t="n">
        <v>-0.2606899122264744</v>
      </c>
      <c r="O454" s="6" t="n">
        <v>-2.926559779002241</v>
      </c>
      <c r="P454" s="6" t="n">
        <v>0.1523133153405918</v>
      </c>
      <c r="Q454" s="6" t="n">
        <v>1.282033961686212</v>
      </c>
      <c r="R454" s="6" t="n">
        <v>-2.59519497309734</v>
      </c>
      <c r="S454" s="6" t="n">
        <v>-2.721555330987834</v>
      </c>
      <c r="T454" s="6" t="n">
        <v>2.054455382039357</v>
      </c>
      <c r="U454" s="6" t="n">
        <v>-0.1835430085805258</v>
      </c>
      <c r="V454" s="6" t="n">
        <v>1.780602182321129</v>
      </c>
      <c r="W454" s="6" t="n">
        <v>3.033121261498398</v>
      </c>
      <c r="X454" s="6" t="n">
        <v>-0.9433984152528541</v>
      </c>
      <c r="Y454" s="6" t="n">
        <v>-2.8785339622608</v>
      </c>
      <c r="Z454" s="6" t="n">
        <v>1.597098310999428</v>
      </c>
      <c r="AA454" s="6" t="n">
        <v>-1.077517410167677</v>
      </c>
      <c r="AB454" s="6" t="n">
        <v>-0.4322916336678317</v>
      </c>
      <c r="AC454" s="6" t="n">
        <v>-1.534802447581391</v>
      </c>
      <c r="AD454" s="6" t="n">
        <v>-0.08045944734329424</v>
      </c>
      <c r="AE454" s="6" t="n">
        <v>-2.436600000790586</v>
      </c>
      <c r="AF454" s="6" t="n">
        <v>2.331090199158916</v>
      </c>
      <c r="AG454" s="6" t="n">
        <v>-1.295516337516332</v>
      </c>
      <c r="AH454" s="6" t="n">
        <v>1.774545330770101</v>
      </c>
      <c r="AI454" s="6" t="n">
        <v>0.6774988664824924</v>
      </c>
      <c r="AJ454" s="6" t="n">
        <v>72.16892137078736</v>
      </c>
      <c r="AK454" s="6" t="n">
        <v>0.09083621347270196</v>
      </c>
      <c r="AL454" s="6" t="n">
        <v>1.039968515253419</v>
      </c>
      <c r="AN454" s="6" t="n">
        <v>1.347274906388404</v>
      </c>
      <c r="AO454" s="6" t="n">
        <v>1.349095654750791</v>
      </c>
      <c r="AP454" s="6" t="n">
        <v>0.1340740922567801</v>
      </c>
      <c r="AQ454" s="6" t="n">
        <v>0</v>
      </c>
      <c r="AR454" s="6" t="n">
        <v>0</v>
      </c>
    </row>
    <row r="455">
      <c r="D455" t="inlineStr">
        <is>
          <t>Run 143</t>
        </is>
      </c>
      <c r="J455" s="6" t="n">
        <v>-2.548285575095175</v>
      </c>
      <c r="K455" s="6" t="n">
        <v>0.04576342872958271</v>
      </c>
      <c r="L455" s="6" t="n">
        <v>0.240425755622836</v>
      </c>
      <c r="M455" s="6" t="n">
        <v>-2.53151271450186</v>
      </c>
      <c r="N455" s="6" t="n">
        <v>1.575799604274271</v>
      </c>
      <c r="O455" s="6" t="n">
        <v>1.262714137789942</v>
      </c>
      <c r="P455" s="6" t="n">
        <v>1.71103692344308</v>
      </c>
      <c r="Q455" s="6" t="n">
        <v>-3.437719170243276</v>
      </c>
      <c r="R455" s="6" t="n">
        <v>-4.035237257962519</v>
      </c>
      <c r="S455" s="6" t="n">
        <v>-0.5151267533760793</v>
      </c>
      <c r="T455" s="6" t="n">
        <v>2.909405136834134</v>
      </c>
      <c r="U455" s="6" t="n">
        <v>-4.894986007095413</v>
      </c>
      <c r="V455" s="6" t="n">
        <v>1.470663076584832</v>
      </c>
      <c r="W455" s="6" t="n">
        <v>3.167644578866857</v>
      </c>
      <c r="X455" s="6" t="n">
        <v>-1.479031833854772</v>
      </c>
      <c r="Y455" s="6" t="n">
        <v>-0.6107205929232578</v>
      </c>
      <c r="Z455" s="6" t="n">
        <v>3.150742006314173</v>
      </c>
      <c r="AA455" s="6" t="n">
        <v>0.05449217949720154</v>
      </c>
      <c r="AB455" s="6" t="n">
        <v>-0.8138298122426536</v>
      </c>
      <c r="AC455" s="6" t="n">
        <v>2.402753139783789</v>
      </c>
      <c r="AD455" s="6" t="n">
        <v>1.893042124396472</v>
      </c>
      <c r="AE455" s="6" t="n">
        <v>1.035723002441886</v>
      </c>
      <c r="AF455" s="6" t="n">
        <v>-1.614516280168508</v>
      </c>
      <c r="AG455" s="6" t="n">
        <v>-1.573040447916927</v>
      </c>
      <c r="AH455" s="6" t="n">
        <v>-2.653835735451487</v>
      </c>
      <c r="AI455" s="6" t="n">
        <v>-2.072367132455177</v>
      </c>
      <c r="AJ455" s="6" t="n">
        <v>78.90265125909529</v>
      </c>
      <c r="AK455" s="6" t="n">
        <v>0.07656766571680412</v>
      </c>
      <c r="AL455" s="6" t="n">
        <v>0.9770703416465373</v>
      </c>
      <c r="AN455" s="6" t="n">
        <v>1.359563857492862</v>
      </c>
      <c r="AO455" s="6" t="n">
        <v>1.367559690734272</v>
      </c>
      <c r="AP455" s="6" t="n">
        <v>0.1448685585187502</v>
      </c>
      <c r="AQ455" s="6" t="n">
        <v>0</v>
      </c>
      <c r="AR455" s="6" t="n">
        <v>0</v>
      </c>
    </row>
    <row r="456">
      <c r="D456" t="inlineStr">
        <is>
          <t>Run 144</t>
        </is>
      </c>
      <c r="J456" s="6" t="n">
        <v>-1.335657034379506</v>
      </c>
      <c r="K456" s="6" t="n">
        <v>1.41714172905106</v>
      </c>
      <c r="L456" s="6" t="n">
        <v>-0.1365220988989842</v>
      </c>
      <c r="M456" s="6" t="n">
        <v>-2.368266029947736</v>
      </c>
      <c r="N456" s="6" t="n">
        <v>1.056811700126413</v>
      </c>
      <c r="O456" s="6" t="n">
        <v>2.026828599588151</v>
      </c>
      <c r="P456" s="6" t="n">
        <v>2.157439722733428</v>
      </c>
      <c r="Q456" s="6" t="n">
        <v>-0.3653010544409571</v>
      </c>
      <c r="R456" s="6" t="n">
        <v>-2.650110810659219</v>
      </c>
      <c r="S456" s="6" t="n">
        <v>-0.5347621443409644</v>
      </c>
      <c r="T456" s="6" t="n">
        <v>-0.1941710032914225</v>
      </c>
      <c r="U456" s="6" t="n">
        <v>0.8489833772669475</v>
      </c>
      <c r="V456" s="6" t="n">
        <v>1.093905437427331</v>
      </c>
      <c r="W456" s="6" t="n">
        <v>-3.096188064892893</v>
      </c>
      <c r="X456" s="6" t="n">
        <v>-0.2247073531276313</v>
      </c>
      <c r="Y456" s="6" t="n">
        <v>0.8180034863760304</v>
      </c>
      <c r="Z456" s="6" t="n">
        <v>2.232522223205941</v>
      </c>
      <c r="AA456" s="6" t="n">
        <v>-0.6619589319604119</v>
      </c>
      <c r="AB456" s="6" t="n">
        <v>0.1290274092329577</v>
      </c>
      <c r="AC456" s="6" t="n">
        <v>2.962683362212748</v>
      </c>
      <c r="AD456" s="6" t="n">
        <v>-1.427792168732891</v>
      </c>
      <c r="AE456" s="6" t="n">
        <v>2.02134864412855</v>
      </c>
      <c r="AF456" s="6" t="n">
        <v>0.6798118533410725</v>
      </c>
      <c r="AG456" s="6" t="n">
        <v>-3.022337037230793</v>
      </c>
      <c r="AH456" s="6" t="n">
        <v>-0.2347226495484314</v>
      </c>
      <c r="AI456" s="6" t="n">
        <v>1.662065408532394</v>
      </c>
      <c r="AJ456" s="6" t="n">
        <v>71.80296994227282</v>
      </c>
      <c r="AK456" s="6" t="n">
        <v>0.0916627279117857</v>
      </c>
      <c r="AL456" s="6" t="n">
        <v>1.048636681325508</v>
      </c>
      <c r="AN456" s="6" t="n">
        <v>1.328371922040477</v>
      </c>
      <c r="AO456" s="6" t="n">
        <v>1.336562487550109</v>
      </c>
      <c r="AP456" s="6" t="n">
        <v>0.132924508569803</v>
      </c>
      <c r="AQ456" s="6" t="n">
        <v>0</v>
      </c>
      <c r="AR456" s="6" t="n">
        <v>0</v>
      </c>
    </row>
    <row r="457">
      <c r="D457" t="inlineStr">
        <is>
          <t>Run 145</t>
        </is>
      </c>
      <c r="J457" s="6" t="n">
        <v>0.04398717155218423</v>
      </c>
      <c r="K457" s="6" t="n">
        <v>-1.479698371613733</v>
      </c>
      <c r="L457" s="6" t="n">
        <v>0.4346881851325342</v>
      </c>
      <c r="M457" s="6" t="n">
        <v>-0.7425463087329953</v>
      </c>
      <c r="N457" s="6" t="n">
        <v>1.512659452324869</v>
      </c>
      <c r="O457" s="6" t="n">
        <v>3.186989311835574</v>
      </c>
      <c r="P457" s="6" t="n">
        <v>0.9133869090334538</v>
      </c>
      <c r="Q457" s="6" t="n">
        <v>-0.8588142486877949</v>
      </c>
      <c r="R457" s="6" t="n">
        <v>3.855263236942166</v>
      </c>
      <c r="S457" s="6" t="n">
        <v>1.982276236007201</v>
      </c>
      <c r="T457" s="6" t="n">
        <v>-1.262465937502352</v>
      </c>
      <c r="U457" s="6" t="n">
        <v>-4.448004760473579</v>
      </c>
      <c r="V457" s="6" t="n">
        <v>-0.9421916469694439</v>
      </c>
      <c r="W457" s="6" t="n">
        <v>4.385701243486454</v>
      </c>
      <c r="X457" s="6" t="n">
        <v>0.3685189124337028</v>
      </c>
      <c r="Y457" s="6" t="n">
        <v>1.278973498932804</v>
      </c>
      <c r="Z457" s="6" t="n">
        <v>-0.6358141667235535</v>
      </c>
      <c r="AA457" s="6" t="n">
        <v>1.140408932687575</v>
      </c>
      <c r="AB457" s="6" t="n">
        <v>-0.6397340966970516</v>
      </c>
      <c r="AC457" s="6" t="n">
        <v>0.03882912733740745</v>
      </c>
      <c r="AD457" s="6" t="n">
        <v>-4.311425813694207</v>
      </c>
      <c r="AE457" s="6" t="n">
        <v>0.7622260438693914</v>
      </c>
      <c r="AF457" s="6" t="n">
        <v>0.106711833412356</v>
      </c>
      <c r="AG457" s="6" t="n">
        <v>-1.035287289844846</v>
      </c>
      <c r="AH457" s="6" t="n">
        <v>-0.6269983490405141</v>
      </c>
      <c r="AI457" s="6" t="n">
        <v>2.985353943624407</v>
      </c>
      <c r="AJ457" s="6" t="n">
        <v>70.68549673418357</v>
      </c>
      <c r="AK457" s="6" t="n">
        <v>0.07870782926958922</v>
      </c>
      <c r="AL457" s="6" t="n">
        <v>1.0657831195249</v>
      </c>
      <c r="AN457" s="6" t="n">
        <v>1.344237731315175</v>
      </c>
      <c r="AO457" s="6" t="n">
        <v>1.344302534949343</v>
      </c>
      <c r="AP457" s="6" t="n">
        <v>0.1318395995573912</v>
      </c>
      <c r="AQ457" s="6" t="n">
        <v>0</v>
      </c>
      <c r="AR457" s="6" t="n">
        <v>0</v>
      </c>
    </row>
    <row r="458">
      <c r="D458" t="inlineStr">
        <is>
          <t>Run 146</t>
        </is>
      </c>
      <c r="J458" s="6" t="n">
        <v>1.466610158772977</v>
      </c>
      <c r="K458" s="6" t="n">
        <v>-2.288577909510107</v>
      </c>
      <c r="L458" s="6" t="n">
        <v>1.149782407066935</v>
      </c>
      <c r="M458" s="6" t="n">
        <v>1.891376124174901</v>
      </c>
      <c r="N458" s="6" t="n">
        <v>-0.5404585409273154</v>
      </c>
      <c r="O458" s="6" t="n">
        <v>-1.203941026230579</v>
      </c>
      <c r="P458" s="6" t="n">
        <v>-2.358086505441921</v>
      </c>
      <c r="Q458" s="6" t="n">
        <v>-0.01544810218989794</v>
      </c>
      <c r="R458" s="6" t="n">
        <v>2.733390544819646</v>
      </c>
      <c r="S458" s="6" t="n">
        <v>-1.209783969540973</v>
      </c>
      <c r="T458" s="6" t="n">
        <v>-0.8839442068333343</v>
      </c>
      <c r="U458" s="6" t="n">
        <v>-1.984330552331789</v>
      </c>
      <c r="V458" s="6" t="n">
        <v>0.5691302744313829</v>
      </c>
      <c r="W458" s="6" t="n">
        <v>1.768431178084623</v>
      </c>
      <c r="X458" s="6" t="n">
        <v>2.544265523002193</v>
      </c>
      <c r="Y458" s="6" t="n">
        <v>-3.582502133721334</v>
      </c>
      <c r="Z458" s="6" t="n">
        <v>0.606059813753129</v>
      </c>
      <c r="AA458" s="6" t="n">
        <v>0.4343675882494418</v>
      </c>
      <c r="AB458" s="6" t="n">
        <v>2.367417296407767</v>
      </c>
      <c r="AC458" s="6" t="n">
        <v>3.50255947169089</v>
      </c>
      <c r="AD458" s="6" t="n">
        <v>0.3829457208081962</v>
      </c>
      <c r="AE458" s="6" t="n">
        <v>2.809660533203615</v>
      </c>
      <c r="AF458" s="6" t="n">
        <v>-2.487821078077018</v>
      </c>
      <c r="AG458" s="6" t="n">
        <v>-0.7691976245450065</v>
      </c>
      <c r="AH458" s="6" t="n">
        <v>-0.5492271892764875</v>
      </c>
      <c r="AI458" s="6" t="n">
        <v>-0.88199923727025</v>
      </c>
      <c r="AJ458" s="6" t="n">
        <v>61.95581114894497</v>
      </c>
      <c r="AK458" s="6" t="n">
        <v>0.07790305725206839</v>
      </c>
      <c r="AL458" s="6" t="n">
        <v>1.074807689767896</v>
      </c>
      <c r="AN458" s="6" t="n">
        <v>1.337113077993193</v>
      </c>
      <c r="AO458" s="6" t="n">
        <v>1.337279572155898</v>
      </c>
      <c r="AP458" s="6" t="n">
        <v>0.1307622057207453</v>
      </c>
      <c r="AQ458" s="6" t="n">
        <v>0</v>
      </c>
      <c r="AR458" s="6" t="n">
        <v>0</v>
      </c>
    </row>
    <row r="459">
      <c r="D459" t="inlineStr">
        <is>
          <t>Run 147</t>
        </is>
      </c>
      <c r="J459" s="6" t="n">
        <v>0.8936147374134434</v>
      </c>
      <c r="K459" s="6" t="n">
        <v>-2.801332468517458</v>
      </c>
      <c r="L459" s="6" t="n">
        <v>1.59952183876034</v>
      </c>
      <c r="M459" s="6" t="n">
        <v>-0.3957008395900123</v>
      </c>
      <c r="N459" s="6" t="n">
        <v>-2.887629101775903</v>
      </c>
      <c r="O459" s="6" t="n">
        <v>-0.7220146718667534</v>
      </c>
      <c r="P459" s="6" t="n">
        <v>0.7640466679528243</v>
      </c>
      <c r="Q459" s="6" t="n">
        <v>-0.5028056769305699</v>
      </c>
      <c r="R459" s="6" t="n">
        <v>0.006761613057392715</v>
      </c>
      <c r="S459" s="6" t="n">
        <v>-0.2509711020362366</v>
      </c>
      <c r="T459" s="6" t="n">
        <v>-3.46478566798997</v>
      </c>
      <c r="U459" s="6" t="n">
        <v>-0.9682298162129765</v>
      </c>
      <c r="V459" s="6" t="n">
        <v>1.935321407547878</v>
      </c>
      <c r="W459" s="6" t="n">
        <v>1.179462932978362</v>
      </c>
      <c r="X459" s="6" t="n">
        <v>-4.480925950586769</v>
      </c>
      <c r="Y459" s="6" t="n">
        <v>0.3770052124656952</v>
      </c>
      <c r="Z459" s="6" t="n">
        <v>0.2796077602825234</v>
      </c>
      <c r="AA459" s="6" t="n">
        <v>-1.867474054899894</v>
      </c>
      <c r="AB459" s="6" t="n">
        <v>2.435028062249184</v>
      </c>
      <c r="AC459" s="6" t="n">
        <v>-2.066132398178497</v>
      </c>
      <c r="AD459" s="6" t="n">
        <v>0.09251305572869592</v>
      </c>
      <c r="AE459" s="6" t="n">
        <v>1.394708742225519</v>
      </c>
      <c r="AF459" s="6" t="n">
        <v>0.7246985358859959</v>
      </c>
      <c r="AG459" s="6" t="n">
        <v>-2.947078706086475</v>
      </c>
      <c r="AH459" s="6" t="n">
        <v>-0.9027453396644524</v>
      </c>
      <c r="AI459" s="6" t="n">
        <v>0.6583409886939371</v>
      </c>
      <c r="AJ459" s="6" t="n">
        <v>61.72675560351931</v>
      </c>
      <c r="AK459" s="6" t="n">
        <v>0.1463569817419701</v>
      </c>
      <c r="AL459" s="6" t="n">
        <v>1.06604809501586</v>
      </c>
      <c r="AN459" s="6" t="n">
        <v>1.335075177219473</v>
      </c>
      <c r="AO459" s="6" t="n">
        <v>1.335834397675152</v>
      </c>
      <c r="AP459" s="6" t="n">
        <v>0.1301017280234966</v>
      </c>
      <c r="AQ459" s="6" t="n">
        <v>0</v>
      </c>
      <c r="AR459" s="6" t="n">
        <v>0</v>
      </c>
    </row>
    <row r="460">
      <c r="D460" t="inlineStr">
        <is>
          <t>Run 148</t>
        </is>
      </c>
      <c r="J460" s="6" t="n">
        <v>0.5917603728755761</v>
      </c>
      <c r="K460" s="6" t="n">
        <v>0.6944496692211396</v>
      </c>
      <c r="L460" s="6" t="n">
        <v>-0.4869558857354009</v>
      </c>
      <c r="M460" s="6" t="n">
        <v>-0.9795336780334033</v>
      </c>
      <c r="N460" s="6" t="n">
        <v>3.766595823673907</v>
      </c>
      <c r="O460" s="6" t="n">
        <v>1.294443730255175</v>
      </c>
      <c r="P460" s="6" t="n">
        <v>0.5606790021744025</v>
      </c>
      <c r="Q460" s="6" t="n">
        <v>-1.727868904553951</v>
      </c>
      <c r="R460" s="6" t="n">
        <v>-2.292859397599297</v>
      </c>
      <c r="S460" s="6" t="n">
        <v>3.164003989024901</v>
      </c>
      <c r="T460" s="6" t="n">
        <v>-2.195375404623237</v>
      </c>
      <c r="U460" s="6" t="n">
        <v>-0.7900505364527535</v>
      </c>
      <c r="V460" s="6" t="n">
        <v>-1.049352075285171</v>
      </c>
      <c r="W460" s="6" t="n">
        <v>-2.265804633241443</v>
      </c>
      <c r="X460" s="6" t="n">
        <v>-0.1111955508596929</v>
      </c>
      <c r="Y460" s="6" t="n">
        <v>0.703092389243732</v>
      </c>
      <c r="Z460" s="6" t="n">
        <v>0.04741604430645724</v>
      </c>
      <c r="AA460" s="6" t="n">
        <v>1.041740207279091</v>
      </c>
      <c r="AB460" s="6" t="n">
        <v>-2.163604761260088</v>
      </c>
      <c r="AC460" s="6" t="n">
        <v>-0.2638363742248172</v>
      </c>
      <c r="AD460" s="6" t="n">
        <v>-1.634481931006918</v>
      </c>
      <c r="AE460" s="6" t="n">
        <v>-0.782121656010585</v>
      </c>
      <c r="AF460" s="6" t="n">
        <v>-0.3311614944074873</v>
      </c>
      <c r="AG460" s="6" t="n">
        <v>-0.7667489394835126</v>
      </c>
      <c r="AH460" s="6" t="n">
        <v>0.9366721815222803</v>
      </c>
      <c r="AI460" s="6" t="n">
        <v>-1.848393180610603</v>
      </c>
      <c r="AJ460" s="6" t="n">
        <v>82.78607278189119</v>
      </c>
      <c r="AK460" s="6" t="n">
        <v>0.07590606164880348</v>
      </c>
      <c r="AL460" s="6" t="n">
        <v>1.033937101947364</v>
      </c>
      <c r="AN460" s="6" t="n">
        <v>1.355707406103387</v>
      </c>
      <c r="AO460" s="6" t="n">
        <v>1.355707406103387</v>
      </c>
      <c r="AP460" s="6" t="n">
        <v>0.1359160995439443</v>
      </c>
      <c r="AQ460" s="6" t="n">
        <v>0</v>
      </c>
      <c r="AR460" s="6" t="n">
        <v>0</v>
      </c>
    </row>
    <row r="461">
      <c r="D461" t="inlineStr">
        <is>
          <t>Run 149</t>
        </is>
      </c>
      <c r="J461" s="6" t="n">
        <v>-0.2734951544482261</v>
      </c>
      <c r="K461" s="6" t="n">
        <v>0.3261167312185981</v>
      </c>
      <c r="L461" s="6" t="n">
        <v>-0.3839990848257444</v>
      </c>
      <c r="M461" s="6" t="n">
        <v>-2.547729183197446</v>
      </c>
      <c r="N461" s="6" t="n">
        <v>1.067548602409974</v>
      </c>
      <c r="O461" s="6" t="n">
        <v>-0.007426241344869562</v>
      </c>
      <c r="P461" s="6" t="n">
        <v>-0.3317779630169276</v>
      </c>
      <c r="Q461" s="6" t="n">
        <v>0.3642684500657603</v>
      </c>
      <c r="R461" s="6" t="n">
        <v>0.2423436416909701</v>
      </c>
      <c r="S461" s="6" t="n">
        <v>0.1278557279803925</v>
      </c>
      <c r="T461" s="6" t="n">
        <v>2.41564425927811</v>
      </c>
      <c r="U461" s="6" t="n">
        <v>0.07573932674094619</v>
      </c>
      <c r="V461" s="6" t="n">
        <v>0.678376804576967</v>
      </c>
      <c r="W461" s="6" t="n">
        <v>-2.695850655951459</v>
      </c>
      <c r="X461" s="6" t="n">
        <v>-0.05831045143313526</v>
      </c>
      <c r="Y461" s="6" t="n">
        <v>-2.242836107680259</v>
      </c>
      <c r="Z461" s="6" t="n">
        <v>-1.971478998795973</v>
      </c>
      <c r="AA461" s="6" t="n">
        <v>2.166380245943555</v>
      </c>
      <c r="AB461" s="6" t="n">
        <v>-2.482094628568099</v>
      </c>
      <c r="AC461" s="6" t="n">
        <v>-2.050880714165491</v>
      </c>
      <c r="AD461" s="6" t="n">
        <v>-1.155349664555003</v>
      </c>
      <c r="AE461" s="6" t="n">
        <v>2.393701050087352</v>
      </c>
      <c r="AF461" s="6" t="n">
        <v>-0.4729530882260937</v>
      </c>
      <c r="AG461" s="6" t="n">
        <v>2.568746670663885</v>
      </c>
      <c r="AH461" s="6" t="n">
        <v>0.3735399260115584</v>
      </c>
      <c r="AI461" s="6" t="n">
        <v>0.2751765817926224</v>
      </c>
      <c r="AJ461" s="6" t="n">
        <v>79.32158304112515</v>
      </c>
      <c r="AK461" s="6" t="n">
        <v>0.09293031977685835</v>
      </c>
      <c r="AL461" s="6" t="n">
        <v>1.010653896279597</v>
      </c>
      <c r="AN461" s="6" t="n">
        <v>1.342701999573267</v>
      </c>
      <c r="AO461" s="6" t="n">
        <v>1.352772962293091</v>
      </c>
      <c r="AP461" s="6" t="n">
        <v>0.1382235591771512</v>
      </c>
      <c r="AQ461" s="6" t="n">
        <v>0</v>
      </c>
      <c r="AR461" s="6" t="n">
        <v>0</v>
      </c>
    </row>
    <row r="462">
      <c r="D462" t="inlineStr">
        <is>
          <t>Run 150</t>
        </is>
      </c>
      <c r="J462" s="6" t="n">
        <v>-2.584869110463956</v>
      </c>
      <c r="K462" s="6" t="n">
        <v>-2.84552621154604</v>
      </c>
      <c r="L462" s="6" t="n">
        <v>0.492017480949412</v>
      </c>
      <c r="M462" s="6" t="n">
        <v>0.9882125864739092</v>
      </c>
      <c r="N462" s="6" t="n">
        <v>-0.2153513785714199</v>
      </c>
      <c r="O462" s="6" t="n">
        <v>-1.972056401041824</v>
      </c>
      <c r="P462" s="6" t="n">
        <v>4.108247383741654</v>
      </c>
      <c r="Q462" s="6" t="n">
        <v>0.04408151165296747</v>
      </c>
      <c r="R462" s="6" t="n">
        <v>2.97170967269279</v>
      </c>
      <c r="S462" s="6" t="n">
        <v>3.201402857144211</v>
      </c>
      <c r="T462" s="6" t="n">
        <v>-0.245173683680578</v>
      </c>
      <c r="U462" s="6" t="n">
        <v>-2.792725536888746</v>
      </c>
      <c r="V462" s="6" t="n">
        <v>0.6354837561992598</v>
      </c>
      <c r="W462" s="6" t="n">
        <v>-0.3194492130131266</v>
      </c>
      <c r="X462" s="6" t="n">
        <v>0.7262263678789541</v>
      </c>
      <c r="Y462" s="6" t="n">
        <v>1.507166947830195</v>
      </c>
      <c r="Z462" s="6" t="n">
        <v>0.757194441553098</v>
      </c>
      <c r="AA462" s="6" t="n">
        <v>-0.1352184078862977</v>
      </c>
      <c r="AB462" s="6" t="n">
        <v>-1.668406657918332</v>
      </c>
      <c r="AC462" s="6" t="n">
        <v>-0.08907526654099467</v>
      </c>
      <c r="AD462" s="6" t="n">
        <v>-3.819343527675306</v>
      </c>
      <c r="AE462" s="6" t="n">
        <v>-0.5637960019600337</v>
      </c>
      <c r="AF462" s="6" t="n">
        <v>-2.768165973888521</v>
      </c>
      <c r="AG462" s="6" t="n">
        <v>-0.6705786224293797</v>
      </c>
      <c r="AH462" s="6" t="n">
        <v>1.279980896867063</v>
      </c>
      <c r="AI462" s="6" t="n">
        <v>1.191702543675531</v>
      </c>
      <c r="AJ462" s="6" t="n">
        <v>77.31421182472</v>
      </c>
      <c r="AK462" s="6" t="n">
        <v>0.1293579591238202</v>
      </c>
      <c r="AL462" s="6" t="n">
        <v>1.052284159586604</v>
      </c>
      <c r="AN462" s="6" t="n">
        <v>1.348240552578346</v>
      </c>
      <c r="AO462" s="6" t="n">
        <v>1.34844464923261</v>
      </c>
      <c r="AP462" s="6" t="n">
        <v>0.1325090859269159</v>
      </c>
      <c r="AQ462" s="6" t="n">
        <v>0</v>
      </c>
      <c r="AR462" s="6" t="n">
        <v>0</v>
      </c>
    </row>
    <row r="463">
      <c r="D463" t="inlineStr">
        <is>
          <t>Run 151</t>
        </is>
      </c>
      <c r="J463" s="6" t="n">
        <v>0.907994688916742</v>
      </c>
      <c r="K463" s="6" t="n">
        <v>2.597793318278657</v>
      </c>
      <c r="L463" s="6" t="n">
        <v>-2.206881267741779</v>
      </c>
      <c r="M463" s="6" t="n">
        <v>0.1257019609987003</v>
      </c>
      <c r="N463" s="6" t="n">
        <v>0.817747588842852</v>
      </c>
      <c r="O463" s="6" t="n">
        <v>-1.492111685755001</v>
      </c>
      <c r="P463" s="6" t="n">
        <v>-0.6226214660090029</v>
      </c>
      <c r="Q463" s="6" t="n">
        <v>-2.087154465588606</v>
      </c>
      <c r="R463" s="6" t="n">
        <v>1.935510156176584</v>
      </c>
      <c r="S463" s="6" t="n">
        <v>-1.134881856023362</v>
      </c>
      <c r="T463" s="6" t="n">
        <v>4.090664815844878</v>
      </c>
      <c r="U463" s="6" t="n">
        <v>1.25562886367305</v>
      </c>
      <c r="V463" s="6" t="n">
        <v>0.1337108313063792</v>
      </c>
      <c r="W463" s="6" t="n">
        <v>0.2740325748170497</v>
      </c>
      <c r="X463" s="6" t="n">
        <v>-3.623512793838489</v>
      </c>
      <c r="Y463" s="6" t="n">
        <v>-2.276348614774494</v>
      </c>
      <c r="Z463" s="6" t="n">
        <v>-1.75794781316037</v>
      </c>
      <c r="AA463" s="6" t="n">
        <v>2.323495799497385</v>
      </c>
      <c r="AB463" s="6" t="n">
        <v>-0.1791848584584662</v>
      </c>
      <c r="AC463" s="6" t="n">
        <v>0.9742909534685187</v>
      </c>
      <c r="AD463" s="6" t="n">
        <v>-1.404757151530629</v>
      </c>
      <c r="AE463" s="6" t="n">
        <v>-1.988423818561031</v>
      </c>
      <c r="AF463" s="6" t="n">
        <v>1.316012984168478</v>
      </c>
      <c r="AG463" s="6" t="n">
        <v>-1.450188998959241</v>
      </c>
      <c r="AH463" s="6" t="n">
        <v>2.783332123042868</v>
      </c>
      <c r="AI463" s="6" t="n">
        <v>2.41744227417458</v>
      </c>
      <c r="AJ463" s="6" t="n">
        <v>68.70145419785436</v>
      </c>
      <c r="AK463" s="6" t="n">
        <v>0.153447017693864</v>
      </c>
      <c r="AL463" s="6" t="n">
        <v>1.078102931128514</v>
      </c>
      <c r="AN463" s="6" t="n">
        <v>1.333085208623736</v>
      </c>
      <c r="AO463" s="6" t="n">
        <v>1.333206735020591</v>
      </c>
      <c r="AP463" s="6" t="n">
        <v>0.1291983169702387</v>
      </c>
      <c r="AQ463" s="6" t="n">
        <v>0</v>
      </c>
      <c r="AR463" s="6" t="n">
        <v>0</v>
      </c>
    </row>
    <row r="464">
      <c r="D464" t="inlineStr">
        <is>
          <t>Run 152</t>
        </is>
      </c>
      <c r="J464" s="6" t="n">
        <v>-0.1644749927531736</v>
      </c>
      <c r="K464" s="6" t="n">
        <v>2.777496335027791</v>
      </c>
      <c r="L464" s="6" t="n">
        <v>-1.574995918055896</v>
      </c>
      <c r="M464" s="6" t="n">
        <v>-1.066372403423222</v>
      </c>
      <c r="N464" s="6" t="n">
        <v>0.31500877355009</v>
      </c>
      <c r="O464" s="6" t="n">
        <v>-0.5043306956989466</v>
      </c>
      <c r="P464" s="6" t="n">
        <v>-1.099752558795018</v>
      </c>
      <c r="Q464" s="6" t="n">
        <v>2.117712507029999</v>
      </c>
      <c r="R464" s="6" t="n">
        <v>-1.654257745032954</v>
      </c>
      <c r="S464" s="6" t="n">
        <v>5</v>
      </c>
      <c r="T464" s="6" t="n">
        <v>0.702549105491607</v>
      </c>
      <c r="U464" s="6" t="n">
        <v>0.8895015757769075</v>
      </c>
      <c r="V464" s="6" t="n">
        <v>0.9426571909243441</v>
      </c>
      <c r="W464" s="6" t="n">
        <v>2.075307756454469</v>
      </c>
      <c r="X464" s="6" t="n">
        <v>-0.9612146956157254</v>
      </c>
      <c r="Y464" s="6" t="n">
        <v>-1.47610687613894</v>
      </c>
      <c r="Z464" s="6" t="n">
        <v>1.320310663049102</v>
      </c>
      <c r="AA464" s="6" t="n">
        <v>2.238705177678414</v>
      </c>
      <c r="AB464" s="6" t="n">
        <v>0.6553999081232137</v>
      </c>
      <c r="AC464" s="6" t="n">
        <v>2.694049249990971</v>
      </c>
      <c r="AD464" s="6" t="n">
        <v>0.2840823800113361</v>
      </c>
      <c r="AE464" s="6" t="n">
        <v>0.6120796043008582</v>
      </c>
      <c r="AF464" s="6" t="n">
        <v>0.6202853475683885</v>
      </c>
      <c r="AG464" s="6" t="n">
        <v>-0.2355397062680264</v>
      </c>
      <c r="AH464" s="6" t="n">
        <v>-1.217603244706704</v>
      </c>
      <c r="AI464" s="6" t="n">
        <v>1.741508077259872</v>
      </c>
      <c r="AJ464" s="6" t="n">
        <v>66.16662857285279</v>
      </c>
      <c r="AK464" s="6" t="n">
        <v>0.09629849031995857</v>
      </c>
      <c r="AL464" s="6" t="n">
        <v>1.040711162994987</v>
      </c>
      <c r="AN464" s="6" t="n">
        <v>1.345329045984845</v>
      </c>
      <c r="AO464" s="6" t="n">
        <v>1.345677414427524</v>
      </c>
      <c r="AP464" s="6" t="n">
        <v>0.1333359563933808</v>
      </c>
      <c r="AQ464" s="6" t="n">
        <v>0</v>
      </c>
      <c r="AR464" s="6" t="n">
        <v>0</v>
      </c>
    </row>
    <row r="465">
      <c r="D465" t="inlineStr">
        <is>
          <t>Run 153</t>
        </is>
      </c>
      <c r="J465" s="6" t="n">
        <v>1.360245903810056</v>
      </c>
      <c r="K465" s="6" t="n">
        <v>-2.554993495402648</v>
      </c>
      <c r="L465" s="6" t="n">
        <v>0.9920893244438549</v>
      </c>
      <c r="M465" s="6" t="n">
        <v>-1.635261345434866</v>
      </c>
      <c r="N465" s="6" t="n">
        <v>2.131392471083172</v>
      </c>
      <c r="O465" s="6" t="n">
        <v>2.121997392504773</v>
      </c>
      <c r="P465" s="6" t="n">
        <v>1.304917856505477</v>
      </c>
      <c r="Q465" s="6" t="n">
        <v>-0.3910911624539541</v>
      </c>
      <c r="R465" s="6" t="n">
        <v>1.253946663171445</v>
      </c>
      <c r="S465" s="6" t="n">
        <v>1.060654870612911</v>
      </c>
      <c r="T465" s="6" t="n">
        <v>0.4840072188245803</v>
      </c>
      <c r="U465" s="6" t="n">
        <v>1.794337911497779</v>
      </c>
      <c r="V465" s="6" t="n">
        <v>-0.03717186159832965</v>
      </c>
      <c r="W465" s="6" t="n">
        <v>-1.71511466390396</v>
      </c>
      <c r="X465" s="6" t="n">
        <v>-1.431695692413204</v>
      </c>
      <c r="Y465" s="6" t="n">
        <v>1.5803605464992</v>
      </c>
      <c r="Z465" s="6" t="n">
        <v>1.721054994301866</v>
      </c>
      <c r="AA465" s="6" t="n">
        <v>2.684972908397353</v>
      </c>
      <c r="AB465" s="6" t="n">
        <v>0.06802468023670945</v>
      </c>
      <c r="AC465" s="6" t="n">
        <v>0.9251013925902445</v>
      </c>
      <c r="AD465" s="6" t="n">
        <v>0.2170679963539863</v>
      </c>
      <c r="AE465" s="6" t="n">
        <v>-0.8581710621731418</v>
      </c>
      <c r="AF465" s="6" t="n">
        <v>-2.34083373225959</v>
      </c>
      <c r="AG465" s="6" t="n">
        <v>0.3379052841125228</v>
      </c>
      <c r="AH465" s="6" t="n">
        <v>-3.325132076582092</v>
      </c>
      <c r="AI465" s="6" t="n">
        <v>-1.309584654804916</v>
      </c>
      <c r="AJ465" s="6" t="n">
        <v>81.87116359402728</v>
      </c>
      <c r="AK465" s="6" t="n">
        <v>0.07188832865917467</v>
      </c>
      <c r="AL465" s="6" t="n">
        <v>1.001733011155112</v>
      </c>
      <c r="AN465" s="6" t="n">
        <v>1.360691858738891</v>
      </c>
      <c r="AO465" s="6" t="n">
        <v>1.360691858738891</v>
      </c>
      <c r="AP465" s="6" t="n">
        <v>0.1408105925253944</v>
      </c>
      <c r="AQ465" s="6" t="n">
        <v>0</v>
      </c>
      <c r="AR465" s="6" t="n">
        <v>0</v>
      </c>
    </row>
    <row r="466">
      <c r="D466" t="inlineStr">
        <is>
          <t>Run 154</t>
        </is>
      </c>
      <c r="J466" s="6" t="n">
        <v>-0.3717363284177589</v>
      </c>
      <c r="K466" s="6" t="n">
        <v>0.6795519925367982</v>
      </c>
      <c r="L466" s="6" t="n">
        <v>-1.181526952586029</v>
      </c>
      <c r="M466" s="6" t="n">
        <v>3.194455757478056</v>
      </c>
      <c r="N466" s="6" t="n">
        <v>3.447231490730544</v>
      </c>
      <c r="O466" s="6" t="n">
        <v>0.05324592936568746</v>
      </c>
      <c r="P466" s="6" t="n">
        <v>3.187669603336692</v>
      </c>
      <c r="Q466" s="6" t="n">
        <v>1.358425075351134</v>
      </c>
      <c r="R466" s="6" t="n">
        <v>1.829195411120851</v>
      </c>
      <c r="S466" s="6" t="n">
        <v>0.3899953791783148</v>
      </c>
      <c r="T466" s="6" t="n">
        <v>1.474165894087069</v>
      </c>
      <c r="U466" s="6" t="n">
        <v>0.2784393538321765</v>
      </c>
      <c r="V466" s="6" t="n">
        <v>1.670795190612692</v>
      </c>
      <c r="W466" s="6" t="n">
        <v>2.418873725184356</v>
      </c>
      <c r="X466" s="6" t="n">
        <v>-0.6193934414575059</v>
      </c>
      <c r="Y466" s="6" t="n">
        <v>-2.029237934991097</v>
      </c>
      <c r="Z466" s="6" t="n">
        <v>-0.9665561588781793</v>
      </c>
      <c r="AA466" s="6" t="n">
        <v>-1.605628962833525</v>
      </c>
      <c r="AB466" s="6" t="n">
        <v>1.52726508374777</v>
      </c>
      <c r="AC466" s="6" t="n">
        <v>1.974422395261877</v>
      </c>
      <c r="AD466" s="6" t="n">
        <v>2.820220322987623</v>
      </c>
      <c r="AE466" s="6" t="n">
        <v>1.217120939696723</v>
      </c>
      <c r="AF466" s="6" t="n">
        <v>1.631092087455448</v>
      </c>
      <c r="AG466" s="6" t="n">
        <v>1.600003521930593</v>
      </c>
      <c r="AH466" s="6" t="n">
        <v>-0.9928730731689784</v>
      </c>
      <c r="AI466" s="6" t="n">
        <v>1.698195311603688</v>
      </c>
      <c r="AJ466" s="6" t="n">
        <v>64.29660037624447</v>
      </c>
      <c r="AK466" s="6" t="n">
        <v>0.1077540182330439</v>
      </c>
      <c r="AL466" s="6" t="n">
        <v>1.079749940164712</v>
      </c>
      <c r="AN466" s="6" t="n">
        <v>1.332359332408384</v>
      </c>
      <c r="AO466" s="6" t="n">
        <v>1.332791687317953</v>
      </c>
      <c r="AP466" s="6" t="n">
        <v>0.130066139354638</v>
      </c>
      <c r="AQ466" s="6" t="n">
        <v>0</v>
      </c>
      <c r="AR466" s="6" t="n">
        <v>0</v>
      </c>
    </row>
    <row r="467">
      <c r="D467" t="inlineStr">
        <is>
          <t>Run 155</t>
        </is>
      </c>
      <c r="J467" s="6" t="n">
        <v>3.803304112589935</v>
      </c>
      <c r="K467" s="6" t="n">
        <v>-2.845605028156406</v>
      </c>
      <c r="L467" s="6" t="n">
        <v>-1.720590119010647</v>
      </c>
      <c r="M467" s="6" t="n">
        <v>-2.00720818201502</v>
      </c>
      <c r="N467" s="6" t="n">
        <v>-0.4616438208527384</v>
      </c>
      <c r="O467" s="6" t="n">
        <v>0.5261920979347887</v>
      </c>
      <c r="P467" s="6" t="n">
        <v>5</v>
      </c>
      <c r="Q467" s="6" t="n">
        <v>-0.5183513479181671</v>
      </c>
      <c r="R467" s="6" t="n">
        <v>-0.551866361484729</v>
      </c>
      <c r="S467" s="6" t="n">
        <v>-0.8797027279307117</v>
      </c>
      <c r="T467" s="6" t="n">
        <v>-0.9623698849214306</v>
      </c>
      <c r="U467" s="6" t="n">
        <v>-3.162037879731143</v>
      </c>
      <c r="V467" s="6" t="n">
        <v>0.3552843002349962</v>
      </c>
      <c r="W467" s="6" t="n">
        <v>-3.911739011967156</v>
      </c>
      <c r="X467" s="6" t="n">
        <v>0.6921216556925374</v>
      </c>
      <c r="Y467" s="6" t="n">
        <v>1.030686468382081</v>
      </c>
      <c r="Z467" s="6" t="n">
        <v>-0.8554906887806573</v>
      </c>
      <c r="AA467" s="6" t="n">
        <v>-2.271728413430223</v>
      </c>
      <c r="AB467" s="6" t="n">
        <v>-1.640852826664766</v>
      </c>
      <c r="AC467" s="6" t="n">
        <v>1.022638621292577</v>
      </c>
      <c r="AD467" s="6" t="n">
        <v>-0.05478689195067979</v>
      </c>
      <c r="AE467" s="6" t="n">
        <v>2.037437084536402</v>
      </c>
      <c r="AF467" s="6" t="n">
        <v>0.3118885621477498</v>
      </c>
      <c r="AG467" s="6" t="n">
        <v>-2.102035296169019</v>
      </c>
      <c r="AH467" s="6" t="n">
        <v>-0.36994021473012</v>
      </c>
      <c r="AI467" s="6" t="n">
        <v>-3.563051887306762</v>
      </c>
      <c r="AJ467" s="6" t="n">
        <v>61.2478362110681</v>
      </c>
      <c r="AK467" s="6" t="n">
        <v>0.04798528317064682</v>
      </c>
      <c r="AL467" s="6" t="n">
        <v>0.9926995836318537</v>
      </c>
      <c r="AN467" s="6" t="n">
        <v>1.349530895208707</v>
      </c>
      <c r="AO467" s="6" t="n">
        <v>1.352842956493522</v>
      </c>
      <c r="AP467" s="6" t="n">
        <v>0.1396784714641558</v>
      </c>
      <c r="AQ467" s="6" t="n">
        <v>0</v>
      </c>
      <c r="AR467" s="6" t="n">
        <v>0</v>
      </c>
    </row>
    <row r="468">
      <c r="D468" t="inlineStr">
        <is>
          <t>Run 156</t>
        </is>
      </c>
      <c r="J468" s="6" t="n">
        <v>3.579872180916074</v>
      </c>
      <c r="K468" s="6" t="n">
        <v>1.173158528392306</v>
      </c>
      <c r="L468" s="6" t="n">
        <v>0.3711001645003931</v>
      </c>
      <c r="M468" s="6" t="n">
        <v>-2.276553932832523</v>
      </c>
      <c r="N468" s="6" t="n">
        <v>1.608867880024105</v>
      </c>
      <c r="O468" s="6" t="n">
        <v>1.696843402028456</v>
      </c>
      <c r="P468" s="6" t="n">
        <v>-1.30880024309268</v>
      </c>
      <c r="Q468" s="6" t="n">
        <v>-0.3332215387894318</v>
      </c>
      <c r="R468" s="6" t="n">
        <v>-0.7585596847996194</v>
      </c>
      <c r="S468" s="6" t="n">
        <v>1.298361304510076</v>
      </c>
      <c r="T468" s="6" t="n">
        <v>-0.8651389267848617</v>
      </c>
      <c r="U468" s="6" t="n">
        <v>-1.033249089315515</v>
      </c>
      <c r="V468" s="6" t="n">
        <v>1.950921946993218</v>
      </c>
      <c r="W468" s="6" t="n">
        <v>1.527552924645295</v>
      </c>
      <c r="X468" s="6" t="n">
        <v>3.31339104505226</v>
      </c>
      <c r="Y468" s="6" t="n">
        <v>1.864509224057522</v>
      </c>
      <c r="Z468" s="6" t="n">
        <v>1.546506078165636</v>
      </c>
      <c r="AA468" s="6" t="n">
        <v>-2.230893334361743</v>
      </c>
      <c r="AB468" s="6" t="n">
        <v>0.5713362029394963</v>
      </c>
      <c r="AC468" s="6" t="n">
        <v>-0.309102147287162</v>
      </c>
      <c r="AD468" s="6" t="n">
        <v>-1.300013521811153</v>
      </c>
      <c r="AE468" s="6" t="n">
        <v>5</v>
      </c>
      <c r="AF468" s="6" t="n">
        <v>-1.391981840671677</v>
      </c>
      <c r="AG468" s="6" t="n">
        <v>-0.6659861098767111</v>
      </c>
      <c r="AH468" s="6" t="n">
        <v>1.146761196104356</v>
      </c>
      <c r="AI468" s="6" t="n">
        <v>1.466237860596342</v>
      </c>
      <c r="AJ468" s="6" t="n">
        <v>75.55175586104858</v>
      </c>
      <c r="AK468" s="6" t="n">
        <v>0.1786119913903524</v>
      </c>
      <c r="AL468" s="6" t="n">
        <v>1.065710437007097</v>
      </c>
      <c r="AN468" s="6" t="n">
        <v>1.320589832311994</v>
      </c>
      <c r="AO468" s="6" t="n">
        <v>1.327368875738476</v>
      </c>
      <c r="AP468" s="6" t="n">
        <v>0.1297406143061261</v>
      </c>
      <c r="AQ468" s="6" t="n">
        <v>0</v>
      </c>
      <c r="AR468" s="6" t="n">
        <v>0</v>
      </c>
    </row>
    <row r="469">
      <c r="D469" t="inlineStr">
        <is>
          <t>Run 157</t>
        </is>
      </c>
      <c r="J469" s="6" t="n">
        <v>-1.021493972699536</v>
      </c>
      <c r="K469" s="6" t="n">
        <v>1.727492339038033</v>
      </c>
      <c r="L469" s="6" t="n">
        <v>-1.785345652863164</v>
      </c>
      <c r="M469" s="6" t="n">
        <v>-4.305865311722769</v>
      </c>
      <c r="N469" s="6" t="n">
        <v>-3.418390008111811</v>
      </c>
      <c r="O469" s="6" t="n">
        <v>-0.146624233225933</v>
      </c>
      <c r="P469" s="6" t="n">
        <v>-0.593302965905381</v>
      </c>
      <c r="Q469" s="6" t="n">
        <v>1.058254175128087</v>
      </c>
      <c r="R469" s="6" t="n">
        <v>-3.753832699218404</v>
      </c>
      <c r="S469" s="6" t="n">
        <v>-0.9228526574157513</v>
      </c>
      <c r="T469" s="6" t="n">
        <v>-1.971662635402757</v>
      </c>
      <c r="U469" s="6" t="n">
        <v>-0.617269690821213</v>
      </c>
      <c r="V469" s="6" t="n">
        <v>1.719036377412311</v>
      </c>
      <c r="W469" s="6" t="n">
        <v>-2.44253470769705</v>
      </c>
      <c r="X469" s="6" t="n">
        <v>-4.510102289035296</v>
      </c>
      <c r="Y469" s="6" t="n">
        <v>-0.6294544276941132</v>
      </c>
      <c r="Z469" s="6" t="n">
        <v>-1.522837066690336</v>
      </c>
      <c r="AA469" s="6" t="n">
        <v>-0.2887307336526374</v>
      </c>
      <c r="AB469" s="6" t="n">
        <v>1.245151397954156</v>
      </c>
      <c r="AC469" s="6" t="n">
        <v>-0.6912877692419931</v>
      </c>
      <c r="AD469" s="6" t="n">
        <v>-2.799234656523122</v>
      </c>
      <c r="AE469" s="6" t="n">
        <v>-2.577224887220023</v>
      </c>
      <c r="AF469" s="6" t="n">
        <v>-0.5678989530450286</v>
      </c>
      <c r="AG469" s="6" t="n">
        <v>0.3800658580371407</v>
      </c>
      <c r="AH469" s="6" t="n">
        <v>-1.468614817813278</v>
      </c>
      <c r="AI469" s="6" t="n">
        <v>-1.562849744925456</v>
      </c>
      <c r="AJ469" s="6" t="n">
        <v>60.10588763379304</v>
      </c>
      <c r="AK469" s="6" t="n">
        <v>0.09908793602782331</v>
      </c>
      <c r="AL469" s="6" t="n">
        <v>1.049006042986455</v>
      </c>
      <c r="AN469" s="6" t="n">
        <v>1.295166330209892</v>
      </c>
      <c r="AO469" s="6" t="n">
        <v>1.297182490227801</v>
      </c>
      <c r="AP469" s="6" t="n">
        <v>0.1315828275324898</v>
      </c>
      <c r="AQ469" s="6" t="n">
        <v>0</v>
      </c>
      <c r="AR469" s="6" t="n">
        <v>0</v>
      </c>
    </row>
    <row r="470">
      <c r="D470" t="inlineStr">
        <is>
          <t>Run 158</t>
        </is>
      </c>
      <c r="J470" s="6" t="n">
        <v>-0.2590414428298855</v>
      </c>
      <c r="K470" s="6" t="n">
        <v>-0.5020833987738101</v>
      </c>
      <c r="L470" s="6" t="n">
        <v>-0.9110127423545786</v>
      </c>
      <c r="M470" s="6" t="n">
        <v>-1.483896458385012</v>
      </c>
      <c r="N470" s="6" t="n">
        <v>-1.025303096290431</v>
      </c>
      <c r="O470" s="6" t="n">
        <v>-0.003643922671715405</v>
      </c>
      <c r="P470" s="6" t="n">
        <v>-0.6236653340775307</v>
      </c>
      <c r="Q470" s="6" t="n">
        <v>3.91532685305921</v>
      </c>
      <c r="R470" s="6" t="n">
        <v>1.119883869259701</v>
      </c>
      <c r="S470" s="6" t="n">
        <v>0.1311980033147272</v>
      </c>
      <c r="T470" s="6" t="n">
        <v>1.052194605223956</v>
      </c>
      <c r="U470" s="6" t="n">
        <v>1.951008734861137</v>
      </c>
      <c r="V470" s="6" t="n">
        <v>-0.0186052575124585</v>
      </c>
      <c r="W470" s="6" t="n">
        <v>-2.787226267885956</v>
      </c>
      <c r="X470" s="6" t="n">
        <v>1.305181352080427</v>
      </c>
      <c r="Y470" s="6" t="n">
        <v>0.1084467311770853</v>
      </c>
      <c r="Z470" s="6" t="n">
        <v>-1.072701981890021</v>
      </c>
      <c r="AA470" s="6" t="n">
        <v>-0.2823650927260576</v>
      </c>
      <c r="AB470" s="6" t="n">
        <v>-1.025409070341311</v>
      </c>
      <c r="AC470" s="6" t="n">
        <v>-2.519075130168924</v>
      </c>
      <c r="AD470" s="6" t="n">
        <v>-3.674345478773035</v>
      </c>
      <c r="AE470" s="6" t="n">
        <v>4.162394691774032</v>
      </c>
      <c r="AF470" s="6" t="n">
        <v>-0.8884829125704351</v>
      </c>
      <c r="AG470" s="6" t="n">
        <v>-2.087247112115681</v>
      </c>
      <c r="AH470" s="6" t="n">
        <v>0.157047698431115</v>
      </c>
      <c r="AI470" s="6" t="n">
        <v>-0.7341176285207945</v>
      </c>
      <c r="AJ470" s="6" t="n">
        <v>70.8650028531726</v>
      </c>
      <c r="AK470" s="6" t="n">
        <v>0.1580693278699107</v>
      </c>
      <c r="AL470" s="6" t="n">
        <v>1.113901246644329</v>
      </c>
      <c r="AN470" s="6" t="n">
        <v>1.320569162856765</v>
      </c>
      <c r="AO470" s="6" t="n">
        <v>1.321467814379555</v>
      </c>
      <c r="AP470" s="6" t="n">
        <v>0.127690648975211</v>
      </c>
      <c r="AQ470" s="6" t="n">
        <v>0</v>
      </c>
      <c r="AR470" s="6" t="n">
        <v>0</v>
      </c>
    </row>
    <row r="471">
      <c r="D471" t="inlineStr">
        <is>
          <t>Run 159</t>
        </is>
      </c>
      <c r="J471" s="6" t="n">
        <v>-1.224060269081573</v>
      </c>
      <c r="K471" s="6" t="n">
        <v>-2.908844171650262</v>
      </c>
      <c r="L471" s="6" t="n">
        <v>-2.198219477975806</v>
      </c>
      <c r="M471" s="6" t="n">
        <v>1.569094976058731</v>
      </c>
      <c r="N471" s="6" t="n">
        <v>3.390967089291937</v>
      </c>
      <c r="O471" s="6" t="n">
        <v>2.236196880376775</v>
      </c>
      <c r="P471" s="6" t="n">
        <v>-0.6681764603001815</v>
      </c>
      <c r="Q471" s="6" t="n">
        <v>1.865512281586149</v>
      </c>
      <c r="R471" s="6" t="n">
        <v>-4.943039841141668</v>
      </c>
      <c r="S471" s="6" t="n">
        <v>0.4314518417671294</v>
      </c>
      <c r="T471" s="6" t="n">
        <v>2.018108995138918</v>
      </c>
      <c r="U471" s="6" t="n">
        <v>0.9356225982340705</v>
      </c>
      <c r="V471" s="6" t="n">
        <v>-1.730224179745603</v>
      </c>
      <c r="W471" s="6" t="n">
        <v>-4.447462578725868</v>
      </c>
      <c r="X471" s="6" t="n">
        <v>-1.751679404324785</v>
      </c>
      <c r="Y471" s="6" t="n">
        <v>-1.66585027697441</v>
      </c>
      <c r="Z471" s="6" t="n">
        <v>0.5876355139663856</v>
      </c>
      <c r="AA471" s="6" t="n">
        <v>1.985957714400974</v>
      </c>
      <c r="AB471" s="6" t="n">
        <v>-3.150810729338769</v>
      </c>
      <c r="AC471" s="6" t="n">
        <v>3.290583272857416</v>
      </c>
      <c r="AD471" s="6" t="n">
        <v>-2.378171661277466</v>
      </c>
      <c r="AE471" s="6" t="n">
        <v>3.244585374782175</v>
      </c>
      <c r="AF471" s="6" t="n">
        <v>-2.039417232421861</v>
      </c>
      <c r="AG471" s="6" t="n">
        <v>-1.120049824833744</v>
      </c>
      <c r="AH471" s="6" t="n">
        <v>0.7909208921259587</v>
      </c>
      <c r="AI471" s="6" t="n">
        <v>-0.4379554772925811</v>
      </c>
      <c r="AJ471" s="6" t="n">
        <v>67.6172913970284</v>
      </c>
      <c r="AK471" s="6" t="n">
        <v>0.1472595204456898</v>
      </c>
      <c r="AL471" s="6" t="n">
        <v>1.004877015550826</v>
      </c>
      <c r="AN471" s="6" t="n">
        <v>1.354085930227932</v>
      </c>
      <c r="AO471" s="6" t="n">
        <v>1.354085930227932</v>
      </c>
      <c r="AP471" s="6" t="n">
        <v>0.1368524006518183</v>
      </c>
      <c r="AQ471" s="6" t="n">
        <v>0</v>
      </c>
      <c r="AR471" s="6" t="n">
        <v>0</v>
      </c>
    </row>
    <row r="472">
      <c r="D472" t="inlineStr">
        <is>
          <t>Run 160</t>
        </is>
      </c>
      <c r="J472" s="6" t="n">
        <v>0.7110410602951016</v>
      </c>
      <c r="K472" s="6" t="n">
        <v>1.30269762786187</v>
      </c>
      <c r="L472" s="6" t="n">
        <v>-0.4070984007508461</v>
      </c>
      <c r="M472" s="6" t="n">
        <v>0.3739191141059536</v>
      </c>
      <c r="N472" s="6" t="n">
        <v>2.6077043404814</v>
      </c>
      <c r="O472" s="6" t="n">
        <v>-0.3991738180062951</v>
      </c>
      <c r="P472" s="6" t="n">
        <v>0.9199512350268723</v>
      </c>
      <c r="Q472" s="6" t="n">
        <v>-2.548272204783166</v>
      </c>
      <c r="R472" s="6" t="n">
        <v>-0.3584321359333034</v>
      </c>
      <c r="S472" s="6" t="n">
        <v>-0.9717763399694975</v>
      </c>
      <c r="T472" s="6" t="n">
        <v>-1.748421477912147</v>
      </c>
      <c r="U472" s="6" t="n">
        <v>-1.47103809653113</v>
      </c>
      <c r="V472" s="6" t="n">
        <v>0.6247575610552426</v>
      </c>
      <c r="W472" s="6" t="n">
        <v>0.2139746335998856</v>
      </c>
      <c r="X472" s="6" t="n">
        <v>-0.04732999420466132</v>
      </c>
      <c r="Y472" s="6" t="n">
        <v>0.3389767193326141</v>
      </c>
      <c r="Z472" s="6" t="n">
        <v>-1.91875807931397</v>
      </c>
      <c r="AA472" s="6" t="n">
        <v>1.279369197959619</v>
      </c>
      <c r="AB472" s="6" t="n">
        <v>0.7144983115620539</v>
      </c>
      <c r="AC472" s="6" t="n">
        <v>-0.6212445031701478</v>
      </c>
      <c r="AD472" s="6" t="n">
        <v>4.269337266094287</v>
      </c>
      <c r="AE472" s="6" t="n">
        <v>-0.4498515970752692</v>
      </c>
      <c r="AF472" s="6" t="n">
        <v>2.367987337705635</v>
      </c>
      <c r="AG472" s="6" t="n">
        <v>-1.428424220250899</v>
      </c>
      <c r="AH472" s="6" t="n">
        <v>4.553884504180113</v>
      </c>
      <c r="AI472" s="6" t="n">
        <v>0.3043602557355496</v>
      </c>
      <c r="AJ472" s="6" t="n">
        <v>69.84775077329743</v>
      </c>
      <c r="AK472" s="6" t="n">
        <v>0.1493672474751337</v>
      </c>
      <c r="AL472" s="6" t="n">
        <v>1.045632719192994</v>
      </c>
      <c r="AN472" s="6" t="n">
        <v>1.344731778121051</v>
      </c>
      <c r="AO472" s="6" t="n">
        <v>1.345432333299224</v>
      </c>
      <c r="AP472" s="6" t="n">
        <v>0.1316758292050286</v>
      </c>
      <c r="AQ472" s="6" t="n">
        <v>0</v>
      </c>
      <c r="AR472" s="6" t="n">
        <v>0</v>
      </c>
    </row>
    <row r="473">
      <c r="D473" t="inlineStr">
        <is>
          <t>Run 161</t>
        </is>
      </c>
      <c r="J473" s="6" t="n">
        <v>-0.03028495140417304</v>
      </c>
      <c r="K473" s="6" t="n">
        <v>-0.9049873868638346</v>
      </c>
      <c r="L473" s="6" t="n">
        <v>0.2795554247936552</v>
      </c>
      <c r="M473" s="6" t="n">
        <v>-2.57184042155321</v>
      </c>
      <c r="N473" s="6" t="n">
        <v>-6.058335199622555</v>
      </c>
      <c r="O473" s="6" t="n">
        <v>0.2012311080018222</v>
      </c>
      <c r="P473" s="6" t="n">
        <v>-0.345241023433455</v>
      </c>
      <c r="Q473" s="6" t="n">
        <v>1.207746145178096</v>
      </c>
      <c r="R473" s="6" t="n">
        <v>1.83489381527427</v>
      </c>
      <c r="S473" s="6" t="n">
        <v>3.085699576596665</v>
      </c>
      <c r="T473" s="6" t="n">
        <v>2.471504687392711</v>
      </c>
      <c r="U473" s="6" t="n">
        <v>-1.272330871682713</v>
      </c>
      <c r="V473" s="6" t="n">
        <v>0.9702709257141514</v>
      </c>
      <c r="W473" s="6" t="n">
        <v>0.2828296679752028</v>
      </c>
      <c r="X473" s="6" t="n">
        <v>2.933797002774516</v>
      </c>
      <c r="Y473" s="6" t="n">
        <v>-0.0228271853353542</v>
      </c>
      <c r="Z473" s="6" t="n">
        <v>-1.252781506184513</v>
      </c>
      <c r="AA473" s="6" t="n">
        <v>-1.202778890309739</v>
      </c>
      <c r="AB473" s="6" t="n">
        <v>2.854988427593974</v>
      </c>
      <c r="AC473" s="6" t="n">
        <v>-0.2955860940069504</v>
      </c>
      <c r="AD473" s="6" t="n">
        <v>-3.187697839428788</v>
      </c>
      <c r="AE473" s="6" t="n">
        <v>2.103502220910396</v>
      </c>
      <c r="AF473" s="6" t="n">
        <v>0.2505886401122129</v>
      </c>
      <c r="AG473" s="6" t="n">
        <v>0.1238107017937114</v>
      </c>
      <c r="AH473" s="6" t="n">
        <v>-0.1997147711827045</v>
      </c>
      <c r="AI473" s="6" t="n">
        <v>0.4557023277236742</v>
      </c>
      <c r="AJ473" s="6" t="n">
        <v>74.91788262879501</v>
      </c>
      <c r="AK473" s="6" t="n">
        <v>0.05983429831255325</v>
      </c>
      <c r="AL473" s="6" t="n">
        <v>1.045775121588245</v>
      </c>
      <c r="AN473" s="6" t="n">
        <v>1.320526762604053</v>
      </c>
      <c r="AO473" s="6" t="n">
        <v>1.320910362523348</v>
      </c>
      <c r="AP473" s="6" t="n">
        <v>0.1338457364356428</v>
      </c>
      <c r="AQ473" s="6" t="n">
        <v>0</v>
      </c>
      <c r="AR473" s="6" t="n">
        <v>0</v>
      </c>
    </row>
    <row r="474">
      <c r="D474" t="inlineStr">
        <is>
          <t>Run 162</t>
        </is>
      </c>
      <c r="J474" s="6" t="n">
        <v>0.3843428267882206</v>
      </c>
      <c r="K474" s="6" t="n">
        <v>1.56852812295069</v>
      </c>
      <c r="L474" s="6" t="n">
        <v>1.497961146992603</v>
      </c>
      <c r="M474" s="6" t="n">
        <v>-0.3539331134225747</v>
      </c>
      <c r="N474" s="6" t="n">
        <v>-0.3380291995104723</v>
      </c>
      <c r="O474" s="6" t="n">
        <v>0.4015801479745232</v>
      </c>
      <c r="P474" s="6" t="n">
        <v>-2.645916941914292</v>
      </c>
      <c r="Q474" s="6" t="n">
        <v>-0.07863502229821367</v>
      </c>
      <c r="R474" s="6" t="n">
        <v>-0.002061903401719149</v>
      </c>
      <c r="S474" s="6" t="n">
        <v>0.2347284717552525</v>
      </c>
      <c r="T474" s="6" t="n">
        <v>-0.6103807750801896</v>
      </c>
      <c r="U474" s="6" t="n">
        <v>1.29352902236996</v>
      </c>
      <c r="V474" s="6" t="n">
        <v>-0.1012047621110364</v>
      </c>
      <c r="W474" s="6" t="n">
        <v>0.9339825625344698</v>
      </c>
      <c r="X474" s="6" t="n">
        <v>1.254132312048613</v>
      </c>
      <c r="Y474" s="6" t="n">
        <v>1.089739300223538</v>
      </c>
      <c r="Z474" s="6" t="n">
        <v>0.9264117496855898</v>
      </c>
      <c r="AA474" s="6" t="n">
        <v>1.737526797619768</v>
      </c>
      <c r="AB474" s="6" t="n">
        <v>0.8534553382879738</v>
      </c>
      <c r="AC474" s="6" t="n">
        <v>-2.672880452234828</v>
      </c>
      <c r="AD474" s="6" t="n">
        <v>-0.1086438174813072</v>
      </c>
      <c r="AE474" s="6" t="n">
        <v>-0.6686298016404162</v>
      </c>
      <c r="AF474" s="6" t="n">
        <v>-0.3046970624385762</v>
      </c>
      <c r="AG474" s="6" t="n">
        <v>-1.678363186330537</v>
      </c>
      <c r="AH474" s="6" t="n">
        <v>1.832324026651099</v>
      </c>
      <c r="AI474" s="6" t="n">
        <v>0.8814384096850743</v>
      </c>
      <c r="AJ474" s="6" t="n">
        <v>73.63627923233595</v>
      </c>
      <c r="AK474" s="6" t="n">
        <v>0.07631448300115798</v>
      </c>
      <c r="AL474" s="6" t="n">
        <v>1.071548280753069</v>
      </c>
      <c r="AN474" s="6" t="n">
        <v>1.343747333309253</v>
      </c>
      <c r="AO474" s="6" t="n">
        <v>1.343752466968474</v>
      </c>
      <c r="AP474" s="6" t="n">
        <v>0.1318973140057696</v>
      </c>
      <c r="AQ474" s="6" t="n">
        <v>0</v>
      </c>
      <c r="AR474" s="6" t="n">
        <v>0</v>
      </c>
    </row>
    <row r="475">
      <c r="D475" t="inlineStr">
        <is>
          <t>Run 163</t>
        </is>
      </c>
      <c r="J475" s="6" t="n">
        <v>-1.375196366416649</v>
      </c>
      <c r="K475" s="6" t="n">
        <v>-1.690816225885238</v>
      </c>
      <c r="L475" s="6" t="n">
        <v>1.679248683497829</v>
      </c>
      <c r="M475" s="6" t="n">
        <v>-1.448357612441453</v>
      </c>
      <c r="N475" s="6" t="n">
        <v>3.014226799060884</v>
      </c>
      <c r="O475" s="6" t="n">
        <v>-5.523645042269864</v>
      </c>
      <c r="P475" s="6" t="n">
        <v>0.564230846635579</v>
      </c>
      <c r="Q475" s="6" t="n">
        <v>1.747533225068435</v>
      </c>
      <c r="R475" s="6" t="n">
        <v>1.626702422976521</v>
      </c>
      <c r="S475" s="6" t="n">
        <v>1.276822868762753</v>
      </c>
      <c r="T475" s="6" t="n">
        <v>0.8194245797658655</v>
      </c>
      <c r="U475" s="6" t="n">
        <v>0.2681812280300005</v>
      </c>
      <c r="V475" s="6" t="n">
        <v>3.995298304300973</v>
      </c>
      <c r="W475" s="6" t="n">
        <v>3.486769873688719</v>
      </c>
      <c r="X475" s="6" t="n">
        <v>1.349763924075176</v>
      </c>
      <c r="Y475" s="6" t="n">
        <v>-3.773867220082884</v>
      </c>
      <c r="Z475" s="6" t="n">
        <v>0.1232294530449491</v>
      </c>
      <c r="AA475" s="6" t="n">
        <v>-0.6123200395599337</v>
      </c>
      <c r="AB475" s="6" t="n">
        <v>2.387452138558478</v>
      </c>
      <c r="AC475" s="6" t="n">
        <v>-1.805273541934286</v>
      </c>
      <c r="AD475" s="6" t="n">
        <v>-4.412197154279254</v>
      </c>
      <c r="AE475" s="6" t="n">
        <v>1.755986668668833</v>
      </c>
      <c r="AF475" s="6" t="n">
        <v>-0.6294665905067341</v>
      </c>
      <c r="AG475" s="6" t="n">
        <v>-1.686331964754226</v>
      </c>
      <c r="AH475" s="6" t="n">
        <v>2.053227561636955</v>
      </c>
      <c r="AI475" s="6" t="n">
        <v>3.25256474735992</v>
      </c>
      <c r="AJ475" s="6" t="n">
        <v>63.40318647424434</v>
      </c>
      <c r="AK475" s="6" t="n">
        <v>0.1384038556974561</v>
      </c>
      <c r="AL475" s="6" t="n">
        <v>1.065389148304169</v>
      </c>
      <c r="AN475" s="6" t="n">
        <v>1.305260438128592</v>
      </c>
      <c r="AO475" s="6" t="n">
        <v>1.315572909727242</v>
      </c>
      <c r="AP475" s="6" t="n">
        <v>0.1299518785227222</v>
      </c>
      <c r="AQ475" s="6" t="n">
        <v>0</v>
      </c>
      <c r="AR475" s="6" t="n">
        <v>0</v>
      </c>
    </row>
    <row r="476">
      <c r="D476" t="inlineStr">
        <is>
          <t>Run 164</t>
        </is>
      </c>
      <c r="J476" s="6" t="n">
        <v>1.394958063971581</v>
      </c>
      <c r="K476" s="6" t="n">
        <v>-1.513014088569106</v>
      </c>
      <c r="L476" s="6" t="n">
        <v>-0.7241540510840281</v>
      </c>
      <c r="M476" s="6" t="n">
        <v>-0.6202080609530912</v>
      </c>
      <c r="N476" s="6" t="n">
        <v>-0.08437348203220556</v>
      </c>
      <c r="O476" s="6" t="n">
        <v>0.4230323509488292</v>
      </c>
      <c r="P476" s="6" t="n">
        <v>-0.9242458000511172</v>
      </c>
      <c r="Q476" s="6" t="n">
        <v>3.436461108809254</v>
      </c>
      <c r="R476" s="6" t="n">
        <v>0.08168262391565462</v>
      </c>
      <c r="S476" s="6" t="n">
        <v>1.443840630372795</v>
      </c>
      <c r="T476" s="6" t="n">
        <v>-0.5240090202779063</v>
      </c>
      <c r="U476" s="6" t="n">
        <v>-1.236425786323722</v>
      </c>
      <c r="V476" s="6" t="n">
        <v>0.5183217022460287</v>
      </c>
      <c r="W476" s="6" t="n">
        <v>-0.6476031981408582</v>
      </c>
      <c r="X476" s="6" t="n">
        <v>-0.5168233127988977</v>
      </c>
      <c r="Y476" s="6" t="n">
        <v>1.224099410476382</v>
      </c>
      <c r="Z476" s="6" t="n">
        <v>-0.2339670824670766</v>
      </c>
      <c r="AA476" s="6" t="n">
        <v>0.9612005348637973</v>
      </c>
      <c r="AB476" s="6" t="n">
        <v>-1.719121337360805</v>
      </c>
      <c r="AC476" s="6" t="n">
        <v>0.3018235399722421</v>
      </c>
      <c r="AD476" s="6" t="n">
        <v>0.1413125586838979</v>
      </c>
      <c r="AE476" s="6" t="n">
        <v>-2.797264846300695</v>
      </c>
      <c r="AF476" s="6" t="n">
        <v>1.004869884347753</v>
      </c>
      <c r="AG476" s="6" t="n">
        <v>-1.643897973333533</v>
      </c>
      <c r="AH476" s="6" t="n">
        <v>0.1287002175534166</v>
      </c>
      <c r="AI476" s="6" t="n">
        <v>0.9787724296302581</v>
      </c>
      <c r="AJ476" s="6" t="n">
        <v>74.13048762638506</v>
      </c>
      <c r="AK476" s="6" t="n">
        <v>0.1746796843157672</v>
      </c>
      <c r="AL476" s="6" t="n">
        <v>1.016364110652678</v>
      </c>
      <c r="AN476" s="6" t="n">
        <v>1.352739189866884</v>
      </c>
      <c r="AO476" s="6" t="n">
        <v>1.352739189866884</v>
      </c>
      <c r="AP476" s="6" t="n">
        <v>0.1352363624488788</v>
      </c>
      <c r="AQ476" s="6" t="n">
        <v>0</v>
      </c>
      <c r="AR476" s="6" t="n">
        <v>0</v>
      </c>
    </row>
    <row r="477">
      <c r="D477" t="inlineStr">
        <is>
          <t>Run 165</t>
        </is>
      </c>
      <c r="J477" s="6" t="n">
        <v>-1.560668405048315</v>
      </c>
      <c r="K477" s="6" t="n">
        <v>3.809109674597479</v>
      </c>
      <c r="L477" s="6" t="n">
        <v>1.394325805544776</v>
      </c>
      <c r="M477" s="6" t="n">
        <v>-0.1412964189280203</v>
      </c>
      <c r="N477" s="6" t="n">
        <v>-0.9745549055494447</v>
      </c>
      <c r="O477" s="6" t="n">
        <v>0.7931439126699767</v>
      </c>
      <c r="P477" s="6" t="n">
        <v>-0.0389400764664469</v>
      </c>
      <c r="Q477" s="6" t="n">
        <v>-2.146461633707446</v>
      </c>
      <c r="R477" s="6" t="n">
        <v>0.5508986889405059</v>
      </c>
      <c r="S477" s="6" t="n">
        <v>-0.823939909431374</v>
      </c>
      <c r="T477" s="6" t="n">
        <v>-0.569212036968019</v>
      </c>
      <c r="U477" s="6" t="n">
        <v>3.329262635434357</v>
      </c>
      <c r="V477" s="6" t="n">
        <v>3.496592082776762</v>
      </c>
      <c r="W477" s="6" t="n">
        <v>0.1396055814744338</v>
      </c>
      <c r="X477" s="6" t="n">
        <v>-0.9591222292055892</v>
      </c>
      <c r="Y477" s="6" t="n">
        <v>-0.7999109570239825</v>
      </c>
      <c r="Z477" s="6" t="n">
        <v>-3.729177228758454</v>
      </c>
      <c r="AA477" s="6" t="n">
        <v>0.8811146892133409</v>
      </c>
      <c r="AB477" s="6" t="n">
        <v>1.391185879149118</v>
      </c>
      <c r="AC477" s="6" t="n">
        <v>-1.010017429006542</v>
      </c>
      <c r="AD477" s="6" t="n">
        <v>1.611581374837269</v>
      </c>
      <c r="AE477" s="6" t="n">
        <v>-1.335174908086325</v>
      </c>
      <c r="AF477" s="6" t="n">
        <v>2.396207644141623</v>
      </c>
      <c r="AG477" s="6" t="n">
        <v>-2.781845151601648</v>
      </c>
      <c r="AH477" s="6" t="n">
        <v>-0.655875973394177</v>
      </c>
      <c r="AI477" s="6" t="n">
        <v>-1.151060838317731</v>
      </c>
      <c r="AJ477" s="6" t="n">
        <v>77.7633452291938</v>
      </c>
      <c r="AK477" s="6" t="n">
        <v>0.1444243958260197</v>
      </c>
      <c r="AL477" s="6" t="n">
        <v>1.085089025161852</v>
      </c>
      <c r="AN477" s="6" t="n">
        <v>1.332058726937813</v>
      </c>
      <c r="AO477" s="6" t="n">
        <v>1.332442309030641</v>
      </c>
      <c r="AP477" s="6" t="n">
        <v>0.129374899951872</v>
      </c>
      <c r="AQ477" s="6" t="n">
        <v>0</v>
      </c>
      <c r="AR477" s="6" t="n">
        <v>0</v>
      </c>
    </row>
    <row r="478">
      <c r="D478" t="inlineStr">
        <is>
          <t>Run 166</t>
        </is>
      </c>
      <c r="J478" s="6" t="n">
        <v>1.890218966819546</v>
      </c>
      <c r="K478" s="6" t="n">
        <v>0.838617277165266</v>
      </c>
      <c r="L478" s="6" t="n">
        <v>2.89143220564296</v>
      </c>
      <c r="M478" s="6" t="n">
        <v>-1.425074703885022</v>
      </c>
      <c r="N478" s="6" t="n">
        <v>2.770371181698131</v>
      </c>
      <c r="O478" s="6" t="n">
        <v>-0.7673293629439507</v>
      </c>
      <c r="P478" s="6" t="n">
        <v>3.667774902272059</v>
      </c>
      <c r="Q478" s="6" t="n">
        <v>-2.296221218635696</v>
      </c>
      <c r="R478" s="6" t="n">
        <v>1.126291669396574</v>
      </c>
      <c r="S478" s="6" t="n">
        <v>0.8157746990356524</v>
      </c>
      <c r="T478" s="6" t="n">
        <v>2.741744443945297</v>
      </c>
      <c r="U478" s="6" t="n">
        <v>0.9345200404734345</v>
      </c>
      <c r="V478" s="6" t="n">
        <v>-0.7733361119788362</v>
      </c>
      <c r="W478" s="6" t="n">
        <v>-0.09165697731112139</v>
      </c>
      <c r="X478" s="6" t="n">
        <v>0.3699338023278924</v>
      </c>
      <c r="Y478" s="6" t="n">
        <v>-2.669286566479855</v>
      </c>
      <c r="Z478" s="6" t="n">
        <v>3.350394431548088</v>
      </c>
      <c r="AA478" s="6" t="n">
        <v>0.8607779694009277</v>
      </c>
      <c r="AB478" s="6" t="n">
        <v>-2.263364309672293</v>
      </c>
      <c r="AC478" s="6" t="n">
        <v>-0.7873567676714985</v>
      </c>
      <c r="AD478" s="6" t="n">
        <v>-0.895458842050733</v>
      </c>
      <c r="AE478" s="6" t="n">
        <v>0.176577704935212</v>
      </c>
      <c r="AF478" s="6" t="n">
        <v>-1.701701274791491</v>
      </c>
      <c r="AG478" s="6" t="n">
        <v>-1.272127713115038</v>
      </c>
      <c r="AH478" s="6" t="n">
        <v>1.083467403479458</v>
      </c>
      <c r="AI478" s="6" t="n">
        <v>-1.7346821113578</v>
      </c>
      <c r="AJ478" s="6" t="n">
        <v>76.98088014382461</v>
      </c>
      <c r="AK478" s="6" t="n">
        <v>0.11309330085288</v>
      </c>
      <c r="AL478" s="6" t="n">
        <v>1.013981647489669</v>
      </c>
      <c r="AN478" s="6" t="n">
        <v>1.355137875226548</v>
      </c>
      <c r="AO478" s="6" t="n">
        <v>1.356069217403115</v>
      </c>
      <c r="AP478" s="6" t="n">
        <v>0.1367860956844913</v>
      </c>
      <c r="AQ478" s="6" t="n">
        <v>0</v>
      </c>
      <c r="AR478" s="6" t="n">
        <v>0</v>
      </c>
    </row>
    <row r="479">
      <c r="D479" t="inlineStr">
        <is>
          <t>Run 167</t>
        </is>
      </c>
      <c r="J479" s="6" t="n">
        <v>2.669609943484505</v>
      </c>
      <c r="K479" s="6" t="n">
        <v>-0.8586187283489226</v>
      </c>
      <c r="L479" s="6" t="n">
        <v>0.9018210051829206</v>
      </c>
      <c r="M479" s="6" t="n">
        <v>-0.05326327014540481</v>
      </c>
      <c r="N479" s="6" t="n">
        <v>1.738350431542556</v>
      </c>
      <c r="O479" s="6" t="n">
        <v>-1.071369663739843</v>
      </c>
      <c r="P479" s="6" t="n">
        <v>1.838269597439308</v>
      </c>
      <c r="Q479" s="6" t="n">
        <v>-1.799876187906901</v>
      </c>
      <c r="R479" s="6" t="n">
        <v>1.972225204678425</v>
      </c>
      <c r="S479" s="6" t="n">
        <v>-2.003890898777429</v>
      </c>
      <c r="T479" s="6" t="n">
        <v>1.033930441263504</v>
      </c>
      <c r="U479" s="6" t="n">
        <v>0.8911433820254178</v>
      </c>
      <c r="V479" s="6" t="n">
        <v>1.331887662612698</v>
      </c>
      <c r="W479" s="6" t="n">
        <v>-0.1779761478646176</v>
      </c>
      <c r="X479" s="6" t="n">
        <v>-4.522195006935879</v>
      </c>
      <c r="Y479" s="6" t="n">
        <v>-1.60718126046773</v>
      </c>
      <c r="Z479" s="6" t="n">
        <v>2.735184956931167</v>
      </c>
      <c r="AA479" s="6" t="n">
        <v>1.658314617518935</v>
      </c>
      <c r="AB479" s="6" t="n">
        <v>-0.4964614787257789</v>
      </c>
      <c r="AC479" s="6" t="n">
        <v>-0.9004488261618616</v>
      </c>
      <c r="AD479" s="6" t="n">
        <v>3.358442837443031</v>
      </c>
      <c r="AE479" s="6" t="n">
        <v>-0.446973786188429</v>
      </c>
      <c r="AF479" s="6" t="n">
        <v>0.2010875535547433</v>
      </c>
      <c r="AG479" s="6" t="n">
        <v>-0.125787859857104</v>
      </c>
      <c r="AH479" s="6" t="n">
        <v>0.681246999106816</v>
      </c>
      <c r="AI479" s="6" t="n">
        <v>1.062994878787282</v>
      </c>
      <c r="AJ479" s="6" t="n">
        <v>81.36928333770281</v>
      </c>
      <c r="AK479" s="6" t="n">
        <v>0.06302042827318599</v>
      </c>
      <c r="AL479" s="6" t="n">
        <v>1.028271975433544</v>
      </c>
      <c r="AN479" s="6" t="n">
        <v>1.357169678412864</v>
      </c>
      <c r="AO479" s="6" t="n">
        <v>1.357524572574042</v>
      </c>
      <c r="AP479" s="6" t="n">
        <v>0.1367657822146277</v>
      </c>
      <c r="AQ479" s="6" t="n">
        <v>0</v>
      </c>
      <c r="AR479" s="6" t="n">
        <v>0</v>
      </c>
    </row>
    <row r="480">
      <c r="D480" t="inlineStr">
        <is>
          <t>Run 168</t>
        </is>
      </c>
      <c r="J480" s="6" t="n">
        <v>-0.6851619646479185</v>
      </c>
      <c r="K480" s="6" t="n">
        <v>-0.643258199052769</v>
      </c>
      <c r="L480" s="6" t="n">
        <v>-0.2988074957472875</v>
      </c>
      <c r="M480" s="6" t="n">
        <v>-0.8846276025621612</v>
      </c>
      <c r="N480" s="6" t="n">
        <v>2.668603383633603</v>
      </c>
      <c r="O480" s="6" t="n">
        <v>1.514652301121663</v>
      </c>
      <c r="P480" s="6" t="n">
        <v>-0.1824049545600261</v>
      </c>
      <c r="Q480" s="6" t="n">
        <v>0.005532399967721612</v>
      </c>
      <c r="R480" s="6" t="n">
        <v>1.604574070309232</v>
      </c>
      <c r="S480" s="6" t="n">
        <v>-4.072085528595488</v>
      </c>
      <c r="T480" s="6" t="n">
        <v>1.901009049323684</v>
      </c>
      <c r="U480" s="6" t="n">
        <v>2.829270764669819</v>
      </c>
      <c r="V480" s="6" t="n">
        <v>-2.429121359373613</v>
      </c>
      <c r="W480" s="6" t="n">
        <v>5</v>
      </c>
      <c r="X480" s="6" t="n">
        <v>1.747775709634594</v>
      </c>
      <c r="Y480" s="6" t="n">
        <v>-0.7000928236275125</v>
      </c>
      <c r="Z480" s="6" t="n">
        <v>-3.749386549317317</v>
      </c>
      <c r="AA480" s="6" t="n">
        <v>-2.024409110042589</v>
      </c>
      <c r="AB480" s="6" t="n">
        <v>-0.7381305626600146</v>
      </c>
      <c r="AC480" s="6" t="n">
        <v>-0.6062168940949891</v>
      </c>
      <c r="AD480" s="6" t="n">
        <v>1.358998129549465</v>
      </c>
      <c r="AE480" s="6" t="n">
        <v>-1.662456334057153</v>
      </c>
      <c r="AF480" s="6" t="n">
        <v>0.4104792040948433</v>
      </c>
      <c r="AG480" s="6" t="n">
        <v>-1.601947075931449</v>
      </c>
      <c r="AH480" s="6" t="n">
        <v>-2.254972975559717</v>
      </c>
      <c r="AI480" s="6" t="n">
        <v>-2.617434485802579</v>
      </c>
      <c r="AJ480" s="6" t="n">
        <v>77.22025491265317</v>
      </c>
      <c r="AK480" s="6" t="n">
        <v>0.05738646001437656</v>
      </c>
      <c r="AL480" s="6" t="n">
        <v>1.060983407355814</v>
      </c>
      <c r="AN480" s="6" t="n">
        <v>1.349139560242249</v>
      </c>
      <c r="AO480" s="6" t="n">
        <v>1.349863198218505</v>
      </c>
      <c r="AP480" s="6" t="n">
        <v>0.1334055859641626</v>
      </c>
      <c r="AQ480" s="6" t="n">
        <v>0</v>
      </c>
      <c r="AR480" s="6" t="n">
        <v>0</v>
      </c>
    </row>
    <row r="481">
      <c r="D481" t="inlineStr">
        <is>
          <t>Run 169</t>
        </is>
      </c>
      <c r="J481" s="6" t="n">
        <v>-2.779623281559678</v>
      </c>
      <c r="K481" s="6" t="n">
        <v>0.9824294568833541</v>
      </c>
      <c r="L481" s="6" t="n">
        <v>-0.03653800005064035</v>
      </c>
      <c r="M481" s="6" t="n">
        <v>1.298871399084361</v>
      </c>
      <c r="N481" s="6" t="n">
        <v>-0.59798704036679</v>
      </c>
      <c r="O481" s="6" t="n">
        <v>0.9781248913045659</v>
      </c>
      <c r="P481" s="6" t="n">
        <v>4.253970109584207</v>
      </c>
      <c r="Q481" s="6" t="n">
        <v>-0.1298386763543801</v>
      </c>
      <c r="R481" s="6" t="n">
        <v>-0.5431046628591635</v>
      </c>
      <c r="S481" s="6" t="n">
        <v>0.04294081474643351</v>
      </c>
      <c r="T481" s="6" t="n">
        <v>-2.90026835583565</v>
      </c>
      <c r="U481" s="6" t="n">
        <v>-0.1725843833040812</v>
      </c>
      <c r="V481" s="6" t="n">
        <v>-3.329006488519621</v>
      </c>
      <c r="W481" s="6" t="n">
        <v>-4.328496895829205</v>
      </c>
      <c r="X481" s="6" t="n">
        <v>-0.1270823843507366</v>
      </c>
      <c r="Y481" s="6" t="n">
        <v>-1.652929325363037</v>
      </c>
      <c r="Z481" s="6" t="n">
        <v>-0.4889058811285654</v>
      </c>
      <c r="AA481" s="6" t="n">
        <v>1.046599511349369</v>
      </c>
      <c r="AB481" s="6" t="n">
        <v>-2.869264140836687</v>
      </c>
      <c r="AC481" s="6" t="n">
        <v>-0.7293963368025269</v>
      </c>
      <c r="AD481" s="6" t="n">
        <v>-0.02151505107624832</v>
      </c>
      <c r="AE481" s="6" t="n">
        <v>2.071463810135076</v>
      </c>
      <c r="AF481" s="6" t="n">
        <v>1.97642240338625</v>
      </c>
      <c r="AG481" s="6" t="n">
        <v>0.1882300963875552</v>
      </c>
      <c r="AH481" s="6" t="n">
        <v>2.742224954515792</v>
      </c>
      <c r="AI481" s="6" t="n">
        <v>3.206921159831017</v>
      </c>
      <c r="AJ481" s="6" t="n">
        <v>66.27797365072971</v>
      </c>
      <c r="AK481" s="6" t="n">
        <v>0.1209164390630142</v>
      </c>
      <c r="AL481" s="6" t="n">
        <v>1.093990178043313</v>
      </c>
      <c r="AN481" s="6" t="n">
        <v>1.326501677301685</v>
      </c>
      <c r="AO481" s="6" t="n">
        <v>1.327567793458011</v>
      </c>
      <c r="AP481" s="6" t="n">
        <v>0.1293093439909808</v>
      </c>
      <c r="AQ481" s="6" t="n">
        <v>0</v>
      </c>
      <c r="AR481" s="6" t="n">
        <v>0</v>
      </c>
    </row>
    <row r="482">
      <c r="D482" t="inlineStr">
        <is>
          <t>Run 170</t>
        </is>
      </c>
      <c r="J482" s="6" t="n">
        <v>-0.5328755481631346</v>
      </c>
      <c r="K482" s="6" t="n">
        <v>1.928925285148884</v>
      </c>
      <c r="L482" s="6" t="n">
        <v>2.490616872747265</v>
      </c>
      <c r="M482" s="6" t="n">
        <v>-0.2889658210203804</v>
      </c>
      <c r="N482" s="6" t="n">
        <v>0.8123703161542565</v>
      </c>
      <c r="O482" s="6" t="n">
        <v>-0.0746934979039687</v>
      </c>
      <c r="P482" s="6" t="n">
        <v>-0.6895744328222355</v>
      </c>
      <c r="Q482" s="6" t="n">
        <v>-0.9977256057161538</v>
      </c>
      <c r="R482" s="6" t="n">
        <v>-1.65663270841213</v>
      </c>
      <c r="S482" s="6" t="n">
        <v>-0.3086854117664056</v>
      </c>
      <c r="T482" s="6" t="n">
        <v>4.066295799056533</v>
      </c>
      <c r="U482" s="6" t="n">
        <v>0.8389456194218442</v>
      </c>
      <c r="V482" s="6" t="n">
        <v>1.632513495070648</v>
      </c>
      <c r="W482" s="6" t="n">
        <v>0.4569948105554044</v>
      </c>
      <c r="X482" s="6" t="n">
        <v>-1.606967019711691</v>
      </c>
      <c r="Y482" s="6" t="n">
        <v>0.4044876351119615</v>
      </c>
      <c r="Z482" s="6" t="n">
        <v>-0.636318883541902</v>
      </c>
      <c r="AA482" s="6" t="n">
        <v>-0.130145235396024</v>
      </c>
      <c r="AB482" s="6" t="n">
        <v>2.152665204348758</v>
      </c>
      <c r="AC482" s="6" t="n">
        <v>-0.0968670199740638</v>
      </c>
      <c r="AD482" s="6" t="n">
        <v>-2.350109655780549</v>
      </c>
      <c r="AE482" s="6" t="n">
        <v>-2.398783186442389</v>
      </c>
      <c r="AF482" s="6" t="n">
        <v>1.089391988439723</v>
      </c>
      <c r="AG482" s="6" t="n">
        <v>0.04263182761966871</v>
      </c>
      <c r="AH482" s="6" t="n">
        <v>-2.355535106476157</v>
      </c>
      <c r="AI482" s="6" t="n">
        <v>1.448561623854078</v>
      </c>
      <c r="AJ482" s="6" t="n">
        <v>64.87495263066998</v>
      </c>
      <c r="AK482" s="6" t="n">
        <v>0.1125685127899149</v>
      </c>
      <c r="AL482" s="6" t="n">
        <v>1.032739296135941</v>
      </c>
      <c r="AN482" s="6" t="n">
        <v>1.345463659643925</v>
      </c>
      <c r="AO482" s="6" t="n">
        <v>1.345995267612242</v>
      </c>
      <c r="AP482" s="6" t="n">
        <v>0.1335552562639454</v>
      </c>
      <c r="AQ482" s="6" t="n">
        <v>0</v>
      </c>
      <c r="AR482" s="6" t="n">
        <v>0</v>
      </c>
    </row>
    <row r="483">
      <c r="D483" t="inlineStr">
        <is>
          <t>Run 171</t>
        </is>
      </c>
      <c r="J483" s="6" t="n">
        <v>1.44070739497784</v>
      </c>
      <c r="K483" s="6" t="n">
        <v>1.938503472706602</v>
      </c>
      <c r="L483" s="6" t="n">
        <v>-0.6028124947015504</v>
      </c>
      <c r="M483" s="6" t="n">
        <v>-0.2267202740046355</v>
      </c>
      <c r="N483" s="6" t="n">
        <v>1.213686921735198</v>
      </c>
      <c r="O483" s="6" t="n">
        <v>-0.2079010507782549</v>
      </c>
      <c r="P483" s="6" t="n">
        <v>0.3685398066634117</v>
      </c>
      <c r="Q483" s="6" t="n">
        <v>3.839012503048249</v>
      </c>
      <c r="R483" s="6" t="n">
        <v>-2.27675294606877</v>
      </c>
      <c r="S483" s="6" t="n">
        <v>-2.380425374387078</v>
      </c>
      <c r="T483" s="6" t="n">
        <v>-3.284489703603577</v>
      </c>
      <c r="U483" s="6" t="n">
        <v>-0.06682398199725804</v>
      </c>
      <c r="V483" s="6" t="n">
        <v>-1.685585135653425</v>
      </c>
      <c r="W483" s="6" t="n">
        <v>-0.2463109192415168</v>
      </c>
      <c r="X483" s="6" t="n">
        <v>-1.386095997193127</v>
      </c>
      <c r="Y483" s="6" t="n">
        <v>0.77930696938016</v>
      </c>
      <c r="Z483" s="6" t="n">
        <v>0.2406758794275405</v>
      </c>
      <c r="AA483" s="6" t="n">
        <v>0.5023648189589941</v>
      </c>
      <c r="AB483" s="6" t="n">
        <v>-3.90543765744525</v>
      </c>
      <c r="AC483" s="6" t="n">
        <v>1.219708581497052</v>
      </c>
      <c r="AD483" s="6" t="n">
        <v>0.2995517822715587</v>
      </c>
      <c r="AE483" s="6" t="n">
        <v>-1.38914803460482</v>
      </c>
      <c r="AF483" s="6" t="n">
        <v>-0.3353694975259572</v>
      </c>
      <c r="AG483" s="6" t="n">
        <v>0.6584685570006754</v>
      </c>
      <c r="AH483" s="6" t="n">
        <v>2.383910110413145</v>
      </c>
      <c r="AI483" s="6" t="n">
        <v>-0.03602212963103255</v>
      </c>
      <c r="AJ483" s="6" t="n">
        <v>70.43761905695625</v>
      </c>
      <c r="AK483" s="6" t="n">
        <v>0.1407487735356404</v>
      </c>
      <c r="AL483" s="6" t="n">
        <v>1.027671959176288</v>
      </c>
      <c r="AN483" s="6" t="n">
        <v>1.349005419555285</v>
      </c>
      <c r="AO483" s="6" t="n">
        <v>1.349108161212809</v>
      </c>
      <c r="AP483" s="6" t="n">
        <v>0.1342326710806934</v>
      </c>
      <c r="AQ483" s="6" t="n">
        <v>0</v>
      </c>
      <c r="AR483" s="6" t="n">
        <v>0</v>
      </c>
    </row>
    <row r="484">
      <c r="D484" t="inlineStr">
        <is>
          <t>Run 172</t>
        </is>
      </c>
      <c r="J484" s="6" t="n">
        <v>-0.6978842102465916</v>
      </c>
      <c r="K484" s="6" t="n">
        <v>1.445903733133333</v>
      </c>
      <c r="L484" s="6" t="n">
        <v>-2.111894638793728</v>
      </c>
      <c r="M484" s="6" t="n">
        <v>2.22674818795203</v>
      </c>
      <c r="N484" s="6" t="n">
        <v>-5.782962429317423</v>
      </c>
      <c r="O484" s="6" t="n">
        <v>-3.414120986105594</v>
      </c>
      <c r="P484" s="6" t="n">
        <v>0.6665771066907028</v>
      </c>
      <c r="Q484" s="6" t="n">
        <v>-1.708874293505309</v>
      </c>
      <c r="R484" s="6" t="n">
        <v>-2.016490612115974</v>
      </c>
      <c r="S484" s="6" t="n">
        <v>-1.13819051537843</v>
      </c>
      <c r="T484" s="6" t="n">
        <v>-1.863057455005411</v>
      </c>
      <c r="U484" s="6" t="n">
        <v>-0.1346659600586407</v>
      </c>
      <c r="V484" s="6" t="n">
        <v>-2.11120163166249</v>
      </c>
      <c r="W484" s="6" t="n">
        <v>0.5734944778545036</v>
      </c>
      <c r="X484" s="6" t="n">
        <v>-2.872893227450764</v>
      </c>
      <c r="Y484" s="6" t="n">
        <v>-2.684067114920491</v>
      </c>
      <c r="Z484" s="6" t="n">
        <v>0.1668368812036623</v>
      </c>
      <c r="AA484" s="6" t="n">
        <v>2.900566459864631</v>
      </c>
      <c r="AB484" s="6" t="n">
        <v>2.706838965087292</v>
      </c>
      <c r="AC484" s="6" t="n">
        <v>-2.031902525339973</v>
      </c>
      <c r="AD484" s="6" t="n">
        <v>-0.2784854454977025</v>
      </c>
      <c r="AE484" s="6" t="n">
        <v>-0.3949829260274991</v>
      </c>
      <c r="AF484" s="6" t="n">
        <v>2.924697979048986</v>
      </c>
      <c r="AG484" s="6" t="n">
        <v>-1.035771458457717</v>
      </c>
      <c r="AH484" s="6" t="n">
        <v>2.211682779060276</v>
      </c>
      <c r="AI484" s="6" t="n">
        <v>-2.360913891389724</v>
      </c>
      <c r="AJ484" s="6" t="n">
        <v>78.38269775743493</v>
      </c>
      <c r="AK484" s="6" t="n">
        <v>0.08228257186491786</v>
      </c>
      <c r="AL484" s="6" t="n">
        <v>0.9948469982102903</v>
      </c>
      <c r="AN484" s="6" t="n">
        <v>1.359750330439812</v>
      </c>
      <c r="AO484" s="6" t="n">
        <v>1.359760818966292</v>
      </c>
      <c r="AP484" s="6" t="n">
        <v>0.1408034841343937</v>
      </c>
      <c r="AQ484" s="6" t="n">
        <v>0</v>
      </c>
      <c r="AR484" s="6" t="n">
        <v>0</v>
      </c>
    </row>
    <row r="485">
      <c r="D485" t="inlineStr">
        <is>
          <t>Run 173</t>
        </is>
      </c>
      <c r="J485" s="6" t="n">
        <v>-2.278855537590136</v>
      </c>
      <c r="K485" s="6" t="n">
        <v>0.9691120563322154</v>
      </c>
      <c r="L485" s="6" t="n">
        <v>-2.039212924289652</v>
      </c>
      <c r="M485" s="6" t="n">
        <v>-0.4525273267354841</v>
      </c>
      <c r="N485" s="6" t="n">
        <v>-1.704650043806329</v>
      </c>
      <c r="O485" s="6" t="n">
        <v>-2.228012924282795</v>
      </c>
      <c r="P485" s="6" t="n">
        <v>-3.33204213252422</v>
      </c>
      <c r="Q485" s="6" t="n">
        <v>-1.348285419689999</v>
      </c>
      <c r="R485" s="6" t="n">
        <v>0.8817000372374406</v>
      </c>
      <c r="S485" s="6" t="n">
        <v>2.503853503177598</v>
      </c>
      <c r="T485" s="6" t="n">
        <v>0.510879234131712</v>
      </c>
      <c r="U485" s="6" t="n">
        <v>1.059652320294126</v>
      </c>
      <c r="V485" s="6" t="n">
        <v>-0.5776275602374843</v>
      </c>
      <c r="W485" s="6" t="n">
        <v>2.235624667315166</v>
      </c>
      <c r="X485" s="6" t="n">
        <v>-0.8110621024141352</v>
      </c>
      <c r="Y485" s="6" t="n">
        <v>-3.358750292230719</v>
      </c>
      <c r="Z485" s="6" t="n">
        <v>-0.2584044961925094</v>
      </c>
      <c r="AA485" s="6" t="n">
        <v>-0.6323383690452297</v>
      </c>
      <c r="AB485" s="6" t="n">
        <v>1.418253745553838</v>
      </c>
      <c r="AC485" s="6" t="n">
        <v>2.277406850189459</v>
      </c>
      <c r="AD485" s="6" t="n">
        <v>2.556033083384547</v>
      </c>
      <c r="AE485" s="6" t="n">
        <v>-3.306717653467569</v>
      </c>
      <c r="AF485" s="6" t="n">
        <v>2.145939050167116</v>
      </c>
      <c r="AG485" s="6" t="n">
        <v>0.0130143062108248</v>
      </c>
      <c r="AH485" s="6" t="n">
        <v>-1.187365323458817</v>
      </c>
      <c r="AI485" s="6" t="n">
        <v>-1.006972926345394</v>
      </c>
      <c r="AJ485" s="6" t="n">
        <v>73.85919733530658</v>
      </c>
      <c r="AK485" s="6" t="n">
        <v>0.1156569584831479</v>
      </c>
      <c r="AL485" s="6" t="n">
        <v>1.087431080214609</v>
      </c>
      <c r="AN485" s="6" t="n">
        <v>1.339096668609784</v>
      </c>
      <c r="AO485" s="6" t="n">
        <v>1.33911768363574</v>
      </c>
      <c r="AP485" s="6" t="n">
        <v>0.1299809463354742</v>
      </c>
      <c r="AQ485" s="6" t="n">
        <v>0</v>
      </c>
      <c r="AR485" s="6" t="n">
        <v>0</v>
      </c>
    </row>
    <row r="486">
      <c r="D486" t="inlineStr">
        <is>
          <t>Run 174</t>
        </is>
      </c>
      <c r="J486" s="6" t="n">
        <v>-0.2569231950509687</v>
      </c>
      <c r="K486" s="6" t="n">
        <v>-1.153979307423196</v>
      </c>
      <c r="L486" s="6" t="n">
        <v>-0.3179234699713741</v>
      </c>
      <c r="M486" s="6" t="n">
        <v>-2.030772729558219</v>
      </c>
      <c r="N486" s="6" t="n">
        <v>-0.5341947080938357</v>
      </c>
      <c r="O486" s="6" t="n">
        <v>1.498156230784461</v>
      </c>
      <c r="P486" s="6" t="n">
        <v>-0.4236396625228487</v>
      </c>
      <c r="Q486" s="6" t="n">
        <v>1.995502034240134</v>
      </c>
      <c r="R486" s="6" t="n">
        <v>0.8637151276940579</v>
      </c>
      <c r="S486" s="6" t="n">
        <v>-2.204801892126956</v>
      </c>
      <c r="T486" s="6" t="n">
        <v>-0.5508237253968703</v>
      </c>
      <c r="U486" s="6" t="n">
        <v>-0.2015476515727027</v>
      </c>
      <c r="V486" s="6" t="n">
        <v>2.843141922864314</v>
      </c>
      <c r="W486" s="6" t="n">
        <v>0.4670453293890878</v>
      </c>
      <c r="X486" s="6" t="n">
        <v>-0.2218603323689364</v>
      </c>
      <c r="Y486" s="6" t="n">
        <v>-1.101189964807979</v>
      </c>
      <c r="Z486" s="6" t="n">
        <v>1.336332861835441</v>
      </c>
      <c r="AA486" s="6" t="n">
        <v>-2.473188074979523</v>
      </c>
      <c r="AB486" s="6" t="n">
        <v>0.0937387032495501</v>
      </c>
      <c r="AC486" s="6" t="n">
        <v>0.6479450857776466</v>
      </c>
      <c r="AD486" s="6" t="n">
        <v>0.9569611084946719</v>
      </c>
      <c r="AE486" s="6" t="n">
        <v>-4.376290158320441</v>
      </c>
      <c r="AF486" s="6" t="n">
        <v>-1.289938585703944</v>
      </c>
      <c r="AG486" s="6" t="n">
        <v>-2.042540692584785</v>
      </c>
      <c r="AH486" s="6" t="n">
        <v>0.3586592367809036</v>
      </c>
      <c r="AI486" s="6" t="n">
        <v>-1.050097748031746</v>
      </c>
      <c r="AJ486" s="6" t="n">
        <v>61.16542512848398</v>
      </c>
      <c r="AK486" s="6" t="n">
        <v>0.04730826776640985</v>
      </c>
      <c r="AL486" s="6" t="n">
        <v>1.036499263469818</v>
      </c>
      <c r="AN486" s="6" t="n">
        <v>1.334413783702681</v>
      </c>
      <c r="AO486" s="6" t="n">
        <v>1.341609280649012</v>
      </c>
      <c r="AP486" s="6" t="n">
        <v>0.1341880391523488</v>
      </c>
      <c r="AQ486" s="6" t="n">
        <v>0</v>
      </c>
      <c r="AR486" s="6" t="n">
        <v>0</v>
      </c>
    </row>
    <row r="487">
      <c r="D487" t="inlineStr">
        <is>
          <t>Run 175</t>
        </is>
      </c>
      <c r="J487" s="6" t="n">
        <v>2.342610928406464</v>
      </c>
      <c r="K487" s="6" t="n">
        <v>-0.8094649591559617</v>
      </c>
      <c r="L487" s="6" t="n">
        <v>-1.406622737685864</v>
      </c>
      <c r="M487" s="6" t="n">
        <v>-2.530523079588113</v>
      </c>
      <c r="N487" s="6" t="n">
        <v>-2.39322900888627</v>
      </c>
      <c r="O487" s="6" t="n">
        <v>0.4347816157461631</v>
      </c>
      <c r="P487" s="6" t="n">
        <v>0.5712738931520105</v>
      </c>
      <c r="Q487" s="6" t="n">
        <v>1.562342312979672</v>
      </c>
      <c r="R487" s="6" t="n">
        <v>1.097041873789091</v>
      </c>
      <c r="S487" s="6" t="n">
        <v>2.588035722332999</v>
      </c>
      <c r="T487" s="6" t="n">
        <v>0.1517391925709958</v>
      </c>
      <c r="U487" s="6" t="n">
        <v>-2.528323049176569</v>
      </c>
      <c r="V487" s="6" t="n">
        <v>1.495194036484351</v>
      </c>
      <c r="W487" s="6" t="n">
        <v>3.246566176333327</v>
      </c>
      <c r="X487" s="6" t="n">
        <v>-2.440597463977716</v>
      </c>
      <c r="Y487" s="6" t="n">
        <v>0.4923448441874096</v>
      </c>
      <c r="Z487" s="6" t="n">
        <v>-0.2003869839412159</v>
      </c>
      <c r="AA487" s="6" t="n">
        <v>1.194361578236294</v>
      </c>
      <c r="AB487" s="6" t="n">
        <v>1.165974569734388</v>
      </c>
      <c r="AC487" s="6" t="n">
        <v>2.140810075036383</v>
      </c>
      <c r="AD487" s="6" t="n">
        <v>-0.2937898265145371</v>
      </c>
      <c r="AE487" s="6" t="n">
        <v>1.55152370787135</v>
      </c>
      <c r="AF487" s="6" t="n">
        <v>-1.132862987544481</v>
      </c>
      <c r="AG487" s="6" t="n">
        <v>-0.106499692289669</v>
      </c>
      <c r="AH487" s="6" t="n">
        <v>-1.426448427611052</v>
      </c>
      <c r="AI487" s="6" t="n">
        <v>-2.701877035772704</v>
      </c>
      <c r="AJ487" s="6" t="n">
        <v>75.97790045804226</v>
      </c>
      <c r="AK487" s="6" t="n">
        <v>0.1838472068307664</v>
      </c>
      <c r="AL487" s="6" t="n">
        <v>1.053402557854123</v>
      </c>
      <c r="AN487" s="6" t="n">
        <v>1.320220156304367</v>
      </c>
      <c r="AO487" s="6" t="n">
        <v>1.323967077745724</v>
      </c>
      <c r="AP487" s="6" t="n">
        <v>0.1305732819029588</v>
      </c>
      <c r="AQ487" s="6" t="n">
        <v>0</v>
      </c>
      <c r="AR487" s="6" t="n">
        <v>0</v>
      </c>
    </row>
    <row r="488">
      <c r="D488" t="inlineStr">
        <is>
          <t>Run 176</t>
        </is>
      </c>
      <c r="J488" s="6" t="n">
        <v>-1.221831000141858</v>
      </c>
      <c r="K488" s="6" t="n">
        <v>-1.654611648409389</v>
      </c>
      <c r="L488" s="6" t="n">
        <v>-1.493634375203555</v>
      </c>
      <c r="M488" s="6" t="n">
        <v>1.524063506498363</v>
      </c>
      <c r="N488" s="6" t="n">
        <v>3.476638299398217</v>
      </c>
      <c r="O488" s="6" t="n">
        <v>0.7220948766342877</v>
      </c>
      <c r="P488" s="6" t="n">
        <v>-2.828567902195988</v>
      </c>
      <c r="Q488" s="6" t="n">
        <v>0.4394572920448925</v>
      </c>
      <c r="R488" s="6" t="n">
        <v>-0.635231058324928</v>
      </c>
      <c r="S488" s="6" t="n">
        <v>-1.169760593086131</v>
      </c>
      <c r="T488" s="6" t="n">
        <v>-0.2778157615032895</v>
      </c>
      <c r="U488" s="6" t="n">
        <v>2.829876994671119</v>
      </c>
      <c r="V488" s="6" t="n">
        <v>-0.7168455840604188</v>
      </c>
      <c r="W488" s="6" t="n">
        <v>1.201987208445656</v>
      </c>
      <c r="X488" s="6" t="n">
        <v>-1.025317699933373</v>
      </c>
      <c r="Y488" s="6" t="n">
        <v>-0.917350884413159</v>
      </c>
      <c r="Z488" s="6" t="n">
        <v>-3.504931841333411</v>
      </c>
      <c r="AA488" s="6" t="n">
        <v>-1.17340766271264</v>
      </c>
      <c r="AB488" s="6" t="n">
        <v>2.659492046234494</v>
      </c>
      <c r="AC488" s="6" t="n">
        <v>0.1331315118020312</v>
      </c>
      <c r="AD488" s="6" t="n">
        <v>1.63548179225375</v>
      </c>
      <c r="AE488" s="6" t="n">
        <v>0.930691270753335</v>
      </c>
      <c r="AF488" s="6" t="n">
        <v>-3.125417292362554</v>
      </c>
      <c r="AG488" s="6" t="n">
        <v>0.4669240368059733</v>
      </c>
      <c r="AH488" s="6" t="n">
        <v>0.7434707005902503</v>
      </c>
      <c r="AI488" s="6" t="n">
        <v>1.322530360900765</v>
      </c>
      <c r="AJ488" s="6" t="n">
        <v>81.0396616251651</v>
      </c>
      <c r="AK488" s="6" t="n">
        <v>0.06826128953967261</v>
      </c>
      <c r="AL488" s="6" t="n">
        <v>1.124684081244109</v>
      </c>
      <c r="AN488" s="6" t="n">
        <v>1.332069892869842</v>
      </c>
      <c r="AO488" s="6" t="n">
        <v>1.332346203696476</v>
      </c>
      <c r="AP488" s="6" t="n">
        <v>0.1300390601260745</v>
      </c>
      <c r="AQ488" s="6" t="n">
        <v>0</v>
      </c>
      <c r="AR488" s="6" t="n">
        <v>0</v>
      </c>
    </row>
    <row r="489">
      <c r="D489" t="inlineStr">
        <is>
          <t>Run 177</t>
        </is>
      </c>
      <c r="J489" s="6" t="n">
        <v>4.629579029849955</v>
      </c>
      <c r="K489" s="6" t="n">
        <v>0.2282634073008284</v>
      </c>
      <c r="L489" s="6" t="n">
        <v>-1.236226846198507</v>
      </c>
      <c r="M489" s="6" t="n">
        <v>-0.3377968338337192</v>
      </c>
      <c r="N489" s="6" t="n">
        <v>0.8023366477439137</v>
      </c>
      <c r="O489" s="6" t="n">
        <v>-2.136754727152387</v>
      </c>
      <c r="P489" s="6" t="n">
        <v>-1.290154939798613</v>
      </c>
      <c r="Q489" s="6" t="n">
        <v>1.076247884449907</v>
      </c>
      <c r="R489" s="6" t="n">
        <v>2.41430010857204</v>
      </c>
      <c r="S489" s="6" t="n">
        <v>-1.652135405644938</v>
      </c>
      <c r="T489" s="6" t="n">
        <v>-1.386663697940306</v>
      </c>
      <c r="U489" s="6" t="n">
        <v>-1.367020529957992</v>
      </c>
      <c r="V489" s="6" t="n">
        <v>2.938683645000133</v>
      </c>
      <c r="W489" s="6" t="n">
        <v>-0.09528876319171042</v>
      </c>
      <c r="X489" s="6" t="n">
        <v>-0.3729384102481454</v>
      </c>
      <c r="Y489" s="6" t="n">
        <v>-2.14376350614743</v>
      </c>
      <c r="Z489" s="6" t="n">
        <v>-0.7256345447378009</v>
      </c>
      <c r="AA489" s="6" t="n">
        <v>-2.364952917739407</v>
      </c>
      <c r="AB489" s="6" t="n">
        <v>4.131182395445895</v>
      </c>
      <c r="AC489" s="6" t="n">
        <v>-1.725300314810305</v>
      </c>
      <c r="AD489" s="6" t="n">
        <v>-1.491204317833532</v>
      </c>
      <c r="AE489" s="6" t="n">
        <v>-2.282973897670868</v>
      </c>
      <c r="AF489" s="6" t="n">
        <v>-2.909548721595781</v>
      </c>
      <c r="AG489" s="6" t="n">
        <v>0.6619376541433435</v>
      </c>
      <c r="AH489" s="6" t="n">
        <v>-0.5773365867477172</v>
      </c>
      <c r="AI489" s="6" t="n">
        <v>0.4212386450094728</v>
      </c>
      <c r="AJ489" s="6" t="n">
        <v>63.59304602132987</v>
      </c>
      <c r="AK489" s="6" t="n">
        <v>0.07669979961096915</v>
      </c>
      <c r="AL489" s="6" t="n">
        <v>1.028067252157238</v>
      </c>
      <c r="AN489" s="6" t="n">
        <v>1.349091235910887</v>
      </c>
      <c r="AO489" s="6" t="n">
        <v>1.349402643760988</v>
      </c>
      <c r="AP489" s="6" t="n">
        <v>0.1348859516538675</v>
      </c>
      <c r="AQ489" s="6" t="n">
        <v>0</v>
      </c>
      <c r="AR489" s="6" t="n">
        <v>0</v>
      </c>
    </row>
    <row r="490">
      <c r="D490" t="inlineStr">
        <is>
          <t>Run 178</t>
        </is>
      </c>
      <c r="J490" s="6" t="n">
        <v>2.18496914281921</v>
      </c>
      <c r="K490" s="6" t="n">
        <v>-0.1344885966615248</v>
      </c>
      <c r="L490" s="6" t="n">
        <v>2.666002656352077</v>
      </c>
      <c r="M490" s="6" t="n">
        <v>-0.1758334502693963</v>
      </c>
      <c r="N490" s="6" t="n">
        <v>-3.820765867853761</v>
      </c>
      <c r="O490" s="6" t="n">
        <v>-4.45615535519464</v>
      </c>
      <c r="P490" s="6" t="n">
        <v>-0.4846295064898257</v>
      </c>
      <c r="Q490" s="6" t="n">
        <v>0.2942359703999596</v>
      </c>
      <c r="R490" s="6" t="n">
        <v>1.474863486282193</v>
      </c>
      <c r="S490" s="6" t="n">
        <v>-1.912096381967394</v>
      </c>
      <c r="T490" s="6" t="n">
        <v>-0.2483315732024646</v>
      </c>
      <c r="U490" s="6" t="n">
        <v>2.35056891669791</v>
      </c>
      <c r="V490" s="6" t="n">
        <v>-2.928192501826249</v>
      </c>
      <c r="W490" s="6" t="n">
        <v>2.015239392344542</v>
      </c>
      <c r="X490" s="6" t="n">
        <v>-1.001675469703265</v>
      </c>
      <c r="Y490" s="6" t="n">
        <v>-2.206160769162958</v>
      </c>
      <c r="Z490" s="6" t="n">
        <v>-0.3756174905925844</v>
      </c>
      <c r="AA490" s="6" t="n">
        <v>3.281841586246954</v>
      </c>
      <c r="AB490" s="6" t="n">
        <v>-2.274082999074784</v>
      </c>
      <c r="AC490" s="6" t="n">
        <v>0.8733460205321942</v>
      </c>
      <c r="AD490" s="6" t="n">
        <v>2.75891179234871</v>
      </c>
      <c r="AE490" s="6" t="n">
        <v>0.1527596891381966</v>
      </c>
      <c r="AF490" s="6" t="n">
        <v>0.1996056077212259</v>
      </c>
      <c r="AG490" s="6" t="n">
        <v>1.996695741023763</v>
      </c>
      <c r="AH490" s="6" t="n">
        <v>0.3542967183417708</v>
      </c>
      <c r="AI490" s="6" t="n">
        <v>1.284045245475102</v>
      </c>
      <c r="AJ490" s="6" t="n">
        <v>71.52924022599026</v>
      </c>
      <c r="AK490" s="6" t="n">
        <v>0.1004362152290623</v>
      </c>
      <c r="AL490" s="6" t="n">
        <v>1.04552145509766</v>
      </c>
      <c r="AN490" s="6" t="n">
        <v>1.333590215407233</v>
      </c>
      <c r="AO490" s="6" t="n">
        <v>1.34205618726451</v>
      </c>
      <c r="AP490" s="6" t="n">
        <v>0.1331549399713753</v>
      </c>
      <c r="AQ490" s="6" t="n">
        <v>0</v>
      </c>
      <c r="AR490" s="6" t="n">
        <v>0</v>
      </c>
    </row>
    <row r="491">
      <c r="D491" t="inlineStr">
        <is>
          <t>Run 179</t>
        </is>
      </c>
      <c r="J491" s="6" t="n">
        <v>2.58972316662813</v>
      </c>
      <c r="K491" s="6" t="n">
        <v>1.354558803861453</v>
      </c>
      <c r="L491" s="6" t="n">
        <v>0.650521825222501</v>
      </c>
      <c r="M491" s="6" t="n">
        <v>3.489041794312744</v>
      </c>
      <c r="N491" s="6" t="n">
        <v>-5.063184703728815</v>
      </c>
      <c r="O491" s="6" t="n">
        <v>0.25668055940998</v>
      </c>
      <c r="P491" s="6" t="n">
        <v>-0.4677260096139939</v>
      </c>
      <c r="Q491" s="6" t="n">
        <v>0.7110522340825434</v>
      </c>
      <c r="R491" s="6" t="n">
        <v>2.466194164608672</v>
      </c>
      <c r="S491" s="6" t="n">
        <v>1.946182679487338</v>
      </c>
      <c r="T491" s="6" t="n">
        <v>-2.277642732160371</v>
      </c>
      <c r="U491" s="6" t="n">
        <v>1.193784847419433</v>
      </c>
      <c r="V491" s="6" t="n">
        <v>-1.062125063128808</v>
      </c>
      <c r="W491" s="6" t="n">
        <v>0.9040823676015246</v>
      </c>
      <c r="X491" s="6" t="n">
        <v>-2.972733121048913</v>
      </c>
      <c r="Y491" s="6" t="n">
        <v>1.88159304682843</v>
      </c>
      <c r="Z491" s="6" t="n">
        <v>0.6908143399531137</v>
      </c>
      <c r="AA491" s="6" t="n">
        <v>0.3464999465574842</v>
      </c>
      <c r="AB491" s="6" t="n">
        <v>0.3129273292778399</v>
      </c>
      <c r="AC491" s="6" t="n">
        <v>-0.0910870181045778</v>
      </c>
      <c r="AD491" s="6" t="n">
        <v>-0.2968523342793942</v>
      </c>
      <c r="AE491" s="6" t="n">
        <v>3.241906804008175</v>
      </c>
      <c r="AF491" s="6" t="n">
        <v>-0.8453675905941826</v>
      </c>
      <c r="AG491" s="6" t="n">
        <v>-0.6248971778949082</v>
      </c>
      <c r="AH491" s="6" t="n">
        <v>0.9819413889959903</v>
      </c>
      <c r="AI491" s="6" t="n">
        <v>0.3427046883134329</v>
      </c>
      <c r="AJ491" s="6" t="n">
        <v>76.22463542762488</v>
      </c>
      <c r="AK491" s="6" t="n">
        <v>0.09019117559258466</v>
      </c>
      <c r="AL491" s="6" t="n">
        <v>1.102084952116102</v>
      </c>
      <c r="AN491" s="6" t="n">
        <v>1.32564904440466</v>
      </c>
      <c r="AO491" s="6" t="n">
        <v>1.330157564339125</v>
      </c>
      <c r="AP491" s="6" t="n">
        <v>0.1299907887860007</v>
      </c>
      <c r="AQ491" s="6" t="n">
        <v>0</v>
      </c>
      <c r="AR491" s="6" t="n">
        <v>0</v>
      </c>
    </row>
    <row r="492">
      <c r="D492" t="inlineStr">
        <is>
          <t>Run 180</t>
        </is>
      </c>
      <c r="J492" s="6" t="n">
        <v>-2.847272061799066</v>
      </c>
      <c r="K492" s="6" t="n">
        <v>-0.7272875343475004</v>
      </c>
      <c r="L492" s="6" t="n">
        <v>-0.2800096883886887</v>
      </c>
      <c r="M492" s="6" t="n">
        <v>0.1415026417403052</v>
      </c>
      <c r="N492" s="6" t="n">
        <v>3.61062033717747</v>
      </c>
      <c r="O492" s="6" t="n">
        <v>2.483749390669266</v>
      </c>
      <c r="P492" s="6" t="n">
        <v>1.121809483722126</v>
      </c>
      <c r="Q492" s="6" t="n">
        <v>-0.4531675910468247</v>
      </c>
      <c r="R492" s="6" t="n">
        <v>-0.6263324200923901</v>
      </c>
      <c r="S492" s="6" t="n">
        <v>-1.766034956906239</v>
      </c>
      <c r="T492" s="6" t="n">
        <v>-1.314069916895207</v>
      </c>
      <c r="U492" s="6" t="n">
        <v>-1.292296738757917</v>
      </c>
      <c r="V492" s="6" t="n">
        <v>0.09245020181955543</v>
      </c>
      <c r="W492" s="6" t="n">
        <v>-0.05977824797483983</v>
      </c>
      <c r="X492" s="6" t="n">
        <v>1.570347313531848</v>
      </c>
      <c r="Y492" s="6" t="n">
        <v>0.3812447161466861</v>
      </c>
      <c r="Z492" s="6" t="n">
        <v>-0.2824761470603626</v>
      </c>
      <c r="AA492" s="6" t="n">
        <v>0.5675926863369589</v>
      </c>
      <c r="AB492" s="6" t="n">
        <v>2.164044074178334</v>
      </c>
      <c r="AC492" s="6" t="n">
        <v>0.1965980330337391</v>
      </c>
      <c r="AD492" s="6" t="n">
        <v>-0.84668059533486</v>
      </c>
      <c r="AE492" s="6" t="n">
        <v>-0.3331077525483181</v>
      </c>
      <c r="AF492" s="6" t="n">
        <v>-0.9833573607139898</v>
      </c>
      <c r="AG492" s="6" t="n">
        <v>-1.029006910272754</v>
      </c>
      <c r="AH492" s="6" t="n">
        <v>2.541420001318333</v>
      </c>
      <c r="AI492" s="6" t="n">
        <v>-1.130873461204364</v>
      </c>
      <c r="AJ492" s="6" t="n">
        <v>75.88999536172338</v>
      </c>
      <c r="AK492" s="6" t="n">
        <v>0.09808819879658208</v>
      </c>
      <c r="AL492" s="6" t="n">
        <v>1.077251453761977</v>
      </c>
      <c r="AN492" s="6" t="n">
        <v>1.339108697978101</v>
      </c>
      <c r="AO492" s="6" t="n">
        <v>1.339538546735168</v>
      </c>
      <c r="AP492" s="6" t="n">
        <v>0.1312814467981768</v>
      </c>
      <c r="AQ492" s="6" t="n">
        <v>0</v>
      </c>
      <c r="AR492" s="6" t="n">
        <v>0</v>
      </c>
    </row>
    <row r="493">
      <c r="D493" t="inlineStr">
        <is>
          <t>Run 181</t>
        </is>
      </c>
      <c r="J493" s="6" t="n">
        <v>2.220372218775704</v>
      </c>
      <c r="K493" s="6" t="n">
        <v>-1.115518821937415</v>
      </c>
      <c r="L493" s="6" t="n">
        <v>-5.680210605333169</v>
      </c>
      <c r="M493" s="6" t="n">
        <v>3.451932765867054</v>
      </c>
      <c r="N493" s="6" t="n">
        <v>-0.8946415738272733</v>
      </c>
      <c r="O493" s="6" t="n">
        <v>3.292626849747525</v>
      </c>
      <c r="P493" s="6" t="n">
        <v>2.300666698903626</v>
      </c>
      <c r="Q493" s="6" t="n">
        <v>0.4041615760509096</v>
      </c>
      <c r="R493" s="6" t="n">
        <v>-0.1943795430026737</v>
      </c>
      <c r="S493" s="6" t="n">
        <v>-1.864887495811121</v>
      </c>
      <c r="T493" s="6" t="n">
        <v>-4.328270623797136</v>
      </c>
      <c r="U493" s="6" t="n">
        <v>-0.04507621559297847</v>
      </c>
      <c r="V493" s="6" t="n">
        <v>0.6789178386362374</v>
      </c>
      <c r="W493" s="6" t="n">
        <v>1.51071448716804</v>
      </c>
      <c r="X493" s="6" t="n">
        <v>-1.530372046411941</v>
      </c>
      <c r="Y493" s="6" t="n">
        <v>-1.049116807312921</v>
      </c>
      <c r="Z493" s="6" t="n">
        <v>-0.3137845284154441</v>
      </c>
      <c r="AA493" s="6" t="n">
        <v>-0.4840931504726132</v>
      </c>
      <c r="AB493" s="6" t="n">
        <v>0.190588817297569</v>
      </c>
      <c r="AC493" s="6" t="n">
        <v>-0.2033143597693518</v>
      </c>
      <c r="AD493" s="6" t="n">
        <v>0.911638268914335</v>
      </c>
      <c r="AE493" s="6" t="n">
        <v>-0.8400389000267766</v>
      </c>
      <c r="AF493" s="6" t="n">
        <v>1.222384821351474</v>
      </c>
      <c r="AG493" s="6" t="n">
        <v>-2.23386120622488</v>
      </c>
      <c r="AH493" s="6" t="n">
        <v>-0.7007417922021152</v>
      </c>
      <c r="AI493" s="6" t="n">
        <v>-1.508323474521995</v>
      </c>
      <c r="AJ493" s="6" t="n">
        <v>79.21660396575595</v>
      </c>
      <c r="AK493" s="6" t="n">
        <v>0.1750667040661298</v>
      </c>
      <c r="AL493" s="6" t="n">
        <v>1.045671782508567</v>
      </c>
      <c r="AN493" s="6" t="n">
        <v>1.33001005446644</v>
      </c>
      <c r="AO493" s="6" t="n">
        <v>1.337177192081118</v>
      </c>
      <c r="AP493" s="6" t="n">
        <v>0.1317122262093336</v>
      </c>
      <c r="AQ493" s="6" t="n">
        <v>0</v>
      </c>
      <c r="AR493" s="6" t="n">
        <v>0</v>
      </c>
    </row>
    <row r="494">
      <c r="D494" t="inlineStr">
        <is>
          <t>Run 182</t>
        </is>
      </c>
      <c r="J494" s="6" t="n">
        <v>0.5253868875010256</v>
      </c>
      <c r="K494" s="6" t="n">
        <v>0.4191134202627935</v>
      </c>
      <c r="L494" s="6" t="n">
        <v>-1.362005864994654</v>
      </c>
      <c r="M494" s="6" t="n">
        <v>-2.239605711440237</v>
      </c>
      <c r="N494" s="6" t="n">
        <v>-2.233026730002615</v>
      </c>
      <c r="O494" s="6" t="n">
        <v>2.207839497161219</v>
      </c>
      <c r="P494" s="6" t="n">
        <v>1.46871555366354</v>
      </c>
      <c r="Q494" s="6" t="n">
        <v>-2.528493698614161</v>
      </c>
      <c r="R494" s="6" t="n">
        <v>-1.376488226138397</v>
      </c>
      <c r="S494" s="6" t="n">
        <v>-1.898898731151796</v>
      </c>
      <c r="T494" s="6" t="n">
        <v>2.869405818481749</v>
      </c>
      <c r="U494" s="6" t="n">
        <v>2.067325519127347</v>
      </c>
      <c r="V494" s="6" t="n">
        <v>3.698942959745292</v>
      </c>
      <c r="W494" s="6" t="n">
        <v>-0.2848618892590723</v>
      </c>
      <c r="X494" s="6" t="n">
        <v>-4.988837000238155</v>
      </c>
      <c r="Y494" s="6" t="n">
        <v>1.690172563301592</v>
      </c>
      <c r="Z494" s="6" t="n">
        <v>0.3290327851049833</v>
      </c>
      <c r="AA494" s="6" t="n">
        <v>3.713762673753968</v>
      </c>
      <c r="AB494" s="6" t="n">
        <v>0.07411131190487436</v>
      </c>
      <c r="AC494" s="6" t="n">
        <v>0.2643921442243734</v>
      </c>
      <c r="AD494" s="6" t="n">
        <v>0.2440548001206586</v>
      </c>
      <c r="AE494" s="6" t="n">
        <v>1.923860318296337</v>
      </c>
      <c r="AF494" s="6" t="n">
        <v>3.075340991499049</v>
      </c>
      <c r="AG494" s="6" t="n">
        <v>-1.722757887864517</v>
      </c>
      <c r="AH494" s="6" t="n">
        <v>0.4122275911785785</v>
      </c>
      <c r="AI494" s="6" t="n">
        <v>-2.82719033867366</v>
      </c>
      <c r="AJ494" s="6" t="n">
        <v>59.94859936216261</v>
      </c>
      <c r="AK494" s="6" t="n">
        <v>0.142638153116968</v>
      </c>
      <c r="AL494" s="6" t="n">
        <v>1.000620370573903</v>
      </c>
      <c r="AN494" s="6" t="n">
        <v>1.337302557057353</v>
      </c>
      <c r="AO494" s="6" t="n">
        <v>1.34241683104015</v>
      </c>
      <c r="AP494" s="6" t="n">
        <v>0.136058776936282</v>
      </c>
      <c r="AQ494" s="6" t="n">
        <v>0</v>
      </c>
      <c r="AR494" s="6" t="n">
        <v>0</v>
      </c>
    </row>
    <row r="495">
      <c r="D495" t="inlineStr">
        <is>
          <t>Run 183</t>
        </is>
      </c>
      <c r="J495" s="6" t="n">
        <v>2.381766679770834</v>
      </c>
      <c r="K495" s="6" t="n">
        <v>-1.588990571974173</v>
      </c>
      <c r="L495" s="6" t="n">
        <v>1.072108163347979</v>
      </c>
      <c r="M495" s="6" t="n">
        <v>-0.03931475523244123</v>
      </c>
      <c r="N495" s="6" t="n">
        <v>-1.094009066598185</v>
      </c>
      <c r="O495" s="6" t="n">
        <v>-0.9389526300990899</v>
      </c>
      <c r="P495" s="6" t="n">
        <v>-2.979987233350834</v>
      </c>
      <c r="Q495" s="6" t="n">
        <v>-1.032867978283427</v>
      </c>
      <c r="R495" s="6" t="n">
        <v>-1.89633740047421</v>
      </c>
      <c r="S495" s="6" t="n">
        <v>2.960676993996349</v>
      </c>
      <c r="T495" s="6" t="n">
        <v>-3.091196969085027</v>
      </c>
      <c r="U495" s="6" t="n">
        <v>-0.05795482402790084</v>
      </c>
      <c r="V495" s="6" t="n">
        <v>-4.569957374941419</v>
      </c>
      <c r="W495" s="6" t="n">
        <v>-0.1798114431536156</v>
      </c>
      <c r="X495" s="6" t="n">
        <v>3.039472453122638</v>
      </c>
      <c r="Y495" s="6" t="n">
        <v>-0.6816746725966382</v>
      </c>
      <c r="Z495" s="6" t="n">
        <v>-0.007887969742257566</v>
      </c>
      <c r="AA495" s="6" t="n">
        <v>0.6736220928042956</v>
      </c>
      <c r="AB495" s="6" t="n">
        <v>-1.014230942739521</v>
      </c>
      <c r="AC495" s="6" t="n">
        <v>0.2925437221041023</v>
      </c>
      <c r="AD495" s="6" t="n">
        <v>1.115856198880345</v>
      </c>
      <c r="AE495" s="6" t="n">
        <v>4.089271639186591</v>
      </c>
      <c r="AF495" s="6" t="n">
        <v>-2.268183283382694</v>
      </c>
      <c r="AG495" s="6" t="n">
        <v>-3.227462812266888</v>
      </c>
      <c r="AH495" s="6" t="n">
        <v>-0.6648126054823718</v>
      </c>
      <c r="AI495" s="6" t="n">
        <v>-2.596379009519796</v>
      </c>
      <c r="AJ495" s="6" t="n">
        <v>66.98466408275891</v>
      </c>
      <c r="AK495" s="6" t="n">
        <v>0.1763657972742742</v>
      </c>
      <c r="AL495" s="6" t="n">
        <v>1.038388042120359</v>
      </c>
      <c r="AN495" s="6" t="n">
        <v>1.344750731474569</v>
      </c>
      <c r="AO495" s="6" t="n">
        <v>1.34498770319075</v>
      </c>
      <c r="AP495" s="6" t="n">
        <v>0.1318007248507311</v>
      </c>
      <c r="AQ495" s="6" t="n">
        <v>0</v>
      </c>
      <c r="AR495" s="6" t="n">
        <v>0</v>
      </c>
    </row>
    <row r="496">
      <c r="D496" t="inlineStr">
        <is>
          <t>Run 184</t>
        </is>
      </c>
      <c r="J496" s="6" t="n">
        <v>-0.5676919914141673</v>
      </c>
      <c r="K496" s="6" t="n">
        <v>-2.038368163152624</v>
      </c>
      <c r="L496" s="6" t="n">
        <v>-0.8221759734872438</v>
      </c>
      <c r="M496" s="6" t="n">
        <v>-0.4731846849634541</v>
      </c>
      <c r="N496" s="6" t="n">
        <v>2.613183446953622</v>
      </c>
      <c r="O496" s="6" t="n">
        <v>2.26770641081835</v>
      </c>
      <c r="P496" s="6" t="n">
        <v>-2.347564105606328</v>
      </c>
      <c r="Q496" s="6" t="n">
        <v>1.406810307570207</v>
      </c>
      <c r="R496" s="6" t="n">
        <v>-0.02666662363697005</v>
      </c>
      <c r="S496" s="6" t="n">
        <v>2.31879274710576</v>
      </c>
      <c r="T496" s="6" t="n">
        <v>1.342516992188332</v>
      </c>
      <c r="U496" s="6" t="n">
        <v>3.509981354489887</v>
      </c>
      <c r="V496" s="6" t="n">
        <v>-0.2308042962703535</v>
      </c>
      <c r="W496" s="6" t="n">
        <v>-3.713537735188839</v>
      </c>
      <c r="X496" s="6" t="n">
        <v>-0.7604788172732236</v>
      </c>
      <c r="Y496" s="6" t="n">
        <v>2.388656218700025</v>
      </c>
      <c r="Z496" s="6" t="n">
        <v>-1.08242317281193</v>
      </c>
      <c r="AA496" s="6" t="n">
        <v>0.1403301063367804</v>
      </c>
      <c r="AB496" s="6" t="n">
        <v>-3.630532635491483</v>
      </c>
      <c r="AC496" s="6" t="n">
        <v>1.335440442839959</v>
      </c>
      <c r="AD496" s="6" t="n">
        <v>1.685671420232545</v>
      </c>
      <c r="AE496" s="6" t="n">
        <v>-1.747870282236536</v>
      </c>
      <c r="AF496" s="6" t="n">
        <v>0.5532699626781826</v>
      </c>
      <c r="AG496" s="6" t="n">
        <v>1.355536934834249</v>
      </c>
      <c r="AH496" s="6" t="n">
        <v>-0.07172364076454636</v>
      </c>
      <c r="AI496" s="6" t="n">
        <v>0.6812555278070623</v>
      </c>
      <c r="AJ496" s="6" t="n">
        <v>60.46950039958584</v>
      </c>
      <c r="AK496" s="6" t="n">
        <v>0.1180996495839795</v>
      </c>
      <c r="AL496" s="6" t="n">
        <v>1.028388057264385</v>
      </c>
      <c r="AN496" s="6" t="n">
        <v>1.346024496924461</v>
      </c>
      <c r="AO496" s="6" t="n">
        <v>1.346024496924461</v>
      </c>
      <c r="AP496" s="6" t="n">
        <v>0.1338019112337922</v>
      </c>
      <c r="AQ496" s="6" t="n">
        <v>0</v>
      </c>
      <c r="AR496" s="6" t="n">
        <v>0</v>
      </c>
    </row>
    <row r="497">
      <c r="D497" t="inlineStr">
        <is>
          <t>Run 185</t>
        </is>
      </c>
      <c r="J497" s="6" t="n">
        <v>2.007177651045317</v>
      </c>
      <c r="K497" s="6" t="n">
        <v>1.39565573387254</v>
      </c>
      <c r="L497" s="6" t="n">
        <v>0.2903994856767966</v>
      </c>
      <c r="M497" s="6" t="n">
        <v>-3.731253897969298</v>
      </c>
      <c r="N497" s="6" t="n">
        <v>-1.30268950100153</v>
      </c>
      <c r="O497" s="6" t="n">
        <v>0.2510733634846638</v>
      </c>
      <c r="P497" s="6" t="n">
        <v>-1.540135711775392</v>
      </c>
      <c r="Q497" s="6" t="n">
        <v>-3.115200464735211</v>
      </c>
      <c r="R497" s="6" t="n">
        <v>0.819414996138935</v>
      </c>
      <c r="S497" s="6" t="n">
        <v>1.586792236733171</v>
      </c>
      <c r="T497" s="6" t="n">
        <v>0.0659527441188922</v>
      </c>
      <c r="U497" s="6" t="n">
        <v>-1.151851171158437</v>
      </c>
      <c r="V497" s="6" t="n">
        <v>2.095171894075174</v>
      </c>
      <c r="W497" s="6" t="n">
        <v>-0.7561110101611349</v>
      </c>
      <c r="X497" s="6" t="n">
        <v>1.33240220944518</v>
      </c>
      <c r="Y497" s="6" t="n">
        <v>0.8016143486336214</v>
      </c>
      <c r="Z497" s="6" t="n">
        <v>-1.279918920632745</v>
      </c>
      <c r="AA497" s="6" t="n">
        <v>1.23456625361208</v>
      </c>
      <c r="AB497" s="6" t="n">
        <v>0.4628710359921759</v>
      </c>
      <c r="AC497" s="6" t="n">
        <v>2.793106638995955</v>
      </c>
      <c r="AD497" s="6" t="n">
        <v>-0.3030444982365024</v>
      </c>
      <c r="AE497" s="6" t="n">
        <v>-0.4144558319693571</v>
      </c>
      <c r="AF497" s="6" t="n">
        <v>-1.443767691626809</v>
      </c>
      <c r="AG497" s="6" t="n">
        <v>-5.259709789306303</v>
      </c>
      <c r="AH497" s="6" t="n">
        <v>0.7643802906321024</v>
      </c>
      <c r="AI497" s="6" t="n">
        <v>-1.122631854972119</v>
      </c>
      <c r="AJ497" s="6" t="n">
        <v>82.50240410989881</v>
      </c>
      <c r="AK497" s="6" t="n">
        <v>0.1175169651267737</v>
      </c>
      <c r="AL497" s="6" t="n">
        <v>1.017924008373213</v>
      </c>
      <c r="AN497" s="6" t="n">
        <v>1.322008866044951</v>
      </c>
      <c r="AO497" s="6" t="n">
        <v>1.329629785863493</v>
      </c>
      <c r="AP497" s="6" t="n">
        <v>0.1361481128828751</v>
      </c>
      <c r="AQ497" s="6" t="n">
        <v>0</v>
      </c>
      <c r="AR497" s="6" t="n">
        <v>0</v>
      </c>
    </row>
    <row r="498">
      <c r="D498" t="inlineStr">
        <is>
          <t>Run 186</t>
        </is>
      </c>
      <c r="J498" s="6" t="n">
        <v>-1.030266599957467</v>
      </c>
      <c r="K498" s="6" t="n">
        <v>0.9233069041370827</v>
      </c>
      <c r="L498" s="6" t="n">
        <v>-0.9576709954608369</v>
      </c>
      <c r="M498" s="6" t="n">
        <v>2.087798221846652</v>
      </c>
      <c r="N498" s="6" t="n">
        <v>-0.3564714005245812</v>
      </c>
      <c r="O498" s="6" t="n">
        <v>0.8808616591292826</v>
      </c>
      <c r="P498" s="6" t="n">
        <v>-2.178745878472358</v>
      </c>
      <c r="Q498" s="6" t="n">
        <v>3.048961568441737</v>
      </c>
      <c r="R498" s="6" t="n">
        <v>2.343907878803352</v>
      </c>
      <c r="S498" s="6" t="n">
        <v>-2.165703089674401</v>
      </c>
      <c r="T498" s="6" t="n">
        <v>2.115381798085715</v>
      </c>
      <c r="U498" s="6" t="n">
        <v>1.662534674159669</v>
      </c>
      <c r="V498" s="6" t="n">
        <v>-2.867797460584161</v>
      </c>
      <c r="W498" s="6" t="n">
        <v>1.463574826614565</v>
      </c>
      <c r="X498" s="6" t="n">
        <v>1.780110138867695</v>
      </c>
      <c r="Y498" s="6" t="n">
        <v>2.640326755699749</v>
      </c>
      <c r="Z498" s="6" t="n">
        <v>-0.3239586533575928</v>
      </c>
      <c r="AA498" s="6" t="n">
        <v>0.3435496139133744</v>
      </c>
      <c r="AB498" s="6" t="n">
        <v>0.551193195121127</v>
      </c>
      <c r="AC498" s="6" t="n">
        <v>2.711344595222766</v>
      </c>
      <c r="AD498" s="6" t="n">
        <v>-1.74665032705929</v>
      </c>
      <c r="AE498" s="6" t="n">
        <v>0.6653407990881971</v>
      </c>
      <c r="AF498" s="6" t="n">
        <v>1.747289028098828</v>
      </c>
      <c r="AG498" s="6" t="n">
        <v>2.196123488058658</v>
      </c>
      <c r="AH498" s="6" t="n">
        <v>0.04125321415214225</v>
      </c>
      <c r="AI498" s="6" t="n">
        <v>1.171312104550835</v>
      </c>
      <c r="AJ498" s="6" t="n">
        <v>79.93216697985285</v>
      </c>
      <c r="AK498" s="6" t="n">
        <v>0.04112879564381622</v>
      </c>
      <c r="AL498" s="6" t="n">
        <v>1.03217634458937</v>
      </c>
      <c r="AN498" s="6" t="n">
        <v>1.356613060999515</v>
      </c>
      <c r="AO498" s="6" t="n">
        <v>1.356613060999515</v>
      </c>
      <c r="AP498" s="6" t="n">
        <v>0.1370630446387671</v>
      </c>
      <c r="AQ498" s="6" t="n">
        <v>0</v>
      </c>
      <c r="AR498" s="6" t="n">
        <v>0</v>
      </c>
    </row>
    <row r="499">
      <c r="D499" t="inlineStr">
        <is>
          <t>Run 187</t>
        </is>
      </c>
      <c r="J499" s="6" t="n">
        <v>-1.662321727232436</v>
      </c>
      <c r="K499" s="6" t="n">
        <v>-1.097511770111418</v>
      </c>
      <c r="L499" s="6" t="n">
        <v>-0.101031587147494</v>
      </c>
      <c r="M499" s="6" t="n">
        <v>0.2572890988245973</v>
      </c>
      <c r="N499" s="6" t="n">
        <v>3.147874572204993</v>
      </c>
      <c r="O499" s="6" t="n">
        <v>0.6858473428273093</v>
      </c>
      <c r="P499" s="6" t="n">
        <v>2.10923659635752</v>
      </c>
      <c r="Q499" s="6" t="n">
        <v>4.108107451461372</v>
      </c>
      <c r="R499" s="6" t="n">
        <v>-1.8720602929948</v>
      </c>
      <c r="S499" s="6" t="n">
        <v>0.3277141407798765</v>
      </c>
      <c r="T499" s="6" t="n">
        <v>-0.2778964915255741</v>
      </c>
      <c r="U499" s="6" t="n">
        <v>3.814603379638564</v>
      </c>
      <c r="V499" s="6" t="n">
        <v>-1.802624172225344</v>
      </c>
      <c r="W499" s="6" t="n">
        <v>-1.992352634273644</v>
      </c>
      <c r="X499" s="6" t="n">
        <v>-0.5448125133847026</v>
      </c>
      <c r="Y499" s="6" t="n">
        <v>-0.9213551197620081</v>
      </c>
      <c r="Z499" s="6" t="n">
        <v>2.127403764236334</v>
      </c>
      <c r="AA499" s="6" t="n">
        <v>-2.71041180383075</v>
      </c>
      <c r="AB499" s="6" t="n">
        <v>1.503064143508919</v>
      </c>
      <c r="AC499" s="6" t="n">
        <v>2.113509993560049</v>
      </c>
      <c r="AD499" s="6" t="n">
        <v>0.01007775753324729</v>
      </c>
      <c r="AE499" s="6" t="n">
        <v>-3.620082365168594</v>
      </c>
      <c r="AF499" s="6" t="n">
        <v>0.6598513357410355</v>
      </c>
      <c r="AG499" s="6" t="n">
        <v>-0.002709080171320229</v>
      </c>
      <c r="AH499" s="6" t="n">
        <v>-0.6021997522971967</v>
      </c>
      <c r="AI499" s="6" t="n">
        <v>-1.154675756032403</v>
      </c>
      <c r="AJ499" s="6" t="n">
        <v>65.96465651247927</v>
      </c>
      <c r="AK499" s="6" t="n">
        <v>0.1033315416698044</v>
      </c>
      <c r="AL499" s="6" t="n">
        <v>1.066930842086899</v>
      </c>
      <c r="AN499" s="6" t="n">
        <v>1.338700846907371</v>
      </c>
      <c r="AO499" s="6" t="n">
        <v>1.339339398497831</v>
      </c>
      <c r="AP499" s="6" t="n">
        <v>0.1312410863648113</v>
      </c>
      <c r="AQ499" s="6" t="n">
        <v>0</v>
      </c>
      <c r="AR499" s="6" t="n">
        <v>0</v>
      </c>
    </row>
    <row r="500">
      <c r="D500" t="inlineStr">
        <is>
          <t>Run 188</t>
        </is>
      </c>
      <c r="J500" s="6" t="n">
        <v>-1.64793599202646</v>
      </c>
      <c r="K500" s="6" t="n">
        <v>1.335936028674509</v>
      </c>
      <c r="L500" s="6" t="n">
        <v>4.362216627218478</v>
      </c>
      <c r="M500" s="6" t="n">
        <v>1.04243466877331</v>
      </c>
      <c r="N500" s="6" t="n">
        <v>0.7621261458113028</v>
      </c>
      <c r="O500" s="6" t="n">
        <v>0.3574998042353869</v>
      </c>
      <c r="P500" s="6" t="n">
        <v>-2.089147778813949</v>
      </c>
      <c r="Q500" s="6" t="n">
        <v>-0.3155932980794806</v>
      </c>
      <c r="R500" s="6" t="n">
        <v>-1.272831737386592</v>
      </c>
      <c r="S500" s="6" t="n">
        <v>2.069486525844087</v>
      </c>
      <c r="T500" s="6" t="n">
        <v>0.2205398460206216</v>
      </c>
      <c r="U500" s="6" t="n">
        <v>-2.756346050114031</v>
      </c>
      <c r="V500" s="6" t="n">
        <v>-1.64308000918334</v>
      </c>
      <c r="W500" s="6" t="n">
        <v>-1.920973042942963</v>
      </c>
      <c r="X500" s="6" t="n">
        <v>0.5306971022745592</v>
      </c>
      <c r="Y500" s="6" t="n">
        <v>2.694332171534965</v>
      </c>
      <c r="Z500" s="6" t="n">
        <v>-0.6575202159425416</v>
      </c>
      <c r="AA500" s="6" t="n">
        <v>-1.751687473838774</v>
      </c>
      <c r="AB500" s="6" t="n">
        <v>1.241510329475227</v>
      </c>
      <c r="AC500" s="6" t="n">
        <v>3.06162811576444</v>
      </c>
      <c r="AD500" s="6" t="n">
        <v>4.350253327694122</v>
      </c>
      <c r="AE500" s="6" t="n">
        <v>-4.573694412636158</v>
      </c>
      <c r="AF500" s="6" t="n">
        <v>-1.56916529107693</v>
      </c>
      <c r="AG500" s="6" t="n">
        <v>0.5075563169080883</v>
      </c>
      <c r="AH500" s="6" t="n">
        <v>0.6364408244080956</v>
      </c>
      <c r="AI500" s="6" t="n">
        <v>-3.844152348628895</v>
      </c>
      <c r="AJ500" s="6" t="n">
        <v>66.85611409191085</v>
      </c>
      <c r="AK500" s="6" t="n">
        <v>0.1752374931449859</v>
      </c>
      <c r="AL500" s="6" t="n">
        <v>0.994942431804099</v>
      </c>
      <c r="AN500" s="6" t="n">
        <v>1.354676167879189</v>
      </c>
      <c r="AO500" s="6" t="n">
        <v>1.355310600983664</v>
      </c>
      <c r="AP500" s="6" t="n">
        <v>0.1377021778541761</v>
      </c>
      <c r="AQ500" s="6" t="n">
        <v>0</v>
      </c>
      <c r="AR500" s="6" t="n">
        <v>0</v>
      </c>
    </row>
    <row r="501">
      <c r="D501" t="inlineStr">
        <is>
          <t>Run 189</t>
        </is>
      </c>
      <c r="J501" s="6" t="n">
        <v>1.311826381148667</v>
      </c>
      <c r="K501" s="6" t="n">
        <v>-1.325173967011861</v>
      </c>
      <c r="L501" s="6" t="n">
        <v>1.741326414804105</v>
      </c>
      <c r="M501" s="6" t="n">
        <v>-0.07337687030595047</v>
      </c>
      <c r="N501" s="6" t="n">
        <v>1.991249681112732</v>
      </c>
      <c r="O501" s="6" t="n">
        <v>-0.6575694355131518</v>
      </c>
      <c r="P501" s="6" t="n">
        <v>4.433901599483778</v>
      </c>
      <c r="Q501" s="6" t="n">
        <v>1.932577305014365</v>
      </c>
      <c r="R501" s="6" t="n">
        <v>2.755653648314751</v>
      </c>
      <c r="S501" s="6" t="n">
        <v>2.093704495326474</v>
      </c>
      <c r="T501" s="6" t="n">
        <v>-1.495294783169211</v>
      </c>
      <c r="U501" s="6" t="n">
        <v>-3.470248515417798</v>
      </c>
      <c r="V501" s="6" t="n">
        <v>0.3040727306057289</v>
      </c>
      <c r="W501" s="6" t="n">
        <v>2.080499880863457</v>
      </c>
      <c r="X501" s="6" t="n">
        <v>-1.88895779033938</v>
      </c>
      <c r="Y501" s="6" t="n">
        <v>2.157436866054411</v>
      </c>
      <c r="Z501" s="6" t="n">
        <v>-2.285024480930042</v>
      </c>
      <c r="AA501" s="6" t="n">
        <v>3.496329703849368</v>
      </c>
      <c r="AB501" s="6" t="n">
        <v>2.043994109307121</v>
      </c>
      <c r="AC501" s="6" t="n">
        <v>0.2639840502798074</v>
      </c>
      <c r="AD501" s="6" t="n">
        <v>2.382119670347764</v>
      </c>
      <c r="AE501" s="6" t="n">
        <v>0.7345733894958982</v>
      </c>
      <c r="AF501" s="6" t="n">
        <v>3.370794530572796</v>
      </c>
      <c r="AG501" s="6" t="n">
        <v>2.547360426621656</v>
      </c>
      <c r="AH501" s="6" t="n">
        <v>-1.834469778737997</v>
      </c>
      <c r="AI501" s="6" t="n">
        <v>-2.248808455240577</v>
      </c>
      <c r="AJ501" s="6" t="n">
        <v>70.53623666188068</v>
      </c>
      <c r="AK501" s="6" t="n">
        <v>0.1026999136767066</v>
      </c>
      <c r="AL501" s="6" t="n">
        <v>1.035913337756418</v>
      </c>
      <c r="AN501" s="6" t="n">
        <v>1.347967062504281</v>
      </c>
      <c r="AO501" s="6" t="n">
        <v>1.347967062504281</v>
      </c>
      <c r="AP501" s="6" t="n">
        <v>0.1340319664966943</v>
      </c>
      <c r="AQ501" s="6" t="n">
        <v>0</v>
      </c>
      <c r="AR501" s="6" t="n">
        <v>0</v>
      </c>
    </row>
    <row r="502">
      <c r="D502" t="inlineStr">
        <is>
          <t>Run 190</t>
        </is>
      </c>
      <c r="J502" s="6" t="n">
        <v>0.1448315226503454</v>
      </c>
      <c r="K502" s="6" t="n">
        <v>0.9779826165332157</v>
      </c>
      <c r="L502" s="6" t="n">
        <v>0.9219086827366741</v>
      </c>
      <c r="M502" s="6" t="n">
        <v>-1.541520147595757</v>
      </c>
      <c r="N502" s="6" t="n">
        <v>2.813626435936121</v>
      </c>
      <c r="O502" s="6" t="n">
        <v>0.6724524768772306</v>
      </c>
      <c r="P502" s="6" t="n">
        <v>-3.334866644165233</v>
      </c>
      <c r="Q502" s="6" t="n">
        <v>-0.9369188489183427</v>
      </c>
      <c r="R502" s="6" t="n">
        <v>-2.3437065463503</v>
      </c>
      <c r="S502" s="6" t="n">
        <v>-0.3689599943864708</v>
      </c>
      <c r="T502" s="6" t="n">
        <v>1.208576448609402</v>
      </c>
      <c r="U502" s="6" t="n">
        <v>2.089222501953343</v>
      </c>
      <c r="V502" s="6" t="n">
        <v>0.4688657766740704</v>
      </c>
      <c r="W502" s="6" t="n">
        <v>-1.910822233396298</v>
      </c>
      <c r="X502" s="6" t="n">
        <v>1.802602352455266</v>
      </c>
      <c r="Y502" s="6" t="n">
        <v>3.030274573706697</v>
      </c>
      <c r="Z502" s="6" t="n">
        <v>0.1085834536133874</v>
      </c>
      <c r="AA502" s="6" t="n">
        <v>1.007394330809974</v>
      </c>
      <c r="AB502" s="6" t="n">
        <v>0.2522128681659304</v>
      </c>
      <c r="AC502" s="6" t="n">
        <v>-2.038443420149841</v>
      </c>
      <c r="AD502" s="6" t="n">
        <v>2.516480786817521</v>
      </c>
      <c r="AE502" s="6" t="n">
        <v>-1.22451254179543</v>
      </c>
      <c r="AF502" s="6" t="n">
        <v>-0.4097399275555605</v>
      </c>
      <c r="AG502" s="6" t="n">
        <v>1.77987414865313</v>
      </c>
      <c r="AH502" s="6" t="n">
        <v>-3.637421487317371</v>
      </c>
      <c r="AI502" s="6" t="n">
        <v>2.821210347210725</v>
      </c>
      <c r="AJ502" s="6" t="n">
        <v>70.90250152467924</v>
      </c>
      <c r="AK502" s="6" t="n">
        <v>0.1005378476763296</v>
      </c>
      <c r="AL502" s="6" t="n">
        <v>1.034073140635608</v>
      </c>
      <c r="AN502" s="6" t="n">
        <v>1.343898789119067</v>
      </c>
      <c r="AO502" s="6" t="n">
        <v>1.347556008641493</v>
      </c>
      <c r="AP502" s="6" t="n">
        <v>0.1341218005145842</v>
      </c>
      <c r="AQ502" s="6" t="n">
        <v>0</v>
      </c>
      <c r="AR502" s="6" t="n">
        <v>0</v>
      </c>
    </row>
    <row r="503">
      <c r="D503" t="inlineStr">
        <is>
          <t>Run 191</t>
        </is>
      </c>
      <c r="J503" s="6" t="n">
        <v>-0.9075580284121372</v>
      </c>
      <c r="K503" s="6" t="n">
        <v>-4.218899398199515</v>
      </c>
      <c r="L503" s="6" t="n">
        <v>-1.293463694548964</v>
      </c>
      <c r="M503" s="6" t="n">
        <v>-0.9935202804914128</v>
      </c>
      <c r="N503" s="6" t="n">
        <v>-1.837545228503481</v>
      </c>
      <c r="O503" s="6" t="n">
        <v>1.975204264253385</v>
      </c>
      <c r="P503" s="6" t="n">
        <v>-3.664363506343776</v>
      </c>
      <c r="Q503" s="6" t="n">
        <v>-2.207763572863044</v>
      </c>
      <c r="R503" s="6" t="n">
        <v>-0.006382566738823699</v>
      </c>
      <c r="S503" s="6" t="n">
        <v>2.859266064888072</v>
      </c>
      <c r="T503" s="6" t="n">
        <v>-1.106265578455733</v>
      </c>
      <c r="U503" s="6" t="n">
        <v>0.9885736698657928</v>
      </c>
      <c r="V503" s="6" t="n">
        <v>-2.065307830218363</v>
      </c>
      <c r="W503" s="6" t="n">
        <v>2.482562072918839</v>
      </c>
      <c r="X503" s="6" t="n">
        <v>1.916633220984279</v>
      </c>
      <c r="Y503" s="6" t="n">
        <v>-1.227034600980983</v>
      </c>
      <c r="Z503" s="6" t="n">
        <v>0.4912774976672528</v>
      </c>
      <c r="AA503" s="6" t="n">
        <v>-1.555167571540713</v>
      </c>
      <c r="AB503" s="6" t="n">
        <v>-0.9367540947279041</v>
      </c>
      <c r="AC503" s="6" t="n">
        <v>2.004594891204004</v>
      </c>
      <c r="AD503" s="6" t="n">
        <v>0.8833333281414398</v>
      </c>
      <c r="AE503" s="6" t="n">
        <v>-3.046560364720625</v>
      </c>
      <c r="AF503" s="6" t="n">
        <v>3.938246017097796</v>
      </c>
      <c r="AG503" s="6" t="n">
        <v>1.426151575332366</v>
      </c>
      <c r="AH503" s="6" t="n">
        <v>-0.4919283593738315</v>
      </c>
      <c r="AI503" s="6" t="n">
        <v>3.117352920147595</v>
      </c>
      <c r="AJ503" s="6" t="n">
        <v>69.51972340482043</v>
      </c>
      <c r="AK503" s="6" t="n">
        <v>0.1288070739954301</v>
      </c>
      <c r="AL503" s="6" t="n">
        <v>1.056945539015973</v>
      </c>
      <c r="AN503" s="6" t="n">
        <v>1.332991577352338</v>
      </c>
      <c r="AO503" s="6" t="n">
        <v>1.338264775255675</v>
      </c>
      <c r="AP503" s="6" t="n">
        <v>0.1311583900680059</v>
      </c>
      <c r="AQ503" s="6" t="n">
        <v>0</v>
      </c>
      <c r="AR503" s="6" t="n">
        <v>0</v>
      </c>
    </row>
    <row r="504">
      <c r="D504" t="inlineStr">
        <is>
          <t>Run 192</t>
        </is>
      </c>
      <c r="J504" s="6" t="n">
        <v>-2.650589536408372</v>
      </c>
      <c r="K504" s="6" t="n">
        <v>0.7272182474441612</v>
      </c>
      <c r="L504" s="6" t="n">
        <v>-1.964237557674082</v>
      </c>
      <c r="M504" s="6" t="n">
        <v>-0.4560330825934201</v>
      </c>
      <c r="N504" s="6" t="n">
        <v>-0.4436376808570585</v>
      </c>
      <c r="O504" s="6" t="n">
        <v>1.472917218232307</v>
      </c>
      <c r="P504" s="6" t="n">
        <v>-1.371492026386533</v>
      </c>
      <c r="Q504" s="6" t="n">
        <v>0.1412605583505419</v>
      </c>
      <c r="R504" s="6" t="n">
        <v>-5.101107455881974</v>
      </c>
      <c r="S504" s="6" t="n">
        <v>-0.4688346016839184</v>
      </c>
      <c r="T504" s="6" t="n">
        <v>-2.844491287370274</v>
      </c>
      <c r="U504" s="6" t="n">
        <v>0.4223217435890098</v>
      </c>
      <c r="V504" s="6" t="n">
        <v>-2.190226790339512</v>
      </c>
      <c r="W504" s="6" t="n">
        <v>-1.724428555357971</v>
      </c>
      <c r="X504" s="6" t="n">
        <v>2.517170717664118</v>
      </c>
      <c r="Y504" s="6" t="n">
        <v>-1.849812218641616</v>
      </c>
      <c r="Z504" s="6" t="n">
        <v>-0.1304552846933545</v>
      </c>
      <c r="AA504" s="6" t="n">
        <v>1.456591301009722</v>
      </c>
      <c r="AB504" s="6" t="n">
        <v>0.353591907050204</v>
      </c>
      <c r="AC504" s="6" t="n">
        <v>-0.1164985841586938</v>
      </c>
      <c r="AD504" s="6" t="n">
        <v>-3.458911057356541</v>
      </c>
      <c r="AE504" s="6" t="n">
        <v>2.469091689822187</v>
      </c>
      <c r="AF504" s="6" t="n">
        <v>0.1175728180410421</v>
      </c>
      <c r="AG504" s="6" t="n">
        <v>-2.105683717491828</v>
      </c>
      <c r="AH504" s="6" t="n">
        <v>0.1846100498782668</v>
      </c>
      <c r="AI504" s="6" t="n">
        <v>-0.1089702225994426</v>
      </c>
      <c r="AJ504" s="6" t="n">
        <v>77.32262300453246</v>
      </c>
      <c r="AK504" s="6" t="n">
        <v>0.1344435488843516</v>
      </c>
      <c r="AL504" s="6" t="n">
        <v>1.009050654761167</v>
      </c>
      <c r="AN504" s="6" t="n">
        <v>1.35910568774337</v>
      </c>
      <c r="AO504" s="6" t="n">
        <v>1.35983339636175</v>
      </c>
      <c r="AP504" s="6" t="n">
        <v>0.137496745289111</v>
      </c>
      <c r="AQ504" s="6" t="n">
        <v>0</v>
      </c>
      <c r="AR504" s="6" t="n">
        <v>0</v>
      </c>
    </row>
    <row r="505">
      <c r="D505" t="inlineStr">
        <is>
          <t>Run 193</t>
        </is>
      </c>
      <c r="J505" s="6" t="n">
        <v>3.816277335134293</v>
      </c>
      <c r="K505" s="6" t="n">
        <v>-2.790308880108838</v>
      </c>
      <c r="L505" s="6" t="n">
        <v>-0.8763136492072637</v>
      </c>
      <c r="M505" s="6" t="n">
        <v>-2.644593440593113</v>
      </c>
      <c r="N505" s="6" t="n">
        <v>0.2124116768668974</v>
      </c>
      <c r="O505" s="6" t="n">
        <v>0.8163601344117288</v>
      </c>
      <c r="P505" s="6" t="n">
        <v>0.2262117410283436</v>
      </c>
      <c r="Q505" s="6" t="n">
        <v>4.80212919999823</v>
      </c>
      <c r="R505" s="6" t="n">
        <v>1.167370963190062</v>
      </c>
      <c r="S505" s="6" t="n">
        <v>-1.211981879323828</v>
      </c>
      <c r="T505" s="6" t="n">
        <v>-0.3875463685205467</v>
      </c>
      <c r="U505" s="6" t="n">
        <v>-2.02662850703403</v>
      </c>
      <c r="V505" s="6" t="n">
        <v>0.04190373111380796</v>
      </c>
      <c r="W505" s="6" t="n">
        <v>1.175408885700077</v>
      </c>
      <c r="X505" s="6" t="n">
        <v>0.2758507331387781</v>
      </c>
      <c r="Y505" s="6" t="n">
        <v>1.036767891685639</v>
      </c>
      <c r="Z505" s="6" t="n">
        <v>-1.732883718001368</v>
      </c>
      <c r="AA505" s="6" t="n">
        <v>1.633424765208323</v>
      </c>
      <c r="AB505" s="6" t="n">
        <v>-1.891750951040688</v>
      </c>
      <c r="AC505" s="6" t="n">
        <v>5</v>
      </c>
      <c r="AD505" s="6" t="n">
        <v>-0.4919350609383753</v>
      </c>
      <c r="AE505" s="6" t="n">
        <v>1.241698202789724</v>
      </c>
      <c r="AF505" s="6" t="n">
        <v>2.27709350678963</v>
      </c>
      <c r="AG505" s="6" t="n">
        <v>-1.517994517838196</v>
      </c>
      <c r="AH505" s="6" t="n">
        <v>0.3435917449075384</v>
      </c>
      <c r="AI505" s="6" t="n">
        <v>0.7182139968369613</v>
      </c>
      <c r="AJ505" s="6" t="n">
        <v>77.02804024185318</v>
      </c>
      <c r="AK505" s="6" t="n">
        <v>0.1460378136098003</v>
      </c>
      <c r="AL505" s="6" t="n">
        <v>1.059950043788531</v>
      </c>
      <c r="AN505" s="6" t="n">
        <v>1.31950584381961</v>
      </c>
      <c r="AO505" s="6" t="n">
        <v>1.328676913956519</v>
      </c>
      <c r="AP505" s="6" t="n">
        <v>0.1311341893604441</v>
      </c>
      <c r="AQ505" s="6" t="n">
        <v>0</v>
      </c>
      <c r="AR505" s="6" t="n">
        <v>0</v>
      </c>
    </row>
    <row r="506">
      <c r="D506" t="inlineStr">
        <is>
          <t>Run 194</t>
        </is>
      </c>
      <c r="J506" s="6" t="n">
        <v>2.203829698542814</v>
      </c>
      <c r="K506" s="6" t="n">
        <v>-2.088641951094424</v>
      </c>
      <c r="L506" s="6" t="n">
        <v>4.291929074663012</v>
      </c>
      <c r="M506" s="6" t="n">
        <v>3.031998531409022</v>
      </c>
      <c r="N506" s="6" t="n">
        <v>-0.6099705968171297</v>
      </c>
      <c r="O506" s="6" t="n">
        <v>4.292824685237592</v>
      </c>
      <c r="P506" s="6" t="n">
        <v>1.625197338943147e-05</v>
      </c>
      <c r="Q506" s="6" t="n">
        <v>0.8805195802168873</v>
      </c>
      <c r="R506" s="6" t="n">
        <v>1.714255834840225</v>
      </c>
      <c r="S506" s="6" t="n">
        <v>0.9076911776349832</v>
      </c>
      <c r="T506" s="6" t="n">
        <v>-0.4839811860940089</v>
      </c>
      <c r="U506" s="6" t="n">
        <v>0.4881571032376176</v>
      </c>
      <c r="V506" s="6" t="n">
        <v>-0.2653516581543075</v>
      </c>
      <c r="W506" s="6" t="n">
        <v>-0.05983674108140824</v>
      </c>
      <c r="X506" s="6" t="n">
        <v>-1.513651537695158</v>
      </c>
      <c r="Y506" s="6" t="n">
        <v>-2.353040796460658</v>
      </c>
      <c r="Z506" s="6" t="n">
        <v>4.13727147159041</v>
      </c>
      <c r="AA506" s="6" t="n">
        <v>2.145438800658641</v>
      </c>
      <c r="AB506" s="6" t="n">
        <v>0.4264407657547906</v>
      </c>
      <c r="AC506" s="6" t="n">
        <v>0.214295740229663</v>
      </c>
      <c r="AD506" s="6" t="n">
        <v>4.074386846051719</v>
      </c>
      <c r="AE506" s="6" t="n">
        <v>1.090737846608989</v>
      </c>
      <c r="AF506" s="6" t="n">
        <v>-1.239662101250234</v>
      </c>
      <c r="AG506" s="6" t="n">
        <v>0.7557257652522262</v>
      </c>
      <c r="AH506" s="6" t="n">
        <v>-3.609527853816853</v>
      </c>
      <c r="AI506" s="6" t="n">
        <v>-1.455456993417116</v>
      </c>
      <c r="AJ506" s="6" t="n">
        <v>66.72434172669668</v>
      </c>
      <c r="AK506" s="6" t="n">
        <v>0.1184717164410087</v>
      </c>
      <c r="AL506" s="6" t="n">
        <v>1.050355755195308</v>
      </c>
      <c r="AN506" s="6" t="n">
        <v>1.342339110545492</v>
      </c>
      <c r="AO506" s="6" t="n">
        <v>1.342909316664957</v>
      </c>
      <c r="AP506" s="6" t="n">
        <v>0.1320405071131604</v>
      </c>
      <c r="AQ506" s="6" t="n">
        <v>0</v>
      </c>
      <c r="AR506" s="6" t="n">
        <v>0</v>
      </c>
    </row>
    <row r="507">
      <c r="D507" t="inlineStr">
        <is>
          <t>Run 195</t>
        </is>
      </c>
      <c r="J507" s="6" t="n">
        <v>-0.651067532538515</v>
      </c>
      <c r="K507" s="6" t="n">
        <v>1.76867248706754</v>
      </c>
      <c r="L507" s="6" t="n">
        <v>-0.006077270068510429</v>
      </c>
      <c r="M507" s="6" t="n">
        <v>-1.429971701356308</v>
      </c>
      <c r="N507" s="6" t="n">
        <v>1.674459975057667</v>
      </c>
      <c r="O507" s="6" t="n">
        <v>-0.9458838984769286</v>
      </c>
      <c r="P507" s="6" t="n">
        <v>1.289982917741003</v>
      </c>
      <c r="Q507" s="6" t="n">
        <v>-1.512666147994546</v>
      </c>
      <c r="R507" s="6" t="n">
        <v>2.108111529972565</v>
      </c>
      <c r="S507" s="6" t="n">
        <v>-2.751152454025867</v>
      </c>
      <c r="T507" s="6" t="n">
        <v>0.9413387413948355</v>
      </c>
      <c r="U507" s="6" t="n">
        <v>2.018438852224791</v>
      </c>
      <c r="V507" s="6" t="n">
        <v>0.6416612728343009</v>
      </c>
      <c r="W507" s="6" t="n">
        <v>-0.2339031849259073</v>
      </c>
      <c r="X507" s="6" t="n">
        <v>0.4874698821264148</v>
      </c>
      <c r="Y507" s="6" t="n">
        <v>0.4853100255208356</v>
      </c>
      <c r="Z507" s="6" t="n">
        <v>1.011154248854631</v>
      </c>
      <c r="AA507" s="6" t="n">
        <v>-3.17042541697239</v>
      </c>
      <c r="AB507" s="6" t="n">
        <v>-0.4733975894667066</v>
      </c>
      <c r="AC507" s="6" t="n">
        <v>2.535242241306373</v>
      </c>
      <c r="AD507" s="6" t="n">
        <v>4.922529231370065</v>
      </c>
      <c r="AE507" s="6" t="n">
        <v>1.95783080284689</v>
      </c>
      <c r="AF507" s="6" t="n">
        <v>0.4669951848898761</v>
      </c>
      <c r="AG507" s="6" t="n">
        <v>-2.388844731948531</v>
      </c>
      <c r="AH507" s="6" t="n">
        <v>-1.220725937545275</v>
      </c>
      <c r="AI507" s="6" t="n">
        <v>1.619245366179715</v>
      </c>
      <c r="AJ507" s="6" t="n">
        <v>75.0259067749994</v>
      </c>
      <c r="AK507" s="6" t="n">
        <v>0.1180491232582383</v>
      </c>
      <c r="AL507" s="6" t="n">
        <v>1.064493107260455</v>
      </c>
      <c r="AN507" s="6" t="n">
        <v>1.336586071590449</v>
      </c>
      <c r="AO507" s="6" t="n">
        <v>1.339438516587852</v>
      </c>
      <c r="AP507" s="6" t="n">
        <v>0.1312784614863342</v>
      </c>
      <c r="AQ507" s="6" t="n">
        <v>0</v>
      </c>
      <c r="AR507" s="6" t="n">
        <v>0</v>
      </c>
    </row>
    <row r="508">
      <c r="D508" t="inlineStr">
        <is>
          <t>Run 196</t>
        </is>
      </c>
      <c r="J508" s="6" t="n">
        <v>-3.378139893187241</v>
      </c>
      <c r="K508" s="6" t="n">
        <v>1.341266399585742</v>
      </c>
      <c r="L508" s="6" t="n">
        <v>1.767118899813185</v>
      </c>
      <c r="M508" s="6" t="n">
        <v>1.589795241778595</v>
      </c>
      <c r="N508" s="6" t="n">
        <v>-1.319377352659317</v>
      </c>
      <c r="O508" s="6" t="n">
        <v>2.046593177375488</v>
      </c>
      <c r="P508" s="6" t="n">
        <v>0.2725854966040961</v>
      </c>
      <c r="Q508" s="6" t="n">
        <v>-2.994788234208773</v>
      </c>
      <c r="R508" s="6" t="n">
        <v>-1.209480625383115</v>
      </c>
      <c r="S508" s="6" t="n">
        <v>-1.468951215334819</v>
      </c>
      <c r="T508" s="6" t="n">
        <v>4.686337298177531</v>
      </c>
      <c r="U508" s="6" t="n">
        <v>3.004110976318708</v>
      </c>
      <c r="V508" s="6" t="n">
        <v>2.041491066691889</v>
      </c>
      <c r="W508" s="6" t="n">
        <v>0.4314258925894606</v>
      </c>
      <c r="X508" s="6" t="n">
        <v>-0.1649132833487456</v>
      </c>
      <c r="Y508" s="6" t="n">
        <v>1.653333934130311</v>
      </c>
      <c r="Z508" s="6" t="n">
        <v>1.513836722327654</v>
      </c>
      <c r="AA508" s="6" t="n">
        <v>1.792161765684423</v>
      </c>
      <c r="AB508" s="6" t="n">
        <v>0.157417148474344</v>
      </c>
      <c r="AC508" s="6" t="n">
        <v>3.464203410770895</v>
      </c>
      <c r="AD508" s="6" t="n">
        <v>1.899726548509806</v>
      </c>
      <c r="AE508" s="6" t="n">
        <v>2.321826836328162</v>
      </c>
      <c r="AF508" s="6" t="n">
        <v>-3.270378103267563</v>
      </c>
      <c r="AG508" s="6" t="n">
        <v>-0.9875462790627137</v>
      </c>
      <c r="AH508" s="6" t="n">
        <v>1.103288967872563</v>
      </c>
      <c r="AI508" s="6" t="n">
        <v>2.285878780893109</v>
      </c>
      <c r="AJ508" s="6" t="n">
        <v>76.50295323406525</v>
      </c>
      <c r="AK508" s="6" t="n">
        <v>0.07788134809940869</v>
      </c>
      <c r="AL508" s="6" t="n">
        <v>1.024713438299964</v>
      </c>
      <c r="AN508" s="6" t="n">
        <v>1.355441341422726</v>
      </c>
      <c r="AO508" s="6" t="n">
        <v>1.356068796366994</v>
      </c>
      <c r="AP508" s="6" t="n">
        <v>0.1362263735300807</v>
      </c>
      <c r="AQ508" s="6" t="n">
        <v>0</v>
      </c>
      <c r="AR508" s="6" t="n">
        <v>0</v>
      </c>
    </row>
    <row r="509">
      <c r="D509" t="inlineStr">
        <is>
          <t>Run 197</t>
        </is>
      </c>
      <c r="J509" s="6" t="n">
        <v>0.8473010029335389</v>
      </c>
      <c r="K509" s="6" t="n">
        <v>-2.36931332548326</v>
      </c>
      <c r="L509" s="6" t="n">
        <v>1.239834463680653</v>
      </c>
      <c r="M509" s="6" t="n">
        <v>-0.67241766220467</v>
      </c>
      <c r="N509" s="6" t="n">
        <v>-0.6110483242660933</v>
      </c>
      <c r="O509" s="6" t="n">
        <v>1.295808634904012</v>
      </c>
      <c r="P509" s="6" t="n">
        <v>-1.743749430000338</v>
      </c>
      <c r="Q509" s="6" t="n">
        <v>1.775392123244233</v>
      </c>
      <c r="R509" s="6" t="n">
        <v>-5.468041180476495</v>
      </c>
      <c r="S509" s="6" t="n">
        <v>2.119815931389078</v>
      </c>
      <c r="T509" s="6" t="n">
        <v>-0.1528320254044398</v>
      </c>
      <c r="U509" s="6" t="n">
        <v>-1.972571913460612</v>
      </c>
      <c r="V509" s="6" t="n">
        <v>1.2101506529347</v>
      </c>
      <c r="W509" s="6" t="n">
        <v>0.3261837480343169</v>
      </c>
      <c r="X509" s="6" t="n">
        <v>0.7803374417795935</v>
      </c>
      <c r="Y509" s="6" t="n">
        <v>-0.5220518852175114</v>
      </c>
      <c r="Z509" s="6" t="n">
        <v>3.467650908693973</v>
      </c>
      <c r="AA509" s="6" t="n">
        <v>-1.302897565962607</v>
      </c>
      <c r="AB509" s="6" t="n">
        <v>0.7512850130896908</v>
      </c>
      <c r="AC509" s="6" t="n">
        <v>2.421015672253375</v>
      </c>
      <c r="AD509" s="6" t="n">
        <v>0.8396986314675883</v>
      </c>
      <c r="AE509" s="6" t="n">
        <v>2.325567576259365</v>
      </c>
      <c r="AF509" s="6" t="n">
        <v>-2.730864526564146</v>
      </c>
      <c r="AG509" s="6" t="n">
        <v>-3.021689155513717</v>
      </c>
      <c r="AH509" s="6" t="n">
        <v>2.663845253559385</v>
      </c>
      <c r="AI509" s="6" t="n">
        <v>5</v>
      </c>
      <c r="AJ509" s="6" t="n">
        <v>75.73553541831939</v>
      </c>
      <c r="AK509" s="6" t="n">
        <v>0.1633624122131789</v>
      </c>
      <c r="AL509" s="6" t="n">
        <v>1.026486286718483</v>
      </c>
      <c r="AN509" s="6" t="n">
        <v>1.35217763593019</v>
      </c>
      <c r="AO509" s="6" t="n">
        <v>1.35217763593019</v>
      </c>
      <c r="AP509" s="6" t="n">
        <v>0.1340923886858084</v>
      </c>
      <c r="AQ509" s="6" t="n">
        <v>0</v>
      </c>
      <c r="AR509" s="6" t="n">
        <v>0</v>
      </c>
    </row>
    <row r="510">
      <c r="D510" t="inlineStr">
        <is>
          <t>Run 198</t>
        </is>
      </c>
      <c r="J510" s="6" t="n">
        <v>2.258651229524708</v>
      </c>
      <c r="K510" s="6" t="n">
        <v>2.314017051412375</v>
      </c>
      <c r="L510" s="6" t="n">
        <v>-4.655724967212691</v>
      </c>
      <c r="M510" s="6" t="n">
        <v>1.658400517023744</v>
      </c>
      <c r="N510" s="6" t="n">
        <v>3.38724149271808</v>
      </c>
      <c r="O510" s="6" t="n">
        <v>1.599555421850124</v>
      </c>
      <c r="P510" s="6" t="n">
        <v>4.80349437083616</v>
      </c>
      <c r="Q510" s="6" t="n">
        <v>2.739698646942555</v>
      </c>
      <c r="R510" s="6" t="n">
        <v>-0.4787442084914731</v>
      </c>
      <c r="S510" s="6" t="n">
        <v>0.9266738902884849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-0.3105434753402125</v>
      </c>
      <c r="X510" s="6" t="n">
        <v>-1.089218073631889</v>
      </c>
      <c r="Y510" s="6" t="n">
        <v>-4.492518670835233</v>
      </c>
      <c r="Z510" s="6" t="n">
        <v>-1.320515597912467</v>
      </c>
      <c r="AA510" s="6" t="n">
        <v>1.859838084273971</v>
      </c>
      <c r="AB510" s="6" t="n">
        <v>0.003727217584767168</v>
      </c>
      <c r="AC510" s="6" t="n">
        <v>1.239365118762874</v>
      </c>
      <c r="AD510" s="6" t="n">
        <v>1.147826321901974</v>
      </c>
      <c r="AE510" s="6" t="n">
        <v>1.86127642073338</v>
      </c>
      <c r="AF510" s="6" t="n">
        <v>-0.4537060658578572</v>
      </c>
      <c r="AG510" s="6" t="n">
        <v>1.558519783728775</v>
      </c>
      <c r="AH510" s="6" t="n">
        <v>0.1158886783819887</v>
      </c>
      <c r="AI510" s="6" t="n">
        <v>0.7652349333548178</v>
      </c>
      <c r="AJ510" s="6" t="n">
        <v>76.10384710582956</v>
      </c>
      <c r="AK510" s="6" t="n">
        <v>0.1126719140009464</v>
      </c>
      <c r="AL510" s="6" t="n">
        <v>1.075849886625625</v>
      </c>
      <c r="AN510" s="6" t="n">
        <v>1.338302735732471</v>
      </c>
      <c r="AO510" s="6" t="n">
        <v>1.338604297376753</v>
      </c>
      <c r="AP510" s="6" t="n">
        <v>0.1307334793099914</v>
      </c>
      <c r="AQ510" s="6" t="n">
        <v>0</v>
      </c>
      <c r="AR510" s="6" t="n">
        <v>0</v>
      </c>
    </row>
    <row r="511">
      <c r="D511" t="inlineStr">
        <is>
          <t>Run 199</t>
        </is>
      </c>
      <c r="J511" s="6" t="n">
        <v>1.548525298392733</v>
      </c>
      <c r="K511" s="6" t="n">
        <v>0.8266217799202432</v>
      </c>
      <c r="L511" s="6" t="n">
        <v>-4.595184905938868</v>
      </c>
      <c r="M511" s="6" t="n">
        <v>2.667604042264245</v>
      </c>
      <c r="N511" s="6" t="n">
        <v>-0.2032300405234493</v>
      </c>
      <c r="O511" s="6" t="n">
        <v>-0.3703165897337226</v>
      </c>
      <c r="P511" s="6" t="n">
        <v>2.307721682473177</v>
      </c>
      <c r="Q511" s="6" t="n">
        <v>-0.6855591172755081</v>
      </c>
      <c r="R511" s="6" t="n">
        <v>0.8025300424000144</v>
      </c>
      <c r="S511" s="6" t="n">
        <v>-1.297180279468459</v>
      </c>
      <c r="T511" s="6" t="n">
        <v>-0.5886010090219517</v>
      </c>
      <c r="U511" s="6" t="n">
        <v>1.269844131362954</v>
      </c>
      <c r="V511" s="6" t="n">
        <v>4.514328367521808</v>
      </c>
      <c r="W511" s="6" t="n">
        <v>-1.666276523328723</v>
      </c>
      <c r="X511" s="6" t="n">
        <v>3.772501753351365</v>
      </c>
      <c r="Y511" s="6" t="n">
        <v>-0.8736687921048859</v>
      </c>
      <c r="Z511" s="6" t="n">
        <v>0.3943710285613499</v>
      </c>
      <c r="AA511" s="6" t="n">
        <v>2.904233198515445</v>
      </c>
      <c r="AB511" s="6" t="n">
        <v>1.228698874305616</v>
      </c>
      <c r="AC511" s="6" t="n">
        <v>0.4660262330718433</v>
      </c>
      <c r="AD511" s="6" t="n">
        <v>-0.3712721093305925</v>
      </c>
      <c r="AE511" s="6" t="n">
        <v>-3.353806872229428</v>
      </c>
      <c r="AF511" s="6" t="n">
        <v>0.8539027598791686</v>
      </c>
      <c r="AG511" s="6" t="n">
        <v>1.141548670159009</v>
      </c>
      <c r="AH511" s="6" t="n">
        <v>-1.123263337507029</v>
      </c>
      <c r="AI511" s="6" t="n">
        <v>-0.9350870772954486</v>
      </c>
      <c r="AJ511" s="6" t="n">
        <v>65.27321641313451</v>
      </c>
      <c r="AK511" s="6" t="n">
        <v>0.09218068310546418</v>
      </c>
      <c r="AL511" s="6" t="n">
        <v>1.005826773134995</v>
      </c>
      <c r="AN511" s="6" t="n">
        <v>1.34995829307577</v>
      </c>
      <c r="AO511" s="6" t="n">
        <v>1.34995829307577</v>
      </c>
      <c r="AP511" s="6" t="n">
        <v>0.137312854473704</v>
      </c>
      <c r="AQ511" s="6" t="n">
        <v>0</v>
      </c>
      <c r="AR511" s="6" t="n">
        <v>0</v>
      </c>
    </row>
    <row r="512">
      <c r="D512" t="inlineStr">
        <is>
          <t>Run 200</t>
        </is>
      </c>
      <c r="J512" s="6" t="n">
        <v>0.7338501148206332</v>
      </c>
      <c r="K512" s="6" t="n">
        <v>-1.46962939118939</v>
      </c>
      <c r="L512" s="6" t="n">
        <v>2.5609954075831</v>
      </c>
      <c r="M512" s="6" t="n">
        <v>-2.448944428903841</v>
      </c>
      <c r="N512" s="6" t="n">
        <v>-2.438190252878957</v>
      </c>
      <c r="O512" s="6" t="n">
        <v>1.941283966993367</v>
      </c>
      <c r="P512" s="6" t="n">
        <v>-0.8197988613387754</v>
      </c>
      <c r="Q512" s="6" t="n">
        <v>-2.110727743357825</v>
      </c>
      <c r="R512" s="6" t="n">
        <v>0.5414704390499373</v>
      </c>
      <c r="S512" s="6" t="n">
        <v>-1.077397166096597</v>
      </c>
      <c r="T512" s="6" t="n">
        <v>-1.894265342109302</v>
      </c>
      <c r="U512" s="6" t="n">
        <v>0.157424387520267</v>
      </c>
      <c r="V512" s="6" t="n">
        <v>-3.418934295838782</v>
      </c>
      <c r="W512" s="6" t="n">
        <v>-2.821358082544842</v>
      </c>
      <c r="X512" s="6" t="n">
        <v>2.310777528835822</v>
      </c>
      <c r="Y512" s="6" t="n">
        <v>-3.467918626695336</v>
      </c>
      <c r="Z512" s="6" t="n">
        <v>-0.9650617353297875</v>
      </c>
      <c r="AA512" s="6" t="n">
        <v>-1.584771696733654</v>
      </c>
      <c r="AB512" s="6" t="n">
        <v>-2.801306726439927</v>
      </c>
      <c r="AC512" s="6" t="n">
        <v>-0.6127336438561506</v>
      </c>
      <c r="AD512" s="6" t="n">
        <v>-2.292015818190321</v>
      </c>
      <c r="AE512" s="6" t="n">
        <v>-1.2011580990423</v>
      </c>
      <c r="AF512" s="6" t="n">
        <v>0.8459739911611994</v>
      </c>
      <c r="AG512" s="6" t="n">
        <v>2.781391977983434</v>
      </c>
      <c r="AH512" s="6" t="n">
        <v>-1.322190171128383</v>
      </c>
      <c r="AI512" s="6" t="n">
        <v>1.894467435202272</v>
      </c>
      <c r="AJ512" s="6" t="n">
        <v>77.24563047763864</v>
      </c>
      <c r="AK512" s="6" t="n">
        <v>0.1262182141206744</v>
      </c>
      <c r="AL512" s="6" t="n">
        <v>1.067189061843545</v>
      </c>
      <c r="AN512" s="6" t="n">
        <v>1.321754454293931</v>
      </c>
      <c r="AO512" s="6" t="n">
        <v>1.325449356269633</v>
      </c>
      <c r="AP512" s="6" t="n">
        <v>0.1307549765857987</v>
      </c>
      <c r="AQ512" s="6" t="n">
        <v>0</v>
      </c>
      <c r="AR512" s="6" t="n">
        <v>0</v>
      </c>
    </row>
    <row r="513">
      <c r="D513" t="inlineStr">
        <is>
          <t>Run 201</t>
        </is>
      </c>
      <c r="J513" s="6" t="n">
        <v>0.9699686036033591</v>
      </c>
      <c r="K513" s="6" t="n">
        <v>1.374565763884135</v>
      </c>
      <c r="L513" s="6" t="n">
        <v>-0.2682223507247383</v>
      </c>
      <c r="M513" s="6" t="n">
        <v>-0.09288202252420812</v>
      </c>
      <c r="N513" s="6" t="n">
        <v>-2.346603026317798</v>
      </c>
      <c r="O513" s="6" t="n">
        <v>-1.515658337277889</v>
      </c>
      <c r="P513" s="6" t="n">
        <v>2.406778620819824</v>
      </c>
      <c r="Q513" s="6" t="n">
        <v>4.321402238554112</v>
      </c>
      <c r="R513" s="6" t="n">
        <v>0.4767478483330719</v>
      </c>
      <c r="S513" s="6" t="n">
        <v>2.157315197981367</v>
      </c>
      <c r="T513" s="6" t="n">
        <v>-2.371053474568361</v>
      </c>
      <c r="U513" s="6" t="n">
        <v>0.3875739451170292</v>
      </c>
      <c r="V513" s="6" t="n">
        <v>-2.019217596546557</v>
      </c>
      <c r="W513" s="6" t="n">
        <v>-2.071056793785421</v>
      </c>
      <c r="X513" s="6" t="n">
        <v>1.599825436421232</v>
      </c>
      <c r="Y513" s="6" t="n">
        <v>0.3904462026338076</v>
      </c>
      <c r="Z513" s="6" t="n">
        <v>-0.4799971630204969</v>
      </c>
      <c r="AA513" s="6" t="n">
        <v>-0.06424974455129312</v>
      </c>
      <c r="AB513" s="6" t="n">
        <v>-0.5696910881923314</v>
      </c>
      <c r="AC513" s="6" t="n">
        <v>3.01840873702684</v>
      </c>
      <c r="AD513" s="6" t="n">
        <v>-1.154522491112976</v>
      </c>
      <c r="AE513" s="6" t="n">
        <v>-1.352515575906826</v>
      </c>
      <c r="AF513" s="6" t="n">
        <v>-1.047994836397587</v>
      </c>
      <c r="AG513" s="6" t="n">
        <v>0.878410560827445</v>
      </c>
      <c r="AH513" s="6" t="n">
        <v>5</v>
      </c>
      <c r="AI513" s="6" t="n">
        <v>0.01749718282126052</v>
      </c>
      <c r="AJ513" s="6" t="n">
        <v>72.67093686187224</v>
      </c>
      <c r="AK513" s="6" t="n">
        <v>0.1056928176333183</v>
      </c>
      <c r="AL513" s="6" t="n">
        <v>1.077532011912206</v>
      </c>
      <c r="AN513" s="6" t="n">
        <v>1.339535148279964</v>
      </c>
      <c r="AO513" s="6" t="n">
        <v>1.340810509973349</v>
      </c>
      <c r="AP513" s="6" t="n">
        <v>0.1309281104763902</v>
      </c>
      <c r="AQ513" s="6" t="n">
        <v>0</v>
      </c>
      <c r="AR513" s="6" t="n">
        <v>0</v>
      </c>
    </row>
    <row r="514">
      <c r="D514" t="inlineStr">
        <is>
          <t>Run 202</t>
        </is>
      </c>
      <c r="J514" s="6" t="n">
        <v>1.357952304560949</v>
      </c>
      <c r="K514" s="6" t="n">
        <v>2.605134970680472</v>
      </c>
      <c r="L514" s="6" t="n">
        <v>-0.656042310324979</v>
      </c>
      <c r="M514" s="6" t="n">
        <v>-1.540108824493058</v>
      </c>
      <c r="N514" s="6" t="n">
        <v>3.091946467328375</v>
      </c>
      <c r="O514" s="6" t="n">
        <v>2.434519778180813</v>
      </c>
      <c r="P514" s="6" t="n">
        <v>4.231437786317205</v>
      </c>
      <c r="Q514" s="6" t="n">
        <v>-2.335878766286849</v>
      </c>
      <c r="R514" s="6" t="n">
        <v>1.555679749936651</v>
      </c>
      <c r="S514" s="6" t="n">
        <v>0.1659654472828121</v>
      </c>
      <c r="T514" s="6" t="n">
        <v>0.5510319578938637</v>
      </c>
      <c r="U514" s="6" t="n">
        <v>2.568416753339472</v>
      </c>
      <c r="V514" s="6" t="n">
        <v>0.1200600128627412</v>
      </c>
      <c r="W514" s="6" t="n">
        <v>2.591991550038963</v>
      </c>
      <c r="X514" s="6" t="n">
        <v>0.3441181030342014</v>
      </c>
      <c r="Y514" s="6" t="n">
        <v>-5.435899585845507</v>
      </c>
      <c r="Z514" s="6" t="n">
        <v>1.181078897703108</v>
      </c>
      <c r="AA514" s="6" t="n">
        <v>-0.7655774586012237</v>
      </c>
      <c r="AB514" s="6" t="n">
        <v>-1.827810756180254</v>
      </c>
      <c r="AC514" s="6" t="n">
        <v>-4.265805327736428</v>
      </c>
      <c r="AD514" s="6" t="n">
        <v>-1.147956294791834</v>
      </c>
      <c r="AE514" s="6" t="n">
        <v>0.7617640138596405</v>
      </c>
      <c r="AF514" s="6" t="n">
        <v>0.8707897079161463</v>
      </c>
      <c r="AG514" s="6" t="n">
        <v>3.571144559102027</v>
      </c>
      <c r="AH514" s="6" t="n">
        <v>0.6617377781486697</v>
      </c>
      <c r="AI514" s="6" t="n">
        <v>-2.547364725788607</v>
      </c>
      <c r="AJ514" s="6" t="n">
        <v>78.12004755795139</v>
      </c>
      <c r="AK514" s="6" t="n">
        <v>0.1255547238736432</v>
      </c>
      <c r="AL514" s="6" t="n">
        <v>1.120912837468242</v>
      </c>
      <c r="AN514" s="6" t="n">
        <v>1.322226291049536</v>
      </c>
      <c r="AO514" s="6" t="n">
        <v>1.322880755731591</v>
      </c>
      <c r="AP514" s="6" t="n">
        <v>0.1277083464607122</v>
      </c>
      <c r="AQ514" s="6" t="n">
        <v>0</v>
      </c>
      <c r="AR514" s="6" t="n">
        <v>0</v>
      </c>
    </row>
    <row r="515">
      <c r="D515" t="inlineStr">
        <is>
          <t>Run 203</t>
        </is>
      </c>
      <c r="J515" s="6" t="n">
        <v>-2.402473337016793</v>
      </c>
      <c r="K515" s="6" t="n">
        <v>-0.7954225013966184</v>
      </c>
      <c r="L515" s="6" t="n">
        <v>-0.1836703433770705</v>
      </c>
      <c r="M515" s="6" t="n">
        <v>3.180652244824422</v>
      </c>
      <c r="N515" s="6" t="n">
        <v>5</v>
      </c>
      <c r="O515" s="6" t="n">
        <v>3.158154109036548</v>
      </c>
      <c r="P515" s="6" t="n">
        <v>-0.1518238386946807</v>
      </c>
      <c r="Q515" s="6" t="n">
        <v>0.9140664575315773</v>
      </c>
      <c r="R515" s="6" t="n">
        <v>-0.4355080784616379</v>
      </c>
      <c r="S515" s="6" t="n">
        <v>-0.6706353410371845</v>
      </c>
      <c r="T515" s="6" t="n">
        <v>3.455774844175437</v>
      </c>
      <c r="U515" s="6" t="n">
        <v>1.24664423790193</v>
      </c>
      <c r="V515" s="6" t="n">
        <v>0.6033993693010726</v>
      </c>
      <c r="W515" s="6" t="n">
        <v>-1.734876425998733</v>
      </c>
      <c r="X515" s="6" t="n">
        <v>-1.118611583131848</v>
      </c>
      <c r="Y515" s="6" t="n">
        <v>-0.06392590766420816</v>
      </c>
      <c r="Z515" s="6" t="n">
        <v>0.7606153554644672</v>
      </c>
      <c r="AA515" s="6" t="n">
        <v>-0.3111460510694753</v>
      </c>
      <c r="AB515" s="6" t="n">
        <v>2.021974593326912</v>
      </c>
      <c r="AC515" s="6" t="n">
        <v>1.789135151616787</v>
      </c>
      <c r="AD515" s="6" t="n">
        <v>-0.06529404438176839</v>
      </c>
      <c r="AE515" s="6" t="n">
        <v>-0.4635256983768611</v>
      </c>
      <c r="AF515" s="6" t="n">
        <v>-0.8186398616775596</v>
      </c>
      <c r="AG515" s="6" t="n">
        <v>-1.936487415740179</v>
      </c>
      <c r="AH515" s="6" t="n">
        <v>-3.532737940119242</v>
      </c>
      <c r="AI515" s="6" t="n">
        <v>-0.884826881501997</v>
      </c>
      <c r="AJ515" s="6" t="n">
        <v>78.02265000542533</v>
      </c>
      <c r="AK515" s="6" t="n">
        <v>0.1201081695565991</v>
      </c>
      <c r="AL515" s="6" t="n">
        <v>1.046902155401383</v>
      </c>
      <c r="AN515" s="6" t="n">
        <v>1.348057713841283</v>
      </c>
      <c r="AO515" s="6" t="n">
        <v>1.348292390240887</v>
      </c>
      <c r="AP515" s="6" t="n">
        <v>0.1332956866756787</v>
      </c>
      <c r="AQ515" s="6" t="n">
        <v>0</v>
      </c>
      <c r="AR515" s="6" t="n">
        <v>0</v>
      </c>
    </row>
    <row r="516">
      <c r="D516" t="inlineStr">
        <is>
          <t>Run 204</t>
        </is>
      </c>
      <c r="J516" s="6" t="n">
        <v>0.6466987373742815</v>
      </c>
      <c r="K516" s="6" t="n">
        <v>0.7253474147498745</v>
      </c>
      <c r="L516" s="6" t="n">
        <v>2.730428660010755</v>
      </c>
      <c r="M516" s="6" t="n">
        <v>1.428221860702766</v>
      </c>
      <c r="N516" s="6" t="n">
        <v>-1.162414346128536</v>
      </c>
      <c r="O516" s="6" t="n">
        <v>2.000300923821073</v>
      </c>
      <c r="P516" s="6" t="n">
        <v>-1.295397256999872</v>
      </c>
      <c r="Q516" s="6" t="n">
        <v>-0.719176109050131</v>
      </c>
      <c r="R516" s="6" t="n">
        <v>2.808715787154823</v>
      </c>
      <c r="S516" s="6" t="n">
        <v>0.000892241619095541</v>
      </c>
      <c r="T516" s="6" t="n">
        <v>-0.3827268779428157</v>
      </c>
      <c r="U516" s="6" t="n">
        <v>-0.859498408404757</v>
      </c>
      <c r="V516" s="6" t="n">
        <v>1.096262323878758</v>
      </c>
      <c r="W516" s="6" t="n">
        <v>0.183948644813893</v>
      </c>
      <c r="X516" s="6" t="n">
        <v>-1.295001464521375</v>
      </c>
      <c r="Y516" s="6" t="n">
        <v>3.067960935201406</v>
      </c>
      <c r="Z516" s="6" t="n">
        <v>-0.1140364547461285</v>
      </c>
      <c r="AA516" s="6" t="n">
        <v>-0.8887134115620438</v>
      </c>
      <c r="AB516" s="6" t="n">
        <v>1.770051012141553</v>
      </c>
      <c r="AC516" s="6" t="n">
        <v>2.746340631760619</v>
      </c>
      <c r="AD516" s="6" t="n">
        <v>1.843520719371559</v>
      </c>
      <c r="AE516" s="6" t="n">
        <v>-1.569982387149836</v>
      </c>
      <c r="AF516" s="6" t="n">
        <v>-2.53594904319535</v>
      </c>
      <c r="AG516" s="6" t="n">
        <v>-3.631290565182829</v>
      </c>
      <c r="AH516" s="6" t="n">
        <v>0.7572775707245661</v>
      </c>
      <c r="AI516" s="6" t="n">
        <v>-2.166698703948394</v>
      </c>
      <c r="AJ516" s="6" t="n">
        <v>83.44057198285212</v>
      </c>
      <c r="AK516" s="6" t="n">
        <v>0.125159692346235</v>
      </c>
      <c r="AL516" s="6" t="n">
        <v>1.050773966179161</v>
      </c>
      <c r="AN516" s="6" t="n">
        <v>1.350381736957345</v>
      </c>
      <c r="AO516" s="6" t="n">
        <v>1.351159285902348</v>
      </c>
      <c r="AP516" s="6" t="n">
        <v>0.1329387421752373</v>
      </c>
      <c r="AQ516" s="6" t="n">
        <v>0</v>
      </c>
      <c r="AR516" s="6" t="n">
        <v>0</v>
      </c>
    </row>
    <row r="517">
      <c r="D517" t="inlineStr">
        <is>
          <t>Run 205</t>
        </is>
      </c>
      <c r="J517" s="6" t="n">
        <v>-2.629351452336662</v>
      </c>
      <c r="K517" s="6" t="n">
        <v>0.04521462990547575</v>
      </c>
      <c r="L517" s="6" t="n">
        <v>1.25616060869157</v>
      </c>
      <c r="M517" s="6" t="n">
        <v>-2.1850267133448</v>
      </c>
      <c r="N517" s="6" t="n">
        <v>-3.798398498164095</v>
      </c>
      <c r="O517" s="6" t="n">
        <v>1.999962641389535</v>
      </c>
      <c r="P517" s="6" t="n">
        <v>-2.213422490094359</v>
      </c>
      <c r="Q517" s="6" t="n">
        <v>1.567798980843249</v>
      </c>
      <c r="R517" s="6" t="n">
        <v>-1.056082134362659</v>
      </c>
      <c r="S517" s="6" t="n">
        <v>0.9452232017228391</v>
      </c>
      <c r="T517" s="6" t="n">
        <v>0.1728137779107545</v>
      </c>
      <c r="U517" s="6" t="n">
        <v>-0.8722044180366894</v>
      </c>
      <c r="V517" s="6" t="n">
        <v>1.332022468730336</v>
      </c>
      <c r="W517" s="6" t="n">
        <v>3.626904150766209</v>
      </c>
      <c r="X517" s="6" t="n">
        <v>-1.208007580579851</v>
      </c>
      <c r="Y517" s="6" t="n">
        <v>1.837633182929438</v>
      </c>
      <c r="Z517" s="6" t="n">
        <v>-2.202519747402457</v>
      </c>
      <c r="AA517" s="6" t="n">
        <v>-0.9793793542770258</v>
      </c>
      <c r="AB517" s="6" t="n">
        <v>-2.029070910012641</v>
      </c>
      <c r="AC517" s="6" t="n">
        <v>1.150557457836235</v>
      </c>
      <c r="AD517" s="6" t="n">
        <v>0.7609367740970042</v>
      </c>
      <c r="AE517" s="6" t="n">
        <v>-1.97375378380467</v>
      </c>
      <c r="AF517" s="6" t="n">
        <v>-0.0985045059213468</v>
      </c>
      <c r="AG517" s="6" t="n">
        <v>3.900421592410767</v>
      </c>
      <c r="AH517" s="6" t="n">
        <v>0.05630038500044229</v>
      </c>
      <c r="AI517" s="6" t="n">
        <v>2.094571645606623</v>
      </c>
      <c r="AJ517" s="6" t="n">
        <v>83.80087161030239</v>
      </c>
      <c r="AK517" s="6" t="n">
        <v>0.08785200817017748</v>
      </c>
      <c r="AL517" s="6" t="n">
        <v>1.035542007278489</v>
      </c>
      <c r="AN517" s="6" t="n">
        <v>1.341173251050812</v>
      </c>
      <c r="AO517" s="6" t="n">
        <v>1.342434878219562</v>
      </c>
      <c r="AP517" s="6" t="n">
        <v>0.1356346799915757</v>
      </c>
      <c r="AQ517" s="6" t="n">
        <v>0</v>
      </c>
      <c r="AR517" s="6" t="n">
        <v>0</v>
      </c>
    </row>
    <row r="518">
      <c r="D518" t="inlineStr">
        <is>
          <t>Run 206</t>
        </is>
      </c>
      <c r="J518" s="6" t="n">
        <v>-2.272095644228291</v>
      </c>
      <c r="K518" s="6" t="n">
        <v>0.5065713120006031</v>
      </c>
      <c r="L518" s="6" t="n">
        <v>-2.059286377010082</v>
      </c>
      <c r="M518" s="6" t="n">
        <v>-1.700141071180482</v>
      </c>
      <c r="N518" s="6" t="n">
        <v>1.480755983724368</v>
      </c>
      <c r="O518" s="6" t="n">
        <v>5</v>
      </c>
      <c r="P518" s="6" t="n">
        <v>-0.4607660606538718</v>
      </c>
      <c r="Q518" s="6" t="n">
        <v>1.302940157330378</v>
      </c>
      <c r="R518" s="6" t="n">
        <v>0.2208973085509885</v>
      </c>
      <c r="S518" s="6" t="n">
        <v>-0.3205257040026804</v>
      </c>
      <c r="T518" s="6" t="n">
        <v>-0.6025271065935256</v>
      </c>
      <c r="U518" s="6" t="n">
        <v>-0.2532547051441528</v>
      </c>
      <c r="V518" s="6" t="n">
        <v>1.77773144522903</v>
      </c>
      <c r="W518" s="6" t="n">
        <v>0.4443174550636542</v>
      </c>
      <c r="X518" s="6" t="n">
        <v>3.654957115892995</v>
      </c>
      <c r="Y518" s="6" t="n">
        <v>-0.4479983769406385</v>
      </c>
      <c r="Z518" s="6" t="n">
        <v>0.6361866223827511</v>
      </c>
      <c r="AA518" s="6" t="n">
        <v>-1.188142112639113</v>
      </c>
      <c r="AB518" s="6" t="n">
        <v>1.120924819226861</v>
      </c>
      <c r="AC518" s="6" t="n">
        <v>-1.020139240235063</v>
      </c>
      <c r="AD518" s="6" t="n">
        <v>-1.066788167802083</v>
      </c>
      <c r="AE518" s="6" t="n">
        <v>-0.6567227480468959</v>
      </c>
      <c r="AF518" s="6" t="n">
        <v>-0.5863325279497067</v>
      </c>
      <c r="AG518" s="6" t="n">
        <v>2.671536778649721</v>
      </c>
      <c r="AH518" s="6" t="n">
        <v>-0.1049260041921381</v>
      </c>
      <c r="AI518" s="6" t="n">
        <v>-1.744050123461514</v>
      </c>
      <c r="AJ518" s="6" t="n">
        <v>76.8662808474003</v>
      </c>
      <c r="AK518" s="6" t="n">
        <v>0.1045956007312963</v>
      </c>
      <c r="AL518" s="6" t="n">
        <v>1.030222083179406</v>
      </c>
      <c r="AN518" s="6" t="n">
        <v>1.345614191616418</v>
      </c>
      <c r="AO518" s="6" t="n">
        <v>1.350498915525517</v>
      </c>
      <c r="AP518" s="6" t="n">
        <v>0.1353322888820744</v>
      </c>
      <c r="AQ518" s="6" t="n">
        <v>0</v>
      </c>
      <c r="AR518" s="6" t="n">
        <v>0</v>
      </c>
    </row>
    <row r="519">
      <c r="D519" t="inlineStr">
        <is>
          <t>Run 207</t>
        </is>
      </c>
      <c r="J519" s="6" t="n">
        <v>2.090692707934363</v>
      </c>
      <c r="K519" s="6" t="n">
        <v>1.033659714028008</v>
      </c>
      <c r="L519" s="6" t="n">
        <v>-0.333331050140128</v>
      </c>
      <c r="M519" s="6" t="n">
        <v>2.138545485700579</v>
      </c>
      <c r="N519" s="6" t="n">
        <v>1.669486286314865</v>
      </c>
      <c r="O519" s="6" t="n">
        <v>-0.431493872726028</v>
      </c>
      <c r="P519" s="6" t="n">
        <v>1.986663919326062</v>
      </c>
      <c r="Q519" s="6" t="n">
        <v>2.757531722504814</v>
      </c>
      <c r="R519" s="6" t="n">
        <v>2.05849129254884</v>
      </c>
      <c r="S519" s="6" t="n">
        <v>1.30008420823098</v>
      </c>
      <c r="T519" s="6" t="n">
        <v>-2.170594324438353</v>
      </c>
      <c r="U519" s="6" t="n">
        <v>2.702670605717472</v>
      </c>
      <c r="V519" s="6" t="n">
        <v>-2.64416265367208</v>
      </c>
      <c r="W519" s="6" t="n">
        <v>0.9508042089958821</v>
      </c>
      <c r="X519" s="6" t="n">
        <v>3.084328959951167</v>
      </c>
      <c r="Y519" s="6" t="n">
        <v>-1.217188569194595</v>
      </c>
      <c r="Z519" s="6" t="n">
        <v>-4.469192080558681</v>
      </c>
      <c r="AA519" s="6" t="n">
        <v>0.2850211108195699</v>
      </c>
      <c r="AB519" s="6" t="n">
        <v>2.901151274133906</v>
      </c>
      <c r="AC519" s="6" t="n">
        <v>2.14522852960467</v>
      </c>
      <c r="AD519" s="6" t="n">
        <v>-0.4073746560193975</v>
      </c>
      <c r="AE519" s="6" t="n">
        <v>-1.590990129548747</v>
      </c>
      <c r="AF519" s="6" t="n">
        <v>2.708768679611411</v>
      </c>
      <c r="AG519" s="6" t="n">
        <v>2.067310381289933</v>
      </c>
      <c r="AH519" s="6" t="n">
        <v>-1.523264584194907</v>
      </c>
      <c r="AI519" s="6" t="n">
        <v>0.3149385629997278</v>
      </c>
      <c r="AJ519" s="6" t="n">
        <v>68.11212606437199</v>
      </c>
      <c r="AK519" s="6" t="n">
        <v>0.05519782206219243</v>
      </c>
      <c r="AL519" s="6" t="n">
        <v>1.007175474928718</v>
      </c>
      <c r="AN519" s="6" t="n">
        <v>1.352510838183645</v>
      </c>
      <c r="AO519" s="6" t="n">
        <v>1.352510838183645</v>
      </c>
      <c r="AP519" s="6" t="n">
        <v>0.1383410635025652</v>
      </c>
      <c r="AQ519" s="6" t="n">
        <v>0</v>
      </c>
      <c r="AR519" s="6" t="n">
        <v>0</v>
      </c>
    </row>
    <row r="520">
      <c r="D520" t="inlineStr">
        <is>
          <t>Run 208</t>
        </is>
      </c>
      <c r="J520" s="6" t="n">
        <v>2.255267691427272</v>
      </c>
      <c r="K520" s="6" t="n">
        <v>-0.8478928789329762</v>
      </c>
      <c r="L520" s="6" t="n">
        <v>-1.648486839032043</v>
      </c>
      <c r="M520" s="6" t="n">
        <v>-0.4585681714496699</v>
      </c>
      <c r="N520" s="6" t="n">
        <v>1.476521539801904</v>
      </c>
      <c r="O520" s="6" t="n">
        <v>-1.163816960644265</v>
      </c>
      <c r="P520" s="6" t="n">
        <v>-3.692550324370778</v>
      </c>
      <c r="Q520" s="6" t="n">
        <v>-3.372140110307292</v>
      </c>
      <c r="R520" s="6" t="n">
        <v>0.8280798907684709</v>
      </c>
      <c r="S520" s="6" t="n">
        <v>0.1269324281398814</v>
      </c>
      <c r="T520" s="6" t="n">
        <v>0.1897083539888792</v>
      </c>
      <c r="U520" s="6" t="n">
        <v>2.051448136384231</v>
      </c>
      <c r="V520" s="6" t="n">
        <v>1.354717444883887</v>
      </c>
      <c r="W520" s="6" t="n">
        <v>-4.365278709350778</v>
      </c>
      <c r="X520" s="6" t="n">
        <v>-3.681831950496674</v>
      </c>
      <c r="Y520" s="6" t="n">
        <v>-0.900840774019556</v>
      </c>
      <c r="Z520" s="6" t="n">
        <v>-1.622776737407724</v>
      </c>
      <c r="AA520" s="6" t="n">
        <v>-0.2232595547218464</v>
      </c>
      <c r="AB520" s="6" t="n">
        <v>2.907681021821338</v>
      </c>
      <c r="AC520" s="6" t="n">
        <v>2.386575031499841</v>
      </c>
      <c r="AD520" s="6" t="n">
        <v>-2.962419159325349</v>
      </c>
      <c r="AE520" s="6" t="n">
        <v>1.555403930548182</v>
      </c>
      <c r="AF520" s="6" t="n">
        <v>0.8280489849482171</v>
      </c>
      <c r="AG520" s="6" t="n">
        <v>-2.501046241398659</v>
      </c>
      <c r="AH520" s="6" t="n">
        <v>2.671325680142131</v>
      </c>
      <c r="AI520" s="6" t="n">
        <v>1.794523314242939</v>
      </c>
      <c r="AJ520" s="6" t="n">
        <v>68.87263087570857</v>
      </c>
      <c r="AK520" s="6" t="n">
        <v>0.1699005221505472</v>
      </c>
      <c r="AL520" s="6" t="n">
        <v>1.093404053872992</v>
      </c>
      <c r="AN520" s="6" t="n">
        <v>1.326244368355168</v>
      </c>
      <c r="AO520" s="6" t="n">
        <v>1.32659062574534</v>
      </c>
      <c r="AP520" s="6" t="n">
        <v>0.1278128657383965</v>
      </c>
      <c r="AQ520" s="6" t="n">
        <v>0</v>
      </c>
      <c r="AR520" s="6" t="n">
        <v>0</v>
      </c>
    </row>
    <row r="521">
      <c r="D521" t="inlineStr">
        <is>
          <t>Run 209</t>
        </is>
      </c>
      <c r="J521" s="6" t="n">
        <v>2.080028577589022</v>
      </c>
      <c r="K521" s="6" t="n">
        <v>-1.916574999420348</v>
      </c>
      <c r="L521" s="6" t="n">
        <v>-0.8076724503541792</v>
      </c>
      <c r="M521" s="6" t="n">
        <v>0.2271056980282307</v>
      </c>
      <c r="N521" s="6" t="n">
        <v>-0.4965583504318281</v>
      </c>
      <c r="O521" s="6" t="n">
        <v>1.953936704474816</v>
      </c>
      <c r="P521" s="6" t="n">
        <v>2.312098236801625</v>
      </c>
      <c r="Q521" s="6" t="n">
        <v>0.1376289750323623</v>
      </c>
      <c r="R521" s="6" t="n">
        <v>-0.5731183241023996</v>
      </c>
      <c r="S521" s="6" t="n">
        <v>-1.888309774262455</v>
      </c>
      <c r="T521" s="6" t="n">
        <v>1.558256663330103</v>
      </c>
      <c r="U521" s="6" t="n">
        <v>-0.945494070645401</v>
      </c>
      <c r="V521" s="6" t="n">
        <v>1.337085189324747</v>
      </c>
      <c r="W521" s="6" t="n">
        <v>-1.131651605759866</v>
      </c>
      <c r="X521" s="6" t="n">
        <v>0.2892124529941918</v>
      </c>
      <c r="Y521" s="6" t="n">
        <v>-1.490418639413971</v>
      </c>
      <c r="Z521" s="6" t="n">
        <v>-4.019130323715095</v>
      </c>
      <c r="AA521" s="6" t="n">
        <v>-1.899325393455751</v>
      </c>
      <c r="AB521" s="6" t="n">
        <v>-0.9236246729697907</v>
      </c>
      <c r="AC521" s="6" t="n">
        <v>-1.969482640118962</v>
      </c>
      <c r="AD521" s="6" t="n">
        <v>-1.677543360412666</v>
      </c>
      <c r="AE521" s="6" t="n">
        <v>1.622918835097412</v>
      </c>
      <c r="AF521" s="6" t="n">
        <v>-0.6581167552278682</v>
      </c>
      <c r="AG521" s="6" t="n">
        <v>-1.696409434386213</v>
      </c>
      <c r="AH521" s="6" t="n">
        <v>-1.503274179526388</v>
      </c>
      <c r="AI521" s="6" t="n">
        <v>0.7432101903872054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1.353618612921701</v>
      </c>
      <c r="AO521" s="6" t="n">
        <v>1.353618612921701</v>
      </c>
      <c r="AP521" s="6" t="n">
        <v>0.136027549248781</v>
      </c>
      <c r="AQ521" s="6" t="n">
        <v>0</v>
      </c>
      <c r="AR521" s="6" t="n">
        <v>0</v>
      </c>
    </row>
    <row r="522">
      <c r="D522" t="inlineStr">
        <is>
          <t>Run 210</t>
        </is>
      </c>
      <c r="J522" s="6" t="n">
        <v>-1.517700627994773</v>
      </c>
      <c r="K522" s="6" t="n">
        <v>-0.161448817421496</v>
      </c>
      <c r="L522" s="6" t="n">
        <v>-1.105867176939864</v>
      </c>
      <c r="M522" s="6" t="n">
        <v>-0.1841131675956869</v>
      </c>
      <c r="N522" s="6" t="n">
        <v>-3.309304449488678</v>
      </c>
      <c r="O522" s="6" t="n">
        <v>1.972650603108794</v>
      </c>
      <c r="P522" s="6" t="n">
        <v>-2.391145133916225</v>
      </c>
      <c r="Q522" s="6" t="n">
        <v>-1.297787874758228</v>
      </c>
      <c r="R522" s="6" t="n">
        <v>0.0389878662817283</v>
      </c>
      <c r="S522" s="6" t="n">
        <v>1.863368701504891</v>
      </c>
      <c r="T522" s="6" t="n">
        <v>1.711298289834229</v>
      </c>
      <c r="U522" s="6" t="n">
        <v>1.69303835369983</v>
      </c>
      <c r="V522" s="6" t="n">
        <v>3.641306746743373</v>
      </c>
      <c r="W522" s="6" t="n">
        <v>1.542569096382622</v>
      </c>
      <c r="X522" s="6" t="n">
        <v>-2.050089437126595</v>
      </c>
      <c r="Y522" s="6" t="n">
        <v>-0.2979065703510224</v>
      </c>
      <c r="Z522" s="6" t="n">
        <v>-2.135209962492318</v>
      </c>
      <c r="AA522" s="6" t="n">
        <v>-0.757023682676777</v>
      </c>
      <c r="AB522" s="6" t="n">
        <v>-1.398714100559559</v>
      </c>
      <c r="AC522" s="6" t="n">
        <v>4.749661632910195</v>
      </c>
      <c r="AD522" s="6" t="n">
        <v>-1.671043431218956</v>
      </c>
      <c r="AE522" s="6" t="n">
        <v>4.452319965884519</v>
      </c>
      <c r="AF522" s="6" t="n">
        <v>-2.303043871076315</v>
      </c>
      <c r="AG522" s="6" t="n">
        <v>-0.3762053175234717</v>
      </c>
      <c r="AH522" s="6" t="n">
        <v>-0.1552716470974914</v>
      </c>
      <c r="AI522" s="6" t="n">
        <v>-0.402933549787012</v>
      </c>
      <c r="AJ522" s="6" t="n">
        <v>82.86579064303024</v>
      </c>
      <c r="AK522" s="6" t="n">
        <v>0.1017130470913309</v>
      </c>
      <c r="AL522" s="6" t="n">
        <v>1.101702300549226</v>
      </c>
      <c r="AN522" s="6" t="n">
        <v>1.332482662046195</v>
      </c>
      <c r="AO522" s="6" t="n">
        <v>1.33314769783736</v>
      </c>
      <c r="AP522" s="6" t="n">
        <v>0.1300886357627506</v>
      </c>
      <c r="AQ522" s="6" t="n">
        <v>0</v>
      </c>
      <c r="AR522" s="6" t="n">
        <v>0</v>
      </c>
    </row>
    <row r="523">
      <c r="D523" t="inlineStr">
        <is>
          <t>Run 211</t>
        </is>
      </c>
      <c r="J523" s="6" t="n">
        <v>-0.4883618560768513</v>
      </c>
      <c r="K523" s="6" t="n">
        <v>0.2658965834148959</v>
      </c>
      <c r="L523" s="6" t="n">
        <v>0.2890621906095212</v>
      </c>
      <c r="M523" s="6" t="n">
        <v>1.79902087600953</v>
      </c>
      <c r="N523" s="6" t="n">
        <v>0.948745798057503</v>
      </c>
      <c r="O523" s="6" t="n">
        <v>-0.03198286387250263</v>
      </c>
      <c r="P523" s="6" t="n">
        <v>-1.599114066436933</v>
      </c>
      <c r="Q523" s="6" t="n">
        <v>-0.5352299304751421</v>
      </c>
      <c r="R523" s="6" t="n">
        <v>1.799400171602469</v>
      </c>
      <c r="S523" s="6" t="n">
        <v>-2.326524751706149</v>
      </c>
      <c r="T523" s="6" t="n">
        <v>0.1839610004145402</v>
      </c>
      <c r="U523" s="6" t="n">
        <v>-0.3850112817086506</v>
      </c>
      <c r="V523" s="6" t="n">
        <v>-5.130013041272302</v>
      </c>
      <c r="W523" s="6" t="n">
        <v>-2.141637264816486</v>
      </c>
      <c r="X523" s="6" t="n">
        <v>2.638354767192743</v>
      </c>
      <c r="Y523" s="6" t="n">
        <v>3.43233800543492</v>
      </c>
      <c r="Z523" s="6" t="n">
        <v>1.859428539104954</v>
      </c>
      <c r="AA523" s="6" t="n">
        <v>-0.375201794106628</v>
      </c>
      <c r="AB523" s="6" t="n">
        <v>-1.602292655098835</v>
      </c>
      <c r="AC523" s="6" t="n">
        <v>-0.4450297134761068</v>
      </c>
      <c r="AD523" s="6" t="n">
        <v>-0.7222025053696658</v>
      </c>
      <c r="AE523" s="6" t="n">
        <v>3.783125590491882</v>
      </c>
      <c r="AF523" s="6" t="n">
        <v>2.350195574314932</v>
      </c>
      <c r="AG523" s="6" t="n">
        <v>-5.158432789513305</v>
      </c>
      <c r="AH523" s="6" t="n">
        <v>0.8949869469392436</v>
      </c>
      <c r="AI523" s="6" t="n">
        <v>3.966678301093778</v>
      </c>
      <c r="AJ523" s="6" t="n">
        <v>81.1100647769867</v>
      </c>
      <c r="AK523" s="6" t="n">
        <v>0.1258820598134645</v>
      </c>
      <c r="AL523" s="6" t="n">
        <v>1.030130153346481</v>
      </c>
      <c r="AN523" s="6" t="n">
        <v>1.35631615450089</v>
      </c>
      <c r="AO523" s="6" t="n">
        <v>1.35631615450089</v>
      </c>
      <c r="AP523" s="6" t="n">
        <v>0.1349839722091195</v>
      </c>
      <c r="AQ523" s="6" t="n">
        <v>0</v>
      </c>
      <c r="AR523" s="6" t="n">
        <v>0</v>
      </c>
    </row>
    <row r="524">
      <c r="D524" t="inlineStr">
        <is>
          <t>Run 212</t>
        </is>
      </c>
      <c r="J524" s="6" t="n">
        <v>-1.402908521919164</v>
      </c>
      <c r="K524" s="6" t="n">
        <v>0.4367081120682222</v>
      </c>
      <c r="L524" s="6" t="n">
        <v>1.349929611690536</v>
      </c>
      <c r="M524" s="6" t="n">
        <v>-1.729415529206623</v>
      </c>
      <c r="N524" s="6" t="n">
        <v>1.999678065820116</v>
      </c>
      <c r="O524" s="6" t="n">
        <v>5</v>
      </c>
      <c r="P524" s="6" t="n">
        <v>-0.7241311222254048</v>
      </c>
      <c r="Q524" s="6" t="n">
        <v>0.06063939699310634</v>
      </c>
      <c r="R524" s="6" t="n">
        <v>0.1953378515888876</v>
      </c>
      <c r="S524" s="6" t="n">
        <v>-1.728109620627457</v>
      </c>
      <c r="T524" s="6" t="n">
        <v>-2.853362722371243</v>
      </c>
      <c r="U524" s="6" t="n">
        <v>-1.3050686881996</v>
      </c>
      <c r="V524" s="6" t="n">
        <v>-1.03393878300387</v>
      </c>
      <c r="W524" s="6" t="n">
        <v>-1.935819069214576</v>
      </c>
      <c r="X524" s="6" t="n">
        <v>-2.915025547562202</v>
      </c>
      <c r="Y524" s="6" t="n">
        <v>0.9668757830771547</v>
      </c>
      <c r="Z524" s="6" t="n">
        <v>0.2027292863633681</v>
      </c>
      <c r="AA524" s="6" t="n">
        <v>0.09094740273530189</v>
      </c>
      <c r="AB524" s="6" t="n">
        <v>2.571931950482008</v>
      </c>
      <c r="AC524" s="6" t="n">
        <v>0.9708328470435557</v>
      </c>
      <c r="AD524" s="6" t="n">
        <v>0.4142419486550457</v>
      </c>
      <c r="AE524" s="6" t="n">
        <v>-0.9617913469991495</v>
      </c>
      <c r="AF524" s="6" t="n">
        <v>-3.549216337068247</v>
      </c>
      <c r="AG524" s="6" t="n">
        <v>1.866537980151341</v>
      </c>
      <c r="AH524" s="6" t="n">
        <v>1.568910682214593</v>
      </c>
      <c r="AI524" s="6" t="n">
        <v>-0.1575863093453697</v>
      </c>
      <c r="AJ524" s="6" t="n">
        <v>63.75034810240025</v>
      </c>
      <c r="AK524" s="6" t="n">
        <v>0.1205063356319029</v>
      </c>
      <c r="AL524" s="6" t="n">
        <v>0.985394602968572</v>
      </c>
      <c r="AN524" s="6" t="n">
        <v>1.354343253316189</v>
      </c>
      <c r="AO524" s="6" t="n">
        <v>1.355474139302343</v>
      </c>
      <c r="AP524" s="6" t="n">
        <v>0.1402805906051958</v>
      </c>
      <c r="AQ524" s="6" t="n">
        <v>0</v>
      </c>
      <c r="AR524" s="6" t="n">
        <v>0</v>
      </c>
    </row>
    <row r="525">
      <c r="D525" t="inlineStr">
        <is>
          <t>Run 213</t>
        </is>
      </c>
      <c r="J525" s="6" t="n">
        <v>0.5214324353781123</v>
      </c>
      <c r="K525" s="6" t="n">
        <v>1.798071069701379</v>
      </c>
      <c r="L525" s="6" t="n">
        <v>4.198962396341521</v>
      </c>
      <c r="M525" s="6" t="n">
        <v>2.846714008236778</v>
      </c>
      <c r="N525" s="6" t="n">
        <v>-1.152223504108387</v>
      </c>
      <c r="O525" s="6" t="n">
        <v>-2.240540622424296</v>
      </c>
      <c r="P525" s="6" t="n">
        <v>-1.408597195942226</v>
      </c>
      <c r="Q525" s="6" t="n">
        <v>2.101456964713253</v>
      </c>
      <c r="R525" s="6" t="n">
        <v>-0.2376894582007597</v>
      </c>
      <c r="S525" s="6" t="n">
        <v>0.6170741138185609</v>
      </c>
      <c r="T525" s="6" t="n">
        <v>3.193071457018079</v>
      </c>
      <c r="U525" s="6" t="n">
        <v>-1.816326001929981</v>
      </c>
      <c r="V525" s="6" t="n">
        <v>-0.3483170691745504</v>
      </c>
      <c r="W525" s="6" t="n">
        <v>1.275696105983292</v>
      </c>
      <c r="X525" s="6" t="n">
        <v>0.04544575641879426</v>
      </c>
      <c r="Y525" s="6" t="n">
        <v>2.078351019721239</v>
      </c>
      <c r="Z525" s="6" t="n">
        <v>2.422893989227428</v>
      </c>
      <c r="AA525" s="6" t="n">
        <v>-1.382419810682713</v>
      </c>
      <c r="AB525" s="6" t="n">
        <v>1.109182147665324</v>
      </c>
      <c r="AC525" s="6" t="n">
        <v>-3.593922783283864</v>
      </c>
      <c r="AD525" s="6" t="n">
        <v>1.28288768172756</v>
      </c>
      <c r="AE525" s="6" t="n">
        <v>-3.369127466465959</v>
      </c>
      <c r="AF525" s="6" t="n">
        <v>0.1460180585282673</v>
      </c>
      <c r="AG525" s="6" t="n">
        <v>-0.0996339388905348</v>
      </c>
      <c r="AH525" s="6" t="n">
        <v>-2.1965737417297</v>
      </c>
      <c r="AI525" s="6" t="n">
        <v>0.9076009463026938</v>
      </c>
      <c r="AJ525" s="6" t="n">
        <v>80.4789639154703</v>
      </c>
      <c r="AK525" s="6" t="n">
        <v>0.2339468815489608</v>
      </c>
      <c r="AL525" s="6" t="n">
        <v>1.086308542299522</v>
      </c>
      <c r="AN525" s="6" t="n">
        <v>1.323962210189061</v>
      </c>
      <c r="AO525" s="6" t="n">
        <v>1.325402617202415</v>
      </c>
      <c r="AP525" s="6" t="n">
        <v>0.1272288710361329</v>
      </c>
      <c r="AQ525" s="6" t="n">
        <v>0</v>
      </c>
      <c r="AR525" s="6" t="n">
        <v>0</v>
      </c>
    </row>
    <row r="526">
      <c r="D526" t="inlineStr">
        <is>
          <t>Run 214</t>
        </is>
      </c>
      <c r="J526" s="6" t="n">
        <v>-1.89749421159248</v>
      </c>
      <c r="K526" s="6" t="n">
        <v>0.1304633492152122</v>
      </c>
      <c r="L526" s="6" t="n">
        <v>-1.596336355960809</v>
      </c>
      <c r="M526" s="6" t="n">
        <v>0.9634124488174721</v>
      </c>
      <c r="N526" s="6" t="n">
        <v>1.286092084163244</v>
      </c>
      <c r="O526" s="6" t="n">
        <v>0.0559633655836199</v>
      </c>
      <c r="P526" s="6" t="n">
        <v>-0.821829401056136</v>
      </c>
      <c r="Q526" s="6" t="n">
        <v>1.467113596814799</v>
      </c>
      <c r="R526" s="6" t="n">
        <v>2.409823742181898</v>
      </c>
      <c r="S526" s="6" t="n">
        <v>-0.6850639293228588</v>
      </c>
      <c r="T526" s="6" t="n">
        <v>2.78505893846911</v>
      </c>
      <c r="U526" s="6" t="n">
        <v>0.1533917664969244</v>
      </c>
      <c r="V526" s="6" t="n">
        <v>5</v>
      </c>
      <c r="W526" s="6" t="n">
        <v>-1.44456459474162</v>
      </c>
      <c r="X526" s="6" t="n">
        <v>-0.2036991126537654</v>
      </c>
      <c r="Y526" s="6" t="n">
        <v>1.151405638395586</v>
      </c>
      <c r="Z526" s="6" t="n">
        <v>0.2199526366713069</v>
      </c>
      <c r="AA526" s="6" t="n">
        <v>1.224253625252111</v>
      </c>
      <c r="AB526" s="6" t="n">
        <v>-2.822877075066591</v>
      </c>
      <c r="AC526" s="6" t="n">
        <v>0.5428129863937911</v>
      </c>
      <c r="AD526" s="6" t="n">
        <v>-1.46402132151769</v>
      </c>
      <c r="AE526" s="6" t="n">
        <v>-0.3203082518272449</v>
      </c>
      <c r="AF526" s="6" t="n">
        <v>0.4000975594919033</v>
      </c>
      <c r="AG526" s="6" t="n">
        <v>-4.382649237655005</v>
      </c>
      <c r="AH526" s="6" t="n">
        <v>0.1498736372936541</v>
      </c>
      <c r="AI526" s="6" t="n">
        <v>-2.944717201837353</v>
      </c>
      <c r="AJ526" s="6" t="n">
        <v>80.74740710592252</v>
      </c>
      <c r="AK526" s="6" t="n">
        <v>0.1409697729548335</v>
      </c>
      <c r="AL526" s="6" t="n">
        <v>1.083422307097753</v>
      </c>
      <c r="AN526" s="6" t="n">
        <v>1.335269655490045</v>
      </c>
      <c r="AO526" s="6" t="n">
        <v>1.335629508655528</v>
      </c>
      <c r="AP526" s="6" t="n">
        <v>0.1300679209829491</v>
      </c>
      <c r="AQ526" s="6" t="n">
        <v>0</v>
      </c>
      <c r="AR526" s="6" t="n">
        <v>0</v>
      </c>
    </row>
    <row r="527">
      <c r="D527" t="inlineStr">
        <is>
          <t>Run 215</t>
        </is>
      </c>
      <c r="J527" s="6" t="n">
        <v>-3.372274344966711</v>
      </c>
      <c r="K527" s="6" t="n">
        <v>6.562380362099182e-06</v>
      </c>
      <c r="L527" s="6" t="n">
        <v>-0.9100831607415211</v>
      </c>
      <c r="M527" s="6" t="n">
        <v>3.322306200727709</v>
      </c>
      <c r="N527" s="6" t="n">
        <v>4.186619005048434</v>
      </c>
      <c r="O527" s="6" t="n">
        <v>0.3780832535907674</v>
      </c>
      <c r="P527" s="6" t="n">
        <v>-2.010965401361653</v>
      </c>
      <c r="Q527" s="6" t="n">
        <v>1.22331423547591</v>
      </c>
      <c r="R527" s="6" t="n">
        <v>1.749261414100358</v>
      </c>
      <c r="S527" s="6" t="n">
        <v>-0.8185007739931756</v>
      </c>
      <c r="T527" s="6" t="n">
        <v>-0.5076504019068713</v>
      </c>
      <c r="U527" s="6" t="n">
        <v>3.609051740331349</v>
      </c>
      <c r="V527" s="6" t="n">
        <v>-0.343407460827011</v>
      </c>
      <c r="W527" s="6" t="n">
        <v>0.2578502042822222</v>
      </c>
      <c r="X527" s="6" t="n">
        <v>-4.04142883628852</v>
      </c>
      <c r="Y527" s="6" t="n">
        <v>1.126027594548256</v>
      </c>
      <c r="Z527" s="6" t="n">
        <v>-0.6890386572093705</v>
      </c>
      <c r="AA527" s="6" t="n">
        <v>-2.44245618375321</v>
      </c>
      <c r="AB527" s="6" t="n">
        <v>1.402976591582571</v>
      </c>
      <c r="AC527" s="6" t="n">
        <v>1.46605577546976</v>
      </c>
      <c r="AD527" s="6" t="n">
        <v>3.193678260551169</v>
      </c>
      <c r="AE527" s="6" t="n">
        <v>-4.153351472610476</v>
      </c>
      <c r="AF527" s="6" t="n">
        <v>3.2725629833646</v>
      </c>
      <c r="AG527" s="6" t="n">
        <v>-3.193000178887864</v>
      </c>
      <c r="AH527" s="6" t="n">
        <v>0.1177718083006942</v>
      </c>
      <c r="AI527" s="6" t="n">
        <v>-1.669384480242224</v>
      </c>
      <c r="AJ527" s="6" t="n">
        <v>74.2725302120747</v>
      </c>
      <c r="AK527" s="6" t="n">
        <v>0.1187674736153494</v>
      </c>
      <c r="AL527" s="6" t="n">
        <v>1.030233098570129</v>
      </c>
      <c r="AN527" s="6" t="n">
        <v>1.351858140028652</v>
      </c>
      <c r="AO527" s="6" t="n">
        <v>1.352381992352421</v>
      </c>
      <c r="AP527" s="6" t="n">
        <v>0.1348029829542457</v>
      </c>
      <c r="AQ527" s="6" t="n">
        <v>0</v>
      </c>
      <c r="AR527" s="6" t="n">
        <v>0</v>
      </c>
    </row>
    <row r="528">
      <c r="D528" t="inlineStr">
        <is>
          <t>Run 216</t>
        </is>
      </c>
      <c r="J528" s="6" t="n">
        <v>1.658173007486545</v>
      </c>
      <c r="K528" s="6" t="n">
        <v>-0.9838060663662697</v>
      </c>
      <c r="L528" s="6" t="n">
        <v>2.267949859592191</v>
      </c>
      <c r="M528" s="6" t="n">
        <v>-1.26851365060571</v>
      </c>
      <c r="N528" s="6" t="n">
        <v>-0.5504553928968936</v>
      </c>
      <c r="O528" s="6" t="n">
        <v>-0.06374604150137222</v>
      </c>
      <c r="P528" s="6" t="n">
        <v>-0.6746666546684279</v>
      </c>
      <c r="Q528" s="6" t="n">
        <v>2.33166575646025</v>
      </c>
      <c r="R528" s="6" t="n">
        <v>-0.9727076078717929</v>
      </c>
      <c r="S528" s="6" t="n">
        <v>-2.774070696543812</v>
      </c>
      <c r="T528" s="6" t="n">
        <v>0.06380961249245772</v>
      </c>
      <c r="U528" s="6" t="n">
        <v>-4.147074274018172</v>
      </c>
      <c r="V528" s="6" t="n">
        <v>2.263067443887607</v>
      </c>
      <c r="W528" s="6" t="n">
        <v>1.825281747538821</v>
      </c>
      <c r="X528" s="6" t="n">
        <v>-0.6718455765205765</v>
      </c>
      <c r="Y528" s="6" t="n">
        <v>-0.1417775620401784</v>
      </c>
      <c r="Z528" s="6" t="n">
        <v>2.994688971532761</v>
      </c>
      <c r="AA528" s="6" t="n">
        <v>1.161570643421366</v>
      </c>
      <c r="AB528" s="6" t="n">
        <v>-0.1862610438086423</v>
      </c>
      <c r="AC528" s="6" t="n">
        <v>1.993415125129611</v>
      </c>
      <c r="AD528" s="6" t="n">
        <v>3.115169417138401</v>
      </c>
      <c r="AE528" s="6" t="n">
        <v>0.3320869690385551</v>
      </c>
      <c r="AF528" s="6" t="n">
        <v>-2.686612341782425</v>
      </c>
      <c r="AG528" s="6" t="n">
        <v>3.090292553546634</v>
      </c>
      <c r="AH528" s="6" t="n">
        <v>-4.27817524863546</v>
      </c>
      <c r="AI528" s="6" t="n">
        <v>-0.2254845823471517</v>
      </c>
      <c r="AJ528" s="6" t="n">
        <v>62.00115619870326</v>
      </c>
      <c r="AK528" s="6" t="n">
        <v>0.1016019963882751</v>
      </c>
      <c r="AL528" s="6" t="n">
        <v>1.042840301387825</v>
      </c>
      <c r="AN528" s="6" t="n">
        <v>1.340150874679725</v>
      </c>
      <c r="AO528" s="6" t="n">
        <v>1.342586936434363</v>
      </c>
      <c r="AP528" s="6" t="n">
        <v>0.132593702421044</v>
      </c>
      <c r="AQ528" s="6" t="n">
        <v>0</v>
      </c>
      <c r="AR528" s="6" t="n">
        <v>0</v>
      </c>
    </row>
    <row r="529">
      <c r="D529" t="inlineStr">
        <is>
          <t>Run 217</t>
        </is>
      </c>
      <c r="J529" s="6" t="n">
        <v>0.3147601682229357</v>
      </c>
      <c r="K529" s="6" t="n">
        <v>-0.8125727067627528</v>
      </c>
      <c r="L529" s="6" t="n">
        <v>-0.0003989912526564771</v>
      </c>
      <c r="M529" s="6" t="n">
        <v>-1.834797555123904</v>
      </c>
      <c r="N529" s="6" t="n">
        <v>2.203007290973209</v>
      </c>
      <c r="O529" s="6" t="n">
        <v>-0.5012457605340943</v>
      </c>
      <c r="P529" s="6" t="n">
        <v>-0.8544891900995795</v>
      </c>
      <c r="Q529" s="6" t="n">
        <v>-1.745968427953639</v>
      </c>
      <c r="R529" s="6" t="n">
        <v>-0.001448390691149582</v>
      </c>
      <c r="S529" s="6" t="n">
        <v>-3.218297756819854</v>
      </c>
      <c r="T529" s="6" t="n">
        <v>-3.084859148995904</v>
      </c>
      <c r="U529" s="6" t="n">
        <v>-2.28113981383196</v>
      </c>
      <c r="V529" s="6" t="n">
        <v>-0.04115898514195708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2.198998203547692</v>
      </c>
      <c r="AA529" s="6" t="n">
        <v>3.956705530959399</v>
      </c>
      <c r="AB529" s="6" t="n">
        <v>1.712304980335965</v>
      </c>
      <c r="AC529" s="6" t="n">
        <v>-1.407855201953848</v>
      </c>
      <c r="AD529" s="6" t="n">
        <v>-0.2177203378215597</v>
      </c>
      <c r="AE529" s="6" t="n">
        <v>-1.013723403707497</v>
      </c>
      <c r="AF529" s="6" t="n">
        <v>-2.741080255337076</v>
      </c>
      <c r="AG529" s="6" t="n">
        <v>1.283682231260584</v>
      </c>
      <c r="AH529" s="6" t="n">
        <v>-1.275944486632482</v>
      </c>
      <c r="AI529" s="6" t="n">
        <v>0.01142273351899938</v>
      </c>
      <c r="AJ529" s="6" t="n">
        <v>74.71742148154267</v>
      </c>
      <c r="AK529" s="6" t="n">
        <v>0.05176749252398767</v>
      </c>
      <c r="AL529" s="6" t="n">
        <v>1.047694234597814</v>
      </c>
      <c r="AN529" s="6" t="n">
        <v>1.34032177615245</v>
      </c>
      <c r="AO529" s="6" t="n">
        <v>1.345685170033957</v>
      </c>
      <c r="AP529" s="6" t="n">
        <v>0.1342407584630474</v>
      </c>
      <c r="AQ529" s="6" t="n">
        <v>0</v>
      </c>
      <c r="AR529" s="6" t="n">
        <v>0</v>
      </c>
    </row>
    <row r="530">
      <c r="D530" t="inlineStr">
        <is>
          <t>Run 218</t>
        </is>
      </c>
      <c r="J530" s="6" t="n">
        <v>0.007357422623256004</v>
      </c>
      <c r="K530" s="6" t="n">
        <v>-3.030947988083288</v>
      </c>
      <c r="L530" s="6" t="n">
        <v>-1.7690771554913</v>
      </c>
      <c r="M530" s="6" t="n">
        <v>0.2770936474773095</v>
      </c>
      <c r="N530" s="6" t="n">
        <v>1.228828164590067</v>
      </c>
      <c r="O530" s="6" t="n">
        <v>-1.179226518560354</v>
      </c>
      <c r="P530" s="6" t="n">
        <v>-1.022605416230035</v>
      </c>
      <c r="Q530" s="6" t="n">
        <v>-2.313053402260375</v>
      </c>
      <c r="R530" s="6" t="n">
        <v>-3.024106087357355</v>
      </c>
      <c r="S530" s="6" t="n">
        <v>0.8939097319724136</v>
      </c>
      <c r="T530" s="6" t="n">
        <v>1.907790983448471</v>
      </c>
      <c r="U530" s="6" t="n">
        <v>-1.38435234800112</v>
      </c>
      <c r="V530" s="6" t="n">
        <v>-1.673169248786831</v>
      </c>
      <c r="W530" s="6" t="n">
        <v>1.348923073390294</v>
      </c>
      <c r="X530" s="6" t="n">
        <v>0.5968902318530893</v>
      </c>
      <c r="Y530" s="6" t="n">
        <v>0.3994502448672031</v>
      </c>
      <c r="Z530" s="6" t="n">
        <v>2.078371248966271</v>
      </c>
      <c r="AA530" s="6" t="n">
        <v>1.525680426196131</v>
      </c>
      <c r="AB530" s="6" t="n">
        <v>1.798185782730513</v>
      </c>
      <c r="AC530" s="6" t="n">
        <v>0.5985111261083379</v>
      </c>
      <c r="AD530" s="6" t="n">
        <v>1.567704552858156</v>
      </c>
      <c r="AE530" s="6" t="n">
        <v>0.6335616915639034</v>
      </c>
      <c r="AF530" s="6" t="n">
        <v>2.169178465397569</v>
      </c>
      <c r="AG530" s="6" t="n">
        <v>-5.093466932016986</v>
      </c>
      <c r="AH530" s="6" t="n">
        <v>-1.363765024940146</v>
      </c>
      <c r="AI530" s="6" t="n">
        <v>0.9955229240412578</v>
      </c>
      <c r="AJ530" s="6" t="n">
        <v>68.54687171088901</v>
      </c>
      <c r="AK530" s="6" t="n">
        <v>0.08904931871087042</v>
      </c>
      <c r="AL530" s="6" t="n">
        <v>1.057606012073027</v>
      </c>
      <c r="AN530" s="6" t="n">
        <v>1.344793449538533</v>
      </c>
      <c r="AO530" s="6" t="n">
        <v>1.345466720105246</v>
      </c>
      <c r="AP530" s="6" t="n">
        <v>0.1320064573577877</v>
      </c>
      <c r="AQ530" s="6" t="n">
        <v>0</v>
      </c>
      <c r="AR530" s="6" t="n">
        <v>0</v>
      </c>
    </row>
    <row r="531">
      <c r="D531" t="inlineStr">
        <is>
          <t>Run 219</t>
        </is>
      </c>
      <c r="J531" s="6" t="n">
        <v>-2.93882256594819</v>
      </c>
      <c r="K531" s="6" t="n">
        <v>0.2576495093715968</v>
      </c>
      <c r="L531" s="6" t="n">
        <v>-1.589973760317407</v>
      </c>
      <c r="M531" s="6" t="n">
        <v>-2.599427274547255</v>
      </c>
      <c r="N531" s="6" t="n">
        <v>-0.4913496025851392</v>
      </c>
      <c r="O531" s="6" t="n">
        <v>-0.6668102905069037</v>
      </c>
      <c r="P531" s="6" t="n">
        <v>-0.2713008380236573</v>
      </c>
      <c r="Q531" s="6" t="n">
        <v>0.792421580339436</v>
      </c>
      <c r="R531" s="6" t="n">
        <v>-0.5809017099663509</v>
      </c>
      <c r="S531" s="6" t="n">
        <v>1.139986385896391</v>
      </c>
      <c r="T531" s="6" t="n">
        <v>-2.927743577765733</v>
      </c>
      <c r="U531" s="6" t="n">
        <v>0.6774054372119627</v>
      </c>
      <c r="V531" s="6" t="n">
        <v>-1.34637676740805</v>
      </c>
      <c r="W531" s="6" t="n">
        <v>3.669933312557934</v>
      </c>
      <c r="X531" s="6" t="n">
        <v>0.560251089014929</v>
      </c>
      <c r="Y531" s="6" t="n">
        <v>1.976254566134954</v>
      </c>
      <c r="Z531" s="6" t="n">
        <v>-1.380335320617303</v>
      </c>
      <c r="AA531" s="6" t="n">
        <v>0.8051278332247817</v>
      </c>
      <c r="AB531" s="6" t="n">
        <v>3.157598398917658</v>
      </c>
      <c r="AC531" s="6" t="n">
        <v>-1.256475681457488</v>
      </c>
      <c r="AD531" s="6" t="n">
        <v>-0.3507777585852608</v>
      </c>
      <c r="AE531" s="6" t="n">
        <v>2.399230076319717</v>
      </c>
      <c r="AF531" s="6" t="n">
        <v>-1.635999483004322</v>
      </c>
      <c r="AG531" s="6" t="n">
        <v>-1.207622865331996</v>
      </c>
      <c r="AH531" s="6" t="n">
        <v>0.5844641649071244</v>
      </c>
      <c r="AI531" s="6" t="n">
        <v>2.987923974694344</v>
      </c>
      <c r="AJ531" s="6" t="n">
        <v>79.9991526898456</v>
      </c>
      <c r="AK531" s="6" t="n">
        <v>0.1383692277554096</v>
      </c>
      <c r="AL531" s="6" t="n">
        <v>1.002442217622717</v>
      </c>
      <c r="AN531" s="6" t="n">
        <v>1.342598672208886</v>
      </c>
      <c r="AO531" s="6" t="n">
        <v>1.351690959235459</v>
      </c>
      <c r="AP531" s="6" t="n">
        <v>0.1388523024539628</v>
      </c>
      <c r="AQ531" s="6" t="n">
        <v>0</v>
      </c>
      <c r="AR531" s="6" t="n">
        <v>0</v>
      </c>
    </row>
    <row r="532">
      <c r="D532" t="inlineStr">
        <is>
          <t>Run 220</t>
        </is>
      </c>
      <c r="J532" s="6" t="n">
        <v>-4.205764321966221</v>
      </c>
      <c r="K532" s="6" t="n">
        <v>-1.337901277439805</v>
      </c>
      <c r="L532" s="6" t="n">
        <v>3.664506587668344</v>
      </c>
      <c r="M532" s="6" t="n">
        <v>-2.409288872220664</v>
      </c>
      <c r="N532" s="6" t="n">
        <v>-0.2212672850768506</v>
      </c>
      <c r="O532" s="6" t="n">
        <v>0.2133901875602602</v>
      </c>
      <c r="P532" s="6" t="n">
        <v>3.283314821038705</v>
      </c>
      <c r="Q532" s="6" t="n">
        <v>-0.2949909864642159</v>
      </c>
      <c r="R532" s="6" t="n">
        <v>-2.435827460990453</v>
      </c>
      <c r="S532" s="6" t="n">
        <v>0.2253261774869644</v>
      </c>
      <c r="T532" s="6" t="n">
        <v>-0.7907584954628933</v>
      </c>
      <c r="U532" s="6" t="n">
        <v>0.9649070561484322</v>
      </c>
      <c r="V532" s="6" t="n">
        <v>-0.8928449950104732</v>
      </c>
      <c r="W532" s="6" t="n">
        <v>0.2245657337515121</v>
      </c>
      <c r="X532" s="6" t="n">
        <v>-3.166281878749582</v>
      </c>
      <c r="Y532" s="6" t="n">
        <v>-3.016261614339858</v>
      </c>
      <c r="Z532" s="6" t="n">
        <v>3.790283301563901</v>
      </c>
      <c r="AA532" s="6" t="n">
        <v>1.702784957329867</v>
      </c>
      <c r="AB532" s="6" t="n">
        <v>2.632004139081578</v>
      </c>
      <c r="AC532" s="6" t="n">
        <v>-1.254468491717412</v>
      </c>
      <c r="AD532" s="6" t="n">
        <v>-0.7812237078275752</v>
      </c>
      <c r="AE532" s="6" t="n">
        <v>1.129859681117275</v>
      </c>
      <c r="AF532" s="6" t="n">
        <v>-3.566172294100211</v>
      </c>
      <c r="AG532" s="6" t="n">
        <v>1.254507196180093</v>
      </c>
      <c r="AH532" s="6" t="n">
        <v>-1.255733278314035</v>
      </c>
      <c r="AI532" s="6" t="n">
        <v>0.4203332213755699</v>
      </c>
      <c r="AJ532" s="6" t="n">
        <v>64.393713161281</v>
      </c>
      <c r="AK532" s="6" t="n">
        <v>0.2013598388093162</v>
      </c>
      <c r="AL532" s="6" t="n">
        <v>1.036776700293751</v>
      </c>
      <c r="AN532" s="6" t="n">
        <v>1.321681014265394</v>
      </c>
      <c r="AO532" s="6" t="n">
        <v>1.330038441422557</v>
      </c>
      <c r="AP532" s="6" t="n">
        <v>0.1310755388270773</v>
      </c>
      <c r="AQ532" s="6" t="n">
        <v>0</v>
      </c>
      <c r="AR532" s="6" t="n">
        <v>0</v>
      </c>
    </row>
    <row r="533">
      <c r="D533" t="inlineStr">
        <is>
          <t>Run 221</t>
        </is>
      </c>
      <c r="J533" s="6" t="n">
        <v>-0.05125999506443091</v>
      </c>
      <c r="K533" s="6" t="n">
        <v>1.568803115365736</v>
      </c>
      <c r="L533" s="6" t="n">
        <v>0.07158859321321021</v>
      </c>
      <c r="M533" s="6" t="n">
        <v>5</v>
      </c>
      <c r="N533" s="6" t="n">
        <v>-0.6828888472974656</v>
      </c>
      <c r="O533" s="6" t="n">
        <v>-0.1308380205631495</v>
      </c>
      <c r="P533" s="6" t="n">
        <v>-1.506982319378781</v>
      </c>
      <c r="Q533" s="6" t="n">
        <v>-0.01429940864486994</v>
      </c>
      <c r="R533" s="6" t="n">
        <v>-2.281971895775635</v>
      </c>
      <c r="S533" s="6" t="n">
        <v>-3.498613442417647</v>
      </c>
      <c r="T533" s="6" t="n">
        <v>-0.380776860435412</v>
      </c>
      <c r="U533" s="6" t="n">
        <v>0.5403580203671186</v>
      </c>
      <c r="V533" s="6" t="n">
        <v>-1.010681189525654</v>
      </c>
      <c r="W533" s="6" t="n">
        <v>-0.6582373692201388</v>
      </c>
      <c r="X533" s="6" t="n">
        <v>-1.464021683529275</v>
      </c>
      <c r="Y533" s="6" t="n">
        <v>-0.848360339150849</v>
      </c>
      <c r="Z533" s="6" t="n">
        <v>0.6169245974155406</v>
      </c>
      <c r="AA533" s="6" t="n">
        <v>-0.7441071767775961</v>
      </c>
      <c r="AB533" s="6" t="n">
        <v>-0.4973208116158777</v>
      </c>
      <c r="AC533" s="6" t="n">
        <v>-2.473371797062551</v>
      </c>
      <c r="AD533" s="6" t="n">
        <v>-0.7638118434468537</v>
      </c>
      <c r="AE533" s="6" t="n">
        <v>-0.5376052051029628</v>
      </c>
      <c r="AF533" s="6" t="n">
        <v>-1.708832654345745</v>
      </c>
      <c r="AG533" s="6" t="n">
        <v>-3.04232754742718</v>
      </c>
      <c r="AH533" s="6" t="n">
        <v>1.320573555541347</v>
      </c>
      <c r="AI533" s="6" t="n">
        <v>2.139423213189575</v>
      </c>
      <c r="AJ533" s="6" t="n">
        <v>65.32802410464285</v>
      </c>
      <c r="AK533" s="6" t="n">
        <v>0.1291597140898072</v>
      </c>
      <c r="AL533" s="6" t="n">
        <v>1.046170471672203</v>
      </c>
      <c r="AN533" s="6" t="n">
        <v>1.340027892833462</v>
      </c>
      <c r="AO533" s="6" t="n">
        <v>1.340812077292589</v>
      </c>
      <c r="AP533" s="6" t="n">
        <v>0.1319513306855294</v>
      </c>
      <c r="AQ533" s="6" t="n">
        <v>0</v>
      </c>
      <c r="AR533" s="6" t="n">
        <v>0</v>
      </c>
    </row>
    <row r="534">
      <c r="D534" t="inlineStr">
        <is>
          <t>Run 222</t>
        </is>
      </c>
      <c r="J534" s="6" t="n">
        <v>1.052189792382239</v>
      </c>
      <c r="K534" s="6" t="n">
        <v>-1.298419488633817</v>
      </c>
      <c r="L534" s="6" t="n">
        <v>0.1449958146219867</v>
      </c>
      <c r="M534" s="6" t="n">
        <v>-2.91805284032279</v>
      </c>
      <c r="N534" s="6" t="n">
        <v>3.279637254416776</v>
      </c>
      <c r="O534" s="6" t="n">
        <v>-0.272245255536374</v>
      </c>
      <c r="P534" s="6" t="n">
        <v>1.436544449845484</v>
      </c>
      <c r="Q534" s="6" t="n">
        <v>0.9244804212990867</v>
      </c>
      <c r="R534" s="6" t="n">
        <v>3.534545539747004</v>
      </c>
      <c r="S534" s="6" t="n">
        <v>2.099460659640241</v>
      </c>
      <c r="T534" s="6" t="n">
        <v>-0.5863206807036772</v>
      </c>
      <c r="U534" s="6" t="n">
        <v>-0.3230066681118328</v>
      </c>
      <c r="V534" s="6" t="n">
        <v>-0.6335853211692234</v>
      </c>
      <c r="W534" s="6" t="n">
        <v>1.586542504036052</v>
      </c>
      <c r="X534" s="6" t="n">
        <v>-1.274967448903481</v>
      </c>
      <c r="Y534" s="6" t="n">
        <v>0.3771363115875124</v>
      </c>
      <c r="Z534" s="6" t="n">
        <v>-2.429342655424297</v>
      </c>
      <c r="AA534" s="6" t="n">
        <v>2.598954597454899</v>
      </c>
      <c r="AB534" s="6" t="n">
        <v>-0.778856506925985</v>
      </c>
      <c r="AC534" s="6" t="n">
        <v>0.3651607933856229</v>
      </c>
      <c r="AD534" s="6" t="n">
        <v>-3.766784856746756</v>
      </c>
      <c r="AE534" s="6" t="n">
        <v>0.2628156351764898</v>
      </c>
      <c r="AF534" s="6" t="n">
        <v>-1.009833372499072</v>
      </c>
      <c r="AG534" s="6" t="n">
        <v>-0.9853159040430374</v>
      </c>
      <c r="AH534" s="6" t="n">
        <v>-1.91878273610862</v>
      </c>
      <c r="AI534" s="6" t="n">
        <v>-1.445673816590181</v>
      </c>
      <c r="AJ534" s="6" t="n">
        <v>65.02783675822549</v>
      </c>
      <c r="AK534" s="6" t="n">
        <v>0.1040203882541317</v>
      </c>
      <c r="AL534" s="6" t="n">
        <v>1.057573636364978</v>
      </c>
      <c r="AN534" s="6" t="n">
        <v>1.314474838780301</v>
      </c>
      <c r="AO534" s="6" t="n">
        <v>1.324768626919973</v>
      </c>
      <c r="AP534" s="6" t="n">
        <v>0.1314924084664624</v>
      </c>
      <c r="AQ534" s="6" t="n">
        <v>0</v>
      </c>
      <c r="AR534" s="6" t="n">
        <v>0</v>
      </c>
    </row>
    <row r="535">
      <c r="D535" t="inlineStr">
        <is>
          <t>Run 223</t>
        </is>
      </c>
      <c r="J535" s="6" t="n">
        <v>1.38725950443711</v>
      </c>
      <c r="K535" s="6" t="n">
        <v>2.345583499167273</v>
      </c>
      <c r="L535" s="6" t="n">
        <v>1.183071458258758</v>
      </c>
      <c r="M535" s="6" t="n">
        <v>-1.494864891301283</v>
      </c>
      <c r="N535" s="6" t="n">
        <v>1.59670218517389</v>
      </c>
      <c r="O535" s="6" t="n">
        <v>0.327660770325453</v>
      </c>
      <c r="P535" s="6" t="n">
        <v>-1.961333682890581</v>
      </c>
      <c r="Q535" s="6" t="n">
        <v>-2.72834265002244</v>
      </c>
      <c r="R535" s="6" t="n">
        <v>2.574269059747392</v>
      </c>
      <c r="S535" s="6" t="n">
        <v>1.530893409105112</v>
      </c>
      <c r="T535" s="6" t="n">
        <v>3.263744034136071</v>
      </c>
      <c r="U535" s="6" t="n">
        <v>-0.4391040073724963</v>
      </c>
      <c r="V535" s="6" t="n">
        <v>-0.7832481248549125</v>
      </c>
      <c r="W535" s="6" t="n">
        <v>3.407737384670077</v>
      </c>
      <c r="X535" s="6" t="n">
        <v>1.566691013886579</v>
      </c>
      <c r="Y535" s="6" t="n">
        <v>2.671941265029596</v>
      </c>
      <c r="Z535" s="6" t="n">
        <v>4.144635719364836</v>
      </c>
      <c r="AA535" s="6" t="n">
        <v>2.4379113440149</v>
      </c>
      <c r="AB535" s="6" t="n">
        <v>-0.7414276722704458</v>
      </c>
      <c r="AC535" s="6" t="n">
        <v>-0.0197855360246011</v>
      </c>
      <c r="AD535" s="6" t="n">
        <v>2.530939324243751</v>
      </c>
      <c r="AE535" s="6" t="n">
        <v>-3.297986311772415</v>
      </c>
      <c r="AF535" s="6" t="n">
        <v>-0.1899334096991092</v>
      </c>
      <c r="AG535" s="6" t="n">
        <v>1.519677637442455</v>
      </c>
      <c r="AH535" s="6" t="n">
        <v>-3.4224681781021</v>
      </c>
      <c r="AI535" s="6" t="n">
        <v>0.2952498941880946</v>
      </c>
      <c r="AJ535" s="6" t="n">
        <v>70.34313133287911</v>
      </c>
      <c r="AK535" s="6" t="n">
        <v>0.1455649212487608</v>
      </c>
      <c r="AL535" s="6" t="n">
        <v>1.035425950725569</v>
      </c>
      <c r="AN535" s="6" t="n">
        <v>1.340956128687316</v>
      </c>
      <c r="AO535" s="6" t="n">
        <v>1.34442383519922</v>
      </c>
      <c r="AP535" s="6" t="n">
        <v>0.1327455583590162</v>
      </c>
      <c r="AQ535" s="6" t="n">
        <v>0</v>
      </c>
      <c r="AR535" s="6" t="n">
        <v>0</v>
      </c>
    </row>
    <row r="536">
      <c r="D536" t="inlineStr">
        <is>
          <t>Run 224</t>
        </is>
      </c>
      <c r="J536" s="6" t="n">
        <v>-1.426700298057722</v>
      </c>
      <c r="K536" s="6" t="n">
        <v>0.7807537511421342</v>
      </c>
      <c r="L536" s="6" t="n">
        <v>-3.4306298937602</v>
      </c>
      <c r="M536" s="6" t="n">
        <v>-4.197174600398785</v>
      </c>
      <c r="N536" s="6" t="n">
        <v>5</v>
      </c>
      <c r="O536" s="6" t="n">
        <v>-1.466586829541602</v>
      </c>
      <c r="P536" s="6" t="n">
        <v>-0.2741960306344612</v>
      </c>
      <c r="Q536" s="6" t="n">
        <v>-1.3288976549058</v>
      </c>
      <c r="R536" s="6" t="n">
        <v>1.130194519464048</v>
      </c>
      <c r="S536" s="6" t="n">
        <v>-4.539522827915471</v>
      </c>
      <c r="T536" s="6" t="n">
        <v>-3.211689608301513</v>
      </c>
      <c r="U536" s="6" t="n">
        <v>1.387146731429079</v>
      </c>
      <c r="V536" s="6" t="n">
        <v>0.4260670010475018</v>
      </c>
      <c r="W536" s="6" t="n">
        <v>1.152007261421996</v>
      </c>
      <c r="X536" s="6" t="n">
        <v>-1.599617066039437</v>
      </c>
      <c r="Y536" s="6" t="n">
        <v>0.7585428618845961</v>
      </c>
      <c r="Z536" s="6" t="n">
        <v>-0.4521500915723488</v>
      </c>
      <c r="AA536" s="6" t="n">
        <v>-1.008088404667861</v>
      </c>
      <c r="AB536" s="6" t="n">
        <v>-0.3224506966457898</v>
      </c>
      <c r="AC536" s="6" t="n">
        <v>1.790555013030392</v>
      </c>
      <c r="AD536" s="6" t="n">
        <v>0.8240588903105012</v>
      </c>
      <c r="AE536" s="6" t="n">
        <v>-3.403526994374594</v>
      </c>
      <c r="AF536" s="6" t="n">
        <v>0.7943917091025372</v>
      </c>
      <c r="AG536" s="6" t="n">
        <v>3.060474684459427</v>
      </c>
      <c r="AH536" s="6" t="n">
        <v>-0.06911003218010058</v>
      </c>
      <c r="AI536" s="6" t="n">
        <v>5</v>
      </c>
      <c r="AJ536" s="6" t="n">
        <v>66.91486155354416</v>
      </c>
      <c r="AK536" s="6" t="n">
        <v>0.09433351014722495</v>
      </c>
      <c r="AL536" s="6" t="n">
        <v>1.056772793553396</v>
      </c>
      <c r="AN536" s="6" t="n">
        <v>1.293413787159954</v>
      </c>
      <c r="AO536" s="6" t="n">
        <v>1.312147017830095</v>
      </c>
      <c r="AP536" s="6" t="n">
        <v>0.1315464992714317</v>
      </c>
      <c r="AQ536" s="6" t="n">
        <v>0</v>
      </c>
      <c r="AR536" s="6" t="n">
        <v>0</v>
      </c>
    </row>
    <row r="537">
      <c r="D537" t="inlineStr">
        <is>
          <t>Run 225</t>
        </is>
      </c>
      <c r="J537" s="6" t="n">
        <v>-3.227799409312339</v>
      </c>
      <c r="K537" s="6" t="n">
        <v>-3.385403150597364</v>
      </c>
      <c r="L537" s="6" t="n">
        <v>-0.09867174418529542</v>
      </c>
      <c r="M537" s="6" t="n">
        <v>-1.921723168178577</v>
      </c>
      <c r="N537" s="6" t="n">
        <v>-1.815641133188401</v>
      </c>
      <c r="O537" s="6" t="n">
        <v>-0.08308301412597752</v>
      </c>
      <c r="P537" s="6" t="n">
        <v>-0.3418214160207558</v>
      </c>
      <c r="Q537" s="6" t="n">
        <v>1.909066680473716</v>
      </c>
      <c r="R537" s="6" t="n">
        <v>-0.41192260263442</v>
      </c>
      <c r="S537" s="6" t="n">
        <v>1.368050037473611</v>
      </c>
      <c r="T537" s="6" t="n">
        <v>4.378022780642236</v>
      </c>
      <c r="U537" s="6" t="n">
        <v>2.566214628632491</v>
      </c>
      <c r="V537" s="6" t="n">
        <v>0.4823294834505299</v>
      </c>
      <c r="W537" s="6" t="n">
        <v>-1.920373734539847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2.065122410921598</v>
      </c>
      <c r="AB537" s="6" t="n">
        <v>0.5127579529455009</v>
      </c>
      <c r="AC537" s="6" t="n">
        <v>1.510245590257755</v>
      </c>
      <c r="AD537" s="6" t="n">
        <v>-0.3673134384069694</v>
      </c>
      <c r="AE537" s="6" t="n">
        <v>-0.6089927589508952</v>
      </c>
      <c r="AF537" s="6" t="n">
        <v>-1.55294973859563</v>
      </c>
      <c r="AG537" s="6" t="n">
        <v>2.317346333851885</v>
      </c>
      <c r="AH537" s="6" t="n">
        <v>-0.01031832534165356</v>
      </c>
      <c r="AI537" s="6" t="n">
        <v>-0.0429046447844818</v>
      </c>
      <c r="AJ537" s="6" t="n">
        <v>64.99833017514679</v>
      </c>
      <c r="AK537" s="6" t="n">
        <v>0.1188806361029011</v>
      </c>
      <c r="AL537" s="6" t="n">
        <v>1.053645857092529</v>
      </c>
      <c r="AN537" s="6" t="n">
        <v>1.328997398859429</v>
      </c>
      <c r="AO537" s="6" t="n">
        <v>1.333855795601904</v>
      </c>
      <c r="AP537" s="6" t="n">
        <v>0.1317879353793939</v>
      </c>
      <c r="AQ537" s="6" t="n">
        <v>0</v>
      </c>
      <c r="AR537" s="6" t="n">
        <v>0</v>
      </c>
    </row>
    <row r="538">
      <c r="D538" t="inlineStr">
        <is>
          <t>Run 226</t>
        </is>
      </c>
      <c r="J538" s="6" t="n">
        <v>0.1518041850983254</v>
      </c>
      <c r="K538" s="6" t="n">
        <v>-2.224659087463894</v>
      </c>
      <c r="L538" s="6" t="n">
        <v>2.287764508890525</v>
      </c>
      <c r="M538" s="6" t="n">
        <v>1.808279526228551</v>
      </c>
      <c r="N538" s="6" t="n">
        <v>1.673043560622065</v>
      </c>
      <c r="O538" s="6" t="n">
        <v>-0.4052244104531867</v>
      </c>
      <c r="P538" s="6" t="n">
        <v>-0.8988254501443073</v>
      </c>
      <c r="Q538" s="6" t="n">
        <v>-0.2338888651909957</v>
      </c>
      <c r="R538" s="6" t="n">
        <v>-1.30630724819524</v>
      </c>
      <c r="S538" s="6" t="n">
        <v>-5.511854050306702</v>
      </c>
      <c r="T538" s="6" t="n">
        <v>1.444364398132243</v>
      </c>
      <c r="U538" s="6" t="n">
        <v>2.918274479633328</v>
      </c>
      <c r="V538" s="6" t="n">
        <v>-3.51594342948681</v>
      </c>
      <c r="W538" s="6" t="n">
        <v>-3.59304033685985</v>
      </c>
      <c r="X538" s="6" t="n">
        <v>1.684944083662649</v>
      </c>
      <c r="Y538" s="6" t="n">
        <v>-2.243350627790742</v>
      </c>
      <c r="Z538" s="6" t="n">
        <v>-0.4317089373085989</v>
      </c>
      <c r="AA538" s="6" t="n">
        <v>0.1333621335290436</v>
      </c>
      <c r="AB538" s="6" t="n">
        <v>-0.592976637136246</v>
      </c>
      <c r="AC538" s="6" t="n">
        <v>1.261357903146074</v>
      </c>
      <c r="AD538" s="6" t="n">
        <v>0.5252210620305201</v>
      </c>
      <c r="AE538" s="6" t="n">
        <v>0.6784365184918518</v>
      </c>
      <c r="AF538" s="6" t="n">
        <v>1.471923646349012</v>
      </c>
      <c r="AG538" s="6" t="n">
        <v>-1.265261791489877</v>
      </c>
      <c r="AH538" s="6" t="n">
        <v>-1.087257063767436</v>
      </c>
      <c r="AI538" s="6" t="n">
        <v>-0.7344531729391062</v>
      </c>
      <c r="AJ538" s="6" t="n">
        <v>77.47761740239613</v>
      </c>
      <c r="AK538" s="6" t="n">
        <v>0.1616938598465966</v>
      </c>
      <c r="AL538" s="6" t="n">
        <v>1.055510560743546</v>
      </c>
      <c r="AN538" s="6" t="n">
        <v>1.343052729012969</v>
      </c>
      <c r="AO538" s="6" t="n">
        <v>1.343406878346727</v>
      </c>
      <c r="AP538" s="6" t="n">
        <v>0.1310600072848415</v>
      </c>
      <c r="AQ538" s="6" t="n">
        <v>0</v>
      </c>
      <c r="AR538" s="6" t="n">
        <v>0</v>
      </c>
    </row>
    <row r="539">
      <c r="D539" t="inlineStr">
        <is>
          <t>Run 227</t>
        </is>
      </c>
      <c r="J539" s="6" t="n">
        <v>1.839185812138535</v>
      </c>
      <c r="K539" s="6" t="n">
        <v>4.644753560673148</v>
      </c>
      <c r="L539" s="6" t="n">
        <v>1.731040865904148</v>
      </c>
      <c r="M539" s="6" t="n">
        <v>1.750332336895882</v>
      </c>
      <c r="N539" s="6" t="n">
        <v>-0.985244534001232</v>
      </c>
      <c r="O539" s="6" t="n">
        <v>-3.898253712934634</v>
      </c>
      <c r="P539" s="6" t="n">
        <v>-1.974626994182023</v>
      </c>
      <c r="Q539" s="6" t="n">
        <v>-1.675899460657162</v>
      </c>
      <c r="R539" s="6" t="n">
        <v>0.6350536403005214</v>
      </c>
      <c r="S539" s="6" t="n">
        <v>-1.491243650380663</v>
      </c>
      <c r="T539" s="6" t="n">
        <v>-1.441790410016788</v>
      </c>
      <c r="U539" s="6" t="n">
        <v>-0.7000112568322953</v>
      </c>
      <c r="V539" s="6" t="n">
        <v>2.883907546989832</v>
      </c>
      <c r="W539" s="6" t="n">
        <v>0.6916810746599505</v>
      </c>
      <c r="X539" s="6" t="n">
        <v>2.655525035822154</v>
      </c>
      <c r="Y539" s="6" t="n">
        <v>-0.06827516036658388</v>
      </c>
      <c r="Z539" s="6" t="n">
        <v>0.743631228860793</v>
      </c>
      <c r="AA539" s="6" t="n">
        <v>-3.854090514992532</v>
      </c>
      <c r="AB539" s="6" t="n">
        <v>-0.1768884520986694</v>
      </c>
      <c r="AC539" s="6" t="n">
        <v>1.205627644206365</v>
      </c>
      <c r="AD539" s="6" t="n">
        <v>1.408818948276096</v>
      </c>
      <c r="AE539" s="6" t="n">
        <v>1.483424886055304</v>
      </c>
      <c r="AF539" s="6" t="n">
        <v>-1.528195580566961</v>
      </c>
      <c r="AG539" s="6" t="n">
        <v>-2.679817908534745</v>
      </c>
      <c r="AH539" s="6" t="n">
        <v>-0.3793355851445639</v>
      </c>
      <c r="AI539" s="6" t="n">
        <v>-0.4553116547924203</v>
      </c>
      <c r="AJ539" s="6" t="n">
        <v>64.90535695137211</v>
      </c>
      <c r="AK539" s="6" t="n">
        <v>0.1381972839570283</v>
      </c>
      <c r="AL539" s="6" t="n">
        <v>1.004716450511187</v>
      </c>
      <c r="AN539" s="6" t="n">
        <v>1.350044851425512</v>
      </c>
      <c r="AO539" s="6" t="n">
        <v>1.350044851425512</v>
      </c>
      <c r="AP539" s="6" t="n">
        <v>0.1364268652305472</v>
      </c>
      <c r="AQ539" s="6" t="n">
        <v>0</v>
      </c>
      <c r="AR539" s="6" t="n">
        <v>0</v>
      </c>
    </row>
    <row r="540">
      <c r="D540" t="inlineStr">
        <is>
          <t>Run 228</t>
        </is>
      </c>
      <c r="J540" s="6" t="n">
        <v>-0.3646650658381757</v>
      </c>
      <c r="K540" s="6" t="n">
        <v>-1.41068781462043</v>
      </c>
      <c r="L540" s="6" t="n">
        <v>-2.163531780756281</v>
      </c>
      <c r="M540" s="6" t="n">
        <v>0.0308786979488735</v>
      </c>
      <c r="N540" s="6" t="n">
        <v>1.794068996605313</v>
      </c>
      <c r="O540" s="6" t="n">
        <v>1.594267655551083</v>
      </c>
      <c r="P540" s="6" t="n">
        <v>-0.4939577477026202</v>
      </c>
      <c r="Q540" s="6" t="n">
        <v>-0.8190439309715369</v>
      </c>
      <c r="R540" s="6" t="n">
        <v>1.438839931398605</v>
      </c>
      <c r="S540" s="6" t="n">
        <v>1.645414444326345</v>
      </c>
      <c r="T540" s="6" t="n">
        <v>0.8908676362879261</v>
      </c>
      <c r="U540" s="6" t="n">
        <v>2.069633366876397</v>
      </c>
      <c r="V540" s="6" t="n">
        <v>-0.3277879186337362</v>
      </c>
      <c r="W540" s="6" t="n">
        <v>2.951220167850047</v>
      </c>
      <c r="X540" s="6" t="n">
        <v>1.192901951059867</v>
      </c>
      <c r="Y540" s="6" t="n">
        <v>0.6721127375833222</v>
      </c>
      <c r="Z540" s="6" t="n">
        <v>2.901012784282255</v>
      </c>
      <c r="AA540" s="6" t="n">
        <v>3.283547993874843</v>
      </c>
      <c r="AB540" s="6" t="n">
        <v>3.958745673013952</v>
      </c>
      <c r="AC540" s="6" t="n">
        <v>2.337954959590695</v>
      </c>
      <c r="AD540" s="6" t="n">
        <v>-0.07241023209243359</v>
      </c>
      <c r="AE540" s="6" t="n">
        <v>-0.08680242080026913</v>
      </c>
      <c r="AF540" s="6" t="n">
        <v>0.9023566559058287</v>
      </c>
      <c r="AG540" s="6" t="n">
        <v>-3.092031471602079</v>
      </c>
      <c r="AH540" s="6" t="n">
        <v>1.293777972404107</v>
      </c>
      <c r="AI540" s="6" t="n">
        <v>2.95656230490357</v>
      </c>
      <c r="AJ540" s="6" t="n">
        <v>65.90697523803556</v>
      </c>
      <c r="AK540" s="6" t="n">
        <v>0.1431638586953553</v>
      </c>
      <c r="AL540" s="6" t="n">
        <v>1.067781710249994</v>
      </c>
      <c r="AN540" s="6" t="n">
        <v>1.333588902835379</v>
      </c>
      <c r="AO540" s="6" t="n">
        <v>1.33383198154398</v>
      </c>
      <c r="AP540" s="6" t="n">
        <v>0.1301308826333712</v>
      </c>
      <c r="AQ540" s="6" t="n">
        <v>0</v>
      </c>
      <c r="AR540" s="6" t="n">
        <v>0</v>
      </c>
    </row>
    <row r="541">
      <c r="D541" t="inlineStr">
        <is>
          <t>Run 229</t>
        </is>
      </c>
      <c r="J541" s="6" t="n">
        <v>0.7948508367086515</v>
      </c>
      <c r="K541" s="6" t="n">
        <v>0.2063650340434848</v>
      </c>
      <c r="L541" s="6" t="n">
        <v>-2.398328509714001</v>
      </c>
      <c r="M541" s="6" t="n">
        <v>0.9370782290272069</v>
      </c>
      <c r="N541" s="6" t="n">
        <v>0.7468841336276472</v>
      </c>
      <c r="O541" s="6" t="n">
        <v>0.7436130739156159</v>
      </c>
      <c r="P541" s="6" t="n">
        <v>-1.70268951586486</v>
      </c>
      <c r="Q541" s="6" t="n">
        <v>-0.6477365673053085</v>
      </c>
      <c r="R541" s="6" t="n">
        <v>2.891767202597867</v>
      </c>
      <c r="S541" s="6" t="n">
        <v>-2.210143957991787</v>
      </c>
      <c r="T541" s="6" t="n">
        <v>-0.8368535219599504</v>
      </c>
      <c r="U541" s="6" t="n">
        <v>1.631016823217469</v>
      </c>
      <c r="V541" s="6" t="n">
        <v>2.307344954258074</v>
      </c>
      <c r="W541" s="6" t="n">
        <v>1.93855775736496</v>
      </c>
      <c r="X541" s="6" t="n">
        <v>0.871712246053154</v>
      </c>
      <c r="Y541" s="6" t="n">
        <v>1.655870235121058</v>
      </c>
      <c r="Z541" s="6" t="n">
        <v>1.877236230260489</v>
      </c>
      <c r="AA541" s="6" t="n">
        <v>-0.8162310038391812</v>
      </c>
      <c r="AB541" s="6" t="n">
        <v>-2.45700961392972</v>
      </c>
      <c r="AC541" s="6" t="n">
        <v>2.171988559800559</v>
      </c>
      <c r="AD541" s="6" t="n">
        <v>-0.2103323803692973</v>
      </c>
      <c r="AE541" s="6" t="n">
        <v>-2.658848960570007</v>
      </c>
      <c r="AF541" s="6" t="n">
        <v>-0.007005898789148172</v>
      </c>
      <c r="AG541" s="6" t="n">
        <v>1.355499631929958</v>
      </c>
      <c r="AH541" s="6" t="n">
        <v>2.118160879586113</v>
      </c>
      <c r="AI541" s="6" t="n">
        <v>1.060272653725354</v>
      </c>
      <c r="AJ541" s="6" t="n">
        <v>81.50248021114632</v>
      </c>
      <c r="AK541" s="6" t="n">
        <v>0.1420780195681051</v>
      </c>
      <c r="AL541" s="6" t="n">
        <v>1.056319782815246</v>
      </c>
      <c r="AN541" s="6" t="n">
        <v>1.346385838372757</v>
      </c>
      <c r="AO541" s="6" t="n">
        <v>1.346613822980848</v>
      </c>
      <c r="AP541" s="6" t="n">
        <v>0.1319870327058213</v>
      </c>
      <c r="AQ541" s="6" t="n">
        <v>0</v>
      </c>
      <c r="AR541" s="6" t="n">
        <v>0</v>
      </c>
    </row>
    <row r="542">
      <c r="D542" t="inlineStr">
        <is>
          <t>Run 230</t>
        </is>
      </c>
      <c r="J542" s="6" t="n">
        <v>0.9321235165043507</v>
      </c>
      <c r="K542" s="6" t="n">
        <v>-0.9422567907828965</v>
      </c>
      <c r="L542" s="6" t="n">
        <v>0.7821803868371685</v>
      </c>
      <c r="M542" s="6" t="n">
        <v>2.802184997514111</v>
      </c>
      <c r="N542" s="6" t="n">
        <v>-0.8949680476068876</v>
      </c>
      <c r="O542" s="6" t="n">
        <v>0.08361304468256056</v>
      </c>
      <c r="P542" s="6" t="n">
        <v>2.626903198431856</v>
      </c>
      <c r="Q542" s="6" t="n">
        <v>2.473392072409077</v>
      </c>
      <c r="R542" s="6" t="n">
        <v>0.004419364951830118</v>
      </c>
      <c r="S542" s="6" t="n">
        <v>2.770849879745902</v>
      </c>
      <c r="T542" s="6" t="n">
        <v>2.936660073443204</v>
      </c>
      <c r="U542" s="6" t="n">
        <v>1.939720243547314</v>
      </c>
      <c r="V542" s="6" t="n">
        <v>-1.079261311158299</v>
      </c>
      <c r="W542" s="6" t="n">
        <v>-2.9446301759655</v>
      </c>
      <c r="X542" s="6" t="n">
        <v>-1.470260027478595</v>
      </c>
      <c r="Y542" s="6" t="n">
        <v>-0.660891445431619</v>
      </c>
      <c r="Z542" s="6" t="n">
        <v>4.018927742543501</v>
      </c>
      <c r="AA542" s="6" t="n">
        <v>-1.026699099798489</v>
      </c>
      <c r="AB542" s="6" t="n">
        <v>2.468518923184445</v>
      </c>
      <c r="AC542" s="6" t="n">
        <v>1.034191904137577</v>
      </c>
      <c r="AD542" s="6" t="n">
        <v>-2.866917077627364</v>
      </c>
      <c r="AE542" s="6" t="n">
        <v>-1.817878481662336</v>
      </c>
      <c r="AF542" s="6" t="n">
        <v>0.3795528364526423</v>
      </c>
      <c r="AG542" s="6" t="n">
        <v>-0.4520718842114423</v>
      </c>
      <c r="AH542" s="6" t="n">
        <v>-1.503707784044039</v>
      </c>
      <c r="AI542" s="6" t="n">
        <v>0.3247504385879331</v>
      </c>
      <c r="AJ542" s="6" t="n">
        <v>69.59211115634575</v>
      </c>
      <c r="AK542" s="6" t="n">
        <v>0.169272714779668</v>
      </c>
      <c r="AL542" s="6" t="n">
        <v>1.075012199250739</v>
      </c>
      <c r="AN542" s="6" t="n">
        <v>1.329483572805186</v>
      </c>
      <c r="AO542" s="6" t="n">
        <v>1.330812416858767</v>
      </c>
      <c r="AP542" s="6" t="n">
        <v>0.1293227820879896</v>
      </c>
      <c r="AQ542" s="6" t="n">
        <v>0</v>
      </c>
      <c r="AR542" s="6" t="n">
        <v>0</v>
      </c>
    </row>
    <row r="543">
      <c r="D543" t="inlineStr">
        <is>
          <t>Run 231</t>
        </is>
      </c>
      <c r="J543" s="6" t="n">
        <v>0.01890580471834395</v>
      </c>
      <c r="K543" s="6" t="n">
        <v>-0.5314574121517965</v>
      </c>
      <c r="L543" s="6" t="n">
        <v>0.05431392529168783</v>
      </c>
      <c r="M543" s="6" t="n">
        <v>-2.228581795809654</v>
      </c>
      <c r="N543" s="6" t="n">
        <v>-0.6894063406607801</v>
      </c>
      <c r="O543" s="6" t="n">
        <v>2.396489503166702</v>
      </c>
      <c r="P543" s="6" t="n">
        <v>-0.3588823677291407</v>
      </c>
      <c r="Q543" s="6" t="n">
        <v>0.9256974745656081</v>
      </c>
      <c r="R543" s="6" t="n">
        <v>-2.471174827397066</v>
      </c>
      <c r="S543" s="6" t="n">
        <v>-2.046660617013249</v>
      </c>
      <c r="T543" s="6" t="n">
        <v>0.9164722588335514</v>
      </c>
      <c r="U543" s="6" t="n">
        <v>-6.314183813124761</v>
      </c>
      <c r="V543" s="6" t="n">
        <v>4.423014904648043</v>
      </c>
      <c r="W543" s="6" t="n">
        <v>-0.9362250366415061</v>
      </c>
      <c r="X543" s="6" t="n">
        <v>-0.3383054113474517</v>
      </c>
      <c r="Y543" s="6" t="n">
        <v>-0.2153833616267054</v>
      </c>
      <c r="Z543" s="6" t="n">
        <v>3.499614759470994</v>
      </c>
      <c r="AA543" s="6" t="n">
        <v>4.985403073343583</v>
      </c>
      <c r="AB543" s="6" t="n">
        <v>0.2399472718645226</v>
      </c>
      <c r="AC543" s="6" t="n">
        <v>-0.5351336958778666</v>
      </c>
      <c r="AD543" s="6" t="n">
        <v>-1.954771822748458</v>
      </c>
      <c r="AE543" s="6" t="n">
        <v>-0.2635755789206912</v>
      </c>
      <c r="AF543" s="6" t="n">
        <v>-0.9663643733056484</v>
      </c>
      <c r="AG543" s="6" t="n">
        <v>1.425754138727737</v>
      </c>
      <c r="AH543" s="6" t="n">
        <v>2.710633827076153</v>
      </c>
      <c r="AI543" s="6" t="n">
        <v>-0.3699869662671094</v>
      </c>
      <c r="AJ543" s="6" t="n">
        <v>76.01158014520352</v>
      </c>
      <c r="AK543" s="6" t="n">
        <v>0.1154038865203317</v>
      </c>
      <c r="AL543" s="6" t="n">
        <v>1.060113561785646</v>
      </c>
      <c r="AN543" s="6" t="n">
        <v>1.327203756443518</v>
      </c>
      <c r="AO543" s="6" t="n">
        <v>1.33441159678561</v>
      </c>
      <c r="AP543" s="6" t="n">
        <v>0.1316850051210272</v>
      </c>
      <c r="AQ543" s="6" t="n">
        <v>0</v>
      </c>
      <c r="AR543" s="6" t="n">
        <v>0</v>
      </c>
    </row>
    <row r="544">
      <c r="D544" t="inlineStr">
        <is>
          <t>Run 232</t>
        </is>
      </c>
      <c r="J544" s="6" t="n">
        <v>-0.3639692022058996</v>
      </c>
      <c r="K544" s="6" t="n">
        <v>2.445645317366606</v>
      </c>
      <c r="L544" s="6" t="n">
        <v>-0.4993672880366314</v>
      </c>
      <c r="M544" s="6" t="n">
        <v>-1.930460318146134</v>
      </c>
      <c r="N544" s="6" t="n">
        <v>1.111308567353632</v>
      </c>
      <c r="O544" s="6" t="n">
        <v>0.3583467095530531</v>
      </c>
      <c r="P544" s="6" t="n">
        <v>-5.429874399155393</v>
      </c>
      <c r="Q544" s="6" t="n">
        <v>-0.8570757227861222</v>
      </c>
      <c r="R544" s="6" t="n">
        <v>3.170110696402021</v>
      </c>
      <c r="S544" s="6" t="n">
        <v>1.24928989415345</v>
      </c>
      <c r="T544" s="6" t="n">
        <v>3.946661985094611</v>
      </c>
      <c r="U544" s="6" t="n">
        <v>-2.481805910788069</v>
      </c>
      <c r="V544" s="6" t="n">
        <v>0.4809334971884176</v>
      </c>
      <c r="W544" s="6" t="n">
        <v>-1.289391086608328</v>
      </c>
      <c r="X544" s="6" t="n">
        <v>-0.8842903923682046</v>
      </c>
      <c r="Y544" s="6" t="n">
        <v>2.132974953482882</v>
      </c>
      <c r="Z544" s="6" t="n">
        <v>0.6683957132416702</v>
      </c>
      <c r="AA544" s="6" t="n">
        <v>1.187826723214878</v>
      </c>
      <c r="AB544" s="6" t="n">
        <v>0.4558841686386121</v>
      </c>
      <c r="AC544" s="6" t="n">
        <v>3.888310676925096</v>
      </c>
      <c r="AD544" s="6" t="n">
        <v>1.889919515445842</v>
      </c>
      <c r="AE544" s="6" t="n">
        <v>-0.08191887051792669</v>
      </c>
      <c r="AF544" s="6" t="n">
        <v>-0.1051910067470677</v>
      </c>
      <c r="AG544" s="6" t="n">
        <v>-0.842392945090798</v>
      </c>
      <c r="AH544" s="6" t="n">
        <v>1.057081880547543</v>
      </c>
      <c r="AI544" s="6" t="n">
        <v>2.100182798880229</v>
      </c>
      <c r="AJ544" s="6" t="n">
        <v>77.43238397156199</v>
      </c>
      <c r="AK544" s="6" t="n">
        <v>0.1257043185540261</v>
      </c>
      <c r="AL544" s="6" t="n">
        <v>1.081603804346725</v>
      </c>
      <c r="AN544" s="6" t="n">
        <v>1.325486054401736</v>
      </c>
      <c r="AO544" s="6" t="n">
        <v>1.330663278487635</v>
      </c>
      <c r="AP544" s="6" t="n">
        <v>0.1298076178861497</v>
      </c>
      <c r="AQ544" s="6" t="n">
        <v>0</v>
      </c>
      <c r="AR544" s="6" t="n">
        <v>0</v>
      </c>
    </row>
    <row r="545">
      <c r="D545" t="inlineStr">
        <is>
          <t>Run 233</t>
        </is>
      </c>
      <c r="J545" s="6" t="n">
        <v>1.056927445856555</v>
      </c>
      <c r="K545" s="6" t="n">
        <v>-0.06164287097305647</v>
      </c>
      <c r="L545" s="6" t="n">
        <v>1.476161321344772</v>
      </c>
      <c r="M545" s="6" t="n">
        <v>-0.04755984731032583</v>
      </c>
      <c r="N545" s="6" t="n">
        <v>0.8261405544796657</v>
      </c>
      <c r="O545" s="6" t="n">
        <v>-1.203094352724206</v>
      </c>
      <c r="P545" s="6" t="n">
        <v>0.7740819730167364</v>
      </c>
      <c r="Q545" s="6" t="n">
        <v>-0.1476743333465803</v>
      </c>
      <c r="R545" s="6" t="n">
        <v>0.8348297267869479</v>
      </c>
      <c r="S545" s="6" t="n">
        <v>2.468035621205773</v>
      </c>
      <c r="T545" s="6" t="n">
        <v>1.647390671382256</v>
      </c>
      <c r="U545" s="6" t="n">
        <v>-2.538641012864872</v>
      </c>
      <c r="V545" s="6" t="n">
        <v>0.2594183598933261</v>
      </c>
      <c r="W545" s="6" t="n">
        <v>-0.5926078212376519</v>
      </c>
      <c r="X545" s="6" t="n">
        <v>-0.0176580834363597</v>
      </c>
      <c r="Y545" s="6" t="n">
        <v>1.497957165294455</v>
      </c>
      <c r="Z545" s="6" t="n">
        <v>-2.703852029995169</v>
      </c>
      <c r="AA545" s="6" t="n">
        <v>-0.4182396398804104</v>
      </c>
      <c r="AB545" s="6" t="n">
        <v>-2.145232964740353</v>
      </c>
      <c r="AC545" s="6" t="n">
        <v>-2.326851782364973</v>
      </c>
      <c r="AD545" s="6" t="n">
        <v>-3.156686195197495</v>
      </c>
      <c r="AE545" s="6" t="n">
        <v>1.677947903244951</v>
      </c>
      <c r="AF545" s="6" t="n">
        <v>1.504996797892488</v>
      </c>
      <c r="AG545" s="6" t="n">
        <v>0.22130493695216</v>
      </c>
      <c r="AH545" s="6" t="n">
        <v>1.43076265375678</v>
      </c>
      <c r="AI545" s="6" t="n">
        <v>2.659360319958648</v>
      </c>
      <c r="AJ545" s="6" t="n">
        <v>66.79366343260222</v>
      </c>
      <c r="AK545" s="6" t="n">
        <v>0.1111652147985234</v>
      </c>
      <c r="AL545" s="6" t="n">
        <v>1.082356509636715</v>
      </c>
      <c r="AN545" s="6" t="n">
        <v>1.33471122938404</v>
      </c>
      <c r="AO545" s="6" t="n">
        <v>1.334971253649937</v>
      </c>
      <c r="AP545" s="6" t="n">
        <v>0.1299793862032497</v>
      </c>
      <c r="AQ545" s="6" t="n">
        <v>0</v>
      </c>
      <c r="AR545" s="6" t="n">
        <v>0</v>
      </c>
    </row>
    <row r="546">
      <c r="D546" t="inlineStr">
        <is>
          <t>Run 234</t>
        </is>
      </c>
      <c r="J546" s="6" t="n">
        <v>3.754601015397501</v>
      </c>
      <c r="K546" s="6" t="n">
        <v>0.701095229526002</v>
      </c>
      <c r="L546" s="6" t="n">
        <v>-0.1958775376399725</v>
      </c>
      <c r="M546" s="6" t="n">
        <v>-0.3645986423591021</v>
      </c>
      <c r="N546" s="6" t="n">
        <v>0.6611702965076941</v>
      </c>
      <c r="O546" s="6" t="n">
        <v>0.4446412607129945</v>
      </c>
      <c r="P546" s="6" t="n">
        <v>-2.500808220513152</v>
      </c>
      <c r="Q546" s="6" t="n">
        <v>-4.566640793818342</v>
      </c>
      <c r="R546" s="6" t="n">
        <v>-0.817104401877762</v>
      </c>
      <c r="S546" s="6" t="n">
        <v>-0.692899981701293</v>
      </c>
      <c r="T546" s="6" t="n">
        <v>-0.9048531969396139</v>
      </c>
      <c r="U546" s="6" t="n">
        <v>-0.4130121356322792</v>
      </c>
      <c r="V546" s="6" t="n">
        <v>0.9900019968349448</v>
      </c>
      <c r="W546" s="6" t="n">
        <v>-0.2266078930528476</v>
      </c>
      <c r="X546" s="6" t="n">
        <v>-1.073052110454094</v>
      </c>
      <c r="Y546" s="6" t="n">
        <v>0.5316849284702923</v>
      </c>
      <c r="Z546" s="6" t="n">
        <v>1.251015670625326</v>
      </c>
      <c r="AA546" s="6" t="n">
        <v>-1.891785482407705</v>
      </c>
      <c r="AB546" s="6" t="n">
        <v>2.641941775951896</v>
      </c>
      <c r="AC546" s="6" t="n">
        <v>-3.080335326774277</v>
      </c>
      <c r="AD546" s="6" t="n">
        <v>-3.149570301358354</v>
      </c>
      <c r="AE546" s="6" t="n">
        <v>0.8618869102404745</v>
      </c>
      <c r="AF546" s="6" t="n">
        <v>-0.3678185991047539</v>
      </c>
      <c r="AG546" s="6" t="n">
        <v>-4.016283799790158</v>
      </c>
      <c r="AH546" s="6" t="n">
        <v>2.387685027160142</v>
      </c>
      <c r="AI546" s="6" t="n">
        <v>-0.004127548664263359</v>
      </c>
      <c r="AJ546" s="6" t="n">
        <v>63.42621789420785</v>
      </c>
      <c r="AK546" s="6" t="n">
        <v>0.1240541170445335</v>
      </c>
      <c r="AL546" s="6" t="n">
        <v>1.070811763856967</v>
      </c>
      <c r="AN546" s="6" t="n">
        <v>1.335460822672044</v>
      </c>
      <c r="AO546" s="6" t="n">
        <v>1.335496843704794</v>
      </c>
      <c r="AP546" s="6" t="n">
        <v>0.1297237420272216</v>
      </c>
      <c r="AQ546" s="6" t="n">
        <v>0</v>
      </c>
      <c r="AR546" s="6" t="n">
        <v>0</v>
      </c>
    </row>
    <row r="547">
      <c r="D547" t="inlineStr">
        <is>
          <t>Run 235</t>
        </is>
      </c>
      <c r="J547" s="6" t="n">
        <v>-0.3798976779605663</v>
      </c>
      <c r="K547" s="6" t="n">
        <v>-2.384155251258463</v>
      </c>
      <c r="L547" s="6" t="n">
        <v>-2.518716233624517</v>
      </c>
      <c r="M547" s="6" t="n">
        <v>0.009171684134296382</v>
      </c>
      <c r="N547" s="6" t="n">
        <v>-0.4112971578760739</v>
      </c>
      <c r="O547" s="6" t="n">
        <v>1.499221523473404</v>
      </c>
      <c r="P547" s="6" t="n">
        <v>-2.224423280077565</v>
      </c>
      <c r="Q547" s="6" t="n">
        <v>1.465370296143659</v>
      </c>
      <c r="R547" s="6" t="n">
        <v>-1.859898138509994</v>
      </c>
      <c r="S547" s="6" t="n">
        <v>3.602311228477018</v>
      </c>
      <c r="T547" s="6" t="n">
        <v>2.494059026581099</v>
      </c>
      <c r="U547" s="6" t="n">
        <v>-1.297500136835706</v>
      </c>
      <c r="V547" s="6" t="n">
        <v>2.143855779760885</v>
      </c>
      <c r="W547" s="6" t="n">
        <v>-0.3209080294040569</v>
      </c>
      <c r="X547" s="6" t="n">
        <v>-3.109647249886824</v>
      </c>
      <c r="Y547" s="6" t="n">
        <v>1.603421202861792</v>
      </c>
      <c r="Z547" s="6" t="n">
        <v>3.293562345343954</v>
      </c>
      <c r="AA547" s="6" t="n">
        <v>1.518120375651147</v>
      </c>
      <c r="AB547" s="6" t="n">
        <v>-1.212522453762255</v>
      </c>
      <c r="AC547" s="6" t="n">
        <v>-1.727652388047493</v>
      </c>
      <c r="AD547" s="6" t="n">
        <v>-1.614051301450329</v>
      </c>
      <c r="AE547" s="6" t="n">
        <v>1.433684723273955</v>
      </c>
      <c r="AF547" s="6" t="n">
        <v>-0.08706184959956396</v>
      </c>
      <c r="AG547" s="6" t="n">
        <v>0.4125183697670869</v>
      </c>
      <c r="AH547" s="6" t="n">
        <v>0.6716762490434716</v>
      </c>
      <c r="AI547" s="6" t="n">
        <v>-0.7798050943142506</v>
      </c>
      <c r="AJ547" s="6" t="n">
        <v>75.76268015290722</v>
      </c>
      <c r="AK547" s="6" t="n">
        <v>0.2253447116452896</v>
      </c>
      <c r="AL547" s="6" t="n">
        <v>1.132231052589885</v>
      </c>
      <c r="AN547" s="6" t="n">
        <v>1.306937361273653</v>
      </c>
      <c r="AO547" s="6" t="n">
        <v>1.307280342010805</v>
      </c>
      <c r="AP547" s="6" t="n">
        <v>0.1256277171673885</v>
      </c>
      <c r="AQ547" s="6" t="n">
        <v>0</v>
      </c>
      <c r="AR547" s="6" t="n">
        <v>0</v>
      </c>
    </row>
    <row r="548">
      <c r="D548" t="inlineStr">
        <is>
          <t>Run 236</t>
        </is>
      </c>
      <c r="J548" s="6" t="n">
        <v>-2.877639376817906</v>
      </c>
      <c r="K548" s="6" t="n">
        <v>-0.9132971189017395</v>
      </c>
      <c r="L548" s="6" t="n">
        <v>0.7825166300758041</v>
      </c>
      <c r="M548" s="6" t="n">
        <v>0.7972109814642341</v>
      </c>
      <c r="N548" s="6" t="n">
        <v>2.609592201884083</v>
      </c>
      <c r="O548" s="6" t="n">
        <v>-1.440267064164655</v>
      </c>
      <c r="P548" s="6" t="n">
        <v>0.7316458613839308</v>
      </c>
      <c r="Q548" s="6" t="n">
        <v>-2.601643592560878</v>
      </c>
      <c r="R548" s="6" t="n">
        <v>-2.996701877194254</v>
      </c>
      <c r="S548" s="6" t="n">
        <v>-1.37474244779671</v>
      </c>
      <c r="T548" s="6" t="n">
        <v>-1.526092286109075</v>
      </c>
      <c r="U548" s="6" t="n">
        <v>-0.4558551122321375</v>
      </c>
      <c r="V548" s="6" t="n">
        <v>-2.916653267316532</v>
      </c>
      <c r="W548" s="6" t="n">
        <v>1.600924855313787</v>
      </c>
      <c r="X548" s="6" t="n">
        <v>-0.9977106845487107</v>
      </c>
      <c r="Y548" s="6" t="n">
        <v>-2.972109198708976</v>
      </c>
      <c r="Z548" s="6" t="n">
        <v>0.5701828427760478</v>
      </c>
      <c r="AA548" s="6" t="n">
        <v>-0.724548020974481</v>
      </c>
      <c r="AB548" s="6" t="n">
        <v>-0.3875583388441018</v>
      </c>
      <c r="AC548" s="6" t="n">
        <v>1.501189686478407</v>
      </c>
      <c r="AD548" s="6" t="n">
        <v>1.477972853286602</v>
      </c>
      <c r="AE548" s="6" t="n">
        <v>2.586879348620268</v>
      </c>
      <c r="AF548" s="6" t="n">
        <v>-0.9817602079076885</v>
      </c>
      <c r="AG548" s="6" t="n">
        <v>-1.842819547962155</v>
      </c>
      <c r="AH548" s="6" t="n">
        <v>-1.168615079214405</v>
      </c>
      <c r="AI548" s="6" t="n">
        <v>-1.931337617624411</v>
      </c>
      <c r="AJ548" s="6" t="n">
        <v>57.01683900016582</v>
      </c>
      <c r="AK548" s="6" t="n">
        <v>0.1294061271385538</v>
      </c>
      <c r="AL548" s="6" t="n">
        <v>1.004899118638581</v>
      </c>
      <c r="AN548" s="6" t="n">
        <v>1.350574744049956</v>
      </c>
      <c r="AO548" s="6" t="n">
        <v>1.350981282854097</v>
      </c>
      <c r="AP548" s="6" t="n">
        <v>0.1355250599584253</v>
      </c>
      <c r="AQ548" s="6" t="n">
        <v>0</v>
      </c>
      <c r="AR548" s="6" t="n">
        <v>0</v>
      </c>
    </row>
    <row r="549">
      <c r="D549" t="inlineStr">
        <is>
          <t>Run 237</t>
        </is>
      </c>
      <c r="J549" s="6" t="n">
        <v>0.2990956477080542</v>
      </c>
      <c r="K549" s="6" t="n">
        <v>-0.3808668587558282</v>
      </c>
      <c r="L549" s="6" t="n">
        <v>0.9341350347133521</v>
      </c>
      <c r="M549" s="6" t="n">
        <v>3.400253443139763</v>
      </c>
      <c r="N549" s="6" t="n">
        <v>-0.3376950581354499</v>
      </c>
      <c r="O549" s="6" t="n">
        <v>-3.252258123304419</v>
      </c>
      <c r="P549" s="6" t="n">
        <v>-3.816237540451171</v>
      </c>
      <c r="Q549" s="6" t="n">
        <v>-0.1083961104790113</v>
      </c>
      <c r="R549" s="6" t="n">
        <v>0.597725700189878</v>
      </c>
      <c r="S549" s="6" t="n">
        <v>1.980189952311432</v>
      </c>
      <c r="T549" s="6" t="n">
        <v>2.710821893882737</v>
      </c>
      <c r="U549" s="6" t="n">
        <v>-1.04621560970796</v>
      </c>
      <c r="V549" s="6" t="n">
        <v>-0.6707337977694395</v>
      </c>
      <c r="W549" s="6" t="n">
        <v>3.086994964968285</v>
      </c>
      <c r="X549" s="6" t="n">
        <v>2.046896885578985</v>
      </c>
      <c r="Y549" s="6" t="n">
        <v>0.2841464016499596</v>
      </c>
      <c r="Z549" s="6" t="n">
        <v>2.587061870767054</v>
      </c>
      <c r="AA549" s="6" t="n">
        <v>0.1703324373185858</v>
      </c>
      <c r="AB549" s="6" t="n">
        <v>1.481904473816165</v>
      </c>
      <c r="AC549" s="6" t="n">
        <v>-3.383785465355242</v>
      </c>
      <c r="AD549" s="6" t="n">
        <v>2.152301022111857</v>
      </c>
      <c r="AE549" s="6" t="n">
        <v>1.170102378111577</v>
      </c>
      <c r="AF549" s="6" t="n">
        <v>0.5099876932270729</v>
      </c>
      <c r="AG549" s="6" t="n">
        <v>-2.960758414252151</v>
      </c>
      <c r="AH549" s="6" t="n">
        <v>-0.4195002409066617</v>
      </c>
      <c r="AI549" s="6" t="n">
        <v>-2.277722126802511</v>
      </c>
      <c r="AJ549" s="6" t="n">
        <v>70.18807500776727</v>
      </c>
      <c r="AK549" s="6" t="n">
        <v>0.1048427635622794</v>
      </c>
      <c r="AL549" s="6" t="n">
        <v>1.028734856583467</v>
      </c>
      <c r="AN549" s="6" t="n">
        <v>1.349917048295577</v>
      </c>
      <c r="AO549" s="6" t="n">
        <v>1.349917048295577</v>
      </c>
      <c r="AP549" s="6" t="n">
        <v>0.1345727846236991</v>
      </c>
      <c r="AQ549" s="6" t="n">
        <v>0</v>
      </c>
      <c r="AR549" s="6" t="n">
        <v>0</v>
      </c>
    </row>
    <row r="550">
      <c r="D550" t="inlineStr">
        <is>
          <t>Run 238</t>
        </is>
      </c>
      <c r="J550" s="6" t="n">
        <v>-3.466407358283211</v>
      </c>
      <c r="K550" s="6" t="n">
        <v>-0.7181404635527709</v>
      </c>
      <c r="L550" s="6" t="n">
        <v>5</v>
      </c>
      <c r="M550" s="6" t="n">
        <v>3.543454734860921</v>
      </c>
      <c r="N550" s="6" t="n">
        <v>1.817212268820414</v>
      </c>
      <c r="O550" s="6" t="n">
        <v>-3.698468352087456</v>
      </c>
      <c r="P550" s="6" t="n">
        <v>-3.003274472047337</v>
      </c>
      <c r="Q550" s="6" t="n">
        <v>0.2263090883341509</v>
      </c>
      <c r="R550" s="6" t="n">
        <v>1.481296921755753</v>
      </c>
      <c r="S550" s="6" t="n">
        <v>4.990275860490046</v>
      </c>
      <c r="T550" s="6" t="n">
        <v>-0.8195229027819745</v>
      </c>
      <c r="U550" s="6" t="n">
        <v>-1.241254904684392</v>
      </c>
      <c r="V550" s="6" t="n">
        <v>3.40865955316426</v>
      </c>
      <c r="W550" s="6" t="n">
        <v>-1.980773885058354</v>
      </c>
      <c r="X550" s="6" t="n">
        <v>-1.828295559786545</v>
      </c>
      <c r="Y550" s="6" t="n">
        <v>-2.560623424853376</v>
      </c>
      <c r="Z550" s="6" t="n">
        <v>1.655209317475716</v>
      </c>
      <c r="AA550" s="6" t="n">
        <v>-3.5042450370905</v>
      </c>
      <c r="AB550" s="6" t="n">
        <v>2.463268913979656</v>
      </c>
      <c r="AC550" s="6" t="n">
        <v>0.9427721916707277</v>
      </c>
      <c r="AD550" s="6" t="n">
        <v>1.181693931836191</v>
      </c>
      <c r="AE550" s="6" t="n">
        <v>-0.8891243214675296</v>
      </c>
      <c r="AF550" s="6" t="n">
        <v>0.5913537388222553</v>
      </c>
      <c r="AG550" s="6" t="n">
        <v>0.5555278917363158</v>
      </c>
      <c r="AH550" s="6" t="n">
        <v>1.381890811628163</v>
      </c>
      <c r="AI550" s="6" t="n">
        <v>0.8747244099850432</v>
      </c>
      <c r="AJ550" s="6" t="n">
        <v>64.95614277563402</v>
      </c>
      <c r="AK550" s="6" t="n">
        <v>0.07442069905620805</v>
      </c>
      <c r="AL550" s="6" t="n">
        <v>1.04464690139969</v>
      </c>
      <c r="AN550" s="6" t="n">
        <v>1.345293579991283</v>
      </c>
      <c r="AO550" s="6" t="n">
        <v>1.345525028775347</v>
      </c>
      <c r="AP550" s="6" t="n">
        <v>0.1333640339432632</v>
      </c>
      <c r="AQ550" s="6" t="n">
        <v>0</v>
      </c>
      <c r="AR550" s="6" t="n">
        <v>0</v>
      </c>
    </row>
    <row r="551">
      <c r="D551" t="inlineStr">
        <is>
          <t>Run 239</t>
        </is>
      </c>
      <c r="J551" s="6" t="n">
        <v>-0.3213566215764144</v>
      </c>
      <c r="K551" s="6" t="n">
        <v>1.747433125279085</v>
      </c>
      <c r="L551" s="6" t="n">
        <v>2.043635262389051</v>
      </c>
      <c r="M551" s="6" t="n">
        <v>-0.364441200865001</v>
      </c>
      <c r="N551" s="6" t="n">
        <v>1.302483449530655</v>
      </c>
      <c r="O551" s="6" t="n">
        <v>-0.8114659961557124</v>
      </c>
      <c r="P551" s="6" t="n">
        <v>-0.1817958204717592</v>
      </c>
      <c r="Q551" s="6" t="n">
        <v>2.868180988260736</v>
      </c>
      <c r="R551" s="6" t="n">
        <v>1.006666580040169</v>
      </c>
      <c r="S551" s="6" t="n">
        <v>-1.449262074552693</v>
      </c>
      <c r="T551" s="6" t="n">
        <v>-1.723534353194141</v>
      </c>
      <c r="U551" s="6" t="n">
        <v>1.08079493787092</v>
      </c>
      <c r="V551" s="6" t="n">
        <v>2.00142511639955</v>
      </c>
      <c r="W551" s="6" t="n">
        <v>0.6787696371780949</v>
      </c>
      <c r="X551" s="6" t="n">
        <v>0.7697779974949613</v>
      </c>
      <c r="Y551" s="6" t="n">
        <v>-0.3357266888417444</v>
      </c>
      <c r="Z551" s="6" t="n">
        <v>-0.7258794411301196</v>
      </c>
      <c r="AA551" s="6" t="n">
        <v>4.196754409362085</v>
      </c>
      <c r="AB551" s="6" t="n">
        <v>-1.426631147944564</v>
      </c>
      <c r="AC551" s="6" t="n">
        <v>-2.121689909595039</v>
      </c>
      <c r="AD551" s="6" t="n">
        <v>5</v>
      </c>
      <c r="AE551" s="6" t="n">
        <v>-1.146367930455302</v>
      </c>
      <c r="AF551" s="6" t="n">
        <v>3.170278264437781</v>
      </c>
      <c r="AG551" s="6" t="n">
        <v>-0.3549957529990617</v>
      </c>
      <c r="AH551" s="6" t="n">
        <v>-1.575471392320149</v>
      </c>
      <c r="AI551" s="6" t="n">
        <v>-0.3426132821374491</v>
      </c>
      <c r="AJ551" s="6" t="n">
        <v>74.6002268912552</v>
      </c>
      <c r="AK551" s="6" t="n">
        <v>0.1432980970239351</v>
      </c>
      <c r="AL551" s="6" t="n">
        <v>1.069960452973031</v>
      </c>
      <c r="AN551" s="6" t="n">
        <v>1.338477953916136</v>
      </c>
      <c r="AO551" s="6" t="n">
        <v>1.338502513079295</v>
      </c>
      <c r="AP551" s="6" t="n">
        <v>0.1304832549358327</v>
      </c>
      <c r="AQ551" s="6" t="n">
        <v>0</v>
      </c>
      <c r="AR551" s="6" t="n">
        <v>0</v>
      </c>
    </row>
    <row r="552">
      <c r="D552" t="inlineStr">
        <is>
          <t>Run 240</t>
        </is>
      </c>
      <c r="J552" s="6" t="n">
        <v>-0.6968779343946565</v>
      </c>
      <c r="K552" s="6" t="n">
        <v>-5.517585622244518</v>
      </c>
      <c r="L552" s="6" t="n">
        <v>-0.29083676666916</v>
      </c>
      <c r="M552" s="6" t="n">
        <v>0.3552750669317423</v>
      </c>
      <c r="N552" s="6" t="n">
        <v>0.2934658652433276</v>
      </c>
      <c r="O552" s="6" t="n">
        <v>1.448849464326281</v>
      </c>
      <c r="P552" s="6" t="n">
        <v>-1.622965255437824</v>
      </c>
      <c r="Q552" s="6" t="n">
        <v>-1.350621629428441</v>
      </c>
      <c r="R552" s="6" t="n">
        <v>1.458200610435901</v>
      </c>
      <c r="S552" s="6" t="n">
        <v>-2.486251429661633</v>
      </c>
      <c r="T552" s="6" t="n">
        <v>1.426710625875043</v>
      </c>
      <c r="U552" s="6" t="n">
        <v>0.09619688105750561</v>
      </c>
      <c r="V552" s="6" t="n">
        <v>-1.00760636779779</v>
      </c>
      <c r="W552" s="6" t="n">
        <v>1.36812598639047</v>
      </c>
      <c r="X552" s="6" t="n">
        <v>-6.215451275260222</v>
      </c>
      <c r="Y552" s="6" t="n">
        <v>0.0755881805114627</v>
      </c>
      <c r="Z552" s="6" t="n">
        <v>1.667174368002793</v>
      </c>
      <c r="AA552" s="6" t="n">
        <v>1.815293534356094</v>
      </c>
      <c r="AB552" s="6" t="n">
        <v>4.451976715794101</v>
      </c>
      <c r="AC552" s="6" t="n">
        <v>0.9336537539746401</v>
      </c>
      <c r="AD552" s="6" t="n">
        <v>0.1630791585188867</v>
      </c>
      <c r="AE552" s="6" t="n">
        <v>-0.9933893764018801</v>
      </c>
      <c r="AF552" s="6" t="n">
        <v>0.6436727433085676</v>
      </c>
      <c r="AG552" s="6" t="n">
        <v>0.2672188337662424</v>
      </c>
      <c r="AH552" s="6" t="n">
        <v>-1.446761608027314</v>
      </c>
      <c r="AI552" s="6" t="n">
        <v>1.882401522863518</v>
      </c>
      <c r="AJ552" s="6" t="n">
        <v>69.18370355796414</v>
      </c>
      <c r="AK552" s="6" t="n">
        <v>0.1027664245770921</v>
      </c>
      <c r="AL552" s="6" t="n">
        <v>1.09187933747127</v>
      </c>
      <c r="AN552" s="6" t="n">
        <v>1.309014926389775</v>
      </c>
      <c r="AO552" s="6" t="n">
        <v>1.31701424795771</v>
      </c>
      <c r="AP552" s="6" t="n">
        <v>0.1293642328970509</v>
      </c>
      <c r="AQ552" s="6" t="n">
        <v>0</v>
      </c>
      <c r="AR552" s="6" t="n">
        <v>0</v>
      </c>
    </row>
    <row r="553">
      <c r="D553" t="inlineStr">
        <is>
          <t>Run 241</t>
        </is>
      </c>
      <c r="J553" s="6" t="n">
        <v>0.7344391945929659</v>
      </c>
      <c r="K553" s="6" t="n">
        <v>-1.667434339950405</v>
      </c>
      <c r="L553" s="6" t="n">
        <v>-2.938431285479269</v>
      </c>
      <c r="M553" s="6" t="n">
        <v>0.1415113831168549</v>
      </c>
      <c r="N553" s="6" t="n">
        <v>2.211102359168537</v>
      </c>
      <c r="O553" s="6" t="n">
        <v>-0.1469425589405914</v>
      </c>
      <c r="P553" s="6" t="n">
        <v>-3.233296203876391</v>
      </c>
      <c r="Q553" s="6" t="n">
        <v>1.327782576997357</v>
      </c>
      <c r="R553" s="6" t="n">
        <v>3.218377223215685</v>
      </c>
      <c r="S553" s="6" t="n">
        <v>-0.5817233072132005</v>
      </c>
      <c r="T553" s="6" t="n">
        <v>0.7175831662896389</v>
      </c>
      <c r="U553" s="6" t="n">
        <v>-1.458842114259142</v>
      </c>
      <c r="V553" s="6" t="n">
        <v>-0.890899460348163</v>
      </c>
      <c r="W553" s="6" t="n">
        <v>0.4035783495534497</v>
      </c>
      <c r="X553" s="6" t="n">
        <v>-1.374806571731483</v>
      </c>
      <c r="Y553" s="6" t="n">
        <v>1.473927380254096</v>
      </c>
      <c r="Z553" s="6" t="n">
        <v>0.3256750353153424</v>
      </c>
      <c r="AA553" s="6" t="n">
        <v>-0.3035456300898157</v>
      </c>
      <c r="AB553" s="6" t="n">
        <v>-1.573869466829519</v>
      </c>
      <c r="AC553" s="6" t="n">
        <v>-0.8518995831740842</v>
      </c>
      <c r="AD553" s="6" t="n">
        <v>1.839270860667294</v>
      </c>
      <c r="AE553" s="6" t="n">
        <v>1.544974101019183</v>
      </c>
      <c r="AF553" s="6" t="n">
        <v>-3.020795749474727</v>
      </c>
      <c r="AG553" s="6" t="n">
        <v>0.3281854857484264</v>
      </c>
      <c r="AH553" s="6" t="n">
        <v>2.980119313969634</v>
      </c>
      <c r="AI553" s="6" t="n">
        <v>-2.791925430106103</v>
      </c>
      <c r="AJ553" s="6" t="n">
        <v>72.09565120938569</v>
      </c>
      <c r="AK553" s="6" t="n">
        <v>0.1776152582124537</v>
      </c>
      <c r="AL553" s="6" t="n">
        <v>1.079051348124071</v>
      </c>
      <c r="AN553" s="6" t="n">
        <v>1.329844455759267</v>
      </c>
      <c r="AO553" s="6" t="n">
        <v>1.330324521400492</v>
      </c>
      <c r="AP553" s="6" t="n">
        <v>0.1292265625248533</v>
      </c>
      <c r="AQ553" s="6" t="n">
        <v>0</v>
      </c>
      <c r="AR553" s="6" t="n">
        <v>0</v>
      </c>
    </row>
    <row r="554">
      <c r="D554" t="inlineStr">
        <is>
          <t>Run 242</t>
        </is>
      </c>
      <c r="J554" s="6" t="n">
        <v>-0.08186000993709794</v>
      </c>
      <c r="K554" s="6" t="n">
        <v>-1.692419083112682</v>
      </c>
      <c r="L554" s="6" t="n">
        <v>2.13681455612965</v>
      </c>
      <c r="M554" s="6" t="n">
        <v>-2.90883483973359</v>
      </c>
      <c r="N554" s="6" t="n">
        <v>0.9752420636661214</v>
      </c>
      <c r="O554" s="6" t="n">
        <v>-1.455455984101974</v>
      </c>
      <c r="P554" s="6" t="n">
        <v>-3.062506913385817</v>
      </c>
      <c r="Q554" s="6" t="n">
        <v>-0.09057330496946815</v>
      </c>
      <c r="R554" s="6" t="n">
        <v>0.6202815278753036</v>
      </c>
      <c r="S554" s="6" t="n">
        <v>0.4401611243650953</v>
      </c>
      <c r="T554" s="6" t="n">
        <v>-1.721305551284</v>
      </c>
      <c r="U554" s="6" t="n">
        <v>2.759329678594235</v>
      </c>
      <c r="V554" s="6" t="n">
        <v>2.559969174698785</v>
      </c>
      <c r="W554" s="6" t="n">
        <v>-4.311268290192839</v>
      </c>
      <c r="X554" s="6" t="n">
        <v>-2.366112079266063</v>
      </c>
      <c r="Y554" s="6" t="n">
        <v>-1.436154838398516</v>
      </c>
      <c r="Z554" s="6" t="n">
        <v>-0.8034609796365437</v>
      </c>
      <c r="AA554" s="6" t="n">
        <v>-1.02514737817903</v>
      </c>
      <c r="AB554" s="6" t="n">
        <v>0.6474449639165483</v>
      </c>
      <c r="AC554" s="6" t="n">
        <v>-0.4983438002597274</v>
      </c>
      <c r="AD554" s="6" t="n">
        <v>-2.558186106655396</v>
      </c>
      <c r="AE554" s="6" t="n">
        <v>2.259619555210429</v>
      </c>
      <c r="AF554" s="6" t="n">
        <v>-2.180699256498848</v>
      </c>
      <c r="AG554" s="6" t="n">
        <v>2.283945567440664</v>
      </c>
      <c r="AH554" s="6" t="n">
        <v>0.04074704212108878</v>
      </c>
      <c r="AI554" s="6" t="n">
        <v>-2.71038740124525</v>
      </c>
      <c r="AJ554" s="6" t="n">
        <v>73.70417065512625</v>
      </c>
      <c r="AK554" s="6" t="n">
        <v>0.008770661299348989</v>
      </c>
      <c r="AL554" s="6" t="n">
        <v>1.019001284216963</v>
      </c>
      <c r="AN554" s="6" t="n">
        <v>1.336495563547043</v>
      </c>
      <c r="AO554" s="6" t="n">
        <v>1.348678557815185</v>
      </c>
      <c r="AP554" s="6" t="n">
        <v>0.1382525525593794</v>
      </c>
      <c r="AQ554" s="6" t="n">
        <v>0</v>
      </c>
      <c r="AR554" s="6" t="n">
        <v>0</v>
      </c>
    </row>
    <row r="555">
      <c r="D555" t="inlineStr">
        <is>
          <t>Run 243</t>
        </is>
      </c>
      <c r="J555" s="6" t="n">
        <v>-2.369691396632877</v>
      </c>
      <c r="K555" s="6" t="n">
        <v>2.873257298591836</v>
      </c>
      <c r="L555" s="6" t="n">
        <v>1.962569802885616</v>
      </c>
      <c r="M555" s="6" t="n">
        <v>-3.192379355147502</v>
      </c>
      <c r="N555" s="6" t="n">
        <v>1.401491822639566</v>
      </c>
      <c r="O555" s="6" t="n">
        <v>-0.2962556710641291</v>
      </c>
      <c r="P555" s="6" t="n">
        <v>4.422629140766172</v>
      </c>
      <c r="Q555" s="6" t="n">
        <v>-4.064488927222524</v>
      </c>
      <c r="R555" s="6" t="n">
        <v>-1.150610134924179</v>
      </c>
      <c r="S555" s="6" t="n">
        <v>4.358959874203754</v>
      </c>
      <c r="T555" s="6" t="n">
        <v>1.942668520480169</v>
      </c>
      <c r="U555" s="6" t="n">
        <v>-0.9822274815567149</v>
      </c>
      <c r="V555" s="6" t="n">
        <v>0.3543890235567415</v>
      </c>
      <c r="W555" s="6" t="n">
        <v>3.053128706651315</v>
      </c>
      <c r="X555" s="6" t="n">
        <v>0.03036543273816976</v>
      </c>
      <c r="Y555" s="6" t="n">
        <v>-3.578621909884764</v>
      </c>
      <c r="Z555" s="6" t="n">
        <v>1.261410284107359</v>
      </c>
      <c r="AA555" s="6" t="n">
        <v>-1.767500662478938</v>
      </c>
      <c r="AB555" s="6" t="n">
        <v>2.51657604357365</v>
      </c>
      <c r="AC555" s="6" t="n">
        <v>-0.5155045404322323</v>
      </c>
      <c r="AD555" s="6" t="n">
        <v>0.2426767016410769</v>
      </c>
      <c r="AE555" s="6" t="n">
        <v>1.249226680597373</v>
      </c>
      <c r="AF555" s="6" t="n">
        <v>0.7519610644027095</v>
      </c>
      <c r="AG555" s="6" t="n">
        <v>2.407399414163489</v>
      </c>
      <c r="AH555" s="6" t="n">
        <v>-3.409959917459862</v>
      </c>
      <c r="AI555" s="6" t="n">
        <v>-2.574210695243162</v>
      </c>
      <c r="AJ555" s="6" t="n">
        <v>67.76956615812242</v>
      </c>
      <c r="AK555" s="6" t="n">
        <v>0.1608388087917956</v>
      </c>
      <c r="AL555" s="6" t="n">
        <v>1.088732895308877</v>
      </c>
      <c r="AN555" s="6" t="n">
        <v>1.300771927080594</v>
      </c>
      <c r="AO555" s="6" t="n">
        <v>1.312300154701379</v>
      </c>
      <c r="AP555" s="6" t="n">
        <v>0.1277442626212619</v>
      </c>
      <c r="AQ555" s="6" t="n">
        <v>0</v>
      </c>
      <c r="AR555" s="6" t="n">
        <v>0</v>
      </c>
    </row>
    <row r="556">
      <c r="D556" t="inlineStr">
        <is>
          <t>Run 244</t>
        </is>
      </c>
      <c r="J556" s="6" t="n">
        <v>0.3794220520550343</v>
      </c>
      <c r="K556" s="6" t="n">
        <v>-2.109940932745475</v>
      </c>
      <c r="L556" s="6" t="n">
        <v>-2.055234569736715</v>
      </c>
      <c r="M556" s="6" t="n">
        <v>-4.417573423112781</v>
      </c>
      <c r="N556" s="6" t="n">
        <v>-2.154190531094022</v>
      </c>
      <c r="O556" s="6" t="n">
        <v>-2.133803203535452</v>
      </c>
      <c r="P556" s="6" t="n">
        <v>2.709762485668164</v>
      </c>
      <c r="Q556" s="6" t="n">
        <v>-0.2037368249156149</v>
      </c>
      <c r="R556" s="6" t="n">
        <v>-0.5977524404523643</v>
      </c>
      <c r="S556" s="6" t="n">
        <v>-0.9873193686062914</v>
      </c>
      <c r="T556" s="6" t="n">
        <v>-4.371237932264454</v>
      </c>
      <c r="U556" s="6" t="n">
        <v>3.726208031394657</v>
      </c>
      <c r="V556" s="6" t="n">
        <v>1.605540890607575</v>
      </c>
      <c r="W556" s="6" t="n">
        <v>0.8868438316973017</v>
      </c>
      <c r="X556" s="6" t="n">
        <v>-0.6901725364099193</v>
      </c>
      <c r="Y556" s="6" t="n">
        <v>1.936199089170424</v>
      </c>
      <c r="Z556" s="6" t="n">
        <v>-3.1304745758449</v>
      </c>
      <c r="AA556" s="6" t="n">
        <v>2.084786162111499</v>
      </c>
      <c r="AB556" s="6" t="n">
        <v>1.339839145187557</v>
      </c>
      <c r="AC556" s="6" t="n">
        <v>1.156462716756578</v>
      </c>
      <c r="AD556" s="6" t="n">
        <v>1.126124457747669</v>
      </c>
      <c r="AE556" s="6" t="n">
        <v>-1.220157246475692</v>
      </c>
      <c r="AF556" s="6" t="n">
        <v>-0.1992350317609681</v>
      </c>
      <c r="AG556" s="6" t="n">
        <v>-2.475797515814998</v>
      </c>
      <c r="AH556" s="6" t="n">
        <v>1.774354178018714</v>
      </c>
      <c r="AI556" s="6" t="n">
        <v>0.9053110713937851</v>
      </c>
      <c r="AJ556" s="6" t="n">
        <v>69.18357818605773</v>
      </c>
      <c r="AK556" s="6" t="n">
        <v>0.1193579088297225</v>
      </c>
      <c r="AL556" s="6" t="n">
        <v>1.057296140228682</v>
      </c>
      <c r="AN556" s="6" t="n">
        <v>1.293102626731273</v>
      </c>
      <c r="AO556" s="6" t="n">
        <v>1.298150871913767</v>
      </c>
      <c r="AP556" s="6" t="n">
        <v>0.1310739981035126</v>
      </c>
      <c r="AQ556" s="6" t="n">
        <v>0</v>
      </c>
      <c r="AR556" s="6" t="n">
        <v>0</v>
      </c>
    </row>
    <row r="557">
      <c r="D557" t="inlineStr">
        <is>
          <t>Run 245</t>
        </is>
      </c>
      <c r="J557" s="6" t="n">
        <v>0.3353865911694019</v>
      </c>
      <c r="K557" s="6" t="n">
        <v>-1.353157229284476</v>
      </c>
      <c r="L557" s="6" t="n">
        <v>-0.7620786658484262</v>
      </c>
      <c r="M557" s="6" t="n">
        <v>0.1819355699165529</v>
      </c>
      <c r="N557" s="6" t="n">
        <v>1.021753133974758</v>
      </c>
      <c r="O557" s="6" t="n">
        <v>-2.171444721857716</v>
      </c>
      <c r="P557" s="6" t="n">
        <v>-1.710497117113312</v>
      </c>
      <c r="Q557" s="6" t="n">
        <v>4.187227240580932</v>
      </c>
      <c r="R557" s="6" t="n">
        <v>-3.052643060766027</v>
      </c>
      <c r="S557" s="6" t="n">
        <v>-0.7002913897001464</v>
      </c>
      <c r="T557" s="6" t="n">
        <v>-0.153928301275286</v>
      </c>
      <c r="U557" s="6" t="n">
        <v>0.7668887914841903</v>
      </c>
      <c r="V557" s="6" t="n">
        <v>3.601265450694476</v>
      </c>
      <c r="W557" s="6" t="n">
        <v>-0.9424952775516405</v>
      </c>
      <c r="X557" s="6" t="n">
        <v>-0.9560587769731849</v>
      </c>
      <c r="Y557" s="6" t="n">
        <v>1.579160991916486</v>
      </c>
      <c r="Z557" s="6" t="n">
        <v>1.064582931321024</v>
      </c>
      <c r="AA557" s="6" t="n">
        <v>-0.6818918910312571</v>
      </c>
      <c r="AB557" s="6" t="n">
        <v>0.8852232371349924</v>
      </c>
      <c r="AC557" s="6" t="n">
        <v>-0.03790906940475247</v>
      </c>
      <c r="AD557" s="6" t="n">
        <v>-1.525839890155567</v>
      </c>
      <c r="AE557" s="6" t="n">
        <v>1.270689685439908</v>
      </c>
      <c r="AF557" s="6" t="n">
        <v>-0.2171120568787279</v>
      </c>
      <c r="AG557" s="6" t="n">
        <v>3.226554971355942</v>
      </c>
      <c r="AH557" s="6" t="n">
        <v>0.4636201921985728</v>
      </c>
      <c r="AI557" s="6" t="n">
        <v>-1.586075818102429</v>
      </c>
      <c r="AJ557" s="6" t="n">
        <v>77.94859959367341</v>
      </c>
      <c r="AK557" s="6" t="n">
        <v>0.08433238594423831</v>
      </c>
      <c r="AL557" s="6" t="n">
        <v>1.056449301683126</v>
      </c>
      <c r="AN557" s="6" t="n">
        <v>1.349861682964181</v>
      </c>
      <c r="AO557" s="6" t="n">
        <v>1.349861682964181</v>
      </c>
      <c r="AP557" s="6" t="n">
        <v>0.1334504695487527</v>
      </c>
      <c r="AQ557" s="6" t="n">
        <v>0</v>
      </c>
      <c r="AR557" s="6" t="n">
        <v>0</v>
      </c>
    </row>
    <row r="558">
      <c r="D558" t="inlineStr">
        <is>
          <t>Run 246</t>
        </is>
      </c>
      <c r="J558" s="6" t="n">
        <v>1.696069601779583</v>
      </c>
      <c r="K558" s="6" t="n">
        <v>1.2323151225633</v>
      </c>
      <c r="L558" s="6" t="n">
        <v>0.542793955343311</v>
      </c>
      <c r="M558" s="6" t="n">
        <v>3.651388091124402</v>
      </c>
      <c r="N558" s="6" t="n">
        <v>5</v>
      </c>
      <c r="O558" s="6" t="n">
        <v>-0.3384976938360821</v>
      </c>
      <c r="P558" s="6" t="n">
        <v>-2.054203988000607</v>
      </c>
      <c r="Q558" s="6" t="n">
        <v>-3.302862625466682</v>
      </c>
      <c r="R558" s="6" t="n">
        <v>-1.907632651000674</v>
      </c>
      <c r="S558" s="6" t="n">
        <v>-2.907425858648319</v>
      </c>
      <c r="T558" s="6" t="n">
        <v>1.826367354316965</v>
      </c>
      <c r="U558" s="6" t="n">
        <v>-0.004301447865616741</v>
      </c>
      <c r="V558" s="6" t="n">
        <v>1.668611675734126</v>
      </c>
      <c r="W558" s="6" t="n">
        <v>0.209149959136036</v>
      </c>
      <c r="X558" s="6" t="n">
        <v>-1.139618658179889</v>
      </c>
      <c r="Y558" s="6" t="n">
        <v>1.281157295929509</v>
      </c>
      <c r="Z558" s="6" t="n">
        <v>-0.8939783945660963</v>
      </c>
      <c r="AA558" s="6" t="n">
        <v>-0.1504691480505987</v>
      </c>
      <c r="AB558" s="6" t="n">
        <v>0.3557259771821216</v>
      </c>
      <c r="AC558" s="6" t="n">
        <v>1.294192963152943</v>
      </c>
      <c r="AD558" s="6" t="n">
        <v>-1.62261408535875</v>
      </c>
      <c r="AE558" s="6" t="n">
        <v>-1.141082699145066</v>
      </c>
      <c r="AF558" s="6" t="n">
        <v>-4.278373429978119</v>
      </c>
      <c r="AG558" s="6" t="n">
        <v>0.3436374177329055</v>
      </c>
      <c r="AH558" s="6" t="n">
        <v>2.794540890935624</v>
      </c>
      <c r="AI558" s="6" t="n">
        <v>0.01269403598945028</v>
      </c>
      <c r="AJ558" s="6" t="n">
        <v>58.96948057350193</v>
      </c>
      <c r="AK558" s="6" t="n">
        <v>0.1304072513043319</v>
      </c>
      <c r="AL558" s="6" t="n">
        <v>1.044884146639173</v>
      </c>
      <c r="AN558" s="6" t="n">
        <v>1.337657231858877</v>
      </c>
      <c r="AO558" s="6" t="n">
        <v>1.338203468476392</v>
      </c>
      <c r="AP558" s="6" t="n">
        <v>0.1312644601412733</v>
      </c>
      <c r="AQ558" s="6" t="n">
        <v>0</v>
      </c>
      <c r="AR558" s="6" t="n">
        <v>0</v>
      </c>
    </row>
    <row r="559">
      <c r="D559" t="inlineStr">
        <is>
          <t>Run 247</t>
        </is>
      </c>
      <c r="J559" s="6" t="n">
        <v>-3.057198437496056</v>
      </c>
      <c r="K559" s="6" t="n">
        <v>1.501876783116592</v>
      </c>
      <c r="L559" s="6" t="n">
        <v>-1.041927203791411</v>
      </c>
      <c r="M559" s="6" t="n">
        <v>2.798947516309056</v>
      </c>
      <c r="N559" s="6" t="n">
        <v>3.158533779522175</v>
      </c>
      <c r="O559" s="6" t="n">
        <v>1.013231393988323</v>
      </c>
      <c r="P559" s="6" t="n">
        <v>1.589283400597474</v>
      </c>
      <c r="Q559" s="6" t="n">
        <v>1.79443586598624</v>
      </c>
      <c r="R559" s="6" t="n">
        <v>2.725945228214968</v>
      </c>
      <c r="S559" s="6" t="n">
        <v>-0.4716292363764353</v>
      </c>
      <c r="T559" s="6" t="n">
        <v>1.168497070900502</v>
      </c>
      <c r="U559" s="6" t="n">
        <v>-2.062728732818173</v>
      </c>
      <c r="V559" s="6" t="n">
        <v>2.978092920500244</v>
      </c>
      <c r="W559" s="6" t="n">
        <v>0.2685292983570767</v>
      </c>
      <c r="X559" s="6" t="n">
        <v>2.903748782347613</v>
      </c>
      <c r="Y559" s="6" t="n">
        <v>-1.508514646904009</v>
      </c>
      <c r="Z559" s="6" t="n">
        <v>1.128211669029706</v>
      </c>
      <c r="AA559" s="6" t="n">
        <v>-0.4916574885889446</v>
      </c>
      <c r="AB559" s="6" t="n">
        <v>1.64594040297632</v>
      </c>
      <c r="AC559" s="6" t="n">
        <v>-1.525918401760857</v>
      </c>
      <c r="AD559" s="6" t="n">
        <v>1.142995242028515</v>
      </c>
      <c r="AE559" s="6" t="n">
        <v>3.694692873982034</v>
      </c>
      <c r="AF559" s="6" t="n">
        <v>-2.255175477647781</v>
      </c>
      <c r="AG559" s="6" t="n">
        <v>-2.762976400597117</v>
      </c>
      <c r="AH559" s="6" t="n">
        <v>-2.838526963126777</v>
      </c>
      <c r="AI559" s="6" t="n">
        <v>3.292946439475082</v>
      </c>
      <c r="AJ559" s="6" t="n">
        <v>60.87895871946549</v>
      </c>
      <c r="AK559" s="6" t="n">
        <v>0.1114108000492869</v>
      </c>
      <c r="AL559" s="6" t="n">
        <v>1.079212335222021</v>
      </c>
      <c r="AN559" s="6" t="n">
        <v>1.331151137521406</v>
      </c>
      <c r="AO559" s="6" t="n">
        <v>1.331698334460689</v>
      </c>
      <c r="AP559" s="6" t="n">
        <v>0.1298191119462184</v>
      </c>
      <c r="AQ559" s="6" t="n">
        <v>0</v>
      </c>
      <c r="AR559" s="6" t="n">
        <v>0</v>
      </c>
    </row>
    <row r="560">
      <c r="D560" t="inlineStr">
        <is>
          <t>Run 248</t>
        </is>
      </c>
      <c r="J560" s="6" t="n">
        <v>1.965809095052254</v>
      </c>
      <c r="K560" s="6" t="n">
        <v>0.1102985844784913</v>
      </c>
      <c r="L560" s="6" t="n">
        <v>0.02480792644933578</v>
      </c>
      <c r="M560" s="6" t="n">
        <v>0.3725831705719508</v>
      </c>
      <c r="N560" s="6" t="n">
        <v>-0.5832648326019274</v>
      </c>
      <c r="O560" s="6" t="n">
        <v>1.02067725338534</v>
      </c>
      <c r="P560" s="6" t="n">
        <v>-0.1493755428120272</v>
      </c>
      <c r="Q560" s="6" t="n">
        <v>-3.263062920027899</v>
      </c>
      <c r="R560" s="6" t="n">
        <v>0.02722038446698738</v>
      </c>
      <c r="S560" s="6" t="n">
        <v>-1.33653574108409</v>
      </c>
      <c r="T560" s="6" t="n">
        <v>-1.898428650724213</v>
      </c>
      <c r="U560" s="6" t="n">
        <v>-1.948312250914536</v>
      </c>
      <c r="V560" s="6" t="n">
        <v>-1.29557325461845</v>
      </c>
      <c r="W560" s="6" t="n">
        <v>0.01620384931280964</v>
      </c>
      <c r="X560" s="6" t="n">
        <v>0.4046077731490283</v>
      </c>
      <c r="Y560" s="6" t="n">
        <v>1.709868380040455</v>
      </c>
      <c r="Z560" s="6" t="n">
        <v>0.3722101128637437</v>
      </c>
      <c r="AA560" s="6" t="n">
        <v>-1.222403960133907</v>
      </c>
      <c r="AB560" s="6" t="n">
        <v>1.052121551601368</v>
      </c>
      <c r="AC560" s="6" t="n">
        <v>0.3258357752685208</v>
      </c>
      <c r="AD560" s="6" t="n">
        <v>-0.271435916173168</v>
      </c>
      <c r="AE560" s="6" t="n">
        <v>-3.094123790318768</v>
      </c>
      <c r="AF560" s="6" t="n">
        <v>-1.318097162506912</v>
      </c>
      <c r="AG560" s="6" t="n">
        <v>0.5609992073969871</v>
      </c>
      <c r="AH560" s="6" t="n">
        <v>2.043831283064117</v>
      </c>
      <c r="AI560" s="6" t="n">
        <v>-1.843338580973567</v>
      </c>
      <c r="AJ560" s="6" t="n">
        <v>61.22009401783908</v>
      </c>
      <c r="AK560" s="6" t="n">
        <v>0.1036127416956011</v>
      </c>
      <c r="AL560" s="6" t="n">
        <v>1.037090482017232</v>
      </c>
      <c r="AN560" s="6" t="n">
        <v>1.34336177627286</v>
      </c>
      <c r="AO560" s="6" t="n">
        <v>1.343454745895513</v>
      </c>
      <c r="AP560" s="6" t="n">
        <v>0.1327567712527925</v>
      </c>
      <c r="AQ560" s="6" t="n">
        <v>0</v>
      </c>
      <c r="AR560" s="6" t="n">
        <v>0</v>
      </c>
    </row>
    <row r="561">
      <c r="D561" t="inlineStr">
        <is>
          <t>Run 249</t>
        </is>
      </c>
      <c r="J561" s="6" t="n">
        <v>-3.948876350101033</v>
      </c>
      <c r="K561" s="6" t="n">
        <v>-0.500176875709432</v>
      </c>
      <c r="L561" s="6" t="n">
        <v>1.730051176883361</v>
      </c>
      <c r="M561" s="6" t="n">
        <v>-0.3000334194083403</v>
      </c>
      <c r="N561" s="6" t="n">
        <v>2.76919260877302</v>
      </c>
      <c r="O561" s="6" t="n">
        <v>1.028331296205788</v>
      </c>
      <c r="P561" s="6" t="n">
        <v>0.9005077530355587</v>
      </c>
      <c r="Q561" s="6" t="n">
        <v>2.912514984588192</v>
      </c>
      <c r="R561" s="6" t="n">
        <v>-3.661347996754522</v>
      </c>
      <c r="S561" s="6" t="n">
        <v>3.139619859604928</v>
      </c>
      <c r="T561" s="6" t="n">
        <v>-5.043869232010199</v>
      </c>
      <c r="U561" s="6" t="n">
        <v>-0.3946057325784616</v>
      </c>
      <c r="V561" s="6" t="n">
        <v>-3.02210212772936</v>
      </c>
      <c r="W561" s="6" t="n">
        <v>0.4287407622136949</v>
      </c>
      <c r="X561" s="6" t="n">
        <v>1.706550933333279</v>
      </c>
      <c r="Y561" s="6" t="n">
        <v>-1.084994280490508</v>
      </c>
      <c r="Z561" s="6" t="n">
        <v>0.7502930440105118</v>
      </c>
      <c r="AA561" s="6" t="n">
        <v>-0.4499969777587772</v>
      </c>
      <c r="AB561" s="6" t="n">
        <v>0.4728402018489828</v>
      </c>
      <c r="AC561" s="6" t="n">
        <v>0.9729881717004959</v>
      </c>
      <c r="AD561" s="6" t="n">
        <v>-0.7175261258481559</v>
      </c>
      <c r="AE561" s="6" t="n">
        <v>-1.757571231780895</v>
      </c>
      <c r="AF561" s="6" t="n">
        <v>-0.6040058005764768</v>
      </c>
      <c r="AG561" s="6" t="n">
        <v>1.085067730674139</v>
      </c>
      <c r="AH561" s="6" t="n">
        <v>0.07669208931074697</v>
      </c>
      <c r="AI561" s="6" t="n">
        <v>-0.1839143680957516</v>
      </c>
      <c r="AJ561" s="6" t="n">
        <v>76.60749938739086</v>
      </c>
      <c r="AK561" s="6" t="n">
        <v>0.1512067311789529</v>
      </c>
      <c r="AL561" s="6" t="n">
        <v>1.043812027629664</v>
      </c>
      <c r="AN561" s="6" t="n">
        <v>1.348469503104014</v>
      </c>
      <c r="AO561" s="6" t="n">
        <v>1.348727860027623</v>
      </c>
      <c r="AP561" s="6" t="n">
        <v>0.1326965032868492</v>
      </c>
      <c r="AQ561" s="6" t="n">
        <v>0</v>
      </c>
      <c r="AR561" s="6" t="n">
        <v>0</v>
      </c>
    </row>
    <row r="562">
      <c r="D562" t="inlineStr">
        <is>
          <t>Run 250</t>
        </is>
      </c>
      <c r="J562" s="6" t="n">
        <v>0.5154645422097979</v>
      </c>
      <c r="K562" s="6" t="n">
        <v>3.084015666413665</v>
      </c>
      <c r="L562" s="6" t="n">
        <v>1.174467812155561</v>
      </c>
      <c r="M562" s="6" t="n">
        <v>-1.259307869479681</v>
      </c>
      <c r="N562" s="6" t="n">
        <v>-1.201703240039731</v>
      </c>
      <c r="O562" s="6" t="n">
        <v>-1.16111685127588</v>
      </c>
      <c r="P562" s="6" t="n">
        <v>-1.11708225798522</v>
      </c>
      <c r="Q562" s="6" t="n">
        <v>0.1187473073059367</v>
      </c>
      <c r="R562" s="6" t="n">
        <v>-1.200236945572725</v>
      </c>
      <c r="S562" s="6" t="n">
        <v>1.860878248631034</v>
      </c>
      <c r="T562" s="6" t="n">
        <v>-4.546374241865118</v>
      </c>
      <c r="U562" s="6" t="n">
        <v>-1.638860800927905</v>
      </c>
      <c r="V562" s="6" t="n">
        <v>2.205314703879909</v>
      </c>
      <c r="W562" s="6" t="n">
        <v>-1.412016562782126</v>
      </c>
      <c r="X562" s="6" t="n">
        <v>-2.354413182734523</v>
      </c>
      <c r="Y562" s="6" t="n">
        <v>-1.904828651322282</v>
      </c>
      <c r="Z562" s="6" t="n">
        <v>-1.954760262188913</v>
      </c>
      <c r="AA562" s="6" t="n">
        <v>1.086803083588529</v>
      </c>
      <c r="AB562" s="6" t="n">
        <v>-0.3908020113702833</v>
      </c>
      <c r="AC562" s="6" t="n">
        <v>-1.551106617848913</v>
      </c>
      <c r="AD562" s="6" t="n">
        <v>2.797631539105604</v>
      </c>
      <c r="AE562" s="6" t="n">
        <v>2.661989633489061</v>
      </c>
      <c r="AF562" s="6" t="n">
        <v>-1.414663715581911</v>
      </c>
      <c r="AG562" s="6" t="n">
        <v>-2.696356013158827</v>
      </c>
      <c r="AH562" s="6" t="n">
        <v>-1.811533569510448</v>
      </c>
      <c r="AI562" s="6" t="n">
        <v>1.631447121347265</v>
      </c>
      <c r="AJ562" s="6" t="n">
        <v>66.72772828292943</v>
      </c>
      <c r="AK562" s="6" t="n">
        <v>0.1002240389232165</v>
      </c>
      <c r="AL562" s="6" t="n">
        <v>1.017634154997366</v>
      </c>
      <c r="AN562" s="6" t="n">
        <v>1.349418808382558</v>
      </c>
      <c r="AO562" s="6" t="n">
        <v>1.349418808382558</v>
      </c>
      <c r="AP562" s="6" t="n">
        <v>0.1355758717641955</v>
      </c>
      <c r="AQ562" s="6" t="n">
        <v>0</v>
      </c>
      <c r="AR562" s="6" t="n">
        <v>0</v>
      </c>
    </row>
    <row r="563">
      <c r="D563" t="inlineStr">
        <is>
          <t>Run 251</t>
        </is>
      </c>
      <c r="J563" s="6" t="n">
        <v>-0.4835740592026712</v>
      </c>
      <c r="K563" s="6" t="n">
        <v>-0.2387230935589882</v>
      </c>
      <c r="L563" s="6" t="n">
        <v>-0.4124256197441886</v>
      </c>
      <c r="M563" s="6" t="n">
        <v>-2.40829424989753</v>
      </c>
      <c r="N563" s="6" t="n">
        <v>2.164438044700117</v>
      </c>
      <c r="O563" s="6" t="n">
        <v>-1.32207688979553</v>
      </c>
      <c r="P563" s="6" t="n">
        <v>-1.651118761832756</v>
      </c>
      <c r="Q563" s="6" t="n">
        <v>0.7447003149915813</v>
      </c>
      <c r="R563" s="6" t="n">
        <v>-4.020257792065173</v>
      </c>
      <c r="S563" s="6" t="n">
        <v>-1.125765648512355</v>
      </c>
      <c r="T563" s="6" t="n">
        <v>-0.9863454369291086</v>
      </c>
      <c r="U563" s="6" t="n">
        <v>0.2922949599121912</v>
      </c>
      <c r="V563" s="6" t="n">
        <v>1.355629709695138</v>
      </c>
      <c r="W563" s="6" t="n">
        <v>-1.225197644796003</v>
      </c>
      <c r="X563" s="6" t="n">
        <v>3.614435090714548</v>
      </c>
      <c r="Y563" s="6" t="n">
        <v>1.942172386071362</v>
      </c>
      <c r="Z563" s="6" t="n">
        <v>2.666128443950697</v>
      </c>
      <c r="AA563" s="6" t="n">
        <v>0.1908886130068523</v>
      </c>
      <c r="AB563" s="6" t="n">
        <v>-1.295869367457094</v>
      </c>
      <c r="AC563" s="6" t="n">
        <v>0.9963095769930286</v>
      </c>
      <c r="AD563" s="6" t="n">
        <v>-2.471144293409645</v>
      </c>
      <c r="AE563" s="6" t="n">
        <v>0.09765058204117318</v>
      </c>
      <c r="AF563" s="6" t="n">
        <v>4.504317870405677</v>
      </c>
      <c r="AG563" s="6" t="n">
        <v>-0.6632883269615973</v>
      </c>
      <c r="AH563" s="6" t="n">
        <v>1.33482783179131</v>
      </c>
      <c r="AI563" s="6" t="n">
        <v>1.891194488280572</v>
      </c>
      <c r="AJ563" s="6" t="n">
        <v>78.01933279602193</v>
      </c>
      <c r="AK563" s="6" t="n">
        <v>0.0865360832746557</v>
      </c>
      <c r="AL563" s="6" t="n">
        <v>1.034460815754605</v>
      </c>
      <c r="AN563" s="6" t="n">
        <v>1.33548287547286</v>
      </c>
      <c r="AO563" s="6" t="n">
        <v>1.343988657476938</v>
      </c>
      <c r="AP563" s="6" t="n">
        <v>0.1352530352784606</v>
      </c>
      <c r="AQ563" s="6" t="n">
        <v>0</v>
      </c>
      <c r="AR563" s="6" t="n">
        <v>0</v>
      </c>
    </row>
    <row r="564">
      <c r="D564" t="inlineStr">
        <is>
          <t>Run 252</t>
        </is>
      </c>
      <c r="J564" s="6" t="n">
        <v>-0.06984845516775633</v>
      </c>
      <c r="K564" s="6" t="n">
        <v>-1.809768920407653</v>
      </c>
      <c r="L564" s="6" t="n">
        <v>-0.6147147848834332</v>
      </c>
      <c r="M564" s="6" t="n">
        <v>-1.292153403215804</v>
      </c>
      <c r="N564" s="6" t="n">
        <v>-0.8633639871574553</v>
      </c>
      <c r="O564" s="6" t="n">
        <v>-5.08614230568569</v>
      </c>
      <c r="P564" s="6" t="n">
        <v>-0.3413904456587319</v>
      </c>
      <c r="Q564" s="6" t="n">
        <v>0.4660922258342445</v>
      </c>
      <c r="R564" s="6" t="n">
        <v>-2.80740490314045</v>
      </c>
      <c r="S564" s="6" t="n">
        <v>0.3090517581082023</v>
      </c>
      <c r="T564" s="6" t="n">
        <v>0.7215860233212726</v>
      </c>
      <c r="U564" s="6" t="n">
        <v>2.433030069397281</v>
      </c>
      <c r="V564" s="6" t="n">
        <v>-0.2279636277954963</v>
      </c>
      <c r="W564" s="6" t="n">
        <v>2.636235800814763</v>
      </c>
      <c r="X564" s="6" t="n">
        <v>3.401695616536772</v>
      </c>
      <c r="Y564" s="6" t="n">
        <v>0.5540234501179262</v>
      </c>
      <c r="Z564" s="6" t="n">
        <v>1.52044518567217</v>
      </c>
      <c r="AA564" s="6" t="n">
        <v>-2.645912889984043</v>
      </c>
      <c r="AB564" s="6" t="n">
        <v>-1.664607583273314</v>
      </c>
      <c r="AC564" s="6" t="n">
        <v>-0.1764442005991712</v>
      </c>
      <c r="AD564" s="6" t="n">
        <v>-0.483461943443599</v>
      </c>
      <c r="AE564" s="6" t="n">
        <v>-2.323334360471061</v>
      </c>
      <c r="AF564" s="6" t="n">
        <v>-2.036243182054191</v>
      </c>
      <c r="AG564" s="6" t="n">
        <v>-1.823714073888926</v>
      </c>
      <c r="AH564" s="6" t="n">
        <v>-0.08275489032277972</v>
      </c>
      <c r="AI564" s="6" t="n">
        <v>-0.3303133578914015</v>
      </c>
      <c r="AJ564" s="6" t="n">
        <v>78.80306213211441</v>
      </c>
      <c r="AK564" s="6" t="n">
        <v>0.1285497948641428</v>
      </c>
      <c r="AL564" s="6" t="n">
        <v>1.036943110761634</v>
      </c>
      <c r="AN564" s="6" t="n">
        <v>1.330480225072016</v>
      </c>
      <c r="AO564" s="6" t="n">
        <v>1.339016788873408</v>
      </c>
      <c r="AP564" s="6" t="n">
        <v>0.1339505037226589</v>
      </c>
      <c r="AQ564" s="6" t="n">
        <v>0</v>
      </c>
      <c r="AR564" s="6" t="n">
        <v>0</v>
      </c>
    </row>
    <row r="565">
      <c r="D565" t="inlineStr">
        <is>
          <t>Run 253</t>
        </is>
      </c>
      <c r="J565" s="6" t="n">
        <v>-1.391807893391529</v>
      </c>
      <c r="K565" s="6" t="n">
        <v>3.423265614342113</v>
      </c>
      <c r="L565" s="6" t="n">
        <v>-0.5886901788436074</v>
      </c>
      <c r="M565" s="6" t="n">
        <v>2.786690086056839</v>
      </c>
      <c r="N565" s="6" t="n">
        <v>-3.459513790305745</v>
      </c>
      <c r="O565" s="6" t="n">
        <v>-0.6694411723206137</v>
      </c>
      <c r="P565" s="6" t="n">
        <v>-1.674777663214024</v>
      </c>
      <c r="Q565" s="6" t="n">
        <v>-0.7177806123641362</v>
      </c>
      <c r="R565" s="6" t="n">
        <v>3.938246171668245</v>
      </c>
      <c r="S565" s="6" t="n">
        <v>-0.4862189481846452</v>
      </c>
      <c r="T565" s="6" t="n">
        <v>0.1378779531251603</v>
      </c>
      <c r="U565" s="6" t="n">
        <v>-4.116169445739531</v>
      </c>
      <c r="V565" s="6" t="n">
        <v>-1.632424892098146</v>
      </c>
      <c r="W565" s="6" t="n">
        <v>-0.8829113633796665</v>
      </c>
      <c r="X565" s="6" t="n">
        <v>0.6666351301166135</v>
      </c>
      <c r="Y565" s="6" t="n">
        <v>-2.6848005945131</v>
      </c>
      <c r="Z565" s="6" t="n">
        <v>-0.2372683053641327</v>
      </c>
      <c r="AA565" s="6" t="n">
        <v>-1.511301620184776</v>
      </c>
      <c r="AB565" s="6" t="n">
        <v>0.9201133454429116</v>
      </c>
      <c r="AC565" s="6" t="n">
        <v>3.079575460830212</v>
      </c>
      <c r="AD565" s="6" t="n">
        <v>1.981994500913634</v>
      </c>
      <c r="AE565" s="6" t="n">
        <v>-2.027906849215242</v>
      </c>
      <c r="AF565" s="6" t="n">
        <v>-2.493991413410487</v>
      </c>
      <c r="AG565" s="6" t="n">
        <v>-0.2311798350646639</v>
      </c>
      <c r="AH565" s="6" t="n">
        <v>-1.765406597691498</v>
      </c>
      <c r="AI565" s="6" t="n">
        <v>0.9710036257645726</v>
      </c>
      <c r="AJ565" s="6" t="n">
        <v>76.76201896736885</v>
      </c>
      <c r="AK565" s="6" t="n">
        <v>0.05878814658704366</v>
      </c>
      <c r="AL565" s="6" t="n">
        <v>1.058189176702437</v>
      </c>
      <c r="AN565" s="6" t="n">
        <v>1.348602492982002</v>
      </c>
      <c r="AO565" s="6" t="n">
        <v>1.349405738735253</v>
      </c>
      <c r="AP565" s="6" t="n">
        <v>0.133362081052271</v>
      </c>
      <c r="AQ565" s="6" t="n">
        <v>0</v>
      </c>
      <c r="AR565" s="6" t="n">
        <v>0</v>
      </c>
    </row>
    <row r="566">
      <c r="D566" t="inlineStr">
        <is>
          <t>Run 254</t>
        </is>
      </c>
      <c r="J566" s="6" t="n">
        <v>5</v>
      </c>
      <c r="K566" s="6" t="n">
        <v>-0.4249946624644101</v>
      </c>
      <c r="L566" s="6" t="n">
        <v>1.546314139064617</v>
      </c>
      <c r="M566" s="6" t="n">
        <v>-3.196834580973261</v>
      </c>
      <c r="N566" s="6" t="n">
        <v>-3.271864955073024</v>
      </c>
      <c r="O566" s="6" t="n">
        <v>-1.994861921177135</v>
      </c>
      <c r="P566" s="6" t="n">
        <v>2.361626138592788</v>
      </c>
      <c r="Q566" s="6" t="n">
        <v>-3.284390104728009</v>
      </c>
      <c r="R566" s="6" t="n">
        <v>0.5579758182493643</v>
      </c>
      <c r="S566" s="6" t="n">
        <v>-1.610060806600472</v>
      </c>
      <c r="T566" s="6" t="n">
        <v>2.176183003499264</v>
      </c>
      <c r="U566" s="6" t="n">
        <v>1.270220981517886</v>
      </c>
      <c r="V566" s="6" t="n">
        <v>0.125627320376784</v>
      </c>
      <c r="W566" s="6" t="n">
        <v>2.375923502859864</v>
      </c>
      <c r="X566" s="6" t="n">
        <v>1.788402577099058</v>
      </c>
      <c r="Y566" s="6" t="n">
        <v>0.8126684452324063</v>
      </c>
      <c r="Z566" s="6" t="n">
        <v>3.53773797730607</v>
      </c>
      <c r="AA566" s="6" t="n">
        <v>-2.453222350319222</v>
      </c>
      <c r="AB566" s="6" t="n">
        <v>1.22039730994253</v>
      </c>
      <c r="AC566" s="6" t="n">
        <v>1.564186780025672</v>
      </c>
      <c r="AD566" s="6" t="n">
        <v>0.07699998190069213</v>
      </c>
      <c r="AE566" s="6" t="n">
        <v>0.2372145049012863</v>
      </c>
      <c r="AF566" s="6" t="n">
        <v>1.198235973821692</v>
      </c>
      <c r="AG566" s="6" t="n">
        <v>0.6852860611372532</v>
      </c>
      <c r="AH566" s="6" t="n">
        <v>2.286556570281005</v>
      </c>
      <c r="AI566" s="6" t="n">
        <v>0.6864984853714086</v>
      </c>
      <c r="AJ566" s="6" t="n">
        <v>59.51742977001182</v>
      </c>
      <c r="AK566" s="6" t="n">
        <v>0.1253434380357629</v>
      </c>
      <c r="AL566" s="6" t="n">
        <v>1.022011849106304</v>
      </c>
      <c r="AN566" s="6" t="n">
        <v>1.316785733928053</v>
      </c>
      <c r="AO566" s="6" t="n">
        <v>1.319563503842902</v>
      </c>
      <c r="AP566" s="6" t="n">
        <v>0.1333300802763716</v>
      </c>
      <c r="AQ566" s="6" t="n">
        <v>0</v>
      </c>
      <c r="AR566" s="6" t="n">
        <v>0</v>
      </c>
    </row>
    <row r="567">
      <c r="D567" t="inlineStr">
        <is>
          <t>Run 255</t>
        </is>
      </c>
      <c r="J567" s="6" t="n">
        <v>-1.459996649137081</v>
      </c>
      <c r="K567" s="6" t="n">
        <v>-0.7862499178142986</v>
      </c>
      <c r="L567" s="6" t="n">
        <v>2.607127029261205</v>
      </c>
      <c r="M567" s="6" t="n">
        <v>2.753734336838421</v>
      </c>
      <c r="N567" s="6" t="n">
        <v>-1.139583987664584</v>
      </c>
      <c r="O567" s="6" t="n">
        <v>-1.870152970959659</v>
      </c>
      <c r="P567" s="6" t="n">
        <v>1.510526285763069</v>
      </c>
      <c r="Q567" s="6" t="n">
        <v>-0.2694643394953512</v>
      </c>
      <c r="R567" s="6" t="n">
        <v>-1.445051616873668</v>
      </c>
      <c r="S567" s="6" t="n">
        <v>-0.1394245317240653</v>
      </c>
      <c r="T567" s="6" t="n">
        <v>0.3100257685139819</v>
      </c>
      <c r="U567" s="6" t="n">
        <v>0.7073308869415194</v>
      </c>
      <c r="V567" s="6" t="n">
        <v>-1.998898915285164</v>
      </c>
      <c r="W567" s="6" t="n">
        <v>-0.5363688043312015</v>
      </c>
      <c r="X567" s="6" t="n">
        <v>0.5803890560866266</v>
      </c>
      <c r="Y567" s="6" t="n">
        <v>-2.812009276842335</v>
      </c>
      <c r="Z567" s="6" t="n">
        <v>2.602909516591989</v>
      </c>
      <c r="AA567" s="6" t="n">
        <v>1.031067940298816</v>
      </c>
      <c r="AB567" s="6" t="n">
        <v>1.225277178522764</v>
      </c>
      <c r="AC567" s="6" t="n">
        <v>-3.168014271588458</v>
      </c>
      <c r="AD567" s="6" t="n">
        <v>1.961228037723125</v>
      </c>
      <c r="AE567" s="6" t="n">
        <v>1.841869381555259</v>
      </c>
      <c r="AF567" s="6" t="n">
        <v>0.781367830323747</v>
      </c>
      <c r="AG567" s="6" t="n">
        <v>-2.022185964400938</v>
      </c>
      <c r="AH567" s="6" t="n">
        <v>-1.216702866394017</v>
      </c>
      <c r="AI567" s="6" t="n">
        <v>-0.1685394870609414</v>
      </c>
      <c r="AJ567" s="6" t="n">
        <v>69.96316734957625</v>
      </c>
      <c r="AK567" s="6" t="n">
        <v>0.1124443348542641</v>
      </c>
      <c r="AL567" s="6" t="n">
        <v>1.100750802403729</v>
      </c>
      <c r="AN567" s="6" t="n">
        <v>1.331032183759447</v>
      </c>
      <c r="AO567" s="6" t="n">
        <v>1.331499690252272</v>
      </c>
      <c r="AP567" s="6" t="n">
        <v>0.1291885395135552</v>
      </c>
      <c r="AQ567" s="6" t="n">
        <v>0</v>
      </c>
      <c r="AR567" s="6" t="n">
        <v>0</v>
      </c>
    </row>
    <row r="568">
      <c r="D568" t="inlineStr">
        <is>
          <t>Run 256</t>
        </is>
      </c>
      <c r="J568" s="6" t="n">
        <v>4.055295393158243</v>
      </c>
      <c r="K568" s="6" t="n">
        <v>-0.8021076982597695</v>
      </c>
      <c r="L568" s="6" t="n">
        <v>-3.221987613302168</v>
      </c>
      <c r="M568" s="6" t="n">
        <v>-2.475277670421464</v>
      </c>
      <c r="N568" s="6" t="n">
        <v>0.238247088974966</v>
      </c>
      <c r="O568" s="6" t="n">
        <v>2.298515642593829</v>
      </c>
      <c r="P568" s="6" t="n">
        <v>-4.837103708568563</v>
      </c>
      <c r="Q568" s="6" t="n">
        <v>-2.520413149913838</v>
      </c>
      <c r="R568" s="6" t="n">
        <v>-0.6498110037157322</v>
      </c>
      <c r="S568" s="6" t="n">
        <v>2.923269169037648</v>
      </c>
      <c r="T568" s="6" t="n">
        <v>2.326257831177227</v>
      </c>
      <c r="U568" s="6" t="n">
        <v>-2.686036356989553</v>
      </c>
      <c r="V568" s="6" t="n">
        <v>1.161902083044497</v>
      </c>
      <c r="W568" s="6" t="n">
        <v>-1.087259180868585</v>
      </c>
      <c r="X568" s="6" t="n">
        <v>1.870511968937949</v>
      </c>
      <c r="Y568" s="6" t="n">
        <v>0.5347814697034721</v>
      </c>
      <c r="Z568" s="6" t="n">
        <v>-0.5478556112396961</v>
      </c>
      <c r="AA568" s="6" t="n">
        <v>1.338589925275927</v>
      </c>
      <c r="AB568" s="6" t="n">
        <v>1.082575864837083</v>
      </c>
      <c r="AC568" s="6" t="n">
        <v>-1.732897772114956</v>
      </c>
      <c r="AD568" s="6" t="n">
        <v>2.882149480179988</v>
      </c>
      <c r="AE568" s="6" t="n">
        <v>1.305933349695797</v>
      </c>
      <c r="AF568" s="6" t="n">
        <v>-1.907214279715667</v>
      </c>
      <c r="AG568" s="6" t="n">
        <v>-1.029199477482754</v>
      </c>
      <c r="AH568" s="6" t="n">
        <v>0.2865668343554695</v>
      </c>
      <c r="AI568" s="6" t="n">
        <v>0.7364364319301482</v>
      </c>
      <c r="AJ568" s="6" t="n">
        <v>64.55871606424598</v>
      </c>
      <c r="AK568" s="6" t="n">
        <v>0.07914869652048644</v>
      </c>
      <c r="AL568" s="6" t="n">
        <v>1.06512882572186</v>
      </c>
      <c r="AN568" s="6" t="n">
        <v>1.319241170308106</v>
      </c>
      <c r="AO568" s="6" t="n">
        <v>1.328470130964456</v>
      </c>
      <c r="AP568" s="6" t="n">
        <v>0.1310016448101287</v>
      </c>
      <c r="AQ568" s="6" t="n">
        <v>0</v>
      </c>
      <c r="AR568" s="6" t="n">
        <v>0</v>
      </c>
    </row>
    <row r="569">
      <c r="D569" t="inlineStr">
        <is>
          <t>Run 257</t>
        </is>
      </c>
      <c r="J569" s="6" t="n">
        <v>0.02688736365585429</v>
      </c>
      <c r="K569" s="6" t="n">
        <v>-1.385399230874433</v>
      </c>
      <c r="L569" s="6" t="n">
        <v>0.9311445241069437</v>
      </c>
      <c r="M569" s="6" t="n">
        <v>0.5318407301530091</v>
      </c>
      <c r="N569" s="6" t="n">
        <v>2.016198270346938</v>
      </c>
      <c r="O569" s="6" t="n">
        <v>-0.5765577097463174</v>
      </c>
      <c r="P569" s="6" t="n">
        <v>4.803192345850806</v>
      </c>
      <c r="Q569" s="6" t="n">
        <v>0.1194055830176365</v>
      </c>
      <c r="R569" s="6" t="n">
        <v>2.437450217732971</v>
      </c>
      <c r="S569" s="6" t="n">
        <v>0.6014157862220104</v>
      </c>
      <c r="T569" s="6" t="n">
        <v>1.215827794738055</v>
      </c>
      <c r="U569" s="6" t="n">
        <v>2.838981741405265</v>
      </c>
      <c r="V569" s="6" t="n">
        <v>2.6767403517253</v>
      </c>
      <c r="W569" s="6" t="n">
        <v>-0.3462827177312011</v>
      </c>
      <c r="X569" s="6" t="n">
        <v>-0.7024567673961551</v>
      </c>
      <c r="Y569" s="6" t="n">
        <v>-3.12118038321489</v>
      </c>
      <c r="Z569" s="6" t="n">
        <v>1.985963930531538</v>
      </c>
      <c r="AA569" s="6" t="n">
        <v>1.884074598856177</v>
      </c>
      <c r="AB569" s="6" t="n">
        <v>-0.8278690784549376</v>
      </c>
      <c r="AC569" s="6" t="n">
        <v>0.3921802132895422</v>
      </c>
      <c r="AD569" s="6" t="n">
        <v>-1.210495934446761</v>
      </c>
      <c r="AE569" s="6" t="n">
        <v>3.903620037001124</v>
      </c>
      <c r="AF569" s="6" t="n">
        <v>-3.077801634844814</v>
      </c>
      <c r="AG569" s="6" t="n">
        <v>3.463429095962758</v>
      </c>
      <c r="AH569" s="6" t="n">
        <v>1.000784124946097</v>
      </c>
      <c r="AI569" s="6" t="n">
        <v>1.080419735558061</v>
      </c>
      <c r="AJ569" s="6" t="n">
        <v>76.43129357856026</v>
      </c>
      <c r="AK569" s="6" t="n">
        <v>0.123491187825795</v>
      </c>
      <c r="AL569" s="6" t="n">
        <v>1.049506531210527</v>
      </c>
      <c r="AN569" s="6" t="n">
        <v>1.348783142664774</v>
      </c>
      <c r="AO569" s="6" t="n">
        <v>1.349269036777288</v>
      </c>
      <c r="AP569" s="6" t="n">
        <v>0.132620909642526</v>
      </c>
      <c r="AQ569" s="6" t="n">
        <v>0</v>
      </c>
      <c r="AR569" s="6" t="n">
        <v>0</v>
      </c>
    </row>
    <row r="570">
      <c r="D570" t="inlineStr">
        <is>
          <t>Run 258</t>
        </is>
      </c>
      <c r="J570" s="6" t="n">
        <v>-2.583576757131033</v>
      </c>
      <c r="K570" s="6" t="n">
        <v>-0.01148240101028969</v>
      </c>
      <c r="L570" s="6" t="n">
        <v>-0.3018362663236529</v>
      </c>
      <c r="M570" s="6" t="n">
        <v>2.07213873869925</v>
      </c>
      <c r="N570" s="6" t="n">
        <v>-3.655680591261115</v>
      </c>
      <c r="O570" s="6" t="n">
        <v>2.027648456138481</v>
      </c>
      <c r="P570" s="6" t="n">
        <v>-2.683577408524612</v>
      </c>
      <c r="Q570" s="6" t="n">
        <v>1.527638899792642</v>
      </c>
      <c r="R570" s="6" t="n">
        <v>-0.8799929331545672</v>
      </c>
      <c r="S570" s="6" t="n">
        <v>-1.108662925319828</v>
      </c>
      <c r="T570" s="6" t="n">
        <v>2.633042883616443</v>
      </c>
      <c r="U570" s="6" t="n">
        <v>0.7291888457921816</v>
      </c>
      <c r="V570" s="6" t="n">
        <v>-0.1112355078505499</v>
      </c>
      <c r="W570" s="6" t="n">
        <v>2.525872054433478</v>
      </c>
      <c r="X570" s="6" t="n">
        <v>0.2094585898032089</v>
      </c>
      <c r="Y570" s="6" t="n">
        <v>-0.6034121565302035</v>
      </c>
      <c r="Z570" s="6" t="n">
        <v>1.110532496058467</v>
      </c>
      <c r="AA570" s="6" t="n">
        <v>0.7968671759972873</v>
      </c>
      <c r="AB570" s="6" t="n">
        <v>-2.101457185257125</v>
      </c>
      <c r="AC570" s="6" t="n">
        <v>-2.634476242241359</v>
      </c>
      <c r="AD570" s="6" t="n">
        <v>-0.6494634829042234</v>
      </c>
      <c r="AE570" s="6" t="n">
        <v>1.205550043180365</v>
      </c>
      <c r="AF570" s="6" t="n">
        <v>0.217381391560189</v>
      </c>
      <c r="AG570" s="6" t="n">
        <v>0.4671366229748283</v>
      </c>
      <c r="AH570" s="6" t="n">
        <v>1.240406059331711</v>
      </c>
      <c r="AI570" s="6" t="n">
        <v>-0.7461285147786479</v>
      </c>
      <c r="AJ570" s="6" t="n">
        <v>75.85504313537194</v>
      </c>
      <c r="AK570" s="6" t="n">
        <v>0.1426395055979164</v>
      </c>
      <c r="AL570" s="6" t="n">
        <v>1.056057265289885</v>
      </c>
      <c r="AN570" s="6" t="n">
        <v>1.341916854329152</v>
      </c>
      <c r="AO570" s="6" t="n">
        <v>1.342926091194486</v>
      </c>
      <c r="AP570" s="6" t="n">
        <v>0.1317929669970461</v>
      </c>
      <c r="AQ570" s="6" t="n">
        <v>0</v>
      </c>
      <c r="AR570" s="6" t="n">
        <v>0</v>
      </c>
    </row>
    <row r="571">
      <c r="D571" t="inlineStr">
        <is>
          <t>Run 259</t>
        </is>
      </c>
      <c r="J571" s="6" t="n">
        <v>-0.3365499636671624</v>
      </c>
      <c r="K571" s="6" t="n">
        <v>1.573397738159865</v>
      </c>
      <c r="L571" s="6" t="n">
        <v>2.654359902800201</v>
      </c>
      <c r="M571" s="6" t="n">
        <v>3.314582350638912</v>
      </c>
      <c r="N571" s="6" t="n">
        <v>1.537258827958754</v>
      </c>
      <c r="O571" s="6" t="n">
        <v>0.07320058546276391</v>
      </c>
      <c r="P571" s="6" t="n">
        <v>0.2613404114575401</v>
      </c>
      <c r="Q571" s="6" t="n">
        <v>1.533821686806</v>
      </c>
      <c r="R571" s="6" t="n">
        <v>-4.595918176814936</v>
      </c>
      <c r="S571" s="6" t="n">
        <v>-3.316708331077226</v>
      </c>
      <c r="T571" s="6" t="n">
        <v>0.02747884469599145</v>
      </c>
      <c r="U571" s="6" t="n">
        <v>-0.7133207687525003</v>
      </c>
      <c r="V571" s="6" t="n">
        <v>0.2502556257811876</v>
      </c>
      <c r="W571" s="6" t="n">
        <v>-0.01907078579337902</v>
      </c>
      <c r="X571" s="6" t="n">
        <v>1.689793980560627</v>
      </c>
      <c r="Y571" s="6" t="n">
        <v>2.267068117133804</v>
      </c>
      <c r="Z571" s="6" t="n">
        <v>4.227303965157035</v>
      </c>
      <c r="AA571" s="6" t="n">
        <v>0.4332091936714355</v>
      </c>
      <c r="AB571" s="6" t="n">
        <v>2.233450393775599</v>
      </c>
      <c r="AC571" s="6" t="n">
        <v>3.793391060958675</v>
      </c>
      <c r="AD571" s="6" t="n">
        <v>-1.571349947208917</v>
      </c>
      <c r="AE571" s="6" t="n">
        <v>-1.117077912789151</v>
      </c>
      <c r="AF571" s="6" t="n">
        <v>-0.2073224420304364</v>
      </c>
      <c r="AG571" s="6" t="n">
        <v>0.4868922407101998</v>
      </c>
      <c r="AH571" s="6" t="n">
        <v>1.186387077188383</v>
      </c>
      <c r="AI571" s="6" t="n">
        <v>0.117811618636188</v>
      </c>
      <c r="AJ571" s="6" t="n">
        <v>74.56873856764528</v>
      </c>
      <c r="AK571" s="6" t="n">
        <v>0.1388127932031452</v>
      </c>
      <c r="AL571" s="6" t="n">
        <v>1.109298806842979</v>
      </c>
      <c r="AN571" s="6" t="n">
        <v>1.324671903792391</v>
      </c>
      <c r="AO571" s="6" t="n">
        <v>1.32540246354744</v>
      </c>
      <c r="AP571" s="6" t="n">
        <v>0.1283794252296849</v>
      </c>
      <c r="AQ571" s="6" t="n">
        <v>0</v>
      </c>
      <c r="AR571" s="6" t="n">
        <v>0</v>
      </c>
    </row>
    <row r="572">
      <c r="D572" t="inlineStr">
        <is>
          <t>Run 260</t>
        </is>
      </c>
      <c r="J572" s="6" t="n">
        <v>0.9579103960486386</v>
      </c>
      <c r="K572" s="6" t="n">
        <v>-2.510066585586358</v>
      </c>
      <c r="L572" s="6" t="n">
        <v>-0.8109699621837864</v>
      </c>
      <c r="M572" s="6" t="n">
        <v>2.426980947465591</v>
      </c>
      <c r="N572" s="6" t="n">
        <v>-0.7009812699556035</v>
      </c>
      <c r="O572" s="6" t="n">
        <v>0.8085875056844388</v>
      </c>
      <c r="P572" s="6" t="n">
        <v>-0.4394968149921429</v>
      </c>
      <c r="Q572" s="6" t="n">
        <v>-3.740570682232657</v>
      </c>
      <c r="R572" s="6" t="n">
        <v>0.07516995446101811</v>
      </c>
      <c r="S572" s="6" t="n">
        <v>-3.773754792760057</v>
      </c>
      <c r="T572" s="6" t="n">
        <v>-0.8658250143905135</v>
      </c>
      <c r="U572" s="6" t="n">
        <v>1.737935678539221</v>
      </c>
      <c r="V572" s="6" t="n">
        <v>2.717665107716773</v>
      </c>
      <c r="W572" s="6" t="n">
        <v>-1.076916632655263</v>
      </c>
      <c r="X572" s="6" t="n">
        <v>-0.1232224489109245</v>
      </c>
      <c r="Y572" s="6" t="n">
        <v>-2.898669603607817</v>
      </c>
      <c r="Z572" s="6" t="n">
        <v>0.7004740806350548</v>
      </c>
      <c r="AA572" s="6" t="n">
        <v>4.388080843869404</v>
      </c>
      <c r="AB572" s="6" t="n">
        <v>1.498728617129355</v>
      </c>
      <c r="AC572" s="6" t="n">
        <v>0.4183689437642077</v>
      </c>
      <c r="AD572" s="6" t="n">
        <v>-3.118928240830734</v>
      </c>
      <c r="AE572" s="6" t="n">
        <v>0.121294946510929</v>
      </c>
      <c r="AF572" s="6" t="n">
        <v>0.9340067839836095</v>
      </c>
      <c r="AG572" s="6" t="n">
        <v>0.5051243352319975</v>
      </c>
      <c r="AH572" s="6" t="n">
        <v>0.2616437955581987</v>
      </c>
      <c r="AI572" s="6" t="n">
        <v>-3.293701817584004</v>
      </c>
      <c r="AJ572" s="6" t="n">
        <v>73.02220897459206</v>
      </c>
      <c r="AK572" s="6" t="n">
        <v>0.09064714044527535</v>
      </c>
      <c r="AL572" s="6" t="n">
        <v>1.027277241771082</v>
      </c>
      <c r="AN572" s="6" t="n">
        <v>1.350903318430476</v>
      </c>
      <c r="AO572" s="6" t="n">
        <v>1.350903318430476</v>
      </c>
      <c r="AP572" s="6" t="n">
        <v>0.1350621805052815</v>
      </c>
      <c r="AQ572" s="6" t="n">
        <v>0</v>
      </c>
      <c r="AR572" s="6" t="n">
        <v>0</v>
      </c>
    </row>
    <row r="573">
      <c r="D573" t="inlineStr">
        <is>
          <t>Run 261</t>
        </is>
      </c>
      <c r="J573" s="6" t="n">
        <v>-1.578586464183638</v>
      </c>
      <c r="K573" s="6" t="n">
        <v>1.53573760449557</v>
      </c>
      <c r="L573" s="6" t="n">
        <v>-0.6643668578463382</v>
      </c>
      <c r="M573" s="6" t="n">
        <v>-0.1105384111113017</v>
      </c>
      <c r="N573" s="6" t="n">
        <v>0.6749982102293191</v>
      </c>
      <c r="O573" s="6" t="n">
        <v>0.9426700914951173</v>
      </c>
      <c r="P573" s="6" t="n">
        <v>0.1830975029702597</v>
      </c>
      <c r="Q573" s="6" t="n">
        <v>-3.919722693202293</v>
      </c>
      <c r="R573" s="6" t="n">
        <v>-1.49120961164133</v>
      </c>
      <c r="S573" s="6" t="n">
        <v>0.7180305305569981</v>
      </c>
      <c r="T573" s="6" t="n">
        <v>0.07802990922855389</v>
      </c>
      <c r="U573" s="6" t="n">
        <v>1.041449031008322</v>
      </c>
      <c r="V573" s="6" t="n">
        <v>1.30522923156026</v>
      </c>
      <c r="W573" s="6" t="n">
        <v>1.558952711614463</v>
      </c>
      <c r="X573" s="6" t="n">
        <v>1.916767898246551</v>
      </c>
      <c r="Y573" s="6" t="n">
        <v>1.868683042166656</v>
      </c>
      <c r="Z573" s="6" t="n">
        <v>-0.06192421682332889</v>
      </c>
      <c r="AA573" s="6" t="n">
        <v>1.791131125071558</v>
      </c>
      <c r="AB573" s="6" t="n">
        <v>-1.735176440743686</v>
      </c>
      <c r="AC573" s="6" t="n">
        <v>-1.056763722497405</v>
      </c>
      <c r="AD573" s="6" t="n">
        <v>-3.493370802460585</v>
      </c>
      <c r="AE573" s="6" t="n">
        <v>0.188732124736729</v>
      </c>
      <c r="AF573" s="6" t="n">
        <v>2.47569524172551</v>
      </c>
      <c r="AG573" s="6" t="n">
        <v>-3.234727389402935</v>
      </c>
      <c r="AH573" s="6" t="n">
        <v>-0.136042896304621</v>
      </c>
      <c r="AI573" s="6" t="n">
        <v>0.9618066322034224</v>
      </c>
      <c r="AJ573" s="6" t="n">
        <v>72.5720983754332</v>
      </c>
      <c r="AK573" s="6" t="n">
        <v>0.1360372223665287</v>
      </c>
      <c r="AL573" s="6" t="n">
        <v>1.036028476588099</v>
      </c>
      <c r="AN573" s="6" t="n">
        <v>1.348924994833718</v>
      </c>
      <c r="AO573" s="6" t="n">
        <v>1.349583660471195</v>
      </c>
      <c r="AP573" s="6" t="n">
        <v>0.1329709537112035</v>
      </c>
      <c r="AQ573" s="6" t="n">
        <v>0</v>
      </c>
      <c r="AR573" s="6" t="n">
        <v>0</v>
      </c>
    </row>
    <row r="574">
      <c r="D574" t="inlineStr">
        <is>
          <t>Run 262</t>
        </is>
      </c>
      <c r="J574" s="6" t="n">
        <v>-2.418564184401414</v>
      </c>
      <c r="K574" s="6" t="n">
        <v>-3.445709227967162</v>
      </c>
      <c r="L574" s="6" t="n">
        <v>-2.851653912380275</v>
      </c>
      <c r="M574" s="6" t="n">
        <v>0.8107494371401771</v>
      </c>
      <c r="N574" s="6" t="n">
        <v>3.44014962526999</v>
      </c>
      <c r="O574" s="6" t="n">
        <v>0.6829716120067687</v>
      </c>
      <c r="P574" s="6" t="n">
        <v>1.322818624805826</v>
      </c>
      <c r="Q574" s="6" t="n">
        <v>-1.029226758165437</v>
      </c>
      <c r="R574" s="6" t="n">
        <v>1.093079240732883</v>
      </c>
      <c r="S574" s="6" t="n">
        <v>2.126037606941552</v>
      </c>
      <c r="T574" s="6" t="n">
        <v>-1.47637592946647</v>
      </c>
      <c r="U574" s="6" t="n">
        <v>-2.110346306154656</v>
      </c>
      <c r="V574" s="6" t="n">
        <v>2.966348702690719</v>
      </c>
      <c r="W574" s="6" t="n">
        <v>0.9012800150709878</v>
      </c>
      <c r="X574" s="6" t="n">
        <v>1.323285376900754</v>
      </c>
      <c r="Y574" s="6" t="n">
        <v>-0.02601382861127575</v>
      </c>
      <c r="Z574" s="6" t="n">
        <v>4.791831492576625</v>
      </c>
      <c r="AA574" s="6" t="n">
        <v>0.3347106331557412</v>
      </c>
      <c r="AB574" s="6" t="n">
        <v>0.5216302735292637</v>
      </c>
      <c r="AC574" s="6" t="n">
        <v>2.03209575738927</v>
      </c>
      <c r="AD574" s="6" t="n">
        <v>-5.906623357559175</v>
      </c>
      <c r="AE574" s="6" t="n">
        <v>-0.3171498565306484</v>
      </c>
      <c r="AF574" s="6" t="n">
        <v>-4.313439246291582</v>
      </c>
      <c r="AG574" s="6" t="n">
        <v>0.7296389888013315</v>
      </c>
      <c r="AH574" s="6" t="n">
        <v>-0.9924338820553918</v>
      </c>
      <c r="AI574" s="6" t="n">
        <v>1.731642832505353</v>
      </c>
      <c r="AJ574" s="6" t="n">
        <v>69.1791064560029</v>
      </c>
      <c r="AK574" s="6" t="n">
        <v>0.1506426467310016</v>
      </c>
      <c r="AL574" s="6" t="n">
        <v>1.067743383663043</v>
      </c>
      <c r="AN574" s="6" t="n">
        <v>1.334473779538498</v>
      </c>
      <c r="AO574" s="6" t="n">
        <v>1.335260017159254</v>
      </c>
      <c r="AP574" s="6" t="n">
        <v>0.1301573386250532</v>
      </c>
      <c r="AQ574" s="6" t="n">
        <v>0</v>
      </c>
      <c r="AR574" s="6" t="n">
        <v>0</v>
      </c>
    </row>
    <row r="575">
      <c r="D575" t="inlineStr">
        <is>
          <t>Run 263</t>
        </is>
      </c>
      <c r="J575" s="6" t="n">
        <v>0.8658230486743124</v>
      </c>
      <c r="K575" s="6" t="n">
        <v>2.393609651712005</v>
      </c>
      <c r="L575" s="6" t="n">
        <v>2.514824937706857</v>
      </c>
      <c r="M575" s="6" t="n">
        <v>-0.1153413355345398</v>
      </c>
      <c r="N575" s="6" t="n">
        <v>1.533440594170939</v>
      </c>
      <c r="O575" s="6" t="n">
        <v>-1.287377361965841</v>
      </c>
      <c r="P575" s="6" t="n">
        <v>0.4566505032792164</v>
      </c>
      <c r="Q575" s="6" t="n">
        <v>1.852291351302837</v>
      </c>
      <c r="R575" s="6" t="n">
        <v>3.387759170826815</v>
      </c>
      <c r="S575" s="6" t="n">
        <v>3.142827485888849</v>
      </c>
      <c r="T575" s="6" t="n">
        <v>-1.787894018652518</v>
      </c>
      <c r="U575" s="6" t="n">
        <v>-2.35370164317669</v>
      </c>
      <c r="V575" s="6" t="n">
        <v>2.702979163071332</v>
      </c>
      <c r="W575" s="6" t="n">
        <v>-0.4047777346232088</v>
      </c>
      <c r="X575" s="6" t="n">
        <v>1.297639701936119</v>
      </c>
      <c r="Y575" s="6" t="n">
        <v>1.489166733940029</v>
      </c>
      <c r="Z575" s="6" t="n">
        <v>0.8180811725972976</v>
      </c>
      <c r="AA575" s="6" t="n">
        <v>0.3886315948934299</v>
      </c>
      <c r="AB575" s="6" t="n">
        <v>-0.247925750643832</v>
      </c>
      <c r="AC575" s="6" t="n">
        <v>-2.599829523831559</v>
      </c>
      <c r="AD575" s="6" t="n">
        <v>-4.206037253559183</v>
      </c>
      <c r="AE575" s="6" t="n">
        <v>-0.1043660030145756</v>
      </c>
      <c r="AF575" s="6" t="n">
        <v>-0.2923553152859624</v>
      </c>
      <c r="AG575" s="6" t="n">
        <v>-0.6655975222481895</v>
      </c>
      <c r="AH575" s="6" t="n">
        <v>0.3450529498434307</v>
      </c>
      <c r="AI575" s="6" t="n">
        <v>-1.180080613459735</v>
      </c>
      <c r="AJ575" s="6" t="n">
        <v>66.10834834327301</v>
      </c>
      <c r="AK575" s="6" t="n">
        <v>0.1183155732225595</v>
      </c>
      <c r="AL575" s="6" t="n">
        <v>1.037172178572464</v>
      </c>
      <c r="AN575" s="6" t="n">
        <v>1.345098700275009</v>
      </c>
      <c r="AO575" s="6" t="n">
        <v>1.345267969467381</v>
      </c>
      <c r="AP575" s="6" t="n">
        <v>0.1331135696380474</v>
      </c>
      <c r="AQ575" s="6" t="n">
        <v>0</v>
      </c>
      <c r="AR575" s="6" t="n">
        <v>0</v>
      </c>
    </row>
    <row r="576">
      <c r="D576" t="inlineStr">
        <is>
          <t>Run 264</t>
        </is>
      </c>
      <c r="J576" s="6" t="n">
        <v>3.544869559632479</v>
      </c>
      <c r="K576" s="6" t="n">
        <v>-1.859837773153156</v>
      </c>
      <c r="L576" s="6" t="n">
        <v>-0.1502396783535997</v>
      </c>
      <c r="M576" s="6" t="n">
        <v>2.754162731404153</v>
      </c>
      <c r="N576" s="6" t="n">
        <v>-2.814260707148326</v>
      </c>
      <c r="O576" s="6" t="n">
        <v>3.546047992725172</v>
      </c>
      <c r="P576" s="6" t="n">
        <v>-2.159594584513383</v>
      </c>
      <c r="Q576" s="6" t="n">
        <v>-4.380293991841228</v>
      </c>
      <c r="R576" s="6" t="n">
        <v>0.003570821285895395</v>
      </c>
      <c r="S576" s="6" t="n">
        <v>-1.572796812758298</v>
      </c>
      <c r="T576" s="6" t="n">
        <v>-0.5405228633256712</v>
      </c>
      <c r="U576" s="6" t="n">
        <v>-1.941420405873487</v>
      </c>
      <c r="V576" s="6" t="n">
        <v>0.1637025272397838</v>
      </c>
      <c r="W576" s="6" t="n">
        <v>-0.6455410497235544</v>
      </c>
      <c r="X576" s="6" t="n">
        <v>-2.416327389346717</v>
      </c>
      <c r="Y576" s="6" t="n">
        <v>-0.04360167098311423</v>
      </c>
      <c r="Z576" s="6" t="n">
        <v>0.5195374182284738</v>
      </c>
      <c r="AA576" s="6" t="n">
        <v>0.8047728183214092</v>
      </c>
      <c r="AB576" s="6" t="n">
        <v>-2.267865903583675</v>
      </c>
      <c r="AC576" s="6" t="n">
        <v>-1.1579188436728</v>
      </c>
      <c r="AD576" s="6" t="n">
        <v>1.628002675076088</v>
      </c>
      <c r="AE576" s="6" t="n">
        <v>0.5054231802027264</v>
      </c>
      <c r="AF576" s="6" t="n">
        <v>2.253953308288104</v>
      </c>
      <c r="AG576" s="6" t="n">
        <v>-1.065560630614492</v>
      </c>
      <c r="AH576" s="6" t="n">
        <v>-1.667885639496067</v>
      </c>
      <c r="AI576" s="6" t="n">
        <v>1.938501634564476</v>
      </c>
      <c r="AJ576" s="6" t="n">
        <v>76.59923733315513</v>
      </c>
      <c r="AK576" s="6" t="n">
        <v>0.0409136873095659</v>
      </c>
      <c r="AL576" s="6" t="n">
        <v>1.025942650653153</v>
      </c>
      <c r="AN576" s="6" t="n">
        <v>1.355976382317853</v>
      </c>
      <c r="AO576" s="6" t="n">
        <v>1.356505064723447</v>
      </c>
      <c r="AP576" s="6" t="n">
        <v>0.1367642445006526</v>
      </c>
      <c r="AQ576" s="6" t="n">
        <v>0</v>
      </c>
      <c r="AR576" s="6" t="n">
        <v>0</v>
      </c>
    </row>
    <row r="577">
      <c r="D577" t="inlineStr">
        <is>
          <t>Run 265</t>
        </is>
      </c>
      <c r="J577" s="6" t="n">
        <v>2.781703045657355</v>
      </c>
      <c r="K577" s="6" t="n">
        <v>1.344268467450171</v>
      </c>
      <c r="L577" s="6" t="n">
        <v>-2.060735788985895</v>
      </c>
      <c r="M577" s="6" t="n">
        <v>0.4815599984304899</v>
      </c>
      <c r="N577" s="6" t="n">
        <v>1.764488000628546</v>
      </c>
      <c r="O577" s="6" t="n">
        <v>1.841475120482897</v>
      </c>
      <c r="P577" s="6" t="n">
        <v>-1.228398681574904</v>
      </c>
      <c r="Q577" s="6" t="n">
        <v>1.454622169279418</v>
      </c>
      <c r="R577" s="6" t="n">
        <v>0.1725941299039576</v>
      </c>
      <c r="S577" s="6" t="n">
        <v>0.6323310894187276</v>
      </c>
      <c r="T577" s="6" t="n">
        <v>0.9808215281476321</v>
      </c>
      <c r="U577" s="6" t="n">
        <v>-0.4930843562250157</v>
      </c>
      <c r="V577" s="6" t="n">
        <v>0.58093052963976</v>
      </c>
      <c r="W577" s="6" t="n">
        <v>1.613780498119479</v>
      </c>
      <c r="X577" s="6" t="n">
        <v>-1.322838704709787</v>
      </c>
      <c r="Y577" s="6" t="n">
        <v>-2.671715486186472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3.824970517553952</v>
      </c>
      <c r="AD577" s="6" t="n">
        <v>2.072209146444002</v>
      </c>
      <c r="AE577" s="6" t="n">
        <v>1.501710223465731</v>
      </c>
      <c r="AF577" s="6" t="n">
        <v>-0.4742394987959263</v>
      </c>
      <c r="AG577" s="6" t="n">
        <v>1.191454162420056</v>
      </c>
      <c r="AH577" s="6" t="n">
        <v>-3.346403249649425</v>
      </c>
      <c r="AI577" s="6" t="n">
        <v>-1.032874948355215</v>
      </c>
      <c r="AJ577" s="6" t="n">
        <v>81.65319850021022</v>
      </c>
      <c r="AK577" s="6" t="n">
        <v>0.08625488318696714</v>
      </c>
      <c r="AL577" s="6" t="n">
        <v>1.073457225610364</v>
      </c>
      <c r="AN577" s="6" t="n">
        <v>1.344834179948365</v>
      </c>
      <c r="AO577" s="6" t="n">
        <v>1.345396147475819</v>
      </c>
      <c r="AP577" s="6" t="n">
        <v>0.1321026069862135</v>
      </c>
      <c r="AQ577" s="6" t="n">
        <v>0</v>
      </c>
      <c r="AR577" s="6" t="n">
        <v>0</v>
      </c>
    </row>
    <row r="578">
      <c r="D578" t="inlineStr">
        <is>
          <t>Run 266</t>
        </is>
      </c>
      <c r="J578" s="6" t="n">
        <v>-2.753098908009714</v>
      </c>
      <c r="K578" s="6" t="n">
        <v>-0.4898918614765676</v>
      </c>
      <c r="L578" s="6" t="n">
        <v>-1.159542070485108</v>
      </c>
      <c r="M578" s="6" t="n">
        <v>0.4062674799120941</v>
      </c>
      <c r="N578" s="6" t="n">
        <v>-1.408427539051886</v>
      </c>
      <c r="O578" s="6" t="n">
        <v>-1.664337293988694</v>
      </c>
      <c r="P578" s="6" t="n">
        <v>-1.034030862343579</v>
      </c>
      <c r="Q578" s="6" t="n">
        <v>-1.17192558533432</v>
      </c>
      <c r="R578" s="6" t="n">
        <v>2.79918787264935</v>
      </c>
      <c r="S578" s="6" t="n">
        <v>-5.363948855819305</v>
      </c>
      <c r="T578" s="6" t="n">
        <v>-0.2324555560415372</v>
      </c>
      <c r="U578" s="6" t="n">
        <v>-1.173522323048502</v>
      </c>
      <c r="V578" s="6" t="n">
        <v>-1.692320956292001</v>
      </c>
      <c r="W578" s="6" t="n">
        <v>-0.1658988634229835</v>
      </c>
      <c r="X578" s="6" t="n">
        <v>-2.083893679380608</v>
      </c>
      <c r="Y578" s="6" t="n">
        <v>2.811411476836867</v>
      </c>
      <c r="Z578" s="6" t="n">
        <v>0.5398160753164639</v>
      </c>
      <c r="AA578" s="6" t="n">
        <v>0.1077356671457895</v>
      </c>
      <c r="AB578" s="6" t="n">
        <v>-1.063450285707576</v>
      </c>
      <c r="AC578" s="6" t="n">
        <v>2.227174438973779</v>
      </c>
      <c r="AD578" s="6" t="n">
        <v>1.056687457130337</v>
      </c>
      <c r="AE578" s="6" t="n">
        <v>1.980163926028982</v>
      </c>
      <c r="AF578" s="6" t="n">
        <v>1.113410315736743</v>
      </c>
      <c r="AG578" s="6" t="n">
        <v>2.535575255397199</v>
      </c>
      <c r="AH578" s="6" t="n">
        <v>3.521191620086491</v>
      </c>
      <c r="AI578" s="6" t="n">
        <v>-2.874204122520691</v>
      </c>
      <c r="AJ578" s="6" t="n">
        <v>79.02440649832471</v>
      </c>
      <c r="AK578" s="6" t="n">
        <v>0.2204434416006844</v>
      </c>
      <c r="AL578" s="6" t="n">
        <v>1.10305194766129</v>
      </c>
      <c r="AN578" s="6" t="n">
        <v>1.319081970708089</v>
      </c>
      <c r="AO578" s="6" t="n">
        <v>1.320498924115979</v>
      </c>
      <c r="AP578" s="6" t="n">
        <v>0.1266996052664332</v>
      </c>
      <c r="AQ578" s="6" t="n">
        <v>0</v>
      </c>
      <c r="AR578" s="6" t="n">
        <v>0</v>
      </c>
    </row>
    <row r="579">
      <c r="D579" t="inlineStr">
        <is>
          <t>Run 267</t>
        </is>
      </c>
      <c r="J579" s="6" t="n">
        <v>1.096913287842675</v>
      </c>
      <c r="K579" s="6" t="n">
        <v>1.444372114366177</v>
      </c>
      <c r="L579" s="6" t="n">
        <v>2.235502155823414</v>
      </c>
      <c r="M579" s="6" t="n">
        <v>1.222016683146933</v>
      </c>
      <c r="N579" s="6" t="n">
        <v>-0.8900955349719516</v>
      </c>
      <c r="O579" s="6" t="n">
        <v>0.01147772606976146</v>
      </c>
      <c r="P579" s="6" t="n">
        <v>-0.4452259771684554</v>
      </c>
      <c r="Q579" s="6" t="n">
        <v>-2.053515033899674</v>
      </c>
      <c r="R579" s="6" t="n">
        <v>-1.229341422562672</v>
      </c>
      <c r="S579" s="6" t="n">
        <v>-1.295862221187451</v>
      </c>
      <c r="T579" s="6" t="n">
        <v>-0.2546733957153168</v>
      </c>
      <c r="U579" s="6" t="n">
        <v>1.192259404582834</v>
      </c>
      <c r="V579" s="6" t="n">
        <v>2.95432742346299</v>
      </c>
      <c r="W579" s="6" t="n">
        <v>4.440418912166447</v>
      </c>
      <c r="X579" s="6" t="n">
        <v>0.3421141866854279</v>
      </c>
      <c r="Y579" s="6" t="n">
        <v>0.8479519671351358</v>
      </c>
      <c r="Z579" s="6" t="n">
        <v>2.502414993447365</v>
      </c>
      <c r="AA579" s="6" t="n">
        <v>-2.79151765354089</v>
      </c>
      <c r="AB579" s="6" t="n">
        <v>5</v>
      </c>
      <c r="AC579" s="6" t="n">
        <v>0.9742750913235831</v>
      </c>
      <c r="AD579" s="6" t="n">
        <v>-0.636752299450723</v>
      </c>
      <c r="AE579" s="6" t="n">
        <v>0.8462275679824837</v>
      </c>
      <c r="AF579" s="6" t="n">
        <v>2.811668546700474</v>
      </c>
      <c r="AG579" s="6" t="n">
        <v>0.9447008131651289</v>
      </c>
      <c r="AH579" s="6" t="n">
        <v>-1.185725528520206</v>
      </c>
      <c r="AI579" s="6" t="n">
        <v>-3.141191299341112</v>
      </c>
      <c r="AJ579" s="6" t="n">
        <v>65.72503615868453</v>
      </c>
      <c r="AK579" s="6" t="n">
        <v>0.1057688695434078</v>
      </c>
      <c r="AL579" s="6" t="n">
        <v>1.048711589618761</v>
      </c>
      <c r="AN579" s="6" t="n">
        <v>1.343434606172063</v>
      </c>
      <c r="AO579" s="6" t="n">
        <v>1.343507470161108</v>
      </c>
      <c r="AP579" s="6" t="n">
        <v>0.1321342165479555</v>
      </c>
      <c r="AQ579" s="6" t="n">
        <v>0</v>
      </c>
      <c r="AR579" s="6" t="n">
        <v>0</v>
      </c>
    </row>
    <row r="580">
      <c r="D580" t="inlineStr">
        <is>
          <t>Run 268</t>
        </is>
      </c>
      <c r="J580" s="6" t="n">
        <v>-1.533442806943251</v>
      </c>
      <c r="K580" s="6" t="n">
        <v>1.208029979906732</v>
      </c>
      <c r="L580" s="6" t="n">
        <v>-1.442498633417876</v>
      </c>
      <c r="M580" s="6" t="n">
        <v>-0.0008170995527290272</v>
      </c>
      <c r="N580" s="6" t="n">
        <v>0.8502002225544285</v>
      </c>
      <c r="O580" s="6" t="n">
        <v>2.942106995730501</v>
      </c>
      <c r="P580" s="6" t="n">
        <v>-1.547069426879626</v>
      </c>
      <c r="Q580" s="6" t="n">
        <v>-2.493177753192703</v>
      </c>
      <c r="R580" s="6" t="n">
        <v>2.28374869675365</v>
      </c>
      <c r="S580" s="6" t="n">
        <v>-2.814086344569007</v>
      </c>
      <c r="T580" s="6" t="n">
        <v>2.029430741695083</v>
      </c>
      <c r="U580" s="6" t="n">
        <v>-2.424624331311616</v>
      </c>
      <c r="V580" s="6" t="n">
        <v>-2.367475671145187</v>
      </c>
      <c r="W580" s="6" t="n">
        <v>2.309787335520799</v>
      </c>
      <c r="X580" s="6" t="n">
        <v>0.2253555132643146</v>
      </c>
      <c r="Y580" s="6" t="n">
        <v>-0.4259038426162929</v>
      </c>
      <c r="Z580" s="6" t="n">
        <v>-2.80697821159064</v>
      </c>
      <c r="AA580" s="6" t="n">
        <v>-2.145351613098972</v>
      </c>
      <c r="AB580" s="6" t="n">
        <v>1.622123763250757</v>
      </c>
      <c r="AC580" s="6" t="n">
        <v>-0.3753188108374122</v>
      </c>
      <c r="AD580" s="6" t="n">
        <v>0.05261226291256094</v>
      </c>
      <c r="AE580" s="6" t="n">
        <v>-1.87719346773903</v>
      </c>
      <c r="AF580" s="6" t="n">
        <v>1.284993377087533</v>
      </c>
      <c r="AG580" s="6" t="n">
        <v>-1.871159020916678</v>
      </c>
      <c r="AH580" s="6" t="n">
        <v>3.198474683723323</v>
      </c>
      <c r="AI580" s="6" t="n">
        <v>2.272124043496243</v>
      </c>
      <c r="AJ580" s="6" t="n">
        <v>77.13399050486076</v>
      </c>
      <c r="AK580" s="6" t="n">
        <v>0.06086820851999606</v>
      </c>
      <c r="AL580" s="6" t="n">
        <v>1.090870650773144</v>
      </c>
      <c r="AN580" s="6" t="n">
        <v>1.339924079558493</v>
      </c>
      <c r="AO580" s="6" t="n">
        <v>1.340007321314473</v>
      </c>
      <c r="AP580" s="6" t="n">
        <v>0.1311633523580838</v>
      </c>
      <c r="AQ580" s="6" t="n">
        <v>0</v>
      </c>
      <c r="AR580" s="6" t="n">
        <v>0</v>
      </c>
    </row>
    <row r="581">
      <c r="D581" t="inlineStr">
        <is>
          <t>Run 269</t>
        </is>
      </c>
      <c r="J581" s="6" t="n">
        <v>-4.477408994656852</v>
      </c>
      <c r="K581" s="6" t="n">
        <v>-0.04717486919459765</v>
      </c>
      <c r="L581" s="6" t="n">
        <v>-3.835644350554433</v>
      </c>
      <c r="M581" s="6" t="n">
        <v>0.8420488102614041</v>
      </c>
      <c r="N581" s="6" t="n">
        <v>-1.527834151597779</v>
      </c>
      <c r="O581" s="6" t="n">
        <v>-0.7652755287603611</v>
      </c>
      <c r="P581" s="6" t="n">
        <v>-0.8815507791863738</v>
      </c>
      <c r="Q581" s="6" t="n">
        <v>-2.513415819223812</v>
      </c>
      <c r="R581" s="6" t="n">
        <v>-1.017254130939165</v>
      </c>
      <c r="S581" s="6" t="n">
        <v>2.776774937484471</v>
      </c>
      <c r="T581" s="6" t="n">
        <v>-1.357663836874961</v>
      </c>
      <c r="U581" s="6" t="n">
        <v>2.380271002448259</v>
      </c>
      <c r="V581" s="6" t="n">
        <v>1.499802849583455</v>
      </c>
      <c r="W581" s="6" t="n">
        <v>1.770911326823219</v>
      </c>
      <c r="X581" s="6" t="n">
        <v>1.305320867349021</v>
      </c>
      <c r="Y581" s="6" t="n">
        <v>2.06332223667705</v>
      </c>
      <c r="Z581" s="6" t="n">
        <v>-1.218007684795425</v>
      </c>
      <c r="AA581" s="6" t="n">
        <v>0.8679795660310614</v>
      </c>
      <c r="AB581" s="6" t="n">
        <v>2.373046437916388</v>
      </c>
      <c r="AC581" s="6" t="n">
        <v>1.103482915326778</v>
      </c>
      <c r="AD581" s="6" t="n">
        <v>0.6074784114816744</v>
      </c>
      <c r="AE581" s="6" t="n">
        <v>3.116618233088795</v>
      </c>
      <c r="AF581" s="6" t="n">
        <v>-0.283418201371822</v>
      </c>
      <c r="AG581" s="6" t="n">
        <v>2.059940353720007</v>
      </c>
      <c r="AH581" s="6" t="n">
        <v>-2.865229804766444</v>
      </c>
      <c r="AI581" s="6" t="n">
        <v>-2.60494712232621</v>
      </c>
      <c r="AJ581" s="6" t="n">
        <v>73.91369197483473</v>
      </c>
      <c r="AK581" s="6" t="n">
        <v>0.08510918388331784</v>
      </c>
      <c r="AL581" s="6" t="n">
        <v>1.058985887724818</v>
      </c>
      <c r="AN581" s="6" t="n">
        <v>1.341788436847828</v>
      </c>
      <c r="AO581" s="6" t="n">
        <v>1.341788436847828</v>
      </c>
      <c r="AP581" s="6" t="n">
        <v>0.1324869972255419</v>
      </c>
      <c r="AQ581" s="6" t="n">
        <v>0</v>
      </c>
      <c r="AR581" s="6" t="n">
        <v>0</v>
      </c>
    </row>
    <row r="582">
      <c r="D582" t="inlineStr">
        <is>
          <t>Run 270</t>
        </is>
      </c>
      <c r="J582" s="6" t="n">
        <v>2.45023862308565</v>
      </c>
      <c r="K582" s="6" t="n">
        <v>-0.06327935798677825</v>
      </c>
      <c r="L582" s="6" t="n">
        <v>-0.1419603191661101</v>
      </c>
      <c r="M582" s="6" t="n">
        <v>1.13551543189293</v>
      </c>
      <c r="N582" s="6" t="n">
        <v>0.2193043827362476</v>
      </c>
      <c r="O582" s="6" t="n">
        <v>-1.600885701269376</v>
      </c>
      <c r="P582" s="6" t="n">
        <v>0.3658018929592571</v>
      </c>
      <c r="Q582" s="6" t="n">
        <v>-1.399045264752643</v>
      </c>
      <c r="R582" s="6" t="n">
        <v>-0.06704281597683608</v>
      </c>
      <c r="S582" s="6" t="n">
        <v>-2.917160031337488</v>
      </c>
      <c r="T582" s="6" t="n">
        <v>0.1836020356139557</v>
      </c>
      <c r="U582" s="6" t="n">
        <v>2.571966282585432</v>
      </c>
      <c r="V582" s="6" t="n">
        <v>2.734146000722848</v>
      </c>
      <c r="W582" s="6" t="n">
        <v>1.590289721862437</v>
      </c>
      <c r="X582" s="6" t="n">
        <v>4.590053922069636</v>
      </c>
      <c r="Y582" s="6" t="n">
        <v>3.395476324698713</v>
      </c>
      <c r="Z582" s="6" t="n">
        <v>0.001004036851637738</v>
      </c>
      <c r="AA582" s="6" t="n">
        <v>-2.767098522533344</v>
      </c>
      <c r="AB582" s="6" t="n">
        <v>1.899001575082845</v>
      </c>
      <c r="AC582" s="6" t="n">
        <v>1.010098016621081</v>
      </c>
      <c r="AD582" s="6" t="n">
        <v>1.054724649585635</v>
      </c>
      <c r="AE582" s="6" t="n">
        <v>0.3933640791920458</v>
      </c>
      <c r="AF582" s="6" t="n">
        <v>-2.498578778056364</v>
      </c>
      <c r="AG582" s="6" t="n">
        <v>0.9163281207855456</v>
      </c>
      <c r="AH582" s="6" t="n">
        <v>-2.493023610467543</v>
      </c>
      <c r="AI582" s="6" t="n">
        <v>0.3647756379650002</v>
      </c>
      <c r="AJ582" s="6" t="n">
        <v>80.64385206452414</v>
      </c>
      <c r="AK582" s="6" t="n">
        <v>0.07987700122041011</v>
      </c>
      <c r="AL582" s="6" t="n">
        <v>1.051541845584939</v>
      </c>
      <c r="AN582" s="6" t="n">
        <v>1.351735132332061</v>
      </c>
      <c r="AO582" s="6" t="n">
        <v>1.352408323665666</v>
      </c>
      <c r="AP582" s="6" t="n">
        <v>0.1339240125598677</v>
      </c>
      <c r="AQ582" s="6" t="n">
        <v>0</v>
      </c>
      <c r="AR582" s="6" t="n">
        <v>0</v>
      </c>
    </row>
    <row r="583">
      <c r="D583" t="inlineStr">
        <is>
          <t>Run 271</t>
        </is>
      </c>
      <c r="J583" s="6" t="n">
        <v>3.305777714457641</v>
      </c>
      <c r="K583" s="6" t="n">
        <v>-2.264004295935995</v>
      </c>
      <c r="L583" s="6" t="n">
        <v>0.3651720364150108</v>
      </c>
      <c r="M583" s="6" t="n">
        <v>-0.5858833751802482</v>
      </c>
      <c r="N583" s="6" t="n">
        <v>2.906723791159462</v>
      </c>
      <c r="O583" s="6" t="n">
        <v>-0.684919106447806</v>
      </c>
      <c r="P583" s="6" t="n">
        <v>-0.4270340973842766</v>
      </c>
      <c r="Q583" s="6" t="n">
        <v>-1.46797021580072</v>
      </c>
      <c r="R583" s="6" t="n">
        <v>3.171591316324306</v>
      </c>
      <c r="S583" s="6" t="n">
        <v>1.78730436905539</v>
      </c>
      <c r="T583" s="6" t="n">
        <v>-4.320676793844096</v>
      </c>
      <c r="U583" s="6" t="n">
        <v>-1.358934406090311</v>
      </c>
      <c r="V583" s="6" t="n">
        <v>-0.9334044306021988</v>
      </c>
      <c r="W583" s="6" t="n">
        <v>4.45081750892783</v>
      </c>
      <c r="X583" s="6" t="n">
        <v>-0.607668488521905</v>
      </c>
      <c r="Y583" s="6" t="n">
        <v>2.014268620071899</v>
      </c>
      <c r="Z583" s="6" t="n">
        <v>-1.64086625480215</v>
      </c>
      <c r="AA583" s="6" t="n">
        <v>0.9101146801796509</v>
      </c>
      <c r="AB583" s="6" t="n">
        <v>-1.491366995265574</v>
      </c>
      <c r="AC583" s="6" t="n">
        <v>-0.8928420804180665</v>
      </c>
      <c r="AD583" s="6" t="n">
        <v>1.14416017081532</v>
      </c>
      <c r="AE583" s="6" t="n">
        <v>-1.976329252886536</v>
      </c>
      <c r="AF583" s="6" t="n">
        <v>2.651546670012598</v>
      </c>
      <c r="AG583" s="6" t="n">
        <v>0.6681997872299061</v>
      </c>
      <c r="AH583" s="6" t="n">
        <v>0.5601193090946547</v>
      </c>
      <c r="AI583" s="6" t="n">
        <v>2.210037977820492</v>
      </c>
      <c r="AJ583" s="6" t="n">
        <v>66.92547151638026</v>
      </c>
      <c r="AK583" s="6" t="n">
        <v>0.126486904747644</v>
      </c>
      <c r="AL583" s="6" t="n">
        <v>1.072369820052602</v>
      </c>
      <c r="AN583" s="6" t="n">
        <v>1.335675653795816</v>
      </c>
      <c r="AO583" s="6" t="n">
        <v>1.336607042015249</v>
      </c>
      <c r="AP583" s="6" t="n">
        <v>0.1303195468006751</v>
      </c>
      <c r="AQ583" s="6" t="n">
        <v>0</v>
      </c>
      <c r="AR583" s="6" t="n">
        <v>0</v>
      </c>
    </row>
    <row r="584">
      <c r="D584" t="inlineStr">
        <is>
          <t>Run 272</t>
        </is>
      </c>
      <c r="J584" s="6" t="n">
        <v>-2.517746189183832</v>
      </c>
      <c r="K584" s="6" t="n">
        <v>-0.2398730492768316</v>
      </c>
      <c r="L584" s="6" t="n">
        <v>0.4751700286411406</v>
      </c>
      <c r="M584" s="6" t="n">
        <v>1.5523590647605</v>
      </c>
      <c r="N584" s="6" t="n">
        <v>-1.951361570759169</v>
      </c>
      <c r="O584" s="6" t="n">
        <v>1.108048373361529</v>
      </c>
      <c r="P584" s="6" t="n">
        <v>-0.2594296311294174</v>
      </c>
      <c r="Q584" s="6" t="n">
        <v>1.728508019380203</v>
      </c>
      <c r="R584" s="6" t="n">
        <v>-1.315943978135893</v>
      </c>
      <c r="S584" s="6" t="n">
        <v>-3.90515538545304</v>
      </c>
      <c r="T584" s="6" t="n">
        <v>-0.3059680754152209</v>
      </c>
      <c r="U584" s="6" t="n">
        <v>-2.015569815402828</v>
      </c>
      <c r="V584" s="6" t="n">
        <v>1.409583386800395</v>
      </c>
      <c r="W584" s="6" t="n">
        <v>1.390019003496669</v>
      </c>
      <c r="X584" s="6" t="n">
        <v>-0.7382219082614333</v>
      </c>
      <c r="Y584" s="6" t="n">
        <v>2.0060509224894</v>
      </c>
      <c r="Z584" s="6" t="n">
        <v>-2.074271443821225</v>
      </c>
      <c r="AA584" s="6" t="n">
        <v>-3.109800151903146</v>
      </c>
      <c r="AB584" s="6" t="n">
        <v>0.5885930050401191</v>
      </c>
      <c r="AC584" s="6" t="n">
        <v>0.117162164419597</v>
      </c>
      <c r="AD584" s="6" t="n">
        <v>-0.7103119919538688</v>
      </c>
      <c r="AE584" s="6" t="n">
        <v>-2.306209079573997</v>
      </c>
      <c r="AF584" s="6" t="n">
        <v>-1.129570301479919</v>
      </c>
      <c r="AG584" s="6" t="n">
        <v>1.460895258113827</v>
      </c>
      <c r="AH584" s="6" t="n">
        <v>2.59909845269003</v>
      </c>
      <c r="AI584" s="6" t="n">
        <v>1.068624105173762</v>
      </c>
      <c r="AJ584" s="6" t="n">
        <v>70.36620576093723</v>
      </c>
      <c r="AK584" s="6" t="n">
        <v>0.1774448703257211</v>
      </c>
      <c r="AL584" s="6" t="n">
        <v>1.060956166096423</v>
      </c>
      <c r="AN584" s="6" t="n">
        <v>1.334784689916367</v>
      </c>
      <c r="AO584" s="6" t="n">
        <v>1.334916889654619</v>
      </c>
      <c r="AP584" s="6" t="n">
        <v>0.1303108792816381</v>
      </c>
      <c r="AQ584" s="6" t="n">
        <v>0</v>
      </c>
      <c r="AR584" s="6" t="n">
        <v>0</v>
      </c>
    </row>
    <row r="585">
      <c r="D585" t="inlineStr">
        <is>
          <t>Run 273</t>
        </is>
      </c>
      <c r="J585" s="6" t="n">
        <v>-0.6019977269822492</v>
      </c>
      <c r="K585" s="6" t="n">
        <v>-2.979100565579641</v>
      </c>
      <c r="L585" s="6" t="n">
        <v>1.687429965148657</v>
      </c>
      <c r="M585" s="6" t="n">
        <v>-1.855275687673978</v>
      </c>
      <c r="N585" s="6" t="n">
        <v>-0.7533103163974585</v>
      </c>
      <c r="O585" s="6" t="n">
        <v>-2.278845144847334</v>
      </c>
      <c r="P585" s="6" t="n">
        <v>-1.902875501645985</v>
      </c>
      <c r="Q585" s="6" t="n">
        <v>-1.366620556552829</v>
      </c>
      <c r="R585" s="6" t="n">
        <v>0.9113911322527594</v>
      </c>
      <c r="S585" s="6" t="n">
        <v>2.161220927720717</v>
      </c>
      <c r="T585" s="6" t="n">
        <v>-0.4899450766269676</v>
      </c>
      <c r="U585" s="6" t="n">
        <v>1.791654530022469</v>
      </c>
      <c r="V585" s="6" t="n">
        <v>3.620208776993098</v>
      </c>
      <c r="W585" s="6" t="n">
        <v>-1.536958961100056</v>
      </c>
      <c r="X585" s="6" t="n">
        <v>-0.8166105827095568</v>
      </c>
      <c r="Y585" s="6" t="n">
        <v>2.084355334812261</v>
      </c>
      <c r="Z585" s="6" t="n">
        <v>-0.1509719732959986</v>
      </c>
      <c r="AA585" s="6" t="n">
        <v>2.09203149285808</v>
      </c>
      <c r="AB585" s="6" t="n">
        <v>-1.06563171294982</v>
      </c>
      <c r="AC585" s="6" t="n">
        <v>1.717710324699006</v>
      </c>
      <c r="AD585" s="6" t="n">
        <v>-1.919257448784699</v>
      </c>
      <c r="AE585" s="6" t="n">
        <v>-2.713536130249778</v>
      </c>
      <c r="AF585" s="6" t="n">
        <v>-2.118144340963623</v>
      </c>
      <c r="AG585" s="6" t="n">
        <v>3.459254665680141</v>
      </c>
      <c r="AH585" s="6" t="n">
        <v>-2.146454156003564</v>
      </c>
      <c r="AI585" s="6" t="n">
        <v>3.167814533475562</v>
      </c>
      <c r="AJ585" s="6" t="n">
        <v>66.78407359551683</v>
      </c>
      <c r="AK585" s="6" t="n">
        <v>0.01306168119192673</v>
      </c>
      <c r="AL585" s="6" t="n">
        <v>1.047823704198608</v>
      </c>
      <c r="AN585" s="6" t="n">
        <v>1.338463283221647</v>
      </c>
      <c r="AO585" s="6" t="n">
        <v>1.344805310130911</v>
      </c>
      <c r="AP585" s="6" t="n">
        <v>0.1345103515157768</v>
      </c>
      <c r="AQ585" s="6" t="n">
        <v>0</v>
      </c>
      <c r="AR585" s="6" t="n">
        <v>0</v>
      </c>
    </row>
    <row r="586">
      <c r="D586" t="inlineStr">
        <is>
          <t>Run 274</t>
        </is>
      </c>
      <c r="J586" s="6" t="n">
        <v>3.845697876911302</v>
      </c>
      <c r="K586" s="6" t="n">
        <v>-4.103563211534213</v>
      </c>
      <c r="L586" s="6" t="n">
        <v>2.404765103750096</v>
      </c>
      <c r="M586" s="6" t="n">
        <v>1.935701927069932</v>
      </c>
      <c r="N586" s="6" t="n">
        <v>-5.518645453369726</v>
      </c>
      <c r="O586" s="6" t="n">
        <v>0.1827695348958632</v>
      </c>
      <c r="P586" s="6" t="n">
        <v>0.5365125743534673</v>
      </c>
      <c r="Q586" s="6" t="n">
        <v>-1.062398666331863</v>
      </c>
      <c r="R586" s="6" t="n">
        <v>-1.653738579527325</v>
      </c>
      <c r="S586" s="6" t="n">
        <v>0.6212418677948209</v>
      </c>
      <c r="T586" s="6" t="n">
        <v>0.2849045035736079</v>
      </c>
      <c r="U586" s="6" t="n">
        <v>-0.9402301826705437</v>
      </c>
      <c r="V586" s="6" t="n">
        <v>3.034204604273858</v>
      </c>
      <c r="W586" s="6" t="n">
        <v>2.024358678664608</v>
      </c>
      <c r="X586" s="6" t="n">
        <v>-4.233016593691271</v>
      </c>
      <c r="Y586" s="6" t="n">
        <v>2.365963742973476</v>
      </c>
      <c r="Z586" s="6" t="n">
        <v>-3.520423585434183</v>
      </c>
      <c r="AA586" s="6" t="n">
        <v>1.281224948442872</v>
      </c>
      <c r="AB586" s="6" t="n">
        <v>-2.274318338724227</v>
      </c>
      <c r="AC586" s="6" t="n">
        <v>-0.8323593404664013</v>
      </c>
      <c r="AD586" s="6" t="n">
        <v>1.459480317140265</v>
      </c>
      <c r="AE586" s="6" t="n">
        <v>-0.1354230976097191</v>
      </c>
      <c r="AF586" s="6" t="n">
        <v>1.278054908076529</v>
      </c>
      <c r="AG586" s="6" t="n">
        <v>2.592220857300688</v>
      </c>
      <c r="AH586" s="6" t="n">
        <v>1.31629440357915</v>
      </c>
      <c r="AI586" s="6" t="n">
        <v>3.562638150918715</v>
      </c>
      <c r="AJ586" s="6" t="n">
        <v>74.46179580081511</v>
      </c>
      <c r="AK586" s="6" t="n">
        <v>0.1355791695270138</v>
      </c>
      <c r="AL586" s="6" t="n">
        <v>1.002026709619225</v>
      </c>
      <c r="AN586" s="6" t="n">
        <v>1.348635818125143</v>
      </c>
      <c r="AO586" s="6" t="n">
        <v>1.353549260016403</v>
      </c>
      <c r="AP586" s="6" t="n">
        <v>0.1379963319514469</v>
      </c>
      <c r="AQ586" s="6" t="n">
        <v>0</v>
      </c>
      <c r="AR586" s="6" t="n">
        <v>0</v>
      </c>
    </row>
    <row r="587">
      <c r="D587" t="inlineStr">
        <is>
          <t>Run 275</t>
        </is>
      </c>
      <c r="J587" s="6" t="n">
        <v>-0.7397342471525824</v>
      </c>
      <c r="K587" s="6" t="n">
        <v>-1.790320794657726</v>
      </c>
      <c r="L587" s="6" t="n">
        <v>0.795052165422008</v>
      </c>
      <c r="M587" s="6" t="n">
        <v>0.2492630571037513</v>
      </c>
      <c r="N587" s="6" t="n">
        <v>0.1191688059889545</v>
      </c>
      <c r="O587" s="6" t="n">
        <v>1.735306465049504</v>
      </c>
      <c r="P587" s="6" t="n">
        <v>2.926718699627678</v>
      </c>
      <c r="Q587" s="6" t="n">
        <v>2.056271867246613</v>
      </c>
      <c r="R587" s="6" t="n">
        <v>5</v>
      </c>
      <c r="S587" s="6" t="n">
        <v>0.1132740297408227</v>
      </c>
      <c r="T587" s="6" t="n">
        <v>-1.016522206305263</v>
      </c>
      <c r="U587" s="6" t="n">
        <v>2.744397294145922</v>
      </c>
      <c r="V587" s="6" t="n">
        <v>-1.992557904158115</v>
      </c>
      <c r="W587" s="6" t="n">
        <v>-0.1499548633259396</v>
      </c>
      <c r="X587" s="6" t="n">
        <v>2.053886893881213</v>
      </c>
      <c r="Y587" s="6" t="n">
        <v>-1.679564330363467</v>
      </c>
      <c r="Z587" s="6" t="n">
        <v>1.238986737957161</v>
      </c>
      <c r="AA587" s="6" t="n">
        <v>0.3639963509524956</v>
      </c>
      <c r="AB587" s="6" t="n">
        <v>1.132075366646456</v>
      </c>
      <c r="AC587" s="6" t="n">
        <v>0.3416905762443473</v>
      </c>
      <c r="AD587" s="6" t="n">
        <v>-1.024834315014707</v>
      </c>
      <c r="AE587" s="6" t="n">
        <v>3.257076921396743</v>
      </c>
      <c r="AF587" s="6" t="n">
        <v>-3.625032382503972</v>
      </c>
      <c r="AG587" s="6" t="n">
        <v>-3.599660408661634</v>
      </c>
      <c r="AH587" s="6" t="n">
        <v>-0.1569643827365228</v>
      </c>
      <c r="AI587" s="6" t="n">
        <v>-4.449173059807131</v>
      </c>
      <c r="AJ587" s="6" t="n">
        <v>80.76009404608462</v>
      </c>
      <c r="AK587" s="6" t="n">
        <v>0.1422112666419026</v>
      </c>
      <c r="AL587" s="6" t="n">
        <v>1.024063983168825</v>
      </c>
      <c r="AN587" s="6" t="n">
        <v>1.35733632892702</v>
      </c>
      <c r="AO587" s="6" t="n">
        <v>1.35733632892702</v>
      </c>
      <c r="AP587" s="6" t="n">
        <v>0.1354470188809093</v>
      </c>
      <c r="AQ587" s="6" t="n">
        <v>0</v>
      </c>
      <c r="AR587" s="6" t="n">
        <v>0</v>
      </c>
    </row>
    <row r="588">
      <c r="D588" t="inlineStr">
        <is>
          <t>Run 276</t>
        </is>
      </c>
      <c r="J588" s="6" t="n">
        <v>-0.1136094663082167</v>
      </c>
      <c r="K588" s="6" t="n">
        <v>-0.7102814257741724</v>
      </c>
      <c r="L588" s="6" t="n">
        <v>-0.6975224130371248</v>
      </c>
      <c r="M588" s="6" t="n">
        <v>-3.293248870135544</v>
      </c>
      <c r="N588" s="6" t="n">
        <v>4.223807673647886</v>
      </c>
      <c r="O588" s="6" t="n">
        <v>1.587771508626388</v>
      </c>
      <c r="P588" s="6" t="n">
        <v>1.800172929188725</v>
      </c>
      <c r="Q588" s="6" t="n">
        <v>0.9432708227272875</v>
      </c>
      <c r="R588" s="6" t="n">
        <v>1.695036320709488</v>
      </c>
      <c r="S588" s="6" t="n">
        <v>0.631821013902388</v>
      </c>
      <c r="T588" s="6" t="n">
        <v>-3.3978209457392</v>
      </c>
      <c r="U588" s="6" t="n">
        <v>-0.1131383291350669</v>
      </c>
      <c r="V588" s="6" t="n">
        <v>2.001179436144047</v>
      </c>
      <c r="W588" s="6" t="n">
        <v>-2.049936009178393</v>
      </c>
      <c r="X588" s="6" t="n">
        <v>-2.719373371157193</v>
      </c>
      <c r="Y588" s="6" t="n">
        <v>3.091181067117168</v>
      </c>
      <c r="Z588" s="6" t="n">
        <v>1.221518369408516</v>
      </c>
      <c r="AA588" s="6" t="n">
        <v>-3.034579767495466</v>
      </c>
      <c r="AB588" s="6" t="n">
        <v>-1.62108046692729</v>
      </c>
      <c r="AC588" s="6" t="n">
        <v>-0.9793776858681077</v>
      </c>
      <c r="AD588" s="6" t="n">
        <v>-0.4376396841188526</v>
      </c>
      <c r="AE588" s="6" t="n">
        <v>0.6522050530274625</v>
      </c>
      <c r="AF588" s="6" t="n">
        <v>-0.08101669060881264</v>
      </c>
      <c r="AG588" s="6" t="n">
        <v>-1.23348318933894</v>
      </c>
      <c r="AH588" s="6" t="n">
        <v>-0.2012817930110392</v>
      </c>
      <c r="AI588" s="6" t="n">
        <v>1.401394073062776</v>
      </c>
      <c r="AJ588" s="6" t="n">
        <v>78.45623010837743</v>
      </c>
      <c r="AK588" s="6" t="n">
        <v>0.1337120747533511</v>
      </c>
      <c r="AL588" s="6" t="n">
        <v>1.046360393154209</v>
      </c>
      <c r="AN588" s="6" t="n">
        <v>1.315481119781241</v>
      </c>
      <c r="AO588" s="6" t="n">
        <v>1.327666769922315</v>
      </c>
      <c r="AP588" s="6" t="n">
        <v>0.1327479406346178</v>
      </c>
      <c r="AQ588" s="6" t="n">
        <v>0</v>
      </c>
      <c r="AR588" s="6" t="n">
        <v>0</v>
      </c>
    </row>
    <row r="589">
      <c r="D589" t="inlineStr">
        <is>
          <t>Run 277</t>
        </is>
      </c>
      <c r="J589" s="6" t="n">
        <v>2.696468743001536</v>
      </c>
      <c r="K589" s="6" t="n">
        <v>0.4910743235825527</v>
      </c>
      <c r="L589" s="6" t="n">
        <v>0.6917614024538739</v>
      </c>
      <c r="M589" s="6" t="n">
        <v>-0.6248128799457389</v>
      </c>
      <c r="N589" s="6" t="n">
        <v>-3.050016894151722</v>
      </c>
      <c r="O589" s="6" t="n">
        <v>-1.509779193358012</v>
      </c>
      <c r="P589" s="6" t="n">
        <v>0.9171843448225228</v>
      </c>
      <c r="Q589" s="6" t="n">
        <v>-2.325498532231835</v>
      </c>
      <c r="R589" s="6" t="n">
        <v>-1.177552900211834</v>
      </c>
      <c r="S589" s="6" t="n">
        <v>0.01022336981636297</v>
      </c>
      <c r="T589" s="6" t="n">
        <v>-2.844342409962489</v>
      </c>
      <c r="U589" s="6" t="n">
        <v>-2.271792070021938</v>
      </c>
      <c r="V589" s="6" t="n">
        <v>0.9941964834081033</v>
      </c>
      <c r="W589" s="6" t="n">
        <v>1.714954828283982</v>
      </c>
      <c r="X589" s="6" t="n">
        <v>-1.736175631966831</v>
      </c>
      <c r="Y589" s="6" t="n">
        <v>2.161268802881986</v>
      </c>
      <c r="Z589" s="6" t="n">
        <v>-1.213447742985056</v>
      </c>
      <c r="AA589" s="6" t="n">
        <v>-1.924021796876494</v>
      </c>
      <c r="AB589" s="6" t="n">
        <v>1.769576134345582</v>
      </c>
      <c r="AC589" s="6" t="n">
        <v>-2.567165618322318</v>
      </c>
      <c r="AD589" s="6" t="n">
        <v>1.981939766043891</v>
      </c>
      <c r="AE589" s="6" t="n">
        <v>-2.566457717015209</v>
      </c>
      <c r="AF589" s="6" t="n">
        <v>-1.267061031593737</v>
      </c>
      <c r="AG589" s="6" t="n">
        <v>1.313062931387701</v>
      </c>
      <c r="AH589" s="6" t="n">
        <v>-1.442665207542172</v>
      </c>
      <c r="AI589" s="6" t="n">
        <v>0.4673031401273824</v>
      </c>
      <c r="AJ589" s="6" t="n">
        <v>68.39635189378113</v>
      </c>
      <c r="AK589" s="6" t="n">
        <v>0.1080084454586284</v>
      </c>
      <c r="AL589" s="6" t="n">
        <v>1.052619809612051</v>
      </c>
      <c r="AN589" s="6" t="n">
        <v>1.345085730491199</v>
      </c>
      <c r="AO589" s="6" t="n">
        <v>1.345408231039193</v>
      </c>
      <c r="AP589" s="6" t="n">
        <v>0.1320577175245423</v>
      </c>
      <c r="AQ589" s="6" t="n">
        <v>0</v>
      </c>
      <c r="AR589" s="6" t="n">
        <v>0</v>
      </c>
    </row>
    <row r="590">
      <c r="D590" t="inlineStr">
        <is>
          <t>Run 278</t>
        </is>
      </c>
      <c r="J590" s="6" t="n">
        <v>-0.1929080596123962</v>
      </c>
      <c r="K590" s="6" t="n">
        <v>-0.8455970770188906</v>
      </c>
      <c r="L590" s="6" t="n">
        <v>4.189384237399843</v>
      </c>
      <c r="M590" s="6" t="n">
        <v>-0.5099587444355597</v>
      </c>
      <c r="N590" s="6" t="n">
        <v>-1.877602938548828</v>
      </c>
      <c r="O590" s="6" t="n">
        <v>0.06707342905364766</v>
      </c>
      <c r="P590" s="6" t="n">
        <v>-2.599927880931703</v>
      </c>
      <c r="Q590" s="6" t="n">
        <v>-0.4787835288323232</v>
      </c>
      <c r="R590" s="6" t="n">
        <v>0.4166115798719935</v>
      </c>
      <c r="S590" s="6" t="n">
        <v>-1.426300122479819</v>
      </c>
      <c r="T590" s="6" t="n">
        <v>2.038355244466735</v>
      </c>
      <c r="U590" s="6" t="n">
        <v>1.503823923061765</v>
      </c>
      <c r="V590" s="6" t="n">
        <v>-1.072679756130087</v>
      </c>
      <c r="W590" s="6" t="n">
        <v>1.740158605096252</v>
      </c>
      <c r="X590" s="6" t="n">
        <v>-0.9667564808919009</v>
      </c>
      <c r="Y590" s="6" t="n">
        <v>2.712334186874313</v>
      </c>
      <c r="Z590" s="6" t="n">
        <v>-2.226003819579281</v>
      </c>
      <c r="AA590" s="6" t="n">
        <v>0.3066614190506389</v>
      </c>
      <c r="AB590" s="6" t="n">
        <v>-0.4564305873167982</v>
      </c>
      <c r="AC590" s="6" t="n">
        <v>1.808211449626891</v>
      </c>
      <c r="AD590" s="6" t="n">
        <v>-1.967912724109025</v>
      </c>
      <c r="AE590" s="6" t="n">
        <v>-1.25487935587326</v>
      </c>
      <c r="AF590" s="6" t="n">
        <v>1.027289620925531</v>
      </c>
      <c r="AG590" s="6" t="n">
        <v>0.6327977338102297</v>
      </c>
      <c r="AH590" s="6" t="n">
        <v>0.009574246033705847</v>
      </c>
      <c r="AI590" s="6" t="n">
        <v>0.7530434634321992</v>
      </c>
      <c r="AJ590" s="6" t="n">
        <v>67.45899986102077</v>
      </c>
      <c r="AK590" s="6" t="n">
        <v>0.1045181207231968</v>
      </c>
      <c r="AL590" s="6" t="n">
        <v>1.070010299384509</v>
      </c>
      <c r="AN590" s="6" t="n">
        <v>1.340090770720878</v>
      </c>
      <c r="AO590" s="6" t="n">
        <v>1.340835421681897</v>
      </c>
      <c r="AP590" s="6" t="n">
        <v>0.1311318197904078</v>
      </c>
      <c r="AQ590" s="6" t="n">
        <v>0</v>
      </c>
      <c r="AR590" s="6" t="n">
        <v>0</v>
      </c>
    </row>
    <row r="591">
      <c r="D591" t="inlineStr">
        <is>
          <t>Run 279</t>
        </is>
      </c>
      <c r="J591" s="6" t="n">
        <v>-2.044472003841937</v>
      </c>
      <c r="K591" s="6" t="n">
        <v>1.186876110866476</v>
      </c>
      <c r="L591" s="6" t="n">
        <v>-0.6384649067590966</v>
      </c>
      <c r="M591" s="6" t="n">
        <v>-0.3619899473967186</v>
      </c>
      <c r="N591" s="6" t="n">
        <v>-0.4951998808985085</v>
      </c>
      <c r="O591" s="6" t="n">
        <v>-3.071478734358139</v>
      </c>
      <c r="P591" s="6" t="n">
        <v>2.182504251481334</v>
      </c>
      <c r="Q591" s="6" t="n">
        <v>1.565310057728748</v>
      </c>
      <c r="R591" s="6" t="n">
        <v>1.477418108748942</v>
      </c>
      <c r="S591" s="6" t="n">
        <v>0.8672139604090557</v>
      </c>
      <c r="T591" s="6" t="n">
        <v>-0.8878669706377473</v>
      </c>
      <c r="U591" s="6" t="n">
        <v>1.247788019731071</v>
      </c>
      <c r="V591" s="6" t="n">
        <v>-3.155256135833757</v>
      </c>
      <c r="W591" s="6" t="n">
        <v>0.1762718771585605</v>
      </c>
      <c r="X591" s="6" t="n">
        <v>-0.1689113954114145</v>
      </c>
      <c r="Y591" s="6" t="n">
        <v>1.196647499547183</v>
      </c>
      <c r="Z591" s="6" t="n">
        <v>1.904269648684626</v>
      </c>
      <c r="AA591" s="6" t="n">
        <v>0.8639595787707789</v>
      </c>
      <c r="AB591" s="6" t="n">
        <v>2.186497114815</v>
      </c>
      <c r="AC591" s="6" t="n">
        <v>-2.043638890330936</v>
      </c>
      <c r="AD591" s="6" t="n">
        <v>-0.2235394276333526</v>
      </c>
      <c r="AE591" s="6" t="n">
        <v>3.013937704818464</v>
      </c>
      <c r="AF591" s="6" t="n">
        <v>-3.245003889434031</v>
      </c>
      <c r="AG591" s="6" t="n">
        <v>0.8270030573292321</v>
      </c>
      <c r="AH591" s="6" t="n">
        <v>-1.368664059192888</v>
      </c>
      <c r="AI591" s="6" t="n">
        <v>0.07574509662224638</v>
      </c>
      <c r="AJ591" s="6" t="n">
        <v>79.33981468075417</v>
      </c>
      <c r="AK591" s="6" t="n">
        <v>0.09652601230864388</v>
      </c>
      <c r="AL591" s="6" t="n">
        <v>1.064488417350728</v>
      </c>
      <c r="AN591" s="6" t="n">
        <v>1.347779445556534</v>
      </c>
      <c r="AO591" s="6" t="n">
        <v>1.348162978487371</v>
      </c>
      <c r="AP591" s="6" t="n">
        <v>0.132566133440689</v>
      </c>
      <c r="AQ591" s="6" t="n">
        <v>0</v>
      </c>
      <c r="AR591" s="6" t="n">
        <v>0</v>
      </c>
    </row>
    <row r="592">
      <c r="D592" t="inlineStr">
        <is>
          <t>Run 280</t>
        </is>
      </c>
      <c r="J592" s="6" t="n">
        <v>0.5754285575118887</v>
      </c>
      <c r="K592" s="6" t="n">
        <v>-1.984213206422067</v>
      </c>
      <c r="L592" s="6" t="n">
        <v>0.6576485462269721</v>
      </c>
      <c r="M592" s="6" t="n">
        <v>1.503261052724593</v>
      </c>
      <c r="N592" s="6" t="n">
        <v>-0.7747719835711634</v>
      </c>
      <c r="O592" s="6" t="n">
        <v>0.4630867512265898</v>
      </c>
      <c r="P592" s="6" t="n">
        <v>1.616885795337514</v>
      </c>
      <c r="Q592" s="6" t="n">
        <v>1.631349869634084</v>
      </c>
      <c r="R592" s="6" t="n">
        <v>0.8994148036473665</v>
      </c>
      <c r="S592" s="6" t="n">
        <v>4.535648654845479</v>
      </c>
      <c r="T592" s="6" t="n">
        <v>1.444615198865001</v>
      </c>
      <c r="U592" s="6" t="n">
        <v>1.420888588034724</v>
      </c>
      <c r="V592" s="6" t="n">
        <v>1.074398350298041</v>
      </c>
      <c r="W592" s="6" t="n">
        <v>2.582223395770084</v>
      </c>
      <c r="X592" s="6" t="n">
        <v>1.578929007979263</v>
      </c>
      <c r="Y592" s="6" t="n">
        <v>1.773004176458751</v>
      </c>
      <c r="Z592" s="6" t="n">
        <v>-1.069543960960437</v>
      </c>
      <c r="AA592" s="6" t="n">
        <v>0.6597997163739381</v>
      </c>
      <c r="AB592" s="6" t="n">
        <v>0.03276121306315416</v>
      </c>
      <c r="AC592" s="6" t="n">
        <v>0.3882291499676791</v>
      </c>
      <c r="AD592" s="6" t="n">
        <v>1.084145505202046</v>
      </c>
      <c r="AE592" s="6" t="n">
        <v>2.803758285605471</v>
      </c>
      <c r="AF592" s="6" t="n">
        <v>-1.00751075237314</v>
      </c>
      <c r="AG592" s="6" t="n">
        <v>1.06134618255934</v>
      </c>
      <c r="AH592" s="6" t="n">
        <v>-0.6915711305761977</v>
      </c>
      <c r="AI592" s="6" t="n">
        <v>-1.770541080508256</v>
      </c>
      <c r="AJ592" s="6" t="n">
        <v>72.57934510714188</v>
      </c>
      <c r="AK592" s="6" t="n">
        <v>0.09797957758999878</v>
      </c>
      <c r="AL592" s="6" t="n">
        <v>1.054637540920276</v>
      </c>
      <c r="AN592" s="6" t="n">
        <v>1.346750015428315</v>
      </c>
      <c r="AO592" s="6" t="n">
        <v>1.347009230339907</v>
      </c>
      <c r="AP592" s="6" t="n">
        <v>0.1327072508749499</v>
      </c>
      <c r="AQ592" s="6" t="n">
        <v>0</v>
      </c>
      <c r="AR592" s="6" t="n">
        <v>0</v>
      </c>
    </row>
    <row r="593">
      <c r="D593" t="inlineStr">
        <is>
          <t>Run 281</t>
        </is>
      </c>
      <c r="J593" s="6" t="n">
        <v>3.204988228427508</v>
      </c>
      <c r="K593" s="6" t="n">
        <v>2.195572018202734</v>
      </c>
      <c r="L593" s="6" t="n">
        <v>-2.372013321451793</v>
      </c>
      <c r="M593" s="6" t="n">
        <v>2.172289933163499</v>
      </c>
      <c r="N593" s="6" t="n">
        <v>-2.892742521837946</v>
      </c>
      <c r="O593" s="6" t="n">
        <v>1.493675886323319</v>
      </c>
      <c r="P593" s="6" t="n">
        <v>-0.08481714876688418</v>
      </c>
      <c r="Q593" s="6" t="n">
        <v>2.063397768400239</v>
      </c>
      <c r="R593" s="6" t="n">
        <v>2.474562061935508</v>
      </c>
      <c r="S593" s="6" t="n">
        <v>-0.869654536934712</v>
      </c>
      <c r="T593" s="6" t="n">
        <v>-0.2117371376857068</v>
      </c>
      <c r="U593" s="6" t="n">
        <v>-1.269839475636758</v>
      </c>
      <c r="V593" s="6" t="n">
        <v>-2.521274861950831</v>
      </c>
      <c r="W593" s="6" t="n">
        <v>-0.9192486699804012</v>
      </c>
      <c r="X593" s="6" t="n">
        <v>-2.519156636902479</v>
      </c>
      <c r="Y593" s="6" t="n">
        <v>0.6018337669227941</v>
      </c>
      <c r="Z593" s="6" t="n">
        <v>-3.170276256447563</v>
      </c>
      <c r="AA593" s="6" t="n">
        <v>-0.127315634354358</v>
      </c>
      <c r="AB593" s="6" t="n">
        <v>2.968669926335366</v>
      </c>
      <c r="AC593" s="6" t="n">
        <v>3.498035235468439</v>
      </c>
      <c r="AD593" s="6" t="n">
        <v>3.00593932716012</v>
      </c>
      <c r="AE593" s="6" t="n">
        <v>-0.3166923099176503</v>
      </c>
      <c r="AF593" s="6" t="n">
        <v>0.07124899754256184</v>
      </c>
      <c r="AG593" s="6" t="n">
        <v>0.4651770149890679</v>
      </c>
      <c r="AH593" s="6" t="n">
        <v>1.704573130834736</v>
      </c>
      <c r="AI593" s="6" t="n">
        <v>-0.126000847210117</v>
      </c>
      <c r="AJ593" s="6" t="n">
        <v>79.37721436703191</v>
      </c>
      <c r="AK593" s="6" t="n">
        <v>0.1670082168288778</v>
      </c>
      <c r="AL593" s="6" t="n">
        <v>1.012449351311403</v>
      </c>
      <c r="AN593" s="6" t="n">
        <v>1.357842019991996</v>
      </c>
      <c r="AO593" s="6" t="n">
        <v>1.358691881947236</v>
      </c>
      <c r="AP593" s="6" t="n">
        <v>0.1365671620318208</v>
      </c>
      <c r="AQ593" s="6" t="n">
        <v>0</v>
      </c>
      <c r="AR593" s="6" t="n">
        <v>0</v>
      </c>
    </row>
    <row r="594">
      <c r="D594" t="inlineStr">
        <is>
          <t>Run 282</t>
        </is>
      </c>
      <c r="J594" s="6" t="n">
        <v>2.445314643082303</v>
      </c>
      <c r="K594" s="6" t="n">
        <v>4.623679554326261</v>
      </c>
      <c r="L594" s="6" t="n">
        <v>-1.083856077173577</v>
      </c>
      <c r="M594" s="6" t="n">
        <v>-1.013697591731706</v>
      </c>
      <c r="N594" s="6" t="n">
        <v>-4.245511343085633</v>
      </c>
      <c r="O594" s="6" t="n">
        <v>2.660504052867054</v>
      </c>
      <c r="P594" s="6" t="n">
        <v>-0.8618740284384651</v>
      </c>
      <c r="Q594" s="6" t="n">
        <v>-1.859180824873671</v>
      </c>
      <c r="R594" s="6" t="n">
        <v>3.757198002721426</v>
      </c>
      <c r="S594" s="6" t="n">
        <v>4.481997712552094</v>
      </c>
      <c r="T594" s="6" t="n">
        <v>-1.709554264946524</v>
      </c>
      <c r="U594" s="6" t="n">
        <v>0.09216861512478039</v>
      </c>
      <c r="V594" s="6" t="n">
        <v>3.097671468844748</v>
      </c>
      <c r="W594" s="6" t="n">
        <v>4.254217098282457</v>
      </c>
      <c r="X594" s="6" t="n">
        <v>0.2386065250704733</v>
      </c>
      <c r="Y594" s="6" t="n">
        <v>0.8572560740815575</v>
      </c>
      <c r="Z594" s="6" t="n">
        <v>0.3788546160069518</v>
      </c>
      <c r="AA594" s="6" t="n">
        <v>3.495070863474074</v>
      </c>
      <c r="AB594" s="6" t="n">
        <v>-2.062059808294173</v>
      </c>
      <c r="AC594" s="6" t="n">
        <v>-2.406215970088715</v>
      </c>
      <c r="AD594" s="6" t="n">
        <v>-0.3664212267144032</v>
      </c>
      <c r="AE594" s="6" t="n">
        <v>-2.547791729617273</v>
      </c>
      <c r="AF594" s="6" t="n">
        <v>2.284286883823606</v>
      </c>
      <c r="AG594" s="6" t="n">
        <v>-0.3121470725030565</v>
      </c>
      <c r="AH594" s="6" t="n">
        <v>-4.197913407583245</v>
      </c>
      <c r="AI594" s="6" t="n">
        <v>0.1306140231660133</v>
      </c>
      <c r="AJ594" s="6" t="n">
        <v>66.96874793828424</v>
      </c>
      <c r="AK594" s="6" t="n">
        <v>0.05897282685531622</v>
      </c>
      <c r="AL594" s="6" t="n">
        <v>1.033996674396967</v>
      </c>
      <c r="AN594" s="6" t="n">
        <v>1.348175942463705</v>
      </c>
      <c r="AO594" s="6" t="n">
        <v>1.348175942463705</v>
      </c>
      <c r="AP594" s="6" t="n">
        <v>0.1347207706562701</v>
      </c>
      <c r="AQ594" s="6" t="n">
        <v>0</v>
      </c>
      <c r="AR594" s="6" t="n">
        <v>0</v>
      </c>
    </row>
    <row r="595">
      <c r="D595" t="inlineStr">
        <is>
          <t>Run 283</t>
        </is>
      </c>
      <c r="J595" s="6" t="n">
        <v>-2.309698890668259</v>
      </c>
      <c r="K595" s="6" t="n">
        <v>-0.3657795684389881</v>
      </c>
      <c r="L595" s="6" t="n">
        <v>1.999053756245115</v>
      </c>
      <c r="M595" s="6" t="n">
        <v>1.537536134802578</v>
      </c>
      <c r="N595" s="6" t="n">
        <v>1.401659593661717</v>
      </c>
      <c r="O595" s="6" t="n">
        <v>0.7435641693201472</v>
      </c>
      <c r="P595" s="6" t="n">
        <v>-1.561078022714444</v>
      </c>
      <c r="Q595" s="6" t="n">
        <v>-0.1051351572713838</v>
      </c>
      <c r="R595" s="6" t="n">
        <v>-2.479236962593297</v>
      </c>
      <c r="S595" s="6" t="n">
        <v>0.7397212874980934</v>
      </c>
      <c r="T595" s="6" t="n">
        <v>-1.396941548989878</v>
      </c>
      <c r="U595" s="6" t="n">
        <v>-0.4520615564712726</v>
      </c>
      <c r="V595" s="6" t="n">
        <v>1.319033264139378</v>
      </c>
      <c r="W595" s="6" t="n">
        <v>-0.5943997732273275</v>
      </c>
      <c r="X595" s="6" t="n">
        <v>-2.832646863217637</v>
      </c>
      <c r="Y595" s="6" t="n">
        <v>-0.4051433784198118</v>
      </c>
      <c r="Z595" s="6" t="n">
        <v>1.683123869083635</v>
      </c>
      <c r="AA595" s="6" t="n">
        <v>1.568302131372369</v>
      </c>
      <c r="AB595" s="6" t="n">
        <v>-2.921794394635066</v>
      </c>
      <c r="AC595" s="6" t="n">
        <v>2.530639762734844</v>
      </c>
      <c r="AD595" s="6" t="n">
        <v>2.850200926927673</v>
      </c>
      <c r="AE595" s="6" t="n">
        <v>-4.784637338086529</v>
      </c>
      <c r="AF595" s="6" t="n">
        <v>0.6151411808906566</v>
      </c>
      <c r="AG595" s="6" t="n">
        <v>-3.491426031945152</v>
      </c>
      <c r="AH595" s="6" t="n">
        <v>-2.178827106818454</v>
      </c>
      <c r="AI595" s="6" t="n">
        <v>0.251926674086678</v>
      </c>
      <c r="AJ595" s="6" t="n">
        <v>57.35176007012394</v>
      </c>
      <c r="AK595" s="6" t="n">
        <v>0.08995301488370436</v>
      </c>
      <c r="AL595" s="6" t="n">
        <v>1.087218183261975</v>
      </c>
      <c r="AN595" s="6" t="n">
        <v>1.33009294125173</v>
      </c>
      <c r="AO595" s="6" t="n">
        <v>1.330295735324484</v>
      </c>
      <c r="AP595" s="6" t="n">
        <v>0.1297631885382186</v>
      </c>
      <c r="AQ595" s="6" t="n">
        <v>0</v>
      </c>
      <c r="AR595" s="6" t="n">
        <v>0</v>
      </c>
    </row>
    <row r="596">
      <c r="D596" t="inlineStr">
        <is>
          <t>Run 284</t>
        </is>
      </c>
      <c r="J596" s="6" t="n">
        <v>3.508333042872223</v>
      </c>
      <c r="K596" s="6" t="n">
        <v>2.257903398617667</v>
      </c>
      <c r="L596" s="6" t="n">
        <v>-1.913409427664592</v>
      </c>
      <c r="M596" s="6" t="n">
        <v>-0.8737967684241348</v>
      </c>
      <c r="N596" s="6" t="n">
        <v>0.7415624713295705</v>
      </c>
      <c r="O596" s="6" t="n">
        <v>-3.535021565739433</v>
      </c>
      <c r="P596" s="6" t="n">
        <v>0.2248815096737438</v>
      </c>
      <c r="Q596" s="6" t="n">
        <v>0.4664606092554332</v>
      </c>
      <c r="R596" s="6" t="n">
        <v>0.7951727764391255</v>
      </c>
      <c r="S596" s="6" t="n">
        <v>-1.980999265881546</v>
      </c>
      <c r="T596" s="6" t="n">
        <v>1.924149967593838</v>
      </c>
      <c r="U596" s="6" t="n">
        <v>3.626168461969445</v>
      </c>
      <c r="V596" s="6" t="n">
        <v>0.2015472545837665</v>
      </c>
      <c r="W596" s="6" t="n">
        <v>-1.031436428266625</v>
      </c>
      <c r="X596" s="6" t="n">
        <v>-1.279165617375824</v>
      </c>
      <c r="Y596" s="6" t="n">
        <v>3.854000235098241</v>
      </c>
      <c r="Z596" s="6" t="n">
        <v>-1.131156490558458</v>
      </c>
      <c r="AA596" s="6" t="n">
        <v>-0.5902618104172014</v>
      </c>
      <c r="AB596" s="6" t="n">
        <v>1.628898573057508</v>
      </c>
      <c r="AC596" s="6" t="n">
        <v>2.347892748192028</v>
      </c>
      <c r="AD596" s="6" t="n">
        <v>0.427659518482124</v>
      </c>
      <c r="AE596" s="6" t="n">
        <v>-1.056481228310295</v>
      </c>
      <c r="AF596" s="6" t="n">
        <v>0.2992615413016548</v>
      </c>
      <c r="AG596" s="6" t="n">
        <v>4.127093003426012</v>
      </c>
      <c r="AH596" s="6" t="n">
        <v>-1.4596990918207</v>
      </c>
      <c r="AI596" s="6" t="n">
        <v>1.595662066466565</v>
      </c>
      <c r="AJ596" s="6" t="n">
        <v>78.88769540457159</v>
      </c>
      <c r="AK596" s="6" t="n">
        <v>0.1307794541904423</v>
      </c>
      <c r="AL596" s="6" t="n">
        <v>1.005175492116302</v>
      </c>
      <c r="AN596" s="6" t="n">
        <v>1.360750570836391</v>
      </c>
      <c r="AO596" s="6" t="n">
        <v>1.361374582661113</v>
      </c>
      <c r="AP596" s="6" t="n">
        <v>0.1385648189036569</v>
      </c>
      <c r="AQ596" s="6" t="n">
        <v>0</v>
      </c>
      <c r="AR596" s="6" t="n">
        <v>0</v>
      </c>
    </row>
    <row r="597">
      <c r="D597" t="inlineStr">
        <is>
          <t>Run 285</t>
        </is>
      </c>
      <c r="J597" s="6" t="n">
        <v>-0.0904174713123081</v>
      </c>
      <c r="K597" s="6" t="n">
        <v>-0.5803126230441937</v>
      </c>
      <c r="L597" s="6" t="n">
        <v>0.4116578237333704</v>
      </c>
      <c r="M597" s="6" t="n">
        <v>-0.8196982349456461</v>
      </c>
      <c r="N597" s="6" t="n">
        <v>0.9909920184033797</v>
      </c>
      <c r="O597" s="6" t="n">
        <v>-1.404589953936875</v>
      </c>
      <c r="P597" s="6" t="n">
        <v>-2.155595885250616</v>
      </c>
      <c r="Q597" s="6" t="n">
        <v>-0.03610922169654458</v>
      </c>
      <c r="R597" s="6" t="n">
        <v>-4.320178529843679</v>
      </c>
      <c r="S597" s="6" t="n">
        <v>4.101290176713426</v>
      </c>
      <c r="T597" s="6" t="n">
        <v>-3.122512435822646</v>
      </c>
      <c r="U597" s="6" t="n">
        <v>-2.549762168436366</v>
      </c>
      <c r="V597" s="6" t="n">
        <v>-0.8212090945986043</v>
      </c>
      <c r="W597" s="6" t="n">
        <v>0.07374394653179661</v>
      </c>
      <c r="X597" s="6" t="n">
        <v>-2.252801622654141</v>
      </c>
      <c r="Y597" s="6" t="n">
        <v>1.337609958654536</v>
      </c>
      <c r="Z597" s="6" t="n">
        <v>0.8402029645407887</v>
      </c>
      <c r="AA597" s="6" t="n">
        <v>-3.296795983310533</v>
      </c>
      <c r="AB597" s="6" t="n">
        <v>0.6622178403870637</v>
      </c>
      <c r="AC597" s="6" t="n">
        <v>-0.09115911581466447</v>
      </c>
      <c r="AD597" s="6" t="n">
        <v>-1.959978834138796</v>
      </c>
      <c r="AE597" s="6" t="n">
        <v>1.189407626130984</v>
      </c>
      <c r="AF597" s="6" t="n">
        <v>1.15531628617864</v>
      </c>
      <c r="AG597" s="6" t="n">
        <v>-1.611292129146058</v>
      </c>
      <c r="AH597" s="6" t="n">
        <v>-5.643299428425838</v>
      </c>
      <c r="AI597" s="6" t="n">
        <v>-4.751666695150018</v>
      </c>
      <c r="AJ597" s="6" t="n">
        <v>72.78497493864597</v>
      </c>
      <c r="AK597" s="6" t="n">
        <v>0.07465435775613657</v>
      </c>
      <c r="AL597" s="6" t="n">
        <v>1.086323896442716</v>
      </c>
      <c r="AN597" s="6" t="n">
        <v>1.339091863288712</v>
      </c>
      <c r="AO597" s="6" t="n">
        <v>1.339581828799854</v>
      </c>
      <c r="AP597" s="6" t="n">
        <v>0.1309798225016056</v>
      </c>
      <c r="AQ597" s="6" t="n">
        <v>0</v>
      </c>
      <c r="AR597" s="6" t="n">
        <v>0</v>
      </c>
    </row>
    <row r="598">
      <c r="D598" t="inlineStr">
        <is>
          <t>Run 286</t>
        </is>
      </c>
      <c r="J598" s="6" t="n">
        <v>1.393220783927698</v>
      </c>
      <c r="K598" s="6" t="n">
        <v>-2.20698241710274</v>
      </c>
      <c r="L598" s="6" t="n">
        <v>3.446439802911957</v>
      </c>
      <c r="M598" s="6" t="n">
        <v>0.1634314443267403</v>
      </c>
      <c r="N598" s="6" t="n">
        <v>1.326633422791597</v>
      </c>
      <c r="O598" s="6" t="n">
        <v>2.471228031141372</v>
      </c>
      <c r="P598" s="6" t="n">
        <v>-0.4211679702417385</v>
      </c>
      <c r="Q598" s="6" t="n">
        <v>-0.5819475465806668</v>
      </c>
      <c r="R598" s="6" t="n">
        <v>1.941689062065032</v>
      </c>
      <c r="S598" s="6" t="n">
        <v>0.682884843069042</v>
      </c>
      <c r="T598" s="6" t="n">
        <v>-1.894307908907922</v>
      </c>
      <c r="U598" s="6" t="n">
        <v>-0.2505545435894784</v>
      </c>
      <c r="V598" s="6" t="n">
        <v>1.333880315794262</v>
      </c>
      <c r="W598" s="6" t="n">
        <v>-1.00565820801401</v>
      </c>
      <c r="X598" s="6" t="n">
        <v>2.806538087321992</v>
      </c>
      <c r="Y598" s="6" t="n">
        <v>1.397414847647538</v>
      </c>
      <c r="Z598" s="6" t="n">
        <v>-1.303881044527532</v>
      </c>
      <c r="AA598" s="6" t="n">
        <v>1.147976330109935</v>
      </c>
      <c r="AB598" s="6" t="n">
        <v>3.282007945583443</v>
      </c>
      <c r="AC598" s="6" t="n">
        <v>1.457075283557733</v>
      </c>
      <c r="AD598" s="6" t="n">
        <v>1.079454096691012</v>
      </c>
      <c r="AE598" s="6" t="n">
        <v>4.063524757841099</v>
      </c>
      <c r="AF598" s="6" t="n">
        <v>-2.506494918050473</v>
      </c>
      <c r="AG598" s="6" t="n">
        <v>2.895181971623703</v>
      </c>
      <c r="AH598" s="6" t="n">
        <v>0.8906884405880054</v>
      </c>
      <c r="AI598" s="6" t="n">
        <v>-1.142685123369371</v>
      </c>
      <c r="AJ598" s="6" t="n">
        <v>72.42311569044685</v>
      </c>
      <c r="AK598" s="6" t="n">
        <v>0.1232293970011239</v>
      </c>
      <c r="AL598" s="6" t="n">
        <v>1.027838149301668</v>
      </c>
      <c r="AN598" s="6" t="n">
        <v>1.350241919331201</v>
      </c>
      <c r="AO598" s="6" t="n">
        <v>1.350241919331201</v>
      </c>
      <c r="AP598" s="6" t="n">
        <v>0.1346483776319364</v>
      </c>
      <c r="AQ598" s="6" t="n">
        <v>0</v>
      </c>
      <c r="AR598" s="6" t="n">
        <v>0</v>
      </c>
    </row>
    <row r="599">
      <c r="D599" t="inlineStr">
        <is>
          <t>Run 287</t>
        </is>
      </c>
      <c r="J599" s="6" t="n">
        <v>-1.870998647186922</v>
      </c>
      <c r="K599" s="6" t="n">
        <v>-0.3018082463658383</v>
      </c>
      <c r="L599" s="6" t="n">
        <v>-1.472704119252313</v>
      </c>
      <c r="M599" s="6" t="n">
        <v>2.020796857514539</v>
      </c>
      <c r="N599" s="6" t="n">
        <v>-4.77444979781036</v>
      </c>
      <c r="O599" s="6" t="n">
        <v>-3.589024783526112</v>
      </c>
      <c r="P599" s="6" t="n">
        <v>1.400572599574007</v>
      </c>
      <c r="Q599" s="6" t="n">
        <v>-1.439003063676937</v>
      </c>
      <c r="R599" s="6" t="n">
        <v>2.389588227319954</v>
      </c>
      <c r="S599" s="6" t="n">
        <v>-0.6345142160878191</v>
      </c>
      <c r="T599" s="6" t="n">
        <v>1.263810663625898</v>
      </c>
      <c r="U599" s="6" t="n">
        <v>-0.774159492866521</v>
      </c>
      <c r="V599" s="6" t="n">
        <v>0.1806858756963911</v>
      </c>
      <c r="W599" s="6" t="n">
        <v>1.73600326103855</v>
      </c>
      <c r="X599" s="6" t="n">
        <v>-3.192338712047108</v>
      </c>
      <c r="Y599" s="6" t="n">
        <v>0.9835245442185502</v>
      </c>
      <c r="Z599" s="6" t="n">
        <v>-0.1724162921458372</v>
      </c>
      <c r="AA599" s="6" t="n">
        <v>0.820116159036836</v>
      </c>
      <c r="AB599" s="6" t="n">
        <v>0.3198073597191957</v>
      </c>
      <c r="AC599" s="6" t="n">
        <v>-1.842218436082886</v>
      </c>
      <c r="AD599" s="6" t="n">
        <v>-0.6630631162806755</v>
      </c>
      <c r="AE599" s="6" t="n">
        <v>1.074944852754111</v>
      </c>
      <c r="AF599" s="6" t="n">
        <v>1.082555466593935</v>
      </c>
      <c r="AG599" s="6" t="n">
        <v>0.02756378702457068</v>
      </c>
      <c r="AH599" s="6" t="n">
        <v>-0.2419551339048609</v>
      </c>
      <c r="AI599" s="6" t="n">
        <v>1.897295344189331</v>
      </c>
      <c r="AJ599" s="6" t="n">
        <v>74.7264901937242</v>
      </c>
      <c r="AK599" s="6" t="n">
        <v>0.121121407086765</v>
      </c>
      <c r="AL599" s="6" t="n">
        <v>1.009572082457121</v>
      </c>
      <c r="AN599" s="6" t="n">
        <v>1.358151543341616</v>
      </c>
      <c r="AO599" s="6" t="n">
        <v>1.358151543341616</v>
      </c>
      <c r="AP599" s="6" t="n">
        <v>0.1372645396355362</v>
      </c>
      <c r="AQ599" s="6" t="n">
        <v>0</v>
      </c>
      <c r="AR599" s="6" t="n">
        <v>0</v>
      </c>
    </row>
    <row r="600">
      <c r="D600" t="inlineStr">
        <is>
          <t>Run 288</t>
        </is>
      </c>
      <c r="J600" s="6" t="n">
        <v>-0.8912980798114341</v>
      </c>
      <c r="K600" s="6" t="n">
        <v>-1.23962038090349</v>
      </c>
      <c r="L600" s="6" t="n">
        <v>-0.3536541912308999</v>
      </c>
      <c r="M600" s="6" t="n">
        <v>-1.421822854570626</v>
      </c>
      <c r="N600" s="6" t="n">
        <v>1.87262364934936</v>
      </c>
      <c r="O600" s="6" t="n">
        <v>2.468764939515611</v>
      </c>
      <c r="P600" s="6" t="n">
        <v>-3.63231928855046</v>
      </c>
      <c r="Q600" s="6" t="n">
        <v>0.04388275749336411</v>
      </c>
      <c r="R600" s="6" t="n">
        <v>4.096975125047543</v>
      </c>
      <c r="S600" s="6" t="n">
        <v>1.706179660500348</v>
      </c>
      <c r="T600" s="6" t="n">
        <v>0.5495194173506038</v>
      </c>
      <c r="U600" s="6" t="n">
        <v>1.280350267511357</v>
      </c>
      <c r="V600" s="6" t="n">
        <v>-0.1171520797841457</v>
      </c>
      <c r="W600" s="6" t="n">
        <v>-4.352723251184258</v>
      </c>
      <c r="X600" s="6" t="n">
        <v>-0.2864449965581502</v>
      </c>
      <c r="Y600" s="6" t="n">
        <v>-2.316314368557642</v>
      </c>
      <c r="Z600" s="6" t="n">
        <v>0.9217699341997126</v>
      </c>
      <c r="AA600" s="6" t="n">
        <v>0.5981615373566638</v>
      </c>
      <c r="AB600" s="6" t="n">
        <v>0.1778505098208284</v>
      </c>
      <c r="AC600" s="6" t="n">
        <v>2.079689313067105</v>
      </c>
      <c r="AD600" s="6" t="n">
        <v>-0.7130518835694152</v>
      </c>
      <c r="AE600" s="6" t="n">
        <v>-1.846137914148795</v>
      </c>
      <c r="AF600" s="6" t="n">
        <v>-1.419143746135019</v>
      </c>
      <c r="AG600" s="6" t="n">
        <v>-0.7399302548180127</v>
      </c>
      <c r="AH600" s="6" t="n">
        <v>0.7855040393590264</v>
      </c>
      <c r="AI600" s="6" t="n">
        <v>0.7391358630983565</v>
      </c>
      <c r="AJ600" s="6" t="n">
        <v>58.39102289200202</v>
      </c>
      <c r="AK600" s="6" t="n">
        <v>0.1126392509010621</v>
      </c>
      <c r="AL600" s="6" t="n">
        <v>1.085075440420157</v>
      </c>
      <c r="AN600" s="6" t="n">
        <v>1.326300033121725</v>
      </c>
      <c r="AO600" s="6" t="n">
        <v>1.328404890573966</v>
      </c>
      <c r="AP600" s="6" t="n">
        <v>0.1294061754164519</v>
      </c>
      <c r="AQ600" s="6" t="n">
        <v>0</v>
      </c>
      <c r="AR600" s="6" t="n">
        <v>0</v>
      </c>
    </row>
    <row r="601">
      <c r="D601" t="inlineStr">
        <is>
          <t>Run 289</t>
        </is>
      </c>
      <c r="J601" s="6" t="n">
        <v>0.3045307211171681</v>
      </c>
      <c r="K601" s="6" t="n">
        <v>-0.06542140307526424</v>
      </c>
      <c r="L601" s="6" t="n">
        <v>0.8681229949099784</v>
      </c>
      <c r="M601" s="6" t="n">
        <v>1.916398508292732</v>
      </c>
      <c r="N601" s="6" t="n">
        <v>2.166865160384017</v>
      </c>
      <c r="O601" s="6" t="n">
        <v>-1.758250297366332</v>
      </c>
      <c r="P601" s="6" t="n">
        <v>-2.333306940426466</v>
      </c>
      <c r="Q601" s="6" t="n">
        <v>-0.02438718006361565</v>
      </c>
      <c r="R601" s="6" t="n">
        <v>3.041313154364118</v>
      </c>
      <c r="S601" s="6" t="n">
        <v>-1.013815338324654</v>
      </c>
      <c r="T601" s="6" t="n">
        <v>2.273707526013656</v>
      </c>
      <c r="U601" s="6" t="n">
        <v>0.4753189310424384</v>
      </c>
      <c r="V601" s="6" t="n">
        <v>1.031320933172805</v>
      </c>
      <c r="W601" s="6" t="n">
        <v>1.976554282789381</v>
      </c>
      <c r="X601" s="6" t="n">
        <v>-1.283713390422762</v>
      </c>
      <c r="Y601" s="6" t="n">
        <v>-1.306189601724033</v>
      </c>
      <c r="Z601" s="6" t="n">
        <v>-3.398090771146278</v>
      </c>
      <c r="AA601" s="6" t="n">
        <v>-0.723795978687658</v>
      </c>
      <c r="AB601" s="6" t="n">
        <v>-0.5761226046918851</v>
      </c>
      <c r="AC601" s="6" t="n">
        <v>-0.4222641600066316</v>
      </c>
      <c r="AD601" s="6" t="n">
        <v>0.8874608807246261</v>
      </c>
      <c r="AE601" s="6" t="n">
        <v>-2.475721540661998</v>
      </c>
      <c r="AF601" s="6" t="n">
        <v>-2.275194060305752</v>
      </c>
      <c r="AG601" s="6" t="n">
        <v>-0.3458062102974702</v>
      </c>
      <c r="AH601" s="6" t="n">
        <v>-0.4413468996336851</v>
      </c>
      <c r="AI601" s="6" t="n">
        <v>0.7751260753709622</v>
      </c>
      <c r="AJ601" s="6" t="n">
        <v>70.7546019746396</v>
      </c>
      <c r="AK601" s="6" t="n">
        <v>0.1350876483308399</v>
      </c>
      <c r="AL601" s="6" t="n">
        <v>1.045784112417322</v>
      </c>
      <c r="AN601" s="6" t="n">
        <v>1.345474674287791</v>
      </c>
      <c r="AO601" s="6" t="n">
        <v>1.345547036786665</v>
      </c>
      <c r="AP601" s="6" t="n">
        <v>0.1323204006668001</v>
      </c>
      <c r="AQ601" s="6" t="n">
        <v>0</v>
      </c>
      <c r="AR601" s="6" t="n">
        <v>0</v>
      </c>
    </row>
    <row r="602">
      <c r="D602" t="inlineStr">
        <is>
          <t>Run 290</t>
        </is>
      </c>
      <c r="J602" s="6" t="n">
        <v>-2.993311677615886</v>
      </c>
      <c r="K602" s="6" t="n">
        <v>-0.3472116591946224</v>
      </c>
      <c r="L602" s="6" t="n">
        <v>1.143874612574631</v>
      </c>
      <c r="M602" s="6" t="n">
        <v>-1.985282071302524</v>
      </c>
      <c r="N602" s="6" t="n">
        <v>1.142969227613116</v>
      </c>
      <c r="O602" s="6" t="n">
        <v>-0.2098481379148359</v>
      </c>
      <c r="P602" s="6" t="n">
        <v>1.661560555415296</v>
      </c>
      <c r="Q602" s="6" t="n">
        <v>-1.917542805390646</v>
      </c>
      <c r="R602" s="6" t="n">
        <v>0.4989490889343021</v>
      </c>
      <c r="S602" s="6" t="n">
        <v>0.9138741164435253</v>
      </c>
      <c r="T602" s="6" t="n">
        <v>2.351799432983558</v>
      </c>
      <c r="U602" s="6" t="n">
        <v>0.8443970885036004</v>
      </c>
      <c r="V602" s="6" t="n">
        <v>-0.6783393588583317</v>
      </c>
      <c r="W602" s="6" t="n">
        <v>3.54016246661076</v>
      </c>
      <c r="X602" s="6" t="n">
        <v>2.944399489633718</v>
      </c>
      <c r="Y602" s="6" t="n">
        <v>3.190182464773191</v>
      </c>
      <c r="Z602" s="6" t="n">
        <v>-1.384750181638833</v>
      </c>
      <c r="AA602" s="6" t="n">
        <v>1.728683833877434</v>
      </c>
      <c r="AB602" s="6" t="n">
        <v>-1.70686586512027</v>
      </c>
      <c r="AC602" s="6" t="n">
        <v>0.9053490831784313</v>
      </c>
      <c r="AD602" s="6" t="n">
        <v>0.1390844155805543</v>
      </c>
      <c r="AE602" s="6" t="n">
        <v>-2.543283750470477</v>
      </c>
      <c r="AF602" s="6" t="n">
        <v>0.3710496718523922</v>
      </c>
      <c r="AG602" s="6" t="n">
        <v>1.222490452700012</v>
      </c>
      <c r="AH602" s="6" t="n">
        <v>-1.934993762214392</v>
      </c>
      <c r="AI602" s="6" t="n">
        <v>-1.603023073315118</v>
      </c>
      <c r="AJ602" s="6" t="n">
        <v>79.03523038790213</v>
      </c>
      <c r="AK602" s="6" t="n">
        <v>0.116126220768501</v>
      </c>
      <c r="AL602" s="6" t="n">
        <v>1.035358436969304</v>
      </c>
      <c r="AN602" s="6" t="n">
        <v>1.339920717090568</v>
      </c>
      <c r="AO602" s="6" t="n">
        <v>1.346171138403407</v>
      </c>
      <c r="AP602" s="6" t="n">
        <v>0.1343191333435354</v>
      </c>
      <c r="AQ602" s="6" t="n">
        <v>0</v>
      </c>
      <c r="AR602" s="6" t="n">
        <v>0</v>
      </c>
    </row>
    <row r="603">
      <c r="D603" t="inlineStr">
        <is>
          <t>Run 291</t>
        </is>
      </c>
      <c r="J603" s="6" t="n">
        <v>1.479193939055741</v>
      </c>
      <c r="K603" s="6" t="n">
        <v>0.8897581257466708</v>
      </c>
      <c r="L603" s="6" t="n">
        <v>1.585532490589724</v>
      </c>
      <c r="M603" s="6" t="n">
        <v>0.5169094564005873</v>
      </c>
      <c r="N603" s="6" t="n">
        <v>-0.9667466500412489</v>
      </c>
      <c r="O603" s="6" t="n">
        <v>0.0569569797790772</v>
      </c>
      <c r="P603" s="6" t="n">
        <v>0.4410927120834027</v>
      </c>
      <c r="Q603" s="6" t="n">
        <v>0.6872458987086634</v>
      </c>
      <c r="R603" s="6" t="n">
        <v>0.5028507097418419</v>
      </c>
      <c r="S603" s="6" t="n">
        <v>-2.847015296408513</v>
      </c>
      <c r="T603" s="6" t="n">
        <v>-2.92255264506743</v>
      </c>
      <c r="U603" s="6" t="n">
        <v>-1.169523897856258</v>
      </c>
      <c r="V603" s="6" t="n">
        <v>1.718538313638029</v>
      </c>
      <c r="W603" s="6" t="n">
        <v>-0.7844060698073473</v>
      </c>
      <c r="X603" s="6" t="n">
        <v>-2.339247536725746</v>
      </c>
      <c r="Y603" s="6" t="n">
        <v>2.45315083492457</v>
      </c>
      <c r="Z603" s="6" t="n">
        <v>1.837719566892555</v>
      </c>
      <c r="AA603" s="6" t="n">
        <v>2.066194408172005</v>
      </c>
      <c r="AB603" s="6" t="n">
        <v>-2.578466962832809</v>
      </c>
      <c r="AC603" s="6" t="n">
        <v>-1.520823870616932</v>
      </c>
      <c r="AD603" s="6" t="n">
        <v>-2.429070119426548</v>
      </c>
      <c r="AE603" s="6" t="n">
        <v>0.6359281466510672</v>
      </c>
      <c r="AF603" s="6" t="n">
        <v>-2.673667149048137</v>
      </c>
      <c r="AG603" s="6" t="n">
        <v>-1.482629497496251</v>
      </c>
      <c r="AH603" s="6" t="n">
        <v>-2.504725450170095</v>
      </c>
      <c r="AI603" s="6" t="n">
        <v>-5.454135388934605</v>
      </c>
      <c r="AJ603" s="6" t="n">
        <v>59.16735331990261</v>
      </c>
      <c r="AK603" s="6" t="n">
        <v>0.1374621203588485</v>
      </c>
      <c r="AL603" s="6" t="n">
        <v>1.037300777591614</v>
      </c>
      <c r="AN603" s="6" t="n">
        <v>1.341573910238872</v>
      </c>
      <c r="AO603" s="6" t="n">
        <v>1.341573910238872</v>
      </c>
      <c r="AP603" s="6" t="n">
        <v>0.1322517555254037</v>
      </c>
      <c r="AQ603" s="6" t="n">
        <v>0</v>
      </c>
      <c r="AR603" s="6" t="n">
        <v>0</v>
      </c>
    </row>
    <row r="604">
      <c r="D604" t="inlineStr">
        <is>
          <t>Run 292</t>
        </is>
      </c>
      <c r="J604" s="6" t="n">
        <v>3.23245554344741</v>
      </c>
      <c r="K604" s="6" t="n">
        <v>2.181720907154253</v>
      </c>
      <c r="L604" s="6" t="n">
        <v>-0.3434860054108946</v>
      </c>
      <c r="M604" s="6" t="n">
        <v>1.115920913440109</v>
      </c>
      <c r="N604" s="6" t="n">
        <v>-0.4370981967733267</v>
      </c>
      <c r="O604" s="6" t="n">
        <v>1.4080607231317</v>
      </c>
      <c r="P604" s="6" t="n">
        <v>3.475295058760861</v>
      </c>
      <c r="Q604" s="6" t="n">
        <v>0.7173620952813042</v>
      </c>
      <c r="R604" s="6" t="n">
        <v>0.8082549945449703</v>
      </c>
      <c r="S604" s="6" t="n">
        <v>-0.4869086991982305</v>
      </c>
      <c r="T604" s="6" t="n">
        <v>1.738596412368852</v>
      </c>
      <c r="U604" s="6" t="n">
        <v>1.108165010507576</v>
      </c>
      <c r="V604" s="6" t="n">
        <v>1.288735984169872</v>
      </c>
      <c r="W604" s="6" t="n">
        <v>-3.747800541177421</v>
      </c>
      <c r="X604" s="6" t="n">
        <v>0.3075066167324026</v>
      </c>
      <c r="Y604" s="6" t="n">
        <v>-0.4654598699207242</v>
      </c>
      <c r="Z604" s="6" t="n">
        <v>-1.624599797337724</v>
      </c>
      <c r="AA604" s="6" t="n">
        <v>0.4240800807946559</v>
      </c>
      <c r="AB604" s="6" t="n">
        <v>0.05219964507395459</v>
      </c>
      <c r="AC604" s="6" t="n">
        <v>0.2984590615085686</v>
      </c>
      <c r="AD604" s="6" t="n">
        <v>-2.243195785633603</v>
      </c>
      <c r="AE604" s="6" t="n">
        <v>-0.7052302000165852</v>
      </c>
      <c r="AF604" s="6" t="n">
        <v>2.097222969753528</v>
      </c>
      <c r="AG604" s="6" t="n">
        <v>-1.822995008799669</v>
      </c>
      <c r="AH604" s="6" t="n">
        <v>2.105003281182952</v>
      </c>
      <c r="AI604" s="6" t="n">
        <v>0.3030808728355046</v>
      </c>
      <c r="AJ604" s="6" t="n">
        <v>84.01240399307363</v>
      </c>
      <c r="AK604" s="6" t="n">
        <v>0.1390293692323363</v>
      </c>
      <c r="AL604" s="6" t="n">
        <v>1.06520237504103</v>
      </c>
      <c r="AN604" s="6" t="n">
        <v>1.341836502602515</v>
      </c>
      <c r="AO604" s="6" t="n">
        <v>1.342317645216183</v>
      </c>
      <c r="AP604" s="6" t="n">
        <v>0.1314158976305826</v>
      </c>
      <c r="AQ604" s="6" t="n">
        <v>0</v>
      </c>
      <c r="AR604" s="6" t="n">
        <v>0</v>
      </c>
    </row>
    <row r="605">
      <c r="D605" t="inlineStr">
        <is>
          <t>Run 293</t>
        </is>
      </c>
      <c r="J605" s="6" t="n">
        <v>-4.566297351654917</v>
      </c>
      <c r="K605" s="6" t="n">
        <v>-2.118274320593002</v>
      </c>
      <c r="L605" s="6" t="n">
        <v>1.824142167097539</v>
      </c>
      <c r="M605" s="6" t="n">
        <v>1.401485645067241</v>
      </c>
      <c r="N605" s="6" t="n">
        <v>0.904470783785792</v>
      </c>
      <c r="O605" s="6" t="n">
        <v>-1.245599742048119</v>
      </c>
      <c r="P605" s="6" t="n">
        <v>1.787394143469984</v>
      </c>
      <c r="Q605" s="6" t="n">
        <v>1.990394916721828</v>
      </c>
      <c r="R605" s="6" t="n">
        <v>-0.2159809418252119</v>
      </c>
      <c r="S605" s="6" t="n">
        <v>1.177672516696621</v>
      </c>
      <c r="T605" s="6" t="n">
        <v>2.071023912423286</v>
      </c>
      <c r="U605" s="6" t="n">
        <v>1.712534971246908</v>
      </c>
      <c r="V605" s="6" t="n">
        <v>0.9645810155475749</v>
      </c>
      <c r="W605" s="6" t="n">
        <v>0.7141245616522137</v>
      </c>
      <c r="X605" s="6" t="n">
        <v>0.08659027541386034</v>
      </c>
      <c r="Y605" s="6" t="n">
        <v>0.7011804551989144</v>
      </c>
      <c r="Z605" s="6" t="n">
        <v>0.4358603816769057</v>
      </c>
      <c r="AA605" s="6" t="n">
        <v>0.8435602934074271</v>
      </c>
      <c r="AB605" s="6" t="n">
        <v>-1.873067261874977</v>
      </c>
      <c r="AC605" s="6" t="n">
        <v>1.071838160179149</v>
      </c>
      <c r="AD605" s="6" t="n">
        <v>-0.6993932148071613</v>
      </c>
      <c r="AE605" s="6" t="n">
        <v>-0.1618609422316176</v>
      </c>
      <c r="AF605" s="6" t="n">
        <v>2.157865343704306</v>
      </c>
      <c r="AG605" s="6" t="n">
        <v>1.922446653701712</v>
      </c>
      <c r="AH605" s="6" t="n">
        <v>4.181768956943695</v>
      </c>
      <c r="AI605" s="6" t="n">
        <v>-1.513296103115151</v>
      </c>
      <c r="AJ605" s="6" t="n">
        <v>72.14696936868293</v>
      </c>
      <c r="AK605" s="6" t="n">
        <v>0.1148053457381841</v>
      </c>
      <c r="AL605" s="6" t="n">
        <v>1.029623021081701</v>
      </c>
      <c r="AN605" s="6" t="n">
        <v>1.343477457190642</v>
      </c>
      <c r="AO605" s="6" t="n">
        <v>1.343477457190642</v>
      </c>
      <c r="AP605" s="6" t="n">
        <v>0.134596888694729</v>
      </c>
      <c r="AQ605" s="6" t="n">
        <v>0</v>
      </c>
      <c r="AR605" s="6" t="n">
        <v>0</v>
      </c>
    </row>
    <row r="606">
      <c r="D606" t="inlineStr">
        <is>
          <t>Run 294</t>
        </is>
      </c>
      <c r="J606" s="6" t="n">
        <v>-2.064173884161728</v>
      </c>
      <c r="K606" s="6" t="n">
        <v>-0.4748606289216685</v>
      </c>
      <c r="L606" s="6" t="n">
        <v>-3.149256844482752</v>
      </c>
      <c r="M606" s="6" t="n">
        <v>-3.121618983331704</v>
      </c>
      <c r="N606" s="6" t="n">
        <v>2.300114617959525</v>
      </c>
      <c r="O606" s="6" t="n">
        <v>-0.2517602586601747</v>
      </c>
      <c r="P606" s="6" t="n">
        <v>-2.447269548226056</v>
      </c>
      <c r="Q606" s="6" t="n">
        <v>0.360401649973115</v>
      </c>
      <c r="R606" s="6" t="n">
        <v>0.9774936022352957</v>
      </c>
      <c r="S606" s="6" t="n">
        <v>-0.314037863504968</v>
      </c>
      <c r="T606" s="6" t="n">
        <v>-2.506410821269468</v>
      </c>
      <c r="U606" s="6" t="n">
        <v>3.10017550421517</v>
      </c>
      <c r="V606" s="6" t="n">
        <v>4.684792472748287</v>
      </c>
      <c r="W606" s="6" t="n">
        <v>4.498752853902202</v>
      </c>
      <c r="X606" s="6" t="n">
        <v>0.7720841815185183</v>
      </c>
      <c r="Y606" s="6" t="n">
        <v>-0.4155979853196355</v>
      </c>
      <c r="Z606" s="6" t="n">
        <v>4.585979003022285</v>
      </c>
      <c r="AA606" s="6" t="n">
        <v>-0.7003223269193986</v>
      </c>
      <c r="AB606" s="6" t="n">
        <v>-2.478068179030734</v>
      </c>
      <c r="AC606" s="6" t="n">
        <v>-1.614512267909438</v>
      </c>
      <c r="AD606" s="6" t="n">
        <v>-0.5790022528260111</v>
      </c>
      <c r="AE606" s="6" t="n">
        <v>-1.297823263248723</v>
      </c>
      <c r="AF606" s="6" t="n">
        <v>2.368412354134829</v>
      </c>
      <c r="AG606" s="6" t="n">
        <v>-0.591476175303988</v>
      </c>
      <c r="AH606" s="6" t="n">
        <v>-6.175951731130362</v>
      </c>
      <c r="AI606" s="6" t="n">
        <v>0.9060423894827195</v>
      </c>
      <c r="AJ606" s="6" t="n">
        <v>79.01778132886784</v>
      </c>
      <c r="AK606" s="6" t="n">
        <v>0.1300853874644922</v>
      </c>
      <c r="AL606" s="6" t="n">
        <v>1.049041986452904</v>
      </c>
      <c r="AN606" s="6" t="n">
        <v>1.315749639433977</v>
      </c>
      <c r="AO606" s="6" t="n">
        <v>1.328360919922432</v>
      </c>
      <c r="AP606" s="6" t="n">
        <v>0.132581589368183</v>
      </c>
      <c r="AQ606" s="6" t="n">
        <v>0</v>
      </c>
      <c r="AR606" s="6" t="n">
        <v>0</v>
      </c>
    </row>
    <row r="607">
      <c r="D607" t="inlineStr">
        <is>
          <t>Run 295</t>
        </is>
      </c>
      <c r="J607" s="6" t="n">
        <v>3.92996120081008</v>
      </c>
      <c r="K607" s="6" t="n">
        <v>0.1354711465962915</v>
      </c>
      <c r="L607" s="6" t="n">
        <v>-0.2681347269108583</v>
      </c>
      <c r="M607" s="6" t="n">
        <v>1.048343305004191</v>
      </c>
      <c r="N607" s="6" t="n">
        <v>-0.6771944020450544</v>
      </c>
      <c r="O607" s="6" t="n">
        <v>1.815795104339732</v>
      </c>
      <c r="P607" s="6" t="n">
        <v>4.196787874442551</v>
      </c>
      <c r="Q607" s="6" t="n">
        <v>-4.352115470155696</v>
      </c>
      <c r="R607" s="6" t="n">
        <v>0.4555006477654191</v>
      </c>
      <c r="S607" s="6" t="n">
        <v>-3.113209719524248</v>
      </c>
      <c r="T607" s="6" t="n">
        <v>-1.328380189014485</v>
      </c>
      <c r="U607" s="6" t="n">
        <v>-1.212279937277514</v>
      </c>
      <c r="V607" s="6" t="n">
        <v>-2.807795420652661</v>
      </c>
      <c r="W607" s="6" t="n">
        <v>0.4606444649861444</v>
      </c>
      <c r="X607" s="6" t="n">
        <v>1.183715550431641</v>
      </c>
      <c r="Y607" s="6" t="n">
        <v>3.120779344150874</v>
      </c>
      <c r="Z607" s="6" t="n">
        <v>1.4385052645089</v>
      </c>
      <c r="AA607" s="6" t="n">
        <v>0.616174811111618</v>
      </c>
      <c r="AB607" s="6" t="n">
        <v>0.07513606593551143</v>
      </c>
      <c r="AC607" s="6" t="n">
        <v>1.967865830176067</v>
      </c>
      <c r="AD607" s="6" t="n">
        <v>-0.4886823546712875</v>
      </c>
      <c r="AE607" s="6" t="n">
        <v>0.4135395347399188</v>
      </c>
      <c r="AF607" s="6" t="n">
        <v>1.108609864623461</v>
      </c>
      <c r="AG607" s="6" t="n">
        <v>1.926610264579453</v>
      </c>
      <c r="AH607" s="6" t="n">
        <v>2.259711424450512</v>
      </c>
      <c r="AI607" s="6" t="n">
        <v>-3.45162346273715</v>
      </c>
      <c r="AJ607" s="6" t="n">
        <v>75.953796537782</v>
      </c>
      <c r="AK607" s="6" t="n">
        <v>0.2033145665772032</v>
      </c>
      <c r="AL607" s="6" t="n">
        <v>1.054144392133312</v>
      </c>
      <c r="AN607" s="6" t="n">
        <v>1.335418604810132</v>
      </c>
      <c r="AO607" s="6" t="n">
        <v>1.335597992851939</v>
      </c>
      <c r="AP607" s="6" t="n">
        <v>0.1298758061803891</v>
      </c>
      <c r="AQ607" s="6" t="n">
        <v>0</v>
      </c>
      <c r="AR607" s="6" t="n">
        <v>0</v>
      </c>
    </row>
    <row r="608">
      <c r="D608" t="inlineStr">
        <is>
          <t>Run 296</t>
        </is>
      </c>
      <c r="J608" s="6" t="n">
        <v>3.003095130380711</v>
      </c>
      <c r="K608" s="6" t="n">
        <v>1.2999273120943</v>
      </c>
      <c r="L608" s="6" t="n">
        <v>-0.9019749917190186</v>
      </c>
      <c r="M608" s="6" t="n">
        <v>2.172766846110177</v>
      </c>
      <c r="N608" s="6" t="n">
        <v>-0.3602817497276107</v>
      </c>
      <c r="O608" s="6" t="n">
        <v>-0.07505531444460334</v>
      </c>
      <c r="P608" s="6" t="n">
        <v>-0.1900037171771229</v>
      </c>
      <c r="Q608" s="6" t="n">
        <v>2.773684113770313</v>
      </c>
      <c r="R608" s="6" t="n">
        <v>-2.136529638951243</v>
      </c>
      <c r="S608" s="6" t="n">
        <v>-0.8432249754816173</v>
      </c>
      <c r="T608" s="6" t="n">
        <v>-0.03291617903368195</v>
      </c>
      <c r="U608" s="6" t="n">
        <v>1.128966514129937</v>
      </c>
      <c r="V608" s="6" t="n">
        <v>0.2167058811883009</v>
      </c>
      <c r="W608" s="6" t="n">
        <v>-2.751537434558977</v>
      </c>
      <c r="X608" s="6" t="n">
        <v>0.3157344864630954</v>
      </c>
      <c r="Y608" s="6" t="n">
        <v>-4.248431360292888</v>
      </c>
      <c r="Z608" s="6" t="n">
        <v>-0.3844917495998332</v>
      </c>
      <c r="AA608" s="6" t="n">
        <v>-0.7171895627600436</v>
      </c>
      <c r="AB608" s="6" t="n">
        <v>2.329518935971194</v>
      </c>
      <c r="AC608" s="6" t="n">
        <v>-2.492988079773465</v>
      </c>
      <c r="AD608" s="6" t="n">
        <v>1.433269398924869</v>
      </c>
      <c r="AE608" s="6" t="n">
        <v>3.055180263607703</v>
      </c>
      <c r="AF608" s="6" t="n">
        <v>-1.446951101842198</v>
      </c>
      <c r="AG608" s="6" t="n">
        <v>-0.4056267649752955</v>
      </c>
      <c r="AH608" s="6" t="n">
        <v>-1.968782587346055</v>
      </c>
      <c r="AI608" s="6" t="n">
        <v>-1.362380079057355</v>
      </c>
      <c r="AJ608" s="6" t="n">
        <v>72.5801669454746</v>
      </c>
      <c r="AK608" s="6" t="n">
        <v>0.1070577745336237</v>
      </c>
      <c r="AL608" s="6" t="n">
        <v>1.073081434527585</v>
      </c>
      <c r="AN608" s="6" t="n">
        <v>1.339922119539207</v>
      </c>
      <c r="AO608" s="6" t="n">
        <v>1.340322994743133</v>
      </c>
      <c r="AP608" s="6" t="n">
        <v>0.1309382129167332</v>
      </c>
      <c r="AQ608" s="6" t="n">
        <v>0</v>
      </c>
      <c r="AR608" s="6" t="n">
        <v>0</v>
      </c>
    </row>
    <row r="609">
      <c r="D609" t="inlineStr">
        <is>
          <t>Run 297</t>
        </is>
      </c>
      <c r="J609" s="6" t="n">
        <v>-1.869355612824323</v>
      </c>
      <c r="K609" s="6" t="n">
        <v>1.253867373389046</v>
      </c>
      <c r="L609" s="6" t="n">
        <v>-2.235983373650673</v>
      </c>
      <c r="M609" s="6" t="n">
        <v>2.753236949373973</v>
      </c>
      <c r="N609" s="6" t="n">
        <v>1.957138782384874</v>
      </c>
      <c r="O609" s="6" t="n">
        <v>0.596656763103919</v>
      </c>
      <c r="P609" s="6" t="n">
        <v>-0.4427452340711258</v>
      </c>
      <c r="Q609" s="6" t="n">
        <v>-1.923850165392881</v>
      </c>
      <c r="R609" s="6" t="n">
        <v>-2.470451552475173</v>
      </c>
      <c r="S609" s="6" t="n">
        <v>-0.2682314983619365</v>
      </c>
      <c r="T609" s="6" t="n">
        <v>5</v>
      </c>
      <c r="U609" s="6" t="n">
        <v>0.8632399129952684</v>
      </c>
      <c r="V609" s="6" t="n">
        <v>1.000798300450716</v>
      </c>
      <c r="W609" s="6" t="n">
        <v>2.656200202273198</v>
      </c>
      <c r="X609" s="6" t="n">
        <v>-1.388871721064946</v>
      </c>
      <c r="Y609" s="6" t="n">
        <v>-3.043794376215923</v>
      </c>
      <c r="Z609" s="6" t="n">
        <v>3.240601849978069</v>
      </c>
      <c r="AA609" s="6" t="n">
        <v>-0.6191115388173106</v>
      </c>
      <c r="AB609" s="6" t="n">
        <v>1.172953703313988</v>
      </c>
      <c r="AC609" s="6" t="n">
        <v>-1.75185459445923</v>
      </c>
      <c r="AD609" s="6" t="n">
        <v>3.135890748570517</v>
      </c>
      <c r="AE609" s="6" t="n">
        <v>-3.880455101042646</v>
      </c>
      <c r="AF609" s="6" t="n">
        <v>-1.289615920403232</v>
      </c>
      <c r="AG609" s="6" t="n">
        <v>2.83656800648272</v>
      </c>
      <c r="AH609" s="6" t="n">
        <v>-0.3496624928404519</v>
      </c>
      <c r="AI609" s="6" t="n">
        <v>2.792980217164122</v>
      </c>
      <c r="AJ609" s="6" t="n">
        <v>67.81772902474327</v>
      </c>
      <c r="AK609" s="6" t="n">
        <v>0.1133968424392749</v>
      </c>
      <c r="AL609" s="6" t="n">
        <v>1.057906925932767</v>
      </c>
      <c r="AN609" s="6" t="n">
        <v>1.340787789683212</v>
      </c>
      <c r="AO609" s="6" t="n">
        <v>1.34087383052119</v>
      </c>
      <c r="AP609" s="6" t="n">
        <v>0.1313435613283338</v>
      </c>
      <c r="AQ609" s="6" t="n">
        <v>0</v>
      </c>
      <c r="AR609" s="6" t="n">
        <v>0</v>
      </c>
    </row>
    <row r="610">
      <c r="D610" t="inlineStr">
        <is>
          <t>Run 298</t>
        </is>
      </c>
      <c r="J610" s="6" t="n">
        <v>-2.183457535735527</v>
      </c>
      <c r="K610" s="6" t="n">
        <v>0.6438361008318508</v>
      </c>
      <c r="L610" s="6" t="n">
        <v>-1.784033761970646</v>
      </c>
      <c r="M610" s="6" t="n">
        <v>1.492581074257922</v>
      </c>
      <c r="N610" s="6" t="n">
        <v>0.1471842042688457</v>
      </c>
      <c r="O610" s="6" t="n">
        <v>1.076057786184795</v>
      </c>
      <c r="P610" s="6" t="n">
        <v>1.142437835938932</v>
      </c>
      <c r="Q610" s="6" t="n">
        <v>1.150820318409461</v>
      </c>
      <c r="R610" s="6" t="n">
        <v>2.984747408806604</v>
      </c>
      <c r="S610" s="6" t="n">
        <v>0.483255674575392</v>
      </c>
      <c r="T610" s="6" t="n">
        <v>1.685406951036989</v>
      </c>
      <c r="U610" s="6" t="n">
        <v>2.344777819324165</v>
      </c>
      <c r="V610" s="6" t="n">
        <v>-1.28791700493478</v>
      </c>
      <c r="W610" s="6" t="n">
        <v>0.9698524250309322</v>
      </c>
      <c r="X610" s="6" t="n">
        <v>-2.067423660336363</v>
      </c>
      <c r="Y610" s="6" t="n">
        <v>1.26917070521576</v>
      </c>
      <c r="Z610" s="6" t="n">
        <v>0.2934063324750938</v>
      </c>
      <c r="AA610" s="6" t="n">
        <v>2.87742571526234</v>
      </c>
      <c r="AB610" s="6" t="n">
        <v>0.6216112634657004</v>
      </c>
      <c r="AC610" s="6" t="n">
        <v>-2.756787138187313</v>
      </c>
      <c r="AD610" s="6" t="n">
        <v>-0.3804130358606896</v>
      </c>
      <c r="AE610" s="6" t="n">
        <v>0.7116446713278247</v>
      </c>
      <c r="AF610" s="6" t="n">
        <v>0.1370527859906921</v>
      </c>
      <c r="AG610" s="6" t="n">
        <v>1.575646244677281</v>
      </c>
      <c r="AH610" s="6" t="n">
        <v>0.6818224016314453</v>
      </c>
      <c r="AI610" s="6" t="n">
        <v>2.349036769313647</v>
      </c>
      <c r="AJ610" s="6" t="n">
        <v>70.32407962476857</v>
      </c>
      <c r="AK610" s="6" t="n">
        <v>0.1234333680512478</v>
      </c>
      <c r="AL610" s="6" t="n">
        <v>1.086394512025043</v>
      </c>
      <c r="AN610" s="6" t="n">
        <v>1.330982180217791</v>
      </c>
      <c r="AO610" s="6" t="n">
        <v>1.331426842038204</v>
      </c>
      <c r="AP610" s="6" t="n">
        <v>0.1298602666513287</v>
      </c>
      <c r="AQ610" s="6" t="n">
        <v>0</v>
      </c>
      <c r="AR610" s="6" t="n">
        <v>0</v>
      </c>
    </row>
    <row r="611">
      <c r="D611" t="inlineStr">
        <is>
          <t>Run 299</t>
        </is>
      </c>
      <c r="J611" s="6" t="n">
        <v>1.694107168904555</v>
      </c>
      <c r="K611" s="6" t="n">
        <v>0.07058929510740733</v>
      </c>
      <c r="L611" s="6" t="n">
        <v>1.476745645966242</v>
      </c>
      <c r="M611" s="6" t="n">
        <v>1.640136331465021</v>
      </c>
      <c r="N611" s="6" t="n">
        <v>-0.07840733608714988</v>
      </c>
      <c r="O611" s="6" t="n">
        <v>-0.7637933351768486</v>
      </c>
      <c r="P611" s="6" t="n">
        <v>-0.7044478883837194</v>
      </c>
      <c r="Q611" s="6" t="n">
        <v>4.290484321856919</v>
      </c>
      <c r="R611" s="6" t="n">
        <v>1.955066262660797</v>
      </c>
      <c r="S611" s="6" t="n">
        <v>-0.2360783560598533</v>
      </c>
      <c r="T611" s="6" t="n">
        <v>1.159202586538362</v>
      </c>
      <c r="U611" s="6" t="n">
        <v>-0.1261637497596811</v>
      </c>
      <c r="V611" s="6" t="n">
        <v>-0.9479173902171805</v>
      </c>
      <c r="W611" s="6" t="n">
        <v>-0.2501504138474568</v>
      </c>
      <c r="X611" s="6" t="n">
        <v>2.45769483247358</v>
      </c>
      <c r="Y611" s="6" t="n">
        <v>-3.705381883790217</v>
      </c>
      <c r="Z611" s="6" t="n">
        <v>-0.2302624362033231</v>
      </c>
      <c r="AA611" s="6" t="n">
        <v>-1.385833690062087</v>
      </c>
      <c r="AB611" s="6" t="n">
        <v>-0.4410168403777319</v>
      </c>
      <c r="AC611" s="6" t="n">
        <v>-0.6883173325099798</v>
      </c>
      <c r="AD611" s="6" t="n">
        <v>-2.881180076715967</v>
      </c>
      <c r="AE611" s="6" t="n">
        <v>1.612347910156787</v>
      </c>
      <c r="AF611" s="6" t="n">
        <v>-0.3629801897628405</v>
      </c>
      <c r="AG611" s="6" t="n">
        <v>1.934099141508148</v>
      </c>
      <c r="AH611" s="6" t="n">
        <v>-0.2771368778703535</v>
      </c>
      <c r="AI611" s="6" t="n">
        <v>-0.6012729285409024</v>
      </c>
      <c r="AJ611" s="6" t="n">
        <v>58.20556393014915</v>
      </c>
      <c r="AK611" s="6" t="n">
        <v>0.1265486915437556</v>
      </c>
      <c r="AL611" s="6" t="n">
        <v>1.071385900919951</v>
      </c>
      <c r="AN611" s="6" t="n">
        <v>1.334058342841115</v>
      </c>
      <c r="AO611" s="6" t="n">
        <v>1.334067070334985</v>
      </c>
      <c r="AP611" s="6" t="n">
        <v>0.1297718829557654</v>
      </c>
      <c r="AQ611" s="6" t="n">
        <v>0</v>
      </c>
      <c r="AR611" s="6" t="n">
        <v>0</v>
      </c>
    </row>
    <row r="612">
      <c r="D612" t="inlineStr">
        <is>
          <t>Run 300</t>
        </is>
      </c>
      <c r="J612" s="6" t="n">
        <v>3.960899248923065</v>
      </c>
      <c r="K612" s="6" t="n">
        <v>2.264156064470363</v>
      </c>
      <c r="L612" s="6" t="n">
        <v>-2.000841374709208</v>
      </c>
      <c r="M612" s="6" t="n">
        <v>1.99794375556439</v>
      </c>
      <c r="N612" s="6" t="n">
        <v>-2.422618174488656</v>
      </c>
      <c r="O612" s="6" t="n">
        <v>1.108268249515254</v>
      </c>
      <c r="P612" s="6" t="n">
        <v>1.757512075840788</v>
      </c>
      <c r="Q612" s="6" t="n">
        <v>0.6961273225180817</v>
      </c>
      <c r="R612" s="6" t="n">
        <v>-0.6787124087061577</v>
      </c>
      <c r="S612" s="6" t="n">
        <v>1.061756444838776</v>
      </c>
      <c r="T612" s="6" t="n">
        <v>0.4817311051980995</v>
      </c>
      <c r="U612" s="6" t="n">
        <v>0.3598977317640948</v>
      </c>
      <c r="V612" s="6" t="n">
        <v>-1.972034932779716</v>
      </c>
      <c r="W612" s="6" t="n">
        <v>0.4228866107906331</v>
      </c>
      <c r="X612" s="6" t="n">
        <v>-1.396360103658539</v>
      </c>
      <c r="Y612" s="6" t="n">
        <v>-1.986005857233709</v>
      </c>
      <c r="Z612" s="6" t="n">
        <v>0.4323996753181418</v>
      </c>
      <c r="AA612" s="6" t="n">
        <v>-1.772935081400772</v>
      </c>
      <c r="AB612" s="6" t="n">
        <v>1.662071302230761</v>
      </c>
      <c r="AC612" s="6" t="n">
        <v>0.4071494316606597</v>
      </c>
      <c r="AD612" s="6" t="n">
        <v>-2.247630817736128</v>
      </c>
      <c r="AE612" s="6" t="n">
        <v>1.42554048682026</v>
      </c>
      <c r="AF612" s="6" t="n">
        <v>0.09670714937602815</v>
      </c>
      <c r="AG612" s="6" t="n">
        <v>-0.5135323860864698</v>
      </c>
      <c r="AH612" s="6" t="n">
        <v>-4.46818622800034</v>
      </c>
      <c r="AI612" s="6" t="n">
        <v>-1.755848616848335</v>
      </c>
      <c r="AJ612" s="6" t="n">
        <v>60.183079701549</v>
      </c>
      <c r="AK612" s="6" t="n">
        <v>0.136527874864573</v>
      </c>
      <c r="AL612" s="6" t="n">
        <v>1.006015613495945</v>
      </c>
      <c r="AN612" s="6" t="n">
        <v>1.348521061520344</v>
      </c>
      <c r="AO612" s="6" t="n">
        <v>1.349312126935811</v>
      </c>
      <c r="AP612" s="6" t="n">
        <v>0.1359154539881562</v>
      </c>
      <c r="AQ612" s="6" t="n">
        <v>0</v>
      </c>
      <c r="AR612" s="6" t="n">
        <v>0</v>
      </c>
    </row>
    <row r="613">
      <c r="D613" t="inlineStr">
        <is>
          <t>Run 301</t>
        </is>
      </c>
      <c r="J613" s="6" t="n">
        <v>-2.190640380530154</v>
      </c>
      <c r="K613" s="6" t="n">
        <v>-1.775255957305242</v>
      </c>
      <c r="L613" s="6" t="n">
        <v>1.440172570797124</v>
      </c>
      <c r="M613" s="6" t="n">
        <v>-2.922560458950736</v>
      </c>
      <c r="N613" s="6" t="n">
        <v>-1.216323229889238</v>
      </c>
      <c r="O613" s="6" t="n">
        <v>0.0008524421004575982</v>
      </c>
      <c r="P613" s="6" t="n">
        <v>0.590487689607149</v>
      </c>
      <c r="Q613" s="6" t="n">
        <v>-1.793152850372176</v>
      </c>
      <c r="R613" s="6" t="n">
        <v>-3.802190653414006</v>
      </c>
      <c r="S613" s="6" t="n">
        <v>0.5951737595990443</v>
      </c>
      <c r="T613" s="6" t="n">
        <v>0.7914173414752661</v>
      </c>
      <c r="U613" s="6" t="n">
        <v>-0.3983913336333542</v>
      </c>
      <c r="V613" s="6" t="n">
        <v>-1.64346550260341</v>
      </c>
      <c r="W613" s="6" t="n">
        <v>1.785944351115793</v>
      </c>
      <c r="X613" s="6" t="n">
        <v>-1.219171326453749</v>
      </c>
      <c r="Y613" s="6" t="n">
        <v>-0.4133012546839379</v>
      </c>
      <c r="Z613" s="6" t="n">
        <v>-0.05733293910094708</v>
      </c>
      <c r="AA613" s="6" t="n">
        <v>0.7747622567736144</v>
      </c>
      <c r="AB613" s="6" t="n">
        <v>1.431604841746839</v>
      </c>
      <c r="AC613" s="6" t="n">
        <v>-4.173225078208464</v>
      </c>
      <c r="AD613" s="6" t="n">
        <v>-1.740546351316443</v>
      </c>
      <c r="AE613" s="6" t="n">
        <v>0.654661791136924</v>
      </c>
      <c r="AF613" s="6" t="n">
        <v>0.7765659242386462</v>
      </c>
      <c r="AG613" s="6" t="n">
        <v>2.238582128553359</v>
      </c>
      <c r="AH613" s="6" t="n">
        <v>-2.41217944282839</v>
      </c>
      <c r="AI613" s="6" t="n">
        <v>-0.4172041743349282</v>
      </c>
      <c r="AJ613" s="6" t="n">
        <v>73.36669388370198</v>
      </c>
      <c r="AK613" s="6" t="n">
        <v>0.1237694149720456</v>
      </c>
      <c r="AL613" s="6" t="n">
        <v>1.044294777759194</v>
      </c>
      <c r="AN613" s="6" t="n">
        <v>1.320231307332272</v>
      </c>
      <c r="AO613" s="6" t="n">
        <v>1.327148534956074</v>
      </c>
      <c r="AP613" s="6" t="n">
        <v>0.132420779188865</v>
      </c>
      <c r="AQ613" s="6" t="n">
        <v>0</v>
      </c>
      <c r="AR613" s="6" t="n">
        <v>0</v>
      </c>
    </row>
    <row r="614">
      <c r="D614" t="inlineStr">
        <is>
          <t>Run 302</t>
        </is>
      </c>
      <c r="J614" s="6" t="n">
        <v>-1.816622221259299</v>
      </c>
      <c r="K614" s="6" t="n">
        <v>-0.4290310549585934</v>
      </c>
      <c r="L614" s="6" t="n">
        <v>-2.236821399654042</v>
      </c>
      <c r="M614" s="6" t="n">
        <v>0.5088374756430434</v>
      </c>
      <c r="N614" s="6" t="n">
        <v>3.987700285467938</v>
      </c>
      <c r="O614" s="6" t="n">
        <v>-1.332202528434726</v>
      </c>
      <c r="P614" s="6" t="n">
        <v>-4.511235713411407</v>
      </c>
      <c r="Q614" s="6" t="n">
        <v>1.000879468262206</v>
      </c>
      <c r="R614" s="6" t="n">
        <v>0.7968911571938302</v>
      </c>
      <c r="S614" s="6" t="n">
        <v>1.66882829658429</v>
      </c>
      <c r="T614" s="6" t="n">
        <v>-2.754265673959204</v>
      </c>
      <c r="U614" s="6" t="n">
        <v>-0.366565675537662</v>
      </c>
      <c r="V614" s="6" t="n">
        <v>2.672024527581854</v>
      </c>
      <c r="W614" s="6" t="n">
        <v>-1.871045082189654</v>
      </c>
      <c r="X614" s="6" t="n">
        <v>0.7941615613634112</v>
      </c>
      <c r="Y614" s="6" t="n">
        <v>2.395764772235859</v>
      </c>
      <c r="Z614" s="6" t="n">
        <v>0.9254225790756551</v>
      </c>
      <c r="AA614" s="6" t="n">
        <v>-0.7012893787865491</v>
      </c>
      <c r="AB614" s="6" t="n">
        <v>-0.9774758379039867</v>
      </c>
      <c r="AC614" s="6" t="n">
        <v>-0.3111007546274743</v>
      </c>
      <c r="AD614" s="6" t="n">
        <v>-2.043270193746245</v>
      </c>
      <c r="AE614" s="6" t="n">
        <v>-3.080968917513935</v>
      </c>
      <c r="AF614" s="6" t="n">
        <v>-2.174673672663242</v>
      </c>
      <c r="AG614" s="6" t="n">
        <v>0.8414412506604015</v>
      </c>
      <c r="AH614" s="6" t="n">
        <v>-2.060141909617899</v>
      </c>
      <c r="AI614" s="6" t="n">
        <v>-0.9191851878696184</v>
      </c>
      <c r="AJ614" s="6" t="n">
        <v>72.01229140590578</v>
      </c>
      <c r="AK614" s="6" t="n">
        <v>0.1142053278694507</v>
      </c>
      <c r="AL614" s="6" t="n">
        <v>1.083955872054687</v>
      </c>
      <c r="AN614" s="6" t="n">
        <v>1.336378207453949</v>
      </c>
      <c r="AO614" s="6" t="n">
        <v>1.337404350578403</v>
      </c>
      <c r="AP614" s="6" t="n">
        <v>0.1304551763413593</v>
      </c>
      <c r="AQ614" s="6" t="n">
        <v>0</v>
      </c>
      <c r="AR614" s="6" t="n">
        <v>0</v>
      </c>
    </row>
    <row r="615">
      <c r="D615" t="inlineStr">
        <is>
          <t>Run 303</t>
        </is>
      </c>
      <c r="J615" s="6" t="n">
        <v>-2.136399213548702</v>
      </c>
      <c r="K615" s="6" t="n">
        <v>1.744696955407737</v>
      </c>
      <c r="L615" s="6" t="n">
        <v>-4.566449966781198</v>
      </c>
      <c r="M615" s="6" t="n">
        <v>2.478730832820043</v>
      </c>
      <c r="N615" s="6" t="n">
        <v>-0.175153032255914</v>
      </c>
      <c r="O615" s="6" t="n">
        <v>3.167051611071058</v>
      </c>
      <c r="P615" s="6" t="n">
        <v>-4.710662509898811</v>
      </c>
      <c r="Q615" s="6" t="n">
        <v>0.4000134841991621</v>
      </c>
      <c r="R615" s="6" t="n">
        <v>1.105612440470859</v>
      </c>
      <c r="S615" s="6" t="n">
        <v>-0.7781412879977384</v>
      </c>
      <c r="T615" s="6" t="n">
        <v>0.3719725503651716</v>
      </c>
      <c r="U615" s="6" t="n">
        <v>-0.4415027865602323</v>
      </c>
      <c r="V615" s="6" t="n">
        <v>0.3969757156826876</v>
      </c>
      <c r="W615" s="6" t="n">
        <v>2.337773326769546</v>
      </c>
      <c r="X615" s="6" t="n">
        <v>-0.1312511364232114</v>
      </c>
      <c r="Y615" s="6" t="n">
        <v>1.367633476853109</v>
      </c>
      <c r="Z615" s="6" t="n">
        <v>-3.382719154768623</v>
      </c>
      <c r="AA615" s="6" t="n">
        <v>-1.011996513979237</v>
      </c>
      <c r="AB615" s="6" t="n">
        <v>3.063016789495494</v>
      </c>
      <c r="AC615" s="6" t="n">
        <v>4.176622400330407</v>
      </c>
      <c r="AD615" s="6" t="n">
        <v>3.569511777663007</v>
      </c>
      <c r="AE615" s="6" t="n">
        <v>-2.803261274974504</v>
      </c>
      <c r="AF615" s="6" t="n">
        <v>0.8153895106571625</v>
      </c>
      <c r="AG615" s="6" t="n">
        <v>0.9564482391203352</v>
      </c>
      <c r="AH615" s="6" t="n">
        <v>1.243110407185507</v>
      </c>
      <c r="AI615" s="6" t="n">
        <v>-1.885238541842263</v>
      </c>
      <c r="AJ615" s="6" t="n">
        <v>64.90530646944443</v>
      </c>
      <c r="AK615" s="6" t="n">
        <v>0.1568042055781602</v>
      </c>
      <c r="AL615" s="6" t="n">
        <v>1.046647588808773</v>
      </c>
      <c r="AN615" s="6" t="n">
        <v>1.340234415302435</v>
      </c>
      <c r="AO615" s="6" t="n">
        <v>1.340776354319545</v>
      </c>
      <c r="AP615" s="6" t="n">
        <v>0.1313711016790729</v>
      </c>
      <c r="AQ615" s="6" t="n">
        <v>0</v>
      </c>
      <c r="AR615" s="6" t="n">
        <v>0</v>
      </c>
    </row>
    <row r="616">
      <c r="D616" t="inlineStr">
        <is>
          <t>Run 304</t>
        </is>
      </c>
      <c r="J616" s="6" t="n">
        <v>0.2106957178262611</v>
      </c>
      <c r="K616" s="6" t="n">
        <v>1.763173993333237</v>
      </c>
      <c r="L616" s="6" t="n">
        <v>0.9256850642565498</v>
      </c>
      <c r="M616" s="6" t="n">
        <v>-1.339559459566306</v>
      </c>
      <c r="N616" s="6" t="n">
        <v>-0.4672755240375407</v>
      </c>
      <c r="O616" s="6" t="n">
        <v>-2.529741127376769</v>
      </c>
      <c r="P616" s="6" t="n">
        <v>-0.5922817603473345</v>
      </c>
      <c r="Q616" s="6" t="n">
        <v>-0.8028243507603863</v>
      </c>
      <c r="R616" s="6" t="n">
        <v>-1.375917426708702</v>
      </c>
      <c r="S616" s="6" t="n">
        <v>-0.8732066533539313</v>
      </c>
      <c r="T616" s="6" t="n">
        <v>-1.018734740462627</v>
      </c>
      <c r="U616" s="6" t="n">
        <v>-0.7707248624938561</v>
      </c>
      <c r="V616" s="6" t="n">
        <v>0.8952486169505569</v>
      </c>
      <c r="W616" s="6" t="n">
        <v>1.536470209174049</v>
      </c>
      <c r="X616" s="6" t="n">
        <v>-0.4863825942900504</v>
      </c>
      <c r="Y616" s="6" t="n">
        <v>0.1407963015173646</v>
      </c>
      <c r="Z616" s="6" t="n">
        <v>0.001967423020157674</v>
      </c>
      <c r="AA616" s="6" t="n">
        <v>1.027108981850084</v>
      </c>
      <c r="AB616" s="6" t="n">
        <v>1.522523946396737</v>
      </c>
      <c r="AC616" s="6" t="n">
        <v>0.07722880620568985</v>
      </c>
      <c r="AD616" s="6" t="n">
        <v>-1.132926371509511</v>
      </c>
      <c r="AE616" s="6" t="n">
        <v>-3.48422953775943</v>
      </c>
      <c r="AF616" s="6" t="n">
        <v>-0.9047034273178038</v>
      </c>
      <c r="AG616" s="6" t="n">
        <v>-0.3309120518116864</v>
      </c>
      <c r="AH616" s="6" t="n">
        <v>0.9606664580727488</v>
      </c>
      <c r="AI616" s="6" t="n">
        <v>-0.908958997863031</v>
      </c>
      <c r="AJ616" s="6" t="n">
        <v>76.39133752723409</v>
      </c>
      <c r="AK616" s="6" t="n">
        <v>0.15306754043351</v>
      </c>
      <c r="AL616" s="6" t="n">
        <v>1.014304084387338</v>
      </c>
      <c r="AN616" s="6" t="n">
        <v>1.352964361290774</v>
      </c>
      <c r="AO616" s="6" t="n">
        <v>1.355448901426604</v>
      </c>
      <c r="AP616" s="6" t="n">
        <v>0.1360079704990717</v>
      </c>
      <c r="AQ616" s="6" t="n">
        <v>0</v>
      </c>
      <c r="AR616" s="6" t="n">
        <v>0</v>
      </c>
    </row>
    <row r="617">
      <c r="D617" t="inlineStr">
        <is>
          <t>Run 305</t>
        </is>
      </c>
      <c r="J617" s="6" t="n">
        <v>-0.08155737453853903</v>
      </c>
      <c r="K617" s="6" t="n">
        <v>-3.335076093364477</v>
      </c>
      <c r="L617" s="6" t="n">
        <v>1.919877350697322</v>
      </c>
      <c r="M617" s="6" t="n">
        <v>-3.170429286416141</v>
      </c>
      <c r="N617" s="6" t="n">
        <v>2.842346154851314</v>
      </c>
      <c r="O617" s="6" t="n">
        <v>2.343110213033758</v>
      </c>
      <c r="P617" s="6" t="n">
        <v>0.5916592699556008</v>
      </c>
      <c r="Q617" s="6" t="n">
        <v>1.663179789930045</v>
      </c>
      <c r="R617" s="6" t="n">
        <v>-2.084825763687296</v>
      </c>
      <c r="S617" s="6" t="n">
        <v>3.224891695981958</v>
      </c>
      <c r="T617" s="6" t="n">
        <v>0.8164227653319195</v>
      </c>
      <c r="U617" s="6" t="n">
        <v>4.220162634262903</v>
      </c>
      <c r="V617" s="6" t="n">
        <v>1.561864431702367</v>
      </c>
      <c r="W617" s="6" t="n">
        <v>0.6315634750607881</v>
      </c>
      <c r="X617" s="6" t="n">
        <v>-2.524534439349165</v>
      </c>
      <c r="Y617" s="6" t="n">
        <v>3.645583299744318</v>
      </c>
      <c r="Z617" s="6" t="n">
        <v>-3.073330855938774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-0.6982544869831601</v>
      </c>
      <c r="AF617" s="6" t="n">
        <v>0.1552554204782428</v>
      </c>
      <c r="AG617" s="6" t="n">
        <v>1.66128826549905</v>
      </c>
      <c r="AH617" s="6" t="n">
        <v>0.2309692611102639</v>
      </c>
      <c r="AI617" s="6" t="n">
        <v>-2.839597936194759</v>
      </c>
      <c r="AJ617" s="6" t="n">
        <v>73.83617415484386</v>
      </c>
      <c r="AK617" s="6" t="n">
        <v>0.08385729247754961</v>
      </c>
      <c r="AL617" s="6" t="n">
        <v>1.024496154565873</v>
      </c>
      <c r="AN617" s="6" t="n">
        <v>1.325889024803886</v>
      </c>
      <c r="AO617" s="6" t="n">
        <v>1.338488134363902</v>
      </c>
      <c r="AP617" s="6" t="n">
        <v>0.1358633242369456</v>
      </c>
      <c r="AQ617" s="6" t="n">
        <v>0</v>
      </c>
      <c r="AR617" s="6" t="n">
        <v>0</v>
      </c>
    </row>
    <row r="618">
      <c r="D618" t="inlineStr">
        <is>
          <t>Run 306</t>
        </is>
      </c>
      <c r="J618" s="6" t="n">
        <v>-2.113457256344712</v>
      </c>
      <c r="K618" s="6" t="n">
        <v>4.567176479551996</v>
      </c>
      <c r="L618" s="6" t="n">
        <v>-2.277639817076228</v>
      </c>
      <c r="M618" s="6" t="n">
        <v>1.327769750384593</v>
      </c>
      <c r="N618" s="6" t="n">
        <v>3.621300120856546</v>
      </c>
      <c r="O618" s="6" t="n">
        <v>1.353796737449595</v>
      </c>
      <c r="P618" s="6" t="n">
        <v>3.83382937269879</v>
      </c>
      <c r="Q618" s="6" t="n">
        <v>-0.5615322608366786</v>
      </c>
      <c r="R618" s="6" t="n">
        <v>-2.060357066196115</v>
      </c>
      <c r="S618" s="6" t="n">
        <v>-1.20931423204969</v>
      </c>
      <c r="T618" s="6" t="n">
        <v>3.135740971289711</v>
      </c>
      <c r="U618" s="6" t="n">
        <v>-3.301585922930613</v>
      </c>
      <c r="V618" s="6" t="n">
        <v>-1.240224344472663</v>
      </c>
      <c r="W618" s="6" t="n">
        <v>-0.909127170315978</v>
      </c>
      <c r="X618" s="6" t="n">
        <v>0.1177165294577537</v>
      </c>
      <c r="Y618" s="6" t="n">
        <v>0.09467088715084039</v>
      </c>
      <c r="Z618" s="6" t="n">
        <v>0.8009485387633679</v>
      </c>
      <c r="AA618" s="6" t="n">
        <v>1.540551572522706</v>
      </c>
      <c r="AB618" s="6" t="n">
        <v>0.1626575567841939</v>
      </c>
      <c r="AC618" s="6" t="n">
        <v>0.6564267897522502</v>
      </c>
      <c r="AD618" s="6" t="n">
        <v>0.9719770989016646</v>
      </c>
      <c r="AE618" s="6" t="n">
        <v>0.15757596118068</v>
      </c>
      <c r="AF618" s="6" t="n">
        <v>-0.3592622194629096</v>
      </c>
      <c r="AG618" s="6" t="n">
        <v>3.004169765500656</v>
      </c>
      <c r="AH618" s="6" t="n">
        <v>1.436521210883581</v>
      </c>
      <c r="AI618" s="6" t="n">
        <v>-0.1720402699325733</v>
      </c>
      <c r="AJ618" s="6" t="n">
        <v>67.1337949587754</v>
      </c>
      <c r="AK618" s="6" t="n">
        <v>0.1235141014649775</v>
      </c>
      <c r="AL618" s="6" t="n">
        <v>0.9975588498754281</v>
      </c>
      <c r="AN618" s="6" t="n">
        <v>1.355375366497861</v>
      </c>
      <c r="AO618" s="6" t="n">
        <v>1.355883589192715</v>
      </c>
      <c r="AP618" s="6" t="n">
        <v>0.1383265770954875</v>
      </c>
      <c r="AQ618" s="6" t="n">
        <v>0</v>
      </c>
      <c r="AR618" s="6" t="n">
        <v>0</v>
      </c>
    </row>
    <row r="619">
      <c r="D619" t="inlineStr">
        <is>
          <t>Run 307</t>
        </is>
      </c>
      <c r="J619" s="6" t="n">
        <v>0.2723030869250623</v>
      </c>
      <c r="K619" s="6" t="n">
        <v>-2.917192079145923</v>
      </c>
      <c r="L619" s="6" t="n">
        <v>0.6207044018394244</v>
      </c>
      <c r="M619" s="6" t="n">
        <v>-1.876220160486352</v>
      </c>
      <c r="N619" s="6" t="n">
        <v>0.8548293668170841</v>
      </c>
      <c r="O619" s="6" t="n">
        <v>2.557442274462427</v>
      </c>
      <c r="P619" s="6" t="n">
        <v>-4.956275173650113</v>
      </c>
      <c r="Q619" s="6" t="n">
        <v>0.574384243290643</v>
      </c>
      <c r="R619" s="6" t="n">
        <v>-1.042933311011293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0.3583771430723759</v>
      </c>
      <c r="W619" s="6" t="n">
        <v>1.800665799413431</v>
      </c>
      <c r="X619" s="6" t="n">
        <v>0.06135884627652508</v>
      </c>
      <c r="Y619" s="6" t="n">
        <v>1.379414158549914</v>
      </c>
      <c r="Z619" s="6" t="n">
        <v>-5.401866565347275</v>
      </c>
      <c r="AA619" s="6" t="n">
        <v>1.176485456336695</v>
      </c>
      <c r="AB619" s="6" t="n">
        <v>-1.858605802363652</v>
      </c>
      <c r="AC619" s="6" t="n">
        <v>1.449879522030195</v>
      </c>
      <c r="AD619" s="6" t="n">
        <v>-1.112545519462425</v>
      </c>
      <c r="AE619" s="6" t="n">
        <v>-0.7907783373056473</v>
      </c>
      <c r="AF619" s="6" t="n">
        <v>1.765842928214333</v>
      </c>
      <c r="AG619" s="6" t="n">
        <v>1.765792349440907</v>
      </c>
      <c r="AH619" s="6" t="n">
        <v>-0.647827769506039</v>
      </c>
      <c r="AI619" s="6" t="n">
        <v>-1.457743616945746</v>
      </c>
      <c r="AJ619" s="6" t="n">
        <v>74.59085259482782</v>
      </c>
      <c r="AK619" s="6" t="n">
        <v>0.1009449689082303</v>
      </c>
      <c r="AL619" s="6" t="n">
        <v>1.056177017632242</v>
      </c>
      <c r="AN619" s="6" t="n">
        <v>1.333881587249585</v>
      </c>
      <c r="AO619" s="6" t="n">
        <v>1.339338100290583</v>
      </c>
      <c r="AP619" s="6" t="n">
        <v>0.1324398994263201</v>
      </c>
      <c r="AQ619" s="6" t="n">
        <v>0</v>
      </c>
      <c r="AR619" s="6" t="n">
        <v>0</v>
      </c>
    </row>
    <row r="620">
      <c r="D620" t="inlineStr">
        <is>
          <t>Run 308</t>
        </is>
      </c>
      <c r="J620" s="6" t="n">
        <v>5</v>
      </c>
      <c r="K620" s="6" t="n">
        <v>0.9151541131866832</v>
      </c>
      <c r="L620" s="6" t="n">
        <v>2.364523333991451</v>
      </c>
      <c r="M620" s="6" t="n">
        <v>1.133252784097975</v>
      </c>
      <c r="N620" s="6" t="n">
        <v>-0.2228621197206359</v>
      </c>
      <c r="O620" s="6" t="n">
        <v>-2.980374850433147</v>
      </c>
      <c r="P620" s="6" t="n">
        <v>-1.869750487736734</v>
      </c>
      <c r="Q620" s="6" t="n">
        <v>-0.2660300440365101</v>
      </c>
      <c r="R620" s="6" t="n">
        <v>1.163384666065064</v>
      </c>
      <c r="S620" s="6" t="n">
        <v>-0.4037672582782084</v>
      </c>
      <c r="T620" s="6" t="n">
        <v>-1.593871864317864</v>
      </c>
      <c r="U620" s="6" t="n">
        <v>-1.57345782097686</v>
      </c>
      <c r="V620" s="6" t="n">
        <v>3.177198066276774</v>
      </c>
      <c r="W620" s="6" t="n">
        <v>-3.391149411894738</v>
      </c>
      <c r="X620" s="6" t="n">
        <v>0.03996672016836303</v>
      </c>
      <c r="Y620" s="6" t="n">
        <v>4.043511776198553</v>
      </c>
      <c r="Z620" s="6" t="n">
        <v>-4.050135088893175</v>
      </c>
      <c r="AA620" s="6" t="n">
        <v>3.411857842753304</v>
      </c>
      <c r="AB620" s="6" t="n">
        <v>-2.391808412964718</v>
      </c>
      <c r="AC620" s="6" t="n">
        <v>0.09788017565651914</v>
      </c>
      <c r="AD620" s="6" t="n">
        <v>-0.6941343054536617</v>
      </c>
      <c r="AE620" s="6" t="n">
        <v>1.433840629429692</v>
      </c>
      <c r="AF620" s="6" t="n">
        <v>-1.882435764503624</v>
      </c>
      <c r="AG620" s="6" t="n">
        <v>-0.6286095548515117</v>
      </c>
      <c r="AH620" s="6" t="n">
        <v>-1.419528585273964</v>
      </c>
      <c r="AI620" s="6" t="n">
        <v>0.2957357401053978</v>
      </c>
      <c r="AJ620" s="6" t="n">
        <v>76.97867846879055</v>
      </c>
      <c r="AK620" s="6" t="n">
        <v>0.1071092148309561</v>
      </c>
      <c r="AL620" s="6" t="n">
        <v>1.062919033145906</v>
      </c>
      <c r="AN620" s="6" t="n">
        <v>1.345735359129498</v>
      </c>
      <c r="AO620" s="6" t="n">
        <v>1.345955466176723</v>
      </c>
      <c r="AP620" s="6" t="n">
        <v>0.1321353312274555</v>
      </c>
      <c r="AQ620" s="6" t="n">
        <v>0</v>
      </c>
      <c r="AR620" s="6" t="n">
        <v>0</v>
      </c>
    </row>
    <row r="621">
      <c r="D621" t="inlineStr">
        <is>
          <t>Run 309</t>
        </is>
      </c>
      <c r="J621" s="6" t="n">
        <v>-3.249055584756309</v>
      </c>
      <c r="K621" s="6" t="n">
        <v>-3.496301540937488</v>
      </c>
      <c r="L621" s="6" t="n">
        <v>2.423236904007029</v>
      </c>
      <c r="M621" s="6" t="n">
        <v>2.410870321989205</v>
      </c>
      <c r="N621" s="6" t="n">
        <v>-1.552021280333451</v>
      </c>
      <c r="O621" s="6" t="n">
        <v>2.092793059033268</v>
      </c>
      <c r="P621" s="6" t="n">
        <v>2.760943513879487</v>
      </c>
      <c r="Q621" s="6" t="n">
        <v>-1.797023047286612</v>
      </c>
      <c r="R621" s="6" t="n">
        <v>-1.287724201202167</v>
      </c>
      <c r="S621" s="6" t="n">
        <v>5</v>
      </c>
      <c r="T621" s="6" t="n">
        <v>1.775797147109806</v>
      </c>
      <c r="U621" s="6" t="n">
        <v>3.491117904797541</v>
      </c>
      <c r="V621" s="6" t="n">
        <v>0.640185730574357</v>
      </c>
      <c r="W621" s="6" t="n">
        <v>-1.562790703358228</v>
      </c>
      <c r="X621" s="6" t="n">
        <v>-3.696656842315459</v>
      </c>
      <c r="Y621" s="6" t="n">
        <v>3.727408681055708</v>
      </c>
      <c r="Z621" s="6" t="n">
        <v>-0.4030113467654995</v>
      </c>
      <c r="AA621" s="6" t="n">
        <v>-0.4764895642665609</v>
      </c>
      <c r="AB621" s="6" t="n">
        <v>1.156833720754335</v>
      </c>
      <c r="AC621" s="6" t="n">
        <v>1.981589190313715</v>
      </c>
      <c r="AD621" s="6" t="n">
        <v>1.380373930223635</v>
      </c>
      <c r="AE621" s="6" t="n">
        <v>1.054503914408907</v>
      </c>
      <c r="AF621" s="6" t="n">
        <v>-2.723282985718587</v>
      </c>
      <c r="AG621" s="6" t="n">
        <v>2.202438689663542</v>
      </c>
      <c r="AH621" s="6" t="n">
        <v>2.512744898119965</v>
      </c>
      <c r="AI621" s="6" t="n">
        <v>-0.8847197673283584</v>
      </c>
      <c r="AJ621" s="6" t="n">
        <v>74.7435450077582</v>
      </c>
      <c r="AK621" s="6" t="n">
        <v>0.1114121931556784</v>
      </c>
      <c r="AL621" s="6" t="n">
        <v>1.085051259501049</v>
      </c>
      <c r="AN621" s="6" t="n">
        <v>1.333709368890832</v>
      </c>
      <c r="AO621" s="6" t="n">
        <v>1.333840335554946</v>
      </c>
      <c r="AP621" s="6" t="n">
        <v>0.1301956421249517</v>
      </c>
      <c r="AQ621" s="6" t="n">
        <v>0</v>
      </c>
      <c r="AR621" s="6" t="n">
        <v>0</v>
      </c>
    </row>
    <row r="622">
      <c r="D622" t="inlineStr">
        <is>
          <t>Run 310</t>
        </is>
      </c>
      <c r="J622" s="6" t="n">
        <v>2.208052597883822</v>
      </c>
      <c r="K622" s="6" t="n">
        <v>4.437880554760424</v>
      </c>
      <c r="L622" s="6" t="n">
        <v>1.132241319068312</v>
      </c>
      <c r="M622" s="6" t="n">
        <v>1.824406258357896</v>
      </c>
      <c r="N622" s="6" t="n">
        <v>-3.465911374474506</v>
      </c>
      <c r="O622" s="6" t="n">
        <v>-1.939092874163544</v>
      </c>
      <c r="P622" s="6" t="n">
        <v>-1.302963411307366</v>
      </c>
      <c r="Q622" s="6" t="n">
        <v>-1.508160541185135</v>
      </c>
      <c r="R622" s="6" t="n">
        <v>2.177961601656729</v>
      </c>
      <c r="S622" s="6" t="n">
        <v>0.3018234127566566</v>
      </c>
      <c r="T622" s="6" t="n">
        <v>0.8442278157642398</v>
      </c>
      <c r="U622" s="6" t="n">
        <v>1.564916627950395</v>
      </c>
      <c r="V622" s="6" t="n">
        <v>0.1191346260785625</v>
      </c>
      <c r="W622" s="6" t="n">
        <v>3.048853827692152</v>
      </c>
      <c r="X622" s="6" t="n">
        <v>2.216791838584167</v>
      </c>
      <c r="Y622" s="6" t="n">
        <v>0.8985388202705034</v>
      </c>
      <c r="Z622" s="6" t="n">
        <v>2.130109188639734</v>
      </c>
      <c r="AA622" s="6" t="n">
        <v>-2.532544833428639</v>
      </c>
      <c r="AB622" s="6" t="n">
        <v>5</v>
      </c>
      <c r="AC622" s="6" t="n">
        <v>1.260038543427411</v>
      </c>
      <c r="AD622" s="6" t="n">
        <v>1.35178733476389</v>
      </c>
      <c r="AE622" s="6" t="n">
        <v>3.399630227063819</v>
      </c>
      <c r="AF622" s="6" t="n">
        <v>1.084591768695322</v>
      </c>
      <c r="AG622" s="6" t="n">
        <v>-0.4788464376286777</v>
      </c>
      <c r="AH622" s="6" t="n">
        <v>0.9389119024989526</v>
      </c>
      <c r="AI622" s="6" t="n">
        <v>-1.086387025510534</v>
      </c>
      <c r="AJ622" s="6" t="n">
        <v>74.97998923248004</v>
      </c>
      <c r="AK622" s="6" t="n">
        <v>0.1914689943337047</v>
      </c>
      <c r="AL622" s="6" t="n">
        <v>1.029467602990297</v>
      </c>
      <c r="AN622" s="6" t="n">
        <v>1.349630324865559</v>
      </c>
      <c r="AO622" s="6" t="n">
        <v>1.349930067021757</v>
      </c>
      <c r="AP622" s="6" t="n">
        <v>0.1330286320436043</v>
      </c>
      <c r="AQ622" s="6" t="n">
        <v>0</v>
      </c>
      <c r="AR622" s="6" t="n">
        <v>0</v>
      </c>
    </row>
    <row r="623">
      <c r="D623" t="inlineStr">
        <is>
          <t>Run 311</t>
        </is>
      </c>
      <c r="J623" s="6" t="n">
        <v>2.451909192800636</v>
      </c>
      <c r="K623" s="6" t="n">
        <v>-0.2622951754212922</v>
      </c>
      <c r="L623" s="6" t="n">
        <v>1.060408596501451</v>
      </c>
      <c r="M623" s="6" t="n">
        <v>0.5642527300897296</v>
      </c>
      <c r="N623" s="6" t="n">
        <v>4.949083236903269</v>
      </c>
      <c r="O623" s="6" t="n">
        <v>-3.130025026156591</v>
      </c>
      <c r="P623" s="6" t="n">
        <v>-2.445320838609371</v>
      </c>
      <c r="Q623" s="6" t="n">
        <v>1.756242553790933</v>
      </c>
      <c r="R623" s="6" t="n">
        <v>0.7734797311825411</v>
      </c>
      <c r="S623" s="6" t="n">
        <v>1.359816624222463</v>
      </c>
      <c r="T623" s="6" t="n">
        <v>0.6673231778294185</v>
      </c>
      <c r="U623" s="6" t="n">
        <v>1.656943629931507</v>
      </c>
      <c r="V623" s="6" t="n">
        <v>2.064782149829153</v>
      </c>
      <c r="W623" s="6" t="n">
        <v>-0.5291906865817935</v>
      </c>
      <c r="X623" s="6" t="n">
        <v>-1.644285571897498</v>
      </c>
      <c r="Y623" s="6" t="n">
        <v>3.199754917050833</v>
      </c>
      <c r="Z623" s="6" t="n">
        <v>-0.07145091946196412</v>
      </c>
      <c r="AA623" s="6" t="n">
        <v>-1.801332943022494</v>
      </c>
      <c r="AB623" s="6" t="n">
        <v>-1.036420282664804</v>
      </c>
      <c r="AC623" s="6" t="n">
        <v>-0.1777573904987663</v>
      </c>
      <c r="AD623" s="6" t="n">
        <v>1.746414952482672</v>
      </c>
      <c r="AE623" s="6" t="n">
        <v>1.403806225473132</v>
      </c>
      <c r="AF623" s="6" t="n">
        <v>4.130321711452511</v>
      </c>
      <c r="AG623" s="6" t="n">
        <v>0.6413574727934449</v>
      </c>
      <c r="AH623" s="6" t="n">
        <v>-1.266672625846232</v>
      </c>
      <c r="AI623" s="6" t="n">
        <v>1.454318464682859</v>
      </c>
      <c r="AJ623" s="6" t="n">
        <v>64.87248814969497</v>
      </c>
      <c r="AK623" s="6" t="n">
        <v>0.1155513755278009</v>
      </c>
      <c r="AL623" s="6" t="n">
        <v>1.081600901732573</v>
      </c>
      <c r="AN623" s="6" t="n">
        <v>1.333790376785833</v>
      </c>
      <c r="AO623" s="6" t="n">
        <v>1.335181417665623</v>
      </c>
      <c r="AP623" s="6" t="n">
        <v>0.1300332384043608</v>
      </c>
      <c r="AQ623" s="6" t="n">
        <v>0</v>
      </c>
      <c r="AR623" s="6" t="n">
        <v>0</v>
      </c>
    </row>
    <row r="624">
      <c r="D624" t="inlineStr">
        <is>
          <t>Run 312</t>
        </is>
      </c>
      <c r="J624" s="6" t="n">
        <v>-1.837853499627039</v>
      </c>
      <c r="K624" s="6" t="n">
        <v>1.934818324549935</v>
      </c>
      <c r="L624" s="6" t="n">
        <v>2.698897073103196</v>
      </c>
      <c r="M624" s="6" t="n">
        <v>-0.9347832898266225</v>
      </c>
      <c r="N624" s="6" t="n">
        <v>-0.8169423957111327</v>
      </c>
      <c r="O624" s="6" t="n">
        <v>-3.385905774962558</v>
      </c>
      <c r="P624" s="6" t="n">
        <v>0.6951798160116568</v>
      </c>
      <c r="Q624" s="6" t="n">
        <v>3.288592618070067</v>
      </c>
      <c r="R624" s="6" t="n">
        <v>-0.9927766961375105</v>
      </c>
      <c r="S624" s="6" t="n">
        <v>-3.46600693311632</v>
      </c>
      <c r="T624" s="6" t="n">
        <v>0.2068796924329083</v>
      </c>
      <c r="U624" s="6" t="n">
        <v>-2.460289768917601</v>
      </c>
      <c r="V624" s="6" t="n">
        <v>-0.4764286424164586</v>
      </c>
      <c r="W624" s="6" t="n">
        <v>1.916833024885463</v>
      </c>
      <c r="X624" s="6" t="n">
        <v>2.232587036844063</v>
      </c>
      <c r="Y624" s="6" t="n">
        <v>4.778435665770461</v>
      </c>
      <c r="Z624" s="6" t="n">
        <v>1.476254632768332</v>
      </c>
      <c r="AA624" s="6" t="n">
        <v>-2.560542498130449</v>
      </c>
      <c r="AB624" s="6" t="n">
        <v>4.134552144320169</v>
      </c>
      <c r="AC624" s="6" t="n">
        <v>0.8430262979548836</v>
      </c>
      <c r="AD624" s="6" t="n">
        <v>-0.0388758026849474</v>
      </c>
      <c r="AE624" s="6" t="n">
        <v>0.5823841831915962</v>
      </c>
      <c r="AF624" s="6" t="n">
        <v>-1.131735927465486</v>
      </c>
      <c r="AG624" s="6" t="n">
        <v>-1.287808857004065</v>
      </c>
      <c r="AH624" s="6" t="n">
        <v>0.5531807714734945</v>
      </c>
      <c r="AI624" s="6" t="n">
        <v>-1.044997699473534</v>
      </c>
      <c r="AJ624" s="6" t="n">
        <v>60.61120348177649</v>
      </c>
      <c r="AK624" s="6" t="n">
        <v>0.09736874550841862</v>
      </c>
      <c r="AL624" s="6" t="n">
        <v>1.059042815153102</v>
      </c>
      <c r="AN624" s="6" t="n">
        <v>1.338649779938887</v>
      </c>
      <c r="AO624" s="6" t="n">
        <v>1.338885160781603</v>
      </c>
      <c r="AP624" s="6" t="n">
        <v>0.1314082224029715</v>
      </c>
      <c r="AQ624" s="6" t="n">
        <v>0</v>
      </c>
      <c r="AR624" s="6" t="n">
        <v>0</v>
      </c>
    </row>
    <row r="625">
      <c r="D625" t="inlineStr">
        <is>
          <t>Run 313</t>
        </is>
      </c>
      <c r="J625" s="6" t="n">
        <v>-1.025198624411903</v>
      </c>
      <c r="K625" s="6" t="n">
        <v>1.189981346812698</v>
      </c>
      <c r="L625" s="6" t="n">
        <v>0.3673863677818335</v>
      </c>
      <c r="M625" s="6" t="n">
        <v>3.250299611935183</v>
      </c>
      <c r="N625" s="6" t="n">
        <v>-3.912242081385085</v>
      </c>
      <c r="O625" s="6" t="n">
        <v>3.507933436184369</v>
      </c>
      <c r="P625" s="6" t="n">
        <v>-0.3520997982090099</v>
      </c>
      <c r="Q625" s="6" t="n">
        <v>-1.157111027650636</v>
      </c>
      <c r="R625" s="6" t="n">
        <v>-0.3390742079979763</v>
      </c>
      <c r="S625" s="6" t="n">
        <v>0.5379206375379322</v>
      </c>
      <c r="T625" s="6" t="n">
        <v>-1.430728497085408</v>
      </c>
      <c r="U625" s="6" t="n">
        <v>2.938990829242047</v>
      </c>
      <c r="V625" s="6" t="n">
        <v>-2.662379835254437</v>
      </c>
      <c r="W625" s="6" t="n">
        <v>-0.3087183724342342</v>
      </c>
      <c r="X625" s="6" t="n">
        <v>-4.149443750444878</v>
      </c>
      <c r="Y625" s="6" t="n">
        <v>0.3202356995944879</v>
      </c>
      <c r="Z625" s="6" t="n">
        <v>-2.695165495009006</v>
      </c>
      <c r="AA625" s="6" t="n">
        <v>2.333258295198022</v>
      </c>
      <c r="AB625" s="6" t="n">
        <v>-2.682533105865032</v>
      </c>
      <c r="AC625" s="6" t="n">
        <v>-3.571747032889838</v>
      </c>
      <c r="AD625" s="6" t="n">
        <v>-4.100781123535602</v>
      </c>
      <c r="AE625" s="6" t="n">
        <v>0.9626612349611021</v>
      </c>
      <c r="AF625" s="6" t="n">
        <v>-0.3718463598733677</v>
      </c>
      <c r="AG625" s="6" t="n">
        <v>1.902976187409237</v>
      </c>
      <c r="AH625" s="6" t="n">
        <v>-2.836980278436255</v>
      </c>
      <c r="AI625" s="6" t="n">
        <v>-3.701004291812409</v>
      </c>
      <c r="AJ625" s="6" t="n">
        <v>60.52944964732055</v>
      </c>
      <c r="AK625" s="6" t="n">
        <v>0.1584795056428815</v>
      </c>
      <c r="AL625" s="6" t="n">
        <v>1.103943169260281</v>
      </c>
      <c r="AN625" s="6" t="n">
        <v>1.318301951014912</v>
      </c>
      <c r="AO625" s="6" t="n">
        <v>1.319030085236746</v>
      </c>
      <c r="AP625" s="6" t="n">
        <v>0.1277296120693185</v>
      </c>
      <c r="AQ625" s="6" t="n">
        <v>0</v>
      </c>
      <c r="AR625" s="6" t="n">
        <v>0</v>
      </c>
    </row>
    <row r="626">
      <c r="D626" t="inlineStr">
        <is>
          <t>Run 314</t>
        </is>
      </c>
      <c r="J626" s="6" t="n">
        <v>-0.4195589277241298</v>
      </c>
      <c r="K626" s="6" t="n">
        <v>-3.56762341549377</v>
      </c>
      <c r="L626" s="6" t="n">
        <v>-0.6423341187091325</v>
      </c>
      <c r="M626" s="6" t="n">
        <v>0.4969191842586196</v>
      </c>
      <c r="N626" s="6" t="n">
        <v>1.372455778376806</v>
      </c>
      <c r="O626" s="6" t="n">
        <v>1.005311384802772</v>
      </c>
      <c r="P626" s="6" t="n">
        <v>-0.3383510842823421</v>
      </c>
      <c r="Q626" s="6" t="n">
        <v>0.3815118528949516</v>
      </c>
      <c r="R626" s="6" t="n">
        <v>-4.367152549120832</v>
      </c>
      <c r="S626" s="6" t="n">
        <v>-2.544298940767787</v>
      </c>
      <c r="T626" s="6" t="n">
        <v>0.218848108551998</v>
      </c>
      <c r="U626" s="6" t="n">
        <v>1.769679852900006</v>
      </c>
      <c r="V626" s="6" t="n">
        <v>-2.177513566424876</v>
      </c>
      <c r="W626" s="6" t="n">
        <v>4.496526695837477</v>
      </c>
      <c r="X626" s="6" t="n">
        <v>-1.146243015690539</v>
      </c>
      <c r="Y626" s="6" t="n">
        <v>-0.3671246649825101</v>
      </c>
      <c r="Z626" s="6" t="n">
        <v>0.2429185051809064</v>
      </c>
      <c r="AA626" s="6" t="n">
        <v>2.02658077804833</v>
      </c>
      <c r="AB626" s="6" t="n">
        <v>-3.684329124244288</v>
      </c>
      <c r="AC626" s="6" t="n">
        <v>-2.54830505770259</v>
      </c>
      <c r="AD626" s="6" t="n">
        <v>-2.319747350772767</v>
      </c>
      <c r="AE626" s="6" t="n">
        <v>-2.293607477542212</v>
      </c>
      <c r="AF626" s="6" t="n">
        <v>-1.370134824033927</v>
      </c>
      <c r="AG626" s="6" t="n">
        <v>-3.333578824411367</v>
      </c>
      <c r="AH626" s="6" t="n">
        <v>-1.297936254167922</v>
      </c>
      <c r="AI626" s="6" t="n">
        <v>-0.6615387631137343</v>
      </c>
      <c r="AJ626" s="6" t="n">
        <v>63.30905213956429</v>
      </c>
      <c r="AK626" s="6" t="n">
        <v>0.0848319281541976</v>
      </c>
      <c r="AL626" s="6" t="n">
        <v>1.104365812561341</v>
      </c>
      <c r="AN626" s="6" t="n">
        <v>1.328312552625964</v>
      </c>
      <c r="AO626" s="6" t="n">
        <v>1.328365454061729</v>
      </c>
      <c r="AP626" s="6" t="n">
        <v>0.1294270438247803</v>
      </c>
      <c r="AQ626" s="6" t="n">
        <v>0</v>
      </c>
      <c r="AR626" s="6" t="n">
        <v>0</v>
      </c>
    </row>
    <row r="627">
      <c r="D627" t="inlineStr">
        <is>
          <t>Run 315</t>
        </is>
      </c>
      <c r="J627" s="6" t="n">
        <v>-1.837086293294165</v>
      </c>
      <c r="K627" s="6" t="n">
        <v>0.7377700138644263</v>
      </c>
      <c r="L627" s="6" t="n">
        <v>-0.9433665334317282</v>
      </c>
      <c r="M627" s="6" t="n">
        <v>-2.08841727606853</v>
      </c>
      <c r="N627" s="6" t="n">
        <v>2.062324365347975</v>
      </c>
      <c r="O627" s="6" t="n">
        <v>-3.031864355103938</v>
      </c>
      <c r="P627" s="6" t="n">
        <v>-6.713267196109227</v>
      </c>
      <c r="Q627" s="6" t="n">
        <v>-1.721182106956825</v>
      </c>
      <c r="R627" s="6" t="n">
        <v>2.841486669504034</v>
      </c>
      <c r="S627" s="6" t="n">
        <v>0.928660542431869</v>
      </c>
      <c r="T627" s="6" t="n">
        <v>-6.345423906552681</v>
      </c>
      <c r="U627" s="6" t="n">
        <v>0.2365726707562877</v>
      </c>
      <c r="V627" s="6" t="n">
        <v>-0.2401352165155594</v>
      </c>
      <c r="W627" s="6" t="n">
        <v>-3.358069923167724</v>
      </c>
      <c r="X627" s="6" t="n">
        <v>-2.678400769620391</v>
      </c>
      <c r="Y627" s="6" t="n">
        <v>-3.573411952764102</v>
      </c>
      <c r="Z627" s="6" t="n">
        <v>-0.08367871826884178</v>
      </c>
      <c r="AA627" s="6" t="n">
        <v>1.253990971897977</v>
      </c>
      <c r="AB627" s="6" t="n">
        <v>1.340191690928337</v>
      </c>
      <c r="AC627" s="6" t="n">
        <v>-1.679431829187819</v>
      </c>
      <c r="AD627" s="6" t="n">
        <v>1.266402578090454</v>
      </c>
      <c r="AE627" s="6" t="n">
        <v>-1.742216441627652</v>
      </c>
      <c r="AF627" s="6" t="n">
        <v>0.01599479544013191</v>
      </c>
      <c r="AG627" s="6" t="n">
        <v>-1.62389874091885</v>
      </c>
      <c r="AH627" s="6" t="n">
        <v>4.230437305580668</v>
      </c>
      <c r="AI627" s="6" t="n">
        <v>-0.8429406961711061</v>
      </c>
      <c r="AJ627" s="6" t="n">
        <v>75.40516074459282</v>
      </c>
      <c r="AK627" s="6" t="n">
        <v>0.2008075589950503</v>
      </c>
      <c r="AL627" s="6" t="n">
        <v>1.060831525822256</v>
      </c>
      <c r="AN627" s="6" t="n">
        <v>1.314674062917681</v>
      </c>
      <c r="AO627" s="6" t="n">
        <v>1.31956792579206</v>
      </c>
      <c r="AP627" s="6" t="n">
        <v>0.128747727962424</v>
      </c>
      <c r="AQ627" s="6" t="n">
        <v>0</v>
      </c>
      <c r="AR627" s="6" t="n">
        <v>0</v>
      </c>
    </row>
    <row r="628">
      <c r="D628" t="inlineStr">
        <is>
          <t>Run 316</t>
        </is>
      </c>
      <c r="J628" s="6" t="n">
        <v>-1.035981081951405</v>
      </c>
      <c r="K628" s="6" t="n">
        <v>1.437635100233716</v>
      </c>
      <c r="L628" s="6" t="n">
        <v>0.4150562147917507</v>
      </c>
      <c r="M628" s="6" t="n">
        <v>-0.8738559161503713</v>
      </c>
      <c r="N628" s="6" t="n">
        <v>2.720295795073862</v>
      </c>
      <c r="O628" s="6" t="n">
        <v>-0.2740879029255511</v>
      </c>
      <c r="P628" s="6" t="n">
        <v>4.100119023747442</v>
      </c>
      <c r="Q628" s="6" t="n">
        <v>2.437424399226338</v>
      </c>
      <c r="R628" s="6" t="n">
        <v>1.35716278773986</v>
      </c>
      <c r="S628" s="6" t="n">
        <v>1.383141914707683</v>
      </c>
      <c r="T628" s="6" t="n">
        <v>1.591963923952031</v>
      </c>
      <c r="U628" s="6" t="n">
        <v>-4.355958503257733</v>
      </c>
      <c r="V628" s="6" t="n">
        <v>-0.9522556384518159</v>
      </c>
      <c r="W628" s="6" t="n">
        <v>-1.843157354041609</v>
      </c>
      <c r="X628" s="6" t="n">
        <v>-2.065433946655675</v>
      </c>
      <c r="Y628" s="6" t="n">
        <v>-3.961832099963505</v>
      </c>
      <c r="Z628" s="6" t="n">
        <v>-1.456617768503311</v>
      </c>
      <c r="AA628" s="6" t="n">
        <v>-1.159456482817394</v>
      </c>
      <c r="AB628" s="6" t="n">
        <v>2.488938472554878</v>
      </c>
      <c r="AC628" s="6" t="n">
        <v>-0.7704965181530309</v>
      </c>
      <c r="AD628" s="6" t="n">
        <v>2.703793221563166</v>
      </c>
      <c r="AE628" s="6" t="n">
        <v>0.1521539685677797</v>
      </c>
      <c r="AF628" s="6" t="n">
        <v>2.992772770857636</v>
      </c>
      <c r="AG628" s="6" t="n">
        <v>-1.028347126149745</v>
      </c>
      <c r="AH628" s="6" t="n">
        <v>-1.626262670351762</v>
      </c>
      <c r="AI628" s="6" t="n">
        <v>0.3843129413882649</v>
      </c>
      <c r="AJ628" s="6" t="n">
        <v>61.41644414723063</v>
      </c>
      <c r="AK628" s="6" t="n">
        <v>0.05822496638346345</v>
      </c>
      <c r="AL628" s="6" t="n">
        <v>1.066990829120609</v>
      </c>
      <c r="AN628" s="6" t="n">
        <v>1.339297191128751</v>
      </c>
      <c r="AO628" s="6" t="n">
        <v>1.339652618639645</v>
      </c>
      <c r="AP628" s="6" t="n">
        <v>0.1313568184360058</v>
      </c>
      <c r="AQ628" s="6" t="n">
        <v>0</v>
      </c>
      <c r="AR628" s="6" t="n">
        <v>0</v>
      </c>
    </row>
    <row r="629">
      <c r="D629" t="inlineStr">
        <is>
          <t>Run 317</t>
        </is>
      </c>
      <c r="J629" s="6" t="n">
        <v>3.495257379788293</v>
      </c>
      <c r="K629" s="6" t="n">
        <v>0.9614793930302588</v>
      </c>
      <c r="L629" s="6" t="n">
        <v>2.624989632243345</v>
      </c>
      <c r="M629" s="6" t="n">
        <v>1.495990880660918</v>
      </c>
      <c r="N629" s="6" t="n">
        <v>-0.7519281753272545</v>
      </c>
      <c r="O629" s="6" t="n">
        <v>0.5868147747953476</v>
      </c>
      <c r="P629" s="6" t="n">
        <v>2.561814535934326</v>
      </c>
      <c r="Q629" s="6" t="n">
        <v>2.659903944683421</v>
      </c>
      <c r="R629" s="6" t="n">
        <v>1.255963967737101</v>
      </c>
      <c r="S629" s="6" t="n">
        <v>0.07391941758682948</v>
      </c>
      <c r="T629" s="6" t="n">
        <v>-1.207630172542271</v>
      </c>
      <c r="U629" s="6" t="n">
        <v>-0.6521777595533216</v>
      </c>
      <c r="V629" s="6" t="n">
        <v>-0.9974782995624087</v>
      </c>
      <c r="W629" s="6" t="n">
        <v>-0.172178286484059</v>
      </c>
      <c r="X629" s="6" t="n">
        <v>-1.361888255049071</v>
      </c>
      <c r="Y629" s="6" t="n">
        <v>-0.4321275280047238</v>
      </c>
      <c r="Z629" s="6" t="n">
        <v>-2.017897125978676</v>
      </c>
      <c r="AA629" s="6" t="n">
        <v>-2.731635244965879</v>
      </c>
      <c r="AB629" s="6" t="n">
        <v>0.8361536687268094</v>
      </c>
      <c r="AC629" s="6" t="n">
        <v>0.8603939634432402</v>
      </c>
      <c r="AD629" s="6" t="n">
        <v>-0.8400870913511981</v>
      </c>
      <c r="AE629" s="6" t="n">
        <v>2.086941120204701</v>
      </c>
      <c r="AF629" s="6" t="n">
        <v>-2.46455009117421</v>
      </c>
      <c r="AG629" s="6" t="n">
        <v>-1.896447898473839</v>
      </c>
      <c r="AH629" s="6" t="n">
        <v>-0.6533148830129505</v>
      </c>
      <c r="AI629" s="6" t="n">
        <v>-2.741977646866526</v>
      </c>
      <c r="AJ629" s="6" t="n">
        <v>75.54155980251399</v>
      </c>
      <c r="AK629" s="6" t="n">
        <v>0.1115543988727387</v>
      </c>
      <c r="AL629" s="6" t="n">
        <v>1.059224703938089</v>
      </c>
      <c r="AN629" s="6" t="n">
        <v>1.345238196754778</v>
      </c>
      <c r="AO629" s="6" t="n">
        <v>1.345680085240398</v>
      </c>
      <c r="AP629" s="6" t="n">
        <v>0.1321420819938344</v>
      </c>
      <c r="AQ629" s="6" t="n">
        <v>0</v>
      </c>
      <c r="AR629" s="6" t="n">
        <v>0</v>
      </c>
    </row>
    <row r="630">
      <c r="D630" t="inlineStr">
        <is>
          <t>Run 318</t>
        </is>
      </c>
      <c r="J630" s="6" t="n">
        <v>0.09093644180548774</v>
      </c>
      <c r="K630" s="6" t="n">
        <v>0.9272413648437493</v>
      </c>
      <c r="L630" s="6" t="n">
        <v>0.07351495782147943</v>
      </c>
      <c r="M630" s="6" t="n">
        <v>3.160079169016856</v>
      </c>
      <c r="N630" s="6" t="n">
        <v>-2.382188800792847</v>
      </c>
      <c r="O630" s="6" t="n">
        <v>4.129293484149958</v>
      </c>
      <c r="P630" s="6" t="n">
        <v>1.700027524280642</v>
      </c>
      <c r="Q630" s="6" t="n">
        <v>-0.4500596725916363</v>
      </c>
      <c r="R630" s="6" t="n">
        <v>0.578770660703696</v>
      </c>
      <c r="S630" s="6" t="n">
        <v>-0.8435490999180726</v>
      </c>
      <c r="T630" s="6" t="n">
        <v>1.707793040679821</v>
      </c>
      <c r="U630" s="6" t="n">
        <v>-2.146001149450394</v>
      </c>
      <c r="V630" s="6" t="n">
        <v>4.725395714171491</v>
      </c>
      <c r="W630" s="6" t="n">
        <v>-2.022420905493244</v>
      </c>
      <c r="X630" s="6" t="n">
        <v>-4.062149367665851</v>
      </c>
      <c r="Y630" s="6" t="n">
        <v>-0.9770054881290897</v>
      </c>
      <c r="Z630" s="6" t="n">
        <v>3.726257550583688</v>
      </c>
      <c r="AA630" s="6" t="n">
        <v>2.132162801783801</v>
      </c>
      <c r="AB630" s="6" t="n">
        <v>0.8073464677849921</v>
      </c>
      <c r="AC630" s="6" t="n">
        <v>0.437919129006396</v>
      </c>
      <c r="AD630" s="6" t="n">
        <v>1.096767387434261</v>
      </c>
      <c r="AE630" s="6" t="n">
        <v>0.5364711626545767</v>
      </c>
      <c r="AF630" s="6" t="n">
        <v>-0.6402546802548944</v>
      </c>
      <c r="AG630" s="6" t="n">
        <v>0.499448898169337</v>
      </c>
      <c r="AH630" s="6" t="n">
        <v>-0.2181896499526587</v>
      </c>
      <c r="AI630" s="6" t="n">
        <v>0.3561418398958699</v>
      </c>
      <c r="AJ630" s="6" t="n">
        <v>64.59934445824018</v>
      </c>
      <c r="AK630" s="6" t="n">
        <v>0.1610410706748404</v>
      </c>
      <c r="AL630" s="6" t="n">
        <v>1.029718009419823</v>
      </c>
      <c r="AN630" s="6" t="n">
        <v>1.344291777390581</v>
      </c>
      <c r="AO630" s="6" t="n">
        <v>1.345542018136303</v>
      </c>
      <c r="AP630" s="6" t="n">
        <v>0.132773956813346</v>
      </c>
      <c r="AQ630" s="6" t="n">
        <v>0</v>
      </c>
      <c r="AR630" s="6" t="n">
        <v>0</v>
      </c>
    </row>
    <row r="631">
      <c r="D631" t="inlineStr">
        <is>
          <t>Run 319</t>
        </is>
      </c>
      <c r="J631" s="6" t="n">
        <v>-2.086757202812768</v>
      </c>
      <c r="K631" s="6" t="n">
        <v>-0.6506855513559231</v>
      </c>
      <c r="L631" s="6" t="n">
        <v>4.638088911812007</v>
      </c>
      <c r="M631" s="6" t="n">
        <v>-1.486577207413373</v>
      </c>
      <c r="N631" s="6" t="n">
        <v>-1.042074995278292</v>
      </c>
      <c r="O631" s="6" t="n">
        <v>1.395068157418962</v>
      </c>
      <c r="P631" s="6" t="n">
        <v>0.3381654413491549</v>
      </c>
      <c r="Q631" s="6" t="n">
        <v>3.317413695186073</v>
      </c>
      <c r="R631" s="6" t="n">
        <v>0.924431639679738</v>
      </c>
      <c r="S631" s="6" t="n">
        <v>-0.9343555018054042</v>
      </c>
      <c r="T631" s="6" t="n">
        <v>-2.409115401403076</v>
      </c>
      <c r="U631" s="6" t="n">
        <v>1.48429242385115</v>
      </c>
      <c r="V631" s="6" t="n">
        <v>2.342793478777887</v>
      </c>
      <c r="W631" s="6" t="n">
        <v>-0.1790634072367374</v>
      </c>
      <c r="X631" s="6" t="n">
        <v>-2.442031911785175</v>
      </c>
      <c r="Y631" s="6" t="n">
        <v>0.8610005032917316</v>
      </c>
      <c r="Z631" s="6" t="n">
        <v>-0.04693554771598997</v>
      </c>
      <c r="AA631" s="6" t="n">
        <v>-1.936784373716405</v>
      </c>
      <c r="AB631" s="6" t="n">
        <v>-3.51318261578536</v>
      </c>
      <c r="AC631" s="6" t="n">
        <v>-3.767996611890794</v>
      </c>
      <c r="AD631" s="6" t="n">
        <v>0.9452562227145217</v>
      </c>
      <c r="AE631" s="6" t="n">
        <v>2.217750818293699</v>
      </c>
      <c r="AF631" s="6" t="n">
        <v>-4.43458593663972</v>
      </c>
      <c r="AG631" s="6" t="n">
        <v>-4.443308764168798</v>
      </c>
      <c r="AH631" s="6" t="n">
        <v>1.428351294193095</v>
      </c>
      <c r="AI631" s="6" t="n">
        <v>-2.12384751708481</v>
      </c>
      <c r="AJ631" s="6" t="n">
        <v>77.88033329455199</v>
      </c>
      <c r="AK631" s="6" t="n">
        <v>0.1150625559939243</v>
      </c>
      <c r="AL631" s="6" t="n">
        <v>1.049959033422095</v>
      </c>
      <c r="AN631" s="6" t="n">
        <v>1.341872062131923</v>
      </c>
      <c r="AO631" s="6" t="n">
        <v>1.345694611316977</v>
      </c>
      <c r="AP631" s="6" t="n">
        <v>0.1329567395079856</v>
      </c>
      <c r="AQ631" s="6" t="n">
        <v>0</v>
      </c>
      <c r="AR631" s="6" t="n">
        <v>0</v>
      </c>
    </row>
    <row r="632">
      <c r="D632" t="inlineStr">
        <is>
          <t>Run 320</t>
        </is>
      </c>
      <c r="J632" s="6" t="n">
        <v>1.520517994183609</v>
      </c>
      <c r="K632" s="6" t="n">
        <v>1.637825734156874</v>
      </c>
      <c r="L632" s="6" t="n">
        <v>2.392020052935101</v>
      </c>
      <c r="M632" s="6" t="n">
        <v>-0.773051040037754</v>
      </c>
      <c r="N632" s="6" t="n">
        <v>0.4664468791033186</v>
      </c>
      <c r="O632" s="6" t="n">
        <v>1.885271804733128</v>
      </c>
      <c r="P632" s="6" t="n">
        <v>3.345644757294237</v>
      </c>
      <c r="Q632" s="6" t="n">
        <v>0.7881588575654223</v>
      </c>
      <c r="R632" s="6" t="n">
        <v>-0.1807690284626628</v>
      </c>
      <c r="S632" s="6" t="n">
        <v>1.620827709379157</v>
      </c>
      <c r="T632" s="6" t="n">
        <v>-0.1844652751708667</v>
      </c>
      <c r="U632" s="6" t="n">
        <v>0.140098730663726</v>
      </c>
      <c r="V632" s="6" t="n">
        <v>5</v>
      </c>
      <c r="W632" s="6" t="n">
        <v>1.377494768547183</v>
      </c>
      <c r="X632" s="6" t="n">
        <v>0.6671392586769418</v>
      </c>
      <c r="Y632" s="6" t="n">
        <v>3.075504932695157</v>
      </c>
      <c r="Z632" s="6" t="n">
        <v>0.3935454791686193</v>
      </c>
      <c r="AA632" s="6" t="n">
        <v>5</v>
      </c>
      <c r="AB632" s="6" t="n">
        <v>-0.9987709957867298</v>
      </c>
      <c r="AC632" s="6" t="n">
        <v>2.578767066858972</v>
      </c>
      <c r="AD632" s="6" t="n">
        <v>0.4721106254423265</v>
      </c>
      <c r="AE632" s="6" t="n">
        <v>-4.70263863101848</v>
      </c>
      <c r="AF632" s="6" t="n">
        <v>-0.275254890637421</v>
      </c>
      <c r="AG632" s="6" t="n">
        <v>-0.9697188752637501</v>
      </c>
      <c r="AH632" s="6" t="n">
        <v>-1.489805067747791</v>
      </c>
      <c r="AI632" s="6" t="n">
        <v>2.21357041720734</v>
      </c>
      <c r="AJ632" s="6" t="n">
        <v>72.15179634976064</v>
      </c>
      <c r="AK632" s="6" t="n">
        <v>0.2393625799676795</v>
      </c>
      <c r="AL632" s="6" t="n">
        <v>0.976149113990726</v>
      </c>
      <c r="AN632" s="6" t="n">
        <v>1.358555643792893</v>
      </c>
      <c r="AO632" s="6" t="n">
        <v>1.358555643792893</v>
      </c>
      <c r="AP632" s="6" t="n">
        <v>0.1412440676528943</v>
      </c>
      <c r="AQ632" s="6" t="n">
        <v>0</v>
      </c>
      <c r="AR632" s="6" t="n">
        <v>0</v>
      </c>
    </row>
    <row r="633">
      <c r="D633" t="inlineStr">
        <is>
          <t>Run 321</t>
        </is>
      </c>
      <c r="J633" s="6" t="n">
        <v>4.508319907257847</v>
      </c>
      <c r="K633" s="6" t="n">
        <v>0.3935341927361107</v>
      </c>
      <c r="L633" s="6" t="n">
        <v>0.3341246485084598</v>
      </c>
      <c r="M633" s="6" t="n">
        <v>-0.8274675653804684</v>
      </c>
      <c r="N633" s="6" t="n">
        <v>0.9599218358821349</v>
      </c>
      <c r="O633" s="6" t="n">
        <v>1.349547170022914</v>
      </c>
      <c r="P633" s="6" t="n">
        <v>-3.220385494870019</v>
      </c>
      <c r="Q633" s="6" t="n">
        <v>0.06140756868370062</v>
      </c>
      <c r="R633" s="6" t="n">
        <v>1.752171286227192</v>
      </c>
      <c r="S633" s="6" t="n">
        <v>1.691263569413687</v>
      </c>
      <c r="T633" s="6" t="n">
        <v>3.789115308757409</v>
      </c>
      <c r="U633" s="6" t="n">
        <v>-0.3915958093788394</v>
      </c>
      <c r="V633" s="6" t="n">
        <v>-2.713903582796407</v>
      </c>
      <c r="W633" s="6" t="n">
        <v>-2.624369118322914</v>
      </c>
      <c r="X633" s="6" t="n">
        <v>1.041377992565648</v>
      </c>
      <c r="Y633" s="6" t="n">
        <v>-0.7212187674213735</v>
      </c>
      <c r="Z633" s="6" t="n">
        <v>2.568586228651311</v>
      </c>
      <c r="AA633" s="6" t="n">
        <v>0.3754060427844366</v>
      </c>
      <c r="AB633" s="6" t="n">
        <v>0.6028082190008694</v>
      </c>
      <c r="AC633" s="6" t="n">
        <v>2.030102598966272</v>
      </c>
      <c r="AD633" s="6" t="n">
        <v>-1.546273645670115</v>
      </c>
      <c r="AE633" s="6" t="n">
        <v>-0.01356286412206983</v>
      </c>
      <c r="AF633" s="6" t="n">
        <v>1.53036914739694</v>
      </c>
      <c r="AG633" s="6" t="n">
        <v>-0.617531600902387</v>
      </c>
      <c r="AH633" s="6" t="n">
        <v>-2.757509494793594</v>
      </c>
      <c r="AI633" s="6" t="n">
        <v>2.149585248482035</v>
      </c>
      <c r="AJ633" s="6" t="n">
        <v>71.70908024072531</v>
      </c>
      <c r="AK633" s="6" t="n">
        <v>0.1555120287311709</v>
      </c>
      <c r="AL633" s="6" t="n">
        <v>1.02134683901247</v>
      </c>
      <c r="AN633" s="6" t="n">
        <v>1.353479908110842</v>
      </c>
      <c r="AO633" s="6" t="n">
        <v>1.353575754135473</v>
      </c>
      <c r="AP633" s="6" t="n">
        <v>0.1346916343939795</v>
      </c>
      <c r="AQ633" s="6" t="n">
        <v>0</v>
      </c>
      <c r="AR633" s="6" t="n">
        <v>0</v>
      </c>
    </row>
    <row r="634">
      <c r="D634" t="inlineStr">
        <is>
          <t>Run 322</t>
        </is>
      </c>
      <c r="J634" s="6" t="n">
        <v>5</v>
      </c>
      <c r="K634" s="6" t="n">
        <v>-0.6956855053833001</v>
      </c>
      <c r="L634" s="6" t="n">
        <v>2.057390733837823</v>
      </c>
      <c r="M634" s="6" t="n">
        <v>0.9215761177485021</v>
      </c>
      <c r="N634" s="6" t="n">
        <v>-3.071681954097106</v>
      </c>
      <c r="O634" s="6" t="n">
        <v>1.590854203331799</v>
      </c>
      <c r="P634" s="6" t="n">
        <v>-0.03544582669282808</v>
      </c>
      <c r="Q634" s="6" t="n">
        <v>1.596296207657113</v>
      </c>
      <c r="R634" s="6" t="n">
        <v>-1.677912859137346</v>
      </c>
      <c r="S634" s="6" t="n">
        <v>1.32477991312134</v>
      </c>
      <c r="T634" s="6" t="n">
        <v>-2.725640876356139</v>
      </c>
      <c r="U634" s="6" t="n">
        <v>0.9234324176382115</v>
      </c>
      <c r="V634" s="6" t="n">
        <v>-1.185480296720192</v>
      </c>
      <c r="W634" s="6" t="n">
        <v>-0.299828544681254</v>
      </c>
      <c r="X634" s="6" t="n">
        <v>-0.4134215368777026</v>
      </c>
      <c r="Y634" s="6" t="n">
        <v>-1.176536065879288</v>
      </c>
      <c r="Z634" s="6" t="n">
        <v>-1.104842855216215</v>
      </c>
      <c r="AA634" s="6" t="n">
        <v>-2.513295767351488</v>
      </c>
      <c r="AB634" s="6" t="n">
        <v>0.2867536948177294</v>
      </c>
      <c r="AC634" s="6" t="n">
        <v>1.297823902842142</v>
      </c>
      <c r="AD634" s="6" t="n">
        <v>3.875148616160126</v>
      </c>
      <c r="AE634" s="6" t="n">
        <v>3.82351011594588</v>
      </c>
      <c r="AF634" s="6" t="n">
        <v>-5.829697177790591</v>
      </c>
      <c r="AG634" s="6" t="n">
        <v>2.509981417810516</v>
      </c>
      <c r="AH634" s="6" t="n">
        <v>2.526822099557672</v>
      </c>
      <c r="AI634" s="6" t="n">
        <v>-0.8137195323247096</v>
      </c>
      <c r="AJ634" s="6" t="n">
        <v>72.01421813414171</v>
      </c>
      <c r="AK634" s="6" t="n">
        <v>0.08291227694869997</v>
      </c>
      <c r="AL634" s="6" t="n">
        <v>1.056272938667997</v>
      </c>
      <c r="AN634" s="6" t="n">
        <v>1.346745084804313</v>
      </c>
      <c r="AO634" s="6" t="n">
        <v>1.347174156740001</v>
      </c>
      <c r="AP634" s="6" t="n">
        <v>0.132966057358224</v>
      </c>
      <c r="AQ634" s="6" t="n">
        <v>0</v>
      </c>
      <c r="AR634" s="6" t="n">
        <v>0</v>
      </c>
    </row>
    <row r="635">
      <c r="D635" t="inlineStr">
        <is>
          <t>Run 323</t>
        </is>
      </c>
      <c r="J635" s="6" t="n">
        <v>0.8013031109759056</v>
      </c>
      <c r="K635" s="6" t="n">
        <v>4.160397974687079</v>
      </c>
      <c r="L635" s="6" t="n">
        <v>-0.1628442393397263</v>
      </c>
      <c r="M635" s="6" t="n">
        <v>3.356177316294602</v>
      </c>
      <c r="N635" s="6" t="n">
        <v>2.304593093279275</v>
      </c>
      <c r="O635" s="6" t="n">
        <v>-1.785199418582001</v>
      </c>
      <c r="P635" s="6" t="n">
        <v>3.053223062086951</v>
      </c>
      <c r="Q635" s="6" t="n">
        <v>-0.999777225668357</v>
      </c>
      <c r="R635" s="6" t="n">
        <v>-0.9569226399908516</v>
      </c>
      <c r="S635" s="6" t="n">
        <v>2.333952371512723</v>
      </c>
      <c r="T635" s="6" t="n">
        <v>0.553402819825521</v>
      </c>
      <c r="U635" s="6" t="n">
        <v>-2.363443805065124</v>
      </c>
      <c r="V635" s="6" t="n">
        <v>4.011811104972555</v>
      </c>
      <c r="W635" s="6" t="n">
        <v>-4.488945613664191</v>
      </c>
      <c r="X635" s="6" t="n">
        <v>-0.9654342921317294</v>
      </c>
      <c r="Y635" s="6" t="n">
        <v>0.2570451624152971</v>
      </c>
      <c r="Z635" s="6" t="n">
        <v>1.403295519161931</v>
      </c>
      <c r="AA635" s="6" t="n">
        <v>-2.691493882961991</v>
      </c>
      <c r="AB635" s="6" t="n">
        <v>-1.133985721270276</v>
      </c>
      <c r="AC635" s="6" t="n">
        <v>-3.169862838582229</v>
      </c>
      <c r="AD635" s="6" t="n">
        <v>1.98244023051751</v>
      </c>
      <c r="AE635" s="6" t="n">
        <v>3.227892599795896</v>
      </c>
      <c r="AF635" s="6" t="n">
        <v>2.747406901419245</v>
      </c>
      <c r="AG635" s="6" t="n">
        <v>2.954469585924638</v>
      </c>
      <c r="AH635" s="6" t="n">
        <v>-0.8353543726590361</v>
      </c>
      <c r="AI635" s="6" t="n">
        <v>1.56492107029508</v>
      </c>
      <c r="AJ635" s="6" t="n">
        <v>79.06139881361148</v>
      </c>
      <c r="AK635" s="6" t="n">
        <v>0.1259260772980592</v>
      </c>
      <c r="AL635" s="6" t="n">
        <v>1.038706839521458</v>
      </c>
      <c r="AN635" s="6" t="n">
        <v>1.350837239712941</v>
      </c>
      <c r="AO635" s="6" t="n">
        <v>1.351261239865204</v>
      </c>
      <c r="AP635" s="6" t="n">
        <v>0.1336670304421022</v>
      </c>
      <c r="AQ635" s="6" t="n">
        <v>0</v>
      </c>
      <c r="AR635" s="6" t="n">
        <v>0</v>
      </c>
    </row>
    <row r="636">
      <c r="D636" t="inlineStr">
        <is>
          <t>Run 324</t>
        </is>
      </c>
      <c r="J636" s="6" t="n">
        <v>0.3520996099460175</v>
      </c>
      <c r="K636" s="6" t="n">
        <v>2.699247975654206</v>
      </c>
      <c r="L636" s="6" t="n">
        <v>1.715808150228381</v>
      </c>
      <c r="M636" s="6" t="n">
        <v>0.2116981747148757</v>
      </c>
      <c r="N636" s="6" t="n">
        <v>1.818889558527701</v>
      </c>
      <c r="O636" s="6" t="n">
        <v>-0.2927353536604572</v>
      </c>
      <c r="P636" s="6" t="n">
        <v>-5.282033829338312</v>
      </c>
      <c r="Q636" s="6" t="n">
        <v>0.02558566240711957</v>
      </c>
      <c r="R636" s="6" t="n">
        <v>0.8738758043015898</v>
      </c>
      <c r="S636" s="6" t="n">
        <v>2.695615374495</v>
      </c>
      <c r="T636" s="6" t="n">
        <v>-2.994838603212766</v>
      </c>
      <c r="U636" s="6" t="n">
        <v>1.799036475068629</v>
      </c>
      <c r="V636" s="6" t="n">
        <v>-0.02792729155631844</v>
      </c>
      <c r="W636" s="6" t="n">
        <v>0.4149330937529876</v>
      </c>
      <c r="X636" s="6" t="n">
        <v>1.143785844215303</v>
      </c>
      <c r="Y636" s="6" t="n">
        <v>0.5000530962671661</v>
      </c>
      <c r="Z636" s="6" t="n">
        <v>-3.766242910880169</v>
      </c>
      <c r="AA636" s="6" t="n">
        <v>-0.05573292666701811</v>
      </c>
      <c r="AB636" s="6" t="n">
        <v>-0.9723604818573004</v>
      </c>
      <c r="AC636" s="6" t="n">
        <v>-0.9564778713362548</v>
      </c>
      <c r="AD636" s="6" t="n">
        <v>-0.8297160510550454</v>
      </c>
      <c r="AE636" s="6" t="n">
        <v>0.3956795104222788</v>
      </c>
      <c r="AF636" s="6" t="n">
        <v>0.8030899745639345</v>
      </c>
      <c r="AG636" s="6" t="n">
        <v>0.4352160418105415</v>
      </c>
      <c r="AH636" s="6" t="n">
        <v>-1.219881980799506</v>
      </c>
      <c r="AI636" s="6" t="n">
        <v>2.746045117508006</v>
      </c>
      <c r="AJ636" s="6" t="n">
        <v>71.96400400423809</v>
      </c>
      <c r="AK636" s="6" t="n">
        <v>0.1364293227602293</v>
      </c>
      <c r="AL636" s="6" t="n">
        <v>1.038415654488831</v>
      </c>
      <c r="AN636" s="6" t="n">
        <v>1.347941712748738</v>
      </c>
      <c r="AO636" s="6" t="n">
        <v>1.348164668033991</v>
      </c>
      <c r="AP636" s="6" t="n">
        <v>0.1329476971345749</v>
      </c>
      <c r="AQ636" s="6" t="n">
        <v>0</v>
      </c>
      <c r="AR636" s="6" t="n">
        <v>0</v>
      </c>
    </row>
    <row r="637">
      <c r="D637" t="inlineStr">
        <is>
          <t>Run 325</t>
        </is>
      </c>
      <c r="J637" s="6" t="n">
        <v>-0.06567735244663563</v>
      </c>
      <c r="K637" s="6" t="n">
        <v>2.536302040672008</v>
      </c>
      <c r="L637" s="6" t="n">
        <v>0.4765101774054418</v>
      </c>
      <c r="M637" s="6" t="n">
        <v>-3.98926480854098</v>
      </c>
      <c r="N637" s="6" t="n">
        <v>-0.4661855620705956</v>
      </c>
      <c r="O637" s="6" t="n">
        <v>2.052939049927574</v>
      </c>
      <c r="P637" s="6" t="n">
        <v>5</v>
      </c>
      <c r="Q637" s="6" t="n">
        <v>2.601235889251297</v>
      </c>
      <c r="R637" s="6" t="n">
        <v>0.1094546800597712</v>
      </c>
      <c r="S637" s="6" t="n">
        <v>0.9247543882950056</v>
      </c>
      <c r="T637" s="6" t="n">
        <v>2.786404190092884</v>
      </c>
      <c r="U637" s="6" t="n">
        <v>-0.1392411794557949</v>
      </c>
      <c r="V637" s="6" t="n">
        <v>-2.466599358476659</v>
      </c>
      <c r="W637" s="6" t="n">
        <v>-0.4611824720260669</v>
      </c>
      <c r="X637" s="6" t="n">
        <v>-2.632435711564127</v>
      </c>
      <c r="Y637" s="6" t="n">
        <v>0.3716281879655009</v>
      </c>
      <c r="Z637" s="6" t="n">
        <v>2.5842534589419</v>
      </c>
      <c r="AA637" s="6" t="n">
        <v>0.2031236089396534</v>
      </c>
      <c r="AB637" s="6" t="n">
        <v>-0.4928400621124459</v>
      </c>
      <c r="AC637" s="6" t="n">
        <v>0.6943255562410674</v>
      </c>
      <c r="AD637" s="6" t="n">
        <v>3.223760565430167</v>
      </c>
      <c r="AE637" s="6" t="n">
        <v>3.186813787590108</v>
      </c>
      <c r="AF637" s="6" t="n">
        <v>0.7602504114284877</v>
      </c>
      <c r="AG637" s="6" t="n">
        <v>1.733871619066847</v>
      </c>
      <c r="AH637" s="6" t="n">
        <v>-0.005909993689111692</v>
      </c>
      <c r="AI637" s="6" t="n">
        <v>-3.097171825287206</v>
      </c>
      <c r="AJ637" s="6" t="n">
        <v>64.33435423608111</v>
      </c>
      <c r="AK637" s="6" t="n">
        <v>0.1459480004837277</v>
      </c>
      <c r="AL637" s="6" t="n">
        <v>1.03511592705492</v>
      </c>
      <c r="AN637" s="6" t="n">
        <v>1.302481760226009</v>
      </c>
      <c r="AO637" s="6" t="n">
        <v>1.311657167913736</v>
      </c>
      <c r="AP637" s="6" t="n">
        <v>0.132143067740018</v>
      </c>
      <c r="AQ637" s="6" t="n">
        <v>0</v>
      </c>
      <c r="AR637" s="6" t="n">
        <v>0</v>
      </c>
    </row>
    <row r="638">
      <c r="D638" t="inlineStr">
        <is>
          <t>Run 326</t>
        </is>
      </c>
      <c r="J638" s="6" t="n">
        <v>1.799316843687976</v>
      </c>
      <c r="K638" s="6" t="n">
        <v>2.812904841434347</v>
      </c>
      <c r="L638" s="6" t="n">
        <v>0.3696039955287168</v>
      </c>
      <c r="M638" s="6" t="n">
        <v>-0.6692814773751997</v>
      </c>
      <c r="N638" s="6" t="n">
        <v>-2.094983491627891</v>
      </c>
      <c r="O638" s="6" t="n">
        <v>-1.936054968706295</v>
      </c>
      <c r="P638" s="6" t="n">
        <v>4.108120559798468</v>
      </c>
      <c r="Q638" s="6" t="n">
        <v>-0.9486616089154696</v>
      </c>
      <c r="R638" s="6" t="n">
        <v>0.4692932652666687</v>
      </c>
      <c r="S638" s="6" t="n">
        <v>0.5697590697171266</v>
      </c>
      <c r="T638" s="6" t="n">
        <v>0.8958136231201035</v>
      </c>
      <c r="U638" s="6" t="n">
        <v>0.1677147328282478</v>
      </c>
      <c r="V638" s="6" t="n">
        <v>-0.323927020699003</v>
      </c>
      <c r="W638" s="6" t="n">
        <v>-2.228569308920222</v>
      </c>
      <c r="X638" s="6" t="n">
        <v>-0.9715515999574645</v>
      </c>
      <c r="Y638" s="6" t="n">
        <v>-0.1902306532818385</v>
      </c>
      <c r="Z638" s="6" t="n">
        <v>-0.3152869877357056</v>
      </c>
      <c r="AA638" s="6" t="n">
        <v>-2.344605202147872</v>
      </c>
      <c r="AB638" s="6" t="n">
        <v>0.4886481163487577</v>
      </c>
      <c r="AC638" s="6" t="n">
        <v>-0.461107301614722</v>
      </c>
      <c r="AD638" s="6" t="n">
        <v>-3.581268239286472</v>
      </c>
      <c r="AE638" s="6" t="n">
        <v>-0.9334801164504748</v>
      </c>
      <c r="AF638" s="6" t="n">
        <v>0.5972578444377894</v>
      </c>
      <c r="AG638" s="6" t="n">
        <v>0.2020148166085216</v>
      </c>
      <c r="AH638" s="6" t="n">
        <v>-3.590319485024239</v>
      </c>
      <c r="AI638" s="6" t="n">
        <v>0.6964648031139746</v>
      </c>
      <c r="AJ638" s="6" t="n">
        <v>70.36773876946239</v>
      </c>
      <c r="AK638" s="6" t="n">
        <v>0.007137540252980468</v>
      </c>
      <c r="AL638" s="6" t="n">
        <v>0.9945289417535678</v>
      </c>
      <c r="AN638" s="6" t="n">
        <v>1.355959368409458</v>
      </c>
      <c r="AO638" s="6" t="n">
        <v>1.355959368409458</v>
      </c>
      <c r="AP638" s="6" t="n">
        <v>0.1418354214216159</v>
      </c>
      <c r="AQ638" s="6" t="n">
        <v>0</v>
      </c>
      <c r="AR638" s="6" t="n">
        <v>0</v>
      </c>
    </row>
    <row r="639">
      <c r="D639" t="inlineStr">
        <is>
          <t>Run 327</t>
        </is>
      </c>
      <c r="J639" s="6" t="n">
        <v>1.863857022710164</v>
      </c>
      <c r="K639" s="6" t="n">
        <v>1.744827860815785</v>
      </c>
      <c r="L639" s="6" t="n">
        <v>-0.7041510609095811</v>
      </c>
      <c r="M639" s="6" t="n">
        <v>1.395953833622056</v>
      </c>
      <c r="N639" s="6" t="n">
        <v>0.3218899896153322</v>
      </c>
      <c r="O639" s="6" t="n">
        <v>-3.355736330371436</v>
      </c>
      <c r="P639" s="6" t="n">
        <v>-1.184695438789406</v>
      </c>
      <c r="Q639" s="6" t="n">
        <v>-3.036509132785209</v>
      </c>
      <c r="R639" s="6" t="n">
        <v>0.1255928163483675</v>
      </c>
      <c r="S639" s="6" t="n">
        <v>0.4500973807240681</v>
      </c>
      <c r="T639" s="6" t="n">
        <v>2.594378877408636</v>
      </c>
      <c r="U639" s="6" t="n">
        <v>-2.743588588962667</v>
      </c>
      <c r="V639" s="6" t="n">
        <v>-1.648764906663548</v>
      </c>
      <c r="W639" s="6" t="n">
        <v>-0.6964919978947461</v>
      </c>
      <c r="X639" s="6" t="n">
        <v>-0.7862538623121529</v>
      </c>
      <c r="Y639" s="6" t="n">
        <v>0.2889360873040966</v>
      </c>
      <c r="Z639" s="6" t="n">
        <v>-2.136225730877173</v>
      </c>
      <c r="AA639" s="6" t="n">
        <v>-0.2104369955972539</v>
      </c>
      <c r="AB639" s="6" t="n">
        <v>0.8645161184153448</v>
      </c>
      <c r="AC639" s="6" t="n">
        <v>0.5166364690229753</v>
      </c>
      <c r="AD639" s="6" t="n">
        <v>-1.341279563808748</v>
      </c>
      <c r="AE639" s="6" t="n">
        <v>-1.174982017076564</v>
      </c>
      <c r="AF639" s="6" t="n">
        <v>-1.311909929203519</v>
      </c>
      <c r="AG639" s="6" t="n">
        <v>-0.8219695009631456</v>
      </c>
      <c r="AH639" s="6" t="n">
        <v>0.738962953841741</v>
      </c>
      <c r="AI639" s="6" t="n">
        <v>1.036523887580924</v>
      </c>
      <c r="AJ639" s="6" t="n">
        <v>81.23585169094953</v>
      </c>
      <c r="AK639" s="6" t="n">
        <v>0.07189609591275023</v>
      </c>
      <c r="AL639" s="6" t="n">
        <v>1.050196193283471</v>
      </c>
      <c r="AN639" s="6" t="n">
        <v>1.352115117363429</v>
      </c>
      <c r="AO639" s="6" t="n">
        <v>1.352252946543415</v>
      </c>
      <c r="AP639" s="6" t="n">
        <v>0.1339397178592645</v>
      </c>
      <c r="AQ639" s="6" t="n">
        <v>0</v>
      </c>
      <c r="AR639" s="6" t="n">
        <v>0</v>
      </c>
    </row>
    <row r="640">
      <c r="D640" t="inlineStr">
        <is>
          <t>Run 328</t>
        </is>
      </c>
      <c r="J640" s="6" t="n">
        <v>2.373829431814936</v>
      </c>
      <c r="K640" s="6" t="n">
        <v>3.905247568895907</v>
      </c>
      <c r="L640" s="6" t="n">
        <v>-1.490663385879525</v>
      </c>
      <c r="M640" s="6" t="n">
        <v>0.5981003013812376</v>
      </c>
      <c r="N640" s="6" t="n">
        <v>-0.7685017522549628</v>
      </c>
      <c r="O640" s="6" t="n">
        <v>-5.737261115248142</v>
      </c>
      <c r="P640" s="6" t="n">
        <v>-1.704894267758327</v>
      </c>
      <c r="Q640" s="6" t="n">
        <v>2.911185818706404</v>
      </c>
      <c r="R640" s="6" t="n">
        <v>0.381858722079999</v>
      </c>
      <c r="S640" s="6" t="n">
        <v>0.3804789581974399</v>
      </c>
      <c r="T640" s="6" t="n">
        <v>-0.5342297374282361</v>
      </c>
      <c r="U640" s="6" t="n">
        <v>-0.0206163748443017</v>
      </c>
      <c r="V640" s="6" t="n">
        <v>-2.307725164097159</v>
      </c>
      <c r="W640" s="6" t="n">
        <v>0.7729876776862257</v>
      </c>
      <c r="X640" s="6" t="n">
        <v>3.173199574530674</v>
      </c>
      <c r="Y640" s="6" t="n">
        <v>0.03234450819908138</v>
      </c>
      <c r="Z640" s="6" t="n">
        <v>-1.947540842763225</v>
      </c>
      <c r="AA640" s="6" t="n">
        <v>-1.276326795130302</v>
      </c>
      <c r="AB640" s="6" t="n">
        <v>1.228101615345636</v>
      </c>
      <c r="AC640" s="6" t="n">
        <v>3.165562788856293</v>
      </c>
      <c r="AD640" s="6" t="n">
        <v>0.1604209687095972</v>
      </c>
      <c r="AE640" s="6" t="n">
        <v>-1.389553511389626</v>
      </c>
      <c r="AF640" s="6" t="n">
        <v>-0.3159526696736511</v>
      </c>
      <c r="AG640" s="6" t="n">
        <v>-4.561171506905075</v>
      </c>
      <c r="AH640" s="6" t="n">
        <v>1.072860913937991</v>
      </c>
      <c r="AI640" s="6" t="n">
        <v>0.2518323434562038</v>
      </c>
      <c r="AJ640" s="6" t="n">
        <v>71.6800143362193</v>
      </c>
      <c r="AK640" s="6" t="n">
        <v>0.09996826700559212</v>
      </c>
      <c r="AL640" s="6" t="n">
        <v>1.064627790003885</v>
      </c>
      <c r="AN640" s="6" t="n">
        <v>1.309074929343897</v>
      </c>
      <c r="AO640" s="6" t="n">
        <v>1.314721013178215</v>
      </c>
      <c r="AP640" s="6" t="n">
        <v>0.1315018068267211</v>
      </c>
      <c r="AQ640" s="6" t="n">
        <v>0</v>
      </c>
      <c r="AR640" s="6" t="n">
        <v>0</v>
      </c>
    </row>
    <row r="641">
      <c r="D641" t="inlineStr">
        <is>
          <t>Run 329</t>
        </is>
      </c>
      <c r="J641" s="6" t="n">
        <v>-2.312190491469517</v>
      </c>
      <c r="K641" s="6" t="n">
        <v>3.840963821896252</v>
      </c>
      <c r="L641" s="6" t="n">
        <v>-1.857015641619384</v>
      </c>
      <c r="M641" s="6" t="n">
        <v>1.730667199857763</v>
      </c>
      <c r="N641" s="6" t="n">
        <v>-3.768780072999694</v>
      </c>
      <c r="O641" s="6" t="n">
        <v>-0.922471879585671</v>
      </c>
      <c r="P641" s="6" t="n">
        <v>0.8387261262743783</v>
      </c>
      <c r="Q641" s="6" t="n">
        <v>-2.679677306089201</v>
      </c>
      <c r="R641" s="6" t="n">
        <v>2.475585328144064</v>
      </c>
      <c r="S641" s="6" t="n">
        <v>0.7831779920463405</v>
      </c>
      <c r="T641" s="6" t="n">
        <v>-0.2443533880395409</v>
      </c>
      <c r="U641" s="6" t="n">
        <v>2.656255917698734</v>
      </c>
      <c r="V641" s="6" t="n">
        <v>-0.06924269830753992</v>
      </c>
      <c r="W641" s="6" t="n">
        <v>-0.1011333935152956</v>
      </c>
      <c r="X641" s="6" t="n">
        <v>-0.9327066193420728</v>
      </c>
      <c r="Y641" s="6" t="n">
        <v>-4.051589564960942</v>
      </c>
      <c r="Z641" s="6" t="n">
        <v>-1.632955955620424</v>
      </c>
      <c r="AA641" s="6" t="n">
        <v>-1.091524958480723</v>
      </c>
      <c r="AB641" s="6" t="n">
        <v>0.5354357696244422</v>
      </c>
      <c r="AC641" s="6" t="n">
        <v>-0.6680853559169587</v>
      </c>
      <c r="AD641" s="6" t="n">
        <v>-1.762682221856091</v>
      </c>
      <c r="AE641" s="6" t="n">
        <v>-2.991088160492881</v>
      </c>
      <c r="AF641" s="6" t="n">
        <v>2.012345387961874</v>
      </c>
      <c r="AG641" s="6" t="n">
        <v>-0.5116129013081967</v>
      </c>
      <c r="AH641" s="6" t="n">
        <v>-0.7116556448739515</v>
      </c>
      <c r="AI641" s="6" t="n">
        <v>2.602367400845027</v>
      </c>
      <c r="AJ641" s="6" t="n">
        <v>76.14403789246846</v>
      </c>
      <c r="AK641" s="6" t="n">
        <v>0.08266681720256941</v>
      </c>
      <c r="AL641" s="6" t="n">
        <v>1.042787147833418</v>
      </c>
      <c r="AN641" s="6" t="n">
        <v>1.351974445512307</v>
      </c>
      <c r="AO641" s="6" t="n">
        <v>1.352073991345347</v>
      </c>
      <c r="AP641" s="6" t="n">
        <v>0.1340676832883837</v>
      </c>
      <c r="AQ641" s="6" t="n">
        <v>0</v>
      </c>
      <c r="AR641" s="6" t="n">
        <v>0</v>
      </c>
    </row>
    <row r="642">
      <c r="D642" t="inlineStr">
        <is>
          <t>Run 330</t>
        </is>
      </c>
      <c r="J642" s="6" t="n">
        <v>-1.070640179469572</v>
      </c>
      <c r="K642" s="6" t="n">
        <v>-2.865091395041072</v>
      </c>
      <c r="L642" s="6" t="n">
        <v>-2.786303301485123</v>
      </c>
      <c r="M642" s="6" t="n">
        <v>-0.7892044756901949</v>
      </c>
      <c r="N642" s="6" t="n">
        <v>-0.2690123308514523</v>
      </c>
      <c r="O642" s="6" t="n">
        <v>0.154296950493718</v>
      </c>
      <c r="P642" s="6" t="n">
        <v>-1.552593695817756</v>
      </c>
      <c r="Q642" s="6" t="n">
        <v>1.917147928911431</v>
      </c>
      <c r="R642" s="6" t="n">
        <v>-2.532882542443688</v>
      </c>
      <c r="S642" s="6" t="n">
        <v>-1.686317920141802</v>
      </c>
      <c r="T642" s="6" t="n">
        <v>-1.435442822500417</v>
      </c>
      <c r="U642" s="6" t="n">
        <v>1.041477661352462</v>
      </c>
      <c r="V642" s="6" t="n">
        <v>0.9081350672582692</v>
      </c>
      <c r="W642" s="6" t="n">
        <v>0.7722070132746258</v>
      </c>
      <c r="X642" s="6" t="n">
        <v>-0.5342348430057769</v>
      </c>
      <c r="Y642" s="6" t="n">
        <v>2.996824918647522</v>
      </c>
      <c r="Z642" s="6" t="n">
        <v>-0.2675605029645698</v>
      </c>
      <c r="AA642" s="6" t="n">
        <v>0.1071786954205691</v>
      </c>
      <c r="AB642" s="6" t="n">
        <v>-1.161700770144899</v>
      </c>
      <c r="AC642" s="6" t="n">
        <v>0.1662435727887676</v>
      </c>
      <c r="AD642" s="6" t="n">
        <v>0.8282739988528481</v>
      </c>
      <c r="AE642" s="6" t="n">
        <v>4.620689215869122</v>
      </c>
      <c r="AF642" s="6" t="n">
        <v>1.264349033004863</v>
      </c>
      <c r="AG642" s="6" t="n">
        <v>3.191015819706267</v>
      </c>
      <c r="AH642" s="6" t="n">
        <v>0.8895122667707445</v>
      </c>
      <c r="AI642" s="6" t="n">
        <v>1.485925315179325</v>
      </c>
      <c r="AJ642" s="6" t="n">
        <v>67.42376638812513</v>
      </c>
      <c r="AK642" s="6" t="n">
        <v>0.1285036411742087</v>
      </c>
      <c r="AL642" s="6" t="n">
        <v>1.072132045351527</v>
      </c>
      <c r="AN642" s="6" t="n">
        <v>1.336669568600581</v>
      </c>
      <c r="AO642" s="6" t="n">
        <v>1.336896096865654</v>
      </c>
      <c r="AP642" s="6" t="n">
        <v>0.1307176311225333</v>
      </c>
      <c r="AQ642" s="6" t="n">
        <v>0</v>
      </c>
      <c r="AR642" s="6" t="n">
        <v>0</v>
      </c>
    </row>
    <row r="643">
      <c r="D643" t="inlineStr">
        <is>
          <t>Run 331</t>
        </is>
      </c>
      <c r="J643" s="6" t="n">
        <v>1.380375161797293</v>
      </c>
      <c r="K643" s="6" t="n">
        <v>2.560460126372588</v>
      </c>
      <c r="L643" s="6" t="n">
        <v>0.2116771400665423</v>
      </c>
      <c r="M643" s="6" t="n">
        <v>-0.9148272080797468</v>
      </c>
      <c r="N643" s="6" t="n">
        <v>-0.5418915294919234</v>
      </c>
      <c r="O643" s="6" t="n">
        <v>0.4564116382347597</v>
      </c>
      <c r="P643" s="6" t="n">
        <v>-3.660744499934955</v>
      </c>
      <c r="Q643" s="6" t="n">
        <v>-0.8183924918966194</v>
      </c>
      <c r="R643" s="6" t="n">
        <v>-0.294159813545377</v>
      </c>
      <c r="S643" s="6" t="n">
        <v>-0.507431596804087</v>
      </c>
      <c r="T643" s="6" t="n">
        <v>-0.3889171881974949</v>
      </c>
      <c r="U643" s="6" t="n">
        <v>-0.05674112235402447</v>
      </c>
      <c r="V643" s="6" t="n">
        <v>1.520317643033459</v>
      </c>
      <c r="W643" s="6" t="n">
        <v>0.9587535601520507</v>
      </c>
      <c r="X643" s="6" t="n">
        <v>-1.477448021774065</v>
      </c>
      <c r="Y643" s="6" t="n">
        <v>0.588989304378793</v>
      </c>
      <c r="Z643" s="6" t="n">
        <v>-0.3992370729341541</v>
      </c>
      <c r="AA643" s="6" t="n">
        <v>4.071239118578275</v>
      </c>
      <c r="AB643" s="6" t="n">
        <v>1.19070197696393</v>
      </c>
      <c r="AC643" s="6" t="n">
        <v>-4.480009085813091</v>
      </c>
      <c r="AD643" s="6" t="n">
        <v>-1.403304980179364</v>
      </c>
      <c r="AE643" s="6" t="n">
        <v>4.083523263889158</v>
      </c>
      <c r="AF643" s="6" t="n">
        <v>2.073477521768593</v>
      </c>
      <c r="AG643" s="6" t="n">
        <v>0.4141251122133975</v>
      </c>
      <c r="AH643" s="6" t="n">
        <v>1.441601048608409</v>
      </c>
      <c r="AI643" s="6" t="n">
        <v>-1.020910612492148</v>
      </c>
      <c r="AJ643" s="6" t="n">
        <v>68.64886611608233</v>
      </c>
      <c r="AK643" s="6" t="n">
        <v>0.1278426670279985</v>
      </c>
      <c r="AL643" s="6" t="n">
        <v>1.027998951336916</v>
      </c>
      <c r="AN643" s="6" t="n">
        <v>1.348046452742097</v>
      </c>
      <c r="AO643" s="6" t="n">
        <v>1.348046452742097</v>
      </c>
      <c r="AP643" s="6" t="n">
        <v>0.1339848562317499</v>
      </c>
      <c r="AQ643" s="6" t="n">
        <v>0</v>
      </c>
      <c r="AR643" s="6" t="n">
        <v>0</v>
      </c>
    </row>
    <row r="644">
      <c r="D644" t="inlineStr">
        <is>
          <t>Run 332</t>
        </is>
      </c>
      <c r="J644" s="6" t="n">
        <v>2.149181574489715</v>
      </c>
      <c r="K644" s="6" t="n">
        <v>0.7004561849936706</v>
      </c>
      <c r="L644" s="6" t="n">
        <v>-1.084598588848871</v>
      </c>
      <c r="M644" s="6" t="n">
        <v>-0.05760406281968014</v>
      </c>
      <c r="N644" s="6" t="n">
        <v>1.851853619037931</v>
      </c>
      <c r="O644" s="6" t="n">
        <v>-0.123321417172334</v>
      </c>
      <c r="P644" s="6" t="n">
        <v>1.940600727778695</v>
      </c>
      <c r="Q644" s="6" t="n">
        <v>-0.06270564904195841</v>
      </c>
      <c r="R644" s="6" t="n">
        <v>1.638140517901403</v>
      </c>
      <c r="S644" s="6" t="n">
        <v>4.444423128257534</v>
      </c>
      <c r="T644" s="6" t="n">
        <v>1.342519820570905</v>
      </c>
      <c r="U644" s="6" t="n">
        <v>-0.6703703412179357</v>
      </c>
      <c r="V644" s="6" t="n">
        <v>-1.698434267587877</v>
      </c>
      <c r="W644" s="6" t="n">
        <v>-1.290097779774405</v>
      </c>
      <c r="X644" s="6" t="n">
        <v>-5.788207795142081</v>
      </c>
      <c r="Y644" s="6" t="n">
        <v>1.855446375190046</v>
      </c>
      <c r="Z644" s="6" t="n">
        <v>4.888808357669491</v>
      </c>
      <c r="AA644" s="6" t="n">
        <v>-1.065503054032603</v>
      </c>
      <c r="AB644" s="6" t="n">
        <v>1.071532264957639</v>
      </c>
      <c r="AC644" s="6" t="n">
        <v>-1.785117613671651</v>
      </c>
      <c r="AD644" s="6" t="n">
        <v>-2.815263304564822</v>
      </c>
      <c r="AE644" s="6" t="n">
        <v>0.6804093360165787</v>
      </c>
      <c r="AF644" s="6" t="n">
        <v>3.935522158593285</v>
      </c>
      <c r="AG644" s="6" t="n">
        <v>-1.552494696243493</v>
      </c>
      <c r="AH644" s="6" t="n">
        <v>-0.962592534502739</v>
      </c>
      <c r="AI644" s="6" t="n">
        <v>-0.9538978281965947</v>
      </c>
      <c r="AJ644" s="6" t="n">
        <v>81.2875686646082</v>
      </c>
      <c r="AK644" s="6" t="n">
        <v>0.1141276466933546</v>
      </c>
      <c r="AL644" s="6" t="n">
        <v>1.059565489596624</v>
      </c>
      <c r="AN644" s="6" t="n">
        <v>1.348378275366636</v>
      </c>
      <c r="AO644" s="6" t="n">
        <v>1.348689181382482</v>
      </c>
      <c r="AP644" s="6" t="n">
        <v>0.1323682374142732</v>
      </c>
      <c r="AQ644" s="6" t="n">
        <v>0</v>
      </c>
      <c r="AR644" s="6" t="n">
        <v>0</v>
      </c>
    </row>
    <row r="645">
      <c r="D645" t="inlineStr">
        <is>
          <t>Run 333</t>
        </is>
      </c>
      <c r="J645" s="6" t="n">
        <v>3.190088543354602</v>
      </c>
      <c r="K645" s="6" t="n">
        <v>-0.7698785006687419</v>
      </c>
      <c r="L645" s="6" t="n">
        <v>-0.513137687193735</v>
      </c>
      <c r="M645" s="6" t="n">
        <v>0.8525561195654423</v>
      </c>
      <c r="N645" s="6" t="n">
        <v>-1.541543811021056</v>
      </c>
      <c r="O645" s="6" t="n">
        <v>1.155245423592221</v>
      </c>
      <c r="P645" s="6" t="n">
        <v>-2.573580666700325</v>
      </c>
      <c r="Q645" s="6" t="n">
        <v>-2.672379514663222</v>
      </c>
      <c r="R645" s="6" t="n">
        <v>1.734279375007165</v>
      </c>
      <c r="S645" s="6" t="n">
        <v>-4.484890824318467</v>
      </c>
      <c r="T645" s="6" t="n">
        <v>2.838751959705038</v>
      </c>
      <c r="U645" s="6" t="n">
        <v>-2.301458898266727</v>
      </c>
      <c r="V645" s="6" t="n">
        <v>1.433985061461552</v>
      </c>
      <c r="W645" s="6" t="n">
        <v>-4.328904813665776</v>
      </c>
      <c r="X645" s="6" t="n">
        <v>3.092114473644914</v>
      </c>
      <c r="Y645" s="6" t="n">
        <v>3.198506309817745</v>
      </c>
      <c r="Z645" s="6" t="n">
        <v>1.234987146811334</v>
      </c>
      <c r="AA645" s="6" t="n">
        <v>-2.310679127592186</v>
      </c>
      <c r="AB645" s="6" t="n">
        <v>-0.021184827466596</v>
      </c>
      <c r="AC645" s="6" t="n">
        <v>-0.7557216692758234</v>
      </c>
      <c r="AD645" s="6" t="n">
        <v>-0.375934847505502</v>
      </c>
      <c r="AE645" s="6" t="n">
        <v>-2.683100032123941</v>
      </c>
      <c r="AF645" s="6" t="n">
        <v>1.535399624290609</v>
      </c>
      <c r="AG645" s="6" t="n">
        <v>1.823632237105614</v>
      </c>
      <c r="AH645" s="6" t="n">
        <v>-2.443068707655037</v>
      </c>
      <c r="AI645" s="6" t="n">
        <v>-0.8060470470698901</v>
      </c>
      <c r="AJ645" s="6" t="n">
        <v>77.47483745889424</v>
      </c>
      <c r="AK645" s="6" t="n">
        <v>0.154164093026787</v>
      </c>
      <c r="AL645" s="6" t="n">
        <v>1.085082144409235</v>
      </c>
      <c r="AN645" s="6" t="n">
        <v>1.330953183839024</v>
      </c>
      <c r="AO645" s="6" t="n">
        <v>1.331292094157671</v>
      </c>
      <c r="AP645" s="6" t="n">
        <v>0.1291057330179645</v>
      </c>
      <c r="AQ645" s="6" t="n">
        <v>0</v>
      </c>
      <c r="AR645" s="6" t="n">
        <v>0</v>
      </c>
    </row>
    <row r="646">
      <c r="D646" t="inlineStr">
        <is>
          <t>Run 334</t>
        </is>
      </c>
      <c r="J646" s="6" t="n">
        <v>-1.958686194897285</v>
      </c>
      <c r="K646" s="6" t="n">
        <v>-0.08619271823300113</v>
      </c>
      <c r="L646" s="6" t="n">
        <v>1.534343215742444</v>
      </c>
      <c r="M646" s="6" t="n">
        <v>-1.965862792050345</v>
      </c>
      <c r="N646" s="6" t="n">
        <v>0.3759069456104657</v>
      </c>
      <c r="O646" s="6" t="n">
        <v>-1.436104043733832</v>
      </c>
      <c r="P646" s="6" t="n">
        <v>0.3493862388776443</v>
      </c>
      <c r="Q646" s="6" t="n">
        <v>0.8870091243409235</v>
      </c>
      <c r="R646" s="6" t="n">
        <v>0.07624816369020654</v>
      </c>
      <c r="S646" s="6" t="n">
        <v>1.854826383592109</v>
      </c>
      <c r="T646" s="6" t="n">
        <v>0.9901497991893757</v>
      </c>
      <c r="U646" s="6" t="n">
        <v>-1.737697799293413</v>
      </c>
      <c r="V646" s="6" t="n">
        <v>-0.379384866860195</v>
      </c>
      <c r="W646" s="6" t="n">
        <v>0.001393819619881814</v>
      </c>
      <c r="X646" s="6" t="n">
        <v>0.06310990999291226</v>
      </c>
      <c r="Y646" s="6" t="n">
        <v>-0.07825453779862522</v>
      </c>
      <c r="Z646" s="6" t="n">
        <v>2.787722314275804</v>
      </c>
      <c r="AA646" s="6" t="n">
        <v>0.2591159778085726</v>
      </c>
      <c r="AB646" s="6" t="n">
        <v>0.2051202789961888</v>
      </c>
      <c r="AC646" s="6" t="n">
        <v>0.8986170567218073</v>
      </c>
      <c r="AD646" s="6" t="n">
        <v>1.545380033736177</v>
      </c>
      <c r="AE646" s="6" t="n">
        <v>-1.167063799437457</v>
      </c>
      <c r="AF646" s="6" t="n">
        <v>-3.006518350409453</v>
      </c>
      <c r="AG646" s="6" t="n">
        <v>3.021813020111428</v>
      </c>
      <c r="AH646" s="6" t="n">
        <v>4.01212541980712</v>
      </c>
      <c r="AI646" s="6" t="n">
        <v>-1.483832804507981</v>
      </c>
      <c r="AJ646" s="6" t="n">
        <v>67.48628587749336</v>
      </c>
      <c r="AK646" s="6" t="n">
        <v>0.120287391913059</v>
      </c>
      <c r="AL646" s="6" t="n">
        <v>1.025018174236309</v>
      </c>
      <c r="AN646" s="6" t="n">
        <v>1.3379653586276</v>
      </c>
      <c r="AO646" s="6" t="n">
        <v>1.344479320054063</v>
      </c>
      <c r="AP646" s="6" t="n">
        <v>0.134525527064819</v>
      </c>
      <c r="AQ646" s="6" t="n">
        <v>0</v>
      </c>
      <c r="AR646" s="6" t="n">
        <v>0</v>
      </c>
    </row>
    <row r="647">
      <c r="D647" t="inlineStr">
        <is>
          <t>Run 335</t>
        </is>
      </c>
      <c r="J647" s="6" t="n">
        <v>0.8032724018437205</v>
      </c>
      <c r="K647" s="6" t="n">
        <v>-0.07813270477884368</v>
      </c>
      <c r="L647" s="6" t="n">
        <v>2.871799042484224</v>
      </c>
      <c r="M647" s="6" t="n">
        <v>-0.4542972141538394</v>
      </c>
      <c r="N647" s="6" t="n">
        <v>-1.571516009803973</v>
      </c>
      <c r="O647" s="6" t="n">
        <v>0.03990284263104878</v>
      </c>
      <c r="P647" s="6" t="n">
        <v>-0.4822234827990486</v>
      </c>
      <c r="Q647" s="6" t="n">
        <v>0.07335553318871575</v>
      </c>
      <c r="R647" s="6" t="n">
        <v>-1.916618128385444</v>
      </c>
      <c r="S647" s="6" t="n">
        <v>-1.474237567717907</v>
      </c>
      <c r="T647" s="6" t="n">
        <v>0.2184832180115359</v>
      </c>
      <c r="U647" s="6" t="n">
        <v>-0.8355184021180633</v>
      </c>
      <c r="V647" s="6" t="n">
        <v>-0.3783826927057093</v>
      </c>
      <c r="W647" s="6" t="n">
        <v>-1.509642307481112</v>
      </c>
      <c r="X647" s="6" t="n">
        <v>0.7552561659428956</v>
      </c>
      <c r="Y647" s="6" t="n">
        <v>2.301111155070773</v>
      </c>
      <c r="Z647" s="6" t="n">
        <v>-2.177160725201905</v>
      </c>
      <c r="AA647" s="6" t="n">
        <v>-2.112679286215819</v>
      </c>
      <c r="AB647" s="6" t="n">
        <v>-0.951264223198778</v>
      </c>
      <c r="AC647" s="6" t="n">
        <v>0.5940408068710517</v>
      </c>
      <c r="AD647" s="6" t="n">
        <v>3.557410045937782</v>
      </c>
      <c r="AE647" s="6" t="n">
        <v>-0.3987112565252288</v>
      </c>
      <c r="AF647" s="6" t="n">
        <v>-1.003719664795242</v>
      </c>
      <c r="AG647" s="6" t="n">
        <v>1.256169970623153</v>
      </c>
      <c r="AH647" s="6" t="n">
        <v>1.859334458032447</v>
      </c>
      <c r="AI647" s="6" t="n">
        <v>-1.092091101575194</v>
      </c>
      <c r="AJ647" s="6" t="n">
        <v>77.14734416112036</v>
      </c>
      <c r="AK647" s="6" t="n">
        <v>0.1113538239636252</v>
      </c>
      <c r="AL647" s="6" t="n">
        <v>1.090425558888993</v>
      </c>
      <c r="AN647" s="6" t="n">
        <v>1.335515198981574</v>
      </c>
      <c r="AO647" s="6" t="n">
        <v>1.335780926857066</v>
      </c>
      <c r="AP647" s="6" t="n">
        <v>0.1302926612211113</v>
      </c>
      <c r="AQ647" s="6" t="n">
        <v>0</v>
      </c>
      <c r="AR647" s="6" t="n">
        <v>0</v>
      </c>
    </row>
    <row r="648">
      <c r="D648" t="inlineStr">
        <is>
          <t>Run 336</t>
        </is>
      </c>
      <c r="J648" s="6" t="n">
        <v>1.867046484838445</v>
      </c>
      <c r="K648" s="6" t="n">
        <v>-2.667782494273509</v>
      </c>
      <c r="L648" s="6" t="n">
        <v>-0.2769205221397532</v>
      </c>
      <c r="M648" s="6" t="n">
        <v>-2.574821326660474</v>
      </c>
      <c r="N648" s="6" t="n">
        <v>1.967592801924417</v>
      </c>
      <c r="O648" s="6" t="n">
        <v>0.3283639904386004</v>
      </c>
      <c r="P648" s="6" t="n">
        <v>-0.2909505884516144</v>
      </c>
      <c r="Q648" s="6" t="n">
        <v>-1.588752035195288</v>
      </c>
      <c r="R648" s="6" t="n">
        <v>0.939533645472801</v>
      </c>
      <c r="S648" s="6" t="n">
        <v>-0.3579434347147671</v>
      </c>
      <c r="T648" s="6" t="n">
        <v>2.301934825462074</v>
      </c>
      <c r="U648" s="6" t="n">
        <v>1.589000243877271</v>
      </c>
      <c r="V648" s="6" t="n">
        <v>-0.9311562990156749</v>
      </c>
      <c r="W648" s="6" t="n">
        <v>0.6208315683301745</v>
      </c>
      <c r="X648" s="6" t="n">
        <v>1.600204578735432</v>
      </c>
      <c r="Y648" s="6" t="n">
        <v>-3.298473912744244</v>
      </c>
      <c r="Z648" s="6" t="n">
        <v>2.750962283014381</v>
      </c>
      <c r="AA648" s="6" t="n">
        <v>-2.304728302636018</v>
      </c>
      <c r="AB648" s="6" t="n">
        <v>1.927126228484432</v>
      </c>
      <c r="AC648" s="6" t="n">
        <v>0.3967032092488164</v>
      </c>
      <c r="AD648" s="6" t="n">
        <v>2.360216587723315</v>
      </c>
      <c r="AE648" s="6" t="n">
        <v>-0.3261369021228613</v>
      </c>
      <c r="AF648" s="6" t="n">
        <v>-2.750290105833267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71.32454196442214</v>
      </c>
      <c r="AK648" s="6" t="n">
        <v>0.1576057557392029</v>
      </c>
      <c r="AL648" s="6" t="n">
        <v>1.040355778554085</v>
      </c>
      <c r="AN648" s="6" t="n">
        <v>1.32356841292581</v>
      </c>
      <c r="AO648" s="6" t="n">
        <v>1.33241193378209</v>
      </c>
      <c r="AP648" s="6" t="n">
        <v>0.1319743515002399</v>
      </c>
      <c r="AQ648" s="6" t="n">
        <v>0</v>
      </c>
      <c r="AR648" s="6" t="n">
        <v>0</v>
      </c>
    </row>
    <row r="649">
      <c r="D649" t="inlineStr">
        <is>
          <t>Run 337</t>
        </is>
      </c>
      <c r="J649" s="6" t="n">
        <v>-3.032678317705079</v>
      </c>
      <c r="K649" s="6" t="n">
        <v>-0.7910976199003802</v>
      </c>
      <c r="L649" s="6" t="n">
        <v>1.560059595255746</v>
      </c>
      <c r="M649" s="6" t="n">
        <v>3.176432863234639</v>
      </c>
      <c r="N649" s="6" t="n">
        <v>-0.1573686202241991</v>
      </c>
      <c r="O649" s="6" t="n">
        <v>2.382611622421021</v>
      </c>
      <c r="P649" s="6" t="n">
        <v>-5.206213439218009</v>
      </c>
      <c r="Q649" s="6" t="n">
        <v>1.423554589050734</v>
      </c>
      <c r="R649" s="6" t="n">
        <v>3.516175517875284</v>
      </c>
      <c r="S649" s="6" t="n">
        <v>-2.473357439085734</v>
      </c>
      <c r="T649" s="6" t="n">
        <v>0.2037886022080283</v>
      </c>
      <c r="U649" s="6" t="n">
        <v>2.060465683272262</v>
      </c>
      <c r="V649" s="6" t="n">
        <v>1.786960091539771</v>
      </c>
      <c r="W649" s="6" t="n">
        <v>-1.853329679915781</v>
      </c>
      <c r="X649" s="6" t="n">
        <v>2.943519639148938</v>
      </c>
      <c r="Y649" s="6" t="n">
        <v>0.5920923492942501</v>
      </c>
      <c r="Z649" s="6" t="n">
        <v>-1.575499925578655</v>
      </c>
      <c r="AA649" s="6" t="n">
        <v>1.380535809427781</v>
      </c>
      <c r="AB649" s="6" t="n">
        <v>1.89330168436479</v>
      </c>
      <c r="AC649" s="6" t="n">
        <v>-1.211307122381262</v>
      </c>
      <c r="AD649" s="6" t="n">
        <v>-0.6476179949239015</v>
      </c>
      <c r="AE649" s="6" t="n">
        <v>1.445153596360498</v>
      </c>
      <c r="AF649" s="6" t="n">
        <v>-0.8976133429646103</v>
      </c>
      <c r="AG649" s="6" t="n">
        <v>-2.512049606746603</v>
      </c>
      <c r="AH649" s="6" t="n">
        <v>-2.68993340417358</v>
      </c>
      <c r="AI649" s="6" t="n">
        <v>-1.806777822208311</v>
      </c>
      <c r="AJ649" s="6" t="n">
        <v>68.32617672320507</v>
      </c>
      <c r="AK649" s="6" t="n">
        <v>0.08326613957571059</v>
      </c>
      <c r="AL649" s="6" t="n">
        <v>1.081647402488116</v>
      </c>
      <c r="AN649" s="6" t="n">
        <v>1.335649656088109</v>
      </c>
      <c r="AO649" s="6" t="n">
        <v>1.336567146716314</v>
      </c>
      <c r="AP649" s="6" t="n">
        <v>0.1307857480659952</v>
      </c>
      <c r="AQ649" s="6" t="n">
        <v>0</v>
      </c>
      <c r="AR649" s="6" t="n">
        <v>0</v>
      </c>
    </row>
    <row r="650">
      <c r="D650" t="inlineStr">
        <is>
          <t>Run 338</t>
        </is>
      </c>
      <c r="J650" s="6" t="n">
        <v>1.515563778735823</v>
      </c>
      <c r="K650" s="6" t="n">
        <v>1.934543789139251</v>
      </c>
      <c r="L650" s="6" t="n">
        <v>1.598253677347506</v>
      </c>
      <c r="M650" s="6" t="n">
        <v>2.272225879295412</v>
      </c>
      <c r="N650" s="6" t="n">
        <v>2.238914918258044</v>
      </c>
      <c r="O650" s="6" t="n">
        <v>-0.3955896410246743</v>
      </c>
      <c r="P650" s="6" t="n">
        <v>4.378757577458688</v>
      </c>
      <c r="Q650" s="6" t="n">
        <v>-1.807232199806658</v>
      </c>
      <c r="R650" s="6" t="n">
        <v>-0.6927023700926574</v>
      </c>
      <c r="S650" s="6" t="n">
        <v>1.032427119305597</v>
      </c>
      <c r="T650" s="6" t="n">
        <v>1.819846487026234</v>
      </c>
      <c r="U650" s="6" t="n">
        <v>5</v>
      </c>
      <c r="V650" s="6" t="n">
        <v>0.1408360848837053</v>
      </c>
      <c r="W650" s="6" t="n">
        <v>-0.2822256967621976</v>
      </c>
      <c r="X650" s="6" t="n">
        <v>2.370094982971741</v>
      </c>
      <c r="Y650" s="6" t="n">
        <v>0.6465673960717331</v>
      </c>
      <c r="Z650" s="6" t="n">
        <v>0.35639643175089</v>
      </c>
      <c r="AA650" s="6" t="n">
        <v>2.295300498218594</v>
      </c>
      <c r="AB650" s="6" t="n">
        <v>-2.667194370425553</v>
      </c>
      <c r="AC650" s="6" t="n">
        <v>0.212689301547712</v>
      </c>
      <c r="AD650" s="6" t="n">
        <v>-0.4666701937243963</v>
      </c>
      <c r="AE650" s="6" t="n">
        <v>1.014690515262368</v>
      </c>
      <c r="AF650" s="6" t="n">
        <v>1.488579518391124</v>
      </c>
      <c r="AG650" s="6" t="n">
        <v>-2.962883147726759</v>
      </c>
      <c r="AH650" s="6" t="n">
        <v>-4.3556063428142</v>
      </c>
      <c r="AI650" s="6" t="n">
        <v>-0.2576068872030586</v>
      </c>
      <c r="AJ650" s="6" t="n">
        <v>77.90359660748503</v>
      </c>
      <c r="AK650" s="6" t="n">
        <v>0.1615180472384605</v>
      </c>
      <c r="AL650" s="6" t="n">
        <v>1.035789467535572</v>
      </c>
      <c r="AN650" s="6" t="n">
        <v>1.350212817797489</v>
      </c>
      <c r="AO650" s="6" t="n">
        <v>1.350218346370553</v>
      </c>
      <c r="AP650" s="6" t="n">
        <v>0.1328724317400304</v>
      </c>
      <c r="AQ650" s="6" t="n">
        <v>0</v>
      </c>
      <c r="AR650" s="6" t="n">
        <v>0</v>
      </c>
    </row>
    <row r="651">
      <c r="D651" t="inlineStr">
        <is>
          <t>Run 339</t>
        </is>
      </c>
      <c r="J651" s="6" t="n">
        <v>-1.298950651377882</v>
      </c>
      <c r="K651" s="6" t="n">
        <v>-0.6081150940661378</v>
      </c>
      <c r="L651" s="6" t="n">
        <v>-0.574224708247308</v>
      </c>
      <c r="M651" s="6" t="n">
        <v>0.5107415959283935</v>
      </c>
      <c r="N651" s="6" t="n">
        <v>-0.7559532684725948</v>
      </c>
      <c r="O651" s="6" t="n">
        <v>0.1648052534358471</v>
      </c>
      <c r="P651" s="6" t="n">
        <v>-2.910162654089386</v>
      </c>
      <c r="Q651" s="6" t="n">
        <v>-3.274862260184497</v>
      </c>
      <c r="R651" s="6" t="n">
        <v>-1.226807968441242</v>
      </c>
      <c r="S651" s="6" t="n">
        <v>3.042519811544151</v>
      </c>
      <c r="T651" s="6" t="n">
        <v>0.3558711737839904</v>
      </c>
      <c r="U651" s="6" t="n">
        <v>1.265164126467246</v>
      </c>
      <c r="V651" s="6" t="n">
        <v>2.283562891205942</v>
      </c>
      <c r="W651" s="6" t="n">
        <v>-2.925616070449859</v>
      </c>
      <c r="X651" s="6" t="n">
        <v>0.4143915528543898</v>
      </c>
      <c r="Y651" s="6" t="n">
        <v>-1.306783509102874</v>
      </c>
      <c r="Z651" s="6" t="n">
        <v>-5.911142576283171</v>
      </c>
      <c r="AA651" s="6" t="n">
        <v>2.548076240541439</v>
      </c>
      <c r="AB651" s="6" t="n">
        <v>0.1723286614485973</v>
      </c>
      <c r="AC651" s="6" t="n">
        <v>-0.5803202881413249</v>
      </c>
      <c r="AD651" s="6" t="n">
        <v>2.822105053018577</v>
      </c>
      <c r="AE651" s="6" t="n">
        <v>2.856586715316508</v>
      </c>
      <c r="AF651" s="6" t="n">
        <v>-2.833424121665967</v>
      </c>
      <c r="AG651" s="6" t="n">
        <v>-4.327942791247452</v>
      </c>
      <c r="AH651" s="6" t="n">
        <v>-1.994752060216271</v>
      </c>
      <c r="AI651" s="6" t="n">
        <v>2.6145984320766</v>
      </c>
      <c r="AJ651" s="6" t="n">
        <v>72.9384372812321</v>
      </c>
      <c r="AK651" s="6" t="n">
        <v>0.1187264106859074</v>
      </c>
      <c r="AL651" s="6" t="n">
        <v>1.033295019834061</v>
      </c>
      <c r="AN651" s="6" t="n">
        <v>1.352719224656001</v>
      </c>
      <c r="AO651" s="6" t="n">
        <v>1.352719224656001</v>
      </c>
      <c r="AP651" s="6" t="n">
        <v>0.1336526727033069</v>
      </c>
      <c r="AQ651" s="6" t="n">
        <v>0</v>
      </c>
      <c r="AR651" s="6" t="n">
        <v>0</v>
      </c>
    </row>
    <row r="652">
      <c r="D652" t="inlineStr">
        <is>
          <t>Run 340</t>
        </is>
      </c>
      <c r="J652" s="6" t="n">
        <v>2.036675285160593</v>
      </c>
      <c r="K652" s="6" t="n">
        <v>-1.392550224555643</v>
      </c>
      <c r="L652" s="6" t="n">
        <v>-1.832589611358237</v>
      </c>
      <c r="M652" s="6" t="n">
        <v>0.06966188492752338</v>
      </c>
      <c r="N652" s="6" t="n">
        <v>-0.6633903724168642</v>
      </c>
      <c r="O652" s="6" t="n">
        <v>-1.105025973812458</v>
      </c>
      <c r="P652" s="6" t="n">
        <v>0.8186549844144122</v>
      </c>
      <c r="Q652" s="6" t="n">
        <v>-0.1029849106679809</v>
      </c>
      <c r="R652" s="6" t="n">
        <v>-3.981655197313288</v>
      </c>
      <c r="S652" s="6" t="n">
        <v>1.26958443705204</v>
      </c>
      <c r="T652" s="6" t="n">
        <v>-2.104361727349191</v>
      </c>
      <c r="U652" s="6" t="n">
        <v>1.163138548918667</v>
      </c>
      <c r="V652" s="6" t="n">
        <v>-4.295614140866646</v>
      </c>
      <c r="W652" s="6" t="n">
        <v>0.3721593940617554</v>
      </c>
      <c r="X652" s="6" t="n">
        <v>2.873869990202833</v>
      </c>
      <c r="Y652" s="6" t="n">
        <v>-1.545840636655649</v>
      </c>
      <c r="Z652" s="6" t="n">
        <v>-1.256616549559163</v>
      </c>
      <c r="AA652" s="6" t="n">
        <v>1.026182252812766</v>
      </c>
      <c r="AB652" s="6" t="n">
        <v>0.6929773934090867</v>
      </c>
      <c r="AC652" s="6" t="n">
        <v>-1.680745512548994</v>
      </c>
      <c r="AD652" s="6" t="n">
        <v>-0.4523317386329739</v>
      </c>
      <c r="AE652" s="6" t="n">
        <v>0.940776696592718</v>
      </c>
      <c r="AF652" s="6" t="n">
        <v>1.612312074847162</v>
      </c>
      <c r="AG652" s="6" t="n">
        <v>-0.6100068302659057</v>
      </c>
      <c r="AH652" s="6" t="n">
        <v>1.126764584626316</v>
      </c>
      <c r="AI652" s="6" t="n">
        <v>0.04029013828045345</v>
      </c>
      <c r="AJ652" s="6" t="n">
        <v>77.64517916896351</v>
      </c>
      <c r="AK652" s="6" t="n">
        <v>0.1583039900705554</v>
      </c>
      <c r="AL652" s="6" t="n">
        <v>1.043496043382464</v>
      </c>
      <c r="AN652" s="6" t="n">
        <v>1.350336609093016</v>
      </c>
      <c r="AO652" s="6" t="n">
        <v>1.350561138416333</v>
      </c>
      <c r="AP652" s="6" t="n">
        <v>0.132504049037194</v>
      </c>
      <c r="AQ652" s="6" t="n">
        <v>0</v>
      </c>
      <c r="AR652" s="6" t="n">
        <v>0</v>
      </c>
    </row>
    <row r="653">
      <c r="D653" t="inlineStr">
        <is>
          <t>Run 341</t>
        </is>
      </c>
      <c r="J653" s="6" t="n">
        <v>3.453704033800396</v>
      </c>
      <c r="K653" s="6" t="n">
        <v>1.700630727946935</v>
      </c>
      <c r="L653" s="6" t="n">
        <v>2.684316644226914</v>
      </c>
      <c r="M653" s="6" t="n">
        <v>-3.246880476798223</v>
      </c>
      <c r="N653" s="6" t="n">
        <v>-0.6234787499376389</v>
      </c>
      <c r="O653" s="6" t="n">
        <v>2.013985006253426</v>
      </c>
      <c r="P653" s="6" t="n">
        <v>0.9853345020411588</v>
      </c>
      <c r="Q653" s="6" t="n">
        <v>-1.050995513352067</v>
      </c>
      <c r="R653" s="6" t="n">
        <v>1.857181916391626</v>
      </c>
      <c r="S653" s="6" t="n">
        <v>-0.8749742820381904</v>
      </c>
      <c r="T653" s="6" t="n">
        <v>3.244272351127357</v>
      </c>
      <c r="U653" s="6" t="n">
        <v>-2.371251417850806</v>
      </c>
      <c r="V653" s="6" t="n">
        <v>0.1459474118290435</v>
      </c>
      <c r="W653" s="6" t="n">
        <v>-0.7693820321845164</v>
      </c>
      <c r="X653" s="6" t="n">
        <v>0.1486026528021927</v>
      </c>
      <c r="Y653" s="6" t="n">
        <v>2.802089655367897</v>
      </c>
      <c r="Z653" s="6" t="n">
        <v>0.8263080510369064</v>
      </c>
      <c r="AA653" s="6" t="n">
        <v>4.642986170598227</v>
      </c>
      <c r="AB653" s="6" t="n">
        <v>-3.035424990053713</v>
      </c>
      <c r="AC653" s="6" t="n">
        <v>0.2250360597960928</v>
      </c>
      <c r="AD653" s="6" t="n">
        <v>-2.480309127083815</v>
      </c>
      <c r="AE653" s="6" t="n">
        <v>-2.593275009951588</v>
      </c>
      <c r="AF653" s="6" t="n">
        <v>0.2631482847736968</v>
      </c>
      <c r="AG653" s="6" t="n">
        <v>-0.1063732260694309</v>
      </c>
      <c r="AH653" s="6" t="n">
        <v>-1.043892257703397</v>
      </c>
      <c r="AI653" s="6" t="n">
        <v>-1.301208701573209</v>
      </c>
      <c r="AJ653" s="6" t="n">
        <v>79.22230825535654</v>
      </c>
      <c r="AK653" s="6" t="n">
        <v>0.1775400732509694</v>
      </c>
      <c r="AL653" s="6" t="n">
        <v>1.031997188402174</v>
      </c>
      <c r="AN653" s="6" t="n">
        <v>1.318378346286246</v>
      </c>
      <c r="AO653" s="6" t="n">
        <v>1.326612459078895</v>
      </c>
      <c r="AP653" s="6" t="n">
        <v>0.1328927570587112</v>
      </c>
      <c r="AQ653" s="6" t="n">
        <v>0</v>
      </c>
      <c r="AR653" s="6" t="n">
        <v>0</v>
      </c>
    </row>
    <row r="654">
      <c r="D654" t="inlineStr">
        <is>
          <t>Run 342</t>
        </is>
      </c>
      <c r="J654" s="6" t="n">
        <v>-1.415280436932018</v>
      </c>
      <c r="K654" s="6" t="n">
        <v>-2.227219752123553</v>
      </c>
      <c r="L654" s="6" t="n">
        <v>-0.7964355599537968</v>
      </c>
      <c r="M654" s="6" t="n">
        <v>1.459561950799986</v>
      </c>
      <c r="N654" s="6" t="n">
        <v>2.145754457731561</v>
      </c>
      <c r="O654" s="6" t="n">
        <v>-6.429837085599409</v>
      </c>
      <c r="P654" s="6" t="n">
        <v>-1.623846554430465</v>
      </c>
      <c r="Q654" s="6" t="n">
        <v>-3.425808085386306</v>
      </c>
      <c r="R654" s="6" t="n">
        <v>-1.436859739027869</v>
      </c>
      <c r="S654" s="6" t="n">
        <v>-1.389347437952367</v>
      </c>
      <c r="T654" s="6" t="n">
        <v>-1.813810996711152</v>
      </c>
      <c r="U654" s="6" t="n">
        <v>0.9650073688999343</v>
      </c>
      <c r="V654" s="6" t="n">
        <v>-3.46513005776691</v>
      </c>
      <c r="W654" s="6" t="n">
        <v>1.808728211009774</v>
      </c>
      <c r="X654" s="6" t="n">
        <v>-0.466858785287597</v>
      </c>
      <c r="Y654" s="6" t="n">
        <v>-0.3812060104537374</v>
      </c>
      <c r="Z654" s="6" t="n">
        <v>1.955175240865789</v>
      </c>
      <c r="AA654" s="6" t="n">
        <v>-0.3895388280939129</v>
      </c>
      <c r="AB654" s="6" t="n">
        <v>1.976475349599873</v>
      </c>
      <c r="AC654" s="6" t="n">
        <v>2.985546198725924</v>
      </c>
      <c r="AD654" s="6" t="n">
        <v>3.346901995339592</v>
      </c>
      <c r="AE654" s="6" t="n">
        <v>2.037161430124582</v>
      </c>
      <c r="AF654" s="6" t="n">
        <v>2.447052513057447</v>
      </c>
      <c r="AG654" s="6" t="n">
        <v>-1.612507829755087</v>
      </c>
      <c r="AH654" s="6" t="n">
        <v>0.5267769554051457</v>
      </c>
      <c r="AI654" s="6" t="n">
        <v>-1.338473460856684</v>
      </c>
      <c r="AJ654" s="6" t="n">
        <v>75.64867810548589</v>
      </c>
      <c r="AK654" s="6" t="n">
        <v>0.1439280032833196</v>
      </c>
      <c r="AL654" s="6" t="n">
        <v>1.042868216200993</v>
      </c>
      <c r="AN654" s="6" t="n">
        <v>1.303925586162321</v>
      </c>
      <c r="AO654" s="6" t="n">
        <v>1.309757645929055</v>
      </c>
      <c r="AP654" s="6" t="n">
        <v>0.1320823775913009</v>
      </c>
      <c r="AQ654" s="6" t="n">
        <v>0</v>
      </c>
      <c r="AR654" s="6" t="n">
        <v>0</v>
      </c>
    </row>
    <row r="655">
      <c r="D655" t="inlineStr">
        <is>
          <t>Run 343</t>
        </is>
      </c>
      <c r="J655" s="6" t="n">
        <v>-0.5428984694850797</v>
      </c>
      <c r="K655" s="6" t="n">
        <v>1.868311529904998</v>
      </c>
      <c r="L655" s="6" t="n">
        <v>-0.7979546724978671</v>
      </c>
      <c r="M655" s="6" t="n">
        <v>0.2321170362376928</v>
      </c>
      <c r="N655" s="6" t="n">
        <v>0.2739362599622494</v>
      </c>
      <c r="O655" s="6" t="n">
        <v>0.7269052996200274</v>
      </c>
      <c r="P655" s="6" t="n">
        <v>1.380964543033226</v>
      </c>
      <c r="Q655" s="6" t="n">
        <v>3.066819799030635</v>
      </c>
      <c r="R655" s="6" t="n">
        <v>-2.925557504050402</v>
      </c>
      <c r="S655" s="6" t="n">
        <v>-1.597000150379441</v>
      </c>
      <c r="T655" s="6" t="n">
        <v>-0.5906505108963429</v>
      </c>
      <c r="U655" s="6" t="n">
        <v>-2.954695377894034</v>
      </c>
      <c r="V655" s="6" t="n">
        <v>0.7204454935474108</v>
      </c>
      <c r="W655" s="6" t="n">
        <v>3.424035405880587</v>
      </c>
      <c r="X655" s="6" t="n">
        <v>0.9862225584972368</v>
      </c>
      <c r="Y655" s="6" t="n">
        <v>3.094523311044125</v>
      </c>
      <c r="Z655" s="6" t="n">
        <v>0.9732688734436247</v>
      </c>
      <c r="AA655" s="6" t="n">
        <v>1.197038837191616</v>
      </c>
      <c r="AB655" s="6" t="n">
        <v>-1.410181271596743</v>
      </c>
      <c r="AC655" s="6" t="n">
        <v>0.1312918237676856</v>
      </c>
      <c r="AD655" s="6" t="n">
        <v>-2.475371614606826</v>
      </c>
      <c r="AE655" s="6" t="n">
        <v>0.007275277870941553</v>
      </c>
      <c r="AF655" s="6" t="n">
        <v>-1.784736937194593</v>
      </c>
      <c r="AG655" s="6" t="n">
        <v>2.533031477117661</v>
      </c>
      <c r="AH655" s="6" t="n">
        <v>2.767629014758791</v>
      </c>
      <c r="AI655" s="6" t="n">
        <v>-0.3388085824599522</v>
      </c>
      <c r="AJ655" s="6" t="n">
        <v>78.86913036795178</v>
      </c>
      <c r="AK655" s="6" t="n">
        <v>0.1028093557330284</v>
      </c>
      <c r="AL655" s="6" t="n">
        <v>1.026599791628627</v>
      </c>
      <c r="AN655" s="6" t="n">
        <v>1.355078006992084</v>
      </c>
      <c r="AO655" s="6" t="n">
        <v>1.355560379391307</v>
      </c>
      <c r="AP655" s="6" t="n">
        <v>0.1359659822935511</v>
      </c>
      <c r="AQ655" s="6" t="n">
        <v>0</v>
      </c>
      <c r="AR655" s="6" t="n">
        <v>0</v>
      </c>
    </row>
    <row r="656">
      <c r="D656" t="inlineStr">
        <is>
          <t>Run 344</t>
        </is>
      </c>
      <c r="J656" s="6" t="n">
        <v>0.132967798925957</v>
      </c>
      <c r="K656" s="6" t="n">
        <v>3.448574486684891</v>
      </c>
      <c r="L656" s="6" t="n">
        <v>2.791812615494393</v>
      </c>
      <c r="M656" s="6" t="n">
        <v>0.762956501630131</v>
      </c>
      <c r="N656" s="6" t="n">
        <v>4.591410414945946</v>
      </c>
      <c r="O656" s="6" t="n">
        <v>2.0226102576633</v>
      </c>
      <c r="P656" s="6" t="n">
        <v>-1.051953134610668</v>
      </c>
      <c r="Q656" s="6" t="n">
        <v>1.765014037097006</v>
      </c>
      <c r="R656" s="6" t="n">
        <v>-1.973362394843183</v>
      </c>
      <c r="S656" s="6" t="n">
        <v>2.047138110156473</v>
      </c>
      <c r="T656" s="6" t="n">
        <v>-0.03139396733285688</v>
      </c>
      <c r="U656" s="6" t="n">
        <v>3.697887266948508</v>
      </c>
      <c r="V656" s="6" t="n">
        <v>-0.6842689842313898</v>
      </c>
      <c r="W656" s="6" t="n">
        <v>-2.030501382521255</v>
      </c>
      <c r="X656" s="6" t="n">
        <v>-0.9165997600722573</v>
      </c>
      <c r="Y656" s="6" t="n">
        <v>-2.579283203788048</v>
      </c>
      <c r="Z656" s="6" t="n">
        <v>2.343410400005219</v>
      </c>
      <c r="AA656" s="6" t="n">
        <v>0.5232596268999186</v>
      </c>
      <c r="AB656" s="6" t="n">
        <v>-0.5490436101648346</v>
      </c>
      <c r="AC656" s="6" t="n">
        <v>-2.246391660741748</v>
      </c>
      <c r="AD656" s="6" t="n">
        <v>1.358917648869882</v>
      </c>
      <c r="AE656" s="6" t="n">
        <v>-0.1998239295423714</v>
      </c>
      <c r="AF656" s="6" t="n">
        <v>3.502924053064749</v>
      </c>
      <c r="AG656" s="6" t="n">
        <v>-3.791221571543321</v>
      </c>
      <c r="AH656" s="6" t="n">
        <v>-0.3019582714820633</v>
      </c>
      <c r="AI656" s="6" t="n">
        <v>1.626821402040446</v>
      </c>
      <c r="AJ656" s="6" t="n">
        <v>74.29024185313729</v>
      </c>
      <c r="AK656" s="6" t="n">
        <v>0.1105545096558481</v>
      </c>
      <c r="AL656" s="6" t="n">
        <v>1.031777279136342</v>
      </c>
      <c r="AN656" s="6" t="n">
        <v>1.351165447301139</v>
      </c>
      <c r="AO656" s="6" t="n">
        <v>1.351495592342472</v>
      </c>
      <c r="AP656" s="6" t="n">
        <v>0.1345660575005297</v>
      </c>
      <c r="AQ656" s="6" t="n">
        <v>0</v>
      </c>
      <c r="AR656" s="6" t="n">
        <v>0</v>
      </c>
    </row>
    <row r="657">
      <c r="D657" t="inlineStr">
        <is>
          <t>Run 345</t>
        </is>
      </c>
      <c r="J657" s="6" t="n">
        <v>0.950396047110742</v>
      </c>
      <c r="K657" s="6" t="n">
        <v>-1.852352769315504</v>
      </c>
      <c r="L657" s="6" t="n">
        <v>0.6746894718960504</v>
      </c>
      <c r="M657" s="6" t="n">
        <v>-0.6708623376938478</v>
      </c>
      <c r="N657" s="6" t="n">
        <v>-5.162000587903665</v>
      </c>
      <c r="O657" s="6" t="n">
        <v>-2.871216408847991</v>
      </c>
      <c r="P657" s="6" t="n">
        <v>-0.06334446553118392</v>
      </c>
      <c r="Q657" s="6" t="n">
        <v>-2.412620156868067</v>
      </c>
      <c r="R657" s="6" t="n">
        <v>-0.6303419924113047</v>
      </c>
      <c r="S657" s="6" t="n">
        <v>-1.501403612261966</v>
      </c>
      <c r="T657" s="6" t="n">
        <v>-0.1506259509721027</v>
      </c>
      <c r="U657" s="6" t="n">
        <v>-2.313996087278092</v>
      </c>
      <c r="V657" s="6" t="n">
        <v>-2.218893142900099</v>
      </c>
      <c r="W657" s="6" t="n">
        <v>-2.671348905936761</v>
      </c>
      <c r="X657" s="6" t="n">
        <v>1.861804025947595</v>
      </c>
      <c r="Y657" s="6" t="n">
        <v>2.576323374306513</v>
      </c>
      <c r="Z657" s="6" t="n">
        <v>-2.393787844081398</v>
      </c>
      <c r="AA657" s="6" t="n">
        <v>1.571745361017937</v>
      </c>
      <c r="AB657" s="6" t="n">
        <v>1.445107021165483</v>
      </c>
      <c r="AC657" s="6" t="n">
        <v>-2.878076870169422</v>
      </c>
      <c r="AD657" s="6" t="n">
        <v>-0.1910832917197867</v>
      </c>
      <c r="AE657" s="6" t="n">
        <v>0.265656203945917</v>
      </c>
      <c r="AF657" s="6" t="n">
        <v>-1.647581906530658</v>
      </c>
      <c r="AG657" s="6" t="n">
        <v>-0.1619994164617582</v>
      </c>
      <c r="AH657" s="6" t="n">
        <v>1.884589938501605</v>
      </c>
      <c r="AI657" s="6" t="n">
        <v>1.648160180492747</v>
      </c>
      <c r="AJ657" s="6" t="n">
        <v>77.3226744746251</v>
      </c>
      <c r="AK657" s="6" t="n">
        <v>0.1705065629372346</v>
      </c>
      <c r="AL657" s="6" t="n">
        <v>1.076905995209849</v>
      </c>
      <c r="AN657" s="6" t="n">
        <v>1.321985610019313</v>
      </c>
      <c r="AO657" s="6" t="n">
        <v>1.322461025554853</v>
      </c>
      <c r="AP657" s="6" t="n">
        <v>0.1290361898590351</v>
      </c>
      <c r="AQ657" s="6" t="n">
        <v>0</v>
      </c>
      <c r="AR657" s="6" t="n">
        <v>0</v>
      </c>
    </row>
    <row r="658">
      <c r="D658" t="inlineStr">
        <is>
          <t>Run 346</t>
        </is>
      </c>
      <c r="J658" s="6" t="n">
        <v>2.835751762331676</v>
      </c>
      <c r="K658" s="6" t="n">
        <v>-1.562081650456466</v>
      </c>
      <c r="L658" s="6" t="n">
        <v>0.7285052466111004</v>
      </c>
      <c r="M658" s="6" t="n">
        <v>-2.068411648185326</v>
      </c>
      <c r="N658" s="6" t="n">
        <v>0.5872142114884211</v>
      </c>
      <c r="O658" s="6" t="n">
        <v>2.691467885843823</v>
      </c>
      <c r="P658" s="6" t="n">
        <v>-1.830318692929307</v>
      </c>
      <c r="Q658" s="6" t="n">
        <v>-1.708393079099778</v>
      </c>
      <c r="R658" s="6" t="n">
        <v>-0.3948940191119306</v>
      </c>
      <c r="S658" s="6" t="n">
        <v>0.05289855481759195</v>
      </c>
      <c r="T658" s="6" t="n">
        <v>-1.319496946621914</v>
      </c>
      <c r="U658" s="6" t="n">
        <v>1.471065003186526</v>
      </c>
      <c r="V658" s="6" t="n">
        <v>1.469529225602178</v>
      </c>
      <c r="W658" s="6" t="n">
        <v>2.042931297618516</v>
      </c>
      <c r="X658" s="6" t="n">
        <v>-2.522574326755542</v>
      </c>
      <c r="Y658" s="6" t="n">
        <v>-3.813003389428828</v>
      </c>
      <c r="Z658" s="6" t="n">
        <v>4.459260257709952</v>
      </c>
      <c r="AA658" s="6" t="n">
        <v>1.694537039032597</v>
      </c>
      <c r="AB658" s="6" t="n">
        <v>-1.533051680700648</v>
      </c>
      <c r="AC658" s="6" t="n">
        <v>-1.259901564206588</v>
      </c>
      <c r="AD658" s="6" t="n">
        <v>-3.360307376031507</v>
      </c>
      <c r="AE658" s="6" t="n">
        <v>0.1964127718595032</v>
      </c>
      <c r="AF658" s="6" t="n">
        <v>-0.7526757758495485</v>
      </c>
      <c r="AG658" s="6" t="n">
        <v>-0.9142045116702385</v>
      </c>
      <c r="AH658" s="6" t="n">
        <v>-1.53086338365725</v>
      </c>
      <c r="AI658" s="6" t="n">
        <v>0.149010708719828</v>
      </c>
      <c r="AJ658" s="6" t="n">
        <v>65.57069516059761</v>
      </c>
      <c r="AK658" s="6" t="n">
        <v>0.1546185469454868</v>
      </c>
      <c r="AL658" s="6" t="n">
        <v>1.028447768590246</v>
      </c>
      <c r="AN658" s="6" t="n">
        <v>1.332443737784874</v>
      </c>
      <c r="AO658" s="6" t="n">
        <v>1.339199838749307</v>
      </c>
      <c r="AP658" s="6" t="n">
        <v>0.1328373941589603</v>
      </c>
      <c r="AQ658" s="6" t="n">
        <v>0</v>
      </c>
      <c r="AR658" s="6" t="n">
        <v>0</v>
      </c>
    </row>
    <row r="659">
      <c r="D659" t="inlineStr">
        <is>
          <t>Run 347</t>
        </is>
      </c>
      <c r="J659" s="6" t="n">
        <v>-1.923912185415147</v>
      </c>
      <c r="K659" s="6" t="n">
        <v>1.495013682843777</v>
      </c>
      <c r="L659" s="6" t="n">
        <v>-0.2910197531797271</v>
      </c>
      <c r="M659" s="6" t="n">
        <v>0.8238479747233866</v>
      </c>
      <c r="N659" s="6" t="n">
        <v>1.872627741360357</v>
      </c>
      <c r="O659" s="6" t="n">
        <v>2.944743382085424</v>
      </c>
      <c r="P659" s="6" t="n">
        <v>-0.1270626235423632</v>
      </c>
      <c r="Q659" s="6" t="n">
        <v>3.820529131658124</v>
      </c>
      <c r="R659" s="6" t="n">
        <v>-2.025041583954518</v>
      </c>
      <c r="S659" s="6" t="n">
        <v>-1.266317592100519</v>
      </c>
      <c r="T659" s="6" t="n">
        <v>-0.9010495624485411</v>
      </c>
      <c r="U659" s="6" t="n">
        <v>0.9251712993035012</v>
      </c>
      <c r="V659" s="6" t="n">
        <v>3.505154275122173</v>
      </c>
      <c r="W659" s="6" t="n">
        <v>0.05152468987248782</v>
      </c>
      <c r="X659" s="6" t="n">
        <v>2.27008900106563</v>
      </c>
      <c r="Y659" s="6" t="n">
        <v>2.225442680064118</v>
      </c>
      <c r="Z659" s="6" t="n">
        <v>-1.641257545419553</v>
      </c>
      <c r="AA659" s="6" t="n">
        <v>0.8803159323137422</v>
      </c>
      <c r="AB659" s="6" t="n">
        <v>-2.309976686356028</v>
      </c>
      <c r="AC659" s="6" t="n">
        <v>-1.842999233352681</v>
      </c>
      <c r="AD659" s="6" t="n">
        <v>1.555094740274931</v>
      </c>
      <c r="AE659" s="6" t="n">
        <v>-2.893203916391586</v>
      </c>
      <c r="AF659" s="6" t="n">
        <v>3.766928769670986</v>
      </c>
      <c r="AG659" s="6" t="n">
        <v>-2.11905897354872</v>
      </c>
      <c r="AH659" s="6" t="n">
        <v>1.379402709498512</v>
      </c>
      <c r="AI659" s="6" t="n">
        <v>-1.204180009665049</v>
      </c>
      <c r="AJ659" s="6" t="n">
        <v>79.50035813910604</v>
      </c>
      <c r="AK659" s="6" t="n">
        <v>0.09435874127004942</v>
      </c>
      <c r="AL659" s="6" t="n">
        <v>1.085157559277437</v>
      </c>
      <c r="AN659" s="6" t="n">
        <v>1.338231672341082</v>
      </c>
      <c r="AO659" s="6" t="n">
        <v>1.338690581495549</v>
      </c>
      <c r="AP659" s="6" t="n">
        <v>0.1310929513850235</v>
      </c>
      <c r="AQ659" s="6" t="n">
        <v>0</v>
      </c>
      <c r="AR659" s="6" t="n">
        <v>0</v>
      </c>
    </row>
    <row r="660">
      <c r="D660" t="inlineStr">
        <is>
          <t>Run 348</t>
        </is>
      </c>
      <c r="J660" s="6" t="n">
        <v>2.240918079606073</v>
      </c>
      <c r="K660" s="6" t="n">
        <v>0.6162581021498476</v>
      </c>
      <c r="L660" s="6" t="n">
        <v>1.227199797818723</v>
      </c>
      <c r="M660" s="6" t="n">
        <v>1.356057781523375</v>
      </c>
      <c r="N660" s="6" t="n">
        <v>-3.769930977045263</v>
      </c>
      <c r="O660" s="6" t="n">
        <v>1.210575569020424</v>
      </c>
      <c r="P660" s="6" t="n">
        <v>-1.089252124154168</v>
      </c>
      <c r="Q660" s="6" t="n">
        <v>0.1363803539451839</v>
      </c>
      <c r="R660" s="6" t="n">
        <v>0.08902601628438424</v>
      </c>
      <c r="S660" s="6" t="n">
        <v>0.3620606916787621</v>
      </c>
      <c r="T660" s="6" t="n">
        <v>-4.036076985579801</v>
      </c>
      <c r="U660" s="6" t="n">
        <v>1.747481539949657</v>
      </c>
      <c r="V660" s="6" t="n">
        <v>-0.6711809687293713</v>
      </c>
      <c r="W660" s="6" t="n">
        <v>-2.054300585841783</v>
      </c>
      <c r="X660" s="6" t="n">
        <v>2.190261639089147</v>
      </c>
      <c r="Y660" s="6" t="n">
        <v>-0.1106153653403742</v>
      </c>
      <c r="Z660" s="6" t="n">
        <v>2.012191516332859</v>
      </c>
      <c r="AA660" s="6" t="n">
        <v>-1.060989059388809</v>
      </c>
      <c r="AB660" s="6" t="n">
        <v>3.486295495910216</v>
      </c>
      <c r="AC660" s="6" t="n">
        <v>0.2030913840690946</v>
      </c>
      <c r="AD660" s="6" t="n">
        <v>0.9898646141350226</v>
      </c>
      <c r="AE660" s="6" t="n">
        <v>-0.1675031804560784</v>
      </c>
      <c r="AF660" s="6" t="n">
        <v>0.7480851854198568</v>
      </c>
      <c r="AG660" s="6" t="n">
        <v>-1.253903304535107</v>
      </c>
      <c r="AH660" s="6" t="n">
        <v>-4.172172582785036</v>
      </c>
      <c r="AI660" s="6" t="n">
        <v>-1.859309779517669</v>
      </c>
      <c r="AJ660" s="6" t="n">
        <v>76.13466885449077</v>
      </c>
      <c r="AK660" s="6" t="n">
        <v>0.1645463512036058</v>
      </c>
      <c r="AL660" s="6" t="n">
        <v>1.084699335394239</v>
      </c>
      <c r="AN660" s="6" t="n">
        <v>1.329117233010183</v>
      </c>
      <c r="AO660" s="6" t="n">
        <v>1.329238582492408</v>
      </c>
      <c r="AP660" s="6" t="n">
        <v>0.1291007416359156</v>
      </c>
      <c r="AQ660" s="6" t="n">
        <v>0</v>
      </c>
      <c r="AR660" s="6" t="n">
        <v>0</v>
      </c>
    </row>
    <row r="661">
      <c r="D661" t="inlineStr">
        <is>
          <t>Run 349</t>
        </is>
      </c>
      <c r="J661" s="6" t="n">
        <v>-2.219521594300661</v>
      </c>
      <c r="K661" s="6" t="n">
        <v>-0.2624384465793624</v>
      </c>
      <c r="L661" s="6" t="n">
        <v>-0.1663822284740279</v>
      </c>
      <c r="M661" s="6" t="n">
        <v>-1.079637516201352</v>
      </c>
      <c r="N661" s="6" t="n">
        <v>0.710165748037877</v>
      </c>
      <c r="O661" s="6" t="n">
        <v>0.5441614256608842</v>
      </c>
      <c r="P661" s="6" t="n">
        <v>-0.5468661171195672</v>
      </c>
      <c r="Q661" s="6" t="n">
        <v>-1.166883980213018</v>
      </c>
      <c r="R661" s="6" t="n">
        <v>0.5393505327886997</v>
      </c>
      <c r="S661" s="6" t="n">
        <v>1.095508594165494</v>
      </c>
      <c r="T661" s="6" t="n">
        <v>-1.518850472620989</v>
      </c>
      <c r="U661" s="6" t="n">
        <v>-1.603713394116457</v>
      </c>
      <c r="V661" s="6" t="n">
        <v>-1.475501267605781</v>
      </c>
      <c r="W661" s="6" t="n">
        <v>-2.007753546592181</v>
      </c>
      <c r="X661" s="6" t="n">
        <v>0.8604203167185709</v>
      </c>
      <c r="Y661" s="6" t="n">
        <v>3.601419940708328</v>
      </c>
      <c r="Z661" s="6" t="n">
        <v>1.331520331362486</v>
      </c>
      <c r="AA661" s="6" t="n">
        <v>1.060021310036721</v>
      </c>
      <c r="AB661" s="6" t="n">
        <v>-3.550047939885656</v>
      </c>
      <c r="AC661" s="6" t="n">
        <v>-1.413080709357309</v>
      </c>
      <c r="AD661" s="6" t="n">
        <v>1.122789106859553</v>
      </c>
      <c r="AE661" s="6" t="n">
        <v>5</v>
      </c>
      <c r="AF661" s="6" t="n">
        <v>0.7093885837492773</v>
      </c>
      <c r="AG661" s="6" t="n">
        <v>1.228960586591942</v>
      </c>
      <c r="AH661" s="6" t="n">
        <v>0.9475373062705587</v>
      </c>
      <c r="AI661" s="6" t="n">
        <v>0.9922558378994908</v>
      </c>
      <c r="AJ661" s="6" t="n">
        <v>67.07891078312849</v>
      </c>
      <c r="AK661" s="6" t="n">
        <v>0.1368606181526634</v>
      </c>
      <c r="AL661" s="6" t="n">
        <v>1.090827847565746</v>
      </c>
      <c r="AN661" s="6" t="n">
        <v>1.328530163802858</v>
      </c>
      <c r="AO661" s="6" t="n">
        <v>1.328680804250324</v>
      </c>
      <c r="AP661" s="6" t="n">
        <v>0.1290961322742008</v>
      </c>
      <c r="AQ661" s="6" t="n">
        <v>0</v>
      </c>
      <c r="AR661" s="6" t="n">
        <v>0</v>
      </c>
    </row>
    <row r="662">
      <c r="D662" t="inlineStr">
        <is>
          <t>Run 350</t>
        </is>
      </c>
      <c r="J662" s="6" t="n">
        <v>-1.304729729616734</v>
      </c>
      <c r="K662" s="6" t="n">
        <v>2.367904471960975</v>
      </c>
      <c r="L662" s="6" t="n">
        <v>-0.2274866488447934</v>
      </c>
      <c r="M662" s="6" t="n">
        <v>-1.014675033170224</v>
      </c>
      <c r="N662" s="6" t="n">
        <v>3.492685633936497</v>
      </c>
      <c r="O662" s="6" t="n">
        <v>-1.459084741982174</v>
      </c>
      <c r="P662" s="6" t="n">
        <v>2.491912491456749</v>
      </c>
      <c r="Q662" s="6" t="n">
        <v>0.8268469951922723</v>
      </c>
      <c r="R662" s="6" t="n">
        <v>1.819895906489337</v>
      </c>
      <c r="S662" s="6" t="n">
        <v>2.705964750564708</v>
      </c>
      <c r="T662" s="6" t="n">
        <v>-2.487259167870372</v>
      </c>
      <c r="U662" s="6" t="n">
        <v>-2.037585897611282</v>
      </c>
      <c r="V662" s="6" t="n">
        <v>-1.265559880837426</v>
      </c>
      <c r="W662" s="6" t="n">
        <v>-2.088271050727267</v>
      </c>
      <c r="X662" s="6" t="n">
        <v>0.2406000099010259</v>
      </c>
      <c r="Y662" s="6" t="n">
        <v>3.916943397158381</v>
      </c>
      <c r="Z662" s="6" t="n">
        <v>2.339400250191499</v>
      </c>
      <c r="AA662" s="6" t="n">
        <v>-2.016422370499212</v>
      </c>
      <c r="AB662" s="6" t="n">
        <v>-0.7695683179816091</v>
      </c>
      <c r="AC662" s="6" t="n">
        <v>-1.39991607959894</v>
      </c>
      <c r="AD662" s="6" t="n">
        <v>-0.497178411859558</v>
      </c>
      <c r="AE662" s="6" t="n">
        <v>-0.7996839704685308</v>
      </c>
      <c r="AF662" s="6" t="n">
        <v>-0.04725580421805091</v>
      </c>
      <c r="AG662" s="6" t="n">
        <v>-1.097444781269179</v>
      </c>
      <c r="AH662" s="6" t="n">
        <v>-0.4786362976827677</v>
      </c>
      <c r="AI662" s="6" t="n">
        <v>1.098411275886737</v>
      </c>
      <c r="AJ662" s="6" t="n">
        <v>74.49950504417086</v>
      </c>
      <c r="AK662" s="6" t="n">
        <v>0.1034404951716326</v>
      </c>
      <c r="AL662" s="6" t="n">
        <v>1.045684103958658</v>
      </c>
      <c r="AN662" s="6" t="n">
        <v>1.347994921337061</v>
      </c>
      <c r="AO662" s="6" t="n">
        <v>1.348741609974836</v>
      </c>
      <c r="AP662" s="6" t="n">
        <v>0.1334402405600198</v>
      </c>
      <c r="AQ662" s="6" t="n">
        <v>0</v>
      </c>
      <c r="AR662" s="6" t="n">
        <v>0</v>
      </c>
    </row>
    <row r="663">
      <c r="D663" t="inlineStr">
        <is>
          <t>Run 351</t>
        </is>
      </c>
      <c r="J663" s="6" t="n">
        <v>-1.722796555856594</v>
      </c>
      <c r="K663" s="6" t="n">
        <v>-0.2242266043648565</v>
      </c>
      <c r="L663" s="6" t="n">
        <v>-2.587163714888824</v>
      </c>
      <c r="M663" s="6" t="n">
        <v>2.418686093813358</v>
      </c>
      <c r="N663" s="6" t="n">
        <v>-1.538888207312507</v>
      </c>
      <c r="O663" s="6" t="n">
        <v>-1.529897174611286</v>
      </c>
      <c r="P663" s="6" t="n">
        <v>-0.8417795513110691</v>
      </c>
      <c r="Q663" s="6" t="n">
        <v>1.573728408542692</v>
      </c>
      <c r="R663" s="6" t="n">
        <v>-0.1201095380143358</v>
      </c>
      <c r="S663" s="6" t="n">
        <v>0.8987278927637428</v>
      </c>
      <c r="T663" s="6" t="n">
        <v>2.963344403474732</v>
      </c>
      <c r="U663" s="6" t="n">
        <v>2.499977739175093</v>
      </c>
      <c r="V663" s="6" t="n">
        <v>-2.367968320189351</v>
      </c>
      <c r="W663" s="6" t="n">
        <v>-0.02591298782929667</v>
      </c>
      <c r="X663" s="6" t="n">
        <v>-2.396250490692258</v>
      </c>
      <c r="Y663" s="6" t="n">
        <v>0.8189565274504139</v>
      </c>
      <c r="Z663" s="6" t="n">
        <v>1.66213301979732</v>
      </c>
      <c r="AA663" s="6" t="n">
        <v>-0.4550701907980174</v>
      </c>
      <c r="AB663" s="6" t="n">
        <v>-0.3891453233828208</v>
      </c>
      <c r="AC663" s="6" t="n">
        <v>2.66928381741759</v>
      </c>
      <c r="AD663" s="6" t="n">
        <v>1.594686326899015</v>
      </c>
      <c r="AE663" s="6" t="n">
        <v>0.7337973756634234</v>
      </c>
      <c r="AF663" s="6" t="n">
        <v>1.235797082411667</v>
      </c>
      <c r="AG663" s="6" t="n">
        <v>-0.6043829198718565</v>
      </c>
      <c r="AH663" s="6" t="n">
        <v>-1.371766307905166</v>
      </c>
      <c r="AI663" s="6" t="n">
        <v>1.243896802257944</v>
      </c>
      <c r="AJ663" s="6" t="n">
        <v>75.61733944969046</v>
      </c>
      <c r="AK663" s="6" t="n">
        <v>0.1327190944576871</v>
      </c>
      <c r="AL663" s="6" t="n">
        <v>1.051755033932024</v>
      </c>
      <c r="AN663" s="6" t="n">
        <v>1.345407613513684</v>
      </c>
      <c r="AO663" s="6" t="n">
        <v>1.346265621772625</v>
      </c>
      <c r="AP663" s="6" t="n">
        <v>0.1324844715272786</v>
      </c>
      <c r="AQ663" s="6" t="n">
        <v>0</v>
      </c>
      <c r="AR663" s="6" t="n">
        <v>0</v>
      </c>
    </row>
    <row r="664">
      <c r="D664" t="inlineStr">
        <is>
          <t>Run 352</t>
        </is>
      </c>
      <c r="J664" s="6" t="n">
        <v>-1.498576857505399</v>
      </c>
      <c r="K664" s="6" t="n">
        <v>-2.451585908686857</v>
      </c>
      <c r="L664" s="6" t="n">
        <v>-0.4874822674832466</v>
      </c>
      <c r="M664" s="6" t="n">
        <v>0.9049588715240464</v>
      </c>
      <c r="N664" s="6" t="n">
        <v>0.6745362546118763</v>
      </c>
      <c r="O664" s="6" t="n">
        <v>0.4414890253858569</v>
      </c>
      <c r="P664" s="6" t="n">
        <v>-1.153203960200073</v>
      </c>
      <c r="Q664" s="6" t="n">
        <v>-1.724752858146703</v>
      </c>
      <c r="R664" s="6" t="n">
        <v>0.383435561350312</v>
      </c>
      <c r="S664" s="6" t="n">
        <v>-1.042519258847638</v>
      </c>
      <c r="T664" s="6" t="n">
        <v>-2.776343112280982</v>
      </c>
      <c r="U664" s="6" t="n">
        <v>-1.944168596029859</v>
      </c>
      <c r="V664" s="6" t="n">
        <v>-2.415184414535664</v>
      </c>
      <c r="W664" s="6" t="n">
        <v>1.888800923280081</v>
      </c>
      <c r="X664" s="6" t="n">
        <v>2.958331592753639</v>
      </c>
      <c r="Y664" s="6" t="n">
        <v>0.8135467456905716</v>
      </c>
      <c r="Z664" s="6" t="n">
        <v>0.2521119861755196</v>
      </c>
      <c r="AA664" s="6" t="n">
        <v>-2.319519462945895</v>
      </c>
      <c r="AB664" s="6" t="n">
        <v>-1.357916354536215</v>
      </c>
      <c r="AC664" s="6" t="n">
        <v>-2.290233272759443</v>
      </c>
      <c r="AD664" s="6" t="n">
        <v>0.5470588532281985</v>
      </c>
      <c r="AE664" s="6" t="n">
        <v>1.613267639543003</v>
      </c>
      <c r="AF664" s="6" t="n">
        <v>1.613062348453216</v>
      </c>
      <c r="AG664" s="6" t="n">
        <v>1.641110356990369</v>
      </c>
      <c r="AH664" s="6" t="n">
        <v>-2.850161218433455</v>
      </c>
      <c r="AI664" s="6" t="n">
        <v>-2.715344388670559</v>
      </c>
      <c r="AJ664" s="6" t="n">
        <v>58.28222153933505</v>
      </c>
      <c r="AK664" s="6" t="n">
        <v>0.1064628067810623</v>
      </c>
      <c r="AL664" s="6" t="n">
        <v>1.101649848951129</v>
      </c>
      <c r="AN664" s="6" t="n">
        <v>1.326287534603685</v>
      </c>
      <c r="AO664" s="6" t="n">
        <v>1.326402251517737</v>
      </c>
      <c r="AP664" s="6" t="n">
        <v>0.1289289692289442</v>
      </c>
      <c r="AQ664" s="6" t="n">
        <v>0</v>
      </c>
      <c r="AR664" s="6" t="n">
        <v>0</v>
      </c>
    </row>
    <row r="665">
      <c r="D665" t="inlineStr">
        <is>
          <t>Run 353</t>
        </is>
      </c>
      <c r="J665" s="6" t="n">
        <v>2.672738995978925</v>
      </c>
      <c r="K665" s="6" t="n">
        <v>2.27029537816399</v>
      </c>
      <c r="L665" s="6" t="n">
        <v>-0.9708651071512534</v>
      </c>
      <c r="M665" s="6" t="n">
        <v>1.548879171673248</v>
      </c>
      <c r="N665" s="6" t="n">
        <v>-4.571375257361542</v>
      </c>
      <c r="O665" s="6" t="n">
        <v>1.960011188879207</v>
      </c>
      <c r="P665" s="6" t="n">
        <v>-0.005786406976506861</v>
      </c>
      <c r="Q665" s="6" t="n">
        <v>0.07837839981754334</v>
      </c>
      <c r="R665" s="6" t="n">
        <v>1.295373182845185</v>
      </c>
      <c r="S665" s="6" t="n">
        <v>0.08602874474857912</v>
      </c>
      <c r="T665" s="6" t="n">
        <v>0.6259838903586619</v>
      </c>
      <c r="U665" s="6" t="n">
        <v>0.5345316292973415</v>
      </c>
      <c r="V665" s="6" t="n">
        <v>1.516199708888118</v>
      </c>
      <c r="W665" s="6" t="n">
        <v>5</v>
      </c>
      <c r="X665" s="6" t="n">
        <v>-0.6512301096310514</v>
      </c>
      <c r="Y665" s="6" t="n">
        <v>-0.3361378233186131</v>
      </c>
      <c r="Z665" s="6" t="n">
        <v>-0.1909601368937951</v>
      </c>
      <c r="AA665" s="6" t="n">
        <v>-0.8424195203891669</v>
      </c>
      <c r="AB665" s="6" t="n">
        <v>-1.439267321790807</v>
      </c>
      <c r="AC665" s="6" t="n">
        <v>-0.9314355483792498</v>
      </c>
      <c r="AD665" s="6" t="n">
        <v>-2.227110537187296</v>
      </c>
      <c r="AE665" s="6" t="n">
        <v>0.1477620644471054</v>
      </c>
      <c r="AF665" s="6" t="n">
        <v>-0.9071585246439637</v>
      </c>
      <c r="AG665" s="6" t="n">
        <v>-3.990530203343414</v>
      </c>
      <c r="AH665" s="6" t="n">
        <v>-0.1244989722532529</v>
      </c>
      <c r="AI665" s="6" t="n">
        <v>1.970893559572702</v>
      </c>
      <c r="AJ665" s="6" t="n">
        <v>69.91893936433159</v>
      </c>
      <c r="AK665" s="6" t="n">
        <v>0.1099565887504973</v>
      </c>
      <c r="AL665" s="6" t="n">
        <v>1.076417029285697</v>
      </c>
      <c r="AN665" s="6" t="n">
        <v>1.335244633764912</v>
      </c>
      <c r="AO665" s="6" t="n">
        <v>1.335463591319954</v>
      </c>
      <c r="AP665" s="6" t="n">
        <v>0.1305031915430736</v>
      </c>
      <c r="AQ665" s="6" t="n">
        <v>0</v>
      </c>
      <c r="AR665" s="6" t="n">
        <v>0</v>
      </c>
    </row>
    <row r="666">
      <c r="D666" t="inlineStr">
        <is>
          <t>Run 354</t>
        </is>
      </c>
      <c r="J666" s="6" t="n">
        <v>-0.03426221279652623</v>
      </c>
      <c r="K666" s="6" t="n">
        <v>-1.377499473571161</v>
      </c>
      <c r="L666" s="6" t="n">
        <v>-3.158007415727058</v>
      </c>
      <c r="M666" s="6" t="n">
        <v>-0.1698455197002464</v>
      </c>
      <c r="N666" s="6" t="n">
        <v>1.315489556332939</v>
      </c>
      <c r="O666" s="6" t="n">
        <v>-0.4543867039501415</v>
      </c>
      <c r="P666" s="6" t="n">
        <v>2.02098646572371</v>
      </c>
      <c r="Q666" s="6" t="n">
        <v>0.8221828793676579</v>
      </c>
      <c r="R666" s="6" t="n">
        <v>0.9827000251872021</v>
      </c>
      <c r="S666" s="6" t="n">
        <v>-1.103450953697378</v>
      </c>
      <c r="T666" s="6" t="n">
        <v>-0.09982821735905884</v>
      </c>
      <c r="U666" s="6" t="n">
        <v>2.397215073251768</v>
      </c>
      <c r="V666" s="6" t="n">
        <v>-1.459527442955672</v>
      </c>
      <c r="W666" s="6" t="n">
        <v>-0.06746499267571378</v>
      </c>
      <c r="X666" s="6" t="n">
        <v>1.667352068589399</v>
      </c>
      <c r="Y666" s="6" t="n">
        <v>-0.9636007731461086</v>
      </c>
      <c r="Z666" s="6" t="n">
        <v>-2.513402016930559</v>
      </c>
      <c r="AA666" s="6" t="n">
        <v>0.6295487185158803</v>
      </c>
      <c r="AB666" s="6" t="n">
        <v>1.489110380012305</v>
      </c>
      <c r="AC666" s="6" t="n">
        <v>2.214264255168519</v>
      </c>
      <c r="AD666" s="6" t="n">
        <v>0.7255296864288217</v>
      </c>
      <c r="AE666" s="6" t="n">
        <v>-0.4221788617638464</v>
      </c>
      <c r="AF666" s="6" t="n">
        <v>-0.1484414890285083</v>
      </c>
      <c r="AG666" s="6" t="n">
        <v>-1.709630226377309</v>
      </c>
      <c r="AH666" s="6" t="n">
        <v>2.491322484324839</v>
      </c>
      <c r="AI666" s="6" t="n">
        <v>-0.4201703818454819</v>
      </c>
      <c r="AJ666" s="6" t="n">
        <v>73.60785621921494</v>
      </c>
      <c r="AK666" s="6" t="n">
        <v>0.1525795399945158</v>
      </c>
      <c r="AL666" s="6" t="n">
        <v>1.032576379451922</v>
      </c>
      <c r="AN666" s="6" t="n">
        <v>1.351277032312621</v>
      </c>
      <c r="AO666" s="6" t="n">
        <v>1.351277032312621</v>
      </c>
      <c r="AP666" s="6" t="n">
        <v>0.1336211742087119</v>
      </c>
      <c r="AQ666" s="6" t="n">
        <v>0</v>
      </c>
      <c r="AR666" s="6" t="n">
        <v>0</v>
      </c>
    </row>
    <row r="667">
      <c r="D667" t="inlineStr">
        <is>
          <t>Run 355</t>
        </is>
      </c>
      <c r="J667" s="6" t="n">
        <v>0.9428264923786741</v>
      </c>
      <c r="K667" s="6" t="n">
        <v>0.8972330045605844</v>
      </c>
      <c r="L667" s="6" t="n">
        <v>-0.7676621651918275</v>
      </c>
      <c r="M667" s="6" t="n">
        <v>-5.62618231434885</v>
      </c>
      <c r="N667" s="6" t="n">
        <v>-1.881901243898351</v>
      </c>
      <c r="O667" s="6" t="n">
        <v>-0.09204563571589641</v>
      </c>
      <c r="P667" s="6" t="n">
        <v>-0.2915090386639072</v>
      </c>
      <c r="Q667" s="6" t="n">
        <v>-1.673505041386685</v>
      </c>
      <c r="R667" s="6" t="n">
        <v>-0.3770918713109175</v>
      </c>
      <c r="S667" s="6" t="n">
        <v>3.776112635729614</v>
      </c>
      <c r="T667" s="6" t="n">
        <v>-2.860531509991805</v>
      </c>
      <c r="U667" s="6" t="n">
        <v>3.428782368195633</v>
      </c>
      <c r="V667" s="6" t="n">
        <v>1.030335338819778</v>
      </c>
      <c r="W667" s="6" t="n">
        <v>-0.4828450472854686</v>
      </c>
      <c r="X667" s="6" t="n">
        <v>2.165472796601173</v>
      </c>
      <c r="Y667" s="6" t="n">
        <v>-0.706548250420762</v>
      </c>
      <c r="Z667" s="6" t="n">
        <v>-0.1393381785247845</v>
      </c>
      <c r="AA667" s="6" t="n">
        <v>-1.852668396320299</v>
      </c>
      <c r="AB667" s="6" t="n">
        <v>-0.5734257302936896</v>
      </c>
      <c r="AC667" s="6" t="n">
        <v>0.9565895643986784</v>
      </c>
      <c r="AD667" s="6" t="n">
        <v>-0.8607985341979674</v>
      </c>
      <c r="AE667" s="6" t="n">
        <v>0.5283099256476474</v>
      </c>
      <c r="AF667" s="6" t="n">
        <v>1.014926133781305</v>
      </c>
      <c r="AG667" s="6" t="n">
        <v>1.8263062651833</v>
      </c>
      <c r="AH667" s="6" t="n">
        <v>-0.6024721987983955</v>
      </c>
      <c r="AI667" s="6" t="n">
        <v>-1.721860240769247</v>
      </c>
      <c r="AJ667" s="6" t="n">
        <v>72.82335409282364</v>
      </c>
      <c r="AK667" s="6" t="n">
        <v>0.1474465743054697</v>
      </c>
      <c r="AL667" s="6" t="n">
        <v>1.085300447398654</v>
      </c>
      <c r="AN667" s="6" t="n">
        <v>1.268830354154766</v>
      </c>
      <c r="AO667" s="6" t="n">
        <v>1.273748061452747</v>
      </c>
      <c r="AP667" s="6" t="n">
        <v>0.1282026707925039</v>
      </c>
      <c r="AQ667" s="6" t="n">
        <v>0</v>
      </c>
      <c r="AR667" s="6" t="n">
        <v>0</v>
      </c>
    </row>
    <row r="668">
      <c r="D668" t="inlineStr">
        <is>
          <t>Run 356</t>
        </is>
      </c>
      <c r="J668" s="6" t="n">
        <v>-1.517228072388954</v>
      </c>
      <c r="K668" s="6" t="n">
        <v>-2.312266392725537</v>
      </c>
      <c r="L668" s="6" t="n">
        <v>-2.092798407434461</v>
      </c>
      <c r="M668" s="6" t="n">
        <v>0.4120532844356308</v>
      </c>
      <c r="N668" s="6" t="n">
        <v>0.8786499106748705</v>
      </c>
      <c r="O668" s="6" t="n">
        <v>4.838906872481194</v>
      </c>
      <c r="P668" s="6" t="n">
        <v>-1.030730310857789</v>
      </c>
      <c r="Q668" s="6" t="n">
        <v>-0.3477817075298863</v>
      </c>
      <c r="R668" s="6" t="n">
        <v>2.304557751633213</v>
      </c>
      <c r="S668" s="6" t="n">
        <v>-0.1465213219930502</v>
      </c>
      <c r="T668" s="6" t="n">
        <v>1.472591645694618</v>
      </c>
      <c r="U668" s="6" t="n">
        <v>0.2495319478032312</v>
      </c>
      <c r="V668" s="6" t="n">
        <v>-2.899852380476502</v>
      </c>
      <c r="W668" s="6" t="n">
        <v>0.06294282161789763</v>
      </c>
      <c r="X668" s="6" t="n">
        <v>0.08248203158860593</v>
      </c>
      <c r="Y668" s="6" t="n">
        <v>1.856307588381903</v>
      </c>
      <c r="Z668" s="6" t="n">
        <v>-3.725865249885368</v>
      </c>
      <c r="AA668" s="6" t="n">
        <v>0.05961951793073297</v>
      </c>
      <c r="AB668" s="6" t="n">
        <v>1.252166761371637</v>
      </c>
      <c r="AC668" s="6" t="n">
        <v>1.954624868657671</v>
      </c>
      <c r="AD668" s="6" t="n">
        <v>0.2607176641524012</v>
      </c>
      <c r="AE668" s="6" t="n">
        <v>1.289248040673229</v>
      </c>
      <c r="AF668" s="6" t="n">
        <v>0.6366798117257539</v>
      </c>
      <c r="AG668" s="6" t="n">
        <v>-3.320719680294646</v>
      </c>
      <c r="AH668" s="6" t="n">
        <v>0.08511421913049197</v>
      </c>
      <c r="AI668" s="6" t="n">
        <v>0.9433665437117936</v>
      </c>
      <c r="AJ668" s="6" t="n">
        <v>71.10054869214292</v>
      </c>
      <c r="AK668" s="6" t="n">
        <v>0.08248800208202624</v>
      </c>
      <c r="AL668" s="6" t="n">
        <v>1.016757009168741</v>
      </c>
      <c r="AN668" s="6" t="n">
        <v>1.354866585970163</v>
      </c>
      <c r="AO668" s="6" t="n">
        <v>1.354866585970163</v>
      </c>
      <c r="AP668" s="6" t="n">
        <v>0.136967275471808</v>
      </c>
      <c r="AQ668" s="6" t="n">
        <v>0</v>
      </c>
      <c r="AR668" s="6" t="n">
        <v>0</v>
      </c>
    </row>
    <row r="669">
      <c r="D669" t="inlineStr">
        <is>
          <t>Run 357</t>
        </is>
      </c>
      <c r="J669" s="6" t="n">
        <v>-2.055784638093785</v>
      </c>
      <c r="K669" s="6" t="n">
        <v>-0.2486255461425098</v>
      </c>
      <c r="L669" s="6" t="n">
        <v>-0.3710705521620667</v>
      </c>
      <c r="M669" s="6" t="n">
        <v>-1.11569476696051</v>
      </c>
      <c r="N669" s="6" t="n">
        <v>-2.67805645136296</v>
      </c>
      <c r="O669" s="6" t="n">
        <v>-1.536181704891262</v>
      </c>
      <c r="P669" s="6" t="n">
        <v>-2.330039375357344</v>
      </c>
      <c r="Q669" s="6" t="n">
        <v>1.60842788341429</v>
      </c>
      <c r="R669" s="6" t="n">
        <v>-2.346702999050518</v>
      </c>
      <c r="S669" s="6" t="n">
        <v>1.137559543609617</v>
      </c>
      <c r="T669" s="6" t="n">
        <v>3.095269757379111</v>
      </c>
      <c r="U669" s="6" t="n">
        <v>0.1584259587664845</v>
      </c>
      <c r="V669" s="6" t="n">
        <v>-0.9160310028876555</v>
      </c>
      <c r="W669" s="6" t="n">
        <v>-2.67578027518006</v>
      </c>
      <c r="X669" s="6" t="n">
        <v>1.006824336961909</v>
      </c>
      <c r="Y669" s="6" t="n">
        <v>-0.503222506824436</v>
      </c>
      <c r="Z669" s="6" t="n">
        <v>3.299487984984396</v>
      </c>
      <c r="AA669" s="6" t="n">
        <v>-0.7609523374147288</v>
      </c>
      <c r="AB669" s="6" t="n">
        <v>2.790644082342753</v>
      </c>
      <c r="AC669" s="6" t="n">
        <v>3.321481940697321</v>
      </c>
      <c r="AD669" s="6" t="n">
        <v>-1.176148410970651</v>
      </c>
      <c r="AE669" s="6" t="n">
        <v>4.806711710882237</v>
      </c>
      <c r="AF669" s="6" t="n">
        <v>-2.199589427245285</v>
      </c>
      <c r="AG669" s="6" t="n">
        <v>0.2421296970694411</v>
      </c>
      <c r="AH669" s="6" t="n">
        <v>-0.2315653220064312</v>
      </c>
      <c r="AI669" s="6" t="n">
        <v>-1.431453547745226</v>
      </c>
      <c r="AJ669" s="6" t="n">
        <v>65.98716741149515</v>
      </c>
      <c r="AK669" s="6" t="n">
        <v>0.1139259491753835</v>
      </c>
      <c r="AL669" s="6" t="n">
        <v>1.0304297240138</v>
      </c>
      <c r="AN669" s="6" t="n">
        <v>1.347045443812528</v>
      </c>
      <c r="AO669" s="6" t="n">
        <v>1.349684597791648</v>
      </c>
      <c r="AP669" s="6" t="n">
        <v>0.1342405470794837</v>
      </c>
      <c r="AQ669" s="6" t="n">
        <v>0</v>
      </c>
      <c r="AR669" s="6" t="n">
        <v>0</v>
      </c>
    </row>
    <row r="670">
      <c r="D670" t="inlineStr">
        <is>
          <t>Run 358</t>
        </is>
      </c>
      <c r="J670" s="6" t="n">
        <v>0.04911002628241946</v>
      </c>
      <c r="K670" s="6" t="n">
        <v>2.351102083900285</v>
      </c>
      <c r="L670" s="6" t="n">
        <v>2.454421365172699</v>
      </c>
      <c r="M670" s="6" t="n">
        <v>1.137384541940349</v>
      </c>
      <c r="N670" s="6" t="n">
        <v>1.432816924276417</v>
      </c>
      <c r="O670" s="6" t="n">
        <v>0.02463339842445999</v>
      </c>
      <c r="P670" s="6" t="n">
        <v>-1.446881709206797</v>
      </c>
      <c r="Q670" s="6" t="n">
        <v>-2.603027050349394</v>
      </c>
      <c r="R670" s="6" t="n">
        <v>-0.4548436852533859</v>
      </c>
      <c r="S670" s="6" t="n">
        <v>-0.4945803193286978</v>
      </c>
      <c r="T670" s="6" t="n">
        <v>-1.339817107586522</v>
      </c>
      <c r="U670" s="6" t="n">
        <v>2.672930594000132</v>
      </c>
      <c r="V670" s="6" t="n">
        <v>-1.52372586289624</v>
      </c>
      <c r="W670" s="6" t="n">
        <v>0.0755974094120095</v>
      </c>
      <c r="X670" s="6" t="n">
        <v>-1.264804440681774</v>
      </c>
      <c r="Y670" s="6" t="n">
        <v>-1.872027672704934</v>
      </c>
      <c r="Z670" s="6" t="n">
        <v>-0.3264237689578675</v>
      </c>
      <c r="AA670" s="6" t="n">
        <v>0.9677841710812248</v>
      </c>
      <c r="AB670" s="6" t="n">
        <v>0.7036119874295826</v>
      </c>
      <c r="AC670" s="6" t="n">
        <v>0.1586673185570398</v>
      </c>
      <c r="AD670" s="6" t="n">
        <v>-2.596440155531957</v>
      </c>
      <c r="AE670" s="6" t="n">
        <v>0.07161681165639285</v>
      </c>
      <c r="AF670" s="6" t="n">
        <v>2.065696117412611</v>
      </c>
      <c r="AG670" s="6" t="n">
        <v>-0.985680786841268</v>
      </c>
      <c r="AH670" s="6" t="n">
        <v>-0.1428151791389344</v>
      </c>
      <c r="AI670" s="6" t="n">
        <v>0.401435725072548</v>
      </c>
      <c r="AJ670" s="6" t="n">
        <v>58.76583119078163</v>
      </c>
      <c r="AK670" s="6" t="n">
        <v>0.1168058221622732</v>
      </c>
      <c r="AL670" s="6" t="n">
        <v>1.040210912287514</v>
      </c>
      <c r="AN670" s="6" t="n">
        <v>1.340483030120468</v>
      </c>
      <c r="AO670" s="6" t="n">
        <v>1.341061008345537</v>
      </c>
      <c r="AP670" s="6" t="n">
        <v>0.1319043192251683</v>
      </c>
      <c r="AQ670" s="6" t="n">
        <v>0</v>
      </c>
      <c r="AR670" s="6" t="n">
        <v>0</v>
      </c>
    </row>
    <row r="671">
      <c r="D671" t="inlineStr">
        <is>
          <t>Run 359</t>
        </is>
      </c>
      <c r="J671" s="6" t="n">
        <v>0.5753776228321111</v>
      </c>
      <c r="K671" s="6" t="n">
        <v>1.56558458169646</v>
      </c>
      <c r="L671" s="6" t="n">
        <v>1.32375702804493</v>
      </c>
      <c r="M671" s="6" t="n">
        <v>-0.3074435593166839</v>
      </c>
      <c r="N671" s="6" t="n">
        <v>3.467770776983395</v>
      </c>
      <c r="O671" s="6" t="n">
        <v>0.6347127130718986</v>
      </c>
      <c r="P671" s="6" t="n">
        <v>2.240606155439327</v>
      </c>
      <c r="Q671" s="6" t="n">
        <v>-0.0760399381391125</v>
      </c>
      <c r="R671" s="6" t="n">
        <v>-1.235353395423273</v>
      </c>
      <c r="S671" s="6" t="n">
        <v>0.4619620829747032</v>
      </c>
      <c r="T671" s="6" t="n">
        <v>-0.8921423336576993</v>
      </c>
      <c r="U671" s="6" t="n">
        <v>2.313101449112498</v>
      </c>
      <c r="V671" s="6" t="n">
        <v>2.743016914602126</v>
      </c>
      <c r="W671" s="6" t="n">
        <v>-2.26479851276102</v>
      </c>
      <c r="X671" s="6" t="n">
        <v>3.103998683990731</v>
      </c>
      <c r="Y671" s="6" t="n">
        <v>1.866378792197334</v>
      </c>
      <c r="Z671" s="6" t="n">
        <v>-6.497032193052221</v>
      </c>
      <c r="AA671" s="6" t="n">
        <v>-0.3162176784470628</v>
      </c>
      <c r="AB671" s="6" t="n">
        <v>-1.16301979840338</v>
      </c>
      <c r="AC671" s="6" t="n">
        <v>1.591079094005776</v>
      </c>
      <c r="AD671" s="6" t="n">
        <v>-1.214627963723243</v>
      </c>
      <c r="AE671" s="6" t="n">
        <v>1.823917242004772</v>
      </c>
      <c r="AF671" s="6" t="n">
        <v>-2.617583871838911</v>
      </c>
      <c r="AG671" s="6" t="n">
        <v>0.6017487548194322</v>
      </c>
      <c r="AH671" s="6" t="n">
        <v>-0.02538860841625879</v>
      </c>
      <c r="AI671" s="6" t="n">
        <v>-1.512938169310885</v>
      </c>
      <c r="AJ671" s="6" t="n">
        <v>58.46381438341266</v>
      </c>
      <c r="AK671" s="6" t="n">
        <v>0.09973695341517928</v>
      </c>
      <c r="AL671" s="6" t="n">
        <v>1.026137058879226</v>
      </c>
      <c r="AN671" s="6" t="n">
        <v>1.343514909391607</v>
      </c>
      <c r="AO671" s="6" t="n">
        <v>1.343514909391607</v>
      </c>
      <c r="AP671" s="6" t="n">
        <v>0.1338286231120777</v>
      </c>
      <c r="AQ671" s="6" t="n">
        <v>0</v>
      </c>
      <c r="AR671" s="6" t="n">
        <v>0</v>
      </c>
    </row>
    <row r="672">
      <c r="D672" t="inlineStr">
        <is>
          <t>Run 360</t>
        </is>
      </c>
      <c r="J672" s="6" t="n">
        <v>-2.266747706645256</v>
      </c>
      <c r="K672" s="6" t="n">
        <v>-0.261078873115115</v>
      </c>
      <c r="L672" s="6" t="n">
        <v>-1.936217525507905</v>
      </c>
      <c r="M672" s="6" t="n">
        <v>1.032125483357683</v>
      </c>
      <c r="N672" s="6" t="n">
        <v>-4.63738074053</v>
      </c>
      <c r="O672" s="6" t="n">
        <v>-1.975270478287707</v>
      </c>
      <c r="P672" s="6" t="n">
        <v>-0.5870269044937003</v>
      </c>
      <c r="Q672" s="6" t="n">
        <v>-2.868951071566125</v>
      </c>
      <c r="R672" s="6" t="n">
        <v>1.649658169665425</v>
      </c>
      <c r="S672" s="6" t="n">
        <v>-5.401247110986525</v>
      </c>
      <c r="T672" s="6" t="n">
        <v>4.71600932119166</v>
      </c>
      <c r="U672" s="6" t="n">
        <v>-0.3163474837420413</v>
      </c>
      <c r="V672" s="6" t="n">
        <v>4.723492935310674</v>
      </c>
      <c r="W672" s="6" t="n">
        <v>-0.1726397393635037</v>
      </c>
      <c r="X672" s="6" t="n">
        <v>-3.450716971598331</v>
      </c>
      <c r="Y672" s="6" t="n">
        <v>2.897281346568319</v>
      </c>
      <c r="Z672" s="6" t="n">
        <v>-0.4518254612753332</v>
      </c>
      <c r="AA672" s="6" t="n">
        <v>0.292684958953252</v>
      </c>
      <c r="AB672" s="6" t="n">
        <v>0.5134869294692431</v>
      </c>
      <c r="AC672" s="6" t="n">
        <v>-2.457239389933987</v>
      </c>
      <c r="AD672" s="6" t="n">
        <v>-2.634423329602093</v>
      </c>
      <c r="AE672" s="6" t="n">
        <v>-0.9340328324895213</v>
      </c>
      <c r="AF672" s="6" t="n">
        <v>-1.583864820024515</v>
      </c>
      <c r="AG672" s="6" t="n">
        <v>3.596093927130717</v>
      </c>
      <c r="AH672" s="6" t="n">
        <v>0.1207582184241428</v>
      </c>
      <c r="AI672" s="6" t="n">
        <v>-2.529662599359275</v>
      </c>
      <c r="AJ672" s="6" t="n">
        <v>80.09155476927856</v>
      </c>
      <c r="AK672" s="6" t="n">
        <v>0.1120496585830469</v>
      </c>
      <c r="AL672" s="6" t="n">
        <v>0.9920307398221722</v>
      </c>
      <c r="AN672" s="6" t="n">
        <v>1.364733200685247</v>
      </c>
      <c r="AO672" s="6" t="n">
        <v>1.364733200685247</v>
      </c>
      <c r="AP672" s="6" t="n">
        <v>0.1413385629477678</v>
      </c>
      <c r="AQ672" s="6" t="n">
        <v>0</v>
      </c>
      <c r="AR672" s="6" t="n">
        <v>0</v>
      </c>
    </row>
    <row r="673">
      <c r="D673" t="inlineStr">
        <is>
          <t>Run 361</t>
        </is>
      </c>
      <c r="J673" s="6" t="n">
        <v>0.07657309335957435</v>
      </c>
      <c r="K673" s="6" t="n">
        <v>-2.196125397013955</v>
      </c>
      <c r="L673" s="6" t="n">
        <v>2.483227970539629</v>
      </c>
      <c r="M673" s="6" t="n">
        <v>-3.141364289213676</v>
      </c>
      <c r="N673" s="6" t="n">
        <v>-0.7389774551795314</v>
      </c>
      <c r="O673" s="6" t="n">
        <v>-0.8727250203103369</v>
      </c>
      <c r="P673" s="6" t="n">
        <v>-2.459578427452361</v>
      </c>
      <c r="Q673" s="6" t="n">
        <v>2.255528521849611</v>
      </c>
      <c r="R673" s="6" t="n">
        <v>2.408144626909816</v>
      </c>
      <c r="S673" s="6" t="n">
        <v>-4.278503223638136</v>
      </c>
      <c r="T673" s="6" t="n">
        <v>-0.3363122450515298</v>
      </c>
      <c r="U673" s="6" t="n">
        <v>1.591309272877101</v>
      </c>
      <c r="V673" s="6" t="n">
        <v>-2.00646865196543</v>
      </c>
      <c r="W673" s="6" t="n">
        <v>0.08932673566884841</v>
      </c>
      <c r="X673" s="6" t="n">
        <v>0.7209818961961384</v>
      </c>
      <c r="Y673" s="6" t="n">
        <v>0.1132495445194688</v>
      </c>
      <c r="Z673" s="6" t="n">
        <v>-3.473561941162005</v>
      </c>
      <c r="AA673" s="6" t="n">
        <v>-2.18142487059056</v>
      </c>
      <c r="AB673" s="6" t="n">
        <v>0.6764986207043566</v>
      </c>
      <c r="AC673" s="6" t="n">
        <v>-2.004062861691378</v>
      </c>
      <c r="AD673" s="6" t="n">
        <v>0.2454742995686382</v>
      </c>
      <c r="AE673" s="6" t="n">
        <v>2.838536446267113</v>
      </c>
      <c r="AF673" s="6" t="n">
        <v>-0.5829827010021205</v>
      </c>
      <c r="AG673" s="6" t="n">
        <v>-0.05733454489418224</v>
      </c>
      <c r="AH673" s="6" t="n">
        <v>0.1442320963703907</v>
      </c>
      <c r="AI673" s="6" t="n">
        <v>-2.444398980578589</v>
      </c>
      <c r="AJ673" s="6" t="n">
        <v>81.59821570691837</v>
      </c>
      <c r="AK673" s="6" t="n">
        <v>0.1282515701218804</v>
      </c>
      <c r="AL673" s="6" t="n">
        <v>1.049258053049828</v>
      </c>
      <c r="AN673" s="6" t="n">
        <v>1.318485869871806</v>
      </c>
      <c r="AO673" s="6" t="n">
        <v>1.326346010731534</v>
      </c>
      <c r="AP673" s="6" t="n">
        <v>0.1327274822739333</v>
      </c>
      <c r="AQ673" s="6" t="n">
        <v>0</v>
      </c>
      <c r="AR673" s="6" t="n">
        <v>0</v>
      </c>
    </row>
    <row r="674">
      <c r="D674" t="inlineStr">
        <is>
          <t>Run 362</t>
        </is>
      </c>
      <c r="J674" s="6" t="n">
        <v>0.360928587598841</v>
      </c>
      <c r="K674" s="6" t="n">
        <v>-3.402325407119132</v>
      </c>
      <c r="L674" s="6" t="n">
        <v>-2.896739887118075</v>
      </c>
      <c r="M674" s="6" t="n">
        <v>2.8251431051098</v>
      </c>
      <c r="N674" s="6" t="n">
        <v>1.573569144355519</v>
      </c>
      <c r="O674" s="6" t="n">
        <v>1.18609525723318</v>
      </c>
      <c r="P674" s="6" t="n">
        <v>-0.9570485672993498</v>
      </c>
      <c r="Q674" s="6" t="n">
        <v>-1.75742199877765</v>
      </c>
      <c r="R674" s="6" t="n">
        <v>1.318297612499026</v>
      </c>
      <c r="S674" s="6" t="n">
        <v>2.302703210464675</v>
      </c>
      <c r="T674" s="6" t="n">
        <v>-0.3912394261936176</v>
      </c>
      <c r="U674" s="6" t="n">
        <v>-0.8881640668826376</v>
      </c>
      <c r="V674" s="6" t="n">
        <v>-2.218067826184923</v>
      </c>
      <c r="W674" s="6" t="n">
        <v>0.1135699318847219</v>
      </c>
      <c r="X674" s="6" t="n">
        <v>-1.031890772441225</v>
      </c>
      <c r="Y674" s="6" t="n">
        <v>-3.847003977544536</v>
      </c>
      <c r="Z674" s="6" t="n">
        <v>0.1038130490712488</v>
      </c>
      <c r="AA674" s="6" t="n">
        <v>-0.6289045766861761</v>
      </c>
      <c r="AB674" s="6" t="n">
        <v>0.3495925103165345</v>
      </c>
      <c r="AC674" s="6" t="n">
        <v>-0.5984830592963036</v>
      </c>
      <c r="AD674" s="6" t="n">
        <v>-1.061589818164747</v>
      </c>
      <c r="AE674" s="6" t="n">
        <v>1.659517192332606</v>
      </c>
      <c r="AF674" s="6" t="n">
        <v>-0.503886497021915</v>
      </c>
      <c r="AG674" s="6" t="n">
        <v>1.873973708829699</v>
      </c>
      <c r="AH674" s="6" t="n">
        <v>1.25465798445808</v>
      </c>
      <c r="AI674" s="6" t="n">
        <v>0.8985537439834127</v>
      </c>
      <c r="AJ674" s="6" t="n">
        <v>78.96175980527633</v>
      </c>
      <c r="AK674" s="6" t="n">
        <v>0.09745563162063017</v>
      </c>
      <c r="AL674" s="6" t="n">
        <v>1.029209322217415</v>
      </c>
      <c r="AN674" s="6" t="n">
        <v>1.354361598272162</v>
      </c>
      <c r="AO674" s="6" t="n">
        <v>1.354548345923451</v>
      </c>
      <c r="AP674" s="6" t="n">
        <v>0.1354381514053002</v>
      </c>
      <c r="AQ674" s="6" t="n">
        <v>0</v>
      </c>
      <c r="AR674" s="6" t="n">
        <v>0</v>
      </c>
    </row>
    <row r="675">
      <c r="D675" t="inlineStr">
        <is>
          <t>Run 363</t>
        </is>
      </c>
      <c r="J675" s="6" t="n">
        <v>-1.766747339733596</v>
      </c>
      <c r="K675" s="6" t="n">
        <v>1.007623531911054</v>
      </c>
      <c r="L675" s="6" t="n">
        <v>-5.297106437224402</v>
      </c>
      <c r="M675" s="6" t="n">
        <v>-1.541084486535903</v>
      </c>
      <c r="N675" s="6" t="n">
        <v>0.4032432192542693</v>
      </c>
      <c r="O675" s="6" t="n">
        <v>2.027664148956319</v>
      </c>
      <c r="P675" s="6" t="n">
        <v>0.3925058606790057</v>
      </c>
      <c r="Q675" s="6" t="n">
        <v>0.1128038908497615</v>
      </c>
      <c r="R675" s="6" t="n">
        <v>0.3425230106773564</v>
      </c>
      <c r="S675" s="6" t="n">
        <v>4.170781226390366</v>
      </c>
      <c r="T675" s="6" t="n">
        <v>2.183199608596458</v>
      </c>
      <c r="U675" s="6" t="n">
        <v>-1.562361715177239</v>
      </c>
      <c r="V675" s="6" t="n">
        <v>2.61569328817348</v>
      </c>
      <c r="W675" s="6" t="n">
        <v>0.5625802168069483</v>
      </c>
      <c r="X675" s="6" t="n">
        <v>1.15958758021189</v>
      </c>
      <c r="Y675" s="6" t="n">
        <v>-1.573770726653902</v>
      </c>
      <c r="Z675" s="6" t="n">
        <v>-1.585562920905962</v>
      </c>
      <c r="AA675" s="6" t="n">
        <v>0.958156458893944</v>
      </c>
      <c r="AB675" s="6" t="n">
        <v>2.994946060850362</v>
      </c>
      <c r="AC675" s="6" t="n">
        <v>0.08001215788455189</v>
      </c>
      <c r="AD675" s="6" t="n">
        <v>2.528545768284887</v>
      </c>
      <c r="AE675" s="6" t="n">
        <v>-1.062947243990296</v>
      </c>
      <c r="AF675" s="6" t="n">
        <v>-1.791264161515189</v>
      </c>
      <c r="AG675" s="6" t="n">
        <v>0.3375288232218451</v>
      </c>
      <c r="AH675" s="6" t="n">
        <v>-0.8047706685745117</v>
      </c>
      <c r="AI675" s="6" t="n">
        <v>1.126894563500079</v>
      </c>
      <c r="AJ675" s="6" t="n">
        <v>58.76267999923038</v>
      </c>
      <c r="AK675" s="6" t="n">
        <v>0.1527822146594384</v>
      </c>
      <c r="AL675" s="6" t="n">
        <v>1.058952313632402</v>
      </c>
      <c r="AN675" s="6" t="n">
        <v>1.320264685463604</v>
      </c>
      <c r="AO675" s="6" t="n">
        <v>1.321744334351789</v>
      </c>
      <c r="AP675" s="6" t="n">
        <v>0.1297496360514667</v>
      </c>
      <c r="AQ675" s="6" t="n">
        <v>0</v>
      </c>
      <c r="AR675" s="6" t="n">
        <v>0</v>
      </c>
    </row>
    <row r="676">
      <c r="D676" t="inlineStr">
        <is>
          <t>Run 364</t>
        </is>
      </c>
      <c r="J676" s="6" t="n">
        <v>0.1139597425227212</v>
      </c>
      <c r="K676" s="6" t="n">
        <v>-0.4162500691466474</v>
      </c>
      <c r="L676" s="6" t="n">
        <v>2.256481272942325</v>
      </c>
      <c r="M676" s="6" t="n">
        <v>-2.040368287564239</v>
      </c>
      <c r="N676" s="6" t="n">
        <v>0.9694279529461612</v>
      </c>
      <c r="O676" s="6" t="n">
        <v>-0.2608395625656172</v>
      </c>
      <c r="P676" s="6" t="n">
        <v>-1.311460506721552</v>
      </c>
      <c r="Q676" s="6" t="n">
        <v>1.771083137597639</v>
      </c>
      <c r="R676" s="6" t="n">
        <v>-1.209808925029016</v>
      </c>
      <c r="S676" s="6" t="n">
        <v>3.406262555403626</v>
      </c>
      <c r="T676" s="6" t="n">
        <v>2.936153305793423</v>
      </c>
      <c r="U676" s="6" t="n">
        <v>3.381736374036202</v>
      </c>
      <c r="V676" s="6" t="n">
        <v>-1.270583395200628</v>
      </c>
      <c r="W676" s="6" t="n">
        <v>1.68490007405097</v>
      </c>
      <c r="X676" s="6" t="n">
        <v>-2.746318303813091</v>
      </c>
      <c r="Y676" s="6" t="n">
        <v>1.686272485254416</v>
      </c>
      <c r="Z676" s="6" t="n">
        <v>-1.402624167889081</v>
      </c>
      <c r="AA676" s="6" t="n">
        <v>-0.2180218646525465</v>
      </c>
      <c r="AB676" s="6" t="n">
        <v>0.4576200357200405</v>
      </c>
      <c r="AC676" s="6" t="n">
        <v>-1.991231275330926</v>
      </c>
      <c r="AD676" s="6" t="n">
        <v>-1.770951889455033</v>
      </c>
      <c r="AE676" s="6" t="n">
        <v>-2.512127120551065</v>
      </c>
      <c r="AF676" s="6" t="n">
        <v>-0.674008621696442</v>
      </c>
      <c r="AG676" s="6" t="n">
        <v>1.051363700045698</v>
      </c>
      <c r="AH676" s="6" t="n">
        <v>-0.4076486429047211</v>
      </c>
      <c r="AI676" s="6" t="n">
        <v>-1.115616366905232</v>
      </c>
      <c r="AJ676" s="6" t="n">
        <v>76.50304185413709</v>
      </c>
      <c r="AK676" s="6" t="n">
        <v>0.09490561200267865</v>
      </c>
      <c r="AL676" s="6" t="n">
        <v>1.037322499111044</v>
      </c>
      <c r="AN676" s="6" t="n">
        <v>1.338720998913625</v>
      </c>
      <c r="AO676" s="6" t="n">
        <v>1.345373137636296</v>
      </c>
      <c r="AP676" s="6" t="n">
        <v>0.1346124117778184</v>
      </c>
      <c r="AQ676" s="6" t="n">
        <v>0</v>
      </c>
      <c r="AR676" s="6" t="n">
        <v>0</v>
      </c>
    </row>
    <row r="677">
      <c r="D677" t="inlineStr">
        <is>
          <t>Run 365</t>
        </is>
      </c>
      <c r="J677" s="6" t="n">
        <v>-0.4325529753205035</v>
      </c>
      <c r="K677" s="6" t="n">
        <v>2.718043318370472</v>
      </c>
      <c r="L677" s="6" t="n">
        <v>-0.88796412290156</v>
      </c>
      <c r="M677" s="6" t="n">
        <v>0.08820553071478636</v>
      </c>
      <c r="N677" s="6" t="n">
        <v>1.390775823444193</v>
      </c>
      <c r="O677" s="6" t="n">
        <v>3.966854938784161</v>
      </c>
      <c r="P677" s="6" t="n">
        <v>0.7760716623852809</v>
      </c>
      <c r="Q677" s="6" t="n">
        <v>1.311809973140876</v>
      </c>
      <c r="R677" s="6" t="n">
        <v>0.7774586633376919</v>
      </c>
      <c r="S677" s="6" t="n">
        <v>2.743847472187648</v>
      </c>
      <c r="T677" s="6" t="n">
        <v>3.047569627974375</v>
      </c>
      <c r="U677" s="6" t="n">
        <v>-2.094393401673953</v>
      </c>
      <c r="V677" s="6" t="n">
        <v>3.173568860670223</v>
      </c>
      <c r="W677" s="6" t="n">
        <v>0.2445634906600753</v>
      </c>
      <c r="X677" s="6" t="n">
        <v>4.076918856083964</v>
      </c>
      <c r="Y677" s="6" t="n">
        <v>-1.594445858792726</v>
      </c>
      <c r="Z677" s="6" t="n">
        <v>-0.3769200425633849</v>
      </c>
      <c r="AA677" s="6" t="n">
        <v>0.3899297565098894</v>
      </c>
      <c r="AB677" s="6" t="n">
        <v>2.234109992918307</v>
      </c>
      <c r="AC677" s="6" t="n">
        <v>0.332969433032544</v>
      </c>
      <c r="AD677" s="6" t="n">
        <v>-0.8083332721602265</v>
      </c>
      <c r="AE677" s="6" t="n">
        <v>3.11433595627331</v>
      </c>
      <c r="AF677" s="6" t="n">
        <v>-1.131164246592332</v>
      </c>
      <c r="AG677" s="6" t="n">
        <v>-0.499660342376266</v>
      </c>
      <c r="AH677" s="6" t="n">
        <v>1.982059348691647</v>
      </c>
      <c r="AI677" s="6" t="n">
        <v>-0.7521631655736281</v>
      </c>
      <c r="AJ677" s="6" t="n">
        <v>72.9590667088643</v>
      </c>
      <c r="AK677" s="6" t="n">
        <v>0.1304149669091856</v>
      </c>
      <c r="AL677" s="6" t="n">
        <v>1.041702171135676</v>
      </c>
      <c r="AN677" s="6" t="n">
        <v>1.347943179190307</v>
      </c>
      <c r="AO677" s="6" t="n">
        <v>1.348250138706823</v>
      </c>
      <c r="AP677" s="6" t="n">
        <v>0.1329521243730883</v>
      </c>
      <c r="AQ677" s="6" t="n">
        <v>0</v>
      </c>
      <c r="AR677" s="6" t="n">
        <v>0</v>
      </c>
    </row>
    <row r="678">
      <c r="D678" t="inlineStr">
        <is>
          <t>Run 366</t>
        </is>
      </c>
      <c r="J678" s="6" t="n">
        <v>0.6187131651223468</v>
      </c>
      <c r="K678" s="6" t="n">
        <v>3.666708516115846</v>
      </c>
      <c r="L678" s="6" t="n">
        <v>1.868163279783376</v>
      </c>
      <c r="M678" s="6" t="n">
        <v>-0.6642626194748698</v>
      </c>
      <c r="N678" s="6" t="n">
        <v>0.6813144544795154</v>
      </c>
      <c r="O678" s="6" t="n">
        <v>-0.7604894164709616</v>
      </c>
      <c r="P678" s="6" t="n">
        <v>3.100937314249179</v>
      </c>
      <c r="Q678" s="6" t="n">
        <v>2.12850870928056</v>
      </c>
      <c r="R678" s="6" t="n">
        <v>1.33499306743331</v>
      </c>
      <c r="S678" s="6" t="n">
        <v>1.176133298075915</v>
      </c>
      <c r="T678" s="6" t="n">
        <v>-1.041800178906573</v>
      </c>
      <c r="U678" s="6" t="n">
        <v>-1.880959181123552</v>
      </c>
      <c r="V678" s="6" t="n">
        <v>-0.1964838412930132</v>
      </c>
      <c r="W678" s="6" t="n">
        <v>-0.004369664169111007</v>
      </c>
      <c r="X678" s="6" t="n">
        <v>1.790842983825894</v>
      </c>
      <c r="Y678" s="6" t="n">
        <v>0.5820241757917688</v>
      </c>
      <c r="Z678" s="6" t="n">
        <v>0.2252944966809435</v>
      </c>
      <c r="AA678" s="6" t="n">
        <v>-0.4797704736827082</v>
      </c>
      <c r="AB678" s="6" t="n">
        <v>0.8395973628432307</v>
      </c>
      <c r="AC678" s="6" t="n">
        <v>0.6816282504447654</v>
      </c>
      <c r="AD678" s="6" t="n">
        <v>1.515626597800254</v>
      </c>
      <c r="AE678" s="6" t="n">
        <v>0.9533873921299991</v>
      </c>
      <c r="AF678" s="6" t="n">
        <v>-2.883488023700885</v>
      </c>
      <c r="AG678" s="6" t="n">
        <v>0.1578709986901737</v>
      </c>
      <c r="AH678" s="6" t="n">
        <v>-0.9427292059575768</v>
      </c>
      <c r="AI678" s="6" t="n">
        <v>3.56983337084537</v>
      </c>
      <c r="AJ678" s="6" t="n">
        <v>80.25446442192288</v>
      </c>
      <c r="AK678" s="6" t="n">
        <v>0.1733412817015101</v>
      </c>
      <c r="AL678" s="6" t="n">
        <v>1.02905726513048</v>
      </c>
      <c r="AN678" s="6" t="n">
        <v>1.353720410805123</v>
      </c>
      <c r="AO678" s="6" t="n">
        <v>1.354068234183124</v>
      </c>
      <c r="AP678" s="6" t="n">
        <v>0.1339749109568697</v>
      </c>
      <c r="AQ678" s="6" t="n">
        <v>0</v>
      </c>
      <c r="AR678" s="6" t="n">
        <v>0</v>
      </c>
    </row>
    <row r="679">
      <c r="D679" t="inlineStr">
        <is>
          <t>Run 367</t>
        </is>
      </c>
      <c r="J679" s="6" t="n">
        <v>-1.336307489555409</v>
      </c>
      <c r="K679" s="6" t="n">
        <v>1.749918726661706</v>
      </c>
      <c r="L679" s="6" t="n">
        <v>-0.8209411136859485</v>
      </c>
      <c r="M679" s="6" t="n">
        <v>1.903061086746961</v>
      </c>
      <c r="N679" s="6" t="n">
        <v>0.3505664218150014</v>
      </c>
      <c r="O679" s="6" t="n">
        <v>1.017466597941109</v>
      </c>
      <c r="P679" s="6" t="n">
        <v>2.435364856963376</v>
      </c>
      <c r="Q679" s="6" t="n">
        <v>2.173725826478763</v>
      </c>
      <c r="R679" s="6" t="n">
        <v>4.1620101455634</v>
      </c>
      <c r="S679" s="6" t="n">
        <v>-1.903024698467993</v>
      </c>
      <c r="T679" s="6" t="n">
        <v>-0.6787462480160151</v>
      </c>
      <c r="U679" s="6" t="n">
        <v>-0.9368999422274065</v>
      </c>
      <c r="V679" s="6" t="n">
        <v>-2.272826419729534</v>
      </c>
      <c r="W679" s="6" t="n">
        <v>2.261052833348991</v>
      </c>
      <c r="X679" s="6" t="n">
        <v>0.3562651254222048</v>
      </c>
      <c r="Y679" s="6" t="n">
        <v>-1.694795005434933</v>
      </c>
      <c r="Z679" s="6" t="n">
        <v>-0.01859353370257546</v>
      </c>
      <c r="AA679" s="6" t="n">
        <v>2.38698962084652</v>
      </c>
      <c r="AB679" s="6" t="n">
        <v>0.1196990138463435</v>
      </c>
      <c r="AC679" s="6" t="n">
        <v>0.4775601307892646</v>
      </c>
      <c r="AD679" s="6" t="n">
        <v>0.5545345885266648</v>
      </c>
      <c r="AE679" s="6" t="n">
        <v>-3.082334807942466</v>
      </c>
      <c r="AF679" s="6" t="n">
        <v>2.189461640844358</v>
      </c>
      <c r="AG679" s="6" t="n">
        <v>0.9300982337404916</v>
      </c>
      <c r="AH679" s="6" t="n">
        <v>-1.668893296275167</v>
      </c>
      <c r="AI679" s="6" t="n">
        <v>-3.387543679174909</v>
      </c>
      <c r="AJ679" s="6" t="n">
        <v>70.93674332690546</v>
      </c>
      <c r="AK679" s="6" t="n">
        <v>0.1269154387704759</v>
      </c>
      <c r="AL679" s="6" t="n">
        <v>1.089556044053698</v>
      </c>
      <c r="AN679" s="6" t="n">
        <v>1.329003973797964</v>
      </c>
      <c r="AO679" s="6" t="n">
        <v>1.329887769666958</v>
      </c>
      <c r="AP679" s="6" t="n">
        <v>0.1295361004029548</v>
      </c>
      <c r="AQ679" s="6" t="n">
        <v>0</v>
      </c>
      <c r="AR679" s="6" t="n">
        <v>0</v>
      </c>
    </row>
    <row r="680">
      <c r="D680" t="inlineStr">
        <is>
          <t>Run 368</t>
        </is>
      </c>
      <c r="J680" s="6" t="n">
        <v>-0.3564233256057222</v>
      </c>
      <c r="K680" s="6" t="n">
        <v>-2.548421645065672</v>
      </c>
      <c r="L680" s="6" t="n">
        <v>-1.373271217201632</v>
      </c>
      <c r="M680" s="6" t="n">
        <v>-1.077642112817081</v>
      </c>
      <c r="N680" s="6" t="n">
        <v>0.3537090421575134</v>
      </c>
      <c r="O680" s="6" t="n">
        <v>-0.05426622351796044</v>
      </c>
      <c r="P680" s="6" t="n">
        <v>-1.673767912996007</v>
      </c>
      <c r="Q680" s="6" t="n">
        <v>-2.406945982736798</v>
      </c>
      <c r="R680" s="6" t="n">
        <v>0.05599742661845165</v>
      </c>
      <c r="S680" s="6" t="n">
        <v>2.211312075832877</v>
      </c>
      <c r="T680" s="6" t="n">
        <v>-2.024110383397133</v>
      </c>
      <c r="U680" s="6" t="n">
        <v>-5.02168339932002</v>
      </c>
      <c r="V680" s="6" t="n">
        <v>-1.971069035717224</v>
      </c>
      <c r="W680" s="6" t="n">
        <v>1.816131941263298</v>
      </c>
      <c r="X680" s="6" t="n">
        <v>-0.07839783937094168</v>
      </c>
      <c r="Y680" s="6" t="n">
        <v>-1.636975411058698</v>
      </c>
      <c r="Z680" s="6" t="n">
        <v>-1.540757149820605</v>
      </c>
      <c r="AA680" s="6" t="n">
        <v>1.41630770496848</v>
      </c>
      <c r="AB680" s="6" t="n">
        <v>2.418440833992533</v>
      </c>
      <c r="AC680" s="6" t="n">
        <v>4.774192425703818</v>
      </c>
      <c r="AD680" s="6" t="n">
        <v>1.141817824663689</v>
      </c>
      <c r="AE680" s="6" t="n">
        <v>1.782822908807181</v>
      </c>
      <c r="AF680" s="6" t="n">
        <v>-1.180686928889444</v>
      </c>
      <c r="AG680" s="6" t="n">
        <v>2.779346549279981</v>
      </c>
      <c r="AH680" s="6" t="n">
        <v>-0.7242360235410208</v>
      </c>
      <c r="AI680" s="6" t="n">
        <v>1.345680805026984</v>
      </c>
      <c r="AJ680" s="6" t="n">
        <v>82.87702075525839</v>
      </c>
      <c r="AK680" s="6" t="n">
        <v>0.1084346146224613</v>
      </c>
      <c r="AL680" s="6" t="n">
        <v>1.063158317683265</v>
      </c>
      <c r="AN680" s="6" t="n">
        <v>1.344838999510108</v>
      </c>
      <c r="AO680" s="6" t="n">
        <v>1.346585720222931</v>
      </c>
      <c r="AP680" s="6" t="n">
        <v>0.1318569143556932</v>
      </c>
      <c r="AQ680" s="6" t="n">
        <v>0</v>
      </c>
      <c r="AR680" s="6" t="n">
        <v>0</v>
      </c>
    </row>
    <row r="681">
      <c r="D681" t="inlineStr">
        <is>
          <t>Run 369</t>
        </is>
      </c>
      <c r="J681" s="6" t="n">
        <v>1.436030038464896</v>
      </c>
      <c r="K681" s="6" t="n">
        <v>-0.02921925266166189</v>
      </c>
      <c r="L681" s="6" t="n">
        <v>-2.80866799623351</v>
      </c>
      <c r="M681" s="6" t="n">
        <v>1.176463749739448</v>
      </c>
      <c r="N681" s="6" t="n">
        <v>2.547186882553456</v>
      </c>
      <c r="O681" s="6" t="n">
        <v>0.2877806972628069</v>
      </c>
      <c r="P681" s="6" t="n">
        <v>-0.3417246951726921</v>
      </c>
      <c r="Q681" s="6" t="n">
        <v>1.693742434047513</v>
      </c>
      <c r="R681" s="6" t="n">
        <v>1.512066956337491</v>
      </c>
      <c r="S681" s="6" t="n">
        <v>-0.1580321616160735</v>
      </c>
      <c r="T681" s="6" t="n">
        <v>-0.3548741066227555</v>
      </c>
      <c r="U681" s="6" t="n">
        <v>-0.5005803201536388</v>
      </c>
      <c r="V681" s="6" t="n">
        <v>2.794163549089857</v>
      </c>
      <c r="W681" s="6" t="n">
        <v>1.36194166970598</v>
      </c>
      <c r="X681" s="6" t="n">
        <v>4.639079062644766</v>
      </c>
      <c r="Y681" s="6" t="n">
        <v>-2.406221161022064</v>
      </c>
      <c r="Z681" s="6" t="n">
        <v>1.259570548580218</v>
      </c>
      <c r="AA681" s="6" t="n">
        <v>0.5481337517849667</v>
      </c>
      <c r="AB681" s="6" t="n">
        <v>0.6599492413013992</v>
      </c>
      <c r="AC681" s="6" t="n">
        <v>2.813699917198906</v>
      </c>
      <c r="AD681" s="6" t="n">
        <v>-0.7077077386073555</v>
      </c>
      <c r="AE681" s="6" t="n">
        <v>0.2077406389007082</v>
      </c>
      <c r="AF681" s="6" t="n">
        <v>1.940663501592719</v>
      </c>
      <c r="AG681" s="6" t="n">
        <v>-1.110218941660615</v>
      </c>
      <c r="AH681" s="6" t="n">
        <v>-1.94369307305128</v>
      </c>
      <c r="AI681" s="6" t="n">
        <v>0.05074212968755822</v>
      </c>
      <c r="AJ681" s="6" t="n">
        <v>66.82781659825153</v>
      </c>
      <c r="AK681" s="6" t="n">
        <v>0.1074906816830697</v>
      </c>
      <c r="AL681" s="6" t="n">
        <v>1.089896678089882</v>
      </c>
      <c r="AN681" s="6" t="n">
        <v>1.331924547303442</v>
      </c>
      <c r="AO681" s="6" t="n">
        <v>1.332299734965039</v>
      </c>
      <c r="AP681" s="6" t="n">
        <v>0.1297439445673463</v>
      </c>
      <c r="AQ681" s="6" t="n">
        <v>0</v>
      </c>
      <c r="AR681" s="6" t="n">
        <v>0</v>
      </c>
    </row>
    <row r="682">
      <c r="D682" t="inlineStr">
        <is>
          <t>Run 370</t>
        </is>
      </c>
      <c r="J682" s="6" t="n">
        <v>1.332122498828209</v>
      </c>
      <c r="K682" s="6" t="n">
        <v>0.9038093311957291</v>
      </c>
      <c r="L682" s="6" t="n">
        <v>1.230716056525959</v>
      </c>
      <c r="M682" s="6" t="n">
        <v>0.8731054391566931</v>
      </c>
      <c r="N682" s="6" t="n">
        <v>3.088154055226946</v>
      </c>
      <c r="O682" s="6" t="n">
        <v>-3.025694124747288</v>
      </c>
      <c r="P682" s="6" t="n">
        <v>-4.040507320560948</v>
      </c>
      <c r="Q682" s="6" t="n">
        <v>1.060075299853849</v>
      </c>
      <c r="R682" s="6" t="n">
        <v>5</v>
      </c>
      <c r="S682" s="6" t="n">
        <v>1.326963980897335</v>
      </c>
      <c r="T682" s="6" t="n">
        <v>-4.122397836732636</v>
      </c>
      <c r="U682" s="6" t="n">
        <v>0.3096601440626346</v>
      </c>
      <c r="V682" s="6" t="n">
        <v>2.448440274176912</v>
      </c>
      <c r="W682" s="6" t="n">
        <v>0.801355921106068</v>
      </c>
      <c r="X682" s="6" t="n">
        <v>1.316719732271355</v>
      </c>
      <c r="Y682" s="6" t="n">
        <v>1.306117460044258</v>
      </c>
      <c r="Z682" s="6" t="n">
        <v>-0.3525744998400762</v>
      </c>
      <c r="AA682" s="6" t="n">
        <v>1.831540414211884</v>
      </c>
      <c r="AB682" s="6" t="n">
        <v>4.069087258910711</v>
      </c>
      <c r="AC682" s="6" t="n">
        <v>0.05644193407558025</v>
      </c>
      <c r="AD682" s="6" t="n">
        <v>2.318687843748079</v>
      </c>
      <c r="AE682" s="6" t="n">
        <v>-1.184349078469305</v>
      </c>
      <c r="AF682" s="6" t="n">
        <v>0.3260434816158946</v>
      </c>
      <c r="AG682" s="6" t="n">
        <v>0.7481007761407251</v>
      </c>
      <c r="AH682" s="6" t="n">
        <v>0.8021919682603128</v>
      </c>
      <c r="AI682" s="6" t="n">
        <v>-0.1463160629841793</v>
      </c>
      <c r="AJ682" s="6" t="n">
        <v>76.17170190795905</v>
      </c>
      <c r="AK682" s="6" t="n">
        <v>0.0760544059018953</v>
      </c>
      <c r="AL682" s="6" t="n">
        <v>1.027383209857999</v>
      </c>
      <c r="AN682" s="6" t="n">
        <v>1.352657484158499</v>
      </c>
      <c r="AO682" s="6" t="n">
        <v>1.352657484158499</v>
      </c>
      <c r="AP682" s="6" t="n">
        <v>0.1362701384738141</v>
      </c>
      <c r="AQ682" s="6" t="n">
        <v>0</v>
      </c>
      <c r="AR682" s="6" t="n">
        <v>0</v>
      </c>
    </row>
    <row r="683">
      <c r="D683" t="inlineStr">
        <is>
          <t>Run 371</t>
        </is>
      </c>
      <c r="J683" s="6" t="n">
        <v>4.248127636172957</v>
      </c>
      <c r="K683" s="6" t="n">
        <v>-1.380768636337034</v>
      </c>
      <c r="L683" s="6" t="n">
        <v>3.446002219531749</v>
      </c>
      <c r="M683" s="6" t="n">
        <v>-1.21072619526133</v>
      </c>
      <c r="N683" s="6" t="n">
        <v>-1.046102482842065</v>
      </c>
      <c r="O683" s="6" t="n">
        <v>1.68720611506548</v>
      </c>
      <c r="P683" s="6" t="n">
        <v>0.02251627355986867</v>
      </c>
      <c r="Q683" s="6" t="n">
        <v>-4.401887408593172</v>
      </c>
      <c r="R683" s="6" t="n">
        <v>1.9350311977335</v>
      </c>
      <c r="S683" s="6" t="n">
        <v>-1.104493999599722</v>
      </c>
      <c r="T683" s="6" t="n">
        <v>-2.258846102314666</v>
      </c>
      <c r="U683" s="6" t="n">
        <v>3.225911081269581</v>
      </c>
      <c r="V683" s="6" t="n">
        <v>0.3759072477744819</v>
      </c>
      <c r="W683" s="6" t="n">
        <v>2.056908566421252</v>
      </c>
      <c r="X683" s="6" t="n">
        <v>-5.374423808605133</v>
      </c>
      <c r="Y683" s="6" t="n">
        <v>-1.585512911959273</v>
      </c>
      <c r="Z683" s="6" t="n">
        <v>1.345980713500804</v>
      </c>
      <c r="AA683" s="6" t="n">
        <v>0.6540038570095608</v>
      </c>
      <c r="AB683" s="6" t="n">
        <v>-3.26094565862368</v>
      </c>
      <c r="AC683" s="6" t="n">
        <v>-2.775317509242796</v>
      </c>
      <c r="AD683" s="6" t="n">
        <v>0.6781618352885764</v>
      </c>
      <c r="AE683" s="6" t="n">
        <v>1.950107819347672</v>
      </c>
      <c r="AF683" s="6" t="n">
        <v>1.008980571035665</v>
      </c>
      <c r="AG683" s="6" t="n">
        <v>0.3455754452562287</v>
      </c>
      <c r="AH683" s="6" t="n">
        <v>1.41545672778762</v>
      </c>
      <c r="AI683" s="6" t="n">
        <v>-0.4189356885074602</v>
      </c>
      <c r="AJ683" s="6" t="n">
        <v>78.80627340921524</v>
      </c>
      <c r="AK683" s="6" t="n">
        <v>0.09757350243172036</v>
      </c>
      <c r="AL683" s="6" t="n">
        <v>1.032309152180089</v>
      </c>
      <c r="AN683" s="6" t="n">
        <v>1.352766827299013</v>
      </c>
      <c r="AO683" s="6" t="n">
        <v>1.355167793998408</v>
      </c>
      <c r="AP683" s="6" t="n">
        <v>0.1347604963418258</v>
      </c>
      <c r="AQ683" s="6" t="n">
        <v>0</v>
      </c>
      <c r="AR683" s="6" t="n">
        <v>0</v>
      </c>
    </row>
    <row r="684">
      <c r="D684" t="inlineStr">
        <is>
          <t>Run 372</t>
        </is>
      </c>
      <c r="J684" s="6" t="n">
        <v>0.8527879502827747</v>
      </c>
      <c r="K684" s="6" t="n">
        <v>2.166309141806348</v>
      </c>
      <c r="L684" s="6" t="n">
        <v>2.488097749637577</v>
      </c>
      <c r="M684" s="6" t="n">
        <v>-1.325451506993104</v>
      </c>
      <c r="N684" s="6" t="n">
        <v>2.773228212379836</v>
      </c>
      <c r="O684" s="6" t="n">
        <v>-0.1616403627556877</v>
      </c>
      <c r="P684" s="6" t="n">
        <v>-0.5202017090184129</v>
      </c>
      <c r="Q684" s="6" t="n">
        <v>-6.069794984373732</v>
      </c>
      <c r="R684" s="6" t="n">
        <v>-4.509734845191368</v>
      </c>
      <c r="S684" s="6" t="n">
        <v>-0.8195940756436041</v>
      </c>
      <c r="T684" s="6" t="n">
        <v>0.5229112519028863</v>
      </c>
      <c r="U684" s="6" t="n">
        <v>0.4719730394702989</v>
      </c>
      <c r="V684" s="6" t="n">
        <v>4.040044986256847</v>
      </c>
      <c r="W684" s="6" t="n">
        <v>-0.324068002442842</v>
      </c>
      <c r="X684" s="6" t="n">
        <v>-1.853896995900324</v>
      </c>
      <c r="Y684" s="6" t="n">
        <v>0.3068730432469438</v>
      </c>
      <c r="Z684" s="6" t="n">
        <v>-0.01184841045726873</v>
      </c>
      <c r="AA684" s="6" t="n">
        <v>0.08598015527756722</v>
      </c>
      <c r="AB684" s="6" t="n">
        <v>-0.7699238967973856</v>
      </c>
      <c r="AC684" s="6" t="n">
        <v>-1.66930425858977</v>
      </c>
      <c r="AD684" s="6" t="n">
        <v>0.5713421343235443</v>
      </c>
      <c r="AE684" s="6" t="n">
        <v>-2.676355783042856</v>
      </c>
      <c r="AF684" s="6" t="n">
        <v>-1.837564763375383</v>
      </c>
      <c r="AG684" s="6" t="n">
        <v>-1.132374209967886</v>
      </c>
      <c r="AH684" s="6" t="n">
        <v>-0.8872238150391987</v>
      </c>
      <c r="AI684" s="6" t="n">
        <v>-1.142945877877432</v>
      </c>
      <c r="AJ684" s="6" t="n">
        <v>77.88141646174951</v>
      </c>
      <c r="AK684" s="6" t="n">
        <v>0.1023540803499347</v>
      </c>
      <c r="AL684" s="6" t="n">
        <v>1.014086405087138</v>
      </c>
      <c r="AN684" s="6" t="n">
        <v>1.355916341192964</v>
      </c>
      <c r="AO684" s="6" t="n">
        <v>1.355916341192964</v>
      </c>
      <c r="AP684" s="6" t="n">
        <v>0.1366210366948981</v>
      </c>
      <c r="AQ684" s="6" t="n">
        <v>0</v>
      </c>
      <c r="AR684" s="6" t="n">
        <v>0</v>
      </c>
    </row>
    <row r="685">
      <c r="D685" t="inlineStr">
        <is>
          <t>Run 373</t>
        </is>
      </c>
      <c r="J685" s="6" t="n">
        <v>-1.135714654729653</v>
      </c>
      <c r="K685" s="6" t="n">
        <v>-2.545321111465439</v>
      </c>
      <c r="L685" s="6" t="n">
        <v>-0.9875975830473895</v>
      </c>
      <c r="M685" s="6" t="n">
        <v>-0.8004547419384572</v>
      </c>
      <c r="N685" s="6" t="n">
        <v>3.607257701530275</v>
      </c>
      <c r="O685" s="6" t="n">
        <v>0.02647800252604577</v>
      </c>
      <c r="P685" s="6" t="n">
        <v>-2.579830530212976</v>
      </c>
      <c r="Q685" s="6" t="n">
        <v>-0.7188601444299394</v>
      </c>
      <c r="R685" s="6" t="n">
        <v>2.007611045635566</v>
      </c>
      <c r="S685" s="6" t="n">
        <v>-2.384607907935237</v>
      </c>
      <c r="T685" s="6" t="n">
        <v>-0.8967939741163208</v>
      </c>
      <c r="U685" s="6" t="n">
        <v>0.1707976949680828</v>
      </c>
      <c r="V685" s="6" t="n">
        <v>1.287233744849468</v>
      </c>
      <c r="W685" s="6" t="n">
        <v>-4.135304590991073</v>
      </c>
      <c r="X685" s="6" t="n">
        <v>0.8573974010019771</v>
      </c>
      <c r="Y685" s="6" t="n">
        <v>0.43506346464408</v>
      </c>
      <c r="Z685" s="6" t="n">
        <v>0.8513137224022846</v>
      </c>
      <c r="AA685" s="6" t="n">
        <v>-1.397850702109952</v>
      </c>
      <c r="AB685" s="6" t="n">
        <v>0.5285482101467653</v>
      </c>
      <c r="AC685" s="6" t="n">
        <v>-2.696783670327286</v>
      </c>
      <c r="AD685" s="6" t="n">
        <v>0.07292491977718428</v>
      </c>
      <c r="AE685" s="6" t="n">
        <v>-0.332448360084549</v>
      </c>
      <c r="AF685" s="6" t="n">
        <v>0.1424584380725876</v>
      </c>
      <c r="AG685" s="6" t="n">
        <v>3.577053139797609</v>
      </c>
      <c r="AH685" s="6" t="n">
        <v>-1.49653651658305</v>
      </c>
      <c r="AI685" s="6" t="n">
        <v>-0.6946027793248334</v>
      </c>
      <c r="AJ685" s="6" t="n">
        <v>66.94617648518164</v>
      </c>
      <c r="AK685" s="6" t="n">
        <v>0.1621868239642224</v>
      </c>
      <c r="AL685" s="6" t="n">
        <v>0.9713268552135058</v>
      </c>
      <c r="AN685" s="6" t="n">
        <v>1.359207853877979</v>
      </c>
      <c r="AO685" s="6" t="n">
        <v>1.359207853877979</v>
      </c>
      <c r="AP685" s="6" t="n">
        <v>0.1433459382090393</v>
      </c>
      <c r="AQ685" s="6" t="n">
        <v>0</v>
      </c>
      <c r="AR685" s="6" t="n">
        <v>0</v>
      </c>
    </row>
    <row r="686">
      <c r="D686" t="inlineStr">
        <is>
          <t>Run 374</t>
        </is>
      </c>
      <c r="J686" s="6" t="n">
        <v>-0.5214698334443254</v>
      </c>
      <c r="K686" s="6" t="n">
        <v>-1.236720938442798</v>
      </c>
      <c r="L686" s="6" t="n">
        <v>2.333591287402535</v>
      </c>
      <c r="M686" s="6" t="n">
        <v>-1.539850684894478</v>
      </c>
      <c r="N686" s="6" t="n">
        <v>0.8373729165639756</v>
      </c>
      <c r="O686" s="6" t="n">
        <v>1.241990113008849</v>
      </c>
      <c r="P686" s="6" t="n">
        <v>3.516647198010387</v>
      </c>
      <c r="Q686" s="6" t="n">
        <v>-1.955587554941065</v>
      </c>
      <c r="R686" s="6" t="n">
        <v>2.146483102013617</v>
      </c>
      <c r="S686" s="6" t="n">
        <v>-0.1754267069505455</v>
      </c>
      <c r="T686" s="6" t="n">
        <v>-2.003696853606695</v>
      </c>
      <c r="U686" s="6" t="n">
        <v>1.447460218691907</v>
      </c>
      <c r="V686" s="6" t="n">
        <v>0.1110224590074123</v>
      </c>
      <c r="W686" s="6" t="n">
        <v>-2.451318555871716</v>
      </c>
      <c r="X686" s="6" t="n">
        <v>-1.526375558264772</v>
      </c>
      <c r="Y686" s="6" t="n">
        <v>-3.060830167606557</v>
      </c>
      <c r="Z686" s="6" t="n">
        <v>-2.174853198505834</v>
      </c>
      <c r="AA686" s="6" t="n">
        <v>-2.352981236847501</v>
      </c>
      <c r="AB686" s="6" t="n">
        <v>0.1243723480176168</v>
      </c>
      <c r="AC686" s="6" t="n">
        <v>-0.485170022717276</v>
      </c>
      <c r="AD686" s="6" t="n">
        <v>-0.3990265006425284</v>
      </c>
      <c r="AE686" s="6" t="n">
        <v>1.865858687677449</v>
      </c>
      <c r="AF686" s="6" t="n">
        <v>1.001471937056947</v>
      </c>
      <c r="AG686" s="6" t="n">
        <v>0.5372470687776809</v>
      </c>
      <c r="AH686" s="6" t="n">
        <v>2.725745591948721</v>
      </c>
      <c r="AI686" s="6" t="n">
        <v>-0.6348007907693872</v>
      </c>
      <c r="AJ686" s="6" t="n">
        <v>77.61217536221686</v>
      </c>
      <c r="AK686" s="6" t="n">
        <v>0.1371217372463126</v>
      </c>
      <c r="AL686" s="6" t="n">
        <v>1.069094024895834</v>
      </c>
      <c r="AN686" s="6" t="n">
        <v>1.333647149652958</v>
      </c>
      <c r="AO686" s="6" t="n">
        <v>1.336968069993312</v>
      </c>
      <c r="AP686" s="6" t="n">
        <v>0.1305288721904427</v>
      </c>
      <c r="AQ686" s="6" t="n">
        <v>0</v>
      </c>
      <c r="AR686" s="6" t="n">
        <v>0</v>
      </c>
    </row>
    <row r="687">
      <c r="D687" t="inlineStr">
        <is>
          <t>Run 375</t>
        </is>
      </c>
      <c r="J687" s="6" t="n">
        <v>2.744581797790364</v>
      </c>
      <c r="K687" s="6" t="n">
        <v>2.023106767526876</v>
      </c>
      <c r="L687" s="6" t="n">
        <v>0.5221336970372061</v>
      </c>
      <c r="M687" s="6" t="n">
        <v>0.01036550312507651</v>
      </c>
      <c r="N687" s="6" t="n">
        <v>0.09137315662969635</v>
      </c>
      <c r="O687" s="6" t="n">
        <v>-0.3752864650253238</v>
      </c>
      <c r="P687" s="6" t="n">
        <v>-1.11376714359835</v>
      </c>
      <c r="Q687" s="6" t="n">
        <v>-1.325308370800455</v>
      </c>
      <c r="R687" s="6" t="n">
        <v>-0.5930679457365814</v>
      </c>
      <c r="S687" s="6" t="n">
        <v>-1.132782512602979</v>
      </c>
      <c r="T687" s="6" t="n">
        <v>-4.392022823538526</v>
      </c>
      <c r="U687" s="6" t="n">
        <v>-1.684706723947214</v>
      </c>
      <c r="V687" s="6" t="n">
        <v>1.613105981371212</v>
      </c>
      <c r="W687" s="6" t="n">
        <v>1.521220243212717</v>
      </c>
      <c r="X687" s="6" t="n">
        <v>2.312647875226108</v>
      </c>
      <c r="Y687" s="6" t="n">
        <v>-1.439958634699807</v>
      </c>
      <c r="Z687" s="6" t="n">
        <v>4.186775863733678</v>
      </c>
      <c r="AA687" s="6" t="n">
        <v>-2.271657935319887</v>
      </c>
      <c r="AB687" s="6" t="n">
        <v>-1.577398629240012</v>
      </c>
      <c r="AC687" s="6" t="n">
        <v>-1.864402097316751</v>
      </c>
      <c r="AD687" s="6" t="n">
        <v>0.6700369438627261</v>
      </c>
      <c r="AE687" s="6" t="n">
        <v>2.960123596922388</v>
      </c>
      <c r="AF687" s="6" t="n">
        <v>-1.381827728432568</v>
      </c>
      <c r="AG687" s="6" t="n">
        <v>1.766363939438575</v>
      </c>
      <c r="AH687" s="6" t="n">
        <v>1.223817607131878</v>
      </c>
      <c r="AI687" s="6" t="n">
        <v>2.747149272708992</v>
      </c>
      <c r="AJ687" s="6" t="n">
        <v>77.6201823601567</v>
      </c>
      <c r="AK687" s="6" t="n">
        <v>0.1869634269145563</v>
      </c>
      <c r="AL687" s="6" t="n">
        <v>1.116808010168606</v>
      </c>
      <c r="AN687" s="6" t="n">
        <v>1.317925526932297</v>
      </c>
      <c r="AO687" s="6" t="n">
        <v>1.318799493568676</v>
      </c>
      <c r="AP687" s="6" t="n">
        <v>0.1267234383482337</v>
      </c>
      <c r="AQ687" s="6" t="n">
        <v>0</v>
      </c>
      <c r="AR687" s="6" t="n">
        <v>0</v>
      </c>
    </row>
    <row r="688">
      <c r="D688" t="inlineStr">
        <is>
          <t>Run 376</t>
        </is>
      </c>
      <c r="J688" s="6" t="n">
        <v>-0.1910743599771174</v>
      </c>
      <c r="K688" s="6" t="n">
        <v>2.653281524141483</v>
      </c>
      <c r="L688" s="6" t="n">
        <v>1.675602394472195</v>
      </c>
      <c r="M688" s="6" t="n">
        <v>0.2952082564204971</v>
      </c>
      <c r="N688" s="6" t="n">
        <v>-0.851277162601765</v>
      </c>
      <c r="O688" s="6" t="n">
        <v>-0.1672377615171756</v>
      </c>
      <c r="P688" s="6" t="n">
        <v>4.49716811184224</v>
      </c>
      <c r="Q688" s="6" t="n">
        <v>-1.314745379351334</v>
      </c>
      <c r="R688" s="6" t="n">
        <v>-0.1803215593010406</v>
      </c>
      <c r="S688" s="6" t="n">
        <v>-3.146967071622905</v>
      </c>
      <c r="T688" s="6" t="n">
        <v>-0.4334424081660732</v>
      </c>
      <c r="U688" s="6" t="n">
        <v>-2.335116817180374</v>
      </c>
      <c r="V688" s="6" t="n">
        <v>-0.3978102891006267</v>
      </c>
      <c r="W688" s="6" t="n">
        <v>-2.251170742081587</v>
      </c>
      <c r="X688" s="6" t="n">
        <v>-0.7211610353421978</v>
      </c>
      <c r="Y688" s="6" t="n">
        <v>-0.7349564486018682</v>
      </c>
      <c r="Z688" s="6" t="n">
        <v>-4.377714152939403</v>
      </c>
      <c r="AA688" s="6" t="n">
        <v>-2.470105033678719</v>
      </c>
      <c r="AB688" s="6" t="n">
        <v>0.2774547094026569</v>
      </c>
      <c r="AC688" s="6" t="n">
        <v>-0.8818568355395889</v>
      </c>
      <c r="AD688" s="6" t="n">
        <v>-2.312979500156005</v>
      </c>
      <c r="AE688" s="6" t="n">
        <v>2.219845491716727</v>
      </c>
      <c r="AF688" s="6" t="n">
        <v>2.678779292887942</v>
      </c>
      <c r="AG688" s="6" t="n">
        <v>0.1026974301991707</v>
      </c>
      <c r="AH688" s="6" t="n">
        <v>-1.989268223973262</v>
      </c>
      <c r="AI688" s="6" t="n">
        <v>-3.48814340965605</v>
      </c>
      <c r="AJ688" s="6" t="n">
        <v>72.09817973030496</v>
      </c>
      <c r="AK688" s="6" t="n">
        <v>0.09599154579619323</v>
      </c>
      <c r="AL688" s="6" t="n">
        <v>1.056632935365931</v>
      </c>
      <c r="AN688" s="6" t="n">
        <v>1.345209492868852</v>
      </c>
      <c r="AO688" s="6" t="n">
        <v>1.345593271661102</v>
      </c>
      <c r="AP688" s="6" t="n">
        <v>0.1322449369906005</v>
      </c>
      <c r="AQ688" s="6" t="n">
        <v>0</v>
      </c>
      <c r="AR688" s="6" t="n">
        <v>0</v>
      </c>
    </row>
    <row r="689">
      <c r="D689" t="inlineStr">
        <is>
          <t>Run 377</t>
        </is>
      </c>
      <c r="J689" s="6" t="n">
        <v>-4.071662410420212</v>
      </c>
      <c r="K689" s="6" t="n">
        <v>1.467839925268756</v>
      </c>
      <c r="L689" s="6" t="n">
        <v>0.135889355070068</v>
      </c>
      <c r="M689" s="6" t="n">
        <v>-1.265741386603322</v>
      </c>
      <c r="N689" s="6" t="n">
        <v>-0.665084911588284</v>
      </c>
      <c r="O689" s="6" t="n">
        <v>2.498146177699195</v>
      </c>
      <c r="P689" s="6" t="n">
        <v>-0.7913163445219726</v>
      </c>
      <c r="Q689" s="6" t="n">
        <v>-1.047914101985133</v>
      </c>
      <c r="R689" s="6" t="n">
        <v>-2.518384662137201</v>
      </c>
      <c r="S689" s="6" t="n">
        <v>2.228680305883468</v>
      </c>
      <c r="T689" s="6" t="n">
        <v>0.9869956367417371</v>
      </c>
      <c r="U689" s="6" t="n">
        <v>1.968856607368074</v>
      </c>
      <c r="V689" s="6" t="n">
        <v>-1.668809088151833</v>
      </c>
      <c r="W689" s="6" t="n">
        <v>-3.151248916863452</v>
      </c>
      <c r="X689" s="6" t="n">
        <v>1.384372454156082</v>
      </c>
      <c r="Y689" s="6" t="n">
        <v>0.1993940618661897</v>
      </c>
      <c r="Z689" s="6" t="n">
        <v>1.821008034320744</v>
      </c>
      <c r="AA689" s="6" t="n">
        <v>-0.4937895872446717</v>
      </c>
      <c r="AB689" s="6" t="n">
        <v>-3.169208746019732</v>
      </c>
      <c r="AC689" s="6" t="n">
        <v>-0.992275742676632</v>
      </c>
      <c r="AD689" s="6" t="n">
        <v>-1.346842189928781</v>
      </c>
      <c r="AE689" s="6" t="n">
        <v>-1.836827173517534</v>
      </c>
      <c r="AF689" s="6" t="n">
        <v>-4.370623865081571</v>
      </c>
      <c r="AG689" s="6" t="n">
        <v>0.4679498907578244</v>
      </c>
      <c r="AH689" s="6" t="n">
        <v>0.04065183503039718</v>
      </c>
      <c r="AI689" s="6" t="n">
        <v>-0.1055142600724322</v>
      </c>
      <c r="AJ689" s="6" t="n">
        <v>76.95255189558674</v>
      </c>
      <c r="AK689" s="6" t="n">
        <v>0.1364181398810766</v>
      </c>
      <c r="AL689" s="6" t="n">
        <v>1.032161708964826</v>
      </c>
      <c r="AN689" s="6" t="n">
        <v>1.348448992114891</v>
      </c>
      <c r="AO689" s="6" t="n">
        <v>1.351569224912903</v>
      </c>
      <c r="AP689" s="6" t="n">
        <v>0.1340824929224264</v>
      </c>
      <c r="AQ689" s="6" t="n">
        <v>0</v>
      </c>
      <c r="AR689" s="6" t="n">
        <v>0</v>
      </c>
    </row>
    <row r="690">
      <c r="D690" t="inlineStr">
        <is>
          <t>Run 378</t>
        </is>
      </c>
      <c r="J690" s="6" t="n">
        <v>1.354661888297135</v>
      </c>
      <c r="K690" s="6" t="n">
        <v>-4.104843128612754</v>
      </c>
      <c r="L690" s="6" t="n">
        <v>0.9785190662773078</v>
      </c>
      <c r="M690" s="6" t="n">
        <v>-2.017192237977315</v>
      </c>
      <c r="N690" s="6" t="n">
        <v>0.968851563401031</v>
      </c>
      <c r="O690" s="6" t="n">
        <v>4.55119914203324</v>
      </c>
      <c r="P690" s="6" t="n">
        <v>-1.966554339988916</v>
      </c>
      <c r="Q690" s="6" t="n">
        <v>2.643585481866743</v>
      </c>
      <c r="R690" s="6" t="n">
        <v>-3.978844513900743</v>
      </c>
      <c r="S690" s="6" t="n">
        <v>0.04356008216865595</v>
      </c>
      <c r="T690" s="6" t="n">
        <v>2.620917199562781</v>
      </c>
      <c r="U690" s="6" t="n">
        <v>3.065541806736636</v>
      </c>
      <c r="V690" s="6" t="n">
        <v>-0.2046525350556675</v>
      </c>
      <c r="W690" s="6" t="n">
        <v>5</v>
      </c>
      <c r="X690" s="6" t="n">
        <v>-4.115969969992772</v>
      </c>
      <c r="Y690" s="6" t="n">
        <v>-3.962356615548126</v>
      </c>
      <c r="Z690" s="6" t="n">
        <v>1.748155834965624</v>
      </c>
      <c r="AA690" s="6" t="n">
        <v>4.371233129910054</v>
      </c>
      <c r="AB690" s="6" t="n">
        <v>0.7566366051240824</v>
      </c>
      <c r="AC690" s="6" t="n">
        <v>0.180302580892658</v>
      </c>
      <c r="AD690" s="6" t="n">
        <v>1.474020559159923</v>
      </c>
      <c r="AE690" s="6" t="n">
        <v>0.3409482590203996</v>
      </c>
      <c r="AF690" s="6" t="n">
        <v>-4.489865080987746</v>
      </c>
      <c r="AG690" s="6" t="n">
        <v>2.662535137029979</v>
      </c>
      <c r="AH690" s="6" t="n">
        <v>-2.038577334295005</v>
      </c>
      <c r="AI690" s="6" t="n">
        <v>0.5006368043312311</v>
      </c>
      <c r="AJ690" s="6" t="n">
        <v>74.25859370500343</v>
      </c>
      <c r="AK690" s="6" t="n">
        <v>0.08837747936538833</v>
      </c>
      <c r="AL690" s="6" t="n">
        <v>1.038055001589888</v>
      </c>
      <c r="AN690" s="6" t="n">
        <v>1.338147586232654</v>
      </c>
      <c r="AO690" s="6" t="n">
        <v>1.344713457015398</v>
      </c>
      <c r="AP690" s="6" t="n">
        <v>0.1341065967946361</v>
      </c>
      <c r="AQ690" s="6" t="n">
        <v>0</v>
      </c>
      <c r="AR690" s="6" t="n">
        <v>0</v>
      </c>
    </row>
    <row r="691">
      <c r="D691" t="inlineStr">
        <is>
          <t>Run 379</t>
        </is>
      </c>
      <c r="J691" s="6" t="n">
        <v>-1.048650216849278</v>
      </c>
      <c r="K691" s="6" t="n">
        <v>-0.2820177111166189</v>
      </c>
      <c r="L691" s="6" t="n">
        <v>-2.314241378110945</v>
      </c>
      <c r="M691" s="6" t="n">
        <v>-2.193915290139648</v>
      </c>
      <c r="N691" s="6" t="n">
        <v>-1.672866564886343</v>
      </c>
      <c r="O691" s="6" t="n">
        <v>0.1737254332660101</v>
      </c>
      <c r="P691" s="6" t="n">
        <v>-0.7589035019218401</v>
      </c>
      <c r="Q691" s="6" t="n">
        <v>2.729163185511807</v>
      </c>
      <c r="R691" s="6" t="n">
        <v>4.693885427488373</v>
      </c>
      <c r="S691" s="6" t="n">
        <v>0.4700539744925675</v>
      </c>
      <c r="T691" s="6" t="n">
        <v>1.212389190895683</v>
      </c>
      <c r="U691" s="6" t="n">
        <v>1.163574861029954</v>
      </c>
      <c r="V691" s="6" t="n">
        <v>-0.9336952374677185</v>
      </c>
      <c r="W691" s="6" t="n">
        <v>-1.00339298865191</v>
      </c>
      <c r="X691" s="6" t="n">
        <v>3.904105573460698</v>
      </c>
      <c r="Y691" s="6" t="n">
        <v>-0.2012436260024982</v>
      </c>
      <c r="Z691" s="6" t="n">
        <v>0.8876003944584731</v>
      </c>
      <c r="AA691" s="6" t="n">
        <v>0.9303762476414883</v>
      </c>
      <c r="AB691" s="6" t="n">
        <v>-2.141914628691372</v>
      </c>
      <c r="AC691" s="6" t="n">
        <v>-0.4946875887063036</v>
      </c>
      <c r="AD691" s="6" t="n">
        <v>-0.7213505732567478</v>
      </c>
      <c r="AE691" s="6" t="n">
        <v>0.6692309954972909</v>
      </c>
      <c r="AF691" s="6" t="n">
        <v>-0.1216546115250973</v>
      </c>
      <c r="AG691" s="6" t="n">
        <v>3.527813575798544</v>
      </c>
      <c r="AH691" s="6" t="n">
        <v>-0.5209428180509218</v>
      </c>
      <c r="AI691" s="6" t="n">
        <v>-1.950235261114677</v>
      </c>
      <c r="AJ691" s="6" t="n">
        <v>73.31361813031782</v>
      </c>
      <c r="AK691" s="6" t="n">
        <v>0.1421945143248201</v>
      </c>
      <c r="AL691" s="6" t="n">
        <v>1.044878943806788</v>
      </c>
      <c r="AN691" s="6" t="n">
        <v>1.329465275600928</v>
      </c>
      <c r="AO691" s="6" t="n">
        <v>1.334782281976471</v>
      </c>
      <c r="AP691" s="6" t="n">
        <v>0.1324964305202479</v>
      </c>
      <c r="AQ691" s="6" t="n">
        <v>0</v>
      </c>
      <c r="AR691" s="6" t="n">
        <v>0</v>
      </c>
    </row>
    <row r="692">
      <c r="D692" t="inlineStr">
        <is>
          <t>Run 380</t>
        </is>
      </c>
      <c r="J692" s="6" t="n">
        <v>1.026357937827847</v>
      </c>
      <c r="K692" s="6" t="n">
        <v>-1.12095973722897</v>
      </c>
      <c r="L692" s="6" t="n">
        <v>-1.323432056763812</v>
      </c>
      <c r="M692" s="6" t="n">
        <v>-1.069151322768141</v>
      </c>
      <c r="N692" s="6" t="n">
        <v>-1.467688994980145</v>
      </c>
      <c r="O692" s="6" t="n">
        <v>-1.228441047001241</v>
      </c>
      <c r="P692" s="6" t="n">
        <v>3.444793235160829</v>
      </c>
      <c r="Q692" s="6" t="n">
        <v>-4.745750296078153</v>
      </c>
      <c r="R692" s="6" t="n">
        <v>0.6088615869314592</v>
      </c>
      <c r="S692" s="6" t="n">
        <v>0.1476108028676007</v>
      </c>
      <c r="T692" s="6" t="n">
        <v>1.684446819872036</v>
      </c>
      <c r="U692" s="6" t="n">
        <v>-2.741975958424657</v>
      </c>
      <c r="V692" s="6" t="n">
        <v>-1.765709145248057</v>
      </c>
      <c r="W692" s="6" t="n">
        <v>1.94798262002924</v>
      </c>
      <c r="X692" s="6" t="n">
        <v>0.8108578287154715</v>
      </c>
      <c r="Y692" s="6" t="n">
        <v>-3.010657381849496</v>
      </c>
      <c r="Z692" s="6" t="n">
        <v>-0.3816548760194871</v>
      </c>
      <c r="AA692" s="6" t="n">
        <v>0.7522947091571879</v>
      </c>
      <c r="AB692" s="6" t="n">
        <v>-0.3484951031674518</v>
      </c>
      <c r="AC692" s="6" t="n">
        <v>-0.6634923953145623</v>
      </c>
      <c r="AD692" s="6" t="n">
        <v>-1.365912767553642</v>
      </c>
      <c r="AE692" s="6" t="n">
        <v>-4.347571239796113</v>
      </c>
      <c r="AF692" s="6" t="n">
        <v>2.976209807400312</v>
      </c>
      <c r="AG692" s="6" t="n">
        <v>4.311364859584868</v>
      </c>
      <c r="AH692" s="6" t="n">
        <v>-1.231203876030236</v>
      </c>
      <c r="AI692" s="6" t="n">
        <v>-1.136473387842738</v>
      </c>
      <c r="AJ692" s="6" t="n">
        <v>63.12571847561895</v>
      </c>
      <c r="AK692" s="6" t="n">
        <v>0.155528218135607</v>
      </c>
      <c r="AL692" s="6" t="n">
        <v>1.058953240750728</v>
      </c>
      <c r="AN692" s="6" t="n">
        <v>1.335793965529549</v>
      </c>
      <c r="AO692" s="6" t="n">
        <v>1.337809271043372</v>
      </c>
      <c r="AP692" s="6" t="n">
        <v>0.1297303053223255</v>
      </c>
      <c r="AQ692" s="6" t="n">
        <v>0</v>
      </c>
      <c r="AR692" s="6" t="n">
        <v>0</v>
      </c>
    </row>
    <row r="693">
      <c r="D693" t="inlineStr">
        <is>
          <t>Run 381</t>
        </is>
      </c>
      <c r="J693" s="6" t="n">
        <v>1.386374195392697</v>
      </c>
      <c r="K693" s="6" t="n">
        <v>4.077611460543801</v>
      </c>
      <c r="L693" s="6" t="n">
        <v>0.01659568050579253</v>
      </c>
      <c r="M693" s="6" t="n">
        <v>0.6952884972823684</v>
      </c>
      <c r="N693" s="6" t="n">
        <v>0.9265789472764734</v>
      </c>
      <c r="O693" s="6" t="n">
        <v>-2.459027688613072</v>
      </c>
      <c r="P693" s="6" t="n">
        <v>-1.709633173312525</v>
      </c>
      <c r="Q693" s="6" t="n">
        <v>-0.8316654242444781</v>
      </c>
      <c r="R693" s="6" t="n">
        <v>2.801571956748389</v>
      </c>
      <c r="S693" s="6" t="n">
        <v>0.1739260096655494</v>
      </c>
      <c r="T693" s="6" t="n">
        <v>-0.7819214240481324</v>
      </c>
      <c r="U693" s="6" t="n">
        <v>-0.7354531659228354</v>
      </c>
      <c r="V693" s="6" t="n">
        <v>-0.1763286009659309</v>
      </c>
      <c r="W693" s="6" t="n">
        <v>0.6174182144422109</v>
      </c>
      <c r="X693" s="6" t="n">
        <v>-2.065193570211487</v>
      </c>
      <c r="Y693" s="6" t="n">
        <v>0.1828679277968466</v>
      </c>
      <c r="Z693" s="6" t="n">
        <v>0.05229814069099987</v>
      </c>
      <c r="AA693" s="6" t="n">
        <v>0.04978033520322107</v>
      </c>
      <c r="AB693" s="6" t="n">
        <v>-1.800993806682998</v>
      </c>
      <c r="AC693" s="6" t="n">
        <v>1.975389553293569</v>
      </c>
      <c r="AD693" s="6" t="n">
        <v>0.9741580667379027</v>
      </c>
      <c r="AE693" s="6" t="n">
        <v>-0.6731126425438397</v>
      </c>
      <c r="AF693" s="6" t="n">
        <v>2.082606345502135</v>
      </c>
      <c r="AG693" s="6" t="n">
        <v>0.3351935537447051</v>
      </c>
      <c r="AH693" s="6" t="n">
        <v>3.188563261997692</v>
      </c>
      <c r="AI693" s="6" t="n">
        <v>-1.179968478300985</v>
      </c>
      <c r="AJ693" s="6" t="n">
        <v>77.00548485365475</v>
      </c>
      <c r="AK693" s="6" t="n">
        <v>0.1672026736419596</v>
      </c>
      <c r="AL693" s="6" t="n">
        <v>1.043891957338827</v>
      </c>
      <c r="AN693" s="6" t="n">
        <v>1.34763732165083</v>
      </c>
      <c r="AO693" s="6" t="n">
        <v>1.34792486761647</v>
      </c>
      <c r="AP693" s="6" t="n">
        <v>0.1321876966506276</v>
      </c>
      <c r="AQ693" s="6" t="n">
        <v>0</v>
      </c>
      <c r="AR693" s="6" t="n">
        <v>0</v>
      </c>
    </row>
    <row r="694">
      <c r="D694" t="inlineStr">
        <is>
          <t>Run 382</t>
        </is>
      </c>
      <c r="J694" s="6" t="n">
        <v>2.5552165940287</v>
      </c>
      <c r="K694" s="6" t="n">
        <v>0.1141762306683131</v>
      </c>
      <c r="L694" s="6" t="n">
        <v>0.187341775125069</v>
      </c>
      <c r="M694" s="6" t="n">
        <v>0.3729129961203255</v>
      </c>
      <c r="N694" s="6" t="n">
        <v>1.859054817094602</v>
      </c>
      <c r="O694" s="6" t="n">
        <v>2.561517799688324</v>
      </c>
      <c r="P694" s="6" t="n">
        <v>-0.108438982397621</v>
      </c>
      <c r="Q694" s="6" t="n">
        <v>0.483899188124588</v>
      </c>
      <c r="R694" s="6" t="n">
        <v>-1.193163573334938</v>
      </c>
      <c r="S694" s="6" t="n">
        <v>-1.259690788442561</v>
      </c>
      <c r="T694" s="6" t="n">
        <v>-0.8009553517367816</v>
      </c>
      <c r="U694" s="6" t="n">
        <v>-3.017592632537983</v>
      </c>
      <c r="V694" s="6" t="n">
        <v>-0.5774884316015323</v>
      </c>
      <c r="W694" s="6" t="n">
        <v>4.514492710899339</v>
      </c>
      <c r="X694" s="6" t="n">
        <v>-0.6744084787590386</v>
      </c>
      <c r="Y694" s="6" t="n">
        <v>-0.5286463726065572</v>
      </c>
      <c r="Z694" s="6" t="n">
        <v>-1.197117829653525</v>
      </c>
      <c r="AA694" s="6" t="n">
        <v>-1.167142738920999</v>
      </c>
      <c r="AB694" s="6" t="n">
        <v>0.965844180413446</v>
      </c>
      <c r="AC694" s="6" t="n">
        <v>1.76022690455339</v>
      </c>
      <c r="AD694" s="6" t="n">
        <v>2.310027292187602</v>
      </c>
      <c r="AE694" s="6" t="n">
        <v>-1.430109739470534</v>
      </c>
      <c r="AF694" s="6" t="n">
        <v>-0.4896659779475084</v>
      </c>
      <c r="AG694" s="6" t="n">
        <v>5</v>
      </c>
      <c r="AH694" s="6" t="n">
        <v>1.722802410586</v>
      </c>
      <c r="AI694" s="6" t="n">
        <v>0.7005233529603028</v>
      </c>
      <c r="AJ694" s="6" t="n">
        <v>84.08845947201492</v>
      </c>
      <c r="AK694" s="6" t="n">
        <v>0.1228974209466481</v>
      </c>
      <c r="AL694" s="6" t="n">
        <v>1.100167831601109</v>
      </c>
      <c r="AN694" s="6" t="n">
        <v>1.330055462702555</v>
      </c>
      <c r="AO694" s="6" t="n">
        <v>1.330706631689837</v>
      </c>
      <c r="AP694" s="6" t="n">
        <v>0.1295493096285158</v>
      </c>
      <c r="AQ694" s="6" t="n">
        <v>0</v>
      </c>
      <c r="AR694" s="6" t="n">
        <v>0</v>
      </c>
    </row>
    <row r="695">
      <c r="D695" t="inlineStr">
        <is>
          <t>Run 383</t>
        </is>
      </c>
      <c r="J695" s="6" t="n">
        <v>2.910050021696779</v>
      </c>
      <c r="K695" s="6" t="n">
        <v>0.8712299735058705</v>
      </c>
      <c r="L695" s="6" t="n">
        <v>-1.51231700487412</v>
      </c>
      <c r="M695" s="6" t="n">
        <v>2.609351933180081</v>
      </c>
      <c r="N695" s="6" t="n">
        <v>0.7937859827300447</v>
      </c>
      <c r="O695" s="6" t="n">
        <v>1.660575936662534</v>
      </c>
      <c r="P695" s="6" t="n">
        <v>0.7928902777719328</v>
      </c>
      <c r="Q695" s="6" t="n">
        <v>1.452296910455292</v>
      </c>
      <c r="R695" s="6" t="n">
        <v>2.715234164576886</v>
      </c>
      <c r="S695" s="6" t="n">
        <v>-1.27642754375982</v>
      </c>
      <c r="T695" s="6" t="n">
        <v>-3.828537567086117</v>
      </c>
      <c r="U695" s="6" t="n">
        <v>0.6004892838562271</v>
      </c>
      <c r="V695" s="6" t="n">
        <v>-0.02774334260714374</v>
      </c>
      <c r="W695" s="6" t="n">
        <v>0.8570335962837429</v>
      </c>
      <c r="X695" s="6" t="n">
        <v>-0.5763734116123608</v>
      </c>
      <c r="Y695" s="6" t="n">
        <v>-0.2118183495337169</v>
      </c>
      <c r="Z695" s="6" t="n">
        <v>3.699153185667568</v>
      </c>
      <c r="AA695" s="6" t="n">
        <v>-3.022696182601408</v>
      </c>
      <c r="AB695" s="6" t="n">
        <v>-1.332051071046935</v>
      </c>
      <c r="AC695" s="6" t="n">
        <v>-0.3655339727694433</v>
      </c>
      <c r="AD695" s="6" t="n">
        <v>1.837437607692687</v>
      </c>
      <c r="AE695" s="6" t="n">
        <v>-2.283899551139082</v>
      </c>
      <c r="AF695" s="6" t="n">
        <v>-0.1546628836711076</v>
      </c>
      <c r="AG695" s="6" t="n">
        <v>1.631035225061511</v>
      </c>
      <c r="AH695" s="6" t="n">
        <v>2.443983721424863</v>
      </c>
      <c r="AI695" s="6" t="n">
        <v>-0.4684852712316026</v>
      </c>
      <c r="AJ695" s="6" t="n">
        <v>76.52678381514288</v>
      </c>
      <c r="AK695" s="6" t="n">
        <v>0.07313399906907989</v>
      </c>
      <c r="AL695" s="6" t="n">
        <v>1.072134099815918</v>
      </c>
      <c r="AN695" s="6" t="n">
        <v>1.3435725978716</v>
      </c>
      <c r="AO695" s="6" t="n">
        <v>1.344003242024748</v>
      </c>
      <c r="AP695" s="6" t="n">
        <v>0.1322824394982494</v>
      </c>
      <c r="AQ695" s="6" t="n">
        <v>0</v>
      </c>
      <c r="AR695" s="6" t="n">
        <v>0</v>
      </c>
    </row>
    <row r="696">
      <c r="D696" t="inlineStr">
        <is>
          <t>Run 384</t>
        </is>
      </c>
      <c r="J696" s="6" t="n">
        <v>1.44013660481368</v>
      </c>
      <c r="K696" s="6" t="n">
        <v>-0.6786136293495275</v>
      </c>
      <c r="L696" s="6" t="n">
        <v>0.5897683970459232</v>
      </c>
      <c r="M696" s="6" t="n">
        <v>-2.62975083985808</v>
      </c>
      <c r="N696" s="6" t="n">
        <v>-3.378140627426026</v>
      </c>
      <c r="O696" s="6" t="n">
        <v>-3.559148010551636</v>
      </c>
      <c r="P696" s="6" t="n">
        <v>-2.131498881021769</v>
      </c>
      <c r="Q696" s="6" t="n">
        <v>1.6756762685664</v>
      </c>
      <c r="R696" s="6" t="n">
        <v>0.3637563684314554</v>
      </c>
      <c r="S696" s="6" t="n">
        <v>-2.706092249396197</v>
      </c>
      <c r="T696" s="6" t="n">
        <v>-1.78826375677455</v>
      </c>
      <c r="U696" s="6" t="n">
        <v>-1.569800314860979</v>
      </c>
      <c r="V696" s="6" t="n">
        <v>2.396125206103973</v>
      </c>
      <c r="W696" s="6" t="n">
        <v>-0.859848661596104</v>
      </c>
      <c r="X696" s="6" t="n">
        <v>-2.526765071141921</v>
      </c>
      <c r="Y696" s="6" t="n">
        <v>-2.218903068233601</v>
      </c>
      <c r="Z696" s="6" t="n">
        <v>-1.689450627838683</v>
      </c>
      <c r="AA696" s="6" t="n">
        <v>0.1755170025558234</v>
      </c>
      <c r="AB696" s="6" t="n">
        <v>-0.3533141148235806</v>
      </c>
      <c r="AC696" s="6" t="n">
        <v>-0.4862324895271785</v>
      </c>
      <c r="AD696" s="6" t="n">
        <v>-1.07697104256797</v>
      </c>
      <c r="AE696" s="6" t="n">
        <v>0.5033508042613299</v>
      </c>
      <c r="AF696" s="6" t="n">
        <v>2.173298516914014</v>
      </c>
      <c r="AG696" s="6" t="n">
        <v>-1.15463253509963</v>
      </c>
      <c r="AH696" s="6" t="n">
        <v>0.3231407733895974</v>
      </c>
      <c r="AI696" s="6" t="n">
        <v>-0.889651925410296</v>
      </c>
      <c r="AJ696" s="6" t="n">
        <v>72.779614772066</v>
      </c>
      <c r="AK696" s="6" t="n">
        <v>0.1758857136904133</v>
      </c>
      <c r="AL696" s="6" t="n">
        <v>1.040185530753033</v>
      </c>
      <c r="AN696" s="6" t="n">
        <v>1.322234655779738</v>
      </c>
      <c r="AO696" s="6" t="n">
        <v>1.324088270655559</v>
      </c>
      <c r="AP696" s="6" t="n">
        <v>0.1317749138657674</v>
      </c>
      <c r="AQ696" s="6" t="n">
        <v>0</v>
      </c>
      <c r="AR696" s="6" t="n">
        <v>0</v>
      </c>
    </row>
    <row r="697">
      <c r="D697" t="inlineStr">
        <is>
          <t>Run 385</t>
        </is>
      </c>
      <c r="J697" s="6" t="n">
        <v>-2.054761769124022</v>
      </c>
      <c r="K697" s="6" t="n">
        <v>-1.689534860850453</v>
      </c>
      <c r="L697" s="6" t="n">
        <v>0.9147056079334075</v>
      </c>
      <c r="M697" s="6" t="n">
        <v>-1.705149113424551</v>
      </c>
      <c r="N697" s="6" t="n">
        <v>2.435739739486402</v>
      </c>
      <c r="O697" s="6" t="n">
        <v>-4.924062378535953</v>
      </c>
      <c r="P697" s="6" t="n">
        <v>1.998948163439719</v>
      </c>
      <c r="Q697" s="6" t="n">
        <v>3.081477412340324</v>
      </c>
      <c r="R697" s="6" t="n">
        <v>-1.51867741108164</v>
      </c>
      <c r="S697" s="6" t="n">
        <v>1.497229928446161</v>
      </c>
      <c r="T697" s="6" t="n">
        <v>-0.5987563608200636</v>
      </c>
      <c r="U697" s="6" t="n">
        <v>3.648719733177833</v>
      </c>
      <c r="V697" s="6" t="n">
        <v>-0.4205223533636767</v>
      </c>
      <c r="W697" s="6" t="n">
        <v>-0.7777518380756863</v>
      </c>
      <c r="X697" s="6" t="n">
        <v>-2.645244016568422</v>
      </c>
      <c r="Y697" s="6" t="n">
        <v>1.082858502692289</v>
      </c>
      <c r="Z697" s="6" t="n">
        <v>-0.159833577673758</v>
      </c>
      <c r="AA697" s="6" t="n">
        <v>1.58999919845461</v>
      </c>
      <c r="AB697" s="6" t="n">
        <v>-3.129895522483893</v>
      </c>
      <c r="AC697" s="6" t="n">
        <v>0.6639074255463606</v>
      </c>
      <c r="AD697" s="6" t="n">
        <v>-0.4577466347022586</v>
      </c>
      <c r="AE697" s="6" t="n">
        <v>-0.6882832085317014</v>
      </c>
      <c r="AF697" s="6" t="n">
        <v>1.819070038972372</v>
      </c>
      <c r="AG697" s="6" t="n">
        <v>-1.7748350810679</v>
      </c>
      <c r="AH697" s="6" t="n">
        <v>-1.385413132568153</v>
      </c>
      <c r="AI697" s="6" t="n">
        <v>-0.02909923169488792</v>
      </c>
      <c r="AJ697" s="6" t="n">
        <v>77.96507441965474</v>
      </c>
      <c r="AK697" s="6" t="n">
        <v>0.1199891117009986</v>
      </c>
      <c r="AL697" s="6" t="n">
        <v>1.031181392476927</v>
      </c>
      <c r="AN697" s="6" t="n">
        <v>1.336709872605531</v>
      </c>
      <c r="AO697" s="6" t="n">
        <v>1.346096726898868</v>
      </c>
      <c r="AP697" s="6" t="n">
        <v>0.1347513960874359</v>
      </c>
      <c r="AQ697" s="6" t="n">
        <v>0</v>
      </c>
      <c r="AR697" s="6" t="n">
        <v>0</v>
      </c>
    </row>
    <row r="698">
      <c r="D698" t="inlineStr">
        <is>
          <t>Run 386</t>
        </is>
      </c>
      <c r="J698" s="6" t="n">
        <v>1.504331935526324</v>
      </c>
      <c r="K698" s="6" t="n">
        <v>-2.232411485749777</v>
      </c>
      <c r="L698" s="6" t="n">
        <v>0.2544278711374971</v>
      </c>
      <c r="M698" s="6" t="n">
        <v>1.699720479004623</v>
      </c>
      <c r="N698" s="6" t="n">
        <v>-1.317210726917258</v>
      </c>
      <c r="O698" s="6" t="n">
        <v>-0.8312474573988471</v>
      </c>
      <c r="P698" s="6" t="n">
        <v>0.713114959587396</v>
      </c>
      <c r="Q698" s="6" t="n">
        <v>-1.711662627200307</v>
      </c>
      <c r="R698" s="6" t="n">
        <v>1.375662668507381</v>
      </c>
      <c r="S698" s="6" t="n">
        <v>3.374792379794602</v>
      </c>
      <c r="T698" s="6" t="n">
        <v>-0.2842168453281814</v>
      </c>
      <c r="U698" s="6" t="n">
        <v>-0.5886917507836957</v>
      </c>
      <c r="V698" s="6" t="n">
        <v>0.6466236667497619</v>
      </c>
      <c r="W698" s="6" t="n">
        <v>-1.524328337179473</v>
      </c>
      <c r="X698" s="6" t="n">
        <v>-0.9280733165580497</v>
      </c>
      <c r="Y698" s="6" t="n">
        <v>1.806085300648178</v>
      </c>
      <c r="Z698" s="6" t="n">
        <v>-1.476019953919048</v>
      </c>
      <c r="AA698" s="6" t="n">
        <v>-2.385808293312952</v>
      </c>
      <c r="AB698" s="6" t="n">
        <v>-2.973269554279852</v>
      </c>
      <c r="AC698" s="6" t="n">
        <v>-1.298010370180079</v>
      </c>
      <c r="AD698" s="6" t="n">
        <v>3.684615270842357</v>
      </c>
      <c r="AE698" s="6" t="n">
        <v>0.4021017256446062</v>
      </c>
      <c r="AF698" s="6" t="n">
        <v>0.853160139305549</v>
      </c>
      <c r="AG698" s="6" t="n">
        <v>0.03679211103481904</v>
      </c>
      <c r="AH698" s="6" t="n">
        <v>1.355258892805395</v>
      </c>
      <c r="AI698" s="6" t="n">
        <v>-0.3976459456733965</v>
      </c>
      <c r="AJ698" s="6" t="n">
        <v>62.76809755142804</v>
      </c>
      <c r="AK698" s="6" t="n">
        <v>0.1242896782939608</v>
      </c>
      <c r="AL698" s="6" t="n">
        <v>1.108062398279923</v>
      </c>
      <c r="AN698" s="6" t="n">
        <v>1.324987176978598</v>
      </c>
      <c r="AO698" s="6" t="n">
        <v>1.325928721831959</v>
      </c>
      <c r="AP698" s="6" t="n">
        <v>0.128426100970719</v>
      </c>
      <c r="AQ698" s="6" t="n">
        <v>0</v>
      </c>
      <c r="AR698" s="6" t="n">
        <v>0</v>
      </c>
    </row>
    <row r="699">
      <c r="D699" t="inlineStr">
        <is>
          <t>Run 387</t>
        </is>
      </c>
      <c r="J699" s="6" t="n">
        <v>-3.528263710644479</v>
      </c>
      <c r="K699" s="6" t="n">
        <v>2.174262854129047</v>
      </c>
      <c r="L699" s="6" t="n">
        <v>0.9362306699251917</v>
      </c>
      <c r="M699" s="6" t="n">
        <v>-2.797566738836436</v>
      </c>
      <c r="N699" s="6" t="n">
        <v>0.5838914901284709</v>
      </c>
      <c r="O699" s="6" t="n">
        <v>-1.889096738794473</v>
      </c>
      <c r="P699" s="6" t="n">
        <v>3.653137942248589</v>
      </c>
      <c r="Q699" s="6" t="n">
        <v>-3.604528740249445</v>
      </c>
      <c r="R699" s="6" t="n">
        <v>-1.140945086662535</v>
      </c>
      <c r="S699" s="6" t="n">
        <v>0.9876258317954266</v>
      </c>
      <c r="T699" s="6" t="n">
        <v>-1.619591709191791</v>
      </c>
      <c r="U699" s="6" t="n">
        <v>0.5613404609237885</v>
      </c>
      <c r="V699" s="6" t="n">
        <v>0.7348740898760012</v>
      </c>
      <c r="W699" s="6" t="n">
        <v>-2.220791175856789</v>
      </c>
      <c r="X699" s="6" t="n">
        <v>-0.1741102502876898</v>
      </c>
      <c r="Y699" s="6" t="n">
        <v>1.732739880105216</v>
      </c>
      <c r="Z699" s="6" t="n">
        <v>1.878192038290363</v>
      </c>
      <c r="AA699" s="6" t="n">
        <v>0.3894776811215947</v>
      </c>
      <c r="AB699" s="6" t="n">
        <v>-1.088676950104629</v>
      </c>
      <c r="AC699" s="6" t="n">
        <v>-1.482129028963921</v>
      </c>
      <c r="AD699" s="6" t="n">
        <v>0.9348333205675974</v>
      </c>
      <c r="AE699" s="6" t="n">
        <v>-0.0686241318408371</v>
      </c>
      <c r="AF699" s="6" t="n">
        <v>3.97720407633987</v>
      </c>
      <c r="AG699" s="6" t="n">
        <v>-0.6754402967029336</v>
      </c>
      <c r="AH699" s="6" t="n">
        <v>-0.07552563928968783</v>
      </c>
      <c r="AI699" s="6" t="n">
        <v>-0.02887261304346839</v>
      </c>
      <c r="AJ699" s="6" t="n">
        <v>79.79126330683285</v>
      </c>
      <c r="AK699" s="6" t="n">
        <v>0.09924469992881167</v>
      </c>
      <c r="AL699" s="6" t="n">
        <v>1.034260756853022</v>
      </c>
      <c r="AN699" s="6" t="n">
        <v>1.329812754974888</v>
      </c>
      <c r="AO699" s="6" t="n">
        <v>1.340613741391399</v>
      </c>
      <c r="AP699" s="6" t="n">
        <v>0.1345857303558294</v>
      </c>
      <c r="AQ699" s="6" t="n">
        <v>0</v>
      </c>
      <c r="AR699" s="6" t="n">
        <v>0</v>
      </c>
    </row>
    <row r="700">
      <c r="D700" t="inlineStr">
        <is>
          <t>Run 388</t>
        </is>
      </c>
      <c r="J700" s="6" t="n">
        <v>1.306148806279629</v>
      </c>
      <c r="K700" s="6" t="n">
        <v>0.5725360241036593</v>
      </c>
      <c r="L700" s="6" t="n">
        <v>-1.19663215524661</v>
      </c>
      <c r="M700" s="6" t="n">
        <v>0.02541267617637157</v>
      </c>
      <c r="N700" s="6" t="n">
        <v>-2.924416951717564</v>
      </c>
      <c r="O700" s="6" t="n">
        <v>-0.9522041672110076</v>
      </c>
      <c r="P700" s="6" t="n">
        <v>-2.449983037599518</v>
      </c>
      <c r="Q700" s="6" t="n">
        <v>1.916571198515901</v>
      </c>
      <c r="R700" s="6" t="n">
        <v>0.7855502398551986</v>
      </c>
      <c r="S700" s="6" t="n">
        <v>-0.5243340955638991</v>
      </c>
      <c r="T700" s="6" t="n">
        <v>-3.432656302566305</v>
      </c>
      <c r="U700" s="6" t="n">
        <v>-2.532336997591264</v>
      </c>
      <c r="V700" s="6" t="n">
        <v>0.6937988352492591</v>
      </c>
      <c r="W700" s="6" t="n">
        <v>2.220406665032447</v>
      </c>
      <c r="X700" s="6" t="n">
        <v>1.384066983383854</v>
      </c>
      <c r="Y700" s="6" t="n">
        <v>0.7887538692340993</v>
      </c>
      <c r="Z700" s="6" t="n">
        <v>-0.02512013822428454</v>
      </c>
      <c r="AA700" s="6" t="n">
        <v>1.210468270866023</v>
      </c>
      <c r="AB700" s="6" t="n">
        <v>3.009237133821395</v>
      </c>
      <c r="AC700" s="6" t="n">
        <v>-1.301663759502765</v>
      </c>
      <c r="AD700" s="6" t="n">
        <v>-2.5081764912969</v>
      </c>
      <c r="AE700" s="6" t="n">
        <v>0.02238050118898469</v>
      </c>
      <c r="AF700" s="6" t="n">
        <v>0.4816474633040767</v>
      </c>
      <c r="AG700" s="6" t="n">
        <v>-1.509900462364255</v>
      </c>
      <c r="AH700" s="6" t="n">
        <v>1.213878337206151</v>
      </c>
      <c r="AI700" s="6" t="n">
        <v>0.09547778541253588</v>
      </c>
      <c r="AJ700" s="6" t="n">
        <v>69.32808796239533</v>
      </c>
      <c r="AK700" s="6" t="n">
        <v>0.191867647781944</v>
      </c>
      <c r="AL700" s="6" t="n">
        <v>1.006498431499796</v>
      </c>
      <c r="AN700" s="6" t="n">
        <v>1.351316693235238</v>
      </c>
      <c r="AO700" s="6" t="n">
        <v>1.351316693235238</v>
      </c>
      <c r="AP700" s="6" t="n">
        <v>0.1358374061757021</v>
      </c>
      <c r="AQ700" s="6" t="n">
        <v>0</v>
      </c>
      <c r="AR700" s="6" t="n">
        <v>0</v>
      </c>
    </row>
    <row r="701">
      <c r="D701" t="inlineStr">
        <is>
          <t>Run 389</t>
        </is>
      </c>
      <c r="J701" s="6" t="n">
        <v>0.8888003280638036</v>
      </c>
      <c r="K701" s="6" t="n">
        <v>0.9704556850222398</v>
      </c>
      <c r="L701" s="6" t="n">
        <v>0.04513173927460764</v>
      </c>
      <c r="M701" s="6" t="n">
        <v>-2.461118735250444</v>
      </c>
      <c r="N701" s="6" t="n">
        <v>1.203516961406309</v>
      </c>
      <c r="O701" s="6" t="n">
        <v>-0.5894804314786273</v>
      </c>
      <c r="P701" s="6" t="n">
        <v>-1.32130526938676</v>
      </c>
      <c r="Q701" s="6" t="n">
        <v>1.45819413637545</v>
      </c>
      <c r="R701" s="6" t="n">
        <v>-0.3144315099830969</v>
      </c>
      <c r="S701" s="6" t="n">
        <v>-0.0575617513297517</v>
      </c>
      <c r="T701" s="6" t="n">
        <v>3.717926088368648</v>
      </c>
      <c r="U701" s="6" t="n">
        <v>-0.6012590737053576</v>
      </c>
      <c r="V701" s="6" t="n">
        <v>0.6933887600924712</v>
      </c>
      <c r="W701" s="6" t="n">
        <v>-1.273094285396539</v>
      </c>
      <c r="X701" s="6" t="n">
        <v>2.993518758582376</v>
      </c>
      <c r="Y701" s="6" t="n">
        <v>3.459192422116447</v>
      </c>
      <c r="Z701" s="6" t="n">
        <v>-2.547029693386135</v>
      </c>
      <c r="AA701" s="6" t="n">
        <v>-2.940141817069787</v>
      </c>
      <c r="AB701" s="6" t="n">
        <v>1.507343252321687</v>
      </c>
      <c r="AC701" s="6" t="n">
        <v>0.815086655565839</v>
      </c>
      <c r="AD701" s="6" t="n">
        <v>-0.8847740439253574</v>
      </c>
      <c r="AE701" s="6" t="n">
        <v>0.7727831708339622</v>
      </c>
      <c r="AF701" s="6" t="n">
        <v>-2.208566205168429</v>
      </c>
      <c r="AG701" s="6" t="n">
        <v>0.370859317870088</v>
      </c>
      <c r="AH701" s="6" t="n">
        <v>0.3321158337060736</v>
      </c>
      <c r="AI701" s="6" t="n">
        <v>2.758813419664712</v>
      </c>
      <c r="AJ701" s="6" t="n">
        <v>70.72128423284126</v>
      </c>
      <c r="AK701" s="6" t="n">
        <v>0.139898053424267</v>
      </c>
      <c r="AL701" s="6" t="n">
        <v>1.081821319788479</v>
      </c>
      <c r="AN701" s="6" t="n">
        <v>1.314874675157127</v>
      </c>
      <c r="AO701" s="6" t="n">
        <v>1.322760084429406</v>
      </c>
      <c r="AP701" s="6" t="n">
        <v>0.1295532480834817</v>
      </c>
      <c r="AQ701" s="6" t="n">
        <v>0</v>
      </c>
      <c r="AR701" s="6" t="n">
        <v>0</v>
      </c>
    </row>
    <row r="702">
      <c r="D702" t="inlineStr">
        <is>
          <t>Run 390</t>
        </is>
      </c>
      <c r="J702" s="6" t="n">
        <v>0.2184221507348134</v>
      </c>
      <c r="K702" s="6" t="n">
        <v>2.007872993305902</v>
      </c>
      <c r="L702" s="6" t="n">
        <v>-2.652554358080609</v>
      </c>
      <c r="M702" s="6" t="n">
        <v>3.382268334316608</v>
      </c>
      <c r="N702" s="6" t="n">
        <v>-0.5825262447380763</v>
      </c>
      <c r="O702" s="6" t="n">
        <v>1.402745855578356</v>
      </c>
      <c r="P702" s="6" t="n">
        <v>-0.6941008658738638</v>
      </c>
      <c r="Q702" s="6" t="n">
        <v>-0.834104193485534</v>
      </c>
      <c r="R702" s="6" t="n">
        <v>-5.131253537392032</v>
      </c>
      <c r="S702" s="6" t="n">
        <v>0.7010025143004348</v>
      </c>
      <c r="T702" s="6" t="n">
        <v>1.898925116580773</v>
      </c>
      <c r="U702" s="6" t="n">
        <v>1.794127719671069</v>
      </c>
      <c r="V702" s="6" t="n">
        <v>3.991094652978168</v>
      </c>
      <c r="W702" s="6" t="n">
        <v>0.8067189778159466</v>
      </c>
      <c r="X702" s="6" t="n">
        <v>1.127891123083051</v>
      </c>
      <c r="Y702" s="6" t="n">
        <v>2.024263809222653</v>
      </c>
      <c r="Z702" s="6" t="n">
        <v>-0.18302381485674</v>
      </c>
      <c r="AA702" s="6" t="n">
        <v>2.892941518518517</v>
      </c>
      <c r="AB702" s="6" t="n">
        <v>-0.6783626559085916</v>
      </c>
      <c r="AC702" s="6" t="n">
        <v>-4.135668166873096</v>
      </c>
      <c r="AD702" s="6" t="n">
        <v>4.173167998510635</v>
      </c>
      <c r="AE702" s="6" t="n">
        <v>0.226574628076308</v>
      </c>
      <c r="AF702" s="6" t="n">
        <v>-1.343663030166374</v>
      </c>
      <c r="AG702" s="6" t="n">
        <v>-2.599110215515147</v>
      </c>
      <c r="AH702" s="6" t="n">
        <v>-1.241580807150013</v>
      </c>
      <c r="AI702" s="6" t="n">
        <v>1.035102960645605</v>
      </c>
      <c r="AJ702" s="6" t="n">
        <v>75.6446205074717</v>
      </c>
      <c r="AK702" s="6" t="n">
        <v>0.1444386728027725</v>
      </c>
      <c r="AL702" s="6" t="n">
        <v>1.021209252056544</v>
      </c>
      <c r="AN702" s="6" t="n">
        <v>1.353249643625514</v>
      </c>
      <c r="AO702" s="6" t="n">
        <v>1.353640946713112</v>
      </c>
      <c r="AP702" s="6" t="n">
        <v>0.1349505519669411</v>
      </c>
      <c r="AQ702" s="6" t="n">
        <v>0</v>
      </c>
      <c r="AR702" s="6" t="n">
        <v>0</v>
      </c>
    </row>
    <row r="703">
      <c r="D703" t="inlineStr">
        <is>
          <t>Run 391</t>
        </is>
      </c>
      <c r="J703" s="6" t="n">
        <v>0.6207133209436747</v>
      </c>
      <c r="K703" s="6" t="n">
        <v>1.531537734604275</v>
      </c>
      <c r="L703" s="6" t="n">
        <v>-0.7295469055737306</v>
      </c>
      <c r="M703" s="6" t="n">
        <v>2.213529239792209</v>
      </c>
      <c r="N703" s="6" t="n">
        <v>-1.521809566394239</v>
      </c>
      <c r="O703" s="6" t="n">
        <v>-3.778487793019757</v>
      </c>
      <c r="P703" s="6" t="n">
        <v>-1.226156974697305</v>
      </c>
      <c r="Q703" s="6" t="n">
        <v>-0.1624125787690967</v>
      </c>
      <c r="R703" s="6" t="n">
        <v>2.228305615518333</v>
      </c>
      <c r="S703" s="6" t="n">
        <v>-1.589589100084096</v>
      </c>
      <c r="T703" s="6" t="n">
        <v>-0.9463059642773809</v>
      </c>
      <c r="U703" s="6" t="n">
        <v>1.849497000320332</v>
      </c>
      <c r="V703" s="6" t="n">
        <v>-3.543636699151613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0.4395046991516561</v>
      </c>
      <c r="AA703" s="6" t="n">
        <v>-0.6649772387065733</v>
      </c>
      <c r="AB703" s="6" t="n">
        <v>-1.681736141666682</v>
      </c>
      <c r="AC703" s="6" t="n">
        <v>0.3581796558928605</v>
      </c>
      <c r="AD703" s="6" t="n">
        <v>-3.104422744059904</v>
      </c>
      <c r="AE703" s="6" t="n">
        <v>0.9144328691632708</v>
      </c>
      <c r="AF703" s="6" t="n">
        <v>-1.122778318964875</v>
      </c>
      <c r="AG703" s="6" t="n">
        <v>0.3638153898511493</v>
      </c>
      <c r="AH703" s="6" t="n">
        <v>1.435127392989326</v>
      </c>
      <c r="AI703" s="6" t="n">
        <v>-3.159682136865855</v>
      </c>
      <c r="AJ703" s="6" t="n">
        <v>66.01021686281172</v>
      </c>
      <c r="AK703" s="6" t="n">
        <v>0.1158491356612073</v>
      </c>
      <c r="AL703" s="6" t="n">
        <v>1.059078059999071</v>
      </c>
      <c r="AN703" s="6" t="n">
        <v>1.336661091765522</v>
      </c>
      <c r="AO703" s="6" t="n">
        <v>1.340143754779297</v>
      </c>
      <c r="AP703" s="6" t="n">
        <v>0.1312710057188891</v>
      </c>
      <c r="AQ703" s="6" t="n">
        <v>0</v>
      </c>
      <c r="AR703" s="6" t="n">
        <v>0</v>
      </c>
    </row>
    <row r="704">
      <c r="D704" t="inlineStr">
        <is>
          <t>Run 392</t>
        </is>
      </c>
      <c r="J704" s="6" t="n">
        <v>0.07267292156232752</v>
      </c>
      <c r="K704" s="6" t="n">
        <v>-2.065545583214391</v>
      </c>
      <c r="L704" s="6" t="n">
        <v>-2.786352833873097</v>
      </c>
      <c r="M704" s="6" t="n">
        <v>-3.037737928734628</v>
      </c>
      <c r="N704" s="6" t="n">
        <v>-1.102145391952891</v>
      </c>
      <c r="O704" s="6" t="n">
        <v>1.47625700788811</v>
      </c>
      <c r="P704" s="6" t="n">
        <v>-0.8065832785127838</v>
      </c>
      <c r="Q704" s="6" t="n">
        <v>-0.8218498134601199</v>
      </c>
      <c r="R704" s="6" t="n">
        <v>5</v>
      </c>
      <c r="S704" s="6" t="n">
        <v>-2.89909015185181</v>
      </c>
      <c r="T704" s="6" t="n">
        <v>0.3626743539054427</v>
      </c>
      <c r="U704" s="6" t="n">
        <v>3.86558628430865</v>
      </c>
      <c r="V704" s="6" t="n">
        <v>1.942165100451315</v>
      </c>
      <c r="W704" s="6" t="n">
        <v>0.5064700317959577</v>
      </c>
      <c r="X704" s="6" t="n">
        <v>-2.22928123847052</v>
      </c>
      <c r="Y704" s="6" t="n">
        <v>1.298511600800715</v>
      </c>
      <c r="Z704" s="6" t="n">
        <v>-3.917522993820521</v>
      </c>
      <c r="AA704" s="6" t="n">
        <v>-1.110039827399933</v>
      </c>
      <c r="AB704" s="6" t="n">
        <v>-1.670869196579102</v>
      </c>
      <c r="AC704" s="6" t="n">
        <v>0.1233479333088642</v>
      </c>
      <c r="AD704" s="6" t="n">
        <v>-1.189287960551604</v>
      </c>
      <c r="AE704" s="6" t="n">
        <v>0.3703056146567184</v>
      </c>
      <c r="AF704" s="6" t="n">
        <v>-0.5019255302063135</v>
      </c>
      <c r="AG704" s="6" t="n">
        <v>-1.989330991448406</v>
      </c>
      <c r="AH704" s="6" t="n">
        <v>-0.05081508464293012</v>
      </c>
      <c r="AI704" s="6" t="n">
        <v>-1.701062116258943</v>
      </c>
      <c r="AJ704" s="6" t="n">
        <v>79.31345351664289</v>
      </c>
      <c r="AK704" s="6" t="n">
        <v>0.07661633608401813</v>
      </c>
      <c r="AL704" s="6" t="n">
        <v>1.065740674205616</v>
      </c>
      <c r="AN704" s="6" t="n">
        <v>1.316992650019825</v>
      </c>
      <c r="AO704" s="6" t="n">
        <v>1.324487823499071</v>
      </c>
      <c r="AP704" s="6" t="n">
        <v>0.1324992523811462</v>
      </c>
      <c r="AQ704" s="6" t="n">
        <v>0</v>
      </c>
      <c r="AR704" s="6" t="n">
        <v>0</v>
      </c>
    </row>
    <row r="705">
      <c r="D705" t="inlineStr">
        <is>
          <t>Run 393</t>
        </is>
      </c>
      <c r="J705" s="6" t="n">
        <v>-2.404425037652727</v>
      </c>
      <c r="K705" s="6" t="n">
        <v>-0.3966200506725284</v>
      </c>
      <c r="L705" s="6" t="n">
        <v>1.404628025837618</v>
      </c>
      <c r="M705" s="6" t="n">
        <v>-0.02715143765477394</v>
      </c>
      <c r="N705" s="6" t="n">
        <v>-1.142425368737857</v>
      </c>
      <c r="O705" s="6" t="n">
        <v>-2.784438521199749</v>
      </c>
      <c r="P705" s="6" t="n">
        <v>1.195244498000698</v>
      </c>
      <c r="Q705" s="6" t="n">
        <v>0.8847253437128628</v>
      </c>
      <c r="R705" s="6" t="n">
        <v>-1.989404545669417</v>
      </c>
      <c r="S705" s="6" t="n">
        <v>-0.3891108046996729</v>
      </c>
      <c r="T705" s="6" t="n">
        <v>-0.1384727201810879</v>
      </c>
      <c r="U705" s="6" t="n">
        <v>0.2044152030252132</v>
      </c>
      <c r="V705" s="6" t="n">
        <v>3.847695877553558</v>
      </c>
      <c r="W705" s="6" t="n">
        <v>-3.199219895786161</v>
      </c>
      <c r="X705" s="6" t="n">
        <v>0.07079547866502413</v>
      </c>
      <c r="Y705" s="6" t="n">
        <v>-1.407211501412063</v>
      </c>
      <c r="Z705" s="6" t="n">
        <v>-2.202203065169619</v>
      </c>
      <c r="AA705" s="6" t="n">
        <v>3.195934634533812</v>
      </c>
      <c r="AB705" s="6" t="n">
        <v>1.090416882175617</v>
      </c>
      <c r="AC705" s="6" t="n">
        <v>3.317019181363322</v>
      </c>
      <c r="AD705" s="6" t="n">
        <v>-0.1658615893347211</v>
      </c>
      <c r="AE705" s="6" t="n">
        <v>-0.2467762070302226</v>
      </c>
      <c r="AF705" s="6" t="n">
        <v>2.44753537516032</v>
      </c>
      <c r="AG705" s="6" t="n">
        <v>-0.4739531624937992</v>
      </c>
      <c r="AH705" s="6" t="n">
        <v>-0.2565116802996842</v>
      </c>
      <c r="AI705" s="6" t="n">
        <v>2.533936539828287</v>
      </c>
      <c r="AJ705" s="6" t="n">
        <v>78.73725881995175</v>
      </c>
      <c r="AK705" s="6" t="n">
        <v>0.05145511525103121</v>
      </c>
      <c r="AL705" s="6" t="n">
        <v>1.050746480137031</v>
      </c>
      <c r="AN705" s="6" t="n">
        <v>1.353548923711087</v>
      </c>
      <c r="AO705" s="6" t="n">
        <v>1.35363307270903</v>
      </c>
      <c r="AP705" s="6" t="n">
        <v>0.1347325271393376</v>
      </c>
      <c r="AQ705" s="6" t="n">
        <v>0</v>
      </c>
      <c r="AR705" s="6" t="n">
        <v>0</v>
      </c>
    </row>
    <row r="706">
      <c r="D706" t="inlineStr">
        <is>
          <t>Run 394</t>
        </is>
      </c>
      <c r="J706" s="6" t="n">
        <v>-2.07942116024626</v>
      </c>
      <c r="K706" s="6" t="n">
        <v>-2.102521577187001</v>
      </c>
      <c r="L706" s="6" t="n">
        <v>1.427690420742252</v>
      </c>
      <c r="M706" s="6" t="n">
        <v>-0.6322490580030667</v>
      </c>
      <c r="N706" s="6" t="n">
        <v>2.133384437245323</v>
      </c>
      <c r="O706" s="6" t="n">
        <v>-0.06862304097106904</v>
      </c>
      <c r="P706" s="6" t="n">
        <v>-2.580870572228702</v>
      </c>
      <c r="Q706" s="6" t="n">
        <v>-0.8782684430476617</v>
      </c>
      <c r="R706" s="6" t="n">
        <v>4.487796241154979</v>
      </c>
      <c r="S706" s="6" t="n">
        <v>-0.8360097550009455</v>
      </c>
      <c r="T706" s="6" t="n">
        <v>0.362826905501899</v>
      </c>
      <c r="U706" s="6" t="n">
        <v>-3.007961141912685</v>
      </c>
      <c r="V706" s="6" t="n">
        <v>0.561979347809401</v>
      </c>
      <c r="W706" s="6" t="n">
        <v>1.126045582232278</v>
      </c>
      <c r="X706" s="6" t="n">
        <v>-2.260792859693081</v>
      </c>
      <c r="Y706" s="6" t="n">
        <v>1.98497269356327</v>
      </c>
      <c r="Z706" s="6" t="n">
        <v>1.074841426181445</v>
      </c>
      <c r="AA706" s="6" t="n">
        <v>-1.502140195956197</v>
      </c>
      <c r="AB706" s="6" t="n">
        <v>-0.1735114121597884</v>
      </c>
      <c r="AC706" s="6" t="n">
        <v>3.600626100735242</v>
      </c>
      <c r="AD706" s="6" t="n">
        <v>2.328793435197507</v>
      </c>
      <c r="AE706" s="6" t="n">
        <v>1.079812696930449</v>
      </c>
      <c r="AF706" s="6" t="n">
        <v>-0.2088801735734118</v>
      </c>
      <c r="AG706" s="6" t="n">
        <v>-1.331240202909141</v>
      </c>
      <c r="AH706" s="6" t="n">
        <v>2.340700281058021</v>
      </c>
      <c r="AI706" s="6" t="n">
        <v>-0.7763902861094422</v>
      </c>
      <c r="AJ706" s="6" t="n">
        <v>67.28387682045393</v>
      </c>
      <c r="AK706" s="6" t="n">
        <v>0.1803712932007279</v>
      </c>
      <c r="AL706" s="6" t="n">
        <v>1.078084976361566</v>
      </c>
      <c r="AN706" s="6" t="n">
        <v>1.328269488439247</v>
      </c>
      <c r="AO706" s="6" t="n">
        <v>1.328798501022521</v>
      </c>
      <c r="AP706" s="6" t="n">
        <v>0.1288216000715476</v>
      </c>
      <c r="AQ706" s="6" t="n">
        <v>0</v>
      </c>
      <c r="AR706" s="6" t="n">
        <v>0</v>
      </c>
    </row>
    <row r="707">
      <c r="D707" t="inlineStr">
        <is>
          <t>Run 395</t>
        </is>
      </c>
      <c r="J707" s="6" t="n">
        <v>-3.333822643316121</v>
      </c>
      <c r="K707" s="6" t="n">
        <v>-0.6782121288760793</v>
      </c>
      <c r="L707" s="6" t="n">
        <v>0.8675147163585274</v>
      </c>
      <c r="M707" s="6" t="n">
        <v>0.2643839573369927</v>
      </c>
      <c r="N707" s="6" t="n">
        <v>-2.016290138858587</v>
      </c>
      <c r="O707" s="6" t="n">
        <v>0.2262634873121831</v>
      </c>
      <c r="P707" s="6" t="n">
        <v>1.423070471271113</v>
      </c>
      <c r="Q707" s="6" t="n">
        <v>-0.7519702126640422</v>
      </c>
      <c r="R707" s="6" t="n">
        <v>0.9288724627056589</v>
      </c>
      <c r="S707" s="6" t="n">
        <v>-0.2649917195967714</v>
      </c>
      <c r="T707" s="6" t="n">
        <v>-2.578938413239431</v>
      </c>
      <c r="U707" s="6" t="n">
        <v>1.717995003072107</v>
      </c>
      <c r="V707" s="6" t="n">
        <v>-0.3051330547776277</v>
      </c>
      <c r="W707" s="6" t="n">
        <v>-4.218799446326706</v>
      </c>
      <c r="X707" s="6" t="n">
        <v>-4.222091421434567</v>
      </c>
      <c r="Y707" s="6" t="n">
        <v>1.682207154027077</v>
      </c>
      <c r="Z707" s="6" t="n">
        <v>-2.508966793474837</v>
      </c>
      <c r="AA707" s="6" t="n">
        <v>2.230717761262655</v>
      </c>
      <c r="AB707" s="6" t="n">
        <v>-3.41859070495266</v>
      </c>
      <c r="AC707" s="6" t="n">
        <v>-2.738517475588022</v>
      </c>
      <c r="AD707" s="6" t="n">
        <v>2.99786030620994</v>
      </c>
      <c r="AE707" s="6" t="n">
        <v>-2.534945141370585</v>
      </c>
      <c r="AF707" s="6" t="n">
        <v>1.307095622711017</v>
      </c>
      <c r="AG707" s="6" t="n">
        <v>1.541927897699097</v>
      </c>
      <c r="AH707" s="6" t="n">
        <v>2.735887135371943</v>
      </c>
      <c r="AI707" s="6" t="n">
        <v>-1.163521996737767</v>
      </c>
      <c r="AJ707" s="6" t="n">
        <v>74.46891800584253</v>
      </c>
      <c r="AK707" s="6" t="n">
        <v>0.1450820287673237</v>
      </c>
      <c r="AL707" s="6" t="n">
        <v>1.050540057902724</v>
      </c>
      <c r="AN707" s="6" t="n">
        <v>1.345402274157879</v>
      </c>
      <c r="AO707" s="6" t="n">
        <v>1.345859055542092</v>
      </c>
      <c r="AP707" s="6" t="n">
        <v>0.1320296087158606</v>
      </c>
      <c r="AQ707" s="6" t="n">
        <v>0</v>
      </c>
      <c r="AR707" s="6" t="n">
        <v>0</v>
      </c>
    </row>
    <row r="708">
      <c r="D708" t="inlineStr">
        <is>
          <t>Run 396</t>
        </is>
      </c>
      <c r="J708" s="6" t="n">
        <v>-1.225500999146668</v>
      </c>
      <c r="K708" s="6" t="n">
        <v>-0.6793631381626293</v>
      </c>
      <c r="L708" s="6" t="n">
        <v>0.6955606793540631</v>
      </c>
      <c r="M708" s="6" t="n">
        <v>0.5763771461819356</v>
      </c>
      <c r="N708" s="6" t="n">
        <v>-2.631362451818412</v>
      </c>
      <c r="O708" s="6" t="n">
        <v>-0.1612187020925428</v>
      </c>
      <c r="P708" s="6" t="n">
        <v>-0.7450940600628334</v>
      </c>
      <c r="Q708" s="6" t="n">
        <v>-1.726225046086598</v>
      </c>
      <c r="R708" s="6" t="n">
        <v>-0.5126640518579104</v>
      </c>
      <c r="S708" s="6" t="n">
        <v>-0.5666295971041476</v>
      </c>
      <c r="T708" s="6" t="n">
        <v>1.992481320163597</v>
      </c>
      <c r="U708" s="6" t="n">
        <v>5</v>
      </c>
      <c r="V708" s="6" t="n">
        <v>-2.684536323979592</v>
      </c>
      <c r="W708" s="6" t="n">
        <v>-1.063893650865432</v>
      </c>
      <c r="X708" s="6" t="n">
        <v>3.726263907054027</v>
      </c>
      <c r="Y708" s="6" t="n">
        <v>-2.835800889854211</v>
      </c>
      <c r="Z708" s="6" t="n">
        <v>-4.08794467168372</v>
      </c>
      <c r="AA708" s="6" t="n">
        <v>1.518562664737002</v>
      </c>
      <c r="AB708" s="6" t="n">
        <v>1.16928171855453</v>
      </c>
      <c r="AC708" s="6" t="n">
        <v>5</v>
      </c>
      <c r="AD708" s="6" t="n">
        <v>-0.3937454654363075</v>
      </c>
      <c r="AE708" s="6" t="n">
        <v>-2.704314294717621</v>
      </c>
      <c r="AF708" s="6" t="n">
        <v>-0.08337670034385991</v>
      </c>
      <c r="AG708" s="6" t="n">
        <v>-1.180178775293363</v>
      </c>
      <c r="AH708" s="6" t="n">
        <v>0.7802942134493913</v>
      </c>
      <c r="AI708" s="6" t="n">
        <v>-1.054098749900005</v>
      </c>
      <c r="AJ708" s="6" t="n">
        <v>60.23739644578138</v>
      </c>
      <c r="AK708" s="6" t="n">
        <v>0.09789465631613423</v>
      </c>
      <c r="AL708" s="6" t="n">
        <v>1.053934909885386</v>
      </c>
      <c r="AN708" s="6" t="n">
        <v>1.341317123359077</v>
      </c>
      <c r="AO708" s="6" t="n">
        <v>1.341536752165699</v>
      </c>
      <c r="AP708" s="6" t="n">
        <v>0.1315174407976218</v>
      </c>
      <c r="AQ708" s="6" t="n">
        <v>0</v>
      </c>
      <c r="AR708" s="6" t="n">
        <v>0</v>
      </c>
    </row>
    <row r="709">
      <c r="D709" t="inlineStr">
        <is>
          <t>Run 397</t>
        </is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-0.8708083247594254</v>
      </c>
      <c r="N709" s="6" t="n">
        <v>-0.4691882053134618</v>
      </c>
      <c r="O709" s="6" t="n">
        <v>4.447062840136147</v>
      </c>
      <c r="P709" s="6" t="n">
        <v>0.0206865973162681</v>
      </c>
      <c r="Q709" s="6" t="n">
        <v>-1.696845053350952</v>
      </c>
      <c r="R709" s="6" t="n">
        <v>0.7747123023469584</v>
      </c>
      <c r="S709" s="6" t="n">
        <v>3.761683315271346</v>
      </c>
      <c r="T709" s="6" t="n">
        <v>-1.407084739487946</v>
      </c>
      <c r="U709" s="6" t="n">
        <v>1.42089501108349</v>
      </c>
      <c r="V709" s="6" t="n">
        <v>1.138950667178458</v>
      </c>
      <c r="W709" s="6" t="n">
        <v>4.52572545675828</v>
      </c>
      <c r="X709" s="6" t="n">
        <v>-0.07113401072179575</v>
      </c>
      <c r="Y709" s="6" t="n">
        <v>-0.7640537568874081</v>
      </c>
      <c r="Z709" s="6" t="n">
        <v>0.3111622506859727</v>
      </c>
      <c r="AA709" s="6" t="n">
        <v>-2.987650228808163</v>
      </c>
      <c r="AB709" s="6" t="n">
        <v>-3.274524531461999</v>
      </c>
      <c r="AC709" s="6" t="n">
        <v>-0.5130823166085577</v>
      </c>
      <c r="AD709" s="6" t="n">
        <v>-1.626130894107455</v>
      </c>
      <c r="AE709" s="6" t="n">
        <v>0.7187819958545977</v>
      </c>
      <c r="AF709" s="6" t="n">
        <v>1.952895957201478</v>
      </c>
      <c r="AG709" s="6" t="n">
        <v>3.326094644283311</v>
      </c>
      <c r="AH709" s="6" t="n">
        <v>1.952116314758604</v>
      </c>
      <c r="AI709" s="6" t="n">
        <v>-0.9431234308832094</v>
      </c>
      <c r="AJ709" s="6" t="n">
        <v>64.49164276555297</v>
      </c>
      <c r="AK709" s="6" t="n">
        <v>0.07477612019393326</v>
      </c>
      <c r="AL709" s="6" t="n">
        <v>1.05204399421697</v>
      </c>
      <c r="AN709" s="6" t="n">
        <v>1.333978935848148</v>
      </c>
      <c r="AO709" s="6" t="n">
        <v>1.333978935848148</v>
      </c>
      <c r="AP709" s="6" t="n">
        <v>0.1323955572912797</v>
      </c>
      <c r="AQ709" s="6" t="n">
        <v>0</v>
      </c>
      <c r="AR709" s="6" t="n">
        <v>0</v>
      </c>
    </row>
    <row r="710">
      <c r="D710" t="inlineStr">
        <is>
          <t>Run 398</t>
        </is>
      </c>
      <c r="J710" s="6" t="n">
        <v>-3.735224016103363</v>
      </c>
      <c r="K710" s="6" t="n">
        <v>-1.118777147795661</v>
      </c>
      <c r="L710" s="6" t="n">
        <v>-3.089426997857086</v>
      </c>
      <c r="M710" s="6" t="n">
        <v>-0.58882937909623</v>
      </c>
      <c r="N710" s="6" t="n">
        <v>1.842494471975107</v>
      </c>
      <c r="O710" s="6" t="n">
        <v>3.540739369520185</v>
      </c>
      <c r="P710" s="6" t="n">
        <v>1.261150890433099</v>
      </c>
      <c r="Q710" s="6" t="n">
        <v>1.230040187576698</v>
      </c>
      <c r="R710" s="6" t="n">
        <v>-2.577898986596097</v>
      </c>
      <c r="S710" s="6" t="n">
        <v>1.721047995391939</v>
      </c>
      <c r="T710" s="6" t="n">
        <v>-0.3995797331582489</v>
      </c>
      <c r="U710" s="6" t="n">
        <v>-0.4318182061229542</v>
      </c>
      <c r="V710" s="6" t="n">
        <v>-0.5857136710038454</v>
      </c>
      <c r="W710" s="6" t="n">
        <v>-2.695448978825768</v>
      </c>
      <c r="X710" s="6" t="n">
        <v>5</v>
      </c>
      <c r="Y710" s="6" t="n">
        <v>-2.029686246099121</v>
      </c>
      <c r="Z710" s="6" t="n">
        <v>3.955856028519193</v>
      </c>
      <c r="AA710" s="6" t="n">
        <v>4.036088862525776</v>
      </c>
      <c r="AB710" s="6" t="n">
        <v>-4.60802007698873</v>
      </c>
      <c r="AC710" s="6" t="n">
        <v>2.032101007094492</v>
      </c>
      <c r="AD710" s="6" t="n">
        <v>-0.1989094496524193</v>
      </c>
      <c r="AE710" s="6" t="n">
        <v>-4.04799495888079</v>
      </c>
      <c r="AF710" s="6" t="n">
        <v>-2.563793849913913</v>
      </c>
      <c r="AG710" s="6" t="n">
        <v>-1.014988065220287</v>
      </c>
      <c r="AH710" s="6" t="n">
        <v>-1.62773870094361</v>
      </c>
      <c r="AI710" s="6" t="n">
        <v>-1.225526675380562</v>
      </c>
      <c r="AJ710" s="6" t="n">
        <v>69.45477334214222</v>
      </c>
      <c r="AK710" s="6" t="n">
        <v>0.1362035276612137</v>
      </c>
      <c r="AL710" s="6" t="n">
        <v>1.071774536508953</v>
      </c>
      <c r="AN710" s="6" t="n">
        <v>1.334854299214536</v>
      </c>
      <c r="AO710" s="6" t="n">
        <v>1.335080486005181</v>
      </c>
      <c r="AP710" s="6" t="n">
        <v>0.130550482090149</v>
      </c>
      <c r="AQ710" s="6" t="n">
        <v>0</v>
      </c>
      <c r="AR710" s="6" t="n">
        <v>0</v>
      </c>
    </row>
    <row r="711">
      <c r="D711" t="inlineStr">
        <is>
          <t>Run 399</t>
        </is>
      </c>
      <c r="J711" s="6" t="n">
        <v>1.701117896484103</v>
      </c>
      <c r="K711" s="6" t="n">
        <v>0.8809430941491886</v>
      </c>
      <c r="L711" s="6" t="n">
        <v>-1.415425211345988</v>
      </c>
      <c r="M711" s="6" t="n">
        <v>1.911843135894076</v>
      </c>
      <c r="N711" s="6" t="n">
        <v>-4.614279787459768</v>
      </c>
      <c r="O711" s="6" t="n">
        <v>1.256127081786396</v>
      </c>
      <c r="P711" s="6" t="n">
        <v>1.240895319732764</v>
      </c>
      <c r="Q711" s="6" t="n">
        <v>4.450305867189377</v>
      </c>
      <c r="R711" s="6" t="n">
        <v>-0.5404936199167319</v>
      </c>
      <c r="S711" s="6" t="n">
        <v>0.0202393789096663</v>
      </c>
      <c r="T711" s="6" t="n">
        <v>1.405634435442794</v>
      </c>
      <c r="U711" s="6" t="n">
        <v>-2.015185724190464</v>
      </c>
      <c r="V711" s="6" t="n">
        <v>-2.063623389122689</v>
      </c>
      <c r="W711" s="6" t="n">
        <v>-2.633833462385139</v>
      </c>
      <c r="X711" s="6" t="n">
        <v>-2.753085071911183</v>
      </c>
      <c r="Y711" s="6" t="n">
        <v>-0.3122535419346936</v>
      </c>
      <c r="Z711" s="6" t="n">
        <v>-0.4980541119433171</v>
      </c>
      <c r="AA711" s="6" t="n">
        <v>-0.4640624779227858</v>
      </c>
      <c r="AB711" s="6" t="n">
        <v>3.09858899215191</v>
      </c>
      <c r="AC711" s="6" t="n">
        <v>0.0006826685440196113</v>
      </c>
      <c r="AD711" s="6" t="n">
        <v>2.288481980862557</v>
      </c>
      <c r="AE711" s="6" t="n">
        <v>0.9857622841860025</v>
      </c>
      <c r="AF711" s="6" t="n">
        <v>-1.56195052117923</v>
      </c>
      <c r="AG711" s="6" t="n">
        <v>0.3601806457066103</v>
      </c>
      <c r="AH711" s="6" t="n">
        <v>1.69047755086717</v>
      </c>
      <c r="AI711" s="6" t="n">
        <v>0.3502526221863428</v>
      </c>
      <c r="AJ711" s="6" t="n">
        <v>61.35316516445012</v>
      </c>
      <c r="AK711" s="6" t="n">
        <v>0.1055335716944967</v>
      </c>
      <c r="AL711" s="6" t="n">
        <v>1.069875844479508</v>
      </c>
      <c r="AN711" s="6" t="n">
        <v>1.334483923694686</v>
      </c>
      <c r="AO711" s="6" t="n">
        <v>1.335347980962333</v>
      </c>
      <c r="AP711" s="6" t="n">
        <v>0.1305687780856247</v>
      </c>
      <c r="AQ711" s="6" t="n">
        <v>0</v>
      </c>
      <c r="AR711" s="6" t="n">
        <v>0</v>
      </c>
    </row>
    <row r="712">
      <c r="D712" t="inlineStr">
        <is>
          <t>Run 400</t>
        </is>
      </c>
      <c r="J712" s="6" t="n">
        <v>0.7878800680342157</v>
      </c>
      <c r="K712" s="6" t="n">
        <v>1.878912052222303</v>
      </c>
      <c r="L712" s="6" t="n">
        <v>-0.9062229729667332</v>
      </c>
      <c r="M712" s="6" t="n">
        <v>0.07552586179513977</v>
      </c>
      <c r="N712" s="6" t="n">
        <v>0.6129392467469262</v>
      </c>
      <c r="O712" s="6" t="n">
        <v>1.886689732085365</v>
      </c>
      <c r="P712" s="6" t="n">
        <v>-1.589155713869183</v>
      </c>
      <c r="Q712" s="6" t="n">
        <v>-3.980931988592755</v>
      </c>
      <c r="R712" s="6" t="n">
        <v>-3.865337732534974</v>
      </c>
      <c r="S712" s="6" t="n">
        <v>-1.506452657928387</v>
      </c>
      <c r="T712" s="6" t="n">
        <v>-0.1188950400334959</v>
      </c>
      <c r="U712" s="6" t="n">
        <v>-0.9910889937019037</v>
      </c>
      <c r="V712" s="6" t="n">
        <v>1.233236853390173</v>
      </c>
      <c r="W712" s="6" t="n">
        <v>0.6257876267316177</v>
      </c>
      <c r="X712" s="6" t="n">
        <v>-0.9513133449273724</v>
      </c>
      <c r="Y712" s="6" t="n">
        <v>0.42917734326354</v>
      </c>
      <c r="Z712" s="6" t="n">
        <v>1.494588762501373</v>
      </c>
      <c r="AA712" s="6" t="n">
        <v>-1.174009148959244</v>
      </c>
      <c r="AB712" s="6" t="n">
        <v>0.5654982717204117</v>
      </c>
      <c r="AC712" s="6" t="n">
        <v>-0.8473290435101507</v>
      </c>
      <c r="AD712" s="6" t="n">
        <v>2.617915798656588</v>
      </c>
      <c r="AE712" s="6" t="n">
        <v>-0.3193844995240529</v>
      </c>
      <c r="AF712" s="6" t="n">
        <v>-2.406109446780448</v>
      </c>
      <c r="AG712" s="6" t="n">
        <v>1.629731287468563</v>
      </c>
      <c r="AH712" s="6" t="n">
        <v>0.1579173709785053</v>
      </c>
      <c r="AI712" s="6" t="n">
        <v>0.2815860903215452</v>
      </c>
      <c r="AJ712" s="6" t="n">
        <v>77.86733216562261</v>
      </c>
      <c r="AK712" s="6" t="n">
        <v>0.1872989266187194</v>
      </c>
      <c r="AL712" s="6" t="n">
        <v>1.061569908605743</v>
      </c>
      <c r="AN712" s="6" t="n">
        <v>1.335031870063265</v>
      </c>
      <c r="AO712" s="6" t="n">
        <v>1.335315228544554</v>
      </c>
      <c r="AP712" s="6" t="n">
        <v>0.1296342068152593</v>
      </c>
      <c r="AQ712" s="6" t="n">
        <v>0</v>
      </c>
      <c r="AR712" s="6" t="n">
        <v>0</v>
      </c>
    </row>
    <row r="713">
      <c r="D713" t="inlineStr">
        <is>
          <t>Run 401</t>
        </is>
      </c>
      <c r="J713" s="6" t="n">
        <v>2.926696167357493</v>
      </c>
      <c r="K713" s="6" t="n">
        <v>0.3279126047042017</v>
      </c>
      <c r="L713" s="6" t="n">
        <v>5</v>
      </c>
      <c r="M713" s="6" t="n">
        <v>-0.438089550913164</v>
      </c>
      <c r="N713" s="6" t="n">
        <v>0.04149621033585796</v>
      </c>
      <c r="O713" s="6" t="n">
        <v>-2.549915336020413</v>
      </c>
      <c r="P713" s="6" t="n">
        <v>2.672645757788206</v>
      </c>
      <c r="Q713" s="6" t="n">
        <v>0.6600083814791751</v>
      </c>
      <c r="R713" s="6" t="n">
        <v>2.243128689578984</v>
      </c>
      <c r="S713" s="6" t="n">
        <v>-1.325866814626415</v>
      </c>
      <c r="T713" s="6" t="n">
        <v>1.667293803922169</v>
      </c>
      <c r="U713" s="6" t="n">
        <v>3.650280547709775</v>
      </c>
      <c r="V713" s="6" t="n">
        <v>-0.6217523371959219</v>
      </c>
      <c r="W713" s="6" t="n">
        <v>-2.036710599743485</v>
      </c>
      <c r="X713" s="6" t="n">
        <v>-2.582253996435286</v>
      </c>
      <c r="Y713" s="6" t="n">
        <v>4.161337038165797</v>
      </c>
      <c r="Z713" s="6" t="n">
        <v>2.560791426003372</v>
      </c>
      <c r="AA713" s="6" t="n">
        <v>-0.652128701782774</v>
      </c>
      <c r="AB713" s="6" t="n">
        <v>2.317253230495037</v>
      </c>
      <c r="AC713" s="6" t="n">
        <v>0.1006711054680989</v>
      </c>
      <c r="AD713" s="6" t="n">
        <v>-0.1286706697515114</v>
      </c>
      <c r="AE713" s="6" t="n">
        <v>-0.2987855835382511</v>
      </c>
      <c r="AF713" s="6" t="n">
        <v>0.1850142607146106</v>
      </c>
      <c r="AG713" s="6" t="n">
        <v>0.8071905055192702</v>
      </c>
      <c r="AH713" s="6" t="n">
        <v>-0.2567045666642297</v>
      </c>
      <c r="AI713" s="6" t="n">
        <v>-0.4019242566975579</v>
      </c>
      <c r="AJ713" s="6" t="n">
        <v>64.81511272450231</v>
      </c>
      <c r="AK713" s="6" t="n">
        <v>0.1146094852069627</v>
      </c>
      <c r="AL713" s="6" t="n">
        <v>1.067558477009689</v>
      </c>
      <c r="AN713" s="6" t="n">
        <v>1.338789975898494</v>
      </c>
      <c r="AO713" s="6" t="n">
        <v>1.339956352052891</v>
      </c>
      <c r="AP713" s="6" t="n">
        <v>0.1308613745331854</v>
      </c>
      <c r="AQ713" s="6" t="n">
        <v>0</v>
      </c>
      <c r="AR713" s="6" t="n">
        <v>0</v>
      </c>
    </row>
    <row r="714">
      <c r="D714" t="inlineStr">
        <is>
          <t>Run 402</t>
        </is>
      </c>
      <c r="J714" s="6" t="n">
        <v>-0.3841612708487926</v>
      </c>
      <c r="K714" s="6" t="n">
        <v>-1.430351577493956</v>
      </c>
      <c r="L714" s="6" t="n">
        <v>-1.122770246492426</v>
      </c>
      <c r="M714" s="6" t="n">
        <v>-0.4773855711993138</v>
      </c>
      <c r="N714" s="6" t="n">
        <v>-2.084563700789271</v>
      </c>
      <c r="O714" s="6" t="n">
        <v>-0.618273273646853</v>
      </c>
      <c r="P714" s="6" t="n">
        <v>-1.830778682572263</v>
      </c>
      <c r="Q714" s="6" t="n">
        <v>3.208887732409997</v>
      </c>
      <c r="R714" s="6" t="n">
        <v>1.318058037903801</v>
      </c>
      <c r="S714" s="6" t="n">
        <v>0.9092338019615297</v>
      </c>
      <c r="T714" s="6" t="n">
        <v>0.9217569223183113</v>
      </c>
      <c r="U714" s="6" t="n">
        <v>0.201574754830655</v>
      </c>
      <c r="V714" s="6" t="n">
        <v>-1.068004820904804</v>
      </c>
      <c r="W714" s="6" t="n">
        <v>0.7237578782843422</v>
      </c>
      <c r="X714" s="6" t="n">
        <v>0.4147079325859992</v>
      </c>
      <c r="Y714" s="6" t="n">
        <v>-0.2422015707708041</v>
      </c>
      <c r="Z714" s="6" t="n">
        <v>-2.266032946669855</v>
      </c>
      <c r="AA714" s="6" t="n">
        <v>-4.732785637162067</v>
      </c>
      <c r="AB714" s="6" t="n">
        <v>0.4937954659834214</v>
      </c>
      <c r="AC714" s="6" t="n">
        <v>1.01499686813758</v>
      </c>
      <c r="AD714" s="6" t="n">
        <v>1.760726582824965</v>
      </c>
      <c r="AE714" s="6" t="n">
        <v>1.269447774664537</v>
      </c>
      <c r="AF714" s="6" t="n">
        <v>1.660068837901848</v>
      </c>
      <c r="AG714" s="6" t="n">
        <v>4.741830870759946</v>
      </c>
      <c r="AH714" s="6" t="n">
        <v>-3.202460381002068</v>
      </c>
      <c r="AI714" s="6" t="n">
        <v>-2.944638294780898</v>
      </c>
      <c r="AJ714" s="6" t="n">
        <v>73.34632943664863</v>
      </c>
      <c r="AK714" s="6" t="n">
        <v>0.1046439166869791</v>
      </c>
      <c r="AL714" s="6" t="n">
        <v>1.06852020168459</v>
      </c>
      <c r="AN714" s="6" t="n">
        <v>1.344322560161506</v>
      </c>
      <c r="AO714" s="6" t="n">
        <v>1.344544562559259</v>
      </c>
      <c r="AP714" s="6" t="n">
        <v>0.1316488791846029</v>
      </c>
      <c r="AQ714" s="6" t="n">
        <v>0</v>
      </c>
      <c r="AR714" s="6" t="n">
        <v>0</v>
      </c>
    </row>
    <row r="715">
      <c r="D715" t="inlineStr">
        <is>
          <t>Run 403</t>
        </is>
      </c>
      <c r="J715" s="6" t="n">
        <v>-0.2088847460865119</v>
      </c>
      <c r="K715" s="6" t="n">
        <v>1.0083634628339</v>
      </c>
      <c r="L715" s="6" t="n">
        <v>-0.1502543805624503</v>
      </c>
      <c r="M715" s="6" t="n">
        <v>1.581163166303666</v>
      </c>
      <c r="N715" s="6" t="n">
        <v>0.1112488275282514</v>
      </c>
      <c r="O715" s="6" t="n">
        <v>-0.1911375260008087</v>
      </c>
      <c r="P715" s="6" t="n">
        <v>2.806421790918265</v>
      </c>
      <c r="Q715" s="6" t="n">
        <v>0.2583054388828274</v>
      </c>
      <c r="R715" s="6" t="n">
        <v>-1.133466553668674</v>
      </c>
      <c r="S715" s="6" t="n">
        <v>1.739304572031841</v>
      </c>
      <c r="T715" s="6" t="n">
        <v>-2.53342315415874</v>
      </c>
      <c r="U715" s="6" t="n">
        <v>1.398730257592625</v>
      </c>
      <c r="V715" s="6" t="n">
        <v>-2.373494980339319</v>
      </c>
      <c r="W715" s="6" t="n">
        <v>-3.033104703319196</v>
      </c>
      <c r="X715" s="6" t="n">
        <v>1.172628696003088</v>
      </c>
      <c r="Y715" s="6" t="n">
        <v>-1.04310218918591</v>
      </c>
      <c r="Z715" s="6" t="n">
        <v>-1.051071115485281</v>
      </c>
      <c r="AA715" s="6" t="n">
        <v>0.9567529444727874</v>
      </c>
      <c r="AB715" s="6" t="n">
        <v>-0.5732792988673511</v>
      </c>
      <c r="AC715" s="6" t="n">
        <v>1.861096218705433</v>
      </c>
      <c r="AD715" s="6" t="n">
        <v>-1.195660215165458</v>
      </c>
      <c r="AE715" s="6" t="n">
        <v>0.3553428108629842</v>
      </c>
      <c r="AF715" s="6" t="n">
        <v>-1.952369892497369</v>
      </c>
      <c r="AG715" s="6" t="n">
        <v>4.395020510439645</v>
      </c>
      <c r="AH715" s="6" t="n">
        <v>-0.06477200479045785</v>
      </c>
      <c r="AI715" s="6" t="n">
        <v>0.5103749880027809</v>
      </c>
      <c r="AJ715" s="6" t="n">
        <v>74.52685165876704</v>
      </c>
      <c r="AK715" s="6" t="n">
        <v>0.1439079488781473</v>
      </c>
      <c r="AL715" s="6" t="n">
        <v>1.036634949465876</v>
      </c>
      <c r="AN715" s="6" t="n">
        <v>1.350336148432165</v>
      </c>
      <c r="AO715" s="6" t="n">
        <v>1.35069686888231</v>
      </c>
      <c r="AP715" s="6" t="n">
        <v>0.1333615269275712</v>
      </c>
      <c r="AQ715" s="6" t="n">
        <v>0</v>
      </c>
      <c r="AR715" s="6" t="n">
        <v>0</v>
      </c>
    </row>
    <row r="716">
      <c r="D716" t="inlineStr">
        <is>
          <t>Run 404</t>
        </is>
      </c>
      <c r="J716" s="6" t="n">
        <v>-0.6022909616078292</v>
      </c>
      <c r="K716" s="6" t="n">
        <v>-0.521599344780084</v>
      </c>
      <c r="L716" s="6" t="n">
        <v>-0.4867308754980629</v>
      </c>
      <c r="M716" s="6" t="n">
        <v>0.9292476581916389</v>
      </c>
      <c r="N716" s="6" t="n">
        <v>-3.54230153762646</v>
      </c>
      <c r="O716" s="6" t="n">
        <v>1.504948382019174</v>
      </c>
      <c r="P716" s="6" t="n">
        <v>3.463518811689683</v>
      </c>
      <c r="Q716" s="6" t="n">
        <v>0.2240618172547112</v>
      </c>
      <c r="R716" s="6" t="n">
        <v>1.21472002685661</v>
      </c>
      <c r="S716" s="6" t="n">
        <v>-3.587617069121836</v>
      </c>
      <c r="T716" s="6" t="n">
        <v>-0.1240631262799398</v>
      </c>
      <c r="U716" s="6" t="n">
        <v>-0.784169791355441</v>
      </c>
      <c r="V716" s="6" t="n">
        <v>-0.3296502080991087</v>
      </c>
      <c r="W716" s="6" t="n">
        <v>0.2896535164517839</v>
      </c>
      <c r="X716" s="6" t="n">
        <v>-0.5290084345721261</v>
      </c>
      <c r="Y716" s="6" t="n">
        <v>-2.822208374897649</v>
      </c>
      <c r="Z716" s="6" t="n">
        <v>3.064508256123238</v>
      </c>
      <c r="AA716" s="6" t="n">
        <v>2.251062930670175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2.185829988985452</v>
      </c>
      <c r="AF716" s="6" t="n">
        <v>0.6483655481297325</v>
      </c>
      <c r="AG716" s="6" t="n">
        <v>2.815132072806569</v>
      </c>
      <c r="AH716" s="6" t="n">
        <v>-0.7086665984723203</v>
      </c>
      <c r="AI716" s="6" t="n">
        <v>0.1997618660120657</v>
      </c>
      <c r="AJ716" s="6" t="n">
        <v>68.12418665731518</v>
      </c>
      <c r="AK716" s="6" t="n">
        <v>0.1434475737637168</v>
      </c>
      <c r="AL716" s="6" t="n">
        <v>1.116279055150937</v>
      </c>
      <c r="AN716" s="6" t="n">
        <v>1.318034900181592</v>
      </c>
      <c r="AO716" s="6" t="n">
        <v>1.319000360000746</v>
      </c>
      <c r="AP716" s="6" t="n">
        <v>0.1279236255197378</v>
      </c>
      <c r="AQ716" s="6" t="n">
        <v>0</v>
      </c>
      <c r="AR716" s="6" t="n">
        <v>0</v>
      </c>
    </row>
    <row r="717">
      <c r="D717" t="inlineStr">
        <is>
          <t>Run 405</t>
        </is>
      </c>
      <c r="J717" s="6" t="n">
        <v>2.821246307542468</v>
      </c>
      <c r="K717" s="6" t="n">
        <v>-0.6060380320694418</v>
      </c>
      <c r="L717" s="6" t="n">
        <v>1.679461109255279</v>
      </c>
      <c r="M717" s="6" t="n">
        <v>3.783049148829483</v>
      </c>
      <c r="N717" s="6" t="n">
        <v>0.3806979578066934</v>
      </c>
      <c r="O717" s="6" t="n">
        <v>-0.4601007939473415</v>
      </c>
      <c r="P717" s="6" t="n">
        <v>1.468206310490927</v>
      </c>
      <c r="Q717" s="6" t="n">
        <v>-1.652556375251901</v>
      </c>
      <c r="R717" s="6" t="n">
        <v>2.221559516676034</v>
      </c>
      <c r="S717" s="6" t="n">
        <v>-3.472368049346491</v>
      </c>
      <c r="T717" s="6" t="n">
        <v>-0.4640644350885438</v>
      </c>
      <c r="U717" s="6" t="n">
        <v>-0.9961661061718837</v>
      </c>
      <c r="V717" s="6" t="n">
        <v>0.04830012822214325</v>
      </c>
      <c r="W717" s="6" t="n">
        <v>3.015521050240595</v>
      </c>
      <c r="X717" s="6" t="n">
        <v>0.4307045772333652</v>
      </c>
      <c r="Y717" s="6" t="n">
        <v>1.010523246015423</v>
      </c>
      <c r="Z717" s="6" t="n">
        <v>3.972546880086619</v>
      </c>
      <c r="AA717" s="6" t="n">
        <v>-2.095731309487412</v>
      </c>
      <c r="AB717" s="6" t="n">
        <v>1.430181944386899</v>
      </c>
      <c r="AC717" s="6" t="n">
        <v>-0.7320964805126262</v>
      </c>
      <c r="AD717" s="6" t="n">
        <v>-0.5741281841316349</v>
      </c>
      <c r="AE717" s="6" t="n">
        <v>0.9798596589425107</v>
      </c>
      <c r="AF717" s="6" t="n">
        <v>3.241960097779933</v>
      </c>
      <c r="AG717" s="6" t="n">
        <v>0.05868889371142542</v>
      </c>
      <c r="AH717" s="6" t="n">
        <v>-5.035243150108948</v>
      </c>
      <c r="AI717" s="6" t="n">
        <v>2.60237170671283</v>
      </c>
      <c r="AJ717" s="6" t="n">
        <v>81.430735239463</v>
      </c>
      <c r="AK717" s="6" t="n">
        <v>0.1313564744373201</v>
      </c>
      <c r="AL717" s="6" t="n">
        <v>1.077158843091776</v>
      </c>
      <c r="AN717" s="6" t="n">
        <v>1.338565998128923</v>
      </c>
      <c r="AO717" s="6" t="n">
        <v>1.338860549293333</v>
      </c>
      <c r="AP717" s="6" t="n">
        <v>0.1304388314621773</v>
      </c>
      <c r="AQ717" s="6" t="n">
        <v>0</v>
      </c>
      <c r="AR717" s="6" t="n">
        <v>0</v>
      </c>
    </row>
    <row r="718">
      <c r="D718" t="inlineStr">
        <is>
          <t>Run 406</t>
        </is>
      </c>
      <c r="J718" s="6" t="n">
        <v>3.216557712593009</v>
      </c>
      <c r="K718" s="6" t="n">
        <v>1.480547109550082</v>
      </c>
      <c r="L718" s="6" t="n">
        <v>-1.635564075138193</v>
      </c>
      <c r="M718" s="6" t="n">
        <v>0.3419507473769798</v>
      </c>
      <c r="N718" s="6" t="n">
        <v>0.1870332907568444</v>
      </c>
      <c r="O718" s="6" t="n">
        <v>2.341692776931399</v>
      </c>
      <c r="P718" s="6" t="n">
        <v>-0.03307886453586382</v>
      </c>
      <c r="Q718" s="6" t="n">
        <v>2.276990114743889</v>
      </c>
      <c r="R718" s="6" t="n">
        <v>0.9456738281368153</v>
      </c>
      <c r="S718" s="6" t="n">
        <v>5</v>
      </c>
      <c r="T718" s="6" t="n">
        <v>-1.26962431222526</v>
      </c>
      <c r="U718" s="6" t="n">
        <v>1.529698986254517</v>
      </c>
      <c r="V718" s="6" t="n">
        <v>-1.373773118302378</v>
      </c>
      <c r="W718" s="6" t="n">
        <v>0.2153748539332507</v>
      </c>
      <c r="X718" s="6" t="n">
        <v>0.9969624880830347</v>
      </c>
      <c r="Y718" s="6" t="n">
        <v>3.143549764591067</v>
      </c>
      <c r="Z718" s="6" t="n">
        <v>-0.2663072886464751</v>
      </c>
      <c r="AA718" s="6" t="n">
        <v>-1.297166671548455</v>
      </c>
      <c r="AB718" s="6" t="n">
        <v>0.4641426869428985</v>
      </c>
      <c r="AC718" s="6" t="n">
        <v>0.1679426095857219</v>
      </c>
      <c r="AD718" s="6" t="n">
        <v>1.549570194241627</v>
      </c>
      <c r="AE718" s="6" t="n">
        <v>-1.969818273638155</v>
      </c>
      <c r="AF718" s="6" t="n">
        <v>0.1211559731471777</v>
      </c>
      <c r="AG718" s="6" t="n">
        <v>-3.339763616330767</v>
      </c>
      <c r="AH718" s="6" t="n">
        <v>2.301524173942855</v>
      </c>
      <c r="AI718" s="6" t="n">
        <v>1.236117538659021</v>
      </c>
      <c r="AJ718" s="6" t="n">
        <v>66.74855847896107</v>
      </c>
      <c r="AK718" s="6" t="n">
        <v>0.1498104084150202</v>
      </c>
      <c r="AL718" s="6" t="n">
        <v>1.080785709032432</v>
      </c>
      <c r="AN718" s="6" t="n">
        <v>1.327740021549372</v>
      </c>
      <c r="AO718" s="6" t="n">
        <v>1.327862129761057</v>
      </c>
      <c r="AP718" s="6" t="n">
        <v>0.1293529513708521</v>
      </c>
      <c r="AQ718" s="6" t="n">
        <v>0</v>
      </c>
      <c r="AR718" s="6" t="n">
        <v>0</v>
      </c>
    </row>
    <row r="719">
      <c r="D719" t="inlineStr">
        <is>
          <t>Run 407</t>
        </is>
      </c>
      <c r="J719" s="6" t="n">
        <v>-0.6784840953893101</v>
      </c>
      <c r="K719" s="6" t="n">
        <v>0.1066331294482763</v>
      </c>
      <c r="L719" s="6" t="n">
        <v>0.1108212590708172</v>
      </c>
      <c r="M719" s="6" t="n">
        <v>-2.524295946466085</v>
      </c>
      <c r="N719" s="6" t="n">
        <v>-3.44744031904443</v>
      </c>
      <c r="O719" s="6" t="n">
        <v>-1.040174294233954</v>
      </c>
      <c r="P719" s="6" t="n">
        <v>-1.101486455720713</v>
      </c>
      <c r="Q719" s="6" t="n">
        <v>-1.600800532907954</v>
      </c>
      <c r="R719" s="6" t="n">
        <v>3.749860348472085</v>
      </c>
      <c r="S719" s="6" t="n">
        <v>-1.322095349626452</v>
      </c>
      <c r="T719" s="6" t="n">
        <v>3.243541605371394</v>
      </c>
      <c r="U719" s="6" t="n">
        <v>-0.3645505987084033</v>
      </c>
      <c r="V719" s="6" t="n">
        <v>0.01230105923425525</v>
      </c>
      <c r="W719" s="6" t="n">
        <v>0.7574235062408636</v>
      </c>
      <c r="X719" s="6" t="n">
        <v>0.95692936121662</v>
      </c>
      <c r="Y719" s="6" t="n">
        <v>2.127547265125223</v>
      </c>
      <c r="Z719" s="6" t="n">
        <v>-3.530577725873903</v>
      </c>
      <c r="AA719" s="6" t="n">
        <v>3.003310875238844</v>
      </c>
      <c r="AB719" s="6" t="n">
        <v>2.081775962981202</v>
      </c>
      <c r="AC719" s="6" t="n">
        <v>2.436679133749586</v>
      </c>
      <c r="AD719" s="6" t="n">
        <v>-3.936947777881835</v>
      </c>
      <c r="AE719" s="6" t="n">
        <v>-1.957571887067757</v>
      </c>
      <c r="AF719" s="6" t="n">
        <v>2.716778683040201</v>
      </c>
      <c r="AG719" s="6" t="n">
        <v>0.9406434731685634</v>
      </c>
      <c r="AH719" s="6" t="n">
        <v>-0.2802291429012028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1.055417756145489</v>
      </c>
      <c r="AN719" s="6" t="n">
        <v>1.328562313605081</v>
      </c>
      <c r="AO719" s="6" t="n">
        <v>1.330514893690689</v>
      </c>
      <c r="AP719" s="6" t="n">
        <v>0.1333970926490939</v>
      </c>
      <c r="AQ719" s="6" t="n">
        <v>0</v>
      </c>
      <c r="AR719" s="6" t="n">
        <v>0</v>
      </c>
    </row>
    <row r="720">
      <c r="D720" t="inlineStr">
        <is>
          <t>Run 408</t>
        </is>
      </c>
      <c r="J720" s="6" t="n">
        <v>-0.916744786418983</v>
      </c>
      <c r="K720" s="6" t="n">
        <v>2.511428361750326</v>
      </c>
      <c r="L720" s="6" t="n">
        <v>1.244213778034357</v>
      </c>
      <c r="M720" s="6" t="n">
        <v>-1.42903164109516</v>
      </c>
      <c r="N720" s="6" t="n">
        <v>2.269359692858899</v>
      </c>
      <c r="O720" s="6" t="n">
        <v>-1.466813912401731</v>
      </c>
      <c r="P720" s="6" t="n">
        <v>0.01181857341284661</v>
      </c>
      <c r="Q720" s="6" t="n">
        <v>-1.025338803478131</v>
      </c>
      <c r="R720" s="6" t="n">
        <v>-1.624151855387417</v>
      </c>
      <c r="S720" s="6" t="n">
        <v>4.609134207862827</v>
      </c>
      <c r="T720" s="6" t="n">
        <v>1.714094143081351</v>
      </c>
      <c r="U720" s="6" t="n">
        <v>1.640003654832614</v>
      </c>
      <c r="V720" s="6" t="n">
        <v>-1.412927435973488</v>
      </c>
      <c r="W720" s="6" t="n">
        <v>0.4060447931918066</v>
      </c>
      <c r="X720" s="6" t="n">
        <v>-1.959459376283477</v>
      </c>
      <c r="Y720" s="6" t="n">
        <v>2.958510448411877</v>
      </c>
      <c r="Z720" s="6" t="n">
        <v>0.08873530883973817</v>
      </c>
      <c r="AA720" s="6" t="n">
        <v>-0.2442829533170375</v>
      </c>
      <c r="AB720" s="6" t="n">
        <v>-0.4165079898363408</v>
      </c>
      <c r="AC720" s="6" t="n">
        <v>0.2594292748127897</v>
      </c>
      <c r="AD720" s="6" t="n">
        <v>-0.7697427700491658</v>
      </c>
      <c r="AE720" s="6" t="n">
        <v>-3.572918795354579</v>
      </c>
      <c r="AF720" s="6" t="n">
        <v>1.751381056844099</v>
      </c>
      <c r="AG720" s="6" t="n">
        <v>-0.583930227875159</v>
      </c>
      <c r="AH720" s="6" t="n">
        <v>1.113100106298459</v>
      </c>
      <c r="AI720" s="6" t="n">
        <v>1.246499469614172</v>
      </c>
      <c r="AJ720" s="6" t="n">
        <v>64.91535294388569</v>
      </c>
      <c r="AK720" s="6" t="n">
        <v>0.1809316018510441</v>
      </c>
      <c r="AL720" s="6" t="n">
        <v>1.0688912268388</v>
      </c>
      <c r="AN720" s="6" t="n">
        <v>1.328087783009051</v>
      </c>
      <c r="AO720" s="6" t="n">
        <v>1.330425603036322</v>
      </c>
      <c r="AP720" s="6" t="n">
        <v>0.129086129571663</v>
      </c>
      <c r="AQ720" s="6" t="n">
        <v>0</v>
      </c>
      <c r="AR720" s="6" t="n">
        <v>0</v>
      </c>
    </row>
    <row r="721">
      <c r="D721" t="inlineStr">
        <is>
          <t>Run 409</t>
        </is>
      </c>
      <c r="J721" s="6" t="n">
        <v>-6.834057817499974</v>
      </c>
      <c r="K721" s="6" t="n">
        <v>1.212221382430057</v>
      </c>
      <c r="L721" s="6" t="n">
        <v>-0.8010066906011366</v>
      </c>
      <c r="M721" s="6" t="n">
        <v>-1.588617667307338</v>
      </c>
      <c r="N721" s="6" t="n">
        <v>-0.6864524427916852</v>
      </c>
      <c r="O721" s="6" t="n">
        <v>2.79568524928672</v>
      </c>
      <c r="P721" s="6" t="n">
        <v>2.815309279855687</v>
      </c>
      <c r="Q721" s="6" t="n">
        <v>1.476831710635935</v>
      </c>
      <c r="R721" s="6" t="n">
        <v>-0.004201392151635236</v>
      </c>
      <c r="S721" s="6" t="n">
        <v>0.8637122988735075</v>
      </c>
      <c r="T721" s="6" t="n">
        <v>-0.9718015830271813</v>
      </c>
      <c r="U721" s="6" t="n">
        <v>0.8209230586547398</v>
      </c>
      <c r="V721" s="6" t="n">
        <v>2.245739883017972</v>
      </c>
      <c r="W721" s="6" t="n">
        <v>3.571817788229626</v>
      </c>
      <c r="X721" s="6" t="n">
        <v>-2.157680444888014</v>
      </c>
      <c r="Y721" s="6" t="n">
        <v>0.6894576822024961</v>
      </c>
      <c r="Z721" s="6" t="n">
        <v>-1.843708812900782</v>
      </c>
      <c r="AA721" s="6" t="n">
        <v>-2.637067793065819</v>
      </c>
      <c r="AB721" s="6" t="n">
        <v>1.820180666856106</v>
      </c>
      <c r="AC721" s="6" t="n">
        <v>-0.397469616471792</v>
      </c>
      <c r="AD721" s="6" t="n">
        <v>1.553099613121364</v>
      </c>
      <c r="AE721" s="6" t="n">
        <v>2.289658416574157</v>
      </c>
      <c r="AF721" s="6" t="n">
        <v>-4.140080746399257</v>
      </c>
      <c r="AG721" s="6" t="n">
        <v>0.3856038918216142</v>
      </c>
      <c r="AH721" s="6" t="n">
        <v>-2.697021189318296</v>
      </c>
      <c r="AI721" s="6" t="n">
        <v>-0.1801903076359591</v>
      </c>
      <c r="AJ721" s="6" t="n">
        <v>78.01980503763122</v>
      </c>
      <c r="AK721" s="6" t="n">
        <v>0.09766649882645916</v>
      </c>
      <c r="AL721" s="6" t="n">
        <v>1.059765927060704</v>
      </c>
      <c r="AN721" s="6" t="n">
        <v>1.29806049235414</v>
      </c>
      <c r="AO721" s="6" t="n">
        <v>1.29806049235414</v>
      </c>
      <c r="AP721" s="6" t="n">
        <v>0.1318153688212695</v>
      </c>
      <c r="AQ721" s="6" t="n">
        <v>0</v>
      </c>
      <c r="AR721" s="6" t="n">
        <v>0</v>
      </c>
    </row>
    <row r="722">
      <c r="D722" t="inlineStr">
        <is>
          <t>Run 410</t>
        </is>
      </c>
      <c r="J722" s="6" t="n">
        <v>0.1750666801345353</v>
      </c>
      <c r="K722" s="6" t="n">
        <v>2.430770626708908</v>
      </c>
      <c r="L722" s="6" t="n">
        <v>-1.208971664906793</v>
      </c>
      <c r="M722" s="6" t="n">
        <v>3.465650073475358</v>
      </c>
      <c r="N722" s="6" t="n">
        <v>-1.659085824497083</v>
      </c>
      <c r="O722" s="6" t="n">
        <v>2.812120129075023</v>
      </c>
      <c r="P722" s="6" t="n">
        <v>1.172275217019783</v>
      </c>
      <c r="Q722" s="6" t="n">
        <v>0.3295790258893743</v>
      </c>
      <c r="R722" s="6" t="n">
        <v>0.7102132561435432</v>
      </c>
      <c r="S722" s="6" t="n">
        <v>-0.5535905309453223</v>
      </c>
      <c r="T722" s="6" t="n">
        <v>-0.6887396350061988</v>
      </c>
      <c r="U722" s="6" t="n">
        <v>1.463837985481816</v>
      </c>
      <c r="V722" s="6" t="n">
        <v>2.161332131468546</v>
      </c>
      <c r="W722" s="6" t="n">
        <v>-0.8903495046936123</v>
      </c>
      <c r="X722" s="6" t="n">
        <v>1.43332217615328</v>
      </c>
      <c r="Y722" s="6" t="n">
        <v>3.583123690561974</v>
      </c>
      <c r="Z722" s="6" t="n">
        <v>-1.184278011630615</v>
      </c>
      <c r="AA722" s="6" t="n">
        <v>1.090722726734357</v>
      </c>
      <c r="AB722" s="6" t="n">
        <v>-0.1447429733687142</v>
      </c>
      <c r="AC722" s="6" t="n">
        <v>0.8503918413704949</v>
      </c>
      <c r="AD722" s="6" t="n">
        <v>1.670398594964421</v>
      </c>
      <c r="AE722" s="6" t="n">
        <v>0.3710934266951624</v>
      </c>
      <c r="AF722" s="6" t="n">
        <v>-3.604952078585522</v>
      </c>
      <c r="AG722" s="6" t="n">
        <v>3.866370957979424</v>
      </c>
      <c r="AH722" s="6" t="n">
        <v>0.9412862813866155</v>
      </c>
      <c r="AI722" s="6" t="n">
        <v>-0.8834436518938911</v>
      </c>
      <c r="AJ722" s="6" t="n">
        <v>81.59651838722863</v>
      </c>
      <c r="AK722" s="6" t="n">
        <v>0.1054588839043416</v>
      </c>
      <c r="AL722" s="6" t="n">
        <v>1.020062862019846</v>
      </c>
      <c r="AN722" s="6" t="n">
        <v>1.357718757346612</v>
      </c>
      <c r="AO722" s="6" t="n">
        <v>1.357718757346612</v>
      </c>
      <c r="AP722" s="6" t="n">
        <v>0.1370468189891534</v>
      </c>
      <c r="AQ722" s="6" t="n">
        <v>0</v>
      </c>
      <c r="AR722" s="6" t="n">
        <v>0</v>
      </c>
    </row>
    <row r="723">
      <c r="D723" t="inlineStr">
        <is>
          <t>Run 411</t>
        </is>
      </c>
      <c r="J723" s="6" t="n">
        <v>3.540254317271956</v>
      </c>
      <c r="K723" s="6" t="n">
        <v>-2.710793568816252</v>
      </c>
      <c r="L723" s="6" t="n">
        <v>-1.182196572792817</v>
      </c>
      <c r="M723" s="6" t="n">
        <v>0.7824343967480692</v>
      </c>
      <c r="N723" s="6" t="n">
        <v>-1.706178071146103</v>
      </c>
      <c r="O723" s="6" t="n">
        <v>0.7560727753932366</v>
      </c>
      <c r="P723" s="6" t="n">
        <v>1.225516090442886</v>
      </c>
      <c r="Q723" s="6" t="n">
        <v>-4.243380682465919</v>
      </c>
      <c r="R723" s="6" t="n">
        <v>-1.159827091278041</v>
      </c>
      <c r="S723" s="6" t="n">
        <v>-3.183517609235145</v>
      </c>
      <c r="T723" s="6" t="n">
        <v>1.529402754289451</v>
      </c>
      <c r="U723" s="6" t="n">
        <v>1.692447539031649</v>
      </c>
      <c r="V723" s="6" t="n">
        <v>0.8307257054582002</v>
      </c>
      <c r="W723" s="6" t="n">
        <v>-0.8391113206773083</v>
      </c>
      <c r="X723" s="6" t="n">
        <v>-1.39961518762169</v>
      </c>
      <c r="Y723" s="6" t="n">
        <v>-3.33065786047191</v>
      </c>
      <c r="Z723" s="6" t="n">
        <v>0.6279694129301985</v>
      </c>
      <c r="AA723" s="6" t="n">
        <v>2.425003751846127</v>
      </c>
      <c r="AB723" s="6" t="n">
        <v>4.007150712319883</v>
      </c>
      <c r="AC723" s="6" t="n">
        <v>0.6922178835334444</v>
      </c>
      <c r="AD723" s="6" t="n">
        <v>-0.8070916357657659</v>
      </c>
      <c r="AE723" s="6" t="n">
        <v>-2.776107730905808</v>
      </c>
      <c r="AF723" s="6" t="n">
        <v>0.9704911289003696</v>
      </c>
      <c r="AG723" s="6" t="n">
        <v>0.5833567815657942</v>
      </c>
      <c r="AH723" s="6" t="n">
        <v>2.419774003479376</v>
      </c>
      <c r="AI723" s="6" t="n">
        <v>-3.190312659047379</v>
      </c>
      <c r="AJ723" s="6" t="n">
        <v>66.81122505912279</v>
      </c>
      <c r="AK723" s="6" t="n">
        <v>0.1300871845739264</v>
      </c>
      <c r="AL723" s="6" t="n">
        <v>1.072189148349327</v>
      </c>
      <c r="AN723" s="6" t="n">
        <v>1.334326877881288</v>
      </c>
      <c r="AO723" s="6" t="n">
        <v>1.334797262874231</v>
      </c>
      <c r="AP723" s="6" t="n">
        <v>0.1297945287909932</v>
      </c>
      <c r="AQ723" s="6" t="n">
        <v>0</v>
      </c>
      <c r="AR723" s="6" t="n">
        <v>0</v>
      </c>
    </row>
    <row r="724">
      <c r="D724" t="inlineStr">
        <is>
          <t>Run 412</t>
        </is>
      </c>
      <c r="J724" s="6" t="n">
        <v>3.727502055766019</v>
      </c>
      <c r="K724" s="6" t="n">
        <v>-0.8310408852158332</v>
      </c>
      <c r="L724" s="6" t="n">
        <v>-1.57332250843413</v>
      </c>
      <c r="M724" s="6" t="n">
        <v>1.765675851936104</v>
      </c>
      <c r="N724" s="6" t="n">
        <v>-0.8748330830441252</v>
      </c>
      <c r="O724" s="6" t="n">
        <v>-0.06560214633190969</v>
      </c>
      <c r="P724" s="6" t="n">
        <v>1.286508553449555</v>
      </c>
      <c r="Q724" s="6" t="n">
        <v>-4.840335805617093</v>
      </c>
      <c r="R724" s="6" t="n">
        <v>-1.392445278486448</v>
      </c>
      <c r="S724" s="6" t="n">
        <v>0.9722918492528224</v>
      </c>
      <c r="T724" s="6" t="n">
        <v>-1.952367758932667</v>
      </c>
      <c r="U724" s="6" t="n">
        <v>-3.84558462947595</v>
      </c>
      <c r="V724" s="6" t="n">
        <v>-2.337887809942486</v>
      </c>
      <c r="W724" s="6" t="n">
        <v>0.5128098397918764</v>
      </c>
      <c r="X724" s="6" t="n">
        <v>-0.4831001450376282</v>
      </c>
      <c r="Y724" s="6" t="n">
        <v>-3.080177866600748</v>
      </c>
      <c r="Z724" s="6" t="n">
        <v>2.726177837173489</v>
      </c>
      <c r="AA724" s="6" t="n">
        <v>0.03568665686026094</v>
      </c>
      <c r="AB724" s="6" t="n">
        <v>-1.664212164517272</v>
      </c>
      <c r="AC724" s="6" t="n">
        <v>-0.26079870664469</v>
      </c>
      <c r="AD724" s="6" t="n">
        <v>-1.930071280002002</v>
      </c>
      <c r="AE724" s="6" t="n">
        <v>2.143203338274901</v>
      </c>
      <c r="AF724" s="6" t="n">
        <v>-0.234197328111639</v>
      </c>
      <c r="AG724" s="6" t="n">
        <v>-0.3294437813289664</v>
      </c>
      <c r="AH724" s="6" t="n">
        <v>0.01634588880319148</v>
      </c>
      <c r="AI724" s="6" t="n">
        <v>3.434026953865295</v>
      </c>
      <c r="AJ724" s="6" t="n">
        <v>73.02483909388724</v>
      </c>
      <c r="AK724" s="6" t="n">
        <v>0.1912624593771625</v>
      </c>
      <c r="AL724" s="6" t="n">
        <v>1.038078359341386</v>
      </c>
      <c r="AN724" s="6" t="n">
        <v>1.345583636567982</v>
      </c>
      <c r="AO724" s="6" t="n">
        <v>1.346160212886451</v>
      </c>
      <c r="AP724" s="6" t="n">
        <v>0.1312066106532782</v>
      </c>
      <c r="AQ724" s="6" t="n">
        <v>0</v>
      </c>
      <c r="AR724" s="6" t="n">
        <v>0</v>
      </c>
    </row>
    <row r="725">
      <c r="D725" t="inlineStr">
        <is>
          <t>Run 413</t>
        </is>
      </c>
      <c r="J725" s="6" t="n">
        <v>1.003827973386779</v>
      </c>
      <c r="K725" s="6" t="n">
        <v>0.3162574722824716</v>
      </c>
      <c r="L725" s="6" t="n">
        <v>-1.961098733677687</v>
      </c>
      <c r="M725" s="6" t="n">
        <v>-0.3551604242570569</v>
      </c>
      <c r="N725" s="6" t="n">
        <v>-2.341075707874668</v>
      </c>
      <c r="O725" s="6" t="n">
        <v>-5.627067660719683</v>
      </c>
      <c r="P725" s="6" t="n">
        <v>2.773806037025774</v>
      </c>
      <c r="Q725" s="6" t="n">
        <v>0.6710863847449695</v>
      </c>
      <c r="R725" s="6" t="n">
        <v>0.01343368833598466</v>
      </c>
      <c r="S725" s="6" t="n">
        <v>-0.3496668759157323</v>
      </c>
      <c r="T725" s="6" t="n">
        <v>-4.333282303876024</v>
      </c>
      <c r="U725" s="6" t="n">
        <v>1.803814578253819</v>
      </c>
      <c r="V725" s="6" t="n">
        <v>2.143024129977476</v>
      </c>
      <c r="W725" s="6" t="n">
        <v>0.6249547838929435</v>
      </c>
      <c r="X725" s="6" t="n">
        <v>2.585095232163453</v>
      </c>
      <c r="Y725" s="6" t="n">
        <v>0.05040402210938718</v>
      </c>
      <c r="Z725" s="6" t="n">
        <v>-2.010978924709134</v>
      </c>
      <c r="AA725" s="6" t="n">
        <v>2.094041719088587</v>
      </c>
      <c r="AB725" s="6" t="n">
        <v>-0.9273914282623654</v>
      </c>
      <c r="AC725" s="6" t="n">
        <v>1.059520033450126</v>
      </c>
      <c r="AD725" s="6" t="n">
        <v>-2.119929766916628</v>
      </c>
      <c r="AE725" s="6" t="n">
        <v>3.59376247002775</v>
      </c>
      <c r="AF725" s="6" t="n">
        <v>1.179912664456696</v>
      </c>
      <c r="AG725" s="6" t="n">
        <v>0.9640996034782232</v>
      </c>
      <c r="AH725" s="6" t="n">
        <v>-5.317873076721252</v>
      </c>
      <c r="AI725" s="6" t="n">
        <v>-3.082718750289288</v>
      </c>
      <c r="AJ725" s="6" t="n">
        <v>82.56075841811666</v>
      </c>
      <c r="AK725" s="6" t="n">
        <v>0.1346159550410601</v>
      </c>
      <c r="AL725" s="6" t="n">
        <v>1.032295044915341</v>
      </c>
      <c r="AN725" s="6" t="n">
        <v>1.325331002714004</v>
      </c>
      <c r="AO725" s="6" t="n">
        <v>1.338466432765005</v>
      </c>
      <c r="AP725" s="6" t="n">
        <v>0.1346407448505251</v>
      </c>
      <c r="AQ725" s="6" t="n">
        <v>0</v>
      </c>
      <c r="AR725" s="6" t="n">
        <v>0</v>
      </c>
    </row>
    <row r="726">
      <c r="D726" t="inlineStr">
        <is>
          <t>Run 414</t>
        </is>
      </c>
      <c r="J726" s="6" t="n">
        <v>-0.6209111524219527</v>
      </c>
      <c r="K726" s="6" t="n">
        <v>0.4864655789862146</v>
      </c>
      <c r="L726" s="6" t="n">
        <v>0.9070780605972043</v>
      </c>
      <c r="M726" s="6" t="n">
        <v>-1.291343253052291</v>
      </c>
      <c r="N726" s="6" t="n">
        <v>0.3473135672140634</v>
      </c>
      <c r="O726" s="6" t="n">
        <v>-0.3831300223054282</v>
      </c>
      <c r="P726" s="6" t="n">
        <v>-0.2556339844993414</v>
      </c>
      <c r="Q726" s="6" t="n">
        <v>-4.738247518262613</v>
      </c>
      <c r="R726" s="6" t="n">
        <v>-3.754101256546829</v>
      </c>
      <c r="S726" s="6" t="n">
        <v>1.164063042635106</v>
      </c>
      <c r="T726" s="6" t="n">
        <v>-0.1510174785682724</v>
      </c>
      <c r="U726" s="6" t="n">
        <v>0.4923214672134489</v>
      </c>
      <c r="V726" s="6" t="n">
        <v>-1.430636593033915</v>
      </c>
      <c r="W726" s="6" t="n">
        <v>0.2256395337299125</v>
      </c>
      <c r="X726" s="6" t="n">
        <v>0.4328314904923565</v>
      </c>
      <c r="Y726" s="6" t="n">
        <v>-1.365993758016183</v>
      </c>
      <c r="Z726" s="6" t="n">
        <v>2.341415975154869</v>
      </c>
      <c r="AA726" s="6" t="n">
        <v>1.224533800351846</v>
      </c>
      <c r="AB726" s="6" t="n">
        <v>0.949430114533848</v>
      </c>
      <c r="AC726" s="6" t="n">
        <v>0.7890984667812875</v>
      </c>
      <c r="AD726" s="6" t="n">
        <v>3.378017146941833</v>
      </c>
      <c r="AE726" s="6" t="n">
        <v>-2.385476791030131</v>
      </c>
      <c r="AF726" s="6" t="n">
        <v>1.552879388747657</v>
      </c>
      <c r="AG726" s="6" t="n">
        <v>0.920542162766296</v>
      </c>
      <c r="AH726" s="6" t="n">
        <v>0.4551233760034585</v>
      </c>
      <c r="AI726" s="6" t="n">
        <v>-1.148305582439741</v>
      </c>
      <c r="AJ726" s="6" t="n">
        <v>71.50999633142339</v>
      </c>
      <c r="AK726" s="6" t="n">
        <v>0.18481721224844</v>
      </c>
      <c r="AL726" s="6" t="n">
        <v>1.101045876685912</v>
      </c>
      <c r="AN726" s="6" t="n">
        <v>1.321518127618858</v>
      </c>
      <c r="AO726" s="6" t="n">
        <v>1.322427907896608</v>
      </c>
      <c r="AP726" s="6" t="n">
        <v>0.1269500640431913</v>
      </c>
      <c r="AQ726" s="6" t="n">
        <v>0</v>
      </c>
      <c r="AR726" s="6" t="n">
        <v>0</v>
      </c>
    </row>
    <row r="727">
      <c r="D727" t="inlineStr">
        <is>
          <t>Run 415</t>
        </is>
      </c>
      <c r="J727" s="6" t="n">
        <v>1.809721372987157</v>
      </c>
      <c r="K727" s="6" t="n">
        <v>0.2107497560739683</v>
      </c>
      <c r="L727" s="6" t="n">
        <v>-4.202740900843394</v>
      </c>
      <c r="M727" s="6" t="n">
        <v>1.612968794538777</v>
      </c>
      <c r="N727" s="6" t="n">
        <v>-0.7557396897747198</v>
      </c>
      <c r="O727" s="6" t="n">
        <v>2.900607466291425</v>
      </c>
      <c r="P727" s="6" t="n">
        <v>-0.5265725102994809</v>
      </c>
      <c r="Q727" s="6" t="n">
        <v>1.574991503893867</v>
      </c>
      <c r="R727" s="6" t="n">
        <v>-0.2007204087754003</v>
      </c>
      <c r="S727" s="6" t="n">
        <v>-1.698575039262921</v>
      </c>
      <c r="T727" s="6" t="n">
        <v>-1.78840181719969</v>
      </c>
      <c r="U727" s="6" t="n">
        <v>1.515269180339324</v>
      </c>
      <c r="V727" s="6" t="n">
        <v>-1.358389246922362</v>
      </c>
      <c r="W727" s="6" t="n">
        <v>-1.41310045382853</v>
      </c>
      <c r="X727" s="6" t="n">
        <v>-0.7408755990596113</v>
      </c>
      <c r="Y727" s="6" t="n">
        <v>0.6574453125634957</v>
      </c>
      <c r="Z727" s="6" t="n">
        <v>-0.2011951605983608</v>
      </c>
      <c r="AA727" s="6" t="n">
        <v>2.705610936104024</v>
      </c>
      <c r="AB727" s="6" t="n">
        <v>-0.9198946053069758</v>
      </c>
      <c r="AC727" s="6" t="n">
        <v>2.572747212757932</v>
      </c>
      <c r="AD727" s="6" t="n">
        <v>-0.3200204010324608</v>
      </c>
      <c r="AE727" s="6" t="n">
        <v>-0.7669098399094137</v>
      </c>
      <c r="AF727" s="6" t="n">
        <v>-0.9215028753709023</v>
      </c>
      <c r="AG727" s="6" t="n">
        <v>-1.604320654259232</v>
      </c>
      <c r="AH727" s="6" t="n">
        <v>-3.319995240788407</v>
      </c>
      <c r="AI727" s="6" t="n">
        <v>-2.887484894993964</v>
      </c>
      <c r="AJ727" s="6" t="n">
        <v>74.64965875846943</v>
      </c>
      <c r="AK727" s="6" t="n">
        <v>0.1068383985677626</v>
      </c>
      <c r="AL727" s="6" t="n">
        <v>1.019091763681385</v>
      </c>
      <c r="AN727" s="6" t="n">
        <v>1.353716552694285</v>
      </c>
      <c r="AO727" s="6" t="n">
        <v>1.353716552694285</v>
      </c>
      <c r="AP727" s="6" t="n">
        <v>0.1364647274354363</v>
      </c>
      <c r="AQ727" s="6" t="n">
        <v>0</v>
      </c>
      <c r="AR727" s="6" t="n">
        <v>0</v>
      </c>
    </row>
    <row r="728">
      <c r="D728" t="inlineStr">
        <is>
          <t>Run 416</t>
        </is>
      </c>
      <c r="J728" s="6" t="n">
        <v>0.6057046524129978</v>
      </c>
      <c r="K728" s="6" t="n">
        <v>-1.958390355553262</v>
      </c>
      <c r="L728" s="6" t="n">
        <v>-1.055985826433139</v>
      </c>
      <c r="M728" s="6" t="n">
        <v>5</v>
      </c>
      <c r="N728" s="6" t="n">
        <v>-1.158845929141242</v>
      </c>
      <c r="O728" s="6" t="n">
        <v>1.141573858836843</v>
      </c>
      <c r="P728" s="6" t="n">
        <v>-1.722038157257603</v>
      </c>
      <c r="Q728" s="6" t="n">
        <v>-0.7956915927839993</v>
      </c>
      <c r="R728" s="6" t="n">
        <v>1.515366956738312</v>
      </c>
      <c r="S728" s="6" t="n">
        <v>-0.03078297199821368</v>
      </c>
      <c r="T728" s="6" t="n">
        <v>2.245688123887448</v>
      </c>
      <c r="U728" s="6" t="n">
        <v>-0.153861875974682</v>
      </c>
      <c r="V728" s="6" t="n">
        <v>-1.445010803692629</v>
      </c>
      <c r="W728" s="6" t="n">
        <v>2.691502197415983</v>
      </c>
      <c r="X728" s="6" t="n">
        <v>-2.447897177145386</v>
      </c>
      <c r="Y728" s="6" t="n">
        <v>-0.9819555827949059</v>
      </c>
      <c r="Z728" s="6" t="n">
        <v>-1.444243281532278</v>
      </c>
      <c r="AA728" s="6" t="n">
        <v>1.266976296186899</v>
      </c>
      <c r="AB728" s="6" t="n">
        <v>0.2550055969230446</v>
      </c>
      <c r="AC728" s="6" t="n">
        <v>2.494610154546666</v>
      </c>
      <c r="AD728" s="6" t="n">
        <v>0.0419507798441663</v>
      </c>
      <c r="AE728" s="6" t="n">
        <v>2.135133007697108</v>
      </c>
      <c r="AF728" s="6" t="n">
        <v>3.115220339136366</v>
      </c>
      <c r="AG728" s="6" t="n">
        <v>-1.569403987225165</v>
      </c>
      <c r="AH728" s="6" t="n">
        <v>-0.3368645272056706</v>
      </c>
      <c r="AI728" s="6" t="n">
        <v>1.567496692982386</v>
      </c>
      <c r="AJ728" s="6" t="n">
        <v>69.30355637654269</v>
      </c>
      <c r="AK728" s="6" t="n">
        <v>0.1134686583430501</v>
      </c>
      <c r="AL728" s="6" t="n">
        <v>1.014400174042438</v>
      </c>
      <c r="AN728" s="6" t="n">
        <v>1.351175831466053</v>
      </c>
      <c r="AO728" s="6" t="n">
        <v>1.351175831466053</v>
      </c>
      <c r="AP728" s="6" t="n">
        <v>0.1361659613503237</v>
      </c>
      <c r="AQ728" s="6" t="n">
        <v>0</v>
      </c>
      <c r="AR728" s="6" t="n">
        <v>0</v>
      </c>
    </row>
    <row r="729">
      <c r="D729" t="inlineStr">
        <is>
          <t>Run 417</t>
        </is>
      </c>
      <c r="J729" s="6" t="n">
        <v>3.51361305086747</v>
      </c>
      <c r="K729" s="6" t="n">
        <v>2.382056139333899</v>
      </c>
      <c r="L729" s="6" t="n">
        <v>0.8522964725902951</v>
      </c>
      <c r="M729" s="6" t="n">
        <v>1.178970494039102</v>
      </c>
      <c r="N729" s="6" t="n">
        <v>2.730892893031122</v>
      </c>
      <c r="O729" s="6" t="n">
        <v>1.89058474649072</v>
      </c>
      <c r="P729" s="6" t="n">
        <v>0.5854196604805815</v>
      </c>
      <c r="Q729" s="6" t="n">
        <v>-1.247948032353051</v>
      </c>
      <c r="R729" s="6" t="n">
        <v>-0.8008875217203368</v>
      </c>
      <c r="S729" s="6" t="n">
        <v>1.482366948497385</v>
      </c>
      <c r="T729" s="6" t="n">
        <v>0.6052331881604123</v>
      </c>
      <c r="U729" s="6" t="n">
        <v>-1.490842751406255</v>
      </c>
      <c r="V729" s="6" t="n">
        <v>-0.3813055257981547</v>
      </c>
      <c r="W729" s="6" t="n">
        <v>2.437558894613607</v>
      </c>
      <c r="X729" s="6" t="n">
        <v>2.154361096539395</v>
      </c>
      <c r="Y729" s="6" t="n">
        <v>-0.3738275682132393</v>
      </c>
      <c r="Z729" s="6" t="n">
        <v>0.2950358985919053</v>
      </c>
      <c r="AA729" s="6" t="n">
        <v>-2.01028461978534</v>
      </c>
      <c r="AB729" s="6" t="n">
        <v>-0.5294335067447274</v>
      </c>
      <c r="AC729" s="6" t="n">
        <v>-1.153461865462219</v>
      </c>
      <c r="AD729" s="6" t="n">
        <v>-0.3484541402765988</v>
      </c>
      <c r="AE729" s="6" t="n">
        <v>4.206104132730666</v>
      </c>
      <c r="AF729" s="6" t="n">
        <v>-2.471261867702893</v>
      </c>
      <c r="AG729" s="6" t="n">
        <v>-2.527779900154913</v>
      </c>
      <c r="AH729" s="6" t="n">
        <v>-0.09261849700585396</v>
      </c>
      <c r="AI729" s="6" t="n">
        <v>-2.43857148056054</v>
      </c>
      <c r="AJ729" s="6" t="n">
        <v>70.70034720514153</v>
      </c>
      <c r="AK729" s="6" t="n">
        <v>0.1790725316322401</v>
      </c>
      <c r="AL729" s="6" t="n">
        <v>1.038448795376597</v>
      </c>
      <c r="AN729" s="6" t="n">
        <v>1.344101460374004</v>
      </c>
      <c r="AO729" s="6" t="n">
        <v>1.344142002186524</v>
      </c>
      <c r="AP729" s="6" t="n">
        <v>0.1317585619791447</v>
      </c>
      <c r="AQ729" s="6" t="n">
        <v>0</v>
      </c>
      <c r="AR729" s="6" t="n">
        <v>0</v>
      </c>
    </row>
    <row r="730">
      <c r="D730" t="inlineStr">
        <is>
          <t>Run 418</t>
        </is>
      </c>
      <c r="J730" s="6" t="n">
        <v>-0.1107482222863819</v>
      </c>
      <c r="K730" s="6" t="n">
        <v>0.05018168313927616</v>
      </c>
      <c r="L730" s="6" t="n">
        <v>-1.127566557391068</v>
      </c>
      <c r="M730" s="6" t="n">
        <v>2.849947897693295</v>
      </c>
      <c r="N730" s="6" t="n">
        <v>-1.802932390042687</v>
      </c>
      <c r="O730" s="6" t="n">
        <v>2.155283059157836</v>
      </c>
      <c r="P730" s="6" t="n">
        <v>0.4096537612670613</v>
      </c>
      <c r="Q730" s="6" t="n">
        <v>0.4950030355810936</v>
      </c>
      <c r="R730" s="6" t="n">
        <v>0.3445627907391696</v>
      </c>
      <c r="S730" s="6" t="n">
        <v>-3.659988156426597</v>
      </c>
      <c r="T730" s="6" t="n">
        <v>-1.844470251512523</v>
      </c>
      <c r="U730" s="6" t="n">
        <v>0.7589783270374053</v>
      </c>
      <c r="V730" s="6" t="n">
        <v>1.953570766360299</v>
      </c>
      <c r="W730" s="6" t="n">
        <v>-0.6590382272485037</v>
      </c>
      <c r="X730" s="6" t="n">
        <v>0.5058583473667634</v>
      </c>
      <c r="Y730" s="6" t="n">
        <v>-0.09935201930770461</v>
      </c>
      <c r="Z730" s="6" t="n">
        <v>0.3308834677740833</v>
      </c>
      <c r="AA730" s="6" t="n">
        <v>-0.9268490974272929</v>
      </c>
      <c r="AB730" s="6" t="n">
        <v>2.608910743690202</v>
      </c>
      <c r="AC730" s="6" t="n">
        <v>-3.216998079894604</v>
      </c>
      <c r="AD730" s="6" t="n">
        <v>2.143365656904718</v>
      </c>
      <c r="AE730" s="6" t="n">
        <v>-4.359447764154845</v>
      </c>
      <c r="AF730" s="6" t="n">
        <v>-3.466381704334479</v>
      </c>
      <c r="AG730" s="6" t="n">
        <v>-4.282978878216053</v>
      </c>
      <c r="AH730" s="6" t="n">
        <v>3.367903233047825</v>
      </c>
      <c r="AI730" s="6" t="n">
        <v>2.928817861917879</v>
      </c>
      <c r="AJ730" s="6" t="n">
        <v>64.63518122779337</v>
      </c>
      <c r="AK730" s="6" t="n">
        <v>0.1575948238385153</v>
      </c>
      <c r="AL730" s="6" t="n">
        <v>1.036150615738711</v>
      </c>
      <c r="AN730" s="6" t="n">
        <v>1.342942288315471</v>
      </c>
      <c r="AO730" s="6" t="n">
        <v>1.34411815435535</v>
      </c>
      <c r="AP730" s="6" t="n">
        <v>0.1322399615127159</v>
      </c>
      <c r="AQ730" s="6" t="n">
        <v>0</v>
      </c>
      <c r="AR730" s="6" t="n">
        <v>0</v>
      </c>
    </row>
    <row r="731">
      <c r="D731" t="inlineStr">
        <is>
          <t>Run 419</t>
        </is>
      </c>
      <c r="J731" s="6" t="n">
        <v>-0.3985343941960477</v>
      </c>
      <c r="K731" s="6" t="n">
        <v>2.160603369154498</v>
      </c>
      <c r="L731" s="6" t="n">
        <v>-0.6868805515645869</v>
      </c>
      <c r="M731" s="6" t="n">
        <v>-2.504619041499645</v>
      </c>
      <c r="N731" s="6" t="n">
        <v>0.663470095266852</v>
      </c>
      <c r="O731" s="6" t="n">
        <v>-1.620701692607979</v>
      </c>
      <c r="P731" s="6" t="n">
        <v>-2.76294023894614</v>
      </c>
      <c r="Q731" s="6" t="n">
        <v>1.135291039344966</v>
      </c>
      <c r="R731" s="6" t="n">
        <v>1.210968795921318</v>
      </c>
      <c r="S731" s="6" t="n">
        <v>-1.234676663935771</v>
      </c>
      <c r="T731" s="6" t="n">
        <v>-1.896654644679096</v>
      </c>
      <c r="U731" s="6" t="n">
        <v>-2.281971736705573</v>
      </c>
      <c r="V731" s="6" t="n">
        <v>-1.806894512571204</v>
      </c>
      <c r="W731" s="6" t="n">
        <v>-0.6653541374695585</v>
      </c>
      <c r="X731" s="6" t="n">
        <v>0.582033290193647</v>
      </c>
      <c r="Y731" s="6" t="n">
        <v>1.704704169260198</v>
      </c>
      <c r="Z731" s="6" t="n">
        <v>2.371247718751353</v>
      </c>
      <c r="AA731" s="6" t="n">
        <v>0.2193642189093194</v>
      </c>
      <c r="AB731" s="6" t="n">
        <v>-1.285207919148056</v>
      </c>
      <c r="AC731" s="6" t="n">
        <v>0.1777638374353348</v>
      </c>
      <c r="AD731" s="6" t="n">
        <v>0.7518563123124783</v>
      </c>
      <c r="AE731" s="6" t="n">
        <v>3.544896247636998</v>
      </c>
      <c r="AF731" s="6" t="n">
        <v>0.3832320529293597</v>
      </c>
      <c r="AG731" s="6" t="n">
        <v>-2.780208682535476</v>
      </c>
      <c r="AH731" s="6" t="n">
        <v>-0.8726270684734088</v>
      </c>
      <c r="AI731" s="6" t="n">
        <v>-3.135021078739318</v>
      </c>
      <c r="AJ731" s="6" t="n">
        <v>64.35637759204495</v>
      </c>
      <c r="AK731" s="6" t="n">
        <v>0.0718645799539103</v>
      </c>
      <c r="AL731" s="6" t="n">
        <v>1.032600422433498</v>
      </c>
      <c r="AN731" s="6" t="n">
        <v>1.328955376690877</v>
      </c>
      <c r="AO731" s="6" t="n">
        <v>1.338331571177782</v>
      </c>
      <c r="AP731" s="6" t="n">
        <v>0.1343008956160973</v>
      </c>
      <c r="AQ731" s="6" t="n">
        <v>0</v>
      </c>
      <c r="AR731" s="6" t="n">
        <v>0</v>
      </c>
    </row>
    <row r="732">
      <c r="D732" t="inlineStr">
        <is>
          <t>Run 420</t>
        </is>
      </c>
      <c r="J732" s="6" t="n">
        <v>-2.584517154426903</v>
      </c>
      <c r="K732" s="6" t="n">
        <v>-0.2076102489763231</v>
      </c>
      <c r="L732" s="6" t="n">
        <v>-0.306820733611018</v>
      </c>
      <c r="M732" s="6" t="n">
        <v>1.445474846696505</v>
      </c>
      <c r="N732" s="6" t="n">
        <v>-3.521501132150858</v>
      </c>
      <c r="O732" s="6" t="n">
        <v>2.257632867423593</v>
      </c>
      <c r="P732" s="6" t="n">
        <v>-0.4176748181070275</v>
      </c>
      <c r="Q732" s="6" t="n">
        <v>-3.768471835636979</v>
      </c>
      <c r="R732" s="6" t="n">
        <v>-2.209411966236876</v>
      </c>
      <c r="S732" s="6" t="n">
        <v>0.8086704634041452</v>
      </c>
      <c r="T732" s="6" t="n">
        <v>-0.04992925747544529</v>
      </c>
      <c r="U732" s="6" t="n">
        <v>0.03189749207775545</v>
      </c>
      <c r="V732" s="6" t="n">
        <v>4.921188957080979</v>
      </c>
      <c r="W732" s="6" t="n">
        <v>-0.9768868685225101</v>
      </c>
      <c r="X732" s="6" t="n">
        <v>1.12239922903963</v>
      </c>
      <c r="Y732" s="6" t="n">
        <v>1.579674510332608</v>
      </c>
      <c r="Z732" s="6" t="n">
        <v>1.198983265952327</v>
      </c>
      <c r="AA732" s="6" t="n">
        <v>-0.3419336842157395</v>
      </c>
      <c r="AB732" s="6" t="n">
        <v>2.040445743211169</v>
      </c>
      <c r="AC732" s="6" t="n">
        <v>-0.1361106904158367</v>
      </c>
      <c r="AD732" s="6" t="n">
        <v>-0.1757816148471413</v>
      </c>
      <c r="AE732" s="6" t="n">
        <v>-2.42861142423551</v>
      </c>
      <c r="AF732" s="6" t="n">
        <v>-3.040903934560013</v>
      </c>
      <c r="AG732" s="6" t="n">
        <v>0.3907585835193862</v>
      </c>
      <c r="AH732" s="6" t="n">
        <v>0.2863025810304752</v>
      </c>
      <c r="AI732" s="6" t="n">
        <v>1.808757808101378</v>
      </c>
      <c r="AJ732" s="6" t="n">
        <v>65.12404002574321</v>
      </c>
      <c r="AK732" s="6" t="n">
        <v>0.1009410726622285</v>
      </c>
      <c r="AL732" s="6" t="n">
        <v>1.037103759220071</v>
      </c>
      <c r="AN732" s="6" t="n">
        <v>1.348204894569961</v>
      </c>
      <c r="AO732" s="6" t="n">
        <v>1.348531738503177</v>
      </c>
      <c r="AP732" s="6" t="n">
        <v>0.1332426863483905</v>
      </c>
      <c r="AQ732" s="6" t="n">
        <v>0</v>
      </c>
      <c r="AR732" s="6" t="n">
        <v>0</v>
      </c>
    </row>
    <row r="733">
      <c r="D733" t="inlineStr">
        <is>
          <t>Run 421</t>
        </is>
      </c>
      <c r="J733" s="6" t="n">
        <v>-0.9737353401269382</v>
      </c>
      <c r="K733" s="6" t="n">
        <v>1.85191896092327</v>
      </c>
      <c r="L733" s="6" t="n">
        <v>-1.875158380048077</v>
      </c>
      <c r="M733" s="6" t="n">
        <v>-1.045387336432271</v>
      </c>
      <c r="N733" s="6" t="n">
        <v>2.173025807738549</v>
      </c>
      <c r="O733" s="6" t="n">
        <v>-0.02228159120892007</v>
      </c>
      <c r="P733" s="6" t="n">
        <v>1.416561862352181</v>
      </c>
      <c r="Q733" s="6" t="n">
        <v>-0.9513241055629966</v>
      </c>
      <c r="R733" s="6" t="n">
        <v>-4.709861464663684</v>
      </c>
      <c r="S733" s="6" t="n">
        <v>1.31823181769376</v>
      </c>
      <c r="T733" s="6" t="n">
        <v>3.30816005834533</v>
      </c>
      <c r="U733" s="6" t="n">
        <v>-3.119388637920413</v>
      </c>
      <c r="V733" s="6" t="n">
        <v>0.1212703449646219</v>
      </c>
      <c r="W733" s="6" t="n">
        <v>0.2501611084662726</v>
      </c>
      <c r="X733" s="6" t="n">
        <v>-1.43076514400204</v>
      </c>
      <c r="Y733" s="6" t="n">
        <v>-4.857001784827932</v>
      </c>
      <c r="Z733" s="6" t="n">
        <v>0.6867511002974075</v>
      </c>
      <c r="AA733" s="6" t="n">
        <v>-3.542979898599429</v>
      </c>
      <c r="AB733" s="6" t="n">
        <v>0.4500720256363998</v>
      </c>
      <c r="AC733" s="6" t="n">
        <v>-0.176878857904349</v>
      </c>
      <c r="AD733" s="6" t="n">
        <v>0.4690937037621423</v>
      </c>
      <c r="AE733" s="6" t="n">
        <v>-2.813828388394964</v>
      </c>
      <c r="AF733" s="6" t="n">
        <v>-3.399383235712361</v>
      </c>
      <c r="AG733" s="6" t="n">
        <v>-2.388317535593084</v>
      </c>
      <c r="AH733" s="6" t="n">
        <v>-0.7248730396621358</v>
      </c>
      <c r="AI733" s="6" t="n">
        <v>-0.6159907619857417</v>
      </c>
      <c r="AJ733" s="6" t="n">
        <v>82.03072547686831</v>
      </c>
      <c r="AK733" s="6" t="n">
        <v>0.123344193686008</v>
      </c>
      <c r="AL733" s="6" t="n">
        <v>1.049793601493574</v>
      </c>
      <c r="AN733" s="6" t="n">
        <v>1.348089998761441</v>
      </c>
      <c r="AO733" s="6" t="n">
        <v>1.349427519539799</v>
      </c>
      <c r="AP733" s="6" t="n">
        <v>0.1325090461874645</v>
      </c>
      <c r="AQ733" s="6" t="n">
        <v>0</v>
      </c>
      <c r="AR733" s="6" t="n">
        <v>0</v>
      </c>
    </row>
    <row r="734">
      <c r="D734" t="inlineStr">
        <is>
          <t>Run 422</t>
        </is>
      </c>
      <c r="J734" s="6" t="n">
        <v>2.118241181267646</v>
      </c>
      <c r="K734" s="6" t="n">
        <v>-2.792743586372461</v>
      </c>
      <c r="L734" s="6" t="n">
        <v>2.085338894050657</v>
      </c>
      <c r="M734" s="6" t="n">
        <v>-1.164750498656946</v>
      </c>
      <c r="N734" s="6" t="n">
        <v>-0.2273880854874954</v>
      </c>
      <c r="O734" s="6" t="n">
        <v>3.429009531890741</v>
      </c>
      <c r="P734" s="6" t="n">
        <v>-0.507777432463974</v>
      </c>
      <c r="Q734" s="6" t="n">
        <v>-0.3912831013733478</v>
      </c>
      <c r="R734" s="6" t="n">
        <v>2.004850227162042</v>
      </c>
      <c r="S734" s="6" t="n">
        <v>0.05002832822018973</v>
      </c>
      <c r="T734" s="6" t="n">
        <v>2.47461313415092</v>
      </c>
      <c r="U734" s="6" t="n">
        <v>-1.081507333252778</v>
      </c>
      <c r="V734" s="6" t="n">
        <v>-4.557163469561838</v>
      </c>
      <c r="W734" s="6" t="n">
        <v>0.5948134832125225</v>
      </c>
      <c r="X734" s="6" t="n">
        <v>-1.941679295844484</v>
      </c>
      <c r="Y734" s="6" t="n">
        <v>1.464132303395832</v>
      </c>
      <c r="Z734" s="6" t="n">
        <v>0.5214898286545141</v>
      </c>
      <c r="AA734" s="6" t="n">
        <v>1.625366636995808</v>
      </c>
      <c r="AB734" s="6" t="n">
        <v>-2.86818111093574</v>
      </c>
      <c r="AC734" s="6" t="n">
        <v>-3.270100035397234</v>
      </c>
      <c r="AD734" s="6" t="n">
        <v>-4.742045842293386</v>
      </c>
      <c r="AE734" s="6" t="n">
        <v>-0.2600840744934463</v>
      </c>
      <c r="AF734" s="6" t="n">
        <v>1.897572400572691</v>
      </c>
      <c r="AG734" s="6" t="n">
        <v>0.7816629830103659</v>
      </c>
      <c r="AH734" s="6" t="n">
        <v>-1.508098259858075</v>
      </c>
      <c r="AI734" s="6" t="n">
        <v>1.51160888758184</v>
      </c>
      <c r="AJ734" s="6" t="n">
        <v>74.00821717177381</v>
      </c>
      <c r="AK734" s="6" t="n">
        <v>0.0803136991302334</v>
      </c>
      <c r="AL734" s="6" t="n">
        <v>1.031696624089445</v>
      </c>
      <c r="AN734" s="6" t="n">
        <v>1.35195890513669</v>
      </c>
      <c r="AO734" s="6" t="n">
        <v>1.35195890513669</v>
      </c>
      <c r="AP734" s="6" t="n">
        <v>0.1352463058988896</v>
      </c>
      <c r="AQ734" s="6" t="n">
        <v>0</v>
      </c>
      <c r="AR734" s="6" t="n">
        <v>0</v>
      </c>
    </row>
    <row r="735">
      <c r="D735" t="inlineStr">
        <is>
          <t>Run 423</t>
        </is>
      </c>
      <c r="J735" s="6" t="n">
        <v>1.748586732952058</v>
      </c>
      <c r="K735" s="6" t="n">
        <v>-1.07124509994526</v>
      </c>
      <c r="L735" s="6" t="n">
        <v>1.067247045932376</v>
      </c>
      <c r="M735" s="6" t="n">
        <v>3.090024556869268</v>
      </c>
      <c r="N735" s="6" t="n">
        <v>-2.370290734724673</v>
      </c>
      <c r="O735" s="6" t="n">
        <v>4.4571563876995</v>
      </c>
      <c r="P735" s="6" t="n">
        <v>1.947872136969603</v>
      </c>
      <c r="Q735" s="6" t="n">
        <v>1.002575002838076</v>
      </c>
      <c r="R735" s="6" t="n">
        <v>2.78218522706526</v>
      </c>
      <c r="S735" s="6" t="n">
        <v>0.888767187922243</v>
      </c>
      <c r="T735" s="6" t="n">
        <v>1.090118145192743</v>
      </c>
      <c r="U735" s="6" t="n">
        <v>0.4429119190447953</v>
      </c>
      <c r="V735" s="6" t="n">
        <v>0.1464115979611658</v>
      </c>
      <c r="W735" s="6" t="n">
        <v>-0.9295581854968733</v>
      </c>
      <c r="X735" s="6" t="n">
        <v>1.137425626894617</v>
      </c>
      <c r="Y735" s="6" t="n">
        <v>1.166229128613736</v>
      </c>
      <c r="Z735" s="6" t="n">
        <v>1.179234389271635</v>
      </c>
      <c r="AA735" s="6" t="n">
        <v>1.829673173999686</v>
      </c>
      <c r="AB735" s="6" t="n">
        <v>-2.837596217649768</v>
      </c>
      <c r="AC735" s="6" t="n">
        <v>0.4037699186553405</v>
      </c>
      <c r="AD735" s="6" t="n">
        <v>-0.7011702111920485</v>
      </c>
      <c r="AE735" s="6" t="n">
        <v>0.04156077756082215</v>
      </c>
      <c r="AF735" s="6" t="n">
        <v>-0.8636281356020967</v>
      </c>
      <c r="AG735" s="6" t="n">
        <v>-5.251369252793703</v>
      </c>
      <c r="AH735" s="6" t="n">
        <v>-2.744036682629007</v>
      </c>
      <c r="AI735" s="6" t="n">
        <v>4.220774097545501</v>
      </c>
      <c r="AJ735" s="6" t="n">
        <v>77.01338276249039</v>
      </c>
      <c r="AK735" s="6" t="n">
        <v>0.07441100545252922</v>
      </c>
      <c r="AL735" s="6" t="n">
        <v>1.044866796201022</v>
      </c>
      <c r="AN735" s="6" t="n">
        <v>1.351018934510497</v>
      </c>
      <c r="AO735" s="6" t="n">
        <v>1.351018934510497</v>
      </c>
      <c r="AP735" s="6" t="n">
        <v>0.1343842477724566</v>
      </c>
      <c r="AQ735" s="6" t="n">
        <v>0</v>
      </c>
      <c r="AR735" s="6" t="n">
        <v>0</v>
      </c>
    </row>
    <row r="736">
      <c r="D736" t="inlineStr">
        <is>
          <t>Run 424</t>
        </is>
      </c>
      <c r="J736" s="6" t="n">
        <v>0.9527096574505983</v>
      </c>
      <c r="K736" s="6" t="n">
        <v>0.2609487234393639</v>
      </c>
      <c r="L736" s="6" t="n">
        <v>-0.9938159424211426</v>
      </c>
      <c r="M736" s="6" t="n">
        <v>4.042642448837237</v>
      </c>
      <c r="N736" s="6" t="n">
        <v>-0.7260720671967242</v>
      </c>
      <c r="O736" s="6" t="n">
        <v>-0.3917872371926961</v>
      </c>
      <c r="P736" s="6" t="n">
        <v>1.335781911961857</v>
      </c>
      <c r="Q736" s="6" t="n">
        <v>1.58906566412169</v>
      </c>
      <c r="R736" s="6" t="n">
        <v>1.360677156843842</v>
      </c>
      <c r="S736" s="6" t="n">
        <v>-1.598581476549296</v>
      </c>
      <c r="T736" s="6" t="n">
        <v>3.086585279683078</v>
      </c>
      <c r="U736" s="6" t="n">
        <v>-3.559312712335476</v>
      </c>
      <c r="V736" s="6" t="n">
        <v>-1.036564866270312</v>
      </c>
      <c r="W736" s="6" t="n">
        <v>4.204492262296974</v>
      </c>
      <c r="X736" s="6" t="n">
        <v>-1.960458686211452</v>
      </c>
      <c r="Y736" s="6" t="n">
        <v>1.491063930213435</v>
      </c>
      <c r="Z736" s="6" t="n">
        <v>-1.988892204788306</v>
      </c>
      <c r="AA736" s="6" t="n">
        <v>-1.510041484203645</v>
      </c>
      <c r="AB736" s="6" t="n">
        <v>0.397439575648892</v>
      </c>
      <c r="AC736" s="6" t="n">
        <v>-1.812217584226324</v>
      </c>
      <c r="AD736" s="6" t="n">
        <v>0.3278544442048396</v>
      </c>
      <c r="AE736" s="6" t="n">
        <v>0.4151069693864869</v>
      </c>
      <c r="AF736" s="6" t="n">
        <v>0.5244891183252898</v>
      </c>
      <c r="AG736" s="6" t="n">
        <v>0.7390763679198832</v>
      </c>
      <c r="AH736" s="6" t="n">
        <v>-1.158522568031657</v>
      </c>
      <c r="AI736" s="6" t="n">
        <v>-3.308026715781224</v>
      </c>
      <c r="AJ736" s="6" t="n">
        <v>80.0803406874693</v>
      </c>
      <c r="AK736" s="6" t="n">
        <v>0.06535273815644921</v>
      </c>
      <c r="AL736" s="6" t="n">
        <v>1.015391421878619</v>
      </c>
      <c r="AN736" s="6" t="n">
        <v>1.357111224174873</v>
      </c>
      <c r="AO736" s="6" t="n">
        <v>1.357111224174873</v>
      </c>
      <c r="AP736" s="6" t="n">
        <v>0.1384822453231644</v>
      </c>
      <c r="AQ736" s="6" t="n">
        <v>0</v>
      </c>
      <c r="AR736" s="6" t="n">
        <v>0</v>
      </c>
    </row>
    <row r="737">
      <c r="D737" t="inlineStr">
        <is>
          <t>Run 425</t>
        </is>
      </c>
      <c r="J737" s="6" t="n">
        <v>2.926277730879765</v>
      </c>
      <c r="K737" s="6" t="n">
        <v>-2.518464527163729</v>
      </c>
      <c r="L737" s="6" t="n">
        <v>-2.475143558235882</v>
      </c>
      <c r="M737" s="6" t="n">
        <v>-2.493992772780909</v>
      </c>
      <c r="N737" s="6" t="n">
        <v>-0.5998104039013366</v>
      </c>
      <c r="O737" s="6" t="n">
        <v>1.495025930470056</v>
      </c>
      <c r="P737" s="6" t="n">
        <v>-2.851870778607365</v>
      </c>
      <c r="Q737" s="6" t="n">
        <v>0.4006992261355833</v>
      </c>
      <c r="R737" s="6" t="n">
        <v>-0.4828324881856388</v>
      </c>
      <c r="S737" s="6" t="n">
        <v>2.69566794062265</v>
      </c>
      <c r="T737" s="6" t="n">
        <v>0.9816969367658919</v>
      </c>
      <c r="U737" s="6" t="n">
        <v>0.2013689204770134</v>
      </c>
      <c r="V737" s="6" t="n">
        <v>-0.4111668185040244</v>
      </c>
      <c r="W737" s="6" t="n">
        <v>2.338605006298083</v>
      </c>
      <c r="X737" s="6" t="n">
        <v>1.131298133497489</v>
      </c>
      <c r="Y737" s="6" t="n">
        <v>0.0002901720177028812</v>
      </c>
      <c r="Z737" s="6" t="n">
        <v>-2.016259297653533</v>
      </c>
      <c r="AA737" s="6" t="n">
        <v>-0.782855515203123</v>
      </c>
      <c r="AB737" s="6" t="n">
        <v>-3.959550510324378</v>
      </c>
      <c r="AC737" s="6" t="n">
        <v>2.091554873319361</v>
      </c>
      <c r="AD737" s="6" t="n">
        <v>-2.633093186563733</v>
      </c>
      <c r="AE737" s="6" t="n">
        <v>-0.2718639601931064</v>
      </c>
      <c r="AF737" s="6" t="n">
        <v>1.64234241755685</v>
      </c>
      <c r="AG737" s="6" t="n">
        <v>0.7507493623256882</v>
      </c>
      <c r="AH737" s="6" t="n">
        <v>-0.9647699017039315</v>
      </c>
      <c r="AI737" s="6" t="n">
        <v>-1.277360252086779</v>
      </c>
      <c r="AJ737" s="6" t="n">
        <v>76.64611931578864</v>
      </c>
      <c r="AK737" s="6" t="n">
        <v>0.1117608636176521</v>
      </c>
      <c r="AL737" s="6" t="n">
        <v>1.046762803292668</v>
      </c>
      <c r="AN737" s="6" t="n">
        <v>1.32779185643907</v>
      </c>
      <c r="AO737" s="6" t="n">
        <v>1.335658400236071</v>
      </c>
      <c r="AP737" s="6" t="n">
        <v>0.1332407757364354</v>
      </c>
      <c r="AQ737" s="6" t="n">
        <v>0</v>
      </c>
      <c r="AR737" s="6" t="n">
        <v>0</v>
      </c>
    </row>
    <row r="738">
      <c r="D738" t="inlineStr">
        <is>
          <t>Run 426</t>
        </is>
      </c>
      <c r="J738" s="6" t="n">
        <v>1.703662548947061</v>
      </c>
      <c r="K738" s="6" t="n">
        <v>-2.866157345435153</v>
      </c>
      <c r="L738" s="6" t="n">
        <v>0.9795789043974933</v>
      </c>
      <c r="M738" s="6" t="n">
        <v>3.84319781845451</v>
      </c>
      <c r="N738" s="6" t="n">
        <v>-1.105847755632466</v>
      </c>
      <c r="O738" s="6" t="n">
        <v>1.927029800271215</v>
      </c>
      <c r="P738" s="6" t="n">
        <v>-1.615433204336206</v>
      </c>
      <c r="Q738" s="6" t="n">
        <v>-0.9925336682368814</v>
      </c>
      <c r="R738" s="6" t="n">
        <v>-1.355012844201551</v>
      </c>
      <c r="S738" s="6" t="n">
        <v>1.452733770075624</v>
      </c>
      <c r="T738" s="6" t="n">
        <v>0.9880722552483461</v>
      </c>
      <c r="U738" s="6" t="n">
        <v>-0.4047578134248231</v>
      </c>
      <c r="V738" s="6" t="n">
        <v>2.465646916428044</v>
      </c>
      <c r="W738" s="6" t="n">
        <v>-2.121718847134904</v>
      </c>
      <c r="X738" s="6" t="n">
        <v>-1.597006453524397</v>
      </c>
      <c r="Y738" s="6" t="n">
        <v>2.353402162125747</v>
      </c>
      <c r="Z738" s="6" t="n">
        <v>1.911071309137177</v>
      </c>
      <c r="AA738" s="6" t="n">
        <v>-0.9252059367851871</v>
      </c>
      <c r="AB738" s="6" t="n">
        <v>2.262973107217684</v>
      </c>
      <c r="AC738" s="6" t="n">
        <v>0.7940275994387965</v>
      </c>
      <c r="AD738" s="6" t="n">
        <v>-1.484441779170791</v>
      </c>
      <c r="AE738" s="6" t="n">
        <v>-0.04470656643127627</v>
      </c>
      <c r="AF738" s="6" t="n">
        <v>-3.756390805976109</v>
      </c>
      <c r="AG738" s="6" t="n">
        <v>0.7353421214859713</v>
      </c>
      <c r="AH738" s="6" t="n">
        <v>-4.247004974450131</v>
      </c>
      <c r="AI738" s="6" t="n">
        <v>-0.5047855562934831</v>
      </c>
      <c r="AJ738" s="6" t="n">
        <v>75.18928476712269</v>
      </c>
      <c r="AK738" s="6" t="n">
        <v>0.1270460580038629</v>
      </c>
      <c r="AL738" s="6" t="n">
        <v>0.9915879759370807</v>
      </c>
      <c r="AN738" s="6" t="n">
        <v>1.358634082795868</v>
      </c>
      <c r="AO738" s="6" t="n">
        <v>1.358634082795868</v>
      </c>
      <c r="AP738" s="6" t="n">
        <v>0.1405539139042565</v>
      </c>
      <c r="AQ738" s="6" t="n">
        <v>0</v>
      </c>
      <c r="AR738" s="6" t="n">
        <v>0</v>
      </c>
    </row>
    <row r="739">
      <c r="D739" t="inlineStr">
        <is>
          <t>Run 427</t>
        </is>
      </c>
      <c r="J739" s="6" t="n">
        <v>-2.775733998758528</v>
      </c>
      <c r="K739" s="6" t="n">
        <v>1.468232190691297</v>
      </c>
      <c r="L739" s="6" t="n">
        <v>-3.31304093913954</v>
      </c>
      <c r="M739" s="6" t="n">
        <v>1.804144895394684</v>
      </c>
      <c r="N739" s="6" t="n">
        <v>-0.04816110542820907</v>
      </c>
      <c r="O739" s="6" t="n">
        <v>-1.585026409526675</v>
      </c>
      <c r="P739" s="6" t="n">
        <v>2.754414584190589</v>
      </c>
      <c r="Q739" s="6" t="n">
        <v>1.228104245261857</v>
      </c>
      <c r="R739" s="6" t="n">
        <v>1.618608859820669</v>
      </c>
      <c r="S739" s="6" t="n">
        <v>-1.968861227828159</v>
      </c>
      <c r="T739" s="6" t="n">
        <v>-0.5756175557597479</v>
      </c>
      <c r="U739" s="6" t="n">
        <v>-4.332010032232847</v>
      </c>
      <c r="V739" s="6" t="n">
        <v>0.2642218489974997</v>
      </c>
      <c r="W739" s="6" t="n">
        <v>-1.763214379447587</v>
      </c>
      <c r="X739" s="6" t="n">
        <v>4.10863691633274</v>
      </c>
      <c r="Y739" s="6" t="n">
        <v>3.546407179785266</v>
      </c>
      <c r="Z739" s="6" t="n">
        <v>1.617195708355366</v>
      </c>
      <c r="AA739" s="6" t="n">
        <v>2.044038794382291</v>
      </c>
      <c r="AB739" s="6" t="n">
        <v>1.120716993451002</v>
      </c>
      <c r="AC739" s="6" t="n">
        <v>1.276118687028555</v>
      </c>
      <c r="AD739" s="6" t="n">
        <v>-0.1711937512283944</v>
      </c>
      <c r="AE739" s="6" t="n">
        <v>-2.106151977976131</v>
      </c>
      <c r="AF739" s="6" t="n">
        <v>-0.5327378032862926</v>
      </c>
      <c r="AG739" s="6" t="n">
        <v>1.654232550156151</v>
      </c>
      <c r="AH739" s="6" t="n">
        <v>1.754314134054648</v>
      </c>
      <c r="AI739" s="6" t="n">
        <v>-0.3838026450375648</v>
      </c>
      <c r="AJ739" s="6" t="n">
        <v>72.48250076746753</v>
      </c>
      <c r="AK739" s="6" t="n">
        <v>0.1468624282752994</v>
      </c>
      <c r="AL739" s="6" t="n">
        <v>1.015989490722168</v>
      </c>
      <c r="AN739" s="6" t="n">
        <v>1.353302236391559</v>
      </c>
      <c r="AO739" s="6" t="n">
        <v>1.354737659910416</v>
      </c>
      <c r="AP739" s="6" t="n">
        <v>0.1357079808095025</v>
      </c>
      <c r="AQ739" s="6" t="n">
        <v>0</v>
      </c>
      <c r="AR739" s="6" t="n">
        <v>0</v>
      </c>
    </row>
    <row r="740">
      <c r="D740" t="inlineStr">
        <is>
          <t>Run 428</t>
        </is>
      </c>
      <c r="J740" s="6" t="n">
        <v>-3.23730313955093</v>
      </c>
      <c r="K740" s="6" t="n">
        <v>-2.567885739397691</v>
      </c>
      <c r="L740" s="6" t="n">
        <v>1.477603832916943</v>
      </c>
      <c r="M740" s="6" t="n">
        <v>0.4902439182150413</v>
      </c>
      <c r="N740" s="6" t="n">
        <v>1.624392013270739</v>
      </c>
      <c r="O740" s="6" t="n">
        <v>-0.105873575700808</v>
      </c>
      <c r="P740" s="6" t="n">
        <v>0.1274459549906971</v>
      </c>
      <c r="Q740" s="6" t="n">
        <v>-1.317114523801396</v>
      </c>
      <c r="R740" s="6" t="n">
        <v>5</v>
      </c>
      <c r="S740" s="6" t="n">
        <v>-0.5605935161566933</v>
      </c>
      <c r="T740" s="6" t="n">
        <v>-2.958895320142113</v>
      </c>
      <c r="U740" s="6" t="n">
        <v>-1.407999674749829</v>
      </c>
      <c r="V740" s="6" t="n">
        <v>1.036751688900108</v>
      </c>
      <c r="W740" s="6" t="n">
        <v>0.9642207844900325</v>
      </c>
      <c r="X740" s="6" t="n">
        <v>-0.6631863109241053</v>
      </c>
      <c r="Y740" s="6" t="n">
        <v>-0.2994711986266156</v>
      </c>
      <c r="Z740" s="6" t="n">
        <v>0.3108685314857972</v>
      </c>
      <c r="AA740" s="6" t="n">
        <v>0.331115154775025</v>
      </c>
      <c r="AB740" s="6" t="n">
        <v>-3.538957631534474</v>
      </c>
      <c r="AC740" s="6" t="n">
        <v>4.116559756629667</v>
      </c>
      <c r="AD740" s="6" t="n">
        <v>1.981666588713388</v>
      </c>
      <c r="AE740" s="6" t="n">
        <v>3.634507153056115</v>
      </c>
      <c r="AF740" s="6" t="n">
        <v>-0.1473676641750848</v>
      </c>
      <c r="AG740" s="6" t="n">
        <v>-1.883859695933001</v>
      </c>
      <c r="AH740" s="6" t="n">
        <v>2.352190150176631</v>
      </c>
      <c r="AI740" s="6" t="n">
        <v>-1.158166696584902</v>
      </c>
      <c r="AJ740" s="6" t="n">
        <v>78.50684910093067</v>
      </c>
      <c r="AK740" s="6" t="n">
        <v>0.1406802060084885</v>
      </c>
      <c r="AL740" s="6" t="n">
        <v>1.071974550838467</v>
      </c>
      <c r="AN740" s="6" t="n">
        <v>1.338877569462677</v>
      </c>
      <c r="AO740" s="6" t="n">
        <v>1.339380310496189</v>
      </c>
      <c r="AP740" s="6" t="n">
        <v>0.1306149792063806</v>
      </c>
      <c r="AQ740" s="6" t="n">
        <v>0</v>
      </c>
      <c r="AR740" s="6" t="n">
        <v>0</v>
      </c>
    </row>
    <row r="741">
      <c r="D741" t="inlineStr">
        <is>
          <t>Run 429</t>
        </is>
      </c>
      <c r="J741" s="6" t="n">
        <v>-1.776774127689909</v>
      </c>
      <c r="K741" s="6" t="n">
        <v>-0.2372615438739248</v>
      </c>
      <c r="L741" s="6" t="n">
        <v>0.7693733896419174</v>
      </c>
      <c r="M741" s="6" t="n">
        <v>1.713208406434017</v>
      </c>
      <c r="N741" s="6" t="n">
        <v>-2.175024715460551</v>
      </c>
      <c r="O741" s="6" t="n">
        <v>-0.4672709802821771</v>
      </c>
      <c r="P741" s="6" t="n">
        <v>-1.251773038174027</v>
      </c>
      <c r="Q741" s="6" t="n">
        <v>-4.410146306948154</v>
      </c>
      <c r="R741" s="6" t="n">
        <v>-0.9353351031937762</v>
      </c>
      <c r="S741" s="6" t="n">
        <v>-0.8821742448477106</v>
      </c>
      <c r="T741" s="6" t="n">
        <v>1.963035821007449</v>
      </c>
      <c r="U741" s="6" t="n">
        <v>-5.12715896087528</v>
      </c>
      <c r="V741" s="6" t="n">
        <v>2.187173512673544</v>
      </c>
      <c r="W741" s="6" t="n">
        <v>1.501717075428697</v>
      </c>
      <c r="X741" s="6" t="n">
        <v>2.338016936600989</v>
      </c>
      <c r="Y741" s="6" t="n">
        <v>0.01449811384191094</v>
      </c>
      <c r="Z741" s="6" t="n">
        <v>-0.6292446536505171</v>
      </c>
      <c r="AA741" s="6" t="n">
        <v>-1.750305570603891</v>
      </c>
      <c r="AB741" s="6" t="n">
        <v>1.23757074383194</v>
      </c>
      <c r="AC741" s="6" t="n">
        <v>2.509542643172511</v>
      </c>
      <c r="AD741" s="6" t="n">
        <v>0.9949397235308201</v>
      </c>
      <c r="AE741" s="6" t="n">
        <v>3.300836376412807</v>
      </c>
      <c r="AF741" s="6" t="n">
        <v>-0.1107568407097884</v>
      </c>
      <c r="AG741" s="6" t="n">
        <v>-1.302543580459704</v>
      </c>
      <c r="AH741" s="6" t="n">
        <v>0.4068451466167824</v>
      </c>
      <c r="AI741" s="6" t="n">
        <v>-4.625576441382181</v>
      </c>
      <c r="AJ741" s="6" t="n">
        <v>69.07556351137671</v>
      </c>
      <c r="AK741" s="6" t="n">
        <v>0.1446816879738651</v>
      </c>
      <c r="AL741" s="6" t="n">
        <v>1.058107304795837</v>
      </c>
      <c r="AN741" s="6" t="n">
        <v>1.34084826824807</v>
      </c>
      <c r="AO741" s="6" t="n">
        <v>1.341335718833557</v>
      </c>
      <c r="AP741" s="6" t="n">
        <v>0.1303620102383548</v>
      </c>
      <c r="AQ741" s="6" t="n">
        <v>0</v>
      </c>
      <c r="AR741" s="6" t="n">
        <v>0</v>
      </c>
    </row>
    <row r="742">
      <c r="D742" t="inlineStr">
        <is>
          <t>Run 430</t>
        </is>
      </c>
      <c r="J742" s="6" t="n">
        <v>0.1355427606716665</v>
      </c>
      <c r="K742" s="6" t="n">
        <v>-1.785638744342889</v>
      </c>
      <c r="L742" s="6" t="n">
        <v>0.8455208464954083</v>
      </c>
      <c r="M742" s="6" t="n">
        <v>1.151910870873503</v>
      </c>
      <c r="N742" s="6" t="n">
        <v>-1.097881295782311</v>
      </c>
      <c r="O742" s="6" t="n">
        <v>-0.7545169459824705</v>
      </c>
      <c r="P742" s="6" t="n">
        <v>-0.05949020522294125</v>
      </c>
      <c r="Q742" s="6" t="n">
        <v>0.4717633191484311</v>
      </c>
      <c r="R742" s="6" t="n">
        <v>-1.341863267291117</v>
      </c>
      <c r="S742" s="6" t="n">
        <v>-3.195759231796769</v>
      </c>
      <c r="T742" s="6" t="n">
        <v>0.7331204144841327</v>
      </c>
      <c r="U742" s="6" t="n">
        <v>3.778646858743122</v>
      </c>
      <c r="V742" s="6" t="n">
        <v>-2.00591514629892</v>
      </c>
      <c r="W742" s="6" t="n">
        <v>0.5850530227665252</v>
      </c>
      <c r="X742" s="6" t="n">
        <v>1.021821073171421</v>
      </c>
      <c r="Y742" s="6" t="n">
        <v>-3.857629388100698</v>
      </c>
      <c r="Z742" s="6" t="n">
        <v>-0.2752005555383853</v>
      </c>
      <c r="AA742" s="6" t="n">
        <v>1.254026147496415</v>
      </c>
      <c r="AB742" s="6" t="n">
        <v>-2.384845912296525</v>
      </c>
      <c r="AC742" s="6" t="n">
        <v>3.343060831855923</v>
      </c>
      <c r="AD742" s="6" t="n">
        <v>-1.157994842018609</v>
      </c>
      <c r="AE742" s="6" t="n">
        <v>2.500219528503879</v>
      </c>
      <c r="AF742" s="6" t="n">
        <v>4.321941052705039</v>
      </c>
      <c r="AG742" s="6" t="n">
        <v>-3.787915469978679</v>
      </c>
      <c r="AH742" s="6" t="n">
        <v>1.796551070916798</v>
      </c>
      <c r="AI742" s="6" t="n">
        <v>1.473841457320039</v>
      </c>
      <c r="AJ742" s="6" t="n">
        <v>65.24056903875763</v>
      </c>
      <c r="AK742" s="6" t="n">
        <v>0.1101367608410908</v>
      </c>
      <c r="AL742" s="6" t="n">
        <v>1.068172411219977</v>
      </c>
      <c r="AN742" s="6" t="n">
        <v>1.339487395826373</v>
      </c>
      <c r="AO742" s="6" t="n">
        <v>1.339542320996288</v>
      </c>
      <c r="AP742" s="6" t="n">
        <v>0.1307397668347042</v>
      </c>
      <c r="AQ742" s="6" t="n">
        <v>0</v>
      </c>
      <c r="AR742" s="6" t="n">
        <v>0</v>
      </c>
    </row>
    <row r="743">
      <c r="D743" t="inlineStr">
        <is>
          <t>Run 431</t>
        </is>
      </c>
      <c r="J743" s="6" t="n">
        <v>-3.199969375885424</v>
      </c>
      <c r="K743" s="6" t="n">
        <v>0.6481486922838887</v>
      </c>
      <c r="L743" s="6" t="n">
        <v>-1.35892006840532</v>
      </c>
      <c r="M743" s="6" t="n">
        <v>0.8427422697124552</v>
      </c>
      <c r="N743" s="6" t="n">
        <v>-0.3095364640367131</v>
      </c>
      <c r="O743" s="6" t="n">
        <v>1.763437033150159</v>
      </c>
      <c r="P743" s="6" t="n">
        <v>0.4858903961101144</v>
      </c>
      <c r="Q743" s="6" t="n">
        <v>-1.48521552987873</v>
      </c>
      <c r="R743" s="6" t="n">
        <v>0.1779623311624788</v>
      </c>
      <c r="S743" s="6" t="n">
        <v>-0.1574410475878117</v>
      </c>
      <c r="T743" s="6" t="n">
        <v>0.2861419410791202</v>
      </c>
      <c r="U743" s="6" t="n">
        <v>4.165190913911982</v>
      </c>
      <c r="V743" s="6" t="n">
        <v>-3.183257416562791</v>
      </c>
      <c r="W743" s="6" t="n">
        <v>-0.9525632908636501</v>
      </c>
      <c r="X743" s="6" t="n">
        <v>-0.6176966259826558</v>
      </c>
      <c r="Y743" s="6" t="n">
        <v>-3.740644924201809</v>
      </c>
      <c r="Z743" s="6" t="n">
        <v>0.42436359654103</v>
      </c>
      <c r="AA743" s="6" t="n">
        <v>1.731593329789566</v>
      </c>
      <c r="AB743" s="6" t="n">
        <v>-4.201756893984937</v>
      </c>
      <c r="AC743" s="6" t="n">
        <v>2.97455290887006</v>
      </c>
      <c r="AD743" s="6" t="n">
        <v>1.38727386151595</v>
      </c>
      <c r="AE743" s="6" t="n">
        <v>-0.5118356162207607</v>
      </c>
      <c r="AF743" s="6" t="n">
        <v>-0.09836850010232823</v>
      </c>
      <c r="AG743" s="6" t="n">
        <v>-2.649434601293515</v>
      </c>
      <c r="AH743" s="6" t="n">
        <v>-0.8184478391868329</v>
      </c>
      <c r="AI743" s="6" t="n">
        <v>0.2690745764279711</v>
      </c>
      <c r="AJ743" s="6" t="n">
        <v>78.6181241565006</v>
      </c>
      <c r="AK743" s="6" t="n">
        <v>0.09030962653875524</v>
      </c>
      <c r="AL743" s="6" t="n">
        <v>1.044930774978121</v>
      </c>
      <c r="AN743" s="6" t="n">
        <v>1.352424837109776</v>
      </c>
      <c r="AO743" s="6" t="n">
        <v>1.353175413570325</v>
      </c>
      <c r="AP743" s="6" t="n">
        <v>0.133917140101082</v>
      </c>
      <c r="AQ743" s="6" t="n">
        <v>0</v>
      </c>
      <c r="AR743" s="6" t="n">
        <v>0</v>
      </c>
    </row>
    <row r="744">
      <c r="D744" t="inlineStr">
        <is>
          <t>Run 432</t>
        </is>
      </c>
      <c r="J744" s="6" t="n">
        <v>-0.06237560940804641</v>
      </c>
      <c r="K744" s="6" t="n">
        <v>-0.5258329882017387</v>
      </c>
      <c r="L744" s="6" t="n">
        <v>-0.2880141007329077</v>
      </c>
      <c r="M744" s="6" t="n">
        <v>0.9824910045484024</v>
      </c>
      <c r="N744" s="6" t="n">
        <v>0.8393773782108196</v>
      </c>
      <c r="O744" s="6" t="n">
        <v>-0.05578966487613734</v>
      </c>
      <c r="P744" s="6" t="n">
        <v>-0.3249219332940556</v>
      </c>
      <c r="Q744" s="6" t="n">
        <v>-2.251553271006134</v>
      </c>
      <c r="R744" s="6" t="n">
        <v>-0.5432499149298067</v>
      </c>
      <c r="S744" s="6" t="n">
        <v>-3.565506985688873</v>
      </c>
      <c r="T744" s="6" t="n">
        <v>-0.5433523994045445</v>
      </c>
      <c r="U744" s="6" t="n">
        <v>-3.0133353719395</v>
      </c>
      <c r="V744" s="6" t="n">
        <v>1.033959560977625</v>
      </c>
      <c r="W744" s="6" t="n">
        <v>-1.656708761131931</v>
      </c>
      <c r="X744" s="6" t="n">
        <v>1.452038266313705</v>
      </c>
      <c r="Y744" s="6" t="n">
        <v>-3.448735837500164</v>
      </c>
      <c r="Z744" s="6" t="n">
        <v>-3.557310557446563</v>
      </c>
      <c r="AA744" s="6" t="n">
        <v>0.2174061776211629</v>
      </c>
      <c r="AB744" s="6" t="n">
        <v>-1.035184924716377</v>
      </c>
      <c r="AC744" s="6" t="n">
        <v>-0.8698498951080421</v>
      </c>
      <c r="AD744" s="6" t="n">
        <v>-2.398210329868585</v>
      </c>
      <c r="AE744" s="6" t="n">
        <v>-3.036726820747876</v>
      </c>
      <c r="AF744" s="6" t="n">
        <v>-0.9998408306363378</v>
      </c>
      <c r="AG744" s="6" t="n">
        <v>2.196330468965122</v>
      </c>
      <c r="AH744" s="6" t="n">
        <v>-0.6922731584164088</v>
      </c>
      <c r="AI744" s="6" t="n">
        <v>-0.2510964434100765</v>
      </c>
      <c r="AJ744" s="6" t="n">
        <v>66.64119620688852</v>
      </c>
      <c r="AK744" s="6" t="n">
        <v>0.08009444337675595</v>
      </c>
      <c r="AL744" s="6" t="n">
        <v>1.062680521088789</v>
      </c>
      <c r="AN744" s="6" t="n">
        <v>1.343335295905028</v>
      </c>
      <c r="AO744" s="6" t="n">
        <v>1.343587390517508</v>
      </c>
      <c r="AP744" s="6" t="n">
        <v>0.1315575137817979</v>
      </c>
      <c r="AQ744" s="6" t="n">
        <v>0</v>
      </c>
      <c r="AR744" s="6" t="n">
        <v>0</v>
      </c>
    </row>
    <row r="745">
      <c r="D745" t="inlineStr">
        <is>
          <t>Run 433</t>
        </is>
      </c>
      <c r="J745" s="6" t="n">
        <v>0.2230504506246785</v>
      </c>
      <c r="K745" s="6" t="n">
        <v>-0.8154827029240659</v>
      </c>
      <c r="L745" s="6" t="n">
        <v>-1.833357064984444</v>
      </c>
      <c r="M745" s="6" t="n">
        <v>-1.482908095189822</v>
      </c>
      <c r="N745" s="6" t="n">
        <v>-1.500031739191406</v>
      </c>
      <c r="O745" s="6" t="n">
        <v>0.2068903123756304</v>
      </c>
      <c r="P745" s="6" t="n">
        <v>1.154380686438699</v>
      </c>
      <c r="Q745" s="6" t="n">
        <v>1.728113274409998</v>
      </c>
      <c r="R745" s="6" t="n">
        <v>-0.8793431253773998</v>
      </c>
      <c r="S745" s="6" t="n">
        <v>1.288342709113868</v>
      </c>
      <c r="T745" s="6" t="n">
        <v>-2.667411230721333</v>
      </c>
      <c r="U745" s="6" t="n">
        <v>1.174399003082855</v>
      </c>
      <c r="V745" s="6" t="n">
        <v>-0.2444161450374586</v>
      </c>
      <c r="W745" s="6" t="n">
        <v>-1.432102725074197</v>
      </c>
      <c r="X745" s="6" t="n">
        <v>-0.355101353516909</v>
      </c>
      <c r="Y745" s="6" t="n">
        <v>2.34189713262961</v>
      </c>
      <c r="Z745" s="6" t="n">
        <v>1.859394116469304</v>
      </c>
      <c r="AA745" s="6" t="n">
        <v>3.420712224833594</v>
      </c>
      <c r="AB745" s="6" t="n">
        <v>-2.227567037953269</v>
      </c>
      <c r="AC745" s="6" t="n">
        <v>-1.68599680520362</v>
      </c>
      <c r="AD745" s="6" t="n">
        <v>1.751365573412972</v>
      </c>
      <c r="AE745" s="6" t="n">
        <v>-1.636697047866822</v>
      </c>
      <c r="AF745" s="6" t="n">
        <v>-0.4844086034224216</v>
      </c>
      <c r="AG745" s="6" t="n">
        <v>-2.785918360188747</v>
      </c>
      <c r="AH745" s="6" t="n">
        <v>-2.263921702116721</v>
      </c>
      <c r="AI745" s="6" t="n">
        <v>-0.9098370661995279</v>
      </c>
      <c r="AJ745" s="6" t="n">
        <v>72.14264343234508</v>
      </c>
      <c r="AK745" s="6" t="n">
        <v>0.1128274146547932</v>
      </c>
      <c r="AL745" s="6" t="n">
        <v>1.060257578482158</v>
      </c>
      <c r="AN745" s="6" t="n">
        <v>1.336393304330185</v>
      </c>
      <c r="AO745" s="6" t="n">
        <v>1.340337059089061</v>
      </c>
      <c r="AP745" s="6" t="n">
        <v>0.1318697743315746</v>
      </c>
      <c r="AQ745" s="6" t="n">
        <v>0</v>
      </c>
      <c r="AR745" s="6" t="n">
        <v>0</v>
      </c>
    </row>
    <row r="746">
      <c r="D746" t="inlineStr">
        <is>
          <t>Run 434</t>
        </is>
      </c>
      <c r="J746" s="6" t="n">
        <v>-2.029232814761008</v>
      </c>
      <c r="K746" s="6" t="n">
        <v>4.080083707536937</v>
      </c>
      <c r="L746" s="6" t="n">
        <v>0.5386899045149344</v>
      </c>
      <c r="M746" s="6" t="n">
        <v>-0.3556796076723853</v>
      </c>
      <c r="N746" s="6" t="n">
        <v>2.232090039520974</v>
      </c>
      <c r="O746" s="6" t="n">
        <v>-1.320497050048784</v>
      </c>
      <c r="P746" s="6" t="n">
        <v>2.471748613108865</v>
      </c>
      <c r="Q746" s="6" t="n">
        <v>0.296625059719822</v>
      </c>
      <c r="R746" s="6" t="n">
        <v>-1.613196942908415</v>
      </c>
      <c r="S746" s="6" t="n">
        <v>-0.8779977934381529</v>
      </c>
      <c r="T746" s="6" t="n">
        <v>-2.907052686809423</v>
      </c>
      <c r="U746" s="6" t="n">
        <v>0.2539027125441364</v>
      </c>
      <c r="V746" s="6" t="n">
        <v>-1.625113493386527</v>
      </c>
      <c r="W746" s="6" t="n">
        <v>-3.874260533680016</v>
      </c>
      <c r="X746" s="6" t="n">
        <v>3.737283844311437</v>
      </c>
      <c r="Y746" s="6" t="n">
        <v>-0.2029746122751795</v>
      </c>
      <c r="Z746" s="6" t="n">
        <v>-2.561929168206349</v>
      </c>
      <c r="AA746" s="6" t="n">
        <v>-0.5291605179248557</v>
      </c>
      <c r="AB746" s="6" t="n">
        <v>0.7676137464783397</v>
      </c>
      <c r="AC746" s="6" t="n">
        <v>0.2761801827878333</v>
      </c>
      <c r="AD746" s="6" t="n">
        <v>1.04724942966201</v>
      </c>
      <c r="AE746" s="6" t="n">
        <v>1.092092259779758</v>
      </c>
      <c r="AF746" s="6" t="n">
        <v>0.6377512406604063</v>
      </c>
      <c r="AG746" s="6" t="n">
        <v>0.2539615709297315</v>
      </c>
      <c r="AH746" s="6" t="n">
        <v>2.673852532108372</v>
      </c>
      <c r="AI746" s="6" t="n">
        <v>-1.564679088013201</v>
      </c>
      <c r="AJ746" s="6" t="n">
        <v>71.04020961527735</v>
      </c>
      <c r="AK746" s="6" t="n">
        <v>0.1359013827799942</v>
      </c>
      <c r="AL746" s="6" t="n">
        <v>1.08856041090536</v>
      </c>
      <c r="AN746" s="6" t="n">
        <v>1.331041981725337</v>
      </c>
      <c r="AO746" s="6" t="n">
        <v>1.332123648389766</v>
      </c>
      <c r="AP746" s="6" t="n">
        <v>0.1295057966773968</v>
      </c>
      <c r="AQ746" s="6" t="n">
        <v>0</v>
      </c>
      <c r="AR746" s="6" t="n">
        <v>0</v>
      </c>
    </row>
    <row r="747">
      <c r="D747" t="inlineStr">
        <is>
          <t>Run 435</t>
        </is>
      </c>
      <c r="J747" s="6" t="n">
        <v>1.17909013569812</v>
      </c>
      <c r="K747" s="6" t="n">
        <v>-0.6352997617665139</v>
      </c>
      <c r="L747" s="6" t="n">
        <v>-0.9484869118875375</v>
      </c>
      <c r="M747" s="6" t="n">
        <v>0.7492453572692618</v>
      </c>
      <c r="N747" s="6" t="n">
        <v>0.09597795707226492</v>
      </c>
      <c r="O747" s="6" t="n">
        <v>0.538785009734996</v>
      </c>
      <c r="P747" s="6" t="n">
        <v>-1.483628865149181</v>
      </c>
      <c r="Q747" s="6" t="n">
        <v>0.5752319564618356</v>
      </c>
      <c r="R747" s="6" t="n">
        <v>2.478530070390834</v>
      </c>
      <c r="S747" s="6" t="n">
        <v>0.8452430399420856</v>
      </c>
      <c r="T747" s="6" t="n">
        <v>2.703943728410235</v>
      </c>
      <c r="U747" s="6" t="n">
        <v>1.458140267875922</v>
      </c>
      <c r="V747" s="6" t="n">
        <v>1.147268170285149</v>
      </c>
      <c r="W747" s="6" t="n">
        <v>1.32838594194158</v>
      </c>
      <c r="X747" s="6" t="n">
        <v>1.002914367984557</v>
      </c>
      <c r="Y747" s="6" t="n">
        <v>-3.70622928583233</v>
      </c>
      <c r="Z747" s="6" t="n">
        <v>-0.9796535674488467</v>
      </c>
      <c r="AA747" s="6" t="n">
        <v>1.112102315016992</v>
      </c>
      <c r="AB747" s="6" t="n">
        <v>0.04729822497769254</v>
      </c>
      <c r="AC747" s="6" t="n">
        <v>-2.35575865912978</v>
      </c>
      <c r="AD747" s="6" t="n">
        <v>-1.053612812727377</v>
      </c>
      <c r="AE747" s="6" t="n">
        <v>2.387712914331074</v>
      </c>
      <c r="AF747" s="6" t="n">
        <v>-3.447376993753418</v>
      </c>
      <c r="AG747" s="6" t="n">
        <v>-1.628644752905542</v>
      </c>
      <c r="AH747" s="6" t="n">
        <v>-0.3409885112721852</v>
      </c>
      <c r="AI747" s="6" t="n">
        <v>2.504004616266487</v>
      </c>
      <c r="AJ747" s="6" t="n">
        <v>65.60632158624863</v>
      </c>
      <c r="AK747" s="6" t="n">
        <v>0.1631444913438266</v>
      </c>
      <c r="AL747" s="6" t="n">
        <v>1.04296892284798</v>
      </c>
      <c r="AN747" s="6" t="n">
        <v>1.343153367860802</v>
      </c>
      <c r="AO747" s="6" t="n">
        <v>1.343433111913727</v>
      </c>
      <c r="AP747" s="6" t="n">
        <v>0.1314379879629523</v>
      </c>
      <c r="AQ747" s="6" t="n">
        <v>0</v>
      </c>
      <c r="AR747" s="6" t="n">
        <v>0</v>
      </c>
    </row>
    <row r="748">
      <c r="D748" t="inlineStr">
        <is>
          <t>Run 436</t>
        </is>
      </c>
      <c r="J748" s="6" t="n">
        <v>1.941245957352343</v>
      </c>
      <c r="K748" s="6" t="n">
        <v>-1.909935213950159</v>
      </c>
      <c r="L748" s="6" t="n">
        <v>0.05302360737236019</v>
      </c>
      <c r="M748" s="6" t="n">
        <v>1.481916779278815</v>
      </c>
      <c r="N748" s="6" t="n">
        <v>-4.459383945328374</v>
      </c>
      <c r="O748" s="6" t="n">
        <v>2.6620646427425</v>
      </c>
      <c r="P748" s="6" t="n">
        <v>-2.248286852287802</v>
      </c>
      <c r="Q748" s="6" t="n">
        <v>1.319010749961862</v>
      </c>
      <c r="R748" s="6" t="n">
        <v>0.5545209798344242</v>
      </c>
      <c r="S748" s="6" t="n">
        <v>-0.8560637002190871</v>
      </c>
      <c r="T748" s="6" t="n">
        <v>-0.5693327981207416</v>
      </c>
      <c r="U748" s="6" t="n">
        <v>1.310826478974423</v>
      </c>
      <c r="V748" s="6" t="n">
        <v>-2.765777654624957</v>
      </c>
      <c r="W748" s="6" t="n">
        <v>-0.3292552728713503</v>
      </c>
      <c r="X748" s="6" t="n">
        <v>-0.401605135335423</v>
      </c>
      <c r="Y748" s="6" t="n">
        <v>-0.6168098214098161</v>
      </c>
      <c r="Z748" s="6" t="n">
        <v>-0.3839378722070417</v>
      </c>
      <c r="AA748" s="6" t="n">
        <v>2.424989423022536</v>
      </c>
      <c r="AB748" s="6" t="n">
        <v>-2.506297714404211</v>
      </c>
      <c r="AC748" s="6" t="n">
        <v>1.807660104401769</v>
      </c>
      <c r="AD748" s="6" t="n">
        <v>0.5680687504607429</v>
      </c>
      <c r="AE748" s="6" t="n">
        <v>-0.01986744839657679</v>
      </c>
      <c r="AF748" s="6" t="n">
        <v>1.719738000823717</v>
      </c>
      <c r="AG748" s="6" t="n">
        <v>-3.537535221699667</v>
      </c>
      <c r="AH748" s="6" t="n">
        <v>1.673674086495209</v>
      </c>
      <c r="AI748" s="6" t="n">
        <v>1.2541426874836</v>
      </c>
      <c r="AJ748" s="6" t="n">
        <v>73.54177965521235</v>
      </c>
      <c r="AK748" s="6" t="n">
        <v>0.1043509947011297</v>
      </c>
      <c r="AL748" s="6" t="n">
        <v>1.067783472151036</v>
      </c>
      <c r="AN748" s="6" t="n">
        <v>1.341062061970368</v>
      </c>
      <c r="AO748" s="6" t="n">
        <v>1.341601597539348</v>
      </c>
      <c r="AP748" s="6" t="n">
        <v>0.1315859405119935</v>
      </c>
      <c r="AQ748" s="6" t="n">
        <v>0</v>
      </c>
      <c r="AR748" s="6" t="n">
        <v>0</v>
      </c>
    </row>
    <row r="749">
      <c r="D749" t="inlineStr">
        <is>
          <t>Run 437</t>
        </is>
      </c>
      <c r="J749" s="6" t="n">
        <v>-0.5761650139756064</v>
      </c>
      <c r="K749" s="6" t="n">
        <v>-2.275893280561</v>
      </c>
      <c r="L749" s="6" t="n">
        <v>-0.9081947328573323</v>
      </c>
      <c r="M749" s="6" t="n">
        <v>3.496636854067575</v>
      </c>
      <c r="N749" s="6" t="n">
        <v>-1.528843271939916</v>
      </c>
      <c r="O749" s="6" t="n">
        <v>1.167270519737579</v>
      </c>
      <c r="P749" s="6" t="n">
        <v>-1.710348646818036</v>
      </c>
      <c r="Q749" s="6" t="n">
        <v>1.433204603675268</v>
      </c>
      <c r="R749" s="6" t="n">
        <v>-1.638141378924229</v>
      </c>
      <c r="S749" s="6" t="n">
        <v>2.707536676948494</v>
      </c>
      <c r="T749" s="6" t="n">
        <v>-1.627361422123405</v>
      </c>
      <c r="U749" s="6" t="n">
        <v>-1.05207361799202</v>
      </c>
      <c r="V749" s="6" t="n">
        <v>-0.2549891500115456</v>
      </c>
      <c r="W749" s="6" t="n">
        <v>-2.067244291174728</v>
      </c>
      <c r="X749" s="6" t="n">
        <v>1.267706436169972</v>
      </c>
      <c r="Y749" s="6" t="n">
        <v>-2.050294143641591</v>
      </c>
      <c r="Z749" s="6" t="n">
        <v>-2.430142296061805</v>
      </c>
      <c r="AA749" s="6" t="n">
        <v>-2.007449088402678</v>
      </c>
      <c r="AB749" s="6" t="n">
        <v>-2.443001055499598</v>
      </c>
      <c r="AC749" s="6" t="n">
        <v>0.3368597103146137</v>
      </c>
      <c r="AD749" s="6" t="n">
        <v>-0.6864571294077312</v>
      </c>
      <c r="AE749" s="6" t="n">
        <v>-0.4564746698059841</v>
      </c>
      <c r="AF749" s="6" t="n">
        <v>-3.239147657247015</v>
      </c>
      <c r="AG749" s="6" t="n">
        <v>-1.00899421953996</v>
      </c>
      <c r="AH749" s="6" t="n">
        <v>1.247413168796781</v>
      </c>
      <c r="AI749" s="6" t="n">
        <v>2.003592022622728</v>
      </c>
      <c r="AJ749" s="6" t="n">
        <v>74.32901107022431</v>
      </c>
      <c r="AK749" s="6" t="n">
        <v>0.1149219079722383</v>
      </c>
      <c r="AL749" s="6" t="n">
        <v>1.056914730175395</v>
      </c>
      <c r="AN749" s="6" t="n">
        <v>1.342922213629344</v>
      </c>
      <c r="AO749" s="6" t="n">
        <v>1.344049998466604</v>
      </c>
      <c r="AP749" s="6" t="n">
        <v>0.1322663256954287</v>
      </c>
      <c r="AQ749" s="6" t="n">
        <v>0</v>
      </c>
      <c r="AR749" s="6" t="n">
        <v>0</v>
      </c>
    </row>
    <row r="750">
      <c r="D750" t="inlineStr">
        <is>
          <t>Run 438</t>
        </is>
      </c>
      <c r="J750" s="6" t="n">
        <v>-3.618785436045487</v>
      </c>
      <c r="K750" s="6" t="n">
        <v>2.905925395006819</v>
      </c>
      <c r="L750" s="6" t="n">
        <v>2.010039946226103</v>
      </c>
      <c r="M750" s="6" t="n">
        <v>1.037625794240042</v>
      </c>
      <c r="N750" s="6" t="n">
        <v>2.474259643589535</v>
      </c>
      <c r="O750" s="6" t="n">
        <v>0.2825726880607209</v>
      </c>
      <c r="P750" s="6" t="n">
        <v>-2.549818117106422</v>
      </c>
      <c r="Q750" s="6" t="n">
        <v>0.4203493548887</v>
      </c>
      <c r="R750" s="6" t="n">
        <v>-4.155527934745188</v>
      </c>
      <c r="S750" s="6" t="n">
        <v>-0.7395122313155575</v>
      </c>
      <c r="T750" s="6" t="n">
        <v>-2.486209724420917</v>
      </c>
      <c r="U750" s="6" t="n">
        <v>2.519249001019214</v>
      </c>
      <c r="V750" s="6" t="n">
        <v>-3.60662396351424</v>
      </c>
      <c r="W750" s="6" t="n">
        <v>-0.8654151494484701</v>
      </c>
      <c r="X750" s="6" t="n">
        <v>-5.859050811829853</v>
      </c>
      <c r="Y750" s="6" t="n">
        <v>3.434555271159877</v>
      </c>
      <c r="Z750" s="6" t="n">
        <v>-1.994780641588945</v>
      </c>
      <c r="AA750" s="6" t="n">
        <v>2.227246381073975</v>
      </c>
      <c r="AB750" s="6" t="n">
        <v>0.04118441853989589</v>
      </c>
      <c r="AC750" s="6" t="n">
        <v>-0.7467307572768656</v>
      </c>
      <c r="AD750" s="6" t="n">
        <v>-0.03129711619501355</v>
      </c>
      <c r="AE750" s="6" t="n">
        <v>0.6787634285230796</v>
      </c>
      <c r="AF750" s="6" t="n">
        <v>-0.5488303182301508</v>
      </c>
      <c r="AG750" s="6" t="n">
        <v>-2.623750651724404</v>
      </c>
      <c r="AH750" s="6" t="n">
        <v>1.714947483640445</v>
      </c>
      <c r="AI750" s="6" t="n">
        <v>1.327205089416199</v>
      </c>
      <c r="AJ750" s="6" t="n">
        <v>76.166402438362</v>
      </c>
      <c r="AK750" s="6" t="n">
        <v>0.1362220079573719</v>
      </c>
      <c r="AL750" s="6" t="n">
        <v>1.049660362161637</v>
      </c>
      <c r="AN750" s="6" t="n">
        <v>1.347213360507386</v>
      </c>
      <c r="AO750" s="6" t="n">
        <v>1.347638325671892</v>
      </c>
      <c r="AP750" s="6" t="n">
        <v>0.1324433949028626</v>
      </c>
      <c r="AQ750" s="6" t="n">
        <v>0</v>
      </c>
      <c r="AR750" s="6" t="n">
        <v>0</v>
      </c>
    </row>
    <row r="751">
      <c r="D751" t="inlineStr">
        <is>
          <t>Run 439</t>
        </is>
      </c>
      <c r="J751" s="6" t="n">
        <v>1.935792956535533</v>
      </c>
      <c r="K751" s="6" t="n">
        <v>1.50937873086179</v>
      </c>
      <c r="L751" s="6" t="n">
        <v>2.149353774935149</v>
      </c>
      <c r="M751" s="6" t="n">
        <v>-0.7659347624140298</v>
      </c>
      <c r="N751" s="6" t="n">
        <v>-0.869403727257067</v>
      </c>
      <c r="O751" s="6" t="n">
        <v>0.3062252858751969</v>
      </c>
      <c r="P751" s="6" t="n">
        <v>-3.267857684971925</v>
      </c>
      <c r="Q751" s="6" t="n">
        <v>0.5629954891143011</v>
      </c>
      <c r="R751" s="6" t="n">
        <v>0.9855018435492416</v>
      </c>
      <c r="S751" s="6" t="n">
        <v>2.148363274063018</v>
      </c>
      <c r="T751" s="6" t="n">
        <v>0.7737265641913121</v>
      </c>
      <c r="U751" s="6" t="n">
        <v>1.71329530124024</v>
      </c>
      <c r="V751" s="6" t="n">
        <v>-1.498032650962442</v>
      </c>
      <c r="W751" s="6" t="n">
        <v>-2.396379221754598</v>
      </c>
      <c r="X751" s="6" t="n">
        <v>0.4619781141467826</v>
      </c>
      <c r="Y751" s="6" t="n">
        <v>1.004795876661828</v>
      </c>
      <c r="Z751" s="6" t="n">
        <v>-1.586868765143875</v>
      </c>
      <c r="AA751" s="6" t="n">
        <v>-1.550758622106915</v>
      </c>
      <c r="AB751" s="6" t="n">
        <v>0.7622108914882016</v>
      </c>
      <c r="AC751" s="6" t="n">
        <v>-1.051616473528769</v>
      </c>
      <c r="AD751" s="6" t="n">
        <v>2.289027567987926</v>
      </c>
      <c r="AE751" s="6" t="n">
        <v>-2.935122386857203</v>
      </c>
      <c r="AF751" s="6" t="n">
        <v>0.04323192928679125</v>
      </c>
      <c r="AG751" s="6" t="n">
        <v>1.037178982683246</v>
      </c>
      <c r="AH751" s="6" t="n">
        <v>-2.470902950743481</v>
      </c>
      <c r="AI751" s="6" t="n">
        <v>2.290795484405028</v>
      </c>
      <c r="AJ751" s="6" t="n">
        <v>64.85219728981656</v>
      </c>
      <c r="AK751" s="6" t="n">
        <v>0.1128130941781533</v>
      </c>
      <c r="AL751" s="6" t="n">
        <v>1.009931594704995</v>
      </c>
      <c r="AN751" s="6" t="n">
        <v>1.349482831539184</v>
      </c>
      <c r="AO751" s="6" t="n">
        <v>1.349482831539184</v>
      </c>
      <c r="AP751" s="6" t="n">
        <v>0.136440839930477</v>
      </c>
      <c r="AQ751" s="6" t="n">
        <v>0</v>
      </c>
      <c r="AR751" s="6" t="n">
        <v>0</v>
      </c>
    </row>
    <row r="752">
      <c r="D752" t="inlineStr">
        <is>
          <t>Run 440</t>
        </is>
      </c>
      <c r="J752" s="6" t="n">
        <v>0.480857251541588</v>
      </c>
      <c r="K752" s="6" t="n">
        <v>0.9156289822693777</v>
      </c>
      <c r="L752" s="6" t="n">
        <v>1.365886329963734</v>
      </c>
      <c r="M752" s="6" t="n">
        <v>-0.336820440515881</v>
      </c>
      <c r="N752" s="6" t="n">
        <v>-0.8587392322597851</v>
      </c>
      <c r="O752" s="6" t="n">
        <v>-0.2101524380038905</v>
      </c>
      <c r="P752" s="6" t="n">
        <v>1.35733537061948</v>
      </c>
      <c r="Q752" s="6" t="n">
        <v>-5.034463018252698</v>
      </c>
      <c r="R752" s="6" t="n">
        <v>2.033154142311081</v>
      </c>
      <c r="S752" s="6" t="n">
        <v>-1.730670584187713</v>
      </c>
      <c r="T752" s="6" t="n">
        <v>-4.072482091435548</v>
      </c>
      <c r="U752" s="6" t="n">
        <v>-1.345314459344489</v>
      </c>
      <c r="V752" s="6" t="n">
        <v>-1.014117525356007</v>
      </c>
      <c r="W752" s="6" t="n">
        <v>-0.04465953607815407</v>
      </c>
      <c r="X752" s="6" t="n">
        <v>0.1697790403931059</v>
      </c>
      <c r="Y752" s="6" t="n">
        <v>2.172934305170085</v>
      </c>
      <c r="Z752" s="6" t="n">
        <v>0.1324509948809511</v>
      </c>
      <c r="AA752" s="6" t="n">
        <v>0.5941550741797444</v>
      </c>
      <c r="AB752" s="6" t="n">
        <v>-1.695996896914387</v>
      </c>
      <c r="AC752" s="6" t="n">
        <v>-1.969973436750384</v>
      </c>
      <c r="AD752" s="6" t="n">
        <v>0.9281804698561674</v>
      </c>
      <c r="AE752" s="6" t="n">
        <v>-5.641271172521383</v>
      </c>
      <c r="AF752" s="6" t="n">
        <v>-3.782115588088127</v>
      </c>
      <c r="AG752" s="6" t="n">
        <v>-1.523709049854382</v>
      </c>
      <c r="AH752" s="6" t="n">
        <v>1.255376310161989</v>
      </c>
      <c r="AI752" s="6" t="n">
        <v>-1.479591218008294</v>
      </c>
      <c r="AJ752" s="6" t="n">
        <v>75.40332522260744</v>
      </c>
      <c r="AK752" s="6" t="n">
        <v>0.1543348956053417</v>
      </c>
      <c r="AL752" s="6" t="n">
        <v>1.061854016025157</v>
      </c>
      <c r="AN752" s="6" t="n">
        <v>1.339763052775955</v>
      </c>
      <c r="AO752" s="6" t="n">
        <v>1.340557273614423</v>
      </c>
      <c r="AP752" s="6" t="n">
        <v>0.1302703642821461</v>
      </c>
      <c r="AQ752" s="6" t="n">
        <v>0</v>
      </c>
      <c r="AR752" s="6" t="n">
        <v>0</v>
      </c>
    </row>
    <row r="753">
      <c r="D753" t="inlineStr">
        <is>
          <t>Run 441</t>
        </is>
      </c>
      <c r="J753" s="6" t="n">
        <v>0.6841339013760543</v>
      </c>
      <c r="K753" s="6" t="n">
        <v>-0.4736106008279675</v>
      </c>
      <c r="L753" s="6" t="n">
        <v>-1.657199820303399</v>
      </c>
      <c r="M753" s="6" t="n">
        <v>0.7795416318071893</v>
      </c>
      <c r="N753" s="6" t="n">
        <v>-0.6519566151897989</v>
      </c>
      <c r="O753" s="6" t="n">
        <v>1.557358099104812</v>
      </c>
      <c r="P753" s="6" t="n">
        <v>-3.394905824081892</v>
      </c>
      <c r="Q753" s="6" t="n">
        <v>-1.12555462309172</v>
      </c>
      <c r="R753" s="6" t="n">
        <v>-2.215536802346173</v>
      </c>
      <c r="S753" s="6" t="n">
        <v>-3.050679489469698</v>
      </c>
      <c r="T753" s="6" t="n">
        <v>-1.932424821741761</v>
      </c>
      <c r="U753" s="6" t="n">
        <v>2.060735881929613</v>
      </c>
      <c r="V753" s="6" t="n">
        <v>1.352890248713599</v>
      </c>
      <c r="W753" s="6" t="n">
        <v>1.14658690158976</v>
      </c>
      <c r="X753" s="6" t="n">
        <v>-0.4938516654444879</v>
      </c>
      <c r="Y753" s="6" t="n">
        <v>-1.519100019327529</v>
      </c>
      <c r="Z753" s="6" t="n">
        <v>1.157031762462723</v>
      </c>
      <c r="AA753" s="6" t="n">
        <v>0.2995009164733171</v>
      </c>
      <c r="AB753" s="6" t="n">
        <v>1.114733669704514</v>
      </c>
      <c r="AC753" s="6" t="n">
        <v>1.470273592323668</v>
      </c>
      <c r="AD753" s="6" t="n">
        <v>-1.190192197715388</v>
      </c>
      <c r="AE753" s="6" t="n">
        <v>-0.7457610484775825</v>
      </c>
      <c r="AF753" s="6" t="n">
        <v>-0.8787486792819434</v>
      </c>
      <c r="AG753" s="6" t="n">
        <v>-0.6074704507702949</v>
      </c>
      <c r="AH753" s="6" t="n">
        <v>-5.688346315876641</v>
      </c>
      <c r="AI753" s="6" t="n">
        <v>2.037039061593758</v>
      </c>
      <c r="AJ753" s="6" t="n">
        <v>80.09054099398051</v>
      </c>
      <c r="AK753" s="6" t="n">
        <v>0.1687223412087434</v>
      </c>
      <c r="AL753" s="6" t="n">
        <v>1.034218435786133</v>
      </c>
      <c r="AN753" s="6" t="n">
        <v>1.352426311786464</v>
      </c>
      <c r="AO753" s="6" t="n">
        <v>1.35341831774012</v>
      </c>
      <c r="AP753" s="6" t="n">
        <v>0.1332583570914982</v>
      </c>
      <c r="AQ753" s="6" t="n">
        <v>0</v>
      </c>
      <c r="AR753" s="6" t="n">
        <v>0</v>
      </c>
    </row>
    <row r="754">
      <c r="D754" t="inlineStr">
        <is>
          <t>Run 442</t>
        </is>
      </c>
      <c r="J754" s="6" t="n">
        <v>0.2280299082213013</v>
      </c>
      <c r="K754" s="6" t="n">
        <v>1.138312389935824</v>
      </c>
      <c r="L754" s="6" t="n">
        <v>-3.062653408168304</v>
      </c>
      <c r="M754" s="6" t="n">
        <v>2.19032958566943</v>
      </c>
      <c r="N754" s="6" t="n">
        <v>2.479999296496979</v>
      </c>
      <c r="O754" s="6" t="n">
        <v>-2.365112105918672</v>
      </c>
      <c r="P754" s="6" t="n">
        <v>0.2611838580510815</v>
      </c>
      <c r="Q754" s="6" t="n">
        <v>0.5640150083608345</v>
      </c>
      <c r="R754" s="6" t="n">
        <v>0.1155932361175763</v>
      </c>
      <c r="S754" s="6" t="n">
        <v>0.8111128003936312</v>
      </c>
      <c r="T754" s="6" t="n">
        <v>1.673282468013107</v>
      </c>
      <c r="U754" s="6" t="n">
        <v>-0.7034670551783185</v>
      </c>
      <c r="V754" s="6" t="n">
        <v>-1.120173997298814</v>
      </c>
      <c r="W754" s="6" t="n">
        <v>0.6260653920480185</v>
      </c>
      <c r="X754" s="6" t="n">
        <v>-4.506174965026547</v>
      </c>
      <c r="Y754" s="6" t="n">
        <v>0.2864560181143974</v>
      </c>
      <c r="Z754" s="6" t="n">
        <v>-1.158916021916806</v>
      </c>
      <c r="AA754" s="6" t="n">
        <v>-1.376237395535308</v>
      </c>
      <c r="AB754" s="6" t="n">
        <v>-0.6153547254112728</v>
      </c>
      <c r="AC754" s="6" t="n">
        <v>0.5152550594792372</v>
      </c>
      <c r="AD754" s="6" t="n">
        <v>-0.8744655917003823</v>
      </c>
      <c r="AE754" s="6" t="n">
        <v>-1.564858676664479</v>
      </c>
      <c r="AF754" s="6" t="n">
        <v>-1.104184399486452</v>
      </c>
      <c r="AG754" s="6" t="n">
        <v>-0.05361027985283364</v>
      </c>
      <c r="AH754" s="6" t="n">
        <v>0.6692464927027117</v>
      </c>
      <c r="AI754" s="6" t="n">
        <v>2.370339602883588</v>
      </c>
      <c r="AJ754" s="6" t="n">
        <v>81.72865281636153</v>
      </c>
      <c r="AK754" s="6" t="n">
        <v>0.1722813155052189</v>
      </c>
      <c r="AL754" s="6" t="n">
        <v>1.098268447435165</v>
      </c>
      <c r="AN754" s="6" t="n">
        <v>1.327700730353938</v>
      </c>
      <c r="AO754" s="6" t="n">
        <v>1.329258314258654</v>
      </c>
      <c r="AP754" s="6" t="n">
        <v>0.128347136158046</v>
      </c>
      <c r="AQ754" s="6" t="n">
        <v>0</v>
      </c>
      <c r="AR754" s="6" t="n">
        <v>0</v>
      </c>
    </row>
    <row r="755">
      <c r="D755" t="inlineStr">
        <is>
          <t>Run 443</t>
        </is>
      </c>
      <c r="J755" s="6" t="n">
        <v>0.7632186342595768</v>
      </c>
      <c r="K755" s="6" t="n">
        <v>3.005282103386464</v>
      </c>
      <c r="L755" s="6" t="n">
        <v>3.543153192114331</v>
      </c>
      <c r="M755" s="6" t="n">
        <v>1.514923935702568</v>
      </c>
      <c r="N755" s="6" t="n">
        <v>2.467261064977783</v>
      </c>
      <c r="O755" s="6" t="n">
        <v>-0.3188362649450057</v>
      </c>
      <c r="P755" s="6" t="n">
        <v>0.7877315368169695</v>
      </c>
      <c r="Q755" s="6" t="n">
        <v>-0.2852812971387771</v>
      </c>
      <c r="R755" s="6" t="n">
        <v>2.047594351363683</v>
      </c>
      <c r="S755" s="6" t="n">
        <v>2.336819859834683</v>
      </c>
      <c r="T755" s="6" t="n">
        <v>2.712804895639877</v>
      </c>
      <c r="U755" s="6" t="n">
        <v>4.238414244236688</v>
      </c>
      <c r="V755" s="6" t="n">
        <v>1.445288226141357</v>
      </c>
      <c r="W755" s="6" t="n">
        <v>-1.936423280559315</v>
      </c>
      <c r="X755" s="6" t="n">
        <v>0.212102815571563</v>
      </c>
      <c r="Y755" s="6" t="n">
        <v>1.803241513501436</v>
      </c>
      <c r="Z755" s="6" t="n">
        <v>-2.209414917557711</v>
      </c>
      <c r="AA755" s="6" t="n">
        <v>0.6965877346813543</v>
      </c>
      <c r="AB755" s="6" t="n">
        <v>-3.096076571885816</v>
      </c>
      <c r="AC755" s="6" t="n">
        <v>-0.6233346895772588</v>
      </c>
      <c r="AD755" s="6" t="n">
        <v>2.129929364808563</v>
      </c>
      <c r="AE755" s="6" t="n">
        <v>1.874629282299282</v>
      </c>
      <c r="AF755" s="6" t="n">
        <v>2.140341833667298</v>
      </c>
      <c r="AG755" s="6" t="n">
        <v>-0.02004912364870851</v>
      </c>
      <c r="AH755" s="6" t="n">
        <v>0.4631331699229739</v>
      </c>
      <c r="AI755" s="6" t="n">
        <v>-0.4291749348508092</v>
      </c>
      <c r="AJ755" s="6" t="n">
        <v>71.02790566960549</v>
      </c>
      <c r="AK755" s="6" t="n">
        <v>0.1414873752485237</v>
      </c>
      <c r="AL755" s="6" t="n">
        <v>0.9763560501005516</v>
      </c>
      <c r="AN755" s="6" t="n">
        <v>1.358467996260134</v>
      </c>
      <c r="AO755" s="6" t="n">
        <v>1.358467996260134</v>
      </c>
      <c r="AP755" s="6" t="n">
        <v>0.1430845955510065</v>
      </c>
      <c r="AQ755" s="6" t="n">
        <v>0</v>
      </c>
      <c r="AR755" s="6" t="n">
        <v>0</v>
      </c>
    </row>
    <row r="756">
      <c r="D756" t="inlineStr">
        <is>
          <t>Run 444</t>
        </is>
      </c>
      <c r="J756" s="6" t="n">
        <v>1.698578939346506</v>
      </c>
      <c r="K756" s="6" t="n">
        <v>-1.891556203438883</v>
      </c>
      <c r="L756" s="6" t="n">
        <v>0.07407542943798247</v>
      </c>
      <c r="M756" s="6" t="n">
        <v>0.04505416746556468</v>
      </c>
      <c r="N756" s="6" t="n">
        <v>-2.157848742109037</v>
      </c>
      <c r="O756" s="6" t="n">
        <v>0.1471119985939443</v>
      </c>
      <c r="P756" s="6" t="n">
        <v>0.8538171994054294</v>
      </c>
      <c r="Q756" s="6" t="n">
        <v>1.748621252869016</v>
      </c>
      <c r="R756" s="6" t="n">
        <v>0.2362585060882337</v>
      </c>
      <c r="S756" s="6" t="n">
        <v>1.356805977556036</v>
      </c>
      <c r="T756" s="6" t="n">
        <v>0.102984799575206</v>
      </c>
      <c r="U756" s="6" t="n">
        <v>-1.510638104993307</v>
      </c>
      <c r="V756" s="6" t="n">
        <v>-0.6130481763351258</v>
      </c>
      <c r="W756" s="6" t="n">
        <v>2.425193046918301</v>
      </c>
      <c r="X756" s="6" t="n">
        <v>2.104033733346647</v>
      </c>
      <c r="Y756" s="6" t="n">
        <v>2.25009211716648</v>
      </c>
      <c r="Z756" s="6" t="n">
        <v>0.7596098899447077</v>
      </c>
      <c r="AA756" s="6" t="n">
        <v>3.086117646437265</v>
      </c>
      <c r="AB756" s="6" t="n">
        <v>1.677341384636809</v>
      </c>
      <c r="AC756" s="6" t="n">
        <v>-0.4146014662634403</v>
      </c>
      <c r="AD756" s="6" t="n">
        <v>1.953033048831068</v>
      </c>
      <c r="AE756" s="6" t="n">
        <v>-0.4007538013981563</v>
      </c>
      <c r="AF756" s="6" t="n">
        <v>-1.647070129869846</v>
      </c>
      <c r="AG756" s="6" t="n">
        <v>-1.6614394103183</v>
      </c>
      <c r="AH756" s="6" t="n">
        <v>3.716978299912941</v>
      </c>
      <c r="AI756" s="6" t="n">
        <v>4.449534366027719</v>
      </c>
      <c r="AJ756" s="6" t="n">
        <v>71.16192615989351</v>
      </c>
      <c r="AK756" s="6" t="n">
        <v>0.06549752168076843</v>
      </c>
      <c r="AL756" s="6" t="n">
        <v>1.015989392290185</v>
      </c>
      <c r="AN756" s="6" t="n">
        <v>1.352267337322357</v>
      </c>
      <c r="AO756" s="6" t="n">
        <v>1.352267337322357</v>
      </c>
      <c r="AP756" s="6" t="n">
        <v>0.1374731941890192</v>
      </c>
      <c r="AQ756" s="6" t="n">
        <v>0</v>
      </c>
      <c r="AR756" s="6" t="n">
        <v>0</v>
      </c>
    </row>
    <row r="757">
      <c r="D757" t="inlineStr">
        <is>
          <t>Run 445</t>
        </is>
      </c>
      <c r="J757" s="6" t="n">
        <v>1.032862759118564</v>
      </c>
      <c r="K757" s="6" t="n">
        <v>-1.166528023234578</v>
      </c>
      <c r="L757" s="6" t="n">
        <v>0.7686500928382852</v>
      </c>
      <c r="M757" s="6" t="n">
        <v>-2.696458259532618</v>
      </c>
      <c r="N757" s="6" t="n">
        <v>-1.857733888595038</v>
      </c>
      <c r="O757" s="6" t="n">
        <v>-0.05730832037922026</v>
      </c>
      <c r="P757" s="6" t="n">
        <v>-1.151548109395417</v>
      </c>
      <c r="Q757" s="6" t="n">
        <v>0.462571902692504</v>
      </c>
      <c r="R757" s="6" t="n">
        <v>2.926919299018633</v>
      </c>
      <c r="S757" s="6" t="n">
        <v>1.148247523041094</v>
      </c>
      <c r="T757" s="6" t="n">
        <v>0.7479339153746164</v>
      </c>
      <c r="U757" s="6" t="n">
        <v>0.9583552681437569</v>
      </c>
      <c r="V757" s="6" t="n">
        <v>-1.33105627638165</v>
      </c>
      <c r="W757" s="6" t="n">
        <v>3.274248778460047</v>
      </c>
      <c r="X757" s="6" t="n">
        <v>0.7647498530711875</v>
      </c>
      <c r="Y757" s="6" t="n">
        <v>2.445063333725818</v>
      </c>
      <c r="Z757" s="6" t="n">
        <v>-2.232197076169446</v>
      </c>
      <c r="AA757" s="6" t="n">
        <v>-1.301124479912088</v>
      </c>
      <c r="AB757" s="6" t="n">
        <v>3.565556888214857</v>
      </c>
      <c r="AC757" s="6" t="n">
        <v>0.9549277170584184</v>
      </c>
      <c r="AD757" s="6" t="n">
        <v>1.369216887394618</v>
      </c>
      <c r="AE757" s="6" t="n">
        <v>-2.970111213604564</v>
      </c>
      <c r="AF757" s="6" t="n">
        <v>0.5585644838250061</v>
      </c>
      <c r="AG757" s="6" t="n">
        <v>0.596737670090725</v>
      </c>
      <c r="AH757" s="6" t="n">
        <v>-0.945044833963957</v>
      </c>
      <c r="AI757" s="6" t="n">
        <v>-0.7519623316244848</v>
      </c>
      <c r="AJ757" s="6" t="n">
        <v>80.30191817427675</v>
      </c>
      <c r="AK757" s="6" t="n">
        <v>0.188569289683908</v>
      </c>
      <c r="AL757" s="6" t="n">
        <v>1.081162657257236</v>
      </c>
      <c r="AN757" s="6" t="n">
        <v>1.311018877582546</v>
      </c>
      <c r="AO757" s="6" t="n">
        <v>1.315511609150732</v>
      </c>
      <c r="AP757" s="6" t="n">
        <v>0.1285702031163494</v>
      </c>
      <c r="AQ757" s="6" t="n">
        <v>0</v>
      </c>
      <c r="AR757" s="6" t="n">
        <v>0</v>
      </c>
    </row>
    <row r="758">
      <c r="D758" t="inlineStr">
        <is>
          <t>Run 446</t>
        </is>
      </c>
      <c r="J758" s="6" t="n">
        <v>1.30158793218504</v>
      </c>
      <c r="K758" s="6" t="n">
        <v>-3.177052260578308</v>
      </c>
      <c r="L758" s="6" t="n">
        <v>-0.8594543885594591</v>
      </c>
      <c r="M758" s="6" t="n">
        <v>-1.602498093766855</v>
      </c>
      <c r="N758" s="6" t="n">
        <v>3.200093064253307</v>
      </c>
      <c r="O758" s="6" t="n">
        <v>-0.3036977797873331</v>
      </c>
      <c r="P758" s="6" t="n">
        <v>-0.1668153222134683</v>
      </c>
      <c r="Q758" s="6" t="n">
        <v>2.303913897792542</v>
      </c>
      <c r="R758" s="6" t="n">
        <v>-1.746976440048692</v>
      </c>
      <c r="S758" s="6" t="n">
        <v>-0.2561502451248922</v>
      </c>
      <c r="T758" s="6" t="n">
        <v>-2.984088307182946</v>
      </c>
      <c r="U758" s="6" t="n">
        <v>-0.1847157661634594</v>
      </c>
      <c r="V758" s="6" t="n">
        <v>-0.09957445493845878</v>
      </c>
      <c r="W758" s="6" t="n">
        <v>-0.8708276821330279</v>
      </c>
      <c r="X758" s="6" t="n">
        <v>2.37100762143636</v>
      </c>
      <c r="Y758" s="6" t="n">
        <v>0.4919582124503131</v>
      </c>
      <c r="Z758" s="6" t="n">
        <v>3.107102918811721</v>
      </c>
      <c r="AA758" s="6" t="n">
        <v>3.159264745168917</v>
      </c>
      <c r="AB758" s="6" t="n">
        <v>0.2572640686041948</v>
      </c>
      <c r="AC758" s="6" t="n">
        <v>2.07302695567086</v>
      </c>
      <c r="AD758" s="6" t="n">
        <v>1.383116676577557</v>
      </c>
      <c r="AE758" s="6" t="n">
        <v>-0.996375638533714</v>
      </c>
      <c r="AF758" s="6" t="n">
        <v>0.03457952963046505</v>
      </c>
      <c r="AG758" s="6" t="n">
        <v>-0.408665010839913</v>
      </c>
      <c r="AH758" s="6" t="n">
        <v>1.382766413703785</v>
      </c>
      <c r="AI758" s="6" t="n">
        <v>0.5775680788743145</v>
      </c>
      <c r="AJ758" s="6" t="n">
        <v>76.55834024201299</v>
      </c>
      <c r="AK758" s="6" t="n">
        <v>0.1510089682524141</v>
      </c>
      <c r="AL758" s="6" t="n">
        <v>1.002247581074472</v>
      </c>
      <c r="AN758" s="6" t="n">
        <v>1.354918372689085</v>
      </c>
      <c r="AO758" s="6" t="n">
        <v>1.356666526201833</v>
      </c>
      <c r="AP758" s="6" t="n">
        <v>0.1382861549944921</v>
      </c>
      <c r="AQ758" s="6" t="n">
        <v>0</v>
      </c>
      <c r="AR758" s="6" t="n">
        <v>0</v>
      </c>
    </row>
    <row r="759">
      <c r="D759" t="inlineStr">
        <is>
          <t>Run 447</t>
        </is>
      </c>
      <c r="J759" s="6" t="n">
        <v>4.245286378327316</v>
      </c>
      <c r="K759" s="6" t="n">
        <v>1.644707908626365</v>
      </c>
      <c r="L759" s="6" t="n">
        <v>2.849151303474488</v>
      </c>
      <c r="M759" s="6" t="n">
        <v>2.726279314026095</v>
      </c>
      <c r="N759" s="6" t="n">
        <v>0.2361407379873172</v>
      </c>
      <c r="O759" s="6" t="n">
        <v>0.5732951098215571</v>
      </c>
      <c r="P759" s="6" t="n">
        <v>-2.267391756745403</v>
      </c>
      <c r="Q759" s="6" t="n">
        <v>0.7442380778968584</v>
      </c>
      <c r="R759" s="6" t="n">
        <v>-0.3152087070920576</v>
      </c>
      <c r="S759" s="6" t="n">
        <v>-0.5324680921061987</v>
      </c>
      <c r="T759" s="6" t="n">
        <v>-1.450668575252856</v>
      </c>
      <c r="U759" s="6" t="n">
        <v>-0.9539345318608222</v>
      </c>
      <c r="V759" s="6" t="n">
        <v>-1.633459728599622</v>
      </c>
      <c r="W759" s="6" t="n">
        <v>-0.5117788232662053</v>
      </c>
      <c r="X759" s="6" t="n">
        <v>-0.1255057919221958</v>
      </c>
      <c r="Y759" s="6" t="n">
        <v>0.9233080501086857</v>
      </c>
      <c r="Z759" s="6" t="n">
        <v>-0.8941141555161954</v>
      </c>
      <c r="AA759" s="6" t="n">
        <v>-2.487899047990656</v>
      </c>
      <c r="AB759" s="6" t="n">
        <v>0.2921006648250057</v>
      </c>
      <c r="AC759" s="6" t="n">
        <v>-1.6142973381837</v>
      </c>
      <c r="AD759" s="6" t="n">
        <v>1.595952488939916</v>
      </c>
      <c r="AE759" s="6" t="n">
        <v>1.1319648327974</v>
      </c>
      <c r="AF759" s="6" t="n">
        <v>2.514390532475594</v>
      </c>
      <c r="AG759" s="6" t="n">
        <v>-2.216185179481599</v>
      </c>
      <c r="AH759" s="6" t="n">
        <v>2.024235415406647</v>
      </c>
      <c r="AI759" s="6" t="n">
        <v>-0.7716993633409814</v>
      </c>
      <c r="AJ759" s="6" t="n">
        <v>76.1688977206579</v>
      </c>
      <c r="AK759" s="6" t="n">
        <v>0.08370893704977356</v>
      </c>
      <c r="AL759" s="6" t="n">
        <v>1.061293271952217</v>
      </c>
      <c r="AN759" s="6" t="n">
        <v>1.346011846298693</v>
      </c>
      <c r="AO759" s="6" t="n">
        <v>1.346505558039499</v>
      </c>
      <c r="AP759" s="6" t="n">
        <v>0.1327933944265212</v>
      </c>
      <c r="AQ759" s="6" t="n">
        <v>0</v>
      </c>
      <c r="AR759" s="6" t="n">
        <v>0</v>
      </c>
    </row>
    <row r="760">
      <c r="D760" t="inlineStr">
        <is>
          <t>Run 448</t>
        </is>
      </c>
      <c r="J760" s="6" t="n">
        <v>-0.7610589960234595</v>
      </c>
      <c r="K760" s="6" t="n">
        <v>-0.3162016437506162</v>
      </c>
      <c r="L760" s="6" t="n">
        <v>3.132648366044462</v>
      </c>
      <c r="M760" s="6" t="n">
        <v>0.03934228793898067</v>
      </c>
      <c r="N760" s="6" t="n">
        <v>-0.8942767743199755</v>
      </c>
      <c r="O760" s="6" t="n">
        <v>-1.836771990564469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0.1537645521996913</v>
      </c>
      <c r="T760" s="6" t="n">
        <v>1.67971096275483</v>
      </c>
      <c r="U760" s="6" t="n">
        <v>1.191581814337759</v>
      </c>
      <c r="V760" s="6" t="n">
        <v>-0.3868586408694768</v>
      </c>
      <c r="W760" s="6" t="n">
        <v>1.380355990457577</v>
      </c>
      <c r="X760" s="6" t="n">
        <v>-1.766870410287386</v>
      </c>
      <c r="Y760" s="6" t="n">
        <v>2.083662569927436</v>
      </c>
      <c r="Z760" s="6" t="n">
        <v>-0.2302951977798384</v>
      </c>
      <c r="AA760" s="6" t="n">
        <v>2.327670878553576</v>
      </c>
      <c r="AB760" s="6" t="n">
        <v>1.002817653418805</v>
      </c>
      <c r="AC760" s="6" t="n">
        <v>-4.248577500675875</v>
      </c>
      <c r="AD760" s="6" t="n">
        <v>-0.2760898410978926</v>
      </c>
      <c r="AE760" s="6" t="n">
        <v>4.383220392666596</v>
      </c>
      <c r="AF760" s="6" t="n">
        <v>2.779864116446142</v>
      </c>
      <c r="AG760" s="6" t="n">
        <v>-0.04130420755356462</v>
      </c>
      <c r="AH760" s="6" t="n">
        <v>-1.07952250923365</v>
      </c>
      <c r="AI760" s="6" t="n">
        <v>-3.735434357989314</v>
      </c>
      <c r="AJ760" s="6" t="n">
        <v>64.23536588829853</v>
      </c>
      <c r="AK760" s="6" t="n">
        <v>0.127719080388901</v>
      </c>
      <c r="AL760" s="6" t="n">
        <v>1.040045081252856</v>
      </c>
      <c r="AN760" s="6" t="n">
        <v>1.344551775644703</v>
      </c>
      <c r="AO760" s="6" t="n">
        <v>1.345548104136082</v>
      </c>
      <c r="AP760" s="6" t="n">
        <v>0.1326933167653729</v>
      </c>
      <c r="AQ760" s="6" t="n">
        <v>0</v>
      </c>
      <c r="AR760" s="6" t="n">
        <v>0</v>
      </c>
    </row>
    <row r="761">
      <c r="D761" t="inlineStr">
        <is>
          <t>Run 449</t>
        </is>
      </c>
      <c r="J761" s="6" t="n">
        <v>3.435784522103893</v>
      </c>
      <c r="K761" s="6" t="n">
        <v>1.590753979695295</v>
      </c>
      <c r="L761" s="6" t="n">
        <v>-1.363626152633445</v>
      </c>
      <c r="M761" s="6" t="n">
        <v>-1.643964233976433</v>
      </c>
      <c r="N761" s="6" t="n">
        <v>-1.0603178617012</v>
      </c>
      <c r="O761" s="6" t="n">
        <v>2.68183364109605</v>
      </c>
      <c r="P761" s="6" t="n">
        <v>3.199116666267447</v>
      </c>
      <c r="Q761" s="6" t="n">
        <v>0.1684825111034485</v>
      </c>
      <c r="R761" s="6" t="n">
        <v>4.554749867400389</v>
      </c>
      <c r="S761" s="6" t="n">
        <v>0.7474265005499924</v>
      </c>
      <c r="T761" s="6" t="n">
        <v>-2.013731410503805</v>
      </c>
      <c r="U761" s="6" t="n">
        <v>0.7991153189769956</v>
      </c>
      <c r="V761" s="6" t="n">
        <v>-0.2966431440329615</v>
      </c>
      <c r="W761" s="6" t="n">
        <v>-0.01436444328381</v>
      </c>
      <c r="X761" s="6" t="n">
        <v>-2.069114051037197</v>
      </c>
      <c r="Y761" s="6" t="n">
        <v>0.6948069072051373</v>
      </c>
      <c r="Z761" s="6" t="n">
        <v>0.7396865120715709</v>
      </c>
      <c r="AA761" s="6" t="n">
        <v>0.7723820980880028</v>
      </c>
      <c r="AB761" s="6" t="n">
        <v>-0.1885450604525833</v>
      </c>
      <c r="AC761" s="6" t="n">
        <v>2.00360438769128</v>
      </c>
      <c r="AD761" s="6" t="n">
        <v>1.371952367030525</v>
      </c>
      <c r="AE761" s="6" t="n">
        <v>-0.5926802987106171</v>
      </c>
      <c r="AF761" s="6" t="n">
        <v>0.005184850953702095</v>
      </c>
      <c r="AG761" s="6" t="n">
        <v>2.18670214172321</v>
      </c>
      <c r="AH761" s="6" t="n">
        <v>3.134586965658171</v>
      </c>
      <c r="AI761" s="6" t="n">
        <v>-1.213438151266808</v>
      </c>
      <c r="AJ761" s="6" t="n">
        <v>70.67248774143196</v>
      </c>
      <c r="AK761" s="6" t="n">
        <v>0.1130776890653342</v>
      </c>
      <c r="AL761" s="6" t="n">
        <v>1.032196509489982</v>
      </c>
      <c r="AN761" s="6" t="n">
        <v>1.342272298878895</v>
      </c>
      <c r="AO761" s="6" t="n">
        <v>1.347308312514075</v>
      </c>
      <c r="AP761" s="6" t="n">
        <v>0.134236000138599</v>
      </c>
      <c r="AQ761" s="6" t="n">
        <v>0</v>
      </c>
      <c r="AR761" s="6" t="n">
        <v>0</v>
      </c>
    </row>
    <row r="762">
      <c r="D762" t="inlineStr">
        <is>
          <t>Run 450</t>
        </is>
      </c>
      <c r="J762" s="6" t="n">
        <v>-1.036490967069394</v>
      </c>
      <c r="K762" s="6" t="n">
        <v>0.5128637127278417</v>
      </c>
      <c r="L762" s="6" t="n">
        <v>0.7104478105797116</v>
      </c>
      <c r="M762" s="6" t="n">
        <v>-1.70568041503578</v>
      </c>
      <c r="N762" s="6" t="n">
        <v>3.306125090279674</v>
      </c>
      <c r="O762" s="6" t="n">
        <v>1.982745372301836</v>
      </c>
      <c r="P762" s="6" t="n">
        <v>0.2871590674962522</v>
      </c>
      <c r="Q762" s="6" t="n">
        <v>2.150713672437749</v>
      </c>
      <c r="R762" s="6" t="n">
        <v>0.6436493679451448</v>
      </c>
      <c r="S762" s="6" t="n">
        <v>1.818344603480226</v>
      </c>
      <c r="T762" s="6" t="n">
        <v>-0.3807815178540984</v>
      </c>
      <c r="U762" s="6" t="n">
        <v>0.7698977524095952</v>
      </c>
      <c r="V762" s="6" t="n">
        <v>-0.1230162112928077</v>
      </c>
      <c r="W762" s="6" t="n">
        <v>0.1641935692682413</v>
      </c>
      <c r="X762" s="6" t="n">
        <v>-0.01588678263747449</v>
      </c>
      <c r="Y762" s="6" t="n">
        <v>-4.447925596367403</v>
      </c>
      <c r="Z762" s="6" t="n">
        <v>-1.21867264533972</v>
      </c>
      <c r="AA762" s="6" t="n">
        <v>-2.459843318021502</v>
      </c>
      <c r="AB762" s="6" t="n">
        <v>-0.2315176707461603</v>
      </c>
      <c r="AC762" s="6" t="n">
        <v>0.241940357256026</v>
      </c>
      <c r="AD762" s="6" t="n">
        <v>-0.8313597247729665</v>
      </c>
      <c r="AE762" s="6" t="n">
        <v>-0.9857261914740607</v>
      </c>
      <c r="AF762" s="6" t="n">
        <v>2.438526745530001</v>
      </c>
      <c r="AG762" s="6" t="n">
        <v>1.653930651785219</v>
      </c>
      <c r="AH762" s="6" t="n">
        <v>-0.9736839653443116</v>
      </c>
      <c r="AI762" s="6" t="n">
        <v>-0.05076171557841545</v>
      </c>
      <c r="AJ762" s="6" t="n">
        <v>62.29893328290786</v>
      </c>
      <c r="AK762" s="6" t="n">
        <v>0.1204365092357702</v>
      </c>
      <c r="AL762" s="6" t="n">
        <v>1.050960948278529</v>
      </c>
      <c r="AN762" s="6" t="n">
        <v>1.331618009673034</v>
      </c>
      <c r="AO762" s="6" t="n">
        <v>1.335512124239832</v>
      </c>
      <c r="AP762" s="6" t="n">
        <v>0.1314110357501346</v>
      </c>
      <c r="AQ762" s="6" t="n">
        <v>0</v>
      </c>
      <c r="AR762" s="6" t="n">
        <v>0</v>
      </c>
    </row>
    <row r="763">
      <c r="D763" t="inlineStr">
        <is>
          <t>Run 451</t>
        </is>
      </c>
      <c r="J763" s="6" t="n">
        <v>-1.185720156896809</v>
      </c>
      <c r="K763" s="6" t="n">
        <v>-2.286300297282995</v>
      </c>
      <c r="L763" s="6" t="n">
        <v>2.22117742828071</v>
      </c>
      <c r="M763" s="6" t="n">
        <v>-3.341016045719026</v>
      </c>
      <c r="N763" s="6" t="n">
        <v>0.1635563734696006</v>
      </c>
      <c r="O763" s="6" t="n">
        <v>-0.6363163899327999</v>
      </c>
      <c r="P763" s="6" t="n">
        <v>1.991862397030031</v>
      </c>
      <c r="Q763" s="6" t="n">
        <v>2.914976716475931</v>
      </c>
      <c r="R763" s="6" t="n">
        <v>-0.8317692611647778</v>
      </c>
      <c r="S763" s="6" t="n">
        <v>1.717327008006698</v>
      </c>
      <c r="T763" s="6" t="n">
        <v>-2.606786698367404</v>
      </c>
      <c r="U763" s="6" t="n">
        <v>-0.01738545738022265</v>
      </c>
      <c r="V763" s="6" t="n">
        <v>-2.149886578123938</v>
      </c>
      <c r="W763" s="6" t="n">
        <v>3.647375568515631</v>
      </c>
      <c r="X763" s="6" t="n">
        <v>-4.648113895253712</v>
      </c>
      <c r="Y763" s="6" t="n">
        <v>1.870153164250363</v>
      </c>
      <c r="Z763" s="6" t="n">
        <v>-0.004003539750347562</v>
      </c>
      <c r="AA763" s="6" t="n">
        <v>2.58417771753203</v>
      </c>
      <c r="AB763" s="6" t="n">
        <v>1.789649459089907</v>
      </c>
      <c r="AC763" s="6" t="n">
        <v>0.3894411911916939</v>
      </c>
      <c r="AD763" s="6" t="n">
        <v>0.2898499545882884</v>
      </c>
      <c r="AE763" s="6" t="n">
        <v>-3.183779291930511</v>
      </c>
      <c r="AF763" s="6" t="n">
        <v>-2.860218082363406</v>
      </c>
      <c r="AG763" s="6" t="n">
        <v>-0.2579617715733596</v>
      </c>
      <c r="AH763" s="6" t="n">
        <v>-0.7980525078056613</v>
      </c>
      <c r="AI763" s="6" t="n">
        <v>0.303518948119541</v>
      </c>
      <c r="AJ763" s="6" t="n">
        <v>72.10868016229529</v>
      </c>
      <c r="AK763" s="6" t="n">
        <v>0.09967085614374049</v>
      </c>
      <c r="AL763" s="6" t="n">
        <v>1.031575901375722</v>
      </c>
      <c r="AN763" s="6" t="n">
        <v>1.319120928826919</v>
      </c>
      <c r="AO763" s="6" t="n">
        <v>1.329536837275342</v>
      </c>
      <c r="AP763" s="6" t="n">
        <v>0.1345326558773977</v>
      </c>
      <c r="AQ763" s="6" t="n">
        <v>0</v>
      </c>
      <c r="AR763" s="6" t="n">
        <v>0</v>
      </c>
    </row>
    <row r="764">
      <c r="D764" t="inlineStr">
        <is>
          <t>Run 452</t>
        </is>
      </c>
      <c r="J764" s="6" t="n">
        <v>-0.2802261299842183</v>
      </c>
      <c r="K764" s="6" t="n">
        <v>0.4329475418541118</v>
      </c>
      <c r="L764" s="6" t="n">
        <v>1.409234271304187</v>
      </c>
      <c r="M764" s="6" t="n">
        <v>-3.016248655688022</v>
      </c>
      <c r="N764" s="6" t="n">
        <v>-2.758998727008385</v>
      </c>
      <c r="O764" s="6" t="n">
        <v>-0.3346045371684268</v>
      </c>
      <c r="P764" s="6" t="n">
        <v>0.5117771859242074</v>
      </c>
      <c r="Q764" s="6" t="n">
        <v>0.08043292406088891</v>
      </c>
      <c r="R764" s="6" t="n">
        <v>-1.754572951421522</v>
      </c>
      <c r="S764" s="6" t="n">
        <v>-0.9887824862602458</v>
      </c>
      <c r="T764" s="6" t="n">
        <v>-0.2919770552885758</v>
      </c>
      <c r="U764" s="6" t="n">
        <v>-0.9436604400097928</v>
      </c>
      <c r="V764" s="6" t="n">
        <v>-0.577745302681906</v>
      </c>
      <c r="W764" s="6" t="n">
        <v>1.637337087745749</v>
      </c>
      <c r="X764" s="6" t="n">
        <v>-3.757220620739904</v>
      </c>
      <c r="Y764" s="6" t="n">
        <v>-2.067447931552437</v>
      </c>
      <c r="Z764" s="6" t="n">
        <v>-3.249792373409345</v>
      </c>
      <c r="AA764" s="6" t="n">
        <v>1.564170463736557</v>
      </c>
      <c r="AB764" s="6" t="n">
        <v>3.303314264369148</v>
      </c>
      <c r="AC764" s="6" t="n">
        <v>0.4960577150246861</v>
      </c>
      <c r="AD764" s="6" t="n">
        <v>-2.513652595332238</v>
      </c>
      <c r="AE764" s="6" t="n">
        <v>0.6346927262395906</v>
      </c>
      <c r="AF764" s="6" t="n">
        <v>-2.152973092651026</v>
      </c>
      <c r="AG764" s="6" t="n">
        <v>0.2358643774552099</v>
      </c>
      <c r="AH764" s="6" t="n">
        <v>-1.001834830538925</v>
      </c>
      <c r="AI764" s="6" t="n">
        <v>1.846967980355016</v>
      </c>
      <c r="AJ764" s="6" t="n">
        <v>59.17642313433577</v>
      </c>
      <c r="AK764" s="6" t="n">
        <v>0.08186793118014057</v>
      </c>
      <c r="AL764" s="6" t="n">
        <v>1.11450843315772</v>
      </c>
      <c r="AN764" s="6" t="n">
        <v>1.300608832164716</v>
      </c>
      <c r="AO764" s="6" t="n">
        <v>1.303906133868906</v>
      </c>
      <c r="AP764" s="6" t="n">
        <v>0.1285482996826346</v>
      </c>
      <c r="AQ764" s="6" t="n">
        <v>0</v>
      </c>
      <c r="AR764" s="6" t="n">
        <v>0</v>
      </c>
    </row>
    <row r="765">
      <c r="D765" t="inlineStr">
        <is>
          <t>Run 453</t>
        </is>
      </c>
      <c r="J765" s="6" t="n">
        <v>-3.929110338132683</v>
      </c>
      <c r="K765" s="6" t="n">
        <v>-3.26420468890535</v>
      </c>
      <c r="L765" s="6" t="n">
        <v>1.279242063037881</v>
      </c>
      <c r="M765" s="6" t="n">
        <v>-2.513001664402802</v>
      </c>
      <c r="N765" s="6" t="n">
        <v>-0.2694845952209787</v>
      </c>
      <c r="O765" s="6" t="n">
        <v>2.684166377626919</v>
      </c>
      <c r="P765" s="6" t="n">
        <v>0.5051170278117529</v>
      </c>
      <c r="Q765" s="6" t="n">
        <v>-2.456004232059362</v>
      </c>
      <c r="R765" s="6" t="n">
        <v>-0.968875273631119</v>
      </c>
      <c r="S765" s="6" t="n">
        <v>-0.07739013128847431</v>
      </c>
      <c r="T765" s="6" t="n">
        <v>-2.649199227285426</v>
      </c>
      <c r="U765" s="6" t="n">
        <v>2.257041210496681</v>
      </c>
      <c r="V765" s="6" t="n">
        <v>-1.959681025308476</v>
      </c>
      <c r="W765" s="6" t="n">
        <v>0.2955071015327327</v>
      </c>
      <c r="X765" s="6" t="n">
        <v>1.622066499571234</v>
      </c>
      <c r="Y765" s="6" t="n">
        <v>-0.3545375275716449</v>
      </c>
      <c r="Z765" s="6" t="n">
        <v>3.084561101364418</v>
      </c>
      <c r="AA765" s="6" t="n">
        <v>-1.372837321453497</v>
      </c>
      <c r="AB765" s="6" t="n">
        <v>-1.522733391908903</v>
      </c>
      <c r="AC765" s="6" t="n">
        <v>-1.836928644790647</v>
      </c>
      <c r="AD765" s="6" t="n">
        <v>1.397162106958787</v>
      </c>
      <c r="AE765" s="6" t="n">
        <v>2.405028021119453</v>
      </c>
      <c r="AF765" s="6" t="n">
        <v>-2.447384124271164</v>
      </c>
      <c r="AG765" s="6" t="n">
        <v>-3.225645745818309</v>
      </c>
      <c r="AH765" s="6" t="n">
        <v>2.089580793175597</v>
      </c>
      <c r="AI765" s="6" t="n">
        <v>4.747939493628225</v>
      </c>
      <c r="AJ765" s="6" t="n">
        <v>79.7507289547016</v>
      </c>
      <c r="AK765" s="6" t="n">
        <v>0.1450225355293612</v>
      </c>
      <c r="AL765" s="6" t="n">
        <v>1.084831955889704</v>
      </c>
      <c r="AN765" s="6" t="n">
        <v>1.315630431762473</v>
      </c>
      <c r="AO765" s="6" t="n">
        <v>1.323354702897712</v>
      </c>
      <c r="AP765" s="6" t="n">
        <v>0.1292022239831196</v>
      </c>
      <c r="AQ765" s="6" t="n">
        <v>0</v>
      </c>
      <c r="AR765" s="6" t="n">
        <v>0</v>
      </c>
    </row>
    <row r="766">
      <c r="D766" t="inlineStr">
        <is>
          <t>Run 454</t>
        </is>
      </c>
      <c r="J766" s="6" t="n">
        <v>-0.7182320551037326</v>
      </c>
      <c r="K766" s="6" t="n">
        <v>-1.356337286088839</v>
      </c>
      <c r="L766" s="6" t="n">
        <v>-0.9701868899679869</v>
      </c>
      <c r="M766" s="6" t="n">
        <v>2.597597734652176</v>
      </c>
      <c r="N766" s="6" t="n">
        <v>2.753971899245456</v>
      </c>
      <c r="O766" s="6" t="n">
        <v>0.9483974886446327</v>
      </c>
      <c r="P766" s="6" t="n">
        <v>-3.117352597188527</v>
      </c>
      <c r="Q766" s="6" t="n">
        <v>-2.36065045132683</v>
      </c>
      <c r="R766" s="6" t="n">
        <v>-1.116057529967287</v>
      </c>
      <c r="S766" s="6" t="n">
        <v>0.01373072683185567</v>
      </c>
      <c r="T766" s="6" t="n">
        <v>0.1266720853767677</v>
      </c>
      <c r="U766" s="6" t="n">
        <v>-1.060910522490887</v>
      </c>
      <c r="V766" s="6" t="n">
        <v>-1.275284142158158</v>
      </c>
      <c r="W766" s="6" t="n">
        <v>-0.1266539127055214</v>
      </c>
      <c r="X766" s="6" t="n">
        <v>1.1246918032026</v>
      </c>
      <c r="Y766" s="6" t="n">
        <v>-0.9669755823188622</v>
      </c>
      <c r="Z766" s="6" t="n">
        <v>-0.7349368235884702</v>
      </c>
      <c r="AA766" s="6" t="n">
        <v>-2.231583461040344</v>
      </c>
      <c r="AB766" s="6" t="n">
        <v>-1.593388797687505</v>
      </c>
      <c r="AC766" s="6" t="n">
        <v>0.7055726980294832</v>
      </c>
      <c r="AD766" s="6" t="n">
        <v>0.05260365960816506</v>
      </c>
      <c r="AE766" s="6" t="n">
        <v>0.6021761239308533</v>
      </c>
      <c r="AF766" s="6" t="n">
        <v>3.040841251743465</v>
      </c>
      <c r="AG766" s="6" t="n">
        <v>-0.9788240670461377</v>
      </c>
      <c r="AH766" s="6" t="n">
        <v>2.582527068865337</v>
      </c>
      <c r="AI766" s="6" t="n">
        <v>0.7842483640251563</v>
      </c>
      <c r="AJ766" s="6" t="n">
        <v>82.38570244312803</v>
      </c>
      <c r="AK766" s="6" t="n">
        <v>0.08465246688368144</v>
      </c>
      <c r="AL766" s="6" t="n">
        <v>1.083543548508511</v>
      </c>
      <c r="AN766" s="6" t="n">
        <v>1.341669553083799</v>
      </c>
      <c r="AO766" s="6" t="n">
        <v>1.341886750394263</v>
      </c>
      <c r="AP766" s="6" t="n">
        <v>0.1312607336995757</v>
      </c>
      <c r="AQ766" s="6" t="n">
        <v>0</v>
      </c>
      <c r="AR766" s="6" t="n">
        <v>0</v>
      </c>
    </row>
    <row r="767">
      <c r="D767" t="inlineStr">
        <is>
          <t>Run 455</t>
        </is>
      </c>
      <c r="J767" s="6" t="n">
        <v>-0.6237963839845202</v>
      </c>
      <c r="K767" s="6" t="n">
        <v>-0.1303036420389618</v>
      </c>
      <c r="L767" s="6" t="n">
        <v>1.808298355151309</v>
      </c>
      <c r="M767" s="6" t="n">
        <v>0.9910064107425777</v>
      </c>
      <c r="N767" s="6" t="n">
        <v>2.256406200052647</v>
      </c>
      <c r="O767" s="6" t="n">
        <v>0.07425211382726803</v>
      </c>
      <c r="P767" s="6" t="n">
        <v>2.856418091699648</v>
      </c>
      <c r="Q767" s="6" t="n">
        <v>-1.89447955347804</v>
      </c>
      <c r="R767" s="6" t="n">
        <v>2.708565832063905</v>
      </c>
      <c r="S767" s="6" t="n">
        <v>1.987810902067375</v>
      </c>
      <c r="T767" s="6" t="n">
        <v>-1.233071223116571</v>
      </c>
      <c r="U767" s="6" t="n">
        <v>0.2557705171342636</v>
      </c>
      <c r="V767" s="6" t="n">
        <v>2.208973471666002</v>
      </c>
      <c r="W767" s="6" t="n">
        <v>-1.004478257352035</v>
      </c>
      <c r="X767" s="6" t="n">
        <v>-0.6972554257194858</v>
      </c>
      <c r="Y767" s="6" t="n">
        <v>0.1724601990523495</v>
      </c>
      <c r="Z767" s="6" t="n">
        <v>-0.5116969374622209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-1.978119477098034</v>
      </c>
      <c r="AE767" s="6" t="n">
        <v>-0.657490589830928</v>
      </c>
      <c r="AF767" s="6" t="n">
        <v>-3.372763203478403</v>
      </c>
      <c r="AG767" s="6" t="n">
        <v>1.620584220780166</v>
      </c>
      <c r="AH767" s="6" t="n">
        <v>-1.238150712717787</v>
      </c>
      <c r="AI767" s="6" t="n">
        <v>1.189019731835293</v>
      </c>
      <c r="AJ767" s="6" t="n">
        <v>64.07530277114847</v>
      </c>
      <c r="AK767" s="6" t="n">
        <v>0.1390478618566861</v>
      </c>
      <c r="AL767" s="6" t="n">
        <v>1.014298349013045</v>
      </c>
      <c r="AN767" s="6" t="n">
        <v>1.349888764195121</v>
      </c>
      <c r="AO767" s="6" t="n">
        <v>1.349888764195121</v>
      </c>
      <c r="AP767" s="6" t="n">
        <v>0.1350310359986858</v>
      </c>
      <c r="AQ767" s="6" t="n">
        <v>0</v>
      </c>
      <c r="AR767" s="6" t="n">
        <v>0</v>
      </c>
    </row>
    <row r="768">
      <c r="D768" t="inlineStr">
        <is>
          <t>Run 456</t>
        </is>
      </c>
      <c r="J768" s="6" t="n">
        <v>-2.883687642149051</v>
      </c>
      <c r="K768" s="6" t="n">
        <v>1.402571272332258</v>
      </c>
      <c r="L768" s="6" t="n">
        <v>-0.6825045768730447</v>
      </c>
      <c r="M768" s="6" t="n">
        <v>1.72675845542532</v>
      </c>
      <c r="N768" s="6" t="n">
        <v>1.008203533047706</v>
      </c>
      <c r="O768" s="6" t="n">
        <v>-0.4239058307538599</v>
      </c>
      <c r="P768" s="6" t="n">
        <v>-0.9616228576238626</v>
      </c>
      <c r="Q768" s="6" t="n">
        <v>0.4725747822305829</v>
      </c>
      <c r="R768" s="6" t="n">
        <v>2.681786021146272</v>
      </c>
      <c r="S768" s="6" t="n">
        <v>0.2492853034280063</v>
      </c>
      <c r="T768" s="6" t="n">
        <v>-1.799600253603194</v>
      </c>
      <c r="U768" s="6" t="n">
        <v>-1.368143160302448</v>
      </c>
      <c r="V768" s="6" t="n">
        <v>0.2469291861057559</v>
      </c>
      <c r="W768" s="6" t="n">
        <v>0.07744920894758443</v>
      </c>
      <c r="X768" s="6" t="n">
        <v>-0.6554352365868805</v>
      </c>
      <c r="Y768" s="6" t="n">
        <v>-2.359209199099171</v>
      </c>
      <c r="Z768" s="6" t="n">
        <v>1.533596020486829</v>
      </c>
      <c r="AA768" s="6" t="n">
        <v>-1.080933980457608</v>
      </c>
      <c r="AB768" s="6" t="n">
        <v>0.7098702084498292</v>
      </c>
      <c r="AC768" s="6" t="n">
        <v>1.354486789633892</v>
      </c>
      <c r="AD768" s="6" t="n">
        <v>0.2855937960029302</v>
      </c>
      <c r="AE768" s="6" t="n">
        <v>1.183982468893026</v>
      </c>
      <c r="AF768" s="6" t="n">
        <v>-0.8526031553898424</v>
      </c>
      <c r="AG768" s="6" t="n">
        <v>-0.466003463441494</v>
      </c>
      <c r="AH768" s="6" t="n">
        <v>-0.7163895308206485</v>
      </c>
      <c r="AI768" s="6" t="n">
        <v>0.07030444738506839</v>
      </c>
      <c r="AJ768" s="6" t="n">
        <v>76.8685034047113</v>
      </c>
      <c r="AK768" s="6" t="n">
        <v>0.140477927561033</v>
      </c>
      <c r="AL768" s="6" t="n">
        <v>1.060690790174588</v>
      </c>
      <c r="AN768" s="6" t="n">
        <v>1.343283371705009</v>
      </c>
      <c r="AO768" s="6" t="n">
        <v>1.343354957089864</v>
      </c>
      <c r="AP768" s="6" t="n">
        <v>0.1313495264744716</v>
      </c>
      <c r="AQ768" s="6" t="n">
        <v>0</v>
      </c>
      <c r="AR768" s="6" t="n">
        <v>0</v>
      </c>
    </row>
    <row r="769">
      <c r="D769" t="inlineStr">
        <is>
          <t>Run 457</t>
        </is>
      </c>
      <c r="J769" s="6" t="n">
        <v>2.380240688321776</v>
      </c>
      <c r="K769" s="6" t="n">
        <v>2.492360701060483</v>
      </c>
      <c r="L769" s="6" t="n">
        <v>4.081691986155134</v>
      </c>
      <c r="M769" s="6" t="n">
        <v>-1.899676482649623</v>
      </c>
      <c r="N769" s="6" t="n">
        <v>-1.945631425979062</v>
      </c>
      <c r="O769" s="6" t="n">
        <v>-1.97965862763296</v>
      </c>
      <c r="P769" s="6" t="n">
        <v>-1.601923800661435</v>
      </c>
      <c r="Q769" s="6" t="n">
        <v>1.562253222439387</v>
      </c>
      <c r="R769" s="6" t="n">
        <v>-0.2598925669985782</v>
      </c>
      <c r="S769" s="6" t="n">
        <v>-1.034274130256635</v>
      </c>
      <c r="T769" s="6" t="n">
        <v>-0.7540157799884027</v>
      </c>
      <c r="U769" s="6" t="n">
        <v>-0.8569553680629372</v>
      </c>
      <c r="V769" s="6" t="n">
        <v>4.076593092851178</v>
      </c>
      <c r="W769" s="6" t="n">
        <v>-1.786155183729756</v>
      </c>
      <c r="X769" s="6" t="n">
        <v>2.829096026669136</v>
      </c>
      <c r="Y769" s="6" t="n">
        <v>1.007833253245092</v>
      </c>
      <c r="Z769" s="6" t="n">
        <v>3.560213858949922</v>
      </c>
      <c r="AA769" s="6" t="n">
        <v>-2.839549772458597</v>
      </c>
      <c r="AB769" s="6" t="n">
        <v>0.1481941663495037</v>
      </c>
      <c r="AC769" s="6" t="n">
        <v>0.5273008372935635</v>
      </c>
      <c r="AD769" s="6" t="n">
        <v>0.1894932889490436</v>
      </c>
      <c r="AE769" s="6" t="n">
        <v>-2.743245752532579</v>
      </c>
      <c r="AF769" s="6" t="n">
        <v>0.6619119162424214</v>
      </c>
      <c r="AG769" s="6" t="n">
        <v>-1.076510761886555</v>
      </c>
      <c r="AH769" s="6" t="n">
        <v>-0.01143374639652254</v>
      </c>
      <c r="AI769" s="6" t="n">
        <v>0.1503219987296971</v>
      </c>
      <c r="AJ769" s="6" t="n">
        <v>76.27670057264272</v>
      </c>
      <c r="AK769" s="6" t="n">
        <v>0.1744714350545629</v>
      </c>
      <c r="AL769" s="6" t="n">
        <v>1.04891224989689</v>
      </c>
      <c r="AN769" s="6" t="n">
        <v>1.331573380797362</v>
      </c>
      <c r="AO769" s="6" t="n">
        <v>1.335803751649282</v>
      </c>
      <c r="AP769" s="6" t="n">
        <v>0.131519474505381</v>
      </c>
      <c r="AQ769" s="6" t="n">
        <v>0</v>
      </c>
      <c r="AR769" s="6" t="n">
        <v>0</v>
      </c>
    </row>
    <row r="770">
      <c r="D770" t="inlineStr">
        <is>
          <t>Run 458</t>
        </is>
      </c>
      <c r="J770" s="6" t="n">
        <v>1.646841489978186</v>
      </c>
      <c r="K770" s="6" t="n">
        <v>2.157445077775152</v>
      </c>
      <c r="L770" s="6" t="n">
        <v>3.561897124272793</v>
      </c>
      <c r="M770" s="6" t="n">
        <v>-0.7074674473596754</v>
      </c>
      <c r="N770" s="6" t="n">
        <v>1.169876207671271</v>
      </c>
      <c r="O770" s="6" t="n">
        <v>0.01496622950419235</v>
      </c>
      <c r="P770" s="6" t="n">
        <v>-2.574309594682512</v>
      </c>
      <c r="Q770" s="6" t="n">
        <v>-0.02749990195165082</v>
      </c>
      <c r="R770" s="6" t="n">
        <v>0.1756742531500325</v>
      </c>
      <c r="S770" s="6" t="n">
        <v>-2.838423358608906</v>
      </c>
      <c r="T770" s="6" t="n">
        <v>0.00518531086952344</v>
      </c>
      <c r="U770" s="6" t="n">
        <v>-2.121493921197839</v>
      </c>
      <c r="V770" s="6" t="n">
        <v>-4.588008793861955</v>
      </c>
      <c r="W770" s="6" t="n">
        <v>3.301362838494039</v>
      </c>
      <c r="X770" s="6" t="n">
        <v>-0.6617081389821211</v>
      </c>
      <c r="Y770" s="6" t="n">
        <v>0.2867750820712472</v>
      </c>
      <c r="Z770" s="6" t="n">
        <v>3.873347604104371</v>
      </c>
      <c r="AA770" s="6" t="n">
        <v>-3.506188374634014</v>
      </c>
      <c r="AB770" s="6" t="n">
        <v>-1.544756324936871</v>
      </c>
      <c r="AC770" s="6" t="n">
        <v>-0.4118317904700691</v>
      </c>
      <c r="AD770" s="6" t="n">
        <v>-2.045695285511429</v>
      </c>
      <c r="AE770" s="6" t="n">
        <v>-0.3128042965641871</v>
      </c>
      <c r="AF770" s="6" t="n">
        <v>-1.401195427041579</v>
      </c>
      <c r="AG770" s="6" t="n">
        <v>-0.7236983176508459</v>
      </c>
      <c r="AH770" s="6" t="n">
        <v>1.775616220025096</v>
      </c>
      <c r="AI770" s="6" t="n">
        <v>0.2389952319682439</v>
      </c>
      <c r="AJ770" s="6" t="n">
        <v>75.18069924383752</v>
      </c>
      <c r="AK770" s="6" t="n">
        <v>0.1194603772279609</v>
      </c>
      <c r="AL770" s="6" t="n">
        <v>1.04009308915156</v>
      </c>
      <c r="AN770" s="6" t="n">
        <v>1.349364568844389</v>
      </c>
      <c r="AO770" s="6" t="n">
        <v>1.349750409849579</v>
      </c>
      <c r="AP770" s="6" t="n">
        <v>0.133553502510675</v>
      </c>
      <c r="AQ770" s="6" t="n">
        <v>0</v>
      </c>
      <c r="AR770" s="6" t="n">
        <v>0</v>
      </c>
    </row>
    <row r="771">
      <c r="D771" t="inlineStr">
        <is>
          <t>Run 459</t>
        </is>
      </c>
      <c r="J771" s="6" t="n">
        <v>3.337531679237226</v>
      </c>
      <c r="K771" s="6" t="n">
        <v>0.4234863727346941</v>
      </c>
      <c r="L771" s="6" t="n">
        <v>1.400371676592419</v>
      </c>
      <c r="M771" s="6" t="n">
        <v>-0.9874676065298283</v>
      </c>
      <c r="N771" s="6" t="n">
        <v>1.87163858298365</v>
      </c>
      <c r="O771" s="6" t="n">
        <v>2.949270293549124</v>
      </c>
      <c r="P771" s="6" t="n">
        <v>-0.2079433360387097</v>
      </c>
      <c r="Q771" s="6" t="n">
        <v>2.301997288394017</v>
      </c>
      <c r="R771" s="6" t="n">
        <v>-5.086501252136543</v>
      </c>
      <c r="S771" s="6" t="n">
        <v>-2.338440836534126</v>
      </c>
      <c r="T771" s="6" t="n">
        <v>-1.360275294140664</v>
      </c>
      <c r="U771" s="6" t="n">
        <v>0.7699266371742268</v>
      </c>
      <c r="V771" s="6" t="n">
        <v>-2.953284432088514</v>
      </c>
      <c r="W771" s="6" t="n">
        <v>0.06067617054500697</v>
      </c>
      <c r="X771" s="6" t="n">
        <v>-3.363143386072135</v>
      </c>
      <c r="Y771" s="6" t="n">
        <v>0.03544867808470717</v>
      </c>
      <c r="Z771" s="6" t="n">
        <v>-5.463793171172924</v>
      </c>
      <c r="AA771" s="6" t="n">
        <v>-0.9115243133116789</v>
      </c>
      <c r="AB771" s="6" t="n">
        <v>4.037156979691339</v>
      </c>
      <c r="AC771" s="6" t="n">
        <v>-0.9466176088521536</v>
      </c>
      <c r="AD771" s="6" t="n">
        <v>-3.785599595830417</v>
      </c>
      <c r="AE771" s="6" t="n">
        <v>0.4647286368257759</v>
      </c>
      <c r="AF771" s="6" t="n">
        <v>-6.071453733023649</v>
      </c>
      <c r="AG771" s="6" t="n">
        <v>-4.224396378127762</v>
      </c>
      <c r="AH771" s="6" t="n">
        <v>-0.098588324406345</v>
      </c>
      <c r="AI771" s="6" t="n">
        <v>-1.340374676481661</v>
      </c>
      <c r="AJ771" s="6" t="n">
        <v>79.05923292878161</v>
      </c>
      <c r="AK771" s="6" t="n">
        <v>0.135089426513002</v>
      </c>
      <c r="AL771" s="6" t="n">
        <v>1.057385085495826</v>
      </c>
      <c r="AN771" s="6" t="n">
        <v>1.344276247929732</v>
      </c>
      <c r="AO771" s="6" t="n">
        <v>1.344705259253038</v>
      </c>
      <c r="AP771" s="6" t="n">
        <v>0.1317452568580904</v>
      </c>
      <c r="AQ771" s="6" t="n">
        <v>0</v>
      </c>
      <c r="AR771" s="6" t="n">
        <v>0</v>
      </c>
    </row>
    <row r="772">
      <c r="D772" t="inlineStr">
        <is>
          <t>Run 460</t>
        </is>
      </c>
      <c r="J772" s="6" t="n">
        <v>-0.6465025134732896</v>
      </c>
      <c r="K772" s="6" t="n">
        <v>-1.159647229296521</v>
      </c>
      <c r="L772" s="6" t="n">
        <v>-0.4801847430259855</v>
      </c>
      <c r="M772" s="6" t="n">
        <v>2.354393262589324</v>
      </c>
      <c r="N772" s="6" t="n">
        <v>3.03859757039671</v>
      </c>
      <c r="O772" s="6" t="n">
        <v>1.511473139853528</v>
      </c>
      <c r="P772" s="6" t="n">
        <v>1.318259193326918</v>
      </c>
      <c r="Q772" s="6" t="n">
        <v>-0.9216136213916658</v>
      </c>
      <c r="R772" s="6" t="n">
        <v>0.1607196080788499</v>
      </c>
      <c r="S772" s="6" t="n">
        <v>-0.747474369787853</v>
      </c>
      <c r="T772" s="6" t="n">
        <v>-0.5355334531150078</v>
      </c>
      <c r="U772" s="6" t="n">
        <v>-2.208102763689252</v>
      </c>
      <c r="V772" s="6" t="n">
        <v>1.027858427032971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3.167791314140829</v>
      </c>
      <c r="AA772" s="6" t="n">
        <v>-1.052477760975585</v>
      </c>
      <c r="AB772" s="6" t="n">
        <v>4.184188144320673</v>
      </c>
      <c r="AC772" s="6" t="n">
        <v>-1.285414625897052</v>
      </c>
      <c r="AD772" s="6" t="n">
        <v>1.05311462638742</v>
      </c>
      <c r="AE772" s="6" t="n">
        <v>1.395588226691267</v>
      </c>
      <c r="AF772" s="6" t="n">
        <v>-1.622894218658981</v>
      </c>
      <c r="AG772" s="6" t="n">
        <v>1.586098453839006</v>
      </c>
      <c r="AH772" s="6" t="n">
        <v>-0.1822980387810233</v>
      </c>
      <c r="AI772" s="6" t="n">
        <v>1.987220631125408</v>
      </c>
      <c r="AJ772" s="6" t="n">
        <v>74.10079086002638</v>
      </c>
      <c r="AK772" s="6" t="n">
        <v>0.1704095095496323</v>
      </c>
      <c r="AL772" s="6" t="n">
        <v>1.041681847534824</v>
      </c>
      <c r="AN772" s="6" t="n">
        <v>1.344926155148868</v>
      </c>
      <c r="AO772" s="6" t="n">
        <v>1.345248236442575</v>
      </c>
      <c r="AP772" s="6" t="n">
        <v>0.1320656757472319</v>
      </c>
      <c r="AQ772" s="6" t="n">
        <v>0</v>
      </c>
      <c r="AR772" s="6" t="n">
        <v>0</v>
      </c>
    </row>
    <row r="773">
      <c r="D773" t="inlineStr">
        <is>
          <t>Run 461</t>
        </is>
      </c>
      <c r="J773" s="6" t="n">
        <v>1.266465714055217</v>
      </c>
      <c r="K773" s="6" t="n">
        <v>0.8562085550717957</v>
      </c>
      <c r="L773" s="6" t="n">
        <v>1.401318479252147</v>
      </c>
      <c r="M773" s="6" t="n">
        <v>0.564842564698896</v>
      </c>
      <c r="N773" s="6" t="n">
        <v>-0.7042731785452676</v>
      </c>
      <c r="O773" s="6" t="n">
        <v>-0.5010212226054225</v>
      </c>
      <c r="P773" s="6" t="n">
        <v>-0.2797017610165344</v>
      </c>
      <c r="Q773" s="6" t="n">
        <v>4.819034531715288</v>
      </c>
      <c r="R773" s="6" t="n">
        <v>2.368594687664519</v>
      </c>
      <c r="S773" s="6" t="n">
        <v>1.615956077331468</v>
      </c>
      <c r="T773" s="6" t="n">
        <v>5</v>
      </c>
      <c r="U773" s="6" t="n">
        <v>-1.524756719540897</v>
      </c>
      <c r="V773" s="6" t="n">
        <v>-0.6293724520578946</v>
      </c>
      <c r="W773" s="6" t="n">
        <v>-3.010985804585565</v>
      </c>
      <c r="X773" s="6" t="n">
        <v>1.378908486327081</v>
      </c>
      <c r="Y773" s="6" t="n">
        <v>0.8247462008474957</v>
      </c>
      <c r="Z773" s="6" t="n">
        <v>-2.490285431698847</v>
      </c>
      <c r="AA773" s="6" t="n">
        <v>1.379296765922518</v>
      </c>
      <c r="AB773" s="6" t="n">
        <v>2.038875544870611</v>
      </c>
      <c r="AC773" s="6" t="n">
        <v>1.007608624631596</v>
      </c>
      <c r="AD773" s="6" t="n">
        <v>-1.942942726598654</v>
      </c>
      <c r="AE773" s="6" t="n">
        <v>-2.620752995744186</v>
      </c>
      <c r="AF773" s="6" t="n">
        <v>-1.290403006043395</v>
      </c>
      <c r="AG773" s="6" t="n">
        <v>0.5224118712427782</v>
      </c>
      <c r="AH773" s="6" t="n">
        <v>1.015027076311355</v>
      </c>
      <c r="AI773" s="6" t="n">
        <v>0.23836772570388</v>
      </c>
      <c r="AJ773" s="6" t="n">
        <v>77.26653975350594</v>
      </c>
      <c r="AK773" s="6" t="n">
        <v>0.2124448953644108</v>
      </c>
      <c r="AL773" s="6" t="n">
        <v>1.037666681162869</v>
      </c>
      <c r="AN773" s="6" t="n">
        <v>1.34601989852264</v>
      </c>
      <c r="AO773" s="6" t="n">
        <v>1.346446830642984</v>
      </c>
      <c r="AP773" s="6" t="n">
        <v>0.13173542159702</v>
      </c>
      <c r="AQ773" s="6" t="n">
        <v>0</v>
      </c>
      <c r="AR773" s="6" t="n">
        <v>0</v>
      </c>
    </row>
    <row r="774">
      <c r="D774" t="inlineStr">
        <is>
          <t>Run 462</t>
        </is>
      </c>
      <c r="J774" s="6" t="n">
        <v>-2.173239986454937</v>
      </c>
      <c r="K774" s="6" t="n">
        <v>3.148297361184454</v>
      </c>
      <c r="L774" s="6" t="n">
        <v>2.676096595240193</v>
      </c>
      <c r="M774" s="6" t="n">
        <v>2.210907827506674</v>
      </c>
      <c r="N774" s="6" t="n">
        <v>-1.666700927637699</v>
      </c>
      <c r="O774" s="6" t="n">
        <v>-0.7972650845359621</v>
      </c>
      <c r="P774" s="6" t="n">
        <v>-2.267915538049594</v>
      </c>
      <c r="Q774" s="6" t="n">
        <v>-2.816353224577449</v>
      </c>
      <c r="R774" s="6" t="n">
        <v>-1.78996033969572</v>
      </c>
      <c r="S774" s="6" t="n">
        <v>-1.305992607459645</v>
      </c>
      <c r="T774" s="6" t="n">
        <v>-2.535616659469969</v>
      </c>
      <c r="U774" s="6" t="n">
        <v>-3.21051700244807</v>
      </c>
      <c r="V774" s="6" t="n">
        <v>1.038338822022406</v>
      </c>
      <c r="W774" s="6" t="n">
        <v>2.100097985537119</v>
      </c>
      <c r="X774" s="6" t="n">
        <v>-2.955222108114014</v>
      </c>
      <c r="Y774" s="6" t="n">
        <v>-2.507908246416043</v>
      </c>
      <c r="Z774" s="6" t="n">
        <v>-0.08419985759786462</v>
      </c>
      <c r="AA774" s="6" t="n">
        <v>-2.948561557361011</v>
      </c>
      <c r="AB774" s="6" t="n">
        <v>2.921767331670345</v>
      </c>
      <c r="AC774" s="6" t="n">
        <v>1.410991577084703</v>
      </c>
      <c r="AD774" s="6" t="n">
        <v>0.3848070683230175</v>
      </c>
      <c r="AE774" s="6" t="n">
        <v>-0.6124920300656717</v>
      </c>
      <c r="AF774" s="6" t="n">
        <v>1.058960045393749</v>
      </c>
      <c r="AG774" s="6" t="n">
        <v>-0.8083964520346638</v>
      </c>
      <c r="AH774" s="6" t="n">
        <v>1.984954364927827</v>
      </c>
      <c r="AI774" s="6" t="n">
        <v>-3.794682946579344</v>
      </c>
      <c r="AJ774" s="6" t="n">
        <v>76.96736222144685</v>
      </c>
      <c r="AK774" s="6" t="n">
        <v>0.1749306458969663</v>
      </c>
      <c r="AL774" s="6" t="n">
        <v>1.01106880658037</v>
      </c>
      <c r="AN774" s="6" t="n">
        <v>1.356807548010001</v>
      </c>
      <c r="AO774" s="6" t="n">
        <v>1.357333367139212</v>
      </c>
      <c r="AP774" s="6" t="n">
        <v>0.1357031134276582</v>
      </c>
      <c r="AQ774" s="6" t="n">
        <v>0</v>
      </c>
      <c r="AR774" s="6" t="n">
        <v>0</v>
      </c>
    </row>
    <row r="775">
      <c r="D775" t="inlineStr">
        <is>
          <t>Run 463</t>
        </is>
      </c>
      <c r="J775" s="6" t="n">
        <v>0.0784496677044496</v>
      </c>
      <c r="K775" s="6" t="n">
        <v>0.7192864214472444</v>
      </c>
      <c r="L775" s="6" t="n">
        <v>1.089199452120493</v>
      </c>
      <c r="M775" s="6" t="n">
        <v>-0.9751486208494472</v>
      </c>
      <c r="N775" s="6" t="n">
        <v>-1.025771451993355</v>
      </c>
      <c r="O775" s="6" t="n">
        <v>0.773730298952971</v>
      </c>
      <c r="P775" s="6" t="n">
        <v>-3.117072321553001</v>
      </c>
      <c r="Q775" s="6" t="n">
        <v>-0.2717736354025546</v>
      </c>
      <c r="R775" s="6" t="n">
        <v>-1.170595158909967</v>
      </c>
      <c r="S775" s="6" t="n">
        <v>-0.3418162243991281</v>
      </c>
      <c r="T775" s="6" t="n">
        <v>-3.514334338517679</v>
      </c>
      <c r="U775" s="6" t="n">
        <v>-1.194134162806889</v>
      </c>
      <c r="V775" s="6" t="n">
        <v>0.3468775709113385</v>
      </c>
      <c r="W775" s="6" t="n">
        <v>-0.001570218432090488</v>
      </c>
      <c r="X775" s="6" t="n">
        <v>1.254822976446747</v>
      </c>
      <c r="Y775" s="6" t="n">
        <v>-1.055660289104007</v>
      </c>
      <c r="Z775" s="6" t="n">
        <v>1.587044862999</v>
      </c>
      <c r="AA775" s="6" t="n">
        <v>-0.2083266390465496</v>
      </c>
      <c r="AB775" s="6" t="n">
        <v>-1.54345021776752</v>
      </c>
      <c r="AC775" s="6" t="n">
        <v>0.8371975038990005</v>
      </c>
      <c r="AD775" s="6" t="n">
        <v>2.152154299067872</v>
      </c>
      <c r="AE775" s="6" t="n">
        <v>1.930101917164246</v>
      </c>
      <c r="AF775" s="6" t="n">
        <v>2.582796883182604</v>
      </c>
      <c r="AG775" s="6" t="n">
        <v>-1.036088295732064</v>
      </c>
      <c r="AH775" s="6" t="n">
        <v>-1.163906708599925</v>
      </c>
      <c r="AI775" s="6" t="n">
        <v>-2.145930280040341</v>
      </c>
      <c r="AJ775" s="6" t="n">
        <v>62.12184051639115</v>
      </c>
      <c r="AK775" s="6" t="n">
        <v>0.09624815995275006</v>
      </c>
      <c r="AL775" s="6" t="n">
        <v>1.069159455686304</v>
      </c>
      <c r="AN775" s="6" t="n">
        <v>1.337149219806426</v>
      </c>
      <c r="AO775" s="6" t="n">
        <v>1.338316508835014</v>
      </c>
      <c r="AP775" s="6" t="n">
        <v>0.1308580876170441</v>
      </c>
      <c r="AQ775" s="6" t="n">
        <v>0</v>
      </c>
      <c r="AR775" s="6" t="n">
        <v>0</v>
      </c>
    </row>
    <row r="776">
      <c r="D776" t="inlineStr">
        <is>
          <t>Run 464</t>
        </is>
      </c>
      <c r="J776" s="6" t="n">
        <v>-1.924864770877327</v>
      </c>
      <c r="K776" s="6" t="n">
        <v>2.295730463108752</v>
      </c>
      <c r="L776" s="6" t="n">
        <v>-0.4679512286541699</v>
      </c>
      <c r="M776" s="6" t="n">
        <v>-0.8288853324753578</v>
      </c>
      <c r="N776" s="6" t="n">
        <v>2.24844307417658</v>
      </c>
      <c r="O776" s="6" t="n">
        <v>-3.051306376458672</v>
      </c>
      <c r="P776" s="6" t="n">
        <v>1.789244522297154</v>
      </c>
      <c r="Q776" s="6" t="n">
        <v>3.024886725072292</v>
      </c>
      <c r="R776" s="6" t="n">
        <v>-0.5461260723118175</v>
      </c>
      <c r="S776" s="6" t="n">
        <v>-1.211366270068989</v>
      </c>
      <c r="T776" s="6" t="n">
        <v>1.214673064566496</v>
      </c>
      <c r="U776" s="6" t="n">
        <v>-4.367648070603707</v>
      </c>
      <c r="V776" s="6" t="n">
        <v>-2.957212948404897</v>
      </c>
      <c r="W776" s="6" t="n">
        <v>0.5183734046985966</v>
      </c>
      <c r="X776" s="6" t="n">
        <v>0.8834603554331375</v>
      </c>
      <c r="Y776" s="6" t="n">
        <v>-3.036392786857425</v>
      </c>
      <c r="Z776" s="6" t="n">
        <v>-1.593909706517464</v>
      </c>
      <c r="AA776" s="6" t="n">
        <v>-0.3292370188710312</v>
      </c>
      <c r="AB776" s="6" t="n">
        <v>0.1935720575761921</v>
      </c>
      <c r="AC776" s="6" t="n">
        <v>0.6384834396605636</v>
      </c>
      <c r="AD776" s="6" t="n">
        <v>-0.815128834574388</v>
      </c>
      <c r="AE776" s="6" t="n">
        <v>1.967421929497506</v>
      </c>
      <c r="AF776" s="6" t="n">
        <v>-0.4605865334734448</v>
      </c>
      <c r="AG776" s="6" t="n">
        <v>-0.2035201766815721</v>
      </c>
      <c r="AH776" s="6" t="n">
        <v>5</v>
      </c>
      <c r="AI776" s="6" t="n">
        <v>1.261497892759984</v>
      </c>
      <c r="AJ776" s="6" t="n">
        <v>84.459994374686</v>
      </c>
      <c r="AK776" s="6" t="n">
        <v>0.08515334308185851</v>
      </c>
      <c r="AL776" s="6" t="n">
        <v>1.03559550581728</v>
      </c>
      <c r="AN776" s="6" t="n">
        <v>1.356421361365562</v>
      </c>
      <c r="AO776" s="6" t="n">
        <v>1.357318741133761</v>
      </c>
      <c r="AP776" s="6" t="n">
        <v>0.1355641425201612</v>
      </c>
      <c r="AQ776" s="6" t="n">
        <v>0</v>
      </c>
      <c r="AR776" s="6" t="n">
        <v>0</v>
      </c>
    </row>
    <row r="777">
      <c r="D777" t="inlineStr">
        <is>
          <t>Run 465</t>
        </is>
      </c>
      <c r="J777" s="6" t="n">
        <v>3.913676914288178</v>
      </c>
      <c r="K777" s="6" t="n">
        <v>-0.4944604832038126</v>
      </c>
      <c r="L777" s="6" t="n">
        <v>1.06892914075174</v>
      </c>
      <c r="M777" s="6" t="n">
        <v>-1.110542739485504</v>
      </c>
      <c r="N777" s="6" t="n">
        <v>0.3242163500462545</v>
      </c>
      <c r="O777" s="6" t="n">
        <v>-0.9232145850810445</v>
      </c>
      <c r="P777" s="6" t="n">
        <v>1.411201782137832</v>
      </c>
      <c r="Q777" s="6" t="n">
        <v>0.678989871304447</v>
      </c>
      <c r="R777" s="6" t="n">
        <v>-0.01577638741863454</v>
      </c>
      <c r="S777" s="6" t="n">
        <v>0.8148609516066253</v>
      </c>
      <c r="T777" s="6" t="n">
        <v>-2.941075125967998</v>
      </c>
      <c r="U777" s="6" t="n">
        <v>0.7200282393789449</v>
      </c>
      <c r="V777" s="6" t="n">
        <v>-0.4686759925842143</v>
      </c>
      <c r="W777" s="6" t="n">
        <v>2.391041590113625</v>
      </c>
      <c r="X777" s="6" t="n">
        <v>0.4365802948602831</v>
      </c>
      <c r="Y777" s="6" t="n">
        <v>-2.137156394071452</v>
      </c>
      <c r="Z777" s="6" t="n">
        <v>2.706689271762975</v>
      </c>
      <c r="AA777" s="6" t="n">
        <v>-1.187173462099566</v>
      </c>
      <c r="AB777" s="6" t="n">
        <v>0.9929355514192683</v>
      </c>
      <c r="AC777" s="6" t="n">
        <v>-2.296993540459376</v>
      </c>
      <c r="AD777" s="6" t="n">
        <v>-1.311240092633635</v>
      </c>
      <c r="AE777" s="6" t="n">
        <v>1.000953777565388</v>
      </c>
      <c r="AF777" s="6" t="n">
        <v>-0.7385536043900262</v>
      </c>
      <c r="AG777" s="6" t="n">
        <v>1.89315335912979</v>
      </c>
      <c r="AH777" s="6" t="n">
        <v>0.186270920951225</v>
      </c>
      <c r="AI777" s="6" t="n">
        <v>-1.723297567572984</v>
      </c>
      <c r="AJ777" s="6" t="n">
        <v>76.15683007981849</v>
      </c>
      <c r="AK777" s="6" t="n">
        <v>0.148557709525289</v>
      </c>
      <c r="AL777" s="6" t="n">
        <v>1.056411287691333</v>
      </c>
      <c r="AN777" s="6" t="n">
        <v>1.341188263281762</v>
      </c>
      <c r="AO777" s="6" t="n">
        <v>1.342923145061887</v>
      </c>
      <c r="AP777" s="6" t="n">
        <v>0.1314390001236163</v>
      </c>
      <c r="AQ777" s="6" t="n">
        <v>0</v>
      </c>
      <c r="AR777" s="6" t="n">
        <v>0</v>
      </c>
    </row>
    <row r="778">
      <c r="D778" t="inlineStr">
        <is>
          <t>Run 466</t>
        </is>
      </c>
      <c r="J778" s="6" t="n">
        <v>1.176186644392257</v>
      </c>
      <c r="K778" s="6" t="n">
        <v>-0.6577779892378648</v>
      </c>
      <c r="L778" s="6" t="n">
        <v>-2.761299099786248</v>
      </c>
      <c r="M778" s="6" t="n">
        <v>1.937186739380892</v>
      </c>
      <c r="N778" s="6" t="n">
        <v>1.813050127036763</v>
      </c>
      <c r="O778" s="6" t="n">
        <v>-0.1421784058448682</v>
      </c>
      <c r="P778" s="6" t="n">
        <v>-0.6905383229319448</v>
      </c>
      <c r="Q778" s="6" t="n">
        <v>-0.6479292425055818</v>
      </c>
      <c r="R778" s="6" t="n">
        <v>0.0870259698660833</v>
      </c>
      <c r="S778" s="6" t="n">
        <v>-1.320087486773335</v>
      </c>
      <c r="T778" s="6" t="n">
        <v>-3.452554432652333</v>
      </c>
      <c r="U778" s="6" t="n">
        <v>0.1661486870125952</v>
      </c>
      <c r="V778" s="6" t="n">
        <v>0.1848618013558843</v>
      </c>
      <c r="W778" s="6" t="n">
        <v>-0.04784369619281318</v>
      </c>
      <c r="X778" s="6" t="n">
        <v>-4.186903604685475</v>
      </c>
      <c r="Y778" s="6" t="n">
        <v>0.5780029804876687</v>
      </c>
      <c r="Z778" s="6" t="n">
        <v>-0.3586770583416191</v>
      </c>
      <c r="AA778" s="6" t="n">
        <v>-2.782750619870795</v>
      </c>
      <c r="AB778" s="6" t="n">
        <v>-0.1361415937197454</v>
      </c>
      <c r="AC778" s="6" t="n">
        <v>1.998134202897679</v>
      </c>
      <c r="AD778" s="6" t="n">
        <v>0.9180142849233631</v>
      </c>
      <c r="AE778" s="6" t="n">
        <v>-1.493011168735992</v>
      </c>
      <c r="AF778" s="6" t="n">
        <v>0.9549862210970288</v>
      </c>
      <c r="AG778" s="6" t="n">
        <v>0.08882888079428201</v>
      </c>
      <c r="AH778" s="6" t="n">
        <v>-6.519695911257622</v>
      </c>
      <c r="AI778" s="6" t="n">
        <v>1.849851838852877</v>
      </c>
      <c r="AJ778" s="6" t="n">
        <v>61.90793324891127</v>
      </c>
      <c r="AK778" s="6" t="n">
        <v>0.1146630225675554</v>
      </c>
      <c r="AL778" s="6" t="n">
        <v>1.080893505306944</v>
      </c>
      <c r="AN778" s="6" t="n">
        <v>1.331845894870054</v>
      </c>
      <c r="AO778" s="6" t="n">
        <v>1.332220330357379</v>
      </c>
      <c r="AP778" s="6" t="n">
        <v>0.1298813085309814</v>
      </c>
      <c r="AQ778" s="6" t="n">
        <v>0</v>
      </c>
      <c r="AR778" s="6" t="n">
        <v>0</v>
      </c>
    </row>
    <row r="779">
      <c r="D779" t="inlineStr">
        <is>
          <t>Run 467</t>
        </is>
      </c>
      <c r="J779" s="6" t="n">
        <v>0.125458576943436</v>
      </c>
      <c r="K779" s="6" t="n">
        <v>1.440231900275113</v>
      </c>
      <c r="L779" s="6" t="n">
        <v>1.79530251767239</v>
      </c>
      <c r="M779" s="6" t="n">
        <v>2.324624553221007</v>
      </c>
      <c r="N779" s="6" t="n">
        <v>3.278464182799405</v>
      </c>
      <c r="O779" s="6" t="n">
        <v>1.350143544032582</v>
      </c>
      <c r="P779" s="6" t="n">
        <v>-0.2603748071373418</v>
      </c>
      <c r="Q779" s="6" t="n">
        <v>-4.056374376331299</v>
      </c>
      <c r="R779" s="6" t="n">
        <v>-1.089460851690578</v>
      </c>
      <c r="S779" s="6" t="n">
        <v>-1.704389473004754</v>
      </c>
      <c r="T779" s="6" t="n">
        <v>1.723808086920023</v>
      </c>
      <c r="U779" s="6" t="n">
        <v>-0.07271721866510221</v>
      </c>
      <c r="V779" s="6" t="n">
        <v>1.655092889880326</v>
      </c>
      <c r="W779" s="6" t="n">
        <v>0.3259925486417801</v>
      </c>
      <c r="X779" s="6" t="n">
        <v>2.425709655958557</v>
      </c>
      <c r="Y779" s="6" t="n">
        <v>-4.713615691084413</v>
      </c>
      <c r="Z779" s="6" t="n">
        <v>-0.2843697044097215</v>
      </c>
      <c r="AA779" s="6" t="n">
        <v>-0.7531549797949418</v>
      </c>
      <c r="AB779" s="6" t="n">
        <v>-1.248923047529258</v>
      </c>
      <c r="AC779" s="6" t="n">
        <v>1.714498602816392</v>
      </c>
      <c r="AD779" s="6" t="n">
        <v>1.969094806508043</v>
      </c>
      <c r="AE779" s="6" t="n">
        <v>-0.5629675618138729</v>
      </c>
      <c r="AF779" s="6" t="n">
        <v>-3.103239722181378</v>
      </c>
      <c r="AG779" s="6" t="n">
        <v>1.446976871596878</v>
      </c>
      <c r="AH779" s="6" t="n">
        <v>1.327174341420419</v>
      </c>
      <c r="AI779" s="6" t="n">
        <v>0.4179806027014751</v>
      </c>
      <c r="AJ779" s="6" t="n">
        <v>69.81330036229735</v>
      </c>
      <c r="AK779" s="6" t="n">
        <v>0.08210832851758537</v>
      </c>
      <c r="AL779" s="6" t="n">
        <v>1.023546800418229</v>
      </c>
      <c r="AN779" s="6" t="n">
        <v>1.350889806253722</v>
      </c>
      <c r="AO779" s="6" t="n">
        <v>1.350889806253722</v>
      </c>
      <c r="AP779" s="6" t="n">
        <v>0.135087863054085</v>
      </c>
      <c r="AQ779" s="6" t="n">
        <v>0</v>
      </c>
      <c r="AR779" s="6" t="n">
        <v>0</v>
      </c>
    </row>
    <row r="780">
      <c r="D780" t="inlineStr">
        <is>
          <t>Run 468</t>
        </is>
      </c>
      <c r="J780" s="6" t="n">
        <v>0.503581125422795</v>
      </c>
      <c r="K780" s="6" t="n">
        <v>-2.772094665081939</v>
      </c>
      <c r="L780" s="6" t="n">
        <v>-1.389382216541698</v>
      </c>
      <c r="M780" s="6" t="n">
        <v>1.552733409806243</v>
      </c>
      <c r="N780" s="6" t="n">
        <v>-1.421129001338027</v>
      </c>
      <c r="O780" s="6" t="n">
        <v>2.750324988434905</v>
      </c>
      <c r="P780" s="6" t="n">
        <v>0.3043009310998622</v>
      </c>
      <c r="Q780" s="6" t="n">
        <v>-1.212277632932538</v>
      </c>
      <c r="R780" s="6" t="n">
        <v>0.2347229139260792</v>
      </c>
      <c r="S780" s="6" t="n">
        <v>-1.169372501877675</v>
      </c>
      <c r="T780" s="6" t="n">
        <v>2.36388807154904</v>
      </c>
      <c r="U780" s="6" t="n">
        <v>0.06248258244026567</v>
      </c>
      <c r="V780" s="6" t="n">
        <v>0.6233641227183103</v>
      </c>
      <c r="W780" s="6" t="n">
        <v>2.628592355938919</v>
      </c>
      <c r="X780" s="6" t="n">
        <v>1.130695402247279</v>
      </c>
      <c r="Y780" s="6" t="n">
        <v>1.205131751881432</v>
      </c>
      <c r="Z780" s="6" t="n">
        <v>3.31402443990096</v>
      </c>
      <c r="AA780" s="6" t="n">
        <v>-0.6681472685983195</v>
      </c>
      <c r="AB780" s="6" t="n">
        <v>3.457910251887141</v>
      </c>
      <c r="AC780" s="6" t="n">
        <v>1.345644753016703</v>
      </c>
      <c r="AD780" s="6" t="n">
        <v>-1.745676003142907</v>
      </c>
      <c r="AE780" s="6" t="n">
        <v>4.309454308027026</v>
      </c>
      <c r="AF780" s="6" t="n">
        <v>1.82645554056561</v>
      </c>
      <c r="AG780" s="6" t="n">
        <v>1.434228417714971</v>
      </c>
      <c r="AH780" s="6" t="n">
        <v>0.9224603349950514</v>
      </c>
      <c r="AI780" s="6" t="n">
        <v>1.837087678910115</v>
      </c>
      <c r="AJ780" s="6" t="n">
        <v>58.31962419510042</v>
      </c>
      <c r="AK780" s="6" t="n">
        <v>0.0976059981450329</v>
      </c>
      <c r="AL780" s="6" t="n">
        <v>1.067078493025851</v>
      </c>
      <c r="AN780" s="6" t="n">
        <v>1.334729807108163</v>
      </c>
      <c r="AO780" s="6" t="n">
        <v>1.334777180549628</v>
      </c>
      <c r="AP780" s="6" t="n">
        <v>0.1307365478728911</v>
      </c>
      <c r="AQ780" s="6" t="n">
        <v>0</v>
      </c>
      <c r="AR780" s="6" t="n">
        <v>0</v>
      </c>
    </row>
    <row r="781">
      <c r="D781" t="inlineStr">
        <is>
          <t>Run 469</t>
        </is>
      </c>
      <c r="J781" s="6" t="n">
        <v>-1.930524893401469</v>
      </c>
      <c r="K781" s="6" t="n">
        <v>0.9963121154607351</v>
      </c>
      <c r="L781" s="6" t="n">
        <v>4.017882563288508</v>
      </c>
      <c r="M781" s="6" t="n">
        <v>-3.074569390130678</v>
      </c>
      <c r="N781" s="6" t="n">
        <v>-0.9867353828345504</v>
      </c>
      <c r="O781" s="6" t="n">
        <v>-1.674960258427954</v>
      </c>
      <c r="P781" s="6" t="n">
        <v>-0.07866532340552737</v>
      </c>
      <c r="Q781" s="6" t="n">
        <v>-0.01283316087327846</v>
      </c>
      <c r="R781" s="6" t="n">
        <v>-1.700221820112953</v>
      </c>
      <c r="S781" s="6" t="n">
        <v>1.846737367040858</v>
      </c>
      <c r="T781" s="6" t="n">
        <v>0.9666115039620542</v>
      </c>
      <c r="U781" s="6" t="n">
        <v>0.7488868734268973</v>
      </c>
      <c r="V781" s="6" t="n">
        <v>-1.384839273652284</v>
      </c>
      <c r="W781" s="6" t="n">
        <v>2.516765985708648</v>
      </c>
      <c r="X781" s="6" t="n">
        <v>0.1823591089910074</v>
      </c>
      <c r="Y781" s="6" t="n">
        <v>0.6980965652685159</v>
      </c>
      <c r="Z781" s="6" t="n">
        <v>2.610778626410739</v>
      </c>
      <c r="AA781" s="6" t="n">
        <v>1.04763176717838</v>
      </c>
      <c r="AB781" s="6" t="n">
        <v>-0.2646904041799125</v>
      </c>
      <c r="AC781" s="6" t="n">
        <v>3.139535373127563</v>
      </c>
      <c r="AD781" s="6" t="n">
        <v>-0.6514497055185869</v>
      </c>
      <c r="AE781" s="6" t="n">
        <v>-0.8884169912149835</v>
      </c>
      <c r="AF781" s="6" t="n">
        <v>0.7508771284726373</v>
      </c>
      <c r="AG781" s="6" t="n">
        <v>2.546173423035826</v>
      </c>
      <c r="AH781" s="6" t="n">
        <v>0.547302208137738</v>
      </c>
      <c r="AI781" s="6" t="n">
        <v>-1.582583534317653</v>
      </c>
      <c r="AJ781" s="6" t="n">
        <v>68.86183986335584</v>
      </c>
      <c r="AK781" s="6" t="n">
        <v>0.1417491848051227</v>
      </c>
      <c r="AL781" s="6" t="n">
        <v>1.135630370715229</v>
      </c>
      <c r="AN781" s="6" t="n">
        <v>1.294979054724623</v>
      </c>
      <c r="AO781" s="6" t="n">
        <v>1.301576593956655</v>
      </c>
      <c r="AP781" s="6" t="n">
        <v>0.1269813041745165</v>
      </c>
      <c r="AQ781" s="6" t="n">
        <v>0</v>
      </c>
      <c r="AR781" s="6" t="n">
        <v>0</v>
      </c>
    </row>
    <row r="782">
      <c r="D782" t="inlineStr">
        <is>
          <t>Run 470</t>
        </is>
      </c>
      <c r="J782" s="6" t="n">
        <v>1.15046248304498</v>
      </c>
      <c r="K782" s="6" t="n">
        <v>0.1275218747156744</v>
      </c>
      <c r="L782" s="6" t="n">
        <v>-3.043654937722084</v>
      </c>
      <c r="M782" s="6" t="n">
        <v>-2.973840708787657</v>
      </c>
      <c r="N782" s="6" t="n">
        <v>3.623303684260101</v>
      </c>
      <c r="O782" s="6" t="n">
        <v>0.5977028121988346</v>
      </c>
      <c r="P782" s="6" t="n">
        <v>0.6301951304158762</v>
      </c>
      <c r="Q782" s="6" t="n">
        <v>-3.218608840810586</v>
      </c>
      <c r="R782" s="6" t="n">
        <v>0.6682461236901335</v>
      </c>
      <c r="S782" s="6" t="n">
        <v>2.053878849256617</v>
      </c>
      <c r="T782" s="6" t="n">
        <v>-3.552558337266653</v>
      </c>
      <c r="U782" s="6" t="n">
        <v>-0.8431123287293442</v>
      </c>
      <c r="V782" s="6" t="n">
        <v>2.015244772216317</v>
      </c>
      <c r="W782" s="6" t="n">
        <v>-0.5008695862313276</v>
      </c>
      <c r="X782" s="6" t="n">
        <v>0.8157941961795817</v>
      </c>
      <c r="Y782" s="6" t="n">
        <v>0.8027319753197188</v>
      </c>
      <c r="Z782" s="6" t="n">
        <v>4.014942821370735</v>
      </c>
      <c r="AA782" s="6" t="n">
        <v>-1.932779148119233</v>
      </c>
      <c r="AB782" s="6" t="n">
        <v>0.7940199977607111</v>
      </c>
      <c r="AC782" s="6" t="n">
        <v>-0.3216504669489842</v>
      </c>
      <c r="AD782" s="6" t="n">
        <v>4.345397846770122</v>
      </c>
      <c r="AE782" s="6" t="n">
        <v>-2.465270168079139</v>
      </c>
      <c r="AF782" s="6" t="n">
        <v>-3.411599453645259</v>
      </c>
      <c r="AG782" s="6" t="n">
        <v>-0.4008883851059682</v>
      </c>
      <c r="AH782" s="6" t="n">
        <v>1.980410753849756</v>
      </c>
      <c r="AI782" s="6" t="n">
        <v>2.483961780651312</v>
      </c>
      <c r="AJ782" s="6" t="n">
        <v>68.00341400109593</v>
      </c>
      <c r="AK782" s="6" t="n">
        <v>0.1495183675735324</v>
      </c>
      <c r="AL782" s="6" t="n">
        <v>1.053922260703653</v>
      </c>
      <c r="AN782" s="6" t="n">
        <v>1.311907870601724</v>
      </c>
      <c r="AO782" s="6" t="n">
        <v>1.322824914051234</v>
      </c>
      <c r="AP782" s="6" t="n">
        <v>0.1306090035562746</v>
      </c>
      <c r="AQ782" s="6" t="n">
        <v>0</v>
      </c>
      <c r="AR782" s="6" t="n">
        <v>0</v>
      </c>
    </row>
    <row r="783">
      <c r="D783" t="inlineStr">
        <is>
          <t>Run 471</t>
        </is>
      </c>
      <c r="J783" s="6" t="n">
        <v>0.4169364862775342</v>
      </c>
      <c r="K783" s="6" t="n">
        <v>-1.290884768357552</v>
      </c>
      <c r="L783" s="6" t="n">
        <v>0.8839492360012191</v>
      </c>
      <c r="M783" s="6" t="n">
        <v>1.784270025139075</v>
      </c>
      <c r="N783" s="6" t="n">
        <v>-2.192724311160591</v>
      </c>
      <c r="O783" s="6" t="n">
        <v>3.774945611820315</v>
      </c>
      <c r="P783" s="6" t="n">
        <v>0.6485661405334885</v>
      </c>
      <c r="Q783" s="6" t="n">
        <v>-0.9171280696662085</v>
      </c>
      <c r="R783" s="6" t="n">
        <v>-1.164170445925852</v>
      </c>
      <c r="S783" s="6" t="n">
        <v>-2.172826557894092</v>
      </c>
      <c r="T783" s="6" t="n">
        <v>3.170964178576676</v>
      </c>
      <c r="U783" s="6" t="n">
        <v>-2.450390782445358</v>
      </c>
      <c r="V783" s="6" t="n">
        <v>3.576146752381168</v>
      </c>
      <c r="W783" s="6" t="n">
        <v>-2.302901752644162</v>
      </c>
      <c r="X783" s="6" t="n">
        <v>1.386627462097006</v>
      </c>
      <c r="Y783" s="6" t="n">
        <v>2.222254241946629</v>
      </c>
      <c r="Z783" s="6" t="n">
        <v>1.030749610801299</v>
      </c>
      <c r="AA783" s="6" t="n">
        <v>1.60639904647756</v>
      </c>
      <c r="AB783" s="6" t="n">
        <v>1.662091735634219</v>
      </c>
      <c r="AC783" s="6" t="n">
        <v>1.356039846326418</v>
      </c>
      <c r="AD783" s="6" t="n">
        <v>-1.577366779304166</v>
      </c>
      <c r="AE783" s="6" t="n">
        <v>-0.8060306319321152</v>
      </c>
      <c r="AF783" s="6" t="n">
        <v>-2.248349386963972</v>
      </c>
      <c r="AG783" s="6" t="n">
        <v>-3.237900553853681</v>
      </c>
      <c r="AH783" s="6" t="n">
        <v>-2.287648819447243</v>
      </c>
      <c r="AI783" s="6" t="n">
        <v>2.266605135601773</v>
      </c>
      <c r="AJ783" s="6" t="n">
        <v>66.27044874794403</v>
      </c>
      <c r="AK783" s="6" t="n">
        <v>0.1061464465748275</v>
      </c>
      <c r="AL783" s="6" t="n">
        <v>1.071684007873108</v>
      </c>
      <c r="AN783" s="6" t="n">
        <v>1.337113707127726</v>
      </c>
      <c r="AO783" s="6" t="n">
        <v>1.337170843224478</v>
      </c>
      <c r="AP783" s="6" t="n">
        <v>0.1306207812732342</v>
      </c>
      <c r="AQ783" s="6" t="n">
        <v>0</v>
      </c>
      <c r="AR783" s="6" t="n">
        <v>0</v>
      </c>
    </row>
    <row r="784">
      <c r="D784" t="inlineStr">
        <is>
          <t>Run 472</t>
        </is>
      </c>
      <c r="J784" s="6" t="n">
        <v>2.982512819606639</v>
      </c>
      <c r="K784" s="6" t="n">
        <v>0.4980297565049593</v>
      </c>
      <c r="L784" s="6" t="n">
        <v>0.7086416635230111</v>
      </c>
      <c r="M784" s="6" t="n">
        <v>-3.684861059513817</v>
      </c>
      <c r="N784" s="6" t="n">
        <v>-2.548262306091837</v>
      </c>
      <c r="O784" s="6" t="n">
        <v>0.6289317503876013</v>
      </c>
      <c r="P784" s="6" t="n">
        <v>-3.410904865673733</v>
      </c>
      <c r="Q784" s="6" t="n">
        <v>2.68528063129144</v>
      </c>
      <c r="R784" s="6" t="n">
        <v>-1.778491629848667</v>
      </c>
      <c r="S784" s="6" t="n">
        <v>0.5847075765434531</v>
      </c>
      <c r="T784" s="6" t="n">
        <v>3.56423612699743</v>
      </c>
      <c r="U784" s="6" t="n">
        <v>-4.516313766277229</v>
      </c>
      <c r="V784" s="6" t="n">
        <v>-2.677174903426286</v>
      </c>
      <c r="W784" s="6" t="n">
        <v>-0.7703139092364075</v>
      </c>
      <c r="X784" s="6" t="n">
        <v>0.05225376977765111</v>
      </c>
      <c r="Y784" s="6" t="n">
        <v>0.7958647345057127</v>
      </c>
      <c r="Z784" s="6" t="n">
        <v>-3.929681968422301</v>
      </c>
      <c r="AA784" s="6" t="n">
        <v>2.113649755630694</v>
      </c>
      <c r="AB784" s="6" t="n">
        <v>0.6092792507376699</v>
      </c>
      <c r="AC784" s="6" t="n">
        <v>0.4123562975470335</v>
      </c>
      <c r="AD784" s="6" t="n">
        <v>0.8165138261266977</v>
      </c>
      <c r="AE784" s="6" t="n">
        <v>0.3056588252446518</v>
      </c>
      <c r="AF784" s="6" t="n">
        <v>0.8678718145433348</v>
      </c>
      <c r="AG784" s="6" t="n">
        <v>1.312111110402485</v>
      </c>
      <c r="AH784" s="6" t="n">
        <v>-0.2864518540292022</v>
      </c>
      <c r="AI784" s="6" t="n">
        <v>-1.858545284952172</v>
      </c>
      <c r="AJ784" s="6" t="n">
        <v>75.60097831392687</v>
      </c>
      <c r="AK784" s="6" t="n">
        <v>0.151266255712295</v>
      </c>
      <c r="AL784" s="6" t="n">
        <v>1.053979171935434</v>
      </c>
      <c r="AN784" s="6" t="n">
        <v>1.305285055493412</v>
      </c>
      <c r="AO784" s="6" t="n">
        <v>1.309000397408069</v>
      </c>
      <c r="AP784" s="6" t="n">
        <v>0.1309383627889755</v>
      </c>
      <c r="AQ784" s="6" t="n">
        <v>0</v>
      </c>
      <c r="AR784" s="6" t="n">
        <v>0</v>
      </c>
    </row>
    <row r="785">
      <c r="D785" t="inlineStr">
        <is>
          <t>Run 473</t>
        </is>
      </c>
      <c r="J785" s="6" t="n">
        <v>2.504187136138257</v>
      </c>
      <c r="K785" s="6" t="n">
        <v>-1.952854948898282</v>
      </c>
      <c r="L785" s="6" t="n">
        <v>1.832443117249548</v>
      </c>
      <c r="M785" s="6" t="n">
        <v>-1.454272522744867</v>
      </c>
      <c r="N785" s="6" t="n">
        <v>1.101340765515811</v>
      </c>
      <c r="O785" s="6" t="n">
        <v>1.094018525048434</v>
      </c>
      <c r="P785" s="6" t="n">
        <v>-1.249065847816558</v>
      </c>
      <c r="Q785" s="6" t="n">
        <v>0.04650840632722174</v>
      </c>
      <c r="R785" s="6" t="n">
        <v>-0.3406572134226658</v>
      </c>
      <c r="S785" s="6" t="n">
        <v>1.669539877533323</v>
      </c>
      <c r="T785" s="6" t="n">
        <v>-1.875948698915648</v>
      </c>
      <c r="U785" s="6" t="n">
        <v>-0.7377652077892856</v>
      </c>
      <c r="V785" s="6" t="n">
        <v>-0.9720636327007337</v>
      </c>
      <c r="W785" s="6" t="n">
        <v>-0.1932586766805788</v>
      </c>
      <c r="X785" s="6" t="n">
        <v>-0.7063227069728073</v>
      </c>
      <c r="Y785" s="6" t="n">
        <v>-4.879725214074658</v>
      </c>
      <c r="Z785" s="6" t="n">
        <v>1.399773985867157</v>
      </c>
      <c r="AA785" s="6" t="n">
        <v>1.115600826110941</v>
      </c>
      <c r="AB785" s="6" t="n">
        <v>0.6725804444644171</v>
      </c>
      <c r="AC785" s="6" t="n">
        <v>-0.2718484049381423</v>
      </c>
      <c r="AD785" s="6" t="n">
        <v>-2.792702330219217</v>
      </c>
      <c r="AE785" s="6" t="n">
        <v>1.106800519555626</v>
      </c>
      <c r="AF785" s="6" t="n">
        <v>0.1371329399078326</v>
      </c>
      <c r="AG785" s="6" t="n">
        <v>3.91995547654115</v>
      </c>
      <c r="AH785" s="6" t="n">
        <v>0.02518565434506456</v>
      </c>
      <c r="AI785" s="6" t="n">
        <v>-0.9794571751298972</v>
      </c>
      <c r="AJ785" s="6" t="n">
        <v>66.7644845875954</v>
      </c>
      <c r="AK785" s="6" t="n">
        <v>0.1279197919249665</v>
      </c>
      <c r="AL785" s="6" t="n">
        <v>1.063556066963756</v>
      </c>
      <c r="AN785" s="6" t="n">
        <v>1.332827620659884</v>
      </c>
      <c r="AO785" s="6" t="n">
        <v>1.335924056561469</v>
      </c>
      <c r="AP785" s="6" t="n">
        <v>0.1306364637458252</v>
      </c>
      <c r="AQ785" s="6" t="n">
        <v>0</v>
      </c>
      <c r="AR785" s="6" t="n">
        <v>0</v>
      </c>
    </row>
    <row r="786">
      <c r="D786" t="inlineStr">
        <is>
          <t>Run 474</t>
        </is>
      </c>
      <c r="J786" s="6" t="n">
        <v>-0.1348296098842021</v>
      </c>
      <c r="K786" s="6" t="n">
        <v>2.235093242334498</v>
      </c>
      <c r="L786" s="6" t="n">
        <v>0.1848952676957305</v>
      </c>
      <c r="M786" s="6" t="n">
        <v>2.703179943710593</v>
      </c>
      <c r="N786" s="6" t="n">
        <v>0.9100611898951241</v>
      </c>
      <c r="O786" s="6" t="n">
        <v>-1.168960150203058</v>
      </c>
      <c r="P786" s="6" t="n">
        <v>-2.269126733041544</v>
      </c>
      <c r="Q786" s="6" t="n">
        <v>1.725187657497181</v>
      </c>
      <c r="R786" s="6" t="n">
        <v>4.257931594227851</v>
      </c>
      <c r="S786" s="6" t="n">
        <v>2.588804489072495</v>
      </c>
      <c r="T786" s="6" t="n">
        <v>4.161194087412003</v>
      </c>
      <c r="U786" s="6" t="n">
        <v>1.906308248753907</v>
      </c>
      <c r="V786" s="6" t="n">
        <v>0.7561125094956812</v>
      </c>
      <c r="W786" s="6" t="n">
        <v>-0.9105456837046365</v>
      </c>
      <c r="X786" s="6" t="n">
        <v>-0.9828497908361237</v>
      </c>
      <c r="Y786" s="6" t="n">
        <v>0.4877592025119886</v>
      </c>
      <c r="Z786" s="6" t="n">
        <v>0.1583162346110382</v>
      </c>
      <c r="AA786" s="6" t="n">
        <v>-1.616610412998854</v>
      </c>
      <c r="AB786" s="6" t="n">
        <v>-1.193827775550742</v>
      </c>
      <c r="AC786" s="6" t="n">
        <v>-1.257290720460089</v>
      </c>
      <c r="AD786" s="6" t="n">
        <v>0.1853246804818088</v>
      </c>
      <c r="AE786" s="6" t="n">
        <v>0.09682415850983501</v>
      </c>
      <c r="AF786" s="6" t="n">
        <v>-4.336111844328991</v>
      </c>
      <c r="AG786" s="6" t="n">
        <v>-3.521548588640282</v>
      </c>
      <c r="AH786" s="6" t="n">
        <v>1.077186555303246</v>
      </c>
      <c r="AI786" s="6" t="n">
        <v>-1.480009230594649</v>
      </c>
      <c r="AJ786" s="6" t="n">
        <v>66.3700965295299</v>
      </c>
      <c r="AK786" s="6" t="n">
        <v>0.07022287615869319</v>
      </c>
      <c r="AL786" s="6" t="n">
        <v>1.120397468021273</v>
      </c>
      <c r="AN786" s="6" t="n">
        <v>1.32818832526572</v>
      </c>
      <c r="AO786" s="6" t="n">
        <v>1.32838443739092</v>
      </c>
      <c r="AP786" s="6" t="n">
        <v>0.1292820362494618</v>
      </c>
      <c r="AQ786" s="6" t="n">
        <v>0</v>
      </c>
      <c r="AR786" s="6" t="n">
        <v>0</v>
      </c>
    </row>
    <row r="787">
      <c r="D787" t="inlineStr">
        <is>
          <t>Run 475</t>
        </is>
      </c>
      <c r="J787" s="6" t="n">
        <v>-0.2560151117201235</v>
      </c>
      <c r="K787" s="6" t="n">
        <v>1.735548614703794</v>
      </c>
      <c r="L787" s="6" t="n">
        <v>0.5799887614543161</v>
      </c>
      <c r="M787" s="6" t="n">
        <v>3.240194293131161</v>
      </c>
      <c r="N787" s="6" t="n">
        <v>-0.0454322478705305</v>
      </c>
      <c r="O787" s="6" t="n">
        <v>0.6251294946591278</v>
      </c>
      <c r="P787" s="6" t="n">
        <v>-4.436520977654109</v>
      </c>
      <c r="Q787" s="6" t="n">
        <v>0.007418198589097076</v>
      </c>
      <c r="R787" s="6" t="n">
        <v>-2.201013052800695</v>
      </c>
      <c r="S787" s="6" t="n">
        <v>-1.086064329739117</v>
      </c>
      <c r="T787" s="6" t="n">
        <v>0.109314234524988</v>
      </c>
      <c r="U787" s="6" t="n">
        <v>-0.2029869989719164</v>
      </c>
      <c r="V787" s="6" t="n">
        <v>2.120317396730778</v>
      </c>
      <c r="W787" s="6" t="n">
        <v>-1.602060675773314</v>
      </c>
      <c r="X787" s="6" t="n">
        <v>1.481644207503561</v>
      </c>
      <c r="Y787" s="6" t="n">
        <v>1.433597514716877</v>
      </c>
      <c r="Z787" s="6" t="n">
        <v>-1.039801602433348</v>
      </c>
      <c r="AA787" s="6" t="n">
        <v>0.7882543637570968</v>
      </c>
      <c r="AB787" s="6" t="n">
        <v>-2.451871482230315</v>
      </c>
      <c r="AC787" s="6" t="n">
        <v>-2.137740250639951</v>
      </c>
      <c r="AD787" s="6" t="n">
        <v>1.386344780089443</v>
      </c>
      <c r="AE787" s="6" t="n">
        <v>2.65642850497589</v>
      </c>
      <c r="AF787" s="6" t="n">
        <v>1.972288050023973</v>
      </c>
      <c r="AG787" s="6" t="n">
        <v>3.440296261074425</v>
      </c>
      <c r="AH787" s="6" t="n">
        <v>1.345612385269551</v>
      </c>
      <c r="AI787" s="6" t="n">
        <v>-0.4877653915195998</v>
      </c>
      <c r="AJ787" s="6" t="n">
        <v>75.55759005407114</v>
      </c>
      <c r="AK787" s="6" t="n">
        <v>0.1701914601760462</v>
      </c>
      <c r="AL787" s="6" t="n">
        <v>1.102557626725711</v>
      </c>
      <c r="AN787" s="6" t="n">
        <v>1.323672447871362</v>
      </c>
      <c r="AO787" s="6" t="n">
        <v>1.324235898321664</v>
      </c>
      <c r="AP787" s="6" t="n">
        <v>0.1278543947236749</v>
      </c>
      <c r="AQ787" s="6" t="n">
        <v>0</v>
      </c>
      <c r="AR787" s="6" t="n">
        <v>0</v>
      </c>
    </row>
    <row r="788">
      <c r="D788" t="inlineStr">
        <is>
          <t>Run 476</t>
        </is>
      </c>
      <c r="J788" s="6" t="n">
        <v>1.638962498334932</v>
      </c>
      <c r="K788" s="6" t="n">
        <v>-1.957872919016441</v>
      </c>
      <c r="L788" s="6" t="n">
        <v>0.6157094507979503</v>
      </c>
      <c r="M788" s="6" t="n">
        <v>-1.536297867977938</v>
      </c>
      <c r="N788" s="6" t="n">
        <v>1.499756628370605</v>
      </c>
      <c r="O788" s="6" t="n">
        <v>1.1107895966462</v>
      </c>
      <c r="P788" s="6" t="n">
        <v>2.127989344960456</v>
      </c>
      <c r="Q788" s="6" t="n">
        <v>-2.205335055276307</v>
      </c>
      <c r="R788" s="6" t="n">
        <v>0.08886615864239129</v>
      </c>
      <c r="S788" s="6" t="n">
        <v>-1.44140169813212</v>
      </c>
      <c r="T788" s="6" t="n">
        <v>4.032429150861223</v>
      </c>
      <c r="U788" s="6" t="n">
        <v>1.642388029688491</v>
      </c>
      <c r="V788" s="6" t="n">
        <v>1.916327344077536</v>
      </c>
      <c r="W788" s="6" t="n">
        <v>0.1941049228637887</v>
      </c>
      <c r="X788" s="6" t="n">
        <v>0.3092376843192083</v>
      </c>
      <c r="Y788" s="6" t="n">
        <v>-0.2535294803740204</v>
      </c>
      <c r="Z788" s="6" t="n">
        <v>-0.4554052916734276</v>
      </c>
      <c r="AA788" s="6" t="n">
        <v>-1.933659337520796</v>
      </c>
      <c r="AB788" s="6" t="n">
        <v>-1.572844339416399</v>
      </c>
      <c r="AC788" s="6" t="n">
        <v>-4.063197458597082</v>
      </c>
      <c r="AD788" s="6" t="n">
        <v>-0.4921233724750379</v>
      </c>
      <c r="AE788" s="6" t="n">
        <v>3.126728230233563</v>
      </c>
      <c r="AF788" s="6" t="n">
        <v>-0.5783061799479353</v>
      </c>
      <c r="AG788" s="6" t="n">
        <v>4.206516311029254</v>
      </c>
      <c r="AH788" s="6" t="n">
        <v>1.20432077635773</v>
      </c>
      <c r="AI788" s="6" t="n">
        <v>-1.323148357284954</v>
      </c>
      <c r="AJ788" s="6" t="n">
        <v>77.07820451688052</v>
      </c>
      <c r="AK788" s="6" t="n">
        <v>0.07352581453279412</v>
      </c>
      <c r="AL788" s="6" t="n">
        <v>1.013655602810151</v>
      </c>
      <c r="AN788" s="6" t="n">
        <v>1.356047646327074</v>
      </c>
      <c r="AO788" s="6" t="n">
        <v>1.356047646327074</v>
      </c>
      <c r="AP788" s="6" t="n">
        <v>0.1378722610057563</v>
      </c>
      <c r="AQ788" s="6" t="n">
        <v>0</v>
      </c>
      <c r="AR788" s="6" t="n">
        <v>0</v>
      </c>
    </row>
    <row r="789">
      <c r="D789" t="inlineStr">
        <is>
          <t>Run 477</t>
        </is>
      </c>
      <c r="J789" s="6" t="n">
        <v>-0.4411742093216325</v>
      </c>
      <c r="K789" s="6" t="n">
        <v>-1.318056279739448</v>
      </c>
      <c r="L789" s="6" t="n">
        <v>0.1367124714023111</v>
      </c>
      <c r="M789" s="6" t="n">
        <v>1.75008970457685</v>
      </c>
      <c r="N789" s="6" t="n">
        <v>-0.8079459841766581</v>
      </c>
      <c r="O789" s="6" t="n">
        <v>-1.332884893353095</v>
      </c>
      <c r="P789" s="6" t="n">
        <v>1.410984662361733</v>
      </c>
      <c r="Q789" s="6" t="n">
        <v>-0.5706535260864183</v>
      </c>
      <c r="R789" s="6" t="n">
        <v>-0.7269965527791599</v>
      </c>
      <c r="S789" s="6" t="n">
        <v>0.6098559718819317</v>
      </c>
      <c r="T789" s="6" t="n">
        <v>2.353991570193916</v>
      </c>
      <c r="U789" s="6" t="n">
        <v>0.3609075991217539</v>
      </c>
      <c r="V789" s="6" t="n">
        <v>-2.882256070946576</v>
      </c>
      <c r="W789" s="6" t="n">
        <v>0.8746358973431898</v>
      </c>
      <c r="X789" s="6" t="n">
        <v>-1.274807649290072</v>
      </c>
      <c r="Y789" s="6" t="n">
        <v>-0.8797373441135982</v>
      </c>
      <c r="Z789" s="6" t="n">
        <v>1.662533320549477</v>
      </c>
      <c r="AA789" s="6" t="n">
        <v>-0.5899842816368441</v>
      </c>
      <c r="AB789" s="6" t="n">
        <v>-2.020268953598009</v>
      </c>
      <c r="AC789" s="6" t="n">
        <v>-0.1994605602454721</v>
      </c>
      <c r="AD789" s="6" t="n">
        <v>1.569054366839403</v>
      </c>
      <c r="AE789" s="6" t="n">
        <v>0.304596892632122</v>
      </c>
      <c r="AF789" s="6" t="n">
        <v>0.1028824766426569</v>
      </c>
      <c r="AG789" s="6" t="n">
        <v>0.3142048723959817</v>
      </c>
      <c r="AH789" s="6" t="n">
        <v>3.24871208117081</v>
      </c>
      <c r="AI789" s="6" t="n">
        <v>1.872362610900728</v>
      </c>
      <c r="AJ789" s="6" t="n">
        <v>57.97608112724774</v>
      </c>
      <c r="AK789" s="6" t="n">
        <v>0.1365453006685309</v>
      </c>
      <c r="AL789" s="6" t="n">
        <v>1.028561939653392</v>
      </c>
      <c r="AN789" s="6" t="n">
        <v>1.344401065001425</v>
      </c>
      <c r="AO789" s="6" t="n">
        <v>1.344401065001425</v>
      </c>
      <c r="AP789" s="6" t="n">
        <v>0.1330089153272846</v>
      </c>
      <c r="AQ789" s="6" t="n">
        <v>0</v>
      </c>
      <c r="AR789" s="6" t="n">
        <v>0</v>
      </c>
    </row>
    <row r="790">
      <c r="D790" t="inlineStr">
        <is>
          <t>Run 478</t>
        </is>
      </c>
      <c r="J790" s="6" t="n">
        <v>2.343434235302602</v>
      </c>
      <c r="K790" s="6" t="n">
        <v>-0.002889432295337194</v>
      </c>
      <c r="L790" s="6" t="n">
        <v>3.057386574737232</v>
      </c>
      <c r="M790" s="6" t="n">
        <v>-3.174878095585995</v>
      </c>
      <c r="N790" s="6" t="n">
        <v>1.474106391730134</v>
      </c>
      <c r="O790" s="6" t="n">
        <v>-1.865730519821283</v>
      </c>
      <c r="P790" s="6" t="n">
        <v>2.802889845644127</v>
      </c>
      <c r="Q790" s="6" t="n">
        <v>0.7918859775267629</v>
      </c>
      <c r="R790" s="6" t="n">
        <v>-2.653262595725747</v>
      </c>
      <c r="S790" s="6" t="n">
        <v>-1.237578595946073</v>
      </c>
      <c r="T790" s="6" t="n">
        <v>1.285333159777036</v>
      </c>
      <c r="U790" s="6" t="n">
        <v>-1.395169682098461</v>
      </c>
      <c r="V790" s="6" t="n">
        <v>-2.228555512774791</v>
      </c>
      <c r="W790" s="6" t="n">
        <v>-0.9501359799931915</v>
      </c>
      <c r="X790" s="6" t="n">
        <v>1.829533999198865</v>
      </c>
      <c r="Y790" s="6" t="n">
        <v>0.2184228560391632</v>
      </c>
      <c r="Z790" s="6" t="n">
        <v>-1.606898659605686</v>
      </c>
      <c r="AA790" s="6" t="n">
        <v>1.806240523640656</v>
      </c>
      <c r="AB790" s="6" t="n">
        <v>-2.36504775678064</v>
      </c>
      <c r="AC790" s="6" t="n">
        <v>0.9796472959627425</v>
      </c>
      <c r="AD790" s="6" t="n">
        <v>-1.047818068726308</v>
      </c>
      <c r="AE790" s="6" t="n">
        <v>1.445817523703391</v>
      </c>
      <c r="AF790" s="6" t="n">
        <v>1.559379341212809</v>
      </c>
      <c r="AG790" s="6" t="n">
        <v>0.3483922382347877</v>
      </c>
      <c r="AH790" s="6" t="n">
        <v>-0.3230898981271846</v>
      </c>
      <c r="AI790" s="6" t="n">
        <v>2.458498387472968</v>
      </c>
      <c r="AJ790" s="6" t="n">
        <v>70.49643963512975</v>
      </c>
      <c r="AK790" s="6" t="n">
        <v>0.1787833772251412</v>
      </c>
      <c r="AL790" s="6" t="n">
        <v>1.058964345181133</v>
      </c>
      <c r="AN790" s="6" t="n">
        <v>1.307845784879113</v>
      </c>
      <c r="AO790" s="6" t="n">
        <v>1.319558432843902</v>
      </c>
      <c r="AP790" s="6" t="n">
        <v>0.1300090824054114</v>
      </c>
      <c r="AQ790" s="6" t="n">
        <v>0</v>
      </c>
      <c r="AR790" s="6" t="n">
        <v>0</v>
      </c>
    </row>
    <row r="791">
      <c r="D791" t="inlineStr">
        <is>
          <t>Run 479</t>
        </is>
      </c>
      <c r="J791" s="6" t="n">
        <v>-2.058128425374428</v>
      </c>
      <c r="K791" s="6" t="n">
        <v>-0.6502403783773144</v>
      </c>
      <c r="L791" s="6" t="n">
        <v>-2.943419627469084</v>
      </c>
      <c r="M791" s="6" t="n">
        <v>-0.177134831982228</v>
      </c>
      <c r="N791" s="6" t="n">
        <v>-0.001060986688873583</v>
      </c>
      <c r="O791" s="6" t="n">
        <v>-3.602943150031264</v>
      </c>
      <c r="P791" s="6" t="n">
        <v>1.77122399853978</v>
      </c>
      <c r="Q791" s="6" t="n">
        <v>1.698965333920343</v>
      </c>
      <c r="R791" s="6" t="n">
        <v>2.822879492903381</v>
      </c>
      <c r="S791" s="6" t="n">
        <v>0.686613880735426</v>
      </c>
      <c r="T791" s="6" t="n">
        <v>1.612370773279731</v>
      </c>
      <c r="U791" s="6" t="n">
        <v>-6.115269667015049</v>
      </c>
      <c r="V791" s="6" t="n">
        <v>0.8281012482758017</v>
      </c>
      <c r="W791" s="6" t="n">
        <v>1.326032466863987</v>
      </c>
      <c r="X791" s="6" t="n">
        <v>-0.6969447932406617</v>
      </c>
      <c r="Y791" s="6" t="n">
        <v>-0.5201132362774965</v>
      </c>
      <c r="Z791" s="6" t="n">
        <v>2.490090394998136</v>
      </c>
      <c r="AA791" s="6" t="n">
        <v>3.858054183324612</v>
      </c>
      <c r="AB791" s="6" t="n">
        <v>-0.1052528794451656</v>
      </c>
      <c r="AC791" s="6" t="n">
        <v>-0.5705195083344382</v>
      </c>
      <c r="AD791" s="6" t="n">
        <v>-1.465463643431227</v>
      </c>
      <c r="AE791" s="6" t="n">
        <v>1.018447398540745</v>
      </c>
      <c r="AF791" s="6" t="n">
        <v>-3.073723908772239</v>
      </c>
      <c r="AG791" s="6" t="n">
        <v>2.164667269074618</v>
      </c>
      <c r="AH791" s="6" t="n">
        <v>1.925388069794255</v>
      </c>
      <c r="AI791" s="6" t="n">
        <v>2.140622098433642</v>
      </c>
      <c r="AJ791" s="6" t="n">
        <v>75.14385197336171</v>
      </c>
      <c r="AK791" s="6" t="n">
        <v>0.1348684947339856</v>
      </c>
      <c r="AL791" s="6" t="n">
        <v>1.085636174616203</v>
      </c>
      <c r="AN791" s="6" t="n">
        <v>1.33033316640138</v>
      </c>
      <c r="AO791" s="6" t="n">
        <v>1.331715577927669</v>
      </c>
      <c r="AP791" s="6" t="n">
        <v>0.1296472923276299</v>
      </c>
      <c r="AQ791" s="6" t="n">
        <v>0</v>
      </c>
      <c r="AR791" s="6" t="n">
        <v>0</v>
      </c>
    </row>
    <row r="792">
      <c r="D792" t="inlineStr">
        <is>
          <t>Run 480</t>
        </is>
      </c>
      <c r="J792" s="6" t="n">
        <v>0.09093052573232502</v>
      </c>
      <c r="K792" s="6" t="n">
        <v>-1.45398316787715</v>
      </c>
      <c r="L792" s="6" t="n">
        <v>0.02581166967075929</v>
      </c>
      <c r="M792" s="6" t="n">
        <v>0.2677505104847192</v>
      </c>
      <c r="N792" s="6" t="n">
        <v>0.1885960140839439</v>
      </c>
      <c r="O792" s="6" t="n">
        <v>-0.2942266357306688</v>
      </c>
      <c r="P792" s="6" t="n">
        <v>-4.538511501196392</v>
      </c>
      <c r="Q792" s="6" t="n">
        <v>-0.9681579783896144</v>
      </c>
      <c r="R792" s="6" t="n">
        <v>-1.192749564590784</v>
      </c>
      <c r="S792" s="6" t="n">
        <v>3.12789623553763</v>
      </c>
      <c r="T792" s="6" t="n">
        <v>-1.233490491082748</v>
      </c>
      <c r="U792" s="6" t="n">
        <v>-1.462153711825164</v>
      </c>
      <c r="V792" s="6" t="n">
        <v>1.329751120897664</v>
      </c>
      <c r="W792" s="6" t="n">
        <v>4.735088446256629</v>
      </c>
      <c r="X792" s="6" t="n">
        <v>-1.913944360204828</v>
      </c>
      <c r="Y792" s="6" t="n">
        <v>-0.367547347835712</v>
      </c>
      <c r="Z792" s="6" t="n">
        <v>0.9537495788357242</v>
      </c>
      <c r="AA792" s="6" t="n">
        <v>1.972900298432831</v>
      </c>
      <c r="AB792" s="6" t="n">
        <v>0.08833588937306873</v>
      </c>
      <c r="AC792" s="6" t="n">
        <v>-1.467055976846111</v>
      </c>
      <c r="AD792" s="6" t="n">
        <v>-3.011740088949403</v>
      </c>
      <c r="AE792" s="6" t="n">
        <v>0.07420414851723243</v>
      </c>
      <c r="AF792" s="6" t="n">
        <v>-1.110240390880495</v>
      </c>
      <c r="AG792" s="6" t="n">
        <v>-1.967977877941034</v>
      </c>
      <c r="AH792" s="6" t="n">
        <v>-0.7625965698982675</v>
      </c>
      <c r="AI792" s="6" t="n">
        <v>-1.972141545915274</v>
      </c>
      <c r="AJ792" s="6" t="n">
        <v>71.59558936733467</v>
      </c>
      <c r="AK792" s="6" t="n">
        <v>0.1251000297292458</v>
      </c>
      <c r="AL792" s="6" t="n">
        <v>1.051307396435811</v>
      </c>
      <c r="AN792" s="6" t="n">
        <v>1.347032421588899</v>
      </c>
      <c r="AO792" s="6" t="n">
        <v>1.347138921361678</v>
      </c>
      <c r="AP792" s="6" t="n">
        <v>0.1319757303812782</v>
      </c>
      <c r="AQ792" s="6" t="n">
        <v>0</v>
      </c>
      <c r="AR792" s="6" t="n">
        <v>0</v>
      </c>
    </row>
    <row r="793">
      <c r="D793" t="inlineStr">
        <is>
          <t>Run 481</t>
        </is>
      </c>
      <c r="J793" s="6" t="n">
        <v>-0.255542099146428</v>
      </c>
      <c r="K793" s="6" t="n">
        <v>-2.607202628388193</v>
      </c>
      <c r="L793" s="6" t="n">
        <v>-0.6475340949834894</v>
      </c>
      <c r="M793" s="6" t="n">
        <v>-1.178058012279468</v>
      </c>
      <c r="N793" s="6" t="n">
        <v>-2.813239032317738</v>
      </c>
      <c r="O793" s="6" t="n">
        <v>-2.869307262276561</v>
      </c>
      <c r="P793" s="6" t="n">
        <v>0.6092314465634484</v>
      </c>
      <c r="Q793" s="6" t="n">
        <v>-1.096590351631945</v>
      </c>
      <c r="R793" s="6" t="n">
        <v>1.755335039531159</v>
      </c>
      <c r="S793" s="6" t="n">
        <v>0.3414979482941076</v>
      </c>
      <c r="T793" s="6" t="n">
        <v>0.75552409812619</v>
      </c>
      <c r="U793" s="6" t="n">
        <v>-2.208852346592926</v>
      </c>
      <c r="V793" s="6" t="n">
        <v>-2.37137384259342</v>
      </c>
      <c r="W793" s="6" t="n">
        <v>0.6089157826085497</v>
      </c>
      <c r="X793" s="6" t="n">
        <v>-1.26465411982907</v>
      </c>
      <c r="Y793" s="6" t="n">
        <v>2.178643602831691</v>
      </c>
      <c r="Z793" s="6" t="n">
        <v>-1.476994621225167</v>
      </c>
      <c r="AA793" s="6" t="n">
        <v>0.2518441349593634</v>
      </c>
      <c r="AB793" s="6" t="n">
        <v>-2.716583421621816</v>
      </c>
      <c r="AC793" s="6" t="n">
        <v>0.5538782296001357</v>
      </c>
      <c r="AD793" s="6" t="n">
        <v>-3.369813003922018</v>
      </c>
      <c r="AE793" s="6" t="n">
        <v>-1.988956921753431</v>
      </c>
      <c r="AF793" s="6" t="n">
        <v>0.2520479870983791</v>
      </c>
      <c r="AG793" s="6" t="n">
        <v>0.8159487814390156</v>
      </c>
      <c r="AH793" s="6" t="n">
        <v>-0.01364564769437016</v>
      </c>
      <c r="AI793" s="6" t="n">
        <v>2.756117261205363</v>
      </c>
      <c r="AJ793" s="6" t="n">
        <v>73.25423568683031</v>
      </c>
      <c r="AK793" s="6" t="n">
        <v>0.1222908701530025</v>
      </c>
      <c r="AL793" s="6" t="n">
        <v>1.072166521681798</v>
      </c>
      <c r="AN793" s="6" t="n">
        <v>1.336590534764283</v>
      </c>
      <c r="AO793" s="6" t="n">
        <v>1.338973468144091</v>
      </c>
      <c r="AP793" s="6" t="n">
        <v>0.1308691559396837</v>
      </c>
      <c r="AQ793" s="6" t="n">
        <v>0</v>
      </c>
      <c r="AR793" s="6" t="n">
        <v>0</v>
      </c>
    </row>
    <row r="794">
      <c r="D794" t="inlineStr">
        <is>
          <t>Run 482</t>
        </is>
      </c>
      <c r="J794" s="6" t="n">
        <v>-1.413093014299902</v>
      </c>
      <c r="K794" s="6" t="n">
        <v>3.226471658506938</v>
      </c>
      <c r="L794" s="6" t="n">
        <v>1.294132570942411</v>
      </c>
      <c r="M794" s="6" t="n">
        <v>-1.487955989364128</v>
      </c>
      <c r="N794" s="6" t="n">
        <v>1.821188439953831</v>
      </c>
      <c r="O794" s="6" t="n">
        <v>2.284152276792574</v>
      </c>
      <c r="P794" s="6" t="n">
        <v>-1.777941915735703</v>
      </c>
      <c r="Q794" s="6" t="n">
        <v>-1.602769798232531</v>
      </c>
      <c r="R794" s="6" t="n">
        <v>2.243749892098622</v>
      </c>
      <c r="S794" s="6" t="n">
        <v>-2.875134922178291</v>
      </c>
      <c r="T794" s="6" t="n">
        <v>-3.381746360002565</v>
      </c>
      <c r="U794" s="6" t="n">
        <v>0.88678217311032</v>
      </c>
      <c r="V794" s="6" t="n">
        <v>-0.2038455375465243</v>
      </c>
      <c r="W794" s="6" t="n">
        <v>1.352744798337109</v>
      </c>
      <c r="X794" s="6" t="n">
        <v>1.02124819956799</v>
      </c>
      <c r="Y794" s="6" t="n">
        <v>-4.018897236807196</v>
      </c>
      <c r="Z794" s="6" t="n">
        <v>1.281682703801913</v>
      </c>
      <c r="AA794" s="6" t="n">
        <v>-2.809028684059629</v>
      </c>
      <c r="AB794" s="6" t="n">
        <v>1.638430605262856</v>
      </c>
      <c r="AC794" s="6" t="n">
        <v>-1.960830871127894</v>
      </c>
      <c r="AD794" s="6" t="n">
        <v>-1.600745809160426</v>
      </c>
      <c r="AE794" s="6" t="n">
        <v>-0.6015746271203488</v>
      </c>
      <c r="AF794" s="6" t="n">
        <v>1.781209452347256</v>
      </c>
      <c r="AG794" s="6" t="n">
        <v>-3.502464097201487</v>
      </c>
      <c r="AH794" s="6" t="n">
        <v>5</v>
      </c>
      <c r="AI794" s="6" t="n">
        <v>-0.9184177978911299</v>
      </c>
      <c r="AJ794" s="6" t="n">
        <v>79.24921015965069</v>
      </c>
      <c r="AK794" s="6" t="n">
        <v>0.1062199893517758</v>
      </c>
      <c r="AL794" s="6" t="n">
        <v>1.067431197761653</v>
      </c>
      <c r="AN794" s="6" t="n">
        <v>1.337460940360125</v>
      </c>
      <c r="AO794" s="6" t="n">
        <v>1.340542552121336</v>
      </c>
      <c r="AP794" s="6" t="n">
        <v>0.1314920319870204</v>
      </c>
      <c r="AQ794" s="6" t="n">
        <v>0</v>
      </c>
      <c r="AR794" s="6" t="n">
        <v>0</v>
      </c>
    </row>
    <row r="795">
      <c r="D795" t="inlineStr">
        <is>
          <t>Run 483</t>
        </is>
      </c>
      <c r="J795" s="6" t="n">
        <v>-0.02564466127382721</v>
      </c>
      <c r="K795" s="6" t="n">
        <v>1.626852741949784</v>
      </c>
      <c r="L795" s="6" t="n">
        <v>2.841031185222656</v>
      </c>
      <c r="M795" s="6" t="n">
        <v>-0.7454776263068802</v>
      </c>
      <c r="N795" s="6" t="n">
        <v>-0.2445666413786726</v>
      </c>
      <c r="O795" s="6" t="n">
        <v>2.013841096637209</v>
      </c>
      <c r="P795" s="6" t="n">
        <v>-1.557080794499966</v>
      </c>
      <c r="Q795" s="6" t="n">
        <v>-0.3451236075508171</v>
      </c>
      <c r="R795" s="6" t="n">
        <v>-0.9806093041189841</v>
      </c>
      <c r="S795" s="6" t="n">
        <v>2.629426011164115</v>
      </c>
      <c r="T795" s="6" t="n">
        <v>-0.4196153784147624</v>
      </c>
      <c r="U795" s="6" t="n">
        <v>-0.5430099800107033</v>
      </c>
      <c r="V795" s="6" t="n">
        <v>-2.134245520223817</v>
      </c>
      <c r="W795" s="6" t="n">
        <v>1.461310442789306</v>
      </c>
      <c r="X795" s="6" t="n">
        <v>1.917782865966428</v>
      </c>
      <c r="Y795" s="6" t="n">
        <v>-1.63585417033387</v>
      </c>
      <c r="Z795" s="6" t="n">
        <v>0.7978937405746848</v>
      </c>
      <c r="AA795" s="6" t="n">
        <v>2.081476447479843</v>
      </c>
      <c r="AB795" s="6" t="n">
        <v>3.398424747930592</v>
      </c>
      <c r="AC795" s="6" t="n">
        <v>-2.710652215953262</v>
      </c>
      <c r="AD795" s="6" t="n">
        <v>-3.256269843436148</v>
      </c>
      <c r="AE795" s="6" t="n">
        <v>0.1491062403359247</v>
      </c>
      <c r="AF795" s="6" t="n">
        <v>2.596665614020274</v>
      </c>
      <c r="AG795" s="6" t="n">
        <v>-0.2818190475634301</v>
      </c>
      <c r="AH795" s="6" t="n">
        <v>-0.1035999767159431</v>
      </c>
      <c r="AI795" s="6" t="n">
        <v>1.263523864078747</v>
      </c>
      <c r="AJ795" s="6" t="n">
        <v>76.39999831253897</v>
      </c>
      <c r="AK795" s="6" t="n">
        <v>0.09702642518168092</v>
      </c>
      <c r="AL795" s="6" t="n">
        <v>1.070006232237902</v>
      </c>
      <c r="AN795" s="6" t="n">
        <v>1.341891518565794</v>
      </c>
      <c r="AO795" s="6" t="n">
        <v>1.342701124972288</v>
      </c>
      <c r="AP795" s="6" t="n">
        <v>0.1315607548587813</v>
      </c>
      <c r="AQ795" s="6" t="n">
        <v>0</v>
      </c>
      <c r="AR795" s="6" t="n">
        <v>0</v>
      </c>
    </row>
    <row r="796">
      <c r="D796" t="inlineStr">
        <is>
          <t>Run 484</t>
        </is>
      </c>
      <c r="J796" s="6" t="n">
        <v>0.1035148300022184</v>
      </c>
      <c r="K796" s="6" t="n">
        <v>-2.879392021032837</v>
      </c>
      <c r="L796" s="6" t="n">
        <v>-4.110618210369677</v>
      </c>
      <c r="M796" s="6" t="n">
        <v>2.296953850415562</v>
      </c>
      <c r="N796" s="6" t="n">
        <v>-1.390766306770861</v>
      </c>
      <c r="O796" s="6" t="n">
        <v>-0.1081953158181749</v>
      </c>
      <c r="P796" s="6" t="n">
        <v>-0.4347204344770902</v>
      </c>
      <c r="Q796" s="6" t="n">
        <v>2.267001857530651</v>
      </c>
      <c r="R796" s="6" t="n">
        <v>-1.849971332598541</v>
      </c>
      <c r="S796" s="6" t="n">
        <v>0.2312615196575354</v>
      </c>
      <c r="T796" s="6" t="n">
        <v>-1.515920680858462</v>
      </c>
      <c r="U796" s="6" t="n">
        <v>-1.612687291582197</v>
      </c>
      <c r="V796" s="6" t="n">
        <v>1.288338222524559</v>
      </c>
      <c r="W796" s="6" t="n">
        <v>0.6622253030160126</v>
      </c>
      <c r="X796" s="6" t="n">
        <v>-3.071700112136216</v>
      </c>
      <c r="Y796" s="6" t="n">
        <v>-1.20967570571777</v>
      </c>
      <c r="Z796" s="6" t="n">
        <v>0.5147856628158285</v>
      </c>
      <c r="AA796" s="6" t="n">
        <v>-1.893309518927821</v>
      </c>
      <c r="AB796" s="6" t="n">
        <v>-0.144547433805911</v>
      </c>
      <c r="AC796" s="6" t="n">
        <v>-0.08575850536033189</v>
      </c>
      <c r="AD796" s="6" t="n">
        <v>-0.6540057132676097</v>
      </c>
      <c r="AE796" s="6" t="n">
        <v>-3.569996911063505</v>
      </c>
      <c r="AF796" s="6" t="n">
        <v>2.322119045792885</v>
      </c>
      <c r="AG796" s="6" t="n">
        <v>1.287645412266914</v>
      </c>
      <c r="AH796" s="6" t="n">
        <v>-1.303935423777213</v>
      </c>
      <c r="AI796" s="6" t="n">
        <v>-0.8546790324859114</v>
      </c>
      <c r="AJ796" s="6" t="n">
        <v>56.40107580828164</v>
      </c>
      <c r="AK796" s="6" t="n">
        <v>0.1446173336383624</v>
      </c>
      <c r="AL796" s="6" t="n">
        <v>1.01505656524277</v>
      </c>
      <c r="AN796" s="6" t="n">
        <v>1.344389062388343</v>
      </c>
      <c r="AO796" s="6" t="n">
        <v>1.344389062388343</v>
      </c>
      <c r="AP796" s="6" t="n">
        <v>0.134386805459988</v>
      </c>
      <c r="AQ796" s="6" t="n">
        <v>0</v>
      </c>
      <c r="AR796" s="6" t="n">
        <v>0</v>
      </c>
    </row>
    <row r="797">
      <c r="D797" t="inlineStr">
        <is>
          <t>Run 485</t>
        </is>
      </c>
      <c r="J797" s="6" t="n">
        <v>0.5939779208177492</v>
      </c>
      <c r="K797" s="6" t="n">
        <v>0.9452884256642616</v>
      </c>
      <c r="L797" s="6" t="n">
        <v>1.016572865682506</v>
      </c>
      <c r="M797" s="6" t="n">
        <v>-0.4063391972597032</v>
      </c>
      <c r="N797" s="6" t="n">
        <v>-4.679482894402732</v>
      </c>
      <c r="O797" s="6" t="n">
        <v>0.8593947009555361</v>
      </c>
      <c r="P797" s="6" t="n">
        <v>0.8953577302074331</v>
      </c>
      <c r="Q797" s="6" t="n">
        <v>-1.929626255528623</v>
      </c>
      <c r="R797" s="6" t="n">
        <v>1.704654119543693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-0.4525652252512603</v>
      </c>
      <c r="X797" s="6" t="n">
        <v>1.054560517536937</v>
      </c>
      <c r="Y797" s="6" t="n">
        <v>-1.480449181828461</v>
      </c>
      <c r="Z797" s="6" t="n">
        <v>-1.590279884559158</v>
      </c>
      <c r="AA797" s="6" t="n">
        <v>-0.9290657597232824</v>
      </c>
      <c r="AB797" s="6" t="n">
        <v>2.574842111250268</v>
      </c>
      <c r="AC797" s="6" t="n">
        <v>-1.272201792885973</v>
      </c>
      <c r="AD797" s="6" t="n">
        <v>-0.5354980138027011</v>
      </c>
      <c r="AE797" s="6" t="n">
        <v>-2.206150487712448</v>
      </c>
      <c r="AF797" s="6" t="n">
        <v>-1.813507498804727</v>
      </c>
      <c r="AG797" s="6" t="n">
        <v>-2.662728272562717</v>
      </c>
      <c r="AH797" s="6" t="n">
        <v>0.6027484042346566</v>
      </c>
      <c r="AI797" s="6" t="n">
        <v>-2.333268198366004</v>
      </c>
      <c r="AJ797" s="6" t="n">
        <v>72.06355270574429</v>
      </c>
      <c r="AK797" s="6" t="n">
        <v>0.154538005655018</v>
      </c>
      <c r="AL797" s="6" t="n">
        <v>1.007614016134045</v>
      </c>
      <c r="AN797" s="6" t="n">
        <v>1.353628575505963</v>
      </c>
      <c r="AO797" s="6" t="n">
        <v>1.353628575505963</v>
      </c>
      <c r="AP797" s="6" t="n">
        <v>0.1363103037902798</v>
      </c>
      <c r="AQ797" s="6" t="n">
        <v>0</v>
      </c>
      <c r="AR797" s="6" t="n">
        <v>0</v>
      </c>
    </row>
    <row r="798">
      <c r="D798" t="inlineStr">
        <is>
          <t>Run 486</t>
        </is>
      </c>
      <c r="J798" s="6" t="n">
        <v>1.434688439163415</v>
      </c>
      <c r="K798" s="6" t="n">
        <v>-2.077586197305571</v>
      </c>
      <c r="L798" s="6" t="n">
        <v>0.4821910511084993</v>
      </c>
      <c r="M798" s="6" t="n">
        <v>-2.168083141342208</v>
      </c>
      <c r="N798" s="6" t="n">
        <v>-2.689574047373866</v>
      </c>
      <c r="O798" s="6" t="n">
        <v>-3.471725178941643</v>
      </c>
      <c r="P798" s="6" t="n">
        <v>1.887762037776058</v>
      </c>
      <c r="Q798" s="6" t="n">
        <v>1.903972084839624</v>
      </c>
      <c r="R798" s="6" t="n">
        <v>1.574313479547154</v>
      </c>
      <c r="S798" s="6" t="n">
        <v>-2.66393955153087</v>
      </c>
      <c r="T798" s="6" t="n">
        <v>4.893721859555173</v>
      </c>
      <c r="U798" s="6" t="n">
        <v>0.1857967135729878</v>
      </c>
      <c r="V798" s="6" t="n">
        <v>2.449511221939082</v>
      </c>
      <c r="W798" s="6" t="n">
        <v>-2.106858273747857</v>
      </c>
      <c r="X798" s="6" t="n">
        <v>-1.157507197831783</v>
      </c>
      <c r="Y798" s="6" t="n">
        <v>-2.807770448906839</v>
      </c>
      <c r="Z798" s="6" t="n">
        <v>-2.332702241701861</v>
      </c>
      <c r="AA798" s="6" t="n">
        <v>-1.881975668998476</v>
      </c>
      <c r="AB798" s="6" t="n">
        <v>1.847980592293776</v>
      </c>
      <c r="AC798" s="6" t="n">
        <v>0.06374891534787301</v>
      </c>
      <c r="AD798" s="6" t="n">
        <v>1.352911776281684</v>
      </c>
      <c r="AE798" s="6" t="n">
        <v>0.6518055527151726</v>
      </c>
      <c r="AF798" s="6" t="n">
        <v>-0.7967753390703428</v>
      </c>
      <c r="AG798" s="6" t="n">
        <v>-2.675155638002718</v>
      </c>
      <c r="AH798" s="6" t="n">
        <v>-3.172832738732664</v>
      </c>
      <c r="AI798" s="6" t="n">
        <v>-0.7524426035002388</v>
      </c>
      <c r="AJ798" s="6" t="n">
        <v>83.82286959997022</v>
      </c>
      <c r="AK798" s="6" t="n">
        <v>0.08910420354427365</v>
      </c>
      <c r="AL798" s="6" t="n">
        <v>1.089131198753907</v>
      </c>
      <c r="AN798" s="6" t="n">
        <v>1.324735857523199</v>
      </c>
      <c r="AO798" s="6" t="n">
        <v>1.327618541864428</v>
      </c>
      <c r="AP798" s="6" t="n">
        <v>0.1309016442833354</v>
      </c>
      <c r="AQ798" s="6" t="n">
        <v>0</v>
      </c>
      <c r="AR798" s="6" t="n">
        <v>0</v>
      </c>
    </row>
    <row r="799">
      <c r="D799" t="inlineStr">
        <is>
          <t>Run 487</t>
        </is>
      </c>
      <c r="J799" s="6" t="n">
        <v>1.552258148656178</v>
      </c>
      <c r="K799" s="6" t="n">
        <v>0.002420251115938054</v>
      </c>
      <c r="L799" s="6" t="n">
        <v>2.209026917947807</v>
      </c>
      <c r="M799" s="6" t="n">
        <v>0.2522389976243936</v>
      </c>
      <c r="N799" s="6" t="n">
        <v>-0.5282393744056995</v>
      </c>
      <c r="O799" s="6" t="n">
        <v>-3.37462715635752</v>
      </c>
      <c r="P799" s="6" t="n">
        <v>-3.150064832964227</v>
      </c>
      <c r="Q799" s="6" t="n">
        <v>0.8162168748226282</v>
      </c>
      <c r="R799" s="6" t="n">
        <v>-0.2996508781831755</v>
      </c>
      <c r="S799" s="6" t="n">
        <v>-2.474809950362943</v>
      </c>
      <c r="T799" s="6" t="n">
        <v>4.064094425152142</v>
      </c>
      <c r="U799" s="6" t="n">
        <v>0.1111127338112177</v>
      </c>
      <c r="V799" s="6" t="n">
        <v>2.598466588635762</v>
      </c>
      <c r="W799" s="6" t="n">
        <v>-3.494240973659142</v>
      </c>
      <c r="X799" s="6" t="n">
        <v>-0.2674099153127126</v>
      </c>
      <c r="Y799" s="6" t="n">
        <v>-1.413417661889478</v>
      </c>
      <c r="Z799" s="6" t="n">
        <v>0.4462372079374468</v>
      </c>
      <c r="AA799" s="6" t="n">
        <v>0.6757799837765955</v>
      </c>
      <c r="AB799" s="6" t="n">
        <v>-1.192314038737247</v>
      </c>
      <c r="AC799" s="6" t="n">
        <v>-2.033373757036462</v>
      </c>
      <c r="AD799" s="6" t="n">
        <v>-4.112945953059638</v>
      </c>
      <c r="AE799" s="6" t="n">
        <v>1.838368847725084</v>
      </c>
      <c r="AF799" s="6" t="n">
        <v>-0.646566696436578</v>
      </c>
      <c r="AG799" s="6" t="n">
        <v>1.563334468465599</v>
      </c>
      <c r="AH799" s="6" t="n">
        <v>-1.142346751985548</v>
      </c>
      <c r="AI799" s="6" t="n">
        <v>-2.112273746031134</v>
      </c>
      <c r="AJ799" s="6" t="n">
        <v>60.09498452375723</v>
      </c>
      <c r="AK799" s="6" t="n">
        <v>0.02213577038958998</v>
      </c>
      <c r="AL799" s="6" t="n">
        <v>1.092124587780019</v>
      </c>
      <c r="AN799" s="6" t="n">
        <v>1.335812275795182</v>
      </c>
      <c r="AO799" s="6" t="n">
        <v>1.336160886106936</v>
      </c>
      <c r="AP799" s="6" t="n">
        <v>0.1310947598481603</v>
      </c>
      <c r="AQ799" s="6" t="n">
        <v>0</v>
      </c>
      <c r="AR799" s="6" t="n">
        <v>0</v>
      </c>
    </row>
    <row r="800">
      <c r="D800" t="inlineStr">
        <is>
          <t>Run 488</t>
        </is>
      </c>
      <c r="J800" s="6" t="n">
        <v>-0.9427860939847151</v>
      </c>
      <c r="K800" s="6" t="n">
        <v>0.9758721949864951</v>
      </c>
      <c r="L800" s="6" t="n">
        <v>0.4559304434025272</v>
      </c>
      <c r="M800" s="6" t="n">
        <v>-1.41129358239952</v>
      </c>
      <c r="N800" s="6" t="n">
        <v>1.263161163456572</v>
      </c>
      <c r="O800" s="6" t="n">
        <v>3.695346606626795</v>
      </c>
      <c r="P800" s="6" t="n">
        <v>-3.463146627903286</v>
      </c>
      <c r="Q800" s="6" t="n">
        <v>1.27626043307569</v>
      </c>
      <c r="R800" s="6" t="n">
        <v>0.258400729487771</v>
      </c>
      <c r="S800" s="6" t="n">
        <v>-2.790091045941018</v>
      </c>
      <c r="T800" s="6" t="n">
        <v>1.729246581112015</v>
      </c>
      <c r="U800" s="6" t="n">
        <v>0.9272595791265045</v>
      </c>
      <c r="V800" s="6" t="n">
        <v>-1.012708079703196</v>
      </c>
      <c r="W800" s="6" t="n">
        <v>0.1106710932579124</v>
      </c>
      <c r="X800" s="6" t="n">
        <v>-1.349801692337168</v>
      </c>
      <c r="Y800" s="6" t="n">
        <v>0.7042828805929695</v>
      </c>
      <c r="Z800" s="6" t="n">
        <v>-2.273630952537883</v>
      </c>
      <c r="AA800" s="6" t="n">
        <v>-1.691565892876623</v>
      </c>
      <c r="AB800" s="6" t="n">
        <v>1.315050937788538</v>
      </c>
      <c r="AC800" s="6" t="n">
        <v>2.453264261262843</v>
      </c>
      <c r="AD800" s="6" t="n">
        <v>-1.323040396957146</v>
      </c>
      <c r="AE800" s="6" t="n">
        <v>-0.9359274652115257</v>
      </c>
      <c r="AF800" s="6" t="n">
        <v>0.3153213117834746</v>
      </c>
      <c r="AG800" s="6" t="n">
        <v>0.1707633242918179</v>
      </c>
      <c r="AH800" s="6" t="n">
        <v>-0.9753733858610657</v>
      </c>
      <c r="AI800" s="6" t="n">
        <v>0.1155877870772297</v>
      </c>
      <c r="AJ800" s="6" t="n">
        <v>70.05605921742922</v>
      </c>
      <c r="AK800" s="6" t="n">
        <v>0.1603697095788172</v>
      </c>
      <c r="AL800" s="6" t="n">
        <v>1.014780585288097</v>
      </c>
      <c r="AN800" s="6" t="n">
        <v>1.348155847413473</v>
      </c>
      <c r="AO800" s="6" t="n">
        <v>1.351694240646136</v>
      </c>
      <c r="AP800" s="6" t="n">
        <v>0.1353553372196742</v>
      </c>
      <c r="AQ800" s="6" t="n">
        <v>0</v>
      </c>
      <c r="AR800" s="6" t="n">
        <v>0</v>
      </c>
    </row>
    <row r="801">
      <c r="D801" t="inlineStr">
        <is>
          <t>Run 489</t>
        </is>
      </c>
      <c r="J801" s="6" t="n">
        <v>-0.6893281388757342</v>
      </c>
      <c r="K801" s="6" t="n">
        <v>-1.177031364316366</v>
      </c>
      <c r="L801" s="6" t="n">
        <v>0.2569391830283374</v>
      </c>
      <c r="M801" s="6" t="n">
        <v>0.04839646096595061</v>
      </c>
      <c r="N801" s="6" t="n">
        <v>-3.111241455360207</v>
      </c>
      <c r="O801" s="6" t="n">
        <v>0.848596916269271</v>
      </c>
      <c r="P801" s="6" t="n">
        <v>0.8119778672000005</v>
      </c>
      <c r="Q801" s="6" t="n">
        <v>-2.645723222805173</v>
      </c>
      <c r="R801" s="6" t="n">
        <v>-4.08308624828815</v>
      </c>
      <c r="S801" s="6" t="n">
        <v>1.643106010408591</v>
      </c>
      <c r="T801" s="6" t="n">
        <v>1.921143124835784</v>
      </c>
      <c r="U801" s="6" t="n">
        <v>3.143055425659415</v>
      </c>
      <c r="V801" s="6" t="n">
        <v>-0.537143586020692</v>
      </c>
      <c r="W801" s="6" t="n">
        <v>-1.516541087910509</v>
      </c>
      <c r="X801" s="6" t="n">
        <v>2.937263185997087</v>
      </c>
      <c r="Y801" s="6" t="n">
        <v>1.822189423265442</v>
      </c>
      <c r="Z801" s="6" t="n">
        <v>-0.002726686382348564</v>
      </c>
      <c r="AA801" s="6" t="n">
        <v>-2.015138613397259</v>
      </c>
      <c r="AB801" s="6" t="n">
        <v>-0.7906346835877106</v>
      </c>
      <c r="AC801" s="6" t="n">
        <v>-2.424412762591805</v>
      </c>
      <c r="AD801" s="6" t="n">
        <v>-1.973186634665046</v>
      </c>
      <c r="AE801" s="6" t="n">
        <v>-2.487084941218093</v>
      </c>
      <c r="AF801" s="6" t="n">
        <v>1.982133307615044</v>
      </c>
      <c r="AG801" s="6" t="n">
        <v>-0.3408467920219608</v>
      </c>
      <c r="AH801" s="6" t="n">
        <v>1.057995752304346</v>
      </c>
      <c r="AI801" s="6" t="n">
        <v>-1.249496524996246</v>
      </c>
      <c r="AJ801" s="6" t="n">
        <v>73.87965779507408</v>
      </c>
      <c r="AK801" s="6" t="n">
        <v>0.1430201749568839</v>
      </c>
      <c r="AL801" s="6" t="n">
        <v>1.06691625020875</v>
      </c>
      <c r="AN801" s="6" t="n">
        <v>1.337617471559992</v>
      </c>
      <c r="AO801" s="6" t="n">
        <v>1.337992401910723</v>
      </c>
      <c r="AP801" s="6" t="n">
        <v>0.130416771716252</v>
      </c>
      <c r="AQ801" s="6" t="n">
        <v>0</v>
      </c>
      <c r="AR801" s="6" t="n">
        <v>0</v>
      </c>
    </row>
    <row r="802">
      <c r="D802" t="inlineStr">
        <is>
          <t>Run 490</t>
        </is>
      </c>
      <c r="J802" s="6" t="n">
        <v>-2.211457729698727</v>
      </c>
      <c r="K802" s="6" t="n">
        <v>3.283485034529049</v>
      </c>
      <c r="L802" s="6" t="n">
        <v>0.9421544354063149</v>
      </c>
      <c r="M802" s="6" t="n">
        <v>-1.43571451555347</v>
      </c>
      <c r="N802" s="6" t="n">
        <v>0.8147056286612444</v>
      </c>
      <c r="O802" s="6" t="n">
        <v>5</v>
      </c>
      <c r="P802" s="6" t="n">
        <v>-2.614615519268549</v>
      </c>
      <c r="Q802" s="6" t="n">
        <v>0.6923953701149822</v>
      </c>
      <c r="R802" s="6" t="n">
        <v>0.08415630412378496</v>
      </c>
      <c r="S802" s="6" t="n">
        <v>-1.18588971511258</v>
      </c>
      <c r="T802" s="6" t="n">
        <v>0.4630694016347542</v>
      </c>
      <c r="U802" s="6" t="n">
        <v>4.175839936065611</v>
      </c>
      <c r="V802" s="6" t="n">
        <v>-4.37297243521977</v>
      </c>
      <c r="W802" s="6" t="n">
        <v>3.12136112785688</v>
      </c>
      <c r="X802" s="6" t="n">
        <v>0.02643805672572245</v>
      </c>
      <c r="Y802" s="6" t="n">
        <v>-0.5427364210039441</v>
      </c>
      <c r="Z802" s="6" t="n">
        <v>0.632147082753597</v>
      </c>
      <c r="AA802" s="6" t="n">
        <v>0.880255301565166</v>
      </c>
      <c r="AB802" s="6" t="n">
        <v>4.318964610756414</v>
      </c>
      <c r="AC802" s="6" t="n">
        <v>-1.917293989920519</v>
      </c>
      <c r="AD802" s="6" t="n">
        <v>1.536053467290425</v>
      </c>
      <c r="AE802" s="6" t="n">
        <v>-2.265575643656065</v>
      </c>
      <c r="AF802" s="6" t="n">
        <v>1.745085810214309</v>
      </c>
      <c r="AG802" s="6" t="n">
        <v>-1.141678455564649</v>
      </c>
      <c r="AH802" s="6" t="n">
        <v>2.260648734764295</v>
      </c>
      <c r="AI802" s="6" t="n">
        <v>0.7168854817070692</v>
      </c>
      <c r="AJ802" s="6" t="n">
        <v>64.98701121643037</v>
      </c>
      <c r="AK802" s="6" t="n">
        <v>0.07964493946978501</v>
      </c>
      <c r="AL802" s="6" t="n">
        <v>1.0492065930722</v>
      </c>
      <c r="AN802" s="6" t="n">
        <v>1.339017557787221</v>
      </c>
      <c r="AO802" s="6" t="n">
        <v>1.342544429526639</v>
      </c>
      <c r="AP802" s="6" t="n">
        <v>0.132803272116754</v>
      </c>
      <c r="AQ802" s="6" t="n">
        <v>0</v>
      </c>
      <c r="AR802" s="6" t="n">
        <v>0</v>
      </c>
    </row>
    <row r="803">
      <c r="D803" t="inlineStr">
        <is>
          <t>Run 491</t>
        </is>
      </c>
      <c r="J803" s="6" t="n">
        <v>4.43899717120751</v>
      </c>
      <c r="K803" s="6" t="n">
        <v>-0.06542856925992108</v>
      </c>
      <c r="L803" s="6" t="n">
        <v>-1.000861624968261</v>
      </c>
      <c r="M803" s="6" t="n">
        <v>-2.344747189894861</v>
      </c>
      <c r="N803" s="6" t="n">
        <v>0.4661782454508932</v>
      </c>
      <c r="O803" s="6" t="n">
        <v>2.432747366823703</v>
      </c>
      <c r="P803" s="6" t="n">
        <v>0.8195317996903519</v>
      </c>
      <c r="Q803" s="6" t="n">
        <v>-0.8925185757918863</v>
      </c>
      <c r="R803" s="6" t="n">
        <v>-1.47637535262272</v>
      </c>
      <c r="S803" s="6" t="n">
        <v>-3.902389454167071</v>
      </c>
      <c r="T803" s="6" t="n">
        <v>1.089665852811267</v>
      </c>
      <c r="U803" s="6" t="n">
        <v>-1.337017875209843</v>
      </c>
      <c r="V803" s="6" t="n">
        <v>-3.173718960209728</v>
      </c>
      <c r="W803" s="6" t="n">
        <v>2.198655574458231</v>
      </c>
      <c r="X803" s="6" t="n">
        <v>-0.3120079825171327</v>
      </c>
      <c r="Y803" s="6" t="n">
        <v>1.833152814428537</v>
      </c>
      <c r="Z803" s="6" t="n">
        <v>1.327514219545879</v>
      </c>
      <c r="AA803" s="6" t="n">
        <v>2.643597419781193</v>
      </c>
      <c r="AB803" s="6" t="n">
        <v>-0.2715298315411501</v>
      </c>
      <c r="AC803" s="6" t="n">
        <v>-0.4168690938264031</v>
      </c>
      <c r="AD803" s="6" t="n">
        <v>-2.284226399213564</v>
      </c>
      <c r="AE803" s="6" t="n">
        <v>-0.5200780097965044</v>
      </c>
      <c r="AF803" s="6" t="n">
        <v>2.274360713740383</v>
      </c>
      <c r="AG803" s="6" t="n">
        <v>3.144060866748903</v>
      </c>
      <c r="AH803" s="6" t="n">
        <v>0.1673825223381901</v>
      </c>
      <c r="AI803" s="6" t="n">
        <v>-4.069251359167756</v>
      </c>
      <c r="AJ803" s="6" t="n">
        <v>70.42438102314038</v>
      </c>
      <c r="AK803" s="6" t="n">
        <v>0.01802089923924868</v>
      </c>
      <c r="AL803" s="6" t="n">
        <v>1.024924423085</v>
      </c>
      <c r="AN803" s="6" t="n">
        <v>1.340163824837904</v>
      </c>
      <c r="AO803" s="6" t="n">
        <v>1.349249647576318</v>
      </c>
      <c r="AP803" s="6" t="n">
        <v>0.1368958921524429</v>
      </c>
      <c r="AQ803" s="6" t="n">
        <v>0</v>
      </c>
      <c r="AR803" s="6" t="n">
        <v>0</v>
      </c>
    </row>
    <row r="804">
      <c r="D804" t="inlineStr">
        <is>
          <t>Run 492</t>
        </is>
      </c>
      <c r="J804" s="6" t="n">
        <v>-1.260830178270991</v>
      </c>
      <c r="K804" s="6" t="n">
        <v>3.233003340642429</v>
      </c>
      <c r="L804" s="6" t="n">
        <v>0.371682886808247</v>
      </c>
      <c r="M804" s="6" t="n">
        <v>-2.364250251031281</v>
      </c>
      <c r="N804" s="6" t="n">
        <v>-1.273391577319001</v>
      </c>
      <c r="O804" s="6" t="n">
        <v>-0.1074410752686436</v>
      </c>
      <c r="P804" s="6" t="n">
        <v>-1.394375099388785</v>
      </c>
      <c r="Q804" s="6" t="n">
        <v>2.863994458258954</v>
      </c>
      <c r="R804" s="6" t="n">
        <v>-2.764004404927499</v>
      </c>
      <c r="S804" s="6" t="n">
        <v>1.195262991525822</v>
      </c>
      <c r="T804" s="6" t="n">
        <v>-2.610460425061718</v>
      </c>
      <c r="U804" s="6" t="n">
        <v>3.081342734128552</v>
      </c>
      <c r="V804" s="6" t="n">
        <v>-1.841378005044009</v>
      </c>
      <c r="W804" s="6" t="n">
        <v>2.454902827306114</v>
      </c>
      <c r="X804" s="6" t="n">
        <v>-1.176451573796934</v>
      </c>
      <c r="Y804" s="6" t="n">
        <v>1.076346526851951</v>
      </c>
      <c r="Z804" s="6" t="n">
        <v>4.755535745668799</v>
      </c>
      <c r="AA804" s="6" t="n">
        <v>-0.7108514328990558</v>
      </c>
      <c r="AB804" s="6" t="n">
        <v>1.519543937960796</v>
      </c>
      <c r="AC804" s="6" t="n">
        <v>4.043342465608479</v>
      </c>
      <c r="AD804" s="6" t="n">
        <v>-2.01636121932451</v>
      </c>
      <c r="AE804" s="6" t="n">
        <v>-0.4233127556974861</v>
      </c>
      <c r="AF804" s="6" t="n">
        <v>0.005512229379369999</v>
      </c>
      <c r="AG804" s="6" t="n">
        <v>2.296869940101117</v>
      </c>
      <c r="AH804" s="6" t="n">
        <v>0.4876681481366463</v>
      </c>
      <c r="AI804" s="6" t="n">
        <v>1.920357842097413</v>
      </c>
      <c r="AJ804" s="6" t="n">
        <v>73.21192923017524</v>
      </c>
      <c r="AK804" s="6" t="n">
        <v>0.1035792856610678</v>
      </c>
      <c r="AL804" s="6" t="n">
        <v>1.039636373027782</v>
      </c>
      <c r="AN804" s="6" t="n">
        <v>1.331071030811042</v>
      </c>
      <c r="AO804" s="6" t="n">
        <v>1.337626564483051</v>
      </c>
      <c r="AP804" s="6" t="n">
        <v>0.1338428845293047</v>
      </c>
      <c r="AQ804" s="6" t="n">
        <v>0</v>
      </c>
      <c r="AR804" s="6" t="n">
        <v>0</v>
      </c>
    </row>
    <row r="805">
      <c r="D805" t="inlineStr">
        <is>
          <t>Run 493</t>
        </is>
      </c>
      <c r="J805" s="6" t="n">
        <v>0.9719231974774121</v>
      </c>
      <c r="K805" s="6" t="n">
        <v>-0.6876393896427268</v>
      </c>
      <c r="L805" s="6" t="n">
        <v>2.470562700348195</v>
      </c>
      <c r="M805" s="6" t="n">
        <v>-0.8053038203313359</v>
      </c>
      <c r="N805" s="6" t="n">
        <v>-0.5743662261125961</v>
      </c>
      <c r="O805" s="6" t="n">
        <v>-0.4991614215587984</v>
      </c>
      <c r="P805" s="6" t="n">
        <v>1.749328368717339</v>
      </c>
      <c r="Q805" s="6" t="n">
        <v>-0.9589221662249764</v>
      </c>
      <c r="R805" s="6" t="n">
        <v>-0.8148358802805029</v>
      </c>
      <c r="S805" s="6" t="n">
        <v>0.6224727524339295</v>
      </c>
      <c r="T805" s="6" t="n">
        <v>-1.016148314264862</v>
      </c>
      <c r="U805" s="6" t="n">
        <v>-3.209704568203166</v>
      </c>
      <c r="V805" s="6" t="n">
        <v>-0.9738987975509577</v>
      </c>
      <c r="W805" s="6" t="n">
        <v>0.125426488781051</v>
      </c>
      <c r="X805" s="6" t="n">
        <v>4.766724000171704</v>
      </c>
      <c r="Y805" s="6" t="n">
        <v>0.5996166917243966</v>
      </c>
      <c r="Z805" s="6" t="n">
        <v>-2.313519805553778</v>
      </c>
      <c r="AA805" s="6" t="n">
        <v>3.589191982394292</v>
      </c>
      <c r="AB805" s="6" t="n">
        <v>1.592611621018597</v>
      </c>
      <c r="AC805" s="6" t="n">
        <v>-1.144147896586176</v>
      </c>
      <c r="AD805" s="6" t="n">
        <v>4.150491547234018</v>
      </c>
      <c r="AE805" s="6" t="n">
        <v>3.115982317774983</v>
      </c>
      <c r="AF805" s="6" t="n">
        <v>1.624925900850451</v>
      </c>
      <c r="AG805" s="6" t="n">
        <v>-2.105211748305646</v>
      </c>
      <c r="AH805" s="6" t="n">
        <v>0.9887424339072519</v>
      </c>
      <c r="AI805" s="6" t="n">
        <v>0.5183580046368337</v>
      </c>
      <c r="AJ805" s="6" t="n">
        <v>75.95572449446871</v>
      </c>
      <c r="AK805" s="6" t="n">
        <v>0.1751984703208416</v>
      </c>
      <c r="AL805" s="6" t="n">
        <v>1.066983509628929</v>
      </c>
      <c r="AN805" s="6" t="n">
        <v>1.335031720522035</v>
      </c>
      <c r="AO805" s="6" t="n">
        <v>1.336227273981819</v>
      </c>
      <c r="AP805" s="6" t="n">
        <v>0.1297240548995089</v>
      </c>
      <c r="AQ805" s="6" t="n">
        <v>0</v>
      </c>
      <c r="AR805" s="6" t="n">
        <v>0</v>
      </c>
    </row>
    <row r="806">
      <c r="D806" t="inlineStr">
        <is>
          <t>Run 494</t>
        </is>
      </c>
      <c r="J806" s="6" t="n">
        <v>-0.786502061783768</v>
      </c>
      <c r="K806" s="6" t="n">
        <v>0.8544890677488032</v>
      </c>
      <c r="L806" s="6" t="n">
        <v>-0.5864410525383704</v>
      </c>
      <c r="M806" s="6" t="n">
        <v>-0.4549167511099575</v>
      </c>
      <c r="N806" s="6" t="n">
        <v>0.06095637931872036</v>
      </c>
      <c r="O806" s="6" t="n">
        <v>0.1589420783071375</v>
      </c>
      <c r="P806" s="6" t="n">
        <v>-0.1969471471411958</v>
      </c>
      <c r="Q806" s="6" t="n">
        <v>-1.391832613820351</v>
      </c>
      <c r="R806" s="6" t="n">
        <v>0.4377373589212867</v>
      </c>
      <c r="S806" s="6" t="n">
        <v>1.602065801684225</v>
      </c>
      <c r="T806" s="6" t="n">
        <v>-1.802832391794276</v>
      </c>
      <c r="U806" s="6" t="n">
        <v>-1.975015633489839</v>
      </c>
      <c r="V806" s="6" t="n">
        <v>0.2000275662276986</v>
      </c>
      <c r="W806" s="6" t="n">
        <v>0.1397017465365995</v>
      </c>
      <c r="X806" s="6" t="n">
        <v>-0.7053108345708724</v>
      </c>
      <c r="Y806" s="6" t="n">
        <v>-1.981406439010935</v>
      </c>
      <c r="Z806" s="6" t="n">
        <v>0.6205320073781141</v>
      </c>
      <c r="AA806" s="6" t="n">
        <v>0.6795567751317074</v>
      </c>
      <c r="AB806" s="6" t="n">
        <v>2.607773286790709</v>
      </c>
      <c r="AC806" s="6" t="n">
        <v>0.5573990815850025</v>
      </c>
      <c r="AD806" s="6" t="n">
        <v>1.278168947068559</v>
      </c>
      <c r="AE806" s="6" t="n">
        <v>1.133072401180486</v>
      </c>
      <c r="AF806" s="6" t="n">
        <v>-0.1349985701961597</v>
      </c>
      <c r="AG806" s="6" t="n">
        <v>0.04646898834270382</v>
      </c>
      <c r="AH806" s="6" t="n">
        <v>0.953576470793429</v>
      </c>
      <c r="AI806" s="6" t="n">
        <v>-2.377006518334788</v>
      </c>
      <c r="AJ806" s="6" t="n">
        <v>75.96355288464875</v>
      </c>
      <c r="AK806" s="6" t="n">
        <v>0.191753473346557</v>
      </c>
      <c r="AL806" s="6" t="n">
        <v>1.047287109664062</v>
      </c>
      <c r="AN806" s="6" t="n">
        <v>1.342395475059374</v>
      </c>
      <c r="AO806" s="6" t="n">
        <v>1.342708061664355</v>
      </c>
      <c r="AP806" s="6" t="n">
        <v>0.1309880629950363</v>
      </c>
      <c r="AQ806" s="6" t="n">
        <v>0</v>
      </c>
      <c r="AR806" s="6" t="n">
        <v>0</v>
      </c>
    </row>
    <row r="807">
      <c r="D807" t="inlineStr">
        <is>
          <t>Run 495</t>
        </is>
      </c>
      <c r="J807" s="6" t="n">
        <v>1.045199083363044</v>
      </c>
      <c r="K807" s="6" t="n">
        <v>2.683675357484488</v>
      </c>
      <c r="L807" s="6" t="n">
        <v>-0.2616354141318797</v>
      </c>
      <c r="M807" s="6" t="n">
        <v>0.389600649094048</v>
      </c>
      <c r="N807" s="6" t="n">
        <v>-6.189618687588409</v>
      </c>
      <c r="O807" s="6" t="n">
        <v>-0.09140228904476878</v>
      </c>
      <c r="P807" s="6" t="n">
        <v>0.3210612375137573</v>
      </c>
      <c r="Q807" s="6" t="n">
        <v>1.574891529588461</v>
      </c>
      <c r="R807" s="6" t="n">
        <v>3.107245191877126</v>
      </c>
      <c r="S807" s="6" t="n">
        <v>0.9149165633641199</v>
      </c>
      <c r="T807" s="6" t="n">
        <v>-3.864493515832526</v>
      </c>
      <c r="U807" s="6" t="n">
        <v>-2.805161217453037</v>
      </c>
      <c r="V807" s="6" t="n">
        <v>0.8917191425208295</v>
      </c>
      <c r="W807" s="6" t="n">
        <v>-0.8167803466578996</v>
      </c>
      <c r="X807" s="6" t="n">
        <v>1.078196484953039</v>
      </c>
      <c r="Y807" s="6" t="n">
        <v>0.5283139148416892</v>
      </c>
      <c r="Z807" s="6" t="n">
        <v>1.618796395875339</v>
      </c>
      <c r="AA807" s="6" t="n">
        <v>0.9664554204571476</v>
      </c>
      <c r="AB807" s="6" t="n">
        <v>0.2513720596300917</v>
      </c>
      <c r="AC807" s="6" t="n">
        <v>-0.5375323049117547</v>
      </c>
      <c r="AD807" s="6" t="n">
        <v>-3.267772126995239</v>
      </c>
      <c r="AE807" s="6" t="n">
        <v>0.7637127288350675</v>
      </c>
      <c r="AF807" s="6" t="n">
        <v>-1.522875565282612</v>
      </c>
      <c r="AG807" s="6" t="n">
        <v>-3.224576539598012</v>
      </c>
      <c r="AH807" s="6" t="n">
        <v>-0.4653223842681686</v>
      </c>
      <c r="AI807" s="6" t="n">
        <v>-1.105376295925198</v>
      </c>
      <c r="AJ807" s="6" t="n">
        <v>75.04111558385384</v>
      </c>
      <c r="AK807" s="6" t="n">
        <v>0</v>
      </c>
      <c r="AL807" s="6" t="n">
        <v>1.048794719729913</v>
      </c>
      <c r="AN807" s="6" t="n">
        <v>1.332339087907283</v>
      </c>
      <c r="AO807" s="6" t="n">
        <v>1.340133751135014</v>
      </c>
      <c r="AP807" s="6" t="n">
        <v>0.1352602650827642</v>
      </c>
      <c r="AQ807" s="6" t="n">
        <v>0</v>
      </c>
      <c r="AR807" s="6" t="n">
        <v>0</v>
      </c>
    </row>
    <row r="808">
      <c r="D808" t="inlineStr">
        <is>
          <t>Run 496</t>
        </is>
      </c>
      <c r="J808" s="6" t="n">
        <v>1.015303188482269</v>
      </c>
      <c r="K808" s="6" t="n">
        <v>-2.476221736268193</v>
      </c>
      <c r="L808" s="6" t="n">
        <v>-0.9933890818613823</v>
      </c>
      <c r="M808" s="6" t="n">
        <v>3.431014604179791</v>
      </c>
      <c r="N808" s="6" t="n">
        <v>-0.7330374340628809</v>
      </c>
      <c r="O808" s="6" t="n">
        <v>-0.07075912078100814</v>
      </c>
      <c r="P808" s="6" t="n">
        <v>-1.829073180421432</v>
      </c>
      <c r="Q808" s="6" t="n">
        <v>-2.393399422399102</v>
      </c>
      <c r="R808" s="6" t="n">
        <v>-2.845625310971511</v>
      </c>
      <c r="S808" s="6" t="n">
        <v>-1.947816084304252</v>
      </c>
      <c r="T808" s="6" t="n">
        <v>0.4676101336095637</v>
      </c>
      <c r="U808" s="6" t="n">
        <v>0.2308828492682107</v>
      </c>
      <c r="V808" s="6" t="n">
        <v>0.8128400289948001</v>
      </c>
      <c r="W808" s="6" t="n">
        <v>1.850497367464763</v>
      </c>
      <c r="X808" s="6" t="n">
        <v>-1.288095766119214</v>
      </c>
      <c r="Y808" s="6" t="n">
        <v>-1.358347433670769</v>
      </c>
      <c r="Z808" s="6" t="n">
        <v>-1.903428355781561</v>
      </c>
      <c r="AA808" s="6" t="n">
        <v>-1.607405693056731</v>
      </c>
      <c r="AB808" s="6" t="n">
        <v>3.282045563323669</v>
      </c>
      <c r="AC808" s="6" t="n">
        <v>4.87722503295762</v>
      </c>
      <c r="AD808" s="6" t="n">
        <v>1.30444517360118</v>
      </c>
      <c r="AE808" s="6" t="n">
        <v>-3.718285015527681</v>
      </c>
      <c r="AF808" s="6" t="n">
        <v>-1.270095462288206</v>
      </c>
      <c r="AG808" s="6" t="n">
        <v>-1.639428607406109</v>
      </c>
      <c r="AH808" s="6" t="n">
        <v>-0.563253377588844</v>
      </c>
      <c r="AI808" s="6" t="n">
        <v>0.4272398120945738</v>
      </c>
      <c r="AJ808" s="6" t="n">
        <v>74.19650356314285</v>
      </c>
      <c r="AK808" s="6" t="n">
        <v>0.05974461622385956</v>
      </c>
      <c r="AL808" s="6" t="n">
        <v>1.048108009047762</v>
      </c>
      <c r="AN808" s="6" t="n">
        <v>1.348483986819447</v>
      </c>
      <c r="AO808" s="6" t="n">
        <v>1.348483986819447</v>
      </c>
      <c r="AP808" s="6" t="n">
        <v>0.1339187257247616</v>
      </c>
      <c r="AQ808" s="6" t="n">
        <v>0</v>
      </c>
      <c r="AR808" s="6" t="n">
        <v>0</v>
      </c>
    </row>
    <row r="809">
      <c r="D809" t="inlineStr">
        <is>
          <t>Run 497</t>
        </is>
      </c>
      <c r="J809" s="6" t="n">
        <v>3.494442024512589</v>
      </c>
      <c r="K809" s="6" t="n">
        <v>-0.02182425572664425</v>
      </c>
      <c r="L809" s="6" t="n">
        <v>-4.883001987399244</v>
      </c>
      <c r="M809" s="6" t="n">
        <v>0.7415049898587385</v>
      </c>
      <c r="N809" s="6" t="n">
        <v>-0.04399924926659888</v>
      </c>
      <c r="O809" s="6" t="n">
        <v>3.876672535813137</v>
      </c>
      <c r="P809" s="6" t="n">
        <v>-0.04673325369545468</v>
      </c>
      <c r="Q809" s="6" t="n">
        <v>-4.238585167775349</v>
      </c>
      <c r="R809" s="6" t="n">
        <v>2.259994225880253</v>
      </c>
      <c r="S809" s="6" t="n">
        <v>0.9770632548788386</v>
      </c>
      <c r="T809" s="6" t="n">
        <v>-2.343628904967635</v>
      </c>
      <c r="U809" s="6" t="n">
        <v>-0.0435005672328099</v>
      </c>
      <c r="V809" s="6" t="n">
        <v>-2.711510851321639</v>
      </c>
      <c r="W809" s="6" t="n">
        <v>2.257313331635996</v>
      </c>
      <c r="X809" s="6" t="n">
        <v>-2.160313489951425</v>
      </c>
      <c r="Y809" s="6" t="n">
        <v>0.3616727297740862</v>
      </c>
      <c r="Z809" s="6" t="n">
        <v>0.2375411694711348</v>
      </c>
      <c r="AA809" s="6" t="n">
        <v>1.490659660656585</v>
      </c>
      <c r="AB809" s="6" t="n">
        <v>3.110914983165133</v>
      </c>
      <c r="AC809" s="6" t="n">
        <v>0.416769416656649</v>
      </c>
      <c r="AD809" s="6" t="n">
        <v>2.046049741940619</v>
      </c>
      <c r="AE809" s="6" t="n">
        <v>-1.495590133589354</v>
      </c>
      <c r="AF809" s="6" t="n">
        <v>-3.231289259701666</v>
      </c>
      <c r="AG809" s="6" t="n">
        <v>1.652476658403728</v>
      </c>
      <c r="AH809" s="6" t="n">
        <v>-1.500919735022475</v>
      </c>
      <c r="AI809" s="6" t="n">
        <v>-1.171918317069303</v>
      </c>
      <c r="AJ809" s="6" t="n">
        <v>81.42303441766367</v>
      </c>
      <c r="AK809" s="6" t="n">
        <v>0.1238587197760937</v>
      </c>
      <c r="AL809" s="6" t="n">
        <v>1.038898694507814</v>
      </c>
      <c r="AN809" s="6" t="n">
        <v>1.347126617913713</v>
      </c>
      <c r="AO809" s="6" t="n">
        <v>1.34915377812541</v>
      </c>
      <c r="AP809" s="6" t="n">
        <v>0.1337454954734662</v>
      </c>
      <c r="AQ809" s="6" t="n">
        <v>0</v>
      </c>
      <c r="AR809" s="6" t="n">
        <v>0</v>
      </c>
    </row>
    <row r="810">
      <c r="D810" t="inlineStr">
        <is>
          <t>Run 498</t>
        </is>
      </c>
      <c r="J810" s="6" t="n">
        <v>-3.325753689793671</v>
      </c>
      <c r="K810" s="6" t="n">
        <v>-1.19123347644685</v>
      </c>
      <c r="L810" s="6" t="n">
        <v>4.303039070750641</v>
      </c>
      <c r="M810" s="6" t="n">
        <v>1.933190255766634</v>
      </c>
      <c r="N810" s="6" t="n">
        <v>0.1089780594152656</v>
      </c>
      <c r="O810" s="6" t="n">
        <v>-2.601137385964513</v>
      </c>
      <c r="P810" s="6" t="n">
        <v>0.2469582814665783</v>
      </c>
      <c r="Q810" s="6" t="n">
        <v>-2.329684395993318</v>
      </c>
      <c r="R810" s="6" t="n">
        <v>0.08711602038419074</v>
      </c>
      <c r="S810" s="6" t="n">
        <v>0.1314045088084801</v>
      </c>
      <c r="T810" s="6" t="n">
        <v>0.5856941049855268</v>
      </c>
      <c r="U810" s="6" t="n">
        <v>-1.382526113003665</v>
      </c>
      <c r="V810" s="6" t="n">
        <v>0.3742046377239145</v>
      </c>
      <c r="W810" s="6" t="n">
        <v>-2.752587057763029</v>
      </c>
      <c r="X810" s="6" t="n">
        <v>-1.688749380853622</v>
      </c>
      <c r="Y810" s="6" t="n">
        <v>-0.3056363132588895</v>
      </c>
      <c r="Z810" s="6" t="n">
        <v>-4.918108388571187</v>
      </c>
      <c r="AA810" s="6" t="n">
        <v>0.03970980416145448</v>
      </c>
      <c r="AB810" s="6" t="n">
        <v>-2.582620512474635</v>
      </c>
      <c r="AC810" s="6" t="n">
        <v>-4.334383998045473</v>
      </c>
      <c r="AD810" s="6" t="n">
        <v>-1.621968832421063</v>
      </c>
      <c r="AE810" s="6" t="n">
        <v>-1.054729271679976</v>
      </c>
      <c r="AF810" s="6" t="n">
        <v>-3.738631977270116</v>
      </c>
      <c r="AG810" s="6" t="n">
        <v>-0.3697377087754368</v>
      </c>
      <c r="AH810" s="6" t="n">
        <v>0.5991184813869588</v>
      </c>
      <c r="AI810" s="6" t="n">
        <v>-0.002253529597885386</v>
      </c>
      <c r="AJ810" s="6" t="n">
        <v>73.67776110435602</v>
      </c>
      <c r="AK810" s="6" t="n">
        <v>0.163997172847734</v>
      </c>
      <c r="AL810" s="6" t="n">
        <v>1.079942334417307</v>
      </c>
      <c r="AN810" s="6" t="n">
        <v>1.334000261930863</v>
      </c>
      <c r="AO810" s="6" t="n">
        <v>1.334591812771126</v>
      </c>
      <c r="AP810" s="6" t="n">
        <v>0.1291347462354925</v>
      </c>
      <c r="AQ810" s="6" t="n">
        <v>0</v>
      </c>
      <c r="AR810" s="6" t="n">
        <v>0</v>
      </c>
    </row>
    <row r="811">
      <c r="D811" t="inlineStr">
        <is>
          <t>Run 499</t>
        </is>
      </c>
      <c r="J811" s="6" t="n">
        <v>-0.5903798153430241</v>
      </c>
      <c r="K811" s="6" t="n">
        <v>-3.285055540461891</v>
      </c>
      <c r="L811" s="6" t="n">
        <v>-0.7936412507107311</v>
      </c>
      <c r="M811" s="6" t="n">
        <v>-2.412808498728479</v>
      </c>
      <c r="N811" s="6" t="n">
        <v>0.6574099495769548</v>
      </c>
      <c r="O811" s="6" t="n">
        <v>2.626247021012499</v>
      </c>
      <c r="P811" s="6" t="n">
        <v>0.426251134628927</v>
      </c>
      <c r="Q811" s="6" t="n">
        <v>0.06390100621947652</v>
      </c>
      <c r="R811" s="6" t="n">
        <v>3.593362034028174</v>
      </c>
      <c r="S811" s="6" t="n">
        <v>-1.133896491240986</v>
      </c>
      <c r="T811" s="6" t="n">
        <v>0.4090287210961058</v>
      </c>
      <c r="U811" s="6" t="n">
        <v>2.030185712322329</v>
      </c>
      <c r="V811" s="6" t="n">
        <v>0.7777087505705095</v>
      </c>
      <c r="W811" s="6" t="n">
        <v>1.168971428833647</v>
      </c>
      <c r="X811" s="6" t="n">
        <v>-0.4694557405154401</v>
      </c>
      <c r="Y811" s="6" t="n">
        <v>0.5284111927423907</v>
      </c>
      <c r="Z811" s="6" t="n">
        <v>-0.7177486680736749</v>
      </c>
      <c r="AA811" s="6" t="n">
        <v>1.568678732050651</v>
      </c>
      <c r="AB811" s="6" t="n">
        <v>0.118675216797157</v>
      </c>
      <c r="AC811" s="6" t="n">
        <v>-3.614292851286052</v>
      </c>
      <c r="AD811" s="6" t="n">
        <v>-0.5590816097288301</v>
      </c>
      <c r="AE811" s="6" t="n">
        <v>0.3676251685992512</v>
      </c>
      <c r="AF811" s="6" t="n">
        <v>-1.518794762438981</v>
      </c>
      <c r="AG811" s="6" t="n">
        <v>-2.321231000136275</v>
      </c>
      <c r="AH811" s="6" t="n">
        <v>-2.131944725354412</v>
      </c>
      <c r="AI811" s="6" t="n">
        <v>-1.803126025398549</v>
      </c>
      <c r="AJ811" s="6" t="n">
        <v>72.52766998191569</v>
      </c>
      <c r="AK811" s="6" t="n">
        <v>0.0924430761724378</v>
      </c>
      <c r="AL811" s="6" t="n">
        <v>1.012514514187931</v>
      </c>
      <c r="AN811" s="6" t="n">
        <v>1.340207823342341</v>
      </c>
      <c r="AO811" s="6" t="n">
        <v>1.349526301580214</v>
      </c>
      <c r="AP811" s="6" t="n">
        <v>0.1371316389892114</v>
      </c>
      <c r="AQ811" s="6" t="n">
        <v>0</v>
      </c>
      <c r="AR811" s="6" t="n">
        <v>0</v>
      </c>
    </row>
    <row r="812">
      <c r="D812" t="inlineStr">
        <is>
          <t>Run 500</t>
        </is>
      </c>
      <c r="J812" s="6" t="n">
        <v>4.591810361923894</v>
      </c>
      <c r="K812" s="6" t="n">
        <v>-0.5362974491991012</v>
      </c>
      <c r="L812" s="6" t="n">
        <v>-2.465067608643358</v>
      </c>
      <c r="M812" s="6" t="n">
        <v>1.524530372625699</v>
      </c>
      <c r="N812" s="6" t="n">
        <v>-0.5005839588219593</v>
      </c>
      <c r="O812" s="6" t="n">
        <v>0.7127905998690631</v>
      </c>
      <c r="P812" s="6" t="n">
        <v>-0.1760978353135292</v>
      </c>
      <c r="Q812" s="6" t="n">
        <v>0.9472115645032875</v>
      </c>
      <c r="R812" s="6" t="n">
        <v>0.3475477941271046</v>
      </c>
      <c r="S812" s="6" t="n">
        <v>-1.613890854127244</v>
      </c>
      <c r="T812" s="6" t="n">
        <v>-2.369050274488402</v>
      </c>
      <c r="U812" s="6" t="n">
        <v>-1.205336809257214</v>
      </c>
      <c r="V812" s="6" t="n">
        <v>0.613353768546829</v>
      </c>
      <c r="W812" s="6" t="n">
        <v>0.8743875438979056</v>
      </c>
      <c r="X812" s="6" t="n">
        <v>3.099191637292556</v>
      </c>
      <c r="Y812" s="6" t="n">
        <v>-1.165536878852036</v>
      </c>
      <c r="Z812" s="6" t="n">
        <v>2.65855802589743</v>
      </c>
      <c r="AA812" s="6" t="n">
        <v>-0.8145500691082265</v>
      </c>
      <c r="AB812" s="6" t="n">
        <v>-3.222502613682949</v>
      </c>
      <c r="AC812" s="6" t="n">
        <v>-2.575051270871642</v>
      </c>
      <c r="AD812" s="6" t="n">
        <v>1.960514488405854</v>
      </c>
      <c r="AE812" s="6" t="n">
        <v>2.205712950922268</v>
      </c>
      <c r="AF812" s="6" t="n">
        <v>-1.99184624292929</v>
      </c>
      <c r="AG812" s="6" t="n">
        <v>-1.30577671283509</v>
      </c>
      <c r="AH812" s="6" t="n">
        <v>1.830598843568624</v>
      </c>
      <c r="AI812" s="6" t="n">
        <v>0.1527760191781075</v>
      </c>
      <c r="AJ812" s="6" t="n">
        <v>66.70772157461235</v>
      </c>
      <c r="AK812" s="6" t="n">
        <v>0.1060056083789094</v>
      </c>
      <c r="AL812" s="6" t="n">
        <v>1.105037518347265</v>
      </c>
      <c r="AN812" s="6" t="n">
        <v>1.327417586792394</v>
      </c>
      <c r="AO812" s="6" t="n">
        <v>1.327575732044553</v>
      </c>
      <c r="AP812" s="6" t="n">
        <v>0.1292577485390904</v>
      </c>
      <c r="AQ812" s="6" t="n">
        <v>0</v>
      </c>
      <c r="AR812" s="6" t="n">
        <v>0</v>
      </c>
    </row>
    <row r="813">
      <c r="D813" t="inlineStr">
        <is>
          <t>Run 501</t>
        </is>
      </c>
      <c r="J813" s="6" t="n">
        <v>0.2639781675456956</v>
      </c>
      <c r="K813" s="6" t="n">
        <v>-2.931714212828877</v>
      </c>
      <c r="L813" s="6" t="n">
        <v>-2.586834260397061</v>
      </c>
      <c r="M813" s="6" t="n">
        <v>-2.987590261313248</v>
      </c>
      <c r="N813" s="6" t="n">
        <v>1.533680283032649</v>
      </c>
      <c r="O813" s="6" t="n">
        <v>-2.951643182814236</v>
      </c>
      <c r="P813" s="6" t="n">
        <v>-1.547036479588679</v>
      </c>
      <c r="Q813" s="6" t="n">
        <v>-5.293586999196457</v>
      </c>
      <c r="R813" s="6" t="n">
        <v>0.311197523601845</v>
      </c>
      <c r="S813" s="6" t="n">
        <v>-1.998823187459133</v>
      </c>
      <c r="T813" s="6" t="n">
        <v>-0.5609033100469326</v>
      </c>
      <c r="U813" s="6" t="n">
        <v>-1.298587134009988</v>
      </c>
      <c r="V813" s="6" t="n">
        <v>2.673693905058633</v>
      </c>
      <c r="W813" s="6" t="n">
        <v>-0.7051994236805598</v>
      </c>
      <c r="X813" s="6" t="n">
        <v>2.387047910553274</v>
      </c>
      <c r="Y813" s="6" t="n">
        <v>-2.829167792795609</v>
      </c>
      <c r="Z813" s="6" t="n">
        <v>-0.05524194317642851</v>
      </c>
      <c r="AA813" s="6" t="n">
        <v>4.082778228662924</v>
      </c>
      <c r="AB813" s="6" t="n">
        <v>1.451899923973891</v>
      </c>
      <c r="AC813" s="6" t="n">
        <v>0.4034719703740035</v>
      </c>
      <c r="AD813" s="6" t="n">
        <v>-1.184610177879656</v>
      </c>
      <c r="AE813" s="6" t="n">
        <v>-1.593081381320032</v>
      </c>
      <c r="AF813" s="6" t="n">
        <v>-0.2877300821598878</v>
      </c>
      <c r="AG813" s="6" t="n">
        <v>-0.5080516636364537</v>
      </c>
      <c r="AH813" s="6" t="n">
        <v>-1.306494365578738</v>
      </c>
      <c r="AI813" s="6" t="n">
        <v>-1.60274552823923</v>
      </c>
      <c r="AJ813" s="6" t="n">
        <v>77.27692873377411</v>
      </c>
      <c r="AK813" s="6" t="n">
        <v>0.133359005653959</v>
      </c>
      <c r="AL813" s="6" t="n">
        <v>1.097618706203045</v>
      </c>
      <c r="AN813" s="6" t="n">
        <v>1.305881376364662</v>
      </c>
      <c r="AO813" s="6" t="n">
        <v>1.316263995507519</v>
      </c>
      <c r="AP813" s="6" t="n">
        <v>0.1283828728405746</v>
      </c>
      <c r="AQ813" s="6" t="n">
        <v>0</v>
      </c>
      <c r="AR813" s="6" t="n">
        <v>0</v>
      </c>
    </row>
    <row r="814">
      <c r="D814" t="inlineStr">
        <is>
          <t>Run 502</t>
        </is>
      </c>
      <c r="J814" s="6" t="n">
        <v>-1.376587857417956</v>
      </c>
      <c r="K814" s="6" t="n">
        <v>-1.45567000844928</v>
      </c>
      <c r="L814" s="6" t="n">
        <v>-2.257659395593598</v>
      </c>
      <c r="M814" s="6" t="n">
        <v>-2.922928667730689</v>
      </c>
      <c r="N814" s="6" t="n">
        <v>-0.1128559808187616</v>
      </c>
      <c r="O814" s="6" t="n">
        <v>-2.489695717364432</v>
      </c>
      <c r="P814" s="6" t="n">
        <v>-0.5036030734332161</v>
      </c>
      <c r="Q814" s="6" t="n">
        <v>0.02682416946244682</v>
      </c>
      <c r="R814" s="6" t="n">
        <v>-3.938318617656364</v>
      </c>
      <c r="S814" s="6" t="n">
        <v>0.09850124389310488</v>
      </c>
      <c r="T814" s="6" t="n">
        <v>-0.9951512987361473</v>
      </c>
      <c r="U814" s="6" t="n">
        <v>-3.026162681591099</v>
      </c>
      <c r="V814" s="6" t="n">
        <v>-0.83761284684936</v>
      </c>
      <c r="W814" s="6" t="n">
        <v>0.4572508656964367</v>
      </c>
      <c r="X814" s="6" t="n">
        <v>-1.324847428148285</v>
      </c>
      <c r="Y814" s="6" t="n">
        <v>-2.204343509188923</v>
      </c>
      <c r="Z814" s="6" t="n">
        <v>0.5825450039973673</v>
      </c>
      <c r="AA814" s="6" t="n">
        <v>-1.243699145779288</v>
      </c>
      <c r="AB814" s="6" t="n">
        <v>-1.931220210638732</v>
      </c>
      <c r="AC814" s="6" t="n">
        <v>0.2508443921377096</v>
      </c>
      <c r="AD814" s="6" t="n">
        <v>0.04045535139172863</v>
      </c>
      <c r="AE814" s="6" t="n">
        <v>-3.590155397926786</v>
      </c>
      <c r="AF814" s="6" t="n">
        <v>-1.057339549014708</v>
      </c>
      <c r="AG814" s="6" t="n">
        <v>1.171152736746337</v>
      </c>
      <c r="AH814" s="6" t="n">
        <v>0.8279122200080852</v>
      </c>
      <c r="AI814" s="6" t="n">
        <v>-0.7945533662127242</v>
      </c>
      <c r="AJ814" s="6" t="n">
        <v>81.87674481029343</v>
      </c>
      <c r="AK814" s="6" t="n">
        <v>0.1421403732186797</v>
      </c>
      <c r="AL814" s="6" t="n">
        <v>1.086310969890806</v>
      </c>
      <c r="AN814" s="6" t="n">
        <v>1.310037288026052</v>
      </c>
      <c r="AO814" s="6" t="n">
        <v>1.318418503995916</v>
      </c>
      <c r="AP814" s="6" t="n">
        <v>0.1295132833253692</v>
      </c>
      <c r="AQ814" s="6" t="n">
        <v>0</v>
      </c>
      <c r="AR814" s="6" t="n">
        <v>0</v>
      </c>
    </row>
    <row r="815">
      <c r="D815" t="inlineStr">
        <is>
          <t>Run 503</t>
        </is>
      </c>
      <c r="J815" s="6" t="n">
        <v>-2.440724916910625</v>
      </c>
      <c r="K815" s="6" t="n">
        <v>0.8234202843556615</v>
      </c>
      <c r="L815" s="6" t="n">
        <v>1.25928841555679</v>
      </c>
      <c r="M815" s="6" t="n">
        <v>0.3384480410428831</v>
      </c>
      <c r="N815" s="6" t="n">
        <v>-2.674203009728489</v>
      </c>
      <c r="O815" s="6" t="n">
        <v>-0.3287279150239708</v>
      </c>
      <c r="P815" s="6" t="n">
        <v>-0.5638061087947951</v>
      </c>
      <c r="Q815" s="6" t="n">
        <v>-1.903121126991531</v>
      </c>
      <c r="R815" s="6" t="n">
        <v>3.211699527450032</v>
      </c>
      <c r="S815" s="6" t="n">
        <v>-0.1209665520253642</v>
      </c>
      <c r="T815" s="6" t="n">
        <v>-1.952168191245716</v>
      </c>
      <c r="U815" s="6" t="n">
        <v>1.701960981031901</v>
      </c>
      <c r="V815" s="6" t="n">
        <v>2.222833975883747</v>
      </c>
      <c r="W815" s="6" t="n">
        <v>2.445226301505296</v>
      </c>
      <c r="X815" s="6" t="n">
        <v>-1.757360383355466</v>
      </c>
      <c r="Y815" s="6" t="n">
        <v>4.117480213809297</v>
      </c>
      <c r="Z815" s="6" t="n">
        <v>-1.232861381285184</v>
      </c>
      <c r="AA815" s="6" t="n">
        <v>-0.1833390521171245</v>
      </c>
      <c r="AB815" s="6" t="n">
        <v>-0.6350173632079333</v>
      </c>
      <c r="AC815" s="6" t="n">
        <v>1.647951351254417</v>
      </c>
      <c r="AD815" s="6" t="n">
        <v>0.1734832289670342</v>
      </c>
      <c r="AE815" s="6" t="n">
        <v>-3.098573585856459</v>
      </c>
      <c r="AF815" s="6" t="n">
        <v>-0.799810417008683</v>
      </c>
      <c r="AG815" s="6" t="n">
        <v>-3.387600315979648</v>
      </c>
      <c r="AH815" s="6" t="n">
        <v>-1.043280214734169</v>
      </c>
      <c r="AI815" s="6" t="n">
        <v>0.5406045562796467</v>
      </c>
      <c r="AJ815" s="6" t="n">
        <v>61.72163209577339</v>
      </c>
      <c r="AK815" s="6" t="n">
        <v>0.08724617130782775</v>
      </c>
      <c r="AL815" s="6" t="n">
        <v>1.080490106933429</v>
      </c>
      <c r="AN815" s="6" t="n">
        <v>1.336051898158622</v>
      </c>
      <c r="AO815" s="6" t="n">
        <v>1.336222246544811</v>
      </c>
      <c r="AP815" s="6" t="n">
        <v>0.1303869878547745</v>
      </c>
      <c r="AQ815" s="6" t="n">
        <v>0</v>
      </c>
      <c r="AR815" s="6" t="n">
        <v>0</v>
      </c>
    </row>
    <row r="816">
      <c r="D816" t="inlineStr">
        <is>
          <t>Run 504</t>
        </is>
      </c>
      <c r="J816" s="6" t="n">
        <v>1.05881218468484</v>
      </c>
      <c r="K816" s="6" t="n">
        <v>1.633562613851467</v>
      </c>
      <c r="L816" s="6" t="n">
        <v>3.859453418070613</v>
      </c>
      <c r="M816" s="6" t="n">
        <v>1.101299844535697</v>
      </c>
      <c r="N816" s="6" t="n">
        <v>1.806675131022129</v>
      </c>
      <c r="O816" s="6" t="n">
        <v>-0.05276125057685325</v>
      </c>
      <c r="P816" s="6" t="n">
        <v>1.389447701830431</v>
      </c>
      <c r="Q816" s="6" t="n">
        <v>-0.3233902837267387</v>
      </c>
      <c r="R816" s="6" t="n">
        <v>0.920358235556215</v>
      </c>
      <c r="S816" s="6" t="n">
        <v>0.862144866913453</v>
      </c>
      <c r="T816" s="6" t="n">
        <v>0.1757044987161412</v>
      </c>
      <c r="U816" s="6" t="n">
        <v>0.588429130705409</v>
      </c>
      <c r="V816" s="6" t="n">
        <v>-0.4007563956919254</v>
      </c>
      <c r="W816" s="6" t="n">
        <v>-0.1332197421043244</v>
      </c>
      <c r="X816" s="6" t="n">
        <v>1.216173881560958</v>
      </c>
      <c r="Y816" s="6" t="n">
        <v>-1.385550266145215</v>
      </c>
      <c r="Z816" s="6" t="n">
        <v>-1.470067258238965</v>
      </c>
      <c r="AA816" s="6" t="n">
        <v>-0.6324632176583612</v>
      </c>
      <c r="AB816" s="6" t="n">
        <v>-1.481672560637468</v>
      </c>
      <c r="AC816" s="6" t="n">
        <v>-1.328083065553294</v>
      </c>
      <c r="AD816" s="6" t="n">
        <v>0.4775562134086732</v>
      </c>
      <c r="AE816" s="6" t="n">
        <v>-2.992124097239132</v>
      </c>
      <c r="AF816" s="6" t="n">
        <v>4.097121849622041</v>
      </c>
      <c r="AG816" s="6" t="n">
        <v>-1.289072399570669</v>
      </c>
      <c r="AH816" s="6" t="n">
        <v>0.3643526335178156</v>
      </c>
      <c r="AI816" s="6" t="n">
        <v>-0.3878033549946509</v>
      </c>
      <c r="AJ816" s="6" t="n">
        <v>77.10985894595687</v>
      </c>
      <c r="AK816" s="6" t="n">
        <v>0.1966638240774664</v>
      </c>
      <c r="AL816" s="6" t="n">
        <v>1.04163302577947</v>
      </c>
      <c r="AN816" s="6" t="n">
        <v>1.344542792936473</v>
      </c>
      <c r="AO816" s="6" t="n">
        <v>1.345283544801416</v>
      </c>
      <c r="AP816" s="6" t="n">
        <v>0.1314908344192989</v>
      </c>
      <c r="AQ816" s="6" t="n">
        <v>0</v>
      </c>
      <c r="AR816" s="6" t="n">
        <v>0</v>
      </c>
    </row>
    <row r="817">
      <c r="D817" t="inlineStr">
        <is>
          <t>Run 505</t>
        </is>
      </c>
      <c r="J817" s="6" t="n">
        <v>-0.2443241716286841</v>
      </c>
      <c r="K817" s="6" t="n">
        <v>-0.7454035156290207</v>
      </c>
      <c r="L817" s="6" t="n">
        <v>-1.28285395214935</v>
      </c>
      <c r="M817" s="6" t="n">
        <v>-0.1068927200970181</v>
      </c>
      <c r="N817" s="6" t="n">
        <v>0.7838356846399087</v>
      </c>
      <c r="O817" s="6" t="n">
        <v>-1.834830679790181</v>
      </c>
      <c r="P817" s="6" t="n">
        <v>1.678457814570583</v>
      </c>
      <c r="Q817" s="6" t="n">
        <v>4.757805281731527</v>
      </c>
      <c r="R817" s="6" t="n">
        <v>-0.8980831795988964</v>
      </c>
      <c r="S817" s="6" t="n">
        <v>0.8267109087920945</v>
      </c>
      <c r="T817" s="6" t="n">
        <v>0.8169056998859917</v>
      </c>
      <c r="U817" s="6" t="n">
        <v>-0.5615493008805902</v>
      </c>
      <c r="V817" s="6" t="n">
        <v>1.398202980279708</v>
      </c>
      <c r="W817" s="6" t="n">
        <v>-0.841928332835692</v>
      </c>
      <c r="X817" s="6" t="n">
        <v>-0.1083246827139712</v>
      </c>
      <c r="Y817" s="6" t="n">
        <v>-4.212655718686777</v>
      </c>
      <c r="Z817" s="6" t="n">
        <v>0.6966917120562558</v>
      </c>
      <c r="AA817" s="6" t="n">
        <v>-0.1090848248609593</v>
      </c>
      <c r="AB817" s="6" t="n">
        <v>-0.8127312957155103</v>
      </c>
      <c r="AC817" s="6" t="n">
        <v>-1.201897866992213</v>
      </c>
      <c r="AD817" s="6" t="n">
        <v>1.170396393101928</v>
      </c>
      <c r="AE817" s="6" t="n">
        <v>-0.7532006299112537</v>
      </c>
      <c r="AF817" s="6" t="n">
        <v>-0.6805454579987769</v>
      </c>
      <c r="AG817" s="6" t="n">
        <v>4.036079049655428</v>
      </c>
      <c r="AH817" s="6" t="n">
        <v>-1.602021610443164</v>
      </c>
      <c r="AI817" s="6" t="n">
        <v>-1.393891551462185</v>
      </c>
      <c r="AJ817" s="6" t="n">
        <v>74.46693516951683</v>
      </c>
      <c r="AK817" s="6" t="n">
        <v>0.1590168487033485</v>
      </c>
      <c r="AL817" s="6" t="n">
        <v>1.036727908116421</v>
      </c>
      <c r="AN817" s="6" t="n">
        <v>1.350475769107092</v>
      </c>
      <c r="AO817" s="6" t="n">
        <v>1.350874690161383</v>
      </c>
      <c r="AP817" s="6" t="n">
        <v>0.1329530547624607</v>
      </c>
      <c r="AQ817" s="6" t="n">
        <v>0</v>
      </c>
      <c r="AR817" s="6" t="n">
        <v>0</v>
      </c>
    </row>
    <row r="818">
      <c r="D818" t="inlineStr">
        <is>
          <t>Run 506</t>
        </is>
      </c>
      <c r="J818" s="6" t="n">
        <v>-0.005704098862513577</v>
      </c>
      <c r="K818" s="6" t="n">
        <v>-3.380510240166216</v>
      </c>
      <c r="L818" s="6" t="n">
        <v>2.119075988452987</v>
      </c>
      <c r="M818" s="6" t="n">
        <v>-2.336686453552449</v>
      </c>
      <c r="N818" s="6" t="n">
        <v>-0.1851171570963926</v>
      </c>
      <c r="O818" s="6" t="n">
        <v>-1.704551873807518</v>
      </c>
      <c r="P818" s="6" t="n">
        <v>-1.647905782664918</v>
      </c>
      <c r="Q818" s="6" t="n">
        <v>-1.075969442496209</v>
      </c>
      <c r="R818" s="6" t="n">
        <v>0.6132921182425538</v>
      </c>
      <c r="S818" s="6" t="n">
        <v>-1.001768049312791</v>
      </c>
      <c r="T818" s="6" t="n">
        <v>1.640608878217171</v>
      </c>
      <c r="U818" s="6" t="n">
        <v>-1.550613167210058</v>
      </c>
      <c r="V818" s="6" t="n">
        <v>-0.131717746776291</v>
      </c>
      <c r="W818" s="6" t="n">
        <v>-0.8333871473921959</v>
      </c>
      <c r="X818" s="6" t="n">
        <v>4.433512149016059</v>
      </c>
      <c r="Y818" s="6" t="n">
        <v>-1.132585402547315</v>
      </c>
      <c r="Z818" s="6" t="n">
        <v>-2.222535412564249</v>
      </c>
      <c r="AA818" s="6" t="n">
        <v>-1.832369062811214</v>
      </c>
      <c r="AB818" s="6" t="n">
        <v>-0.641728705755804</v>
      </c>
      <c r="AC818" s="6" t="n">
        <v>1.541054507996416</v>
      </c>
      <c r="AD818" s="6" t="n">
        <v>-2.734408526946098</v>
      </c>
      <c r="AE818" s="6" t="n">
        <v>-0.8157006429555511</v>
      </c>
      <c r="AF818" s="6" t="n">
        <v>-3.18255194347452</v>
      </c>
      <c r="AG818" s="6" t="n">
        <v>-0.04211014904582339</v>
      </c>
      <c r="AH818" s="6" t="n">
        <v>1.520543805353074</v>
      </c>
      <c r="AI818" s="6" t="n">
        <v>3.774857312256648</v>
      </c>
      <c r="AJ818" s="6" t="n">
        <v>72.97375331196626</v>
      </c>
      <c r="AK818" s="6" t="n">
        <v>0.07952504644532152</v>
      </c>
      <c r="AL818" s="6" t="n">
        <v>1.032927982092491</v>
      </c>
      <c r="AN818" s="6" t="n">
        <v>1.335122478758341</v>
      </c>
      <c r="AO818" s="6" t="n">
        <v>1.343794652043134</v>
      </c>
      <c r="AP818" s="6" t="n">
        <v>0.1348612495875437</v>
      </c>
      <c r="AQ818" s="6" t="n">
        <v>0</v>
      </c>
      <c r="AR818" s="6" t="n">
        <v>0</v>
      </c>
    </row>
    <row r="819">
      <c r="D819" t="inlineStr">
        <is>
          <t>Run 507</t>
        </is>
      </c>
      <c r="J819" s="6" t="n">
        <v>-0.4902236717744421</v>
      </c>
      <c r="K819" s="6" t="n">
        <v>-0.8436878108283505</v>
      </c>
      <c r="L819" s="6" t="n">
        <v>2.469313899100989</v>
      </c>
      <c r="M819" s="6" t="n">
        <v>-2.418480908437269</v>
      </c>
      <c r="N819" s="6" t="n">
        <v>3.444524805886263</v>
      </c>
      <c r="O819" s="6" t="n">
        <v>-1.733732052829115</v>
      </c>
      <c r="P819" s="6" t="n">
        <v>1.542891802917433</v>
      </c>
      <c r="Q819" s="6" t="n">
        <v>-3.240748479838465</v>
      </c>
      <c r="R819" s="6" t="n">
        <v>1.545653892770983</v>
      </c>
      <c r="S819" s="6" t="n">
        <v>-2.241067172131643</v>
      </c>
      <c r="T819" s="6" t="n">
        <v>-0.4051370017407287</v>
      </c>
      <c r="U819" s="6" t="n">
        <v>-1.404155940932083</v>
      </c>
      <c r="V819" s="6" t="n">
        <v>-3.147561826598889</v>
      </c>
      <c r="W819" s="6" t="n">
        <v>3.303625452347475</v>
      </c>
      <c r="X819" s="6" t="n">
        <v>0.07094196415521618</v>
      </c>
      <c r="Y819" s="6" t="n">
        <v>-0.4963878956181087</v>
      </c>
      <c r="Z819" s="6" t="n">
        <v>1.356845694103701</v>
      </c>
      <c r="AA819" s="6" t="n">
        <v>0.5838533768240307</v>
      </c>
      <c r="AB819" s="6" t="n">
        <v>-2.611615651743256</v>
      </c>
      <c r="AC819" s="6" t="n">
        <v>-0.5749900354815515</v>
      </c>
      <c r="AD819" s="6" t="n">
        <v>-2.001167032177685</v>
      </c>
      <c r="AE819" s="6" t="n">
        <v>1.474975589821375</v>
      </c>
      <c r="AF819" s="6" t="n">
        <v>-2.254265078111767</v>
      </c>
      <c r="AG819" s="6" t="n">
        <v>-2.512469110456091</v>
      </c>
      <c r="AH819" s="6" t="n">
        <v>-0.7443188842635704</v>
      </c>
      <c r="AI819" s="6" t="n">
        <v>-1.323218886561777</v>
      </c>
      <c r="AJ819" s="6" t="n">
        <v>69.08980010960165</v>
      </c>
      <c r="AK819" s="6" t="n">
        <v>0.06451768619575872</v>
      </c>
      <c r="AL819" s="6" t="n">
        <v>1.038863290641939</v>
      </c>
      <c r="AN819" s="6" t="n">
        <v>1.331014945482038</v>
      </c>
      <c r="AO819" s="6" t="n">
        <v>1.339221354248249</v>
      </c>
      <c r="AP819" s="6" t="n">
        <v>0.1339592458675594</v>
      </c>
      <c r="AQ819" s="6" t="n">
        <v>0</v>
      </c>
      <c r="AR819" s="6" t="n">
        <v>0</v>
      </c>
    </row>
    <row r="820">
      <c r="D820" t="inlineStr">
        <is>
          <t>Run 508</t>
        </is>
      </c>
      <c r="J820" s="6" t="n">
        <v>2.483647935298159</v>
      </c>
      <c r="K820" s="6" t="n">
        <v>-0.1818885074138015</v>
      </c>
      <c r="L820" s="6" t="n">
        <v>-2.79662942182106</v>
      </c>
      <c r="M820" s="6" t="n">
        <v>-0.8559065101424876</v>
      </c>
      <c r="N820" s="6" t="n">
        <v>2.036903616013821</v>
      </c>
      <c r="O820" s="6" t="n">
        <v>1.625017092500388</v>
      </c>
      <c r="P820" s="6" t="n">
        <v>1.073521843364759</v>
      </c>
      <c r="Q820" s="6" t="n">
        <v>-1.135910718590205</v>
      </c>
      <c r="R820" s="6" t="n">
        <v>0.3388273783559521</v>
      </c>
      <c r="S820" s="6" t="n">
        <v>-2.281688643777135</v>
      </c>
      <c r="T820" s="6" t="n">
        <v>-1.975091932072968</v>
      </c>
      <c r="U820" s="6" t="n">
        <v>0.6809991683235445</v>
      </c>
      <c r="V820" s="6" t="n">
        <v>1.972508531873668</v>
      </c>
      <c r="W820" s="6" t="n">
        <v>-0.7175614782208241</v>
      </c>
      <c r="X820" s="6" t="n">
        <v>-3.537026496723386</v>
      </c>
      <c r="Y820" s="6" t="n">
        <v>0.06218117278818809</v>
      </c>
      <c r="Z820" s="6" t="n">
        <v>4.368657575698853</v>
      </c>
      <c r="AA820" s="6" t="n">
        <v>0.104901560157772</v>
      </c>
      <c r="AB820" s="6" t="n">
        <v>2.301223184738225</v>
      </c>
      <c r="AC820" s="6" t="n">
        <v>1.154428986322707</v>
      </c>
      <c r="AD820" s="6" t="n">
        <v>-3.113996107695445</v>
      </c>
      <c r="AE820" s="6" t="n">
        <v>-0.5613326957420615</v>
      </c>
      <c r="AF820" s="6" t="n">
        <v>4.504631271741143</v>
      </c>
      <c r="AG820" s="6" t="n">
        <v>0.5720110746247906</v>
      </c>
      <c r="AH820" s="6" t="n">
        <v>0.05726189098179416</v>
      </c>
      <c r="AI820" s="6" t="n">
        <v>-1.529265515787864</v>
      </c>
      <c r="AJ820" s="6" t="n">
        <v>71.68638865990027</v>
      </c>
      <c r="AK820" s="6" t="n">
        <v>0.1874131650707083</v>
      </c>
      <c r="AL820" s="6" t="n">
        <v>1.007633593609002</v>
      </c>
      <c r="AN820" s="6" t="n">
        <v>1.353775496102761</v>
      </c>
      <c r="AO820" s="6" t="n">
        <v>1.354082853836245</v>
      </c>
      <c r="AP820" s="6" t="n">
        <v>0.1358878729982688</v>
      </c>
      <c r="AQ820" s="6" t="n">
        <v>0</v>
      </c>
      <c r="AR820" s="6" t="n">
        <v>0</v>
      </c>
    </row>
    <row r="821">
      <c r="D821" t="inlineStr">
        <is>
          <t>Run 509</t>
        </is>
      </c>
      <c r="J821" s="6" t="n">
        <v>-0.4511138043744156</v>
      </c>
      <c r="K821" s="6" t="n">
        <v>2.952915468804435</v>
      </c>
      <c r="L821" s="6" t="n">
        <v>2.006840992976435</v>
      </c>
      <c r="M821" s="6" t="n">
        <v>-1.018328463409174</v>
      </c>
      <c r="N821" s="6" t="n">
        <v>0.360916857642223</v>
      </c>
      <c r="O821" s="6" t="n">
        <v>3.237082350043992</v>
      </c>
      <c r="P821" s="6" t="n">
        <v>4.273033671982275</v>
      </c>
      <c r="Q821" s="6" t="n">
        <v>3.154450085818218</v>
      </c>
      <c r="R821" s="6" t="n">
        <v>2.279146825650193</v>
      </c>
      <c r="S821" s="6" t="n">
        <v>-0.6633110134233697</v>
      </c>
      <c r="T821" s="6" t="n">
        <v>0.8498947254063745</v>
      </c>
      <c r="U821" s="6" t="n">
        <v>1.40255382664971</v>
      </c>
      <c r="V821" s="6" t="n">
        <v>-0.2086138180168609</v>
      </c>
      <c r="W821" s="6" t="n">
        <v>4.191221975665077</v>
      </c>
      <c r="X821" s="6" t="n">
        <v>1.281977694039375</v>
      </c>
      <c r="Y821" s="6" t="n">
        <v>5</v>
      </c>
      <c r="Z821" s="6" t="n">
        <v>0.4621401108816839</v>
      </c>
      <c r="AA821" s="6" t="n">
        <v>-2.212075895780256</v>
      </c>
      <c r="AB821" s="6" t="n">
        <v>-2.93841743340589</v>
      </c>
      <c r="AC821" s="6" t="n">
        <v>1.46733829425502</v>
      </c>
      <c r="AD821" s="6" t="n">
        <v>4.386217367504003</v>
      </c>
      <c r="AE821" s="6" t="n">
        <v>-0.6670228447526261</v>
      </c>
      <c r="AF821" s="6" t="n">
        <v>-3.302241784536894</v>
      </c>
      <c r="AG821" s="6" t="n">
        <v>-2.612121831116693</v>
      </c>
      <c r="AH821" s="6" t="n">
        <v>-0.08073022949317875</v>
      </c>
      <c r="AI821" s="6" t="n">
        <v>1.483073038702571</v>
      </c>
      <c r="AJ821" s="6" t="n">
        <v>57.78417749692618</v>
      </c>
      <c r="AK821" s="6" t="n">
        <v>0.1479641079366561</v>
      </c>
      <c r="AL821" s="6" t="n">
        <v>1.099202513912273</v>
      </c>
      <c r="AN821" s="6" t="n">
        <v>1.320570504913622</v>
      </c>
      <c r="AO821" s="6" t="n">
        <v>1.320759942862545</v>
      </c>
      <c r="AP821" s="6" t="n">
        <v>0.128025415379374</v>
      </c>
      <c r="AQ821" s="6" t="n">
        <v>0</v>
      </c>
      <c r="AR821" s="6" t="n">
        <v>0</v>
      </c>
    </row>
    <row r="822">
      <c r="D822" t="inlineStr">
        <is>
          <t>Run 510</t>
        </is>
      </c>
      <c r="J822" s="6" t="n">
        <v>-2.020625890925988</v>
      </c>
      <c r="K822" s="6" t="n">
        <v>1.987995068836913</v>
      </c>
      <c r="L822" s="6" t="n">
        <v>2.277732464460346</v>
      </c>
      <c r="M822" s="6" t="n">
        <v>0.3025440781503524</v>
      </c>
      <c r="N822" s="6" t="n">
        <v>-4.660817730990958</v>
      </c>
      <c r="O822" s="6" t="n">
        <v>-0.4459121861778088</v>
      </c>
      <c r="P822" s="6" t="n">
        <v>-0.8999152355695746</v>
      </c>
      <c r="Q822" s="6" t="n">
        <v>0.4303172817680939</v>
      </c>
      <c r="R822" s="6" t="n">
        <v>2.560376762599179</v>
      </c>
      <c r="S822" s="6" t="n">
        <v>1.603968377393135</v>
      </c>
      <c r="T822" s="6" t="n">
        <v>1.735350664658639</v>
      </c>
      <c r="U822" s="6" t="n">
        <v>0.1982251420193799</v>
      </c>
      <c r="V822" s="6" t="n">
        <v>0.4872564551593159</v>
      </c>
      <c r="W822" s="6" t="n">
        <v>-0.3927598874352267</v>
      </c>
      <c r="X822" s="6" t="n">
        <v>0.02923798430711934</v>
      </c>
      <c r="Y822" s="6" t="n">
        <v>3.510623534040181</v>
      </c>
      <c r="Z822" s="6" t="n">
        <v>2.349581600946899</v>
      </c>
      <c r="AA822" s="6" t="n">
        <v>-2.488719057976507</v>
      </c>
      <c r="AB822" s="6" t="n">
        <v>-1.759790198804346</v>
      </c>
      <c r="AC822" s="6" t="n">
        <v>-0.7928859426760895</v>
      </c>
      <c r="AD822" s="6" t="n">
        <v>-0.2715072270462047</v>
      </c>
      <c r="AE822" s="6" t="n">
        <v>0.9680737743564256</v>
      </c>
      <c r="AF822" s="6" t="n">
        <v>-2.085648165986285</v>
      </c>
      <c r="AG822" s="6" t="n">
        <v>-3.491097955735822</v>
      </c>
      <c r="AH822" s="6" t="n">
        <v>-2.849137079108785</v>
      </c>
      <c r="AI822" s="6" t="n">
        <v>2.500251605155203</v>
      </c>
      <c r="AJ822" s="6" t="n">
        <v>71.73871274454837</v>
      </c>
      <c r="AK822" s="6" t="n">
        <v>0.21654118207564</v>
      </c>
      <c r="AL822" s="6" t="n">
        <v>1.014353846150603</v>
      </c>
      <c r="AN822" s="6" t="n">
        <v>1.350243316543497</v>
      </c>
      <c r="AO822" s="6" t="n">
        <v>1.351176536583619</v>
      </c>
      <c r="AP822" s="6" t="n">
        <v>0.1342066464735277</v>
      </c>
      <c r="AQ822" s="6" t="n">
        <v>0</v>
      </c>
      <c r="AR822" s="6" t="n">
        <v>0</v>
      </c>
    </row>
    <row r="823">
      <c r="D823" t="inlineStr">
        <is>
          <t>Run 511</t>
        </is>
      </c>
      <c r="J823" s="6" t="n">
        <v>2.306492311539959</v>
      </c>
      <c r="K823" s="6" t="n">
        <v>3.805503434599302</v>
      </c>
      <c r="L823" s="6" t="n">
        <v>4.044545204067686</v>
      </c>
      <c r="M823" s="6" t="n">
        <v>-2.340205121091703</v>
      </c>
      <c r="N823" s="6" t="n">
        <v>-2.602132583790004</v>
      </c>
      <c r="O823" s="6" t="n">
        <v>0.03311812480547693</v>
      </c>
      <c r="P823" s="6" t="n">
        <v>3.326503982316137</v>
      </c>
      <c r="Q823" s="6" t="n">
        <v>-1.184146541452637</v>
      </c>
      <c r="R823" s="6" t="n">
        <v>2.723471431878849</v>
      </c>
      <c r="S823" s="6" t="n">
        <v>0.252517943297442</v>
      </c>
      <c r="T823" s="6" t="n">
        <v>-3.500504240203659</v>
      </c>
      <c r="U823" s="6" t="n">
        <v>0.9775569187623743</v>
      </c>
      <c r="V823" s="6" t="n">
        <v>-0.08768488923816808</v>
      </c>
      <c r="W823" s="6" t="n">
        <v>0.04577897972102767</v>
      </c>
      <c r="X823" s="6" t="n">
        <v>3.168382824699767</v>
      </c>
      <c r="Y823" s="6" t="n">
        <v>-1.004763373136357</v>
      </c>
      <c r="Z823" s="6" t="n">
        <v>-0.02140058118292685</v>
      </c>
      <c r="AA823" s="6" t="n">
        <v>-0.332331202729745</v>
      </c>
      <c r="AB823" s="6" t="n">
        <v>-0.8608682019301352</v>
      </c>
      <c r="AC823" s="6" t="n">
        <v>-1.40007266673457</v>
      </c>
      <c r="AD823" s="6" t="n">
        <v>-2.996124630128947</v>
      </c>
      <c r="AE823" s="6" t="n">
        <v>-0.2626570436243249</v>
      </c>
      <c r="AF823" s="6" t="n">
        <v>-0.9461889264642372</v>
      </c>
      <c r="AG823" s="6" t="n">
        <v>0.5616073169945708</v>
      </c>
      <c r="AH823" s="6" t="n">
        <v>0.181330418290334</v>
      </c>
      <c r="AI823" s="6" t="n">
        <v>0.799181424881879</v>
      </c>
      <c r="AJ823" s="6" t="n">
        <v>77.04032165790828</v>
      </c>
      <c r="AK823" s="6" t="n">
        <v>0.08864646653488874</v>
      </c>
      <c r="AL823" s="6" t="n">
        <v>1.005485730909367</v>
      </c>
      <c r="AN823" s="6" t="n">
        <v>1.347176738778609</v>
      </c>
      <c r="AO823" s="6" t="n">
        <v>1.351706052571869</v>
      </c>
      <c r="AP823" s="6" t="n">
        <v>0.1388699210239115</v>
      </c>
      <c r="AQ823" s="6" t="n">
        <v>0</v>
      </c>
      <c r="AR823" s="6" t="n">
        <v>0</v>
      </c>
    </row>
    <row r="824">
      <c r="D824" t="inlineStr">
        <is>
          <t>Run 512</t>
        </is>
      </c>
      <c r="J824" s="6" t="n">
        <v>-0.648851673957454</v>
      </c>
      <c r="K824" s="6" t="n">
        <v>-3.496579098546834</v>
      </c>
      <c r="L824" s="6" t="n">
        <v>-0.8380262758454304</v>
      </c>
      <c r="M824" s="6" t="n">
        <v>2.513099587003787</v>
      </c>
      <c r="N824" s="6" t="n">
        <v>-3.326338537046122</v>
      </c>
      <c r="O824" s="6" t="n">
        <v>-0.5371877066884114</v>
      </c>
      <c r="P824" s="6" t="n">
        <v>-0.5296857603459048</v>
      </c>
      <c r="Q824" s="6" t="n">
        <v>-4.243702328083907</v>
      </c>
      <c r="R824" s="6" t="n">
        <v>-0.7457287578551619</v>
      </c>
      <c r="S824" s="6" t="n">
        <v>3.509831839216441</v>
      </c>
      <c r="T824" s="6" t="n">
        <v>1.658938725902659</v>
      </c>
      <c r="U824" s="6" t="n">
        <v>1.427906620446617</v>
      </c>
      <c r="V824" s="6" t="n">
        <v>1.223193139981852</v>
      </c>
      <c r="W824" s="6" t="n">
        <v>4.378902595100545</v>
      </c>
      <c r="X824" s="6" t="n">
        <v>-3.552510920586716</v>
      </c>
      <c r="Y824" s="6" t="n">
        <v>1.504542757482942</v>
      </c>
      <c r="Z824" s="6" t="n">
        <v>1.494245114329543</v>
      </c>
      <c r="AA824" s="6" t="n">
        <v>-3.069090086919831</v>
      </c>
      <c r="AB824" s="6" t="n">
        <v>2.528116157372316</v>
      </c>
      <c r="AC824" s="6" t="n">
        <v>2.397359657701057</v>
      </c>
      <c r="AD824" s="6" t="n">
        <v>0.05609975657415481</v>
      </c>
      <c r="AE824" s="6" t="n">
        <v>2.921274232098526</v>
      </c>
      <c r="AF824" s="6" t="n">
        <v>0.2423327067699407</v>
      </c>
      <c r="AG824" s="6" t="n">
        <v>4.089825886386143</v>
      </c>
      <c r="AH824" s="6" t="n">
        <v>-2.269649950786876</v>
      </c>
      <c r="AI824" s="6" t="n">
        <v>-3.464550233347103</v>
      </c>
      <c r="AJ824" s="6" t="n">
        <v>69.59802596937287</v>
      </c>
      <c r="AK824" s="6" t="n">
        <v>0.1148259748273734</v>
      </c>
      <c r="AL824" s="6" t="n">
        <v>1.095897160104931</v>
      </c>
      <c r="AN824" s="6" t="n">
        <v>1.331657813602704</v>
      </c>
      <c r="AO824" s="6" t="n">
        <v>1.332103878414698</v>
      </c>
      <c r="AP824" s="6" t="n">
        <v>0.1290743100222675</v>
      </c>
      <c r="AQ824" s="6" t="n">
        <v>0</v>
      </c>
      <c r="AR824" s="6" t="n">
        <v>0</v>
      </c>
    </row>
    <row r="825">
      <c r="D825" t="inlineStr">
        <is>
          <t>Run 513</t>
        </is>
      </c>
      <c r="J825" s="6" t="n">
        <v>-0.005490421812871199</v>
      </c>
      <c r="K825" s="6" t="n">
        <v>-0.5166861586949303</v>
      </c>
      <c r="L825" s="6" t="n">
        <v>1.700704270550123</v>
      </c>
      <c r="M825" s="6" t="n">
        <v>1.043495984298773</v>
      </c>
      <c r="N825" s="6" t="n">
        <v>-0.5957505531497668</v>
      </c>
      <c r="O825" s="6" t="n">
        <v>-5.214612378946325</v>
      </c>
      <c r="P825" s="6" t="n">
        <v>1.926478347036982</v>
      </c>
      <c r="Q825" s="6" t="n">
        <v>0.9555763714585056</v>
      </c>
      <c r="R825" s="6" t="n">
        <v>0.4101999014825985</v>
      </c>
      <c r="S825" s="6" t="n">
        <v>1.099865911756505</v>
      </c>
      <c r="T825" s="6" t="n">
        <v>-2.988786378987028</v>
      </c>
      <c r="U825" s="6" t="n">
        <v>1.630781393668009</v>
      </c>
      <c r="V825" s="6" t="n">
        <v>-2.364786581486424</v>
      </c>
      <c r="W825" s="6" t="n">
        <v>4.970945375798576</v>
      </c>
      <c r="X825" s="6" t="n">
        <v>-0.4255678347285059</v>
      </c>
      <c r="Y825" s="6" t="n">
        <v>0.7523612015531245</v>
      </c>
      <c r="Z825" s="6" t="n">
        <v>-5.120198334453004</v>
      </c>
      <c r="AA825" s="6" t="n">
        <v>-0.6948492996046352</v>
      </c>
      <c r="AB825" s="6" t="n">
        <v>-0.768262825630038</v>
      </c>
      <c r="AC825" s="6" t="n">
        <v>-1.379930248899827</v>
      </c>
      <c r="AD825" s="6" t="n">
        <v>3.485577357760942</v>
      </c>
      <c r="AE825" s="6" t="n">
        <v>0.8425813462675985</v>
      </c>
      <c r="AF825" s="6" t="n">
        <v>0.325930340031535</v>
      </c>
      <c r="AG825" s="6" t="n">
        <v>-0.2383717989535662</v>
      </c>
      <c r="AH825" s="6" t="n">
        <v>0.01860719220399967</v>
      </c>
      <c r="AI825" s="6" t="n">
        <v>0.3992841009858331</v>
      </c>
      <c r="AJ825" s="6" t="n">
        <v>75.19589945467135</v>
      </c>
      <c r="AK825" s="6" t="n">
        <v>0.07263593264898284</v>
      </c>
      <c r="AL825" s="6" t="n">
        <v>1.095193692518183</v>
      </c>
      <c r="AN825" s="6" t="n">
        <v>1.311099793740104</v>
      </c>
      <c r="AO825" s="6" t="n">
        <v>1.321276135752134</v>
      </c>
      <c r="AP825" s="6" t="n">
        <v>0.1306898167847508</v>
      </c>
      <c r="AQ825" s="6" t="n">
        <v>0</v>
      </c>
      <c r="AR825" s="6" t="n">
        <v>0</v>
      </c>
    </row>
    <row r="826">
      <c r="D826" t="inlineStr">
        <is>
          <t>Run 514</t>
        </is>
      </c>
      <c r="J826" s="6" t="n">
        <v>0.6034258522032174</v>
      </c>
      <c r="K826" s="6" t="n">
        <v>0.7292647744718376</v>
      </c>
      <c r="L826" s="6" t="n">
        <v>-3.025845920359276</v>
      </c>
      <c r="M826" s="6" t="n">
        <v>-2.70633056026106</v>
      </c>
      <c r="N826" s="6" t="n">
        <v>-0.5033532546331625</v>
      </c>
      <c r="O826" s="6" t="n">
        <v>0.6974062655578691</v>
      </c>
      <c r="P826" s="6" t="n">
        <v>-0.9736867883096011</v>
      </c>
      <c r="Q826" s="6" t="n">
        <v>-1.563833647756564</v>
      </c>
      <c r="R826" s="6" t="n">
        <v>-0.8807026977470075</v>
      </c>
      <c r="S826" s="6" t="n">
        <v>0.5331122867573428</v>
      </c>
      <c r="T826" s="6" t="n">
        <v>0.3277897377380413</v>
      </c>
      <c r="U826" s="6" t="n">
        <v>0.5589126302326484</v>
      </c>
      <c r="V826" s="6" t="n">
        <v>-0.8123946206607424</v>
      </c>
      <c r="W826" s="6" t="n">
        <v>-1.40519966039065</v>
      </c>
      <c r="X826" s="6" t="n">
        <v>-0.9204537938745135</v>
      </c>
      <c r="Y826" s="6" t="n">
        <v>0.2805076430719464</v>
      </c>
      <c r="Z826" s="6" t="n">
        <v>2.833367188221651</v>
      </c>
      <c r="AA826" s="6" t="n">
        <v>1.396007792581877</v>
      </c>
      <c r="AB826" s="6" t="n">
        <v>1.191000008226416</v>
      </c>
      <c r="AC826" s="6" t="n">
        <v>-2.064832473664201</v>
      </c>
      <c r="AD826" s="6" t="n">
        <v>1.894081855595017</v>
      </c>
      <c r="AE826" s="6" t="n">
        <v>1.406131251693746</v>
      </c>
      <c r="AF826" s="6" t="n">
        <v>1.706852339867714</v>
      </c>
      <c r="AG826" s="6" t="n">
        <v>-1.287385482843488</v>
      </c>
      <c r="AH826" s="6" t="n">
        <v>-0.3315615161908746</v>
      </c>
      <c r="AI826" s="6" t="n">
        <v>-2.589035455040522</v>
      </c>
      <c r="AJ826" s="6" t="n">
        <v>79.78935327998798</v>
      </c>
      <c r="AK826" s="6" t="n">
        <v>0.1680454184142855</v>
      </c>
      <c r="AL826" s="6" t="n">
        <v>1.008551249532315</v>
      </c>
      <c r="AN826" s="6" t="n">
        <v>1.335288726481682</v>
      </c>
      <c r="AO826" s="6" t="n">
        <v>1.34452093001481</v>
      </c>
      <c r="AP826" s="6" t="n">
        <v>0.1365972111767629</v>
      </c>
      <c r="AQ826" s="6" t="n">
        <v>0</v>
      </c>
      <c r="AR826" s="6" t="n">
        <v>0</v>
      </c>
    </row>
    <row r="827">
      <c r="D827" t="inlineStr">
        <is>
          <t>Run 515</t>
        </is>
      </c>
      <c r="J827" s="6" t="n">
        <v>0.6208176738513312</v>
      </c>
      <c r="K827" s="6" t="n">
        <v>2.536488315196263</v>
      </c>
      <c r="L827" s="6" t="n">
        <v>-1.137063886796804</v>
      </c>
      <c r="M827" s="6" t="n">
        <v>-1.601979429377229</v>
      </c>
      <c r="N827" s="6" t="n">
        <v>-0.4910956819072638</v>
      </c>
      <c r="O827" s="6" t="n">
        <v>0.7118383363044902</v>
      </c>
      <c r="P827" s="6" t="n">
        <v>2.154663849435325</v>
      </c>
      <c r="Q827" s="6" t="n">
        <v>-0.05830343890681301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-0.2257265585014587</v>
      </c>
      <c r="V827" s="6" t="n">
        <v>-1.584552815225218</v>
      </c>
      <c r="W827" s="6" t="n">
        <v>1.79854000771571</v>
      </c>
      <c r="X827" s="6" t="n">
        <v>0.6060589340910473</v>
      </c>
      <c r="Y827" s="6" t="n">
        <v>-0.06568280446763412</v>
      </c>
      <c r="Z827" s="6" t="n">
        <v>-2.489961002465858</v>
      </c>
      <c r="AA827" s="6" t="n">
        <v>1.877225467490672</v>
      </c>
      <c r="AB827" s="6" t="n">
        <v>-0.7336850486374676</v>
      </c>
      <c r="AC827" s="6" t="n">
        <v>5</v>
      </c>
      <c r="AD827" s="6" t="n">
        <v>-3.472600976466235</v>
      </c>
      <c r="AE827" s="6" t="n">
        <v>-2.387693524254337</v>
      </c>
      <c r="AF827" s="6" t="n">
        <v>-1.651526604161287</v>
      </c>
      <c r="AG827" s="6" t="n">
        <v>-2.341858050307731</v>
      </c>
      <c r="AH827" s="6" t="n">
        <v>-0.08663891890494888</v>
      </c>
      <c r="AI827" s="6" t="n">
        <v>-1.205914386168917</v>
      </c>
      <c r="AJ827" s="6" t="n">
        <v>72.08264620006143</v>
      </c>
      <c r="AK827" s="6" t="n">
        <v>0.1193095167344352</v>
      </c>
      <c r="AL827" s="6" t="n">
        <v>1.07123285558438</v>
      </c>
      <c r="AN827" s="6" t="n">
        <v>1.331568058541042</v>
      </c>
      <c r="AO827" s="6" t="n">
        <v>1.335595144714125</v>
      </c>
      <c r="AP827" s="6" t="n">
        <v>0.130717523754255</v>
      </c>
      <c r="AQ827" s="6" t="n">
        <v>0</v>
      </c>
      <c r="AR827" s="6" t="n">
        <v>0</v>
      </c>
    </row>
    <row r="828">
      <c r="D828" t="inlineStr">
        <is>
          <t>Run 516</t>
        </is>
      </c>
      <c r="J828" s="6" t="n">
        <v>-0.1145238927010156</v>
      </c>
      <c r="K828" s="6" t="n">
        <v>-0.8593824446666396</v>
      </c>
      <c r="L828" s="6" t="n">
        <v>-0.02200814562096095</v>
      </c>
      <c r="M828" s="6" t="n">
        <v>-0.5222317999512737</v>
      </c>
      <c r="N828" s="6" t="n">
        <v>3.353393879293057</v>
      </c>
      <c r="O828" s="6" t="n">
        <v>1.093380083205031</v>
      </c>
      <c r="P828" s="6" t="n">
        <v>-3.221581058662188</v>
      </c>
      <c r="Q828" s="6" t="n">
        <v>3.285628709287925</v>
      </c>
      <c r="R828" s="6" t="n">
        <v>0.3207790792792556</v>
      </c>
      <c r="S828" s="6" t="n">
        <v>-5.765083658543544</v>
      </c>
      <c r="T828" s="6" t="n">
        <v>0.3928515698666843</v>
      </c>
      <c r="U828" s="6" t="n">
        <v>-1.723824994219772</v>
      </c>
      <c r="V828" s="6" t="n">
        <v>1.205131680838626</v>
      </c>
      <c r="W828" s="6" t="n">
        <v>0.7371447517939156</v>
      </c>
      <c r="X828" s="6" t="n">
        <v>3.49042659097682</v>
      </c>
      <c r="Y828" s="6" t="n">
        <v>4.532429694427789</v>
      </c>
      <c r="Z828" s="6" t="n">
        <v>-1.516981875363061</v>
      </c>
      <c r="AA828" s="6" t="n">
        <v>-0.7592235514643033</v>
      </c>
      <c r="AB828" s="6" t="n">
        <v>1.098541601539597</v>
      </c>
      <c r="AC828" s="6" t="n">
        <v>3.623268141485796</v>
      </c>
      <c r="AD828" s="6" t="n">
        <v>-0.1835397823050496</v>
      </c>
      <c r="AE828" s="6" t="n">
        <v>1.038929844369508</v>
      </c>
      <c r="AF828" s="6" t="n">
        <v>-3.672685601234841</v>
      </c>
      <c r="AG828" s="6" t="n">
        <v>5</v>
      </c>
      <c r="AH828" s="6" t="n">
        <v>0.9505919374345733</v>
      </c>
      <c r="AI828" s="6" t="n">
        <v>-1.406062917141812</v>
      </c>
      <c r="AJ828" s="6" t="n">
        <v>77.23694866496631</v>
      </c>
      <c r="AK828" s="6" t="n">
        <v>0.1242433929506438</v>
      </c>
      <c r="AL828" s="6" t="n">
        <v>1.006254565515048</v>
      </c>
      <c r="AN828" s="6" t="n">
        <v>1.357934379292636</v>
      </c>
      <c r="AO828" s="6" t="n">
        <v>1.357934379292636</v>
      </c>
      <c r="AP828" s="6" t="n">
        <v>0.1382336794070538</v>
      </c>
      <c r="AQ828" s="6" t="n">
        <v>0</v>
      </c>
      <c r="AR828" s="6" t="n">
        <v>0</v>
      </c>
    </row>
    <row r="829">
      <c r="D829" t="inlineStr">
        <is>
          <t>Run 517</t>
        </is>
      </c>
      <c r="J829" s="6" t="n">
        <v>-0.4808172144736003</v>
      </c>
      <c r="K829" s="6" t="n">
        <v>-1.292062070814898</v>
      </c>
      <c r="L829" s="6" t="n">
        <v>2.672584729076719</v>
      </c>
      <c r="M829" s="6" t="n">
        <v>1.082556088109159</v>
      </c>
      <c r="N829" s="6" t="n">
        <v>-1.185720959444813</v>
      </c>
      <c r="O829" s="6" t="n">
        <v>0.9873308403980544</v>
      </c>
      <c r="P829" s="6" t="n">
        <v>-1.401994835310093</v>
      </c>
      <c r="Q829" s="6" t="n">
        <v>-3.298806077635722</v>
      </c>
      <c r="R829" s="6" t="n">
        <v>-0.4710638176313219</v>
      </c>
      <c r="S829" s="6" t="n">
        <v>-1.347295659022896</v>
      </c>
      <c r="T829" s="6" t="n">
        <v>3.239853064987475</v>
      </c>
      <c r="U829" s="6" t="n">
        <v>-2.289574157167355</v>
      </c>
      <c r="V829" s="6" t="n">
        <v>-2.462192466092828</v>
      </c>
      <c r="W829" s="6" t="n">
        <v>3.021261417708474</v>
      </c>
      <c r="X829" s="6" t="n">
        <v>0.2334459060813369</v>
      </c>
      <c r="Y829" s="6" t="n">
        <v>3.925178457556835</v>
      </c>
      <c r="Z829" s="6" t="n">
        <v>-1.497174667517092</v>
      </c>
      <c r="AA829" s="6" t="n">
        <v>-1.182498784419993</v>
      </c>
      <c r="AB829" s="6" t="n">
        <v>0.6336286964846123</v>
      </c>
      <c r="AC829" s="6" t="n">
        <v>-0.5054603462686672</v>
      </c>
      <c r="AD829" s="6" t="n">
        <v>-2.003166195077072</v>
      </c>
      <c r="AE829" s="6" t="n">
        <v>3.992936641829324</v>
      </c>
      <c r="AF829" s="6" t="n">
        <v>-3.124186052033421</v>
      </c>
      <c r="AG829" s="6" t="n">
        <v>-3.193423256830371</v>
      </c>
      <c r="AH829" s="6" t="n">
        <v>4.073692809816462</v>
      </c>
      <c r="AI829" s="6" t="n">
        <v>-1.687204760899458</v>
      </c>
      <c r="AJ829" s="6" t="n">
        <v>76.77072505646333</v>
      </c>
      <c r="AK829" s="6" t="n">
        <v>0.1360979591204317</v>
      </c>
      <c r="AL829" s="6" t="n">
        <v>1.038884060616997</v>
      </c>
      <c r="AN829" s="6" t="n">
        <v>1.351073160359836</v>
      </c>
      <c r="AO829" s="6" t="n">
        <v>1.351517358547215</v>
      </c>
      <c r="AP829" s="6" t="n">
        <v>0.1331128663651326</v>
      </c>
      <c r="AQ829" s="6" t="n">
        <v>0</v>
      </c>
      <c r="AR829" s="6" t="n">
        <v>0</v>
      </c>
    </row>
    <row r="830">
      <c r="D830" t="inlineStr">
        <is>
          <t>Run 518</t>
        </is>
      </c>
      <c r="J830" s="6" t="n">
        <v>-2.158702765399918</v>
      </c>
      <c r="K830" s="6" t="n">
        <v>1.246424366731195</v>
      </c>
      <c r="L830" s="6" t="n">
        <v>0.3952640707921714</v>
      </c>
      <c r="M830" s="6" t="n">
        <v>-2.386491595450162</v>
      </c>
      <c r="N830" s="6" t="n">
        <v>0.005285602844225403</v>
      </c>
      <c r="O830" s="6" t="n">
        <v>-0.09731788075180334</v>
      </c>
      <c r="P830" s="6" t="n">
        <v>0.940603185943851</v>
      </c>
      <c r="Q830" s="6" t="n">
        <v>-0.9096569185322729</v>
      </c>
      <c r="R830" s="6" t="n">
        <v>2.538637235303421</v>
      </c>
      <c r="S830" s="6" t="n">
        <v>1.594663688916009</v>
      </c>
      <c r="T830" s="6" t="n">
        <v>-0.3549862180190015</v>
      </c>
      <c r="U830" s="6" t="n">
        <v>1.608512824575638</v>
      </c>
      <c r="V830" s="6" t="n">
        <v>0.4703685961326291</v>
      </c>
      <c r="W830" s="6" t="n">
        <v>1.046394164867251</v>
      </c>
      <c r="X830" s="6" t="n">
        <v>-2.143625302875675</v>
      </c>
      <c r="Y830" s="6" t="n">
        <v>-0.07940082705852181</v>
      </c>
      <c r="Z830" s="6" t="n">
        <v>1.910870985622018</v>
      </c>
      <c r="AA830" s="6" t="n">
        <v>2.665733586706229</v>
      </c>
      <c r="AB830" s="6" t="n">
        <v>0.7816724589216122</v>
      </c>
      <c r="AC830" s="6" t="n">
        <v>0.8933709828089816</v>
      </c>
      <c r="AD830" s="6" t="n">
        <v>2.161465952885005</v>
      </c>
      <c r="AE830" s="6" t="n">
        <v>-1.609182118630196</v>
      </c>
      <c r="AF830" s="6" t="n">
        <v>0.8123448468941992</v>
      </c>
      <c r="AG830" s="6" t="n">
        <v>-0.3187337013308091</v>
      </c>
      <c r="AH830" s="6" t="n">
        <v>-0.6951229413210002</v>
      </c>
      <c r="AI830" s="6" t="n">
        <v>-1.067742666211381</v>
      </c>
      <c r="AJ830" s="6" t="n">
        <v>70.97065440207219</v>
      </c>
      <c r="AK830" s="6" t="n">
        <v>0.1503262983847543</v>
      </c>
      <c r="AL830" s="6" t="n">
        <v>1.084501708756535</v>
      </c>
      <c r="AN830" s="6" t="n">
        <v>1.314735887128072</v>
      </c>
      <c r="AO830" s="6" t="n">
        <v>1.322452228607273</v>
      </c>
      <c r="AP830" s="6" t="n">
        <v>0.1290052987633378</v>
      </c>
      <c r="AQ830" s="6" t="n">
        <v>0</v>
      </c>
      <c r="AR830" s="6" t="n">
        <v>0</v>
      </c>
    </row>
    <row r="831">
      <c r="D831" t="inlineStr">
        <is>
          <t>Run 519</t>
        </is>
      </c>
      <c r="J831" s="6" t="n">
        <v>-0.8804872290935929</v>
      </c>
      <c r="K831" s="6" t="n">
        <v>0.2350855958207908</v>
      </c>
      <c r="L831" s="6" t="n">
        <v>1.305155964250428</v>
      </c>
      <c r="M831" s="6" t="n">
        <v>-0.5840708712399312</v>
      </c>
      <c r="N831" s="6" t="n">
        <v>2.032691600649622</v>
      </c>
      <c r="O831" s="6" t="n">
        <v>-2.765361660517077</v>
      </c>
      <c r="P831" s="6" t="n">
        <v>-0.5884753520827691</v>
      </c>
      <c r="Q831" s="6" t="n">
        <v>-1.56392991970643</v>
      </c>
      <c r="R831" s="6" t="n">
        <v>-2.074074819800984</v>
      </c>
      <c r="S831" s="6" t="n">
        <v>-1.609670639459614</v>
      </c>
      <c r="T831" s="6" t="n">
        <v>-0.6330648026421293</v>
      </c>
      <c r="U831" s="6" t="n">
        <v>-0.4894074646426976</v>
      </c>
      <c r="V831" s="6" t="n">
        <v>-3.110478819853317</v>
      </c>
      <c r="W831" s="6" t="n">
        <v>0.6750240087324958</v>
      </c>
      <c r="X831" s="6" t="n">
        <v>1.502729388085166</v>
      </c>
      <c r="Y831" s="6" t="n">
        <v>1.489723443243767</v>
      </c>
      <c r="Z831" s="6" t="n">
        <v>1.000602029912821</v>
      </c>
      <c r="AA831" s="6" t="n">
        <v>1.777430685846054</v>
      </c>
      <c r="AB831" s="6" t="n">
        <v>2.363313631568535</v>
      </c>
      <c r="AC831" s="6" t="n">
        <v>-1.787453556092401</v>
      </c>
      <c r="AD831" s="6" t="n">
        <v>-2.081844343337046</v>
      </c>
      <c r="AE831" s="6" t="n">
        <v>-1.353738009778596</v>
      </c>
      <c r="AF831" s="6" t="n">
        <v>0.03267566519889409</v>
      </c>
      <c r="AG831" s="6" t="n">
        <v>-3.452503261836609</v>
      </c>
      <c r="AH831" s="6" t="n">
        <v>0.352859636170276</v>
      </c>
      <c r="AI831" s="6" t="n">
        <v>1.368312345865883</v>
      </c>
      <c r="AJ831" s="6" t="n">
        <v>64.68798507430004</v>
      </c>
      <c r="AK831" s="6" t="n">
        <v>0.1773080367415568</v>
      </c>
      <c r="AL831" s="6" t="n">
        <v>1.024571099767008</v>
      </c>
      <c r="AN831" s="6" t="n">
        <v>1.347117804749781</v>
      </c>
      <c r="AO831" s="6" t="n">
        <v>1.347485137759648</v>
      </c>
      <c r="AP831" s="6" t="n">
        <v>0.1330747024480675</v>
      </c>
      <c r="AQ831" s="6" t="n">
        <v>0</v>
      </c>
      <c r="AR831" s="6" t="n">
        <v>0</v>
      </c>
    </row>
    <row r="832">
      <c r="D832" t="inlineStr">
        <is>
          <t>Run 520</t>
        </is>
      </c>
      <c r="J832" s="6" t="n">
        <v>-0.228652050021884</v>
      </c>
      <c r="K832" s="6" t="n">
        <v>-1.251669670961765</v>
      </c>
      <c r="L832" s="6" t="n">
        <v>-1.353248784735708</v>
      </c>
      <c r="M832" s="6" t="n">
        <v>5</v>
      </c>
      <c r="N832" s="6" t="n">
        <v>2.025166139712003</v>
      </c>
      <c r="O832" s="6" t="n">
        <v>0.4612367972904999</v>
      </c>
      <c r="P832" s="6" t="n">
        <v>1.417190776490821</v>
      </c>
      <c r="Q832" s="6" t="n">
        <v>-2.788067833138336</v>
      </c>
      <c r="R832" s="6" t="n">
        <v>-1.367476946766569</v>
      </c>
      <c r="S832" s="6" t="n">
        <v>0.2341433512321163</v>
      </c>
      <c r="T832" s="6" t="n">
        <v>2.49137589160458</v>
      </c>
      <c r="U832" s="6" t="n">
        <v>-0.1392170986034583</v>
      </c>
      <c r="V832" s="6" t="n">
        <v>2.481168255266075</v>
      </c>
      <c r="W832" s="6" t="n">
        <v>0.04419950800082903</v>
      </c>
      <c r="X832" s="6" t="n">
        <v>1.550399872741849</v>
      </c>
      <c r="Y832" s="6" t="n">
        <v>-0.7963065179275972</v>
      </c>
      <c r="Z832" s="6" t="n">
        <v>3.280772423460668</v>
      </c>
      <c r="AA832" s="6" t="n">
        <v>1.14576013720881</v>
      </c>
      <c r="AB832" s="6" t="n">
        <v>-1.561805930173742</v>
      </c>
      <c r="AC832" s="6" t="n">
        <v>0.2481885283037894</v>
      </c>
      <c r="AD832" s="6" t="n">
        <v>3.133796416826689</v>
      </c>
      <c r="AE832" s="6" t="n">
        <v>3.261670777905779</v>
      </c>
      <c r="AF832" s="6" t="n">
        <v>-2.634150025235749</v>
      </c>
      <c r="AG832" s="6" t="n">
        <v>2.82629808221566</v>
      </c>
      <c r="AH832" s="6" t="n">
        <v>-0.2451140963148492</v>
      </c>
      <c r="AI832" s="6" t="n">
        <v>1.245062071458359</v>
      </c>
      <c r="AJ832" s="6" t="n">
        <v>76.84964956664145</v>
      </c>
      <c r="AK832" s="6" t="n">
        <v>0.1308771387599598</v>
      </c>
      <c r="AL832" s="6" t="n">
        <v>1.037568208080278</v>
      </c>
      <c r="AN832" s="6" t="n">
        <v>1.349009629169029</v>
      </c>
      <c r="AO832" s="6" t="n">
        <v>1.350118388484895</v>
      </c>
      <c r="AP832" s="6" t="n">
        <v>0.1334260377525461</v>
      </c>
      <c r="AQ832" s="6" t="n">
        <v>0</v>
      </c>
      <c r="AR832" s="6" t="n">
        <v>0</v>
      </c>
    </row>
    <row r="833">
      <c r="D833" t="inlineStr">
        <is>
          <t>Run 521</t>
        </is>
      </c>
      <c r="J833" s="6" t="n">
        <v>0.06238927722790797</v>
      </c>
      <c r="K833" s="6" t="n">
        <v>4.255695821207659</v>
      </c>
      <c r="L833" s="6" t="n">
        <v>0.8642801967671521</v>
      </c>
      <c r="M833" s="6" t="n">
        <v>-0.9469937435075683</v>
      </c>
      <c r="N833" s="6" t="n">
        <v>-2.285228409926278</v>
      </c>
      <c r="O833" s="6" t="n">
        <v>0.8395347539355268</v>
      </c>
      <c r="P833" s="6" t="n">
        <v>3.223240552706985</v>
      </c>
      <c r="Q833" s="6" t="n">
        <v>-2.763256936718105</v>
      </c>
      <c r="R833" s="6" t="n">
        <v>-0.2184486234897144</v>
      </c>
      <c r="S833" s="6" t="n">
        <v>2.233748334867071</v>
      </c>
      <c r="T833" s="6" t="n">
        <v>-0.5268385897705058</v>
      </c>
      <c r="U833" s="6" t="n">
        <v>-0.06224852680251852</v>
      </c>
      <c r="V833" s="6" t="n">
        <v>-0.3569510859275865</v>
      </c>
      <c r="W833" s="6" t="n">
        <v>-2.869554779982127</v>
      </c>
      <c r="X833" s="6" t="n">
        <v>-3.071741531180559</v>
      </c>
      <c r="Y833" s="6" t="n">
        <v>0.805212725511121</v>
      </c>
      <c r="Z833" s="6" t="n">
        <v>3.715464880321936</v>
      </c>
      <c r="AA833" s="6" t="n">
        <v>-1.648064022514147</v>
      </c>
      <c r="AB833" s="6" t="n">
        <v>1.128533453903397</v>
      </c>
      <c r="AC833" s="6" t="n">
        <v>-0.6182231940309304</v>
      </c>
      <c r="AD833" s="6" t="n">
        <v>1.043272835649684</v>
      </c>
      <c r="AE833" s="6" t="n">
        <v>0.9021450537452479</v>
      </c>
      <c r="AF833" s="6" t="n">
        <v>1.654687580586413</v>
      </c>
      <c r="AG833" s="6" t="n">
        <v>-2.503685467440667</v>
      </c>
      <c r="AH833" s="6" t="n">
        <v>0.4313873721882057</v>
      </c>
      <c r="AI833" s="6" t="n">
        <v>2.868440120508361</v>
      </c>
      <c r="AJ833" s="6" t="n">
        <v>73.25243271700266</v>
      </c>
      <c r="AK833" s="6" t="n">
        <v>0.1334600025857991</v>
      </c>
      <c r="AL833" s="6" t="n">
        <v>1.038550109119887</v>
      </c>
      <c r="AN833" s="6" t="n">
        <v>1.348634962473571</v>
      </c>
      <c r="AO833" s="6" t="n">
        <v>1.349411170298702</v>
      </c>
      <c r="AP833" s="6" t="n">
        <v>0.1330195935921079</v>
      </c>
      <c r="AQ833" s="6" t="n">
        <v>0</v>
      </c>
      <c r="AR833" s="6" t="n">
        <v>0</v>
      </c>
    </row>
    <row r="834">
      <c r="D834" t="inlineStr">
        <is>
          <t>Run 522</t>
        </is>
      </c>
      <c r="J834" s="6" t="n">
        <v>-1.524172030574376</v>
      </c>
      <c r="K834" s="6" t="n">
        <v>1.382096133001254</v>
      </c>
      <c r="L834" s="6" t="n">
        <v>-0.6874732684584474</v>
      </c>
      <c r="M834" s="6" t="n">
        <v>0.3453578397900468</v>
      </c>
      <c r="N834" s="6" t="n">
        <v>0.1756782055788436</v>
      </c>
      <c r="O834" s="6" t="n">
        <v>2.636522879201527</v>
      </c>
      <c r="P834" s="6" t="n">
        <v>-0.3032920037743194</v>
      </c>
      <c r="Q834" s="6" t="n">
        <v>-2.836955898940774</v>
      </c>
      <c r="R834" s="6" t="n">
        <v>0.4740785370878557</v>
      </c>
      <c r="S834" s="6" t="n">
        <v>-1.635378343663314</v>
      </c>
      <c r="T834" s="6" t="n">
        <v>0.2153186760812454</v>
      </c>
      <c r="U834" s="6" t="n">
        <v>0.1297398306655169</v>
      </c>
      <c r="V834" s="6" t="n">
        <v>0.1891625238944351</v>
      </c>
      <c r="W834" s="6" t="n">
        <v>-0.7530529084759353</v>
      </c>
      <c r="X834" s="6" t="n">
        <v>-0.1429099932748401</v>
      </c>
      <c r="Y834" s="6" t="n">
        <v>-0.5204441644671106</v>
      </c>
      <c r="Z834" s="6" t="n">
        <v>1.288082315157064</v>
      </c>
      <c r="AA834" s="6" t="n">
        <v>-2.532143977507951</v>
      </c>
      <c r="AB834" s="6" t="n">
        <v>1.882760840771696</v>
      </c>
      <c r="AC834" s="6" t="n">
        <v>-1.305938107883501</v>
      </c>
      <c r="AD834" s="6" t="n">
        <v>5</v>
      </c>
      <c r="AE834" s="6" t="n">
        <v>0.586320704655955</v>
      </c>
      <c r="AF834" s="6" t="n">
        <v>0.09888628323035752</v>
      </c>
      <c r="AG834" s="6" t="n">
        <v>-0.04040003601345186</v>
      </c>
      <c r="AH834" s="6" t="n">
        <v>3.484011678554517</v>
      </c>
      <c r="AI834" s="6" t="n">
        <v>-3.516521180821603</v>
      </c>
      <c r="AJ834" s="6" t="n">
        <v>74.4710423934651</v>
      </c>
      <c r="AK834" s="6" t="n">
        <v>0.09624924937092334</v>
      </c>
      <c r="AL834" s="6" t="n">
        <v>1.083485814663388</v>
      </c>
      <c r="AN834" s="6" t="n">
        <v>1.33640362115409</v>
      </c>
      <c r="AO834" s="6" t="n">
        <v>1.336469971546967</v>
      </c>
      <c r="AP834" s="6" t="n">
        <v>0.1305303396023218</v>
      </c>
      <c r="AQ834" s="6" t="n">
        <v>0</v>
      </c>
      <c r="AR834" s="6" t="n">
        <v>0</v>
      </c>
    </row>
    <row r="835">
      <c r="D835" t="inlineStr">
        <is>
          <t>Run 523</t>
        </is>
      </c>
      <c r="J835" s="6" t="n">
        <v>-1.191494629517794</v>
      </c>
      <c r="K835" s="6" t="n">
        <v>0.7542658986557266</v>
      </c>
      <c r="L835" s="6" t="n">
        <v>-0.07913555081877728</v>
      </c>
      <c r="M835" s="6" t="n">
        <v>0.24342108271179</v>
      </c>
      <c r="N835" s="6" t="n">
        <v>-4.211370042539533</v>
      </c>
      <c r="O835" s="6" t="n">
        <v>1.319762102442807</v>
      </c>
      <c r="P835" s="6" t="n">
        <v>-0.8135520040929193</v>
      </c>
      <c r="Q835" s="6" t="n">
        <v>-1.619666704895368</v>
      </c>
      <c r="R835" s="6" t="n">
        <v>0.4546273811527703</v>
      </c>
      <c r="S835" s="6" t="n">
        <v>-0.6793479216638387</v>
      </c>
      <c r="T835" s="6" t="n">
        <v>-3.602757446898424</v>
      </c>
      <c r="U835" s="6" t="n">
        <v>-3.522748810813139</v>
      </c>
      <c r="V835" s="6" t="n">
        <v>-1.688141373066163</v>
      </c>
      <c r="W835" s="6" t="n">
        <v>-1.217167689742169</v>
      </c>
      <c r="X835" s="6" t="n">
        <v>-2.30721535648469</v>
      </c>
      <c r="Y835" s="6" t="n">
        <v>-1.33770417369164</v>
      </c>
      <c r="Z835" s="6" t="n">
        <v>-2.276310369391252</v>
      </c>
      <c r="AA835" s="6" t="n">
        <v>-0.2220089714747585</v>
      </c>
      <c r="AB835" s="6" t="n">
        <v>-0.1424766601236819</v>
      </c>
      <c r="AC835" s="6" t="n">
        <v>0.3012110309608492</v>
      </c>
      <c r="AD835" s="6" t="n">
        <v>0.6883001583494369</v>
      </c>
      <c r="AE835" s="6" t="n">
        <v>1.302065384677759</v>
      </c>
      <c r="AF835" s="6" t="n">
        <v>-3.40123632654225</v>
      </c>
      <c r="AG835" s="6" t="n">
        <v>-0.6787098273238585</v>
      </c>
      <c r="AH835" s="6" t="n">
        <v>-1.835703169688722</v>
      </c>
      <c r="AI835" s="6" t="n">
        <v>1.997235647090121</v>
      </c>
      <c r="AJ835" s="6" t="n">
        <v>70.46810909497152</v>
      </c>
      <c r="AK835" s="6" t="n">
        <v>0.1793494808131885</v>
      </c>
      <c r="AL835" s="6" t="n">
        <v>1.040300476742975</v>
      </c>
      <c r="AN835" s="6" t="n">
        <v>1.343665488781337</v>
      </c>
      <c r="AO835" s="6" t="n">
        <v>1.344035092909089</v>
      </c>
      <c r="AP835" s="6" t="n">
        <v>0.1315919407936119</v>
      </c>
      <c r="AQ835" s="6" t="n">
        <v>0</v>
      </c>
      <c r="AR835" s="6" t="n">
        <v>0</v>
      </c>
    </row>
    <row r="836">
      <c r="D836" t="inlineStr">
        <is>
          <t>Run 524</t>
        </is>
      </c>
      <c r="J836" s="6" t="n">
        <v>-1.493509004575829</v>
      </c>
      <c r="K836" s="6" t="n">
        <v>-1.920471376626053</v>
      </c>
      <c r="L836" s="6" t="n">
        <v>-1.786707543702939</v>
      </c>
      <c r="M836" s="6" t="n">
        <v>-0.6168049258188943</v>
      </c>
      <c r="N836" s="6" t="n">
        <v>-1.518595656428059</v>
      </c>
      <c r="O836" s="6" t="n">
        <v>-0.3521767099474403</v>
      </c>
      <c r="P836" s="6" t="n">
        <v>-2.019410250545707</v>
      </c>
      <c r="Q836" s="6" t="n">
        <v>0.6187324023836394</v>
      </c>
      <c r="R836" s="6" t="n">
        <v>-4.463559101556169</v>
      </c>
      <c r="S836" s="6" t="n">
        <v>-2.96341709008441</v>
      </c>
      <c r="T836" s="6" t="n">
        <v>1.739874082895826</v>
      </c>
      <c r="U836" s="6" t="n">
        <v>-1.025683617536122</v>
      </c>
      <c r="V836" s="6" t="n">
        <v>-1.109670138954743</v>
      </c>
      <c r="W836" s="6" t="n">
        <v>-1.652789729780978</v>
      </c>
      <c r="X836" s="6" t="n">
        <v>-3.480374742214016</v>
      </c>
      <c r="Y836" s="6" t="n">
        <v>-1.803004135054514</v>
      </c>
      <c r="Z836" s="6" t="n">
        <v>1.238852983812055</v>
      </c>
      <c r="AA836" s="6" t="n">
        <v>0.2969333425514316</v>
      </c>
      <c r="AB836" s="6" t="n">
        <v>0.06065093138508518</v>
      </c>
      <c r="AC836" s="6" t="n">
        <v>0.04985531460567796</v>
      </c>
      <c r="AD836" s="6" t="n">
        <v>1.149907651719507</v>
      </c>
      <c r="AE836" s="6" t="n">
        <v>3.623437606919787</v>
      </c>
      <c r="AF836" s="6" t="n">
        <v>0.1936635286069616</v>
      </c>
      <c r="AG836" s="6" t="n">
        <v>1.76820867535449</v>
      </c>
      <c r="AH836" s="6" t="n">
        <v>-1.070042515194349</v>
      </c>
      <c r="AI836" s="6" t="n">
        <v>3.659224162114398</v>
      </c>
      <c r="AJ836" s="6" t="n">
        <v>72.88976653536797</v>
      </c>
      <c r="AK836" s="6" t="n">
        <v>0.149344467359914</v>
      </c>
      <c r="AL836" s="6" t="n">
        <v>1.051926118905619</v>
      </c>
      <c r="AN836" s="6" t="n">
        <v>1.345426532984168</v>
      </c>
      <c r="AO836" s="6" t="n">
        <v>1.345708712864862</v>
      </c>
      <c r="AP836" s="6" t="n">
        <v>0.1318305782481608</v>
      </c>
      <c r="AQ836" s="6" t="n">
        <v>0</v>
      </c>
      <c r="AR836" s="6" t="n">
        <v>0</v>
      </c>
    </row>
    <row r="837">
      <c r="D837" t="inlineStr">
        <is>
          <t>Run 525</t>
        </is>
      </c>
      <c r="J837" s="6" t="n">
        <v>0.7824722846037216</v>
      </c>
      <c r="K837" s="6" t="n">
        <v>0.5316200012266512</v>
      </c>
      <c r="L837" s="6" t="n">
        <v>-0.7574897497534359</v>
      </c>
      <c r="M837" s="6" t="n">
        <v>3.348166511650941</v>
      </c>
      <c r="N837" s="6" t="n">
        <v>0.7841818389067964</v>
      </c>
      <c r="O837" s="6" t="n">
        <v>0.2327696392453967</v>
      </c>
      <c r="P837" s="6" t="n">
        <v>-0.08110525646492828</v>
      </c>
      <c r="Q837" s="6" t="n">
        <v>-0.7560010690224775</v>
      </c>
      <c r="R837" s="6" t="n">
        <v>0.2293517060868355</v>
      </c>
      <c r="S837" s="6" t="n">
        <v>2.530920826805402</v>
      </c>
      <c r="T837" s="6" t="n">
        <v>1.047596525240522</v>
      </c>
      <c r="U837" s="6" t="n">
        <v>1.855739263053875</v>
      </c>
      <c r="V837" s="6" t="n">
        <v>-0.8596375062411944</v>
      </c>
      <c r="W837" s="6" t="n">
        <v>-1.47138330814346</v>
      </c>
      <c r="X837" s="6" t="n">
        <v>-1.341902633272222</v>
      </c>
      <c r="Y837" s="6" t="n">
        <v>-1.543127281218328</v>
      </c>
      <c r="Z837" s="6" t="n">
        <v>-1.454731274216737</v>
      </c>
      <c r="AA837" s="6" t="n">
        <v>0.7402271221763476</v>
      </c>
      <c r="AB837" s="6" t="n">
        <v>0.4246607676837076</v>
      </c>
      <c r="AC837" s="6" t="n">
        <v>3.106390904774639</v>
      </c>
      <c r="AD837" s="6" t="n">
        <v>1.615140374943036</v>
      </c>
      <c r="AE837" s="6" t="n">
        <v>-1.90692080477711</v>
      </c>
      <c r="AF837" s="6" t="n">
        <v>-3.42826946157116</v>
      </c>
      <c r="AG837" s="6" t="n">
        <v>-2.873676496952792</v>
      </c>
      <c r="AH837" s="6" t="n">
        <v>0.9458564426177586</v>
      </c>
      <c r="AI837" s="6" t="n">
        <v>-1.699422820489369</v>
      </c>
      <c r="AJ837" s="6" t="n">
        <v>66.41677062307443</v>
      </c>
      <c r="AK837" s="6" t="n">
        <v>0.1335866406583754</v>
      </c>
      <c r="AL837" s="6" t="n">
        <v>1.083555880333484</v>
      </c>
      <c r="AN837" s="6" t="n">
        <v>1.331195799308757</v>
      </c>
      <c r="AO837" s="6" t="n">
        <v>1.331479003373432</v>
      </c>
      <c r="AP837" s="6" t="n">
        <v>0.1292507279504424</v>
      </c>
      <c r="AQ837" s="6" t="n">
        <v>0</v>
      </c>
      <c r="AR837" s="6" t="n">
        <v>0</v>
      </c>
    </row>
    <row r="838">
      <c r="D838" t="inlineStr">
        <is>
          <t>Run 526</t>
        </is>
      </c>
      <c r="J838" s="6" t="n">
        <v>-0.3919937377023588</v>
      </c>
      <c r="K838" s="6" t="n">
        <v>-1.676014145588001</v>
      </c>
      <c r="L838" s="6" t="n">
        <v>0.1526751146278423</v>
      </c>
      <c r="M838" s="6" t="n">
        <v>0.03706622337818324</v>
      </c>
      <c r="N838" s="6" t="n">
        <v>3.367175846327676</v>
      </c>
      <c r="O838" s="6" t="n">
        <v>-1.387240751517539</v>
      </c>
      <c r="P838" s="6" t="n">
        <v>-0.9088971184994151</v>
      </c>
      <c r="Q838" s="6" t="n">
        <v>2.089467683625951</v>
      </c>
      <c r="R838" s="6" t="n">
        <v>-0.6945846055194268</v>
      </c>
      <c r="S838" s="6" t="n">
        <v>-2.87541689659309</v>
      </c>
      <c r="T838" s="6" t="n">
        <v>-0.7751582502408361</v>
      </c>
      <c r="U838" s="6" t="n">
        <v>3.404778456670924</v>
      </c>
      <c r="V838" s="6" t="n">
        <v>0.1027054775807636</v>
      </c>
      <c r="W838" s="6" t="n">
        <v>-1.114692544635049</v>
      </c>
      <c r="X838" s="6" t="n">
        <v>-2.432401695246003</v>
      </c>
      <c r="Y838" s="6" t="n">
        <v>-0.5449064561457122</v>
      </c>
      <c r="Z838" s="6" t="n">
        <v>1.432026653376145</v>
      </c>
      <c r="AA838" s="6" t="n">
        <v>-0.3761503573856251</v>
      </c>
      <c r="AB838" s="6" t="n">
        <v>0.04921872114562285</v>
      </c>
      <c r="AC838" s="6" t="n">
        <v>-0.4154501378657425</v>
      </c>
      <c r="AD838" s="6" t="n">
        <v>1.420196226427939</v>
      </c>
      <c r="AE838" s="6" t="n">
        <v>3.620994169687787</v>
      </c>
      <c r="AF838" s="6" t="n">
        <v>0.4565980144665643</v>
      </c>
      <c r="AG838" s="6" t="n">
        <v>-0.900389620536641</v>
      </c>
      <c r="AH838" s="6" t="n">
        <v>-4.627404504815404</v>
      </c>
      <c r="AI838" s="6" t="n">
        <v>-3.43592306208058</v>
      </c>
      <c r="AJ838" s="6" t="n">
        <v>69.97067377642335</v>
      </c>
      <c r="AK838" s="6" t="n">
        <v>0.1414287853889169</v>
      </c>
      <c r="AL838" s="6" t="n">
        <v>1.060910665346736</v>
      </c>
      <c r="AN838" s="6" t="n">
        <v>1.339973762216147</v>
      </c>
      <c r="AO838" s="6" t="n">
        <v>1.34096429732073</v>
      </c>
      <c r="AP838" s="6" t="n">
        <v>0.1310969383289979</v>
      </c>
      <c r="AQ838" s="6" t="n">
        <v>0</v>
      </c>
      <c r="AR838" s="6" t="n">
        <v>0</v>
      </c>
    </row>
    <row r="839">
      <c r="D839" t="inlineStr">
        <is>
          <t>Run 527</t>
        </is>
      </c>
      <c r="J839" s="6" t="n">
        <v>1.296930640506563</v>
      </c>
      <c r="K839" s="6" t="n">
        <v>2.546249770561474</v>
      </c>
      <c r="L839" s="6" t="n">
        <v>0.4304315120997379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-0.7668453054172776</v>
      </c>
      <c r="Q839" s="6" t="n">
        <v>0.1135387673670219</v>
      </c>
      <c r="R839" s="6" t="n">
        <v>-0.8915857183884494</v>
      </c>
      <c r="S839" s="6" t="n">
        <v>-0.1385440277908127</v>
      </c>
      <c r="T839" s="6" t="n">
        <v>-3.320681745484296</v>
      </c>
      <c r="U839" s="6" t="n">
        <v>-0.9383999513191901</v>
      </c>
      <c r="V839" s="6" t="n">
        <v>0.8822752592726243</v>
      </c>
      <c r="W839" s="6" t="n">
        <v>0.9753066587771627</v>
      </c>
      <c r="X839" s="6" t="n">
        <v>0.9613041072022435</v>
      </c>
      <c r="Y839" s="6" t="n">
        <v>2.637933612954502</v>
      </c>
      <c r="Z839" s="6" t="n">
        <v>-1.319325120921686</v>
      </c>
      <c r="AA839" s="6" t="n">
        <v>-2.344433940191088</v>
      </c>
      <c r="AB839" s="6" t="n">
        <v>-4.40477973076787</v>
      </c>
      <c r="AC839" s="6" t="n">
        <v>-2.112570012271573</v>
      </c>
      <c r="AD839" s="6" t="n">
        <v>2.168160602205902</v>
      </c>
      <c r="AE839" s="6" t="n">
        <v>-0.3658799715056466</v>
      </c>
      <c r="AF839" s="6" t="n">
        <v>0.6650339740537762</v>
      </c>
      <c r="AG839" s="6" t="n">
        <v>1.381029135366471</v>
      </c>
      <c r="AH839" s="6" t="n">
        <v>2.699702660647186</v>
      </c>
      <c r="AI839" s="6" t="n">
        <v>0.9493955692037729</v>
      </c>
      <c r="AJ839" s="6" t="n">
        <v>74.38668403668994</v>
      </c>
      <c r="AK839" s="6" t="n">
        <v>0.1154571028794973</v>
      </c>
      <c r="AL839" s="6" t="n">
        <v>1.018803983794266</v>
      </c>
      <c r="AN839" s="6" t="n">
        <v>1.352727453636188</v>
      </c>
      <c r="AO839" s="6" t="n">
        <v>1.352727453636188</v>
      </c>
      <c r="AP839" s="6" t="n">
        <v>0.1361680657351367</v>
      </c>
      <c r="AQ839" s="6" t="n">
        <v>0</v>
      </c>
      <c r="AR839" s="6" t="n">
        <v>0</v>
      </c>
    </row>
    <row r="840">
      <c r="D840" t="inlineStr">
        <is>
          <t>Run 528</t>
        </is>
      </c>
      <c r="J840" s="6" t="n">
        <v>-1.989649655676303</v>
      </c>
      <c r="K840" s="6" t="n">
        <v>0.4124676082274973</v>
      </c>
      <c r="L840" s="6" t="n">
        <v>-1.605639666559027</v>
      </c>
      <c r="M840" s="6" t="n">
        <v>0.4701788132918832</v>
      </c>
      <c r="N840" s="6" t="n">
        <v>-0.7557035905638143</v>
      </c>
      <c r="O840" s="6" t="n">
        <v>2.250364169752761</v>
      </c>
      <c r="P840" s="6" t="n">
        <v>-0.9569904547528354</v>
      </c>
      <c r="Q840" s="6" t="n">
        <v>-0.9169265333919696</v>
      </c>
      <c r="R840" s="6" t="n">
        <v>1.213057771660441</v>
      </c>
      <c r="S840" s="6" t="n">
        <v>1.862460755468872</v>
      </c>
      <c r="T840" s="6" t="n">
        <v>1.815298080794524</v>
      </c>
      <c r="U840" s="6" t="n">
        <v>-0.8146979753286464</v>
      </c>
      <c r="V840" s="6" t="n">
        <v>1.277615253418349</v>
      </c>
      <c r="W840" s="6" t="n">
        <v>-0.2171209894071348</v>
      </c>
      <c r="X840" s="6" t="n">
        <v>0.5895296182726972</v>
      </c>
      <c r="Y840" s="6" t="n">
        <v>0.1917551981961991</v>
      </c>
      <c r="Z840" s="6" t="n">
        <v>-1.505072331076345</v>
      </c>
      <c r="AA840" s="6" t="n">
        <v>1.618231152902272</v>
      </c>
      <c r="AB840" s="6" t="n">
        <v>3.962870972361423</v>
      </c>
      <c r="AC840" s="6" t="n">
        <v>1.40717806387523</v>
      </c>
      <c r="AD840" s="6" t="n">
        <v>-0.164180741441228</v>
      </c>
      <c r="AE840" s="6" t="n">
        <v>-2.881230595122792</v>
      </c>
      <c r="AF840" s="6" t="n">
        <v>2.604051033516217</v>
      </c>
      <c r="AG840" s="6" t="n">
        <v>-0.7752149702631286</v>
      </c>
      <c r="AH840" s="6" t="n">
        <v>-3.081330855814026</v>
      </c>
      <c r="AI840" s="6" t="n">
        <v>-3.183829266860199</v>
      </c>
      <c r="AJ840" s="6" t="n">
        <v>77.50344044256316</v>
      </c>
      <c r="AK840" s="6" t="n">
        <v>0.1239577871974529</v>
      </c>
      <c r="AL840" s="6" t="n">
        <v>1.021139755892944</v>
      </c>
      <c r="AN840" s="6" t="n">
        <v>1.356829368719086</v>
      </c>
      <c r="AO840" s="6" t="n">
        <v>1.357346704765282</v>
      </c>
      <c r="AP840" s="6" t="n">
        <v>0.1359786934877437</v>
      </c>
      <c r="AQ840" s="6" t="n">
        <v>0</v>
      </c>
      <c r="AR840" s="6" t="n">
        <v>0</v>
      </c>
    </row>
    <row r="841">
      <c r="D841" t="inlineStr">
        <is>
          <t>Run 529</t>
        </is>
      </c>
      <c r="J841" s="6" t="n">
        <v>-3.783697572457577</v>
      </c>
      <c r="K841" s="6" t="n">
        <v>2.067670176402574</v>
      </c>
      <c r="L841" s="6" t="n">
        <v>0.7383399357262687</v>
      </c>
      <c r="M841" s="6" t="n">
        <v>-1.765295915936234</v>
      </c>
      <c r="N841" s="6" t="n">
        <v>0.7193248547771273</v>
      </c>
      <c r="O841" s="6" t="n">
        <v>2.772464956855635</v>
      </c>
      <c r="P841" s="6" t="n">
        <v>-1.201965912944369</v>
      </c>
      <c r="Q841" s="6" t="n">
        <v>-0.9773115011063098</v>
      </c>
      <c r="R841" s="6" t="n">
        <v>2.591159365491974</v>
      </c>
      <c r="S841" s="6" t="n">
        <v>0.04008183016306789</v>
      </c>
      <c r="T841" s="6" t="n">
        <v>0.08124212224670478</v>
      </c>
      <c r="U841" s="6" t="n">
        <v>0.4344482762065285</v>
      </c>
      <c r="V841" s="6" t="n">
        <v>-3.694295309801873</v>
      </c>
      <c r="W841" s="6" t="n">
        <v>0.6254489954688152</v>
      </c>
      <c r="X841" s="6" t="n">
        <v>1.917110105573371</v>
      </c>
      <c r="Y841" s="6" t="n">
        <v>1.300220151483357</v>
      </c>
      <c r="Z841" s="6" t="n">
        <v>0.1421040926266891</v>
      </c>
      <c r="AA841" s="6" t="n">
        <v>-1.555227353318846</v>
      </c>
      <c r="AB841" s="6" t="n">
        <v>1.761087067711431</v>
      </c>
      <c r="AC841" s="6" t="n">
        <v>-1.895675883484398</v>
      </c>
      <c r="AD841" s="6" t="n">
        <v>-1.009895881726133</v>
      </c>
      <c r="AE841" s="6" t="n">
        <v>-0.01916888976749196</v>
      </c>
      <c r="AF841" s="6" t="n">
        <v>1.147178911583487</v>
      </c>
      <c r="AG841" s="6" t="n">
        <v>-1.748897381579173</v>
      </c>
      <c r="AH841" s="6" t="n">
        <v>-2.186847886528482</v>
      </c>
      <c r="AI841" s="6" t="n">
        <v>3.547752827097142</v>
      </c>
      <c r="AJ841" s="6" t="n">
        <v>78.09183686068408</v>
      </c>
      <c r="AK841" s="6" t="n">
        <v>0.08072952164420355</v>
      </c>
      <c r="AL841" s="6" t="n">
        <v>1.053172487121373</v>
      </c>
      <c r="AN841" s="6" t="n">
        <v>1.339245833976605</v>
      </c>
      <c r="AO841" s="6" t="n">
        <v>1.344313399797497</v>
      </c>
      <c r="AP841" s="6" t="n">
        <v>0.1334488670759114</v>
      </c>
      <c r="AQ841" s="6" t="n">
        <v>0</v>
      </c>
      <c r="AR841" s="6" t="n">
        <v>0</v>
      </c>
    </row>
    <row r="842">
      <c r="D842" t="inlineStr">
        <is>
          <t>Run 530</t>
        </is>
      </c>
      <c r="J842" s="6" t="n">
        <v>-1.415830550555512</v>
      </c>
      <c r="K842" s="6" t="n">
        <v>4.2012717727491</v>
      </c>
      <c r="L842" s="6" t="n">
        <v>-0.009021060638942717</v>
      </c>
      <c r="M842" s="6" t="n">
        <v>-1.055275594069369</v>
      </c>
      <c r="N842" s="6" t="n">
        <v>-2.191580955801611</v>
      </c>
      <c r="O842" s="6" t="n">
        <v>-0.5675300503333135</v>
      </c>
      <c r="P842" s="6" t="n">
        <v>0.3942520361918724</v>
      </c>
      <c r="Q842" s="6" t="n">
        <v>-0.6362865678781603</v>
      </c>
      <c r="R842" s="6" t="n">
        <v>-0.2229277803012106</v>
      </c>
      <c r="S842" s="6" t="n">
        <v>1.565355490061685</v>
      </c>
      <c r="T842" s="6" t="n">
        <v>1.752993095263772</v>
      </c>
      <c r="U842" s="6" t="n">
        <v>-3.014853946511788</v>
      </c>
      <c r="V842" s="6" t="n">
        <v>1.010088054722861</v>
      </c>
      <c r="W842" s="6" t="n">
        <v>3.762466374331686</v>
      </c>
      <c r="X842" s="6" t="n">
        <v>1.77985154720008</v>
      </c>
      <c r="Y842" s="6" t="n">
        <v>0.03214861775434978</v>
      </c>
      <c r="Z842" s="6" t="n">
        <v>-5.17860861371722</v>
      </c>
      <c r="AA842" s="6" t="n">
        <v>-3.995927602885283</v>
      </c>
      <c r="AB842" s="6" t="n">
        <v>3.29605896110255</v>
      </c>
      <c r="AC842" s="6" t="n">
        <v>0.6298245435865519</v>
      </c>
      <c r="AD842" s="6" t="n">
        <v>3.887067087846001</v>
      </c>
      <c r="AE842" s="6" t="n">
        <v>1.348236949669567</v>
      </c>
      <c r="AF842" s="6" t="n">
        <v>-2.801845162738492</v>
      </c>
      <c r="AG842" s="6" t="n">
        <v>1.114242738258883</v>
      </c>
      <c r="AH842" s="6" t="n">
        <v>1.132764447567599</v>
      </c>
      <c r="AI842" s="6" t="n">
        <v>-2.051051959258437</v>
      </c>
      <c r="AJ842" s="6" t="n">
        <v>76.83852709214256</v>
      </c>
      <c r="AK842" s="6" t="n">
        <v>0.05878717047727319</v>
      </c>
      <c r="AL842" s="6" t="n">
        <v>1.066577498665248</v>
      </c>
      <c r="AN842" s="6" t="n">
        <v>1.345192591774276</v>
      </c>
      <c r="AO842" s="6" t="n">
        <v>1.347644267317532</v>
      </c>
      <c r="AP842" s="6" t="n">
        <v>0.1328100276996815</v>
      </c>
      <c r="AQ842" s="6" t="n">
        <v>0</v>
      </c>
      <c r="AR842" s="6" t="n">
        <v>0</v>
      </c>
    </row>
    <row r="843">
      <c r="D843" t="inlineStr">
        <is>
          <t>Run 531</t>
        </is>
      </c>
      <c r="J843" s="6" t="n">
        <v>1.183603649889959</v>
      </c>
      <c r="K843" s="6" t="n">
        <v>-1.840319108386293</v>
      </c>
      <c r="L843" s="6" t="n">
        <v>0.6838643794325763</v>
      </c>
      <c r="M843" s="6" t="n">
        <v>-1.659039366367314</v>
      </c>
      <c r="N843" s="6" t="n">
        <v>-1.011727793499852</v>
      </c>
      <c r="O843" s="6" t="n">
        <v>1.744679480385021</v>
      </c>
      <c r="P843" s="6" t="n">
        <v>-0.8678045044448479</v>
      </c>
      <c r="Q843" s="6" t="n">
        <v>3.33342577429005</v>
      </c>
      <c r="R843" s="6" t="n">
        <v>-1.099959578779885</v>
      </c>
      <c r="S843" s="6" t="n">
        <v>0.9186882893341207</v>
      </c>
      <c r="T843" s="6" t="n">
        <v>-0.887807142714475</v>
      </c>
      <c r="U843" s="6" t="n">
        <v>-0.1594298981546235</v>
      </c>
      <c r="V843" s="6" t="n">
        <v>-2.120692050617366</v>
      </c>
      <c r="W843" s="6" t="n">
        <v>0.733050413963787</v>
      </c>
      <c r="X843" s="6" t="n">
        <v>1.562032125948219</v>
      </c>
      <c r="Y843" s="6" t="n">
        <v>-3.108643866405266</v>
      </c>
      <c r="Z843" s="6" t="n">
        <v>0.6769756039477162</v>
      </c>
      <c r="AA843" s="6" t="n">
        <v>-2.10649025886857</v>
      </c>
      <c r="AB843" s="6" t="n">
        <v>1.327048520929973</v>
      </c>
      <c r="AC843" s="6" t="n">
        <v>1.386878063647275</v>
      </c>
      <c r="AD843" s="6" t="n">
        <v>1.25433453870916</v>
      </c>
      <c r="AE843" s="6" t="n">
        <v>0.8539972654773977</v>
      </c>
      <c r="AF843" s="6" t="n">
        <v>2.335694271443187</v>
      </c>
      <c r="AG843" s="6" t="n">
        <v>-1.643930872511406</v>
      </c>
      <c r="AH843" s="6" t="n">
        <v>-0.9756477993638361</v>
      </c>
      <c r="AI843" s="6" t="n">
        <v>-2.988115377684115</v>
      </c>
      <c r="AJ843" s="6" t="n">
        <v>75.45798194453258</v>
      </c>
      <c r="AK843" s="6" t="n">
        <v>0.1093563150571735</v>
      </c>
      <c r="AL843" s="6" t="n">
        <v>1.136335286023304</v>
      </c>
      <c r="AN843" s="6" t="n">
        <v>1.318276742988804</v>
      </c>
      <c r="AO843" s="6" t="n">
        <v>1.320311720253548</v>
      </c>
      <c r="AP843" s="6" t="n">
        <v>0.1280517159936115</v>
      </c>
      <c r="AQ843" s="6" t="n">
        <v>0</v>
      </c>
      <c r="AR843" s="6" t="n">
        <v>0</v>
      </c>
    </row>
    <row r="844">
      <c r="D844" t="inlineStr">
        <is>
          <t>Run 532</t>
        </is>
      </c>
      <c r="J844" s="6" t="n">
        <v>-0.3066096046044601</v>
      </c>
      <c r="K844" s="6" t="n">
        <v>-0.4091112278481817</v>
      </c>
      <c r="L844" s="6" t="n">
        <v>3.31507320086332</v>
      </c>
      <c r="M844" s="6" t="n">
        <v>-0.02775562667405632</v>
      </c>
      <c r="N844" s="6" t="n">
        <v>-0.4058863246087259</v>
      </c>
      <c r="O844" s="6" t="n">
        <v>2.133903697374763</v>
      </c>
      <c r="P844" s="6" t="n">
        <v>-1.846640234545897</v>
      </c>
      <c r="Q844" s="6" t="n">
        <v>-0.5210774052613992</v>
      </c>
      <c r="R844" s="6" t="n">
        <v>1.88841413565667</v>
      </c>
      <c r="S844" s="6" t="n">
        <v>-1.24029992305884</v>
      </c>
      <c r="T844" s="6" t="n">
        <v>2.260716597622526</v>
      </c>
      <c r="U844" s="6" t="n">
        <v>-3.373075385906368</v>
      </c>
      <c r="V844" s="6" t="n">
        <v>-1.382331068107445</v>
      </c>
      <c r="W844" s="6" t="n">
        <v>-1.253675822451501</v>
      </c>
      <c r="X844" s="6" t="n">
        <v>-0.9250064677412777</v>
      </c>
      <c r="Y844" s="6" t="n">
        <v>1.267383058540808</v>
      </c>
      <c r="Z844" s="6" t="n">
        <v>-0.6168894489624454</v>
      </c>
      <c r="AA844" s="6" t="n">
        <v>-1.510516849147459</v>
      </c>
      <c r="AB844" s="6" t="n">
        <v>-3.662055261367654</v>
      </c>
      <c r="AC844" s="6" t="n">
        <v>-0.1572846000586225</v>
      </c>
      <c r="AD844" s="6" t="n">
        <v>-0.40382847305298</v>
      </c>
      <c r="AE844" s="6" t="n">
        <v>-0.7223409361864059</v>
      </c>
      <c r="AF844" s="6" t="n">
        <v>-0.8942427740262786</v>
      </c>
      <c r="AG844" s="6" t="n">
        <v>1.936330963229854</v>
      </c>
      <c r="AH844" s="6" t="n">
        <v>4.811815749183192</v>
      </c>
      <c r="AI844" s="6" t="n">
        <v>-0.4509824499601061</v>
      </c>
      <c r="AJ844" s="6" t="n">
        <v>80.17718249479056</v>
      </c>
      <c r="AK844" s="6" t="n">
        <v>0.1325869352751056</v>
      </c>
      <c r="AL844" s="6" t="n">
        <v>1.049558249158146</v>
      </c>
      <c r="AN844" s="6" t="n">
        <v>1.348286961224723</v>
      </c>
      <c r="AO844" s="6" t="n">
        <v>1.349173234218734</v>
      </c>
      <c r="AP844" s="6" t="n">
        <v>0.1326919303007776</v>
      </c>
      <c r="AQ844" s="6" t="n">
        <v>0</v>
      </c>
      <c r="AR844" s="6" t="n">
        <v>0</v>
      </c>
    </row>
    <row r="845">
      <c r="D845" t="inlineStr">
        <is>
          <t>Run 533</t>
        </is>
      </c>
      <c r="J845" s="6" t="n">
        <v>-1.25248028634088</v>
      </c>
      <c r="K845" s="6" t="n">
        <v>-0.3157491531708487</v>
      </c>
      <c r="L845" s="6" t="n">
        <v>-0.8911667139052507</v>
      </c>
      <c r="M845" s="6" t="n">
        <v>-1.595947273448807</v>
      </c>
      <c r="N845" s="6" t="n">
        <v>1.084666721256596</v>
      </c>
      <c r="O845" s="6" t="n">
        <v>3.522600778629142</v>
      </c>
      <c r="P845" s="6" t="n">
        <v>0.04316230521794259</v>
      </c>
      <c r="Q845" s="6" t="n">
        <v>-2.359838033079133</v>
      </c>
      <c r="R845" s="6" t="n">
        <v>-1.076879398444583</v>
      </c>
      <c r="S845" s="6" t="n">
        <v>-1.651104959268592</v>
      </c>
      <c r="T845" s="6" t="n">
        <v>-1.091368167985889</v>
      </c>
      <c r="U845" s="6" t="n">
        <v>0.01141224345540168</v>
      </c>
      <c r="V845" s="6" t="n">
        <v>4.244900104912664</v>
      </c>
      <c r="W845" s="6" t="n">
        <v>-1.331444239710541</v>
      </c>
      <c r="X845" s="6" t="n">
        <v>-2.13688451369679</v>
      </c>
      <c r="Y845" s="6" t="n">
        <v>1.064506768967964</v>
      </c>
      <c r="Z845" s="6" t="n">
        <v>1.590140732002751</v>
      </c>
      <c r="AA845" s="6" t="n">
        <v>0.3855797612097239</v>
      </c>
      <c r="AB845" s="6" t="n">
        <v>4.629585029209282</v>
      </c>
      <c r="AC845" s="6" t="n">
        <v>1.751351652646958</v>
      </c>
      <c r="AD845" s="6" t="n">
        <v>0.5999108493850013</v>
      </c>
      <c r="AE845" s="6" t="n">
        <v>-5.566144002549373</v>
      </c>
      <c r="AF845" s="6" t="n">
        <v>4.072106881471033</v>
      </c>
      <c r="AG845" s="6" t="n">
        <v>0.3140270412473542</v>
      </c>
      <c r="AH845" s="6" t="n">
        <v>-2.603800269698767</v>
      </c>
      <c r="AI845" s="6" t="n">
        <v>-2.063727038871793</v>
      </c>
      <c r="AJ845" s="6" t="n">
        <v>60.18485087576371</v>
      </c>
      <c r="AK845" s="6" t="n">
        <v>0.1185591145300367</v>
      </c>
      <c r="AL845" s="6" t="n">
        <v>1.002393355776069</v>
      </c>
      <c r="AN845" s="6" t="n">
        <v>1.347490027495822</v>
      </c>
      <c r="AO845" s="6" t="n">
        <v>1.350585955224009</v>
      </c>
      <c r="AP845" s="6" t="n">
        <v>0.1365518350917605</v>
      </c>
      <c r="AQ845" s="6" t="n">
        <v>0</v>
      </c>
      <c r="AR845" s="6" t="n">
        <v>0</v>
      </c>
    </row>
    <row r="846">
      <c r="D846" t="inlineStr">
        <is>
          <t>Run 534</t>
        </is>
      </c>
      <c r="J846" s="6" t="n">
        <v>-1.360054621497905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1.889807536292872</v>
      </c>
      <c r="O846" s="6" t="n">
        <v>-2.297382602486132</v>
      </c>
      <c r="P846" s="6" t="n">
        <v>-2.282839521426419</v>
      </c>
      <c r="Q846" s="6" t="n">
        <v>0.1273507058741582</v>
      </c>
      <c r="R846" s="6" t="n">
        <v>4.498468018075761</v>
      </c>
      <c r="S846" s="6" t="n">
        <v>-1.336871259556903</v>
      </c>
      <c r="T846" s="6" t="n">
        <v>-0.7958800383079885</v>
      </c>
      <c r="U846" s="6" t="n">
        <v>2.665689722694928</v>
      </c>
      <c r="V846" s="6" t="n">
        <v>2.905102277282235</v>
      </c>
      <c r="W846" s="6" t="n">
        <v>1.769468660088707</v>
      </c>
      <c r="X846" s="6" t="n">
        <v>2.189106384954383</v>
      </c>
      <c r="Y846" s="6" t="n">
        <v>3.475326676102513</v>
      </c>
      <c r="Z846" s="6" t="n">
        <v>0.05372807394697192</v>
      </c>
      <c r="AA846" s="6" t="n">
        <v>-3.531714786013477</v>
      </c>
      <c r="AB846" s="6" t="n">
        <v>0.4964347583523424</v>
      </c>
      <c r="AC846" s="6" t="n">
        <v>4.27891852636783</v>
      </c>
      <c r="AD846" s="6" t="n">
        <v>-0.4092868195982456</v>
      </c>
      <c r="AE846" s="6" t="n">
        <v>2.697139702447988</v>
      </c>
      <c r="AF846" s="6" t="n">
        <v>-1.689578283764972</v>
      </c>
      <c r="AG846" s="6" t="n">
        <v>-1.11600080929135</v>
      </c>
      <c r="AH846" s="6" t="n">
        <v>-3.717328191266636</v>
      </c>
      <c r="AI846" s="6" t="n">
        <v>0.7661300331508368</v>
      </c>
      <c r="AJ846" s="6" t="n">
        <v>66.87460898060789</v>
      </c>
      <c r="AK846" s="6" t="n">
        <v>0.1686659376307124</v>
      </c>
      <c r="AL846" s="6" t="n">
        <v>1.092025434096361</v>
      </c>
      <c r="AN846" s="6" t="n">
        <v>1.326548104056211</v>
      </c>
      <c r="AO846" s="6" t="n">
        <v>1.326810774163371</v>
      </c>
      <c r="AP846" s="6" t="n">
        <v>0.1283829573188149</v>
      </c>
      <c r="AQ846" s="6" t="n">
        <v>0</v>
      </c>
      <c r="AR846" s="6" t="n">
        <v>0</v>
      </c>
    </row>
    <row r="847">
      <c r="D847" t="inlineStr">
        <is>
          <t>Run 535</t>
        </is>
      </c>
      <c r="J847" s="6" t="n">
        <v>0.163931987149447</v>
      </c>
      <c r="K847" s="6" t="n">
        <v>1.659567513190372</v>
      </c>
      <c r="L847" s="6" t="n">
        <v>3.08385449190862</v>
      </c>
      <c r="M847" s="6" t="n">
        <v>1.846864544125264</v>
      </c>
      <c r="N847" s="6" t="n">
        <v>-1.694312480186094</v>
      </c>
      <c r="O847" s="6" t="n">
        <v>0.5358786648105387</v>
      </c>
      <c r="P847" s="6" t="n">
        <v>0.665414183930549</v>
      </c>
      <c r="Q847" s="6" t="n">
        <v>-2.52322037400687</v>
      </c>
      <c r="R847" s="6" t="n">
        <v>-0.9333953702963781</v>
      </c>
      <c r="S847" s="6" t="n">
        <v>0.5266720589691949</v>
      </c>
      <c r="T847" s="6" t="n">
        <v>-0.620334748243125</v>
      </c>
      <c r="U847" s="6" t="n">
        <v>0.3476193471844123</v>
      </c>
      <c r="V847" s="6" t="n">
        <v>-1.561091001694997</v>
      </c>
      <c r="W847" s="6" t="n">
        <v>0.5343838286509005</v>
      </c>
      <c r="X847" s="6" t="n">
        <v>-5.521923056975783</v>
      </c>
      <c r="Y847" s="6" t="n">
        <v>2.153640887816226</v>
      </c>
      <c r="Z847" s="6" t="n">
        <v>1.389993683978368</v>
      </c>
      <c r="AA847" s="6" t="n">
        <v>1.266462897462963</v>
      </c>
      <c r="AB847" s="6" t="n">
        <v>0.5504856692276215</v>
      </c>
      <c r="AC847" s="6" t="n">
        <v>-0.24532515969149</v>
      </c>
      <c r="AD847" s="6" t="n">
        <v>0.7693680250208376</v>
      </c>
      <c r="AE847" s="6" t="n">
        <v>-0.8475972588153977</v>
      </c>
      <c r="AF847" s="6" t="n">
        <v>-2.635778567295235</v>
      </c>
      <c r="AG847" s="6" t="n">
        <v>-0.05402211838656193</v>
      </c>
      <c r="AH847" s="6" t="n">
        <v>1.306315551057827</v>
      </c>
      <c r="AI847" s="6" t="n">
        <v>-0.52514845443022</v>
      </c>
      <c r="AJ847" s="6" t="n">
        <v>70.31250492793048</v>
      </c>
      <c r="AK847" s="6" t="n">
        <v>0.1003700180367644</v>
      </c>
      <c r="AL847" s="6" t="n">
        <v>1.089154987243626</v>
      </c>
      <c r="AN847" s="6" t="n">
        <v>1.333841611242232</v>
      </c>
      <c r="AO847" s="6" t="n">
        <v>1.334189183177849</v>
      </c>
      <c r="AP847" s="6" t="n">
        <v>0.1298330934755409</v>
      </c>
      <c r="AQ847" s="6" t="n">
        <v>0</v>
      </c>
      <c r="AR847" s="6" t="n">
        <v>0</v>
      </c>
    </row>
    <row r="848">
      <c r="D848" t="inlineStr">
        <is>
          <t>Run 536</t>
        </is>
      </c>
      <c r="J848" s="6" t="n">
        <v>-0.1926016235973201</v>
      </c>
      <c r="K848" s="6" t="n">
        <v>-1.603921634683345</v>
      </c>
      <c r="L848" s="6" t="n">
        <v>-0.4332438499963658</v>
      </c>
      <c r="M848" s="6" t="n">
        <v>-1.154687507983988</v>
      </c>
      <c r="N848" s="6" t="n">
        <v>-2.867050305425973</v>
      </c>
      <c r="O848" s="6" t="n">
        <v>-1.896654970085389</v>
      </c>
      <c r="P848" s="6" t="n">
        <v>0.3001363605545064</v>
      </c>
      <c r="Q848" s="6" t="n">
        <v>-4.971560150402127</v>
      </c>
      <c r="R848" s="6" t="n">
        <v>1.105886512909844</v>
      </c>
      <c r="S848" s="6" t="n">
        <v>0.002589160182673925</v>
      </c>
      <c r="T848" s="6" t="n">
        <v>0.1449942092297696</v>
      </c>
      <c r="U848" s="6" t="n">
        <v>1.625152362008508</v>
      </c>
      <c r="V848" s="6" t="n">
        <v>-1.159268505670315</v>
      </c>
      <c r="W848" s="6" t="n">
        <v>-1.992760680333424</v>
      </c>
      <c r="X848" s="6" t="n">
        <v>-6.311116397939553</v>
      </c>
      <c r="Y848" s="6" t="n">
        <v>1.008226009530785</v>
      </c>
      <c r="Z848" s="6" t="n">
        <v>2.964883450141842</v>
      </c>
      <c r="AA848" s="6" t="n">
        <v>1.731165404166018</v>
      </c>
      <c r="AB848" s="6" t="n">
        <v>-1.227428434109443</v>
      </c>
      <c r="AC848" s="6" t="n">
        <v>1.042685057865086</v>
      </c>
      <c r="AD848" s="6" t="n">
        <v>-0.1724835588735831</v>
      </c>
      <c r="AE848" s="6" t="n">
        <v>-2.319413262212861</v>
      </c>
      <c r="AF848" s="6" t="n">
        <v>-1.291955920597937</v>
      </c>
      <c r="AG848" s="6" t="n">
        <v>-2.487461859746527</v>
      </c>
      <c r="AH848" s="6" t="n">
        <v>-2.16676716670189</v>
      </c>
      <c r="AI848" s="6" t="n">
        <v>3.327847910769857</v>
      </c>
      <c r="AJ848" s="6" t="n">
        <v>79.68315377856969</v>
      </c>
      <c r="AK848" s="6" t="n">
        <v>0.1910243856849126</v>
      </c>
      <c r="AL848" s="6" t="n">
        <v>1.042232773598254</v>
      </c>
      <c r="AN848" s="6" t="n">
        <v>1.343626116582533</v>
      </c>
      <c r="AO848" s="6" t="n">
        <v>1.345852167518034</v>
      </c>
      <c r="AP848" s="6" t="n">
        <v>0.1313600038857354</v>
      </c>
      <c r="AQ848" s="6" t="n">
        <v>0</v>
      </c>
      <c r="AR848" s="6" t="n">
        <v>0</v>
      </c>
    </row>
    <row r="849">
      <c r="D849" t="inlineStr">
        <is>
          <t>Run 537</t>
        </is>
      </c>
      <c r="J849" s="6" t="n">
        <v>2.087101571048243</v>
      </c>
      <c r="K849" s="6" t="n">
        <v>0.7697535678393297</v>
      </c>
      <c r="L849" s="6" t="n">
        <v>4.224038361543357</v>
      </c>
      <c r="M849" s="6" t="n">
        <v>0.8029212701500027</v>
      </c>
      <c r="N849" s="6" t="n">
        <v>-0.1318772507388282</v>
      </c>
      <c r="O849" s="6" t="n">
        <v>2.302990926030188</v>
      </c>
      <c r="P849" s="6" t="n">
        <v>-4.321833902261033</v>
      </c>
      <c r="Q849" s="6" t="n">
        <v>1.060817635409983</v>
      </c>
      <c r="R849" s="6" t="n">
        <v>-4.028939915033067</v>
      </c>
      <c r="S849" s="6" t="n">
        <v>-0.02882058534163574</v>
      </c>
      <c r="T849" s="6" t="n">
        <v>-0.8484840919805463</v>
      </c>
      <c r="U849" s="6" t="n">
        <v>-0.4630284411142473</v>
      </c>
      <c r="V849" s="6" t="n">
        <v>-0.788257380495891</v>
      </c>
      <c r="W849" s="6" t="n">
        <v>0.3988093308477544</v>
      </c>
      <c r="X849" s="6" t="n">
        <v>1.726965836739911</v>
      </c>
      <c r="Y849" s="6" t="n">
        <v>0.06762966080441335</v>
      </c>
      <c r="Z849" s="6" t="n">
        <v>0.5574030755465373</v>
      </c>
      <c r="AA849" s="6" t="n">
        <v>0.8880959059361502</v>
      </c>
      <c r="AB849" s="6" t="n">
        <v>2.486610320175672</v>
      </c>
      <c r="AC849" s="6" t="n">
        <v>-0.822771163146124</v>
      </c>
      <c r="AD849" s="6" t="n">
        <v>-0.1124275262297323</v>
      </c>
      <c r="AE849" s="6" t="n">
        <v>-1.329138497859195</v>
      </c>
      <c r="AF849" s="6" t="n">
        <v>-0.1347909481086846</v>
      </c>
      <c r="AG849" s="6" t="n">
        <v>-0.9979138035323865</v>
      </c>
      <c r="AH849" s="6" t="n">
        <v>2.599834106113137</v>
      </c>
      <c r="AI849" s="6" t="n">
        <v>-1.05513312922518</v>
      </c>
      <c r="AJ849" s="6" t="n">
        <v>60.88705300674062</v>
      </c>
      <c r="AK849" s="6" t="n">
        <v>0.08968117843283871</v>
      </c>
      <c r="AL849" s="6" t="n">
        <v>1.000133789788515</v>
      </c>
      <c r="AN849" s="6" t="n">
        <v>1.348878281983385</v>
      </c>
      <c r="AO849" s="6" t="n">
        <v>1.348878281983385</v>
      </c>
      <c r="AP849" s="6" t="n">
        <v>0.1377859707605754</v>
      </c>
      <c r="AQ849" s="6" t="n">
        <v>0</v>
      </c>
      <c r="AR849" s="6" t="n">
        <v>0</v>
      </c>
    </row>
    <row r="850">
      <c r="D850" t="inlineStr">
        <is>
          <t>Run 538</t>
        </is>
      </c>
      <c r="J850" s="6" t="n">
        <v>3.095360827897444</v>
      </c>
      <c r="K850" s="6" t="n">
        <v>-2.623973156626025</v>
      </c>
      <c r="L850" s="6" t="n">
        <v>1.166382314404756</v>
      </c>
      <c r="M850" s="6" t="n">
        <v>3.302704388402268</v>
      </c>
      <c r="N850" s="6" t="n">
        <v>0.5221115792012798</v>
      </c>
      <c r="O850" s="6" t="n">
        <v>-1.341045815355037</v>
      </c>
      <c r="P850" s="6" t="n">
        <v>-2.136360018184411</v>
      </c>
      <c r="Q850" s="6" t="n">
        <v>3.745431016745036</v>
      </c>
      <c r="R850" s="6" t="n">
        <v>1.198457064081924</v>
      </c>
      <c r="S850" s="6" t="n">
        <v>-1.147783799094587</v>
      </c>
      <c r="T850" s="6" t="n">
        <v>-2.280321720773112</v>
      </c>
      <c r="U850" s="6" t="n">
        <v>0.8189285141501804</v>
      </c>
      <c r="V850" s="6" t="n">
        <v>-2.423783120458188</v>
      </c>
      <c r="W850" s="6" t="n">
        <v>-0.4230682218858519</v>
      </c>
      <c r="X850" s="6" t="n">
        <v>0.2363546132058165</v>
      </c>
      <c r="Y850" s="6" t="n">
        <v>2.070407179863995</v>
      </c>
      <c r="Z850" s="6" t="n">
        <v>-1.352405638648489</v>
      </c>
      <c r="AA850" s="6" t="n">
        <v>-2.192476306439483</v>
      </c>
      <c r="AB850" s="6" t="n">
        <v>3.789161391624081</v>
      </c>
      <c r="AC850" s="6" t="n">
        <v>-0.6339356027858308</v>
      </c>
      <c r="AD850" s="6" t="n">
        <v>-0.4748112495372473</v>
      </c>
      <c r="AE850" s="6" t="n">
        <v>1.69487391140938</v>
      </c>
      <c r="AF850" s="6" t="n">
        <v>2.508053298280774</v>
      </c>
      <c r="AG850" s="6" t="n">
        <v>2.472411751368321</v>
      </c>
      <c r="AH850" s="6" t="n">
        <v>2.047427234971988</v>
      </c>
      <c r="AI850" s="6" t="n">
        <v>1.884808035574119</v>
      </c>
      <c r="AJ850" s="6" t="n">
        <v>74.04393115023399</v>
      </c>
      <c r="AK850" s="6" t="n">
        <v>0.1170736353204919</v>
      </c>
      <c r="AL850" s="6" t="n">
        <v>1.033195962715292</v>
      </c>
      <c r="AN850" s="6" t="n">
        <v>1.350827442599959</v>
      </c>
      <c r="AO850" s="6" t="n">
        <v>1.351489785460307</v>
      </c>
      <c r="AP850" s="6" t="n">
        <v>0.1345033728549817</v>
      </c>
      <c r="AQ850" s="6" t="n">
        <v>0</v>
      </c>
      <c r="AR850" s="6" t="n">
        <v>0</v>
      </c>
    </row>
    <row r="851">
      <c r="D851" t="inlineStr">
        <is>
          <t>Run 539</t>
        </is>
      </c>
      <c r="J851" s="6" t="n">
        <v>0.4046795985430657</v>
      </c>
      <c r="K851" s="6" t="n">
        <v>0.4267166179851479</v>
      </c>
      <c r="L851" s="6" t="n">
        <v>-2.749711663989024</v>
      </c>
      <c r="M851" s="6" t="n">
        <v>0.8549172594848847</v>
      </c>
      <c r="N851" s="6" t="n">
        <v>2.39988581784616</v>
      </c>
      <c r="O851" s="6" t="n">
        <v>3.731469196060377</v>
      </c>
      <c r="P851" s="6" t="n">
        <v>1.501158088893724</v>
      </c>
      <c r="Q851" s="6" t="n">
        <v>0.683494419449852</v>
      </c>
      <c r="R851" s="6" t="n">
        <v>-1.098955830828367</v>
      </c>
      <c r="S851" s="6" t="n">
        <v>1.005976458317416</v>
      </c>
      <c r="T851" s="6" t="n">
        <v>0.07472491973587309</v>
      </c>
      <c r="U851" s="6" t="n">
        <v>1.116282382445179</v>
      </c>
      <c r="V851" s="6" t="n">
        <v>2.068388419603718</v>
      </c>
      <c r="W851" s="6" t="n">
        <v>-2.863607466134668</v>
      </c>
      <c r="X851" s="6" t="n">
        <v>0.6130857566137807</v>
      </c>
      <c r="Y851" s="6" t="n">
        <v>2.224086578774202</v>
      </c>
      <c r="Z851" s="6" t="n">
        <v>2.684204754704437</v>
      </c>
      <c r="AA851" s="6" t="n">
        <v>-2.099513105603556</v>
      </c>
      <c r="AB851" s="6" t="n">
        <v>3.097370992833313</v>
      </c>
      <c r="AC851" s="6" t="n">
        <v>-0.7949637051063726</v>
      </c>
      <c r="AD851" s="6" t="n">
        <v>3.037745226837992</v>
      </c>
      <c r="AE851" s="6" t="n">
        <v>-0.04099048997455389</v>
      </c>
      <c r="AF851" s="6" t="n">
        <v>2.970243640022692</v>
      </c>
      <c r="AG851" s="6" t="n">
        <v>4.919132454801561</v>
      </c>
      <c r="AH851" s="6" t="n">
        <v>-3.896453243636147</v>
      </c>
      <c r="AI851" s="6" t="n">
        <v>1.050892829124234</v>
      </c>
      <c r="AJ851" s="6" t="n">
        <v>78.20437471917126</v>
      </c>
      <c r="AK851" s="6" t="n">
        <v>0.1101324999732047</v>
      </c>
      <c r="AL851" s="6" t="n">
        <v>1.084032689682714</v>
      </c>
      <c r="AN851" s="6" t="n">
        <v>1.337567434386701</v>
      </c>
      <c r="AO851" s="6" t="n">
        <v>1.337892433444968</v>
      </c>
      <c r="AP851" s="6" t="n">
        <v>0.1307108294707136</v>
      </c>
      <c r="AQ851" s="6" t="n">
        <v>0</v>
      </c>
      <c r="AR851" s="6" t="n">
        <v>0</v>
      </c>
    </row>
    <row r="852">
      <c r="D852" t="inlineStr">
        <is>
          <t>Run 540</t>
        </is>
      </c>
      <c r="J852" s="6" t="n">
        <v>1.718181253007686</v>
      </c>
      <c r="K852" s="6" t="n">
        <v>-0.7538021337829499</v>
      </c>
      <c r="L852" s="6" t="n">
        <v>-0.5495949389312065</v>
      </c>
      <c r="M852" s="6" t="n">
        <v>1.450375589407723</v>
      </c>
      <c r="N852" s="6" t="n">
        <v>-2.524033449547956</v>
      </c>
      <c r="O852" s="6" t="n">
        <v>-0.01042485645840045</v>
      </c>
      <c r="P852" s="6" t="n">
        <v>-0.9865317887207635</v>
      </c>
      <c r="Q852" s="6" t="n">
        <v>1.615229956913196</v>
      </c>
      <c r="R852" s="6" t="n">
        <v>3.352454251973366</v>
      </c>
      <c r="S852" s="6" t="n">
        <v>1.401183267814228</v>
      </c>
      <c r="T852" s="6" t="n">
        <v>1.44877040405984</v>
      </c>
      <c r="U852" s="6" t="n">
        <v>-2.062469397333378</v>
      </c>
      <c r="V852" s="6" t="n">
        <v>-1.333829199132527</v>
      </c>
      <c r="W852" s="6" t="n">
        <v>2.170856472825281</v>
      </c>
      <c r="X852" s="6" t="n">
        <v>-1.986986915609055</v>
      </c>
      <c r="Y852" s="6" t="n">
        <v>-1.6439419999104</v>
      </c>
      <c r="Z852" s="6" t="n">
        <v>-3.840528710972722</v>
      </c>
      <c r="AA852" s="6" t="n">
        <v>-0.7409262029970706</v>
      </c>
      <c r="AB852" s="6" t="n">
        <v>0.2534684788902309</v>
      </c>
      <c r="AC852" s="6" t="n">
        <v>0.9306257980833839</v>
      </c>
      <c r="AD852" s="6" t="n">
        <v>-2.780610810677366</v>
      </c>
      <c r="AE852" s="6" t="n">
        <v>2.593115310503365</v>
      </c>
      <c r="AF852" s="6" t="n">
        <v>1.12377319564047</v>
      </c>
      <c r="AG852" s="6" t="n">
        <v>-1.16989196078275</v>
      </c>
      <c r="AH852" s="6" t="n">
        <v>0.4567400776089222</v>
      </c>
      <c r="AI852" s="6" t="n">
        <v>-0.3064327848586038</v>
      </c>
      <c r="AJ852" s="6" t="n">
        <v>78.0217821247544</v>
      </c>
      <c r="AK852" s="6" t="n">
        <v>0.03163386339434124</v>
      </c>
      <c r="AL852" s="6" t="n">
        <v>1.056667236989742</v>
      </c>
      <c r="AN852" s="6" t="n">
        <v>1.350013884773625</v>
      </c>
      <c r="AO852" s="6" t="n">
        <v>1.350013884773625</v>
      </c>
      <c r="AP852" s="6" t="n">
        <v>0.1345085661220073</v>
      </c>
      <c r="AQ852" s="6" t="n">
        <v>0</v>
      </c>
      <c r="AR852" s="6" t="n">
        <v>0</v>
      </c>
    </row>
    <row r="853">
      <c r="D853" t="inlineStr">
        <is>
          <t>Run 541</t>
        </is>
      </c>
      <c r="J853" s="6" t="n">
        <v>1.360850160964131</v>
      </c>
      <c r="K853" s="6" t="n">
        <v>-1.714598053144051</v>
      </c>
      <c r="L853" s="6" t="n">
        <v>2.549715745884467</v>
      </c>
      <c r="M853" s="6" t="n">
        <v>2.00812872704119</v>
      </c>
      <c r="N853" s="6" t="n">
        <v>-2.532329199147873</v>
      </c>
      <c r="O853" s="6" t="n">
        <v>-0.9815541827840711</v>
      </c>
      <c r="P853" s="6" t="n">
        <v>-3.111865418675376</v>
      </c>
      <c r="Q853" s="6" t="n">
        <v>0.8635430336932921</v>
      </c>
      <c r="R853" s="6" t="n">
        <v>0.7642612912907473</v>
      </c>
      <c r="S853" s="6" t="n">
        <v>-1.77538786487631</v>
      </c>
      <c r="T853" s="6" t="n">
        <v>-0.6006366878379387</v>
      </c>
      <c r="U853" s="6" t="n">
        <v>3.102750586623615</v>
      </c>
      <c r="V853" s="6" t="n">
        <v>1.981247454819395</v>
      </c>
      <c r="W853" s="6" t="n">
        <v>1.165636342476845</v>
      </c>
      <c r="X853" s="6" t="n">
        <v>-0.3460536180554482</v>
      </c>
      <c r="Y853" s="6" t="n">
        <v>-2.777803309482402</v>
      </c>
      <c r="Z853" s="6" t="n">
        <v>-2.068214339113689</v>
      </c>
      <c r="AA853" s="6" t="n">
        <v>-1.093680146585092</v>
      </c>
      <c r="AB853" s="6" t="n">
        <v>-1.710331910023836</v>
      </c>
      <c r="AC853" s="6" t="n">
        <v>-0.2436224583205505</v>
      </c>
      <c r="AD853" s="6" t="n">
        <v>-0.8605714625275021</v>
      </c>
      <c r="AE853" s="6" t="n">
        <v>-2.418923668884277</v>
      </c>
      <c r="AF853" s="6" t="n">
        <v>-1.81351045818481</v>
      </c>
      <c r="AG853" s="6" t="n">
        <v>1.031308557853629</v>
      </c>
      <c r="AH853" s="6" t="n">
        <v>-1.110365930297441</v>
      </c>
      <c r="AI853" s="6" t="n">
        <v>-2.181121358889001</v>
      </c>
      <c r="AJ853" s="6" t="n">
        <v>76.05924578069192</v>
      </c>
      <c r="AK853" s="6" t="n">
        <v>0.05907642414251295</v>
      </c>
      <c r="AL853" s="6" t="n">
        <v>1.072691367165265</v>
      </c>
      <c r="AN853" s="6" t="n">
        <v>1.345111060805536</v>
      </c>
      <c r="AO853" s="6" t="n">
        <v>1.345213213773026</v>
      </c>
      <c r="AP853" s="6" t="n">
        <v>0.1325359689442582</v>
      </c>
      <c r="AQ853" s="6" t="n">
        <v>0</v>
      </c>
      <c r="AR853" s="6" t="n">
        <v>0</v>
      </c>
    </row>
    <row r="854">
      <c r="D854" t="inlineStr">
        <is>
          <t>Run 542</t>
        </is>
      </c>
      <c r="J854" s="6" t="n">
        <v>-2.368665699571461</v>
      </c>
      <c r="K854" s="6" t="n">
        <v>3.133239049123179</v>
      </c>
      <c r="L854" s="6" t="n">
        <v>-2.776718532445852</v>
      </c>
      <c r="M854" s="6" t="n">
        <v>-1.794932499793251</v>
      </c>
      <c r="N854" s="6" t="n">
        <v>3.379682930198096</v>
      </c>
      <c r="O854" s="6" t="n">
        <v>-1.813643299693938</v>
      </c>
      <c r="P854" s="6" t="n">
        <v>-3.613856506065978</v>
      </c>
      <c r="Q854" s="6" t="n">
        <v>-1.370373988622511</v>
      </c>
      <c r="R854" s="6" t="n">
        <v>-0.2807778150515201</v>
      </c>
      <c r="S854" s="6" t="n">
        <v>1.175703364106786</v>
      </c>
      <c r="T854" s="6" t="n">
        <v>-0.5757736436014307</v>
      </c>
      <c r="U854" s="6" t="n">
        <v>-0.550710483735019</v>
      </c>
      <c r="V854" s="6" t="n">
        <v>-0.0832953015562282</v>
      </c>
      <c r="W854" s="6" t="n">
        <v>-2.039290684092061</v>
      </c>
      <c r="X854" s="6" t="n">
        <v>-1.726462765065411</v>
      </c>
      <c r="Y854" s="6" t="n">
        <v>-0.2218716361655472</v>
      </c>
      <c r="Z854" s="6" t="n">
        <v>1.782501346945742</v>
      </c>
      <c r="AA854" s="6" t="n">
        <v>-0.5662132334219377</v>
      </c>
      <c r="AB854" s="6" t="n">
        <v>-2.305083756587885</v>
      </c>
      <c r="AC854" s="6" t="n">
        <v>2.213335629270653</v>
      </c>
      <c r="AD854" s="6" t="n">
        <v>-1.482067102928049</v>
      </c>
      <c r="AE854" s="6" t="n">
        <v>2.63320909367796</v>
      </c>
      <c r="AF854" s="6" t="n">
        <v>-2.818559152118842</v>
      </c>
      <c r="AG854" s="6" t="n">
        <v>0.623667765893557</v>
      </c>
      <c r="AH854" s="6" t="n">
        <v>1.414112183428739</v>
      </c>
      <c r="AI854" s="6" t="n">
        <v>-0.3184134610249807</v>
      </c>
      <c r="AJ854" s="6" t="n">
        <v>60.35061207211279</v>
      </c>
      <c r="AK854" s="6" t="n">
        <v>0.02554505831155247</v>
      </c>
      <c r="AL854" s="6" t="n">
        <v>1.062989249460281</v>
      </c>
      <c r="AN854" s="6" t="n">
        <v>1.331743347054632</v>
      </c>
      <c r="AO854" s="6" t="n">
        <v>1.336293786433486</v>
      </c>
      <c r="AP854" s="6" t="n">
        <v>0.1324643042531558</v>
      </c>
      <c r="AQ854" s="6" t="n">
        <v>0</v>
      </c>
      <c r="AR854" s="6" t="n">
        <v>0</v>
      </c>
    </row>
    <row r="855">
      <c r="D855" t="inlineStr">
        <is>
          <t>Run 543</t>
        </is>
      </c>
      <c r="J855" s="6" t="n">
        <v>-4.711617313063541</v>
      </c>
      <c r="K855" s="6" t="n">
        <v>0.06520387471688353</v>
      </c>
      <c r="L855" s="6" t="n">
        <v>1.660547559935049</v>
      </c>
      <c r="M855" s="6" t="n">
        <v>-3.393193735727473</v>
      </c>
      <c r="N855" s="6" t="n">
        <v>0.665821131744962</v>
      </c>
      <c r="O855" s="6" t="n">
        <v>1.531613371800438</v>
      </c>
      <c r="P855" s="6" t="n">
        <v>0.8668903245836629</v>
      </c>
      <c r="Q855" s="6" t="n">
        <v>-0.1360586134125083</v>
      </c>
      <c r="R855" s="6" t="n">
        <v>-2.62342935902763</v>
      </c>
      <c r="S855" s="6" t="n">
        <v>5</v>
      </c>
      <c r="T855" s="6" t="n">
        <v>-2.039651983048717</v>
      </c>
      <c r="U855" s="6" t="n">
        <v>-0.334801854435824</v>
      </c>
      <c r="V855" s="6" t="n">
        <v>-0.3677276693871734</v>
      </c>
      <c r="W855" s="6" t="n">
        <v>4.890680191461524</v>
      </c>
      <c r="X855" s="6" t="n">
        <v>3.043885868778253</v>
      </c>
      <c r="Y855" s="6" t="n">
        <v>-0.4181877317886578</v>
      </c>
      <c r="Z855" s="6" t="n">
        <v>0.473966543739698</v>
      </c>
      <c r="AA855" s="6" t="n">
        <v>-0.320598323920038</v>
      </c>
      <c r="AB855" s="6" t="n">
        <v>1.181502267016777</v>
      </c>
      <c r="AC855" s="6" t="n">
        <v>2.800592691106163</v>
      </c>
      <c r="AD855" s="6" t="n">
        <v>-1.855313601599757</v>
      </c>
      <c r="AE855" s="6" t="n">
        <v>1.424289290911433</v>
      </c>
      <c r="AF855" s="6" t="n">
        <v>1.991778904691698</v>
      </c>
      <c r="AG855" s="6" t="n">
        <v>-0.8706765431239777</v>
      </c>
      <c r="AH855" s="6" t="n">
        <v>-0.3442738326878733</v>
      </c>
      <c r="AI855" s="6" t="n">
        <v>-1.110681293662124</v>
      </c>
      <c r="AJ855" s="6" t="n">
        <v>75.06183983181178</v>
      </c>
      <c r="AK855" s="6" t="n">
        <v>0.1050962086395024</v>
      </c>
      <c r="AL855" s="6" t="n">
        <v>0.9987068213995995</v>
      </c>
      <c r="AN855" s="6" t="n">
        <v>1.331866486300416</v>
      </c>
      <c r="AO855" s="6" t="n">
        <v>1.344197541950536</v>
      </c>
      <c r="AP855" s="6" t="n">
        <v>0.1391600687732999</v>
      </c>
      <c r="AQ855" s="6" t="n">
        <v>0</v>
      </c>
      <c r="AR855" s="6" t="n">
        <v>0</v>
      </c>
    </row>
    <row r="856">
      <c r="D856" t="inlineStr">
        <is>
          <t>Run 544</t>
        </is>
      </c>
      <c r="J856" s="6" t="n">
        <v>2.955285890714062</v>
      </c>
      <c r="K856" s="6" t="n">
        <v>-3.53277786681274</v>
      </c>
      <c r="L856" s="6" t="n">
        <v>-5.853497591144763</v>
      </c>
      <c r="M856" s="6" t="n">
        <v>0.827842041047435</v>
      </c>
      <c r="N856" s="6" t="n">
        <v>0.1750427055156534</v>
      </c>
      <c r="O856" s="6" t="n">
        <v>0.6648018263106726</v>
      </c>
      <c r="P856" s="6" t="n">
        <v>1.268956247259177</v>
      </c>
      <c r="Q856" s="6" t="n">
        <v>-0.3383135880829293</v>
      </c>
      <c r="R856" s="6" t="n">
        <v>1.887559571202577</v>
      </c>
      <c r="S856" s="6" t="n">
        <v>-1.726997387240126</v>
      </c>
      <c r="T856" s="6" t="n">
        <v>-0.8815040812976102</v>
      </c>
      <c r="U856" s="6" t="n">
        <v>2.193023668304383</v>
      </c>
      <c r="V856" s="6" t="n">
        <v>-0.3405798349147664</v>
      </c>
      <c r="W856" s="6" t="n">
        <v>-2.793038506300117</v>
      </c>
      <c r="X856" s="6" t="n">
        <v>3.075513401158181</v>
      </c>
      <c r="Y856" s="6" t="n">
        <v>-2.243114785674842</v>
      </c>
      <c r="Z856" s="6" t="n">
        <v>3.720854591653157</v>
      </c>
      <c r="AA856" s="6" t="n">
        <v>1.418996726082241</v>
      </c>
      <c r="AB856" s="6" t="n">
        <v>-2.212708860600594</v>
      </c>
      <c r="AC856" s="6" t="n">
        <v>1.600054912117638</v>
      </c>
      <c r="AD856" s="6" t="n">
        <v>-0.006745910577110075</v>
      </c>
      <c r="AE856" s="6" t="n">
        <v>0.4471822011833143</v>
      </c>
      <c r="AF856" s="6" t="n">
        <v>-2.739281666668155</v>
      </c>
      <c r="AG856" s="6" t="n">
        <v>-4.65483911746183</v>
      </c>
      <c r="AH856" s="6" t="n">
        <v>-2.405861592123919</v>
      </c>
      <c r="AI856" s="6" t="n">
        <v>-4.152691411272071</v>
      </c>
      <c r="AJ856" s="6" t="n">
        <v>69.21693791274897</v>
      </c>
      <c r="AK856" s="6" t="n">
        <v>0.1172526921323397</v>
      </c>
      <c r="AL856" s="6" t="n">
        <v>1.046224005181569</v>
      </c>
      <c r="AN856" s="6" t="n">
        <v>1.32107906869865</v>
      </c>
      <c r="AO856" s="6" t="n">
        <v>1.326512321963481</v>
      </c>
      <c r="AP856" s="6" t="n">
        <v>0.1319219215538778</v>
      </c>
      <c r="AQ856" s="6" t="n">
        <v>0</v>
      </c>
      <c r="AR856" s="6" t="n">
        <v>0</v>
      </c>
    </row>
    <row r="857">
      <c r="D857" t="inlineStr">
        <is>
          <t>Run 545</t>
        </is>
      </c>
      <c r="J857" s="6" t="n">
        <v>-0.7195392815915622</v>
      </c>
      <c r="K857" s="6" t="n">
        <v>-0.6959404349197607</v>
      </c>
      <c r="L857" s="6" t="n">
        <v>1.302925533338263</v>
      </c>
      <c r="M857" s="6" t="n">
        <v>-4.580522411108723</v>
      </c>
      <c r="N857" s="6" t="n">
        <v>1.290972124750584</v>
      </c>
      <c r="O857" s="6" t="n">
        <v>1.721989576095019</v>
      </c>
      <c r="P857" s="6" t="n">
        <v>-2.668901531608783</v>
      </c>
      <c r="Q857" s="6" t="n">
        <v>-1.973479760532417</v>
      </c>
      <c r="R857" s="6" t="n">
        <v>-1.022501373454245</v>
      </c>
      <c r="S857" s="6" t="n">
        <v>-5.882673617903558</v>
      </c>
      <c r="T857" s="6" t="n">
        <v>3.330471939506476</v>
      </c>
      <c r="U857" s="6" t="n">
        <v>0.2463422909403216</v>
      </c>
      <c r="V857" s="6" t="n">
        <v>0.7598738559141155</v>
      </c>
      <c r="W857" s="6" t="n">
        <v>-0.8495206046169854</v>
      </c>
      <c r="X857" s="6" t="n">
        <v>-0.7456042535875044</v>
      </c>
      <c r="Y857" s="6" t="n">
        <v>3.939227519976966</v>
      </c>
      <c r="Z857" s="6" t="n">
        <v>1.095490043089518</v>
      </c>
      <c r="AA857" s="6" t="n">
        <v>0.4389537921374469</v>
      </c>
      <c r="AB857" s="6" t="n">
        <v>1.538133559803406</v>
      </c>
      <c r="AC857" s="6" t="n">
        <v>1.155719102488492</v>
      </c>
      <c r="AD857" s="6" t="n">
        <v>-1.984007224046287</v>
      </c>
      <c r="AE857" s="6" t="n">
        <v>-1.336627421528416</v>
      </c>
      <c r="AF857" s="6" t="n">
        <v>-0.3197072278646961</v>
      </c>
      <c r="AG857" s="6" t="n">
        <v>1.456096966391359</v>
      </c>
      <c r="AH857" s="6" t="n">
        <v>-0.2327939648761601</v>
      </c>
      <c r="AI857" s="6" t="n">
        <v>-2.508783959784112</v>
      </c>
      <c r="AJ857" s="6" t="n">
        <v>64.50583776727065</v>
      </c>
      <c r="AK857" s="6" t="n">
        <v>0.2099729111999319</v>
      </c>
      <c r="AL857" s="6" t="n">
        <v>1.042786477771175</v>
      </c>
      <c r="AN857" s="6" t="n">
        <v>1.288289467907887</v>
      </c>
      <c r="AO857" s="6" t="n">
        <v>1.301182075911709</v>
      </c>
      <c r="AP857" s="6" t="n">
        <v>0.1297078997198476</v>
      </c>
      <c r="AQ857" s="6" t="n">
        <v>0</v>
      </c>
      <c r="AR857" s="6" t="n">
        <v>0</v>
      </c>
    </row>
    <row r="858">
      <c r="D858" t="inlineStr">
        <is>
          <t>Run 546</t>
        </is>
      </c>
      <c r="J858" s="6" t="n">
        <v>-3.155476426163454</v>
      </c>
      <c r="K858" s="6" t="n">
        <v>-0.5262012437627883</v>
      </c>
      <c r="L858" s="6" t="n">
        <v>1.30796812466557</v>
      </c>
      <c r="M858" s="6" t="n">
        <v>0.4631634368172983</v>
      </c>
      <c r="N858" s="6" t="n">
        <v>-4.183475416892495</v>
      </c>
      <c r="O858" s="6" t="n">
        <v>1.085486342662171</v>
      </c>
      <c r="P858" s="6" t="n">
        <v>0.2766591140778679</v>
      </c>
      <c r="Q858" s="6" t="n">
        <v>0.6017316154483771</v>
      </c>
      <c r="R858" s="6" t="n">
        <v>-0.2143133248165014</v>
      </c>
      <c r="S858" s="6" t="n">
        <v>0.2443367644771841</v>
      </c>
      <c r="T858" s="6" t="n">
        <v>-2.97353435983502</v>
      </c>
      <c r="U858" s="6" t="n">
        <v>-0.1676678958858742</v>
      </c>
      <c r="V858" s="6" t="n">
        <v>4.914725240060919</v>
      </c>
      <c r="W858" s="6" t="n">
        <v>3.361419650821117</v>
      </c>
      <c r="X858" s="6" t="n">
        <v>0.6111008458391616</v>
      </c>
      <c r="Y858" s="6" t="n">
        <v>-1.804043363953573</v>
      </c>
      <c r="Z858" s="6" t="n">
        <v>0.6946333515105212</v>
      </c>
      <c r="AA858" s="6" t="n">
        <v>-1.263177141451765</v>
      </c>
      <c r="AB858" s="6" t="n">
        <v>-2.290180760971109</v>
      </c>
      <c r="AC858" s="6" t="n">
        <v>-0.8258774301431235</v>
      </c>
      <c r="AD858" s="6" t="n">
        <v>0.2538050950755109</v>
      </c>
      <c r="AE858" s="6" t="n">
        <v>2.385971213245372</v>
      </c>
      <c r="AF858" s="6" t="n">
        <v>-3.170146080451411</v>
      </c>
      <c r="AG858" s="6" t="n">
        <v>0.8343869651727304</v>
      </c>
      <c r="AH858" s="6" t="n">
        <v>-1.101044536013887</v>
      </c>
      <c r="AI858" s="6" t="n">
        <v>5</v>
      </c>
      <c r="AJ858" s="6" t="n">
        <v>63.80123282425272</v>
      </c>
      <c r="AK858" s="6" t="n">
        <v>0.1296007191491387</v>
      </c>
      <c r="AL858" s="6" t="n">
        <v>0.9949785608130174</v>
      </c>
      <c r="AN858" s="6" t="n">
        <v>1.356482534344893</v>
      </c>
      <c r="AO858" s="6" t="n">
        <v>1.356482534344893</v>
      </c>
      <c r="AP858" s="6" t="n">
        <v>0.138452059295131</v>
      </c>
      <c r="AQ858" s="6" t="n">
        <v>0</v>
      </c>
      <c r="AR858" s="6" t="n">
        <v>0</v>
      </c>
    </row>
    <row r="859">
      <c r="D859" t="inlineStr">
        <is>
          <t>Run 547</t>
        </is>
      </c>
      <c r="J859" s="6" t="n">
        <v>1.921822959638692</v>
      </c>
      <c r="K859" s="6" t="n">
        <v>-2.517424720046384</v>
      </c>
      <c r="L859" s="6" t="n">
        <v>3.010116232777329</v>
      </c>
      <c r="M859" s="6" t="n">
        <v>0.8527071065618282</v>
      </c>
      <c r="N859" s="6" t="n">
        <v>-1.316426056372332</v>
      </c>
      <c r="O859" s="6" t="n">
        <v>2.157025617342888</v>
      </c>
      <c r="P859" s="6" t="n">
        <v>0.4534972280772268</v>
      </c>
      <c r="Q859" s="6" t="n">
        <v>1.099703667908431</v>
      </c>
      <c r="R859" s="6" t="n">
        <v>-2.009121095706372</v>
      </c>
      <c r="S859" s="6" t="n">
        <v>-2.848528796897824</v>
      </c>
      <c r="T859" s="6" t="n">
        <v>3.414701119156972</v>
      </c>
      <c r="U859" s="6" t="n">
        <v>0.4645409419997575</v>
      </c>
      <c r="V859" s="6" t="n">
        <v>0.07058161820696174</v>
      </c>
      <c r="W859" s="6" t="n">
        <v>0.8358214007672063</v>
      </c>
      <c r="X859" s="6" t="n">
        <v>0.7376923394087324</v>
      </c>
      <c r="Y859" s="6" t="n">
        <v>-3.504937537148083</v>
      </c>
      <c r="Z859" s="6" t="n">
        <v>-1.531828837251395</v>
      </c>
      <c r="AA859" s="6" t="n">
        <v>3.150771945029871</v>
      </c>
      <c r="AB859" s="6" t="n">
        <v>-1.989001632468162</v>
      </c>
      <c r="AC859" s="6" t="n">
        <v>1.916054402989723</v>
      </c>
      <c r="AD859" s="6" t="n">
        <v>1.309145486719794</v>
      </c>
      <c r="AE859" s="6" t="n">
        <v>-1.229033427734986</v>
      </c>
      <c r="AF859" s="6" t="n">
        <v>4.690733035407316</v>
      </c>
      <c r="AG859" s="6" t="n">
        <v>-0.4711944940634151</v>
      </c>
      <c r="AH859" s="6" t="n">
        <v>-0.149024550010732</v>
      </c>
      <c r="AI859" s="6" t="n">
        <v>-1.012515488611964</v>
      </c>
      <c r="AJ859" s="6" t="n">
        <v>79.81991606082282</v>
      </c>
      <c r="AK859" s="6" t="n">
        <v>0.1478080507727189</v>
      </c>
      <c r="AL859" s="6" t="n">
        <v>1.071238072773649</v>
      </c>
      <c r="AN859" s="6" t="n">
        <v>1.33615822564752</v>
      </c>
      <c r="AO859" s="6" t="n">
        <v>1.336282177353126</v>
      </c>
      <c r="AP859" s="6" t="n">
        <v>0.1304834274936175</v>
      </c>
      <c r="AQ859" s="6" t="n">
        <v>0</v>
      </c>
      <c r="AR859" s="6" t="n">
        <v>0</v>
      </c>
    </row>
    <row r="860">
      <c r="D860" t="inlineStr">
        <is>
          <t>Run 548</t>
        </is>
      </c>
      <c r="J860" s="6" t="n">
        <v>-3.742313551321168</v>
      </c>
      <c r="K860" s="6" t="n">
        <v>-0.352333264454895</v>
      </c>
      <c r="L860" s="6" t="n">
        <v>-0.9494012429125757</v>
      </c>
      <c r="M860" s="6" t="n">
        <v>3.523127612692644</v>
      </c>
      <c r="N860" s="6" t="n">
        <v>-0.2323245192368349</v>
      </c>
      <c r="O860" s="6" t="n">
        <v>-1.454059241428746</v>
      </c>
      <c r="P860" s="6" t="n">
        <v>-0.1902848003221781</v>
      </c>
      <c r="Q860" s="6" t="n">
        <v>-2.778559136623937</v>
      </c>
      <c r="R860" s="6" t="n">
        <v>2.853507385537384</v>
      </c>
      <c r="S860" s="6" t="n">
        <v>0.5657117679499714</v>
      </c>
      <c r="T860" s="6" t="n">
        <v>1.644353429505371</v>
      </c>
      <c r="U860" s="6" t="n">
        <v>-1.283432326645053</v>
      </c>
      <c r="V860" s="6" t="n">
        <v>-4.506225681818191</v>
      </c>
      <c r="W860" s="6" t="n">
        <v>-1.663227264981379</v>
      </c>
      <c r="X860" s="6" t="n">
        <v>1.499952783145844</v>
      </c>
      <c r="Y860" s="6" t="n">
        <v>-3.005526083552666</v>
      </c>
      <c r="Z860" s="6" t="n">
        <v>0.2700283865719478</v>
      </c>
      <c r="AA860" s="6" t="n">
        <v>-1.969163393418871</v>
      </c>
      <c r="AB860" s="6" t="n">
        <v>3.50100421837427</v>
      </c>
      <c r="AC860" s="6" t="n">
        <v>3.041314386035536</v>
      </c>
      <c r="AD860" s="6" t="n">
        <v>-2.884256390531181</v>
      </c>
      <c r="AE860" s="6" t="n">
        <v>-1.786884042259624</v>
      </c>
      <c r="AF860" s="6" t="n">
        <v>2.130832979916458</v>
      </c>
      <c r="AG860" s="6" t="n">
        <v>1.170924905177277</v>
      </c>
      <c r="AH860" s="6" t="n">
        <v>-2.180785543848134</v>
      </c>
      <c r="AI860" s="6" t="n">
        <v>-3.911600233519876</v>
      </c>
      <c r="AJ860" s="6" t="n">
        <v>83.45337886312686</v>
      </c>
      <c r="AK860" s="6" t="n">
        <v>0.149256448936915</v>
      </c>
      <c r="AL860" s="6" t="n">
        <v>1.01444506186227</v>
      </c>
      <c r="AN860" s="6" t="n">
        <v>1.361182436390974</v>
      </c>
      <c r="AO860" s="6" t="n">
        <v>1.362573553342218</v>
      </c>
      <c r="AP860" s="6" t="n">
        <v>0.1366630831524147</v>
      </c>
      <c r="AQ860" s="6" t="n">
        <v>0</v>
      </c>
      <c r="AR860" s="6" t="n">
        <v>0</v>
      </c>
    </row>
    <row r="861">
      <c r="D861" t="inlineStr">
        <is>
          <t>Run 549</t>
        </is>
      </c>
      <c r="J861" s="6" t="n">
        <v>-0.165812575460203</v>
      </c>
      <c r="K861" s="6" t="n">
        <v>-0.26223654254278</v>
      </c>
      <c r="L861" s="6" t="n">
        <v>-0.8702425535527923</v>
      </c>
      <c r="M861" s="6" t="n">
        <v>-2.20674949081722</v>
      </c>
      <c r="N861" s="6" t="n">
        <v>4.074112295013172</v>
      </c>
      <c r="O861" s="6" t="n">
        <v>0.2241293071928148</v>
      </c>
      <c r="P861" s="6" t="n">
        <v>-1.042420198316648</v>
      </c>
      <c r="Q861" s="6" t="n">
        <v>-0.1820208131727183</v>
      </c>
      <c r="R861" s="6" t="n">
        <v>-2.791821213234394</v>
      </c>
      <c r="S861" s="6" t="n">
        <v>-2.121855765231903</v>
      </c>
      <c r="T861" s="6" t="n">
        <v>-1.455219041702488</v>
      </c>
      <c r="U861" s="6" t="n">
        <v>0.549487973752565</v>
      </c>
      <c r="V861" s="6" t="n">
        <v>-2.332477214733505</v>
      </c>
      <c r="W861" s="6" t="n">
        <v>-1.105080565655786</v>
      </c>
      <c r="X861" s="6" t="n">
        <v>-2.333076327608932</v>
      </c>
      <c r="Y861" s="6" t="n">
        <v>0.06041510884832853</v>
      </c>
      <c r="Z861" s="6" t="n">
        <v>0.3123823048111192</v>
      </c>
      <c r="AA861" s="6" t="n">
        <v>-2.177658059944303</v>
      </c>
      <c r="AB861" s="6" t="n">
        <v>0.03619884829080074</v>
      </c>
      <c r="AC861" s="6" t="n">
        <v>-1.799347715814943</v>
      </c>
      <c r="AD861" s="6" t="n">
        <v>1.306480575997425</v>
      </c>
      <c r="AE861" s="6" t="n">
        <v>0.2485758276566812</v>
      </c>
      <c r="AF861" s="6" t="n">
        <v>-2.773052702199195</v>
      </c>
      <c r="AG861" s="6" t="n">
        <v>1.463243376335557</v>
      </c>
      <c r="AH861" s="6" t="n">
        <v>0.2357686849503713</v>
      </c>
      <c r="AI861" s="6" t="n">
        <v>-0.648718257856624</v>
      </c>
      <c r="AJ861" s="6" t="n">
        <v>73.4962251652927</v>
      </c>
      <c r="AK861" s="6" t="n">
        <v>0.1297301108048104</v>
      </c>
      <c r="AL861" s="6" t="n">
        <v>1.062936444978808</v>
      </c>
      <c r="AN861" s="6" t="n">
        <v>1.32487503808177</v>
      </c>
      <c r="AO861" s="6" t="n">
        <v>1.331021467964837</v>
      </c>
      <c r="AP861" s="6" t="n">
        <v>0.1312283082229465</v>
      </c>
      <c r="AQ861" s="6" t="n">
        <v>0</v>
      </c>
      <c r="AR861" s="6" t="n">
        <v>0</v>
      </c>
    </row>
    <row r="862">
      <c r="D862" t="inlineStr">
        <is>
          <t>Run 550</t>
        </is>
      </c>
      <c r="J862" s="6" t="n">
        <v>1.184889715129124</v>
      </c>
      <c r="K862" s="6" t="n">
        <v>3.733984617352273</v>
      </c>
      <c r="L862" s="6" t="n">
        <v>0.4086184730637181</v>
      </c>
      <c r="M862" s="6" t="n">
        <v>-0.6378990793022981</v>
      </c>
      <c r="N862" s="6" t="n">
        <v>0.8769962195283928</v>
      </c>
      <c r="O862" s="6" t="n">
        <v>-5.163017124532278</v>
      </c>
      <c r="P862" s="6" t="n">
        <v>0.1595463614603669</v>
      </c>
      <c r="Q862" s="6" t="n">
        <v>0.3832258159294359</v>
      </c>
      <c r="R862" s="6" t="n">
        <v>-0.3504872717659677</v>
      </c>
      <c r="S862" s="6" t="n">
        <v>2.091674820033024</v>
      </c>
      <c r="T862" s="6" t="n">
        <v>2.288585838032545</v>
      </c>
      <c r="U862" s="6" t="n">
        <v>1.460122458447335</v>
      </c>
      <c r="V862" s="6" t="n">
        <v>-0.9787907942717974</v>
      </c>
      <c r="W862" s="6" t="n">
        <v>-0.4354295103294608</v>
      </c>
      <c r="X862" s="6" t="n">
        <v>-0.4820494211067357</v>
      </c>
      <c r="Y862" s="6" t="n">
        <v>0.7333477817078151</v>
      </c>
      <c r="Z862" s="6" t="n">
        <v>-1.026046752286744</v>
      </c>
      <c r="AA862" s="6" t="n">
        <v>-3.731646761254171</v>
      </c>
      <c r="AB862" s="6" t="n">
        <v>-4.479923955346821</v>
      </c>
      <c r="AC862" s="6" t="n">
        <v>1.866011611962714</v>
      </c>
      <c r="AD862" s="6" t="n">
        <v>1.029607767133437</v>
      </c>
      <c r="AE862" s="6" t="n">
        <v>0.4645130037887913</v>
      </c>
      <c r="AF862" s="6" t="n">
        <v>2.675214668382281</v>
      </c>
      <c r="AG862" s="6" t="n">
        <v>-0.4982684116218495</v>
      </c>
      <c r="AH862" s="6" t="n">
        <v>-2.44557947219087</v>
      </c>
      <c r="AI862" s="6" t="n">
        <v>3.118303891352153</v>
      </c>
      <c r="AJ862" s="6" t="n">
        <v>67.68593637924434</v>
      </c>
      <c r="AK862" s="6" t="n">
        <v>0.1425610164505179</v>
      </c>
      <c r="AL862" s="6" t="n">
        <v>1.035682717386878</v>
      </c>
      <c r="AN862" s="6" t="n">
        <v>1.323492213967692</v>
      </c>
      <c r="AO862" s="6" t="n">
        <v>1.333113974054044</v>
      </c>
      <c r="AP862" s="6" t="n">
        <v>0.1327676733419244</v>
      </c>
      <c r="AQ862" s="6" t="n">
        <v>0</v>
      </c>
      <c r="AR862" s="6" t="n">
        <v>0</v>
      </c>
    </row>
    <row r="863">
      <c r="D863" t="inlineStr">
        <is>
          <t>Run 551</t>
        </is>
      </c>
      <c r="J863" s="6" t="n">
        <v>-3.688565486139518</v>
      </c>
      <c r="K863" s="6" t="n">
        <v>1.25294224456744</v>
      </c>
      <c r="L863" s="6" t="n">
        <v>-0.5207170141993972</v>
      </c>
      <c r="M863" s="6" t="n">
        <v>0.7127433906306347</v>
      </c>
      <c r="N863" s="6" t="n">
        <v>0.3855909208860649</v>
      </c>
      <c r="O863" s="6" t="n">
        <v>-1.690763250844296</v>
      </c>
      <c r="P863" s="6" t="n">
        <v>0.3201781068865335</v>
      </c>
      <c r="Q863" s="6" t="n">
        <v>-2.354881517375067</v>
      </c>
      <c r="R863" s="6" t="n">
        <v>3.184767818756463</v>
      </c>
      <c r="S863" s="6" t="n">
        <v>2.059629756558585</v>
      </c>
      <c r="T863" s="6" t="n">
        <v>-1.539977381819219</v>
      </c>
      <c r="U863" s="6" t="n">
        <v>2.28041728646993</v>
      </c>
      <c r="V863" s="6" t="n">
        <v>-1.259342851766153</v>
      </c>
      <c r="W863" s="6" t="n">
        <v>3.910213056771817</v>
      </c>
      <c r="X863" s="6" t="n">
        <v>-0.05089174037967356</v>
      </c>
      <c r="Y863" s="6" t="n">
        <v>0.5659758228684727</v>
      </c>
      <c r="Z863" s="6" t="n">
        <v>2.55527822250719</v>
      </c>
      <c r="AA863" s="6" t="n">
        <v>-1.085857922163612</v>
      </c>
      <c r="AB863" s="6" t="n">
        <v>-3.138229544819469</v>
      </c>
      <c r="AC863" s="6" t="n">
        <v>-0.5974398570663121</v>
      </c>
      <c r="AD863" s="6" t="n">
        <v>1.41798004969017</v>
      </c>
      <c r="AE863" s="6" t="n">
        <v>2.75721552787958</v>
      </c>
      <c r="AF863" s="6" t="n">
        <v>-1.037582024603192</v>
      </c>
      <c r="AG863" s="6" t="n">
        <v>-2.850895819417402</v>
      </c>
      <c r="AH863" s="6" t="n">
        <v>1.184558713086452</v>
      </c>
      <c r="AI863" s="6" t="n">
        <v>4.164449794271261</v>
      </c>
      <c r="AJ863" s="6" t="n">
        <v>81.01458759602122</v>
      </c>
      <c r="AK863" s="6" t="n">
        <v>0.102117301117299</v>
      </c>
      <c r="AL863" s="6" t="n">
        <v>1.067906451294277</v>
      </c>
      <c r="AN863" s="6" t="n">
        <v>1.34715222657065</v>
      </c>
      <c r="AO863" s="6" t="n">
        <v>1.347183463301834</v>
      </c>
      <c r="AP863" s="6" t="n">
        <v>0.1319576986771756</v>
      </c>
      <c r="AQ863" s="6" t="n">
        <v>0</v>
      </c>
      <c r="AR863" s="6" t="n">
        <v>0</v>
      </c>
    </row>
    <row r="864">
      <c r="D864" t="inlineStr">
        <is>
          <t>Run 552</t>
        </is>
      </c>
      <c r="J864" s="6" t="n">
        <v>-1.536045544626194</v>
      </c>
      <c r="K864" s="6" t="n">
        <v>-0.07823907336952503</v>
      </c>
      <c r="L864" s="6" t="n">
        <v>5</v>
      </c>
      <c r="M864" s="6" t="n">
        <v>-4.22055381561583</v>
      </c>
      <c r="N864" s="6" t="n">
        <v>0.8783179808178786</v>
      </c>
      <c r="O864" s="6" t="n">
        <v>-0.5419716344477574</v>
      </c>
      <c r="P864" s="6" t="n">
        <v>2.12793088121622</v>
      </c>
      <c r="Q864" s="6" t="n">
        <v>1.179584334734042</v>
      </c>
      <c r="R864" s="6" t="n">
        <v>-2.232060631559001</v>
      </c>
      <c r="S864" s="6" t="n">
        <v>-0.3664353542731811</v>
      </c>
      <c r="T864" s="6" t="n">
        <v>2.644590085469571</v>
      </c>
      <c r="U864" s="6" t="n">
        <v>0.3304179726100152</v>
      </c>
      <c r="V864" s="6" t="n">
        <v>-1.528437179889611</v>
      </c>
      <c r="W864" s="6" t="n">
        <v>-0.1238133570600029</v>
      </c>
      <c r="X864" s="6" t="n">
        <v>4.097716472591558</v>
      </c>
      <c r="Y864" s="6" t="n">
        <v>2.567679402926205</v>
      </c>
      <c r="Z864" s="6" t="n">
        <v>-1.510529372347337</v>
      </c>
      <c r="AA864" s="6" t="n">
        <v>-0.9374864162921177</v>
      </c>
      <c r="AB864" s="6" t="n">
        <v>1.778879494938523</v>
      </c>
      <c r="AC864" s="6" t="n">
        <v>0.2289755162275569</v>
      </c>
      <c r="AD864" s="6" t="n">
        <v>5</v>
      </c>
      <c r="AE864" s="6" t="n">
        <v>1.054042361953741</v>
      </c>
      <c r="AF864" s="6" t="n">
        <v>3.843750099498855</v>
      </c>
      <c r="AG864" s="6" t="n">
        <v>1.943829713486152</v>
      </c>
      <c r="AH864" s="6" t="n">
        <v>5</v>
      </c>
      <c r="AI864" s="6" t="n">
        <v>3.734454672022391</v>
      </c>
      <c r="AJ864" s="6" t="n">
        <v>71.15623973244107</v>
      </c>
      <c r="AK864" s="6" t="n">
        <v>0.07139068347400787</v>
      </c>
      <c r="AL864" s="6" t="n">
        <v>1.072609738259294</v>
      </c>
      <c r="AN864" s="6" t="n">
        <v>1.296073294229966</v>
      </c>
      <c r="AO864" s="6" t="n">
        <v>1.308102285343775</v>
      </c>
      <c r="AP864" s="6" t="n">
        <v>0.1314462308146067</v>
      </c>
      <c r="AQ864" s="6" t="n">
        <v>0</v>
      </c>
      <c r="AR864" s="6" t="n">
        <v>0</v>
      </c>
    </row>
    <row r="865">
      <c r="D865" t="inlineStr">
        <is>
          <t>Run 553</t>
        </is>
      </c>
      <c r="J865" s="6" t="n">
        <v>0.6472810376770564</v>
      </c>
      <c r="K865" s="6" t="n">
        <v>2.557779717734161</v>
      </c>
      <c r="L865" s="6" t="n">
        <v>0.9489010203856578</v>
      </c>
      <c r="M865" s="6" t="n">
        <v>-3.221023258844895</v>
      </c>
      <c r="N865" s="6" t="n">
        <v>-1.290931943377991</v>
      </c>
      <c r="O865" s="6" t="n">
        <v>-1.14159486584674</v>
      </c>
      <c r="P865" s="6" t="n">
        <v>-3.033087727032274</v>
      </c>
      <c r="Q865" s="6" t="n">
        <v>0.8688757637664695</v>
      </c>
      <c r="R865" s="6" t="n">
        <v>-1.921688860340023</v>
      </c>
      <c r="S865" s="6" t="n">
        <v>1.260747043379609</v>
      </c>
      <c r="T865" s="6" t="n">
        <v>-0.3091456238391728</v>
      </c>
      <c r="U865" s="6" t="n">
        <v>2.982156573152349</v>
      </c>
      <c r="V865" s="6" t="n">
        <v>1.086849647813464</v>
      </c>
      <c r="W865" s="6" t="n">
        <v>-0.05125210378226258</v>
      </c>
      <c r="X865" s="6" t="n">
        <v>-3.544937558714784</v>
      </c>
      <c r="Y865" s="6" t="n">
        <v>1.665743971229446</v>
      </c>
      <c r="Z865" s="6" t="n">
        <v>-1.219809174768794</v>
      </c>
      <c r="AA865" s="6" t="n">
        <v>-0.1483620840964661</v>
      </c>
      <c r="AB865" s="6" t="n">
        <v>1.092763081136039</v>
      </c>
      <c r="AC865" s="6" t="n">
        <v>-1.853398568999778</v>
      </c>
      <c r="AD865" s="6" t="n">
        <v>-0.1965677035996363</v>
      </c>
      <c r="AE865" s="6" t="n">
        <v>2.100289600509477</v>
      </c>
      <c r="AF865" s="6" t="n">
        <v>0.4621775755202012</v>
      </c>
      <c r="AG865" s="6" t="n">
        <v>0.1023976222244815</v>
      </c>
      <c r="AH865" s="6" t="n">
        <v>-0.8003711599075134</v>
      </c>
      <c r="AI865" s="6" t="n">
        <v>0.736900912916004</v>
      </c>
      <c r="AJ865" s="6" t="n">
        <v>81.43587512088958</v>
      </c>
      <c r="AK865" s="6" t="n">
        <v>0.124261253125294</v>
      </c>
      <c r="AL865" s="6" t="n">
        <v>1.071275280735043</v>
      </c>
      <c r="AN865" s="6" t="n">
        <v>1.310905557575939</v>
      </c>
      <c r="AO865" s="6" t="n">
        <v>1.31743652920459</v>
      </c>
      <c r="AP865" s="6" t="n">
        <v>0.1309059087393895</v>
      </c>
      <c r="AQ865" s="6" t="n">
        <v>0</v>
      </c>
      <c r="AR865" s="6" t="n">
        <v>0</v>
      </c>
    </row>
    <row r="866">
      <c r="D866" t="inlineStr">
        <is>
          <t>Run 554</t>
        </is>
      </c>
      <c r="J866" s="6" t="n">
        <v>1.324860040413057</v>
      </c>
      <c r="K866" s="6" t="n">
        <v>-0.6670161178149805</v>
      </c>
      <c r="L866" s="6" t="n">
        <v>2.729523488871018</v>
      </c>
      <c r="M866" s="6" t="n">
        <v>3.044009771238984</v>
      </c>
      <c r="N866" s="6" t="n">
        <v>1.239524897722173</v>
      </c>
      <c r="O866" s="6" t="n">
        <v>-1.634744105284062</v>
      </c>
      <c r="P866" s="6" t="n">
        <v>-0.05483925002846245</v>
      </c>
      <c r="Q866" s="6" t="n">
        <v>0.7112845842373671</v>
      </c>
      <c r="R866" s="6" t="n">
        <v>1.038429205225982</v>
      </c>
      <c r="S866" s="6" t="n">
        <v>0.7414645437208687</v>
      </c>
      <c r="T866" s="6" t="n">
        <v>-2.570913737627938</v>
      </c>
      <c r="U866" s="6" t="n">
        <v>1.549109512177638</v>
      </c>
      <c r="V866" s="6" t="n">
        <v>-1.273425321192572</v>
      </c>
      <c r="W866" s="6" t="n">
        <v>0.5040976232896267</v>
      </c>
      <c r="X866" s="6" t="n">
        <v>-0.04412363515471015</v>
      </c>
      <c r="Y866" s="6" t="n">
        <v>3.451357421718062</v>
      </c>
      <c r="Z866" s="6" t="n">
        <v>0.8253670647037368</v>
      </c>
      <c r="AA866" s="6" t="n">
        <v>2.582779836535074</v>
      </c>
      <c r="AB866" s="6" t="n">
        <v>-3.420229136296189</v>
      </c>
      <c r="AC866" s="6" t="n">
        <v>-1.226970745494426</v>
      </c>
      <c r="AD866" s="6" t="n">
        <v>2.193848396599904</v>
      </c>
      <c r="AE866" s="6" t="n">
        <v>-0.01369143436740339</v>
      </c>
      <c r="AF866" s="6" t="n">
        <v>-2.831592343748622</v>
      </c>
      <c r="AG866" s="6" t="n">
        <v>0.4103871516525346</v>
      </c>
      <c r="AH866" s="6" t="n">
        <v>-2.782986914427943</v>
      </c>
      <c r="AI866" s="6" t="n">
        <v>1.688532374954202</v>
      </c>
      <c r="AJ866" s="6" t="n">
        <v>66.28169263349336</v>
      </c>
      <c r="AK866" s="6" t="n">
        <v>0.1259301808346209</v>
      </c>
      <c r="AL866" s="6" t="n">
        <v>0.9996977720033264</v>
      </c>
      <c r="AN866" s="6" t="n">
        <v>1.351036358392343</v>
      </c>
      <c r="AO866" s="6" t="n">
        <v>1.351036358392343</v>
      </c>
      <c r="AP866" s="6" t="n">
        <v>0.1379191331166036</v>
      </c>
      <c r="AQ866" s="6" t="n">
        <v>0</v>
      </c>
      <c r="AR866" s="6" t="n">
        <v>0</v>
      </c>
    </row>
    <row r="867">
      <c r="D867" t="inlineStr">
        <is>
          <t>Run 555</t>
        </is>
      </c>
      <c r="J867" s="6" t="n">
        <v>3.599421739542548</v>
      </c>
      <c r="K867" s="6" t="n">
        <v>2.70625158354152</v>
      </c>
      <c r="L867" s="6" t="n">
        <v>1.901980740912033</v>
      </c>
      <c r="M867" s="6" t="n">
        <v>1.355578200043615</v>
      </c>
      <c r="N867" s="6" t="n">
        <v>0.6935424158345544</v>
      </c>
      <c r="O867" s="6" t="n">
        <v>0.7689946947056084</v>
      </c>
      <c r="P867" s="6" t="n">
        <v>-0.6243366196012511</v>
      </c>
      <c r="Q867" s="6" t="n">
        <v>3.569250167474246</v>
      </c>
      <c r="R867" s="6" t="n">
        <v>1.445241991344226</v>
      </c>
      <c r="S867" s="6" t="n">
        <v>-1.07084217225826</v>
      </c>
      <c r="T867" s="6" t="n">
        <v>-0.1604591546643553</v>
      </c>
      <c r="U867" s="6" t="n">
        <v>-0.6094092014485922</v>
      </c>
      <c r="V867" s="6" t="n">
        <v>0.3069729440020199</v>
      </c>
      <c r="W867" s="6" t="n">
        <v>1.886800821598796</v>
      </c>
      <c r="X867" s="6" t="n">
        <v>3.619264719921587</v>
      </c>
      <c r="Y867" s="6" t="n">
        <v>0.5269385995192225</v>
      </c>
      <c r="Z867" s="6" t="n">
        <v>-5.790813072470093</v>
      </c>
      <c r="AA867" s="6" t="n">
        <v>-0.5998970155797481</v>
      </c>
      <c r="AB867" s="6" t="n">
        <v>-0.7709653795170633</v>
      </c>
      <c r="AC867" s="6" t="n">
        <v>3.602407902322942</v>
      </c>
      <c r="AD867" s="6" t="n">
        <v>2.391217275671118</v>
      </c>
      <c r="AE867" s="6" t="n">
        <v>-1.486435038919519</v>
      </c>
      <c r="AF867" s="6" t="n">
        <v>-0.2500186455606702</v>
      </c>
      <c r="AG867" s="6" t="n">
        <v>1.622225924159033</v>
      </c>
      <c r="AH867" s="6" t="n">
        <v>0.9753722327881641</v>
      </c>
      <c r="AI867" s="6" t="n">
        <v>-1.714238534978634</v>
      </c>
      <c r="AJ867" s="6" t="n">
        <v>76.9338324463879</v>
      </c>
      <c r="AK867" s="6" t="n">
        <v>0.1481157242227756</v>
      </c>
      <c r="AL867" s="6" t="n">
        <v>1.100509323711008</v>
      </c>
      <c r="AN867" s="6" t="n">
        <v>1.326340225393865</v>
      </c>
      <c r="AO867" s="6" t="n">
        <v>1.326697630386509</v>
      </c>
      <c r="AP867" s="6" t="n">
        <v>0.1286512947965625</v>
      </c>
      <c r="AQ867" s="6" t="n">
        <v>0</v>
      </c>
      <c r="AR867" s="6" t="n">
        <v>0</v>
      </c>
    </row>
    <row r="868">
      <c r="D868" t="inlineStr">
        <is>
          <t>Run 556</t>
        </is>
      </c>
      <c r="J868" s="6" t="n">
        <v>1.669982881882997</v>
      </c>
      <c r="K868" s="6" t="n">
        <v>1.561532903261606</v>
      </c>
      <c r="L868" s="6" t="n">
        <v>-0.5728615088508811</v>
      </c>
      <c r="M868" s="6" t="n">
        <v>-1.581652257505979</v>
      </c>
      <c r="N868" s="6" t="n">
        <v>-2.208996970116658</v>
      </c>
      <c r="O868" s="6" t="n">
        <v>0.8136597632041597</v>
      </c>
      <c r="P868" s="6" t="n">
        <v>-2.111376075672153</v>
      </c>
      <c r="Q868" s="6" t="n">
        <v>-1.02315250602333</v>
      </c>
      <c r="R868" s="6" t="n">
        <v>-0.876170668627496</v>
      </c>
      <c r="S868" s="6" t="n">
        <v>0.9376954868189148</v>
      </c>
      <c r="T868" s="6" t="n">
        <v>-0.9269338199645983</v>
      </c>
      <c r="U868" s="6" t="n">
        <v>3.815231517259512</v>
      </c>
      <c r="V868" s="6" t="n">
        <v>-0.9839100350591696</v>
      </c>
      <c r="W868" s="6" t="n">
        <v>-2.001565838791006</v>
      </c>
      <c r="X868" s="6" t="n">
        <v>-3.175201792471883</v>
      </c>
      <c r="Y868" s="6" t="n">
        <v>-2.543357072587028</v>
      </c>
      <c r="Z868" s="6" t="n">
        <v>2.042189482535052</v>
      </c>
      <c r="AA868" s="6" t="n">
        <v>-0.8832342768217558</v>
      </c>
      <c r="AB868" s="6" t="n">
        <v>1.228054725084381</v>
      </c>
      <c r="AC868" s="6" t="n">
        <v>5</v>
      </c>
      <c r="AD868" s="6" t="n">
        <v>0.3321611501915183</v>
      </c>
      <c r="AE868" s="6" t="n">
        <v>2.339996421646739</v>
      </c>
      <c r="AF868" s="6" t="n">
        <v>1.331216048623421</v>
      </c>
      <c r="AG868" s="6" t="n">
        <v>-1.337440849703682</v>
      </c>
      <c r="AH868" s="6" t="n">
        <v>2.405851382009222</v>
      </c>
      <c r="AI868" s="6" t="n">
        <v>-2.433419990723093</v>
      </c>
      <c r="AJ868" s="6" t="n">
        <v>75.55938568377672</v>
      </c>
      <c r="AK868" s="6" t="n">
        <v>0.1726541578151028</v>
      </c>
      <c r="AL868" s="6" t="n">
        <v>1.092431451783109</v>
      </c>
      <c r="AN868" s="6" t="n">
        <v>1.324139463071626</v>
      </c>
      <c r="AO868" s="6" t="n">
        <v>1.326233362705487</v>
      </c>
      <c r="AP868" s="6" t="n">
        <v>0.128112383646177</v>
      </c>
      <c r="AQ868" s="6" t="n">
        <v>0</v>
      </c>
      <c r="AR868" s="6" t="n">
        <v>0</v>
      </c>
    </row>
    <row r="869">
      <c r="D869" t="inlineStr">
        <is>
          <t>Run 557</t>
        </is>
      </c>
      <c r="J869" s="6" t="n">
        <v>-1.700657632872966</v>
      </c>
      <c r="K869" s="6" t="n">
        <v>-2.100085350487231</v>
      </c>
      <c r="L869" s="6" t="n">
        <v>-4.326988600911144</v>
      </c>
      <c r="M869" s="6" t="n">
        <v>1.048918122349846</v>
      </c>
      <c r="N869" s="6" t="n">
        <v>0.2898630153030278</v>
      </c>
      <c r="O869" s="6" t="n">
        <v>-0.2796991753696604</v>
      </c>
      <c r="P869" s="6" t="n">
        <v>1.328442776017049</v>
      </c>
      <c r="Q869" s="6" t="n">
        <v>1.202906284739622</v>
      </c>
      <c r="R869" s="6" t="n">
        <v>2.632222999240887</v>
      </c>
      <c r="S869" s="6" t="n">
        <v>-1.304151591779803</v>
      </c>
      <c r="T869" s="6" t="n">
        <v>2.559958233737733</v>
      </c>
      <c r="U869" s="6" t="n">
        <v>-0.7228475558547278</v>
      </c>
      <c r="V869" s="6" t="n">
        <v>2.268067463951545</v>
      </c>
      <c r="W869" s="6" t="n">
        <v>-1.731978797874905</v>
      </c>
      <c r="X869" s="6" t="n">
        <v>1.879078621152094</v>
      </c>
      <c r="Y869" s="6" t="n">
        <v>-4.452765658879607</v>
      </c>
      <c r="Z869" s="6" t="n">
        <v>0.300144840629929</v>
      </c>
      <c r="AA869" s="6" t="n">
        <v>0.9649179307452648</v>
      </c>
      <c r="AB869" s="6" t="n">
        <v>0.8478841321893865</v>
      </c>
      <c r="AC869" s="6" t="n">
        <v>0.27210597230369</v>
      </c>
      <c r="AD869" s="6" t="n">
        <v>4.220617265201296</v>
      </c>
      <c r="AE869" s="6" t="n">
        <v>-4.283097419110343</v>
      </c>
      <c r="AF869" s="6" t="n">
        <v>-0.9928926286681432</v>
      </c>
      <c r="AG869" s="6" t="n">
        <v>-1.963764456421118</v>
      </c>
      <c r="AH869" s="6" t="n">
        <v>1.243957368627247</v>
      </c>
      <c r="AI869" s="6" t="n">
        <v>2.488599972671916</v>
      </c>
      <c r="AJ869" s="6" t="n">
        <v>79.23138086233945</v>
      </c>
      <c r="AK869" s="6" t="n">
        <v>0.05474309217401073</v>
      </c>
      <c r="AL869" s="6" t="n">
        <v>1.024924099951978</v>
      </c>
      <c r="AN869" s="6" t="n">
        <v>1.358147250084322</v>
      </c>
      <c r="AO869" s="6" t="n">
        <v>1.358147250084322</v>
      </c>
      <c r="AP869" s="6" t="n">
        <v>0.1373403417144355</v>
      </c>
      <c r="AQ869" s="6" t="n">
        <v>0</v>
      </c>
      <c r="AR869" s="6" t="n">
        <v>0</v>
      </c>
    </row>
    <row r="870">
      <c r="D870" t="inlineStr">
        <is>
          <t>Run 558</t>
        </is>
      </c>
      <c r="J870" s="6" t="n">
        <v>-1.306279834438914</v>
      </c>
      <c r="K870" s="6" t="n">
        <v>-0.5697452114211732</v>
      </c>
      <c r="L870" s="6" t="n">
        <v>-1.865612223164022</v>
      </c>
      <c r="M870" s="6" t="n">
        <v>1.64297758088675</v>
      </c>
      <c r="N870" s="6" t="n">
        <v>2.38704771559793</v>
      </c>
      <c r="O870" s="6" t="n">
        <v>-0.6859906710029765</v>
      </c>
      <c r="P870" s="6" t="n">
        <v>-2.627601251832741</v>
      </c>
      <c r="Q870" s="6" t="n">
        <v>2.543136145153848</v>
      </c>
      <c r="R870" s="6" t="n">
        <v>-0.7936859396841308</v>
      </c>
      <c r="S870" s="6" t="n">
        <v>-2.042785288358361</v>
      </c>
      <c r="T870" s="6" t="n">
        <v>1.851464125586509</v>
      </c>
      <c r="U870" s="6" t="n">
        <v>1.28934770677417</v>
      </c>
      <c r="V870" s="6" t="n">
        <v>1.998076093364491</v>
      </c>
      <c r="W870" s="6" t="n">
        <v>1.714643216735657</v>
      </c>
      <c r="X870" s="6" t="n">
        <v>0.1193018899309186</v>
      </c>
      <c r="Y870" s="6" t="n">
        <v>0.8054347499291757</v>
      </c>
      <c r="Z870" s="6" t="n">
        <v>-1.69248301494552</v>
      </c>
      <c r="AA870" s="6" t="n">
        <v>-2.977493020536597</v>
      </c>
      <c r="AB870" s="6" t="n">
        <v>0.3193454606346828</v>
      </c>
      <c r="AC870" s="6" t="n">
        <v>-2.07344992197672</v>
      </c>
      <c r="AD870" s="6" t="n">
        <v>2.186201862252984</v>
      </c>
      <c r="AE870" s="6" t="n">
        <v>-1.217596370748098</v>
      </c>
      <c r="AF870" s="6" t="n">
        <v>-0.6428921363589409</v>
      </c>
      <c r="AG870" s="6" t="n">
        <v>2.857669219473316</v>
      </c>
      <c r="AH870" s="6" t="n">
        <v>-3.403265872339665</v>
      </c>
      <c r="AI870" s="6" t="n">
        <v>1.10410375139345</v>
      </c>
      <c r="AJ870" s="6" t="n">
        <v>64.50990745272121</v>
      </c>
      <c r="AK870" s="6" t="n">
        <v>0.1543002388710257</v>
      </c>
      <c r="AL870" s="6" t="n">
        <v>1.017139952945857</v>
      </c>
      <c r="AN870" s="6" t="n">
        <v>1.350630545420581</v>
      </c>
      <c r="AO870" s="6" t="n">
        <v>1.350630545420581</v>
      </c>
      <c r="AP870" s="6" t="n">
        <v>0.1347623525630725</v>
      </c>
      <c r="AQ870" s="6" t="n">
        <v>0</v>
      </c>
      <c r="AR870" s="6" t="n">
        <v>0</v>
      </c>
    </row>
    <row r="871">
      <c r="D871" t="inlineStr">
        <is>
          <t>Run 559</t>
        </is>
      </c>
      <c r="J871" s="6" t="n">
        <v>1.491101390583442</v>
      </c>
      <c r="K871" s="6" t="n">
        <v>-1.177815212552169</v>
      </c>
      <c r="L871" s="6" t="n">
        <v>-0.6313171697808662</v>
      </c>
      <c r="M871" s="6" t="n">
        <v>1.942087344714451</v>
      </c>
      <c r="N871" s="6" t="n">
        <v>1.089963604598515</v>
      </c>
      <c r="O871" s="6" t="n">
        <v>2.53451719534254</v>
      </c>
      <c r="P871" s="6" t="n">
        <v>3.085798010594994</v>
      </c>
      <c r="Q871" s="6" t="n">
        <v>3.057083485927873</v>
      </c>
      <c r="R871" s="6" t="n">
        <v>-0.4771065522401692</v>
      </c>
      <c r="S871" s="6" t="n">
        <v>-1.52629968979075</v>
      </c>
      <c r="T871" s="6" t="n">
        <v>-0.05190889263580155</v>
      </c>
      <c r="U871" s="6" t="n">
        <v>2.169766185845481</v>
      </c>
      <c r="V871" s="6" t="n">
        <v>2.619236180508086</v>
      </c>
      <c r="W871" s="6" t="n">
        <v>-0.07384331633948249</v>
      </c>
      <c r="X871" s="6" t="n">
        <v>0.4873160019867998</v>
      </c>
      <c r="Y871" s="6" t="n">
        <v>-0.9611498165058329</v>
      </c>
      <c r="Z871" s="6" t="n">
        <v>-0.10819494113568</v>
      </c>
      <c r="AA871" s="6" t="n">
        <v>-1.044719026893011</v>
      </c>
      <c r="AB871" s="6" t="n">
        <v>-1.275259254131948</v>
      </c>
      <c r="AC871" s="6" t="n">
        <v>0.4847770052025477</v>
      </c>
      <c r="AD871" s="6" t="n">
        <v>3.795375867619744</v>
      </c>
      <c r="AE871" s="6" t="n">
        <v>-1.317162465835577</v>
      </c>
      <c r="AF871" s="6" t="n">
        <v>-3.624616220549718</v>
      </c>
      <c r="AG871" s="6" t="n">
        <v>0.6183361070108495</v>
      </c>
      <c r="AH871" s="6" t="n">
        <v>-0.1282550067197375</v>
      </c>
      <c r="AI871" s="6" t="n">
        <v>0.04537350901824572</v>
      </c>
      <c r="AJ871" s="6" t="n">
        <v>78.2680209368324</v>
      </c>
      <c r="AK871" s="6" t="n">
        <v>0.1516650446966745</v>
      </c>
      <c r="AL871" s="6" t="n">
        <v>1.074750178611386</v>
      </c>
      <c r="AN871" s="6" t="n">
        <v>1.334407010414636</v>
      </c>
      <c r="AO871" s="6" t="n">
        <v>1.334440561911819</v>
      </c>
      <c r="AP871" s="6" t="n">
        <v>0.1301276896785973</v>
      </c>
      <c r="AQ871" s="6" t="n">
        <v>0</v>
      </c>
      <c r="AR871" s="6" t="n">
        <v>0</v>
      </c>
    </row>
    <row r="872">
      <c r="D872" t="inlineStr">
        <is>
          <t>Run 560</t>
        </is>
      </c>
      <c r="J872" s="6" t="n">
        <v>0.7411736041137745</v>
      </c>
      <c r="K872" s="6" t="n">
        <v>-0.6347330975517167</v>
      </c>
      <c r="L872" s="6" t="n">
        <v>1.966779086676173</v>
      </c>
      <c r="M872" s="6" t="n">
        <v>1.021805864250234</v>
      </c>
      <c r="N872" s="6" t="n">
        <v>2.946904624587086</v>
      </c>
      <c r="O872" s="6" t="n">
        <v>0.5999201064205784</v>
      </c>
      <c r="P872" s="6" t="n">
        <v>-1.042912260585375</v>
      </c>
      <c r="Q872" s="6" t="n">
        <v>3.049525742192206</v>
      </c>
      <c r="R872" s="6" t="n">
        <v>0.9867619622899336</v>
      </c>
      <c r="S872" s="6" t="n">
        <v>0.7953568716001415</v>
      </c>
      <c r="T872" s="6" t="n">
        <v>1.541767706423754</v>
      </c>
      <c r="U872" s="6" t="n">
        <v>-0.8899919481395303</v>
      </c>
      <c r="V872" s="6" t="n">
        <v>-2.804833815633774</v>
      </c>
      <c r="W872" s="6" t="n">
        <v>3.104917524281342</v>
      </c>
      <c r="X872" s="6" t="n">
        <v>-0.6477610290596519</v>
      </c>
      <c r="Y872" s="6" t="n">
        <v>3.399494535551351</v>
      </c>
      <c r="Z872" s="6" t="n">
        <v>-1.407368505224378</v>
      </c>
      <c r="AA872" s="6" t="n">
        <v>-0.1543347440669865</v>
      </c>
      <c r="AB872" s="6" t="n">
        <v>0.4964984483908352</v>
      </c>
      <c r="AC872" s="6" t="n">
        <v>3.345121817666289</v>
      </c>
      <c r="AD872" s="6" t="n">
        <v>-2.322417087621179</v>
      </c>
      <c r="AE872" s="6" t="n">
        <v>-1.07973555463646</v>
      </c>
      <c r="AF872" s="6" t="n">
        <v>1.792475708707781</v>
      </c>
      <c r="AG872" s="6" t="n">
        <v>1.130228610871491</v>
      </c>
      <c r="AH872" s="6" t="n">
        <v>-0.9157858096153815</v>
      </c>
      <c r="AI872" s="6" t="n">
        <v>3.340636433470502</v>
      </c>
      <c r="AJ872" s="6" t="n">
        <v>83.41077250452281</v>
      </c>
      <c r="AK872" s="6" t="n">
        <v>0.07087819834031206</v>
      </c>
      <c r="AL872" s="6" t="n">
        <v>1.076631944171439</v>
      </c>
      <c r="AN872" s="6" t="n">
        <v>1.346683857317752</v>
      </c>
      <c r="AO872" s="6" t="n">
        <v>1.347181428275747</v>
      </c>
      <c r="AP872" s="6" t="n">
        <v>0.1325213859107331</v>
      </c>
      <c r="AQ872" s="6" t="n">
        <v>0</v>
      </c>
      <c r="AR872" s="6" t="n">
        <v>0</v>
      </c>
    </row>
    <row r="873">
      <c r="D873" t="inlineStr">
        <is>
          <t>Run 561</t>
        </is>
      </c>
      <c r="J873" s="6" t="n">
        <v>-1.453610415950234</v>
      </c>
      <c r="K873" s="6" t="n">
        <v>-1.018654427074424</v>
      </c>
      <c r="L873" s="6" t="n">
        <v>1.274208550053269</v>
      </c>
      <c r="M873" s="6" t="n">
        <v>-3.096127054585464</v>
      </c>
      <c r="N873" s="6" t="n">
        <v>0.2978280074999614</v>
      </c>
      <c r="O873" s="6" t="n">
        <v>-0.6815030730020069</v>
      </c>
      <c r="P873" s="6" t="n">
        <v>0.9529825944977194</v>
      </c>
      <c r="Q873" s="6" t="n">
        <v>-1.054582931805841</v>
      </c>
      <c r="R873" s="6" t="n">
        <v>-1.293148139390048</v>
      </c>
      <c r="S873" s="6" t="n">
        <v>-0.08167656525258365</v>
      </c>
      <c r="T873" s="6" t="n">
        <v>1.388525539611332</v>
      </c>
      <c r="U873" s="6" t="n">
        <v>1.133215155653771</v>
      </c>
      <c r="V873" s="6" t="n">
        <v>-1.065914840506441</v>
      </c>
      <c r="W873" s="6" t="n">
        <v>-0.9318835174608316</v>
      </c>
      <c r="X873" s="6" t="n">
        <v>2.214381942625181</v>
      </c>
      <c r="Y873" s="6" t="n">
        <v>0.7908196175169424</v>
      </c>
      <c r="Z873" s="6" t="n">
        <v>-1.862669023489329</v>
      </c>
      <c r="AA873" s="6" t="n">
        <v>-1.711676746694345</v>
      </c>
      <c r="AB873" s="6" t="n">
        <v>-1.014820738124161</v>
      </c>
      <c r="AC873" s="6" t="n">
        <v>-1.372746069896147</v>
      </c>
      <c r="AD873" s="6" t="n">
        <v>-3.220286588169496</v>
      </c>
      <c r="AE873" s="6" t="n">
        <v>5</v>
      </c>
      <c r="AF873" s="6" t="n">
        <v>2.327971910696839</v>
      </c>
      <c r="AG873" s="6" t="n">
        <v>0.7144855879141579</v>
      </c>
      <c r="AH873" s="6" t="n">
        <v>2.340895296301094</v>
      </c>
      <c r="AI873" s="6" t="n">
        <v>0.6310688060735937</v>
      </c>
      <c r="AJ873" s="6" t="n">
        <v>76.43611486150157</v>
      </c>
      <c r="AK873" s="6" t="n">
        <v>0.1588678665384968</v>
      </c>
      <c r="AL873" s="6" t="n">
        <v>1.079606387665595</v>
      </c>
      <c r="AN873" s="6" t="n">
        <v>1.306668976755394</v>
      </c>
      <c r="AO873" s="6" t="n">
        <v>1.316004753217626</v>
      </c>
      <c r="AP873" s="6" t="n">
        <v>0.1292162758049231</v>
      </c>
      <c r="AQ873" s="6" t="n">
        <v>0</v>
      </c>
      <c r="AR873" s="6" t="n">
        <v>0</v>
      </c>
    </row>
    <row r="874">
      <c r="D874" t="inlineStr">
        <is>
          <t>Run 562</t>
        </is>
      </c>
      <c r="J874" s="6" t="n">
        <v>1.33240318929263</v>
      </c>
      <c r="K874" s="6" t="n">
        <v>3.75090409033786</v>
      </c>
      <c r="L874" s="6" t="n">
        <v>3.667488550311347</v>
      </c>
      <c r="M874" s="6" t="n">
        <v>-1.139886977218572</v>
      </c>
      <c r="N874" s="6" t="n">
        <v>-0.4781078890710124</v>
      </c>
      <c r="O874" s="6" t="n">
        <v>-2.947692768236332</v>
      </c>
      <c r="P874" s="6" t="n">
        <v>-0.02062892460464177</v>
      </c>
      <c r="Q874" s="6" t="n">
        <v>-2.262833967688091</v>
      </c>
      <c r="R874" s="6" t="n">
        <v>0.7977881669765463</v>
      </c>
      <c r="S874" s="6" t="n">
        <v>2.881884689476307</v>
      </c>
      <c r="T874" s="6" t="n">
        <v>2.322038677103686</v>
      </c>
      <c r="U874" s="6" t="n">
        <v>1.380376382620486</v>
      </c>
      <c r="V874" s="6" t="n">
        <v>1.585041539123264</v>
      </c>
      <c r="W874" s="6" t="n">
        <v>0.2214806989529867</v>
      </c>
      <c r="X874" s="6" t="n">
        <v>1.244941269297483</v>
      </c>
      <c r="Y874" s="6" t="n">
        <v>1.126978272454827</v>
      </c>
      <c r="Z874" s="6" t="n">
        <v>1.231235365342781</v>
      </c>
      <c r="AA874" s="6" t="n">
        <v>-5.889492398892031</v>
      </c>
      <c r="AB874" s="6" t="n">
        <v>-0.8150771585714531</v>
      </c>
      <c r="AC874" s="6" t="n">
        <v>-2.177176248472443</v>
      </c>
      <c r="AD874" s="6" t="n">
        <v>-3.962048170741483</v>
      </c>
      <c r="AE874" s="6" t="n">
        <v>3.331917650846489</v>
      </c>
      <c r="AF874" s="6" t="n">
        <v>-0.9944454665031853</v>
      </c>
      <c r="AG874" s="6" t="n">
        <v>-3.354286762271686</v>
      </c>
      <c r="AH874" s="6" t="n">
        <v>-3.481786758156901</v>
      </c>
      <c r="AI874" s="6" t="n">
        <v>4.908648799131814</v>
      </c>
      <c r="AJ874" s="6" t="n">
        <v>77.75384584665206</v>
      </c>
      <c r="AK874" s="6" t="n">
        <v>0.1088981605466419</v>
      </c>
      <c r="AL874" s="6" t="n">
        <v>1.032755581714788</v>
      </c>
      <c r="AN874" s="6" t="n">
        <v>1.352158884628393</v>
      </c>
      <c r="AO874" s="6" t="n">
        <v>1.352428662341806</v>
      </c>
      <c r="AP874" s="6" t="n">
        <v>0.1345372366294705</v>
      </c>
      <c r="AQ874" s="6" t="n">
        <v>0</v>
      </c>
      <c r="AR874" s="6" t="n">
        <v>0</v>
      </c>
    </row>
    <row r="875">
      <c r="D875" t="inlineStr">
        <is>
          <t>Run 563</t>
        </is>
      </c>
      <c r="J875" s="6" t="n">
        <v>-1.476372831054793</v>
      </c>
      <c r="K875" s="6" t="n">
        <v>0.9130283724687653</v>
      </c>
      <c r="L875" s="6" t="n">
        <v>-2.692018633375194</v>
      </c>
      <c r="M875" s="6" t="n">
        <v>3.029119218804375</v>
      </c>
      <c r="N875" s="6" t="n">
        <v>-2.58064875930917</v>
      </c>
      <c r="O875" s="6" t="n">
        <v>2.256975401230184</v>
      </c>
      <c r="P875" s="6" t="n">
        <v>1.209917665524734</v>
      </c>
      <c r="Q875" s="6" t="n">
        <v>-0.7679884293253041</v>
      </c>
      <c r="R875" s="6" t="n">
        <v>-0.003734473276242495</v>
      </c>
      <c r="S875" s="6" t="n">
        <v>-0.1721854045776207</v>
      </c>
      <c r="T875" s="6" t="n">
        <v>-2.288825616039917</v>
      </c>
      <c r="U875" s="6" t="n">
        <v>1.036418295759512</v>
      </c>
      <c r="V875" s="6" t="n">
        <v>2.243599919929774</v>
      </c>
      <c r="W875" s="6" t="n">
        <v>-0.9468021973277073</v>
      </c>
      <c r="X875" s="6" t="n">
        <v>-0.4312942168337653</v>
      </c>
      <c r="Y875" s="6" t="n">
        <v>1.820404868074354</v>
      </c>
      <c r="Z875" s="6" t="n">
        <v>-1.606419336519302</v>
      </c>
      <c r="AA875" s="6" t="n">
        <v>0.1535405521284854</v>
      </c>
      <c r="AB875" s="6" t="n">
        <v>-1.394323780876304</v>
      </c>
      <c r="AC875" s="6" t="n">
        <v>-2.443210097207318</v>
      </c>
      <c r="AD875" s="6" t="n">
        <v>2.006303089533807</v>
      </c>
      <c r="AE875" s="6" t="n">
        <v>0.3991456197956724</v>
      </c>
      <c r="AF875" s="6" t="n">
        <v>1.188209601981631</v>
      </c>
      <c r="AG875" s="6" t="n">
        <v>-0.3051584319486513</v>
      </c>
      <c r="AH875" s="6" t="n">
        <v>-2.302190361794751</v>
      </c>
      <c r="AI875" s="6" t="n">
        <v>0.4417210764253259</v>
      </c>
      <c r="AJ875" s="6" t="n">
        <v>63.26832564957313</v>
      </c>
      <c r="AK875" s="6" t="n">
        <v>0.03570193919505101</v>
      </c>
      <c r="AL875" s="6" t="n">
        <v>1.013923532777423</v>
      </c>
      <c r="AN875" s="6" t="n">
        <v>1.351378121752466</v>
      </c>
      <c r="AO875" s="6" t="n">
        <v>1.351378121752466</v>
      </c>
      <c r="AP875" s="6" t="n">
        <v>0.1372003217368293</v>
      </c>
      <c r="AQ875" s="6" t="n">
        <v>0</v>
      </c>
      <c r="AR875" s="6" t="n">
        <v>0</v>
      </c>
    </row>
    <row r="876">
      <c r="D876" t="inlineStr">
        <is>
          <t>Run 564</t>
        </is>
      </c>
      <c r="J876" s="6" t="n">
        <v>-1.131061886768954</v>
      </c>
      <c r="K876" s="6" t="n">
        <v>-2.889016259835049</v>
      </c>
      <c r="L876" s="6" t="n">
        <v>1.716023342539513</v>
      </c>
      <c r="M876" s="6" t="n">
        <v>0.009769114682240445</v>
      </c>
      <c r="N876" s="6" t="n">
        <v>-2.827631057834238</v>
      </c>
      <c r="O876" s="6" t="n">
        <v>0.875206259726045</v>
      </c>
      <c r="P876" s="6" t="n">
        <v>4.938699364379326</v>
      </c>
      <c r="Q876" s="6" t="n">
        <v>2.495994209590816</v>
      </c>
      <c r="R876" s="6" t="n">
        <v>5</v>
      </c>
      <c r="S876" s="6" t="n">
        <v>1.265865837763991</v>
      </c>
      <c r="T876" s="6" t="n">
        <v>1.70317911707257</v>
      </c>
      <c r="U876" s="6" t="n">
        <v>2.139272410635875</v>
      </c>
      <c r="V876" s="6" t="n">
        <v>1.775456235769546</v>
      </c>
      <c r="W876" s="6" t="n">
        <v>-1.328108342610097</v>
      </c>
      <c r="X876" s="6" t="n">
        <v>-0.851044159748749</v>
      </c>
      <c r="Y876" s="6" t="n">
        <v>2.336054464430714</v>
      </c>
      <c r="Z876" s="6" t="n">
        <v>0.3447407719025229</v>
      </c>
      <c r="AA876" s="6" t="n">
        <v>-1.341588376853246</v>
      </c>
      <c r="AB876" s="6" t="n">
        <v>-1.587174406069199</v>
      </c>
      <c r="AC876" s="6" t="n">
        <v>0.9313485167982006</v>
      </c>
      <c r="AD876" s="6" t="n">
        <v>1.636292919686765</v>
      </c>
      <c r="AE876" s="6" t="n">
        <v>-0.7648820245882946</v>
      </c>
      <c r="AF876" s="6" t="n">
        <v>-2.585126469328821</v>
      </c>
      <c r="AG876" s="6" t="n">
        <v>-1.146934383163614</v>
      </c>
      <c r="AH876" s="6" t="n">
        <v>3.251423068569506</v>
      </c>
      <c r="AI876" s="6" t="n">
        <v>0.37590643731133</v>
      </c>
      <c r="AJ876" s="6" t="n">
        <v>71.16087775572311</v>
      </c>
      <c r="AK876" s="6" t="n">
        <v>0.1510122305062464</v>
      </c>
      <c r="AL876" s="6" t="n">
        <v>1.070621486849654</v>
      </c>
      <c r="AN876" s="6" t="n">
        <v>1.332887435011752</v>
      </c>
      <c r="AO876" s="6" t="n">
        <v>1.333937331010807</v>
      </c>
      <c r="AP876" s="6" t="n">
        <v>0.130317911339513</v>
      </c>
      <c r="AQ876" s="6" t="n">
        <v>0</v>
      </c>
      <c r="AR876" s="6" t="n">
        <v>0</v>
      </c>
    </row>
    <row r="877">
      <c r="D877" t="inlineStr">
        <is>
          <t>Run 565</t>
        </is>
      </c>
      <c r="J877" s="6" t="n">
        <v>-0.8030202579817818</v>
      </c>
      <c r="K877" s="6" t="n">
        <v>0.1993381559435146</v>
      </c>
      <c r="L877" s="6" t="n">
        <v>0.661249356972567</v>
      </c>
      <c r="M877" s="6" t="n">
        <v>-0.5228331854822613</v>
      </c>
      <c r="N877" s="6" t="n">
        <v>-2.546887118557534</v>
      </c>
      <c r="O877" s="6" t="n">
        <v>1.912262532039725</v>
      </c>
      <c r="P877" s="6" t="n">
        <v>-3.875491098655525</v>
      </c>
      <c r="Q877" s="6" t="n">
        <v>0.03559761201206402</v>
      </c>
      <c r="R877" s="6" t="n">
        <v>3.967273801571452</v>
      </c>
      <c r="S877" s="6" t="n">
        <v>-0.4856231506655576</v>
      </c>
      <c r="T877" s="6" t="n">
        <v>1.776953842580866</v>
      </c>
      <c r="U877" s="6" t="n">
        <v>-0.9329767631697364</v>
      </c>
      <c r="V877" s="6" t="n">
        <v>0.3230992354724432</v>
      </c>
      <c r="W877" s="6" t="n">
        <v>-2.619306445928724</v>
      </c>
      <c r="X877" s="6" t="n">
        <v>0.2884828695741544</v>
      </c>
      <c r="Y877" s="6" t="n">
        <v>2.018808439771226</v>
      </c>
      <c r="Z877" s="6" t="n">
        <v>3.883726197535292</v>
      </c>
      <c r="AA877" s="6" t="n">
        <v>0.4324218133930057</v>
      </c>
      <c r="AB877" s="6" t="n">
        <v>-0.02438913599299367</v>
      </c>
      <c r="AC877" s="6" t="n">
        <v>-0.8256738289221155</v>
      </c>
      <c r="AD877" s="6" t="n">
        <v>-1.98042996301432</v>
      </c>
      <c r="AE877" s="6" t="n">
        <v>4.13099045591064</v>
      </c>
      <c r="AF877" s="6" t="n">
        <v>0.3038717499946857</v>
      </c>
      <c r="AG877" s="6" t="n">
        <v>0.2420590288757309</v>
      </c>
      <c r="AH877" s="6" t="n">
        <v>-4.967318612645696</v>
      </c>
      <c r="AI877" s="6" t="n">
        <v>-1.901996403536935</v>
      </c>
      <c r="AJ877" s="6" t="n">
        <v>74.71968370410957</v>
      </c>
      <c r="AK877" s="6" t="n">
        <v>0.07303106726554191</v>
      </c>
      <c r="AL877" s="6" t="n">
        <v>1.034312976437808</v>
      </c>
      <c r="AN877" s="6" t="n">
        <v>1.353114309387416</v>
      </c>
      <c r="AO877" s="6" t="n">
        <v>1.353114309387416</v>
      </c>
      <c r="AP877" s="6" t="n">
        <v>0.1354143408131201</v>
      </c>
      <c r="AQ877" s="6" t="n">
        <v>0</v>
      </c>
      <c r="AR877" s="6" t="n">
        <v>0</v>
      </c>
    </row>
    <row r="878">
      <c r="D878" t="inlineStr">
        <is>
          <t>Run 566</t>
        </is>
      </c>
      <c r="J878" s="6" t="n">
        <v>0.1101228230188753</v>
      </c>
      <c r="K878" s="6" t="n">
        <v>-4.698800120553767</v>
      </c>
      <c r="L878" s="6" t="n">
        <v>1.010641254297422</v>
      </c>
      <c r="M878" s="6" t="n">
        <v>0.8499890176075796</v>
      </c>
      <c r="N878" s="6" t="n">
        <v>2.19968918828059</v>
      </c>
      <c r="O878" s="6" t="n">
        <v>-1.676026956057695</v>
      </c>
      <c r="P878" s="6" t="n">
        <v>0.06570202723493682</v>
      </c>
      <c r="Q878" s="6" t="n">
        <v>1.781922499882012</v>
      </c>
      <c r="R878" s="6" t="n">
        <v>-4.855452955393856</v>
      </c>
      <c r="S878" s="6" t="n">
        <v>5</v>
      </c>
      <c r="T878" s="6" t="n">
        <v>1.25809841269646</v>
      </c>
      <c r="U878" s="6" t="n">
        <v>-2.082035374526424</v>
      </c>
      <c r="V878" s="6" t="n">
        <v>1.349865455094762</v>
      </c>
      <c r="W878" s="6" t="n">
        <v>3.193984647106406</v>
      </c>
      <c r="X878" s="6" t="n">
        <v>-1.103082162893449</v>
      </c>
      <c r="Y878" s="6" t="n">
        <v>-1.120312905392399</v>
      </c>
      <c r="Z878" s="6" t="n">
        <v>0.01018401251056078</v>
      </c>
      <c r="AA878" s="6" t="n">
        <v>0.5913948695482236</v>
      </c>
      <c r="AB878" s="6" t="n">
        <v>4.641200634004041</v>
      </c>
      <c r="AC878" s="6" t="n">
        <v>-0.4330239508784377</v>
      </c>
      <c r="AD878" s="6" t="n">
        <v>2.210077219818178</v>
      </c>
      <c r="AE878" s="6" t="n">
        <v>-2.332648736009748</v>
      </c>
      <c r="AF878" s="6" t="n">
        <v>0.5375571510987327</v>
      </c>
      <c r="AG878" s="6" t="n">
        <v>0.5880498237750437</v>
      </c>
      <c r="AH878" s="6" t="n">
        <v>-0.6314444177015448</v>
      </c>
      <c r="AI878" s="6" t="n">
        <v>1.338315063700211</v>
      </c>
      <c r="AJ878" s="6" t="n">
        <v>78.69338312854244</v>
      </c>
      <c r="AK878" s="6" t="n">
        <v>0.0791048021270849</v>
      </c>
      <c r="AL878" s="6" t="n">
        <v>1.048936250252727</v>
      </c>
      <c r="AN878" s="6" t="n">
        <v>1.332513015273919</v>
      </c>
      <c r="AO878" s="6" t="n">
        <v>1.340443441546217</v>
      </c>
      <c r="AP878" s="6" t="n">
        <v>0.1338220119595982</v>
      </c>
      <c r="AQ878" s="6" t="n">
        <v>0</v>
      </c>
      <c r="AR878" s="6" t="n">
        <v>0</v>
      </c>
    </row>
    <row r="879">
      <c r="D879" t="inlineStr">
        <is>
          <t>Run 567</t>
        </is>
      </c>
      <c r="J879" s="6" t="n">
        <v>0.3879903714801316</v>
      </c>
      <c r="K879" s="6" t="n">
        <v>-0.9020617124939907</v>
      </c>
      <c r="L879" s="6" t="n">
        <v>0.4399814192557694</v>
      </c>
      <c r="M879" s="6" t="n">
        <v>-0.6498483861417889</v>
      </c>
      <c r="N879" s="6" t="n">
        <v>0.03847041604556761</v>
      </c>
      <c r="O879" s="6" t="n">
        <v>-0.909843263225503</v>
      </c>
      <c r="P879" s="6" t="n">
        <v>5</v>
      </c>
      <c r="Q879" s="6" t="n">
        <v>2.120958657655004</v>
      </c>
      <c r="R879" s="6" t="n">
        <v>2.032069693608281</v>
      </c>
      <c r="S879" s="6" t="n">
        <v>1.760044711317728</v>
      </c>
      <c r="T879" s="6" t="n">
        <v>1.723574660858479</v>
      </c>
      <c r="U879" s="6" t="n">
        <v>0.1860521687622639</v>
      </c>
      <c r="V879" s="6" t="n">
        <v>-1.856292292099563</v>
      </c>
      <c r="W879" s="6" t="n">
        <v>-0.6571127038149105</v>
      </c>
      <c r="X879" s="6" t="n">
        <v>-0.7727733574986935</v>
      </c>
      <c r="Y879" s="6" t="n">
        <v>0.6238688457111081</v>
      </c>
      <c r="Z879" s="6" t="n">
        <v>-3.003526288400834</v>
      </c>
      <c r="AA879" s="6" t="n">
        <v>-3.426774708974514</v>
      </c>
      <c r="AB879" s="6" t="n">
        <v>-1.845855981635735</v>
      </c>
      <c r="AC879" s="6" t="n">
        <v>-1.451662947415073</v>
      </c>
      <c r="AD879" s="6" t="n">
        <v>0.4493530582672555</v>
      </c>
      <c r="AE879" s="6" t="n">
        <v>3.719603351847919</v>
      </c>
      <c r="AF879" s="6" t="n">
        <v>2.349527801406967</v>
      </c>
      <c r="AG879" s="6" t="n">
        <v>0.5946935470498701</v>
      </c>
      <c r="AH879" s="6" t="n">
        <v>0.2701539284062931</v>
      </c>
      <c r="AI879" s="6" t="n">
        <v>1.640920335395427</v>
      </c>
      <c r="AJ879" s="6" t="n">
        <v>66.41134970418554</v>
      </c>
      <c r="AK879" s="6" t="n">
        <v>0.1402371418032218</v>
      </c>
      <c r="AL879" s="6" t="n">
        <v>1.106560465549391</v>
      </c>
      <c r="AN879" s="6" t="n">
        <v>1.321872306891468</v>
      </c>
      <c r="AO879" s="6" t="n">
        <v>1.324221112330413</v>
      </c>
      <c r="AP879" s="6" t="n">
        <v>0.1284180507949558</v>
      </c>
      <c r="AQ879" s="6" t="n">
        <v>0</v>
      </c>
      <c r="AR879" s="6" t="n">
        <v>0</v>
      </c>
    </row>
    <row r="880">
      <c r="D880" t="inlineStr">
        <is>
          <t>Run 568</t>
        </is>
      </c>
      <c r="J880" s="6" t="n">
        <v>-2.304658094493553</v>
      </c>
      <c r="K880" s="6" t="n">
        <v>-1.055485752190456</v>
      </c>
      <c r="L880" s="6" t="n">
        <v>1.611029057440034</v>
      </c>
      <c r="M880" s="6" t="n">
        <v>1.313218041921791</v>
      </c>
      <c r="N880" s="6" t="n">
        <v>1.388513619443231</v>
      </c>
      <c r="O880" s="6" t="n">
        <v>-0.845994652071655</v>
      </c>
      <c r="P880" s="6" t="n">
        <v>0.5293814376816443</v>
      </c>
      <c r="Q880" s="6" t="n">
        <v>-2.730714080341307</v>
      </c>
      <c r="R880" s="6" t="n">
        <v>-4.601118020069364</v>
      </c>
      <c r="S880" s="6" t="n">
        <v>-0.5875549534603901</v>
      </c>
      <c r="T880" s="6" t="n">
        <v>-0.5359720036922043</v>
      </c>
      <c r="U880" s="6" t="n">
        <v>-0.9966661287088108</v>
      </c>
      <c r="V880" s="6" t="n">
        <v>-3.15564083837093</v>
      </c>
      <c r="W880" s="6" t="n">
        <v>-4.118045085570733</v>
      </c>
      <c r="X880" s="6" t="n">
        <v>-3.078674789334929</v>
      </c>
      <c r="Y880" s="6" t="n">
        <v>0.162985126740408</v>
      </c>
      <c r="Z880" s="6" t="n">
        <v>1.104179089231927</v>
      </c>
      <c r="AA880" s="6" t="n">
        <v>3.961237471772558</v>
      </c>
      <c r="AB880" s="6" t="n">
        <v>-2.005342995183898</v>
      </c>
      <c r="AC880" s="6" t="n">
        <v>3.998029675376796</v>
      </c>
      <c r="AD880" s="6" t="n">
        <v>1.756754583432319</v>
      </c>
      <c r="AE880" s="6" t="n">
        <v>-1.699910655061069</v>
      </c>
      <c r="AF880" s="6" t="n">
        <v>1.574546744549076</v>
      </c>
      <c r="AG880" s="6" t="n">
        <v>0.4303195765811891</v>
      </c>
      <c r="AH880" s="6" t="n">
        <v>1.430907674106097</v>
      </c>
      <c r="AI880" s="6" t="n">
        <v>-0.2374248965828553</v>
      </c>
      <c r="AJ880" s="6" t="n">
        <v>75.86751366831147</v>
      </c>
      <c r="AK880" s="6" t="n">
        <v>0.1322440385702525</v>
      </c>
      <c r="AL880" s="6" t="n">
        <v>1.057325896824729</v>
      </c>
      <c r="AN880" s="6" t="n">
        <v>1.344831669124116</v>
      </c>
      <c r="AO880" s="6" t="n">
        <v>1.344922539168024</v>
      </c>
      <c r="AP880" s="6" t="n">
        <v>0.1314361950633087</v>
      </c>
      <c r="AQ880" s="6" t="n">
        <v>0</v>
      </c>
      <c r="AR880" s="6" t="n">
        <v>0</v>
      </c>
    </row>
    <row r="881">
      <c r="D881" t="inlineStr">
        <is>
          <t>Run 569</t>
        </is>
      </c>
      <c r="J881" s="6" t="n">
        <v>0.4334014092054955</v>
      </c>
      <c r="K881" s="6" t="n">
        <v>1.627567611613843</v>
      </c>
      <c r="L881" s="6" t="n">
        <v>2.626048473928063</v>
      </c>
      <c r="M881" s="6" t="n">
        <v>-2.697817012741555</v>
      </c>
      <c r="N881" s="6" t="n">
        <v>-2.591985020951346</v>
      </c>
      <c r="O881" s="6" t="n">
        <v>1.897183126847497</v>
      </c>
      <c r="P881" s="6" t="n">
        <v>0.0839631313588334</v>
      </c>
      <c r="Q881" s="6" t="n">
        <v>-3.895130172797821</v>
      </c>
      <c r="R881" s="6" t="n">
        <v>1.503461895765861</v>
      </c>
      <c r="S881" s="6" t="n">
        <v>-1.90963395919108</v>
      </c>
      <c r="T881" s="6" t="n">
        <v>-0.3364711797700868</v>
      </c>
      <c r="U881" s="6" t="n">
        <v>1.722267951412619</v>
      </c>
      <c r="V881" s="6" t="n">
        <v>2.063056864991831</v>
      </c>
      <c r="W881" s="6" t="n">
        <v>1.01709665225797</v>
      </c>
      <c r="X881" s="6" t="n">
        <v>-0.8647710855941583</v>
      </c>
      <c r="Y881" s="6" t="n">
        <v>0.4829429393849117</v>
      </c>
      <c r="Z881" s="6" t="n">
        <v>2.92748764285623</v>
      </c>
      <c r="AA881" s="6" t="n">
        <v>-1.401596159500976</v>
      </c>
      <c r="AB881" s="6" t="n">
        <v>0.08777747095307771</v>
      </c>
      <c r="AC881" s="6" t="n">
        <v>-0.7474145842628995</v>
      </c>
      <c r="AD881" s="6" t="n">
        <v>-2.205474936389198</v>
      </c>
      <c r="AE881" s="6" t="n">
        <v>2.136151166785489</v>
      </c>
      <c r="AF881" s="6" t="n">
        <v>0.1494781218769093</v>
      </c>
      <c r="AG881" s="6" t="n">
        <v>1.533967195475362</v>
      </c>
      <c r="AH881" s="6" t="n">
        <v>0.9764935096987906</v>
      </c>
      <c r="AI881" s="6" t="n">
        <v>1.267871031941875</v>
      </c>
      <c r="AJ881" s="6" t="n">
        <v>63.39547486525811</v>
      </c>
      <c r="AK881" s="6" t="n">
        <v>0.1732870485580569</v>
      </c>
      <c r="AL881" s="6" t="n">
        <v>1.132715015943511</v>
      </c>
      <c r="AN881" s="6" t="n">
        <v>1.298064966863172</v>
      </c>
      <c r="AO881" s="6" t="n">
        <v>1.301234488296742</v>
      </c>
      <c r="AP881" s="6" t="n">
        <v>0.1258608219837325</v>
      </c>
      <c r="AQ881" s="6" t="n">
        <v>0</v>
      </c>
      <c r="AR881" s="6" t="n">
        <v>0</v>
      </c>
    </row>
    <row r="882">
      <c r="D882" t="inlineStr">
        <is>
          <t>Run 570</t>
        </is>
      </c>
      <c r="J882" s="6" t="n">
        <v>2.202212943670879</v>
      </c>
      <c r="K882" s="6" t="n">
        <v>-4.944230100038342</v>
      </c>
      <c r="L882" s="6" t="n">
        <v>0.4648920322682622</v>
      </c>
      <c r="M882" s="6" t="n">
        <v>-2.26725327548792</v>
      </c>
      <c r="N882" s="6" t="n">
        <v>1.383567067082138</v>
      </c>
      <c r="O882" s="6" t="n">
        <v>0.06749923862750348</v>
      </c>
      <c r="P882" s="6" t="n">
        <v>4.962621029718862</v>
      </c>
      <c r="Q882" s="6" t="n">
        <v>-1.298507434550112</v>
      </c>
      <c r="R882" s="6" t="n">
        <v>0.5014768441062734</v>
      </c>
      <c r="S882" s="6" t="n">
        <v>0.9582217735153739</v>
      </c>
      <c r="T882" s="6" t="n">
        <v>2.793832179800444</v>
      </c>
      <c r="U882" s="6" t="n">
        <v>1.775531219653093</v>
      </c>
      <c r="V882" s="6" t="n">
        <v>1.371816743950443</v>
      </c>
      <c r="W882" s="6" t="n">
        <v>0.3254721726612397</v>
      </c>
      <c r="X882" s="6" t="n">
        <v>3.264606987066875</v>
      </c>
      <c r="Y882" s="6" t="n">
        <v>-1.819321156526681</v>
      </c>
      <c r="Z882" s="6" t="n">
        <v>2.718687006396464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3.412468890346767</v>
      </c>
      <c r="AE882" s="6" t="n">
        <v>3.63998293155868</v>
      </c>
      <c r="AF882" s="6" t="n">
        <v>2.208468719659993</v>
      </c>
      <c r="AG882" s="6" t="n">
        <v>1.002925159560839</v>
      </c>
      <c r="AH882" s="6" t="n">
        <v>-0.3771314512207368</v>
      </c>
      <c r="AI882" s="6" t="n">
        <v>-3.716006710758527</v>
      </c>
      <c r="AJ882" s="6" t="n">
        <v>58.49618088171108</v>
      </c>
      <c r="AK882" s="6" t="n">
        <v>0.0937721863226908</v>
      </c>
      <c r="AL882" s="6" t="n">
        <v>1.0882346525476</v>
      </c>
      <c r="AN882" s="6" t="n">
        <v>1.314248681094049</v>
      </c>
      <c r="AO882" s="6" t="n">
        <v>1.322164997996598</v>
      </c>
      <c r="AP882" s="6" t="n">
        <v>0.1290506055982387</v>
      </c>
      <c r="AQ882" s="6" t="n">
        <v>0</v>
      </c>
      <c r="AR882" s="6" t="n">
        <v>0</v>
      </c>
    </row>
    <row r="883">
      <c r="D883" t="inlineStr">
        <is>
          <t>Run 571</t>
        </is>
      </c>
      <c r="J883" s="6" t="n">
        <v>-0.9458898767724399</v>
      </c>
      <c r="K883" s="6" t="n">
        <v>-5.549844062091775</v>
      </c>
      <c r="L883" s="6" t="n">
        <v>-3.032461981617938</v>
      </c>
      <c r="M883" s="6" t="n">
        <v>1.683884128102302</v>
      </c>
      <c r="N883" s="6" t="n">
        <v>0.445800357831956</v>
      </c>
      <c r="O883" s="6" t="n">
        <v>2.321782358588933</v>
      </c>
      <c r="P883" s="6" t="n">
        <v>-0.3954813878512297</v>
      </c>
      <c r="Q883" s="6" t="n">
        <v>-2.384742396579687</v>
      </c>
      <c r="R883" s="6" t="n">
        <v>1.713679028683095</v>
      </c>
      <c r="S883" s="6" t="n">
        <v>-0.2784346566241288</v>
      </c>
      <c r="T883" s="6" t="n">
        <v>-2.758147446182408</v>
      </c>
      <c r="U883" s="6" t="n">
        <v>-2.206159274486456</v>
      </c>
      <c r="V883" s="6" t="n">
        <v>-1.526396748834814</v>
      </c>
      <c r="W883" s="6" t="n">
        <v>0.02453268003207607</v>
      </c>
      <c r="X883" s="6" t="n">
        <v>0.9003482401269128</v>
      </c>
      <c r="Y883" s="6" t="n">
        <v>-2.240480840745919</v>
      </c>
      <c r="Z883" s="6" t="n">
        <v>-2.192583032175638</v>
      </c>
      <c r="AA883" s="6" t="n">
        <v>-1.381973069155961</v>
      </c>
      <c r="AB883" s="6" t="n">
        <v>-0.4454675279620762</v>
      </c>
      <c r="AC883" s="6" t="n">
        <v>-4.020547309967377</v>
      </c>
      <c r="AD883" s="6" t="n">
        <v>-2.134565613408922</v>
      </c>
      <c r="AE883" s="6" t="n">
        <v>-0.149082106518904</v>
      </c>
      <c r="AF883" s="6" t="n">
        <v>-1.338899554990457</v>
      </c>
      <c r="AG883" s="6" t="n">
        <v>-0.72036216531365</v>
      </c>
      <c r="AH883" s="6" t="n">
        <v>1.221035733601541</v>
      </c>
      <c r="AI883" s="6" t="n">
        <v>1.070492053031909</v>
      </c>
      <c r="AJ883" s="6" t="n">
        <v>70.01804479012692</v>
      </c>
      <c r="AK883" s="6" t="n">
        <v>0.09787426308052163</v>
      </c>
      <c r="AL883" s="6" t="n">
        <v>1.099583456798368</v>
      </c>
      <c r="AN883" s="6" t="n">
        <v>1.307799736646478</v>
      </c>
      <c r="AO883" s="6" t="n">
        <v>1.309697409207047</v>
      </c>
      <c r="AP883" s="6" t="n">
        <v>0.1288106291695978</v>
      </c>
      <c r="AQ883" s="6" t="n">
        <v>0</v>
      </c>
      <c r="AR883" s="6" t="n">
        <v>0</v>
      </c>
    </row>
    <row r="884">
      <c r="D884" t="inlineStr">
        <is>
          <t>Run 572</t>
        </is>
      </c>
      <c r="J884" s="6" t="n">
        <v>-1.656676259010938</v>
      </c>
      <c r="K884" s="6" t="n">
        <v>2.373605700221188</v>
      </c>
      <c r="L884" s="6" t="n">
        <v>-3.742607919921388</v>
      </c>
      <c r="M884" s="6" t="n">
        <v>-0.8892475760265337</v>
      </c>
      <c r="N884" s="6" t="n">
        <v>-0.8575004956427023</v>
      </c>
      <c r="O884" s="6" t="n">
        <v>-3.279771207326315</v>
      </c>
      <c r="P884" s="6" t="n">
        <v>2.492606414832757</v>
      </c>
      <c r="Q884" s="6" t="n">
        <v>0.4158179081007231</v>
      </c>
      <c r="R884" s="6" t="n">
        <v>-1.893130977663077</v>
      </c>
      <c r="S884" s="6" t="n">
        <v>-0.820843884864615</v>
      </c>
      <c r="T884" s="6" t="n">
        <v>-0.3604263191834463</v>
      </c>
      <c r="U884" s="6" t="n">
        <v>-5.415671188493273</v>
      </c>
      <c r="V884" s="6" t="n">
        <v>0.874863648675445</v>
      </c>
      <c r="W884" s="6" t="n">
        <v>-3.88990233058559</v>
      </c>
      <c r="X884" s="6" t="n">
        <v>2.710413241661722</v>
      </c>
      <c r="Y884" s="6" t="n">
        <v>-2.046886111699417</v>
      </c>
      <c r="Z884" s="6" t="n">
        <v>-2.322902610098288</v>
      </c>
      <c r="AA884" s="6" t="n">
        <v>4.112836683754987</v>
      </c>
      <c r="AB884" s="6" t="n">
        <v>0.8872737741459787</v>
      </c>
      <c r="AC884" s="6" t="n">
        <v>0.3380496066310631</v>
      </c>
      <c r="AD884" s="6" t="n">
        <v>-1.78362058290044</v>
      </c>
      <c r="AE884" s="6" t="n">
        <v>-0.4306868830694235</v>
      </c>
      <c r="AF884" s="6" t="n">
        <v>-1.61073942695286</v>
      </c>
      <c r="AG884" s="6" t="n">
        <v>-0.8481562270231076</v>
      </c>
      <c r="AH884" s="6" t="n">
        <v>2.852306312988029</v>
      </c>
      <c r="AI884" s="6" t="n">
        <v>-1.413415696657452</v>
      </c>
      <c r="AJ884" s="6" t="n">
        <v>79.71192436460308</v>
      </c>
      <c r="AK884" s="6" t="n">
        <v>0.1538700274534196</v>
      </c>
      <c r="AL884" s="6" t="n">
        <v>1.017048823914173</v>
      </c>
      <c r="AN884" s="6" t="n">
        <v>1.356543337186819</v>
      </c>
      <c r="AO884" s="6" t="n">
        <v>1.357416396438897</v>
      </c>
      <c r="AP884" s="6" t="n">
        <v>0.1358042050559659</v>
      </c>
      <c r="AQ884" s="6" t="n">
        <v>0</v>
      </c>
      <c r="AR884" s="6" t="n">
        <v>0</v>
      </c>
    </row>
    <row r="885">
      <c r="D885" t="inlineStr">
        <is>
          <t>Run 573</t>
        </is>
      </c>
      <c r="J885" s="6" t="n">
        <v>-1.424953182936472</v>
      </c>
      <c r="K885" s="6" t="n">
        <v>0.2752459932982853</v>
      </c>
      <c r="L885" s="6" t="n">
        <v>0.4209690233743887</v>
      </c>
      <c r="M885" s="6" t="n">
        <v>0.9155199688703685</v>
      </c>
      <c r="N885" s="6" t="n">
        <v>-1.703172225181999</v>
      </c>
      <c r="O885" s="6" t="n">
        <v>0.7884240995568305</v>
      </c>
      <c r="P885" s="6" t="n">
        <v>-2.570550119807098</v>
      </c>
      <c r="Q885" s="6" t="n">
        <v>2.799991823007961</v>
      </c>
      <c r="R885" s="6" t="n">
        <v>0.9851156115810484</v>
      </c>
      <c r="S885" s="6" t="n">
        <v>-3.006811438289797</v>
      </c>
      <c r="T885" s="6" t="n">
        <v>0.9605714143221636</v>
      </c>
      <c r="U885" s="6" t="n">
        <v>-3.406579519247963</v>
      </c>
      <c r="V885" s="6" t="n">
        <v>-1.389234549555557</v>
      </c>
      <c r="W885" s="6" t="n">
        <v>-5.297549237091598</v>
      </c>
      <c r="X885" s="6" t="n">
        <v>-3.145268630696252</v>
      </c>
      <c r="Y885" s="6" t="n">
        <v>3.175352011406679</v>
      </c>
      <c r="Z885" s="6" t="n">
        <v>-0.8282941077298048</v>
      </c>
      <c r="AA885" s="6" t="n">
        <v>1.037311935631438</v>
      </c>
      <c r="AB885" s="6" t="n">
        <v>-0.05798921687605648</v>
      </c>
      <c r="AC885" s="6" t="n">
        <v>-3.736490900960693</v>
      </c>
      <c r="AD885" s="6" t="n">
        <v>2.705789752786358</v>
      </c>
      <c r="AE885" s="6" t="n">
        <v>-1.198362401536016</v>
      </c>
      <c r="AF885" s="6" t="n">
        <v>2.122192128427564</v>
      </c>
      <c r="AG885" s="6" t="n">
        <v>-0.9089592998672603</v>
      </c>
      <c r="AH885" s="6" t="n">
        <v>-1.958367798218596</v>
      </c>
      <c r="AI885" s="6" t="n">
        <v>-0.3891591252487669</v>
      </c>
      <c r="AJ885" s="6" t="n">
        <v>72.74538775177277</v>
      </c>
      <c r="AK885" s="6" t="n">
        <v>0.08824254819571792</v>
      </c>
      <c r="AL885" s="6" t="n">
        <v>1.105921042421227</v>
      </c>
      <c r="AN885" s="6" t="n">
        <v>1.331334953145584</v>
      </c>
      <c r="AO885" s="6" t="n">
        <v>1.331909280983018</v>
      </c>
      <c r="AP885" s="6" t="n">
        <v>0.1296976983061245</v>
      </c>
      <c r="AQ885" s="6" t="n">
        <v>0</v>
      </c>
      <c r="AR885" s="6" t="n">
        <v>0</v>
      </c>
    </row>
    <row r="886">
      <c r="D886" t="inlineStr">
        <is>
          <t>Run 574</t>
        </is>
      </c>
      <c r="J886" s="6" t="n">
        <v>-1.075479409399779</v>
      </c>
      <c r="K886" s="6" t="n">
        <v>1.784561114802932</v>
      </c>
      <c r="L886" s="6" t="n">
        <v>-2.043271007078795</v>
      </c>
      <c r="M886" s="6" t="n">
        <v>1.130708434679032</v>
      </c>
      <c r="N886" s="6" t="n">
        <v>0.203216120287939</v>
      </c>
      <c r="O886" s="6" t="n">
        <v>-3.1424091008573</v>
      </c>
      <c r="P886" s="6" t="n">
        <v>0.6419997395411156</v>
      </c>
      <c r="Q886" s="6" t="n">
        <v>-2.737003545524966</v>
      </c>
      <c r="R886" s="6" t="n">
        <v>-2.746727450139296</v>
      </c>
      <c r="S886" s="6" t="n">
        <v>-0.2616971235402092</v>
      </c>
      <c r="T886" s="6" t="n">
        <v>1.184355551283086</v>
      </c>
      <c r="U886" s="6" t="n">
        <v>0.4135706967000173</v>
      </c>
      <c r="V886" s="6" t="n">
        <v>0.1942968994465479</v>
      </c>
      <c r="W886" s="6" t="n">
        <v>0.8582966044305282</v>
      </c>
      <c r="X886" s="6" t="n">
        <v>-2.598951983101176</v>
      </c>
      <c r="Y886" s="6" t="n">
        <v>0.2095207250974858</v>
      </c>
      <c r="Z886" s="6" t="n">
        <v>3.117916767296772</v>
      </c>
      <c r="AA886" s="6" t="n">
        <v>-1.808302333588825</v>
      </c>
      <c r="AB886" s="6" t="n">
        <v>-1.752767531682871</v>
      </c>
      <c r="AC886" s="6" t="n">
        <v>-3.195358798477652</v>
      </c>
      <c r="AD886" s="6" t="n">
        <v>0.1660010439607221</v>
      </c>
      <c r="AE886" s="6" t="n">
        <v>-1.08527826474906</v>
      </c>
      <c r="AF886" s="6" t="n">
        <v>2.260248863237447</v>
      </c>
      <c r="AG886" s="6" t="n">
        <v>-2.924251295101326</v>
      </c>
      <c r="AH886" s="6" t="n">
        <v>1.883819372486335</v>
      </c>
      <c r="AI886" s="6" t="n">
        <v>-0.1916315101565156</v>
      </c>
      <c r="AJ886" s="6" t="n">
        <v>67.40198370090286</v>
      </c>
      <c r="AK886" s="6" t="n">
        <v>0.0906199638929637</v>
      </c>
      <c r="AL886" s="6" t="n">
        <v>1.031668244255865</v>
      </c>
      <c r="AN886" s="6" t="n">
        <v>1.347838759589665</v>
      </c>
      <c r="AO886" s="6" t="n">
        <v>1.348774340729442</v>
      </c>
      <c r="AP886" s="6" t="n">
        <v>0.1341441318053291</v>
      </c>
      <c r="AQ886" s="6" t="n">
        <v>0</v>
      </c>
      <c r="AR886" s="6" t="n">
        <v>0</v>
      </c>
    </row>
    <row r="887">
      <c r="D887" t="inlineStr">
        <is>
          <t>Run 575</t>
        </is>
      </c>
      <c r="J887" s="6" t="n">
        <v>0.9391429546927766</v>
      </c>
      <c r="K887" s="6" t="n">
        <v>-0.45381416433055</v>
      </c>
      <c r="L887" s="6" t="n">
        <v>1.022986046571481</v>
      </c>
      <c r="M887" s="6" t="n">
        <v>-1.908817589104459</v>
      </c>
      <c r="N887" s="6" t="n">
        <v>2.057273297139285</v>
      </c>
      <c r="O887" s="6" t="n">
        <v>1.10884976630736</v>
      </c>
      <c r="P887" s="6" t="n">
        <v>-0.09496614513921828</v>
      </c>
      <c r="Q887" s="6" t="n">
        <v>-0.0776184510167838</v>
      </c>
      <c r="R887" s="6" t="n">
        <v>-0.6431361137044213</v>
      </c>
      <c r="S887" s="6" t="n">
        <v>1.872183083644964</v>
      </c>
      <c r="T887" s="6" t="n">
        <v>-1.419946789568424</v>
      </c>
      <c r="U887" s="6" t="n">
        <v>0.1442799081439296</v>
      </c>
      <c r="V887" s="6" t="n">
        <v>-1.766908151280688</v>
      </c>
      <c r="W887" s="6" t="n">
        <v>-2.081676361470369</v>
      </c>
      <c r="X887" s="6" t="n">
        <v>2.011783641560223</v>
      </c>
      <c r="Y887" s="6" t="n">
        <v>-4.701264223502173</v>
      </c>
      <c r="Z887" s="6" t="n">
        <v>0.7403183920491266</v>
      </c>
      <c r="AA887" s="6" t="n">
        <v>-0.7150299126646821</v>
      </c>
      <c r="AB887" s="6" t="n">
        <v>-0.6372524494750127</v>
      </c>
      <c r="AC887" s="6" t="n">
        <v>-1.688870040037967</v>
      </c>
      <c r="AD887" s="6" t="n">
        <v>2.117780898278702</v>
      </c>
      <c r="AE887" s="6" t="n">
        <v>0.2528180820613617</v>
      </c>
      <c r="AF887" s="6" t="n">
        <v>2.081005305150982</v>
      </c>
      <c r="AG887" s="6" t="n">
        <v>0.7452410978343856</v>
      </c>
      <c r="AH887" s="6" t="n">
        <v>3.06654397723962</v>
      </c>
      <c r="AI887" s="6" t="n">
        <v>5</v>
      </c>
      <c r="AJ887" s="6" t="n">
        <v>78.41372066793839</v>
      </c>
      <c r="AK887" s="6" t="n">
        <v>0.1396124303657713</v>
      </c>
      <c r="AL887" s="6" t="n">
        <v>1.030298213479549</v>
      </c>
      <c r="AN887" s="6" t="n">
        <v>1.340952633980971</v>
      </c>
      <c r="AO887" s="6" t="n">
        <v>1.346559679551817</v>
      </c>
      <c r="AP887" s="6" t="n">
        <v>0.1341461094232453</v>
      </c>
      <c r="AQ887" s="6" t="n">
        <v>0</v>
      </c>
      <c r="AR887" s="6" t="n">
        <v>0</v>
      </c>
    </row>
    <row r="888">
      <c r="D888" t="inlineStr">
        <is>
          <t>Run 576</t>
        </is>
      </c>
      <c r="J888" s="6" t="n">
        <v>-3.505907781817189</v>
      </c>
      <c r="K888" s="6" t="n">
        <v>-2.343311116224245</v>
      </c>
      <c r="L888" s="6" t="n">
        <v>2.077254767653475</v>
      </c>
      <c r="M888" s="6" t="n">
        <v>-0.4665053226722523</v>
      </c>
      <c r="N888" s="6" t="n">
        <v>1.64355319883695</v>
      </c>
      <c r="O888" s="6" t="n">
        <v>0.4566689284409813</v>
      </c>
      <c r="P888" s="6" t="n">
        <v>-1.237635158300423</v>
      </c>
      <c r="Q888" s="6" t="n">
        <v>-1.040037693354208</v>
      </c>
      <c r="R888" s="6" t="n">
        <v>-0.3164119363150077</v>
      </c>
      <c r="S888" s="6" t="n">
        <v>-1.058901263972096</v>
      </c>
      <c r="T888" s="6" t="n">
        <v>-2.334672681591111</v>
      </c>
      <c r="U888" s="6" t="n">
        <v>-1.746944631945878</v>
      </c>
      <c r="V888" s="6" t="n">
        <v>-1.363696009839042</v>
      </c>
      <c r="W888" s="6" t="n">
        <v>0.9644106968211508</v>
      </c>
      <c r="X888" s="6" t="n">
        <v>1.596247757010714</v>
      </c>
      <c r="Y888" s="6" t="n">
        <v>-0.06196655001230741</v>
      </c>
      <c r="Z888" s="6" t="n">
        <v>0.6954603025512438</v>
      </c>
      <c r="AA888" s="6" t="n">
        <v>2.383898791042785</v>
      </c>
      <c r="AB888" s="6" t="n">
        <v>2.360238319351233</v>
      </c>
      <c r="AC888" s="6" t="n">
        <v>2.320516254077407</v>
      </c>
      <c r="AD888" s="6" t="n">
        <v>-1.337714948436673</v>
      </c>
      <c r="AE888" s="6" t="n">
        <v>-1.895218495036735</v>
      </c>
      <c r="AF888" s="6" t="n">
        <v>-1.230058256654623</v>
      </c>
      <c r="AG888" s="6" t="n">
        <v>-3.228749204093893</v>
      </c>
      <c r="AH888" s="6" t="n">
        <v>-1.997587507585714</v>
      </c>
      <c r="AI888" s="6" t="n">
        <v>0.8957419412173887</v>
      </c>
      <c r="AJ888" s="6" t="n">
        <v>59.5159351238196</v>
      </c>
      <c r="AK888" s="6" t="n">
        <v>0.1188637854076753</v>
      </c>
      <c r="AL888" s="6" t="n">
        <v>1.097898559878738</v>
      </c>
      <c r="AN888" s="6" t="n">
        <v>1.325708710356679</v>
      </c>
      <c r="AO888" s="6" t="n">
        <v>1.326036684535784</v>
      </c>
      <c r="AP888" s="6" t="n">
        <v>0.1289299048092004</v>
      </c>
      <c r="AQ888" s="6" t="n">
        <v>0</v>
      </c>
      <c r="AR888" s="6" t="n">
        <v>0</v>
      </c>
    </row>
    <row r="889">
      <c r="D889" t="inlineStr">
        <is>
          <t>Run 577</t>
        </is>
      </c>
      <c r="J889" s="6" t="n">
        <v>1.807900982482093</v>
      </c>
      <c r="K889" s="6" t="n">
        <v>0.8795571068934255</v>
      </c>
      <c r="L889" s="6" t="n">
        <v>1.372102971365461</v>
      </c>
      <c r="M889" s="6" t="n">
        <v>0.9220254686307854</v>
      </c>
      <c r="N889" s="6" t="n">
        <v>-1.848137824881414</v>
      </c>
      <c r="O889" s="6" t="n">
        <v>-1.040929425760674</v>
      </c>
      <c r="P889" s="6" t="n">
        <v>-2.116646799845572</v>
      </c>
      <c r="Q889" s="6" t="n">
        <v>-2.659713848352824</v>
      </c>
      <c r="R889" s="6" t="n">
        <v>-0.776431785786867</v>
      </c>
      <c r="S889" s="6" t="n">
        <v>-1.368627392801031</v>
      </c>
      <c r="T889" s="6" t="n">
        <v>-4.048217496664512</v>
      </c>
      <c r="U889" s="6" t="n">
        <v>2.328411084203554</v>
      </c>
      <c r="V889" s="6" t="n">
        <v>0.2061194903250312</v>
      </c>
      <c r="W889" s="6" t="n">
        <v>-3.148709541361494</v>
      </c>
      <c r="X889" s="6" t="n">
        <v>0.9221331632656409</v>
      </c>
      <c r="Y889" s="6" t="n">
        <v>-0.0466133856688022</v>
      </c>
      <c r="Z889" s="6" t="n">
        <v>0.6498264900246331</v>
      </c>
      <c r="AA889" s="6" t="n">
        <v>-0.3268003778068191</v>
      </c>
      <c r="AB889" s="6" t="n">
        <v>-0.6415008829561022</v>
      </c>
      <c r="AC889" s="6" t="n">
        <v>0.4434840132155933</v>
      </c>
      <c r="AD889" s="6" t="n">
        <v>3.903806507052866</v>
      </c>
      <c r="AE889" s="6" t="n">
        <v>-0.03983417773835624</v>
      </c>
      <c r="AF889" s="6" t="n">
        <v>-1.063961112329061</v>
      </c>
      <c r="AG889" s="6" t="n">
        <v>1.887595506241789</v>
      </c>
      <c r="AH889" s="6" t="n">
        <v>-3.521522405196137</v>
      </c>
      <c r="AI889" s="6" t="n">
        <v>0.410663607327516</v>
      </c>
      <c r="AJ889" s="6" t="n">
        <v>76.237260105074</v>
      </c>
      <c r="AK889" s="6" t="n">
        <v>0.1455359882686406</v>
      </c>
      <c r="AL889" s="6" t="n">
        <v>1.042546684983876</v>
      </c>
      <c r="AN889" s="6" t="n">
        <v>1.349530291912963</v>
      </c>
      <c r="AO889" s="6" t="n">
        <v>1.34971086472887</v>
      </c>
      <c r="AP889" s="6" t="n">
        <v>0.1325820971239282</v>
      </c>
      <c r="AQ889" s="6" t="n">
        <v>0</v>
      </c>
      <c r="AR889" s="6" t="n">
        <v>0</v>
      </c>
    </row>
    <row r="890">
      <c r="D890" t="inlineStr">
        <is>
          <t>Run 578</t>
        </is>
      </c>
      <c r="J890" s="6" t="n">
        <v>-0.5936757706858362</v>
      </c>
      <c r="K890" s="6" t="n">
        <v>-1.155536421332819</v>
      </c>
      <c r="L890" s="6" t="n">
        <v>-0.2910766025720324</v>
      </c>
      <c r="M890" s="6" t="n">
        <v>0.4725086917711616</v>
      </c>
      <c r="N890" s="6" t="n">
        <v>1.512394577776527</v>
      </c>
      <c r="O890" s="6" t="n">
        <v>-0.5139530253507145</v>
      </c>
      <c r="P890" s="6" t="n">
        <v>-1.831597545703834</v>
      </c>
      <c r="Q890" s="6" t="n">
        <v>-2.651095144482142</v>
      </c>
      <c r="R890" s="6" t="n">
        <v>-4.670766920446052</v>
      </c>
      <c r="S890" s="6" t="n">
        <v>-1.939722232529064</v>
      </c>
      <c r="T890" s="6" t="n">
        <v>-2.182714869547104</v>
      </c>
      <c r="U890" s="6" t="n">
        <v>-1.931497225464075</v>
      </c>
      <c r="V890" s="6" t="n">
        <v>0.226179701065236</v>
      </c>
      <c r="W890" s="6" t="n">
        <v>-0.7717663391000119</v>
      </c>
      <c r="X890" s="6" t="n">
        <v>0.6015175204124252</v>
      </c>
      <c r="Y890" s="6" t="n">
        <v>2.30227671956041</v>
      </c>
      <c r="Z890" s="6" t="n">
        <v>-0.8890459068080829</v>
      </c>
      <c r="AA890" s="6" t="n">
        <v>0.7179319862769111</v>
      </c>
      <c r="AB890" s="6" t="n">
        <v>-1.422743274171445</v>
      </c>
      <c r="AC890" s="6" t="n">
        <v>-0.1599811403356979</v>
      </c>
      <c r="AD890" s="6" t="n">
        <v>-0.4061177391841487</v>
      </c>
      <c r="AE890" s="6" t="n">
        <v>-2.063340147495467</v>
      </c>
      <c r="AF890" s="6" t="n">
        <v>2.540707742227879</v>
      </c>
      <c r="AG890" s="6" t="n">
        <v>3.143906943681668</v>
      </c>
      <c r="AH890" s="6" t="n">
        <v>-0.9988832499069349</v>
      </c>
      <c r="AI890" s="6" t="n">
        <v>0.6231574314391539</v>
      </c>
      <c r="AJ890" s="6" t="n">
        <v>72.56154054213474</v>
      </c>
      <c r="AK890" s="6" t="n">
        <v>0.1010222288455383</v>
      </c>
      <c r="AL890" s="6" t="n">
        <v>1.012554651231629</v>
      </c>
      <c r="AN890" s="6" t="n">
        <v>1.354989226023712</v>
      </c>
      <c r="AO890" s="6" t="n">
        <v>1.354989226023712</v>
      </c>
      <c r="AP890" s="6" t="n">
        <v>0.1368934109181723</v>
      </c>
      <c r="AQ890" s="6" t="n">
        <v>0</v>
      </c>
      <c r="AR890" s="6" t="n">
        <v>0</v>
      </c>
    </row>
    <row r="891">
      <c r="D891" t="inlineStr">
        <is>
          <t>Run 579</t>
        </is>
      </c>
      <c r="J891" s="6" t="n">
        <v>-3.057338679599236</v>
      </c>
      <c r="K891" s="6" t="n">
        <v>0.2172565728289474</v>
      </c>
      <c r="L891" s="6" t="n">
        <v>2.796175077262686</v>
      </c>
      <c r="M891" s="6" t="n">
        <v>-2.064618953721039</v>
      </c>
      <c r="N891" s="6" t="n">
        <v>3.026135205803022</v>
      </c>
      <c r="O891" s="6" t="n">
        <v>-2.571677809149818</v>
      </c>
      <c r="P891" s="6" t="n">
        <v>1.443767475806295</v>
      </c>
      <c r="Q891" s="6" t="n">
        <v>-4.43207268889289</v>
      </c>
      <c r="R891" s="6" t="n">
        <v>4.970096866180612</v>
      </c>
      <c r="S891" s="6" t="n">
        <v>-0.3117242619796894</v>
      </c>
      <c r="T891" s="6" t="n">
        <v>-1.626010615056715</v>
      </c>
      <c r="U891" s="6" t="n">
        <v>-1.195509874047079</v>
      </c>
      <c r="V891" s="6" t="n">
        <v>1.346752995152987</v>
      </c>
      <c r="W891" s="6" t="n">
        <v>-1.268469727636728</v>
      </c>
      <c r="X891" s="6" t="n">
        <v>-4.077347201237752</v>
      </c>
      <c r="Y891" s="6" t="n">
        <v>-0.6589030890347435</v>
      </c>
      <c r="Z891" s="6" t="n">
        <v>-0.8925630247326111</v>
      </c>
      <c r="AA891" s="6" t="n">
        <v>2.142278348978579</v>
      </c>
      <c r="AB891" s="6" t="n">
        <v>1.192508427557871</v>
      </c>
      <c r="AC891" s="6" t="n">
        <v>-0.5381600987434583</v>
      </c>
      <c r="AD891" s="6" t="n">
        <v>2.515457628640346</v>
      </c>
      <c r="AE891" s="6" t="n">
        <v>-4.622101976812271</v>
      </c>
      <c r="AF891" s="6" t="n">
        <v>-1.290186654348008</v>
      </c>
      <c r="AG891" s="6" t="n">
        <v>-2.615407411808691</v>
      </c>
      <c r="AH891" s="6" t="n">
        <v>-0.2921122859461697</v>
      </c>
      <c r="AI891" s="6" t="n">
        <v>1.808974773030099</v>
      </c>
      <c r="AJ891" s="6" t="n">
        <v>66.85270589311173</v>
      </c>
      <c r="AK891" s="6" t="n">
        <v>0.1390110232356668</v>
      </c>
      <c r="AL891" s="6" t="n">
        <v>0.9978027035050535</v>
      </c>
      <c r="AN891" s="6" t="n">
        <v>1.345097020247591</v>
      </c>
      <c r="AO891" s="6" t="n">
        <v>1.352077706326323</v>
      </c>
      <c r="AP891" s="6" t="n">
        <v>0.137473338029935</v>
      </c>
      <c r="AQ891" s="6" t="n">
        <v>0</v>
      </c>
      <c r="AR891" s="6" t="n">
        <v>0</v>
      </c>
    </row>
    <row r="892">
      <c r="D892" t="inlineStr">
        <is>
          <t>Run 580</t>
        </is>
      </c>
      <c r="J892" s="6" t="n">
        <v>-1.835418427150515</v>
      </c>
      <c r="K892" s="6" t="n">
        <v>0.2736807393469418</v>
      </c>
      <c r="L892" s="6" t="n">
        <v>-3.245840659046392</v>
      </c>
      <c r="M892" s="6" t="n">
        <v>-0.9250712865828939</v>
      </c>
      <c r="N892" s="6" t="n">
        <v>3.941206566786819</v>
      </c>
      <c r="O892" s="6" t="n">
        <v>-1.562102677841705</v>
      </c>
      <c r="P892" s="6" t="n">
        <v>-2.128535264066727</v>
      </c>
      <c r="Q892" s="6" t="n">
        <v>4.136512682748674</v>
      </c>
      <c r="R892" s="6" t="n">
        <v>-3.845642143374456</v>
      </c>
      <c r="S892" s="6" t="n">
        <v>0.08739765635227949</v>
      </c>
      <c r="T892" s="6" t="n">
        <v>5</v>
      </c>
      <c r="U892" s="6" t="n">
        <v>2.222943427335052</v>
      </c>
      <c r="V892" s="6" t="n">
        <v>-1.034306681426244</v>
      </c>
      <c r="W892" s="6" t="n">
        <v>2.034783761644816</v>
      </c>
      <c r="X892" s="6" t="n">
        <v>4.24286610743526</v>
      </c>
      <c r="Y892" s="6" t="n">
        <v>2.461047741169242</v>
      </c>
      <c r="Z892" s="6" t="n">
        <v>0.245540977609311</v>
      </c>
      <c r="AA892" s="6" t="n">
        <v>3.090206190455636</v>
      </c>
      <c r="AB892" s="6" t="n">
        <v>-2.061347472827243</v>
      </c>
      <c r="AC892" s="6" t="n">
        <v>-1.247945036064072</v>
      </c>
      <c r="AD892" s="6" t="n">
        <v>1.247231806125498</v>
      </c>
      <c r="AE892" s="6" t="n">
        <v>-3.473091452041244</v>
      </c>
      <c r="AF892" s="6" t="n">
        <v>3.07491521805138</v>
      </c>
      <c r="AG892" s="6" t="n">
        <v>0.04789713076350342</v>
      </c>
      <c r="AH892" s="6" t="n">
        <v>-1.722435868209215</v>
      </c>
      <c r="AI892" s="6" t="n">
        <v>-0.6904983338534579</v>
      </c>
      <c r="AJ892" s="6" t="n">
        <v>69.47500291207676</v>
      </c>
      <c r="AK892" s="6" t="n">
        <v>0.1558614990150571</v>
      </c>
      <c r="AL892" s="6" t="n">
        <v>1.06226628869046</v>
      </c>
      <c r="AN892" s="6" t="n">
        <v>1.338368569176938</v>
      </c>
      <c r="AO892" s="6" t="n">
        <v>1.338778383709189</v>
      </c>
      <c r="AP892" s="6" t="n">
        <v>0.1307371449620454</v>
      </c>
      <c r="AQ892" s="6" t="n">
        <v>0</v>
      </c>
      <c r="AR892" s="6" t="n">
        <v>0</v>
      </c>
    </row>
    <row r="893">
      <c r="D893" t="inlineStr">
        <is>
          <t>Run 581</t>
        </is>
      </c>
      <c r="J893" s="6" t="n">
        <v>-0.4975900915607239</v>
      </c>
      <c r="K893" s="6" t="n">
        <v>-1.027529706179894</v>
      </c>
      <c r="L893" s="6" t="n">
        <v>-2.269582998732615</v>
      </c>
      <c r="M893" s="6" t="n">
        <v>3.053628489276259</v>
      </c>
      <c r="N893" s="6" t="n">
        <v>3.031674754991991</v>
      </c>
      <c r="O893" s="6" t="n">
        <v>-2.630810125607969</v>
      </c>
      <c r="P893" s="6" t="n">
        <v>-1.67842323032335</v>
      </c>
      <c r="Q893" s="6" t="n">
        <v>1.841606379641928</v>
      </c>
      <c r="R893" s="6" t="n">
        <v>-2.261094006986141</v>
      </c>
      <c r="S893" s="6" t="n">
        <v>0.7964780735717929</v>
      </c>
      <c r="T893" s="6" t="n">
        <v>0.2265490070065602</v>
      </c>
      <c r="U893" s="6" t="n">
        <v>0.9555847643964204</v>
      </c>
      <c r="V893" s="6" t="n">
        <v>-2.43274917117496</v>
      </c>
      <c r="W893" s="6" t="n">
        <v>2.146498695547431</v>
      </c>
      <c r="X893" s="6" t="n">
        <v>-0.3182613308549539</v>
      </c>
      <c r="Y893" s="6" t="n">
        <v>-0.3846200438781626</v>
      </c>
      <c r="Z893" s="6" t="n">
        <v>0.4396036942822333</v>
      </c>
      <c r="AA893" s="6" t="n">
        <v>-0.5412030151589492</v>
      </c>
      <c r="AB893" s="6" t="n">
        <v>-1.527480107299056</v>
      </c>
      <c r="AC893" s="6" t="n">
        <v>-4.731725095603472</v>
      </c>
      <c r="AD893" s="6" t="n">
        <v>-0.3123562740088688</v>
      </c>
      <c r="AE893" s="6" t="n">
        <v>2.09772002713121</v>
      </c>
      <c r="AF893" s="6" t="n">
        <v>-1.311706994752796</v>
      </c>
      <c r="AG893" s="6" t="n">
        <v>2.406993822403237</v>
      </c>
      <c r="AH893" s="6" t="n">
        <v>1.618917484795215</v>
      </c>
      <c r="AI893" s="6" t="n">
        <v>-1.713623627410428</v>
      </c>
      <c r="AJ893" s="6" t="n">
        <v>81.44197963538191</v>
      </c>
      <c r="AK893" s="6" t="n">
        <v>0.09108265203101468</v>
      </c>
      <c r="AL893" s="6" t="n">
        <v>1.021610870749904</v>
      </c>
      <c r="AN893" s="6" t="n">
        <v>1.358222681751941</v>
      </c>
      <c r="AO893" s="6" t="n">
        <v>1.358222681751941</v>
      </c>
      <c r="AP893" s="6" t="n">
        <v>0.1372795253816114</v>
      </c>
      <c r="AQ893" s="6" t="n">
        <v>0</v>
      </c>
      <c r="AR893" s="6" t="n">
        <v>0</v>
      </c>
    </row>
    <row r="894">
      <c r="D894" t="inlineStr">
        <is>
          <t>Run 582</t>
        </is>
      </c>
      <c r="J894" s="6" t="n">
        <v>1.73882788299866</v>
      </c>
      <c r="K894" s="6" t="n">
        <v>0.4666909121522987</v>
      </c>
      <c r="L894" s="6" t="n">
        <v>4.536108445942197</v>
      </c>
      <c r="M894" s="6" t="n">
        <v>-3.725271031970328</v>
      </c>
      <c r="N894" s="6" t="n">
        <v>2.26824495119173</v>
      </c>
      <c r="O894" s="6" t="n">
        <v>-2.283370937856899</v>
      </c>
      <c r="P894" s="6" t="n">
        <v>3.373666842328098</v>
      </c>
      <c r="Q894" s="6" t="n">
        <v>0.8330338090423919</v>
      </c>
      <c r="R894" s="6" t="n">
        <v>-0.3810344338527328</v>
      </c>
      <c r="S894" s="6" t="n">
        <v>0.0003727777183984617</v>
      </c>
      <c r="T894" s="6" t="n">
        <v>-1.951668130169445</v>
      </c>
      <c r="U894" s="6" t="n">
        <v>1.854825491454037</v>
      </c>
      <c r="V894" s="6" t="n">
        <v>2.273272133962005</v>
      </c>
      <c r="W894" s="6" t="n">
        <v>-1.76328855735607</v>
      </c>
      <c r="X894" s="6" t="n">
        <v>-2.039929294796016</v>
      </c>
      <c r="Y894" s="6" t="n">
        <v>0.5614795528377943</v>
      </c>
      <c r="Z894" s="6" t="n">
        <v>-1.178620299400481</v>
      </c>
      <c r="AA894" s="6" t="n">
        <v>1.552527297510657</v>
      </c>
      <c r="AB894" s="6" t="n">
        <v>1.607238364118155</v>
      </c>
      <c r="AC894" s="6" t="n">
        <v>0.935225820552551</v>
      </c>
      <c r="AD894" s="6" t="n">
        <v>-1.59810703269685</v>
      </c>
      <c r="AE894" s="6" t="n">
        <v>2.421951595045248</v>
      </c>
      <c r="AF894" s="6" t="n">
        <v>1.669600002296435</v>
      </c>
      <c r="AG894" s="6" t="n">
        <v>2.162097734705204</v>
      </c>
      <c r="AH894" s="6" t="n">
        <v>-2.503548483191374</v>
      </c>
      <c r="AI894" s="6" t="n">
        <v>-3.757025699313042</v>
      </c>
      <c r="AJ894" s="6" t="n">
        <v>63.01367329346954</v>
      </c>
      <c r="AK894" s="6" t="n">
        <v>0.1678770555790574</v>
      </c>
      <c r="AL894" s="6" t="n">
        <v>1.068993294473336</v>
      </c>
      <c r="AN894" s="6" t="n">
        <v>1.295732680988042</v>
      </c>
      <c r="AO894" s="6" t="n">
        <v>1.309750472080829</v>
      </c>
      <c r="AP894" s="6" t="n">
        <v>0.1291312693924708</v>
      </c>
      <c r="AQ894" s="6" t="n">
        <v>0</v>
      </c>
      <c r="AR894" s="6" t="n">
        <v>0</v>
      </c>
    </row>
    <row r="895">
      <c r="D895" t="inlineStr">
        <is>
          <t>Run 583</t>
        </is>
      </c>
      <c r="J895" s="6" t="n">
        <v>-1.192537824283614</v>
      </c>
      <c r="K895" s="6" t="n">
        <v>-1.405380934966754</v>
      </c>
      <c r="L895" s="6" t="n">
        <v>1.97889621391174</v>
      </c>
      <c r="M895" s="6" t="n">
        <v>0.03663202218253386</v>
      </c>
      <c r="N895" s="6" t="n">
        <v>-1.769102827375414</v>
      </c>
      <c r="O895" s="6" t="n">
        <v>0.2456817246177091</v>
      </c>
      <c r="P895" s="6" t="n">
        <v>2.189249116192364</v>
      </c>
      <c r="Q895" s="6" t="n">
        <v>-1.756173353797584</v>
      </c>
      <c r="R895" s="6" t="n">
        <v>0.05582726053532295</v>
      </c>
      <c r="S895" s="6" t="n">
        <v>1.031729957978328</v>
      </c>
      <c r="T895" s="6" t="n">
        <v>-4.175386317196781</v>
      </c>
      <c r="U895" s="6" t="n">
        <v>0.4413595947156674</v>
      </c>
      <c r="V895" s="6" t="n">
        <v>-0.9632318751735081</v>
      </c>
      <c r="W895" s="6" t="n">
        <v>3.07253012293972</v>
      </c>
      <c r="X895" s="6" t="n">
        <v>1.117344537055866</v>
      </c>
      <c r="Y895" s="6" t="n">
        <v>1.446804178913691</v>
      </c>
      <c r="Z895" s="6" t="n">
        <v>0.02532781729419491</v>
      </c>
      <c r="AA895" s="6" t="n">
        <v>-0.1560119685156477</v>
      </c>
      <c r="AB895" s="6" t="n">
        <v>1.099555790266715</v>
      </c>
      <c r="AC895" s="6" t="n">
        <v>1.920609038839949</v>
      </c>
      <c r="AD895" s="6" t="n">
        <v>0.8937257857875373</v>
      </c>
      <c r="AE895" s="6" t="n">
        <v>1.06376546506929</v>
      </c>
      <c r="AF895" s="6" t="n">
        <v>0.1302962481970762</v>
      </c>
      <c r="AG895" s="6" t="n">
        <v>-0.2474730756891801</v>
      </c>
      <c r="AH895" s="6" t="n">
        <v>-1.802858708514486</v>
      </c>
      <c r="AI895" s="6" t="n">
        <v>-2.733389925118301</v>
      </c>
      <c r="AJ895" s="6" t="n">
        <v>73.8935735809491</v>
      </c>
      <c r="AK895" s="6" t="n">
        <v>0.1203801273854372</v>
      </c>
      <c r="AL895" s="6" t="n">
        <v>1.045464547595231</v>
      </c>
      <c r="AN895" s="6" t="n">
        <v>1.349162614361986</v>
      </c>
      <c r="AO895" s="6" t="n">
        <v>1.349382533507369</v>
      </c>
      <c r="AP895" s="6" t="n">
        <v>0.1329386131803062</v>
      </c>
      <c r="AQ895" s="6" t="n">
        <v>0</v>
      </c>
      <c r="AR895" s="6" t="n">
        <v>0</v>
      </c>
    </row>
    <row r="896">
      <c r="D896" t="inlineStr">
        <is>
          <t>Run 584</t>
        </is>
      </c>
      <c r="J896" s="6" t="n">
        <v>-2.725393419957236</v>
      </c>
      <c r="K896" s="6" t="n">
        <v>-2.685286119826503</v>
      </c>
      <c r="L896" s="6" t="n">
        <v>-1.712130675354828</v>
      </c>
      <c r="M896" s="6" t="n">
        <v>2.709273807884891</v>
      </c>
      <c r="N896" s="6" t="n">
        <v>-0.6362569813968614</v>
      </c>
      <c r="O896" s="6" t="n">
        <v>1.916291617079992</v>
      </c>
      <c r="P896" s="6" t="n">
        <v>-1.32419945098036</v>
      </c>
      <c r="Q896" s="6" t="n">
        <v>-0.7164157279659112</v>
      </c>
      <c r="R896" s="6" t="n">
        <v>1.653990003499163</v>
      </c>
      <c r="S896" s="6" t="n">
        <v>2.229293272201659</v>
      </c>
      <c r="T896" s="6" t="n">
        <v>-0.8746241136440951</v>
      </c>
      <c r="U896" s="6" t="n">
        <v>0.535431662530562</v>
      </c>
      <c r="V896" s="6" t="n">
        <v>2.230672984209282</v>
      </c>
      <c r="W896" s="6" t="n">
        <v>1.779269177373565</v>
      </c>
      <c r="X896" s="6" t="n">
        <v>-1.006045283760763</v>
      </c>
      <c r="Y896" s="6" t="n">
        <v>3.752592197697279</v>
      </c>
      <c r="Z896" s="6" t="n">
        <v>-1.378250717117692</v>
      </c>
      <c r="AA896" s="6" t="n">
        <v>0.975408337162144</v>
      </c>
      <c r="AB896" s="6" t="n">
        <v>1.121334187484461</v>
      </c>
      <c r="AC896" s="6" t="n">
        <v>1.722542035941476</v>
      </c>
      <c r="AD896" s="6" t="n">
        <v>-2.129924221559208</v>
      </c>
      <c r="AE896" s="6" t="n">
        <v>-2.197490489592448</v>
      </c>
      <c r="AF896" s="6" t="n">
        <v>-0.3995876894589855</v>
      </c>
      <c r="AG896" s="6" t="n">
        <v>-0.3863076925431025</v>
      </c>
      <c r="AH896" s="6" t="n">
        <v>-0.9440424052876354</v>
      </c>
      <c r="AI896" s="6" t="n">
        <v>-2.624758458534223</v>
      </c>
      <c r="AJ896" s="6" t="n">
        <v>68.28482673662444</v>
      </c>
      <c r="AK896" s="6" t="n">
        <v>0.1028525979076099</v>
      </c>
      <c r="AL896" s="6" t="n">
        <v>1.060799240716852</v>
      </c>
      <c r="AN896" s="6" t="n">
        <v>1.340898295826124</v>
      </c>
      <c r="AO896" s="6" t="n">
        <v>1.341661389033036</v>
      </c>
      <c r="AP896" s="6" t="n">
        <v>0.1318277366264244</v>
      </c>
      <c r="AQ896" s="6" t="n">
        <v>0</v>
      </c>
      <c r="AR896" s="6" t="n">
        <v>0</v>
      </c>
    </row>
    <row r="897">
      <c r="D897" t="inlineStr">
        <is>
          <t>Run 585</t>
        </is>
      </c>
      <c r="J897" s="6" t="n">
        <v>4.487297356802638</v>
      </c>
      <c r="K897" s="6" t="n">
        <v>-0.6419170388846115</v>
      </c>
      <c r="L897" s="6" t="n">
        <v>1.25139556716134</v>
      </c>
      <c r="M897" s="6" t="n">
        <v>-1.984727828107343</v>
      </c>
      <c r="N897" s="6" t="n">
        <v>-0.4578233250272477</v>
      </c>
      <c r="O897" s="6" t="n">
        <v>1.583502491072584</v>
      </c>
      <c r="P897" s="6" t="n">
        <v>-0.4509998700434852</v>
      </c>
      <c r="Q897" s="6" t="n">
        <v>0.3738661940082013</v>
      </c>
      <c r="R897" s="6" t="n">
        <v>1.595492851443733</v>
      </c>
      <c r="S897" s="6" t="n">
        <v>-2.915655925679898</v>
      </c>
      <c r="T897" s="6" t="n">
        <v>1.406949990051933</v>
      </c>
      <c r="U897" s="6" t="n">
        <v>1.578237070763224</v>
      </c>
      <c r="V897" s="6" t="n">
        <v>2.769297852883378</v>
      </c>
      <c r="W897" s="6" t="n">
        <v>-0.5493411037797539</v>
      </c>
      <c r="X897" s="6" t="n">
        <v>-1.891832506001488</v>
      </c>
      <c r="Y897" s="6" t="n">
        <v>1.426545519924598</v>
      </c>
      <c r="Z897" s="6" t="n">
        <v>-0.9412120453486871</v>
      </c>
      <c r="AA897" s="6" t="n">
        <v>2.44178722128605</v>
      </c>
      <c r="AB897" s="6" t="n">
        <v>-2.975960652327229</v>
      </c>
      <c r="AC897" s="6" t="n">
        <v>-0.7190829358365475</v>
      </c>
      <c r="AD897" s="6" t="n">
        <v>2.066188140473197</v>
      </c>
      <c r="AE897" s="6" t="n">
        <v>1.935085275107997</v>
      </c>
      <c r="AF897" s="6" t="n">
        <v>-0.9672668015975416</v>
      </c>
      <c r="AG897" s="6" t="n">
        <v>1.749193856502902</v>
      </c>
      <c r="AH897" s="6" t="n">
        <v>1.850759758296272</v>
      </c>
      <c r="AI897" s="6" t="n">
        <v>-2.826127044605189</v>
      </c>
      <c r="AJ897" s="6" t="n">
        <v>72.37216609657924</v>
      </c>
      <c r="AK897" s="6" t="n">
        <v>0.1180777007681785</v>
      </c>
      <c r="AL897" s="6" t="n">
        <v>1.075721868694901</v>
      </c>
      <c r="AN897" s="6" t="n">
        <v>1.325059908408612</v>
      </c>
      <c r="AO897" s="6" t="n">
        <v>1.331055144401071</v>
      </c>
      <c r="AP897" s="6" t="n">
        <v>0.1305856721886766</v>
      </c>
      <c r="AQ897" s="6" t="n">
        <v>0</v>
      </c>
      <c r="AR897" s="6" t="n">
        <v>0</v>
      </c>
    </row>
    <row r="898">
      <c r="D898" t="inlineStr">
        <is>
          <t>Run 586</t>
        </is>
      </c>
      <c r="J898" s="6" t="n">
        <v>0.2702725147982304</v>
      </c>
      <c r="K898" s="6" t="n">
        <v>-0.0003389656493080035</v>
      </c>
      <c r="L898" s="6" t="n">
        <v>0.544095415680902</v>
      </c>
      <c r="M898" s="6" t="n">
        <v>-0.3542846571148894</v>
      </c>
      <c r="N898" s="6" t="n">
        <v>2.202424972153023</v>
      </c>
      <c r="O898" s="6" t="n">
        <v>0.6134702053250687</v>
      </c>
      <c r="P898" s="6" t="n">
        <v>-0.1540103113378631</v>
      </c>
      <c r="Q898" s="6" t="n">
        <v>-2.113784106161212</v>
      </c>
      <c r="R898" s="6" t="n">
        <v>-0.4187151533986112</v>
      </c>
      <c r="S898" s="6" t="n">
        <v>-2.206570211462044</v>
      </c>
      <c r="T898" s="6" t="n">
        <v>-0.5131554720848154</v>
      </c>
      <c r="U898" s="6" t="n">
        <v>-1.963597218698649</v>
      </c>
      <c r="V898" s="6" t="n">
        <v>-0.5030612478355478</v>
      </c>
      <c r="W898" s="6" t="n">
        <v>0.04358450433704347</v>
      </c>
      <c r="X898" s="6" t="n">
        <v>0.154988999056137</v>
      </c>
      <c r="Y898" s="6" t="n">
        <v>1.480244455482119</v>
      </c>
      <c r="Z898" s="6" t="n">
        <v>-1.459135298061901</v>
      </c>
      <c r="AA898" s="6" t="n">
        <v>1.13570436235929</v>
      </c>
      <c r="AB898" s="6" t="n">
        <v>-1.168408237666719</v>
      </c>
      <c r="AC898" s="6" t="n">
        <v>2.753204333973096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1.493477607711903</v>
      </c>
      <c r="AH898" s="6" t="n">
        <v>4.505239297064631</v>
      </c>
      <c r="AI898" s="6" t="n">
        <v>-0.9647783428727204</v>
      </c>
      <c r="AJ898" s="6" t="n">
        <v>83.8490598438689</v>
      </c>
      <c r="AK898" s="6" t="n">
        <v>0.109598152404981</v>
      </c>
      <c r="AL898" s="6" t="n">
        <v>1.021721512561744</v>
      </c>
      <c r="AN898" s="6" t="n">
        <v>1.358528037987651</v>
      </c>
      <c r="AO898" s="6" t="n">
        <v>1.358528037987651</v>
      </c>
      <c r="AP898" s="6" t="n">
        <v>0.1367344449248874</v>
      </c>
      <c r="AQ898" s="6" t="n">
        <v>0</v>
      </c>
      <c r="AR898" s="6" t="n">
        <v>0</v>
      </c>
    </row>
    <row r="899">
      <c r="D899" t="inlineStr">
        <is>
          <t>Run 587</t>
        </is>
      </c>
      <c r="J899" s="6" t="n">
        <v>0.8137719896317744</v>
      </c>
      <c r="K899" s="6" t="n">
        <v>1.09867719200762</v>
      </c>
      <c r="L899" s="6" t="n">
        <v>2.960125780437262</v>
      </c>
      <c r="M899" s="6" t="n">
        <v>3.079933022878131</v>
      </c>
      <c r="N899" s="6" t="n">
        <v>-1.84131070651037</v>
      </c>
      <c r="O899" s="6" t="n">
        <v>1.158508226951316</v>
      </c>
      <c r="P899" s="6" t="n">
        <v>-1.101810067959748</v>
      </c>
      <c r="Q899" s="6" t="n">
        <v>1.885917635472195</v>
      </c>
      <c r="R899" s="6" t="n">
        <v>3.412234020645885</v>
      </c>
      <c r="S899" s="6" t="n">
        <v>1.56448297551053</v>
      </c>
      <c r="T899" s="6" t="n">
        <v>-0.7155993057150233</v>
      </c>
      <c r="U899" s="6" t="n">
        <v>2.100795498369328</v>
      </c>
      <c r="V899" s="6" t="n">
        <v>-0.1874423072428097</v>
      </c>
      <c r="W899" s="6" t="n">
        <v>0.9448082327981194</v>
      </c>
      <c r="X899" s="6" t="n">
        <v>2.267732252507811</v>
      </c>
      <c r="Y899" s="6" t="n">
        <v>-0.1112939959122504</v>
      </c>
      <c r="Z899" s="6" t="n">
        <v>-1.026591649410017</v>
      </c>
      <c r="AA899" s="6" t="n">
        <v>1.518167494527376</v>
      </c>
      <c r="AB899" s="6" t="n">
        <v>-2.035396106674445</v>
      </c>
      <c r="AC899" s="6" t="n">
        <v>4.392833638440225</v>
      </c>
      <c r="AD899" s="6" t="n">
        <v>1.473332007118838</v>
      </c>
      <c r="AE899" s="6" t="n">
        <v>-1.350393076849807</v>
      </c>
      <c r="AF899" s="6" t="n">
        <v>-4.31342300549044</v>
      </c>
      <c r="AG899" s="6" t="n">
        <v>3.071185632842814</v>
      </c>
      <c r="AH899" s="6" t="n">
        <v>-1.229688556641266</v>
      </c>
      <c r="AI899" s="6" t="n">
        <v>1.379137214549438</v>
      </c>
      <c r="AJ899" s="6" t="n">
        <v>62.43298607271014</v>
      </c>
      <c r="AK899" s="6" t="n">
        <v>0.1253811018595096</v>
      </c>
      <c r="AL899" s="6" t="n">
        <v>1.031967960663164</v>
      </c>
      <c r="AN899" s="6" t="n">
        <v>1.344379013261746</v>
      </c>
      <c r="AO899" s="6" t="n">
        <v>1.344379013261746</v>
      </c>
      <c r="AP899" s="6" t="n">
        <v>0.1332174864358076</v>
      </c>
      <c r="AQ899" s="6" t="n">
        <v>0</v>
      </c>
      <c r="AR899" s="6" t="n">
        <v>0</v>
      </c>
    </row>
    <row r="900">
      <c r="D900" t="inlineStr">
        <is>
          <t>Run 588</t>
        </is>
      </c>
      <c r="J900" s="6" t="n">
        <v>-1.805928930672302</v>
      </c>
      <c r="K900" s="6" t="n">
        <v>-1.13119706900398</v>
      </c>
      <c r="L900" s="6" t="n">
        <v>3.02126664501226</v>
      </c>
      <c r="M900" s="6" t="n">
        <v>1.630193161447031</v>
      </c>
      <c r="N900" s="6" t="n">
        <v>-0.03057072829352325</v>
      </c>
      <c r="O900" s="6" t="n">
        <v>1.154382989996102</v>
      </c>
      <c r="P900" s="6" t="n">
        <v>2.465922640389909</v>
      </c>
      <c r="Q900" s="6" t="n">
        <v>-1.399074262775084</v>
      </c>
      <c r="R900" s="6" t="n">
        <v>-2.896300954921679</v>
      </c>
      <c r="S900" s="6" t="n">
        <v>0.3864964057075404</v>
      </c>
      <c r="T900" s="6" t="n">
        <v>0.1148575736569882</v>
      </c>
      <c r="U900" s="6" t="n">
        <v>0.4134074471282632</v>
      </c>
      <c r="V900" s="6" t="n">
        <v>-0.007437497357358928</v>
      </c>
      <c r="W900" s="6" t="n">
        <v>-2.450668336938111</v>
      </c>
      <c r="X900" s="6" t="n">
        <v>-0.05794122157563494</v>
      </c>
      <c r="Y900" s="6" t="n">
        <v>2.10602206293699</v>
      </c>
      <c r="Z900" s="6" t="n">
        <v>2.835339296149529</v>
      </c>
      <c r="AA900" s="6" t="n">
        <v>-0.6825802131038858</v>
      </c>
      <c r="AB900" s="6" t="n">
        <v>1.293613166107824</v>
      </c>
      <c r="AC900" s="6" t="n">
        <v>-0.9616012713563242</v>
      </c>
      <c r="AD900" s="6" t="n">
        <v>-1.308243466727635</v>
      </c>
      <c r="AE900" s="6" t="n">
        <v>1.120208575760689</v>
      </c>
      <c r="AF900" s="6" t="n">
        <v>0.9196330187974926</v>
      </c>
      <c r="AG900" s="6" t="n">
        <v>-2.195646210752067</v>
      </c>
      <c r="AH900" s="6" t="n">
        <v>0.2234669776143461</v>
      </c>
      <c r="AI900" s="6" t="n">
        <v>-0.4343263876755845</v>
      </c>
      <c r="AJ900" s="6" t="n">
        <v>61.73610001659861</v>
      </c>
      <c r="AK900" s="6" t="n">
        <v>0.2127943387767741</v>
      </c>
      <c r="AL900" s="6" t="n">
        <v>1.050659461949261</v>
      </c>
      <c r="AN900" s="6" t="n">
        <v>1.330395220220557</v>
      </c>
      <c r="AO900" s="6" t="n">
        <v>1.331292557250296</v>
      </c>
      <c r="AP900" s="6" t="n">
        <v>0.1296173946764359</v>
      </c>
      <c r="AQ900" s="6" t="n">
        <v>0</v>
      </c>
      <c r="AR900" s="6" t="n">
        <v>0</v>
      </c>
    </row>
    <row r="901">
      <c r="D901" t="inlineStr">
        <is>
          <t>Run 589</t>
        </is>
      </c>
      <c r="J901" s="6" t="n">
        <v>-2.728866711217653</v>
      </c>
      <c r="K901" s="6" t="n">
        <v>1.39821750979918</v>
      </c>
      <c r="L901" s="6" t="n">
        <v>-1.91289931749932</v>
      </c>
      <c r="M901" s="6" t="n">
        <v>0.7128118549999611</v>
      </c>
      <c r="N901" s="6" t="n">
        <v>-3.085169683824589</v>
      </c>
      <c r="O901" s="6" t="n">
        <v>1.914984050757276</v>
      </c>
      <c r="P901" s="6" t="n">
        <v>-2.354372523321203</v>
      </c>
      <c r="Q901" s="6" t="n">
        <v>-1.074969971379128</v>
      </c>
      <c r="R901" s="6" t="n">
        <v>-2.341678169094547</v>
      </c>
      <c r="S901" s="6" t="n">
        <v>0.07460323313214927</v>
      </c>
      <c r="T901" s="6" t="n">
        <v>-0.7396768640058378</v>
      </c>
      <c r="U901" s="6" t="n">
        <v>-2.654078998360951</v>
      </c>
      <c r="V901" s="6" t="n">
        <v>0.3307763985056205</v>
      </c>
      <c r="W901" s="6" t="n">
        <v>-0.8476943131934349</v>
      </c>
      <c r="X901" s="6" t="n">
        <v>-3.01884643014579</v>
      </c>
      <c r="Y901" s="6" t="n">
        <v>0.5738955302874725</v>
      </c>
      <c r="Z901" s="6" t="n">
        <v>0.7194949905499141</v>
      </c>
      <c r="AA901" s="6" t="n">
        <v>0.5916698936865191</v>
      </c>
      <c r="AB901" s="6" t="n">
        <v>1.302411669102618</v>
      </c>
      <c r="AC901" s="6" t="n">
        <v>-1.891104319527569</v>
      </c>
      <c r="AD901" s="6" t="n">
        <v>-1.892090276367676</v>
      </c>
      <c r="AE901" s="6" t="n">
        <v>-0.8739036183843534</v>
      </c>
      <c r="AF901" s="6" t="n">
        <v>-0.3251736692462415</v>
      </c>
      <c r="AG901" s="6" t="n">
        <v>1.694675949766704</v>
      </c>
      <c r="AH901" s="6" t="n">
        <v>1.917711117106793</v>
      </c>
      <c r="AI901" s="6" t="n">
        <v>0.3645624762669845</v>
      </c>
      <c r="AJ901" s="6" t="n">
        <v>73.31421747857456</v>
      </c>
      <c r="AK901" s="6" t="n">
        <v>0.1765487473501098</v>
      </c>
      <c r="AL901" s="6" t="n">
        <v>1.051350009346397</v>
      </c>
      <c r="AN901" s="6" t="n">
        <v>1.339073126927696</v>
      </c>
      <c r="AO901" s="6" t="n">
        <v>1.339838374465937</v>
      </c>
      <c r="AP901" s="6" t="n">
        <v>0.1310723631502517</v>
      </c>
      <c r="AQ901" s="6" t="n">
        <v>0</v>
      </c>
      <c r="AR901" s="6" t="n">
        <v>0</v>
      </c>
    </row>
    <row r="902">
      <c r="D902" t="inlineStr">
        <is>
          <t>Run 590</t>
        </is>
      </c>
      <c r="J902" s="6" t="n">
        <v>-2.131157508428594</v>
      </c>
      <c r="K902" s="6" t="n">
        <v>-3.219935259039294</v>
      </c>
      <c r="L902" s="6" t="n">
        <v>0.6933832751850256</v>
      </c>
      <c r="M902" s="6" t="n">
        <v>0.682625029855881</v>
      </c>
      <c r="N902" s="6" t="n">
        <v>1.477970919902936</v>
      </c>
      <c r="O902" s="6" t="n">
        <v>1.320376685490661</v>
      </c>
      <c r="P902" s="6" t="n">
        <v>3.598257314379746</v>
      </c>
      <c r="Q902" s="6" t="n">
        <v>1.210016215188991</v>
      </c>
      <c r="R902" s="6" t="n">
        <v>-1.430093175897278</v>
      </c>
      <c r="S902" s="6" t="n">
        <v>1.082732518843441</v>
      </c>
      <c r="T902" s="6" t="n">
        <v>-0.720391353141271</v>
      </c>
      <c r="U902" s="6" t="n">
        <v>0.7708978248349098</v>
      </c>
      <c r="V902" s="6" t="n">
        <v>-3.212381318072382</v>
      </c>
      <c r="W902" s="6" t="n">
        <v>1.66517107493182</v>
      </c>
      <c r="X902" s="6" t="n">
        <v>-0.9511478972269359</v>
      </c>
      <c r="Y902" s="6" t="n">
        <v>0.9657363826804456</v>
      </c>
      <c r="Z902" s="6" t="n">
        <v>-1.31263107593349</v>
      </c>
      <c r="AA902" s="6" t="n">
        <v>1.034631069434963</v>
      </c>
      <c r="AB902" s="6" t="n">
        <v>-1.952207822315553</v>
      </c>
      <c r="AC902" s="6" t="n">
        <v>-0.1508717299632675</v>
      </c>
      <c r="AD902" s="6" t="n">
        <v>1.728913611001216</v>
      </c>
      <c r="AE902" s="6" t="n">
        <v>0.7184445659913143</v>
      </c>
      <c r="AF902" s="6" t="n">
        <v>-0.01532179272688534</v>
      </c>
      <c r="AG902" s="6" t="n">
        <v>-0.6796649341505466</v>
      </c>
      <c r="AH902" s="6" t="n">
        <v>1.251964667247969</v>
      </c>
      <c r="AI902" s="6" t="n">
        <v>0.2845091994260094</v>
      </c>
      <c r="AJ902" s="6" t="n">
        <v>62.37798359526484</v>
      </c>
      <c r="AK902" s="6" t="n">
        <v>0.08062591130171318</v>
      </c>
      <c r="AL902" s="6" t="n">
        <v>1.045907348987142</v>
      </c>
      <c r="AN902" s="6" t="n">
        <v>1.345078658982724</v>
      </c>
      <c r="AO902" s="6" t="n">
        <v>1.345382067474148</v>
      </c>
      <c r="AP902" s="6" t="n">
        <v>0.1330608657013197</v>
      </c>
      <c r="AQ902" s="6" t="n">
        <v>0</v>
      </c>
      <c r="AR902" s="6" t="n">
        <v>0</v>
      </c>
    </row>
    <row r="903">
      <c r="D903" t="inlineStr">
        <is>
          <t>Run 591</t>
        </is>
      </c>
      <c r="J903" s="6" t="n">
        <v>0.1805592150209326</v>
      </c>
      <c r="K903" s="6" t="n">
        <v>-1.858409898608993</v>
      </c>
      <c r="L903" s="6" t="n">
        <v>1.722017065266242</v>
      </c>
      <c r="M903" s="6" t="n">
        <v>-0.391265119269797</v>
      </c>
      <c r="N903" s="6" t="n">
        <v>-3.14874815154754</v>
      </c>
      <c r="O903" s="6" t="n">
        <v>-0.1395837146790932</v>
      </c>
      <c r="P903" s="6" t="n">
        <v>1.13200750947137</v>
      </c>
      <c r="Q903" s="6" t="n">
        <v>0.8941748146568957</v>
      </c>
      <c r="R903" s="6" t="n">
        <v>-0.4149285687456168</v>
      </c>
      <c r="S903" s="6" t="n">
        <v>1.807982281078887</v>
      </c>
      <c r="T903" s="6" t="n">
        <v>1.615706342344931</v>
      </c>
      <c r="U903" s="6" t="n">
        <v>3.638866560644779</v>
      </c>
      <c r="V903" s="6" t="n">
        <v>2.97806694305361</v>
      </c>
      <c r="W903" s="6" t="n">
        <v>2.55460608019931</v>
      </c>
      <c r="X903" s="6" t="n">
        <v>1.208409825124102</v>
      </c>
      <c r="Y903" s="6" t="n">
        <v>-2.665887879004405</v>
      </c>
      <c r="Z903" s="6" t="n">
        <v>-0.8245238200301567</v>
      </c>
      <c r="AA903" s="6" t="n">
        <v>0.2013061393414226</v>
      </c>
      <c r="AB903" s="6" t="n">
        <v>-1.574896638659405</v>
      </c>
      <c r="AC903" s="6" t="n">
        <v>0.9778241343168025</v>
      </c>
      <c r="AD903" s="6" t="n">
        <v>-1.491841243678836</v>
      </c>
      <c r="AE903" s="6" t="n">
        <v>-0.03855324903915112</v>
      </c>
      <c r="AF903" s="6" t="n">
        <v>3.164873938324264</v>
      </c>
      <c r="AG903" s="6" t="n">
        <v>-2.036216776342671</v>
      </c>
      <c r="AH903" s="6" t="n">
        <v>-0.9748240252359512</v>
      </c>
      <c r="AI903" s="6" t="n">
        <v>0.5575129175296746</v>
      </c>
      <c r="AJ903" s="6" t="n">
        <v>77.19439033147835</v>
      </c>
      <c r="AK903" s="6" t="n">
        <v>0.1408820299170742</v>
      </c>
      <c r="AL903" s="6" t="n">
        <v>1.053511641185772</v>
      </c>
      <c r="AN903" s="6" t="n">
        <v>1.346233229655514</v>
      </c>
      <c r="AO903" s="6" t="n">
        <v>1.346713946815071</v>
      </c>
      <c r="AP903" s="6" t="n">
        <v>0.1319271429955872</v>
      </c>
      <c r="AQ903" s="6" t="n">
        <v>0</v>
      </c>
      <c r="AR903" s="6" t="n">
        <v>0</v>
      </c>
    </row>
    <row r="904">
      <c r="D904" t="inlineStr">
        <is>
          <t>Run 592</t>
        </is>
      </c>
      <c r="J904" s="6" t="n">
        <v>-0.2942121968898872</v>
      </c>
      <c r="K904" s="6" t="n">
        <v>-1.388458521012407</v>
      </c>
      <c r="L904" s="6" t="n">
        <v>-0.621349396909654</v>
      </c>
      <c r="M904" s="6" t="n">
        <v>-1.224029337642962</v>
      </c>
      <c r="N904" s="6" t="n">
        <v>-2.575472597836434</v>
      </c>
      <c r="O904" s="6" t="n">
        <v>-0.2342844036602934</v>
      </c>
      <c r="P904" s="6" t="n">
        <v>0.04579599325283759</v>
      </c>
      <c r="Q904" s="6" t="n">
        <v>-1.388893274397643</v>
      </c>
      <c r="R904" s="6" t="n">
        <v>0.7849735182445676</v>
      </c>
      <c r="S904" s="6" t="n">
        <v>-2.364805911501262</v>
      </c>
      <c r="T904" s="6" t="n">
        <v>0.9412020098813206</v>
      </c>
      <c r="U904" s="6" t="n">
        <v>-0.07483742762754832</v>
      </c>
      <c r="V904" s="6" t="n">
        <v>-1.043403084240197</v>
      </c>
      <c r="W904" s="6" t="n">
        <v>0.9858028835014676</v>
      </c>
      <c r="X904" s="6" t="n">
        <v>1.496830537587778</v>
      </c>
      <c r="Y904" s="6" t="n">
        <v>-0.740770765084101</v>
      </c>
      <c r="Z904" s="6" t="n">
        <v>-2.492475982880607</v>
      </c>
      <c r="AA904" s="6" t="n">
        <v>-0.02757225216515931</v>
      </c>
      <c r="AB904" s="6" t="n">
        <v>0.6597843306284777</v>
      </c>
      <c r="AC904" s="6" t="n">
        <v>-1.12859033191602</v>
      </c>
      <c r="AD904" s="6" t="n">
        <v>-6.624187397027164</v>
      </c>
      <c r="AE904" s="6" t="n">
        <v>-5.371893849392728</v>
      </c>
      <c r="AF904" s="6" t="n">
        <v>-3.614856879183195</v>
      </c>
      <c r="AG904" s="6" t="n">
        <v>2.908722471063618</v>
      </c>
      <c r="AH904" s="6" t="n">
        <v>-0.7866919933261812</v>
      </c>
      <c r="AI904" s="6" t="n">
        <v>-0.8365913616028492</v>
      </c>
      <c r="AJ904" s="6" t="n">
        <v>71.87113732792736</v>
      </c>
      <c r="AK904" s="6" t="n">
        <v>0.1157825502852515</v>
      </c>
      <c r="AL904" s="6" t="n">
        <v>1.023309875835269</v>
      </c>
      <c r="AN904" s="6" t="n">
        <v>1.351008220605458</v>
      </c>
      <c r="AO904" s="6" t="n">
        <v>1.352392019420779</v>
      </c>
      <c r="AP904" s="6" t="n">
        <v>0.1351360452723391</v>
      </c>
      <c r="AQ904" s="6" t="n">
        <v>0</v>
      </c>
      <c r="AR904" s="6" t="n">
        <v>0</v>
      </c>
    </row>
    <row r="905">
      <c r="D905" t="inlineStr">
        <is>
          <t>Run 593</t>
        </is>
      </c>
      <c r="J905" s="6" t="n">
        <v>2.242573509889247</v>
      </c>
      <c r="K905" s="6" t="n">
        <v>0.5013852885246523</v>
      </c>
      <c r="L905" s="6" t="n">
        <v>-1.150885663717547</v>
      </c>
      <c r="M905" s="6" t="n">
        <v>2.621761633189818</v>
      </c>
      <c r="N905" s="6" t="n">
        <v>-1.103328329795733</v>
      </c>
      <c r="O905" s="6" t="n">
        <v>0.4614643255393976</v>
      </c>
      <c r="P905" s="6" t="n">
        <v>-1.743444669288879</v>
      </c>
      <c r="Q905" s="6" t="n">
        <v>2.530580451661187</v>
      </c>
      <c r="R905" s="6" t="n">
        <v>-4.544186745011874</v>
      </c>
      <c r="S905" s="6" t="n">
        <v>-1.367851351249474</v>
      </c>
      <c r="T905" s="6" t="n">
        <v>-0.5580550953345786</v>
      </c>
      <c r="U905" s="6" t="n">
        <v>0.1143461831725824</v>
      </c>
      <c r="V905" s="6" t="n">
        <v>-2.224248646344488</v>
      </c>
      <c r="W905" s="6" t="n">
        <v>0.3993697031262724</v>
      </c>
      <c r="X905" s="6" t="n">
        <v>0.101081665992108</v>
      </c>
      <c r="Y905" s="6" t="n">
        <v>2.875834136107313</v>
      </c>
      <c r="Z905" s="6" t="n">
        <v>1.233372624850021</v>
      </c>
      <c r="AA905" s="6" t="n">
        <v>1.234345044131619</v>
      </c>
      <c r="AB905" s="6" t="n">
        <v>-1.99675423690875</v>
      </c>
      <c r="AC905" s="6" t="n">
        <v>2.440091625000046</v>
      </c>
      <c r="AD905" s="6" t="n">
        <v>0.6508156726859966</v>
      </c>
      <c r="AE905" s="6" t="n">
        <v>-1.525437801690383</v>
      </c>
      <c r="AF905" s="6" t="n">
        <v>1.085470213012144</v>
      </c>
      <c r="AG905" s="6" t="n">
        <v>0.4124838218677543</v>
      </c>
      <c r="AH905" s="6" t="n">
        <v>1.070762878715421</v>
      </c>
      <c r="AI905" s="6" t="n">
        <v>2.73004947136176</v>
      </c>
      <c r="AJ905" s="6" t="n">
        <v>70.67062699388178</v>
      </c>
      <c r="AK905" s="6" t="n">
        <v>0.1510390990461076</v>
      </c>
      <c r="AL905" s="6" t="n">
        <v>1.038491191212343</v>
      </c>
      <c r="AN905" s="6" t="n">
        <v>1.345906096077269</v>
      </c>
      <c r="AO905" s="6" t="n">
        <v>1.346820485819524</v>
      </c>
      <c r="AP905" s="6" t="n">
        <v>0.1328469845393498</v>
      </c>
      <c r="AQ905" s="6" t="n">
        <v>0</v>
      </c>
      <c r="AR905" s="6" t="n">
        <v>0</v>
      </c>
    </row>
    <row r="906">
      <c r="D906" t="inlineStr">
        <is>
          <t>Run 594</t>
        </is>
      </c>
      <c r="J906" s="6" t="n">
        <v>0.0430192164486418</v>
      </c>
      <c r="K906" s="6" t="n">
        <v>-1.862163210479839</v>
      </c>
      <c r="L906" s="6" t="n">
        <v>-0.5150772620810875</v>
      </c>
      <c r="M906" s="6" t="n">
        <v>-0.2554490741323489</v>
      </c>
      <c r="N906" s="6" t="n">
        <v>2.520680357862823</v>
      </c>
      <c r="O906" s="6" t="n">
        <v>0.5507401080214829</v>
      </c>
      <c r="P906" s="6" t="n">
        <v>-0.9492254041198838</v>
      </c>
      <c r="Q906" s="6" t="n">
        <v>-1.115530012039913</v>
      </c>
      <c r="R906" s="6" t="n">
        <v>4.084038710734039</v>
      </c>
      <c r="S906" s="6" t="n">
        <v>-2.130687943543618</v>
      </c>
      <c r="T906" s="6" t="n">
        <v>1.364872026581205</v>
      </c>
      <c r="U906" s="6" t="n">
        <v>-0.2457168488336221</v>
      </c>
      <c r="V906" s="6" t="n">
        <v>1.936363432856023</v>
      </c>
      <c r="W906" s="6" t="n">
        <v>-0.6990443711238649</v>
      </c>
      <c r="X906" s="6" t="n">
        <v>-4.350874516636654</v>
      </c>
      <c r="Y906" s="6" t="n">
        <v>-1.074880535661817</v>
      </c>
      <c r="Z906" s="6" t="n">
        <v>0.5697974872244727</v>
      </c>
      <c r="AA906" s="6" t="n">
        <v>-1.333739770203163</v>
      </c>
      <c r="AB906" s="6" t="n">
        <v>0.9519664324507846</v>
      </c>
      <c r="AC906" s="6" t="n">
        <v>1.484644802737609</v>
      </c>
      <c r="AD906" s="6" t="n">
        <v>-1.603514524449801</v>
      </c>
      <c r="AE906" s="6" t="n">
        <v>0.1321070211406935</v>
      </c>
      <c r="AF906" s="6" t="n">
        <v>1.342982626317019</v>
      </c>
      <c r="AG906" s="6" t="n">
        <v>-2.308036417423375</v>
      </c>
      <c r="AH906" s="6" t="n">
        <v>-0.4813961467865283</v>
      </c>
      <c r="AI906" s="6" t="n">
        <v>-3.971608590585521</v>
      </c>
      <c r="AJ906" s="6" t="n">
        <v>82.71757445104288</v>
      </c>
      <c r="AK906" s="6" t="n">
        <v>0.1981738342989592</v>
      </c>
      <c r="AL906" s="6" t="n">
        <v>1.083825823760318</v>
      </c>
      <c r="AN906" s="6" t="n">
        <v>1.326926643342392</v>
      </c>
      <c r="AO906" s="6" t="n">
        <v>1.327668126487918</v>
      </c>
      <c r="AP906" s="6" t="n">
        <v>0.1283206879662927</v>
      </c>
      <c r="AQ906" s="6" t="n">
        <v>0</v>
      </c>
      <c r="AR906" s="6" t="n">
        <v>0</v>
      </c>
    </row>
    <row r="907">
      <c r="D907" t="inlineStr">
        <is>
          <t>Run 595</t>
        </is>
      </c>
      <c r="J907" s="6" t="n">
        <v>0.9128064182751481</v>
      </c>
      <c r="K907" s="6" t="n">
        <v>-1.825215068907577</v>
      </c>
      <c r="L907" s="6" t="n">
        <v>-0.03980024656764406</v>
      </c>
      <c r="M907" s="6" t="n">
        <v>1.840075136293414</v>
      </c>
      <c r="N907" s="6" t="n">
        <v>2.747019745698231</v>
      </c>
      <c r="O907" s="6" t="n">
        <v>4.206850994591226</v>
      </c>
      <c r="P907" s="6" t="n">
        <v>-0.1033109135493306</v>
      </c>
      <c r="Q907" s="6" t="n">
        <v>1.147546717526126</v>
      </c>
      <c r="R907" s="6" t="n">
        <v>3.092350226607727</v>
      </c>
      <c r="S907" s="6" t="n">
        <v>-0.6822953787012933</v>
      </c>
      <c r="T907" s="6" t="n">
        <v>-1.866638606631617</v>
      </c>
      <c r="U907" s="6" t="n">
        <v>-0.759615857093959</v>
      </c>
      <c r="V907" s="6" t="n">
        <v>1.274475897963659</v>
      </c>
      <c r="W907" s="6" t="n">
        <v>1.520677582613289</v>
      </c>
      <c r="X907" s="6" t="n">
        <v>2.470536181769817</v>
      </c>
      <c r="Y907" s="6" t="n">
        <v>0.6727058658983812</v>
      </c>
      <c r="Z907" s="6" t="n">
        <v>1.961957712976041</v>
      </c>
      <c r="AA907" s="6" t="n">
        <v>2.042922802750074</v>
      </c>
      <c r="AB907" s="6" t="n">
        <v>2.05533183536339</v>
      </c>
      <c r="AC907" s="6" t="n">
        <v>2.166880844237486</v>
      </c>
      <c r="AD907" s="6" t="n">
        <v>-0.6869746903539883</v>
      </c>
      <c r="AE907" s="6" t="n">
        <v>2.590444495956978</v>
      </c>
      <c r="AF907" s="6" t="n">
        <v>1.153672680147381</v>
      </c>
      <c r="AG907" s="6" t="n">
        <v>2.305168560306829</v>
      </c>
      <c r="AH907" s="6" t="n">
        <v>-1.352690841946163</v>
      </c>
      <c r="AI907" s="6" t="n">
        <v>-2.129726785266149</v>
      </c>
      <c r="AJ907" s="6" t="n">
        <v>73.29589041516856</v>
      </c>
      <c r="AK907" s="6" t="n">
        <v>0.1603480922917239</v>
      </c>
      <c r="AL907" s="6" t="n">
        <v>1.03780968737146</v>
      </c>
      <c r="AN907" s="6" t="n">
        <v>1.347430360721157</v>
      </c>
      <c r="AO907" s="6" t="n">
        <v>1.347672556800283</v>
      </c>
      <c r="AP907" s="6" t="n">
        <v>0.1328380893469553</v>
      </c>
      <c r="AQ907" s="6" t="n">
        <v>0</v>
      </c>
      <c r="AR907" s="6" t="n">
        <v>0</v>
      </c>
    </row>
    <row r="908">
      <c r="D908" t="inlineStr">
        <is>
          <t>Run 596</t>
        </is>
      </c>
      <c r="J908" s="6" t="n">
        <v>-1.550804762160825</v>
      </c>
      <c r="K908" s="6" t="n">
        <v>2.229228454611555</v>
      </c>
      <c r="L908" s="6" t="n">
        <v>-0.05997724043945888</v>
      </c>
      <c r="M908" s="6" t="n">
        <v>0.8207929847773718</v>
      </c>
      <c r="N908" s="6" t="n">
        <v>-0.2664580095978237</v>
      </c>
      <c r="O908" s="6" t="n">
        <v>0.55164942991051</v>
      </c>
      <c r="P908" s="6" t="n">
        <v>2.801504001704234</v>
      </c>
      <c r="Q908" s="6" t="n">
        <v>0.6528424284838749</v>
      </c>
      <c r="R908" s="6" t="n">
        <v>0.01107858804049096</v>
      </c>
      <c r="S908" s="6" t="n">
        <v>2.456337403469838</v>
      </c>
      <c r="T908" s="6" t="n">
        <v>-1.942139557513518</v>
      </c>
      <c r="U908" s="6" t="n">
        <v>-4.400174414485062</v>
      </c>
      <c r="V908" s="6" t="n">
        <v>0.8975384999464217</v>
      </c>
      <c r="W908" s="6" t="n">
        <v>0.9162865330877908</v>
      </c>
      <c r="X908" s="6" t="n">
        <v>2.457337892408801</v>
      </c>
      <c r="Y908" s="6" t="n">
        <v>-0.1810542495736214</v>
      </c>
      <c r="Z908" s="6" t="n">
        <v>-2.189266072761527</v>
      </c>
      <c r="AA908" s="6" t="n">
        <v>0.8934690841313495</v>
      </c>
      <c r="AB908" s="6" t="n">
        <v>-1.951049319839569</v>
      </c>
      <c r="AC908" s="6" t="n">
        <v>-0.9135307179892312</v>
      </c>
      <c r="AD908" s="6" t="n">
        <v>-0.02706916586973124</v>
      </c>
      <c r="AE908" s="6" t="n">
        <v>1.089737216214303</v>
      </c>
      <c r="AF908" s="6" t="n">
        <v>2.945812658317518</v>
      </c>
      <c r="AG908" s="6" t="n">
        <v>0.2612130336434706</v>
      </c>
      <c r="AH908" s="6" t="n">
        <v>0.9178014635149289</v>
      </c>
      <c r="AI908" s="6" t="n">
        <v>-2.515631233814548</v>
      </c>
      <c r="AJ908" s="6" t="n">
        <v>68.04911516131546</v>
      </c>
      <c r="AK908" s="6" t="n">
        <v>0.1816456778810701</v>
      </c>
      <c r="AL908" s="6" t="n">
        <v>1.063015993389672</v>
      </c>
      <c r="AN908" s="6" t="n">
        <v>1.331516739508572</v>
      </c>
      <c r="AO908" s="6" t="n">
        <v>1.332693209783252</v>
      </c>
      <c r="AP908" s="6" t="n">
        <v>0.1295895120507858</v>
      </c>
      <c r="AQ908" s="6" t="n">
        <v>0</v>
      </c>
      <c r="AR908" s="6" t="n">
        <v>0</v>
      </c>
    </row>
    <row r="909">
      <c r="D909" t="inlineStr">
        <is>
          <t>Run 597</t>
        </is>
      </c>
      <c r="J909" s="6" t="n">
        <v>4.523892688617983</v>
      </c>
      <c r="K909" s="6" t="n">
        <v>0.005678058349791546</v>
      </c>
      <c r="L909" s="6" t="n">
        <v>1.383078348360457</v>
      </c>
      <c r="M909" s="6" t="n">
        <v>3.627187394873186</v>
      </c>
      <c r="N909" s="6" t="n">
        <v>-2.789021415926094</v>
      </c>
      <c r="O909" s="6" t="n">
        <v>2.647909742070717</v>
      </c>
      <c r="P909" s="6" t="n">
        <v>0.6793960160032734</v>
      </c>
      <c r="Q909" s="6" t="n">
        <v>-1.540001485294279</v>
      </c>
      <c r="R909" s="6" t="n">
        <v>0.04829702099871231</v>
      </c>
      <c r="S909" s="6" t="n">
        <v>2.511086117494075</v>
      </c>
      <c r="T909" s="6" t="n">
        <v>0.8741504573301976</v>
      </c>
      <c r="U909" s="6" t="n">
        <v>-1.376428965559142</v>
      </c>
      <c r="V909" s="6" t="n">
        <v>-2.916574932094766</v>
      </c>
      <c r="W909" s="6" t="n">
        <v>5</v>
      </c>
      <c r="X909" s="6" t="n">
        <v>-2.249135140059062</v>
      </c>
      <c r="Y909" s="6" t="n">
        <v>-0.4854050946831284</v>
      </c>
      <c r="Z909" s="6" t="n">
        <v>-0.86247539577875</v>
      </c>
      <c r="AA909" s="6" t="n">
        <v>2.653213771852058</v>
      </c>
      <c r="AB909" s="6" t="n">
        <v>1.253790722079913</v>
      </c>
      <c r="AC909" s="6" t="n">
        <v>1.583517600444365</v>
      </c>
      <c r="AD909" s="6" t="n">
        <v>-1.378980295422893</v>
      </c>
      <c r="AE909" s="6" t="n">
        <v>-2.158372219580598</v>
      </c>
      <c r="AF909" s="6" t="n">
        <v>5</v>
      </c>
      <c r="AG909" s="6" t="n">
        <v>0.4004625043156272</v>
      </c>
      <c r="AH909" s="6" t="n">
        <v>-1.067069918040054</v>
      </c>
      <c r="AI909" s="6" t="n">
        <v>-2.950311572673568</v>
      </c>
      <c r="AJ909" s="6" t="n">
        <v>78.98578640966237</v>
      </c>
      <c r="AK909" s="6" t="n">
        <v>0.05272043345604006</v>
      </c>
      <c r="AL909" s="6" t="n">
        <v>1.096736416044854</v>
      </c>
      <c r="AN909" s="6" t="n">
        <v>1.338247658045518</v>
      </c>
      <c r="AO909" s="6" t="n">
        <v>1.339414678526079</v>
      </c>
      <c r="AP909" s="6" t="n">
        <v>0.1312577122028299</v>
      </c>
      <c r="AQ909" s="6" t="n">
        <v>0</v>
      </c>
      <c r="AR909" s="6" t="n">
        <v>0</v>
      </c>
    </row>
    <row r="910">
      <c r="D910" t="inlineStr">
        <is>
          <t>Run 598</t>
        </is>
      </c>
      <c r="J910" s="6" t="n">
        <v>0.5833313038061853</v>
      </c>
      <c r="K910" s="6" t="n">
        <v>1.342898015449303</v>
      </c>
      <c r="L910" s="6" t="n">
        <v>0.4150919540627455</v>
      </c>
      <c r="M910" s="6" t="n">
        <v>0.270043094791049</v>
      </c>
      <c r="N910" s="6" t="n">
        <v>-0.06347053126018391</v>
      </c>
      <c r="O910" s="6" t="n">
        <v>-0.757950023309869</v>
      </c>
      <c r="P910" s="6" t="n">
        <v>-0.7245050603435007</v>
      </c>
      <c r="Q910" s="6" t="n">
        <v>-1.403516173300212</v>
      </c>
      <c r="R910" s="6" t="n">
        <v>1.710493250290199</v>
      </c>
      <c r="S910" s="6" t="n">
        <v>3.972395102695098</v>
      </c>
      <c r="T910" s="6" t="n">
        <v>2.017103788361701</v>
      </c>
      <c r="U910" s="6" t="n">
        <v>0.07749139113553129</v>
      </c>
      <c r="V910" s="6" t="n">
        <v>-1.952465512131024</v>
      </c>
      <c r="W910" s="6" t="n">
        <v>-0.8068797420622276</v>
      </c>
      <c r="X910" s="6" t="n">
        <v>-1.244932057483605</v>
      </c>
      <c r="Y910" s="6" t="n">
        <v>-0.121048305457279</v>
      </c>
      <c r="Z910" s="6" t="n">
        <v>3.533091780486652</v>
      </c>
      <c r="AA910" s="6" t="n">
        <v>-0.2563720483004761</v>
      </c>
      <c r="AB910" s="6" t="n">
        <v>0.3194049042057145</v>
      </c>
      <c r="AC910" s="6" t="n">
        <v>-4.645385987540029</v>
      </c>
      <c r="AD910" s="6" t="n">
        <v>-1.702601072868345</v>
      </c>
      <c r="AE910" s="6" t="n">
        <v>-1.436497814354922</v>
      </c>
      <c r="AF910" s="6" t="n">
        <v>3.219922406161926</v>
      </c>
      <c r="AG910" s="6" t="n">
        <v>-0.2283257949749108</v>
      </c>
      <c r="AH910" s="6" t="n">
        <v>-1.014681762877294</v>
      </c>
      <c r="AI910" s="6" t="n">
        <v>-0.5737279508407352</v>
      </c>
      <c r="AJ910" s="6" t="n">
        <v>77.56588063900074</v>
      </c>
      <c r="AK910" s="6" t="n">
        <v>0.1759632409404207</v>
      </c>
      <c r="AL910" s="6" t="n">
        <v>1.030045695034928</v>
      </c>
      <c r="AN910" s="6" t="n">
        <v>1.352175821447706</v>
      </c>
      <c r="AO910" s="6" t="n">
        <v>1.352393357370415</v>
      </c>
      <c r="AP910" s="6" t="n">
        <v>0.1333792146520283</v>
      </c>
      <c r="AQ910" s="6" t="n">
        <v>0</v>
      </c>
      <c r="AR910" s="6" t="n">
        <v>0</v>
      </c>
    </row>
    <row r="911">
      <c r="D911" t="inlineStr">
        <is>
          <t>Run 599</t>
        </is>
      </c>
      <c r="J911" s="6" t="n">
        <v>0.973366272708563</v>
      </c>
      <c r="K911" s="6" t="n">
        <v>0.1730237558832539</v>
      </c>
      <c r="L911" s="6" t="n">
        <v>0.418744174707905</v>
      </c>
      <c r="M911" s="6" t="n">
        <v>-1.204174945313415</v>
      </c>
      <c r="N911" s="6" t="n">
        <v>0.6851123441640083</v>
      </c>
      <c r="O911" s="6" t="n">
        <v>1.085856065393574</v>
      </c>
      <c r="P911" s="6" t="n">
        <v>0.1594086348492343</v>
      </c>
      <c r="Q911" s="6" t="n">
        <v>3.631088315372087</v>
      </c>
      <c r="R911" s="6" t="n">
        <v>1.893620670570301</v>
      </c>
      <c r="S911" s="6" t="n">
        <v>-1.475058199445102</v>
      </c>
      <c r="T911" s="6" t="n">
        <v>2.36280294874125</v>
      </c>
      <c r="U911" s="6" t="n">
        <v>1.917864137189082</v>
      </c>
      <c r="V911" s="6" t="n">
        <v>4.741080936512215</v>
      </c>
      <c r="W911" s="6" t="n">
        <v>-1.248071363689755</v>
      </c>
      <c r="X911" s="6" t="n">
        <v>0.219222701313042</v>
      </c>
      <c r="Y911" s="6" t="n">
        <v>-0.3579684113230592</v>
      </c>
      <c r="Z911" s="6" t="n">
        <v>2.376266519718246</v>
      </c>
      <c r="AA911" s="6" t="n">
        <v>3.405261059811253</v>
      </c>
      <c r="AB911" s="6" t="n">
        <v>-2.1184258158854</v>
      </c>
      <c r="AC911" s="6" t="n">
        <v>-2.022789566595018</v>
      </c>
      <c r="AD911" s="6" t="n">
        <v>0.7774793256482557</v>
      </c>
      <c r="AE911" s="6" t="n">
        <v>0.2337588283699977</v>
      </c>
      <c r="AF911" s="6" t="n">
        <v>-3.929416852959603</v>
      </c>
      <c r="AG911" s="6" t="n">
        <v>1.139312036638729</v>
      </c>
      <c r="AH911" s="6" t="n">
        <v>1.053367468641438</v>
      </c>
      <c r="AI911" s="6" t="n">
        <v>-0.285971447317052</v>
      </c>
      <c r="AJ911" s="6" t="n">
        <v>79.79533293572408</v>
      </c>
      <c r="AK911" s="6" t="n">
        <v>0.1199097915552586</v>
      </c>
      <c r="AL911" s="6" t="n">
        <v>1.05678368544835</v>
      </c>
      <c r="AN911" s="6" t="n">
        <v>1.343319385385193</v>
      </c>
      <c r="AO911" s="6" t="n">
        <v>1.345527793877095</v>
      </c>
      <c r="AP911" s="6" t="n">
        <v>0.1323547686038767</v>
      </c>
      <c r="AQ911" s="6" t="n">
        <v>0</v>
      </c>
      <c r="AR911" s="6" t="n">
        <v>0</v>
      </c>
    </row>
    <row r="912">
      <c r="D912" t="inlineStr">
        <is>
          <t>Run 600</t>
        </is>
      </c>
      <c r="J912" s="6" t="n">
        <v>-0.2234809127364449</v>
      </c>
      <c r="K912" s="6" t="n">
        <v>4.474722641597424</v>
      </c>
      <c r="L912" s="6" t="n">
        <v>-0.7960444344017799</v>
      </c>
      <c r="M912" s="6" t="n">
        <v>1.592949725565498</v>
      </c>
      <c r="N912" s="6" t="n">
        <v>-1.355766837334624</v>
      </c>
      <c r="O912" s="6" t="n">
        <v>2.050721790520058</v>
      </c>
      <c r="P912" s="6" t="n">
        <v>0.1746448090022276</v>
      </c>
      <c r="Q912" s="6" t="n">
        <v>0.2266006897999315</v>
      </c>
      <c r="R912" s="6" t="n">
        <v>-2.207030805288017</v>
      </c>
      <c r="S912" s="6" t="n">
        <v>-0.9696892336875182</v>
      </c>
      <c r="T912" s="6" t="n">
        <v>0.4826193574890703</v>
      </c>
      <c r="U912" s="6" t="n">
        <v>-2.082731955595643</v>
      </c>
      <c r="V912" s="6" t="n">
        <v>-1.115189793580029</v>
      </c>
      <c r="W912" s="6" t="n">
        <v>-2.456453983798543</v>
      </c>
      <c r="X912" s="6" t="n">
        <v>-0.458558682230078</v>
      </c>
      <c r="Y912" s="6" t="n">
        <v>-0.553547256857979</v>
      </c>
      <c r="Z912" s="6" t="n">
        <v>1.017207346860883</v>
      </c>
      <c r="AA912" s="6" t="n">
        <v>4.297418306008449</v>
      </c>
      <c r="AB912" s="6" t="n">
        <v>0.3146680185015689</v>
      </c>
      <c r="AC912" s="6" t="n">
        <v>-2.027094134605888</v>
      </c>
      <c r="AD912" s="6" t="n">
        <v>3.356940367224903</v>
      </c>
      <c r="AE912" s="6" t="n">
        <v>2.224381767087936</v>
      </c>
      <c r="AF912" s="6" t="n">
        <v>-0.4287706387273231</v>
      </c>
      <c r="AG912" s="6" t="n">
        <v>0.4377616200865093</v>
      </c>
      <c r="AH912" s="6" t="n">
        <v>2.855744711709437</v>
      </c>
      <c r="AI912" s="6" t="n">
        <v>-0.9308715629800992</v>
      </c>
      <c r="AJ912" s="6" t="n">
        <v>78.19177612585194</v>
      </c>
      <c r="AK912" s="6" t="n">
        <v>0.1578057561830101</v>
      </c>
      <c r="AL912" s="6" t="n">
        <v>1.027533056199287</v>
      </c>
      <c r="AN912" s="6" t="n">
        <v>1.353187572610758</v>
      </c>
      <c r="AO912" s="6" t="n">
        <v>1.353937536929841</v>
      </c>
      <c r="AP912" s="6" t="n">
        <v>0.1343513528426126</v>
      </c>
      <c r="AQ912" s="6" t="n">
        <v>0</v>
      </c>
      <c r="AR912" s="6" t="n">
        <v>0</v>
      </c>
    </row>
    <row r="913">
      <c r="D913" t="inlineStr">
        <is>
          <t>Run 601</t>
        </is>
      </c>
      <c r="J913" s="6" t="n">
        <v>-0.3898311645403223</v>
      </c>
      <c r="K913" s="6" t="n">
        <v>1.806688171914559</v>
      </c>
      <c r="L913" s="6" t="n">
        <v>2.996140039286146</v>
      </c>
      <c r="M913" s="6" t="n">
        <v>0.3946322645325913</v>
      </c>
      <c r="N913" s="6" t="n">
        <v>1.825361111074231</v>
      </c>
      <c r="O913" s="6" t="n">
        <v>0.9590178346818159</v>
      </c>
      <c r="P913" s="6" t="n">
        <v>0.5208332896419218</v>
      </c>
      <c r="Q913" s="6" t="n">
        <v>-0.2435924670000087</v>
      </c>
      <c r="R913" s="6" t="n">
        <v>2.758795511060445</v>
      </c>
      <c r="S913" s="6" t="n">
        <v>1.011720537606289</v>
      </c>
      <c r="T913" s="6" t="n">
        <v>2.217975061694492</v>
      </c>
      <c r="U913" s="6" t="n">
        <v>-2.37497802928065</v>
      </c>
      <c r="V913" s="6" t="n">
        <v>0.720215315367727</v>
      </c>
      <c r="W913" s="6" t="n">
        <v>3.202202190524046</v>
      </c>
      <c r="X913" s="6" t="n">
        <v>-1.663974629250905</v>
      </c>
      <c r="Y913" s="6" t="n">
        <v>-1.353830057232327</v>
      </c>
      <c r="Z913" s="6" t="n">
        <v>-0.6348826865664361</v>
      </c>
      <c r="AA913" s="6" t="n">
        <v>2.162679391841905</v>
      </c>
      <c r="AB913" s="6" t="n">
        <v>1.10604962602082</v>
      </c>
      <c r="AC913" s="6" t="n">
        <v>2.065025858855237</v>
      </c>
      <c r="AD913" s="6" t="n">
        <v>-3.487601069848541</v>
      </c>
      <c r="AE913" s="6" t="n">
        <v>-2.426381055807613</v>
      </c>
      <c r="AF913" s="6" t="n">
        <v>-2.22961090610655</v>
      </c>
      <c r="AG913" s="6" t="n">
        <v>-1.006406180436537</v>
      </c>
      <c r="AH913" s="6" t="n">
        <v>-2.295100443412258</v>
      </c>
      <c r="AI913" s="6" t="n">
        <v>-0.7959981662251334</v>
      </c>
      <c r="AJ913" s="6" t="n">
        <v>73.12088131280883</v>
      </c>
      <c r="AK913" s="6" t="n">
        <v>0.1933880182044138</v>
      </c>
      <c r="AL913" s="6" t="n">
        <v>1.083733378243962</v>
      </c>
      <c r="AN913" s="6" t="n">
        <v>1.324297241514285</v>
      </c>
      <c r="AO913" s="6" t="n">
        <v>1.325033517037115</v>
      </c>
      <c r="AP913" s="6" t="n">
        <v>0.1280647651598114</v>
      </c>
      <c r="AQ913" s="6" t="n">
        <v>0</v>
      </c>
      <c r="AR913" s="6" t="n">
        <v>0</v>
      </c>
    </row>
    <row r="914">
      <c r="D914" t="inlineStr">
        <is>
          <t>Run 602</t>
        </is>
      </c>
      <c r="J914" s="6" t="n">
        <v>-1.606259797334673</v>
      </c>
      <c r="K914" s="6" t="n">
        <v>-1.708020062282137</v>
      </c>
      <c r="L914" s="6" t="n">
        <v>-1.5452123913695</v>
      </c>
      <c r="M914" s="6" t="n">
        <v>-0.1500825300876619</v>
      </c>
      <c r="N914" s="6" t="n">
        <v>0.4512444457900099</v>
      </c>
      <c r="O914" s="6" t="n">
        <v>-0.03225335722669018</v>
      </c>
      <c r="P914" s="6" t="n">
        <v>-0.8294266483422873</v>
      </c>
      <c r="Q914" s="6" t="n">
        <v>-0.3814356919436493</v>
      </c>
      <c r="R914" s="6" t="n">
        <v>-2.88277544835501</v>
      </c>
      <c r="S914" s="6" t="n">
        <v>0.09118088503179016</v>
      </c>
      <c r="T914" s="6" t="n">
        <v>1.704299729062486</v>
      </c>
      <c r="U914" s="6" t="n">
        <v>0.0875432181676076</v>
      </c>
      <c r="V914" s="6" t="n">
        <v>2.221272062053073</v>
      </c>
      <c r="W914" s="6" t="n">
        <v>0.5528623381884581</v>
      </c>
      <c r="X914" s="6" t="n">
        <v>-1.915168697768495</v>
      </c>
      <c r="Y914" s="6" t="n">
        <v>-1.653820198470419</v>
      </c>
      <c r="Z914" s="6" t="n">
        <v>-1.645862442083154</v>
      </c>
      <c r="AA914" s="6" t="n">
        <v>5</v>
      </c>
      <c r="AB914" s="6" t="n">
        <v>4.127068181116299</v>
      </c>
      <c r="AC914" s="6" t="n">
        <v>4.119346296740829</v>
      </c>
      <c r="AD914" s="6" t="n">
        <v>-0.9707872708196974</v>
      </c>
      <c r="AE914" s="6" t="n">
        <v>-0.4145970796526676</v>
      </c>
      <c r="AF914" s="6" t="n">
        <v>1.108779527126136</v>
      </c>
      <c r="AG914" s="6" t="n">
        <v>2.297804086797452</v>
      </c>
      <c r="AH914" s="6" t="n">
        <v>0.6035251296240984</v>
      </c>
      <c r="AI914" s="6" t="n">
        <v>-1.906748510813496</v>
      </c>
      <c r="AJ914" s="6" t="n">
        <v>73.66260060954986</v>
      </c>
      <c r="AK914" s="6" t="n">
        <v>0.07032609729364139</v>
      </c>
      <c r="AL914" s="6" t="n">
        <v>1.0363595051828</v>
      </c>
      <c r="AN914" s="6" t="n">
        <v>1.353336121234036</v>
      </c>
      <c r="AO914" s="6" t="n">
        <v>1.353336121234036</v>
      </c>
      <c r="AP914" s="6" t="n">
        <v>0.1351113951828832</v>
      </c>
      <c r="AQ914" s="6" t="n">
        <v>0</v>
      </c>
      <c r="AR914" s="6" t="n">
        <v>0</v>
      </c>
    </row>
    <row r="915">
      <c r="D915" t="inlineStr">
        <is>
          <t>Run 603</t>
        </is>
      </c>
      <c r="J915" s="6" t="n">
        <v>0.83298141275816</v>
      </c>
      <c r="K915" s="6" t="n">
        <v>-0.3850041277019028</v>
      </c>
      <c r="L915" s="6" t="n">
        <v>-0.7162732188109802</v>
      </c>
      <c r="M915" s="6" t="n">
        <v>-0.2066949220561908</v>
      </c>
      <c r="N915" s="6" t="n">
        <v>-0.4348704335606434</v>
      </c>
      <c r="O915" s="6" t="n">
        <v>0.7360782179231313</v>
      </c>
      <c r="P915" s="6" t="n">
        <v>0.8536830117651113</v>
      </c>
      <c r="Q915" s="6" t="n">
        <v>-1.160350477289216</v>
      </c>
      <c r="R915" s="6" t="n">
        <v>-0.7096209707487445</v>
      </c>
      <c r="S915" s="6" t="n">
        <v>-3.450319725669861</v>
      </c>
      <c r="T915" s="6" t="n">
        <v>2.997706538901505</v>
      </c>
      <c r="U915" s="6" t="n">
        <v>-1.237595411736557</v>
      </c>
      <c r="V915" s="6" t="n">
        <v>1.455601155438671</v>
      </c>
      <c r="W915" s="6" t="n">
        <v>-2.734193383549818</v>
      </c>
      <c r="X915" s="6" t="n">
        <v>-0.06392763993906295</v>
      </c>
      <c r="Y915" s="6" t="n">
        <v>0.6399048755523973</v>
      </c>
      <c r="Z915" s="6" t="n">
        <v>-0.4387498950547922</v>
      </c>
      <c r="AA915" s="6" t="n">
        <v>-0.340858085454091</v>
      </c>
      <c r="AB915" s="6" t="n">
        <v>-0.3809375950817843</v>
      </c>
      <c r="AC915" s="6" t="n">
        <v>2.624810184053029</v>
      </c>
      <c r="AD915" s="6" t="n">
        <v>0.4144604250786265</v>
      </c>
      <c r="AE915" s="6" t="n">
        <v>2.812717543276791</v>
      </c>
      <c r="AF915" s="6" t="n">
        <v>0.3114835266504243</v>
      </c>
      <c r="AG915" s="6" t="n">
        <v>1.207015203358308</v>
      </c>
      <c r="AH915" s="6" t="n">
        <v>0.9090606037259701</v>
      </c>
      <c r="AI915" s="6" t="n">
        <v>2.580194216272342</v>
      </c>
      <c r="AJ915" s="6" t="n">
        <v>68.98586112024708</v>
      </c>
      <c r="AK915" s="6" t="n">
        <v>0.1277634318467843</v>
      </c>
      <c r="AL915" s="6" t="n">
        <v>1.065434612397682</v>
      </c>
      <c r="AN915" s="6" t="n">
        <v>1.33833412934838</v>
      </c>
      <c r="AO915" s="6" t="n">
        <v>1.338591205529422</v>
      </c>
      <c r="AP915" s="6" t="n">
        <v>0.1307988170698424</v>
      </c>
      <c r="AQ915" s="6" t="n">
        <v>0</v>
      </c>
      <c r="AR915" s="6" t="n">
        <v>0</v>
      </c>
    </row>
    <row r="916">
      <c r="D916" t="inlineStr">
        <is>
          <t>Run 604</t>
        </is>
      </c>
      <c r="J916" s="6" t="n">
        <v>0.7967191079379771</v>
      </c>
      <c r="K916" s="6" t="n">
        <v>0.6159417106186063</v>
      </c>
      <c r="L916" s="6" t="n">
        <v>-0.1884371273886012</v>
      </c>
      <c r="M916" s="6" t="n">
        <v>0.820698704951991</v>
      </c>
      <c r="N916" s="6" t="n">
        <v>1.819981392089845</v>
      </c>
      <c r="O916" s="6" t="n">
        <v>2.791182141446083</v>
      </c>
      <c r="P916" s="6" t="n">
        <v>2.622156145867974</v>
      </c>
      <c r="Q916" s="6" t="n">
        <v>2.235053961983519</v>
      </c>
      <c r="R916" s="6" t="n">
        <v>-4.128762285543793</v>
      </c>
      <c r="S916" s="6" t="n">
        <v>-1.156756373431915</v>
      </c>
      <c r="T916" s="6" t="n">
        <v>-0.05024576076038088</v>
      </c>
      <c r="U916" s="6" t="n">
        <v>0.7791355719634397</v>
      </c>
      <c r="V916" s="6" t="n">
        <v>-0.8641070176767137</v>
      </c>
      <c r="W916" s="6" t="n">
        <v>-1.298854003384659</v>
      </c>
      <c r="X916" s="6" t="n">
        <v>-3.111392859192696</v>
      </c>
      <c r="Y916" s="6" t="n">
        <v>-2.40296807738929</v>
      </c>
      <c r="Z916" s="6" t="n">
        <v>-1.508371172813793</v>
      </c>
      <c r="AA916" s="6" t="n">
        <v>-0.2428011899556752</v>
      </c>
      <c r="AB916" s="6" t="n">
        <v>2.267284547364328</v>
      </c>
      <c r="AC916" s="6" t="n">
        <v>2.169576799890502</v>
      </c>
      <c r="AD916" s="6" t="n">
        <v>1.099483844511982</v>
      </c>
      <c r="AE916" s="6" t="n">
        <v>-0.1588256996600945</v>
      </c>
      <c r="AF916" s="6" t="n">
        <v>0.9347393111812488</v>
      </c>
      <c r="AG916" s="6" t="n">
        <v>-1.828068970751103</v>
      </c>
      <c r="AH916" s="6" t="n">
        <v>0.4119583996486962</v>
      </c>
      <c r="AI916" s="6" t="n">
        <v>-1.548398773735071</v>
      </c>
      <c r="AJ916" s="6" t="n">
        <v>64.08579148793868</v>
      </c>
      <c r="AK916" s="6" t="n">
        <v>0.1305657355367451</v>
      </c>
      <c r="AL916" s="6" t="n">
        <v>1.015042851350319</v>
      </c>
      <c r="AN916" s="6" t="n">
        <v>1.34771379818267</v>
      </c>
      <c r="AO916" s="6" t="n">
        <v>1.34771379818267</v>
      </c>
      <c r="AP916" s="6" t="n">
        <v>0.1351443795891658</v>
      </c>
      <c r="AQ916" s="6" t="n">
        <v>0</v>
      </c>
      <c r="AR916" s="6" t="n">
        <v>0</v>
      </c>
    </row>
    <row r="917">
      <c r="D917" t="inlineStr">
        <is>
          <t>Run 605</t>
        </is>
      </c>
      <c r="J917" s="6" t="n">
        <v>-0.340518749890559</v>
      </c>
      <c r="K917" s="6" t="n">
        <v>-0.9077545011058706</v>
      </c>
      <c r="L917" s="6" t="n">
        <v>3.109434926856823</v>
      </c>
      <c r="M917" s="6" t="n">
        <v>-4.794931313863947</v>
      </c>
      <c r="N917" s="6" t="n">
        <v>-1.94877987040064</v>
      </c>
      <c r="O917" s="6" t="n">
        <v>-0.3609810724410674</v>
      </c>
      <c r="P917" s="6" t="n">
        <v>1.44134969776898</v>
      </c>
      <c r="Q917" s="6" t="n">
        <v>1.341045104077716</v>
      </c>
      <c r="R917" s="6" t="n">
        <v>0.1541629537265455</v>
      </c>
      <c r="S917" s="6" t="n">
        <v>0.009864072348599012</v>
      </c>
      <c r="T917" s="6" t="n">
        <v>0.4483333107459236</v>
      </c>
      <c r="U917" s="6" t="n">
        <v>1.371796713136949</v>
      </c>
      <c r="V917" s="6" t="n">
        <v>-1.791628551808893</v>
      </c>
      <c r="W917" s="6" t="n">
        <v>2.617739507081686</v>
      </c>
      <c r="X917" s="6" t="n">
        <v>0.02751427864429091</v>
      </c>
      <c r="Y917" s="6" t="n">
        <v>-1.930045334345816</v>
      </c>
      <c r="Z917" s="6" t="n">
        <v>-3.147001059556714</v>
      </c>
      <c r="AA917" s="6" t="n">
        <v>-0.3283452230395275</v>
      </c>
      <c r="AB917" s="6" t="n">
        <v>-0.4874713447378305</v>
      </c>
      <c r="AC917" s="6" t="n">
        <v>-0.5004611092150959</v>
      </c>
      <c r="AD917" s="6" t="n">
        <v>0.9533150378845623</v>
      </c>
      <c r="AE917" s="6" t="n">
        <v>1.297263450568636</v>
      </c>
      <c r="AF917" s="6" t="n">
        <v>3.385625605752689</v>
      </c>
      <c r="AG917" s="6" t="n">
        <v>2.799980548018098</v>
      </c>
      <c r="AH917" s="6" t="n">
        <v>-0.2964557132204463</v>
      </c>
      <c r="AI917" s="6" t="n">
        <v>3.063842040055381</v>
      </c>
      <c r="AJ917" s="6" t="n">
        <v>75.11313728812038</v>
      </c>
      <c r="AK917" s="6" t="n">
        <v>0.1379982967508528</v>
      </c>
      <c r="AL917" s="6" t="n">
        <v>1.014702948670632</v>
      </c>
      <c r="AN917" s="6" t="n">
        <v>1.302542632906075</v>
      </c>
      <c r="AO917" s="6" t="n">
        <v>1.308422521913814</v>
      </c>
      <c r="AP917" s="6" t="n">
        <v>0.1355263513779443</v>
      </c>
      <c r="AQ917" s="6" t="n">
        <v>0</v>
      </c>
      <c r="AR917" s="6" t="n">
        <v>0</v>
      </c>
    </row>
    <row r="918">
      <c r="D918" t="inlineStr">
        <is>
          <t>Run 606</t>
        </is>
      </c>
      <c r="J918" s="6" t="n">
        <v>-2.818735895313443</v>
      </c>
      <c r="K918" s="6" t="n">
        <v>-2.620704092132238</v>
      </c>
      <c r="L918" s="6" t="n">
        <v>-1.294523850904571</v>
      </c>
      <c r="M918" s="6" t="n">
        <v>-1.168661243437692</v>
      </c>
      <c r="N918" s="6" t="n">
        <v>-1.993964428532603</v>
      </c>
      <c r="O918" s="6" t="n">
        <v>0.2434899323937934</v>
      </c>
      <c r="P918" s="6" t="n">
        <v>-0.7876597888561125</v>
      </c>
      <c r="Q918" s="6" t="n">
        <v>0.03640074880762773</v>
      </c>
      <c r="R918" s="6" t="n">
        <v>-2.842731375707904</v>
      </c>
      <c r="S918" s="6" t="n">
        <v>3.133061461632236</v>
      </c>
      <c r="T918" s="6" t="n">
        <v>-3.197359250054395</v>
      </c>
      <c r="U918" s="6" t="n">
        <v>0.7429127757769708</v>
      </c>
      <c r="V918" s="6" t="n">
        <v>-3.043001107390636</v>
      </c>
      <c r="W918" s="6" t="n">
        <v>-1.806217962847251</v>
      </c>
      <c r="X918" s="6" t="n">
        <v>0.1687228279078622</v>
      </c>
      <c r="Y918" s="6" t="n">
        <v>-1.187173040444295</v>
      </c>
      <c r="Z918" s="6" t="n">
        <v>-2.741869182111616</v>
      </c>
      <c r="AA918" s="6" t="n">
        <v>0.05403136392429727</v>
      </c>
      <c r="AB918" s="6" t="n">
        <v>-0.339898365432069</v>
      </c>
      <c r="AC918" s="6" t="n">
        <v>0.7325037104900243</v>
      </c>
      <c r="AD918" s="6" t="n">
        <v>2.610629445074644</v>
      </c>
      <c r="AE918" s="6" t="n">
        <v>1.716110471915167</v>
      </c>
      <c r="AF918" s="6" t="n">
        <v>0.2437852482736662</v>
      </c>
      <c r="AG918" s="6" t="n">
        <v>1.01192549097497</v>
      </c>
      <c r="AH918" s="6" t="n">
        <v>0.5362387266496883</v>
      </c>
      <c r="AI918" s="6" t="n">
        <v>-0.4469397824638187</v>
      </c>
      <c r="AJ918" s="6" t="n">
        <v>75.53487847594555</v>
      </c>
      <c r="AK918" s="6" t="n">
        <v>0.08073458961021612</v>
      </c>
      <c r="AL918" s="6" t="n">
        <v>1.075295409204495</v>
      </c>
      <c r="AN918" s="6" t="n">
        <v>1.339422910925938</v>
      </c>
      <c r="AO918" s="6" t="n">
        <v>1.342122711962592</v>
      </c>
      <c r="AP918" s="6" t="n">
        <v>0.1319258889832784</v>
      </c>
      <c r="AQ918" s="6" t="n">
        <v>0</v>
      </c>
      <c r="AR918" s="6" t="n">
        <v>0</v>
      </c>
    </row>
    <row r="919">
      <c r="D919" t="inlineStr">
        <is>
          <t>Run 607</t>
        </is>
      </c>
      <c r="J919" s="6" t="n">
        <v>-1.397018511980688</v>
      </c>
      <c r="K919" s="6" t="n">
        <v>2.129951674108292</v>
      </c>
      <c r="L919" s="6" t="n">
        <v>2.479351707215846</v>
      </c>
      <c r="M919" s="6" t="n">
        <v>0.7061318812606334</v>
      </c>
      <c r="N919" s="6" t="n">
        <v>-2.193672446528682</v>
      </c>
      <c r="O919" s="6" t="n">
        <v>-1.406058024555621</v>
      </c>
      <c r="P919" s="6" t="n">
        <v>2.209924059605276</v>
      </c>
      <c r="Q919" s="6" t="n">
        <v>1.208925714836243</v>
      </c>
      <c r="R919" s="6" t="n">
        <v>0.9497351981445742</v>
      </c>
      <c r="S919" s="6" t="n">
        <v>-1.320838480137402</v>
      </c>
      <c r="T919" s="6" t="n">
        <v>-1.095493295629475</v>
      </c>
      <c r="U919" s="6" t="n">
        <v>-0.9699082439260075</v>
      </c>
      <c r="V919" s="6" t="n">
        <v>-0.8059765216162408</v>
      </c>
      <c r="W919" s="6" t="n">
        <v>-0.3210379271830269</v>
      </c>
      <c r="X919" s="6" t="n">
        <v>-1.569044752973676</v>
      </c>
      <c r="Y919" s="6" t="n">
        <v>-3.135863108516022</v>
      </c>
      <c r="Z919" s="6" t="n">
        <v>0.8321989482358209</v>
      </c>
      <c r="AA919" s="6" t="n">
        <v>-1.193242392082771</v>
      </c>
      <c r="AB919" s="6" t="n">
        <v>2.937811143351228</v>
      </c>
      <c r="AC919" s="6" t="n">
        <v>3.350317384754602</v>
      </c>
      <c r="AD919" s="6" t="n">
        <v>-1.489585161317157</v>
      </c>
      <c r="AE919" s="6" t="n">
        <v>1.874362798998432</v>
      </c>
      <c r="AF919" s="6" t="n">
        <v>2.080616887308132</v>
      </c>
      <c r="AG919" s="6" t="n">
        <v>0.7214554128660524</v>
      </c>
      <c r="AH919" s="6" t="n">
        <v>2.701271247570819</v>
      </c>
      <c r="AI919" s="6" t="n">
        <v>-1.175202797758649</v>
      </c>
      <c r="AJ919" s="6" t="n">
        <v>63.25433027553626</v>
      </c>
      <c r="AK919" s="6" t="n">
        <v>0.0745058165838865</v>
      </c>
      <c r="AL919" s="6" t="n">
        <v>1.03123342614598</v>
      </c>
      <c r="AN919" s="6" t="n">
        <v>1.345529241368781</v>
      </c>
      <c r="AO919" s="6" t="n">
        <v>1.346417459270208</v>
      </c>
      <c r="AP919" s="6" t="n">
        <v>0.1344367793327214</v>
      </c>
      <c r="AQ919" s="6" t="n">
        <v>0</v>
      </c>
      <c r="AR919" s="6" t="n">
        <v>0</v>
      </c>
    </row>
    <row r="920">
      <c r="D920" t="inlineStr">
        <is>
          <t>Run 608</t>
        </is>
      </c>
      <c r="J920" s="6" t="n">
        <v>-3.620619007687869</v>
      </c>
      <c r="K920" s="6" t="n">
        <v>-3.082499480388726</v>
      </c>
      <c r="L920" s="6" t="n">
        <v>-1.69711599702833</v>
      </c>
      <c r="M920" s="6" t="n">
        <v>1.590526349009217</v>
      </c>
      <c r="N920" s="6" t="n">
        <v>1.287300755423977</v>
      </c>
      <c r="O920" s="6" t="n">
        <v>-0.07935516811405373</v>
      </c>
      <c r="P920" s="6" t="n">
        <v>-1.50396748656738</v>
      </c>
      <c r="Q920" s="6" t="n">
        <v>-1.710681924013737</v>
      </c>
      <c r="R920" s="6" t="n">
        <v>-3.077950774535451</v>
      </c>
      <c r="S920" s="6" t="n">
        <v>-2.637570565757531</v>
      </c>
      <c r="T920" s="6" t="n">
        <v>0.01806494630240777</v>
      </c>
      <c r="U920" s="6" t="n">
        <v>-1.271339419025266</v>
      </c>
      <c r="V920" s="6" t="n">
        <v>-5.02707848966147</v>
      </c>
      <c r="W920" s="6" t="n">
        <v>1.223043898625975</v>
      </c>
      <c r="X920" s="6" t="n">
        <v>0.1770938505067053</v>
      </c>
      <c r="Y920" s="6" t="n">
        <v>-1.274619262811414</v>
      </c>
      <c r="Z920" s="6" t="n">
        <v>-2.11887477649838</v>
      </c>
      <c r="AA920" s="6" t="n">
        <v>0.6181890210797442</v>
      </c>
      <c r="AB920" s="6" t="n">
        <v>0.5206964883823937</v>
      </c>
      <c r="AC920" s="6" t="n">
        <v>2.913366262762293</v>
      </c>
      <c r="AD920" s="6" t="n">
        <v>-2.66596316820342</v>
      </c>
      <c r="AE920" s="6" t="n">
        <v>1.638285725510536</v>
      </c>
      <c r="AF920" s="6" t="n">
        <v>2.361683694202322</v>
      </c>
      <c r="AG920" s="6" t="n">
        <v>5</v>
      </c>
      <c r="AH920" s="6" t="n">
        <v>-0.3329784408298326</v>
      </c>
      <c r="AI920" s="6" t="n">
        <v>0.9555696036234301</v>
      </c>
      <c r="AJ920" s="6" t="n">
        <v>61.02360767636887</v>
      </c>
      <c r="AK920" s="6" t="n">
        <v>0.1307933422124797</v>
      </c>
      <c r="AL920" s="6" t="n">
        <v>1.015283306928284</v>
      </c>
      <c r="AN920" s="6" t="n">
        <v>1.351455134356798</v>
      </c>
      <c r="AO920" s="6" t="n">
        <v>1.352023399435437</v>
      </c>
      <c r="AP920" s="6" t="n">
        <v>0.1348071636302375</v>
      </c>
      <c r="AQ920" s="6" t="n">
        <v>0</v>
      </c>
      <c r="AR920" s="6" t="n">
        <v>0</v>
      </c>
    </row>
    <row r="921">
      <c r="D921" t="inlineStr">
        <is>
          <t>Run 609</t>
        </is>
      </c>
      <c r="J921" s="6" t="n">
        <v>0.9623817571525535</v>
      </c>
      <c r="K921" s="6" t="n">
        <v>3.385009147094948</v>
      </c>
      <c r="L921" s="6" t="n">
        <v>-3.987044301521591</v>
      </c>
      <c r="M921" s="6" t="n">
        <v>0.4134745393497937</v>
      </c>
      <c r="N921" s="6" t="n">
        <v>-1.868159204755879</v>
      </c>
      <c r="O921" s="6" t="n">
        <v>0.04540846546053411</v>
      </c>
      <c r="P921" s="6" t="n">
        <v>1.426471180218192</v>
      </c>
      <c r="Q921" s="6" t="n">
        <v>-1.667958550785838</v>
      </c>
      <c r="R921" s="6" t="n">
        <v>-0.4585731725243439</v>
      </c>
      <c r="S921" s="6" t="n">
        <v>-0.3821829013314672</v>
      </c>
      <c r="T921" s="6" t="n">
        <v>-3.828899617124578</v>
      </c>
      <c r="U921" s="6" t="n">
        <v>-0.8367289861622224</v>
      </c>
      <c r="V921" s="6" t="n">
        <v>0.346157069307744</v>
      </c>
      <c r="W921" s="6" t="n">
        <v>0.2990651343223225</v>
      </c>
      <c r="X921" s="6" t="n">
        <v>0.8808637699422808</v>
      </c>
      <c r="Y921" s="6" t="n">
        <v>0.3854764448608939</v>
      </c>
      <c r="Z921" s="6" t="n">
        <v>2.057913057549322</v>
      </c>
      <c r="AA921" s="6" t="n">
        <v>1.307356575684692</v>
      </c>
      <c r="AB921" s="6" t="n">
        <v>1.65677297101613</v>
      </c>
      <c r="AC921" s="6" t="n">
        <v>3.766054353427899</v>
      </c>
      <c r="AD921" s="6" t="n">
        <v>3.253020687494435</v>
      </c>
      <c r="AE921" s="6" t="n">
        <v>-0.258264960079008</v>
      </c>
      <c r="AF921" s="6" t="n">
        <v>-0.0291477024586594</v>
      </c>
      <c r="AG921" s="6" t="n">
        <v>1.410233771902224</v>
      </c>
      <c r="AH921" s="6" t="n">
        <v>2.845194010851761</v>
      </c>
      <c r="AI921" s="6" t="n">
        <v>0.01462662356471863</v>
      </c>
      <c r="AJ921" s="6" t="n">
        <v>64.04711562114719</v>
      </c>
      <c r="AK921" s="6" t="n">
        <v>0.1231058060896565</v>
      </c>
      <c r="AL921" s="6" t="n">
        <v>1.005262033117015</v>
      </c>
      <c r="AN921" s="6" t="n">
        <v>1.348979097163463</v>
      </c>
      <c r="AO921" s="6" t="n">
        <v>1.348979097163463</v>
      </c>
      <c r="AP921" s="6" t="n">
        <v>0.1366702298631995</v>
      </c>
      <c r="AQ921" s="6" t="n">
        <v>0</v>
      </c>
      <c r="AR921" s="6" t="n">
        <v>0</v>
      </c>
    </row>
    <row r="922">
      <c r="D922" t="inlineStr">
        <is>
          <t>Run 610</t>
        </is>
      </c>
      <c r="J922" s="6" t="n">
        <v>-1.067625575065853</v>
      </c>
      <c r="K922" s="6" t="n">
        <v>-1.35316745336471</v>
      </c>
      <c r="L922" s="6" t="n">
        <v>-2.251909792807962</v>
      </c>
      <c r="M922" s="6" t="n">
        <v>1.743164990519216</v>
      </c>
      <c r="N922" s="6" t="n">
        <v>-4.582266093429239</v>
      </c>
      <c r="O922" s="6" t="n">
        <v>2.501674846257141</v>
      </c>
      <c r="P922" s="6" t="n">
        <v>-0.840248838501108</v>
      </c>
      <c r="Q922" s="6" t="n">
        <v>-0.6358258098594936</v>
      </c>
      <c r="R922" s="6" t="n">
        <v>2.060317817552419</v>
      </c>
      <c r="S922" s="6" t="n">
        <v>2.61558048493967</v>
      </c>
      <c r="T922" s="6" t="n">
        <v>-1.024079131484452</v>
      </c>
      <c r="U922" s="6" t="n">
        <v>-3.746813237989597</v>
      </c>
      <c r="V922" s="6" t="n">
        <v>0.3491425352412663</v>
      </c>
      <c r="W922" s="6" t="n">
        <v>5</v>
      </c>
      <c r="X922" s="6" t="n">
        <v>-0.6221571622938348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-1.147280264885666</v>
      </c>
      <c r="AC922" s="6" t="n">
        <v>-2.898539160357819</v>
      </c>
      <c r="AD922" s="6" t="n">
        <v>-0.2628091640578428</v>
      </c>
      <c r="AE922" s="6" t="n">
        <v>1.75086621766043</v>
      </c>
      <c r="AF922" s="6" t="n">
        <v>1.681642490755441</v>
      </c>
      <c r="AG922" s="6" t="n">
        <v>-3.393071172745056</v>
      </c>
      <c r="AH922" s="6" t="n">
        <v>-0.6044377117292297</v>
      </c>
      <c r="AI922" s="6" t="n">
        <v>-0.1063175042059091</v>
      </c>
      <c r="AJ922" s="6" t="n">
        <v>70.84491416288449</v>
      </c>
      <c r="AK922" s="6" t="n">
        <v>0.1662143478043172</v>
      </c>
      <c r="AL922" s="6" t="n">
        <v>1.055579251031394</v>
      </c>
      <c r="AN922" s="6" t="n">
        <v>1.337542315247745</v>
      </c>
      <c r="AO922" s="6" t="n">
        <v>1.337598585807256</v>
      </c>
      <c r="AP922" s="6" t="n">
        <v>0.1305206526163813</v>
      </c>
      <c r="AQ922" s="6" t="n">
        <v>0</v>
      </c>
      <c r="AR922" s="6" t="n">
        <v>0</v>
      </c>
    </row>
    <row r="923">
      <c r="D923" t="inlineStr">
        <is>
          <t>Run 611</t>
        </is>
      </c>
      <c r="J923" s="6" t="n">
        <v>-0.4888825232472501</v>
      </c>
      <c r="K923" s="6" t="n">
        <v>-0.663637459984377</v>
      </c>
      <c r="L923" s="6" t="n">
        <v>1.562900558013349</v>
      </c>
      <c r="M923" s="6" t="n">
        <v>0.08718163218685075</v>
      </c>
      <c r="N923" s="6" t="n">
        <v>-4.279644463283286</v>
      </c>
      <c r="O923" s="6" t="n">
        <v>2.652842341720808</v>
      </c>
      <c r="P923" s="6" t="n">
        <v>-1.788343338757017</v>
      </c>
      <c r="Q923" s="6" t="n">
        <v>-1.42542071810551</v>
      </c>
      <c r="R923" s="6" t="n">
        <v>1.151277620544358</v>
      </c>
      <c r="S923" s="6" t="n">
        <v>-1.95516523778401</v>
      </c>
      <c r="T923" s="6" t="n">
        <v>0.5344866768056518</v>
      </c>
      <c r="U923" s="6" t="n">
        <v>2.050409244614588</v>
      </c>
      <c r="V923" s="6" t="n">
        <v>-0.947164696509053</v>
      </c>
      <c r="W923" s="6" t="n">
        <v>0.9344690322264059</v>
      </c>
      <c r="X923" s="6" t="n">
        <v>-0.7331128293739086</v>
      </c>
      <c r="Y923" s="6" t="n">
        <v>-2.351461357305578</v>
      </c>
      <c r="Z923" s="6" t="n">
        <v>0.5313855734476139</v>
      </c>
      <c r="AA923" s="6" t="n">
        <v>0.3180345499269369</v>
      </c>
      <c r="AB923" s="6" t="n">
        <v>-1.856751023075152</v>
      </c>
      <c r="AC923" s="6" t="n">
        <v>-3.631552412977153</v>
      </c>
      <c r="AD923" s="6" t="n">
        <v>-2.123240294173204</v>
      </c>
      <c r="AE923" s="6" t="n">
        <v>0.4396760160294795</v>
      </c>
      <c r="AF923" s="6" t="n">
        <v>0.5840031976735993</v>
      </c>
      <c r="AG923" s="6" t="n">
        <v>-0.4821553289419115</v>
      </c>
      <c r="AH923" s="6" t="n">
        <v>-0.122271167562384</v>
      </c>
      <c r="AI923" s="6" t="n">
        <v>2.91519910364637</v>
      </c>
      <c r="AJ923" s="6" t="n">
        <v>72.90936143489074</v>
      </c>
      <c r="AK923" s="6" t="n">
        <v>0.1736842605705206</v>
      </c>
      <c r="AL923" s="6" t="n">
        <v>1.072957526460225</v>
      </c>
      <c r="AN923" s="6" t="n">
        <v>1.330475333092008</v>
      </c>
      <c r="AO923" s="6" t="n">
        <v>1.33056026009849</v>
      </c>
      <c r="AP923" s="6" t="n">
        <v>0.129281299978345</v>
      </c>
      <c r="AQ923" s="6" t="n">
        <v>0</v>
      </c>
      <c r="AR923" s="6" t="n">
        <v>0</v>
      </c>
    </row>
    <row r="924">
      <c r="D924" t="inlineStr">
        <is>
          <t>Run 612</t>
        </is>
      </c>
      <c r="J924" s="6" t="n">
        <v>-1.669189698749954</v>
      </c>
      <c r="K924" s="6" t="n">
        <v>3.371563734383741</v>
      </c>
      <c r="L924" s="6" t="n">
        <v>0.7265590419566772</v>
      </c>
      <c r="M924" s="6" t="n">
        <v>-2.442688972712565</v>
      </c>
      <c r="N924" s="6" t="n">
        <v>-4.804587475785747</v>
      </c>
      <c r="O924" s="6" t="n">
        <v>1.49600105028212</v>
      </c>
      <c r="P924" s="6" t="n">
        <v>-3.713772651413603</v>
      </c>
      <c r="Q924" s="6" t="n">
        <v>-3.438008938897231</v>
      </c>
      <c r="R924" s="6" t="n">
        <v>0.6690174886867954</v>
      </c>
      <c r="S924" s="6" t="n">
        <v>-1.13720438716958</v>
      </c>
      <c r="T924" s="6" t="n">
        <v>0.3794253306122592</v>
      </c>
      <c r="U924" s="6" t="n">
        <v>0.338545777283533</v>
      </c>
      <c r="V924" s="6" t="n">
        <v>3.034013533612299</v>
      </c>
      <c r="W924" s="6" t="n">
        <v>1.110606616353488</v>
      </c>
      <c r="X924" s="6" t="n">
        <v>1.900095517470862</v>
      </c>
      <c r="Y924" s="6" t="n">
        <v>-1.30930078722384</v>
      </c>
      <c r="Z924" s="6" t="n">
        <v>-3.338731440335662</v>
      </c>
      <c r="AA924" s="6" t="n">
        <v>1.172619379071207</v>
      </c>
      <c r="AB924" s="6" t="n">
        <v>-3.859918321815609</v>
      </c>
      <c r="AC924" s="6" t="n">
        <v>-1.099473709168582</v>
      </c>
      <c r="AD924" s="6" t="n">
        <v>2.835383606379478</v>
      </c>
      <c r="AE924" s="6" t="n">
        <v>2.437499789416303</v>
      </c>
      <c r="AF924" s="6" t="n">
        <v>-4.717221839212789</v>
      </c>
      <c r="AG924" s="6" t="n">
        <v>-0.7835779984841118</v>
      </c>
      <c r="AH924" s="6" t="n">
        <v>-2.901143912395052</v>
      </c>
      <c r="AI924" s="6" t="n">
        <v>-0.3679362021797875</v>
      </c>
      <c r="AJ924" s="6" t="n">
        <v>80.04158199803977</v>
      </c>
      <c r="AK924" s="6" t="n">
        <v>0.1592230077677274</v>
      </c>
      <c r="AL924" s="6" t="n">
        <v>1.03025707165897</v>
      </c>
      <c r="AN924" s="6" t="n">
        <v>1.329416073462976</v>
      </c>
      <c r="AO924" s="6" t="n">
        <v>1.330927688944647</v>
      </c>
      <c r="AP924" s="6" t="n">
        <v>0.1331645665315205</v>
      </c>
      <c r="AQ924" s="6" t="n">
        <v>0</v>
      </c>
      <c r="AR924" s="6" t="n">
        <v>0</v>
      </c>
    </row>
    <row r="925">
      <c r="D925" t="inlineStr">
        <is>
          <t>Run 613</t>
        </is>
      </c>
      <c r="J925" s="6" t="n">
        <v>2.048386718282307</v>
      </c>
      <c r="K925" s="6" t="n">
        <v>1.374120702606849</v>
      </c>
      <c r="L925" s="6" t="n">
        <v>2.981436342329403</v>
      </c>
      <c r="M925" s="6" t="n">
        <v>1.927120688431016</v>
      </c>
      <c r="N925" s="6" t="n">
        <v>-0.5075886021920403</v>
      </c>
      <c r="O925" s="6" t="n">
        <v>-0.1570595391318251</v>
      </c>
      <c r="P925" s="6" t="n">
        <v>2.334531730163707</v>
      </c>
      <c r="Q925" s="6" t="n">
        <v>3.627562592761034</v>
      </c>
      <c r="R925" s="6" t="n">
        <v>-0.3064990042988566</v>
      </c>
      <c r="S925" s="6" t="n">
        <v>-0.5480815948187057</v>
      </c>
      <c r="T925" s="6" t="n">
        <v>-1.582920220046025</v>
      </c>
      <c r="U925" s="6" t="n">
        <v>-5.552498038936236</v>
      </c>
      <c r="V925" s="6" t="n">
        <v>-1.305715805948806</v>
      </c>
      <c r="W925" s="6" t="n">
        <v>-0.5159427519896186</v>
      </c>
      <c r="X925" s="6" t="n">
        <v>-1.114130027557798</v>
      </c>
      <c r="Y925" s="6" t="n">
        <v>0.7337179779420587</v>
      </c>
      <c r="Z925" s="6" t="n">
        <v>2.28651495020335</v>
      </c>
      <c r="AA925" s="6" t="n">
        <v>-2.708243323753142</v>
      </c>
      <c r="AB925" s="6" t="n">
        <v>-2.116719130318041</v>
      </c>
      <c r="AC925" s="6" t="n">
        <v>-1.994829863198997</v>
      </c>
      <c r="AD925" s="6" t="n">
        <v>1.391711672188289</v>
      </c>
      <c r="AE925" s="6" t="n">
        <v>-0.5531224622805264</v>
      </c>
      <c r="AF925" s="6" t="n">
        <v>0.3559095434903797</v>
      </c>
      <c r="AG925" s="6" t="n">
        <v>1.737087724525649</v>
      </c>
      <c r="AH925" s="6" t="n">
        <v>0.463262700848836</v>
      </c>
      <c r="AI925" s="6" t="n">
        <v>1.779866016111881</v>
      </c>
      <c r="AJ925" s="6" t="n">
        <v>66.18429539443608</v>
      </c>
      <c r="AK925" s="6" t="n">
        <v>0.1422665975787092</v>
      </c>
      <c r="AL925" s="6" t="n">
        <v>1.025662478766106</v>
      </c>
      <c r="AN925" s="6" t="n">
        <v>1.34769762139393</v>
      </c>
      <c r="AO925" s="6" t="n">
        <v>1.347781102167326</v>
      </c>
      <c r="AP925" s="6" t="n">
        <v>0.1336413138080332</v>
      </c>
      <c r="AQ925" s="6" t="n">
        <v>0</v>
      </c>
      <c r="AR925" s="6" t="n">
        <v>0</v>
      </c>
    </row>
    <row r="926">
      <c r="D926" t="inlineStr">
        <is>
          <t>Run 614</t>
        </is>
      </c>
      <c r="J926" s="6" t="n">
        <v>-1.162477484446499</v>
      </c>
      <c r="K926" s="6" t="n">
        <v>4.298842997328131</v>
      </c>
      <c r="L926" s="6" t="n">
        <v>-2.808846483582085</v>
      </c>
      <c r="M926" s="6" t="n">
        <v>-1.960613106532528</v>
      </c>
      <c r="N926" s="6" t="n">
        <v>3.920357962035204</v>
      </c>
      <c r="O926" s="6" t="n">
        <v>-0.5187738088638103</v>
      </c>
      <c r="P926" s="6" t="n">
        <v>0.240357568583983</v>
      </c>
      <c r="Q926" s="6" t="n">
        <v>2.5444980412092</v>
      </c>
      <c r="R926" s="6" t="n">
        <v>-1.487781435317157</v>
      </c>
      <c r="S926" s="6" t="n">
        <v>-1.710451357296711</v>
      </c>
      <c r="T926" s="6" t="n">
        <v>-1.923025357104592</v>
      </c>
      <c r="U926" s="6" t="n">
        <v>2.713767502863661</v>
      </c>
      <c r="V926" s="6" t="n">
        <v>-0.1574785654553445</v>
      </c>
      <c r="W926" s="6" t="n">
        <v>2.836712426830646</v>
      </c>
      <c r="X926" s="6" t="n">
        <v>-0.6835368830501322</v>
      </c>
      <c r="Y926" s="6" t="n">
        <v>-0.2120991450474286</v>
      </c>
      <c r="Z926" s="6" t="n">
        <v>2.319422483816393</v>
      </c>
      <c r="AA926" s="6" t="n">
        <v>1.839525791685426</v>
      </c>
      <c r="AB926" s="6" t="n">
        <v>-3.055582145298085</v>
      </c>
      <c r="AC926" s="6" t="n">
        <v>-0.5995904539048651</v>
      </c>
      <c r="AD926" s="6" t="n">
        <v>-2.475543357076012</v>
      </c>
      <c r="AE926" s="6" t="n">
        <v>-2.980377338132169</v>
      </c>
      <c r="AF926" s="6" t="n">
        <v>-0.4707549419990926</v>
      </c>
      <c r="AG926" s="6" t="n">
        <v>3.15306751305538</v>
      </c>
      <c r="AH926" s="6" t="n">
        <v>1.805368318012283</v>
      </c>
      <c r="AI926" s="6" t="n">
        <v>1.475126974243173</v>
      </c>
      <c r="AJ926" s="6" t="n">
        <v>72.97008780510339</v>
      </c>
      <c r="AK926" s="6" t="n">
        <v>0.1193264064180858</v>
      </c>
      <c r="AL926" s="6" t="n">
        <v>1.018600144911719</v>
      </c>
      <c r="AN926" s="6" t="n">
        <v>1.343103399751522</v>
      </c>
      <c r="AO926" s="6" t="n">
        <v>1.348969452965102</v>
      </c>
      <c r="AP926" s="6" t="n">
        <v>0.1360217571988727</v>
      </c>
      <c r="AQ926" s="6" t="n">
        <v>0</v>
      </c>
      <c r="AR926" s="6" t="n">
        <v>0</v>
      </c>
    </row>
    <row r="927">
      <c r="D927" t="inlineStr">
        <is>
          <t>Run 615</t>
        </is>
      </c>
      <c r="J927" s="6" t="n">
        <v>2.401608102815188</v>
      </c>
      <c r="K927" s="6" t="n">
        <v>2.643395524139693</v>
      </c>
      <c r="L927" s="6" t="n">
        <v>-0.2781103668359321</v>
      </c>
      <c r="M927" s="6" t="n">
        <v>1.666445695062256</v>
      </c>
      <c r="N927" s="6" t="n">
        <v>0.3854837293028416</v>
      </c>
      <c r="O927" s="6" t="n">
        <v>-0.004645006806202473</v>
      </c>
      <c r="P927" s="6" t="n">
        <v>-0.6690240477945332</v>
      </c>
      <c r="Q927" s="6" t="n">
        <v>0.6374209507394217</v>
      </c>
      <c r="R927" s="6" t="n">
        <v>0.2663675649649173</v>
      </c>
      <c r="S927" s="6" t="n">
        <v>-2.181835456907925</v>
      </c>
      <c r="T927" s="6" t="n">
        <v>-0.5454621005041813</v>
      </c>
      <c r="U927" s="6" t="n">
        <v>0.2458256585702657</v>
      </c>
      <c r="V927" s="6" t="n">
        <v>-1.722458711870363</v>
      </c>
      <c r="W927" s="6" t="n">
        <v>2.594566142588326</v>
      </c>
      <c r="X927" s="6" t="n">
        <v>0.6582783688732649</v>
      </c>
      <c r="Y927" s="6" t="n">
        <v>-2.799639332472888</v>
      </c>
      <c r="Z927" s="6" t="n">
        <v>3.25210194983919</v>
      </c>
      <c r="AA927" s="6" t="n">
        <v>0.753993229577972</v>
      </c>
      <c r="AB927" s="6" t="n">
        <v>-2.801534217837731</v>
      </c>
      <c r="AC927" s="6" t="n">
        <v>-0.1450853527256107</v>
      </c>
      <c r="AD927" s="6" t="n">
        <v>2.083147900447412</v>
      </c>
      <c r="AE927" s="6" t="n">
        <v>-0.2822666808373649</v>
      </c>
      <c r="AF927" s="6" t="n">
        <v>-2.147329890355995</v>
      </c>
      <c r="AG927" s="6" t="n">
        <v>0.2663477148245341</v>
      </c>
      <c r="AH927" s="6" t="n">
        <v>1.748988448573038</v>
      </c>
      <c r="AI927" s="6" t="n">
        <v>-4.673261025202988</v>
      </c>
      <c r="AJ927" s="6" t="n">
        <v>79.78573448270578</v>
      </c>
      <c r="AK927" s="6" t="n">
        <v>0.1110787196094832</v>
      </c>
      <c r="AL927" s="6" t="n">
        <v>1.058447583841226</v>
      </c>
      <c r="AN927" s="6" t="n">
        <v>1.347738897396508</v>
      </c>
      <c r="AO927" s="6" t="n">
        <v>1.347981890821056</v>
      </c>
      <c r="AP927" s="6" t="n">
        <v>0.132475400569029</v>
      </c>
      <c r="AQ927" s="6" t="n">
        <v>0</v>
      </c>
      <c r="AR927" s="6" t="n">
        <v>0</v>
      </c>
    </row>
    <row r="928">
      <c r="D928" t="inlineStr">
        <is>
          <t>Run 616</t>
        </is>
      </c>
      <c r="J928" s="6" t="n">
        <v>2.633279608672883</v>
      </c>
      <c r="K928" s="6" t="n">
        <v>-0.4418241576371595</v>
      </c>
      <c r="L928" s="6" t="n">
        <v>1.233177952356312</v>
      </c>
      <c r="M928" s="6" t="n">
        <v>-1.047940130331049</v>
      </c>
      <c r="N928" s="6" t="n">
        <v>-0.2182443645190983</v>
      </c>
      <c r="O928" s="6" t="n">
        <v>0.9010429257756426</v>
      </c>
      <c r="P928" s="6" t="n">
        <v>-0.5035599603413229</v>
      </c>
      <c r="Q928" s="6" t="n">
        <v>-0.1307835227672043</v>
      </c>
      <c r="R928" s="6" t="n">
        <v>0.5002575123932229</v>
      </c>
      <c r="S928" s="6" t="n">
        <v>0.0839006209566016</v>
      </c>
      <c r="T928" s="6" t="n">
        <v>-0.0888676329845098</v>
      </c>
      <c r="U928" s="6" t="n">
        <v>-1.962269910102761</v>
      </c>
      <c r="V928" s="6" t="n">
        <v>-0.5535058877941884</v>
      </c>
      <c r="W928" s="6" t="n">
        <v>-0.02099491521852341</v>
      </c>
      <c r="X928" s="6" t="n">
        <v>2.594320418484113</v>
      </c>
      <c r="Y928" s="6" t="n">
        <v>-0.4997309454508927</v>
      </c>
      <c r="Z928" s="6" t="n">
        <v>-1.030351850763613</v>
      </c>
      <c r="AA928" s="6" t="n">
        <v>-0.7098169203896508</v>
      </c>
      <c r="AB928" s="6" t="n">
        <v>-0.9728385093100274</v>
      </c>
      <c r="AC928" s="6" t="n">
        <v>-2.092017436026163</v>
      </c>
      <c r="AD928" s="6" t="n">
        <v>-3.268730047299198</v>
      </c>
      <c r="AE928" s="6" t="n">
        <v>-1.644943383296128</v>
      </c>
      <c r="AF928" s="6" t="n">
        <v>2.163853064734184</v>
      </c>
      <c r="AG928" s="6" t="n">
        <v>2.724767881363976</v>
      </c>
      <c r="AH928" s="6" t="n">
        <v>1.652903008276404</v>
      </c>
      <c r="AI928" s="6" t="n">
        <v>0.1084504459573525</v>
      </c>
      <c r="AJ928" s="6" t="n">
        <v>76.52931013785992</v>
      </c>
      <c r="AK928" s="6" t="n">
        <v>0.05725067338542907</v>
      </c>
      <c r="AL928" s="6" t="n">
        <v>1.013577038071776</v>
      </c>
      <c r="AN928" s="6" t="n">
        <v>1.357501897071045</v>
      </c>
      <c r="AO928" s="6" t="n">
        <v>1.357501897071045</v>
      </c>
      <c r="AP928" s="6" t="n">
        <v>0.1384517584730269</v>
      </c>
      <c r="AQ928" s="6" t="n">
        <v>0</v>
      </c>
      <c r="AR928" s="6" t="n">
        <v>0</v>
      </c>
    </row>
    <row r="929">
      <c r="D929" t="inlineStr">
        <is>
          <t>Run 617</t>
        </is>
      </c>
      <c r="J929" s="6" t="n">
        <v>3.807447157855383</v>
      </c>
      <c r="K929" s="6" t="n">
        <v>1.221326132755656</v>
      </c>
      <c r="L929" s="6" t="n">
        <v>-1.731138251983902</v>
      </c>
      <c r="M929" s="6" t="n">
        <v>1.384618030080107</v>
      </c>
      <c r="N929" s="6" t="n">
        <v>-1.200155877207592</v>
      </c>
      <c r="O929" s="6" t="n">
        <v>-2.65439063351444</v>
      </c>
      <c r="P929" s="6" t="n">
        <v>-1.053166161293323</v>
      </c>
      <c r="Q929" s="6" t="n">
        <v>0.9164219544261243</v>
      </c>
      <c r="R929" s="6" t="n">
        <v>-0.4611447404312161</v>
      </c>
      <c r="S929" s="6" t="n">
        <v>1.389422727803211</v>
      </c>
      <c r="T929" s="6" t="n">
        <v>0.8040320816259312</v>
      </c>
      <c r="U929" s="6" t="n">
        <v>0.6602385719128719</v>
      </c>
      <c r="V929" s="6" t="n">
        <v>-0.9012577541776003</v>
      </c>
      <c r="W929" s="6" t="n">
        <v>-0.307314360336493</v>
      </c>
      <c r="X929" s="6" t="n">
        <v>2.886877918313214</v>
      </c>
      <c r="Y929" s="6" t="n">
        <v>-4.874266456186645</v>
      </c>
      <c r="Z929" s="6" t="n">
        <v>-1.367558760717476</v>
      </c>
      <c r="AA929" s="6" t="n">
        <v>-0.2193439560790855</v>
      </c>
      <c r="AB929" s="6" t="n">
        <v>-1.897649545341999</v>
      </c>
      <c r="AC929" s="6" t="n">
        <v>3.468133574081116</v>
      </c>
      <c r="AD929" s="6" t="n">
        <v>-2.31250727640679</v>
      </c>
      <c r="AE929" s="6" t="n">
        <v>1.446074694561525</v>
      </c>
      <c r="AF929" s="6" t="n">
        <v>-2.430664638180174</v>
      </c>
      <c r="AG929" s="6" t="n">
        <v>-0.6294360504237395</v>
      </c>
      <c r="AH929" s="6" t="n">
        <v>0.6692123902761342</v>
      </c>
      <c r="AI929" s="6" t="n">
        <v>-0.9098884322266084</v>
      </c>
      <c r="AJ929" s="6" t="n">
        <v>80.95697510978873</v>
      </c>
      <c r="AK929" s="6" t="n">
        <v>0.1615963451413008</v>
      </c>
      <c r="AL929" s="6" t="n">
        <v>1.018080773383575</v>
      </c>
      <c r="AN929" s="6" t="n">
        <v>1.358447765833089</v>
      </c>
      <c r="AO929" s="6" t="n">
        <v>1.358948039410006</v>
      </c>
      <c r="AP929" s="6" t="n">
        <v>0.1357779347407707</v>
      </c>
      <c r="AQ929" s="6" t="n">
        <v>0</v>
      </c>
      <c r="AR929" s="6" t="n">
        <v>0</v>
      </c>
    </row>
    <row r="930">
      <c r="D930" t="inlineStr">
        <is>
          <t>Run 618</t>
        </is>
      </c>
      <c r="J930" s="6" t="n">
        <v>-1.125987886937938</v>
      </c>
      <c r="K930" s="6" t="n">
        <v>-1.129720069946923</v>
      </c>
      <c r="L930" s="6" t="n">
        <v>-0.9711440678015236</v>
      </c>
      <c r="M930" s="6" t="n">
        <v>-0.9986120964299693</v>
      </c>
      <c r="N930" s="6" t="n">
        <v>-0.5878427031592309</v>
      </c>
      <c r="O930" s="6" t="n">
        <v>-1.584960299907669</v>
      </c>
      <c r="P930" s="6" t="n">
        <v>-0.7105530815316466</v>
      </c>
      <c r="Q930" s="6" t="n">
        <v>1.991098584857818</v>
      </c>
      <c r="R930" s="6" t="n">
        <v>-0.515906344275319</v>
      </c>
      <c r="S930" s="6" t="n">
        <v>-1.622994472593124</v>
      </c>
      <c r="T930" s="6" t="n">
        <v>4.049459815323885</v>
      </c>
      <c r="U930" s="6" t="n">
        <v>-1.395913735304246</v>
      </c>
      <c r="V930" s="6" t="n">
        <v>-2.866213287364994</v>
      </c>
      <c r="W930" s="6" t="n">
        <v>2.786836561628648</v>
      </c>
      <c r="X930" s="6" t="n">
        <v>0.7082175154480803</v>
      </c>
      <c r="Y930" s="6" t="n">
        <v>2.382768303775105</v>
      </c>
      <c r="Z930" s="6" t="n">
        <v>-2.523315543247835</v>
      </c>
      <c r="AA930" s="6" t="n">
        <v>-2.491695107738915</v>
      </c>
      <c r="AB930" s="6" t="n">
        <v>-0.9936239207714805</v>
      </c>
      <c r="AC930" s="6" t="n">
        <v>1.593672812376637</v>
      </c>
      <c r="AD930" s="6" t="n">
        <v>2.686209108255361</v>
      </c>
      <c r="AE930" s="6" t="n">
        <v>-0.8442807806168117</v>
      </c>
      <c r="AF930" s="6" t="n">
        <v>-0.9269750082391723</v>
      </c>
      <c r="AG930" s="6" t="n">
        <v>-0.7954290180490373</v>
      </c>
      <c r="AH930" s="6" t="n">
        <v>-0.556992240406482</v>
      </c>
      <c r="AI930" s="6" t="n">
        <v>-1.399988693765711</v>
      </c>
      <c r="AJ930" s="6" t="n">
        <v>78.96099981165804</v>
      </c>
      <c r="AK930" s="6" t="n">
        <v>0.1699981232321136</v>
      </c>
      <c r="AL930" s="6" t="n">
        <v>1.122508835648398</v>
      </c>
      <c r="AN930" s="6" t="n">
        <v>1.320024831893061</v>
      </c>
      <c r="AO930" s="6" t="n">
        <v>1.321264199118505</v>
      </c>
      <c r="AP930" s="6" t="n">
        <v>0.1274116671131865</v>
      </c>
      <c r="AQ930" s="6" t="n">
        <v>0</v>
      </c>
      <c r="AR930" s="6" t="n">
        <v>0</v>
      </c>
    </row>
    <row r="931">
      <c r="D931" t="inlineStr">
        <is>
          <t>Run 619</t>
        </is>
      </c>
      <c r="J931" s="6" t="n">
        <v>-0.8324340988304516</v>
      </c>
      <c r="K931" s="6" t="n">
        <v>0.7110037492800106</v>
      </c>
      <c r="L931" s="6" t="n">
        <v>-0.7165122409344022</v>
      </c>
      <c r="M931" s="6" t="n">
        <v>1.515365403331526</v>
      </c>
      <c r="N931" s="6" t="n">
        <v>-0.08918514251041026</v>
      </c>
      <c r="O931" s="6" t="n">
        <v>-0.7537889674728209</v>
      </c>
      <c r="P931" s="6" t="n">
        <v>1.045100358175681</v>
      </c>
      <c r="Q931" s="6" t="n">
        <v>1.239183634813007</v>
      </c>
      <c r="R931" s="6" t="n">
        <v>-0.6808165230643121</v>
      </c>
      <c r="S931" s="6" t="n">
        <v>2.823326938898202</v>
      </c>
      <c r="T931" s="6" t="n">
        <v>-1.522896312009183</v>
      </c>
      <c r="U931" s="6" t="n">
        <v>3.761743249985167</v>
      </c>
      <c r="V931" s="6" t="n">
        <v>3.186282890636795</v>
      </c>
      <c r="W931" s="6" t="n">
        <v>4.362445603455222</v>
      </c>
      <c r="X931" s="6" t="n">
        <v>0.7825941596481689</v>
      </c>
      <c r="Y931" s="6" t="n">
        <v>-0.4269328125491744</v>
      </c>
      <c r="Z931" s="6" t="n">
        <v>-1.568557917364509</v>
      </c>
      <c r="AA931" s="6" t="n">
        <v>0.7228327488604753</v>
      </c>
      <c r="AB931" s="6" t="n">
        <v>-3.322166936295579</v>
      </c>
      <c r="AC931" s="6" t="n">
        <v>-0.08939841532743302</v>
      </c>
      <c r="AD931" s="6" t="n">
        <v>-3.331969241683218</v>
      </c>
      <c r="AE931" s="6" t="n">
        <v>-0.2841079965334675</v>
      </c>
      <c r="AF931" s="6" t="n">
        <v>-1.715382639062575</v>
      </c>
      <c r="AG931" s="6" t="n">
        <v>0.8030874549406772</v>
      </c>
      <c r="AH931" s="6" t="n">
        <v>-1.786413139646517</v>
      </c>
      <c r="AI931" s="6" t="n">
        <v>-0.04636539827948341</v>
      </c>
      <c r="AJ931" s="6" t="n">
        <v>68.11832473512577</v>
      </c>
      <c r="AK931" s="6" t="n">
        <v>0.08378359180874539</v>
      </c>
      <c r="AL931" s="6" t="n">
        <v>1.063390191264194</v>
      </c>
      <c r="AN931" s="6" t="n">
        <v>1.343070174151518</v>
      </c>
      <c r="AO931" s="6" t="n">
        <v>1.343502635721762</v>
      </c>
      <c r="AP931" s="6" t="n">
        <v>0.1320360972879195</v>
      </c>
      <c r="AQ931" s="6" t="n">
        <v>0</v>
      </c>
      <c r="AR931" s="6" t="n">
        <v>0</v>
      </c>
    </row>
    <row r="932">
      <c r="D932" t="inlineStr">
        <is>
          <t>Run 620</t>
        </is>
      </c>
      <c r="J932" s="6" t="n">
        <v>-0.9153456604623659</v>
      </c>
      <c r="K932" s="6" t="n">
        <v>-1.730826879560196</v>
      </c>
      <c r="L932" s="6" t="n">
        <v>1.994519100888047</v>
      </c>
      <c r="M932" s="6" t="n">
        <v>0.03173055716927439</v>
      </c>
      <c r="N932" s="6" t="n">
        <v>-1.556412074609733</v>
      </c>
      <c r="O932" s="6" t="n">
        <v>1.364049618328593</v>
      </c>
      <c r="P932" s="6" t="n">
        <v>-0.6991116190823679</v>
      </c>
      <c r="Q932" s="6" t="n">
        <v>0.5268950978849861</v>
      </c>
      <c r="R932" s="6" t="n">
        <v>-2.017163785701397</v>
      </c>
      <c r="S932" s="6" t="n">
        <v>-1.383382882878001</v>
      </c>
      <c r="T932" s="6" t="n">
        <v>1.331747220493283</v>
      </c>
      <c r="U932" s="6" t="n">
        <v>2.639663941333921</v>
      </c>
      <c r="V932" s="6" t="n">
        <v>-5.240665816298326</v>
      </c>
      <c r="W932" s="6" t="n">
        <v>-2.161075087850842</v>
      </c>
      <c r="X932" s="6" t="n">
        <v>-1.161627037576197</v>
      </c>
      <c r="Y932" s="6" t="n">
        <v>2.298325122867003</v>
      </c>
      <c r="Z932" s="6" t="n">
        <v>2.794657299407357</v>
      </c>
      <c r="AA932" s="6" t="n">
        <v>-3.808949053324806</v>
      </c>
      <c r="AB932" s="6" t="n">
        <v>-3.12583040367082</v>
      </c>
      <c r="AC932" s="6" t="n">
        <v>0.3522445215938244</v>
      </c>
      <c r="AD932" s="6" t="n">
        <v>0.2515542719134979</v>
      </c>
      <c r="AE932" s="6" t="n">
        <v>0.694122931968317</v>
      </c>
      <c r="AF932" s="6" t="n">
        <v>-2.165918756053787</v>
      </c>
      <c r="AG932" s="6" t="n">
        <v>0.8978037824741456</v>
      </c>
      <c r="AH932" s="6" t="n">
        <v>-0.4709116087740352</v>
      </c>
      <c r="AI932" s="6" t="n">
        <v>0.01526345431542693</v>
      </c>
      <c r="AJ932" s="6" t="n">
        <v>72.82371040587429</v>
      </c>
      <c r="AK932" s="6" t="n">
        <v>0.1812060442062501</v>
      </c>
      <c r="AL932" s="6" t="n">
        <v>1.029254046571795</v>
      </c>
      <c r="AN932" s="6" t="n">
        <v>1.350159962970809</v>
      </c>
      <c r="AO932" s="6" t="n">
        <v>1.350507659611157</v>
      </c>
      <c r="AP932" s="6" t="n">
        <v>0.1333292946050476</v>
      </c>
      <c r="AQ932" s="6" t="n">
        <v>0</v>
      </c>
      <c r="AR932" s="6" t="n">
        <v>0</v>
      </c>
    </row>
    <row r="933">
      <c r="D933" t="inlineStr">
        <is>
          <t>Run 621</t>
        </is>
      </c>
      <c r="J933" s="6" t="n">
        <v>-2.076217614727031</v>
      </c>
      <c r="K933" s="6" t="n">
        <v>-1.085834189223615</v>
      </c>
      <c r="L933" s="6" t="n">
        <v>-2.098581889960569</v>
      </c>
      <c r="M933" s="6" t="n">
        <v>-0.588231893239994</v>
      </c>
      <c r="N933" s="6" t="n">
        <v>2.892129211758238</v>
      </c>
      <c r="O933" s="6" t="n">
        <v>0.8299319647470444</v>
      </c>
      <c r="P933" s="6" t="n">
        <v>1.461396607156217</v>
      </c>
      <c r="Q933" s="6" t="n">
        <v>-1.287889249557988</v>
      </c>
      <c r="R933" s="6" t="n">
        <v>-1.488440909828715</v>
      </c>
      <c r="S933" s="6" t="n">
        <v>0.411583916884751</v>
      </c>
      <c r="T933" s="6" t="n">
        <v>2.592727141331369</v>
      </c>
      <c r="U933" s="6" t="n">
        <v>-2.614220985317137</v>
      </c>
      <c r="V933" s="6" t="n">
        <v>-2.013995289482426</v>
      </c>
      <c r="W933" s="6" t="n">
        <v>0.254911795588581</v>
      </c>
      <c r="X933" s="6" t="n">
        <v>0.1571928949770687</v>
      </c>
      <c r="Y933" s="6" t="n">
        <v>2.47051110469061</v>
      </c>
      <c r="Z933" s="6" t="n">
        <v>-1.252430523544464</v>
      </c>
      <c r="AA933" s="6" t="n">
        <v>3.030180360551504</v>
      </c>
      <c r="AB933" s="6" t="n">
        <v>1.423430415653047</v>
      </c>
      <c r="AC933" s="6" t="n">
        <v>-1.090119254647833</v>
      </c>
      <c r="AD933" s="6" t="n">
        <v>-1.845702431934697</v>
      </c>
      <c r="AE933" s="6" t="n">
        <v>0.354500209600987</v>
      </c>
      <c r="AF933" s="6" t="n">
        <v>1.110922245376223</v>
      </c>
      <c r="AG933" s="6" t="n">
        <v>-2.714842882402714</v>
      </c>
      <c r="AH933" s="6" t="n">
        <v>1.449810180484542</v>
      </c>
      <c r="AI933" s="6" t="n">
        <v>4.49554029046767</v>
      </c>
      <c r="AJ933" s="6" t="n">
        <v>73.8395031361209</v>
      </c>
      <c r="AK933" s="6" t="n">
        <v>0.1682756359622475</v>
      </c>
      <c r="AL933" s="6" t="n">
        <v>1.046858100618296</v>
      </c>
      <c r="AN933" s="6" t="n">
        <v>1.343245469762989</v>
      </c>
      <c r="AO933" s="6" t="n">
        <v>1.343841472289923</v>
      </c>
      <c r="AP933" s="6" t="n">
        <v>0.1315788625133665</v>
      </c>
      <c r="AQ933" s="6" t="n">
        <v>0</v>
      </c>
      <c r="AR933" s="6" t="n">
        <v>0</v>
      </c>
    </row>
    <row r="934">
      <c r="D934" t="inlineStr">
        <is>
          <t>Run 622</t>
        </is>
      </c>
      <c r="J934" s="6" t="n">
        <v>1.488025347801293</v>
      </c>
      <c r="K934" s="6" t="n">
        <v>3.463454916833078</v>
      </c>
      <c r="L934" s="6" t="n">
        <v>1.681670914558267</v>
      </c>
      <c r="M934" s="6" t="n">
        <v>0.3267199785649878</v>
      </c>
      <c r="N934" s="6" t="n">
        <v>-2.24283614075753</v>
      </c>
      <c r="O934" s="6" t="n">
        <v>-1.512526850472977</v>
      </c>
      <c r="P934" s="6" t="n">
        <v>1.962997187819589</v>
      </c>
      <c r="Q934" s="6" t="n">
        <v>-2.881134375572662</v>
      </c>
      <c r="R934" s="6" t="n">
        <v>2.623123031198647</v>
      </c>
      <c r="S934" s="6" t="n">
        <v>-0.3290126409320502</v>
      </c>
      <c r="T934" s="6" t="n">
        <v>3.2812534094503</v>
      </c>
      <c r="U934" s="6" t="n">
        <v>0.374687666589952</v>
      </c>
      <c r="V934" s="6" t="n">
        <v>-0.02480563663061584</v>
      </c>
      <c r="W934" s="6" t="n">
        <v>0.08656755703373145</v>
      </c>
      <c r="X934" s="6" t="n">
        <v>-0.4608875556368371</v>
      </c>
      <c r="Y934" s="6" t="n">
        <v>-1.105507282393805</v>
      </c>
      <c r="Z934" s="6" t="n">
        <v>-1.151724388344928</v>
      </c>
      <c r="AA934" s="6" t="n">
        <v>1.215629160240382</v>
      </c>
      <c r="AB934" s="6" t="n">
        <v>1.16665680452408</v>
      </c>
      <c r="AC934" s="6" t="n">
        <v>-0.0698385815084185</v>
      </c>
      <c r="AD934" s="6" t="n">
        <v>1.524591889208293</v>
      </c>
      <c r="AE934" s="6" t="n">
        <v>-1.918174297168777</v>
      </c>
      <c r="AF934" s="6" t="n">
        <v>0.2595685789006124</v>
      </c>
      <c r="AG934" s="6" t="n">
        <v>-1.543256163634874</v>
      </c>
      <c r="AH934" s="6" t="n">
        <v>0.3599295428017494</v>
      </c>
      <c r="AI934" s="6" t="n">
        <v>-4.149930203576735</v>
      </c>
      <c r="AJ934" s="6" t="n">
        <v>80.30749963023618</v>
      </c>
      <c r="AK934" s="6" t="n">
        <v>0.1638232215936186</v>
      </c>
      <c r="AL934" s="6" t="n">
        <v>1.053273676852791</v>
      </c>
      <c r="AN934" s="6" t="n">
        <v>1.345383981386177</v>
      </c>
      <c r="AO934" s="6" t="n">
        <v>1.34659314282609</v>
      </c>
      <c r="AP934" s="6" t="n">
        <v>0.1312833385327347</v>
      </c>
      <c r="AQ934" s="6" t="n">
        <v>0</v>
      </c>
      <c r="AR934" s="6" t="n">
        <v>0</v>
      </c>
    </row>
    <row r="935">
      <c r="D935" t="inlineStr">
        <is>
          <t>Run 623</t>
        </is>
      </c>
      <c r="J935" s="6" t="n">
        <v>0.5008189018214086</v>
      </c>
      <c r="K935" s="6" t="n">
        <v>-2.104596069250934</v>
      </c>
      <c r="L935" s="6" t="n">
        <v>-2.481781666648251</v>
      </c>
      <c r="M935" s="6" t="n">
        <v>1.258597992975893</v>
      </c>
      <c r="N935" s="6" t="n">
        <v>2.325269273005878</v>
      </c>
      <c r="O935" s="6" t="n">
        <v>-0.4233233507419291</v>
      </c>
      <c r="P935" s="6" t="n">
        <v>2.848991852517993</v>
      </c>
      <c r="Q935" s="6" t="n">
        <v>0.930747641657408</v>
      </c>
      <c r="R935" s="6" t="n">
        <v>-2.885305920983641</v>
      </c>
      <c r="S935" s="6" t="n">
        <v>-2.804035956527337</v>
      </c>
      <c r="T935" s="6" t="n">
        <v>3.070011388731769</v>
      </c>
      <c r="U935" s="6" t="n">
        <v>0.9357752521557144</v>
      </c>
      <c r="V935" s="6" t="n">
        <v>-1.321932982150992</v>
      </c>
      <c r="W935" s="6" t="n">
        <v>-1.929032272721226</v>
      </c>
      <c r="X935" s="6" t="n">
        <v>-1.182020440488034</v>
      </c>
      <c r="Y935" s="6" t="n">
        <v>-0.3551223052486721</v>
      </c>
      <c r="Z935" s="6" t="n">
        <v>0.9516839459720461</v>
      </c>
      <c r="AA935" s="6" t="n">
        <v>-3.853387839345806</v>
      </c>
      <c r="AB935" s="6" t="n">
        <v>-1.029317168416999</v>
      </c>
      <c r="AC935" s="6" t="n">
        <v>1.143662254959857</v>
      </c>
      <c r="AD935" s="6" t="n">
        <v>-1.997561159334323</v>
      </c>
      <c r="AE935" s="6" t="n">
        <v>-1.425177051299862</v>
      </c>
      <c r="AF935" s="6" t="n">
        <v>-3.019162351203418</v>
      </c>
      <c r="AG935" s="6" t="n">
        <v>0.6650767339228961</v>
      </c>
      <c r="AH935" s="6" t="n">
        <v>3.161477655292515</v>
      </c>
      <c r="AI935" s="6" t="n">
        <v>0.7329350149917016</v>
      </c>
      <c r="AJ935" s="6" t="n">
        <v>82.89906622004852</v>
      </c>
      <c r="AK935" s="6" t="n">
        <v>0.1021473281960418</v>
      </c>
      <c r="AL935" s="6" t="n">
        <v>1.047731878177976</v>
      </c>
      <c r="AN935" s="6" t="n">
        <v>1.353376662174937</v>
      </c>
      <c r="AO935" s="6" t="n">
        <v>1.353376662174937</v>
      </c>
      <c r="AP935" s="6" t="n">
        <v>0.1341426527703658</v>
      </c>
      <c r="AQ935" s="6" t="n">
        <v>0</v>
      </c>
      <c r="AR935" s="6" t="n">
        <v>0</v>
      </c>
    </row>
    <row r="936">
      <c r="D936" t="inlineStr">
        <is>
          <t>Run 624</t>
        </is>
      </c>
      <c r="J936" s="6" t="n">
        <v>1.825430346846775</v>
      </c>
      <c r="K936" s="6" t="n">
        <v>-2.232014830633304</v>
      </c>
      <c r="L936" s="6" t="n">
        <v>0.5537149478891578</v>
      </c>
      <c r="M936" s="6" t="n">
        <v>-2.37313970080691</v>
      </c>
      <c r="N936" s="6" t="n">
        <v>-0.277503559519223</v>
      </c>
      <c r="O936" s="6" t="n">
        <v>-1.213492996005585</v>
      </c>
      <c r="P936" s="6" t="n">
        <v>1.097843127035178</v>
      </c>
      <c r="Q936" s="6" t="n">
        <v>0.05750419655632955</v>
      </c>
      <c r="R936" s="6" t="n">
        <v>5</v>
      </c>
      <c r="S936" s="6" t="n">
        <v>1.235542442974958</v>
      </c>
      <c r="T936" s="6" t="n">
        <v>-1.465431837387</v>
      </c>
      <c r="U936" s="6" t="n">
        <v>0.1108278507052197</v>
      </c>
      <c r="V936" s="6" t="n">
        <v>-1.361835378103882</v>
      </c>
      <c r="W936" s="6" t="n">
        <v>-2.355860852403357</v>
      </c>
      <c r="X936" s="6" t="n">
        <v>-1.972484829568834</v>
      </c>
      <c r="Y936" s="6" t="n">
        <v>-1.779795163203338</v>
      </c>
      <c r="Z936" s="6" t="n">
        <v>0.5319829408547502</v>
      </c>
      <c r="AA936" s="6" t="n">
        <v>1.437928042438637</v>
      </c>
      <c r="AB936" s="6" t="n">
        <v>-2.590641852358191</v>
      </c>
      <c r="AC936" s="6" t="n">
        <v>1.93639886592747</v>
      </c>
      <c r="AD936" s="6" t="n">
        <v>1.123501990856227</v>
      </c>
      <c r="AE936" s="6" t="n">
        <v>-0.4452972340213686</v>
      </c>
      <c r="AF936" s="6" t="n">
        <v>-3.711482184749123</v>
      </c>
      <c r="AG936" s="6" t="n">
        <v>0.302530498120423</v>
      </c>
      <c r="AH936" s="6" t="n">
        <v>3.744824480291379</v>
      </c>
      <c r="AI936" s="6" t="n">
        <v>-2.43261809633821</v>
      </c>
      <c r="AJ936" s="6" t="n">
        <v>66.0524613394568</v>
      </c>
      <c r="AK936" s="6" t="n">
        <v>0.04546415492846755</v>
      </c>
      <c r="AL936" s="6" t="n">
        <v>1.053126204204237</v>
      </c>
      <c r="AN936" s="6" t="n">
        <v>1.327262147771457</v>
      </c>
      <c r="AO936" s="6" t="n">
        <v>1.335918321080793</v>
      </c>
      <c r="AP936" s="6" t="n">
        <v>0.1332384985060367</v>
      </c>
      <c r="AQ936" s="6" t="n">
        <v>0</v>
      </c>
      <c r="AR936" s="6" t="n">
        <v>0</v>
      </c>
    </row>
    <row r="937">
      <c r="D937" t="inlineStr">
        <is>
          <t>Run 625</t>
        </is>
      </c>
      <c r="J937" s="6" t="n">
        <v>-0.8633678862586172</v>
      </c>
      <c r="K937" s="6" t="n">
        <v>-2.60238775626717</v>
      </c>
      <c r="L937" s="6" t="n">
        <v>3.429597613485871</v>
      </c>
      <c r="M937" s="6" t="n">
        <v>-2.329998943315545</v>
      </c>
      <c r="N937" s="6" t="n">
        <v>0.4477818598783351</v>
      </c>
      <c r="O937" s="6" t="n">
        <v>-0.179890255730457</v>
      </c>
      <c r="P937" s="6" t="n">
        <v>-2.658779962873779</v>
      </c>
      <c r="Q937" s="6" t="n">
        <v>2.38734260228668</v>
      </c>
      <c r="R937" s="6" t="n">
        <v>3.425609424801646</v>
      </c>
      <c r="S937" s="6" t="n">
        <v>-2.360815068982332</v>
      </c>
      <c r="T937" s="6" t="n">
        <v>-1.409516459284731</v>
      </c>
      <c r="U937" s="6" t="n">
        <v>1.271073005268623</v>
      </c>
      <c r="V937" s="6" t="n">
        <v>1.306708763761442</v>
      </c>
      <c r="W937" s="6" t="n">
        <v>-0.09499071076802627</v>
      </c>
      <c r="X937" s="6" t="n">
        <v>0.985908836889392</v>
      </c>
      <c r="Y937" s="6" t="n">
        <v>1.173530863840723</v>
      </c>
      <c r="Z937" s="6" t="n">
        <v>1.128959604086099</v>
      </c>
      <c r="AA937" s="6" t="n">
        <v>-0.9478466876706984</v>
      </c>
      <c r="AB937" s="6" t="n">
        <v>-1.606046371278141</v>
      </c>
      <c r="AC937" s="6" t="n">
        <v>1.673848754733408</v>
      </c>
      <c r="AD937" s="6" t="n">
        <v>0.2687941519776728</v>
      </c>
      <c r="AE937" s="6" t="n">
        <v>1.700555600386203</v>
      </c>
      <c r="AF937" s="6" t="n">
        <v>1.682007234918097</v>
      </c>
      <c r="AG937" s="6" t="n">
        <v>0.4544520929088298</v>
      </c>
      <c r="AH937" s="6" t="n">
        <v>0.8918158074519592</v>
      </c>
      <c r="AI937" s="6" t="n">
        <v>0.4887363664418948</v>
      </c>
      <c r="AJ937" s="6" t="n">
        <v>58.19038894388171</v>
      </c>
      <c r="AK937" s="6" t="n">
        <v>0.1546915691739187</v>
      </c>
      <c r="AL937" s="6" t="n">
        <v>1.049679013071798</v>
      </c>
      <c r="AN937" s="6" t="n">
        <v>1.319407020589769</v>
      </c>
      <c r="AO937" s="6" t="n">
        <v>1.327335850648718</v>
      </c>
      <c r="AP937" s="6" t="n">
        <v>0.1308370034379058</v>
      </c>
      <c r="AQ937" s="6" t="n">
        <v>0</v>
      </c>
      <c r="AR937" s="6" t="n">
        <v>0</v>
      </c>
    </row>
    <row r="938">
      <c r="D938" t="inlineStr">
        <is>
          <t>Run 626</t>
        </is>
      </c>
      <c r="J938" s="6" t="n">
        <v>-1.774389851721882</v>
      </c>
      <c r="K938" s="6" t="n">
        <v>3.100948792132435</v>
      </c>
      <c r="L938" s="6" t="n">
        <v>1.154522097747513</v>
      </c>
      <c r="M938" s="6" t="n">
        <v>1.603974334436692</v>
      </c>
      <c r="N938" s="6" t="n">
        <v>0.6519344592270531</v>
      </c>
      <c r="O938" s="6" t="n">
        <v>-4.380639212743485</v>
      </c>
      <c r="P938" s="6" t="n">
        <v>0.3335160883023751</v>
      </c>
      <c r="Q938" s="6" t="n">
        <v>-0.3162576873210617</v>
      </c>
      <c r="R938" s="6" t="n">
        <v>-4.124023184880556</v>
      </c>
      <c r="S938" s="6" t="n">
        <v>-1.773885376923457</v>
      </c>
      <c r="T938" s="6" t="n">
        <v>2.212514200953523</v>
      </c>
      <c r="U938" s="6" t="n">
        <v>0.7644495889835099</v>
      </c>
      <c r="V938" s="6" t="n">
        <v>0.06388507224833613</v>
      </c>
      <c r="W938" s="6" t="n">
        <v>3.114620885794749</v>
      </c>
      <c r="X938" s="6" t="n">
        <v>-1.821868260570659</v>
      </c>
      <c r="Y938" s="6" t="n">
        <v>0.3780779497140702</v>
      </c>
      <c r="Z938" s="6" t="n">
        <v>1.660228339939323</v>
      </c>
      <c r="AA938" s="6" t="n">
        <v>3.190362321353097</v>
      </c>
      <c r="AB938" s="6" t="n">
        <v>-0.2548803709230616</v>
      </c>
      <c r="AC938" s="6" t="n">
        <v>0.09699866456622597</v>
      </c>
      <c r="AD938" s="6" t="n">
        <v>1.453246338359454</v>
      </c>
      <c r="AE938" s="6" t="n">
        <v>-2.147552820708005</v>
      </c>
      <c r="AF938" s="6" t="n">
        <v>1.532015962621191</v>
      </c>
      <c r="AG938" s="6" t="n">
        <v>0.1527486361811193</v>
      </c>
      <c r="AH938" s="6" t="n">
        <v>2.602474014317268</v>
      </c>
      <c r="AI938" s="6" t="n">
        <v>1.741018513242187</v>
      </c>
      <c r="AJ938" s="6" t="n">
        <v>59.13282169069657</v>
      </c>
      <c r="AK938" s="6" t="n">
        <v>0.06832029111710083</v>
      </c>
      <c r="AL938" s="6" t="n">
        <v>1.069671188186801</v>
      </c>
      <c r="AN938" s="6" t="n">
        <v>1.326058974400728</v>
      </c>
      <c r="AO938" s="6" t="n">
        <v>1.332481442594144</v>
      </c>
      <c r="AP938" s="6" t="n">
        <v>0.13104066754326</v>
      </c>
      <c r="AQ938" s="6" t="n">
        <v>0</v>
      </c>
      <c r="AR938" s="6" t="n">
        <v>0</v>
      </c>
    </row>
    <row r="939">
      <c r="D939" t="inlineStr">
        <is>
          <t>Run 627</t>
        </is>
      </c>
      <c r="J939" s="6" t="n">
        <v>-0.8194908843120735</v>
      </c>
      <c r="K939" s="6" t="n">
        <v>1.883017214435548</v>
      </c>
      <c r="L939" s="6" t="n">
        <v>0.4283980698706241</v>
      </c>
      <c r="M939" s="6" t="n">
        <v>2.003670425605806</v>
      </c>
      <c r="N939" s="6" t="n">
        <v>-0.1271271302354291</v>
      </c>
      <c r="O939" s="6" t="n">
        <v>-0.6274786268000886</v>
      </c>
      <c r="P939" s="6" t="n">
        <v>1.653029963837655</v>
      </c>
      <c r="Q939" s="6" t="n">
        <v>-1.900055233297287</v>
      </c>
      <c r="R939" s="6" t="n">
        <v>-3.494595122085784</v>
      </c>
      <c r="S939" s="6" t="n">
        <v>0.1221576004142246</v>
      </c>
      <c r="T939" s="6" t="n">
        <v>0.454933730188413</v>
      </c>
      <c r="U939" s="6" t="n">
        <v>2.164944015915187</v>
      </c>
      <c r="V939" s="6" t="n">
        <v>0.5892723184949635</v>
      </c>
      <c r="W939" s="6" t="n">
        <v>1.838562464407568</v>
      </c>
      <c r="X939" s="6" t="n">
        <v>1.235813663830229</v>
      </c>
      <c r="Y939" s="6" t="n">
        <v>-2.305337853074265</v>
      </c>
      <c r="Z939" s="6" t="n">
        <v>4.064605959523158</v>
      </c>
      <c r="AA939" s="6" t="n">
        <v>3.324016418486465</v>
      </c>
      <c r="AB939" s="6" t="n">
        <v>1.134790561423443</v>
      </c>
      <c r="AC939" s="6" t="n">
        <v>1.318962307449967</v>
      </c>
      <c r="AD939" s="6" t="n">
        <v>-0.8213738962149609</v>
      </c>
      <c r="AE939" s="6" t="n">
        <v>-0.2587965623279224</v>
      </c>
      <c r="AF939" s="6" t="n">
        <v>2.398912089961312</v>
      </c>
      <c r="AG939" s="6" t="n">
        <v>-4.837556137644289</v>
      </c>
      <c r="AH939" s="6" t="n">
        <v>1.925957613903109</v>
      </c>
      <c r="AI939" s="6" t="n">
        <v>-3.079341216185878</v>
      </c>
      <c r="AJ939" s="6" t="n">
        <v>67.0546521727603</v>
      </c>
      <c r="AK939" s="6" t="n">
        <v>0.09544086678143032</v>
      </c>
      <c r="AL939" s="6" t="n">
        <v>1.013997238124581</v>
      </c>
      <c r="AN939" s="6" t="n">
        <v>1.351302450485502</v>
      </c>
      <c r="AO939" s="6" t="n">
        <v>1.351878973601757</v>
      </c>
      <c r="AP939" s="6" t="n">
        <v>0.1359914273816163</v>
      </c>
      <c r="AQ939" s="6" t="n">
        <v>0</v>
      </c>
      <c r="AR939" s="6" t="n">
        <v>0</v>
      </c>
    </row>
    <row r="940">
      <c r="D940" t="inlineStr">
        <is>
          <t>Run 628</t>
        </is>
      </c>
      <c r="J940" s="6" t="n">
        <v>2.885562816934856</v>
      </c>
      <c r="K940" s="6" t="n">
        <v>0.6298436648776206</v>
      </c>
      <c r="L940" s="6" t="n">
        <v>-0.601347061051728</v>
      </c>
      <c r="M940" s="6" t="n">
        <v>1.685013231637243</v>
      </c>
      <c r="N940" s="6" t="n">
        <v>-1.471109495933735</v>
      </c>
      <c r="O940" s="6" t="n">
        <v>2.36741620017643</v>
      </c>
      <c r="P940" s="6" t="n">
        <v>-3.931090927375206</v>
      </c>
      <c r="Q940" s="6" t="n">
        <v>0.01970679783602059</v>
      </c>
      <c r="R940" s="6" t="n">
        <v>1.246067824186338</v>
      </c>
      <c r="S940" s="6" t="n">
        <v>-1.044315299496792</v>
      </c>
      <c r="T940" s="6" t="n">
        <v>-4.483397395755215</v>
      </c>
      <c r="U940" s="6" t="n">
        <v>0.5782195508852851</v>
      </c>
      <c r="V940" s="6" t="n">
        <v>0.4618976373307485</v>
      </c>
      <c r="W940" s="6" t="n">
        <v>-0.7323700570192847</v>
      </c>
      <c r="X940" s="6" t="n">
        <v>-0.8205702863334652</v>
      </c>
      <c r="Y940" s="6" t="n">
        <v>-4.143363582615409</v>
      </c>
      <c r="Z940" s="6" t="n">
        <v>4.09499214346507</v>
      </c>
      <c r="AA940" s="6" t="n">
        <v>-1.249200279896137</v>
      </c>
      <c r="AB940" s="6" t="n">
        <v>0.5846070314752703</v>
      </c>
      <c r="AC940" s="6" t="n">
        <v>-0.4091590971742971</v>
      </c>
      <c r="AD940" s="6" t="n">
        <v>0.104687207737986</v>
      </c>
      <c r="AE940" s="6" t="n">
        <v>-2.221689186631276</v>
      </c>
      <c r="AF940" s="6" t="n">
        <v>1.711500158673414</v>
      </c>
      <c r="AG940" s="6" t="n">
        <v>-0.3009891843150161</v>
      </c>
      <c r="AH940" s="6" t="n">
        <v>1.902352749220292</v>
      </c>
      <c r="AI940" s="6" t="n">
        <v>1.667062446705108</v>
      </c>
      <c r="AJ940" s="6" t="n">
        <v>71.43637791082172</v>
      </c>
      <c r="AK940" s="6" t="n">
        <v>0.07838339714532125</v>
      </c>
      <c r="AL940" s="6" t="n">
        <v>1.05246882510732</v>
      </c>
      <c r="AN940" s="6" t="n">
        <v>1.347459164214824</v>
      </c>
      <c r="AO940" s="6" t="n">
        <v>1.347691879526506</v>
      </c>
      <c r="AP940" s="6" t="n">
        <v>0.1330528786779447</v>
      </c>
      <c r="AQ940" s="6" t="n">
        <v>0</v>
      </c>
      <c r="AR940" s="6" t="n">
        <v>0</v>
      </c>
    </row>
    <row r="941">
      <c r="D941" t="inlineStr">
        <is>
          <t>Run 629</t>
        </is>
      </c>
      <c r="J941" s="6" t="n">
        <v>-3.000142405488051</v>
      </c>
      <c r="K941" s="6" t="n">
        <v>-1.084881693336035</v>
      </c>
      <c r="L941" s="6" t="n">
        <v>-0.6249818530092138</v>
      </c>
      <c r="M941" s="6" t="n">
        <v>1.940183108592069</v>
      </c>
      <c r="N941" s="6" t="n">
        <v>-4.270147601075377</v>
      </c>
      <c r="O941" s="6" t="n">
        <v>-0.01493226363360199</v>
      </c>
      <c r="P941" s="6" t="n">
        <v>1.218243400255979</v>
      </c>
      <c r="Q941" s="6" t="n">
        <v>0.1159904630790542</v>
      </c>
      <c r="R941" s="6" t="n">
        <v>3.227654919235722</v>
      </c>
      <c r="S941" s="6" t="n">
        <v>-0.868900560407283</v>
      </c>
      <c r="T941" s="6" t="n">
        <v>0.7413216814926237</v>
      </c>
      <c r="U941" s="6" t="n">
        <v>-1.160208999209596</v>
      </c>
      <c r="V941" s="6" t="n">
        <v>2.048174143412588</v>
      </c>
      <c r="W941" s="6" t="n">
        <v>-1.045420151622539</v>
      </c>
      <c r="X941" s="6" t="n">
        <v>-1.302188720984585</v>
      </c>
      <c r="Y941" s="6" t="n">
        <v>3.149320361552785</v>
      </c>
      <c r="Z941" s="6" t="n">
        <v>2.755151761373796</v>
      </c>
      <c r="AA941" s="6" t="n">
        <v>-1.778639206945664</v>
      </c>
      <c r="AB941" s="6" t="n">
        <v>0.569210829338146</v>
      </c>
      <c r="AC941" s="6" t="n">
        <v>-0.2669274819868716</v>
      </c>
      <c r="AD941" s="6" t="n">
        <v>2.711064132111767</v>
      </c>
      <c r="AE941" s="6" t="n">
        <v>0.9493842955724108</v>
      </c>
      <c r="AF941" s="6" t="n">
        <v>0.7550552482536259</v>
      </c>
      <c r="AG941" s="6" t="n">
        <v>0.9758260799049985</v>
      </c>
      <c r="AH941" s="6" t="n">
        <v>-3.772949698339685</v>
      </c>
      <c r="AI941" s="6" t="n">
        <v>2.705639052762062</v>
      </c>
      <c r="AJ941" s="6" t="n">
        <v>79.98878757951614</v>
      </c>
      <c r="AK941" s="6" t="n">
        <v>0.1469166389907002</v>
      </c>
      <c r="AL941" s="6" t="n">
        <v>1.04287755581981</v>
      </c>
      <c r="AN941" s="6" t="n">
        <v>1.350092981505014</v>
      </c>
      <c r="AO941" s="6" t="n">
        <v>1.35126293703339</v>
      </c>
      <c r="AP941" s="6" t="n">
        <v>0.1331882681970736</v>
      </c>
      <c r="AQ941" s="6" t="n">
        <v>0</v>
      </c>
      <c r="AR941" s="6" t="n">
        <v>0</v>
      </c>
    </row>
    <row r="942">
      <c r="D942" t="inlineStr">
        <is>
          <t>Run 630</t>
        </is>
      </c>
      <c r="J942" s="6" t="n">
        <v>1.82987765994438</v>
      </c>
      <c r="K942" s="6" t="n">
        <v>0.3746955837060457</v>
      </c>
      <c r="L942" s="6" t="n">
        <v>-0.7278006777838877</v>
      </c>
      <c r="M942" s="6" t="n">
        <v>3.961762409560648</v>
      </c>
      <c r="N942" s="6" t="n">
        <v>-0.2495342856964232</v>
      </c>
      <c r="O942" s="6" t="n">
        <v>0.9896518239698703</v>
      </c>
      <c r="P942" s="6" t="n">
        <v>2.230028184868512</v>
      </c>
      <c r="Q942" s="6" t="n">
        <v>-0.7919350582268321</v>
      </c>
      <c r="R942" s="6" t="n">
        <v>-0.05826907810306713</v>
      </c>
      <c r="S942" s="6" t="n">
        <v>-1.348480738139612</v>
      </c>
      <c r="T942" s="6" t="n">
        <v>-1.187260706576869</v>
      </c>
      <c r="U942" s="6" t="n">
        <v>0.3815581919610788</v>
      </c>
      <c r="V942" s="6" t="n">
        <v>2.532279213631515</v>
      </c>
      <c r="W942" s="6" t="n">
        <v>0.6462581861618482</v>
      </c>
      <c r="X942" s="6" t="n">
        <v>-3.952435458704234</v>
      </c>
      <c r="Y942" s="6" t="n">
        <v>2.235146156811322</v>
      </c>
      <c r="Z942" s="6" t="n">
        <v>-2.348786982816749</v>
      </c>
      <c r="AA942" s="6" t="n">
        <v>0.9014871348268517</v>
      </c>
      <c r="AB942" s="6" t="n">
        <v>-0.5389741245225422</v>
      </c>
      <c r="AC942" s="6" t="n">
        <v>-3.118341031983862</v>
      </c>
      <c r="AD942" s="6" t="n">
        <v>-0.3324231069036342</v>
      </c>
      <c r="AE942" s="6" t="n">
        <v>-0.6591191361353089</v>
      </c>
      <c r="AF942" s="6" t="n">
        <v>2.269982641149529</v>
      </c>
      <c r="AG942" s="6" t="n">
        <v>-2.014960854415419</v>
      </c>
      <c r="AH942" s="6" t="n">
        <v>-0.183539159090198</v>
      </c>
      <c r="AI942" s="6" t="n">
        <v>-1.874077455923244</v>
      </c>
      <c r="AJ942" s="6" t="n">
        <v>81.80238429687854</v>
      </c>
      <c r="AK942" s="6" t="n">
        <v>0.1132711274608444</v>
      </c>
      <c r="AL942" s="6" t="n">
        <v>1.061002714185664</v>
      </c>
      <c r="AN942" s="6" t="n">
        <v>1.344681685257079</v>
      </c>
      <c r="AO942" s="6" t="n">
        <v>1.34553810073267</v>
      </c>
      <c r="AP942" s="6" t="n">
        <v>0.1321975572531259</v>
      </c>
      <c r="AQ942" s="6" t="n">
        <v>0</v>
      </c>
      <c r="AR942" s="6" t="n">
        <v>0</v>
      </c>
    </row>
    <row r="943">
      <c r="D943" t="inlineStr">
        <is>
          <t>Run 631</t>
        </is>
      </c>
      <c r="J943" s="6" t="n">
        <v>0.2058091813527601</v>
      </c>
      <c r="K943" s="6" t="n">
        <v>2.354819449173607</v>
      </c>
      <c r="L943" s="6" t="n">
        <v>0.6347628052697429</v>
      </c>
      <c r="M943" s="6" t="n">
        <v>-0.672313833984268</v>
      </c>
      <c r="N943" s="6" t="n">
        <v>-1.205911417384583</v>
      </c>
      <c r="O943" s="6" t="n">
        <v>1.357168641095234</v>
      </c>
      <c r="P943" s="6" t="n">
        <v>0.5077584419515188</v>
      </c>
      <c r="Q943" s="6" t="n">
        <v>-0.7229681799256538</v>
      </c>
      <c r="R943" s="6" t="n">
        <v>0.1900560195766897</v>
      </c>
      <c r="S943" s="6" t="n">
        <v>-5.276748633526491</v>
      </c>
      <c r="T943" s="6" t="n">
        <v>-1.239465249787467</v>
      </c>
      <c r="U943" s="6" t="n">
        <v>2.170837128074196</v>
      </c>
      <c r="V943" s="6" t="n">
        <v>-0.9133122206545582</v>
      </c>
      <c r="W943" s="6" t="n">
        <v>-2.431079901115762</v>
      </c>
      <c r="X943" s="6" t="n">
        <v>-1.645658435938879</v>
      </c>
      <c r="Y943" s="6" t="n">
        <v>2.122122641818102</v>
      </c>
      <c r="Z943" s="6" t="n">
        <v>-2.93024459681324</v>
      </c>
      <c r="AA943" s="6" t="n">
        <v>-1.126577884065203</v>
      </c>
      <c r="AB943" s="6" t="n">
        <v>2.970733014519583</v>
      </c>
      <c r="AC943" s="6" t="n">
        <v>-0.8071220238162374</v>
      </c>
      <c r="AD943" s="6" t="n">
        <v>-2.213507439276741</v>
      </c>
      <c r="AE943" s="6" t="n">
        <v>3.082266427733961</v>
      </c>
      <c r="AF943" s="6" t="n">
        <v>3.216046069510168</v>
      </c>
      <c r="AG943" s="6" t="n">
        <v>-0.2253148105271067</v>
      </c>
      <c r="AH943" s="6" t="n">
        <v>1.380709686605842</v>
      </c>
      <c r="AI943" s="6" t="n">
        <v>5</v>
      </c>
      <c r="AJ943" s="6" t="n">
        <v>60.7551561769469</v>
      </c>
      <c r="AK943" s="6" t="n">
        <v>0.1163165824047851</v>
      </c>
      <c r="AL943" s="6" t="n">
        <v>1.044887879040564</v>
      </c>
      <c r="AN943" s="6" t="n">
        <v>1.340698551716931</v>
      </c>
      <c r="AO943" s="6" t="n">
        <v>1.340978364535217</v>
      </c>
      <c r="AP943" s="6" t="n">
        <v>0.1319512114070842</v>
      </c>
      <c r="AQ943" s="6" t="n">
        <v>0</v>
      </c>
      <c r="AR943" s="6" t="n">
        <v>0</v>
      </c>
    </row>
    <row r="944">
      <c r="D944" t="inlineStr">
        <is>
          <t>Run 632</t>
        </is>
      </c>
      <c r="J944" s="6" t="n">
        <v>-2.749757845603243</v>
      </c>
      <c r="K944" s="6" t="n">
        <v>-0.657934417092873</v>
      </c>
      <c r="L944" s="6" t="n">
        <v>-1.75973925639488</v>
      </c>
      <c r="M944" s="6" t="n">
        <v>-1.400686906036466</v>
      </c>
      <c r="N944" s="6" t="n">
        <v>0.4016740038600795</v>
      </c>
      <c r="O944" s="6" t="n">
        <v>3.902286440933055</v>
      </c>
      <c r="P944" s="6" t="n">
        <v>1.997174303702399</v>
      </c>
      <c r="Q944" s="6" t="n">
        <v>-2.13502348593985</v>
      </c>
      <c r="R944" s="6" t="n">
        <v>-0.4307338392916068</v>
      </c>
      <c r="S944" s="6" t="n">
        <v>0.46021005612935</v>
      </c>
      <c r="T944" s="6" t="n">
        <v>2.858422691672758</v>
      </c>
      <c r="U944" s="6" t="n">
        <v>-2.695649697724952</v>
      </c>
      <c r="V944" s="6" t="n">
        <v>-1.766259339684556</v>
      </c>
      <c r="W944" s="6" t="n">
        <v>0.2038230468923596</v>
      </c>
      <c r="X944" s="6" t="n">
        <v>0.822426898438243</v>
      </c>
      <c r="Y944" s="6" t="n">
        <v>-1.730154928385021</v>
      </c>
      <c r="Z944" s="6" t="n">
        <v>2.232224100523761</v>
      </c>
      <c r="AA944" s="6" t="n">
        <v>-0.9464631306283373</v>
      </c>
      <c r="AB944" s="6" t="n">
        <v>-0.5975251684157615</v>
      </c>
      <c r="AC944" s="6" t="n">
        <v>-1.311174257648111</v>
      </c>
      <c r="AD944" s="6" t="n">
        <v>-3.55652430462716</v>
      </c>
      <c r="AE944" s="6" t="n">
        <v>0.8428789831375263</v>
      </c>
      <c r="AF944" s="6" t="n">
        <v>0.6091619601212379</v>
      </c>
      <c r="AG944" s="6" t="n">
        <v>-4.855850358196751</v>
      </c>
      <c r="AH944" s="6" t="n">
        <v>-2.754834290551151</v>
      </c>
      <c r="AI944" s="6" t="n">
        <v>1.458638784984789</v>
      </c>
      <c r="AJ944" s="6" t="n">
        <v>80.67395995195518</v>
      </c>
      <c r="AK944" s="6" t="n">
        <v>0.1264462823189196</v>
      </c>
      <c r="AL944" s="6" t="n">
        <v>1.042421174950194</v>
      </c>
      <c r="AN944" s="6" t="n">
        <v>1.345469732069839</v>
      </c>
      <c r="AO944" s="6" t="n">
        <v>1.348829794473168</v>
      </c>
      <c r="AP944" s="6" t="n">
        <v>0.1332524905010896</v>
      </c>
      <c r="AQ944" s="6" t="n">
        <v>0</v>
      </c>
      <c r="AR944" s="6" t="n">
        <v>0</v>
      </c>
    </row>
    <row r="945">
      <c r="D945" t="inlineStr">
        <is>
          <t>Run 633</t>
        </is>
      </c>
      <c r="J945" s="6" t="n">
        <v>0.2118144838268054</v>
      </c>
      <c r="K945" s="6" t="n">
        <v>0.7565302507433341</v>
      </c>
      <c r="L945" s="6" t="n">
        <v>0.05704306799806143</v>
      </c>
      <c r="M945" s="6" t="n">
        <v>3.073917320292765</v>
      </c>
      <c r="N945" s="6" t="n">
        <v>-1.934192166903334</v>
      </c>
      <c r="O945" s="6" t="n">
        <v>1.561249872392793</v>
      </c>
      <c r="P945" s="6" t="n">
        <v>-0.930346194866427</v>
      </c>
      <c r="Q945" s="6" t="n">
        <v>1.120195107925621</v>
      </c>
      <c r="R945" s="6" t="n">
        <v>-0.165297403281909</v>
      </c>
      <c r="S945" s="6" t="n">
        <v>-3.758343132709836</v>
      </c>
      <c r="T945" s="6" t="n">
        <v>-0.6142184588573089</v>
      </c>
      <c r="U945" s="6" t="n">
        <v>-1.55081022352369</v>
      </c>
      <c r="V945" s="6" t="n">
        <v>3.036428441803928</v>
      </c>
      <c r="W945" s="6" t="n">
        <v>2.988782911280992</v>
      </c>
      <c r="X945" s="6" t="n">
        <v>1.027123712750681</v>
      </c>
      <c r="Y945" s="6" t="n">
        <v>0.3356912717021878</v>
      </c>
      <c r="Z945" s="6" t="n">
        <v>-1.945347355178625</v>
      </c>
      <c r="AA945" s="6" t="n">
        <v>1.179260938314137</v>
      </c>
      <c r="AB945" s="6" t="n">
        <v>0.05032924074925241</v>
      </c>
      <c r="AC945" s="6" t="n">
        <v>-1.099169617645042</v>
      </c>
      <c r="AD945" s="6" t="n">
        <v>-1.028272045497317</v>
      </c>
      <c r="AE945" s="6" t="n">
        <v>1.273511102203669</v>
      </c>
      <c r="AF945" s="6" t="n">
        <v>0.4628981592274607</v>
      </c>
      <c r="AG945" s="6" t="n">
        <v>0.9522694623011619</v>
      </c>
      <c r="AH945" s="6" t="n">
        <v>3.427645104047858</v>
      </c>
      <c r="AI945" s="6" t="n">
        <v>0.9315347979914449</v>
      </c>
      <c r="AJ945" s="6" t="n">
        <v>75.08977837001927</v>
      </c>
      <c r="AK945" s="6" t="n">
        <v>0.146071906215163</v>
      </c>
      <c r="AL945" s="6" t="n">
        <v>1.059502865251746</v>
      </c>
      <c r="AN945" s="6" t="n">
        <v>1.34039722108773</v>
      </c>
      <c r="AO945" s="6" t="n">
        <v>1.340754791000101</v>
      </c>
      <c r="AP945" s="6" t="n">
        <v>0.131228306808249</v>
      </c>
      <c r="AQ945" s="6" t="n">
        <v>0</v>
      </c>
      <c r="AR945" s="6" t="n">
        <v>0</v>
      </c>
    </row>
    <row r="946">
      <c r="D946" t="inlineStr">
        <is>
          <t>Run 634</t>
        </is>
      </c>
      <c r="J946" s="6" t="n">
        <v>0.3240803593993513</v>
      </c>
      <c r="K946" s="6" t="n">
        <v>3.67929620955558</v>
      </c>
      <c r="L946" s="6" t="n">
        <v>1.113693745428144</v>
      </c>
      <c r="M946" s="6" t="n">
        <v>-2.418479506609102</v>
      </c>
      <c r="N946" s="6" t="n">
        <v>-0.422065649492504</v>
      </c>
      <c r="O946" s="6" t="n">
        <v>-0.4589343441717311</v>
      </c>
      <c r="P946" s="6" t="n">
        <v>2.362452136796507</v>
      </c>
      <c r="Q946" s="6" t="n">
        <v>2.387531347594738</v>
      </c>
      <c r="R946" s="6" t="n">
        <v>4.533546409258311</v>
      </c>
      <c r="S946" s="6" t="n">
        <v>4.211003073988436</v>
      </c>
      <c r="T946" s="6" t="n">
        <v>0.3561508923278562</v>
      </c>
      <c r="U946" s="6" t="n">
        <v>0.7863857134124642</v>
      </c>
      <c r="V946" s="6" t="n">
        <v>0.5256706637229297</v>
      </c>
      <c r="W946" s="6" t="n">
        <v>1.533534190827309</v>
      </c>
      <c r="X946" s="6" t="n">
        <v>2.391264969259666</v>
      </c>
      <c r="Y946" s="6" t="n">
        <v>0.5269895360721859</v>
      </c>
      <c r="Z946" s="6" t="n">
        <v>3.846114758995887</v>
      </c>
      <c r="AA946" s="6" t="n">
        <v>-1.903493739177653</v>
      </c>
      <c r="AB946" s="6" t="n">
        <v>1.764897583085335</v>
      </c>
      <c r="AC946" s="6" t="n">
        <v>-0.777111851130603</v>
      </c>
      <c r="AD946" s="6" t="n">
        <v>-1.368806729505715</v>
      </c>
      <c r="AE946" s="6" t="n">
        <v>0.2077195452782188</v>
      </c>
      <c r="AF946" s="6" t="n">
        <v>-1.315978539974896</v>
      </c>
      <c r="AG946" s="6" t="n">
        <v>-3.259046564024888</v>
      </c>
      <c r="AH946" s="6" t="n">
        <v>3.06759745606027</v>
      </c>
      <c r="AI946" s="6" t="n">
        <v>-0.2690908352379488</v>
      </c>
      <c r="AJ946" s="6" t="n">
        <v>69.72351099981056</v>
      </c>
      <c r="AK946" s="6" t="n">
        <v>0.1261973511626632</v>
      </c>
      <c r="AL946" s="6" t="n">
        <v>1.00652319620117</v>
      </c>
      <c r="AN946" s="6" t="n">
        <v>1.338812091628452</v>
      </c>
      <c r="AO946" s="6" t="n">
        <v>1.347755185689613</v>
      </c>
      <c r="AP946" s="6" t="n">
        <v>0.1370071066998179</v>
      </c>
      <c r="AQ946" s="6" t="n">
        <v>0</v>
      </c>
      <c r="AR946" s="6" t="n">
        <v>0</v>
      </c>
    </row>
    <row r="947">
      <c r="D947" t="inlineStr">
        <is>
          <t>Run 635</t>
        </is>
      </c>
      <c r="J947" s="6" t="n">
        <v>3.282434539072</v>
      </c>
      <c r="K947" s="6" t="n">
        <v>-0.2713915432198602</v>
      </c>
      <c r="L947" s="6" t="n">
        <v>-0.4611405050961881</v>
      </c>
      <c r="M947" s="6" t="n">
        <v>-0.3078459159453978</v>
      </c>
      <c r="N947" s="6" t="n">
        <v>0.3650618474753396</v>
      </c>
      <c r="O947" s="6" t="n">
        <v>0.8553151541726407</v>
      </c>
      <c r="P947" s="6" t="n">
        <v>-1.30035076339533</v>
      </c>
      <c r="Q947" s="6" t="n">
        <v>-1.342891893561074</v>
      </c>
      <c r="R947" s="6" t="n">
        <v>-0.6517714492836891</v>
      </c>
      <c r="S947" s="6" t="n">
        <v>-1.804113014021602</v>
      </c>
      <c r="T947" s="6" t="n">
        <v>-5.095449046929193</v>
      </c>
      <c r="U947" s="6" t="n">
        <v>0.1133833329035241</v>
      </c>
      <c r="V947" s="6" t="n">
        <v>0.8820074541450804</v>
      </c>
      <c r="W947" s="6" t="n">
        <v>2.747287736641004</v>
      </c>
      <c r="X947" s="6" t="n">
        <v>-0.5763908494763307</v>
      </c>
      <c r="Y947" s="6" t="n">
        <v>4.815977235940689</v>
      </c>
      <c r="Z947" s="6" t="n">
        <v>-0.4753650906994858</v>
      </c>
      <c r="AA947" s="6" t="n">
        <v>-1.667756397679617</v>
      </c>
      <c r="AB947" s="6" t="n">
        <v>1.184001183922885</v>
      </c>
      <c r="AC947" s="6" t="n">
        <v>-0.9528865154921662</v>
      </c>
      <c r="AD947" s="6" t="n">
        <v>-1.375198645846286</v>
      </c>
      <c r="AE947" s="6" t="n">
        <v>1.997311990590515</v>
      </c>
      <c r="AF947" s="6" t="n">
        <v>1.538868627978558</v>
      </c>
      <c r="AG947" s="6" t="n">
        <v>1.211415413112166</v>
      </c>
      <c r="AH947" s="6" t="n">
        <v>0.8232345196907291</v>
      </c>
      <c r="AI947" s="6" t="n">
        <v>0.09749198439824448</v>
      </c>
      <c r="AJ947" s="6" t="n">
        <v>72.48177621854394</v>
      </c>
      <c r="AK947" s="6" t="n">
        <v>0.06615976417098716</v>
      </c>
      <c r="AL947" s="6" t="n">
        <v>0.9895851237222921</v>
      </c>
      <c r="AN947" s="6" t="n">
        <v>1.360223855138923</v>
      </c>
      <c r="AO947" s="6" t="n">
        <v>1.360223855138923</v>
      </c>
      <c r="AP947" s="6" t="n">
        <v>0.1418698942079419</v>
      </c>
      <c r="AQ947" s="6" t="n">
        <v>0</v>
      </c>
      <c r="AR947" s="6" t="n">
        <v>0</v>
      </c>
    </row>
    <row r="948">
      <c r="D948" t="inlineStr">
        <is>
          <t>Run 636</t>
        </is>
      </c>
      <c r="J948" s="6" t="n">
        <v>1.398933627403294</v>
      </c>
      <c r="K948" s="6" t="n">
        <v>0.5373780616056123</v>
      </c>
      <c r="L948" s="6" t="n">
        <v>0.4552223167460861</v>
      </c>
      <c r="M948" s="6" t="n">
        <v>-3.10465023651844</v>
      </c>
      <c r="N948" s="6" t="n">
        <v>-1.579943735667793</v>
      </c>
      <c r="O948" s="6" t="n">
        <v>-0.9888927617543338</v>
      </c>
      <c r="P948" s="6" t="n">
        <v>0.6914696482944664</v>
      </c>
      <c r="Q948" s="6" t="n">
        <v>-2.504078834831125</v>
      </c>
      <c r="R948" s="6" t="n">
        <v>1.492030644390586</v>
      </c>
      <c r="S948" s="6" t="n">
        <v>-1.387512760335988</v>
      </c>
      <c r="T948" s="6" t="n">
        <v>1.551417649197645</v>
      </c>
      <c r="U948" s="6" t="n">
        <v>0.2692738662161178</v>
      </c>
      <c r="V948" s="6" t="n">
        <v>-2.435429846404795</v>
      </c>
      <c r="W948" s="6" t="n">
        <v>-0.5638713459638123</v>
      </c>
      <c r="X948" s="6" t="n">
        <v>-0.1314879747627275</v>
      </c>
      <c r="Y948" s="6" t="n">
        <v>-1.376527825612132</v>
      </c>
      <c r="Z948" s="6" t="n">
        <v>-3.711554164144962</v>
      </c>
      <c r="AA948" s="6" t="n">
        <v>1.768583028817847</v>
      </c>
      <c r="AB948" s="6" t="n">
        <v>2.334139895435741</v>
      </c>
      <c r="AC948" s="6" t="n">
        <v>4.079830686260864</v>
      </c>
      <c r="AD948" s="6" t="n">
        <v>1.224269010209869</v>
      </c>
      <c r="AE948" s="6" t="n">
        <v>1.288684774151053</v>
      </c>
      <c r="AF948" s="6" t="n">
        <v>3.699387582499154</v>
      </c>
      <c r="AG948" s="6" t="n">
        <v>-2.689659813486403</v>
      </c>
      <c r="AH948" s="6" t="n">
        <v>-1.499912740149343</v>
      </c>
      <c r="AI948" s="6" t="n">
        <v>-1.043285856556186</v>
      </c>
      <c r="AJ948" s="6" t="n">
        <v>70.42928379923116</v>
      </c>
      <c r="AK948" s="6" t="n">
        <v>0.1096686959285256</v>
      </c>
      <c r="AL948" s="6" t="n">
        <v>1.081582565558506</v>
      </c>
      <c r="AN948" s="6" t="n">
        <v>1.307469464875395</v>
      </c>
      <c r="AO948" s="6" t="n">
        <v>1.313411200956926</v>
      </c>
      <c r="AP948" s="6" t="n">
        <v>0.1296284199333367</v>
      </c>
      <c r="AQ948" s="6" t="n">
        <v>0</v>
      </c>
      <c r="AR948" s="6" t="n">
        <v>0</v>
      </c>
    </row>
    <row r="949">
      <c r="D949" t="inlineStr">
        <is>
          <t>Run 637</t>
        </is>
      </c>
      <c r="J949" s="6" t="n">
        <v>-0.423391618713193</v>
      </c>
      <c r="K949" s="6" t="n">
        <v>1.363194810371994</v>
      </c>
      <c r="L949" s="6" t="n">
        <v>-2.8056112501956</v>
      </c>
      <c r="M949" s="6" t="n">
        <v>1.586153833696065</v>
      </c>
      <c r="N949" s="6" t="n">
        <v>-1.045495445033576</v>
      </c>
      <c r="O949" s="6" t="n">
        <v>1.99417901662287</v>
      </c>
      <c r="P949" s="6" t="n">
        <v>-5.199604176191513</v>
      </c>
      <c r="Q949" s="6" t="n">
        <v>-0.445759059721926</v>
      </c>
      <c r="R949" s="6" t="n">
        <v>0.4569621272774613</v>
      </c>
      <c r="S949" s="6" t="n">
        <v>3.132234668784887</v>
      </c>
      <c r="T949" s="6" t="n">
        <v>3.601583198204288</v>
      </c>
      <c r="U949" s="6" t="n">
        <v>-4.540126339235048</v>
      </c>
      <c r="V949" s="6" t="n">
        <v>-0.6933423135653731</v>
      </c>
      <c r="W949" s="6" t="n">
        <v>1.772196432970032</v>
      </c>
      <c r="X949" s="6" t="n">
        <v>-1.475943637641068</v>
      </c>
      <c r="Y949" s="6" t="n">
        <v>-1.886079933117881</v>
      </c>
      <c r="Z949" s="6" t="n">
        <v>-0.2403682606612972</v>
      </c>
      <c r="AA949" s="6" t="n">
        <v>-0.8632720110857044</v>
      </c>
      <c r="AB949" s="6" t="n">
        <v>0.441332415952053</v>
      </c>
      <c r="AC949" s="6" t="n">
        <v>-1.663133101224898</v>
      </c>
      <c r="AD949" s="6" t="n">
        <v>-0.4317803833856976</v>
      </c>
      <c r="AE949" s="6" t="n">
        <v>0.1978298042326477</v>
      </c>
      <c r="AF949" s="6" t="n">
        <v>2.174389948284913</v>
      </c>
      <c r="AG949" s="6" t="n">
        <v>-2.20433415083497</v>
      </c>
      <c r="AH949" s="6" t="n">
        <v>-2.049798289416327</v>
      </c>
      <c r="AI949" s="6" t="n">
        <v>2.768343219157695</v>
      </c>
      <c r="AJ949" s="6" t="n">
        <v>59.16497845525599</v>
      </c>
      <c r="AK949" s="6" t="n">
        <v>0.1983724957575332</v>
      </c>
      <c r="AL949" s="6" t="n">
        <v>1.013358290486162</v>
      </c>
      <c r="AN949" s="6" t="n">
        <v>1.345274781331616</v>
      </c>
      <c r="AO949" s="6" t="n">
        <v>1.345963008923211</v>
      </c>
      <c r="AP949" s="6" t="n">
        <v>0.1331218598725168</v>
      </c>
      <c r="AQ949" s="6" t="n">
        <v>0</v>
      </c>
      <c r="AR949" s="6" t="n">
        <v>0</v>
      </c>
    </row>
    <row r="950">
      <c r="D950" t="inlineStr">
        <is>
          <t>Run 638</t>
        </is>
      </c>
      <c r="J950" s="6" t="n">
        <v>-0.01996498236860404</v>
      </c>
      <c r="K950" s="6" t="n">
        <v>0.6848295879403644</v>
      </c>
      <c r="L950" s="6" t="n">
        <v>-3.288123316821927</v>
      </c>
      <c r="M950" s="6" t="n">
        <v>0.3951150846668027</v>
      </c>
      <c r="N950" s="6" t="n">
        <v>-0.4087183133083517</v>
      </c>
      <c r="O950" s="6" t="n">
        <v>1.31902179738852</v>
      </c>
      <c r="P950" s="6" t="n">
        <v>-0.1693600049981438</v>
      </c>
      <c r="Q950" s="6" t="n">
        <v>-0.265021237954136</v>
      </c>
      <c r="R950" s="6" t="n">
        <v>4.368867726692282</v>
      </c>
      <c r="S950" s="6" t="n">
        <v>-0.4884140060714156</v>
      </c>
      <c r="T950" s="6" t="n">
        <v>0.6014995606080665</v>
      </c>
      <c r="U950" s="6" t="n">
        <v>-0.9389151446411947</v>
      </c>
      <c r="V950" s="6" t="n">
        <v>3.331967073845234</v>
      </c>
      <c r="W950" s="6" t="n">
        <v>0.03923801690647443</v>
      </c>
      <c r="X950" s="6" t="n">
        <v>-1.796775671465614</v>
      </c>
      <c r="Y950" s="6" t="n">
        <v>0.09441351652279832</v>
      </c>
      <c r="Z950" s="6" t="n">
        <v>-1.050881656184157</v>
      </c>
      <c r="AA950" s="6" t="n">
        <v>-2.326306384671682</v>
      </c>
      <c r="AB950" s="6" t="n">
        <v>-1.246239586786249</v>
      </c>
      <c r="AC950" s="6" t="n">
        <v>1.537534291783816</v>
      </c>
      <c r="AD950" s="6" t="n">
        <v>-1.85684110838868</v>
      </c>
      <c r="AE950" s="6" t="n">
        <v>1.391319928112846</v>
      </c>
      <c r="AF950" s="6" t="n">
        <v>-1.995583654337836</v>
      </c>
      <c r="AG950" s="6" t="n">
        <v>0.4127853577771098</v>
      </c>
      <c r="AH950" s="6" t="n">
        <v>-2.621783245157415</v>
      </c>
      <c r="AI950" s="6" t="n">
        <v>-1.480479666712923</v>
      </c>
      <c r="AJ950" s="6" t="n">
        <v>76.77556491106613</v>
      </c>
      <c r="AK950" s="6" t="n">
        <v>0.08410623962016153</v>
      </c>
      <c r="AL950" s="6" t="n">
        <v>1.047803074719979</v>
      </c>
      <c r="AN950" s="6" t="n">
        <v>1.351019171964661</v>
      </c>
      <c r="AO950" s="6" t="n">
        <v>1.351019171964661</v>
      </c>
      <c r="AP950" s="6" t="n">
        <v>0.1339870070520865</v>
      </c>
      <c r="AQ950" s="6" t="n">
        <v>0</v>
      </c>
      <c r="AR950" s="6" t="n">
        <v>0</v>
      </c>
    </row>
    <row r="951">
      <c r="D951" t="inlineStr">
        <is>
          <t>Run 639</t>
        </is>
      </c>
      <c r="J951" s="6" t="n">
        <v>-0.9545758509190165</v>
      </c>
      <c r="K951" s="6" t="n">
        <v>2.597219177737387</v>
      </c>
      <c r="L951" s="6" t="n">
        <v>-2.919775779379624</v>
      </c>
      <c r="M951" s="6" t="n">
        <v>0.3806694522063744</v>
      </c>
      <c r="N951" s="6" t="n">
        <v>0.7657809672195159</v>
      </c>
      <c r="O951" s="6" t="n">
        <v>-2.927172241014564</v>
      </c>
      <c r="P951" s="6" t="n">
        <v>-1.133103099822116</v>
      </c>
      <c r="Q951" s="6" t="n">
        <v>-1.204208919400492</v>
      </c>
      <c r="R951" s="6" t="n">
        <v>0.6530634124530933</v>
      </c>
      <c r="S951" s="6" t="n">
        <v>-3.143758680399342</v>
      </c>
      <c r="T951" s="6" t="n">
        <v>-0.4457345573991393</v>
      </c>
      <c r="U951" s="6" t="n">
        <v>3.946715558578879</v>
      </c>
      <c r="V951" s="6" t="n">
        <v>0.193772208697494</v>
      </c>
      <c r="W951" s="6" t="n">
        <v>0.7122711790185123</v>
      </c>
      <c r="X951" s="6" t="n">
        <v>1.689139781861276</v>
      </c>
      <c r="Y951" s="6" t="n">
        <v>0.9585311609733801</v>
      </c>
      <c r="Z951" s="6" t="n">
        <v>1.332975551621526</v>
      </c>
      <c r="AA951" s="6" t="n">
        <v>1.011988974766126</v>
      </c>
      <c r="AB951" s="6" t="n">
        <v>-0.8695406564473802</v>
      </c>
      <c r="AC951" s="6" t="n">
        <v>3.154990992833422</v>
      </c>
      <c r="AD951" s="6" t="n">
        <v>1.738604657264142</v>
      </c>
      <c r="AE951" s="6" t="n">
        <v>1.083781854649393</v>
      </c>
      <c r="AF951" s="6" t="n">
        <v>-0.3585841323332195</v>
      </c>
      <c r="AG951" s="6" t="n">
        <v>3.021244650415507</v>
      </c>
      <c r="AH951" s="6" t="n">
        <v>-1.098540101664532</v>
      </c>
      <c r="AI951" s="6" t="n">
        <v>-0.3836648164862347</v>
      </c>
      <c r="AJ951" s="6" t="n">
        <v>71.75743717080229</v>
      </c>
      <c r="AK951" s="6" t="n">
        <v>0.1894029009035904</v>
      </c>
      <c r="AL951" s="6" t="n">
        <v>1.067906393025289</v>
      </c>
      <c r="AN951" s="6" t="n">
        <v>1.334352517323769</v>
      </c>
      <c r="AO951" s="6" t="n">
        <v>1.334714268405319</v>
      </c>
      <c r="AP951" s="6" t="n">
        <v>0.1293949500191696</v>
      </c>
      <c r="AQ951" s="6" t="n">
        <v>0</v>
      </c>
      <c r="AR951" s="6" t="n">
        <v>0</v>
      </c>
    </row>
    <row r="952">
      <c r="D952" t="inlineStr">
        <is>
          <t>Run 640</t>
        </is>
      </c>
      <c r="J952" s="6" t="n">
        <v>-0.8999393901882223</v>
      </c>
      <c r="K952" s="6" t="n">
        <v>-1.366847195063075</v>
      </c>
      <c r="L952" s="6" t="n">
        <v>1.242151819350338</v>
      </c>
      <c r="M952" s="6" t="n">
        <v>4.095630711585789</v>
      </c>
      <c r="N952" s="6" t="n">
        <v>2.718206229626535</v>
      </c>
      <c r="O952" s="6" t="n">
        <v>1.875488727466969</v>
      </c>
      <c r="P952" s="6" t="n">
        <v>-1.148259738556522</v>
      </c>
      <c r="Q952" s="6" t="n">
        <v>1.752517491839308</v>
      </c>
      <c r="R952" s="6" t="n">
        <v>-0.3243922525323024</v>
      </c>
      <c r="S952" s="6" t="n">
        <v>1.75123615666231</v>
      </c>
      <c r="T952" s="6" t="n">
        <v>-0.9496024217507629</v>
      </c>
      <c r="U952" s="6" t="n">
        <v>-1.557183176949065</v>
      </c>
      <c r="V952" s="6" t="n">
        <v>0.952350814792018</v>
      </c>
      <c r="W952" s="6" t="n">
        <v>2.081810027099112</v>
      </c>
      <c r="X952" s="6" t="n">
        <v>-1.669391172746732</v>
      </c>
      <c r="Y952" s="6" t="n">
        <v>3.641050892569851</v>
      </c>
      <c r="Z952" s="6" t="n">
        <v>-3.312597176276</v>
      </c>
      <c r="AA952" s="6" t="n">
        <v>3.966594492074991</v>
      </c>
      <c r="AB952" s="6" t="n">
        <v>3.092013405104446</v>
      </c>
      <c r="AC952" s="6" t="n">
        <v>0.1257388948290522</v>
      </c>
      <c r="AD952" s="6" t="n">
        <v>-5.434625962812888</v>
      </c>
      <c r="AE952" s="6" t="n">
        <v>1.973602177020598</v>
      </c>
      <c r="AF952" s="6" t="n">
        <v>0.2071902254560992</v>
      </c>
      <c r="AG952" s="6" t="n">
        <v>1.751002184143003</v>
      </c>
      <c r="AH952" s="6" t="n">
        <v>-4.365956074021677</v>
      </c>
      <c r="AI952" s="6" t="n">
        <v>4.218793704813188</v>
      </c>
      <c r="AJ952" s="6" t="n">
        <v>81.19083858675576</v>
      </c>
      <c r="AK952" s="6" t="n">
        <v>0.1522371832719888</v>
      </c>
      <c r="AL952" s="6" t="n">
        <v>1.055554488064963</v>
      </c>
      <c r="AN952" s="6" t="n">
        <v>1.343141079013127</v>
      </c>
      <c r="AO952" s="6" t="n">
        <v>1.343542096955871</v>
      </c>
      <c r="AP952" s="6" t="n">
        <v>0.1317702520931698</v>
      </c>
      <c r="AQ952" s="6" t="n">
        <v>0</v>
      </c>
      <c r="AR952" s="6" t="n">
        <v>0</v>
      </c>
    </row>
    <row r="953">
      <c r="D953" t="inlineStr">
        <is>
          <t>Run 641</t>
        </is>
      </c>
      <c r="J953" s="6" t="n">
        <v>1.020145069277412</v>
      </c>
      <c r="K953" s="6" t="n">
        <v>-2.249157615246748</v>
      </c>
      <c r="L953" s="6" t="n">
        <v>2.097567772302483</v>
      </c>
      <c r="M953" s="6" t="n">
        <v>2.464856981229147</v>
      </c>
      <c r="N953" s="6" t="n">
        <v>-0.09251024067378</v>
      </c>
      <c r="O953" s="6" t="n">
        <v>3.071147719215502</v>
      </c>
      <c r="P953" s="6" t="n">
        <v>3.69068792150002</v>
      </c>
      <c r="Q953" s="6" t="n">
        <v>-1.654591067039939</v>
      </c>
      <c r="R953" s="6" t="n">
        <v>2.460223105914566</v>
      </c>
      <c r="S953" s="6" t="n">
        <v>2.221414716789232</v>
      </c>
      <c r="T953" s="6" t="n">
        <v>0.3768960239802286</v>
      </c>
      <c r="U953" s="6" t="n">
        <v>1.045204714630714</v>
      </c>
      <c r="V953" s="6" t="n">
        <v>0.6095207550709469</v>
      </c>
      <c r="W953" s="6" t="n">
        <v>0.02137931518397204</v>
      </c>
      <c r="X953" s="6" t="n">
        <v>0.6007862590213499</v>
      </c>
      <c r="Y953" s="6" t="n">
        <v>1.198494034616981</v>
      </c>
      <c r="Z953" s="6" t="n">
        <v>-1.986160492876001</v>
      </c>
      <c r="AA953" s="6" t="n">
        <v>3.330184303848817</v>
      </c>
      <c r="AB953" s="6" t="n">
        <v>-2.015672383823897</v>
      </c>
      <c r="AC953" s="6" t="n">
        <v>0.9135795963236455</v>
      </c>
      <c r="AD953" s="6" t="n">
        <v>-0.08030051028711784</v>
      </c>
      <c r="AE953" s="6" t="n">
        <v>-0.8027885552012199</v>
      </c>
      <c r="AF953" s="6" t="n">
        <v>-1.815317593924811</v>
      </c>
      <c r="AG953" s="6" t="n">
        <v>-0.5140520258416897</v>
      </c>
      <c r="AH953" s="6" t="n">
        <v>1.356259411201147</v>
      </c>
      <c r="AI953" s="6" t="n">
        <v>-1.568437176222321</v>
      </c>
      <c r="AJ953" s="6" t="n">
        <v>69.90461828520219</v>
      </c>
      <c r="AK953" s="6" t="n">
        <v>0.07923867626444314</v>
      </c>
      <c r="AL953" s="6" t="n">
        <v>1.088636837555757</v>
      </c>
      <c r="AN953" s="6" t="n">
        <v>1.335241791090413</v>
      </c>
      <c r="AO953" s="6" t="n">
        <v>1.335816151911169</v>
      </c>
      <c r="AP953" s="6" t="n">
        <v>0.1304856962480461</v>
      </c>
      <c r="AQ953" s="6" t="n">
        <v>0</v>
      </c>
      <c r="AR953" s="6" t="n">
        <v>0</v>
      </c>
    </row>
    <row r="954">
      <c r="D954" t="inlineStr">
        <is>
          <t>Run 642</t>
        </is>
      </c>
      <c r="J954" s="6" t="n">
        <v>-0.3597203730471738</v>
      </c>
      <c r="K954" s="6" t="n">
        <v>-0.5753230396013795</v>
      </c>
      <c r="L954" s="6" t="n">
        <v>-2.942655582689462</v>
      </c>
      <c r="M954" s="6" t="n">
        <v>-4.550517463079169</v>
      </c>
      <c r="N954" s="6" t="n">
        <v>0.4334507219598651</v>
      </c>
      <c r="O954" s="6" t="n">
        <v>1.884039434973952</v>
      </c>
      <c r="P954" s="6" t="n">
        <v>0.5627971461531923</v>
      </c>
      <c r="Q954" s="6" t="n">
        <v>-2.509683405461258</v>
      </c>
      <c r="R954" s="6" t="n">
        <v>0.9047502283063014</v>
      </c>
      <c r="S954" s="6" t="n">
        <v>-4.675843654227759</v>
      </c>
      <c r="T954" s="6" t="n">
        <v>1.258591132825033</v>
      </c>
      <c r="U954" s="6" t="n">
        <v>-3.449093964896232</v>
      </c>
      <c r="V954" s="6" t="n">
        <v>-2.902741028911717</v>
      </c>
      <c r="W954" s="6" t="n">
        <v>-1.272403625687738</v>
      </c>
      <c r="X954" s="6" t="n">
        <v>-0.7916879997082039</v>
      </c>
      <c r="Y954" s="6" t="n">
        <v>-1.662211306928618</v>
      </c>
      <c r="Z954" s="6" t="n">
        <v>3.612882680874892</v>
      </c>
      <c r="AA954" s="6" t="n">
        <v>-2.423746253365023</v>
      </c>
      <c r="AB954" s="6" t="n">
        <v>-0.683922223964361</v>
      </c>
      <c r="AC954" s="6" t="n">
        <v>5</v>
      </c>
      <c r="AD954" s="6" t="n">
        <v>1.798101313820422</v>
      </c>
      <c r="AE954" s="6" t="n">
        <v>2.190507191344706</v>
      </c>
      <c r="AF954" s="6" t="n">
        <v>-0.7937352660668782</v>
      </c>
      <c r="AG954" s="6" t="n">
        <v>-3.028966290737515</v>
      </c>
      <c r="AH954" s="6" t="n">
        <v>-2.159838455452948</v>
      </c>
      <c r="AI954" s="6" t="n">
        <v>-0.5260926493819519</v>
      </c>
      <c r="AJ954" s="6" t="n">
        <v>78.15804611218212</v>
      </c>
      <c r="AK954" s="6" t="n">
        <v>0.01584540311570508</v>
      </c>
      <c r="AL954" s="6" t="n">
        <v>1.068890905165624</v>
      </c>
      <c r="AN954" s="6" t="n">
        <v>1.295057411269785</v>
      </c>
      <c r="AO954" s="6" t="n">
        <v>1.308220631814972</v>
      </c>
      <c r="AP954" s="6" t="n">
        <v>0.132742249537694</v>
      </c>
      <c r="AQ954" s="6" t="n">
        <v>0</v>
      </c>
      <c r="AR954" s="6" t="n">
        <v>0</v>
      </c>
    </row>
    <row r="955">
      <c r="D955" t="inlineStr">
        <is>
          <t>Run 643</t>
        </is>
      </c>
      <c r="J955" s="6" t="n">
        <v>2.734292823939721</v>
      </c>
      <c r="K955" s="6" t="n">
        <v>-1.838213701712581</v>
      </c>
      <c r="L955" s="6" t="n">
        <v>2.585204415809691</v>
      </c>
      <c r="M955" s="6" t="n">
        <v>-1.887967846800454</v>
      </c>
      <c r="N955" s="6" t="n">
        <v>2.138362630598721</v>
      </c>
      <c r="O955" s="6" t="n">
        <v>1.127673121160321</v>
      </c>
      <c r="P955" s="6" t="n">
        <v>0.4238156691062687</v>
      </c>
      <c r="Q955" s="6" t="n">
        <v>0.5640521663456206</v>
      </c>
      <c r="R955" s="6" t="n">
        <v>-0.6284844345642498</v>
      </c>
      <c r="S955" s="6" t="n">
        <v>0.7728366110929989</v>
      </c>
      <c r="T955" s="6" t="n">
        <v>0.7960552042898983</v>
      </c>
      <c r="U955" s="6" t="n">
        <v>0.0582707403669948</v>
      </c>
      <c r="V955" s="6" t="n">
        <v>0.5828547024021777</v>
      </c>
      <c r="W955" s="6" t="n">
        <v>2.214273297684527</v>
      </c>
      <c r="X955" s="6" t="n">
        <v>-4.597661363759735</v>
      </c>
      <c r="Y955" s="6" t="n">
        <v>1.264881819925141</v>
      </c>
      <c r="Z955" s="6" t="n">
        <v>1.918974902527988</v>
      </c>
      <c r="AA955" s="6" t="n">
        <v>-1.029604153776954</v>
      </c>
      <c r="AB955" s="6" t="n">
        <v>-2.164799227396463</v>
      </c>
      <c r="AC955" s="6" t="n">
        <v>3.673584926950644</v>
      </c>
      <c r="AD955" s="6" t="n">
        <v>-1.240159010634373</v>
      </c>
      <c r="AE955" s="6" t="n">
        <v>-2.160007686768897</v>
      </c>
      <c r="AF955" s="6" t="n">
        <v>-1.086752649834307</v>
      </c>
      <c r="AG955" s="6" t="n">
        <v>1.934142975556906</v>
      </c>
      <c r="AH955" s="6" t="n">
        <v>0.04096306733442051</v>
      </c>
      <c r="AI955" s="6" t="n">
        <v>1.874291731861424</v>
      </c>
      <c r="AJ955" s="6" t="n">
        <v>80.69182300457213</v>
      </c>
      <c r="AK955" s="6" t="n">
        <v>0.09946440702631756</v>
      </c>
      <c r="AL955" s="6" t="n">
        <v>1.067683668312446</v>
      </c>
      <c r="AN955" s="6" t="n">
        <v>1.332899797662836</v>
      </c>
      <c r="AO955" s="6" t="n">
        <v>1.337922127054055</v>
      </c>
      <c r="AP955" s="6" t="n">
        <v>0.1320414731099376</v>
      </c>
      <c r="AQ955" s="6" t="n">
        <v>0</v>
      </c>
      <c r="AR955" s="6" t="n">
        <v>0</v>
      </c>
    </row>
    <row r="956">
      <c r="D956" t="inlineStr">
        <is>
          <t>Run 644</t>
        </is>
      </c>
      <c r="J956" s="6" t="n">
        <v>-1.958852601277706</v>
      </c>
      <c r="K956" s="6" t="n">
        <v>-0.7120367006486175</v>
      </c>
      <c r="L956" s="6" t="n">
        <v>1.802216741956476</v>
      </c>
      <c r="M956" s="6" t="n">
        <v>2.524402917253465</v>
      </c>
      <c r="N956" s="6" t="n">
        <v>-1.686723362303681</v>
      </c>
      <c r="O956" s="6" t="n">
        <v>-1.791970516982116</v>
      </c>
      <c r="P956" s="6" t="n">
        <v>0.7279476510888945</v>
      </c>
      <c r="Q956" s="6" t="n">
        <v>-1.010780459819648</v>
      </c>
      <c r="R956" s="6" t="n">
        <v>1.390936897160116</v>
      </c>
      <c r="S956" s="6" t="n">
        <v>0.7235489229161925</v>
      </c>
      <c r="T956" s="6" t="n">
        <v>1.763443241152791</v>
      </c>
      <c r="U956" s="6" t="n">
        <v>2.634063372803445</v>
      </c>
      <c r="V956" s="6" t="n">
        <v>1.998161761839239</v>
      </c>
      <c r="W956" s="6" t="n">
        <v>1.384747768042485</v>
      </c>
      <c r="X956" s="6" t="n">
        <v>-2.426093521456217</v>
      </c>
      <c r="Y956" s="6" t="n">
        <v>1.804487821762003</v>
      </c>
      <c r="Z956" s="6" t="n">
        <v>3.054291095835012</v>
      </c>
      <c r="AA956" s="6" t="n">
        <v>1.082044318664125</v>
      </c>
      <c r="AB956" s="6" t="n">
        <v>1.671434682429003</v>
      </c>
      <c r="AC956" s="6" t="n">
        <v>0.7621606308173692</v>
      </c>
      <c r="AD956" s="6" t="n">
        <v>-3.048213087184705</v>
      </c>
      <c r="AE956" s="6" t="n">
        <v>-1.188880725816131</v>
      </c>
      <c r="AF956" s="6" t="n">
        <v>3.066503672055923</v>
      </c>
      <c r="AG956" s="6" t="n">
        <v>-0.8098377786053147</v>
      </c>
      <c r="AH956" s="6" t="n">
        <v>-2.380290289741929</v>
      </c>
      <c r="AI956" s="6" t="n">
        <v>-2.127741476400487</v>
      </c>
      <c r="AJ956" s="6" t="n">
        <v>76.7065502853528</v>
      </c>
      <c r="AK956" s="6" t="n">
        <v>0.1743056187352535</v>
      </c>
      <c r="AL956" s="6" t="n">
        <v>1.078245048563444</v>
      </c>
      <c r="AN956" s="6" t="n">
        <v>1.33279443060772</v>
      </c>
      <c r="AO956" s="6" t="n">
        <v>1.334171744019705</v>
      </c>
      <c r="AP956" s="6" t="n">
        <v>0.1292149748742577</v>
      </c>
      <c r="AQ956" s="6" t="n">
        <v>0</v>
      </c>
      <c r="AR956" s="6" t="n">
        <v>0</v>
      </c>
    </row>
    <row r="957">
      <c r="D957" t="inlineStr">
        <is>
          <t>Run 645</t>
        </is>
      </c>
      <c r="J957" s="6" t="n">
        <v>-1.490094577992897</v>
      </c>
      <c r="K957" s="6" t="n">
        <v>-0.3432047205855503</v>
      </c>
      <c r="L957" s="6" t="n">
        <v>2.451200348142272</v>
      </c>
      <c r="M957" s="6" t="n">
        <v>-2.894386118748463</v>
      </c>
      <c r="N957" s="6" t="n">
        <v>-3.340015797176626</v>
      </c>
      <c r="O957" s="6" t="n">
        <v>-4.713626730450051</v>
      </c>
      <c r="P957" s="6" t="n">
        <v>2.111996303247704</v>
      </c>
      <c r="Q957" s="6" t="n">
        <v>-1.535465809036896</v>
      </c>
      <c r="R957" s="6" t="n">
        <v>0.1154428395862773</v>
      </c>
      <c r="S957" s="6" t="n">
        <v>-2.389878088467616</v>
      </c>
      <c r="T957" s="6" t="n">
        <v>2.950231672822781</v>
      </c>
      <c r="U957" s="6" t="n">
        <v>-3.714118849884795</v>
      </c>
      <c r="V957" s="6" t="n">
        <v>2.435175499837977</v>
      </c>
      <c r="W957" s="6" t="n">
        <v>-3.375604267706346</v>
      </c>
      <c r="X957" s="6" t="n">
        <v>-1.620725114073861</v>
      </c>
      <c r="Y957" s="6" t="n">
        <v>-0.678818720334421</v>
      </c>
      <c r="Z957" s="6" t="n">
        <v>-3.785395494853483</v>
      </c>
      <c r="AA957" s="6" t="n">
        <v>0.3035183782902637</v>
      </c>
      <c r="AB957" s="6" t="n">
        <v>-4.758687684749753</v>
      </c>
      <c r="AC957" s="6" t="n">
        <v>5</v>
      </c>
      <c r="AD957" s="6" t="n">
        <v>-0.1225323595538868</v>
      </c>
      <c r="AE957" s="6" t="n">
        <v>0.2210926540432928</v>
      </c>
      <c r="AF957" s="6" t="n">
        <v>0.5416430728430881</v>
      </c>
      <c r="AG957" s="6" t="n">
        <v>4.445765116501728</v>
      </c>
      <c r="AH957" s="6" t="n">
        <v>0.6938275657705822</v>
      </c>
      <c r="AI957" s="6" t="n">
        <v>1.965933655403725</v>
      </c>
      <c r="AJ957" s="6" t="n">
        <v>77.61507340315728</v>
      </c>
      <c r="AK957" s="6" t="n">
        <v>0.1029511941480751</v>
      </c>
      <c r="AL957" s="6" t="n">
        <v>0.9890653146828474</v>
      </c>
      <c r="AN957" s="6" t="n">
        <v>1.345502687521838</v>
      </c>
      <c r="AO957" s="6" t="n">
        <v>1.348838637835615</v>
      </c>
      <c r="AP957" s="6" t="n">
        <v>0.1412384316331078</v>
      </c>
      <c r="AQ957" s="6" t="n">
        <v>0</v>
      </c>
      <c r="AR957" s="6" t="n">
        <v>0</v>
      </c>
    </row>
    <row r="958">
      <c r="D958" t="inlineStr">
        <is>
          <t>Run 646</t>
        </is>
      </c>
      <c r="J958" s="6" t="n">
        <v>-0.378309868934452</v>
      </c>
      <c r="K958" s="6" t="n">
        <v>1.244092333159494</v>
      </c>
      <c r="L958" s="6" t="n">
        <v>-0.7511273501844374</v>
      </c>
      <c r="M958" s="6" t="n">
        <v>1.993623855132395</v>
      </c>
      <c r="N958" s="6" t="n">
        <v>3.564667120439625</v>
      </c>
      <c r="O958" s="6" t="n">
        <v>0.4813609380813116</v>
      </c>
      <c r="P958" s="6" t="n">
        <v>2.590619406694733</v>
      </c>
      <c r="Q958" s="6" t="n">
        <v>1.116602125917325</v>
      </c>
      <c r="R958" s="6" t="n">
        <v>0.5330806948799387</v>
      </c>
      <c r="S958" s="6" t="n">
        <v>1.49287179219853</v>
      </c>
      <c r="T958" s="6" t="n">
        <v>-2.990197906207147</v>
      </c>
      <c r="U958" s="6" t="n">
        <v>-4.453226246817477</v>
      </c>
      <c r="V958" s="6" t="n">
        <v>-0.2534444604264457</v>
      </c>
      <c r="W958" s="6" t="n">
        <v>-1.791439924269056</v>
      </c>
      <c r="X958" s="6" t="n">
        <v>2.416750512070922</v>
      </c>
      <c r="Y958" s="6" t="n">
        <v>-1.375161932250523</v>
      </c>
      <c r="Z958" s="6" t="n">
        <v>0.4090959680301587</v>
      </c>
      <c r="AA958" s="6" t="n">
        <v>-0.463824076237645</v>
      </c>
      <c r="AB958" s="6" t="n">
        <v>-1.911052044451318</v>
      </c>
      <c r="AC958" s="6" t="n">
        <v>-1.271448304355024</v>
      </c>
      <c r="AD958" s="6" t="n">
        <v>-1.219343216103</v>
      </c>
      <c r="AE958" s="6" t="n">
        <v>3.143434406464099</v>
      </c>
      <c r="AF958" s="6" t="n">
        <v>1.033498976886254</v>
      </c>
      <c r="AG958" s="6" t="n">
        <v>-1.483841209615778</v>
      </c>
      <c r="AH958" s="6" t="n">
        <v>1.110721627725803</v>
      </c>
      <c r="AI958" s="6" t="n">
        <v>-1.722200853631899</v>
      </c>
      <c r="AJ958" s="6" t="n">
        <v>78.33602935677004</v>
      </c>
      <c r="AK958" s="6" t="n">
        <v>0.1249346224869711</v>
      </c>
      <c r="AL958" s="6" t="n">
        <v>1.034462817468438</v>
      </c>
      <c r="AN958" s="6" t="n">
        <v>1.353051703543579</v>
      </c>
      <c r="AO958" s="6" t="n">
        <v>1.353482532806565</v>
      </c>
      <c r="AP958" s="6" t="n">
        <v>0.1341380679916454</v>
      </c>
      <c r="AQ958" s="6" t="n">
        <v>0</v>
      </c>
      <c r="AR958" s="6" t="n">
        <v>0</v>
      </c>
    </row>
    <row r="959">
      <c r="D959" t="inlineStr">
        <is>
          <t>Run 647</t>
        </is>
      </c>
      <c r="J959" s="6" t="n">
        <v>0.6683395714561755</v>
      </c>
      <c r="K959" s="6" t="n">
        <v>-0.4715079526750605</v>
      </c>
      <c r="L959" s="6" t="n">
        <v>0.6479124761699737</v>
      </c>
      <c r="M959" s="6" t="n">
        <v>-4.120994418901961</v>
      </c>
      <c r="N959" s="6" t="n">
        <v>1.820046738738321</v>
      </c>
      <c r="O959" s="6" t="n">
        <v>-3.779374733956552</v>
      </c>
      <c r="P959" s="6" t="n">
        <v>2.018536584361336</v>
      </c>
      <c r="Q959" s="6" t="n">
        <v>1.443381702774974</v>
      </c>
      <c r="R959" s="6" t="n">
        <v>1.237090934162658</v>
      </c>
      <c r="S959" s="6" t="n">
        <v>-0.1242280938233492</v>
      </c>
      <c r="T959" s="6" t="n">
        <v>1.373924764995411</v>
      </c>
      <c r="U959" s="6" t="n">
        <v>-2.55134096360296</v>
      </c>
      <c r="V959" s="6" t="n">
        <v>-0.4455100992151074</v>
      </c>
      <c r="W959" s="6" t="n">
        <v>-0.5468247554076462</v>
      </c>
      <c r="X959" s="6" t="n">
        <v>-0.05256212812976865</v>
      </c>
      <c r="Y959" s="6" t="n">
        <v>-1.06226633851962</v>
      </c>
      <c r="Z959" s="6" t="n">
        <v>-3.265678942929878</v>
      </c>
      <c r="AA959" s="6" t="n">
        <v>3.831552219175892</v>
      </c>
      <c r="AB959" s="6" t="n">
        <v>0.288154163441906</v>
      </c>
      <c r="AC959" s="6" t="n">
        <v>1.453712331969019</v>
      </c>
      <c r="AD959" s="6" t="n">
        <v>0.3249914833019406</v>
      </c>
      <c r="AE959" s="6" t="n">
        <v>-1.783055028059353</v>
      </c>
      <c r="AF959" s="6" t="n">
        <v>-1.536558522931533</v>
      </c>
      <c r="AG959" s="6" t="n">
        <v>-3.585073759386785</v>
      </c>
      <c r="AH959" s="6" t="n">
        <v>-0.8982387819279104</v>
      </c>
      <c r="AI959" s="6" t="n">
        <v>-0.7199161637800584</v>
      </c>
      <c r="AJ959" s="6" t="n">
        <v>79.43927289246649</v>
      </c>
      <c r="AK959" s="6" t="n">
        <v>0.1653722879530592</v>
      </c>
      <c r="AL959" s="6" t="n">
        <v>1.118610748424348</v>
      </c>
      <c r="AN959" s="6" t="n">
        <v>1.283546972496417</v>
      </c>
      <c r="AO959" s="6" t="n">
        <v>1.296201353849314</v>
      </c>
      <c r="AP959" s="6" t="n">
        <v>0.1268156041785588</v>
      </c>
      <c r="AQ959" s="6" t="n">
        <v>0</v>
      </c>
      <c r="AR959" s="6" t="n">
        <v>0</v>
      </c>
    </row>
    <row r="960">
      <c r="D960" t="inlineStr">
        <is>
          <t>Run 648</t>
        </is>
      </c>
      <c r="J960" s="6" t="n">
        <v>-1.607394863342594</v>
      </c>
      <c r="K960" s="6" t="n">
        <v>-1.087597247595379</v>
      </c>
      <c r="L960" s="6" t="n">
        <v>2.776988682627239</v>
      </c>
      <c r="M960" s="6" t="n">
        <v>2.627438372489015</v>
      </c>
      <c r="N960" s="6" t="n">
        <v>2.391075502928913</v>
      </c>
      <c r="O960" s="6" t="n">
        <v>-0.8635503299994288</v>
      </c>
      <c r="P960" s="6" t="n">
        <v>-2.042990663343571</v>
      </c>
      <c r="Q960" s="6" t="n">
        <v>-0.1289400086615164</v>
      </c>
      <c r="R960" s="6" t="n">
        <v>-1.390150426130756</v>
      </c>
      <c r="S960" s="6" t="n">
        <v>-0.9927642263492469</v>
      </c>
      <c r="T960" s="6" t="n">
        <v>2.133018599797336</v>
      </c>
      <c r="U960" s="6" t="n">
        <v>-0.1659590230399748</v>
      </c>
      <c r="V960" s="6" t="n">
        <v>0.3955599292351958</v>
      </c>
      <c r="W960" s="6" t="n">
        <v>-3.56417795888513</v>
      </c>
      <c r="X960" s="6" t="n">
        <v>1.005596970700054</v>
      </c>
      <c r="Y960" s="6" t="n">
        <v>0.4553072926356189</v>
      </c>
      <c r="Z960" s="6" t="n">
        <v>-2.244507897883487</v>
      </c>
      <c r="AA960" s="6" t="n">
        <v>-1.274943653746337</v>
      </c>
      <c r="AB960" s="6" t="n">
        <v>-3.141106283814038</v>
      </c>
      <c r="AC960" s="6" t="n">
        <v>0.6266458000377604</v>
      </c>
      <c r="AD960" s="6" t="n">
        <v>1.852541720580779</v>
      </c>
      <c r="AE960" s="6" t="n">
        <v>-1.778275503006606</v>
      </c>
      <c r="AF960" s="6" t="n">
        <v>2.587782864095328</v>
      </c>
      <c r="AG960" s="6" t="n">
        <v>0.2956945479508296</v>
      </c>
      <c r="AH960" s="6" t="n">
        <v>-3.464467036088549</v>
      </c>
      <c r="AI960" s="6" t="n">
        <v>1.839418189206449</v>
      </c>
      <c r="AJ960" s="6" t="n">
        <v>63.69466053421547</v>
      </c>
      <c r="AK960" s="6" t="n">
        <v>0.1182494150811996</v>
      </c>
      <c r="AL960" s="6" t="n">
        <v>1.041624958632485</v>
      </c>
      <c r="AN960" s="6" t="n">
        <v>1.343516058685848</v>
      </c>
      <c r="AO960" s="6" t="n">
        <v>1.343618161458527</v>
      </c>
      <c r="AP960" s="6" t="n">
        <v>0.1326955202379408</v>
      </c>
      <c r="AQ960" s="6" t="n">
        <v>0</v>
      </c>
      <c r="AR960" s="6" t="n">
        <v>0</v>
      </c>
    </row>
    <row r="961">
      <c r="D961" t="inlineStr">
        <is>
          <t>Run 649</t>
        </is>
      </c>
      <c r="J961" s="6" t="n">
        <v>-1.214416028151954</v>
      </c>
      <c r="K961" s="6" t="n">
        <v>0.97043041647609</v>
      </c>
      <c r="L961" s="6" t="n">
        <v>-1.562987974182852</v>
      </c>
      <c r="M961" s="6" t="n">
        <v>0.8532986847563909</v>
      </c>
      <c r="N961" s="6" t="n">
        <v>1.521968289882185</v>
      </c>
      <c r="O961" s="6" t="n">
        <v>0.1527045562531978</v>
      </c>
      <c r="P961" s="6" t="n">
        <v>1.518357576889085</v>
      </c>
      <c r="Q961" s="6" t="n">
        <v>0.9942372199297073</v>
      </c>
      <c r="R961" s="6" t="n">
        <v>-1.429481814586965</v>
      </c>
      <c r="S961" s="6" t="n">
        <v>-0.730000489981579</v>
      </c>
      <c r="T961" s="6" t="n">
        <v>-1.848420117739024</v>
      </c>
      <c r="U961" s="6" t="n">
        <v>-1.086789261009073</v>
      </c>
      <c r="V961" s="6" t="n">
        <v>0.4766024464986559</v>
      </c>
      <c r="W961" s="6" t="n">
        <v>3.16104884436829</v>
      </c>
      <c r="X961" s="6" t="n">
        <v>0.313526570727489</v>
      </c>
      <c r="Y961" s="6" t="n">
        <v>2.292707113329103</v>
      </c>
      <c r="Z961" s="6" t="n">
        <v>-1.907740023387024</v>
      </c>
      <c r="AA961" s="6" t="n">
        <v>0.6168919405561099</v>
      </c>
      <c r="AB961" s="6" t="n">
        <v>-1.073901698708673</v>
      </c>
      <c r="AC961" s="6" t="n">
        <v>0.3493478314053022</v>
      </c>
      <c r="AD961" s="6" t="n">
        <v>-0.6340944538159309</v>
      </c>
      <c r="AE961" s="6" t="n">
        <v>1.666360520201247</v>
      </c>
      <c r="AF961" s="6" t="n">
        <v>-3.366505487619696</v>
      </c>
      <c r="AG961" s="6" t="n">
        <v>-1.781761639508082</v>
      </c>
      <c r="AH961" s="6" t="n">
        <v>2.553892618920131</v>
      </c>
      <c r="AI961" s="6" t="n">
        <v>-2.015826183359612</v>
      </c>
      <c r="AJ961" s="6" t="n">
        <v>70.20681327191075</v>
      </c>
      <c r="AK961" s="6" t="n">
        <v>0.07304350586180408</v>
      </c>
      <c r="AL961" s="6" t="n">
        <v>1.076289492992913</v>
      </c>
      <c r="AN961" s="6" t="n">
        <v>1.341077512232901</v>
      </c>
      <c r="AO961" s="6" t="n">
        <v>1.341092346303851</v>
      </c>
      <c r="AP961" s="6" t="n">
        <v>0.1316119766974743</v>
      </c>
      <c r="AQ961" s="6" t="n">
        <v>0</v>
      </c>
      <c r="AR961" s="6" t="n">
        <v>0</v>
      </c>
    </row>
    <row r="962">
      <c r="D962" t="inlineStr">
        <is>
          <t>Run 650</t>
        </is>
      </c>
      <c r="J962" s="6" t="n">
        <v>2.415780370983337</v>
      </c>
      <c r="K962" s="6" t="n">
        <v>-0.1989460817667522</v>
      </c>
      <c r="L962" s="6" t="n">
        <v>2.117069853752641</v>
      </c>
      <c r="M962" s="6" t="n">
        <v>0.2741398789942279</v>
      </c>
      <c r="N962" s="6" t="n">
        <v>-1.895755705304384</v>
      </c>
      <c r="O962" s="6" t="n">
        <v>-1.757132506916213</v>
      </c>
      <c r="P962" s="6" t="n">
        <v>-1.102126561911801</v>
      </c>
      <c r="Q962" s="6" t="n">
        <v>-3.479041163694508</v>
      </c>
      <c r="R962" s="6" t="n">
        <v>-2.872844378152081</v>
      </c>
      <c r="S962" s="6" t="n">
        <v>2.860921613646152</v>
      </c>
      <c r="T962" s="6" t="n">
        <v>2.829755172279312</v>
      </c>
      <c r="U962" s="6" t="n">
        <v>1.235576020679451</v>
      </c>
      <c r="V962" s="6" t="n">
        <v>-0.08119075332261483</v>
      </c>
      <c r="W962" s="6" t="n">
        <v>0.4640138318198826</v>
      </c>
      <c r="X962" s="6" t="n">
        <v>0.5102327167551024</v>
      </c>
      <c r="Y962" s="6" t="n">
        <v>0.771961256601209</v>
      </c>
      <c r="Z962" s="6" t="n">
        <v>1.212923171603655</v>
      </c>
      <c r="AA962" s="6" t="n">
        <v>-2.674871226447213</v>
      </c>
      <c r="AB962" s="6" t="n">
        <v>-2.782404847805321</v>
      </c>
      <c r="AC962" s="6" t="n">
        <v>-0.2378753476057047</v>
      </c>
      <c r="AD962" s="6" t="n">
        <v>2.528787614236837</v>
      </c>
      <c r="AE962" s="6" t="n">
        <v>1.856115407901518</v>
      </c>
      <c r="AF962" s="6" t="n">
        <v>0.2063842334596522</v>
      </c>
      <c r="AG962" s="6" t="n">
        <v>3.38123889383652</v>
      </c>
      <c r="AH962" s="6" t="n">
        <v>1.945376834601203</v>
      </c>
      <c r="AI962" s="6" t="n">
        <v>-2.142959857444857</v>
      </c>
      <c r="AJ962" s="6" t="n">
        <v>72.30890605939153</v>
      </c>
      <c r="AK962" s="6" t="n">
        <v>0.2215698965915118</v>
      </c>
      <c r="AL962" s="6" t="n">
        <v>1.037866094563411</v>
      </c>
      <c r="AN962" s="6" t="n">
        <v>1.344670855934641</v>
      </c>
      <c r="AO962" s="6" t="n">
        <v>1.345185185719586</v>
      </c>
      <c r="AP962" s="6" t="n">
        <v>0.1308638445313176</v>
      </c>
      <c r="AQ962" s="6" t="n">
        <v>0</v>
      </c>
      <c r="AR962" s="6" t="n">
        <v>0</v>
      </c>
    </row>
    <row r="963">
      <c r="D963" t="inlineStr">
        <is>
          <t>Run 651</t>
        </is>
      </c>
      <c r="J963" s="6" t="n">
        <v>1.212061851335053</v>
      </c>
      <c r="K963" s="6" t="n">
        <v>1.999244594470393</v>
      </c>
      <c r="L963" s="6" t="n">
        <v>-1.586263090748858</v>
      </c>
      <c r="M963" s="6" t="n">
        <v>-1.671137850560476</v>
      </c>
      <c r="N963" s="6" t="n">
        <v>-1.994782730204358</v>
      </c>
      <c r="O963" s="6" t="n">
        <v>0.5343406114798169</v>
      </c>
      <c r="P963" s="6" t="n">
        <v>2.095456365308233</v>
      </c>
      <c r="Q963" s="6" t="n">
        <v>-2.72764917040216</v>
      </c>
      <c r="R963" s="6" t="n">
        <v>-5.046430418115339</v>
      </c>
      <c r="S963" s="6" t="n">
        <v>0.7661426725448812</v>
      </c>
      <c r="T963" s="6" t="n">
        <v>4.266320237175079</v>
      </c>
      <c r="U963" s="6" t="n">
        <v>2.600595913874704</v>
      </c>
      <c r="V963" s="6" t="n">
        <v>3.959550204836942</v>
      </c>
      <c r="W963" s="6" t="n">
        <v>2.617118820222818</v>
      </c>
      <c r="X963" s="6" t="n">
        <v>0.8724791094430409</v>
      </c>
      <c r="Y963" s="6" t="n">
        <v>0.7644329750880672</v>
      </c>
      <c r="Z963" s="6" t="n">
        <v>-0.004269613024314481</v>
      </c>
      <c r="AA963" s="6" t="n">
        <v>-0.3231069290356751</v>
      </c>
      <c r="AB963" s="6" t="n">
        <v>-2.59494125908191</v>
      </c>
      <c r="AC963" s="6" t="n">
        <v>2.676597142691597</v>
      </c>
      <c r="AD963" s="6" t="n">
        <v>-3.0461112927201</v>
      </c>
      <c r="AE963" s="6" t="n">
        <v>-2.039231480817176</v>
      </c>
      <c r="AF963" s="6" t="n">
        <v>2.543511198975102</v>
      </c>
      <c r="AG963" s="6" t="n">
        <v>-1.845804468313291</v>
      </c>
      <c r="AH963" s="6" t="n">
        <v>-0.8191964646767305</v>
      </c>
      <c r="AI963" s="6" t="n">
        <v>-3.685502818300522</v>
      </c>
      <c r="AJ963" s="6" t="n">
        <v>64.16416010440649</v>
      </c>
      <c r="AK963" s="6" t="n">
        <v>0.05956482866822608</v>
      </c>
      <c r="AL963" s="6" t="n">
        <v>1.054907165810456</v>
      </c>
      <c r="AN963" s="6" t="n">
        <v>1.335328418256568</v>
      </c>
      <c r="AO963" s="6" t="n">
        <v>1.339880500439242</v>
      </c>
      <c r="AP963" s="6" t="n">
        <v>0.1321750071899404</v>
      </c>
      <c r="AQ963" s="6" t="n">
        <v>0</v>
      </c>
      <c r="AR963" s="6" t="n">
        <v>0</v>
      </c>
    </row>
    <row r="964">
      <c r="D964" t="inlineStr">
        <is>
          <t>Run 652</t>
        </is>
      </c>
      <c r="J964" s="6" t="n">
        <v>-3.476211528512019</v>
      </c>
      <c r="K964" s="6" t="n">
        <v>-4.285446174902164</v>
      </c>
      <c r="L964" s="6" t="n">
        <v>-1.63165970057934</v>
      </c>
      <c r="M964" s="6" t="n">
        <v>-0.04116388744498788</v>
      </c>
      <c r="N964" s="6" t="n">
        <v>-1.324461955619579</v>
      </c>
      <c r="O964" s="6" t="n">
        <v>-2.349103985402785</v>
      </c>
      <c r="P964" s="6" t="n">
        <v>0.6640726340525319</v>
      </c>
      <c r="Q964" s="6" t="n">
        <v>-0.5322707566562961</v>
      </c>
      <c r="R964" s="6" t="n">
        <v>-0.1829164250857814</v>
      </c>
      <c r="S964" s="6" t="n">
        <v>-2.132047599185711</v>
      </c>
      <c r="T964" s="6" t="n">
        <v>3.774211805164983</v>
      </c>
      <c r="U964" s="6" t="n">
        <v>-0.4950086819348739</v>
      </c>
      <c r="V964" s="6" t="n">
        <v>-2.138277976332444</v>
      </c>
      <c r="W964" s="6" t="n">
        <v>2.678094756080508</v>
      </c>
      <c r="X964" s="6" t="n">
        <v>-0.3342729227530924</v>
      </c>
      <c r="Y964" s="6" t="n">
        <v>0.368871085023391</v>
      </c>
      <c r="Z964" s="6" t="n">
        <v>3.585100521859323</v>
      </c>
      <c r="AA964" s="6" t="n">
        <v>-0.7611425436362619</v>
      </c>
      <c r="AB964" s="6" t="n">
        <v>4.748246185818204</v>
      </c>
      <c r="AC964" s="6" t="n">
        <v>-2.660941310761437</v>
      </c>
      <c r="AD964" s="6" t="n">
        <v>-0.10936626470517</v>
      </c>
      <c r="AE964" s="6" t="n">
        <v>1.55770546836442</v>
      </c>
      <c r="AF964" s="6" t="n">
        <v>1.141401630120383</v>
      </c>
      <c r="AG964" s="6" t="n">
        <v>1.839453324894345</v>
      </c>
      <c r="AH964" s="6" t="n">
        <v>2.20129331523147</v>
      </c>
      <c r="AI964" s="6" t="n">
        <v>-1.067794848975118</v>
      </c>
      <c r="AJ964" s="6" t="n">
        <v>80.59324804579848</v>
      </c>
      <c r="AK964" s="6" t="n">
        <v>0.07887587240512914</v>
      </c>
      <c r="AL964" s="6" t="n">
        <v>1.012393915914358</v>
      </c>
      <c r="AN964" s="6" t="n">
        <v>1.346571480055121</v>
      </c>
      <c r="AO964" s="6" t="n">
        <v>1.352828939541138</v>
      </c>
      <c r="AP964" s="6" t="n">
        <v>0.1386918966918664</v>
      </c>
      <c r="AQ964" s="6" t="n">
        <v>0</v>
      </c>
      <c r="AR964" s="6" t="n">
        <v>0</v>
      </c>
    </row>
    <row r="965">
      <c r="D965" t="inlineStr">
        <is>
          <t>Run 653</t>
        </is>
      </c>
      <c r="J965" s="6" t="n">
        <v>0.000393154654926754</v>
      </c>
      <c r="K965" s="6" t="n">
        <v>-0.01857411415243247</v>
      </c>
      <c r="L965" s="6" t="n">
        <v>2.593519755677908</v>
      </c>
      <c r="M965" s="6" t="n">
        <v>-2.901170282097988</v>
      </c>
      <c r="N965" s="6" t="n">
        <v>-1.624642106226922</v>
      </c>
      <c r="O965" s="6" t="n">
        <v>-0.03370911121159152</v>
      </c>
      <c r="P965" s="6" t="n">
        <v>-0.2525234960737122</v>
      </c>
      <c r="Q965" s="6" t="n">
        <v>-0.7816104092888871</v>
      </c>
      <c r="R965" s="6" t="n">
        <v>-3.137739138138135</v>
      </c>
      <c r="S965" s="6" t="n">
        <v>1.795010109522488</v>
      </c>
      <c r="T965" s="6" t="n">
        <v>1.14147165719717</v>
      </c>
      <c r="U965" s="6" t="n">
        <v>-0.4161879086302391</v>
      </c>
      <c r="V965" s="6" t="n">
        <v>-2.817710932276706</v>
      </c>
      <c r="W965" s="6" t="n">
        <v>-1.165951987472442</v>
      </c>
      <c r="X965" s="6" t="n">
        <v>-1.262657017667496</v>
      </c>
      <c r="Y965" s="6" t="n">
        <v>2.655114909378235</v>
      </c>
      <c r="Z965" s="6" t="n">
        <v>2.066700681186485</v>
      </c>
      <c r="AA965" s="6" t="n">
        <v>0.8695002592703208</v>
      </c>
      <c r="AB965" s="6" t="n">
        <v>-0.3717928635515717</v>
      </c>
      <c r="AC965" s="6" t="n">
        <v>0.3020179655364476</v>
      </c>
      <c r="AD965" s="6" t="n">
        <v>-1.347884370520156</v>
      </c>
      <c r="AE965" s="6" t="n">
        <v>-0.2460116015737606</v>
      </c>
      <c r="AF965" s="6" t="n">
        <v>-1.775882561204814</v>
      </c>
      <c r="AG965" s="6" t="n">
        <v>-1.401323690509524</v>
      </c>
      <c r="AH965" s="6" t="n">
        <v>0.9671802372758503</v>
      </c>
      <c r="AI965" s="6" t="n">
        <v>2.731207374636205</v>
      </c>
      <c r="AJ965" s="6" t="n">
        <v>83.16586876382614</v>
      </c>
      <c r="AK965" s="6" t="n">
        <v>0.02770763749264531</v>
      </c>
      <c r="AL965" s="6" t="n">
        <v>1.068651164261886</v>
      </c>
      <c r="AN965" s="6" t="n">
        <v>1.323945941075873</v>
      </c>
      <c r="AO965" s="6" t="n">
        <v>1.33012141150735</v>
      </c>
      <c r="AP965" s="6" t="n">
        <v>0.1337336715077609</v>
      </c>
      <c r="AQ965" s="6" t="n">
        <v>0</v>
      </c>
      <c r="AR965" s="6" t="n">
        <v>0</v>
      </c>
    </row>
    <row r="966">
      <c r="D966" t="inlineStr">
        <is>
          <t>Run 654</t>
        </is>
      </c>
      <c r="J966" s="6" t="n">
        <v>0.1941029205274925</v>
      </c>
      <c r="K966" s="6" t="n">
        <v>-0.2370945107206587</v>
      </c>
      <c r="L966" s="6" t="n">
        <v>-3.25474337197091</v>
      </c>
      <c r="M966" s="6" t="n">
        <v>1.350297057866323</v>
      </c>
      <c r="N966" s="6" t="n">
        <v>1.878842164283172</v>
      </c>
      <c r="O966" s="6" t="n">
        <v>-3.008498312800973</v>
      </c>
      <c r="P966" s="6" t="n">
        <v>1.794824295314672</v>
      </c>
      <c r="Q966" s="6" t="n">
        <v>-0.6250138197030469</v>
      </c>
      <c r="R966" s="6" t="n">
        <v>-1.506220658251976</v>
      </c>
      <c r="S966" s="6" t="n">
        <v>-3.050837929225997</v>
      </c>
      <c r="T966" s="6" t="n">
        <v>-2.044500642729939</v>
      </c>
      <c r="U966" s="6" t="n">
        <v>0.9660070707446859</v>
      </c>
      <c r="V966" s="6" t="n">
        <v>-0.266172133320843</v>
      </c>
      <c r="W966" s="6" t="n">
        <v>2.208535662396516</v>
      </c>
      <c r="X966" s="6" t="n">
        <v>-0.3902896063364882</v>
      </c>
      <c r="Y966" s="6" t="n">
        <v>0.6606460534946498</v>
      </c>
      <c r="Z966" s="6" t="n">
        <v>1.353571896244221</v>
      </c>
      <c r="AA966" s="6" t="n">
        <v>-1.09812313190023</v>
      </c>
      <c r="AB966" s="6" t="n">
        <v>-0.1648818565602551</v>
      </c>
      <c r="AC966" s="6" t="n">
        <v>3.103750065718414</v>
      </c>
      <c r="AD966" s="6" t="n">
        <v>-0.8175701984829871</v>
      </c>
      <c r="AE966" s="6" t="n">
        <v>-2.511970770312818</v>
      </c>
      <c r="AF966" s="6" t="n">
        <v>0.8054122073200587</v>
      </c>
      <c r="AG966" s="6" t="n">
        <v>-2.588167892137701</v>
      </c>
      <c r="AH966" s="6" t="n">
        <v>-0.1007954064893766</v>
      </c>
      <c r="AI966" s="6" t="n">
        <v>-3.284548234451302</v>
      </c>
      <c r="AJ966" s="6" t="n">
        <v>76.5827233732708</v>
      </c>
      <c r="AK966" s="6" t="n">
        <v>0.1382088557478404</v>
      </c>
      <c r="AL966" s="6" t="n">
        <v>1.01637123263178</v>
      </c>
      <c r="AN966" s="6" t="n">
        <v>1.355324986077334</v>
      </c>
      <c r="AO966" s="6" t="n">
        <v>1.355324986077334</v>
      </c>
      <c r="AP966" s="6" t="n">
        <v>0.1362259989882102</v>
      </c>
      <c r="AQ966" s="6" t="n">
        <v>0</v>
      </c>
      <c r="AR966" s="6" t="n">
        <v>0</v>
      </c>
    </row>
    <row r="967">
      <c r="D967" t="inlineStr">
        <is>
          <t>Run 655</t>
        </is>
      </c>
      <c r="J967" s="6" t="n">
        <v>-1.330169089776696</v>
      </c>
      <c r="K967" s="6" t="n">
        <v>0.1703415533469786</v>
      </c>
      <c r="L967" s="6" t="n">
        <v>-3.65751712626073</v>
      </c>
      <c r="M967" s="6" t="n">
        <v>-2.724467580370269</v>
      </c>
      <c r="N967" s="6" t="n">
        <v>0.305247124125766</v>
      </c>
      <c r="O967" s="6" t="n">
        <v>0.7526029359461827</v>
      </c>
      <c r="P967" s="6" t="n">
        <v>1.185297899098917</v>
      </c>
      <c r="Q967" s="6" t="n">
        <v>-0.5642499026644611</v>
      </c>
      <c r="R967" s="6" t="n">
        <v>0.4126698533064632</v>
      </c>
      <c r="S967" s="6" t="n">
        <v>0.312515480113027</v>
      </c>
      <c r="T967" s="6" t="n">
        <v>-0.1058807514938344</v>
      </c>
      <c r="U967" s="6" t="n">
        <v>2.496072018992401</v>
      </c>
      <c r="V967" s="6" t="n">
        <v>1.247635510910029</v>
      </c>
      <c r="W967" s="6" t="n">
        <v>0.08321351572699887</v>
      </c>
      <c r="X967" s="6" t="n">
        <v>-1.408135599288403</v>
      </c>
      <c r="Y967" s="6" t="n">
        <v>3.615069972763459</v>
      </c>
      <c r="Z967" s="6" t="n">
        <v>-0.7491589868322751</v>
      </c>
      <c r="AA967" s="6" t="n">
        <v>2.835279061808382</v>
      </c>
      <c r="AB967" s="6" t="n">
        <v>1.496073003527622</v>
      </c>
      <c r="AC967" s="6" t="n">
        <v>-0.7420995833303647</v>
      </c>
      <c r="AD967" s="6" t="n">
        <v>-5.431351909142697</v>
      </c>
      <c r="AE967" s="6" t="n">
        <v>1.714812389910777</v>
      </c>
      <c r="AF967" s="6" t="n">
        <v>0.7465345808251221</v>
      </c>
      <c r="AG967" s="6" t="n">
        <v>3.032096779181579</v>
      </c>
      <c r="AH967" s="6" t="n">
        <v>0.3793853699843517</v>
      </c>
      <c r="AI967" s="6" t="n">
        <v>-1.11281105506481</v>
      </c>
      <c r="AJ967" s="6" t="n">
        <v>77.31614213670782</v>
      </c>
      <c r="AK967" s="6" t="n">
        <v>0.1394449723697579</v>
      </c>
      <c r="AL967" s="6" t="n">
        <v>1.057312714246795</v>
      </c>
      <c r="AN967" s="6" t="n">
        <v>1.31691048554061</v>
      </c>
      <c r="AO967" s="6" t="n">
        <v>1.327780843176529</v>
      </c>
      <c r="AP967" s="6" t="n">
        <v>0.1313905295554156</v>
      </c>
      <c r="AQ967" s="6" t="n">
        <v>0</v>
      </c>
      <c r="AR967" s="6" t="n">
        <v>0</v>
      </c>
    </row>
    <row r="968">
      <c r="D968" t="inlineStr">
        <is>
          <t>Run 656</t>
        </is>
      </c>
      <c r="J968" s="6" t="n">
        <v>-0.7335163678908921</v>
      </c>
      <c r="K968" s="6" t="n">
        <v>0.9373229099802186</v>
      </c>
      <c r="L968" s="6" t="n">
        <v>0.02603142920417136</v>
      </c>
      <c r="M968" s="6" t="n">
        <v>-2.776010972055407</v>
      </c>
      <c r="N968" s="6" t="n">
        <v>-2.031785704558882</v>
      </c>
      <c r="O968" s="6" t="n">
        <v>-3.627990822484066</v>
      </c>
      <c r="P968" s="6" t="n">
        <v>2.871897280280582</v>
      </c>
      <c r="Q968" s="6" t="n">
        <v>0.9044031330184737</v>
      </c>
      <c r="R968" s="6" t="n">
        <v>-1.096073348336808</v>
      </c>
      <c r="S968" s="6" t="n">
        <v>0.8439831316855385</v>
      </c>
      <c r="T968" s="6" t="n">
        <v>0.8199010483515276</v>
      </c>
      <c r="U968" s="6" t="n">
        <v>-4.666635415748802</v>
      </c>
      <c r="V968" s="6" t="n">
        <v>-0.6354323051188089</v>
      </c>
      <c r="W968" s="6" t="n">
        <v>2.96627277821674</v>
      </c>
      <c r="X968" s="6" t="n">
        <v>0.06392789901983231</v>
      </c>
      <c r="Y968" s="6" t="n">
        <v>-0.9539378382477676</v>
      </c>
      <c r="Z968" s="6" t="n">
        <v>-2.686121166817</v>
      </c>
      <c r="AA968" s="6" t="n">
        <v>3.936602848279803</v>
      </c>
      <c r="AB968" s="6" t="n">
        <v>-0.6494573504366078</v>
      </c>
      <c r="AC968" s="6" t="n">
        <v>2.046630500129052</v>
      </c>
      <c r="AD968" s="6" t="n">
        <v>-0.8776492663572352</v>
      </c>
      <c r="AE968" s="6" t="n">
        <v>-1.215135076403792</v>
      </c>
      <c r="AF968" s="6" t="n">
        <v>1.515871471480393</v>
      </c>
      <c r="AG968" s="6" t="n">
        <v>0.3963795445660851</v>
      </c>
      <c r="AH968" s="6" t="n">
        <v>-0.2618968234362722</v>
      </c>
      <c r="AI968" s="6" t="n">
        <v>-1.865797508671956</v>
      </c>
      <c r="AJ968" s="6" t="n">
        <v>65.66912558264451</v>
      </c>
      <c r="AK968" s="6" t="n">
        <v>0.107474978902149</v>
      </c>
      <c r="AL968" s="6" t="n">
        <v>1.033488067675844</v>
      </c>
      <c r="AN968" s="6" t="n">
        <v>1.323330378643077</v>
      </c>
      <c r="AO968" s="6" t="n">
        <v>1.328795749859305</v>
      </c>
      <c r="AP968" s="6" t="n">
        <v>0.1332339554209543</v>
      </c>
      <c r="AQ968" s="6" t="n">
        <v>0</v>
      </c>
      <c r="AR968" s="6" t="n">
        <v>0</v>
      </c>
    </row>
    <row r="969">
      <c r="D969" t="inlineStr">
        <is>
          <t>Run 657</t>
        </is>
      </c>
      <c r="J969" s="6" t="n">
        <v>0.3323633379585943</v>
      </c>
      <c r="K969" s="6" t="n">
        <v>-2.514338753845901</v>
      </c>
      <c r="L969" s="6" t="n">
        <v>1.923301458397052</v>
      </c>
      <c r="M969" s="6" t="n">
        <v>-4.076488385645445</v>
      </c>
      <c r="N969" s="6" t="n">
        <v>3.05047412776264</v>
      </c>
      <c r="O969" s="6" t="n">
        <v>-0.4302815226806901</v>
      </c>
      <c r="P969" s="6" t="n">
        <v>-4.211466329609169</v>
      </c>
      <c r="Q969" s="6" t="n">
        <v>-0.6964565065177302</v>
      </c>
      <c r="R969" s="6" t="n">
        <v>0.8850608251692546</v>
      </c>
      <c r="S969" s="6" t="n">
        <v>2.507960241542289</v>
      </c>
      <c r="T969" s="6" t="n">
        <v>0.8677753185724033</v>
      </c>
      <c r="U969" s="6" t="n">
        <v>-1.045552336631396</v>
      </c>
      <c r="V969" s="6" t="n">
        <v>2.501866071731373</v>
      </c>
      <c r="W969" s="6" t="n">
        <v>0.5888237030934632</v>
      </c>
      <c r="X969" s="6" t="n">
        <v>1.210828396995686</v>
      </c>
      <c r="Y969" s="6" t="n">
        <v>0.6822531063689479</v>
      </c>
      <c r="Z969" s="6" t="n">
        <v>-3.792507089010705</v>
      </c>
      <c r="AA969" s="6" t="n">
        <v>-0.08347217345810888</v>
      </c>
      <c r="AB969" s="6" t="n">
        <v>2.993760860812549</v>
      </c>
      <c r="AC969" s="6" t="n">
        <v>-0.4453758158283575</v>
      </c>
      <c r="AD969" s="6" t="n">
        <v>0.9207475808187999</v>
      </c>
      <c r="AE969" s="6" t="n">
        <v>0.8491824653164797</v>
      </c>
      <c r="AF969" s="6" t="n">
        <v>-0.6929182834615397</v>
      </c>
      <c r="AG969" s="6" t="n">
        <v>-1.901648376174438</v>
      </c>
      <c r="AH969" s="6" t="n">
        <v>-1.684690392422883</v>
      </c>
      <c r="AI969" s="6" t="n">
        <v>-5.014406226201263</v>
      </c>
      <c r="AJ969" s="6" t="n">
        <v>71.93239625451855</v>
      </c>
      <c r="AK969" s="6" t="n">
        <v>0.09587281302650548</v>
      </c>
      <c r="AL969" s="6" t="n">
        <v>1.021959026082052</v>
      </c>
      <c r="AN969" s="6" t="n">
        <v>1.311674317610964</v>
      </c>
      <c r="AO969" s="6" t="n">
        <v>1.328810401542577</v>
      </c>
      <c r="AP969" s="6" t="n">
        <v>0.1354087236029505</v>
      </c>
      <c r="AQ969" s="6" t="n">
        <v>0</v>
      </c>
      <c r="AR969" s="6" t="n">
        <v>0</v>
      </c>
    </row>
    <row r="970">
      <c r="D970" t="inlineStr">
        <is>
          <t>Run 658</t>
        </is>
      </c>
      <c r="J970" s="6" t="n">
        <v>-0.3207872763984058</v>
      </c>
      <c r="K970" s="6" t="n">
        <v>2.061458189050642</v>
      </c>
      <c r="L970" s="6" t="n">
        <v>0.3809898297540159</v>
      </c>
      <c r="M970" s="6" t="n">
        <v>1.373380719899316</v>
      </c>
      <c r="N970" s="6" t="n">
        <v>1.525910436416325</v>
      </c>
      <c r="O970" s="6" t="n">
        <v>-1.115908470629003</v>
      </c>
      <c r="P970" s="6" t="n">
        <v>-1.01214901201616</v>
      </c>
      <c r="Q970" s="6" t="n">
        <v>0.5259488782806652</v>
      </c>
      <c r="R970" s="6" t="n">
        <v>-0.4575859832235117</v>
      </c>
      <c r="S970" s="6" t="n">
        <v>-2.417845451843003</v>
      </c>
      <c r="T970" s="6" t="n">
        <v>0.5527389361149863</v>
      </c>
      <c r="U970" s="6" t="n">
        <v>-2.734878141422577</v>
      </c>
      <c r="V970" s="6" t="n">
        <v>-1.271662074834193</v>
      </c>
      <c r="W970" s="6" t="n">
        <v>-1.91756126269136</v>
      </c>
      <c r="X970" s="6" t="n">
        <v>2.592556948603415</v>
      </c>
      <c r="Y970" s="6" t="n">
        <v>-0.7887442655658362</v>
      </c>
      <c r="Z970" s="6" t="n">
        <v>0.2710242236974874</v>
      </c>
      <c r="AA970" s="6" t="n">
        <v>-1.237716521651787</v>
      </c>
      <c r="AB970" s="6" t="n">
        <v>0.3707074436643705</v>
      </c>
      <c r="AC970" s="6" t="n">
        <v>-0.4913726351212514</v>
      </c>
      <c r="AD970" s="6" t="n">
        <v>1.225882003741087</v>
      </c>
      <c r="AE970" s="6" t="n">
        <v>1.89519343987591</v>
      </c>
      <c r="AF970" s="6" t="n">
        <v>1.742723093821386</v>
      </c>
      <c r="AG970" s="6" t="n">
        <v>0.06720178837153924</v>
      </c>
      <c r="AH970" s="6" t="n">
        <v>0.9675282588713529</v>
      </c>
      <c r="AI970" s="6" t="n">
        <v>0.07347766022366431</v>
      </c>
      <c r="AJ970" s="6" t="n">
        <v>70.63000854316435</v>
      </c>
      <c r="AK970" s="6" t="n">
        <v>0.0939112037910215</v>
      </c>
      <c r="AL970" s="6" t="n">
        <v>1.059795537623955</v>
      </c>
      <c r="AN970" s="6" t="n">
        <v>1.343371077092787</v>
      </c>
      <c r="AO970" s="6" t="n">
        <v>1.343791840301647</v>
      </c>
      <c r="AP970" s="6" t="n">
        <v>0.1320614792726432</v>
      </c>
      <c r="AQ970" s="6" t="n">
        <v>0</v>
      </c>
      <c r="AR970" s="6" t="n">
        <v>0</v>
      </c>
    </row>
    <row r="971">
      <c r="D971" t="inlineStr">
        <is>
          <t>Run 659</t>
        </is>
      </c>
      <c r="J971" s="6" t="n">
        <v>0.1063414668769593</v>
      </c>
      <c r="K971" s="6" t="n">
        <v>-2.967693604196991</v>
      </c>
      <c r="L971" s="6" t="n">
        <v>1.491294486209813</v>
      </c>
      <c r="M971" s="6" t="n">
        <v>-2.622004584230952</v>
      </c>
      <c r="N971" s="6" t="n">
        <v>0.9735451410384656</v>
      </c>
      <c r="O971" s="6" t="n">
        <v>-0.1864112783430129</v>
      </c>
      <c r="P971" s="6" t="n">
        <v>0.2002879995233725</v>
      </c>
      <c r="Q971" s="6" t="n">
        <v>-0.2990733208865419</v>
      </c>
      <c r="R971" s="6" t="n">
        <v>-1.609135109088811</v>
      </c>
      <c r="S971" s="6" t="n">
        <v>-2.598202373508822</v>
      </c>
      <c r="T971" s="6" t="n">
        <v>4.988143828464577</v>
      </c>
      <c r="U971" s="6" t="n">
        <v>-1.02168311520262</v>
      </c>
      <c r="V971" s="6" t="n">
        <v>-0.6860423306724703</v>
      </c>
      <c r="W971" s="6" t="n">
        <v>-1.254751667950537</v>
      </c>
      <c r="X971" s="6" t="n">
        <v>-2.595642666121539</v>
      </c>
      <c r="Y971" s="6" t="n">
        <v>-2.104681175707254</v>
      </c>
      <c r="Z971" s="6" t="n">
        <v>-0.05911173553095804</v>
      </c>
      <c r="AA971" s="6" t="n">
        <v>0.6235096800572626</v>
      </c>
      <c r="AB971" s="6" t="n">
        <v>-1.638479130745637</v>
      </c>
      <c r="AC971" s="6" t="n">
        <v>-2.091684547382469</v>
      </c>
      <c r="AD971" s="6" t="n">
        <v>0.1160597446799654</v>
      </c>
      <c r="AE971" s="6" t="n">
        <v>-1.748895497228393</v>
      </c>
      <c r="AF971" s="6" t="n">
        <v>1.577938771870367</v>
      </c>
      <c r="AG971" s="6" t="n">
        <v>-0.40174730519634</v>
      </c>
      <c r="AH971" s="6" t="n">
        <v>-2.461718477589487</v>
      </c>
      <c r="AI971" s="6" t="n">
        <v>1.398926650666488</v>
      </c>
      <c r="AJ971" s="6" t="n">
        <v>74.11696697665418</v>
      </c>
      <c r="AK971" s="6" t="n">
        <v>0.05725189294829916</v>
      </c>
      <c r="AL971" s="6" t="n">
        <v>1.111882937247802</v>
      </c>
      <c r="AN971" s="6" t="n">
        <v>1.31224600260586</v>
      </c>
      <c r="AO971" s="6" t="n">
        <v>1.321186544607488</v>
      </c>
      <c r="AP971" s="6" t="n">
        <v>0.1300942128733507</v>
      </c>
      <c r="AQ971" s="6" t="n">
        <v>0</v>
      </c>
      <c r="AR971" s="6" t="n">
        <v>0</v>
      </c>
    </row>
    <row r="972">
      <c r="D972" t="inlineStr">
        <is>
          <t>Run 660</t>
        </is>
      </c>
      <c r="J972" s="6" t="n">
        <v>-0.9958657482782306</v>
      </c>
      <c r="K972" s="6" t="n">
        <v>1.191598002312462</v>
      </c>
      <c r="L972" s="6" t="n">
        <v>-0.7339176076800029</v>
      </c>
      <c r="M972" s="6" t="n">
        <v>-3.733329846541255</v>
      </c>
      <c r="N972" s="6" t="n">
        <v>-1.424657446529576</v>
      </c>
      <c r="O972" s="6" t="n">
        <v>-0.3850581232838012</v>
      </c>
      <c r="P972" s="6" t="n">
        <v>-0.3871108636769289</v>
      </c>
      <c r="Q972" s="6" t="n">
        <v>5</v>
      </c>
      <c r="R972" s="6" t="n">
        <v>-1.628095709836833</v>
      </c>
      <c r="S972" s="6" t="n">
        <v>2.693349674442594</v>
      </c>
      <c r="T972" s="6" t="n">
        <v>3.861513058777916</v>
      </c>
      <c r="U972" s="6" t="n">
        <v>-2.129722496842194</v>
      </c>
      <c r="V972" s="6" t="n">
        <v>0.0880441969402134</v>
      </c>
      <c r="W972" s="6" t="n">
        <v>-1.48363932160258</v>
      </c>
      <c r="X972" s="6" t="n">
        <v>0.4817056577323101</v>
      </c>
      <c r="Y972" s="6" t="n">
        <v>1.99130725495721</v>
      </c>
      <c r="Z972" s="6" t="n">
        <v>1.497384253285227</v>
      </c>
      <c r="AA972" s="6" t="n">
        <v>4.079429563196789</v>
      </c>
      <c r="AB972" s="6" t="n">
        <v>-1.35578588150697</v>
      </c>
      <c r="AC972" s="6" t="n">
        <v>-0.2519388356626723</v>
      </c>
      <c r="AD972" s="6" t="n">
        <v>-2.202319900232891</v>
      </c>
      <c r="AE972" s="6" t="n">
        <v>-0.03882295387094316</v>
      </c>
      <c r="AF972" s="6" t="n">
        <v>-2.334421796153186</v>
      </c>
      <c r="AG972" s="6" t="n">
        <v>-1.081918343936443</v>
      </c>
      <c r="AH972" s="6" t="n">
        <v>3.564458651230832</v>
      </c>
      <c r="AI972" s="6" t="n">
        <v>-1.77346212908379</v>
      </c>
      <c r="AJ972" s="6" t="n">
        <v>68.42718358661466</v>
      </c>
      <c r="AK972" s="6" t="n">
        <v>0.117034528614598</v>
      </c>
      <c r="AL972" s="6" t="n">
        <v>1.04234539482237</v>
      </c>
      <c r="AN972" s="6" t="n">
        <v>1.307423393432917</v>
      </c>
      <c r="AO972" s="6" t="n">
        <v>1.31427966451935</v>
      </c>
      <c r="AP972" s="6" t="n">
        <v>0.132499495643725</v>
      </c>
      <c r="AQ972" s="6" t="n">
        <v>0</v>
      </c>
      <c r="AR972" s="6" t="n">
        <v>0</v>
      </c>
    </row>
    <row r="973">
      <c r="D973" t="inlineStr">
        <is>
          <t>Run 661</t>
        </is>
      </c>
      <c r="J973" s="6" t="n">
        <v>-2.488546243409542</v>
      </c>
      <c r="K973" s="6" t="n">
        <v>0.2099464071141984</v>
      </c>
      <c r="L973" s="6" t="n">
        <v>-1.007921940987466</v>
      </c>
      <c r="M973" s="6" t="n">
        <v>1.698745459989519</v>
      </c>
      <c r="N973" s="6" t="n">
        <v>-1.152205525261754</v>
      </c>
      <c r="O973" s="6" t="n">
        <v>1.900694360792888</v>
      </c>
      <c r="P973" s="6" t="n">
        <v>1.849724159968958</v>
      </c>
      <c r="Q973" s="6" t="n">
        <v>0.8389085830937041</v>
      </c>
      <c r="R973" s="6" t="n">
        <v>-2.139822904139844</v>
      </c>
      <c r="S973" s="6" t="n">
        <v>-0.4912594477741442</v>
      </c>
      <c r="T973" s="6" t="n">
        <v>-2.552839017493107</v>
      </c>
      <c r="U973" s="6" t="n">
        <v>-0.3385334455935109</v>
      </c>
      <c r="V973" s="6" t="n">
        <v>-0.5978192358913584</v>
      </c>
      <c r="W973" s="6" t="n">
        <v>0.4236216416120921</v>
      </c>
      <c r="X973" s="6" t="n">
        <v>-1.205368131939602</v>
      </c>
      <c r="Y973" s="6" t="n">
        <v>-2.11605711358207</v>
      </c>
      <c r="Z973" s="6" t="n">
        <v>-2.522261574054953</v>
      </c>
      <c r="AA973" s="6" t="n">
        <v>0.2749373051313105</v>
      </c>
      <c r="AB973" s="6" t="n">
        <v>-0.9250195944379406</v>
      </c>
      <c r="AC973" s="6" t="n">
        <v>2.208688035015101</v>
      </c>
      <c r="AD973" s="6" t="n">
        <v>2.839631584321724</v>
      </c>
      <c r="AE973" s="6" t="n">
        <v>1.30778331254732</v>
      </c>
      <c r="AF973" s="6" t="n">
        <v>-0.8368246282174436</v>
      </c>
      <c r="AG973" s="6" t="n">
        <v>1.144067546579344</v>
      </c>
      <c r="AH973" s="6" t="n">
        <v>-0.787716383231555</v>
      </c>
      <c r="AI973" s="6" t="n">
        <v>-0.6387211354750093</v>
      </c>
      <c r="AJ973" s="6" t="n">
        <v>77.24220992219257</v>
      </c>
      <c r="AK973" s="6" t="n">
        <v>0.08469050483266483</v>
      </c>
      <c r="AL973" s="6" t="n">
        <v>1.058958978504772</v>
      </c>
      <c r="AN973" s="6" t="n">
        <v>1.348230163717292</v>
      </c>
      <c r="AO973" s="6" t="n">
        <v>1.348903613343044</v>
      </c>
      <c r="AP973" s="6" t="n">
        <v>0.1330442755755911</v>
      </c>
      <c r="AQ973" s="6" t="n">
        <v>0</v>
      </c>
      <c r="AR973" s="6" t="n">
        <v>0</v>
      </c>
    </row>
    <row r="974">
      <c r="D974" t="inlineStr">
        <is>
          <t>Run 662</t>
        </is>
      </c>
      <c r="J974" s="6" t="n">
        <v>-2.61995244126381</v>
      </c>
      <c r="K974" s="6" t="n">
        <v>-0.3233999883567368</v>
      </c>
      <c r="L974" s="6" t="n">
        <v>-3.016074729433428</v>
      </c>
      <c r="M974" s="6" t="n">
        <v>2.499688588954137</v>
      </c>
      <c r="N974" s="6" t="n">
        <v>1.901094849395992</v>
      </c>
      <c r="O974" s="6" t="n">
        <v>0.4063688608447719</v>
      </c>
      <c r="P974" s="6" t="n">
        <v>0.9705466131068444</v>
      </c>
      <c r="Q974" s="6" t="n">
        <v>0.9408183399864829</v>
      </c>
      <c r="R974" s="6" t="n">
        <v>-3.252321888113789</v>
      </c>
      <c r="S974" s="6" t="n">
        <v>2.133104049259197</v>
      </c>
      <c r="T974" s="6" t="n">
        <v>0.3229008612001785</v>
      </c>
      <c r="U974" s="6" t="n">
        <v>-0.3724921753294174</v>
      </c>
      <c r="V974" s="6" t="n">
        <v>1.990573262243446</v>
      </c>
      <c r="W974" s="6" t="n">
        <v>-0.980442926871242</v>
      </c>
      <c r="X974" s="6" t="n">
        <v>2.996805427346416</v>
      </c>
      <c r="Y974" s="6" t="n">
        <v>-0.6002258745609664</v>
      </c>
      <c r="Z974" s="6" t="n">
        <v>0.8689953644259603</v>
      </c>
      <c r="AA974" s="6" t="n">
        <v>-2.153964992426373</v>
      </c>
      <c r="AB974" s="6" t="n">
        <v>-2.392683351059202</v>
      </c>
      <c r="AC974" s="6" t="n">
        <v>0.4653179844906186</v>
      </c>
      <c r="AD974" s="6" t="n">
        <v>-3.66565513727716</v>
      </c>
      <c r="AE974" s="6" t="n">
        <v>-1.53381440501532</v>
      </c>
      <c r="AF974" s="6" t="n">
        <v>-0.2472017796429064</v>
      </c>
      <c r="AG974" s="6" t="n">
        <v>-1.917290379828294</v>
      </c>
      <c r="AH974" s="6" t="n">
        <v>-1.759332897239568</v>
      </c>
      <c r="AI974" s="6" t="n">
        <v>-7.585665539020373</v>
      </c>
      <c r="AJ974" s="6" t="n">
        <v>78.32382622904646</v>
      </c>
      <c r="AK974" s="6" t="n">
        <v>0.1116249303176228</v>
      </c>
      <c r="AL974" s="6" t="n">
        <v>1.071599306948213</v>
      </c>
      <c r="AN974" s="6" t="n">
        <v>1.341773351462032</v>
      </c>
      <c r="AO974" s="6" t="n">
        <v>1.341842380868</v>
      </c>
      <c r="AP974" s="6" t="n">
        <v>0.1315122705356449</v>
      </c>
      <c r="AQ974" s="6" t="n">
        <v>0</v>
      </c>
      <c r="AR974" s="6" t="n">
        <v>0</v>
      </c>
    </row>
    <row r="975">
      <c r="D975" t="inlineStr">
        <is>
          <t>Run 663</t>
        </is>
      </c>
      <c r="J975" s="6" t="n">
        <v>0.4507856619073345</v>
      </c>
      <c r="K975" s="6" t="n">
        <v>1.794132577628994</v>
      </c>
      <c r="L975" s="6" t="n">
        <v>-0.7115492069835097</v>
      </c>
      <c r="M975" s="6" t="n">
        <v>-1.303032352018842</v>
      </c>
      <c r="N975" s="6" t="n">
        <v>-0.9601494009125673</v>
      </c>
      <c r="O975" s="6" t="n">
        <v>-1.461321483366205</v>
      </c>
      <c r="P975" s="6" t="n">
        <v>-3.215659580967176</v>
      </c>
      <c r="Q975" s="6" t="n">
        <v>1.40550039854156</v>
      </c>
      <c r="R975" s="6" t="n">
        <v>1.100484326215941</v>
      </c>
      <c r="S975" s="6" t="n">
        <v>3.257790038087103</v>
      </c>
      <c r="T975" s="6" t="n">
        <v>-1.832047549078247</v>
      </c>
      <c r="U975" s="6" t="n">
        <v>0.6329756457201428</v>
      </c>
      <c r="V975" s="6" t="n">
        <v>-1.249952007618663</v>
      </c>
      <c r="W975" s="6" t="n">
        <v>-0.782592720489828</v>
      </c>
      <c r="X975" s="6" t="n">
        <v>-0.2743953676159073</v>
      </c>
      <c r="Y975" s="6" t="n">
        <v>-0.3324248535245311</v>
      </c>
      <c r="Z975" s="6" t="n">
        <v>-0.2894646835247427</v>
      </c>
      <c r="AA975" s="6" t="n">
        <v>-2.973363471921873</v>
      </c>
      <c r="AB975" s="6" t="n">
        <v>-3.102816931448693</v>
      </c>
      <c r="AC975" s="6" t="n">
        <v>-0.5416514243945406</v>
      </c>
      <c r="AD975" s="6" t="n">
        <v>-0.6341758918566209</v>
      </c>
      <c r="AE975" s="6" t="n">
        <v>0.7085593142364608</v>
      </c>
      <c r="AF975" s="6" t="n">
        <v>-4.83914905946617</v>
      </c>
      <c r="AG975" s="6" t="n">
        <v>-1.723116532188734</v>
      </c>
      <c r="AH975" s="6" t="n">
        <v>1.823687948045511</v>
      </c>
      <c r="AI975" s="6" t="n">
        <v>-2.022807086456946</v>
      </c>
      <c r="AJ975" s="6" t="n">
        <v>73.35092906464435</v>
      </c>
      <c r="AK975" s="6" t="n">
        <v>0.08130299900071156</v>
      </c>
      <c r="AL975" s="6" t="n">
        <v>1.073422094554248</v>
      </c>
      <c r="AN975" s="6" t="n">
        <v>1.337452607015139</v>
      </c>
      <c r="AO975" s="6" t="n">
        <v>1.340502344519088</v>
      </c>
      <c r="AP975" s="6" t="n">
        <v>0.1317625791104908</v>
      </c>
      <c r="AQ975" s="6" t="n">
        <v>0</v>
      </c>
      <c r="AR975" s="6" t="n">
        <v>0</v>
      </c>
    </row>
    <row r="976">
      <c r="D976" t="inlineStr">
        <is>
          <t>Run 664</t>
        </is>
      </c>
      <c r="J976" s="6" t="n">
        <v>-1.82383312161746</v>
      </c>
      <c r="K976" s="6" t="n">
        <v>-3.394056053808249</v>
      </c>
      <c r="L976" s="6" t="n">
        <v>-3.282611995078219</v>
      </c>
      <c r="M976" s="6" t="n">
        <v>-2.122142349377245</v>
      </c>
      <c r="N976" s="6" t="n">
        <v>-2.329503998269793</v>
      </c>
      <c r="O976" s="6" t="n">
        <v>-1.920796995508961</v>
      </c>
      <c r="P976" s="6" t="n">
        <v>1.401128512072296</v>
      </c>
      <c r="Q976" s="6" t="n">
        <v>1.207987433019477</v>
      </c>
      <c r="R976" s="6" t="n">
        <v>-2.170922649845648</v>
      </c>
      <c r="S976" s="6" t="n">
        <v>-3.130364589761178</v>
      </c>
      <c r="T976" s="6" t="n">
        <v>2.054348778768642</v>
      </c>
      <c r="U976" s="6" t="n">
        <v>-0.74401878073323</v>
      </c>
      <c r="V976" s="6" t="n">
        <v>-1.826245491056777</v>
      </c>
      <c r="W976" s="6" t="n">
        <v>-4.923684693273795</v>
      </c>
      <c r="X976" s="6" t="n">
        <v>2.921067422076979</v>
      </c>
      <c r="Y976" s="6" t="n">
        <v>-2.632963929387949</v>
      </c>
      <c r="Z976" s="6" t="n">
        <v>0.459330533823641</v>
      </c>
      <c r="AA976" s="6" t="n">
        <v>-0.5057897018589118</v>
      </c>
      <c r="AB976" s="6" t="n">
        <v>3.234525691205439</v>
      </c>
      <c r="AC976" s="6" t="n">
        <v>1.613573409915008</v>
      </c>
      <c r="AD976" s="6" t="n">
        <v>-1.403283869740256</v>
      </c>
      <c r="AE976" s="6" t="n">
        <v>2.301364898250561</v>
      </c>
      <c r="AF976" s="6" t="n">
        <v>-1.13335907080507</v>
      </c>
      <c r="AG976" s="6" t="n">
        <v>4.951704608497898</v>
      </c>
      <c r="AH976" s="6" t="n">
        <v>-3.313961209332607</v>
      </c>
      <c r="AI976" s="6" t="n">
        <v>0.9846239218203859</v>
      </c>
      <c r="AJ976" s="6" t="n">
        <v>60.78014849823396</v>
      </c>
      <c r="AK976" s="6" t="n">
        <v>0.09811387611028598</v>
      </c>
      <c r="AL976" s="6" t="n">
        <v>1.055955687356714</v>
      </c>
      <c r="AN976" s="6" t="n">
        <v>1.324431771058004</v>
      </c>
      <c r="AO976" s="6" t="n">
        <v>1.328802348954985</v>
      </c>
      <c r="AP976" s="6" t="n">
        <v>0.1316137912129417</v>
      </c>
      <c r="AQ976" s="6" t="n">
        <v>0</v>
      </c>
      <c r="AR976" s="6" t="n">
        <v>0</v>
      </c>
    </row>
    <row r="977">
      <c r="D977" t="inlineStr">
        <is>
          <t>Run 665</t>
        </is>
      </c>
      <c r="J977" s="6" t="n">
        <v>-2.011616234204883</v>
      </c>
      <c r="K977" s="6" t="n">
        <v>-2.055139232883143</v>
      </c>
      <c r="L977" s="6" t="n">
        <v>0.4106305367993136</v>
      </c>
      <c r="M977" s="6" t="n">
        <v>-1.381686291460657</v>
      </c>
      <c r="N977" s="6" t="n">
        <v>3.559070255142594</v>
      </c>
      <c r="O977" s="6" t="n">
        <v>0.4792427322853738</v>
      </c>
      <c r="P977" s="6" t="n">
        <v>-1.804387577560744</v>
      </c>
      <c r="Q977" s="6" t="n">
        <v>1.670727948999774</v>
      </c>
      <c r="R977" s="6" t="n">
        <v>0.5533428683303939</v>
      </c>
      <c r="S977" s="6" t="n">
        <v>-2.417403322991431</v>
      </c>
      <c r="T977" s="6" t="n">
        <v>-0.41188887798263</v>
      </c>
      <c r="U977" s="6" t="n">
        <v>-1.058379301539551</v>
      </c>
      <c r="V977" s="6" t="n">
        <v>-1.886316575030556</v>
      </c>
      <c r="W977" s="6" t="n">
        <v>-0.9464983467865546</v>
      </c>
      <c r="X977" s="6" t="n">
        <v>-0.6305331464729822</v>
      </c>
      <c r="Y977" s="6" t="n">
        <v>-1.299417986072519</v>
      </c>
      <c r="Z977" s="6" t="n">
        <v>0.9580927939476158</v>
      </c>
      <c r="AA977" s="6" t="n">
        <v>-0.2148102645880313</v>
      </c>
      <c r="AB977" s="6" t="n">
        <v>0.3651619084905983</v>
      </c>
      <c r="AC977" s="6" t="n">
        <v>-1.429707188104482</v>
      </c>
      <c r="AD977" s="6" t="n">
        <v>-0.09470156450156314</v>
      </c>
      <c r="AE977" s="6" t="n">
        <v>2.92429529957059</v>
      </c>
      <c r="AF977" s="6" t="n">
        <v>2.349627259592402</v>
      </c>
      <c r="AG977" s="6" t="n">
        <v>-1.712126257993594</v>
      </c>
      <c r="AH977" s="6" t="n">
        <v>-3.926084237132359</v>
      </c>
      <c r="AI977" s="6" t="n">
        <v>1.284837345840291</v>
      </c>
      <c r="AJ977" s="6" t="n">
        <v>61.44948060114946</v>
      </c>
      <c r="AK977" s="6" t="n">
        <v>0.170137429254281</v>
      </c>
      <c r="AL977" s="6" t="n">
        <v>1.078997690809516</v>
      </c>
      <c r="AN977" s="6" t="n">
        <v>1.325899622701937</v>
      </c>
      <c r="AO977" s="6" t="n">
        <v>1.327614834311556</v>
      </c>
      <c r="AP977" s="6" t="n">
        <v>0.1289336241076004</v>
      </c>
      <c r="AQ977" s="6" t="n">
        <v>0</v>
      </c>
      <c r="AR977" s="6" t="n">
        <v>0</v>
      </c>
    </row>
    <row r="978">
      <c r="D978" t="inlineStr">
        <is>
          <t>Run 666</t>
        </is>
      </c>
      <c r="J978" s="6" t="n">
        <v>-2.300355677342731</v>
      </c>
      <c r="K978" s="6" t="n">
        <v>-1.218430115754514</v>
      </c>
      <c r="L978" s="6" t="n">
        <v>0.518837385179286</v>
      </c>
      <c r="M978" s="6" t="n">
        <v>1.616711838795452</v>
      </c>
      <c r="N978" s="6" t="n">
        <v>3.129696979504856</v>
      </c>
      <c r="O978" s="6" t="n">
        <v>3.340267030472978</v>
      </c>
      <c r="P978" s="6" t="n">
        <v>-0.5626610870953999</v>
      </c>
      <c r="Q978" s="6" t="n">
        <v>0.2026885080648016</v>
      </c>
      <c r="R978" s="6" t="n">
        <v>1.029942668899882</v>
      </c>
      <c r="S978" s="6" t="n">
        <v>-5.341936369462816</v>
      </c>
      <c r="T978" s="6" t="n">
        <v>-1.803168524141276</v>
      </c>
      <c r="U978" s="6" t="n">
        <v>-3.516801388398391</v>
      </c>
      <c r="V978" s="6" t="n">
        <v>-0.0796122378028734</v>
      </c>
      <c r="W978" s="6" t="n">
        <v>-1.939586587153334</v>
      </c>
      <c r="X978" s="6" t="n">
        <v>1.723987301889851</v>
      </c>
      <c r="Y978" s="6" t="n">
        <v>-4.87059339330598</v>
      </c>
      <c r="Z978" s="6" t="n">
        <v>1.681504010461027</v>
      </c>
      <c r="AA978" s="6" t="n">
        <v>2.476290766129156</v>
      </c>
      <c r="AB978" s="6" t="n">
        <v>0.3494784246338967</v>
      </c>
      <c r="AC978" s="6" t="n">
        <v>-1.212358236476917</v>
      </c>
      <c r="AD978" s="6" t="n">
        <v>2.145288172607097</v>
      </c>
      <c r="AE978" s="6" t="n">
        <v>3.019597133565157</v>
      </c>
      <c r="AF978" s="6" t="n">
        <v>-0.007349280016993313</v>
      </c>
      <c r="AG978" s="6" t="n">
        <v>-2.137036923417853</v>
      </c>
      <c r="AH978" s="6" t="n">
        <v>-2.379819747161161</v>
      </c>
      <c r="AI978" s="6" t="n">
        <v>-2.264662514851552</v>
      </c>
      <c r="AJ978" s="6" t="n">
        <v>80.10791112231756</v>
      </c>
      <c r="AK978" s="6" t="n">
        <v>0.06914140609042289</v>
      </c>
      <c r="AL978" s="6" t="n">
        <v>1.066095633431289</v>
      </c>
      <c r="AN978" s="6" t="n">
        <v>1.348170628455463</v>
      </c>
      <c r="AO978" s="6" t="n">
        <v>1.348406325079277</v>
      </c>
      <c r="AP978" s="6" t="n">
        <v>0.1325774473139467</v>
      </c>
      <c r="AQ978" s="6" t="n">
        <v>0</v>
      </c>
      <c r="AR978" s="6" t="n">
        <v>0</v>
      </c>
    </row>
    <row r="979">
      <c r="D979" t="inlineStr">
        <is>
          <t>Run 667</t>
        </is>
      </c>
      <c r="J979" s="6" t="n">
        <v>0.848853721402678</v>
      </c>
      <c r="K979" s="6" t="n">
        <v>1.343829677577337</v>
      </c>
      <c r="L979" s="6" t="n">
        <v>-0.6607113373791614</v>
      </c>
      <c r="M979" s="6" t="n">
        <v>-4.64843129821539</v>
      </c>
      <c r="N979" s="6" t="n">
        <v>-0.7962731488776954</v>
      </c>
      <c r="O979" s="6" t="n">
        <v>-1.375316120914484</v>
      </c>
      <c r="P979" s="6" t="n">
        <v>-1.283479414646429</v>
      </c>
      <c r="Q979" s="6" t="n">
        <v>1.777365802739693</v>
      </c>
      <c r="R979" s="6" t="n">
        <v>3.328315236615725</v>
      </c>
      <c r="S979" s="6" t="n">
        <v>0.5833700543235211</v>
      </c>
      <c r="T979" s="6" t="n">
        <v>-0.9151878388026353</v>
      </c>
      <c r="U979" s="6" t="n">
        <v>-0.09546314567422777</v>
      </c>
      <c r="V979" s="6" t="n">
        <v>-2.697198762906705</v>
      </c>
      <c r="W979" s="6" t="n">
        <v>-2.410558899845533</v>
      </c>
      <c r="X979" s="6" t="n">
        <v>-0.9831164115146946</v>
      </c>
      <c r="Y979" s="6" t="n">
        <v>1.232807120120458</v>
      </c>
      <c r="Z979" s="6" t="n">
        <v>-0.4619813292262535</v>
      </c>
      <c r="AA979" s="6" t="n">
        <v>-0.8600532881365178</v>
      </c>
      <c r="AB979" s="6" t="n">
        <v>2.021787928741245</v>
      </c>
      <c r="AC979" s="6" t="n">
        <v>-0.3253857325274448</v>
      </c>
      <c r="AD979" s="6" t="n">
        <v>2.444946706958237</v>
      </c>
      <c r="AE979" s="6" t="n">
        <v>0.2760673942768385</v>
      </c>
      <c r="AF979" s="6" t="n">
        <v>-3.680468065296504</v>
      </c>
      <c r="AG979" s="6" t="n">
        <v>0.6279439840143242</v>
      </c>
      <c r="AH979" s="6" t="n">
        <v>0.1471041031956518</v>
      </c>
      <c r="AI979" s="6" t="n">
        <v>3.126680629557584</v>
      </c>
      <c r="AJ979" s="6" t="n">
        <v>57.57673652789995</v>
      </c>
      <c r="AK979" s="6" t="n">
        <v>0.1486031819922775</v>
      </c>
      <c r="AL979" s="6" t="n">
        <v>0.9762251315743763</v>
      </c>
      <c r="AN979" s="6" t="n">
        <v>1.309166704726907</v>
      </c>
      <c r="AO979" s="6" t="n">
        <v>1.3188738535266</v>
      </c>
      <c r="AP979" s="6" t="n">
        <v>0.140118517662064</v>
      </c>
      <c r="AQ979" s="6" t="n">
        <v>0</v>
      </c>
      <c r="AR979" s="6" t="n">
        <v>0</v>
      </c>
    </row>
    <row r="980">
      <c r="D980" t="inlineStr">
        <is>
          <t>Run 668</t>
        </is>
      </c>
      <c r="J980" s="6" t="n">
        <v>-2.384786926605316</v>
      </c>
      <c r="K980" s="6" t="n">
        <v>2.081574175265726</v>
      </c>
      <c r="L980" s="6" t="n">
        <v>-1.217285581440289</v>
      </c>
      <c r="M980" s="6" t="n">
        <v>-1.719144687962073</v>
      </c>
      <c r="N980" s="6" t="n">
        <v>-0.84735917655399</v>
      </c>
      <c r="O980" s="6" t="n">
        <v>-0.09190473056496561</v>
      </c>
      <c r="P980" s="6" t="n">
        <v>3.008017056786968</v>
      </c>
      <c r="Q980" s="6" t="n">
        <v>-4.454068062003092</v>
      </c>
      <c r="R980" s="6" t="n">
        <v>0.5330942175446987</v>
      </c>
      <c r="S980" s="6" t="n">
        <v>1.586704467018119</v>
      </c>
      <c r="T980" s="6" t="n">
        <v>-1.235859451591939</v>
      </c>
      <c r="U980" s="6" t="n">
        <v>0.01723353722742434</v>
      </c>
      <c r="V980" s="6" t="n">
        <v>-2.024234675613445</v>
      </c>
      <c r="W980" s="6" t="n">
        <v>-1.035937740681693</v>
      </c>
      <c r="X980" s="6" t="n">
        <v>-0.531288537862821</v>
      </c>
      <c r="Y980" s="6" t="n">
        <v>-0.774930976150852</v>
      </c>
      <c r="Z980" s="6" t="n">
        <v>-3.097887354017352</v>
      </c>
      <c r="AA980" s="6" t="n">
        <v>4.46191979481247</v>
      </c>
      <c r="AB980" s="6" t="n">
        <v>0.2028288437355113</v>
      </c>
      <c r="AC980" s="6" t="n">
        <v>0.6540854050307334</v>
      </c>
      <c r="AD980" s="6" t="n">
        <v>0.3222693567604751</v>
      </c>
      <c r="AE980" s="6" t="n">
        <v>-1.180526712448131</v>
      </c>
      <c r="AF980" s="6" t="n">
        <v>3.105242268025704</v>
      </c>
      <c r="AG980" s="6" t="n">
        <v>-0.7796024397543341</v>
      </c>
      <c r="AH980" s="6" t="n">
        <v>-3.96332443348572</v>
      </c>
      <c r="AI980" s="6" t="n">
        <v>-1.450585168200985</v>
      </c>
      <c r="AJ980" s="6" t="n">
        <v>75.27514873666927</v>
      </c>
      <c r="AK980" s="6" t="n">
        <v>0.1500980588806262</v>
      </c>
      <c r="AL980" s="6" t="n">
        <v>1.05529122695007</v>
      </c>
      <c r="AN980" s="6" t="n">
        <v>1.333446539829922</v>
      </c>
      <c r="AO980" s="6" t="n">
        <v>1.338212066277951</v>
      </c>
      <c r="AP980" s="6" t="n">
        <v>0.130921223831546</v>
      </c>
      <c r="AQ980" s="6" t="n">
        <v>0</v>
      </c>
      <c r="AR980" s="6" t="n">
        <v>0</v>
      </c>
    </row>
    <row r="981">
      <c r="D981" t="inlineStr">
        <is>
          <t>Run 669</t>
        </is>
      </c>
      <c r="J981" s="6" t="n">
        <v>1.890255387966596</v>
      </c>
      <c r="K981" s="6" t="n">
        <v>-0.9823427098567866</v>
      </c>
      <c r="L981" s="6" t="n">
        <v>2.785340393103125</v>
      </c>
      <c r="M981" s="6" t="n">
        <v>-1.589976129126479</v>
      </c>
      <c r="N981" s="6" t="n">
        <v>-0.2336695650866797</v>
      </c>
      <c r="O981" s="6" t="n">
        <v>-2.615959299590295</v>
      </c>
      <c r="P981" s="6" t="n">
        <v>0.01263854272519975</v>
      </c>
      <c r="Q981" s="6" t="n">
        <v>0.5066765710276259</v>
      </c>
      <c r="R981" s="6" t="n">
        <v>-1.09318087804827</v>
      </c>
      <c r="S981" s="6" t="n">
        <v>-0.3557628794719782</v>
      </c>
      <c r="T981" s="6" t="n">
        <v>0.3531469276022737</v>
      </c>
      <c r="U981" s="6" t="n">
        <v>-1.497983784806836</v>
      </c>
      <c r="V981" s="6" t="n">
        <v>-2.598008971677186</v>
      </c>
      <c r="W981" s="6" t="n">
        <v>-1.790810049534288</v>
      </c>
      <c r="X981" s="6" t="n">
        <v>-0.8845801314985231</v>
      </c>
      <c r="Y981" s="6" t="n">
        <v>1.492890436717236</v>
      </c>
      <c r="Z981" s="6" t="n">
        <v>-0.8074596214607458</v>
      </c>
      <c r="AA981" s="6" t="n">
        <v>1.281215792857033</v>
      </c>
      <c r="AB981" s="6" t="n">
        <v>2.935524457894382</v>
      </c>
      <c r="AC981" s="6" t="n">
        <v>0.7618535673265682</v>
      </c>
      <c r="AD981" s="6" t="n">
        <v>-0.2857708941588575</v>
      </c>
      <c r="AE981" s="6" t="n">
        <v>0.913680877679068</v>
      </c>
      <c r="AF981" s="6" t="n">
        <v>-1.295208997118648</v>
      </c>
      <c r="AG981" s="6" t="n">
        <v>-3.069486087390915</v>
      </c>
      <c r="AH981" s="6" t="n">
        <v>0.9775365329891769</v>
      </c>
      <c r="AI981" s="6" t="n">
        <v>0.7315550845724238</v>
      </c>
      <c r="AJ981" s="6" t="n">
        <v>81.64976371514032</v>
      </c>
      <c r="AK981" s="6" t="n">
        <v>0.02466796500242689</v>
      </c>
      <c r="AL981" s="6" t="n">
        <v>1.078055365002702</v>
      </c>
      <c r="AN981" s="6" t="n">
        <v>1.340039781565159</v>
      </c>
      <c r="AO981" s="6" t="n">
        <v>1.344351452544644</v>
      </c>
      <c r="AP981" s="6" t="n">
        <v>0.1334294227586061</v>
      </c>
      <c r="AQ981" s="6" t="n">
        <v>0</v>
      </c>
      <c r="AR981" s="6" t="n">
        <v>0</v>
      </c>
    </row>
    <row r="982">
      <c r="D982" t="inlineStr">
        <is>
          <t>Run 670</t>
        </is>
      </c>
      <c r="J982" s="6" t="n">
        <v>0.4132520597435347</v>
      </c>
      <c r="K982" s="6" t="n">
        <v>0.707573193888882</v>
      </c>
      <c r="L982" s="6" t="n">
        <v>1.392196885036801</v>
      </c>
      <c r="M982" s="6" t="n">
        <v>0.7740199993611081</v>
      </c>
      <c r="N982" s="6" t="n">
        <v>-1.770904174104919</v>
      </c>
      <c r="O982" s="6" t="n">
        <v>0.1250064528915888</v>
      </c>
      <c r="P982" s="6" t="n">
        <v>0.08799368036358808</v>
      </c>
      <c r="Q982" s="6" t="n">
        <v>0.5430281035316198</v>
      </c>
      <c r="R982" s="6" t="n">
        <v>1.239508977007747</v>
      </c>
      <c r="S982" s="6" t="n">
        <v>-2.007790938450444</v>
      </c>
      <c r="T982" s="6" t="n">
        <v>-1.165764456512714</v>
      </c>
      <c r="U982" s="6" t="n">
        <v>1.45781703241253</v>
      </c>
      <c r="V982" s="6" t="n">
        <v>-1.061023467403757</v>
      </c>
      <c r="W982" s="6" t="n">
        <v>1.379665180074907</v>
      </c>
      <c r="X982" s="6" t="n">
        <v>-1.338547256695313</v>
      </c>
      <c r="Y982" s="6" t="n">
        <v>2.047371017348165</v>
      </c>
      <c r="Z982" s="6" t="n">
        <v>3.012579430639355</v>
      </c>
      <c r="AA982" s="6" t="n">
        <v>0.04640595239850291</v>
      </c>
      <c r="AB982" s="6" t="n">
        <v>3.622461164805924</v>
      </c>
      <c r="AC982" s="6" t="n">
        <v>-3.448870632955768</v>
      </c>
      <c r="AD982" s="6" t="n">
        <v>0.7003367822526299</v>
      </c>
      <c r="AE982" s="6" t="n">
        <v>-0.8041048623082387</v>
      </c>
      <c r="AF982" s="6" t="n">
        <v>-1.515735368571646</v>
      </c>
      <c r="AG982" s="6" t="n">
        <v>1.690434640173008</v>
      </c>
      <c r="AH982" s="6" t="n">
        <v>-0.8849999428297536</v>
      </c>
      <c r="AI982" s="6" t="n">
        <v>0.2382258564768081</v>
      </c>
      <c r="AJ982" s="6" t="n">
        <v>82.25455864872615</v>
      </c>
      <c r="AK982" s="6" t="n">
        <v>0.09570825533928175</v>
      </c>
      <c r="AL982" s="6" t="n">
        <v>1.026601014528299</v>
      </c>
      <c r="AN982" s="6" t="n">
        <v>1.356735318415153</v>
      </c>
      <c r="AO982" s="6" t="n">
        <v>1.356735318415153</v>
      </c>
      <c r="AP982" s="6" t="n">
        <v>0.13649110023288</v>
      </c>
      <c r="AQ982" s="6" t="n">
        <v>0</v>
      </c>
      <c r="AR982" s="6" t="n">
        <v>0</v>
      </c>
    </row>
    <row r="983">
      <c r="D983" t="inlineStr">
        <is>
          <t>Run 671</t>
        </is>
      </c>
      <c r="J983" s="6" t="n">
        <v>2.081185242394365</v>
      </c>
      <c r="K983" s="6" t="n">
        <v>5</v>
      </c>
      <c r="L983" s="6" t="n">
        <v>-1.242592862134055</v>
      </c>
      <c r="M983" s="6" t="n">
        <v>-0.3886883559340957</v>
      </c>
      <c r="N983" s="6" t="n">
        <v>1.379663703250664</v>
      </c>
      <c r="O983" s="6" t="n">
        <v>-0.3166115196932107</v>
      </c>
      <c r="P983" s="6" t="n">
        <v>0.5328693211028525</v>
      </c>
      <c r="Q983" s="6" t="n">
        <v>-0.8917827775711539</v>
      </c>
      <c r="R983" s="6" t="n">
        <v>2.589756121300555</v>
      </c>
      <c r="S983" s="6" t="n">
        <v>0.3459581817209313</v>
      </c>
      <c r="T983" s="6" t="n">
        <v>-4.429667119229777</v>
      </c>
      <c r="U983" s="6" t="n">
        <v>-0.2463993599124963</v>
      </c>
      <c r="V983" s="6" t="n">
        <v>4.031386051124398</v>
      </c>
      <c r="W983" s="6" t="n">
        <v>-1.092799769915141</v>
      </c>
      <c r="X983" s="6" t="n">
        <v>-1.009011867459433</v>
      </c>
      <c r="Y983" s="6" t="n">
        <v>-5.587562023239977</v>
      </c>
      <c r="Z983" s="6" t="n">
        <v>-0.064348758768122</v>
      </c>
      <c r="AA983" s="6" t="n">
        <v>1.578456051941557</v>
      </c>
      <c r="AB983" s="6" t="n">
        <v>2.102255065769437</v>
      </c>
      <c r="AC983" s="6" t="n">
        <v>-1.081080138864594</v>
      </c>
      <c r="AD983" s="6" t="n">
        <v>-2.017359385180653</v>
      </c>
      <c r="AE983" s="6" t="n">
        <v>-4.784654078463862</v>
      </c>
      <c r="AF983" s="6" t="n">
        <v>0.3008667943651558</v>
      </c>
      <c r="AG983" s="6" t="n">
        <v>-2.323068772882007</v>
      </c>
      <c r="AH983" s="6" t="n">
        <v>2.824887390325747</v>
      </c>
      <c r="AI983" s="6" t="n">
        <v>0.9748523382682941</v>
      </c>
      <c r="AJ983" s="6" t="n">
        <v>67.14845685544788</v>
      </c>
      <c r="AK983" s="6" t="n">
        <v>0.1063994641572863</v>
      </c>
      <c r="AL983" s="6" t="n">
        <v>1.066418698100744</v>
      </c>
      <c r="AN983" s="6" t="n">
        <v>1.339747199342688</v>
      </c>
      <c r="AO983" s="6" t="n">
        <v>1.339877136400093</v>
      </c>
      <c r="AP983" s="6" t="n">
        <v>0.1308481280095942</v>
      </c>
      <c r="AQ983" s="6" t="n">
        <v>0</v>
      </c>
      <c r="AR983" s="6" t="n">
        <v>0</v>
      </c>
    </row>
    <row r="984">
      <c r="D984" t="inlineStr">
        <is>
          <t>Run 672</t>
        </is>
      </c>
      <c r="J984" s="6" t="n">
        <v>-1.380899961022712</v>
      </c>
      <c r="K984" s="6" t="n">
        <v>2.261208274635278</v>
      </c>
      <c r="L984" s="6" t="n">
        <v>-4.454029029573394</v>
      </c>
      <c r="M984" s="6" t="n">
        <v>-0.5296740952011372</v>
      </c>
      <c r="N984" s="6" t="n">
        <v>0.7564192086887317</v>
      </c>
      <c r="O984" s="6" t="n">
        <v>-1.777596453972822</v>
      </c>
      <c r="P984" s="6" t="n">
        <v>-0.9984159040533976</v>
      </c>
      <c r="Q984" s="6" t="n">
        <v>2.429145419868145</v>
      </c>
      <c r="R984" s="6" t="n">
        <v>0.155376497394416</v>
      </c>
      <c r="S984" s="6" t="n">
        <v>1.089377952535543</v>
      </c>
      <c r="T984" s="6" t="n">
        <v>-1.182254192852215</v>
      </c>
      <c r="U984" s="6" t="n">
        <v>2.467890458555495</v>
      </c>
      <c r="V984" s="6" t="n">
        <v>2.464803104569971</v>
      </c>
      <c r="W984" s="6" t="n">
        <v>-2.887861626469809</v>
      </c>
      <c r="X984" s="6" t="n">
        <v>1.36140387060386</v>
      </c>
      <c r="Y984" s="6" t="n">
        <v>1.070717168729449</v>
      </c>
      <c r="Z984" s="6" t="n">
        <v>-1.129993836097454</v>
      </c>
      <c r="AA984" s="6" t="n">
        <v>3.768743030638767</v>
      </c>
      <c r="AB984" s="6" t="n">
        <v>-1.783846425296241</v>
      </c>
      <c r="AC984" s="6" t="n">
        <v>1.807105459706835</v>
      </c>
      <c r="AD984" s="6" t="n">
        <v>-3.006816810678801</v>
      </c>
      <c r="AE984" s="6" t="n">
        <v>-4.363457693696235</v>
      </c>
      <c r="AF984" s="6" t="n">
        <v>1.140214776202619</v>
      </c>
      <c r="AG984" s="6" t="n">
        <v>-0.4612106191917614</v>
      </c>
      <c r="AH984" s="6" t="n">
        <v>1.319187117721893</v>
      </c>
      <c r="AI984" s="6" t="n">
        <v>1.230898662178793</v>
      </c>
      <c r="AJ984" s="6" t="n">
        <v>68.30191368519938</v>
      </c>
      <c r="AK984" s="6" t="n">
        <v>0.1122767817929325</v>
      </c>
      <c r="AL984" s="6" t="n">
        <v>1.062433979642951</v>
      </c>
      <c r="AN984" s="6" t="n">
        <v>1.340203518213036</v>
      </c>
      <c r="AO984" s="6" t="n">
        <v>1.340891836957307</v>
      </c>
      <c r="AP984" s="6" t="n">
        <v>0.1314648721825245</v>
      </c>
      <c r="AQ984" s="6" t="n">
        <v>0</v>
      </c>
      <c r="AR984" s="6" t="n">
        <v>0</v>
      </c>
    </row>
    <row r="985">
      <c r="D985" t="inlineStr">
        <is>
          <t>Run 673</t>
        </is>
      </c>
      <c r="J985" s="6" t="n">
        <v>-0.5693886405337577</v>
      </c>
      <c r="K985" s="6" t="n">
        <v>-0.2856440549706791</v>
      </c>
      <c r="L985" s="6" t="n">
        <v>-4.071624371790199</v>
      </c>
      <c r="M985" s="6" t="n">
        <v>0.849171238845436</v>
      </c>
      <c r="N985" s="6" t="n">
        <v>-1.275288323211457</v>
      </c>
      <c r="O985" s="6" t="n">
        <v>-1.163174040383888</v>
      </c>
      <c r="P985" s="6" t="n">
        <v>-0.3530728317250556</v>
      </c>
      <c r="Q985" s="6" t="n">
        <v>-2.273179161657456</v>
      </c>
      <c r="R985" s="6" t="n">
        <v>-2.26226466108426</v>
      </c>
      <c r="S985" s="6" t="n">
        <v>1.285153837987756</v>
      </c>
      <c r="T985" s="6" t="n">
        <v>0.09202476853162846</v>
      </c>
      <c r="U985" s="6" t="n">
        <v>-3.555679671982103</v>
      </c>
      <c r="V985" s="6" t="n">
        <v>0.1462610726741453</v>
      </c>
      <c r="W985" s="6" t="n">
        <v>-3.378702576984341</v>
      </c>
      <c r="X985" s="6" t="n">
        <v>-0.9302693418664149</v>
      </c>
      <c r="Y985" s="6" t="n">
        <v>0.5751595153920483</v>
      </c>
      <c r="Z985" s="6" t="n">
        <v>1.938721509957076</v>
      </c>
      <c r="AA985" s="6" t="n">
        <v>-2.256841033183426</v>
      </c>
      <c r="AB985" s="6" t="n">
        <v>-0.4775747542239123</v>
      </c>
      <c r="AC985" s="6" t="n">
        <v>0.8435849884286549</v>
      </c>
      <c r="AD985" s="6" t="n">
        <v>0.9787588954282451</v>
      </c>
      <c r="AE985" s="6" t="n">
        <v>0.7871708524796118</v>
      </c>
      <c r="AF985" s="6" t="n">
        <v>-0.218263230312735</v>
      </c>
      <c r="AG985" s="6" t="n">
        <v>-1.446244766685304</v>
      </c>
      <c r="AH985" s="6" t="n">
        <v>-2.152558190651002</v>
      </c>
      <c r="AI985" s="6" t="n">
        <v>4.528381957146104</v>
      </c>
      <c r="AJ985" s="6" t="n">
        <v>76.18379947010442</v>
      </c>
      <c r="AK985" s="6" t="n">
        <v>0.1464403121038782</v>
      </c>
      <c r="AL985" s="6" t="n">
        <v>1.046644664115954</v>
      </c>
      <c r="AN985" s="6" t="n">
        <v>1.348515953176861</v>
      </c>
      <c r="AO985" s="6" t="n">
        <v>1.348964219900127</v>
      </c>
      <c r="AP985" s="6" t="n">
        <v>0.1321183159227843</v>
      </c>
      <c r="AQ985" s="6" t="n">
        <v>0</v>
      </c>
      <c r="AR985" s="6" t="n">
        <v>0</v>
      </c>
    </row>
    <row r="986">
      <c r="D986" t="inlineStr">
        <is>
          <t>Run 674</t>
        </is>
      </c>
      <c r="J986" s="6" t="n">
        <v>1.324750804955516</v>
      </c>
      <c r="K986" s="6" t="n">
        <v>0.7109816839843857</v>
      </c>
      <c r="L986" s="6" t="n">
        <v>3.334033818227617</v>
      </c>
      <c r="M986" s="6" t="n">
        <v>-2.763808117890237</v>
      </c>
      <c r="N986" s="6" t="n">
        <v>-3.888008779781061</v>
      </c>
      <c r="O986" s="6" t="n">
        <v>0.0134145707434614</v>
      </c>
      <c r="P986" s="6" t="n">
        <v>0.6869071523382642</v>
      </c>
      <c r="Q986" s="6" t="n">
        <v>0.1944279381979843</v>
      </c>
      <c r="R986" s="6" t="n">
        <v>-0.5969605961357001</v>
      </c>
      <c r="S986" s="6" t="n">
        <v>-0.6972741860006975</v>
      </c>
      <c r="T986" s="6" t="n">
        <v>0.05571043945116066</v>
      </c>
      <c r="U986" s="6" t="n">
        <v>2.399888739532376</v>
      </c>
      <c r="V986" s="6" t="n">
        <v>-1.823448179694602</v>
      </c>
      <c r="W986" s="6" t="n">
        <v>0.05806522891689957</v>
      </c>
      <c r="X986" s="6" t="n">
        <v>-1.734623304662401</v>
      </c>
      <c r="Y986" s="6" t="n">
        <v>-0.8742585713529974</v>
      </c>
      <c r="Z986" s="6" t="n">
        <v>0.2792737788650453</v>
      </c>
      <c r="AA986" s="6" t="n">
        <v>-1.369211039170083</v>
      </c>
      <c r="AB986" s="6" t="n">
        <v>-2.972681728821539</v>
      </c>
      <c r="AC986" s="6" t="n">
        <v>-2.372675199973783</v>
      </c>
      <c r="AD986" s="6" t="n">
        <v>-1.540371224942193</v>
      </c>
      <c r="AE986" s="6" t="n">
        <v>-0.4373514092755908</v>
      </c>
      <c r="AF986" s="6" t="n">
        <v>1.067323031976443</v>
      </c>
      <c r="AG986" s="6" t="n">
        <v>-0.8616327608506249</v>
      </c>
      <c r="AH986" s="6" t="n">
        <v>-0.09318484587127807</v>
      </c>
      <c r="AI986" s="6" t="n">
        <v>0.1875178802708056</v>
      </c>
      <c r="AJ986" s="6" t="n">
        <v>71.42173431165324</v>
      </c>
      <c r="AK986" s="6" t="n">
        <v>0.1190544397246272</v>
      </c>
      <c r="AL986" s="6" t="n">
        <v>1.054820811118997</v>
      </c>
      <c r="AN986" s="6" t="n">
        <v>1.318956013534649</v>
      </c>
      <c r="AO986" s="6" t="n">
        <v>1.319689568201418</v>
      </c>
      <c r="AP986" s="6" t="n">
        <v>0.1315673714375631</v>
      </c>
      <c r="AQ986" s="6" t="n">
        <v>0</v>
      </c>
      <c r="AR986" s="6" t="n">
        <v>0</v>
      </c>
    </row>
    <row r="987">
      <c r="D987" t="inlineStr">
        <is>
          <t>Run 675</t>
        </is>
      </c>
      <c r="J987" s="6" t="n">
        <v>-1.672175245919154</v>
      </c>
      <c r="K987" s="6" t="n">
        <v>1.365679497451197</v>
      </c>
      <c r="L987" s="6" t="n">
        <v>0.7635269182811778</v>
      </c>
      <c r="M987" s="6" t="n">
        <v>0.708976974375478</v>
      </c>
      <c r="N987" s="6" t="n">
        <v>-0.610199310606115</v>
      </c>
      <c r="O987" s="6" t="n">
        <v>-1.103920179297706</v>
      </c>
      <c r="P987" s="6" t="n">
        <v>-0.2215450408836637</v>
      </c>
      <c r="Q987" s="6" t="n">
        <v>0.2179513045373689</v>
      </c>
      <c r="R987" s="6" t="n">
        <v>-1.669758280067309</v>
      </c>
      <c r="S987" s="6" t="n">
        <v>-3.150179144643723</v>
      </c>
      <c r="T987" s="6" t="n">
        <v>-0.282678509395971</v>
      </c>
      <c r="U987" s="6" t="n">
        <v>0.09411574030579216</v>
      </c>
      <c r="V987" s="6" t="n">
        <v>3.272291248565388</v>
      </c>
      <c r="W987" s="6" t="n">
        <v>-1.891445567490132</v>
      </c>
      <c r="X987" s="6" t="n">
        <v>-3.687111890866353</v>
      </c>
      <c r="Y987" s="6" t="n">
        <v>-5.611243211940659</v>
      </c>
      <c r="Z987" s="6" t="n">
        <v>-0.02912000869776773</v>
      </c>
      <c r="AA987" s="6" t="n">
        <v>-1.610654832972417</v>
      </c>
      <c r="AB987" s="6" t="n">
        <v>-1.114614997545744</v>
      </c>
      <c r="AC987" s="6" t="n">
        <v>-0.1040773120006414</v>
      </c>
      <c r="AD987" s="6" t="n">
        <v>2.190984913863367</v>
      </c>
      <c r="AE987" s="6" t="n">
        <v>0.9605063635909437</v>
      </c>
      <c r="AF987" s="6" t="n">
        <v>0.07558219397275222</v>
      </c>
      <c r="AG987" s="6" t="n">
        <v>-2.779704995028513</v>
      </c>
      <c r="AH987" s="6" t="n">
        <v>1.739361038050568</v>
      </c>
      <c r="AI987" s="6" t="n">
        <v>-3.599490270615897</v>
      </c>
      <c r="AJ987" s="6" t="n">
        <v>80.82750852129499</v>
      </c>
      <c r="AK987" s="6" t="n">
        <v>0.1347958718388091</v>
      </c>
      <c r="AL987" s="6" t="n">
        <v>1.095181316507261</v>
      </c>
      <c r="AN987" s="6" t="n">
        <v>1.33275628747515</v>
      </c>
      <c r="AO987" s="6" t="n">
        <v>1.333616453636163</v>
      </c>
      <c r="AP987" s="6" t="n">
        <v>0.129234717828706</v>
      </c>
      <c r="AQ987" s="6" t="n">
        <v>0</v>
      </c>
      <c r="AR987" s="6" t="n">
        <v>0</v>
      </c>
    </row>
    <row r="988">
      <c r="D988" t="inlineStr">
        <is>
          <t>Run 676</t>
        </is>
      </c>
      <c r="J988" s="6" t="n">
        <v>0.5595359393265199</v>
      </c>
      <c r="K988" s="6" t="n">
        <v>-0.743983866990066</v>
      </c>
      <c r="L988" s="6" t="n">
        <v>1.146463259169178</v>
      </c>
      <c r="M988" s="6" t="n">
        <v>2.65396978470593</v>
      </c>
      <c r="N988" s="6" t="n">
        <v>2.145643343559611</v>
      </c>
      <c r="O988" s="6" t="n">
        <v>-0.9534629906499156</v>
      </c>
      <c r="P988" s="6" t="n">
        <v>1.025444972617839</v>
      </c>
      <c r="Q988" s="6" t="n">
        <v>1.555258498120923</v>
      </c>
      <c r="R988" s="6" t="n">
        <v>0.2708342979945861</v>
      </c>
      <c r="S988" s="6" t="n">
        <v>2.861120804813335</v>
      </c>
      <c r="T988" s="6" t="n">
        <v>-3.68648376927153</v>
      </c>
      <c r="U988" s="6" t="n">
        <v>1.226098644726696</v>
      </c>
      <c r="V988" s="6" t="n">
        <v>0.7759378732747549</v>
      </c>
      <c r="W988" s="6" t="n">
        <v>2.13247855383105</v>
      </c>
      <c r="X988" s="6" t="n">
        <v>-0.2492946570448029</v>
      </c>
      <c r="Y988" s="6" t="n">
        <v>4.13785219121121</v>
      </c>
      <c r="Z988" s="6" t="n">
        <v>-1.087445452773374</v>
      </c>
      <c r="AA988" s="6" t="n">
        <v>-0.7269396035511064</v>
      </c>
      <c r="AB988" s="6" t="n">
        <v>0.770421668931101</v>
      </c>
      <c r="AC988" s="6" t="n">
        <v>2.160139004626824</v>
      </c>
      <c r="AD988" s="6" t="n">
        <v>0.6832657043602821</v>
      </c>
      <c r="AE988" s="6" t="n">
        <v>-1.423592079411878</v>
      </c>
      <c r="AF988" s="6" t="n">
        <v>-0.05367597425993437</v>
      </c>
      <c r="AG988" s="6" t="n">
        <v>-0.7312781789832968</v>
      </c>
      <c r="AH988" s="6" t="n">
        <v>-1.504021344343058</v>
      </c>
      <c r="AI988" s="6" t="n">
        <v>2.597274086167007</v>
      </c>
      <c r="AJ988" s="6" t="n">
        <v>74.70680739791675</v>
      </c>
      <c r="AK988" s="6" t="n">
        <v>0.09053974250184214</v>
      </c>
      <c r="AL988" s="6" t="n">
        <v>1.030918687161473</v>
      </c>
      <c r="AN988" s="6" t="n">
        <v>1.351770142513965</v>
      </c>
      <c r="AO988" s="6" t="n">
        <v>1.351770142513965</v>
      </c>
      <c r="AP988" s="6" t="n">
        <v>0.1353040220667209</v>
      </c>
      <c r="AQ988" s="6" t="n">
        <v>0</v>
      </c>
      <c r="AR988" s="6" t="n">
        <v>0</v>
      </c>
    </row>
    <row r="989">
      <c r="D989" t="inlineStr">
        <is>
          <t>Run 677</t>
        </is>
      </c>
      <c r="J989" s="6" t="n">
        <v>-0.8627337761613267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-2.923852190983467</v>
      </c>
      <c r="O989" s="6" t="n">
        <v>1.809964328669012</v>
      </c>
      <c r="P989" s="6" t="n">
        <v>-2.020541079690604</v>
      </c>
      <c r="Q989" s="6" t="n">
        <v>0.8585839881260655</v>
      </c>
      <c r="R989" s="6" t="n">
        <v>0.1834948539699989</v>
      </c>
      <c r="S989" s="6" t="n">
        <v>3.010277904706606</v>
      </c>
      <c r="T989" s="6" t="n">
        <v>4.007301194280995</v>
      </c>
      <c r="U989" s="6" t="n">
        <v>1.425001724570667</v>
      </c>
      <c r="V989" s="6" t="n">
        <v>1.46599900653103</v>
      </c>
      <c r="W989" s="6" t="n">
        <v>-2.760195696218316</v>
      </c>
      <c r="X989" s="6" t="n">
        <v>-3.464849638033049</v>
      </c>
      <c r="Y989" s="6" t="n">
        <v>0.6416711597047347</v>
      </c>
      <c r="Z989" s="6" t="n">
        <v>3.909562974519207</v>
      </c>
      <c r="AA989" s="6" t="n">
        <v>0.5292372424381968</v>
      </c>
      <c r="AB989" s="6" t="n">
        <v>0.7328982295290601</v>
      </c>
      <c r="AC989" s="6" t="n">
        <v>0.4251381617524976</v>
      </c>
      <c r="AD989" s="6" t="n">
        <v>-2.3045104273826</v>
      </c>
      <c r="AE989" s="6" t="n">
        <v>-0.1826875783875017</v>
      </c>
      <c r="AF989" s="6" t="n">
        <v>-2.085721605452815</v>
      </c>
      <c r="AG989" s="6" t="n">
        <v>0.159917688435881</v>
      </c>
      <c r="AH989" s="6" t="n">
        <v>0.9036252167477311</v>
      </c>
      <c r="AI989" s="6" t="n">
        <v>-0.06380152128926203</v>
      </c>
      <c r="AJ989" s="6" t="n">
        <v>67.3081907755729</v>
      </c>
      <c r="AK989" s="6" t="n">
        <v>0.1196395024918594</v>
      </c>
      <c r="AL989" s="6" t="n">
        <v>1.033489728378812</v>
      </c>
      <c r="AN989" s="6" t="n">
        <v>1.34667783752169</v>
      </c>
      <c r="AO989" s="6" t="n">
        <v>1.347864068309848</v>
      </c>
      <c r="AP989" s="6" t="n">
        <v>0.1337578104600648</v>
      </c>
      <c r="AQ989" s="6" t="n">
        <v>0</v>
      </c>
      <c r="AR989" s="6" t="n">
        <v>0</v>
      </c>
    </row>
    <row r="990">
      <c r="D990" t="inlineStr">
        <is>
          <t>Run 678</t>
        </is>
      </c>
      <c r="J990" s="6" t="n">
        <v>-0.4659553710710634</v>
      </c>
      <c r="K990" s="6" t="n">
        <v>-2.812184395600362</v>
      </c>
      <c r="L990" s="6" t="n">
        <v>0.8076946149680374</v>
      </c>
      <c r="M990" s="6" t="n">
        <v>1.796717386151096</v>
      </c>
      <c r="N990" s="6" t="n">
        <v>-0.1400034203274966</v>
      </c>
      <c r="O990" s="6" t="n">
        <v>5</v>
      </c>
      <c r="P990" s="6" t="n">
        <v>2.670071474740079</v>
      </c>
      <c r="Q990" s="6" t="n">
        <v>-0.4742106665843442</v>
      </c>
      <c r="R990" s="6" t="n">
        <v>0.6702254710332497</v>
      </c>
      <c r="S990" s="6" t="n">
        <v>-1.777678551323441</v>
      </c>
      <c r="T990" s="6" t="n">
        <v>1.345636678725647</v>
      </c>
      <c r="U990" s="6" t="n">
        <v>1.716696483921532</v>
      </c>
      <c r="V990" s="6" t="n">
        <v>1.283514278907216</v>
      </c>
      <c r="W990" s="6" t="n">
        <v>-0.4744157547637159</v>
      </c>
      <c r="X990" s="6" t="n">
        <v>0.9352624648353424</v>
      </c>
      <c r="Y990" s="6" t="n">
        <v>-0.7448500665734841</v>
      </c>
      <c r="Z990" s="6" t="n">
        <v>1.121046273461759</v>
      </c>
      <c r="AA990" s="6" t="n">
        <v>-3.108420819188437</v>
      </c>
      <c r="AB990" s="6" t="n">
        <v>0.8394989096091955</v>
      </c>
      <c r="AC990" s="6" t="n">
        <v>5</v>
      </c>
      <c r="AD990" s="6" t="n">
        <v>-0.5171495870413015</v>
      </c>
      <c r="AE990" s="6" t="n">
        <v>-1.269505141579101</v>
      </c>
      <c r="AF990" s="6" t="n">
        <v>1.775035021728142</v>
      </c>
      <c r="AG990" s="6" t="n">
        <v>1.092788370614053</v>
      </c>
      <c r="AH990" s="6" t="n">
        <v>-0.7622714263330498</v>
      </c>
      <c r="AI990" s="6" t="n">
        <v>-3.767885168142127</v>
      </c>
      <c r="AJ990" s="6" t="n">
        <v>68.59199987550936</v>
      </c>
      <c r="AK990" s="6" t="n">
        <v>0.1004986002659843</v>
      </c>
      <c r="AL990" s="6" t="n">
        <v>1.053930780842354</v>
      </c>
      <c r="AN990" s="6" t="n">
        <v>1.344474710597343</v>
      </c>
      <c r="AO990" s="6" t="n">
        <v>1.344756073300025</v>
      </c>
      <c r="AP990" s="6" t="n">
        <v>0.1322883954285354</v>
      </c>
      <c r="AQ990" s="6" t="n">
        <v>0</v>
      </c>
      <c r="AR990" s="6" t="n">
        <v>0</v>
      </c>
    </row>
    <row r="991">
      <c r="D991" t="inlineStr">
        <is>
          <t>Run 679</t>
        </is>
      </c>
      <c r="J991" s="6" t="n">
        <v>3.745496852988368</v>
      </c>
      <c r="K991" s="6" t="n">
        <v>-2.288209111013456</v>
      </c>
      <c r="L991" s="6" t="n">
        <v>-2.932495526472684</v>
      </c>
      <c r="M991" s="6" t="n">
        <v>-1.217630074738378</v>
      </c>
      <c r="N991" s="6" t="n">
        <v>-1.232264041855588</v>
      </c>
      <c r="O991" s="6" t="n">
        <v>1.24282431931489</v>
      </c>
      <c r="P991" s="6" t="n">
        <v>-0.2975411891855271</v>
      </c>
      <c r="Q991" s="6" t="n">
        <v>0.2715076941168983</v>
      </c>
      <c r="R991" s="6" t="n">
        <v>-2.846935504849183</v>
      </c>
      <c r="S991" s="6" t="n">
        <v>-1.027991928598985</v>
      </c>
      <c r="T991" s="6" t="n">
        <v>-2.096945001411213</v>
      </c>
      <c r="U991" s="6" t="n">
        <v>-2.300017859432014</v>
      </c>
      <c r="V991" s="6" t="n">
        <v>-1.720207426883336</v>
      </c>
      <c r="W991" s="6" t="n">
        <v>2.104499071911518</v>
      </c>
      <c r="X991" s="6" t="n">
        <v>-0.138228137346831</v>
      </c>
      <c r="Y991" s="6" t="n">
        <v>-0.3833966317276887</v>
      </c>
      <c r="Z991" s="6" t="n">
        <v>0.3438346543719411</v>
      </c>
      <c r="AA991" s="6" t="n">
        <v>1.698905371523719</v>
      </c>
      <c r="AB991" s="6" t="n">
        <v>-1.91807762762782</v>
      </c>
      <c r="AC991" s="6" t="n">
        <v>1.96142859100582</v>
      </c>
      <c r="AD991" s="6" t="n">
        <v>2.303484128696725</v>
      </c>
      <c r="AE991" s="6" t="n">
        <v>0.5394713488270724</v>
      </c>
      <c r="AF991" s="6" t="n">
        <v>3.83726588728511</v>
      </c>
      <c r="AG991" s="6" t="n">
        <v>-1.145507888578718</v>
      </c>
      <c r="AH991" s="6" t="n">
        <v>2.366306937164091</v>
      </c>
      <c r="AI991" s="6" t="n">
        <v>-1.197640760397836</v>
      </c>
      <c r="AJ991" s="6" t="n">
        <v>75.70903517947173</v>
      </c>
      <c r="AK991" s="6" t="n">
        <v>0.09863704900223204</v>
      </c>
      <c r="AL991" s="6" t="n">
        <v>1.015316931960411</v>
      </c>
      <c r="AN991" s="6" t="n">
        <v>1.356801732021768</v>
      </c>
      <c r="AO991" s="6" t="n">
        <v>1.357511159089025</v>
      </c>
      <c r="AP991" s="6" t="n">
        <v>0.137290384135809</v>
      </c>
      <c r="AQ991" s="6" t="n">
        <v>0</v>
      </c>
      <c r="AR991" s="6" t="n">
        <v>0</v>
      </c>
    </row>
    <row r="992">
      <c r="D992" t="inlineStr">
        <is>
          <t>Run 680</t>
        </is>
      </c>
      <c r="J992" s="6" t="n">
        <v>-0.6348930513492665</v>
      </c>
      <c r="K992" s="6" t="n">
        <v>-2.640824859891881</v>
      </c>
      <c r="L992" s="6" t="n">
        <v>3.057262325765738</v>
      </c>
      <c r="M992" s="6" t="n">
        <v>-1.79347242568093</v>
      </c>
      <c r="N992" s="6" t="n">
        <v>-2.032566134163097</v>
      </c>
      <c r="O992" s="6" t="n">
        <v>-2.129198813100328</v>
      </c>
      <c r="P992" s="6" t="n">
        <v>2.285050070030859</v>
      </c>
      <c r="Q992" s="6" t="n">
        <v>-0.8325593201279055</v>
      </c>
      <c r="R992" s="6" t="n">
        <v>-4.226425226618545</v>
      </c>
      <c r="S992" s="6" t="n">
        <v>-0.8187813562567391</v>
      </c>
      <c r="T992" s="6" t="n">
        <v>-2.188579824741696</v>
      </c>
      <c r="U992" s="6" t="n">
        <v>-3.633143486060011</v>
      </c>
      <c r="V992" s="6" t="n">
        <v>3.898008668375404</v>
      </c>
      <c r="W992" s="6" t="n">
        <v>-4.628030970780111</v>
      </c>
      <c r="X992" s="6" t="n">
        <v>-1.532859931378318</v>
      </c>
      <c r="Y992" s="6" t="n">
        <v>-1.34573306206952</v>
      </c>
      <c r="Z992" s="6" t="n">
        <v>0.5578187819032687</v>
      </c>
      <c r="AA992" s="6" t="n">
        <v>2.687259228080506</v>
      </c>
      <c r="AB992" s="6" t="n">
        <v>-3.736793760921522</v>
      </c>
      <c r="AC992" s="6" t="n">
        <v>2.053192871152858</v>
      </c>
      <c r="AD992" s="6" t="n">
        <v>0.7976155990597289</v>
      </c>
      <c r="AE992" s="6" t="n">
        <v>-3.867127969602348</v>
      </c>
      <c r="AF992" s="6" t="n">
        <v>2.025786911328978</v>
      </c>
      <c r="AG992" s="6" t="n">
        <v>4.183071864183468</v>
      </c>
      <c r="AH992" s="6" t="n">
        <v>-2.72582279241641</v>
      </c>
      <c r="AI992" s="6" t="n">
        <v>-2.42455585784162</v>
      </c>
      <c r="AJ992" s="6" t="n">
        <v>65.78576975915084</v>
      </c>
      <c r="AK992" s="6" t="n">
        <v>0.1143579540325615</v>
      </c>
      <c r="AL992" s="6" t="n">
        <v>1.042539513789769</v>
      </c>
      <c r="AN992" s="6" t="n">
        <v>1.334471274141855</v>
      </c>
      <c r="AO992" s="6" t="n">
        <v>1.339014491737107</v>
      </c>
      <c r="AP992" s="6" t="n">
        <v>0.1324498631609514</v>
      </c>
      <c r="AQ992" s="6" t="n">
        <v>0</v>
      </c>
      <c r="AR992" s="6" t="n">
        <v>0</v>
      </c>
    </row>
    <row r="993">
      <c r="D993" t="inlineStr">
        <is>
          <t>Run 681</t>
        </is>
      </c>
      <c r="J993" s="6" t="n">
        <v>-3.496773043499556</v>
      </c>
      <c r="K993" s="6" t="n">
        <v>1.420556223891324</v>
      </c>
      <c r="L993" s="6" t="n">
        <v>2.183145403710129</v>
      </c>
      <c r="M993" s="6" t="n">
        <v>-4.244843979978075</v>
      </c>
      <c r="N993" s="6" t="n">
        <v>-0.7830971926686211</v>
      </c>
      <c r="O993" s="6" t="n">
        <v>0.2437343622739988</v>
      </c>
      <c r="P993" s="6" t="n">
        <v>0.7176790040575071</v>
      </c>
      <c r="Q993" s="6" t="n">
        <v>-3.132738081394996</v>
      </c>
      <c r="R993" s="6" t="n">
        <v>2.377618270045763</v>
      </c>
      <c r="S993" s="6" t="n">
        <v>0.002294456254869564</v>
      </c>
      <c r="T993" s="6" t="n">
        <v>2.159154043832688</v>
      </c>
      <c r="U993" s="6" t="n">
        <v>0.2968726990650859</v>
      </c>
      <c r="V993" s="6" t="n">
        <v>-4.265477981995061</v>
      </c>
      <c r="W993" s="6" t="n">
        <v>2.226970383884971</v>
      </c>
      <c r="X993" s="6" t="n">
        <v>0.5784449991754761</v>
      </c>
      <c r="Y993" s="6" t="n">
        <v>2.432990576422619</v>
      </c>
      <c r="Z993" s="6" t="n">
        <v>-1.091276106999784</v>
      </c>
      <c r="AA993" s="6" t="n">
        <v>-1.785996988207633</v>
      </c>
      <c r="AB993" s="6" t="n">
        <v>-0.8805831235938318</v>
      </c>
      <c r="AC993" s="6" t="n">
        <v>2.960892100398501</v>
      </c>
      <c r="AD993" s="6" t="n">
        <v>3.396750922333797</v>
      </c>
      <c r="AE993" s="6" t="n">
        <v>-0.01933440343345146</v>
      </c>
      <c r="AF993" s="6" t="n">
        <v>-1.652678538502676</v>
      </c>
      <c r="AG993" s="6" t="n">
        <v>-0.9507927303816884</v>
      </c>
      <c r="AH993" s="6" t="n">
        <v>-2.755399633905185</v>
      </c>
      <c r="AI993" s="6" t="n">
        <v>1.763540942739575</v>
      </c>
      <c r="AJ993" s="6" t="n">
        <v>73.08202103998445</v>
      </c>
      <c r="AK993" s="6" t="n">
        <v>0.06658325936208714</v>
      </c>
      <c r="AL993" s="6" t="n">
        <v>1.088921307497766</v>
      </c>
      <c r="AN993" s="6" t="n">
        <v>1.292919905088618</v>
      </c>
      <c r="AO993" s="6" t="n">
        <v>1.300950166465578</v>
      </c>
      <c r="AP993" s="6" t="n">
        <v>0.13030371099137</v>
      </c>
      <c r="AQ993" s="6" t="n">
        <v>0</v>
      </c>
      <c r="AR993" s="6" t="n">
        <v>0</v>
      </c>
    </row>
    <row r="994">
      <c r="D994" t="inlineStr">
        <is>
          <t>Run 682</t>
        </is>
      </c>
      <c r="J994" s="6" t="n">
        <v>2.119852318195783</v>
      </c>
      <c r="K994" s="6" t="n">
        <v>1.787502778746579</v>
      </c>
      <c r="L994" s="6" t="n">
        <v>-5.260447700846998</v>
      </c>
      <c r="M994" s="6" t="n">
        <v>3.023305499727412</v>
      </c>
      <c r="N994" s="6" t="n">
        <v>0.4777101824701593</v>
      </c>
      <c r="O994" s="6" t="n">
        <v>-0.5471808719310381</v>
      </c>
      <c r="P994" s="6" t="n">
        <v>-0.1885524408533625</v>
      </c>
      <c r="Q994" s="6" t="n">
        <v>-0.1519539916030939</v>
      </c>
      <c r="R994" s="6" t="n">
        <v>-0.6668770136563584</v>
      </c>
      <c r="S994" s="6" t="n">
        <v>-0.5281306871417465</v>
      </c>
      <c r="T994" s="6" t="n">
        <v>1.091814250428911</v>
      </c>
      <c r="U994" s="6" t="n">
        <v>-1.350383146507121</v>
      </c>
      <c r="V994" s="6" t="n">
        <v>-0.4699981723547353</v>
      </c>
      <c r="W994" s="6" t="n">
        <v>-2.958392398539305</v>
      </c>
      <c r="X994" s="6" t="n">
        <v>0.5549972833794193</v>
      </c>
      <c r="Y994" s="6" t="n">
        <v>-0.2857099141149059</v>
      </c>
      <c r="Z994" s="6" t="n">
        <v>0.1137407523555817</v>
      </c>
      <c r="AA994" s="6" t="n">
        <v>-1.66241297762066</v>
      </c>
      <c r="AB994" s="6" t="n">
        <v>-0.4789501457765588</v>
      </c>
      <c r="AC994" s="6" t="n">
        <v>-2.939109582159969</v>
      </c>
      <c r="AD994" s="6" t="n">
        <v>0.2066258380782106</v>
      </c>
      <c r="AE994" s="6" t="n">
        <v>0.1366878555958981</v>
      </c>
      <c r="AF994" s="6" t="n">
        <v>5</v>
      </c>
      <c r="AG994" s="6" t="n">
        <v>-0.5650952970940302</v>
      </c>
      <c r="AH994" s="6" t="n">
        <v>1.172062457642157</v>
      </c>
      <c r="AI994" s="6" t="n">
        <v>-1.366642499053847</v>
      </c>
      <c r="AJ994" s="6" t="n">
        <v>73.49870505554395</v>
      </c>
      <c r="AK994" s="6" t="n">
        <v>0.1296978165783059</v>
      </c>
      <c r="AL994" s="6" t="n">
        <v>1.119719993606826</v>
      </c>
      <c r="AN994" s="6" t="n">
        <v>1.32061033641434</v>
      </c>
      <c r="AO994" s="6" t="n">
        <v>1.324525446209966</v>
      </c>
      <c r="AP994" s="6" t="n">
        <v>0.1279911262030443</v>
      </c>
      <c r="AQ994" s="6" t="n">
        <v>0</v>
      </c>
      <c r="AR994" s="6" t="n">
        <v>0</v>
      </c>
    </row>
    <row r="995">
      <c r="D995" t="inlineStr">
        <is>
          <t>Run 683</t>
        </is>
      </c>
      <c r="J995" s="6" t="n">
        <v>0.612193368674536</v>
      </c>
      <c r="K995" s="6" t="n">
        <v>-2.294866675254698</v>
      </c>
      <c r="L995" s="6" t="n">
        <v>0.88313838283918</v>
      </c>
      <c r="M995" s="6" t="n">
        <v>-1.231091446413132</v>
      </c>
      <c r="N995" s="6" t="n">
        <v>4.612835925786899</v>
      </c>
      <c r="O995" s="6" t="n">
        <v>-2.024397849957151</v>
      </c>
      <c r="P995" s="6" t="n">
        <v>-1.491858950589898</v>
      </c>
      <c r="Q995" s="6" t="n">
        <v>-2.375655971748776</v>
      </c>
      <c r="R995" s="6" t="n">
        <v>0.6799531376113009</v>
      </c>
      <c r="S995" s="6" t="n">
        <v>0.9579669730447614</v>
      </c>
      <c r="T995" s="6" t="n">
        <v>-0.664970248262725</v>
      </c>
      <c r="U995" s="6" t="n">
        <v>1.738520659195957</v>
      </c>
      <c r="V995" s="6" t="n">
        <v>1.818188165931437</v>
      </c>
      <c r="W995" s="6" t="n">
        <v>-1.356751606119964</v>
      </c>
      <c r="X995" s="6" t="n">
        <v>-0.4799164397858711</v>
      </c>
      <c r="Y995" s="6" t="n">
        <v>-0.8417374811326078</v>
      </c>
      <c r="Z995" s="6" t="n">
        <v>-1.105273456268625</v>
      </c>
      <c r="AA995" s="6" t="n">
        <v>-2.71011642162135</v>
      </c>
      <c r="AB995" s="6" t="n">
        <v>3.56329589897655</v>
      </c>
      <c r="AC995" s="6" t="n">
        <v>1.112417568244705</v>
      </c>
      <c r="AD995" s="6" t="n">
        <v>2.135475563511596</v>
      </c>
      <c r="AE995" s="6" t="n">
        <v>0.2055540945095171</v>
      </c>
      <c r="AF995" s="6" t="n">
        <v>-2.798458324603892</v>
      </c>
      <c r="AG995" s="6" t="n">
        <v>-0.8421584809621483</v>
      </c>
      <c r="AH995" s="6" t="n">
        <v>-1.62912317274754</v>
      </c>
      <c r="AI995" s="6" t="n">
        <v>1.928294294117419</v>
      </c>
      <c r="AJ995" s="6" t="n">
        <v>79.80222865301849</v>
      </c>
      <c r="AK995" s="6" t="n">
        <v>0.0925325298893567</v>
      </c>
      <c r="AL995" s="6" t="n">
        <v>1.057416534244189</v>
      </c>
      <c r="AN995" s="6" t="n">
        <v>1.344742273895112</v>
      </c>
      <c r="AO995" s="6" t="n">
        <v>1.346343146753416</v>
      </c>
      <c r="AP995" s="6" t="n">
        <v>0.1328486933740791</v>
      </c>
      <c r="AQ995" s="6" t="n">
        <v>0</v>
      </c>
      <c r="AR995" s="6" t="n">
        <v>0</v>
      </c>
    </row>
    <row r="996">
      <c r="D996" t="inlineStr">
        <is>
          <t>Run 684</t>
        </is>
      </c>
      <c r="J996" s="6" t="n">
        <v>1.637186237179021</v>
      </c>
      <c r="K996" s="6" t="n">
        <v>-2.409402781146248</v>
      </c>
      <c r="L996" s="6" t="n">
        <v>5</v>
      </c>
      <c r="M996" s="6" t="n">
        <v>-2.445850201226958</v>
      </c>
      <c r="N996" s="6" t="n">
        <v>0.1147836856527733</v>
      </c>
      <c r="O996" s="6" t="n">
        <v>0.1672679468519865</v>
      </c>
      <c r="P996" s="6" t="n">
        <v>-2.66034832001788</v>
      </c>
      <c r="Q996" s="6" t="n">
        <v>-0.9338953431380974</v>
      </c>
      <c r="R996" s="6" t="n">
        <v>-3.294199192509522</v>
      </c>
      <c r="S996" s="6" t="n">
        <v>-1.717712446010296</v>
      </c>
      <c r="T996" s="6" t="n">
        <v>-1.138779059397069</v>
      </c>
      <c r="U996" s="6" t="n">
        <v>-5.937102816694711</v>
      </c>
      <c r="V996" s="6" t="n">
        <v>0.860420715374605</v>
      </c>
      <c r="W996" s="6" t="n">
        <v>1.452709830537451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1.961193322788058</v>
      </c>
      <c r="AB996" s="6" t="n">
        <v>-3.833686393812084</v>
      </c>
      <c r="AC996" s="6" t="n">
        <v>0.4920414438340649</v>
      </c>
      <c r="AD996" s="6" t="n">
        <v>1.636153050942805</v>
      </c>
      <c r="AE996" s="6" t="n">
        <v>0.613448983031732</v>
      </c>
      <c r="AF996" s="6" t="n">
        <v>2.123728376183782</v>
      </c>
      <c r="AG996" s="6" t="n">
        <v>-1.345729713479828</v>
      </c>
      <c r="AH996" s="6" t="n">
        <v>2.778480564832644</v>
      </c>
      <c r="AI996" s="6" t="n">
        <v>-1.720642798955554</v>
      </c>
      <c r="AJ996" s="6" t="n">
        <v>67.95553071462427</v>
      </c>
      <c r="AK996" s="6" t="n">
        <v>0.1284876920719689</v>
      </c>
      <c r="AL996" s="6" t="n">
        <v>1.131428710949097</v>
      </c>
      <c r="AN996" s="6" t="n">
        <v>1.305201577452882</v>
      </c>
      <c r="AO996" s="6" t="n">
        <v>1.312995538160576</v>
      </c>
      <c r="AP996" s="6" t="n">
        <v>0.1272401212878937</v>
      </c>
      <c r="AQ996" s="6" t="n">
        <v>0</v>
      </c>
      <c r="AR996" s="6" t="n">
        <v>0</v>
      </c>
    </row>
    <row r="997">
      <c r="D997" t="inlineStr">
        <is>
          <t>Run 685</t>
        </is>
      </c>
      <c r="J997" s="6" t="n">
        <v>2.121688827562568</v>
      </c>
      <c r="K997" s="6" t="n">
        <v>-0.5312074959334325</v>
      </c>
      <c r="L997" s="6" t="n">
        <v>1.370787567079069</v>
      </c>
      <c r="M997" s="6" t="n">
        <v>1.789184956133729</v>
      </c>
      <c r="N997" s="6" t="n">
        <v>1.631867420946967</v>
      </c>
      <c r="O997" s="6" t="n">
        <v>-2.333232720727068</v>
      </c>
      <c r="P997" s="6" t="n">
        <v>-2.787855412576761</v>
      </c>
      <c r="Q997" s="6" t="n">
        <v>0.8827061782024616</v>
      </c>
      <c r="R997" s="6" t="n">
        <v>1.076041758537347</v>
      </c>
      <c r="S997" s="6" t="n">
        <v>-2.898989497961027</v>
      </c>
      <c r="T997" s="6" t="n">
        <v>-1.307325037427712</v>
      </c>
      <c r="U997" s="6" t="n">
        <v>0.05099873109700321</v>
      </c>
      <c r="V997" s="6" t="n">
        <v>1.494352496028655</v>
      </c>
      <c r="W997" s="6" t="n">
        <v>-0.2024562193580854</v>
      </c>
      <c r="X997" s="6" t="n">
        <v>4.062240954179851</v>
      </c>
      <c r="Y997" s="6" t="n">
        <v>2.44249207882291</v>
      </c>
      <c r="Z997" s="6" t="n">
        <v>-1.557030205019571</v>
      </c>
      <c r="AA997" s="6" t="n">
        <v>1.496840975142805</v>
      </c>
      <c r="AB997" s="6" t="n">
        <v>-4.049622345372564</v>
      </c>
      <c r="AC997" s="6" t="n">
        <v>-2.450071158533916</v>
      </c>
      <c r="AD997" s="6" t="n">
        <v>0.04543798715130878</v>
      </c>
      <c r="AE997" s="6" t="n">
        <v>-0.2530610324556883</v>
      </c>
      <c r="AF997" s="6" t="n">
        <v>-0.4991278670259771</v>
      </c>
      <c r="AG997" s="6" t="n">
        <v>-0.9741109383618221</v>
      </c>
      <c r="AH997" s="6" t="n">
        <v>-4.139875587905981</v>
      </c>
      <c r="AI997" s="6" t="n">
        <v>1.321154373679512</v>
      </c>
      <c r="AJ997" s="6" t="n">
        <v>78.4757060881126</v>
      </c>
      <c r="AK997" s="6" t="n">
        <v>0.05879172812960787</v>
      </c>
      <c r="AL997" s="6" t="n">
        <v>1.075894528331469</v>
      </c>
      <c r="AN997" s="6" t="n">
        <v>1.345575262569475</v>
      </c>
      <c r="AO997" s="6" t="n">
        <v>1.345645961347488</v>
      </c>
      <c r="AP997" s="6" t="n">
        <v>0.1325367694978291</v>
      </c>
      <c r="AQ997" s="6" t="n">
        <v>0</v>
      </c>
      <c r="AR997" s="6" t="n">
        <v>0</v>
      </c>
    </row>
    <row r="998">
      <c r="D998" t="inlineStr">
        <is>
          <t>Run 686</t>
        </is>
      </c>
      <c r="J998" s="6" t="n">
        <v>-0.1718591987333915</v>
      </c>
      <c r="K998" s="6" t="n">
        <v>2.024416052586662</v>
      </c>
      <c r="L998" s="6" t="n">
        <v>2.586244050806102</v>
      </c>
      <c r="M998" s="6" t="n">
        <v>-0.5606995123094428</v>
      </c>
      <c r="N998" s="6" t="n">
        <v>1.382501618866072</v>
      </c>
      <c r="O998" s="6" t="n">
        <v>-0.8515758753090075</v>
      </c>
      <c r="P998" s="6" t="n">
        <v>-1.34776518212162</v>
      </c>
      <c r="Q998" s="6" t="n">
        <v>-0.7584467174494929</v>
      </c>
      <c r="R998" s="6" t="n">
        <v>-0.9876482927626928</v>
      </c>
      <c r="S998" s="6" t="n">
        <v>-0.02469733244513924</v>
      </c>
      <c r="T998" s="6" t="n">
        <v>2.815417908367851</v>
      </c>
      <c r="U998" s="6" t="n">
        <v>1.732980856560386</v>
      </c>
      <c r="V998" s="6" t="n">
        <v>0.514870638455577</v>
      </c>
      <c r="W998" s="6" t="n">
        <v>2.141035943619215</v>
      </c>
      <c r="X998" s="6" t="n">
        <v>0.7185532407547496</v>
      </c>
      <c r="Y998" s="6" t="n">
        <v>1.259950263952976</v>
      </c>
      <c r="Z998" s="6" t="n">
        <v>1.682149057816123</v>
      </c>
      <c r="AA998" s="6" t="n">
        <v>2.995921383906039</v>
      </c>
      <c r="AB998" s="6" t="n">
        <v>-2.53654754198718</v>
      </c>
      <c r="AC998" s="6" t="n">
        <v>-1.304038065749881</v>
      </c>
      <c r="AD998" s="6" t="n">
        <v>-0.1580766246429576</v>
      </c>
      <c r="AE998" s="6" t="n">
        <v>0.3319300266923145</v>
      </c>
      <c r="AF998" s="6" t="n">
        <v>0.9699881433647385</v>
      </c>
      <c r="AG998" s="6" t="n">
        <v>-4.267779366786287</v>
      </c>
      <c r="AH998" s="6" t="n">
        <v>0.5003699973634794</v>
      </c>
      <c r="AI998" s="6" t="n">
        <v>-5.602601313835636</v>
      </c>
      <c r="AJ998" s="6" t="n">
        <v>66.66159867939398</v>
      </c>
      <c r="AK998" s="6" t="n">
        <v>0.127863178022203</v>
      </c>
      <c r="AL998" s="6" t="n">
        <v>1.013447003082373</v>
      </c>
      <c r="AN998" s="6" t="n">
        <v>1.350208135202553</v>
      </c>
      <c r="AO998" s="6" t="n">
        <v>1.350691422415139</v>
      </c>
      <c r="AP998" s="6" t="n">
        <v>0.1356312318854778</v>
      </c>
      <c r="AQ998" s="6" t="n">
        <v>0</v>
      </c>
      <c r="AR998" s="6" t="n">
        <v>0</v>
      </c>
    </row>
    <row r="999">
      <c r="D999" t="inlineStr">
        <is>
          <t>Run 687</t>
        </is>
      </c>
      <c r="J999" s="6" t="n">
        <v>0.4314517983192881</v>
      </c>
      <c r="K999" s="6" t="n">
        <v>1.796864134272873</v>
      </c>
      <c r="L999" s="6" t="n">
        <v>-2.375605843097876</v>
      </c>
      <c r="M999" s="6" t="n">
        <v>0.1382144968872352</v>
      </c>
      <c r="N999" s="6" t="n">
        <v>-0.2186489181750405</v>
      </c>
      <c r="O999" s="6" t="n">
        <v>-0.7099449730437203</v>
      </c>
      <c r="P999" s="6" t="n">
        <v>1.535380228572457</v>
      </c>
      <c r="Q999" s="6" t="n">
        <v>-2.548473528143106</v>
      </c>
      <c r="R999" s="6" t="n">
        <v>1.371823084358002</v>
      </c>
      <c r="S999" s="6" t="n">
        <v>-2.228191814712099</v>
      </c>
      <c r="T999" s="6" t="n">
        <v>-0.5589959551092522</v>
      </c>
      <c r="U999" s="6" t="n">
        <v>1.607110826993386</v>
      </c>
      <c r="V999" s="6" t="n">
        <v>0.9894520943835403</v>
      </c>
      <c r="W999" s="6" t="n">
        <v>-3.879828447832526</v>
      </c>
      <c r="X999" s="6" t="n">
        <v>-1.491794997661063</v>
      </c>
      <c r="Y999" s="6" t="n">
        <v>1.531855213702084</v>
      </c>
      <c r="Z999" s="6" t="n">
        <v>2.717631119646426</v>
      </c>
      <c r="AA999" s="6" t="n">
        <v>0.320735144072848</v>
      </c>
      <c r="AB999" s="6" t="n">
        <v>-0.9366595125148466</v>
      </c>
      <c r="AC999" s="6" t="n">
        <v>2.622725796797687</v>
      </c>
      <c r="AD999" s="6" t="n">
        <v>2.185489681023725</v>
      </c>
      <c r="AE999" s="6" t="n">
        <v>0.6673151892532847</v>
      </c>
      <c r="AF999" s="6" t="n">
        <v>-1.178604596308016</v>
      </c>
      <c r="AG999" s="6" t="n">
        <v>-1.68326441357061</v>
      </c>
      <c r="AH999" s="6" t="n">
        <v>-3.437347596925858</v>
      </c>
      <c r="AI999" s="6" t="n">
        <v>3.832768902430082</v>
      </c>
      <c r="AJ999" s="6" t="n">
        <v>80.13414033351728</v>
      </c>
      <c r="AK999" s="6" t="n">
        <v>0.1280241110512071</v>
      </c>
      <c r="AL999" s="6" t="n">
        <v>1.05815061215135</v>
      </c>
      <c r="AN999" s="6" t="n">
        <v>1.347368409014547</v>
      </c>
      <c r="AO999" s="6" t="n">
        <v>1.348105452644049</v>
      </c>
      <c r="AP999" s="6" t="n">
        <v>0.1318698396657488</v>
      </c>
      <c r="AQ999" s="6" t="n">
        <v>0</v>
      </c>
      <c r="AR999" s="6" t="n">
        <v>0</v>
      </c>
    </row>
    <row r="1000">
      <c r="D1000" t="inlineStr">
        <is>
          <t>Run 688</t>
        </is>
      </c>
      <c r="J1000" s="6" t="n">
        <v>3.115768384163341</v>
      </c>
      <c r="K1000" s="6" t="n">
        <v>1.574905614919916</v>
      </c>
      <c r="L1000" s="6" t="n">
        <v>0.5634109406670323</v>
      </c>
      <c r="M1000" s="6" t="n">
        <v>1.445313034252524</v>
      </c>
      <c r="N1000" s="6" t="n">
        <v>0.9693219758990993</v>
      </c>
      <c r="O1000" s="6" t="n">
        <v>0.4342260064647377</v>
      </c>
      <c r="P1000" s="6" t="n">
        <v>-1.808808413000401</v>
      </c>
      <c r="Q1000" s="6" t="n">
        <v>3.624497512706617</v>
      </c>
      <c r="R1000" s="6" t="n">
        <v>-0.06612892631166238</v>
      </c>
      <c r="S1000" s="6" t="n">
        <v>0.2689799114883855</v>
      </c>
      <c r="T1000" s="6" t="n">
        <v>-2.29163925119151</v>
      </c>
      <c r="U1000" s="6" t="n">
        <v>-0.5571133007298643</v>
      </c>
      <c r="V1000" s="6" t="n">
        <v>0.7677524638942419</v>
      </c>
      <c r="W1000" s="6" t="n">
        <v>1.565847499598475</v>
      </c>
      <c r="X1000" s="6" t="n">
        <v>-0.6488626011364651</v>
      </c>
      <c r="Y1000" s="6" t="n">
        <v>-0.4661083086764004</v>
      </c>
      <c r="Z1000" s="6" t="n">
        <v>0.6848421727583872</v>
      </c>
      <c r="AA1000" s="6" t="n">
        <v>-0.5858174383477777</v>
      </c>
      <c r="AB1000" s="6" t="n">
        <v>-3.778947723384954</v>
      </c>
      <c r="AC1000" s="6" t="n">
        <v>1.732694706415975</v>
      </c>
      <c r="AD1000" s="6" t="n">
        <v>-3.688761421267747</v>
      </c>
      <c r="AE1000" s="6" t="n">
        <v>0.1722038835865307</v>
      </c>
      <c r="AF1000" s="6" t="n">
        <v>0.9216498375893111</v>
      </c>
      <c r="AG1000" s="6" t="n">
        <v>-3.10161595164464</v>
      </c>
      <c r="AH1000" s="6" t="n">
        <v>1.000717445673567</v>
      </c>
      <c r="AI1000" s="6" t="n">
        <v>-2.212926414335663</v>
      </c>
      <c r="AJ1000" s="6" t="n">
        <v>73.86423121396109</v>
      </c>
      <c r="AK1000" s="6" t="n">
        <v>0.1293041081760864</v>
      </c>
      <c r="AL1000" s="6" t="n">
        <v>1.045826846228747</v>
      </c>
      <c r="AN1000" s="6" t="n">
        <v>1.348131418733774</v>
      </c>
      <c r="AO1000" s="6" t="n">
        <v>1.348158034418466</v>
      </c>
      <c r="AP1000" s="6" t="n">
        <v>0.132747669632833</v>
      </c>
      <c r="AQ1000" s="6" t="n">
        <v>0</v>
      </c>
      <c r="AR1000" s="6" t="n">
        <v>0</v>
      </c>
    </row>
    <row r="1001">
      <c r="D1001" t="inlineStr">
        <is>
          <t>Run 689</t>
        </is>
      </c>
      <c r="J1001" s="6" t="n">
        <v>1.668130299753289</v>
      </c>
      <c r="K1001" s="6" t="n">
        <v>3.731460148503801</v>
      </c>
      <c r="L1001" s="6" t="n">
        <v>3.060376947513135</v>
      </c>
      <c r="M1001" s="6" t="n">
        <v>-0.5980381925784181</v>
      </c>
      <c r="N1001" s="6" t="n">
        <v>1.057318639841763</v>
      </c>
      <c r="O1001" s="6" t="n">
        <v>2.137435211108473</v>
      </c>
      <c r="P1001" s="6" t="n">
        <v>1.493293901903789</v>
      </c>
      <c r="Q1001" s="6" t="n">
        <v>2.990798903327904</v>
      </c>
      <c r="R1001" s="6" t="n">
        <v>1.099426283862294</v>
      </c>
      <c r="S1001" s="6" t="n">
        <v>-0.3208398711912269</v>
      </c>
      <c r="T1001" s="6" t="n">
        <v>-1.076132776836866</v>
      </c>
      <c r="U1001" s="6" t="n">
        <v>-1.563975676522373</v>
      </c>
      <c r="V1001" s="6" t="n">
        <v>0.1665459998981759</v>
      </c>
      <c r="W1001" s="6" t="n">
        <v>3.613556128233073</v>
      </c>
      <c r="X1001" s="6" t="n">
        <v>-0.1320443416917837</v>
      </c>
      <c r="Y1001" s="6" t="n">
        <v>-0.3149149616625534</v>
      </c>
      <c r="Z1001" s="6" t="n">
        <v>3.585822247177559</v>
      </c>
      <c r="AA1001" s="6" t="n">
        <v>-1.394772566486447</v>
      </c>
      <c r="AB1001" s="6" t="n">
        <v>-3.50601370372825</v>
      </c>
      <c r="AC1001" s="6" t="n">
        <v>1.602432485740344</v>
      </c>
      <c r="AD1001" s="6" t="n">
        <v>-1.873698338886157</v>
      </c>
      <c r="AE1001" s="6" t="n">
        <v>-3.315590246395854</v>
      </c>
      <c r="AF1001" s="6" t="n">
        <v>-0.186954304573965</v>
      </c>
      <c r="AG1001" s="6" t="n">
        <v>0.9822778035856309</v>
      </c>
      <c r="AH1001" s="6" t="n">
        <v>1.400450096329363</v>
      </c>
      <c r="AI1001" s="6" t="n">
        <v>-1.30507564710721</v>
      </c>
      <c r="AJ1001" s="6" t="n">
        <v>78.23753550272667</v>
      </c>
      <c r="AK1001" s="6" t="n">
        <v>0.1075366597015827</v>
      </c>
      <c r="AL1001" s="6" t="n">
        <v>1.008754889870606</v>
      </c>
      <c r="AN1001" s="6" t="n">
        <v>1.357427679634999</v>
      </c>
      <c r="AO1001" s="6" t="n">
        <v>1.357427679634999</v>
      </c>
      <c r="AP1001" s="6" t="n">
        <v>0.1383826488277033</v>
      </c>
      <c r="AQ1001" s="6" t="n">
        <v>0</v>
      </c>
      <c r="AR1001" s="6" t="n">
        <v>0</v>
      </c>
    </row>
    <row r="1002">
      <c r="D1002" t="inlineStr">
        <is>
          <t>Run 690</t>
        </is>
      </c>
      <c r="J1002" s="6" t="n">
        <v>0.6875008980440355</v>
      </c>
      <c r="K1002" s="6" t="n">
        <v>-0.6014409724269126</v>
      </c>
      <c r="L1002" s="6" t="n">
        <v>2.157784156998294</v>
      </c>
      <c r="M1002" s="6" t="n">
        <v>0.2143091304752219</v>
      </c>
      <c r="N1002" s="6" t="n">
        <v>1.397755575462629</v>
      </c>
      <c r="O1002" s="6" t="n">
        <v>-2.061101326921517</v>
      </c>
      <c r="P1002" s="6" t="n">
        <v>-1.920976536974925</v>
      </c>
      <c r="Q1002" s="6" t="n">
        <v>-0.7415127667590762</v>
      </c>
      <c r="R1002" s="6" t="n">
        <v>0.202722359558309</v>
      </c>
      <c r="S1002" s="6" t="n">
        <v>1.87379317713617</v>
      </c>
      <c r="T1002" s="6" t="n">
        <v>1.105188997391469</v>
      </c>
      <c r="U1002" s="6" t="n">
        <v>5</v>
      </c>
      <c r="V1002" s="6" t="n">
        <v>1.730091994578324</v>
      </c>
      <c r="W1002" s="6" t="n">
        <v>2.242072572841911</v>
      </c>
      <c r="X1002" s="6" t="n">
        <v>1.173620667299541</v>
      </c>
      <c r="Y1002" s="6" t="n">
        <v>1.837230734340748</v>
      </c>
      <c r="Z1002" s="6" t="n">
        <v>0.6423075189688513</v>
      </c>
      <c r="AA1002" s="6" t="n">
        <v>-2.326860035569238</v>
      </c>
      <c r="AB1002" s="6" t="n">
        <v>0.8456992094341844</v>
      </c>
      <c r="AC1002" s="6" t="n">
        <v>1.195514302515742</v>
      </c>
      <c r="AD1002" s="6" t="n">
        <v>-3.91347716710063</v>
      </c>
      <c r="AE1002" s="6" t="n">
        <v>-2.963284274560698</v>
      </c>
      <c r="AF1002" s="6" t="n">
        <v>-0.2574053476007986</v>
      </c>
      <c r="AG1002" s="6" t="n">
        <v>-3.078117454172175</v>
      </c>
      <c r="AH1002" s="6" t="n">
        <v>4.287800927861709</v>
      </c>
      <c r="AI1002" s="6" t="n">
        <v>0.7728810098234589</v>
      </c>
      <c r="AJ1002" s="6" t="n">
        <v>57.35998036108377</v>
      </c>
      <c r="AK1002" s="6" t="n">
        <v>0.1542846129761305</v>
      </c>
      <c r="AL1002" s="6" t="n">
        <v>1.035098923810477</v>
      </c>
      <c r="AN1002" s="6" t="n">
        <v>1.341286776821014</v>
      </c>
      <c r="AO1002" s="6" t="n">
        <v>1.341286776821014</v>
      </c>
      <c r="AP1002" s="6" t="n">
        <v>0.1318522255950445</v>
      </c>
      <c r="AQ1002" s="6" t="n">
        <v>0</v>
      </c>
      <c r="AR1002" s="6" t="n">
        <v>0</v>
      </c>
    </row>
    <row r="1003">
      <c r="D1003" t="inlineStr">
        <is>
          <t>Run 691</t>
        </is>
      </c>
      <c r="J1003" s="6" t="n">
        <v>0.7032864558280995</v>
      </c>
      <c r="K1003" s="6" t="n">
        <v>1.485205306326327</v>
      </c>
      <c r="L1003" s="6" t="n">
        <v>-1.851190385335236</v>
      </c>
      <c r="M1003" s="6" t="n">
        <v>3.017736742371522</v>
      </c>
      <c r="N1003" s="6" t="n">
        <v>2.081130384169438</v>
      </c>
      <c r="O1003" s="6" t="n">
        <v>1.935642166832475</v>
      </c>
      <c r="P1003" s="6" t="n">
        <v>-0.09437047272573972</v>
      </c>
      <c r="Q1003" s="6" t="n">
        <v>-0.7037532679865176</v>
      </c>
      <c r="R1003" s="6" t="n">
        <v>0.2566459803930092</v>
      </c>
      <c r="S1003" s="6" t="n">
        <v>-1.052410527339433</v>
      </c>
      <c r="T1003" s="6" t="n">
        <v>-2.097481307165149</v>
      </c>
      <c r="U1003" s="6" t="n">
        <v>-2.272912194301993</v>
      </c>
      <c r="V1003" s="6" t="n">
        <v>-1.461982992641128</v>
      </c>
      <c r="W1003" s="6" t="n">
        <v>1.750533480572305</v>
      </c>
      <c r="X1003" s="6" t="n">
        <v>2.036116126531269</v>
      </c>
      <c r="Y1003" s="6" t="n">
        <v>-1.146985730814938</v>
      </c>
      <c r="Z1003" s="6" t="n">
        <v>-3.224688154914046</v>
      </c>
      <c r="AA1003" s="6" t="n">
        <v>0.4532291604025154</v>
      </c>
      <c r="AB1003" s="6" t="n">
        <v>-1.760733221843646</v>
      </c>
      <c r="AC1003" s="6" t="n">
        <v>1.527467999900662</v>
      </c>
      <c r="AD1003" s="6" t="n">
        <v>-2.151111370795265</v>
      </c>
      <c r="AE1003" s="6" t="n">
        <v>-0.8452114389850888</v>
      </c>
      <c r="AF1003" s="6" t="n">
        <v>-1.31240812165389</v>
      </c>
      <c r="AG1003" s="6" t="n">
        <v>-2.598580555379906</v>
      </c>
      <c r="AH1003" s="6" t="n">
        <v>0.6092950154314702</v>
      </c>
      <c r="AI1003" s="6" t="n">
        <v>0.6611786591561426</v>
      </c>
      <c r="AJ1003" s="6" t="n">
        <v>80.62258528125113</v>
      </c>
      <c r="AK1003" s="6" t="n">
        <v>0.1504649330016619</v>
      </c>
      <c r="AL1003" s="6" t="n">
        <v>1.063104888311545</v>
      </c>
      <c r="AN1003" s="6" t="n">
        <v>1.340241473880677</v>
      </c>
      <c r="AO1003" s="6" t="n">
        <v>1.340309917204075</v>
      </c>
      <c r="AP1003" s="6" t="n">
        <v>0.1308657847221541</v>
      </c>
      <c r="AQ1003" s="6" t="n">
        <v>0</v>
      </c>
      <c r="AR1003" s="6" t="n">
        <v>0</v>
      </c>
    </row>
    <row r="1004">
      <c r="D1004" t="inlineStr">
        <is>
          <t>Run 692</t>
        </is>
      </c>
      <c r="J1004" s="6" t="n">
        <v>1.512628838284593</v>
      </c>
      <c r="K1004" s="6" t="n">
        <v>-3.934824708650125</v>
      </c>
      <c r="L1004" s="6" t="n">
        <v>-1.878289020580046</v>
      </c>
      <c r="M1004" s="6" t="n">
        <v>4.26276748030231</v>
      </c>
      <c r="N1004" s="6" t="n">
        <v>0.5946236538551666</v>
      </c>
      <c r="O1004" s="6" t="n">
        <v>-0.6721442873732869</v>
      </c>
      <c r="P1004" s="6" t="n">
        <v>0.1353000948411142</v>
      </c>
      <c r="Q1004" s="6" t="n">
        <v>-3.849838233982324</v>
      </c>
      <c r="R1004" s="6" t="n">
        <v>-0.3373419866999475</v>
      </c>
      <c r="S1004" s="6" t="n">
        <v>-1.275491857034019</v>
      </c>
      <c r="T1004" s="6" t="n">
        <v>-1.095062360333367</v>
      </c>
      <c r="U1004" s="6" t="n">
        <v>-0.5598151318928059</v>
      </c>
      <c r="V1004" s="6" t="n">
        <v>1.237599272080227</v>
      </c>
      <c r="W1004" s="6" t="n">
        <v>1.610993603169462</v>
      </c>
      <c r="X1004" s="6" t="n">
        <v>3.988435340213047</v>
      </c>
      <c r="Y1004" s="6" t="n">
        <v>2.040904428810019</v>
      </c>
      <c r="Z1004" s="6" t="n">
        <v>-1.213768607738666</v>
      </c>
      <c r="AA1004" s="6" t="n">
        <v>-0.06998568949202444</v>
      </c>
      <c r="AB1004" s="6" t="n">
        <v>-2.04910502575124</v>
      </c>
      <c r="AC1004" s="6" t="n">
        <v>-0.3091298349413447</v>
      </c>
      <c r="AD1004" s="6" t="n">
        <v>0.1102037457924033</v>
      </c>
      <c r="AE1004" s="6" t="n">
        <v>-0.8024904682634278</v>
      </c>
      <c r="AF1004" s="6" t="n">
        <v>-5.003254762065792</v>
      </c>
      <c r="AG1004" s="6" t="n">
        <v>-4.939037841368322</v>
      </c>
      <c r="AH1004" s="6" t="n">
        <v>-0.7179572659110518</v>
      </c>
      <c r="AI1004" s="6" t="n">
        <v>0.8769369832068334</v>
      </c>
      <c r="AJ1004" s="6" t="n">
        <v>78.03515704094913</v>
      </c>
      <c r="AK1004" s="6" t="n">
        <v>0.09990636765062855</v>
      </c>
      <c r="AL1004" s="6" t="n">
        <v>1.047912643075785</v>
      </c>
      <c r="AN1004" s="6" t="n">
        <v>1.34315049184061</v>
      </c>
      <c r="AO1004" s="6" t="n">
        <v>1.347221860487584</v>
      </c>
      <c r="AP1004" s="6" t="n">
        <v>0.1329756501006956</v>
      </c>
      <c r="AQ1004" s="6" t="n">
        <v>0</v>
      </c>
      <c r="AR1004" s="6" t="n">
        <v>0</v>
      </c>
    </row>
    <row r="1005">
      <c r="D1005" t="inlineStr">
        <is>
          <t>Run 693</t>
        </is>
      </c>
      <c r="J1005" s="6" t="n">
        <v>0.7392728338434043</v>
      </c>
      <c r="K1005" s="6" t="n">
        <v>0.468672492857992</v>
      </c>
      <c r="L1005" s="6" t="n">
        <v>0.298194073463858</v>
      </c>
      <c r="M1005" s="6" t="n">
        <v>-2.220808942884049</v>
      </c>
      <c r="N1005" s="6" t="n">
        <v>1.681555487199442</v>
      </c>
      <c r="O1005" s="6" t="n">
        <v>-0.9511955276023589</v>
      </c>
      <c r="P1005" s="6" t="n">
        <v>-2.510021938520548</v>
      </c>
      <c r="Q1005" s="6" t="n">
        <v>-3.256025172527466</v>
      </c>
      <c r="R1005" s="6" t="n">
        <v>0.1110668842689435</v>
      </c>
      <c r="S1005" s="6" t="n">
        <v>2.169906008902705</v>
      </c>
      <c r="T1005" s="6" t="n">
        <v>-2.041731704020254</v>
      </c>
      <c r="U1005" s="6" t="n">
        <v>-1.526858317208903</v>
      </c>
      <c r="V1005" s="6" t="n">
        <v>2.167554769852849</v>
      </c>
      <c r="W1005" s="6" t="n">
        <v>0.7135530150017492</v>
      </c>
      <c r="X1005" s="6" t="n">
        <v>-1.293288316616617</v>
      </c>
      <c r="Y1005" s="6" t="n">
        <v>1.66308672209101</v>
      </c>
      <c r="Z1005" s="6" t="n">
        <v>-1.240648398290296</v>
      </c>
      <c r="AA1005" s="6" t="n">
        <v>0.9192254746347167</v>
      </c>
      <c r="AB1005" s="6" t="n">
        <v>-3.227665311691459</v>
      </c>
      <c r="AC1005" s="6" t="n">
        <v>-2.000083612392627</v>
      </c>
      <c r="AD1005" s="6" t="n">
        <v>0.3891258192552852</v>
      </c>
      <c r="AE1005" s="6" t="n">
        <v>-0.2012778451738985</v>
      </c>
      <c r="AF1005" s="6" t="n">
        <v>-1.172177532012203</v>
      </c>
      <c r="AG1005" s="6" t="n">
        <v>-0.5003309057998637</v>
      </c>
      <c r="AH1005" s="6" t="n">
        <v>2.001821146647982</v>
      </c>
      <c r="AI1005" s="6" t="n">
        <v>-2.396358863522544</v>
      </c>
      <c r="AJ1005" s="6" t="n">
        <v>80.87010110335018</v>
      </c>
      <c r="AK1005" s="6" t="n">
        <v>0.070946098352606</v>
      </c>
      <c r="AL1005" s="6" t="n">
        <v>1.062075048532586</v>
      </c>
      <c r="AN1005" s="6" t="n">
        <v>1.331697567280421</v>
      </c>
      <c r="AO1005" s="6" t="n">
        <v>1.33888577562455</v>
      </c>
      <c r="AP1005" s="6" t="n">
        <v>0.13273989774583</v>
      </c>
      <c r="AQ1005" s="6" t="n">
        <v>0</v>
      </c>
      <c r="AR1005" s="6" t="n">
        <v>0</v>
      </c>
    </row>
    <row r="1006">
      <c r="D1006" t="inlineStr">
        <is>
          <t>Run 694</t>
        </is>
      </c>
      <c r="J1006" s="6" t="n">
        <v>2.770362400306945</v>
      </c>
      <c r="K1006" s="6" t="n">
        <v>-1.613707861996289</v>
      </c>
      <c r="L1006" s="6" t="n">
        <v>5</v>
      </c>
      <c r="M1006" s="6" t="n">
        <v>1.499966838113345</v>
      </c>
      <c r="N1006" s="6" t="n">
        <v>2.95687148709521</v>
      </c>
      <c r="O1006" s="6" t="n">
        <v>3.40097052450859</v>
      </c>
      <c r="P1006" s="6" t="n">
        <v>3.171838826351045</v>
      </c>
      <c r="Q1006" s="6" t="n">
        <v>-1.04035892133348</v>
      </c>
      <c r="R1006" s="6" t="n">
        <v>-1.144357785459108</v>
      </c>
      <c r="S1006" s="6" t="n">
        <v>-0.6444669744432668</v>
      </c>
      <c r="T1006" s="6" t="n">
        <v>0.1400926640799394</v>
      </c>
      <c r="U1006" s="6" t="n">
        <v>2.372665740891841</v>
      </c>
      <c r="V1006" s="6" t="n">
        <v>1.371444872206232</v>
      </c>
      <c r="W1006" s="6" t="n">
        <v>1.972464897081613</v>
      </c>
      <c r="X1006" s="6" t="n">
        <v>-1.352820801804778</v>
      </c>
      <c r="Y1006" s="6" t="n">
        <v>-3.595269882330435</v>
      </c>
      <c r="Z1006" s="6" t="n">
        <v>0.7284486571304206</v>
      </c>
      <c r="AA1006" s="6" t="n">
        <v>0.6607518164626403</v>
      </c>
      <c r="AB1006" s="6" t="n">
        <v>1.9262278116396</v>
      </c>
      <c r="AC1006" s="6" t="n">
        <v>-1.633103510620966</v>
      </c>
      <c r="AD1006" s="6" t="n">
        <v>-2.933268186705496</v>
      </c>
      <c r="AE1006" s="6" t="n">
        <v>0.9721044987302612</v>
      </c>
      <c r="AF1006" s="6" t="n">
        <v>-0.4710812171989898</v>
      </c>
      <c r="AG1006" s="6" t="n">
        <v>-0.4402319916604139</v>
      </c>
      <c r="AH1006" s="6" t="n">
        <v>1.437130126110713</v>
      </c>
      <c r="AI1006" s="6" t="n">
        <v>-2.045130266431436</v>
      </c>
      <c r="AJ1006" s="6" t="n">
        <v>64.06841949712627</v>
      </c>
      <c r="AK1006" s="6" t="n">
        <v>0.116946369244353</v>
      </c>
      <c r="AL1006" s="6" t="n">
        <v>1.038960737261492</v>
      </c>
      <c r="AN1006" s="6" t="n">
        <v>1.344810485640529</v>
      </c>
      <c r="AO1006" s="6" t="n">
        <v>1.345355293112718</v>
      </c>
      <c r="AP1006" s="6" t="n">
        <v>0.1326039771888874</v>
      </c>
      <c r="AQ1006" s="6" t="n">
        <v>0</v>
      </c>
      <c r="AR1006" s="6" t="n">
        <v>0</v>
      </c>
    </row>
    <row r="1007">
      <c r="D1007" t="inlineStr">
        <is>
          <t>Run 695</t>
        </is>
      </c>
      <c r="J1007" s="6" t="n">
        <v>-2.661725107377524</v>
      </c>
      <c r="K1007" s="6" t="n">
        <v>0.1194587866654807</v>
      </c>
      <c r="L1007" s="6" t="n">
        <v>0.8366718607276619</v>
      </c>
      <c r="M1007" s="6" t="n">
        <v>0.3347189391461722</v>
      </c>
      <c r="N1007" s="6" t="n">
        <v>-1.629804131806964</v>
      </c>
      <c r="O1007" s="6" t="n">
        <v>1.040817940570907</v>
      </c>
      <c r="P1007" s="6" t="n">
        <v>0.3892958153669302</v>
      </c>
      <c r="Q1007" s="6" t="n">
        <v>-2.676674297874295</v>
      </c>
      <c r="R1007" s="6" t="n">
        <v>1.01224513155605</v>
      </c>
      <c r="S1007" s="6" t="n">
        <v>-1.045135957950543</v>
      </c>
      <c r="T1007" s="6" t="n">
        <v>0.1124995384238224</v>
      </c>
      <c r="U1007" s="6" t="n">
        <v>-0.6874724222059487</v>
      </c>
      <c r="V1007" s="6" t="n">
        <v>0.8721942685561298</v>
      </c>
      <c r="W1007" s="6" t="n">
        <v>1.448293923126933</v>
      </c>
      <c r="X1007" s="6" t="n">
        <v>1.15570968034134</v>
      </c>
      <c r="Y1007" s="6" t="n">
        <v>-1.793988945086167</v>
      </c>
      <c r="Z1007" s="6" t="n">
        <v>2.385733596699948</v>
      </c>
      <c r="AA1007" s="6" t="n">
        <v>-2.417401241975357</v>
      </c>
      <c r="AB1007" s="6" t="n">
        <v>0.9900836546633816</v>
      </c>
      <c r="AC1007" s="6" t="n">
        <v>1.750722357945612</v>
      </c>
      <c r="AD1007" s="6" t="n">
        <v>2.105114030664093</v>
      </c>
      <c r="AE1007" s="6" t="n">
        <v>0.7608641347855635</v>
      </c>
      <c r="AF1007" s="6" t="n">
        <v>0.2576487687067303</v>
      </c>
      <c r="AG1007" s="6" t="n">
        <v>-0.857325827661008</v>
      </c>
      <c r="AH1007" s="6" t="n">
        <v>-1.454710949203679</v>
      </c>
      <c r="AI1007" s="6" t="n">
        <v>4.375329103882486</v>
      </c>
      <c r="AJ1007" s="6" t="n">
        <v>80.04654712114842</v>
      </c>
      <c r="AK1007" s="6" t="n">
        <v>0.1423291990804352</v>
      </c>
      <c r="AL1007" s="6" t="n">
        <v>1.082723445340737</v>
      </c>
      <c r="AN1007" s="6" t="n">
        <v>1.333457801030271</v>
      </c>
      <c r="AO1007" s="6" t="n">
        <v>1.333873454736196</v>
      </c>
      <c r="AP1007" s="6" t="n">
        <v>0.1296765975645409</v>
      </c>
      <c r="AQ1007" s="6" t="n">
        <v>0</v>
      </c>
      <c r="AR1007" s="6" t="n">
        <v>0</v>
      </c>
    </row>
    <row r="1008">
      <c r="D1008" t="inlineStr">
        <is>
          <t>Run 696</t>
        </is>
      </c>
      <c r="J1008" s="6" t="n">
        <v>2.554496070131285</v>
      </c>
      <c r="K1008" s="6" t="n">
        <v>-1.048755328239379</v>
      </c>
      <c r="L1008" s="6" t="n">
        <v>-0.1180371482793731</v>
      </c>
      <c r="M1008" s="6" t="n">
        <v>-2.694551663001735</v>
      </c>
      <c r="N1008" s="6" t="n">
        <v>-2.152942756434419</v>
      </c>
      <c r="O1008" s="6" t="n">
        <v>0.821567152248092</v>
      </c>
      <c r="P1008" s="6" t="n">
        <v>0.1700134960400523</v>
      </c>
      <c r="Q1008" s="6" t="n">
        <v>1.167960305992834</v>
      </c>
      <c r="R1008" s="6" t="n">
        <v>-5.426464228371582</v>
      </c>
      <c r="S1008" s="6" t="n">
        <v>-3.559735811672508</v>
      </c>
      <c r="T1008" s="6" t="n">
        <v>0.2292066766898994</v>
      </c>
      <c r="U1008" s="6" t="n">
        <v>-0.07961481228797529</v>
      </c>
      <c r="V1008" s="6" t="n">
        <v>-2.851302455476818</v>
      </c>
      <c r="W1008" s="6" t="n">
        <v>-3.197876450105906</v>
      </c>
      <c r="X1008" s="6" t="n">
        <v>1.743176518342503</v>
      </c>
      <c r="Y1008" s="6" t="n">
        <v>1.467747172941466</v>
      </c>
      <c r="Z1008" s="6" t="n">
        <v>2.387639593837414</v>
      </c>
      <c r="AA1008" s="6" t="n">
        <v>-1.14254185616381</v>
      </c>
      <c r="AB1008" s="6" t="n">
        <v>-0.679551196856953</v>
      </c>
      <c r="AC1008" s="6" t="n">
        <v>2.003852220041556</v>
      </c>
      <c r="AD1008" s="6" t="n">
        <v>3.232766668908264</v>
      </c>
      <c r="AE1008" s="6" t="n">
        <v>0.6211905333811462</v>
      </c>
      <c r="AF1008" s="6" t="n">
        <v>2.486533520228876</v>
      </c>
      <c r="AG1008" s="6" t="n">
        <v>-2.599088382292875</v>
      </c>
      <c r="AH1008" s="6" t="n">
        <v>-0.4223566132214022</v>
      </c>
      <c r="AI1008" s="6" t="n">
        <v>-2.15914553829608</v>
      </c>
      <c r="AJ1008" s="6" t="n">
        <v>76.91366924425722</v>
      </c>
      <c r="AK1008" s="6" t="n">
        <v>0.04395532586790231</v>
      </c>
      <c r="AL1008" s="6" t="n">
        <v>1.060398683157495</v>
      </c>
      <c r="AN1008" s="6" t="n">
        <v>1.325450406966769</v>
      </c>
      <c r="AO1008" s="6" t="n">
        <v>1.330491803914774</v>
      </c>
      <c r="AP1008" s="6" t="n">
        <v>0.1334430752968472</v>
      </c>
      <c r="AQ1008" s="6" t="n">
        <v>0</v>
      </c>
      <c r="AR1008" s="6" t="n">
        <v>0</v>
      </c>
    </row>
    <row r="1009">
      <c r="D1009" t="inlineStr">
        <is>
          <t>Run 697</t>
        </is>
      </c>
      <c r="J1009" s="6" t="n">
        <v>-1.395464300453952</v>
      </c>
      <c r="K1009" s="6" t="n">
        <v>0.8936834724298659</v>
      </c>
      <c r="L1009" s="6" t="n">
        <v>1.21055096420957</v>
      </c>
      <c r="M1009" s="6" t="n">
        <v>-1.325158131617892</v>
      </c>
      <c r="N1009" s="6" t="n">
        <v>0.8542996994130163</v>
      </c>
      <c r="O1009" s="6" t="n">
        <v>0.1776874218664127</v>
      </c>
      <c r="P1009" s="6" t="n">
        <v>-2.148691119173482</v>
      </c>
      <c r="Q1009" s="6" t="n">
        <v>2.385661857786264</v>
      </c>
      <c r="R1009" s="6" t="n">
        <v>0.317751502762656</v>
      </c>
      <c r="S1009" s="6" t="n">
        <v>0.06744701387085643</v>
      </c>
      <c r="T1009" s="6" t="n">
        <v>1.004750672217902</v>
      </c>
      <c r="U1009" s="6" t="n">
        <v>-1.807011650686459</v>
      </c>
      <c r="V1009" s="6" t="n">
        <v>0.3121357614426644</v>
      </c>
      <c r="W1009" s="6" t="n">
        <v>1.976856508677058</v>
      </c>
      <c r="X1009" s="6" t="n">
        <v>-3.771688866759124</v>
      </c>
      <c r="Y1009" s="6" t="n">
        <v>-2.139089106693011</v>
      </c>
      <c r="Z1009" s="6" t="n">
        <v>2.038288906063331</v>
      </c>
      <c r="AA1009" s="6" t="n">
        <v>-2.469911929221403</v>
      </c>
      <c r="AB1009" s="6" t="n">
        <v>-0.5085565064808334</v>
      </c>
      <c r="AC1009" s="6" t="n">
        <v>-1.568189742221457</v>
      </c>
      <c r="AD1009" s="6" t="n">
        <v>0.582613292398387</v>
      </c>
      <c r="AE1009" s="6" t="n">
        <v>-0.7462244049229093</v>
      </c>
      <c r="AF1009" s="6" t="n">
        <v>-0.01059915800856721</v>
      </c>
      <c r="AG1009" s="6" t="n">
        <v>4.044794801773828</v>
      </c>
      <c r="AH1009" s="6" t="n">
        <v>2.655553157310975</v>
      </c>
      <c r="AI1009" s="6" t="n">
        <v>-1.561694611980844</v>
      </c>
      <c r="AJ1009" s="6" t="n">
        <v>64.37188344003556</v>
      </c>
      <c r="AK1009" s="6" t="n">
        <v>0.1675814630309785</v>
      </c>
      <c r="AL1009" s="6" t="n">
        <v>0.9991942749510974</v>
      </c>
      <c r="AN1009" s="6" t="n">
        <v>1.351709226849586</v>
      </c>
      <c r="AO1009" s="6" t="n">
        <v>1.353328203786649</v>
      </c>
      <c r="AP1009" s="6" t="n">
        <v>0.1367742724705739</v>
      </c>
      <c r="AQ1009" s="6" t="n">
        <v>0</v>
      </c>
      <c r="AR1009" s="6" t="n">
        <v>0</v>
      </c>
    </row>
    <row r="1010">
      <c r="D1010" t="inlineStr">
        <is>
          <t>Run 698</t>
        </is>
      </c>
      <c r="J1010" s="6" t="n">
        <v>-1.306023685198432</v>
      </c>
      <c r="K1010" s="6" t="n">
        <v>-2.702326663102368</v>
      </c>
      <c r="L1010" s="6" t="n">
        <v>0.007197105141516312</v>
      </c>
      <c r="M1010" s="6" t="n">
        <v>-4.326575265813433</v>
      </c>
      <c r="N1010" s="6" t="n">
        <v>-0.8788757709190765</v>
      </c>
      <c r="O1010" s="6" t="n">
        <v>1.547377233327697</v>
      </c>
      <c r="P1010" s="6" t="n">
        <v>2.966297351616445</v>
      </c>
      <c r="Q1010" s="6" t="n">
        <v>0.1487653763597032</v>
      </c>
      <c r="R1010" s="6" t="n">
        <v>-1.288580259313475</v>
      </c>
      <c r="S1010" s="6" t="n">
        <v>-2.224627911323343</v>
      </c>
      <c r="T1010" s="6" t="n">
        <v>0.7249954305358722</v>
      </c>
      <c r="U1010" s="6" t="n">
        <v>2.517619645441322</v>
      </c>
      <c r="V1010" s="6" t="n">
        <v>-1.356831635757801</v>
      </c>
      <c r="W1010" s="6" t="n">
        <v>-0.9751332516298914</v>
      </c>
      <c r="X1010" s="6" t="n">
        <v>-1.150603090980833</v>
      </c>
      <c r="Y1010" s="6" t="n">
        <v>-3.867769262068481</v>
      </c>
      <c r="Z1010" s="6" t="n">
        <v>0.2022808336610535</v>
      </c>
      <c r="AA1010" s="6" t="n">
        <v>-0.2017953072993748</v>
      </c>
      <c r="AB1010" s="6" t="n">
        <v>0.605427848949771</v>
      </c>
      <c r="AC1010" s="6" t="n">
        <v>1.612558542529281</v>
      </c>
      <c r="AD1010" s="6" t="n">
        <v>0.6660141578635808</v>
      </c>
      <c r="AE1010" s="6" t="n">
        <v>-2.102314970105663</v>
      </c>
      <c r="AF1010" s="6" t="n">
        <v>-4.281354931875888</v>
      </c>
      <c r="AG1010" s="6" t="n">
        <v>-3.08269764681211</v>
      </c>
      <c r="AH1010" s="6" t="n">
        <v>-0.8271940714910387</v>
      </c>
      <c r="AI1010" s="6" t="n">
        <v>-1.17035346957926</v>
      </c>
      <c r="AJ1010" s="6" t="n">
        <v>67.73651490412814</v>
      </c>
      <c r="AK1010" s="6" t="n">
        <v>0.1593086353631047</v>
      </c>
      <c r="AL1010" s="6" t="n">
        <v>1.0789095007895</v>
      </c>
      <c r="AN1010" s="6" t="n">
        <v>1.286901331233972</v>
      </c>
      <c r="AO1010" s="6" t="n">
        <v>1.294342541444354</v>
      </c>
      <c r="AP1010" s="6" t="n">
        <v>0.1285821258226166</v>
      </c>
      <c r="AQ1010" s="6" t="n">
        <v>0</v>
      </c>
      <c r="AR1010" s="6" t="n">
        <v>0</v>
      </c>
    </row>
    <row r="1011">
      <c r="D1011" t="inlineStr">
        <is>
          <t>Run 699</t>
        </is>
      </c>
      <c r="J1011" s="6" t="n">
        <v>2.792755700848597</v>
      </c>
      <c r="K1011" s="6" t="n">
        <v>0.4338412172661428</v>
      </c>
      <c r="L1011" s="6" t="n">
        <v>-0.1633292845032716</v>
      </c>
      <c r="M1011" s="6" t="n">
        <v>-2.501092185582336</v>
      </c>
      <c r="N1011" s="6" t="n">
        <v>-0.004068853829044875</v>
      </c>
      <c r="O1011" s="6" t="n">
        <v>1.435804191770284</v>
      </c>
      <c r="P1011" s="6" t="n">
        <v>0.1334001301013745</v>
      </c>
      <c r="Q1011" s="6" t="n">
        <v>1.380876084110333</v>
      </c>
      <c r="R1011" s="6" t="n">
        <v>1.217881889850135</v>
      </c>
      <c r="S1011" s="6" t="n">
        <v>0.4684317580497072</v>
      </c>
      <c r="T1011" s="6" t="n">
        <v>-0.9216451047787888</v>
      </c>
      <c r="U1011" s="6" t="n">
        <v>0.6795652875272472</v>
      </c>
      <c r="V1011" s="6" t="n">
        <v>-0.6522837302161485</v>
      </c>
      <c r="W1011" s="6" t="n">
        <v>4.000809742277426</v>
      </c>
      <c r="X1011" s="6" t="n">
        <v>0.6536095534821611</v>
      </c>
      <c r="Y1011" s="6" t="n">
        <v>0.8463340603164148</v>
      </c>
      <c r="Z1011" s="6" t="n">
        <v>1.609073931772556</v>
      </c>
      <c r="AA1011" s="6" t="n">
        <v>0.9641762648079711</v>
      </c>
      <c r="AB1011" s="6" t="n">
        <v>-0.1051195262315583</v>
      </c>
      <c r="AC1011" s="6" t="n">
        <v>0.1983267462111197</v>
      </c>
      <c r="AD1011" s="6" t="n">
        <v>3.585066405604557</v>
      </c>
      <c r="AE1011" s="6" t="n">
        <v>3.106476842344021</v>
      </c>
      <c r="AF1011" s="6" t="n">
        <v>-2.749798723278086</v>
      </c>
      <c r="AG1011" s="6" t="n">
        <v>-1.538080871019109</v>
      </c>
      <c r="AH1011" s="6" t="n">
        <v>0.69829211749333</v>
      </c>
      <c r="AI1011" s="6" t="n">
        <v>-1.135084954389351</v>
      </c>
      <c r="AJ1011" s="6" t="n">
        <v>65.71809186844438</v>
      </c>
      <c r="AK1011" s="6" t="n">
        <v>0.1003575190012981</v>
      </c>
      <c r="AL1011" s="6" t="n">
        <v>1.049574179609112</v>
      </c>
      <c r="AN1011" s="6" t="n">
        <v>1.323097986921507</v>
      </c>
      <c r="AO1011" s="6" t="n">
        <v>1.332170027913793</v>
      </c>
      <c r="AP1011" s="6" t="n">
        <v>0.1322668418487985</v>
      </c>
      <c r="AQ1011" s="6" t="n">
        <v>0</v>
      </c>
      <c r="AR1011" s="6" t="n">
        <v>0</v>
      </c>
    </row>
    <row r="1012">
      <c r="D1012" t="inlineStr">
        <is>
          <t>Run 700</t>
        </is>
      </c>
      <c r="J1012" s="6" t="n">
        <v>-0.3569185616938003</v>
      </c>
      <c r="K1012" s="6" t="n">
        <v>0.9717604967197843</v>
      </c>
      <c r="L1012" s="6" t="n">
        <v>4.002712278008777</v>
      </c>
      <c r="M1012" s="6" t="n">
        <v>-1.238593834644538</v>
      </c>
      <c r="N1012" s="6" t="n">
        <v>-0.102394777737214</v>
      </c>
      <c r="O1012" s="6" t="n">
        <v>0.8480627848830552</v>
      </c>
      <c r="P1012" s="6" t="n">
        <v>0.2235315501143263</v>
      </c>
      <c r="Q1012" s="6" t="n">
        <v>-0.03105821631891847</v>
      </c>
      <c r="R1012" s="6" t="n">
        <v>-1.551628772387157</v>
      </c>
      <c r="S1012" s="6" t="n">
        <v>0.370162405601731</v>
      </c>
      <c r="T1012" s="6" t="n">
        <v>-0.5525214244597449</v>
      </c>
      <c r="U1012" s="6" t="n">
        <v>-0.2961716996943946</v>
      </c>
      <c r="V1012" s="6" t="n">
        <v>-1.204996177371538</v>
      </c>
      <c r="W1012" s="6" t="n">
        <v>1.071203333633002</v>
      </c>
      <c r="X1012" s="6" t="n">
        <v>-0.9472791850414785</v>
      </c>
      <c r="Y1012" s="6" t="n">
        <v>-1.751022175913428</v>
      </c>
      <c r="Z1012" s="6" t="n">
        <v>0.4800791839587836</v>
      </c>
      <c r="AA1012" s="6" t="n">
        <v>2.97435345555351</v>
      </c>
      <c r="AB1012" s="6" t="n">
        <v>-1.927272664270615</v>
      </c>
      <c r="AC1012" s="6" t="n">
        <v>-0.930415513119825</v>
      </c>
      <c r="AD1012" s="6" t="n">
        <v>-0.7724951748673882</v>
      </c>
      <c r="AE1012" s="6" t="n">
        <v>1.376983713925647</v>
      </c>
      <c r="AF1012" s="6" t="n">
        <v>0.6098812879989445</v>
      </c>
      <c r="AG1012" s="6" t="n">
        <v>-0.12257248194882</v>
      </c>
      <c r="AH1012" s="6" t="n">
        <v>2.53787762434904</v>
      </c>
      <c r="AI1012" s="6" t="n">
        <v>-0.2542640897300265</v>
      </c>
      <c r="AJ1012" s="6" t="n">
        <v>69.68755695006178</v>
      </c>
      <c r="AK1012" s="6" t="n">
        <v>0.08176490894645197</v>
      </c>
      <c r="AL1012" s="6" t="n">
        <v>1.078395606351128</v>
      </c>
      <c r="AN1012" s="6" t="n">
        <v>1.335480461122947</v>
      </c>
      <c r="AO1012" s="6" t="n">
        <v>1.337710786081823</v>
      </c>
      <c r="AP1012" s="6" t="n">
        <v>0.1310196559690463</v>
      </c>
      <c r="AQ1012" s="6" t="n">
        <v>0</v>
      </c>
      <c r="AR1012" s="6" t="n">
        <v>0</v>
      </c>
    </row>
    <row r="1013">
      <c r="D1013" t="inlineStr">
        <is>
          <t>Run 701</t>
        </is>
      </c>
      <c r="J1013" s="6" t="n">
        <v>-0.6623568884744674</v>
      </c>
      <c r="K1013" s="6" t="n">
        <v>-1.546470986081632</v>
      </c>
      <c r="L1013" s="6" t="n">
        <v>-1.515444912601127</v>
      </c>
      <c r="M1013" s="6" t="n">
        <v>0.3272835031381995</v>
      </c>
      <c r="N1013" s="6" t="n">
        <v>-3.122418731348958</v>
      </c>
      <c r="O1013" s="6" t="n">
        <v>-1.611453482024014</v>
      </c>
      <c r="P1013" s="6" t="n">
        <v>0.9390409816928414</v>
      </c>
      <c r="Q1013" s="6" t="n">
        <v>-2.159843444809621</v>
      </c>
      <c r="R1013" s="6" t="n">
        <v>1.529912926572463</v>
      </c>
      <c r="S1013" s="6" t="n">
        <v>0.2051757124159424</v>
      </c>
      <c r="T1013" s="6" t="n">
        <v>-1.780113338472547</v>
      </c>
      <c r="U1013" s="6" t="n">
        <v>1.794418807594452</v>
      </c>
      <c r="V1013" s="6" t="n">
        <v>0.04950290820547358</v>
      </c>
      <c r="W1013" s="6" t="n">
        <v>-0.2578607057974532</v>
      </c>
      <c r="X1013" s="6" t="n">
        <v>2.29445275962642</v>
      </c>
      <c r="Y1013" s="6" t="n">
        <v>-0.4028598247059785</v>
      </c>
      <c r="Z1013" s="6" t="n">
        <v>3.240296374025818</v>
      </c>
      <c r="AA1013" s="6" t="n">
        <v>1.109953347797235</v>
      </c>
      <c r="AB1013" s="6" t="n">
        <v>-2.544308985664802</v>
      </c>
      <c r="AC1013" s="6" t="n">
        <v>-1.735525561252323</v>
      </c>
      <c r="AD1013" s="6" t="n">
        <v>2.128038877097319</v>
      </c>
      <c r="AE1013" s="6" t="n">
        <v>-2.559800251649914</v>
      </c>
      <c r="AF1013" s="6" t="n">
        <v>-3.594449810815124</v>
      </c>
      <c r="AG1013" s="6" t="n">
        <v>-2.503452730644143</v>
      </c>
      <c r="AH1013" s="6" t="n">
        <v>0.1487127238044343</v>
      </c>
      <c r="AI1013" s="6" t="n">
        <v>-1.034320791924025</v>
      </c>
      <c r="AJ1013" s="6" t="n">
        <v>67.40080754427242</v>
      </c>
      <c r="AK1013" s="6" t="n">
        <v>0.1684342527890403</v>
      </c>
      <c r="AL1013" s="6" t="n">
        <v>1.081172144721907</v>
      </c>
      <c r="AN1013" s="6" t="n">
        <v>1.329938614890228</v>
      </c>
      <c r="AO1013" s="6" t="n">
        <v>1.331294093858361</v>
      </c>
      <c r="AP1013" s="6" t="n">
        <v>0.1288902753537014</v>
      </c>
      <c r="AQ1013" s="6" t="n">
        <v>0</v>
      </c>
      <c r="AR1013" s="6" t="n">
        <v>0</v>
      </c>
    </row>
    <row r="1014">
      <c r="D1014" t="inlineStr">
        <is>
          <t>Run 702</t>
        </is>
      </c>
      <c r="J1014" s="6" t="n">
        <v>-0.9838575200187755</v>
      </c>
      <c r="K1014" s="6" t="n">
        <v>1.036832756484071</v>
      </c>
      <c r="L1014" s="6" t="n">
        <v>3.049970813025837</v>
      </c>
      <c r="M1014" s="6" t="n">
        <v>-2.062366479863132</v>
      </c>
      <c r="N1014" s="6" t="n">
        <v>0.6976237557441218</v>
      </c>
      <c r="O1014" s="6" t="n">
        <v>0.6158920897210735</v>
      </c>
      <c r="P1014" s="6" t="n">
        <v>-1.519409243600916</v>
      </c>
      <c r="Q1014" s="6" t="n">
        <v>-0.286430186040678</v>
      </c>
      <c r="R1014" s="6" t="n">
        <v>-2.929175265064168</v>
      </c>
      <c r="S1014" s="6" t="n">
        <v>1.583909404582672</v>
      </c>
      <c r="T1014" s="6" t="n">
        <v>-3.789932476483957</v>
      </c>
      <c r="U1014" s="6" t="n">
        <v>-0.2459093614672362</v>
      </c>
      <c r="V1014" s="6" t="n">
        <v>-2.029550555627277</v>
      </c>
      <c r="W1014" s="6" t="n">
        <v>0.6635587919400715</v>
      </c>
      <c r="X1014" s="6" t="n">
        <v>1.348446503745175</v>
      </c>
      <c r="Y1014" s="6" t="n">
        <v>-0.1697044034454305</v>
      </c>
      <c r="Z1014" s="6" t="n">
        <v>-1.917137129187107</v>
      </c>
      <c r="AA1014" s="6" t="n">
        <v>-2.541442389599826</v>
      </c>
      <c r="AB1014" s="6" t="n">
        <v>2.701115041659348</v>
      </c>
      <c r="AC1014" s="6" t="n">
        <v>-0.6684023103251404</v>
      </c>
      <c r="AD1014" s="6" t="n">
        <v>0.8534147698710911</v>
      </c>
      <c r="AE1014" s="6" t="n">
        <v>-0.7659266409074289</v>
      </c>
      <c r="AF1014" s="6" t="n">
        <v>-1.126703807260743</v>
      </c>
      <c r="AG1014" s="6" t="n">
        <v>0.3740834632604278</v>
      </c>
      <c r="AH1014" s="6" t="n">
        <v>0.06607643046091573</v>
      </c>
      <c r="AI1014" s="6" t="n">
        <v>1.703072602102131</v>
      </c>
      <c r="AJ1014" s="6" t="n">
        <v>68.42942570755118</v>
      </c>
      <c r="AK1014" s="6" t="n">
        <v>0.1367606132138987</v>
      </c>
      <c r="AL1014" s="6" t="n">
        <v>1.012363004463982</v>
      </c>
      <c r="AN1014" s="6" t="n">
        <v>1.340518990335043</v>
      </c>
      <c r="AO1014" s="6" t="n">
        <v>1.347672486401618</v>
      </c>
      <c r="AP1014" s="6" t="n">
        <v>0.1357954421953125</v>
      </c>
      <c r="AQ1014" s="6" t="n">
        <v>0</v>
      </c>
      <c r="AR1014" s="6" t="n">
        <v>0</v>
      </c>
    </row>
    <row r="1015">
      <c r="D1015" t="inlineStr">
        <is>
          <t>Run 703</t>
        </is>
      </c>
      <c r="J1015" s="6" t="n">
        <v>2.693916638885824</v>
      </c>
      <c r="K1015" s="6" t="n">
        <v>-0.199347315294631</v>
      </c>
      <c r="L1015" s="6" t="n">
        <v>0.0272011000100352</v>
      </c>
      <c r="M1015" s="6" t="n">
        <v>-0.7278069813891465</v>
      </c>
      <c r="N1015" s="6" t="n">
        <v>-1.842370375597282</v>
      </c>
      <c r="O1015" s="6" t="n">
        <v>-3.265931160115993</v>
      </c>
      <c r="P1015" s="6" t="n">
        <v>-2.212399636849759</v>
      </c>
      <c r="Q1015" s="6" t="n">
        <v>0.3192216822391112</v>
      </c>
      <c r="R1015" s="6" t="n">
        <v>0.6532768135396757</v>
      </c>
      <c r="S1015" s="6" t="n">
        <v>-0.4873426103691864</v>
      </c>
      <c r="T1015" s="6" t="n">
        <v>1.025512077012298</v>
      </c>
      <c r="U1015" s="6" t="n">
        <v>-2.883931147173988</v>
      </c>
      <c r="V1015" s="6" t="n">
        <v>-4.081469154522051</v>
      </c>
      <c r="W1015" s="6" t="n">
        <v>-1.054960117735928</v>
      </c>
      <c r="X1015" s="6" t="n">
        <v>-3.641369585995274</v>
      </c>
      <c r="Y1015" s="6" t="n">
        <v>-2.473733570693105</v>
      </c>
      <c r="Z1015" s="6" t="n">
        <v>0.462279872064098</v>
      </c>
      <c r="AA1015" s="6" t="n">
        <v>0.1505009285263481</v>
      </c>
      <c r="AB1015" s="6" t="n">
        <v>-1.395448637562056</v>
      </c>
      <c r="AC1015" s="6" t="n">
        <v>-0.5024533274924696</v>
      </c>
      <c r="AD1015" s="6" t="n">
        <v>0.3540236776024444</v>
      </c>
      <c r="AE1015" s="6" t="n">
        <v>2.684513279291034</v>
      </c>
      <c r="AF1015" s="6" t="n">
        <v>-1.501649941744551</v>
      </c>
      <c r="AG1015" s="6" t="n">
        <v>-1.380295176026286</v>
      </c>
      <c r="AH1015" s="6" t="n">
        <v>-3.044104285061079</v>
      </c>
      <c r="AI1015" s="6" t="n">
        <v>-0.8037049263875201</v>
      </c>
      <c r="AJ1015" s="6" t="n">
        <v>71.87504312871897</v>
      </c>
      <c r="AK1015" s="6" t="n">
        <v>0.08769656926113825</v>
      </c>
      <c r="AL1015" s="6" t="n">
        <v>1.114771796013509</v>
      </c>
      <c r="AN1015" s="6" t="n">
        <v>1.330556569882053</v>
      </c>
      <c r="AO1015" s="6" t="n">
        <v>1.331670021163509</v>
      </c>
      <c r="AP1015" s="6" t="n">
        <v>0.1292991034395633</v>
      </c>
      <c r="AQ1015" s="6" t="n">
        <v>0</v>
      </c>
      <c r="AR1015" s="6" t="n">
        <v>0</v>
      </c>
    </row>
    <row r="1016">
      <c r="D1016" t="inlineStr">
        <is>
          <t>Run 704</t>
        </is>
      </c>
      <c r="J1016" s="6" t="n">
        <v>0.9109391807881987</v>
      </c>
      <c r="K1016" s="6" t="n">
        <v>-0.4911254771427736</v>
      </c>
      <c r="L1016" s="6" t="n">
        <v>0.0009015146596008367</v>
      </c>
      <c r="M1016" s="6" t="n">
        <v>1.687827718186399</v>
      </c>
      <c r="N1016" s="6" t="n">
        <v>1.07197016780814</v>
      </c>
      <c r="O1016" s="6" t="n">
        <v>-0.02188980256682645</v>
      </c>
      <c r="P1016" s="6" t="n">
        <v>-0.4953246814505889</v>
      </c>
      <c r="Q1016" s="6" t="n">
        <v>-1.19195229166175</v>
      </c>
      <c r="R1016" s="6" t="n">
        <v>-4.913735629404479</v>
      </c>
      <c r="S1016" s="6" t="n">
        <v>0.01852972524951149</v>
      </c>
      <c r="T1016" s="6" t="n">
        <v>-0.7012032633828597</v>
      </c>
      <c r="U1016" s="6" t="n">
        <v>0.343857577512795</v>
      </c>
      <c r="V1016" s="6" t="n">
        <v>-1.442285597737538</v>
      </c>
      <c r="W1016" s="6" t="n">
        <v>-2.075261996085583</v>
      </c>
      <c r="X1016" s="6" t="n">
        <v>3.926256689699485</v>
      </c>
      <c r="Y1016" s="6" t="n">
        <v>-2.926976216014759</v>
      </c>
      <c r="Z1016" s="6" t="n">
        <v>1.59525161723777</v>
      </c>
      <c r="AA1016" s="6" t="n">
        <v>-0.6526141132080656</v>
      </c>
      <c r="AB1016" s="6" t="n">
        <v>2.199992620617681</v>
      </c>
      <c r="AC1016" s="6" t="n">
        <v>-4.478908781166435</v>
      </c>
      <c r="AD1016" s="6" t="n">
        <v>-1.374138729760697</v>
      </c>
      <c r="AE1016" s="6" t="n">
        <v>3.466010835626235</v>
      </c>
      <c r="AF1016" s="6" t="n">
        <v>1.811479074700322</v>
      </c>
      <c r="AG1016" s="6" t="n">
        <v>2.550225514387043</v>
      </c>
      <c r="AH1016" s="6" t="n">
        <v>1.771239526460116</v>
      </c>
      <c r="AI1016" s="6" t="n">
        <v>-2.966218101037363</v>
      </c>
      <c r="AJ1016" s="6" t="n">
        <v>77.54562882923049</v>
      </c>
      <c r="AK1016" s="6" t="n">
        <v>0.117092948164726</v>
      </c>
      <c r="AL1016" s="6" t="n">
        <v>1.092295356647238</v>
      </c>
      <c r="AN1016" s="6" t="n">
        <v>1.334283053318283</v>
      </c>
      <c r="AO1016" s="6" t="n">
        <v>1.334616377497136</v>
      </c>
      <c r="AP1016" s="6" t="n">
        <v>0.1295055153018518</v>
      </c>
      <c r="AQ1016" s="6" t="n">
        <v>0</v>
      </c>
      <c r="AR1016" s="6" t="n">
        <v>0</v>
      </c>
    </row>
    <row r="1017">
      <c r="D1017" t="inlineStr">
        <is>
          <t>Run 705</t>
        </is>
      </c>
      <c r="J1017" s="6" t="n">
        <v>2.586797570422612</v>
      </c>
      <c r="K1017" s="6" t="n">
        <v>-0.8912254331693689</v>
      </c>
      <c r="L1017" s="6" t="n">
        <v>-1.929948173175144</v>
      </c>
      <c r="M1017" s="6" t="n">
        <v>1.657498729873896</v>
      </c>
      <c r="N1017" s="6" t="n">
        <v>2.780739876911956</v>
      </c>
      <c r="O1017" s="6" t="n">
        <v>-2.435392589624804</v>
      </c>
      <c r="P1017" s="6" t="n">
        <v>1.586708408713954</v>
      </c>
      <c r="Q1017" s="6" t="n">
        <v>-1.989106665748325</v>
      </c>
      <c r="R1017" s="6" t="n">
        <v>0.08136764620041009</v>
      </c>
      <c r="S1017" s="6" t="n">
        <v>1.499384481521912</v>
      </c>
      <c r="T1017" s="6" t="n">
        <v>-2.140550616293542</v>
      </c>
      <c r="U1017" s="6" t="n">
        <v>0.7154554171558291</v>
      </c>
      <c r="V1017" s="6" t="n">
        <v>2.549548023831443</v>
      </c>
      <c r="W1017" s="6" t="n">
        <v>1.139905102271005</v>
      </c>
      <c r="X1017" s="6" t="n">
        <v>-2.189008646791382</v>
      </c>
      <c r="Y1017" s="6" t="n">
        <v>-1.735851465960297</v>
      </c>
      <c r="Z1017" s="6" t="n">
        <v>-1.885406638247251</v>
      </c>
      <c r="AA1017" s="6" t="n">
        <v>2.578033085381921</v>
      </c>
      <c r="AB1017" s="6" t="n">
        <v>0.7153189418582756</v>
      </c>
      <c r="AC1017" s="6" t="n">
        <v>-2.442936401832396</v>
      </c>
      <c r="AD1017" s="6" t="n">
        <v>-3.756763323860367</v>
      </c>
      <c r="AE1017" s="6" t="n">
        <v>1.126089885216814</v>
      </c>
      <c r="AF1017" s="6" t="n">
        <v>1.481411438767421</v>
      </c>
      <c r="AG1017" s="6" t="n">
        <v>-4.451916204961434</v>
      </c>
      <c r="AH1017" s="6" t="n">
        <v>-2.599642469106717</v>
      </c>
      <c r="AI1017" s="6" t="n">
        <v>-2.886467336636996</v>
      </c>
      <c r="AJ1017" s="6" t="n">
        <v>79.27028357758549</v>
      </c>
      <c r="AK1017" s="6" t="n">
        <v>0.1674199576909784</v>
      </c>
      <c r="AL1017" s="6" t="n">
        <v>1.031920634515729</v>
      </c>
      <c r="AN1017" s="6" t="n">
        <v>1.352267108522079</v>
      </c>
      <c r="AO1017" s="6" t="n">
        <v>1.352436431065531</v>
      </c>
      <c r="AP1017" s="6" t="n">
        <v>0.1333415228734787</v>
      </c>
      <c r="AQ1017" s="6" t="n">
        <v>0</v>
      </c>
      <c r="AR1017" s="6" t="n">
        <v>0</v>
      </c>
    </row>
    <row r="1018">
      <c r="D1018" t="inlineStr">
        <is>
          <t>Run 706</t>
        </is>
      </c>
      <c r="J1018" s="6" t="n">
        <v>-0.707963217468498</v>
      </c>
      <c r="K1018" s="6" t="n">
        <v>-1.440363696879746</v>
      </c>
      <c r="L1018" s="6" t="n">
        <v>0.7520261088029575</v>
      </c>
      <c r="M1018" s="6" t="n">
        <v>-1.279964982393567</v>
      </c>
      <c r="N1018" s="6" t="n">
        <v>-1.015259674867694</v>
      </c>
      <c r="O1018" s="6" t="n">
        <v>1.731012020847268</v>
      </c>
      <c r="P1018" s="6" t="n">
        <v>-0.07546514092619425</v>
      </c>
      <c r="Q1018" s="6" t="n">
        <v>-1.504350584438961</v>
      </c>
      <c r="R1018" s="6" t="n">
        <v>-3.107316481221654</v>
      </c>
      <c r="S1018" s="6" t="n">
        <v>1.912051746144101</v>
      </c>
      <c r="T1018" s="6" t="n">
        <v>-1.770513625215872</v>
      </c>
      <c r="U1018" s="6" t="n">
        <v>-0.5346315762798518</v>
      </c>
      <c r="V1018" s="6" t="n">
        <v>0.3934353591322446</v>
      </c>
      <c r="W1018" s="6" t="n">
        <v>-0.3188807649757208</v>
      </c>
      <c r="X1018" s="6" t="n">
        <v>0.6842927973165076</v>
      </c>
      <c r="Y1018" s="6" t="n">
        <v>2.223662234524018</v>
      </c>
      <c r="Z1018" s="6" t="n">
        <v>1.317227476499462</v>
      </c>
      <c r="AA1018" s="6" t="n">
        <v>0.7958594203592447</v>
      </c>
      <c r="AB1018" s="6" t="n">
        <v>2.321820545071547</v>
      </c>
      <c r="AC1018" s="6" t="n">
        <v>2.529716959207791</v>
      </c>
      <c r="AD1018" s="6" t="n">
        <v>-0.5287206962681121</v>
      </c>
      <c r="AE1018" s="6" t="n">
        <v>-3.01456407335139</v>
      </c>
      <c r="AF1018" s="6" t="n">
        <v>-0.5066056779568475</v>
      </c>
      <c r="AG1018" s="6" t="n">
        <v>0.9726892496657937</v>
      </c>
      <c r="AH1018" s="6" t="n">
        <v>1.375075130129653</v>
      </c>
      <c r="AI1018" s="6" t="n">
        <v>-0.6278652440413033</v>
      </c>
      <c r="AJ1018" s="6" t="n">
        <v>68.035574068774</v>
      </c>
      <c r="AK1018" s="6" t="n">
        <v>0.1314469768808744</v>
      </c>
      <c r="AL1018" s="6" t="n">
        <v>1.060168439173871</v>
      </c>
      <c r="AN1018" s="6" t="n">
        <v>1.336095159112426</v>
      </c>
      <c r="AO1018" s="6" t="n">
        <v>1.338712887359024</v>
      </c>
      <c r="AP1018" s="6" t="n">
        <v>0.1309594000340948</v>
      </c>
      <c r="AQ1018" s="6" t="n">
        <v>0</v>
      </c>
      <c r="AR1018" s="6" t="n">
        <v>0</v>
      </c>
    </row>
    <row r="1019">
      <c r="D1019" t="inlineStr">
        <is>
          <t>Run 707</t>
        </is>
      </c>
      <c r="J1019" s="6" t="n">
        <v>1.084531609574216</v>
      </c>
      <c r="K1019" s="6" t="n">
        <v>1.987785329340958</v>
      </c>
      <c r="L1019" s="6" t="n">
        <v>0.5651566862944798</v>
      </c>
      <c r="M1019" s="6" t="n">
        <v>0.2686541947037298</v>
      </c>
      <c r="N1019" s="6" t="n">
        <v>1.872091581082143</v>
      </c>
      <c r="O1019" s="6" t="n">
        <v>2.519723376052502</v>
      </c>
      <c r="P1019" s="6" t="n">
        <v>0.1431085670007985</v>
      </c>
      <c r="Q1019" s="6" t="n">
        <v>-0.2680133223920384</v>
      </c>
      <c r="R1019" s="6" t="n">
        <v>0.5215749515090891</v>
      </c>
      <c r="S1019" s="6" t="n">
        <v>1.100558410435447</v>
      </c>
      <c r="T1019" s="6" t="n">
        <v>2.345999978443568</v>
      </c>
      <c r="U1019" s="6" t="n">
        <v>-1.045584845054685</v>
      </c>
      <c r="V1019" s="6" t="n">
        <v>-1.253992569121743</v>
      </c>
      <c r="W1019" s="6" t="n">
        <v>-1.398797399970707</v>
      </c>
      <c r="X1019" s="6" t="n">
        <v>-1.627925612333419</v>
      </c>
      <c r="Y1019" s="6" t="n">
        <v>0.9197119580218673</v>
      </c>
      <c r="Z1019" s="6" t="n">
        <v>-4.003534626673322</v>
      </c>
      <c r="AA1019" s="6" t="n">
        <v>0.1810428466634609</v>
      </c>
      <c r="AB1019" s="6" t="n">
        <v>1.364321395715425</v>
      </c>
      <c r="AC1019" s="6" t="n">
        <v>1.182869960867944</v>
      </c>
      <c r="AD1019" s="6" t="n">
        <v>-1.490244866149126</v>
      </c>
      <c r="AE1019" s="6" t="n">
        <v>-2.185662469566026</v>
      </c>
      <c r="AF1019" s="6" t="n">
        <v>-1.273745735081839</v>
      </c>
      <c r="AG1019" s="6" t="n">
        <v>1.099706807767926</v>
      </c>
      <c r="AH1019" s="6" t="n">
        <v>-2.912695857698516</v>
      </c>
      <c r="AI1019" s="6" t="n">
        <v>-5.196356889480453</v>
      </c>
      <c r="AJ1019" s="6" t="n">
        <v>73.73252778817059</v>
      </c>
      <c r="AK1019" s="6" t="n">
        <v>0.1133485931157568</v>
      </c>
      <c r="AL1019" s="6" t="n">
        <v>1.037358714307075</v>
      </c>
      <c r="AN1019" s="6" t="n">
        <v>1.349265866468108</v>
      </c>
      <c r="AO1019" s="6" t="n">
        <v>1.349401008772749</v>
      </c>
      <c r="AP1019" s="6" t="n">
        <v>0.1338712396302771</v>
      </c>
      <c r="AQ1019" s="6" t="n">
        <v>0</v>
      </c>
      <c r="AR1019" s="6" t="n">
        <v>0</v>
      </c>
    </row>
    <row r="1020">
      <c r="D1020" t="inlineStr">
        <is>
          <t>Run 708</t>
        </is>
      </c>
      <c r="J1020" s="6" t="n">
        <v>-2.251800893991481</v>
      </c>
      <c r="K1020" s="6" t="n">
        <v>-1.826952324528618</v>
      </c>
      <c r="L1020" s="6" t="n">
        <v>1.744244444482154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-1.195597229114685</v>
      </c>
      <c r="Q1020" s="6" t="n">
        <v>-3.272630111055567</v>
      </c>
      <c r="R1020" s="6" t="n">
        <v>2.5401857750227</v>
      </c>
      <c r="S1020" s="6" t="n">
        <v>-0.7568075681174261</v>
      </c>
      <c r="T1020" s="6" t="n">
        <v>-1.076857959481331</v>
      </c>
      <c r="U1020" s="6" t="n">
        <v>1.634900334932744</v>
      </c>
      <c r="V1020" s="6" t="n">
        <v>0.6898842432291725</v>
      </c>
      <c r="W1020" s="6" t="n">
        <v>-0.03989926132583514</v>
      </c>
      <c r="X1020" s="6" t="n">
        <v>4.034143724250237</v>
      </c>
      <c r="Y1020" s="6" t="n">
        <v>-0.4425812023812912</v>
      </c>
      <c r="Z1020" s="6" t="n">
        <v>-1.023026313201253</v>
      </c>
      <c r="AA1020" s="6" t="n">
        <v>-0.8448835447376015</v>
      </c>
      <c r="AB1020" s="6" t="n">
        <v>0.4169751316655346</v>
      </c>
      <c r="AC1020" s="6" t="n">
        <v>0.1667888390703332</v>
      </c>
      <c r="AD1020" s="6" t="n">
        <v>-1.751297138642995</v>
      </c>
      <c r="AE1020" s="6" t="n">
        <v>1.887233397189183</v>
      </c>
      <c r="AF1020" s="6" t="n">
        <v>-1.732783444044682</v>
      </c>
      <c r="AG1020" s="6" t="n">
        <v>-2.366833429674918</v>
      </c>
      <c r="AH1020" s="6" t="n">
        <v>-0.3449174725386569</v>
      </c>
      <c r="AI1020" s="6" t="n">
        <v>1.005119719502241</v>
      </c>
      <c r="AJ1020" s="6" t="n">
        <v>67.85137778891716</v>
      </c>
      <c r="AK1020" s="6" t="n">
        <v>0.123354249117649</v>
      </c>
      <c r="AL1020" s="6" t="n">
        <v>1.083918317130556</v>
      </c>
      <c r="AN1020" s="6" t="n">
        <v>1.333409827610597</v>
      </c>
      <c r="AO1020" s="6" t="n">
        <v>1.333745006109972</v>
      </c>
      <c r="AP1020" s="6" t="n">
        <v>0.1295878802004012</v>
      </c>
      <c r="AQ1020" s="6" t="n">
        <v>0</v>
      </c>
      <c r="AR1020" s="6" t="n">
        <v>0</v>
      </c>
    </row>
    <row r="1021">
      <c r="D1021" t="inlineStr">
        <is>
          <t>Run 709</t>
        </is>
      </c>
      <c r="J1021" s="6" t="n">
        <v>-0.9032716775896408</v>
      </c>
      <c r="K1021" s="6" t="n">
        <v>-0.727628865273099</v>
      </c>
      <c r="L1021" s="6" t="n">
        <v>-0.1274303879441942</v>
      </c>
      <c r="M1021" s="6" t="n">
        <v>-0.8259616079455304</v>
      </c>
      <c r="N1021" s="6" t="n">
        <v>-1.001041147010035</v>
      </c>
      <c r="O1021" s="6" t="n">
        <v>2.713496404407753</v>
      </c>
      <c r="P1021" s="6" t="n">
        <v>-0.7793043789007618</v>
      </c>
      <c r="Q1021" s="6" t="n">
        <v>0.7920156238519115</v>
      </c>
      <c r="R1021" s="6" t="n">
        <v>-2.095158884366221</v>
      </c>
      <c r="S1021" s="6" t="n">
        <v>0.742031661713595</v>
      </c>
      <c r="T1021" s="6" t="n">
        <v>1.74005947264836</v>
      </c>
      <c r="U1021" s="6" t="n">
        <v>-0.3704836610036701</v>
      </c>
      <c r="V1021" s="6" t="n">
        <v>-0.8742824511189448</v>
      </c>
      <c r="W1021" s="6" t="n">
        <v>-1.57600360044355</v>
      </c>
      <c r="X1021" s="6" t="n">
        <v>-0.9224169870987883</v>
      </c>
      <c r="Y1021" s="6" t="n">
        <v>1.860877241019903</v>
      </c>
      <c r="Z1021" s="6" t="n">
        <v>-1.334454072324333</v>
      </c>
      <c r="AA1021" s="6" t="n">
        <v>-0.5297704025151637</v>
      </c>
      <c r="AB1021" s="6" t="n">
        <v>0.5323093655280657</v>
      </c>
      <c r="AC1021" s="6" t="n">
        <v>1.899226211703665</v>
      </c>
      <c r="AD1021" s="6" t="n">
        <v>2.884705232500538</v>
      </c>
      <c r="AE1021" s="6" t="n">
        <v>-1.372259871375346</v>
      </c>
      <c r="AF1021" s="6" t="n">
        <v>-1.042476142853637</v>
      </c>
      <c r="AG1021" s="6" t="n">
        <v>1.574036502757141</v>
      </c>
      <c r="AH1021" s="6" t="n">
        <v>-1.41510796854377</v>
      </c>
      <c r="AI1021" s="6" t="n">
        <v>0.04524090581666725</v>
      </c>
      <c r="AJ1021" s="6" t="n">
        <v>73.79515876196443</v>
      </c>
      <c r="AK1021" s="6" t="n">
        <v>0.1278769080585589</v>
      </c>
      <c r="AL1021" s="6" t="n">
        <v>1.040550025497126</v>
      </c>
      <c r="AN1021" s="6" t="n">
        <v>1.350037661936115</v>
      </c>
      <c r="AO1021" s="6" t="n">
        <v>1.351000832489056</v>
      </c>
      <c r="AP1021" s="6" t="n">
        <v>0.1334835049543691</v>
      </c>
      <c r="AQ1021" s="6" t="n">
        <v>0</v>
      </c>
      <c r="AR1021" s="6" t="n">
        <v>0</v>
      </c>
    </row>
    <row r="1022">
      <c r="D1022" t="inlineStr">
        <is>
          <t>Run 710</t>
        </is>
      </c>
      <c r="J1022" s="6" t="n">
        <v>-0.1578024772745369</v>
      </c>
      <c r="K1022" s="6" t="n">
        <v>-0.7587877465307433</v>
      </c>
      <c r="L1022" s="6" t="n">
        <v>0.2152416494027483</v>
      </c>
      <c r="M1022" s="6" t="n">
        <v>0.4308234734398734</v>
      </c>
      <c r="N1022" s="6" t="n">
        <v>-0.8034322413792854</v>
      </c>
      <c r="O1022" s="6" t="n">
        <v>-0.73917033223341</v>
      </c>
      <c r="P1022" s="6" t="n">
        <v>0.4864111789098737</v>
      </c>
      <c r="Q1022" s="6" t="n">
        <v>1.870896850199007</v>
      </c>
      <c r="R1022" s="6" t="n">
        <v>-1.175858951423139</v>
      </c>
      <c r="S1022" s="6" t="n">
        <v>0.2349578050795173</v>
      </c>
      <c r="T1022" s="6" t="n">
        <v>-1.790784914467488</v>
      </c>
      <c r="U1022" s="6" t="n">
        <v>-2.708308056301415</v>
      </c>
      <c r="V1022" s="6" t="n">
        <v>-0.4696092287050212</v>
      </c>
      <c r="W1022" s="6" t="n">
        <v>-2.525225766618185</v>
      </c>
      <c r="X1022" s="6" t="n">
        <v>-0.8480854748480918</v>
      </c>
      <c r="Y1022" s="6" t="n">
        <v>-1.391129840657626</v>
      </c>
      <c r="Z1022" s="6" t="n">
        <v>-3.139971280770494</v>
      </c>
      <c r="AA1022" s="6" t="n">
        <v>1.300226400179484</v>
      </c>
      <c r="AB1022" s="6" t="n">
        <v>-0.2037054333761799</v>
      </c>
      <c r="AC1022" s="6" t="n">
        <v>-0.7679113952318035</v>
      </c>
      <c r="AD1022" s="6" t="n">
        <v>-0.08600943844366418</v>
      </c>
      <c r="AE1022" s="6" t="n">
        <v>1.604703366359572</v>
      </c>
      <c r="AF1022" s="6" t="n">
        <v>-2.633181771180026</v>
      </c>
      <c r="AG1022" s="6" t="n">
        <v>-0.5203819708827914</v>
      </c>
      <c r="AH1022" s="6" t="n">
        <v>-2.164600777950128</v>
      </c>
      <c r="AI1022" s="6" t="n">
        <v>-1.102507851739058</v>
      </c>
      <c r="AJ1022" s="6" t="n">
        <v>66.60796309402772</v>
      </c>
      <c r="AK1022" s="6" t="n">
        <v>0.117180336094302</v>
      </c>
      <c r="AL1022" s="6" t="n">
        <v>1.076667360499676</v>
      </c>
      <c r="AN1022" s="6" t="n">
        <v>1.336427776023164</v>
      </c>
      <c r="AO1022" s="6" t="n">
        <v>1.337003812452409</v>
      </c>
      <c r="AP1022" s="6" t="n">
        <v>0.1303286258897931</v>
      </c>
      <c r="AQ1022" s="6" t="n">
        <v>0</v>
      </c>
      <c r="AR1022" s="6" t="n">
        <v>0</v>
      </c>
    </row>
    <row r="1023">
      <c r="D1023" t="inlineStr">
        <is>
          <t>Run 711</t>
        </is>
      </c>
      <c r="J1023" s="6" t="n">
        <v>-0.6048508495568706</v>
      </c>
      <c r="K1023" s="6" t="n">
        <v>2.262963572609535</v>
      </c>
      <c r="L1023" s="6" t="n">
        <v>4.504346194818365</v>
      </c>
      <c r="M1023" s="6" t="n">
        <v>1.532302324477844</v>
      </c>
      <c r="N1023" s="6" t="n">
        <v>-2.223843635836609</v>
      </c>
      <c r="O1023" s="6" t="n">
        <v>-0.02524160186171371</v>
      </c>
      <c r="P1023" s="6" t="n">
        <v>1.907470520027404</v>
      </c>
      <c r="Q1023" s="6" t="n">
        <v>0.3054185337228052</v>
      </c>
      <c r="R1023" s="6" t="n">
        <v>0.2119204705783678</v>
      </c>
      <c r="S1023" s="6" t="n">
        <v>-1.520147859936128</v>
      </c>
      <c r="T1023" s="6" t="n">
        <v>0.05004053598559062</v>
      </c>
      <c r="U1023" s="6" t="n">
        <v>4.535270384887666</v>
      </c>
      <c r="V1023" s="6" t="n">
        <v>-2.588780540707734</v>
      </c>
      <c r="W1023" s="6" t="n">
        <v>2.898312059640942</v>
      </c>
      <c r="X1023" s="6" t="n">
        <v>-2.272096830359789</v>
      </c>
      <c r="Y1023" s="6" t="n">
        <v>-1.055040408947797</v>
      </c>
      <c r="Z1023" s="6" t="n">
        <v>-1.32738181836189</v>
      </c>
      <c r="AA1023" s="6" t="n">
        <v>0.7708005378746694</v>
      </c>
      <c r="AB1023" s="6" t="n">
        <v>-3.239797504797342</v>
      </c>
      <c r="AC1023" s="6" t="n">
        <v>2.543322353246258</v>
      </c>
      <c r="AD1023" s="6" t="n">
        <v>4.044675137625056</v>
      </c>
      <c r="AE1023" s="6" t="n">
        <v>-3.338579333461449</v>
      </c>
      <c r="AF1023" s="6" t="n">
        <v>-1.072460953285238</v>
      </c>
      <c r="AG1023" s="6" t="n">
        <v>-0.7293195735412221</v>
      </c>
      <c r="AH1023" s="6" t="n">
        <v>1.344961147817863</v>
      </c>
      <c r="AI1023" s="6" t="n">
        <v>3.696232336782596</v>
      </c>
      <c r="AJ1023" s="6" t="n">
        <v>71.78953610542585</v>
      </c>
      <c r="AK1023" s="6" t="n">
        <v>0.1516228013320274</v>
      </c>
      <c r="AL1023" s="6" t="n">
        <v>1.099952176664735</v>
      </c>
      <c r="AN1023" s="6" t="n">
        <v>1.324353086853422</v>
      </c>
      <c r="AO1023" s="6" t="n">
        <v>1.325647893610709</v>
      </c>
      <c r="AP1023" s="6" t="n">
        <v>0.1284576492532265</v>
      </c>
      <c r="AQ1023" s="6" t="n">
        <v>0</v>
      </c>
      <c r="AR1023" s="6" t="n">
        <v>0</v>
      </c>
    </row>
    <row r="1024">
      <c r="D1024" t="inlineStr">
        <is>
          <t>Run 712</t>
        </is>
      </c>
      <c r="J1024" s="6" t="n">
        <v>-2.865707321375525</v>
      </c>
      <c r="K1024" s="6" t="n">
        <v>-0.2487693508714594</v>
      </c>
      <c r="L1024" s="6" t="n">
        <v>-1.431426952590708</v>
      </c>
      <c r="M1024" s="6" t="n">
        <v>-1.182858358230242</v>
      </c>
      <c r="N1024" s="6" t="n">
        <v>0.3707357171007999</v>
      </c>
      <c r="O1024" s="6" t="n">
        <v>0.4320240023849302</v>
      </c>
      <c r="P1024" s="6" t="n">
        <v>-2.384296265093864</v>
      </c>
      <c r="Q1024" s="6" t="n">
        <v>-3.844658661618116</v>
      </c>
      <c r="R1024" s="6" t="n">
        <v>3.353238251046623</v>
      </c>
      <c r="S1024" s="6" t="n">
        <v>3.805593323966156</v>
      </c>
      <c r="T1024" s="6" t="n">
        <v>-0.1703500074979996</v>
      </c>
      <c r="U1024" s="6" t="n">
        <v>2.816809830336044</v>
      </c>
      <c r="V1024" s="6" t="n">
        <v>0.3029693767157676</v>
      </c>
      <c r="W1024" s="6" t="n">
        <v>-0.7934119221726154</v>
      </c>
      <c r="X1024" s="6" t="n">
        <v>1.116618564131864</v>
      </c>
      <c r="Y1024" s="6" t="n">
        <v>-1.393489160756454</v>
      </c>
      <c r="Z1024" s="6" t="n">
        <v>1.702735132201395</v>
      </c>
      <c r="AA1024" s="6" t="n">
        <v>1.422401311824311</v>
      </c>
      <c r="AB1024" s="6" t="n">
        <v>-0.8067667830342898</v>
      </c>
      <c r="AC1024" s="6" t="n">
        <v>0.3683369709444356</v>
      </c>
      <c r="AD1024" s="6" t="n">
        <v>0.4918538867315554</v>
      </c>
      <c r="AE1024" s="6" t="n">
        <v>1.643787672217204</v>
      </c>
      <c r="AF1024" s="6" t="n">
        <v>-1.392561865301711</v>
      </c>
      <c r="AG1024" s="6" t="n">
        <v>1.641639362231065</v>
      </c>
      <c r="AH1024" s="6" t="n">
        <v>-1.1543194595818</v>
      </c>
      <c r="AI1024" s="6" t="n">
        <v>3.059781710002788</v>
      </c>
      <c r="AJ1024" s="6" t="n">
        <v>71.91323392410476</v>
      </c>
      <c r="AK1024" s="6" t="n">
        <v>0.1052029417685253</v>
      </c>
      <c r="AL1024" s="6" t="n">
        <v>1.0612203356154</v>
      </c>
      <c r="AN1024" s="6" t="n">
        <v>1.340109412059724</v>
      </c>
      <c r="AO1024" s="6" t="n">
        <v>1.342341864178819</v>
      </c>
      <c r="AP1024" s="6" t="n">
        <v>0.1315568430730732</v>
      </c>
      <c r="AQ1024" s="6" t="n">
        <v>0</v>
      </c>
      <c r="AR1024" s="6" t="n">
        <v>0</v>
      </c>
    </row>
    <row r="1025">
      <c r="D1025" t="inlineStr">
        <is>
          <t>Run 713</t>
        </is>
      </c>
      <c r="J1025" s="6" t="n">
        <v>-5.012170068858294</v>
      </c>
      <c r="K1025" s="6" t="n">
        <v>3.5096369526417</v>
      </c>
      <c r="L1025" s="6" t="n">
        <v>-1.07444771336515</v>
      </c>
      <c r="M1025" s="6" t="n">
        <v>2.415626807240743</v>
      </c>
      <c r="N1025" s="6" t="n">
        <v>-2.727954030797529</v>
      </c>
      <c r="O1025" s="6" t="n">
        <v>-1.645857895174258</v>
      </c>
      <c r="P1025" s="6" t="n">
        <v>-2.236941484165263</v>
      </c>
      <c r="Q1025" s="6" t="n">
        <v>-3.077503114267718</v>
      </c>
      <c r="R1025" s="6" t="n">
        <v>-0.8674613104467985</v>
      </c>
      <c r="S1025" s="6" t="n">
        <v>2.730337312645081</v>
      </c>
      <c r="T1025" s="6" t="n">
        <v>1.776809972192626</v>
      </c>
      <c r="U1025" s="6" t="n">
        <v>-1.10042786923083</v>
      </c>
      <c r="V1025" s="6" t="n">
        <v>1.05793756566097</v>
      </c>
      <c r="W1025" s="6" t="n">
        <v>0.3566200619741669</v>
      </c>
      <c r="X1025" s="6" t="n">
        <v>-0.3055969871344813</v>
      </c>
      <c r="Y1025" s="6" t="n">
        <v>-0.9922816192066689</v>
      </c>
      <c r="Z1025" s="6" t="n">
        <v>1.58437148501392</v>
      </c>
      <c r="AA1025" s="6" t="n">
        <v>-1.111055565798994</v>
      </c>
      <c r="AB1025" s="6" t="n">
        <v>0.1749763779523885</v>
      </c>
      <c r="AC1025" s="6" t="n">
        <v>3.436680771931811</v>
      </c>
      <c r="AD1025" s="6" t="n">
        <v>0.01308200866241385</v>
      </c>
      <c r="AE1025" s="6" t="n">
        <v>1.030951987964619</v>
      </c>
      <c r="AF1025" s="6" t="n">
        <v>1.018809389682462</v>
      </c>
      <c r="AG1025" s="6" t="n">
        <v>2.178175637662491</v>
      </c>
      <c r="AH1025" s="6" t="n">
        <v>3.258343164988807</v>
      </c>
      <c r="AI1025" s="6" t="n">
        <v>-0.2433613733508095</v>
      </c>
      <c r="AJ1025" s="6" t="n">
        <v>71.80021265388818</v>
      </c>
      <c r="AK1025" s="6" t="n">
        <v>0.1408198668492989</v>
      </c>
      <c r="AL1025" s="6" t="n">
        <v>1.072934184792045</v>
      </c>
      <c r="AN1025" s="6" t="n">
        <v>1.32942743567108</v>
      </c>
      <c r="AO1025" s="6" t="n">
        <v>1.32942743567108</v>
      </c>
      <c r="AP1025" s="6" t="n">
        <v>0.1296807413947648</v>
      </c>
      <c r="AQ1025" s="6" t="n">
        <v>0</v>
      </c>
      <c r="AR1025" s="6" t="n">
        <v>0</v>
      </c>
    </row>
    <row r="1026">
      <c r="D1026" t="inlineStr">
        <is>
          <t>Run 714</t>
        </is>
      </c>
      <c r="J1026" s="6" t="n">
        <v>0.3770546040921177</v>
      </c>
      <c r="K1026" s="6" t="n">
        <v>-2.014965715737098</v>
      </c>
      <c r="L1026" s="6" t="n">
        <v>0.2813714879065721</v>
      </c>
      <c r="M1026" s="6" t="n">
        <v>1.699356799908635</v>
      </c>
      <c r="N1026" s="6" t="n">
        <v>-1.433370508161147</v>
      </c>
      <c r="O1026" s="6" t="n">
        <v>1.478549836744695</v>
      </c>
      <c r="P1026" s="6" t="n">
        <v>-0.7438007127566224</v>
      </c>
      <c r="Q1026" s="6" t="n">
        <v>4.007524646229762</v>
      </c>
      <c r="R1026" s="6" t="n">
        <v>-3.131051565929988</v>
      </c>
      <c r="S1026" s="6" t="n">
        <v>-1.487668916539205</v>
      </c>
      <c r="T1026" s="6" t="n">
        <v>-1.686801392257778</v>
      </c>
      <c r="U1026" s="6" t="n">
        <v>-1.681278783625273</v>
      </c>
      <c r="V1026" s="6" t="n">
        <v>1.479752906206451</v>
      </c>
      <c r="W1026" s="6" t="n">
        <v>-1.431848285665184</v>
      </c>
      <c r="X1026" s="6" t="n">
        <v>1.629614551642457</v>
      </c>
      <c r="Y1026" s="6" t="n">
        <v>1.238032974524972</v>
      </c>
      <c r="Z1026" s="6" t="n">
        <v>-1.649540370216161</v>
      </c>
      <c r="AA1026" s="6" t="n">
        <v>-3.547730016028045</v>
      </c>
      <c r="AB1026" s="6" t="n">
        <v>0.6608119912676494</v>
      </c>
      <c r="AC1026" s="6" t="n">
        <v>-2.048553384371793</v>
      </c>
      <c r="AD1026" s="6" t="n">
        <v>2.687030721656128</v>
      </c>
      <c r="AE1026" s="6" t="n">
        <v>-0.1287066910813162</v>
      </c>
      <c r="AF1026" s="6" t="n">
        <v>1.834899410798191</v>
      </c>
      <c r="AG1026" s="6" t="n">
        <v>-1.986749668787409</v>
      </c>
      <c r="AH1026" s="6" t="n">
        <v>1.244360630034003</v>
      </c>
      <c r="AI1026" s="6" t="n">
        <v>-0.4180652179855756</v>
      </c>
      <c r="AJ1026" s="6" t="n">
        <v>63.65066297132184</v>
      </c>
      <c r="AK1026" s="6" t="n">
        <v>0.0817192606694836</v>
      </c>
      <c r="AL1026" s="6" t="n">
        <v>1.051474394921969</v>
      </c>
      <c r="AN1026" s="6" t="n">
        <v>1.343363395990582</v>
      </c>
      <c r="AO1026" s="6" t="n">
        <v>1.343363395990582</v>
      </c>
      <c r="AP1026" s="6" t="n">
        <v>0.1326503198648866</v>
      </c>
      <c r="AQ1026" s="6" t="n">
        <v>0</v>
      </c>
      <c r="AR1026" s="6" t="n">
        <v>0</v>
      </c>
    </row>
    <row r="1027">
      <c r="D1027" t="inlineStr">
        <is>
          <t>Run 715</t>
        </is>
      </c>
      <c r="J1027" s="6" t="n">
        <v>3.777782117718479</v>
      </c>
      <c r="K1027" s="6" t="n">
        <v>-1.803077473402094</v>
      </c>
      <c r="L1027" s="6" t="n">
        <v>2.687316136099586</v>
      </c>
      <c r="M1027" s="6" t="n">
        <v>-1.612605531716111</v>
      </c>
      <c r="N1027" s="6" t="n">
        <v>-1.32539737205428</v>
      </c>
      <c r="O1027" s="6" t="n">
        <v>2.449146898417408</v>
      </c>
      <c r="P1027" s="6" t="n">
        <v>-0.78813932050445</v>
      </c>
      <c r="Q1027" s="6" t="n">
        <v>-1.461033094444772</v>
      </c>
      <c r="R1027" s="6" t="n">
        <v>-1.98918412159522</v>
      </c>
      <c r="S1027" s="6" t="n">
        <v>-0.52386999271523</v>
      </c>
      <c r="T1027" s="6" t="n">
        <v>1.749532394224072</v>
      </c>
      <c r="U1027" s="6" t="n">
        <v>3.643049083001919</v>
      </c>
      <c r="V1027" s="6" t="n">
        <v>1.854490631676355</v>
      </c>
      <c r="W1027" s="6" t="n">
        <v>-1.774373040630337</v>
      </c>
      <c r="X1027" s="6" t="n">
        <v>-1.079521622980624</v>
      </c>
      <c r="Y1027" s="6" t="n">
        <v>0.9729952315043814</v>
      </c>
      <c r="Z1027" s="6" t="n">
        <v>-2.4524001879992</v>
      </c>
      <c r="AA1027" s="6" t="n">
        <v>-2.039778921198394</v>
      </c>
      <c r="AB1027" s="6" t="n">
        <v>-0.2491224837408399</v>
      </c>
      <c r="AC1027" s="6" t="n">
        <v>1.064977667051249</v>
      </c>
      <c r="AD1027" s="6" t="n">
        <v>-0.6512619688770204</v>
      </c>
      <c r="AE1027" s="6" t="n">
        <v>-2.129697214553097</v>
      </c>
      <c r="AF1027" s="6" t="n">
        <v>0.4000767814628463</v>
      </c>
      <c r="AG1027" s="6" t="n">
        <v>-2.264635222956723</v>
      </c>
      <c r="AH1027" s="6" t="n">
        <v>1.031726445997557</v>
      </c>
      <c r="AI1027" s="6" t="n">
        <v>0.6871052527105583</v>
      </c>
      <c r="AJ1027" s="6" t="n">
        <v>79.31493187998858</v>
      </c>
      <c r="AK1027" s="6" t="n">
        <v>0.09530922449807311</v>
      </c>
      <c r="AL1027" s="6" t="n">
        <v>1.040149224777538</v>
      </c>
      <c r="AN1027" s="6" t="n">
        <v>1.345385900077849</v>
      </c>
      <c r="AO1027" s="6" t="n">
        <v>1.350196281639204</v>
      </c>
      <c r="AP1027" s="6" t="n">
        <v>0.1343990780461606</v>
      </c>
      <c r="AQ1027" s="6" t="n">
        <v>0</v>
      </c>
      <c r="AR1027" s="6" t="n">
        <v>0</v>
      </c>
    </row>
    <row r="1028">
      <c r="D1028" t="inlineStr">
        <is>
          <t>Run 716</t>
        </is>
      </c>
      <c r="J1028" s="6" t="n">
        <v>3.829277787415379</v>
      </c>
      <c r="K1028" s="6" t="n">
        <v>1.411889380984294</v>
      </c>
      <c r="L1028" s="6" t="n">
        <v>2.472258295285962</v>
      </c>
      <c r="M1028" s="6" t="n">
        <v>1.457035590246265</v>
      </c>
      <c r="N1028" s="6" t="n">
        <v>0.09653487887083208</v>
      </c>
      <c r="O1028" s="6" t="n">
        <v>0.2122401787102879</v>
      </c>
      <c r="P1028" s="6" t="n">
        <v>0.5682030652637289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-1.592754748326193</v>
      </c>
      <c r="U1028" s="6" t="n">
        <v>3.065606609235577</v>
      </c>
      <c r="V1028" s="6" t="n">
        <v>2.632770780654363</v>
      </c>
      <c r="W1028" s="6" t="n">
        <v>1.756482956637378</v>
      </c>
      <c r="X1028" s="6" t="n">
        <v>-1.507331993529724</v>
      </c>
      <c r="Y1028" s="6" t="n">
        <v>1.967553836682108</v>
      </c>
      <c r="Z1028" s="6" t="n">
        <v>-0.4586676869996463</v>
      </c>
      <c r="AA1028" s="6" t="n">
        <v>-0.1933864887582068</v>
      </c>
      <c r="AB1028" s="6" t="n">
        <v>-2.594341434947574</v>
      </c>
      <c r="AC1028" s="6" t="n">
        <v>0.3934140318131057</v>
      </c>
      <c r="AD1028" s="6" t="n">
        <v>0.914573793576286</v>
      </c>
      <c r="AE1028" s="6" t="n">
        <v>-0.04694551691338553</v>
      </c>
      <c r="AF1028" s="6" t="n">
        <v>0.5966682021098865</v>
      </c>
      <c r="AG1028" s="6" t="n">
        <v>0.7608513427432687</v>
      </c>
      <c r="AH1028" s="6" t="n">
        <v>-0.7559520134878185</v>
      </c>
      <c r="AI1028" s="6" t="n">
        <v>-0.8717149396284689</v>
      </c>
      <c r="AJ1028" s="6" t="n">
        <v>77.61740074398823</v>
      </c>
      <c r="AK1028" s="6" t="n">
        <v>0.1517666798315237</v>
      </c>
      <c r="AL1028" s="6" t="n">
        <v>1.06168620827036</v>
      </c>
      <c r="AN1028" s="6" t="n">
        <v>1.340977494864542</v>
      </c>
      <c r="AO1028" s="6" t="n">
        <v>1.341448094290187</v>
      </c>
      <c r="AP1028" s="6" t="n">
        <v>0.1310455647229286</v>
      </c>
      <c r="AQ1028" s="6" t="n">
        <v>0</v>
      </c>
      <c r="AR1028" s="6" t="n">
        <v>0</v>
      </c>
    </row>
    <row r="1029">
      <c r="D1029" t="inlineStr">
        <is>
          <t>Run 717</t>
        </is>
      </c>
      <c r="J1029" s="6" t="n">
        <v>3.574186763614569</v>
      </c>
      <c r="K1029" s="6" t="n">
        <v>-0.04591370178866946</v>
      </c>
      <c r="L1029" s="6" t="n">
        <v>1.949595479464352</v>
      </c>
      <c r="M1029" s="6" t="n">
        <v>0.1492781330006707</v>
      </c>
      <c r="N1029" s="6" t="n">
        <v>3.416324154152792</v>
      </c>
      <c r="O1029" s="6" t="n">
        <v>-0.05147474280888696</v>
      </c>
      <c r="P1029" s="6" t="n">
        <v>0.5576533724949532</v>
      </c>
      <c r="Q1029" s="6" t="n">
        <v>-1.923934475839786</v>
      </c>
      <c r="R1029" s="6" t="n">
        <v>0.3625694751502104</v>
      </c>
      <c r="S1029" s="6" t="n">
        <v>2.412290251594634</v>
      </c>
      <c r="T1029" s="6" t="n">
        <v>-1.443759323528</v>
      </c>
      <c r="U1029" s="6" t="n">
        <v>2.09296287545326</v>
      </c>
      <c r="V1029" s="6" t="n">
        <v>-6.804693143313948</v>
      </c>
      <c r="W1029" s="6" t="n">
        <v>-2.493567541166314</v>
      </c>
      <c r="X1029" s="6" t="n">
        <v>1.895036649864634</v>
      </c>
      <c r="Y1029" s="6" t="n">
        <v>-0.5888378782296709</v>
      </c>
      <c r="Z1029" s="6" t="n">
        <v>0.8551466624360419</v>
      </c>
      <c r="AA1029" s="6" t="n">
        <v>2.923230828008713</v>
      </c>
      <c r="AB1029" s="6" t="n">
        <v>1.763174949038436</v>
      </c>
      <c r="AC1029" s="6" t="n">
        <v>-1.132020995955384</v>
      </c>
      <c r="AD1029" s="6" t="n">
        <v>-0.3081733144398201</v>
      </c>
      <c r="AE1029" s="6" t="n">
        <v>0.8819247806428259</v>
      </c>
      <c r="AF1029" s="6" t="n">
        <v>-0.2781282012624441</v>
      </c>
      <c r="AG1029" s="6" t="n">
        <v>0.9974053393928219</v>
      </c>
      <c r="AH1029" s="6" t="n">
        <v>-0.4686266974284171</v>
      </c>
      <c r="AI1029" s="6" t="n">
        <v>-2.529892416575213</v>
      </c>
      <c r="AJ1029" s="6" t="n">
        <v>73.24376890287776</v>
      </c>
      <c r="AK1029" s="6" t="n">
        <v>0.07754110366216847</v>
      </c>
      <c r="AL1029" s="6" t="n">
        <v>1.068779946647484</v>
      </c>
      <c r="AN1029" s="6" t="n">
        <v>1.344709492793017</v>
      </c>
      <c r="AO1029" s="6" t="n">
        <v>1.34501051772889</v>
      </c>
      <c r="AP1029" s="6" t="n">
        <v>0.1317319601457328</v>
      </c>
      <c r="AQ1029" s="6" t="n">
        <v>0</v>
      </c>
      <c r="AR1029" s="6" t="n">
        <v>0</v>
      </c>
    </row>
    <row r="1030">
      <c r="D1030" t="inlineStr">
        <is>
          <t>Run 718</t>
        </is>
      </c>
      <c r="J1030" s="6" t="n">
        <v>-0.5858271363982972</v>
      </c>
      <c r="K1030" s="6" t="n">
        <v>-2.438832124795555</v>
      </c>
      <c r="L1030" s="6" t="n">
        <v>-1.85903490461394</v>
      </c>
      <c r="M1030" s="6" t="n">
        <v>-1.100350818187313</v>
      </c>
      <c r="N1030" s="6" t="n">
        <v>0.5329866781673271</v>
      </c>
      <c r="O1030" s="6" t="n">
        <v>-1.137455889550202</v>
      </c>
      <c r="P1030" s="6" t="n">
        <v>4.217384386599019</v>
      </c>
      <c r="Q1030" s="6" t="n">
        <v>-2.371578472818301</v>
      </c>
      <c r="R1030" s="6" t="n">
        <v>0.1646917929127322</v>
      </c>
      <c r="S1030" s="6" t="n">
        <v>4.037507790535571</v>
      </c>
      <c r="T1030" s="6" t="n">
        <v>0.5448384743238029</v>
      </c>
      <c r="U1030" s="6" t="n">
        <v>-0.6430915769885256</v>
      </c>
      <c r="V1030" s="6" t="n">
        <v>1.007073817076221</v>
      </c>
      <c r="W1030" s="6" t="n">
        <v>0.3340992903468023</v>
      </c>
      <c r="X1030" s="6" t="n">
        <v>1.503403038582831</v>
      </c>
      <c r="Y1030" s="6" t="n">
        <v>-2.847312361045828</v>
      </c>
      <c r="Z1030" s="6" t="n">
        <v>-0.4724154411192357</v>
      </c>
      <c r="AA1030" s="6" t="n">
        <v>0.9180591095054188</v>
      </c>
      <c r="AB1030" s="6" t="n">
        <v>1.738848454196249</v>
      </c>
      <c r="AC1030" s="6" t="n">
        <v>1.379741319256972</v>
      </c>
      <c r="AD1030" s="6" t="n">
        <v>2.4343385034093</v>
      </c>
      <c r="AE1030" s="6" t="n">
        <v>0.9454241641688947</v>
      </c>
      <c r="AF1030" s="6" t="n">
        <v>-0.1444566825557853</v>
      </c>
      <c r="AG1030" s="6" t="n">
        <v>-0.5107870717319727</v>
      </c>
      <c r="AH1030" s="6" t="n">
        <v>-0.9984947108087384</v>
      </c>
      <c r="AI1030" s="6" t="n">
        <v>1.451998202433004</v>
      </c>
      <c r="AJ1030" s="6" t="n">
        <v>83.80366514452804</v>
      </c>
      <c r="AK1030" s="6" t="n">
        <v>0.08099915317618109</v>
      </c>
      <c r="AL1030" s="6" t="n">
        <v>1.026341745139447</v>
      </c>
      <c r="AN1030" s="6" t="n">
        <v>1.358819503764993</v>
      </c>
      <c r="AO1030" s="6" t="n">
        <v>1.358819503764993</v>
      </c>
      <c r="AP1030" s="6" t="n">
        <v>0.1367380121025193</v>
      </c>
      <c r="AQ1030" s="6" t="n">
        <v>0</v>
      </c>
      <c r="AR1030" s="6" t="n">
        <v>0</v>
      </c>
    </row>
    <row r="1031">
      <c r="D1031" t="inlineStr">
        <is>
          <t>Run 719</t>
        </is>
      </c>
      <c r="J1031" s="6" t="n">
        <v>-2.700121166441821</v>
      </c>
      <c r="K1031" s="6" t="n">
        <v>-1.732429340681403</v>
      </c>
      <c r="L1031" s="6" t="n">
        <v>2.127724487741946</v>
      </c>
      <c r="M1031" s="6" t="n">
        <v>-2.187211953588807</v>
      </c>
      <c r="N1031" s="6" t="n">
        <v>1.226324360460363</v>
      </c>
      <c r="O1031" s="6" t="n">
        <v>-0.9899360422664812</v>
      </c>
      <c r="P1031" s="6" t="n">
        <v>0.9586273579400009</v>
      </c>
      <c r="Q1031" s="6" t="n">
        <v>1.0349795625603</v>
      </c>
      <c r="R1031" s="6" t="n">
        <v>-0.1344990090024913</v>
      </c>
      <c r="S1031" s="6" t="n">
        <v>-0.657467534318686</v>
      </c>
      <c r="T1031" s="6" t="n">
        <v>0.5186246684602827</v>
      </c>
      <c r="U1031" s="6" t="n">
        <v>0.9486898897804422</v>
      </c>
      <c r="V1031" s="6" t="n">
        <v>0.1539041560969987</v>
      </c>
      <c r="W1031" s="6" t="n">
        <v>4.483262346437516</v>
      </c>
      <c r="X1031" s="6" t="n">
        <v>1.950978247244402</v>
      </c>
      <c r="Y1031" s="6" t="n">
        <v>-0.7271189467220075</v>
      </c>
      <c r="Z1031" s="6" t="n">
        <v>-1.674549999493524</v>
      </c>
      <c r="AA1031" s="6" t="n">
        <v>2.763347029197529</v>
      </c>
      <c r="AB1031" s="6" t="n">
        <v>-1.048773819595333</v>
      </c>
      <c r="AC1031" s="6" t="n">
        <v>-2.190106022710863</v>
      </c>
      <c r="AD1031" s="6" t="n">
        <v>2.001346669404397</v>
      </c>
      <c r="AE1031" s="6" t="n">
        <v>-0.2004710542258188</v>
      </c>
      <c r="AF1031" s="6" t="n">
        <v>-1.327163094784044</v>
      </c>
      <c r="AG1031" s="6" t="n">
        <v>3.4227057289862</v>
      </c>
      <c r="AH1031" s="6" t="n">
        <v>1.231840396954669</v>
      </c>
      <c r="AI1031" s="6" t="n">
        <v>-2.319540156166631</v>
      </c>
      <c r="AJ1031" s="6" t="n">
        <v>68.84915602540779</v>
      </c>
      <c r="AK1031" s="6" t="n">
        <v>0.1437365168922221</v>
      </c>
      <c r="AL1031" s="6" t="n">
        <v>1.016930756051444</v>
      </c>
      <c r="AN1031" s="6" t="n">
        <v>1.336810886127735</v>
      </c>
      <c r="AO1031" s="6" t="n">
        <v>1.344358554128391</v>
      </c>
      <c r="AP1031" s="6" t="n">
        <v>0.135171102387096</v>
      </c>
      <c r="AQ1031" s="6" t="n">
        <v>0</v>
      </c>
      <c r="AR1031" s="6" t="n">
        <v>0</v>
      </c>
    </row>
    <row r="1032">
      <c r="D1032" t="inlineStr">
        <is>
          <t>Run 720</t>
        </is>
      </c>
      <c r="J1032" s="6" t="n">
        <v>1.313240386484476</v>
      </c>
      <c r="K1032" s="6" t="n">
        <v>2.313070107930885</v>
      </c>
      <c r="L1032" s="6" t="n">
        <v>2.905373207218084</v>
      </c>
      <c r="M1032" s="6" t="n">
        <v>0.5646505981805821</v>
      </c>
      <c r="N1032" s="6" t="n">
        <v>-0.3094085575882896</v>
      </c>
      <c r="O1032" s="6" t="n">
        <v>-1.631080284504269</v>
      </c>
      <c r="P1032" s="6" t="n">
        <v>4.527828526204934</v>
      </c>
      <c r="Q1032" s="6" t="n">
        <v>-3.231537435501938</v>
      </c>
      <c r="R1032" s="6" t="n">
        <v>-1.476617987106832</v>
      </c>
      <c r="S1032" s="6" t="n">
        <v>0.2898928238905958</v>
      </c>
      <c r="T1032" s="6" t="n">
        <v>2.322433252075491</v>
      </c>
      <c r="U1032" s="6" t="n">
        <v>0.6667489806611644</v>
      </c>
      <c r="V1032" s="6" t="n">
        <v>-1.786464348759699</v>
      </c>
      <c r="W1032" s="6" t="n">
        <v>1.017949824009404</v>
      </c>
      <c r="X1032" s="6" t="n">
        <v>0.9873079324796565</v>
      </c>
      <c r="Y1032" s="6" t="n">
        <v>-1.069148877696853</v>
      </c>
      <c r="Z1032" s="6" t="n">
        <v>0.2851683348885384</v>
      </c>
      <c r="AA1032" s="6" t="n">
        <v>0.6513582126082749</v>
      </c>
      <c r="AB1032" s="6" t="n">
        <v>-2.193518886780793</v>
      </c>
      <c r="AC1032" s="6" t="n">
        <v>1.108487100912452</v>
      </c>
      <c r="AD1032" s="6" t="n">
        <v>0.9396651165805147</v>
      </c>
      <c r="AE1032" s="6" t="n">
        <v>1.007341777053944</v>
      </c>
      <c r="AF1032" s="6" t="n">
        <v>0.3939992342943978</v>
      </c>
      <c r="AG1032" s="6" t="n">
        <v>-1.042424889686407</v>
      </c>
      <c r="AH1032" s="6" t="n">
        <v>-0.1252982625410799</v>
      </c>
      <c r="AI1032" s="6" t="n">
        <v>1.043000028322495</v>
      </c>
      <c r="AJ1032" s="6" t="n">
        <v>78.27416623942379</v>
      </c>
      <c r="AK1032" s="6" t="n">
        <v>0.1475664260014617</v>
      </c>
      <c r="AL1032" s="6" t="n">
        <v>1.031984928951853</v>
      </c>
      <c r="AN1032" s="6" t="n">
        <v>1.352271017214421</v>
      </c>
      <c r="AO1032" s="6" t="n">
        <v>1.352429902426008</v>
      </c>
      <c r="AP1032" s="6" t="n">
        <v>0.1336359340372748</v>
      </c>
      <c r="AQ1032" s="6" t="n">
        <v>0</v>
      </c>
      <c r="AR1032" s="6" t="n">
        <v>0</v>
      </c>
    </row>
    <row r="1033">
      <c r="D1033" t="inlineStr">
        <is>
          <t>Run 721</t>
        </is>
      </c>
      <c r="J1033" s="6" t="n">
        <v>-0.2587312569734788</v>
      </c>
      <c r="K1033" s="6" t="n">
        <v>1.606370467917609</v>
      </c>
      <c r="L1033" s="6" t="n">
        <v>-1.136541306323996</v>
      </c>
      <c r="M1033" s="6" t="n">
        <v>-0.5276059636229239</v>
      </c>
      <c r="N1033" s="6" t="n">
        <v>-0.8977894577234554</v>
      </c>
      <c r="O1033" s="6" t="n">
        <v>5</v>
      </c>
      <c r="P1033" s="6" t="n">
        <v>-1.945361643251573</v>
      </c>
      <c r="Q1033" s="6" t="n">
        <v>-1.786060182856697</v>
      </c>
      <c r="R1033" s="6" t="n">
        <v>1.687406008741779</v>
      </c>
      <c r="S1033" s="6" t="n">
        <v>-2.494674242193364</v>
      </c>
      <c r="T1033" s="6" t="n">
        <v>-1.725259380421523</v>
      </c>
      <c r="U1033" s="6" t="n">
        <v>-1.762769660695592</v>
      </c>
      <c r="V1033" s="6" t="n">
        <v>-1.613529343908344</v>
      </c>
      <c r="W1033" s="6" t="n">
        <v>-0.7905179866897055</v>
      </c>
      <c r="X1033" s="6" t="n">
        <v>-0.6664643201465598</v>
      </c>
      <c r="Y1033" s="6" t="n">
        <v>1.683909732506153</v>
      </c>
      <c r="Z1033" s="6" t="n">
        <v>-1.295907057651095</v>
      </c>
      <c r="AA1033" s="6" t="n">
        <v>1.98762416728962</v>
      </c>
      <c r="AB1033" s="6" t="n">
        <v>1.986250274138457</v>
      </c>
      <c r="AC1033" s="6" t="n">
        <v>2.13412090719852</v>
      </c>
      <c r="AD1033" s="6" t="n">
        <v>-2.303396611949782</v>
      </c>
      <c r="AE1033" s="6" t="n">
        <v>-4.696257517538105</v>
      </c>
      <c r="AF1033" s="6" t="n">
        <v>0.2132657895503528</v>
      </c>
      <c r="AG1033" s="6" t="n">
        <v>-1.378205782823557</v>
      </c>
      <c r="AH1033" s="6" t="n">
        <v>-2.030299436085043</v>
      </c>
      <c r="AI1033" s="6" t="n">
        <v>3.408194295666946</v>
      </c>
      <c r="AJ1033" s="6" t="n">
        <v>78.08614269463843</v>
      </c>
      <c r="AK1033" s="6" t="n">
        <v>0.1266834803746075</v>
      </c>
      <c r="AL1033" s="6" t="n">
        <v>0.9944055141176631</v>
      </c>
      <c r="AN1033" s="6" t="n">
        <v>1.360760708246761</v>
      </c>
      <c r="AO1033" s="6" t="n">
        <v>1.360760708246761</v>
      </c>
      <c r="AP1033" s="6" t="n">
        <v>0.1403687852536917</v>
      </c>
      <c r="AQ1033" s="6" t="n">
        <v>0</v>
      </c>
      <c r="AR1033" s="6" t="n">
        <v>0</v>
      </c>
    </row>
    <row r="1034">
      <c r="D1034" t="inlineStr">
        <is>
          <t>Run 722</t>
        </is>
      </c>
      <c r="J1034" s="6" t="n">
        <v>1.63734710714094</v>
      </c>
      <c r="K1034" s="6" t="n">
        <v>0.2556339887372121</v>
      </c>
      <c r="L1034" s="6" t="n">
        <v>0.1053731044121521</v>
      </c>
      <c r="M1034" s="6" t="n">
        <v>-1.616803811829194</v>
      </c>
      <c r="N1034" s="6" t="n">
        <v>0.47274641319754</v>
      </c>
      <c r="O1034" s="6" t="n">
        <v>0.9298658064254303</v>
      </c>
      <c r="P1034" s="6" t="n">
        <v>2.129950703966479</v>
      </c>
      <c r="Q1034" s="6" t="n">
        <v>1.736876162121586</v>
      </c>
      <c r="R1034" s="6" t="n">
        <v>-0.5799163582169339</v>
      </c>
      <c r="S1034" s="6" t="n">
        <v>-3.691985709767448</v>
      </c>
      <c r="T1034" s="6" t="n">
        <v>0.7048693221365309</v>
      </c>
      <c r="U1034" s="6" t="n">
        <v>1.833647845307903</v>
      </c>
      <c r="V1034" s="6" t="n">
        <v>2.647080820521417</v>
      </c>
      <c r="W1034" s="6" t="n">
        <v>1.294601270876673</v>
      </c>
      <c r="X1034" s="6" t="n">
        <v>-0.6775545723563352</v>
      </c>
      <c r="Y1034" s="6" t="n">
        <v>-2.016692487955501</v>
      </c>
      <c r="Z1034" s="6" t="n">
        <v>-4.616651432967129</v>
      </c>
      <c r="AA1034" s="6" t="n">
        <v>-1.281157132021508</v>
      </c>
      <c r="AB1034" s="6" t="n">
        <v>0.294355597354425</v>
      </c>
      <c r="AC1034" s="6" t="n">
        <v>1.451052049403776</v>
      </c>
      <c r="AD1034" s="6" t="n">
        <v>2.793071095919246</v>
      </c>
      <c r="AE1034" s="6" t="n">
        <v>0.4335836133467718</v>
      </c>
      <c r="AF1034" s="6" t="n">
        <v>1.46761566774195</v>
      </c>
      <c r="AG1034" s="6" t="n">
        <v>-0.1898365010802063</v>
      </c>
      <c r="AH1034" s="6" t="n">
        <v>-0.8301359531179765</v>
      </c>
      <c r="AI1034" s="6" t="n">
        <v>2.110500161541078</v>
      </c>
      <c r="AJ1034" s="6" t="n">
        <v>69.345798062935</v>
      </c>
      <c r="AK1034" s="6" t="n">
        <v>0.1812750128780744</v>
      </c>
      <c r="AL1034" s="6" t="n">
        <v>1.057290264065438</v>
      </c>
      <c r="AN1034" s="6" t="n">
        <v>1.330299281698044</v>
      </c>
      <c r="AO1034" s="6" t="n">
        <v>1.334031594019173</v>
      </c>
      <c r="AP1034" s="6" t="n">
        <v>0.1300362703644564</v>
      </c>
      <c r="AQ1034" s="6" t="n">
        <v>0</v>
      </c>
      <c r="AR1034" s="6" t="n">
        <v>0</v>
      </c>
    </row>
    <row r="1035">
      <c r="D1035" t="inlineStr">
        <is>
          <t>Run 723</t>
        </is>
      </c>
      <c r="J1035" s="6" t="n">
        <v>-1.05923500295827</v>
      </c>
      <c r="K1035" s="6" t="n">
        <v>0.08965280917371568</v>
      </c>
      <c r="L1035" s="6" t="n">
        <v>-1.635402069424804</v>
      </c>
      <c r="M1035" s="6" t="n">
        <v>0.7711840113900791</v>
      </c>
      <c r="N1035" s="6" t="n">
        <v>-5.236624016562311</v>
      </c>
      <c r="O1035" s="6" t="n">
        <v>1.402531272530085</v>
      </c>
      <c r="P1035" s="6" t="n">
        <v>0.3047198327654098</v>
      </c>
      <c r="Q1035" s="6" t="n">
        <v>1.934218578101956</v>
      </c>
      <c r="R1035" s="6" t="n">
        <v>-1.808610117574865</v>
      </c>
      <c r="S1035" s="6" t="n">
        <v>0.9188836478521034</v>
      </c>
      <c r="T1035" s="6" t="n">
        <v>0.6453089376973752</v>
      </c>
      <c r="U1035" s="6" t="n">
        <v>-0.6162981087791676</v>
      </c>
      <c r="V1035" s="6" t="n">
        <v>-1.410731239650166</v>
      </c>
      <c r="W1035" s="6" t="n">
        <v>0.5368262424159191</v>
      </c>
      <c r="X1035" s="6" t="n">
        <v>-1.24757262871693</v>
      </c>
      <c r="Y1035" s="6" t="n">
        <v>-2.232434218327015</v>
      </c>
      <c r="Z1035" s="6" t="n">
        <v>2.539846405557235</v>
      </c>
      <c r="AA1035" s="6" t="n">
        <v>0.4130692061844495</v>
      </c>
      <c r="AB1035" s="6" t="n">
        <v>-0.6034019136425127</v>
      </c>
      <c r="AC1035" s="6" t="n">
        <v>-1.772208779101073</v>
      </c>
      <c r="AD1035" s="6" t="n">
        <v>3.321385645687656</v>
      </c>
      <c r="AE1035" s="6" t="n">
        <v>-0.2103181478834914</v>
      </c>
      <c r="AF1035" s="6" t="n">
        <v>-0.9106586469600904</v>
      </c>
      <c r="AG1035" s="6" t="n">
        <v>-0.2913774147766166</v>
      </c>
      <c r="AH1035" s="6" t="n">
        <v>0.1224719729824163</v>
      </c>
      <c r="AI1035" s="6" t="n">
        <v>0.7416019970079565</v>
      </c>
      <c r="AJ1035" s="6" t="n">
        <v>62.94492799079139</v>
      </c>
      <c r="AK1035" s="6" t="n">
        <v>0.1181187412018417</v>
      </c>
      <c r="AL1035" s="6" t="n">
        <v>1.063987360342832</v>
      </c>
      <c r="AN1035" s="6" t="n">
        <v>1.327118347830713</v>
      </c>
      <c r="AO1035" s="6" t="n">
        <v>1.332554157182055</v>
      </c>
      <c r="AP1035" s="6" t="n">
        <v>0.1308418743444886</v>
      </c>
      <c r="AQ1035" s="6" t="n">
        <v>0</v>
      </c>
      <c r="AR1035" s="6" t="n">
        <v>0</v>
      </c>
    </row>
    <row r="1036">
      <c r="D1036" t="inlineStr">
        <is>
          <t>Run 724</t>
        </is>
      </c>
      <c r="J1036" s="6" t="n">
        <v>-2.917280749277285</v>
      </c>
      <c r="K1036" s="6" t="n">
        <v>-4.38297249576205</v>
      </c>
      <c r="L1036" s="6" t="n">
        <v>0.627403475990588</v>
      </c>
      <c r="M1036" s="6" t="n">
        <v>-2.789125188575721</v>
      </c>
      <c r="N1036" s="6" t="n">
        <v>1.231264396123436</v>
      </c>
      <c r="O1036" s="6" t="n">
        <v>2.092212398877689</v>
      </c>
      <c r="P1036" s="6" t="n">
        <v>1.953290297238022</v>
      </c>
      <c r="Q1036" s="6" t="n">
        <v>2.571516266777587</v>
      </c>
      <c r="R1036" s="6" t="n">
        <v>3.802278881483091</v>
      </c>
      <c r="S1036" s="6" t="n">
        <v>0.8154528512125686</v>
      </c>
      <c r="T1036" s="6" t="n">
        <v>-1.727976396587432</v>
      </c>
      <c r="U1036" s="6" t="n">
        <v>0.7635962298036613</v>
      </c>
      <c r="V1036" s="6" t="n">
        <v>1.371861707003553</v>
      </c>
      <c r="W1036" s="6" t="n">
        <v>-3.465932369389143</v>
      </c>
      <c r="X1036" s="6" t="n">
        <v>1.243427464093296</v>
      </c>
      <c r="Y1036" s="6" t="n">
        <v>-3.053504978936528</v>
      </c>
      <c r="Z1036" s="6" t="n">
        <v>3.259832910662604</v>
      </c>
      <c r="AA1036" s="6" t="n">
        <v>1.939751978293373</v>
      </c>
      <c r="AB1036" s="6" t="n">
        <v>0.7950219323016742</v>
      </c>
      <c r="AC1036" s="6" t="n">
        <v>-0.2074907923152817</v>
      </c>
      <c r="AD1036" s="6" t="n">
        <v>0.008376857310982202</v>
      </c>
      <c r="AE1036" s="6" t="n">
        <v>-0.6653103188330411</v>
      </c>
      <c r="AF1036" s="6" t="n">
        <v>-1.284473963490901</v>
      </c>
      <c r="AG1036" s="6" t="n">
        <v>-0.8297035098296808</v>
      </c>
      <c r="AH1036" s="6" t="n">
        <v>-0.5884888362455684</v>
      </c>
      <c r="AI1036" s="6" t="n">
        <v>1.125456885791314</v>
      </c>
      <c r="AJ1036" s="6" t="n">
        <v>66.9222296399435</v>
      </c>
      <c r="AK1036" s="6" t="n">
        <v>0.1762335182535376</v>
      </c>
      <c r="AL1036" s="6" t="n">
        <v>1.031720397121318</v>
      </c>
      <c r="AN1036" s="6" t="n">
        <v>1.320249756702711</v>
      </c>
      <c r="AO1036" s="6" t="n">
        <v>1.330497329517422</v>
      </c>
      <c r="AP1036" s="6" t="n">
        <v>0.1321431762565506</v>
      </c>
      <c r="AQ1036" s="6" t="n">
        <v>0</v>
      </c>
      <c r="AR1036" s="6" t="n">
        <v>0</v>
      </c>
    </row>
    <row r="1037">
      <c r="D1037" t="inlineStr">
        <is>
          <t>Run 725</t>
        </is>
      </c>
      <c r="J1037" s="6" t="n">
        <v>0.2907412673375806</v>
      </c>
      <c r="K1037" s="6" t="n">
        <v>-0.1217375445914806</v>
      </c>
      <c r="L1037" s="6" t="n">
        <v>-1.410780647221173</v>
      </c>
      <c r="M1037" s="6" t="n">
        <v>-2.554010295321109</v>
      </c>
      <c r="N1037" s="6" t="n">
        <v>3.501700129964678</v>
      </c>
      <c r="O1037" s="6" t="n">
        <v>3.448278815692418</v>
      </c>
      <c r="P1037" s="6" t="n">
        <v>-4.18939501134259</v>
      </c>
      <c r="Q1037" s="6" t="n">
        <v>0.3083638933464962</v>
      </c>
      <c r="R1037" s="6" t="n">
        <v>-2.923504764983579</v>
      </c>
      <c r="S1037" s="6" t="n">
        <v>-3.843349375766773</v>
      </c>
      <c r="T1037" s="6" t="n">
        <v>-0.829976892657038</v>
      </c>
      <c r="U1037" s="6" t="n">
        <v>5</v>
      </c>
      <c r="V1037" s="6" t="n">
        <v>0.7684354913186598</v>
      </c>
      <c r="W1037" s="6" t="n">
        <v>-0.005636960538446013</v>
      </c>
      <c r="X1037" s="6" t="n">
        <v>3.736589685336925</v>
      </c>
      <c r="Y1037" s="6" t="n">
        <v>2.197345776255443</v>
      </c>
      <c r="Z1037" s="6" t="n">
        <v>2.689830862008455</v>
      </c>
      <c r="AA1037" s="6" t="n">
        <v>1.340722642410068</v>
      </c>
      <c r="AB1037" s="6" t="n">
        <v>1.0377941432576</v>
      </c>
      <c r="AC1037" s="6" t="n">
        <v>-3.296398690848955</v>
      </c>
      <c r="AD1037" s="6" t="n">
        <v>0.4670432827045595</v>
      </c>
      <c r="AE1037" s="6" t="n">
        <v>1.908513924827822</v>
      </c>
      <c r="AF1037" s="6" t="n">
        <v>-1.845548959877594</v>
      </c>
      <c r="AG1037" s="6" t="n">
        <v>-2.478319960138502</v>
      </c>
      <c r="AH1037" s="6" t="n">
        <v>-1.523764283559566</v>
      </c>
      <c r="AI1037" s="6" t="n">
        <v>1.763201139867592</v>
      </c>
      <c r="AJ1037" s="6" t="n">
        <v>67.37051052500159</v>
      </c>
      <c r="AK1037" s="6" t="n">
        <v>0.1263349490477133</v>
      </c>
      <c r="AL1037" s="6" t="n">
        <v>1.062892819257211</v>
      </c>
      <c r="AN1037" s="6" t="n">
        <v>1.317965657651504</v>
      </c>
      <c r="AO1037" s="6" t="n">
        <v>1.326063005142573</v>
      </c>
      <c r="AP1037" s="6" t="n">
        <v>0.130703383300638</v>
      </c>
      <c r="AQ1037" s="6" t="n">
        <v>0</v>
      </c>
      <c r="AR1037" s="6" t="n">
        <v>0</v>
      </c>
    </row>
    <row r="1038">
      <c r="D1038" t="inlineStr">
        <is>
          <t>Run 726</t>
        </is>
      </c>
      <c r="J1038" s="6" t="n">
        <v>-0.6157630371827824</v>
      </c>
      <c r="K1038" s="6" t="n">
        <v>3.919871365205462</v>
      </c>
      <c r="L1038" s="6" t="n">
        <v>3.073639484661719</v>
      </c>
      <c r="M1038" s="6" t="n">
        <v>2.904593947627121</v>
      </c>
      <c r="N1038" s="6" t="n">
        <v>1.926730861642882</v>
      </c>
      <c r="O1038" s="6" t="n">
        <v>-0.9773565204959952</v>
      </c>
      <c r="P1038" s="6" t="n">
        <v>0.3192283890960783</v>
      </c>
      <c r="Q1038" s="6" t="n">
        <v>3.299126003821008</v>
      </c>
      <c r="R1038" s="6" t="n">
        <v>-0.5473363366704647</v>
      </c>
      <c r="S1038" s="6" t="n">
        <v>-2.681952812479754</v>
      </c>
      <c r="T1038" s="6" t="n">
        <v>-2.359781018135618</v>
      </c>
      <c r="U1038" s="6" t="n">
        <v>-1.484471795341702</v>
      </c>
      <c r="V1038" s="6" t="n">
        <v>-1.064447477338068</v>
      </c>
      <c r="W1038" s="6" t="n">
        <v>2.65666688330425</v>
      </c>
      <c r="X1038" s="6" t="n">
        <v>0.1243834132562926</v>
      </c>
      <c r="Y1038" s="6" t="n">
        <v>-1.132872250698711</v>
      </c>
      <c r="Z1038" s="6" t="n">
        <v>1.6706671345604</v>
      </c>
      <c r="AA1038" s="6" t="n">
        <v>-0.6635465261512552</v>
      </c>
      <c r="AB1038" s="6" t="n">
        <v>-3.112216422634503</v>
      </c>
      <c r="AC1038" s="6" t="n">
        <v>-0.5391689920744021</v>
      </c>
      <c r="AD1038" s="6" t="n">
        <v>0.5203790635515128</v>
      </c>
      <c r="AE1038" s="6" t="n">
        <v>-2.221844060070595</v>
      </c>
      <c r="AF1038" s="6" t="n">
        <v>-1.699871644863644</v>
      </c>
      <c r="AG1038" s="6" t="n">
        <v>-1.311852293017212</v>
      </c>
      <c r="AH1038" s="6" t="n">
        <v>-2.940777270370194</v>
      </c>
      <c r="AI1038" s="6" t="n">
        <v>2.067746358080274</v>
      </c>
      <c r="AJ1038" s="6" t="n">
        <v>74.85585314285998</v>
      </c>
      <c r="AK1038" s="6" t="n">
        <v>0.2117376647431762</v>
      </c>
      <c r="AL1038" s="6" t="n">
        <v>1.066427190383413</v>
      </c>
      <c r="AN1038" s="6" t="n">
        <v>1.331498174310749</v>
      </c>
      <c r="AO1038" s="6" t="n">
        <v>1.332623858917944</v>
      </c>
      <c r="AP1038" s="6" t="n">
        <v>0.1290779628718083</v>
      </c>
      <c r="AQ1038" s="6" t="n">
        <v>0</v>
      </c>
      <c r="AR1038" s="6" t="n">
        <v>0</v>
      </c>
    </row>
    <row r="1039">
      <c r="D1039" t="inlineStr">
        <is>
          <t>Run 727</t>
        </is>
      </c>
      <c r="J1039" s="6" t="n">
        <v>-0.5505640864420254</v>
      </c>
      <c r="K1039" s="6" t="n">
        <v>-2.89476194802251</v>
      </c>
      <c r="L1039" s="6" t="n">
        <v>0.3130447525352788</v>
      </c>
      <c r="M1039" s="6" t="n">
        <v>-0.6795485137825282</v>
      </c>
      <c r="N1039" s="6" t="n">
        <v>-0.485781979930183</v>
      </c>
      <c r="O1039" s="6" t="n">
        <v>0.1309993050181448</v>
      </c>
      <c r="P1039" s="6" t="n">
        <v>-0.6096284559576868</v>
      </c>
      <c r="Q1039" s="6" t="n">
        <v>1.190882439969252</v>
      </c>
      <c r="R1039" s="6" t="n">
        <v>-3.032337096038889</v>
      </c>
      <c r="S1039" s="6" t="n">
        <v>5</v>
      </c>
      <c r="T1039" s="6" t="n">
        <v>1.469052771632404</v>
      </c>
      <c r="U1039" s="6" t="n">
        <v>0.1761403186934714</v>
      </c>
      <c r="V1039" s="6" t="n">
        <v>-2.576411364296252</v>
      </c>
      <c r="W1039" s="6" t="n">
        <v>-0.9729793966954452</v>
      </c>
      <c r="X1039" s="6" t="n">
        <v>0.7659874086663736</v>
      </c>
      <c r="Y1039" s="6" t="n">
        <v>-1.881596546056395</v>
      </c>
      <c r="Z1039" s="6" t="n">
        <v>-0.8854177882140094</v>
      </c>
      <c r="AA1039" s="6" t="n">
        <v>0.6318563053178655</v>
      </c>
      <c r="AB1039" s="6" t="n">
        <v>1.160512266310027</v>
      </c>
      <c r="AC1039" s="6" t="n">
        <v>0.1824491310472146</v>
      </c>
      <c r="AD1039" s="6" t="n">
        <v>0.6663566061961304</v>
      </c>
      <c r="AE1039" s="6" t="n">
        <v>-3.943532214779001</v>
      </c>
      <c r="AF1039" s="6" t="n">
        <v>0.000854280765609208</v>
      </c>
      <c r="AG1039" s="6" t="n">
        <v>-1.860070290989383</v>
      </c>
      <c r="AH1039" s="6" t="n">
        <v>2.482449911437946</v>
      </c>
      <c r="AI1039" s="6" t="n">
        <v>-2.608279771311431</v>
      </c>
      <c r="AJ1039" s="6" t="n">
        <v>71.13662138318188</v>
      </c>
      <c r="AK1039" s="6" t="n">
        <v>0.0386214694522595</v>
      </c>
      <c r="AL1039" s="6" t="n">
        <v>1.067620610378253</v>
      </c>
      <c r="AN1039" s="6" t="n">
        <v>1.346521127298186</v>
      </c>
      <c r="AO1039" s="6" t="n">
        <v>1.346521127298186</v>
      </c>
      <c r="AP1039" s="6" t="n">
        <v>0.1330879870118402</v>
      </c>
      <c r="AQ1039" s="6" t="n">
        <v>0</v>
      </c>
      <c r="AR1039" s="6" t="n">
        <v>0</v>
      </c>
    </row>
    <row r="1040">
      <c r="D1040" t="inlineStr">
        <is>
          <t>Run 728</t>
        </is>
      </c>
      <c r="J1040" s="6" t="n">
        <v>-0.4769001989771259</v>
      </c>
      <c r="K1040" s="6" t="n">
        <v>1.927930417939333</v>
      </c>
      <c r="L1040" s="6" t="n">
        <v>-1.491700776564069</v>
      </c>
      <c r="M1040" s="6" t="n">
        <v>1.310408962496028</v>
      </c>
      <c r="N1040" s="6" t="n">
        <v>1.331467947445536</v>
      </c>
      <c r="O1040" s="6" t="n">
        <v>3.307815122794415</v>
      </c>
      <c r="P1040" s="6" t="n">
        <v>-0.1130621032564361</v>
      </c>
      <c r="Q1040" s="6" t="n">
        <v>-2.087797232403762</v>
      </c>
      <c r="R1040" s="6" t="n">
        <v>2.663844109657361</v>
      </c>
      <c r="S1040" s="6" t="n">
        <v>-0.009536874314268471</v>
      </c>
      <c r="T1040" s="6" t="n">
        <v>-1.931121170748546</v>
      </c>
      <c r="U1040" s="6" t="n">
        <v>2.952922219258071</v>
      </c>
      <c r="V1040" s="6" t="n">
        <v>0.3275274759915329</v>
      </c>
      <c r="W1040" s="6" t="n">
        <v>0.9011781147611279</v>
      </c>
      <c r="X1040" s="6" t="n">
        <v>2.724537643642243</v>
      </c>
      <c r="Y1040" s="6" t="n">
        <v>0.01748106233587532</v>
      </c>
      <c r="Z1040" s="6" t="n">
        <v>2.895790431670283</v>
      </c>
      <c r="AA1040" s="6" t="n">
        <v>0.005954502676454258</v>
      </c>
      <c r="AB1040" s="6" t="n">
        <v>1.102964387152402</v>
      </c>
      <c r="AC1040" s="6" t="n">
        <v>-1.638805421061184</v>
      </c>
      <c r="AD1040" s="6" t="n">
        <v>-1.222281806934223</v>
      </c>
      <c r="AE1040" s="6" t="n">
        <v>-1.474727979659151</v>
      </c>
      <c r="AF1040" s="6" t="n">
        <v>-2.140994768530862</v>
      </c>
      <c r="AG1040" s="6" t="n">
        <v>-0.399420622504411</v>
      </c>
      <c r="AH1040" s="6" t="n">
        <v>-0.6198636007563488</v>
      </c>
      <c r="AI1040" s="6" t="n">
        <v>3.422142743683258</v>
      </c>
      <c r="AJ1040" s="6" t="n">
        <v>75.301295596454</v>
      </c>
      <c r="AK1040" s="6" t="n">
        <v>0.1560525724320241</v>
      </c>
      <c r="AL1040" s="6" t="n">
        <v>1.047644048386449</v>
      </c>
      <c r="AN1040" s="6" t="n">
        <v>1.344996974446953</v>
      </c>
      <c r="AO1040" s="6" t="n">
        <v>1.345255780047356</v>
      </c>
      <c r="AP1040" s="6" t="n">
        <v>0.1317871123907809</v>
      </c>
      <c r="AQ1040" s="6" t="n">
        <v>0</v>
      </c>
      <c r="AR1040" s="6" t="n">
        <v>0</v>
      </c>
    </row>
    <row r="1041">
      <c r="D1041" t="inlineStr">
        <is>
          <t>Run 729</t>
        </is>
      </c>
      <c r="J1041" s="6" t="n">
        <v>-3.69921561545079</v>
      </c>
      <c r="K1041" s="6" t="n">
        <v>-2.943100067250545</v>
      </c>
      <c r="L1041" s="6" t="n">
        <v>-2.112476517481022</v>
      </c>
      <c r="M1041" s="6" t="n">
        <v>-3.919843785936524</v>
      </c>
      <c r="N1041" s="6" t="n">
        <v>-2.850784553902474</v>
      </c>
      <c r="O1041" s="6" t="n">
        <v>-1.648060484097596</v>
      </c>
      <c r="P1041" s="6" t="n">
        <v>0.09654324182429457</v>
      </c>
      <c r="Q1041" s="6" t="n">
        <v>-2.767790836604156</v>
      </c>
      <c r="R1041" s="6" t="n">
        <v>1.538805934977081</v>
      </c>
      <c r="S1041" s="6" t="n">
        <v>1.263237113300959</v>
      </c>
      <c r="T1041" s="6" t="n">
        <v>2.512979119288631</v>
      </c>
      <c r="U1041" s="6" t="n">
        <v>2.041869221162186</v>
      </c>
      <c r="V1041" s="6" t="n">
        <v>2.024336858309046</v>
      </c>
      <c r="W1041" s="6" t="n">
        <v>-0.07037906185604963</v>
      </c>
      <c r="X1041" s="6" t="n">
        <v>-3.18867138130084</v>
      </c>
      <c r="Y1041" s="6" t="n">
        <v>-0.482729017986372</v>
      </c>
      <c r="Z1041" s="6" t="n">
        <v>-1.870083037960063</v>
      </c>
      <c r="AA1041" s="6" t="n">
        <v>-1.181968450809685</v>
      </c>
      <c r="AB1041" s="6" t="n">
        <v>5</v>
      </c>
      <c r="AC1041" s="6" t="n">
        <v>-0.2633748214158392</v>
      </c>
      <c r="AD1041" s="6" t="n">
        <v>0.2429325314015846</v>
      </c>
      <c r="AE1041" s="6" t="n">
        <v>1.610712943865194</v>
      </c>
      <c r="AF1041" s="6" t="n">
        <v>-2.515700121216126</v>
      </c>
      <c r="AG1041" s="6" t="n">
        <v>-2.075728625989548</v>
      </c>
      <c r="AH1041" s="6" t="n">
        <v>-0.961738288798464</v>
      </c>
      <c r="AI1041" s="6" t="n">
        <v>0.1161513945799706</v>
      </c>
      <c r="AJ1041" s="6" t="n">
        <v>78.89735043124327</v>
      </c>
      <c r="AK1041" s="6" t="n">
        <v>0.09387712691243738</v>
      </c>
      <c r="AL1041" s="6" t="n">
        <v>1.052505477274659</v>
      </c>
      <c r="AN1041" s="6" t="n">
        <v>1.307222653199077</v>
      </c>
      <c r="AO1041" s="6" t="n">
        <v>1.310540178413867</v>
      </c>
      <c r="AP1041" s="6" t="n">
        <v>0.1326983779424383</v>
      </c>
      <c r="AQ1041" s="6" t="n">
        <v>0</v>
      </c>
      <c r="AR1041" s="6" t="n">
        <v>0</v>
      </c>
    </row>
    <row r="1042">
      <c r="D1042" t="inlineStr">
        <is>
          <t>Run 730</t>
        </is>
      </c>
      <c r="J1042" s="6" t="n">
        <v>0.1015682221532683</v>
      </c>
      <c r="K1042" s="6" t="n">
        <v>-2.713079116897179</v>
      </c>
      <c r="L1042" s="6" t="n">
        <v>-3.081985230548307</v>
      </c>
      <c r="M1042" s="6" t="n">
        <v>-2.659238063151136</v>
      </c>
      <c r="N1042" s="6" t="n">
        <v>-1.969044181613558</v>
      </c>
      <c r="O1042" s="6" t="n">
        <v>-0.9061150951291393</v>
      </c>
      <c r="P1042" s="6" t="n">
        <v>-1.332408308112993</v>
      </c>
      <c r="Q1042" s="6" t="n">
        <v>-3.074968481257759</v>
      </c>
      <c r="R1042" s="6" t="n">
        <v>5</v>
      </c>
      <c r="S1042" s="6" t="n">
        <v>1.591688804924269</v>
      </c>
      <c r="T1042" s="6" t="n">
        <v>-1.239688286573087</v>
      </c>
      <c r="U1042" s="6" t="n">
        <v>2.51530570730621</v>
      </c>
      <c r="V1042" s="6" t="n">
        <v>1.540860311842004</v>
      </c>
      <c r="W1042" s="6" t="n">
        <v>-3.358430090812481</v>
      </c>
      <c r="X1042" s="6" t="n">
        <v>-0.8822404211620316</v>
      </c>
      <c r="Y1042" s="6" t="n">
        <v>-0.8582251136079802</v>
      </c>
      <c r="Z1042" s="6" t="n">
        <v>-3.630339029236227</v>
      </c>
      <c r="AA1042" s="6" t="n">
        <v>-1.474909686615635</v>
      </c>
      <c r="AB1042" s="6" t="n">
        <v>-1.397994096837967</v>
      </c>
      <c r="AC1042" s="6" t="n">
        <v>-2.850278680917889</v>
      </c>
      <c r="AD1042" s="6" t="n">
        <v>0.4579767693657364</v>
      </c>
      <c r="AE1042" s="6" t="n">
        <v>-1.652147948128922</v>
      </c>
      <c r="AF1042" s="6" t="n">
        <v>-2.403820312196657</v>
      </c>
      <c r="AG1042" s="6" t="n">
        <v>-1.965633196543355</v>
      </c>
      <c r="AH1042" s="6" t="n">
        <v>-1.676372925605792</v>
      </c>
      <c r="AI1042" s="6" t="n">
        <v>-3.292253667710848</v>
      </c>
      <c r="AJ1042" s="6" t="n">
        <v>80.5388697009716</v>
      </c>
      <c r="AK1042" s="6" t="n">
        <v>0.1717586899938597</v>
      </c>
      <c r="AL1042" s="6" t="n">
        <v>1.029086039550132</v>
      </c>
      <c r="AN1042" s="6" t="n">
        <v>1.327907754876219</v>
      </c>
      <c r="AO1042" s="6" t="n">
        <v>1.333581147624919</v>
      </c>
      <c r="AP1042" s="6" t="n">
        <v>0.1335473550098466</v>
      </c>
      <c r="AQ1042" s="6" t="n">
        <v>0</v>
      </c>
      <c r="AR1042" s="6" t="n">
        <v>0</v>
      </c>
    </row>
    <row r="1043">
      <c r="D1043" t="inlineStr">
        <is>
          <t>Run 731</t>
        </is>
      </c>
      <c r="J1043" s="6" t="n">
        <v>1.046945210145659</v>
      </c>
      <c r="K1043" s="6" t="n">
        <v>-0.03213228882621708</v>
      </c>
      <c r="L1043" s="6" t="n">
        <v>-2.068093967910719</v>
      </c>
      <c r="M1043" s="6" t="n">
        <v>1.281450377437727</v>
      </c>
      <c r="N1043" s="6" t="n">
        <v>-3.01327600329951</v>
      </c>
      <c r="O1043" s="6" t="n">
        <v>-2.248426462237151</v>
      </c>
      <c r="P1043" s="6" t="n">
        <v>-0.6593876977385125</v>
      </c>
      <c r="Q1043" s="6" t="n">
        <v>-0.3201255165438944</v>
      </c>
      <c r="R1043" s="6" t="n">
        <v>-0.3622444502472326</v>
      </c>
      <c r="S1043" s="6" t="n">
        <v>-1.624992742041333</v>
      </c>
      <c r="T1043" s="6" t="n">
        <v>0.6664867700563031</v>
      </c>
      <c r="U1043" s="6" t="n">
        <v>-1.447071954792665</v>
      </c>
      <c r="V1043" s="6" t="n">
        <v>-0.7656233961933635</v>
      </c>
      <c r="W1043" s="6" t="n">
        <v>-1.153563134450072</v>
      </c>
      <c r="X1043" s="6" t="n">
        <v>0.05251395731263865</v>
      </c>
      <c r="Y1043" s="6" t="n">
        <v>-1.148970840777676</v>
      </c>
      <c r="Z1043" s="6" t="n">
        <v>-0.315312130049929</v>
      </c>
      <c r="AA1043" s="6" t="n">
        <v>2.389690648064377</v>
      </c>
      <c r="AB1043" s="6" t="n">
        <v>-2.340704222665603</v>
      </c>
      <c r="AC1043" s="6" t="n">
        <v>4.013348508352252</v>
      </c>
      <c r="AD1043" s="6" t="n">
        <v>-1.910146092684288</v>
      </c>
      <c r="AE1043" s="6" t="n">
        <v>-0.7100295226717662</v>
      </c>
      <c r="AF1043" s="6" t="n">
        <v>-1.052162416395814</v>
      </c>
      <c r="AG1043" s="6" t="n">
        <v>-0.3744255199483531</v>
      </c>
      <c r="AH1043" s="6" t="n">
        <v>-2.189119664606468</v>
      </c>
      <c r="AI1043" s="6" t="n">
        <v>-1.31267418085311</v>
      </c>
      <c r="AJ1043" s="6" t="n">
        <v>78.4353371673872</v>
      </c>
      <c r="AK1043" s="6" t="n">
        <v>0.06309914298836394</v>
      </c>
      <c r="AL1043" s="6" t="n">
        <v>1.025412197213272</v>
      </c>
      <c r="AN1043" s="6" t="n">
        <v>1.354326815577082</v>
      </c>
      <c r="AO1043" s="6" t="n">
        <v>1.354326815577082</v>
      </c>
      <c r="AP1043" s="6" t="n">
        <v>0.137058999089814</v>
      </c>
      <c r="AQ1043" s="6" t="n">
        <v>0</v>
      </c>
      <c r="AR1043" s="6" t="n">
        <v>0</v>
      </c>
    </row>
    <row r="1044">
      <c r="D1044" t="inlineStr">
        <is>
          <t>Run 732</t>
        </is>
      </c>
      <c r="J1044" s="6" t="n">
        <v>-1.657338525706586</v>
      </c>
      <c r="K1044" s="6" t="n">
        <v>-1.363854528732266</v>
      </c>
      <c r="L1044" s="6" t="n">
        <v>-3.51218168277129</v>
      </c>
      <c r="M1044" s="6" t="n">
        <v>0.3231754192014644</v>
      </c>
      <c r="N1044" s="6" t="n">
        <v>0.7125529100090425</v>
      </c>
      <c r="O1044" s="6" t="n">
        <v>-1.936452473866482</v>
      </c>
      <c r="P1044" s="6" t="n">
        <v>-0.9251656461011463</v>
      </c>
      <c r="Q1044" s="6" t="n">
        <v>0.738172391032401</v>
      </c>
      <c r="R1044" s="6" t="n">
        <v>-4.316378772632527</v>
      </c>
      <c r="S1044" s="6" t="n">
        <v>1.156657389802287</v>
      </c>
      <c r="T1044" s="6" t="n">
        <v>-1.988270852973043</v>
      </c>
      <c r="U1044" s="6" t="n">
        <v>-0.5101256052371986</v>
      </c>
      <c r="V1044" s="6" t="n">
        <v>-2.229112286116907</v>
      </c>
      <c r="W1044" s="6" t="n">
        <v>2.314972053925679</v>
      </c>
      <c r="X1044" s="6" t="n">
        <v>-0.9820655971702954</v>
      </c>
      <c r="Y1044" s="6" t="n">
        <v>-1.74396263183479</v>
      </c>
      <c r="Z1044" s="6" t="n">
        <v>-3.923482898298267</v>
      </c>
      <c r="AA1044" s="6" t="n">
        <v>-0.118896607890113</v>
      </c>
      <c r="AB1044" s="6" t="n">
        <v>1.311556352536985</v>
      </c>
      <c r="AC1044" s="6" t="n">
        <v>-0.6876190144843547</v>
      </c>
      <c r="AD1044" s="6" t="n">
        <v>-0.1566027206691267</v>
      </c>
      <c r="AE1044" s="6" t="n">
        <v>-1.911633912173748</v>
      </c>
      <c r="AF1044" s="6" t="n">
        <v>-2.888626178102163</v>
      </c>
      <c r="AG1044" s="6" t="n">
        <v>3.133528941395971</v>
      </c>
      <c r="AH1044" s="6" t="n">
        <v>1.953396696826948</v>
      </c>
      <c r="AI1044" s="6" t="n">
        <v>5</v>
      </c>
      <c r="AJ1044" s="6" t="n">
        <v>71.90707784814525</v>
      </c>
      <c r="AK1044" s="6" t="n">
        <v>0.1951645622623479</v>
      </c>
      <c r="AL1044" s="6" t="n">
        <v>1.113257001881074</v>
      </c>
      <c r="AN1044" s="6" t="n">
        <v>1.319202677646319</v>
      </c>
      <c r="AO1044" s="6" t="n">
        <v>1.320432841258983</v>
      </c>
      <c r="AP1044" s="6" t="n">
        <v>0.1270856938267379</v>
      </c>
      <c r="AQ1044" s="6" t="n">
        <v>0</v>
      </c>
      <c r="AR1044" s="6" t="n">
        <v>0</v>
      </c>
    </row>
    <row r="1045">
      <c r="D1045" t="inlineStr">
        <is>
          <t>Run 733</t>
        </is>
      </c>
      <c r="J1045" s="6" t="n">
        <v>0.6644947561254341</v>
      </c>
      <c r="K1045" s="6" t="n">
        <v>1.185187959064933</v>
      </c>
      <c r="L1045" s="6" t="n">
        <v>1.376833381765867</v>
      </c>
      <c r="M1045" s="6" t="n">
        <v>1.924799071522727</v>
      </c>
      <c r="N1045" s="6" t="n">
        <v>0.08503161100688689</v>
      </c>
      <c r="O1045" s="6" t="n">
        <v>0.110064886965205</v>
      </c>
      <c r="P1045" s="6" t="n">
        <v>-4.553954894637144</v>
      </c>
      <c r="Q1045" s="6" t="n">
        <v>-1.575352178287088</v>
      </c>
      <c r="R1045" s="6" t="n">
        <v>-3.0775266310046</v>
      </c>
      <c r="S1045" s="6" t="n">
        <v>-1.19501695034849</v>
      </c>
      <c r="T1045" s="6" t="n">
        <v>-3.079415321322056</v>
      </c>
      <c r="U1045" s="6" t="n">
        <v>1.30379255360442</v>
      </c>
      <c r="V1045" s="6" t="n">
        <v>2.042579340721882</v>
      </c>
      <c r="W1045" s="6" t="n">
        <v>-0.9109310425209199</v>
      </c>
      <c r="X1045" s="6" t="n">
        <v>2.84038368392655</v>
      </c>
      <c r="Y1045" s="6" t="n">
        <v>2.849380129070278</v>
      </c>
      <c r="Z1045" s="6" t="n">
        <v>-1.538471206353634</v>
      </c>
      <c r="AA1045" s="6" t="n">
        <v>1.187572728335056</v>
      </c>
      <c r="AB1045" s="6" t="n">
        <v>-2.465246369594475</v>
      </c>
      <c r="AC1045" s="6" t="n">
        <v>1.463208431253663</v>
      </c>
      <c r="AD1045" s="6" t="n">
        <v>1.030412682192265</v>
      </c>
      <c r="AE1045" s="6" t="n">
        <v>-2.382431296421851</v>
      </c>
      <c r="AF1045" s="6" t="n">
        <v>1.479203063096891</v>
      </c>
      <c r="AG1045" s="6" t="n">
        <v>-0.1808725223313359</v>
      </c>
      <c r="AH1045" s="6" t="n">
        <v>1.794365874457416</v>
      </c>
      <c r="AI1045" s="6" t="n">
        <v>-2.58245466390712</v>
      </c>
      <c r="AJ1045" s="6" t="n">
        <v>78.35751208263638</v>
      </c>
      <c r="AK1045" s="6" t="n">
        <v>0.129267393286846</v>
      </c>
      <c r="AL1045" s="6" t="n">
        <v>1.066112279363277</v>
      </c>
      <c r="AN1045" s="6" t="n">
        <v>1.343143524713697</v>
      </c>
      <c r="AO1045" s="6" t="n">
        <v>1.343288558678226</v>
      </c>
      <c r="AP1045" s="6" t="n">
        <v>0.1309829932972397</v>
      </c>
      <c r="AQ1045" s="6" t="n">
        <v>0</v>
      </c>
      <c r="AR1045" s="6" t="n">
        <v>0</v>
      </c>
    </row>
    <row r="1046">
      <c r="D1046" t="inlineStr">
        <is>
          <t>Run 734</t>
        </is>
      </c>
      <c r="J1046" s="6" t="n">
        <v>-0.4966519433102613</v>
      </c>
      <c r="K1046" s="6" t="n">
        <v>0.9038076591704827</v>
      </c>
      <c r="L1046" s="6" t="n">
        <v>3.55028505914627</v>
      </c>
      <c r="M1046" s="6" t="n">
        <v>3.059803516175823</v>
      </c>
      <c r="N1046" s="6" t="n">
        <v>-0.9531302751475618</v>
      </c>
      <c r="O1046" s="6" t="n">
        <v>2.68736604818382</v>
      </c>
      <c r="P1046" s="6" t="n">
        <v>3.443389946942793</v>
      </c>
      <c r="Q1046" s="6" t="n">
        <v>0.9274449428046005</v>
      </c>
      <c r="R1046" s="6" t="n">
        <v>0.6003824010320052</v>
      </c>
      <c r="S1046" s="6" t="n">
        <v>-0.02867269896715778</v>
      </c>
      <c r="T1046" s="6" t="n">
        <v>0.2271095125992926</v>
      </c>
      <c r="U1046" s="6" t="n">
        <v>3.435738397310687</v>
      </c>
      <c r="V1046" s="6" t="n">
        <v>3.503078476476994</v>
      </c>
      <c r="W1046" s="6" t="n">
        <v>-3.153916952957862</v>
      </c>
      <c r="X1046" s="6" t="n">
        <v>2.308158058717496</v>
      </c>
      <c r="Y1046" s="6" t="n">
        <v>1.832921994808463</v>
      </c>
      <c r="Z1046" s="6" t="n">
        <v>0.5789383860361813</v>
      </c>
      <c r="AA1046" s="6" t="n">
        <v>-1.424280848180742</v>
      </c>
      <c r="AB1046" s="6" t="n">
        <v>0.3334415152593241</v>
      </c>
      <c r="AC1046" s="6" t="n">
        <v>-0.2737928871031898</v>
      </c>
      <c r="AD1046" s="6" t="n">
        <v>-0.9901706897804265</v>
      </c>
      <c r="AE1046" s="6" t="n">
        <v>3.213935490251789</v>
      </c>
      <c r="AF1046" s="6" t="n">
        <v>-1.247001789013872</v>
      </c>
      <c r="AG1046" s="6" t="n">
        <v>-1.252531857151486</v>
      </c>
      <c r="AH1046" s="6" t="n">
        <v>-2.363990739296656</v>
      </c>
      <c r="AI1046" s="6" t="n">
        <v>-2.541183087652274</v>
      </c>
      <c r="AJ1046" s="6" t="n">
        <v>71.39631049472123</v>
      </c>
      <c r="AK1046" s="6" t="n">
        <v>0.05688282978287562</v>
      </c>
      <c r="AL1046" s="6" t="n">
        <v>1.018899021003646</v>
      </c>
      <c r="AN1046" s="6" t="n">
        <v>1.353484771832429</v>
      </c>
      <c r="AO1046" s="6" t="n">
        <v>1.353484771832429</v>
      </c>
      <c r="AP1046" s="6" t="n">
        <v>0.1371978138850693</v>
      </c>
      <c r="AQ1046" s="6" t="n">
        <v>0</v>
      </c>
      <c r="AR1046" s="6" t="n">
        <v>0</v>
      </c>
    </row>
    <row r="1047">
      <c r="D1047" t="inlineStr">
        <is>
          <t>Run 735</t>
        </is>
      </c>
      <c r="J1047" s="6" t="n">
        <v>-1.704771318099565</v>
      </c>
      <c r="K1047" s="6" t="n">
        <v>3.275909951934465</v>
      </c>
      <c r="L1047" s="6" t="n">
        <v>3.395787706486861</v>
      </c>
      <c r="M1047" s="6" t="n">
        <v>-1.041356543009833</v>
      </c>
      <c r="N1047" s="6" t="n">
        <v>-1.692227226200968</v>
      </c>
      <c r="O1047" s="6" t="n">
        <v>-0.2879639622508754</v>
      </c>
      <c r="P1047" s="6" t="n">
        <v>-3.017658561545952</v>
      </c>
      <c r="Q1047" s="6" t="n">
        <v>-3.351907280674078</v>
      </c>
      <c r="R1047" s="6" t="n">
        <v>-2.103257813703059</v>
      </c>
      <c r="S1047" s="6" t="n">
        <v>-0.3296320876400597</v>
      </c>
      <c r="T1047" s="6" t="n">
        <v>1.491913569310547</v>
      </c>
      <c r="U1047" s="6" t="n">
        <v>-2.158609034636984</v>
      </c>
      <c r="V1047" s="6" t="n">
        <v>-3.559676813140508</v>
      </c>
      <c r="W1047" s="6" t="n">
        <v>0.2131236211838271</v>
      </c>
      <c r="X1047" s="6" t="n">
        <v>2.275680259107104</v>
      </c>
      <c r="Y1047" s="6" t="n">
        <v>0.3593114826627841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0.07614982308206997</v>
      </c>
      <c r="AD1047" s="6" t="n">
        <v>-1.133622032910447</v>
      </c>
      <c r="AE1047" s="6" t="n">
        <v>3.002575139247886</v>
      </c>
      <c r="AF1047" s="6" t="n">
        <v>-1.065881217645638</v>
      </c>
      <c r="AG1047" s="6" t="n">
        <v>-1.753999912503112</v>
      </c>
      <c r="AH1047" s="6" t="n">
        <v>0.7399473055524927</v>
      </c>
      <c r="AI1047" s="6" t="n">
        <v>-2.245932614655811</v>
      </c>
      <c r="AJ1047" s="6" t="n">
        <v>57.20998773342592</v>
      </c>
      <c r="AK1047" s="6" t="n">
        <v>0.1514605375524042</v>
      </c>
      <c r="AL1047" s="6" t="n">
        <v>1.047699684518985</v>
      </c>
      <c r="AN1047" s="6" t="n">
        <v>1.336703803209129</v>
      </c>
      <c r="AO1047" s="6" t="n">
        <v>1.337358561807445</v>
      </c>
      <c r="AP1047" s="6" t="n">
        <v>0.1305140463315647</v>
      </c>
      <c r="AQ1047" s="6" t="n">
        <v>0</v>
      </c>
      <c r="AR1047" s="6" t="n">
        <v>0</v>
      </c>
    </row>
    <row r="1048">
      <c r="D1048" t="inlineStr">
        <is>
          <t>Run 736</t>
        </is>
      </c>
      <c r="J1048" s="6" t="n">
        <v>-1.750175440009691</v>
      </c>
      <c r="K1048" s="6" t="n">
        <v>-2.060160841498398</v>
      </c>
      <c r="L1048" s="6" t="n">
        <v>1.704329198647951</v>
      </c>
      <c r="M1048" s="6" t="n">
        <v>0.3643275111483381</v>
      </c>
      <c r="N1048" s="6" t="n">
        <v>-2.419284133783324</v>
      </c>
      <c r="O1048" s="6" t="n">
        <v>-1.208119930273152</v>
      </c>
      <c r="P1048" s="6" t="n">
        <v>2.084974051229216</v>
      </c>
      <c r="Q1048" s="6" t="n">
        <v>1.543749149380967</v>
      </c>
      <c r="R1048" s="6" t="n">
        <v>-0.1330775672465283</v>
      </c>
      <c r="S1048" s="6" t="n">
        <v>-1.774091084629233</v>
      </c>
      <c r="T1048" s="6" t="n">
        <v>2.034958831747301</v>
      </c>
      <c r="U1048" s="6" t="n">
        <v>2.003566026804639</v>
      </c>
      <c r="V1048" s="6" t="n">
        <v>-0.3029240402760425</v>
      </c>
      <c r="W1048" s="6" t="n">
        <v>-0.03463496095012433</v>
      </c>
      <c r="X1048" s="6" t="n">
        <v>1.851342173112976</v>
      </c>
      <c r="Y1048" s="6" t="n">
        <v>0.3967437838504279</v>
      </c>
      <c r="Z1048" s="6" t="n">
        <v>-0.09918486870272572</v>
      </c>
      <c r="AA1048" s="6" t="n">
        <v>-3.848312875236932</v>
      </c>
      <c r="AB1048" s="6" t="n">
        <v>0.5289463522703461</v>
      </c>
      <c r="AC1048" s="6" t="n">
        <v>-0.3707325324055649</v>
      </c>
      <c r="AD1048" s="6" t="n">
        <v>-0.1167183125274615</v>
      </c>
      <c r="AE1048" s="6" t="n">
        <v>-2.151488974029621</v>
      </c>
      <c r="AF1048" s="6" t="n">
        <v>-2.576593688096719</v>
      </c>
      <c r="AG1048" s="6" t="n">
        <v>-0.8759315092103148</v>
      </c>
      <c r="AH1048" s="6" t="n">
        <v>1.716393432427218</v>
      </c>
      <c r="AI1048" s="6" t="n">
        <v>-3.151157507378691</v>
      </c>
      <c r="AJ1048" s="6" t="n">
        <v>81.81321369789278</v>
      </c>
      <c r="AK1048" s="6" t="n">
        <v>0.1046265936676848</v>
      </c>
      <c r="AL1048" s="6" t="n">
        <v>1.043622263167225</v>
      </c>
      <c r="AN1048" s="6" t="n">
        <v>1.354855309491265</v>
      </c>
      <c r="AO1048" s="6" t="n">
        <v>1.354868128987839</v>
      </c>
      <c r="AP1048" s="6" t="n">
        <v>0.1344169974865017</v>
      </c>
      <c r="AQ1048" s="6" t="n">
        <v>0</v>
      </c>
      <c r="AR1048" s="6" t="n">
        <v>0</v>
      </c>
    </row>
    <row r="1049">
      <c r="D1049" t="inlineStr">
        <is>
          <t>Run 737</t>
        </is>
      </c>
      <c r="J1049" s="6" t="n">
        <v>1.560262617007156</v>
      </c>
      <c r="K1049" s="6" t="n">
        <v>-0.2132414462872171</v>
      </c>
      <c r="L1049" s="6" t="n">
        <v>1.974545132524575</v>
      </c>
      <c r="M1049" s="6" t="n">
        <v>0.1345625030695077</v>
      </c>
      <c r="N1049" s="6" t="n">
        <v>-3.886401398131785</v>
      </c>
      <c r="O1049" s="6" t="n">
        <v>-0.807903334081897</v>
      </c>
      <c r="P1049" s="6" t="n">
        <v>1.002076770872644</v>
      </c>
      <c r="Q1049" s="6" t="n">
        <v>2.754920496850946</v>
      </c>
      <c r="R1049" s="6" t="n">
        <v>2.529392635612088</v>
      </c>
      <c r="S1049" s="6" t="n">
        <v>-2.023880307953854</v>
      </c>
      <c r="T1049" s="6" t="n">
        <v>1.468739003119633</v>
      </c>
      <c r="U1049" s="6" t="n">
        <v>0.6411783875527837</v>
      </c>
      <c r="V1049" s="6" t="n">
        <v>-0.5419042654877166</v>
      </c>
      <c r="W1049" s="6" t="n">
        <v>0.3494987522414947</v>
      </c>
      <c r="X1049" s="6" t="n">
        <v>-3.119310044906473</v>
      </c>
      <c r="Y1049" s="6" t="n">
        <v>2.479392011102668</v>
      </c>
      <c r="Z1049" s="6" t="n">
        <v>1.038901154483456</v>
      </c>
      <c r="AA1049" s="6" t="n">
        <v>1.190309346996169</v>
      </c>
      <c r="AB1049" s="6" t="n">
        <v>-1.341605058247631</v>
      </c>
      <c r="AC1049" s="6" t="n">
        <v>2.332207826608368</v>
      </c>
      <c r="AD1049" s="6" t="n">
        <v>1.530100112468205</v>
      </c>
      <c r="AE1049" s="6" t="n">
        <v>1.167145398219972</v>
      </c>
      <c r="AF1049" s="6" t="n">
        <v>-1.607192267397768</v>
      </c>
      <c r="AG1049" s="6" t="n">
        <v>-4.113742499286793</v>
      </c>
      <c r="AH1049" s="6" t="n">
        <v>-2.148805528555295</v>
      </c>
      <c r="AI1049" s="6" t="n">
        <v>1.177037086525194</v>
      </c>
      <c r="AJ1049" s="6" t="n">
        <v>66.67210943884687</v>
      </c>
      <c r="AK1049" s="6" t="n">
        <v>0.1036903067704091</v>
      </c>
      <c r="AL1049" s="6" t="n">
        <v>1.028717031544137</v>
      </c>
      <c r="AN1049" s="6" t="n">
        <v>1.347236258896256</v>
      </c>
      <c r="AO1049" s="6" t="n">
        <v>1.347236258896256</v>
      </c>
      <c r="AP1049" s="6" t="n">
        <v>0.1344887813212093</v>
      </c>
      <c r="AQ1049" s="6" t="n">
        <v>0</v>
      </c>
      <c r="AR1049" s="6" t="n">
        <v>0</v>
      </c>
    </row>
    <row r="1050">
      <c r="D1050" t="inlineStr">
        <is>
          <t>Run 738</t>
        </is>
      </c>
      <c r="J1050" s="6" t="n">
        <v>-1.670296904859651</v>
      </c>
      <c r="K1050" s="6" t="n">
        <v>2.257166515715725</v>
      </c>
      <c r="L1050" s="6" t="n">
        <v>-1.409859771343446</v>
      </c>
      <c r="M1050" s="6" t="n">
        <v>-2.98064581316159</v>
      </c>
      <c r="N1050" s="6" t="n">
        <v>-2.515777123228617</v>
      </c>
      <c r="O1050" s="6" t="n">
        <v>0.4315341468823563</v>
      </c>
      <c r="P1050" s="6" t="n">
        <v>-2.272102346490202</v>
      </c>
      <c r="Q1050" s="6" t="n">
        <v>0.7957702891481025</v>
      </c>
      <c r="R1050" s="6" t="n">
        <v>-3.911115749941651</v>
      </c>
      <c r="S1050" s="6" t="n">
        <v>3.473760998949865</v>
      </c>
      <c r="T1050" s="6" t="n">
        <v>1.163445324427099</v>
      </c>
      <c r="U1050" s="6" t="n">
        <v>-3.060822387201499</v>
      </c>
      <c r="V1050" s="6" t="n">
        <v>2.583720526863915</v>
      </c>
      <c r="W1050" s="6" t="n">
        <v>-1.761536690719795</v>
      </c>
      <c r="X1050" s="6" t="n">
        <v>-0.7680763796764873</v>
      </c>
      <c r="Y1050" s="6" t="n">
        <v>1.048311604283696</v>
      </c>
      <c r="Z1050" s="6" t="n">
        <v>-0.6354762049279751</v>
      </c>
      <c r="AA1050" s="6" t="n">
        <v>0.0608225482746752</v>
      </c>
      <c r="AB1050" s="6" t="n">
        <v>5</v>
      </c>
      <c r="AC1050" s="6" t="n">
        <v>-3.044949316663982</v>
      </c>
      <c r="AD1050" s="6" t="n">
        <v>0.1739412021694035</v>
      </c>
      <c r="AE1050" s="6" t="n">
        <v>1.272916408416949</v>
      </c>
      <c r="AF1050" s="6" t="n">
        <v>-1.720535232839783</v>
      </c>
      <c r="AG1050" s="6" t="n">
        <v>-2.288053988021276</v>
      </c>
      <c r="AH1050" s="6" t="n">
        <v>-1.408521831311551</v>
      </c>
      <c r="AI1050" s="6" t="n">
        <v>0.6192758415671987</v>
      </c>
      <c r="AJ1050" s="6" t="n">
        <v>68.06250231618017</v>
      </c>
      <c r="AK1050" s="6" t="n">
        <v>0.05258708095674926</v>
      </c>
      <c r="AL1050" s="6" t="n">
        <v>1.091963110051918</v>
      </c>
      <c r="AN1050" s="6" t="n">
        <v>1.309676634018591</v>
      </c>
      <c r="AO1050" s="6" t="n">
        <v>1.313671560757095</v>
      </c>
      <c r="AP1050" s="6" t="n">
        <v>0.1306178268243934</v>
      </c>
      <c r="AQ1050" s="6" t="n">
        <v>0</v>
      </c>
      <c r="AR1050" s="6" t="n">
        <v>0</v>
      </c>
    </row>
    <row r="1051">
      <c r="D1051" t="inlineStr">
        <is>
          <t>Run 739</t>
        </is>
      </c>
      <c r="J1051" s="6" t="n">
        <v>2.19476178605099</v>
      </c>
      <c r="K1051" s="6" t="n">
        <v>-1.630300754509258</v>
      </c>
      <c r="L1051" s="6" t="n">
        <v>-0.1540859953226354</v>
      </c>
      <c r="M1051" s="6" t="n">
        <v>-0.9070513877930055</v>
      </c>
      <c r="N1051" s="6" t="n">
        <v>0.4078080418084302</v>
      </c>
      <c r="O1051" s="6" t="n">
        <v>1.406883580833544</v>
      </c>
      <c r="P1051" s="6" t="n">
        <v>-1.412013890782202</v>
      </c>
      <c r="Q1051" s="6" t="n">
        <v>2.643974792446749</v>
      </c>
      <c r="R1051" s="6" t="n">
        <v>-3.907730564076063</v>
      </c>
      <c r="S1051" s="6" t="n">
        <v>-2.435174337809913</v>
      </c>
      <c r="T1051" s="6" t="n">
        <v>2.499378551834465</v>
      </c>
      <c r="U1051" s="6" t="n">
        <v>-1.10387601318055</v>
      </c>
      <c r="V1051" s="6" t="n">
        <v>2.084602597378216</v>
      </c>
      <c r="W1051" s="6" t="n">
        <v>-1.476197821720064</v>
      </c>
      <c r="X1051" s="6" t="n">
        <v>3.195626432297891</v>
      </c>
      <c r="Y1051" s="6" t="n">
        <v>2.028125071232446</v>
      </c>
      <c r="Z1051" s="6" t="n">
        <v>1.680865801218748</v>
      </c>
      <c r="AA1051" s="6" t="n">
        <v>-0.9948989564231331</v>
      </c>
      <c r="AB1051" s="6" t="n">
        <v>-1.823374453964872</v>
      </c>
      <c r="AC1051" s="6" t="n">
        <v>1.258793974549846</v>
      </c>
      <c r="AD1051" s="6" t="n">
        <v>-1.955123518068977</v>
      </c>
      <c r="AE1051" s="6" t="n">
        <v>-0.7447034859486117</v>
      </c>
      <c r="AF1051" s="6" t="n">
        <v>-0.7456566045889047</v>
      </c>
      <c r="AG1051" s="6" t="n">
        <v>3.747831466930426</v>
      </c>
      <c r="AH1051" s="6" t="n">
        <v>-1.952455438585628</v>
      </c>
      <c r="AI1051" s="6" t="n">
        <v>-4.467547229102045</v>
      </c>
      <c r="AJ1051" s="6" t="n">
        <v>71.47276313883182</v>
      </c>
      <c r="AK1051" s="6" t="n">
        <v>0.1575525169548404</v>
      </c>
      <c r="AL1051" s="6" t="n">
        <v>1.053392314293287</v>
      </c>
      <c r="AN1051" s="6" t="n">
        <v>1.34036233960628</v>
      </c>
      <c r="AO1051" s="6" t="n">
        <v>1.34087075204747</v>
      </c>
      <c r="AP1051" s="6" t="n">
        <v>0.1314057815862536</v>
      </c>
      <c r="AQ1051" s="6" t="n">
        <v>0</v>
      </c>
      <c r="AR1051" s="6" t="n">
        <v>0</v>
      </c>
    </row>
    <row r="1052">
      <c r="D1052" t="inlineStr">
        <is>
          <t>Run 740</t>
        </is>
      </c>
      <c r="J1052" s="6" t="n">
        <v>-0.9946429908873263</v>
      </c>
      <c r="K1052" s="6" t="n">
        <v>0.8049452575073813</v>
      </c>
      <c r="L1052" s="6" t="n">
        <v>0.4444229112948789</v>
      </c>
      <c r="M1052" s="6" t="n">
        <v>0.4823606512918757</v>
      </c>
      <c r="N1052" s="6" t="n">
        <v>0.3851772403001331</v>
      </c>
      <c r="O1052" s="6" t="n">
        <v>0.9411420525509496</v>
      </c>
      <c r="P1052" s="6" t="n">
        <v>-0.793849813926688</v>
      </c>
      <c r="Q1052" s="6" t="n">
        <v>-0.04931796111427281</v>
      </c>
      <c r="R1052" s="6" t="n">
        <v>1.865355547057981</v>
      </c>
      <c r="S1052" s="6" t="n">
        <v>-2.673968111994817</v>
      </c>
      <c r="T1052" s="6" t="n">
        <v>1.625753111077885</v>
      </c>
      <c r="U1052" s="6" t="n">
        <v>2.258686803321621</v>
      </c>
      <c r="V1052" s="6" t="n">
        <v>-1.643945386806017</v>
      </c>
      <c r="W1052" s="6" t="n">
        <v>-0.009232535984317019</v>
      </c>
      <c r="X1052" s="6" t="n">
        <v>-0.5755329908920062</v>
      </c>
      <c r="Y1052" s="6" t="n">
        <v>-2.260771936175052</v>
      </c>
      <c r="Z1052" s="6" t="n">
        <v>-1.072460252892614</v>
      </c>
      <c r="AA1052" s="6" t="n">
        <v>-1.483408368042337</v>
      </c>
      <c r="AB1052" s="6" t="n">
        <v>-1.073198010160795</v>
      </c>
      <c r="AC1052" s="6" t="n">
        <v>3.925807873320239</v>
      </c>
      <c r="AD1052" s="6" t="n">
        <v>-1.256174582696061</v>
      </c>
      <c r="AE1052" s="6" t="n">
        <v>1.739665068648074</v>
      </c>
      <c r="AF1052" s="6" t="n">
        <v>-0.1623115463377703</v>
      </c>
      <c r="AG1052" s="6" t="n">
        <v>-1.45343516778501</v>
      </c>
      <c r="AH1052" s="6" t="n">
        <v>1.432440564031681</v>
      </c>
      <c r="AI1052" s="6" t="n">
        <v>0.6267588327892156</v>
      </c>
      <c r="AJ1052" s="6" t="n">
        <v>74.89469124434615</v>
      </c>
      <c r="AK1052" s="6" t="n">
        <v>0.112443871855368</v>
      </c>
      <c r="AL1052" s="6" t="n">
        <v>1.071107698526762</v>
      </c>
      <c r="AN1052" s="6" t="n">
        <v>1.340580158054256</v>
      </c>
      <c r="AO1052" s="6" t="n">
        <v>1.340824827297975</v>
      </c>
      <c r="AP1052" s="6" t="n">
        <v>0.1310852979206638</v>
      </c>
      <c r="AQ1052" s="6" t="n">
        <v>0</v>
      </c>
      <c r="AR1052" s="6" t="n">
        <v>0</v>
      </c>
    </row>
    <row r="1053">
      <c r="D1053" t="inlineStr">
        <is>
          <t>Run 741</t>
        </is>
      </c>
      <c r="J1053" s="6" t="n">
        <v>1.657175220735663</v>
      </c>
      <c r="K1053" s="6" t="n">
        <v>-0.4489477743730719</v>
      </c>
      <c r="L1053" s="6" t="n">
        <v>-1.805826473199076</v>
      </c>
      <c r="M1053" s="6" t="n">
        <v>1.779360468292806</v>
      </c>
      <c r="N1053" s="6" t="n">
        <v>-2.449589445475405</v>
      </c>
      <c r="O1053" s="6" t="n">
        <v>0.01678964348721503</v>
      </c>
      <c r="P1053" s="6" t="n">
        <v>-0.5592603719755852</v>
      </c>
      <c r="Q1053" s="6" t="n">
        <v>-1.63859606499616</v>
      </c>
      <c r="R1053" s="6" t="n">
        <v>-1.914561325537903</v>
      </c>
      <c r="S1053" s="6" t="n">
        <v>-3.797840757810811</v>
      </c>
      <c r="T1053" s="6" t="n">
        <v>-1.317766482163</v>
      </c>
      <c r="U1053" s="6" t="n">
        <v>-0.7216328018919916</v>
      </c>
      <c r="V1053" s="6" t="n">
        <v>-1.476434401080242</v>
      </c>
      <c r="W1053" s="6" t="n">
        <v>3.098069974600163</v>
      </c>
      <c r="X1053" s="6" t="n">
        <v>-1.157072049580847</v>
      </c>
      <c r="Y1053" s="6" t="n">
        <v>-0.2700165950391715</v>
      </c>
      <c r="Z1053" s="6" t="n">
        <v>0.5889081325339477</v>
      </c>
      <c r="AA1053" s="6" t="n">
        <v>3.141427829924546</v>
      </c>
      <c r="AB1053" s="6" t="n">
        <v>-5.828347505866438</v>
      </c>
      <c r="AC1053" s="6" t="n">
        <v>-0.8957456737970719</v>
      </c>
      <c r="AD1053" s="6" t="n">
        <v>2.275002535593479</v>
      </c>
      <c r="AE1053" s="6" t="n">
        <v>-2.30757962175382</v>
      </c>
      <c r="AF1053" s="6" t="n">
        <v>4.284883626110074</v>
      </c>
      <c r="AG1053" s="6" t="n">
        <v>2.067083811477069</v>
      </c>
      <c r="AH1053" s="6" t="n">
        <v>0.08268693488284071</v>
      </c>
      <c r="AI1053" s="6" t="n">
        <v>1.356249427935448</v>
      </c>
      <c r="AJ1053" s="6" t="n">
        <v>69.13743485830881</v>
      </c>
      <c r="AK1053" s="6" t="n">
        <v>0.1331491221678198</v>
      </c>
      <c r="AL1053" s="6" t="n">
        <v>1.113038034504935</v>
      </c>
      <c r="AN1053" s="6" t="n">
        <v>1.323738549676506</v>
      </c>
      <c r="AO1053" s="6" t="n">
        <v>1.324239618870516</v>
      </c>
      <c r="AP1053" s="6" t="n">
        <v>0.128152300842876</v>
      </c>
      <c r="AQ1053" s="6" t="n">
        <v>0</v>
      </c>
      <c r="AR1053" s="6" t="n">
        <v>0</v>
      </c>
    </row>
    <row r="1054">
      <c r="D1054" t="inlineStr">
        <is>
          <t>Run 742</t>
        </is>
      </c>
      <c r="J1054" s="6" t="n">
        <v>-0.5031500124808297</v>
      </c>
      <c r="K1054" s="6" t="n">
        <v>-3.247181532830268</v>
      </c>
      <c r="L1054" s="6" t="n">
        <v>1.352242894158577</v>
      </c>
      <c r="M1054" s="6" t="n">
        <v>-0.8725761830782452</v>
      </c>
      <c r="N1054" s="6" t="n">
        <v>-0.4366353743982134</v>
      </c>
      <c r="O1054" s="6" t="n">
        <v>0.6783839555110525</v>
      </c>
      <c r="P1054" s="6" t="n">
        <v>-3.419692295347978</v>
      </c>
      <c r="Q1054" s="6" t="n">
        <v>-1.317071935282069</v>
      </c>
      <c r="R1054" s="6" t="n">
        <v>4.769516619531505</v>
      </c>
      <c r="S1054" s="6" t="n">
        <v>-0.6409243184050225</v>
      </c>
      <c r="T1054" s="6" t="n">
        <v>0.4958178554552497</v>
      </c>
      <c r="U1054" s="6" t="n">
        <v>-0.08295774164702722</v>
      </c>
      <c r="V1054" s="6" t="n">
        <v>-4.107694549699028</v>
      </c>
      <c r="W1054" s="6" t="n">
        <v>-0.7870069506697513</v>
      </c>
      <c r="X1054" s="6" t="n">
        <v>-2.140822343111175</v>
      </c>
      <c r="Y1054" s="6" t="n">
        <v>-0.2723734521783369</v>
      </c>
      <c r="Z1054" s="6" t="n">
        <v>-1.487863142080197</v>
      </c>
      <c r="AA1054" s="6" t="n">
        <v>0.2721053608435501</v>
      </c>
      <c r="AB1054" s="6" t="n">
        <v>0.6811701998116766</v>
      </c>
      <c r="AC1054" s="6" t="n">
        <v>0.4832627138014018</v>
      </c>
      <c r="AD1054" s="6" t="n">
        <v>-1.447931602010833</v>
      </c>
      <c r="AE1054" s="6" t="n">
        <v>-2.975905607348489</v>
      </c>
      <c r="AF1054" s="6" t="n">
        <v>1.852104730400118</v>
      </c>
      <c r="AG1054" s="6" t="n">
        <v>-0.1192377019870366</v>
      </c>
      <c r="AH1054" s="6" t="n">
        <v>-0.9537692039231036</v>
      </c>
      <c r="AI1054" s="6" t="n">
        <v>-0.0594405479405164</v>
      </c>
      <c r="AJ1054" s="6" t="n">
        <v>76.87865667966955</v>
      </c>
      <c r="AK1054" s="6" t="n">
        <v>0.08270036802225011</v>
      </c>
      <c r="AL1054" s="6" t="n">
        <v>1.04874341786606</v>
      </c>
      <c r="AN1054" s="6" t="n">
        <v>1.351244894865441</v>
      </c>
      <c r="AO1054" s="6" t="n">
        <v>1.351547947882772</v>
      </c>
      <c r="AP1054" s="6" t="n">
        <v>0.13381666789442</v>
      </c>
      <c r="AQ1054" s="6" t="n">
        <v>0</v>
      </c>
      <c r="AR1054" s="6" t="n">
        <v>0</v>
      </c>
    </row>
    <row r="1055">
      <c r="D1055" t="inlineStr">
        <is>
          <t>Run 743</t>
        </is>
      </c>
      <c r="J1055" s="6" t="n">
        <v>0.5708543445051032</v>
      </c>
      <c r="K1055" s="6" t="n">
        <v>0.4599589448957802</v>
      </c>
      <c r="L1055" s="6" t="n">
        <v>-1.64286298022171</v>
      </c>
      <c r="M1055" s="6" t="n">
        <v>-0.2205958557009762</v>
      </c>
      <c r="N1055" s="6" t="n">
        <v>2.044522246656951</v>
      </c>
      <c r="O1055" s="6" t="n">
        <v>5</v>
      </c>
      <c r="P1055" s="6" t="n">
        <v>-2.210455229543029</v>
      </c>
      <c r="Q1055" s="6" t="n">
        <v>0.9156839675618796</v>
      </c>
      <c r="R1055" s="6" t="n">
        <v>2.708544864753505</v>
      </c>
      <c r="S1055" s="6" t="n">
        <v>-1.919935672941865</v>
      </c>
      <c r="T1055" s="6" t="n">
        <v>-2.300931684510841</v>
      </c>
      <c r="U1055" s="6" t="n">
        <v>0.9292523988936425</v>
      </c>
      <c r="V1055" s="6" t="n">
        <v>-1.102033590081663</v>
      </c>
      <c r="W1055" s="6" t="n">
        <v>-0.9484843489793088</v>
      </c>
      <c r="X1055" s="6" t="n">
        <v>0.6575553596950164</v>
      </c>
      <c r="Y1055" s="6" t="n">
        <v>1.349256091226726</v>
      </c>
      <c r="Z1055" s="6" t="n">
        <v>-1.936234183291078</v>
      </c>
      <c r="AA1055" s="6" t="n">
        <v>-0.8547040457282713</v>
      </c>
      <c r="AB1055" s="6" t="n">
        <v>2.527042228639257</v>
      </c>
      <c r="AC1055" s="6" t="n">
        <v>-1.197544505069736</v>
      </c>
      <c r="AD1055" s="6" t="n">
        <v>0.662009913580337</v>
      </c>
      <c r="AE1055" s="6" t="n">
        <v>-2.163342890402837</v>
      </c>
      <c r="AF1055" s="6" t="n">
        <v>-0.4475635838032501</v>
      </c>
      <c r="AG1055" s="6" t="n">
        <v>2.023249624128767</v>
      </c>
      <c r="AH1055" s="6" t="n">
        <v>-1.155981172752391</v>
      </c>
      <c r="AI1055" s="6" t="n">
        <v>-2.464185027563999</v>
      </c>
      <c r="AJ1055" s="6" t="n">
        <v>70.83339441525629</v>
      </c>
      <c r="AK1055" s="6" t="n">
        <v>0.1189874514262009</v>
      </c>
      <c r="AL1055" s="6" t="n">
        <v>1.072674403853436</v>
      </c>
      <c r="AN1055" s="6" t="n">
        <v>1.337810704139802</v>
      </c>
      <c r="AO1055" s="6" t="n">
        <v>1.338626922158968</v>
      </c>
      <c r="AP1055" s="6" t="n">
        <v>0.1309021196545095</v>
      </c>
      <c r="AQ1055" s="6" t="n">
        <v>0</v>
      </c>
      <c r="AR1055" s="6" t="n">
        <v>0</v>
      </c>
    </row>
    <row r="1056">
      <c r="D1056" t="inlineStr">
        <is>
          <t>Run 744</t>
        </is>
      </c>
      <c r="J1056" s="6" t="n">
        <v>-3.448526232050134</v>
      </c>
      <c r="K1056" s="6" t="n">
        <v>0.5293934444162919</v>
      </c>
      <c r="L1056" s="6" t="n">
        <v>3.040566261163671</v>
      </c>
      <c r="M1056" s="6" t="n">
        <v>0.4719603112121589</v>
      </c>
      <c r="N1056" s="6" t="n">
        <v>-2.027817270377691</v>
      </c>
      <c r="O1056" s="6" t="n">
        <v>-1.093333482193164</v>
      </c>
      <c r="P1056" s="6" t="n">
        <v>1.486153738879374</v>
      </c>
      <c r="Q1056" s="6" t="n">
        <v>3.055538599040669</v>
      </c>
      <c r="R1056" s="6" t="n">
        <v>3.494445238307974</v>
      </c>
      <c r="S1056" s="6" t="n">
        <v>1.259823834450166</v>
      </c>
      <c r="T1056" s="6" t="n">
        <v>1.519181924002828</v>
      </c>
      <c r="U1056" s="6" t="n">
        <v>-0.3079451277403268</v>
      </c>
      <c r="V1056" s="6" t="n">
        <v>4.301338873482493</v>
      </c>
      <c r="W1056" s="6" t="n">
        <v>0.9587995979250699</v>
      </c>
      <c r="X1056" s="6" t="n">
        <v>1.147478503380919</v>
      </c>
      <c r="Y1056" s="6" t="n">
        <v>0.8211699843811761</v>
      </c>
      <c r="Z1056" s="6" t="n">
        <v>0.345731072921645</v>
      </c>
      <c r="AA1056" s="6" t="n">
        <v>-1.096358039557569</v>
      </c>
      <c r="AB1056" s="6" t="n">
        <v>-0.9251894362759863</v>
      </c>
      <c r="AC1056" s="6" t="n">
        <v>2.134272110748513</v>
      </c>
      <c r="AD1056" s="6" t="n">
        <v>-1.231277223613364</v>
      </c>
      <c r="AE1056" s="6" t="n">
        <v>-2.770198935252291</v>
      </c>
      <c r="AF1056" s="6" t="n">
        <v>-1.360048777119325</v>
      </c>
      <c r="AG1056" s="6" t="n">
        <v>0.02809366490715445</v>
      </c>
      <c r="AH1056" s="6" t="n">
        <v>2.287120124020611</v>
      </c>
      <c r="AI1056" s="6" t="n">
        <v>-0.5799446790310245</v>
      </c>
      <c r="AJ1056" s="6" t="n">
        <v>63.56764092560611</v>
      </c>
      <c r="AK1056" s="6" t="n">
        <v>0.1212268365155548</v>
      </c>
      <c r="AL1056" s="6" t="n">
        <v>1.038317743614406</v>
      </c>
      <c r="AN1056" s="6" t="n">
        <v>1.344661779800303</v>
      </c>
      <c r="AO1056" s="6" t="n">
        <v>1.345155278733751</v>
      </c>
      <c r="AP1056" s="6" t="n">
        <v>0.1330169169914435</v>
      </c>
      <c r="AQ1056" s="6" t="n">
        <v>0</v>
      </c>
      <c r="AR1056" s="6" t="n">
        <v>0</v>
      </c>
    </row>
    <row r="1057">
      <c r="D1057" t="inlineStr">
        <is>
          <t>Run 745</t>
        </is>
      </c>
      <c r="J1057" s="6" t="n">
        <v>2.381475495560633</v>
      </c>
      <c r="K1057" s="6" t="n">
        <v>1.092232228208614</v>
      </c>
      <c r="L1057" s="6" t="n">
        <v>-3.815129986294429</v>
      </c>
      <c r="M1057" s="6" t="n">
        <v>-1.897322115264526</v>
      </c>
      <c r="N1057" s="6" t="n">
        <v>-0.2514943043426028</v>
      </c>
      <c r="O1057" s="6" t="n">
        <v>-0.6741400627060756</v>
      </c>
      <c r="P1057" s="6" t="n">
        <v>0.03339769021139859</v>
      </c>
      <c r="Q1057" s="6" t="n">
        <v>-0.9237996334243005</v>
      </c>
      <c r="R1057" s="6" t="n">
        <v>-3.995888475820918</v>
      </c>
      <c r="S1057" s="6" t="n">
        <v>-0.7735902978954881</v>
      </c>
      <c r="T1057" s="6" t="n">
        <v>1.415873639987624</v>
      </c>
      <c r="U1057" s="6" t="n">
        <v>0.2569200917315547</v>
      </c>
      <c r="V1057" s="6" t="n">
        <v>-0.5132508819622864</v>
      </c>
      <c r="W1057" s="6" t="n">
        <v>1.46686874667158</v>
      </c>
      <c r="X1057" s="6" t="n">
        <v>-2.827842185867038</v>
      </c>
      <c r="Y1057" s="6" t="n">
        <v>0.6656691388486203</v>
      </c>
      <c r="Z1057" s="6" t="n">
        <v>1.966603341643634</v>
      </c>
      <c r="AA1057" s="6" t="n">
        <v>-3.401772862891315</v>
      </c>
      <c r="AB1057" s="6" t="n">
        <v>-0.6333088629656827</v>
      </c>
      <c r="AC1057" s="6" t="n">
        <v>-1.809027295366818</v>
      </c>
      <c r="AD1057" s="6" t="n">
        <v>-2.555340759319294</v>
      </c>
      <c r="AE1057" s="6" t="n">
        <v>-0.6794813644743974</v>
      </c>
      <c r="AF1057" s="6" t="n">
        <v>1.831524222922006</v>
      </c>
      <c r="AG1057" s="6" t="n">
        <v>0.8330953765966129</v>
      </c>
      <c r="AH1057" s="6" t="n">
        <v>-1.300078331109206</v>
      </c>
      <c r="AI1057" s="6" t="n">
        <v>0.0424701063013611</v>
      </c>
      <c r="AJ1057" s="6" t="n">
        <v>69.74165690078134</v>
      </c>
      <c r="AK1057" s="6" t="n">
        <v>0.1982926454892611</v>
      </c>
      <c r="AL1057" s="6" t="n">
        <v>1.022495409480371</v>
      </c>
      <c r="AN1057" s="6" t="n">
        <v>1.334263521785164</v>
      </c>
      <c r="AO1057" s="6" t="n">
        <v>1.341164304859092</v>
      </c>
      <c r="AP1057" s="6" t="n">
        <v>0.1331712332853559</v>
      </c>
      <c r="AQ1057" s="6" t="n">
        <v>0</v>
      </c>
      <c r="AR1057" s="6" t="n">
        <v>0</v>
      </c>
    </row>
    <row r="1058">
      <c r="D1058" t="inlineStr">
        <is>
          <t>Run 746</t>
        </is>
      </c>
      <c r="J1058" s="6" t="n">
        <v>-0.9317802591900396</v>
      </c>
      <c r="K1058" s="6" t="n">
        <v>0.01179092873941076</v>
      </c>
      <c r="L1058" s="6" t="n">
        <v>2.136987008727841</v>
      </c>
      <c r="M1058" s="6" t="n">
        <v>3.764066458715308</v>
      </c>
      <c r="N1058" s="6" t="n">
        <v>3.906727064667272</v>
      </c>
      <c r="O1058" s="6" t="n">
        <v>2.129878953155373</v>
      </c>
      <c r="P1058" s="6" t="n">
        <v>2.304538979994399</v>
      </c>
      <c r="Q1058" s="6" t="n">
        <v>-1.239622685966742</v>
      </c>
      <c r="R1058" s="6" t="n">
        <v>3.144406016156118</v>
      </c>
      <c r="S1058" s="6" t="n">
        <v>2.016643028022904</v>
      </c>
      <c r="T1058" s="6" t="n">
        <v>1.190458177106339</v>
      </c>
      <c r="U1058" s="6" t="n">
        <v>1.08457632224188</v>
      </c>
      <c r="V1058" s="6" t="n">
        <v>0.3550340937412759</v>
      </c>
      <c r="W1058" s="6" t="n">
        <v>0.5218769413825749</v>
      </c>
      <c r="X1058" s="6" t="n">
        <v>1.092059006195887</v>
      </c>
      <c r="Y1058" s="6" t="n">
        <v>-1.487368354844001</v>
      </c>
      <c r="Z1058" s="6" t="n">
        <v>1.382301567786526</v>
      </c>
      <c r="AA1058" s="6" t="n">
        <v>-0.8924781250198279</v>
      </c>
      <c r="AB1058" s="6" t="n">
        <v>-2.866094291432394</v>
      </c>
      <c r="AC1058" s="6" t="n">
        <v>-1.097569673231203</v>
      </c>
      <c r="AD1058" s="6" t="n">
        <v>-0.9116592929194021</v>
      </c>
      <c r="AE1058" s="6" t="n">
        <v>-2.492575154810424</v>
      </c>
      <c r="AF1058" s="6" t="n">
        <v>-4.8837094806839</v>
      </c>
      <c r="AG1058" s="6" t="n">
        <v>0.02248166212702282</v>
      </c>
      <c r="AH1058" s="6" t="n">
        <v>-1.293756113888658</v>
      </c>
      <c r="AI1058" s="6" t="n">
        <v>1.047109451341273</v>
      </c>
      <c r="AJ1058" s="6" t="n">
        <v>74.3529197851268</v>
      </c>
      <c r="AK1058" s="6" t="n">
        <v>0.2070066543139931</v>
      </c>
      <c r="AL1058" s="6" t="n">
        <v>1.052438534398462</v>
      </c>
      <c r="AN1058" s="6" t="n">
        <v>1.334721229388381</v>
      </c>
      <c r="AO1058" s="6" t="n">
        <v>1.335362838025365</v>
      </c>
      <c r="AP1058" s="6" t="n">
        <v>0.1300368479129718</v>
      </c>
      <c r="AQ1058" s="6" t="n">
        <v>0</v>
      </c>
      <c r="AR1058" s="6" t="n">
        <v>0</v>
      </c>
    </row>
    <row r="1059">
      <c r="D1059" t="inlineStr">
        <is>
          <t>Run 747</t>
        </is>
      </c>
      <c r="J1059" s="6" t="n">
        <v>4.049537452383453</v>
      </c>
      <c r="K1059" s="6" t="n">
        <v>2.494932715688238</v>
      </c>
      <c r="L1059" s="6" t="n">
        <v>0.07983984578348859</v>
      </c>
      <c r="M1059" s="6" t="n">
        <v>1.210931095161168</v>
      </c>
      <c r="N1059" s="6" t="n">
        <v>-1.0838956570696</v>
      </c>
      <c r="O1059" s="6" t="n">
        <v>1.415827429799326</v>
      </c>
      <c r="P1059" s="6" t="n">
        <v>0.2494739475533069</v>
      </c>
      <c r="Q1059" s="6" t="n">
        <v>-0.1917937746283619</v>
      </c>
      <c r="R1059" s="6" t="n">
        <v>1.745722326308532</v>
      </c>
      <c r="S1059" s="6" t="n">
        <v>0.512194313600813</v>
      </c>
      <c r="T1059" s="6" t="n">
        <v>1.09687113888942</v>
      </c>
      <c r="U1059" s="6" t="n">
        <v>-3.868188115471036</v>
      </c>
      <c r="V1059" s="6" t="n">
        <v>1.304544730196939</v>
      </c>
      <c r="W1059" s="6" t="n">
        <v>-1.543073501002491</v>
      </c>
      <c r="X1059" s="6" t="n">
        <v>-3.686655837852952</v>
      </c>
      <c r="Y1059" s="6" t="n">
        <v>3.36730438890325</v>
      </c>
      <c r="Z1059" s="6" t="n">
        <v>1.690527044905541</v>
      </c>
      <c r="AA1059" s="6" t="n">
        <v>-1.217359541541295</v>
      </c>
      <c r="AB1059" s="6" t="n">
        <v>0.2568628579779009</v>
      </c>
      <c r="AC1059" s="6" t="n">
        <v>-1.070026234352388</v>
      </c>
      <c r="AD1059" s="6" t="n">
        <v>-1.674444613502979</v>
      </c>
      <c r="AE1059" s="6" t="n">
        <v>0.9764610983797024</v>
      </c>
      <c r="AF1059" s="6" t="n">
        <v>-1.802811055199893</v>
      </c>
      <c r="AG1059" s="6" t="n">
        <v>0.9389406168381452</v>
      </c>
      <c r="AH1059" s="6" t="n">
        <v>-2.916088294128491</v>
      </c>
      <c r="AI1059" s="6" t="n">
        <v>-2.697296991910819</v>
      </c>
      <c r="AJ1059" s="6" t="n">
        <v>73.73841757152842</v>
      </c>
      <c r="AK1059" s="6" t="n">
        <v>0.1262465865955627</v>
      </c>
      <c r="AL1059" s="6" t="n">
        <v>1.051761537126713</v>
      </c>
      <c r="AN1059" s="6" t="n">
        <v>1.345777946894733</v>
      </c>
      <c r="AO1059" s="6" t="n">
        <v>1.346037868232295</v>
      </c>
      <c r="AP1059" s="6" t="n">
        <v>0.1321501781461902</v>
      </c>
      <c r="AQ1059" s="6" t="n">
        <v>0</v>
      </c>
      <c r="AR1059" s="6" t="n">
        <v>0</v>
      </c>
    </row>
    <row r="1060">
      <c r="D1060" t="inlineStr">
        <is>
          <t>Run 748</t>
        </is>
      </c>
      <c r="J1060" s="6" t="n">
        <v>-0.03542192483008183</v>
      </c>
      <c r="K1060" s="6" t="n">
        <v>-2.618406875054139</v>
      </c>
      <c r="L1060" s="6" t="n">
        <v>2.104727373986396</v>
      </c>
      <c r="M1060" s="6" t="n">
        <v>-1.279730085366845</v>
      </c>
      <c r="N1060" s="6" t="n">
        <v>0.5246074705671825</v>
      </c>
      <c r="O1060" s="6" t="n">
        <v>-0.6148621277411812</v>
      </c>
      <c r="P1060" s="6" t="n">
        <v>-0.1287652397395228</v>
      </c>
      <c r="Q1060" s="6" t="n">
        <v>3.959942824980832</v>
      </c>
      <c r="R1060" s="6" t="n">
        <v>-3.388009071719755</v>
      </c>
      <c r="S1060" s="6" t="n">
        <v>0.1455248202396657</v>
      </c>
      <c r="T1060" s="6" t="n">
        <v>-0.0111188692868913</v>
      </c>
      <c r="U1060" s="6" t="n">
        <v>1.532183110814602</v>
      </c>
      <c r="V1060" s="6" t="n">
        <v>-2.48999032584524</v>
      </c>
      <c r="W1060" s="6" t="n">
        <v>2.624750919976847</v>
      </c>
      <c r="X1060" s="6" t="n">
        <v>-1.657323251355753</v>
      </c>
      <c r="Y1060" s="6" t="n">
        <v>0.9104469849678944</v>
      </c>
      <c r="Z1060" s="6" t="n">
        <v>-0.09569288787948432</v>
      </c>
      <c r="AA1060" s="6" t="n">
        <v>-0.01436061826652026</v>
      </c>
      <c r="AB1060" s="6" t="n">
        <v>0.8927513499833044</v>
      </c>
      <c r="AC1060" s="6" t="n">
        <v>1.99359091198247</v>
      </c>
      <c r="AD1060" s="6" t="n">
        <v>1.945900851458336</v>
      </c>
      <c r="AE1060" s="6" t="n">
        <v>1.5803978970286</v>
      </c>
      <c r="AF1060" s="6" t="n">
        <v>-2.534618056715287</v>
      </c>
      <c r="AG1060" s="6" t="n">
        <v>1.128801315067373</v>
      </c>
      <c r="AH1060" s="6" t="n">
        <v>-1.075167891124371</v>
      </c>
      <c r="AI1060" s="6" t="n">
        <v>-0.7444995628841213</v>
      </c>
      <c r="AJ1060" s="6" t="n">
        <v>77.12616105534082</v>
      </c>
      <c r="AK1060" s="6" t="n">
        <v>0.1791793184986089</v>
      </c>
      <c r="AL1060" s="6" t="n">
        <v>1.067784286811178</v>
      </c>
      <c r="AN1060" s="6" t="n">
        <v>1.334093284796171</v>
      </c>
      <c r="AO1060" s="6" t="n">
        <v>1.336153034202012</v>
      </c>
      <c r="AP1060" s="6" t="n">
        <v>0.1299761525507472</v>
      </c>
      <c r="AQ1060" s="6" t="n">
        <v>0</v>
      </c>
      <c r="AR1060" s="6" t="n">
        <v>0</v>
      </c>
    </row>
    <row r="1061">
      <c r="D1061" t="inlineStr">
        <is>
          <t>Run 749</t>
        </is>
      </c>
      <c r="J1061" s="6" t="n">
        <v>-0.2543306477493896</v>
      </c>
      <c r="K1061" s="6" t="n">
        <v>0.7251597564377922</v>
      </c>
      <c r="L1061" s="6" t="n">
        <v>1.79352677705913</v>
      </c>
      <c r="M1061" s="6" t="n">
        <v>0.3025707132029133</v>
      </c>
      <c r="N1061" s="6" t="n">
        <v>2.957566503741313</v>
      </c>
      <c r="O1061" s="6" t="n">
        <v>-0.2520006128198518</v>
      </c>
      <c r="P1061" s="6" t="n">
        <v>-1.529482559527917</v>
      </c>
      <c r="Q1061" s="6" t="n">
        <v>-1.336008066122256</v>
      </c>
      <c r="R1061" s="6" t="n">
        <v>1.86793441199696</v>
      </c>
      <c r="S1061" s="6" t="n">
        <v>-0.1716674173278266</v>
      </c>
      <c r="T1061" s="6" t="n">
        <v>-2.783545185787587</v>
      </c>
      <c r="U1061" s="6" t="n">
        <v>0.4294095958403515</v>
      </c>
      <c r="V1061" s="6" t="n">
        <v>-2.344289420820268</v>
      </c>
      <c r="W1061" s="6" t="n">
        <v>-1.034162592451015</v>
      </c>
      <c r="X1061" s="6" t="n">
        <v>0.3143342984452713</v>
      </c>
      <c r="Y1061" s="6" t="n">
        <v>-2.357978988660071</v>
      </c>
      <c r="Z1061" s="6" t="n">
        <v>1.444386037532256</v>
      </c>
      <c r="AA1061" s="6" t="n">
        <v>-1.175009999521522</v>
      </c>
      <c r="AB1061" s="6" t="n">
        <v>-2.892534574045087</v>
      </c>
      <c r="AC1061" s="6" t="n">
        <v>-1.620483345387231</v>
      </c>
      <c r="AD1061" s="6" t="n">
        <v>0.5706324497319207</v>
      </c>
      <c r="AE1061" s="6" t="n">
        <v>-1.109504047370568</v>
      </c>
      <c r="AF1061" s="6" t="n">
        <v>0.7886703886243988</v>
      </c>
      <c r="AG1061" s="6" t="n">
        <v>0.3769578620712716</v>
      </c>
      <c r="AH1061" s="6" t="n">
        <v>1.607523539873515</v>
      </c>
      <c r="AI1061" s="6" t="n">
        <v>-3.10409335990195</v>
      </c>
      <c r="AJ1061" s="6" t="n">
        <v>80.94633760304082</v>
      </c>
      <c r="AK1061" s="6" t="n">
        <v>0.103030437683586</v>
      </c>
      <c r="AL1061" s="6" t="n">
        <v>1.028795177191553</v>
      </c>
      <c r="AN1061" s="6" t="n">
        <v>1.356355882171013</v>
      </c>
      <c r="AO1061" s="6" t="n">
        <v>1.356355882171013</v>
      </c>
      <c r="AP1061" s="6" t="n">
        <v>0.1357145249916632</v>
      </c>
      <c r="AQ1061" s="6" t="n">
        <v>0</v>
      </c>
      <c r="AR1061" s="6" t="n">
        <v>0</v>
      </c>
    </row>
    <row r="1062">
      <c r="D1062" t="inlineStr">
        <is>
          <t>Run 750</t>
        </is>
      </c>
      <c r="J1062" s="6" t="n">
        <v>-0.4924347510302592</v>
      </c>
      <c r="K1062" s="6" t="n">
        <v>1.614340450968863</v>
      </c>
      <c r="L1062" s="6" t="n">
        <v>1.197165093358825</v>
      </c>
      <c r="M1062" s="6" t="n">
        <v>-3.779129442311578</v>
      </c>
      <c r="N1062" s="6" t="n">
        <v>3.006297390635015</v>
      </c>
      <c r="O1062" s="6" t="n">
        <v>-0.1462420647219291</v>
      </c>
      <c r="P1062" s="6" t="n">
        <v>-2.666687192119502</v>
      </c>
      <c r="Q1062" s="6" t="n">
        <v>-1.435242631502341</v>
      </c>
      <c r="R1062" s="6" t="n">
        <v>1.173949346457036</v>
      </c>
      <c r="S1062" s="6" t="n">
        <v>-1.564148477507229</v>
      </c>
      <c r="T1062" s="6" t="n">
        <v>2.876504193278053</v>
      </c>
      <c r="U1062" s="6" t="n">
        <v>-3.67855706396318</v>
      </c>
      <c r="V1062" s="6" t="n">
        <v>-0.8536647830119007</v>
      </c>
      <c r="W1062" s="6" t="n">
        <v>-0.4060685249783639</v>
      </c>
      <c r="X1062" s="6" t="n">
        <v>-1.142982302323478</v>
      </c>
      <c r="Y1062" s="6" t="n">
        <v>1.078236056033154</v>
      </c>
      <c r="Z1062" s="6" t="n">
        <v>-0.1240800838757647</v>
      </c>
      <c r="AA1062" s="6" t="n">
        <v>-1.48480226420966</v>
      </c>
      <c r="AB1062" s="6" t="n">
        <v>-1.072387099336771</v>
      </c>
      <c r="AC1062" s="6" t="n">
        <v>-1.7961155102538</v>
      </c>
      <c r="AD1062" s="6" t="n">
        <v>-3.401586649546157</v>
      </c>
      <c r="AE1062" s="6" t="n">
        <v>-1.054640473870588</v>
      </c>
      <c r="AF1062" s="6" t="n">
        <v>0.511867604553275</v>
      </c>
      <c r="AG1062" s="6" t="n">
        <v>2.193551678966077</v>
      </c>
      <c r="AH1062" s="6" t="n">
        <v>1.273288898390966</v>
      </c>
      <c r="AI1062" s="6" t="n">
        <v>0.03542466467352031</v>
      </c>
      <c r="AJ1062" s="6" t="n">
        <v>63.9214306699976</v>
      </c>
      <c r="AK1062" s="6" t="n">
        <v>0.1162292506897366</v>
      </c>
      <c r="AL1062" s="6" t="n">
        <v>1.016609780515757</v>
      </c>
      <c r="AN1062" s="6" t="n">
        <v>1.312666437448862</v>
      </c>
      <c r="AO1062" s="6" t="n">
        <v>1.32841452318439</v>
      </c>
      <c r="AP1062" s="6" t="n">
        <v>0.1346930988926927</v>
      </c>
      <c r="AQ1062" s="6" t="n">
        <v>0</v>
      </c>
      <c r="AR1062" s="6" t="n">
        <v>0</v>
      </c>
    </row>
    <row r="1063">
      <c r="D1063" t="inlineStr">
        <is>
          <t>Run 751</t>
        </is>
      </c>
      <c r="J1063" s="6" t="n">
        <v>-1.515838175511586</v>
      </c>
      <c r="K1063" s="6" t="n">
        <v>-1.641340849698813</v>
      </c>
      <c r="L1063" s="6" t="n">
        <v>2.215739368464045</v>
      </c>
      <c r="M1063" s="6" t="n">
        <v>4.278505702073033</v>
      </c>
      <c r="N1063" s="6" t="n">
        <v>-0.2656546438081605</v>
      </c>
      <c r="O1063" s="6" t="n">
        <v>1.312418928340079</v>
      </c>
      <c r="P1063" s="6" t="n">
        <v>2.641604478511615</v>
      </c>
      <c r="Q1063" s="6" t="n">
        <v>0.7767191238928677</v>
      </c>
      <c r="R1063" s="6" t="n">
        <v>-2.441464976468018</v>
      </c>
      <c r="S1063" s="6" t="n">
        <v>-0.1343725756596257</v>
      </c>
      <c r="T1063" s="6" t="n">
        <v>0.7035777961354491</v>
      </c>
      <c r="U1063" s="6" t="n">
        <v>1.154240423580516</v>
      </c>
      <c r="V1063" s="6" t="n">
        <v>-0.495907074643684</v>
      </c>
      <c r="W1063" s="6" t="n">
        <v>-1.031890078101902</v>
      </c>
      <c r="X1063" s="6" t="n">
        <v>-2.867914154142473</v>
      </c>
      <c r="Y1063" s="6" t="n">
        <v>0.8103684016819194</v>
      </c>
      <c r="Z1063" s="6" t="n">
        <v>0.8855708533110689</v>
      </c>
      <c r="AA1063" s="6" t="n">
        <v>-1.383769988806984</v>
      </c>
      <c r="AB1063" s="6" t="n">
        <v>-3.773947261698845</v>
      </c>
      <c r="AC1063" s="6" t="n">
        <v>-0.09437081268639019</v>
      </c>
      <c r="AD1063" s="6" t="n">
        <v>2.38408925878547</v>
      </c>
      <c r="AE1063" s="6" t="n">
        <v>2.973712147012272</v>
      </c>
      <c r="AF1063" s="6" t="n">
        <v>0.7018113914204245</v>
      </c>
      <c r="AG1063" s="6" t="n">
        <v>-0.182571070923033</v>
      </c>
      <c r="AH1063" s="6" t="n">
        <v>0.6808834884287827</v>
      </c>
      <c r="AI1063" s="6" t="n">
        <v>1.575049787418124</v>
      </c>
      <c r="AJ1063" s="6" t="n">
        <v>76.66268842461977</v>
      </c>
      <c r="AK1063" s="6" t="n">
        <v>0.1389325518046327</v>
      </c>
      <c r="AL1063" s="6" t="n">
        <v>0.9806678413576547</v>
      </c>
      <c r="AN1063" s="6" t="n">
        <v>1.36393478740194</v>
      </c>
      <c r="AO1063" s="6" t="n">
        <v>1.36393478740194</v>
      </c>
      <c r="AP1063" s="6" t="n">
        <v>0.143207913376608</v>
      </c>
      <c r="AQ1063" s="6" t="n">
        <v>0</v>
      </c>
      <c r="AR1063" s="6" t="n">
        <v>0</v>
      </c>
    </row>
    <row r="1064">
      <c r="D1064" t="inlineStr">
        <is>
          <t>Run 752</t>
        </is>
      </c>
      <c r="J1064" s="6" t="n">
        <v>0.8974795015097323</v>
      </c>
      <c r="K1064" s="6" t="n">
        <v>-1.309475452887</v>
      </c>
      <c r="L1064" s="6" t="n">
        <v>-0.02120102678770414</v>
      </c>
      <c r="M1064" s="6" t="n">
        <v>3.278168579886389</v>
      </c>
      <c r="N1064" s="6" t="n">
        <v>2.320713757060343</v>
      </c>
      <c r="O1064" s="6" t="n">
        <v>1.480581861840781</v>
      </c>
      <c r="P1064" s="6" t="n">
        <v>-1.915652792027934</v>
      </c>
      <c r="Q1064" s="6" t="n">
        <v>1.100483465777699</v>
      </c>
      <c r="R1064" s="6" t="n">
        <v>0.4276719671953208</v>
      </c>
      <c r="S1064" s="6" t="n">
        <v>0.9747449250744264</v>
      </c>
      <c r="T1064" s="6" t="n">
        <v>0.2159753043140217</v>
      </c>
      <c r="U1064" s="6" t="n">
        <v>-0.8179864180576387</v>
      </c>
      <c r="V1064" s="6" t="n">
        <v>3.285881686258017</v>
      </c>
      <c r="W1064" s="6" t="n">
        <v>0.7084263626348307</v>
      </c>
      <c r="X1064" s="6" t="n">
        <v>0.4208397469192622</v>
      </c>
      <c r="Y1064" s="6" t="n">
        <v>-0.105256389844158</v>
      </c>
      <c r="Z1064" s="6" t="n">
        <v>3.296943305177166</v>
      </c>
      <c r="AA1064" s="6" t="n">
        <v>3.64143585591552</v>
      </c>
      <c r="AB1064" s="6" t="n">
        <v>3.366079899677775</v>
      </c>
      <c r="AC1064" s="6" t="n">
        <v>-0.6560070151849597</v>
      </c>
      <c r="AD1064" s="6" t="n">
        <v>1.659235228374236</v>
      </c>
      <c r="AE1064" s="6" t="n">
        <v>0.2319173497042512</v>
      </c>
      <c r="AF1064" s="6" t="n">
        <v>-0.6827337851074126</v>
      </c>
      <c r="AG1064" s="6" t="n">
        <v>2.30540842832936</v>
      </c>
      <c r="AH1064" s="6" t="n">
        <v>-0.1619010789262629</v>
      </c>
      <c r="AI1064" s="6" t="n">
        <v>4.809800468810051</v>
      </c>
      <c r="AJ1064" s="6" t="n">
        <v>73.43775697083343</v>
      </c>
      <c r="AK1064" s="6" t="n">
        <v>0.08106948705144132</v>
      </c>
      <c r="AL1064" s="6" t="n">
        <v>1.058633346462905</v>
      </c>
      <c r="AN1064" s="6" t="n">
        <v>1.344576376678177</v>
      </c>
      <c r="AO1064" s="6" t="n">
        <v>1.344907274996612</v>
      </c>
      <c r="AP1064" s="6" t="n">
        <v>0.1327957097970628</v>
      </c>
      <c r="AQ1064" s="6" t="n">
        <v>0</v>
      </c>
      <c r="AR1064" s="6" t="n">
        <v>0</v>
      </c>
    </row>
    <row r="1065">
      <c r="D1065" t="inlineStr">
        <is>
          <t>Run 753</t>
        </is>
      </c>
      <c r="J1065" s="6" t="n">
        <v>0.6841059307888951</v>
      </c>
      <c r="K1065" s="6" t="n">
        <v>2.233133024622315</v>
      </c>
      <c r="L1065" s="6" t="n">
        <v>1.179635746357828</v>
      </c>
      <c r="M1065" s="6" t="n">
        <v>2.367392886505635</v>
      </c>
      <c r="N1065" s="6" t="n">
        <v>-0.9894441771768082</v>
      </c>
      <c r="O1065" s="6" t="n">
        <v>-1.175554929318387</v>
      </c>
      <c r="P1065" s="6" t="n">
        <v>3.292455776450886</v>
      </c>
      <c r="Q1065" s="6" t="n">
        <v>1.712825264737355</v>
      </c>
      <c r="R1065" s="6" t="n">
        <v>-1.701072814317918</v>
      </c>
      <c r="S1065" s="6" t="n">
        <v>0.9109106556005486</v>
      </c>
      <c r="T1065" s="6" t="n">
        <v>-2.082659787987672</v>
      </c>
      <c r="U1065" s="6" t="n">
        <v>2.29593237979285</v>
      </c>
      <c r="V1065" s="6" t="n">
        <v>-0.4780037804913019</v>
      </c>
      <c r="W1065" s="6" t="n">
        <v>0.8797833941834992</v>
      </c>
      <c r="X1065" s="6" t="n">
        <v>-0.2673801913533231</v>
      </c>
      <c r="Y1065" s="6" t="n">
        <v>1.738717505817121</v>
      </c>
      <c r="Z1065" s="6" t="n">
        <v>-1.263437511507335</v>
      </c>
      <c r="AA1065" s="6" t="n">
        <v>1.254903910468664</v>
      </c>
      <c r="AB1065" s="6" t="n">
        <v>-2.128978111976751</v>
      </c>
      <c r="AC1065" s="6" t="n">
        <v>1.226503806036992</v>
      </c>
      <c r="AD1065" s="6" t="n">
        <v>-0.06074624715332005</v>
      </c>
      <c r="AE1065" s="6" t="n">
        <v>-3.310258744654909</v>
      </c>
      <c r="AF1065" s="6" t="n">
        <v>-1.962979847308448</v>
      </c>
      <c r="AG1065" s="6" t="n">
        <v>-0.3005057118794416</v>
      </c>
      <c r="AH1065" s="6" t="n">
        <v>-0.1111014876412145</v>
      </c>
      <c r="AI1065" s="6" t="n">
        <v>-0.2827024171447861</v>
      </c>
      <c r="AJ1065" s="6" t="n">
        <v>64.47316704476383</v>
      </c>
      <c r="AK1065" s="6" t="n">
        <v>0.1191749878690953</v>
      </c>
      <c r="AL1065" s="6" t="n">
        <v>1.052548324463239</v>
      </c>
      <c r="AN1065" s="6" t="n">
        <v>1.340889628178317</v>
      </c>
      <c r="AO1065" s="6" t="n">
        <v>1.341263632816969</v>
      </c>
      <c r="AP1065" s="6" t="n">
        <v>0.131723316836396</v>
      </c>
      <c r="AQ1065" s="6" t="n">
        <v>0</v>
      </c>
      <c r="AR1065" s="6" t="n">
        <v>0</v>
      </c>
    </row>
    <row r="1066">
      <c r="D1066" t="inlineStr">
        <is>
          <t>Run 754</t>
        </is>
      </c>
      <c r="J1066" s="6" t="n">
        <v>-0.4845823796832668</v>
      </c>
      <c r="K1066" s="6" t="n">
        <v>3.367827397813894</v>
      </c>
      <c r="L1066" s="6" t="n">
        <v>0.6058456527004631</v>
      </c>
      <c r="M1066" s="6" t="n">
        <v>-3.786532963581151</v>
      </c>
      <c r="N1066" s="6" t="n">
        <v>-0.5504806227600314</v>
      </c>
      <c r="O1066" s="6" t="n">
        <v>3.152542541503694</v>
      </c>
      <c r="P1066" s="6" t="n">
        <v>0.2681617821781364</v>
      </c>
      <c r="Q1066" s="6" t="n">
        <v>-2.797643169261112</v>
      </c>
      <c r="R1066" s="6" t="n">
        <v>0.3354220508479174</v>
      </c>
      <c r="S1066" s="6" t="n">
        <v>-0.05552872352080163</v>
      </c>
      <c r="T1066" s="6" t="n">
        <v>-2.445228694620938</v>
      </c>
      <c r="U1066" s="6" t="n">
        <v>1.157649076721648</v>
      </c>
      <c r="V1066" s="6" t="n">
        <v>-0.1509405449541127</v>
      </c>
      <c r="W1066" s="6" t="n">
        <v>0.05008229485347441</v>
      </c>
      <c r="X1066" s="6" t="n">
        <v>1.006906210562101</v>
      </c>
      <c r="Y1066" s="6" t="n">
        <v>-2.350046469302391</v>
      </c>
      <c r="Z1066" s="6" t="n">
        <v>-1.706863536051105</v>
      </c>
      <c r="AA1066" s="6" t="n">
        <v>1.523586618018288</v>
      </c>
      <c r="AB1066" s="6" t="n">
        <v>1.339450845969294</v>
      </c>
      <c r="AC1066" s="6" t="n">
        <v>-0.2091927563827581</v>
      </c>
      <c r="AD1066" s="6" t="n">
        <v>-6.672221265826618</v>
      </c>
      <c r="AE1066" s="6" t="n">
        <v>-3.355757297561381</v>
      </c>
      <c r="AF1066" s="6" t="n">
        <v>1.667950108276524</v>
      </c>
      <c r="AG1066" s="6" t="n">
        <v>0.2783256929931561</v>
      </c>
      <c r="AH1066" s="6" t="n">
        <v>1.305957782272974</v>
      </c>
      <c r="AI1066" s="6" t="n">
        <v>2.142758462030392</v>
      </c>
      <c r="AJ1066" s="6" t="n">
        <v>66.50751716832085</v>
      </c>
      <c r="AK1066" s="6" t="n">
        <v>0.142582879553798</v>
      </c>
      <c r="AL1066" s="6" t="n">
        <v>1.03849246210676</v>
      </c>
      <c r="AN1066" s="6" t="n">
        <v>1.305495167405938</v>
      </c>
      <c r="AO1066" s="6" t="n">
        <v>1.314425502111885</v>
      </c>
      <c r="AP1066" s="6" t="n">
        <v>0.1315692583474614</v>
      </c>
      <c r="AQ1066" s="6" t="n">
        <v>0</v>
      </c>
      <c r="AR1066" s="6" t="n">
        <v>0</v>
      </c>
    </row>
    <row r="1067">
      <c r="D1067" t="inlineStr">
        <is>
          <t>Run 755</t>
        </is>
      </c>
      <c r="J1067" s="6" t="n">
        <v>0.4597890942349415</v>
      </c>
      <c r="K1067" s="6" t="n">
        <v>3.86629368326421</v>
      </c>
      <c r="L1067" s="6" t="n">
        <v>-1.349619173594952</v>
      </c>
      <c r="M1067" s="6" t="n">
        <v>-1.000589787109667</v>
      </c>
      <c r="N1067" s="6" t="n">
        <v>2.746014193144425</v>
      </c>
      <c r="O1067" s="6" t="n">
        <v>3.089862440038845</v>
      </c>
      <c r="P1067" s="6" t="n">
        <v>-4.869969501754849</v>
      </c>
      <c r="Q1067" s="6" t="n">
        <v>-1.012886119789301</v>
      </c>
      <c r="R1067" s="6" t="n">
        <v>-1.827042944012092</v>
      </c>
      <c r="S1067" s="6" t="n">
        <v>0.6987391028544677</v>
      </c>
      <c r="T1067" s="6" t="n">
        <v>-1.173955638078509</v>
      </c>
      <c r="U1067" s="6" t="n">
        <v>-0.386321385472819</v>
      </c>
      <c r="V1067" s="6" t="n">
        <v>2.32910927324967</v>
      </c>
      <c r="W1067" s="6" t="n">
        <v>-0.2775364695124485</v>
      </c>
      <c r="X1067" s="6" t="n">
        <v>-1.222043625171171</v>
      </c>
      <c r="Y1067" s="6" t="n">
        <v>-1.183527542389801</v>
      </c>
      <c r="Z1067" s="6" t="n">
        <v>1.738770011613832</v>
      </c>
      <c r="AA1067" s="6" t="n">
        <v>1.249448034100451</v>
      </c>
      <c r="AB1067" s="6" t="n">
        <v>2.339762434227385</v>
      </c>
      <c r="AC1067" s="6" t="n">
        <v>3.139832180940796</v>
      </c>
      <c r="AD1067" s="6" t="n">
        <v>-0.6687453889689274</v>
      </c>
      <c r="AE1067" s="6" t="n">
        <v>1.147970646054696</v>
      </c>
      <c r="AF1067" s="6" t="n">
        <v>-1.666479370809024</v>
      </c>
      <c r="AG1067" s="6" t="n">
        <v>-1.943148060071022</v>
      </c>
      <c r="AH1067" s="6" t="n">
        <v>1.48765746405427</v>
      </c>
      <c r="AI1067" s="6" t="n">
        <v>-2.362412737589075</v>
      </c>
      <c r="AJ1067" s="6" t="n">
        <v>75.80711470418559</v>
      </c>
      <c r="AK1067" s="6" t="n">
        <v>0.1474312515550233</v>
      </c>
      <c r="AL1067" s="6" t="n">
        <v>1.062885920115189</v>
      </c>
      <c r="AN1067" s="6" t="n">
        <v>1.34009705369474</v>
      </c>
      <c r="AO1067" s="6" t="n">
        <v>1.34039289010628</v>
      </c>
      <c r="AP1067" s="6" t="n">
        <v>0.1306109979973714</v>
      </c>
      <c r="AQ1067" s="6" t="n">
        <v>0</v>
      </c>
      <c r="AR1067" s="6" t="n">
        <v>0</v>
      </c>
    </row>
    <row r="1068">
      <c r="D1068" t="inlineStr">
        <is>
          <t>Run 756</t>
        </is>
      </c>
      <c r="J1068" s="6" t="n">
        <v>2.26835641747742</v>
      </c>
      <c r="K1068" s="6" t="n">
        <v>-0.7431959720991341</v>
      </c>
      <c r="L1068" s="6" t="n">
        <v>2.155934220791154</v>
      </c>
      <c r="M1068" s="6" t="n">
        <v>0.817004618661059</v>
      </c>
      <c r="N1068" s="6" t="n">
        <v>0.5730681102526544</v>
      </c>
      <c r="O1068" s="6" t="n">
        <v>1.096390400812396</v>
      </c>
      <c r="P1068" s="6" t="n">
        <v>0.5733021278077758</v>
      </c>
      <c r="Q1068" s="6" t="n">
        <v>-1.876901778485845</v>
      </c>
      <c r="R1068" s="6" t="n">
        <v>-0.8364007049225258</v>
      </c>
      <c r="S1068" s="6" t="n">
        <v>-2.703323097656971</v>
      </c>
      <c r="T1068" s="6" t="n">
        <v>0.3288043193486176</v>
      </c>
      <c r="U1068" s="6" t="n">
        <v>1.644153967303393</v>
      </c>
      <c r="V1068" s="6" t="n">
        <v>1.622931029609221</v>
      </c>
      <c r="W1068" s="6" t="n">
        <v>0.01081000793770452</v>
      </c>
      <c r="X1068" s="6" t="n">
        <v>-0.6641742450745475</v>
      </c>
      <c r="Y1068" s="6" t="n">
        <v>1.993852054429326</v>
      </c>
      <c r="Z1068" s="6" t="n">
        <v>-1.447879686041481</v>
      </c>
      <c r="AA1068" s="6" t="n">
        <v>0.3446839498972228</v>
      </c>
      <c r="AB1068" s="6" t="n">
        <v>-1.116062149384274</v>
      </c>
      <c r="AC1068" s="6" t="n">
        <v>-1.518306381684114</v>
      </c>
      <c r="AD1068" s="6" t="n">
        <v>2.885839569559695</v>
      </c>
      <c r="AE1068" s="6" t="n">
        <v>-2.12116224224815</v>
      </c>
      <c r="AF1068" s="6" t="n">
        <v>-0.6492487440330316</v>
      </c>
      <c r="AG1068" s="6" t="n">
        <v>1.005682596937905</v>
      </c>
      <c r="AH1068" s="6" t="n">
        <v>-4.383464136812155</v>
      </c>
      <c r="AI1068" s="6" t="n">
        <v>3.235137427776489</v>
      </c>
      <c r="AJ1068" s="6" t="n">
        <v>69.21132171107132</v>
      </c>
      <c r="AK1068" s="6" t="n">
        <v>0.1190782325737127</v>
      </c>
      <c r="AL1068" s="6" t="n">
        <v>1.059949321275711</v>
      </c>
      <c r="AN1068" s="6" t="n">
        <v>1.341422142435122</v>
      </c>
      <c r="AO1068" s="6" t="n">
        <v>1.341470479489446</v>
      </c>
      <c r="AP1068" s="6" t="n">
        <v>0.131274691054929</v>
      </c>
      <c r="AQ1068" s="6" t="n">
        <v>0</v>
      </c>
      <c r="AR1068" s="6" t="n">
        <v>0</v>
      </c>
    </row>
    <row r="1069">
      <c r="D1069" t="inlineStr">
        <is>
          <t>Run 757</t>
        </is>
      </c>
      <c r="J1069" s="6" t="n">
        <v>3.752957671073056</v>
      </c>
      <c r="K1069" s="6" t="n">
        <v>1.439314768025824</v>
      </c>
      <c r="L1069" s="6" t="n">
        <v>-1.530209920400358</v>
      </c>
      <c r="M1069" s="6" t="n">
        <v>-2.270301678795813</v>
      </c>
      <c r="N1069" s="6" t="n">
        <v>-1.803697435426343</v>
      </c>
      <c r="O1069" s="6" t="n">
        <v>-0.9786483121038647</v>
      </c>
      <c r="P1069" s="6" t="n">
        <v>1.865784489415179</v>
      </c>
      <c r="Q1069" s="6" t="n">
        <v>-2.904048873411349</v>
      </c>
      <c r="R1069" s="6" t="n">
        <v>5</v>
      </c>
      <c r="S1069" s="6" t="n">
        <v>-2.363114525267108</v>
      </c>
      <c r="T1069" s="6" t="n">
        <v>-2.079319532144291</v>
      </c>
      <c r="U1069" s="6" t="n">
        <v>1.81391997379272</v>
      </c>
      <c r="V1069" s="6" t="n">
        <v>-4.087779293227422</v>
      </c>
      <c r="W1069" s="6" t="n">
        <v>-5.290142872045836</v>
      </c>
      <c r="X1069" s="6" t="n">
        <v>2.271679573542711</v>
      </c>
      <c r="Y1069" s="6" t="n">
        <v>0.4686202839129697</v>
      </c>
      <c r="Z1069" s="6" t="n">
        <v>-0.221048341791006</v>
      </c>
      <c r="AA1069" s="6" t="n">
        <v>0.4826962526422787</v>
      </c>
      <c r="AB1069" s="6" t="n">
        <v>3.298606406745448</v>
      </c>
      <c r="AC1069" s="6" t="n">
        <v>-1.467302967461984</v>
      </c>
      <c r="AD1069" s="6" t="n">
        <v>1.767957158013239</v>
      </c>
      <c r="AE1069" s="6" t="n">
        <v>-0.7575106917223554</v>
      </c>
      <c r="AF1069" s="6" t="n">
        <v>-0.3103231424095847</v>
      </c>
      <c r="AG1069" s="6" t="n">
        <v>0.07416279627932869</v>
      </c>
      <c r="AH1069" s="6" t="n">
        <v>-1.031334003822914</v>
      </c>
      <c r="AI1069" s="6" t="n">
        <v>3.431439079694057</v>
      </c>
      <c r="AJ1069" s="6" t="n">
        <v>63.96874844022337</v>
      </c>
      <c r="AK1069" s="6" t="n">
        <v>0.1429670800635729</v>
      </c>
      <c r="AL1069" s="6" t="n">
        <v>1.003016594732024</v>
      </c>
      <c r="AN1069" s="6" t="n">
        <v>1.338187486573169</v>
      </c>
      <c r="AO1069" s="6" t="n">
        <v>1.344157513832244</v>
      </c>
      <c r="AP1069" s="6" t="n">
        <v>0.1363052289792216</v>
      </c>
      <c r="AQ1069" s="6" t="n">
        <v>0</v>
      </c>
      <c r="AR1069" s="6" t="n">
        <v>0</v>
      </c>
    </row>
    <row r="1070">
      <c r="D1070" t="inlineStr">
        <is>
          <t>Run 758</t>
        </is>
      </c>
      <c r="J1070" s="6" t="n">
        <v>0.4445465724501489</v>
      </c>
      <c r="K1070" s="6" t="n">
        <v>0.9959138899949733</v>
      </c>
      <c r="L1070" s="6" t="n">
        <v>1.389699134692628</v>
      </c>
      <c r="M1070" s="6" t="n">
        <v>1.713845556412518</v>
      </c>
      <c r="N1070" s="6" t="n">
        <v>-0.2381599618932201</v>
      </c>
      <c r="O1070" s="6" t="n">
        <v>-1.702526194351489</v>
      </c>
      <c r="P1070" s="6" t="n">
        <v>0.4797750632750972</v>
      </c>
      <c r="Q1070" s="6" t="n">
        <v>0.6350781902403856</v>
      </c>
      <c r="R1070" s="6" t="n">
        <v>2.335740703041935</v>
      </c>
      <c r="S1070" s="6" t="n">
        <v>-2.388295602814465</v>
      </c>
      <c r="T1070" s="6" t="n">
        <v>2.724813555453826</v>
      </c>
      <c r="U1070" s="6" t="n">
        <v>3.045580256934213</v>
      </c>
      <c r="V1070" s="6" t="n">
        <v>-1.112235671921098</v>
      </c>
      <c r="W1070" s="6" t="n">
        <v>0.2914027000661231</v>
      </c>
      <c r="X1070" s="6" t="n">
        <v>-2.110794753006644</v>
      </c>
      <c r="Y1070" s="6" t="n">
        <v>1.722632041283431</v>
      </c>
      <c r="Z1070" s="6" t="n">
        <v>-2.922804627015577</v>
      </c>
      <c r="AA1070" s="6" t="n">
        <v>0.4925784629360905</v>
      </c>
      <c r="AB1070" s="6" t="n">
        <v>-1.292864761803437</v>
      </c>
      <c r="AC1070" s="6" t="n">
        <v>-2.45132444196397</v>
      </c>
      <c r="AD1070" s="6" t="n">
        <v>-1.523593637716858</v>
      </c>
      <c r="AE1070" s="6" t="n">
        <v>0.9228636172031373</v>
      </c>
      <c r="AF1070" s="6" t="n">
        <v>-2.182431856768503</v>
      </c>
      <c r="AG1070" s="6" t="n">
        <v>1.980830392000772</v>
      </c>
      <c r="AH1070" s="6" t="n">
        <v>2.531657735152091</v>
      </c>
      <c r="AI1070" s="6" t="n">
        <v>2.056058172928464</v>
      </c>
      <c r="AJ1070" s="6" t="n">
        <v>74.11738512532636</v>
      </c>
      <c r="AK1070" s="6" t="n">
        <v>0.1082921380297067</v>
      </c>
      <c r="AL1070" s="6" t="n">
        <v>1.019167757881658</v>
      </c>
      <c r="AN1070" s="6" t="n">
        <v>1.353372170223093</v>
      </c>
      <c r="AO1070" s="6" t="n">
        <v>1.353372170223093</v>
      </c>
      <c r="AP1070" s="6" t="n">
        <v>0.1363047603273731</v>
      </c>
      <c r="AQ1070" s="6" t="n">
        <v>0</v>
      </c>
      <c r="AR1070" s="6" t="n">
        <v>0</v>
      </c>
    </row>
    <row r="1071">
      <c r="D1071" t="inlineStr">
        <is>
          <t>Run 759</t>
        </is>
      </c>
      <c r="J1071" s="6" t="n">
        <v>0.5730328229916836</v>
      </c>
      <c r="K1071" s="6" t="n">
        <v>3.597852122483983</v>
      </c>
      <c r="L1071" s="6" t="n">
        <v>1.505587218570595</v>
      </c>
      <c r="M1071" s="6" t="n">
        <v>1.745538863028944</v>
      </c>
      <c r="N1071" s="6" t="n">
        <v>-1.190767995170151</v>
      </c>
      <c r="O1071" s="6" t="n">
        <v>1.980773097674812</v>
      </c>
      <c r="P1071" s="6" t="n">
        <v>2.588762540013051</v>
      </c>
      <c r="Q1071" s="6" t="n">
        <v>0.3001460389492839</v>
      </c>
      <c r="R1071" s="6" t="n">
        <v>-1.610743359173682</v>
      </c>
      <c r="S1071" s="6" t="n">
        <v>-1.235918560102217</v>
      </c>
      <c r="T1071" s="6" t="n">
        <v>0.94627286307889</v>
      </c>
      <c r="U1071" s="6" t="n">
        <v>2.220409482257843</v>
      </c>
      <c r="V1071" s="6" t="n">
        <v>-1.690879201952126</v>
      </c>
      <c r="W1071" s="6" t="n">
        <v>3.403431651775817</v>
      </c>
      <c r="X1071" s="6" t="n">
        <v>-1.644862275206269</v>
      </c>
      <c r="Y1071" s="6" t="n">
        <v>1.491686642379208</v>
      </c>
      <c r="Z1071" s="6" t="n">
        <v>3.01073828690815</v>
      </c>
      <c r="AA1071" s="6" t="n">
        <v>-2.982704083353709</v>
      </c>
      <c r="AB1071" s="6" t="n">
        <v>0.2565305036850329</v>
      </c>
      <c r="AC1071" s="6" t="n">
        <v>3.01871548101742</v>
      </c>
      <c r="AD1071" s="6" t="n">
        <v>1.853549119409893</v>
      </c>
      <c r="AE1071" s="6" t="n">
        <v>0.9065223368722748</v>
      </c>
      <c r="AF1071" s="6" t="n">
        <v>1.151029743768463</v>
      </c>
      <c r="AG1071" s="6" t="n">
        <v>1.734428702578718</v>
      </c>
      <c r="AH1071" s="6" t="n">
        <v>0.02821562455818358</v>
      </c>
      <c r="AI1071" s="6" t="n">
        <v>-3.418660754539029</v>
      </c>
      <c r="AJ1071" s="6" t="n">
        <v>78.93136561130129</v>
      </c>
      <c r="AK1071" s="6" t="n">
        <v>0.1682636497474032</v>
      </c>
      <c r="AL1071" s="6" t="n">
        <v>1.029164034649149</v>
      </c>
      <c r="AN1071" s="6" t="n">
        <v>1.353003406299691</v>
      </c>
      <c r="AO1071" s="6" t="n">
        <v>1.353389810080986</v>
      </c>
      <c r="AP1071" s="6" t="n">
        <v>0.1339768657580514</v>
      </c>
      <c r="AQ1071" s="6" t="n">
        <v>0</v>
      </c>
      <c r="AR1071" s="6" t="n">
        <v>0</v>
      </c>
    </row>
    <row r="1072">
      <c r="D1072" t="inlineStr">
        <is>
          <t>Run 760</t>
        </is>
      </c>
      <c r="J1072" s="6" t="n">
        <v>2.545121306173495</v>
      </c>
      <c r="K1072" s="6" t="n">
        <v>-3.584709053051981</v>
      </c>
      <c r="L1072" s="6" t="n">
        <v>2.3807960469771</v>
      </c>
      <c r="M1072" s="6" t="n">
        <v>2.649910039477748</v>
      </c>
      <c r="N1072" s="6" t="n">
        <v>-2.150206398574379</v>
      </c>
      <c r="O1072" s="6" t="n">
        <v>-0.1332043460761966</v>
      </c>
      <c r="P1072" s="6" t="n">
        <v>0.960160472467621</v>
      </c>
      <c r="Q1072" s="6" t="n">
        <v>-1.820385356293887</v>
      </c>
      <c r="R1072" s="6" t="n">
        <v>2.10821559473795</v>
      </c>
      <c r="S1072" s="6" t="n">
        <v>-5.693500585680853</v>
      </c>
      <c r="T1072" s="6" t="n">
        <v>-0.5185197373016522</v>
      </c>
      <c r="U1072" s="6" t="n">
        <v>-0.6323011514489635</v>
      </c>
      <c r="V1072" s="6" t="n">
        <v>-1.437618229051703</v>
      </c>
      <c r="W1072" s="6" t="n">
        <v>0.5007505709776746</v>
      </c>
      <c r="X1072" s="6" t="n">
        <v>-5.935986627452283</v>
      </c>
      <c r="Y1072" s="6" t="n">
        <v>0.8719403474030633</v>
      </c>
      <c r="Z1072" s="6" t="n">
        <v>-0.1910438363331154</v>
      </c>
      <c r="AA1072" s="6" t="n">
        <v>3.667975961492976</v>
      </c>
      <c r="AB1072" s="6" t="n">
        <v>2.392470079438166</v>
      </c>
      <c r="AC1072" s="6" t="n">
        <v>1.125228983505802</v>
      </c>
      <c r="AD1072" s="6" t="n">
        <v>-2.062759304201264</v>
      </c>
      <c r="AE1072" s="6" t="n">
        <v>-1.260223519047704</v>
      </c>
      <c r="AF1072" s="6" t="n">
        <v>-2.213887012774019</v>
      </c>
      <c r="AG1072" s="6" t="n">
        <v>1.15826075533368</v>
      </c>
      <c r="AH1072" s="6" t="n">
        <v>0.5392686986414581</v>
      </c>
      <c r="AI1072" s="6" t="n">
        <v>-2.125775995484411</v>
      </c>
      <c r="AJ1072" s="6" t="n">
        <v>80.82158897342538</v>
      </c>
      <c r="AK1072" s="6" t="n">
        <v>0.03279520954078223</v>
      </c>
      <c r="AL1072" s="6" t="n">
        <v>1.089373925711768</v>
      </c>
      <c r="AN1072" s="6" t="n">
        <v>1.342477850836403</v>
      </c>
      <c r="AO1072" s="6" t="n">
        <v>1.344227103851499</v>
      </c>
      <c r="AP1072" s="6" t="n">
        <v>0.1320972177331829</v>
      </c>
      <c r="AQ1072" s="6" t="n">
        <v>0</v>
      </c>
      <c r="AR1072" s="6" t="n">
        <v>0</v>
      </c>
    </row>
    <row r="1073">
      <c r="D1073" t="inlineStr">
        <is>
          <t>Run 761</t>
        </is>
      </c>
      <c r="J1073" s="6" t="n">
        <v>2.016610118482626</v>
      </c>
      <c r="K1073" s="6" t="n">
        <v>3.137638595654982</v>
      </c>
      <c r="L1073" s="6" t="n">
        <v>-1.038874088580443</v>
      </c>
      <c r="M1073" s="6" t="n">
        <v>-0.05099275124222222</v>
      </c>
      <c r="N1073" s="6" t="n">
        <v>0.2136922463986573</v>
      </c>
      <c r="O1073" s="6" t="n">
        <v>2.299345573075259</v>
      </c>
      <c r="P1073" s="6" t="n">
        <v>-2.253727740982419</v>
      </c>
      <c r="Q1073" s="6" t="n">
        <v>2.854533475230646</v>
      </c>
      <c r="R1073" s="6" t="n">
        <v>-1.261866948958139</v>
      </c>
      <c r="S1073" s="6" t="n">
        <v>-2.327816926419493</v>
      </c>
      <c r="T1073" s="6" t="n">
        <v>2.95828514605053</v>
      </c>
      <c r="U1073" s="6" t="n">
        <v>0.9105121326991582</v>
      </c>
      <c r="V1073" s="6" t="n">
        <v>-1.142938979178979</v>
      </c>
      <c r="W1073" s="6" t="n">
        <v>-1.602749482712376</v>
      </c>
      <c r="X1073" s="6" t="n">
        <v>2.044937391538838</v>
      </c>
      <c r="Y1073" s="6" t="n">
        <v>3.313137846506273</v>
      </c>
      <c r="Z1073" s="6" t="n">
        <v>-1.162954891310793</v>
      </c>
      <c r="AA1073" s="6" t="n">
        <v>-3.117111277542316</v>
      </c>
      <c r="AB1073" s="6" t="n">
        <v>-1.347869510366238</v>
      </c>
      <c r="AC1073" s="6" t="n">
        <v>2.613609106776038</v>
      </c>
      <c r="AD1073" s="6" t="n">
        <v>-3.41872801774412</v>
      </c>
      <c r="AE1073" s="6" t="n">
        <v>-1.177568931674738</v>
      </c>
      <c r="AF1073" s="6" t="n">
        <v>1.518692039791923</v>
      </c>
      <c r="AG1073" s="6" t="n">
        <v>-2.967988795086993</v>
      </c>
      <c r="AH1073" s="6" t="n">
        <v>-4.358792448702351</v>
      </c>
      <c r="AI1073" s="6" t="n">
        <v>2.314456443866847</v>
      </c>
      <c r="AJ1073" s="6" t="n">
        <v>71.78833785684907</v>
      </c>
      <c r="AK1073" s="6" t="n">
        <v>0.01745669466466429</v>
      </c>
      <c r="AL1073" s="6" t="n">
        <v>1.040040716708958</v>
      </c>
      <c r="AN1073" s="6" t="n">
        <v>1.349674876708662</v>
      </c>
      <c r="AO1073" s="6" t="n">
        <v>1.349674876708662</v>
      </c>
      <c r="AP1073" s="6" t="n">
        <v>0.1357685888893242</v>
      </c>
      <c r="AQ1073" s="6" t="n">
        <v>0</v>
      </c>
      <c r="AR1073" s="6" t="n">
        <v>0</v>
      </c>
    </row>
    <row r="1074">
      <c r="D1074" t="inlineStr">
        <is>
          <t>Run 762</t>
        </is>
      </c>
      <c r="J1074" s="6" t="n">
        <v>-1.225991051016372</v>
      </c>
      <c r="K1074" s="6" t="n">
        <v>-2.433851231427328</v>
      </c>
      <c r="L1074" s="6" t="n">
        <v>0.2438287131849512</v>
      </c>
      <c r="M1074" s="6" t="n">
        <v>-0.03895389930213899</v>
      </c>
      <c r="N1074" s="6" t="n">
        <v>0.7361778545080813</v>
      </c>
      <c r="O1074" s="6" t="n">
        <v>3.876229509744825</v>
      </c>
      <c r="P1074" s="6" t="n">
        <v>2.520401712076463</v>
      </c>
      <c r="Q1074" s="6" t="n">
        <v>-2.989925491192637</v>
      </c>
      <c r="R1074" s="6" t="n">
        <v>4.769897875816572</v>
      </c>
      <c r="S1074" s="6" t="n">
        <v>1.055265356313705</v>
      </c>
      <c r="T1074" s="6" t="n">
        <v>-0.4371407973243595</v>
      </c>
      <c r="U1074" s="6" t="n">
        <v>-0.2407199918245977</v>
      </c>
      <c r="V1074" s="6" t="n">
        <v>-1.490287524400091</v>
      </c>
      <c r="W1074" s="6" t="n">
        <v>-0.2855889881915593</v>
      </c>
      <c r="X1074" s="6" t="n">
        <v>-1.592471785092209</v>
      </c>
      <c r="Y1074" s="6" t="n">
        <v>-2.492766966766954</v>
      </c>
      <c r="Z1074" s="6" t="n">
        <v>4.986626718559465</v>
      </c>
      <c r="AA1074" s="6" t="n">
        <v>-0.1437515884730278</v>
      </c>
      <c r="AB1074" s="6" t="n">
        <v>2.180480793294619</v>
      </c>
      <c r="AC1074" s="6" t="n">
        <v>-1.397210023329426</v>
      </c>
      <c r="AD1074" s="6" t="n">
        <v>-0.953814663989797</v>
      </c>
      <c r="AE1074" s="6" t="n">
        <v>-1.274032602031278</v>
      </c>
      <c r="AF1074" s="6" t="n">
        <v>3.092403468438705</v>
      </c>
      <c r="AG1074" s="6" t="n">
        <v>2.652168904486992</v>
      </c>
      <c r="AH1074" s="6" t="n">
        <v>-1.155882218307874</v>
      </c>
      <c r="AI1074" s="6" t="n">
        <v>1.047300524958161</v>
      </c>
      <c r="AJ1074" s="6" t="n">
        <v>81.14689197604078</v>
      </c>
      <c r="AK1074" s="6" t="n">
        <v>0.0801539598797532</v>
      </c>
      <c r="AL1074" s="6" t="n">
        <v>1.012645122126954</v>
      </c>
      <c r="AN1074" s="6" t="n">
        <v>1.360551950811415</v>
      </c>
      <c r="AO1074" s="6" t="n">
        <v>1.360551950811415</v>
      </c>
      <c r="AP1074" s="6" t="n">
        <v>0.1386338790569044</v>
      </c>
      <c r="AQ1074" s="6" t="n">
        <v>0</v>
      </c>
      <c r="AR1074" s="6" t="n">
        <v>0</v>
      </c>
    </row>
    <row r="1075">
      <c r="D1075" t="inlineStr">
        <is>
          <t>Run 763</t>
        </is>
      </c>
      <c r="J1075" s="6" t="n">
        <v>-0.3433978102433089</v>
      </c>
      <c r="K1075" s="6" t="n">
        <v>-1.944815786922573</v>
      </c>
      <c r="L1075" s="6" t="n">
        <v>0.3680710147735124</v>
      </c>
      <c r="M1075" s="6" t="n">
        <v>1.245576439084505</v>
      </c>
      <c r="N1075" s="6" t="n">
        <v>3.399658573232504</v>
      </c>
      <c r="O1075" s="6" t="n">
        <v>1.34939167392101</v>
      </c>
      <c r="P1075" s="6" t="n">
        <v>-2.272329359444138</v>
      </c>
      <c r="Q1075" s="6" t="n">
        <v>1.78853294712188</v>
      </c>
      <c r="R1075" s="6" t="n">
        <v>1.336087903894451</v>
      </c>
      <c r="S1075" s="6" t="n">
        <v>2.459404689781883</v>
      </c>
      <c r="T1075" s="6" t="n">
        <v>-1.55131411990881</v>
      </c>
      <c r="U1075" s="6" t="n">
        <v>-1.494421888474567</v>
      </c>
      <c r="V1075" s="6" t="n">
        <v>1.375008234093406</v>
      </c>
      <c r="W1075" s="6" t="n">
        <v>1.124488332336774</v>
      </c>
      <c r="X1075" s="6" t="n">
        <v>0.1047311758357294</v>
      </c>
      <c r="Y1075" s="6" t="n">
        <v>0.1987194027322915</v>
      </c>
      <c r="Z1075" s="6" t="n">
        <v>-2.348487312325796</v>
      </c>
      <c r="AA1075" s="6" t="n">
        <v>3.990278160562482</v>
      </c>
      <c r="AB1075" s="6" t="n">
        <v>0.3017451454624448</v>
      </c>
      <c r="AC1075" s="6" t="n">
        <v>-2.896327780560192</v>
      </c>
      <c r="AD1075" s="6" t="n">
        <v>-0.2329117841686684</v>
      </c>
      <c r="AE1075" s="6" t="n">
        <v>-0.2870274966659678</v>
      </c>
      <c r="AF1075" s="6" t="n">
        <v>2.850401424903531</v>
      </c>
      <c r="AG1075" s="6" t="n">
        <v>-0.5638054192368582</v>
      </c>
      <c r="AH1075" s="6" t="n">
        <v>4.410149471429978</v>
      </c>
      <c r="AI1075" s="6" t="n">
        <v>1.337471050393678</v>
      </c>
      <c r="AJ1075" s="6" t="n">
        <v>80.40587338893897</v>
      </c>
      <c r="AK1075" s="6" t="n">
        <v>0.17837947796349</v>
      </c>
      <c r="AL1075" s="6" t="n">
        <v>1.056076330668988</v>
      </c>
      <c r="AN1075" s="6" t="n">
        <v>1.34114789593502</v>
      </c>
      <c r="AO1075" s="6" t="n">
        <v>1.341215599115252</v>
      </c>
      <c r="AP1075" s="6" t="n">
        <v>0.130997645458517</v>
      </c>
      <c r="AQ1075" s="6" t="n">
        <v>0</v>
      </c>
      <c r="AR1075" s="6" t="n">
        <v>0</v>
      </c>
    </row>
    <row r="1076">
      <c r="D1076" t="inlineStr">
        <is>
          <t>Run 764</t>
        </is>
      </c>
      <c r="J1076" s="6" t="n">
        <v>-0.9652966269143628</v>
      </c>
      <c r="K1076" s="6" t="n">
        <v>1.971353873761738</v>
      </c>
      <c r="L1076" s="6" t="n">
        <v>-0.02086535659855784</v>
      </c>
      <c r="M1076" s="6" t="n">
        <v>1.749168780958351</v>
      </c>
      <c r="N1076" s="6" t="n">
        <v>-0.2315427958032379</v>
      </c>
      <c r="O1076" s="6" t="n">
        <v>0.7253986467142414</v>
      </c>
      <c r="P1076" s="6" t="n">
        <v>-4.215159944096018</v>
      </c>
      <c r="Q1076" s="6" t="n">
        <v>-2.898263613697547</v>
      </c>
      <c r="R1076" s="6" t="n">
        <v>0.04491974996614891</v>
      </c>
      <c r="S1076" s="6" t="n">
        <v>2.759599766022645</v>
      </c>
      <c r="T1076" s="6" t="n">
        <v>0.2056058402482583</v>
      </c>
      <c r="U1076" s="6" t="n">
        <v>1.776485812664458</v>
      </c>
      <c r="V1076" s="6" t="n">
        <v>0.8989071002155007</v>
      </c>
      <c r="W1076" s="6" t="n">
        <v>3.192726553046951</v>
      </c>
      <c r="X1076" s="6" t="n">
        <v>2.023588288117682</v>
      </c>
      <c r="Y1076" s="6" t="n">
        <v>0.02093149899532559</v>
      </c>
      <c r="Z1076" s="6" t="n">
        <v>1.669988442614536</v>
      </c>
      <c r="AA1076" s="6" t="n">
        <v>2.216951760940977</v>
      </c>
      <c r="AB1076" s="6" t="n">
        <v>-1.373158849607105</v>
      </c>
      <c r="AC1076" s="6" t="n">
        <v>0.4003507278041926</v>
      </c>
      <c r="AD1076" s="6" t="n">
        <v>-1.011510730443889</v>
      </c>
      <c r="AE1076" s="6" t="n">
        <v>-2.806246551614056</v>
      </c>
      <c r="AF1076" s="6" t="n">
        <v>-4.816944653884199</v>
      </c>
      <c r="AG1076" s="6" t="n">
        <v>1.03563489915038</v>
      </c>
      <c r="AH1076" s="6" t="n">
        <v>-0.165465939001736</v>
      </c>
      <c r="AI1076" s="6" t="n">
        <v>-0.4426787887949809</v>
      </c>
      <c r="AJ1076" s="6" t="n">
        <v>76.98983362696558</v>
      </c>
      <c r="AK1076" s="6" t="n">
        <v>0.04134792865405801</v>
      </c>
      <c r="AL1076" s="6" t="n">
        <v>1.018271124617741</v>
      </c>
      <c r="AN1076" s="6" t="n">
        <v>1.357310932055866</v>
      </c>
      <c r="AO1076" s="6" t="n">
        <v>1.357310932055866</v>
      </c>
      <c r="AP1076" s="6" t="n">
        <v>0.1378636472764425</v>
      </c>
      <c r="AQ1076" s="6" t="n">
        <v>0</v>
      </c>
      <c r="AR1076" s="6" t="n">
        <v>0</v>
      </c>
    </row>
    <row r="1077">
      <c r="D1077" t="inlineStr">
        <is>
          <t>Run 765</t>
        </is>
      </c>
      <c r="J1077" s="6" t="n">
        <v>0.2958425008813111</v>
      </c>
      <c r="K1077" s="6" t="n">
        <v>1.959341071136969</v>
      </c>
      <c r="L1077" s="6" t="n">
        <v>-1.620971633951027</v>
      </c>
      <c r="M1077" s="6" t="n">
        <v>1.331519506779264</v>
      </c>
      <c r="N1077" s="6" t="n">
        <v>-0.00304948296549341</v>
      </c>
      <c r="O1077" s="6" t="n">
        <v>-0.2058772478515557</v>
      </c>
      <c r="P1077" s="6" t="n">
        <v>0.8416658689501499</v>
      </c>
      <c r="Q1077" s="6" t="n">
        <v>0.8834682571799789</v>
      </c>
      <c r="R1077" s="6" t="n">
        <v>3.413943721017102</v>
      </c>
      <c r="S1077" s="6" t="n">
        <v>1.200812965381618</v>
      </c>
      <c r="T1077" s="6" t="n">
        <v>-2.473254343844209</v>
      </c>
      <c r="U1077" s="6" t="n">
        <v>3.435119563558148</v>
      </c>
      <c r="V1077" s="6" t="n">
        <v>1.854706434821776</v>
      </c>
      <c r="W1077" s="6" t="n">
        <v>-1.139316735776321</v>
      </c>
      <c r="X1077" s="6" t="n">
        <v>2.539495733748548</v>
      </c>
      <c r="Y1077" s="6" t="n">
        <v>2.724240587680741</v>
      </c>
      <c r="Z1077" s="6" t="n">
        <v>-0.8578726990582093</v>
      </c>
      <c r="AA1077" s="6" t="n">
        <v>-1.37441093824959</v>
      </c>
      <c r="AB1077" s="6" t="n">
        <v>-1.146527655538879</v>
      </c>
      <c r="AC1077" s="6" t="n">
        <v>0.5525923604880257</v>
      </c>
      <c r="AD1077" s="6" t="n">
        <v>-1.721074374837228</v>
      </c>
      <c r="AE1077" s="6" t="n">
        <v>3.385756322506323</v>
      </c>
      <c r="AF1077" s="6" t="n">
        <v>0.2331616728390548</v>
      </c>
      <c r="AG1077" s="6" t="n">
        <v>0.3918542262925162</v>
      </c>
      <c r="AH1077" s="6" t="n">
        <v>-2.407578186103843</v>
      </c>
      <c r="AI1077" s="6" t="n">
        <v>-2.416389847783549</v>
      </c>
      <c r="AJ1077" s="6" t="n">
        <v>77.31758420083582</v>
      </c>
      <c r="AK1077" s="6" t="n">
        <v>0.1502364964023356</v>
      </c>
      <c r="AL1077" s="6" t="n">
        <v>1.013234276597064</v>
      </c>
      <c r="AN1077" s="6" t="n">
        <v>1.35607071584267</v>
      </c>
      <c r="AO1077" s="6" t="n">
        <v>1.35607071584267</v>
      </c>
      <c r="AP1077" s="6" t="n">
        <v>0.1365500548057453</v>
      </c>
      <c r="AQ1077" s="6" t="n">
        <v>0</v>
      </c>
      <c r="AR1077" s="6" t="n">
        <v>0</v>
      </c>
    </row>
    <row r="1078">
      <c r="D1078" t="inlineStr">
        <is>
          <t>Run 766</t>
        </is>
      </c>
      <c r="J1078" s="6" t="n">
        <v>-0.7510098645919887</v>
      </c>
      <c r="K1078" s="6" t="n">
        <v>0.04737314775301774</v>
      </c>
      <c r="L1078" s="6" t="n">
        <v>1.915825745183159</v>
      </c>
      <c r="M1078" s="6" t="n">
        <v>-0.1935955377019525</v>
      </c>
      <c r="N1078" s="6" t="n">
        <v>1.598176476393171</v>
      </c>
      <c r="O1078" s="6" t="n">
        <v>-0.118038707452222</v>
      </c>
      <c r="P1078" s="6" t="n">
        <v>-0.6581012479483771</v>
      </c>
      <c r="Q1078" s="6" t="n">
        <v>-3.073232475608654</v>
      </c>
      <c r="R1078" s="6" t="n">
        <v>-0.4409083960553007</v>
      </c>
      <c r="S1078" s="6" t="n">
        <v>1.411057732951861</v>
      </c>
      <c r="T1078" s="6" t="n">
        <v>0.7253652658621194</v>
      </c>
      <c r="U1078" s="6" t="n">
        <v>-1.297787162128843</v>
      </c>
      <c r="V1078" s="6" t="n">
        <v>1.869405988906458</v>
      </c>
      <c r="W1078" s="6" t="n">
        <v>3.066234486072093</v>
      </c>
      <c r="X1078" s="6" t="n">
        <v>-0.1904133907563292</v>
      </c>
      <c r="Y1078" s="6" t="n">
        <v>2.549545338797248</v>
      </c>
      <c r="Z1078" s="6" t="n">
        <v>4.106936784565289</v>
      </c>
      <c r="AA1078" s="6" t="n">
        <v>1.386207813580704</v>
      </c>
      <c r="AB1078" s="6" t="n">
        <v>1.440973008001127</v>
      </c>
      <c r="AC1078" s="6" t="n">
        <v>0.8120538897031851</v>
      </c>
      <c r="AD1078" s="6" t="n">
        <v>-1.337482671922346</v>
      </c>
      <c r="AE1078" s="6" t="n">
        <v>-1.484105807160425</v>
      </c>
      <c r="AF1078" s="6" t="n">
        <v>2.45667841497328</v>
      </c>
      <c r="AG1078" s="6" t="n">
        <v>-0.4802150681083838</v>
      </c>
      <c r="AH1078" s="6" t="n">
        <v>-2.518305502910799</v>
      </c>
      <c r="AI1078" s="6" t="n">
        <v>-0.7595613452982989</v>
      </c>
      <c r="AJ1078" s="6" t="n">
        <v>75.7114432043813</v>
      </c>
      <c r="AK1078" s="6" t="n">
        <v>0.08591291770366846</v>
      </c>
      <c r="AL1078" s="6" t="n">
        <v>1.092900060655306</v>
      </c>
      <c r="AN1078" s="6" t="n">
        <v>1.336931729459976</v>
      </c>
      <c r="AO1078" s="6" t="n">
        <v>1.337195806356139</v>
      </c>
      <c r="AP1078" s="6" t="n">
        <v>0.1302567064526377</v>
      </c>
      <c r="AQ1078" s="6" t="n">
        <v>0</v>
      </c>
      <c r="AR1078" s="6" t="n">
        <v>0</v>
      </c>
    </row>
    <row r="1079">
      <c r="D1079" t="inlineStr">
        <is>
          <t>Run 767</t>
        </is>
      </c>
      <c r="J1079" s="6" t="n">
        <v>-0.773421851836876</v>
      </c>
      <c r="K1079" s="6" t="n">
        <v>-1.878715018730271</v>
      </c>
      <c r="L1079" s="6" t="n">
        <v>4.035009097797206</v>
      </c>
      <c r="M1079" s="6" t="n">
        <v>-0.2680521712303028</v>
      </c>
      <c r="N1079" s="6" t="n">
        <v>0.6575887065255684</v>
      </c>
      <c r="O1079" s="6" t="n">
        <v>3.412052321104571</v>
      </c>
      <c r="P1079" s="6" t="n">
        <v>-1.736378416880713</v>
      </c>
      <c r="Q1079" s="6" t="n">
        <v>1.271410429419186</v>
      </c>
      <c r="R1079" s="6" t="n">
        <v>0.9645483849324684</v>
      </c>
      <c r="S1079" s="6" t="n">
        <v>-0.01100752238558531</v>
      </c>
      <c r="T1079" s="6" t="n">
        <v>1.151010896398208</v>
      </c>
      <c r="U1079" s="6" t="n">
        <v>1.375710573581882</v>
      </c>
      <c r="V1079" s="6" t="n">
        <v>-0.8190459763314145</v>
      </c>
      <c r="W1079" s="6" t="n">
        <v>0.1594259253742555</v>
      </c>
      <c r="X1079" s="6" t="n">
        <v>1.548097320525096</v>
      </c>
      <c r="Y1079" s="6" t="n">
        <v>0.4425456643776569</v>
      </c>
      <c r="Z1079" s="6" t="n">
        <v>-0.2349587761677323</v>
      </c>
      <c r="AA1079" s="6" t="n">
        <v>0.7042987632067135</v>
      </c>
      <c r="AB1079" s="6" t="n">
        <v>-2.048505522817991</v>
      </c>
      <c r="AC1079" s="6" t="n">
        <v>2.5652107665249</v>
      </c>
      <c r="AD1079" s="6" t="n">
        <v>-1.701399589137085</v>
      </c>
      <c r="AE1079" s="6" t="n">
        <v>0.06618028016838531</v>
      </c>
      <c r="AF1079" s="6" t="n">
        <v>-3.843776771430123</v>
      </c>
      <c r="AG1079" s="6" t="n">
        <v>0.1148273743824243</v>
      </c>
      <c r="AH1079" s="6" t="n">
        <v>-1.28167741331855</v>
      </c>
      <c r="AI1079" s="6" t="n">
        <v>2.491090313753573</v>
      </c>
      <c r="AJ1079" s="6" t="n">
        <v>76.02075574601818</v>
      </c>
      <c r="AK1079" s="6" t="n">
        <v>0.1179017229232719</v>
      </c>
      <c r="AL1079" s="6" t="n">
        <v>1.028138158104245</v>
      </c>
      <c r="AN1079" s="6" t="n">
        <v>1.354411571427791</v>
      </c>
      <c r="AO1079" s="6" t="n">
        <v>1.354411571427791</v>
      </c>
      <c r="AP1079" s="6" t="n">
        <v>0.1352443017681746</v>
      </c>
      <c r="AQ1079" s="6" t="n">
        <v>0</v>
      </c>
      <c r="AR1079" s="6" t="n">
        <v>0</v>
      </c>
    </row>
    <row r="1080">
      <c r="D1080" t="inlineStr">
        <is>
          <t>Run 768</t>
        </is>
      </c>
      <c r="J1080" s="6" t="n">
        <v>-1.239629394687596</v>
      </c>
      <c r="K1080" s="6" t="n">
        <v>3.401036268468541</v>
      </c>
      <c r="L1080" s="6" t="n">
        <v>1.962813404838159</v>
      </c>
      <c r="M1080" s="6" t="n">
        <v>-2.087931298357677</v>
      </c>
      <c r="N1080" s="6" t="n">
        <v>-0.1764837980084895</v>
      </c>
      <c r="O1080" s="6" t="n">
        <v>0.1816857675212166</v>
      </c>
      <c r="P1080" s="6" t="n">
        <v>-0.9403383825890028</v>
      </c>
      <c r="Q1080" s="6" t="n">
        <v>1.909836118389359</v>
      </c>
      <c r="R1080" s="6" t="n">
        <v>0.8655028749000535</v>
      </c>
      <c r="S1080" s="6" t="n">
        <v>-1.357545368705997</v>
      </c>
      <c r="T1080" s="6" t="n">
        <v>2.331218000729678</v>
      </c>
      <c r="U1080" s="6" t="n">
        <v>-4.018930789647489</v>
      </c>
      <c r="V1080" s="6" t="n">
        <v>0.7648367297360452</v>
      </c>
      <c r="W1080" s="6" t="n">
        <v>1.457381304337814</v>
      </c>
      <c r="X1080" s="6" t="n">
        <v>-1.940719734259984</v>
      </c>
      <c r="Y1080" s="6" t="n">
        <v>2.334242026717291</v>
      </c>
      <c r="Z1080" s="6" t="n">
        <v>-0.1516322043169194</v>
      </c>
      <c r="AA1080" s="6" t="n">
        <v>0.06568335064276215</v>
      </c>
      <c r="AB1080" s="6" t="n">
        <v>0.8887985462408822</v>
      </c>
      <c r="AC1080" s="6" t="n">
        <v>-3.811012753818642</v>
      </c>
      <c r="AD1080" s="6" t="n">
        <v>0.810566999327033</v>
      </c>
      <c r="AE1080" s="6" t="n">
        <v>-1.681152478099749</v>
      </c>
      <c r="AF1080" s="6" t="n">
        <v>-4.152877689047574</v>
      </c>
      <c r="AG1080" s="6" t="n">
        <v>-1.159591355037742</v>
      </c>
      <c r="AH1080" s="6" t="n">
        <v>0.6103539772422223</v>
      </c>
      <c r="AI1080" s="6" t="n">
        <v>2.509369751531711</v>
      </c>
      <c r="AJ1080" s="6" t="n">
        <v>61.58187699481115</v>
      </c>
      <c r="AK1080" s="6" t="n">
        <v>0.08282662089532161</v>
      </c>
      <c r="AL1080" s="6" t="n">
        <v>1.044158799019221</v>
      </c>
      <c r="AN1080" s="6" t="n">
        <v>1.32963465825593</v>
      </c>
      <c r="AO1080" s="6" t="n">
        <v>1.336794322354671</v>
      </c>
      <c r="AP1080" s="6" t="n">
        <v>0.1326318829381348</v>
      </c>
      <c r="AQ1080" s="6" t="n">
        <v>0</v>
      </c>
      <c r="AR1080" s="6" t="n">
        <v>0</v>
      </c>
    </row>
    <row r="1081">
      <c r="D1081" t="inlineStr">
        <is>
          <t>Run 769</t>
        </is>
      </c>
      <c r="J1081" s="6" t="n">
        <v>-0.7026193525390445</v>
      </c>
      <c r="K1081" s="6" t="n">
        <v>-1.298049125339462</v>
      </c>
      <c r="L1081" s="6" t="n">
        <v>-0.2782623165364568</v>
      </c>
      <c r="M1081" s="6" t="n">
        <v>0.4256336658558455</v>
      </c>
      <c r="N1081" s="6" t="n">
        <v>0.4411352212494633</v>
      </c>
      <c r="O1081" s="6" t="n">
        <v>-0.1976529895118074</v>
      </c>
      <c r="P1081" s="6" t="n">
        <v>-6.616196897292814</v>
      </c>
      <c r="Q1081" s="6" t="n">
        <v>-2.915140977748879</v>
      </c>
      <c r="R1081" s="6" t="n">
        <v>-1.33234826811604</v>
      </c>
      <c r="S1081" s="6" t="n">
        <v>2.175678590581564</v>
      </c>
      <c r="T1081" s="6" t="n">
        <v>3.85062730104737</v>
      </c>
      <c r="U1081" s="6" t="n">
        <v>0.6162769233870842</v>
      </c>
      <c r="V1081" s="6" t="n">
        <v>0.8510552857111099</v>
      </c>
      <c r="W1081" s="6" t="n">
        <v>0.3922768810090345</v>
      </c>
      <c r="X1081" s="6" t="n">
        <v>0.550563996336778</v>
      </c>
      <c r="Y1081" s="6" t="n">
        <v>1.031966770385415</v>
      </c>
      <c r="Z1081" s="6" t="n">
        <v>2.756001233448872</v>
      </c>
      <c r="AA1081" s="6" t="n">
        <v>3.716731161090824</v>
      </c>
      <c r="AB1081" s="6" t="n">
        <v>-1.802875775236627</v>
      </c>
      <c r="AC1081" s="6" t="n">
        <v>2.15408267555233</v>
      </c>
      <c r="AD1081" s="6" t="n">
        <v>-2.155272282712806</v>
      </c>
      <c r="AE1081" s="6" t="n">
        <v>1.034715381425714</v>
      </c>
      <c r="AF1081" s="6" t="n">
        <v>-2.664098064069253</v>
      </c>
      <c r="AG1081" s="6" t="n">
        <v>-1.186154157889618</v>
      </c>
      <c r="AH1081" s="6" t="n">
        <v>-0.4554755625902527</v>
      </c>
      <c r="AI1081" s="6" t="n">
        <v>-2.39592708615821</v>
      </c>
      <c r="AJ1081" s="6" t="n">
        <v>72.11192680412898</v>
      </c>
      <c r="AK1081" s="6" t="n">
        <v>0.06301131015895536</v>
      </c>
      <c r="AL1081" s="6" t="n">
        <v>1.031694555260837</v>
      </c>
      <c r="AN1081" s="6" t="n">
        <v>1.352113382294104</v>
      </c>
      <c r="AO1081" s="6" t="n">
        <v>1.352113382294104</v>
      </c>
      <c r="AP1081" s="6" t="n">
        <v>0.1348966703864325</v>
      </c>
      <c r="AQ1081" s="6" t="n">
        <v>0</v>
      </c>
      <c r="AR1081" s="6" t="n">
        <v>0</v>
      </c>
    </row>
    <row r="1082">
      <c r="D1082" t="inlineStr">
        <is>
          <t>Run 770</t>
        </is>
      </c>
      <c r="J1082" s="6" t="n">
        <v>1.111365836676111</v>
      </c>
      <c r="K1082" s="6" t="n">
        <v>-1.121103092980887</v>
      </c>
      <c r="L1082" s="6" t="n">
        <v>-0.4147603992079206</v>
      </c>
      <c r="M1082" s="6" t="n">
        <v>2.878748144616957</v>
      </c>
      <c r="N1082" s="6" t="n">
        <v>-1.560550952010519</v>
      </c>
      <c r="O1082" s="6" t="n">
        <v>3.525289818962926</v>
      </c>
      <c r="P1082" s="6" t="n">
        <v>-0.7809661042508874</v>
      </c>
      <c r="Q1082" s="6" t="n">
        <v>2.795159257609273</v>
      </c>
      <c r="R1082" s="6" t="n">
        <v>2.156103266338132</v>
      </c>
      <c r="S1082" s="6" t="n">
        <v>-1.60804756761032</v>
      </c>
      <c r="T1082" s="6" t="n">
        <v>-2.091680068257141</v>
      </c>
      <c r="U1082" s="6" t="n">
        <v>-3.08536413662702</v>
      </c>
      <c r="V1082" s="6" t="n">
        <v>-1.852474439043271</v>
      </c>
      <c r="W1082" s="6" t="n">
        <v>-0.7800594156977477</v>
      </c>
      <c r="X1082" s="6" t="n">
        <v>-0.7952416123794233</v>
      </c>
      <c r="Y1082" s="6" t="n">
        <v>-5.606166016528969</v>
      </c>
      <c r="Z1082" s="6" t="n">
        <v>-2.154797914137436</v>
      </c>
      <c r="AA1082" s="6" t="n">
        <v>-0.2105959955716563</v>
      </c>
      <c r="AB1082" s="6" t="n">
        <v>-1.286780149768513</v>
      </c>
      <c r="AC1082" s="6" t="n">
        <v>-0.9033933748618524</v>
      </c>
      <c r="AD1082" s="6" t="n">
        <v>-0.4818923978778382</v>
      </c>
      <c r="AE1082" s="6" t="n">
        <v>-0.2714152940485103</v>
      </c>
      <c r="AF1082" s="6" t="n">
        <v>-0.4455821259342883</v>
      </c>
      <c r="AG1082" s="6" t="n">
        <v>-0.8144770877104073</v>
      </c>
      <c r="AH1082" s="6" t="n">
        <v>2.28610325548186</v>
      </c>
      <c r="AI1082" s="6" t="n">
        <v>0.07238793134535203</v>
      </c>
      <c r="AJ1082" s="6" t="n">
        <v>74.36148865809871</v>
      </c>
      <c r="AK1082" s="6" t="n">
        <v>0.1452096144031746</v>
      </c>
      <c r="AL1082" s="6" t="n">
        <v>1.070059509088237</v>
      </c>
      <c r="AN1082" s="6" t="n">
        <v>1.335634546968169</v>
      </c>
      <c r="AO1082" s="6" t="n">
        <v>1.336107643832436</v>
      </c>
      <c r="AP1082" s="6" t="n">
        <v>0.1301427427312108</v>
      </c>
      <c r="AQ1082" s="6" t="n">
        <v>0</v>
      </c>
      <c r="AR1082" s="6" t="n">
        <v>0</v>
      </c>
    </row>
    <row r="1083">
      <c r="D1083" t="inlineStr">
        <is>
          <t>Run 771</t>
        </is>
      </c>
      <c r="J1083" s="6" t="n">
        <v>-4.143645014333731</v>
      </c>
      <c r="K1083" s="6" t="n">
        <v>-0.8789362537745771</v>
      </c>
      <c r="L1083" s="6" t="n">
        <v>-0.1584162970000016</v>
      </c>
      <c r="M1083" s="6" t="n">
        <v>1.152312226376428</v>
      </c>
      <c r="N1083" s="6" t="n">
        <v>-1.139797295164832</v>
      </c>
      <c r="O1083" s="6" t="n">
        <v>-1.819206578084141</v>
      </c>
      <c r="P1083" s="6" t="n">
        <v>2.491709275736358</v>
      </c>
      <c r="Q1083" s="6" t="n">
        <v>-1.328936429368588</v>
      </c>
      <c r="R1083" s="6" t="n">
        <v>2.643115599232186</v>
      </c>
      <c r="S1083" s="6" t="n">
        <v>2.957560929897889</v>
      </c>
      <c r="T1083" s="6" t="n">
        <v>-1.195048007952102</v>
      </c>
      <c r="U1083" s="6" t="n">
        <v>1.878359106611767</v>
      </c>
      <c r="V1083" s="6" t="n">
        <v>-2.111426974725277</v>
      </c>
      <c r="W1083" s="6" t="n">
        <v>0.1786243270997203</v>
      </c>
      <c r="X1083" s="6" t="n">
        <v>-0.4425281004407037</v>
      </c>
      <c r="Y1083" s="6" t="n">
        <v>-2.281566604492589</v>
      </c>
      <c r="Z1083" s="6" t="n">
        <v>-0.3068034317313995</v>
      </c>
      <c r="AA1083" s="6" t="n">
        <v>1.330816681712756</v>
      </c>
      <c r="AB1083" s="6" t="n">
        <v>-0.5066810614619874</v>
      </c>
      <c r="AC1083" s="6" t="n">
        <v>2.607474610580012</v>
      </c>
      <c r="AD1083" s="6" t="n">
        <v>-0.8928000324415962</v>
      </c>
      <c r="AE1083" s="6" t="n">
        <v>0.4820334729685963</v>
      </c>
      <c r="AF1083" s="6" t="n">
        <v>2.452571741633363</v>
      </c>
      <c r="AG1083" s="6" t="n">
        <v>2.835506306307189</v>
      </c>
      <c r="AH1083" s="6" t="n">
        <v>-3.186935342130082</v>
      </c>
      <c r="AI1083" s="6" t="n">
        <v>2.00833987101368</v>
      </c>
      <c r="AJ1083" s="6" t="n">
        <v>64.34470359910449</v>
      </c>
      <c r="AK1083" s="6" t="n">
        <v>0.1369362523562663</v>
      </c>
      <c r="AL1083" s="6" t="n">
        <v>1.05275811917394</v>
      </c>
      <c r="AN1083" s="6" t="n">
        <v>1.341697133869209</v>
      </c>
      <c r="AO1083" s="6" t="n">
        <v>1.342199906048779</v>
      </c>
      <c r="AP1083" s="6" t="n">
        <v>0.1312457109541518</v>
      </c>
      <c r="AQ1083" s="6" t="n">
        <v>0</v>
      </c>
      <c r="AR1083" s="6" t="n">
        <v>0</v>
      </c>
    </row>
    <row r="1084">
      <c r="D1084" t="inlineStr">
        <is>
          <t>Run 772</t>
        </is>
      </c>
      <c r="J1084" s="6" t="n">
        <v>1.495941242898543</v>
      </c>
      <c r="K1084" s="6" t="n">
        <v>-0.03047422783946398</v>
      </c>
      <c r="L1084" s="6" t="n">
        <v>-1.968728465569537</v>
      </c>
      <c r="M1084" s="6" t="n">
        <v>1.623225017263723</v>
      </c>
      <c r="N1084" s="6" t="n">
        <v>0.4005364569892847</v>
      </c>
      <c r="O1084" s="6" t="n">
        <v>-0.260928841791182</v>
      </c>
      <c r="P1084" s="6" t="n">
        <v>0.5548845965993426</v>
      </c>
      <c r="Q1084" s="6" t="n">
        <v>0.4883855264593542</v>
      </c>
      <c r="R1084" s="6" t="n">
        <v>-6.410256350086599</v>
      </c>
      <c r="S1084" s="6" t="n">
        <v>2.035152869457646</v>
      </c>
      <c r="T1084" s="6" t="n">
        <v>-2.455194856731343</v>
      </c>
      <c r="U1084" s="6" t="n">
        <v>0.689917684547063</v>
      </c>
      <c r="V1084" s="6" t="n">
        <v>1.767476591396092</v>
      </c>
      <c r="W1084" s="6" t="n">
        <v>-0.2340011827586659</v>
      </c>
      <c r="X1084" s="6" t="n">
        <v>2.478639862366411</v>
      </c>
      <c r="Y1084" s="6" t="n">
        <v>2.592977081780552</v>
      </c>
      <c r="Z1084" s="6" t="n">
        <v>1.792415154570244</v>
      </c>
      <c r="AA1084" s="6" t="n">
        <v>2.023609476806462</v>
      </c>
      <c r="AB1084" s="6" t="n">
        <v>0.1758385265141295</v>
      </c>
      <c r="AC1084" s="6" t="n">
        <v>1.780778028313579</v>
      </c>
      <c r="AD1084" s="6" t="n">
        <v>1.416754125094099</v>
      </c>
      <c r="AE1084" s="6" t="n">
        <v>-2.52353980553784</v>
      </c>
      <c r="AF1084" s="6" t="n">
        <v>-0.22389617819647</v>
      </c>
      <c r="AG1084" s="6" t="n">
        <v>3.522964253871519</v>
      </c>
      <c r="AH1084" s="6" t="n">
        <v>3.539509118130175</v>
      </c>
      <c r="AI1084" s="6" t="n">
        <v>-0.3871128151449628</v>
      </c>
      <c r="AJ1084" s="6" t="n">
        <v>77.03810920682277</v>
      </c>
      <c r="AK1084" s="6" t="n">
        <v>0.1409837615132725</v>
      </c>
      <c r="AL1084" s="6" t="n">
        <v>1.085900859429683</v>
      </c>
      <c r="AN1084" s="6" t="n">
        <v>1.332856648544664</v>
      </c>
      <c r="AO1084" s="6" t="n">
        <v>1.333640879580186</v>
      </c>
      <c r="AP1084" s="6" t="n">
        <v>0.1294825750180402</v>
      </c>
      <c r="AQ1084" s="6" t="n">
        <v>0</v>
      </c>
      <c r="AR1084" s="6" t="n">
        <v>0</v>
      </c>
    </row>
    <row r="1085">
      <c r="D1085" t="inlineStr">
        <is>
          <t>Run 773</t>
        </is>
      </c>
      <c r="J1085" s="6" t="n">
        <v>-0.4895845415621939</v>
      </c>
      <c r="K1085" s="6" t="n">
        <v>2.626821586006062</v>
      </c>
      <c r="L1085" s="6" t="n">
        <v>-0.1249683512392536</v>
      </c>
      <c r="M1085" s="6" t="n">
        <v>1.140129244763312</v>
      </c>
      <c r="N1085" s="6" t="n">
        <v>-1.325926566638359</v>
      </c>
      <c r="O1085" s="6" t="n">
        <v>3.399586898434587</v>
      </c>
      <c r="P1085" s="6" t="n">
        <v>5</v>
      </c>
      <c r="Q1085" s="6" t="n">
        <v>-0.4459284092700385</v>
      </c>
      <c r="R1085" s="6" t="n">
        <v>0.6752831784552585</v>
      </c>
      <c r="S1085" s="6" t="n">
        <v>0.6425926960035283</v>
      </c>
      <c r="T1085" s="6" t="n">
        <v>-2.911718691631664</v>
      </c>
      <c r="U1085" s="6" t="n">
        <v>3.001174728413834</v>
      </c>
      <c r="V1085" s="6" t="n">
        <v>1.605571008141074</v>
      </c>
      <c r="W1085" s="6" t="n">
        <v>2.366056955522696</v>
      </c>
      <c r="X1085" s="6" t="n">
        <v>0.009725033832502563</v>
      </c>
      <c r="Y1085" s="6" t="n">
        <v>-2.060330158309892</v>
      </c>
      <c r="Z1085" s="6" t="n">
        <v>2.710119976142341</v>
      </c>
      <c r="AA1085" s="6" t="n">
        <v>0.936967821553965</v>
      </c>
      <c r="AB1085" s="6" t="n">
        <v>-1.943450838324282</v>
      </c>
      <c r="AC1085" s="6" t="n">
        <v>-0.8858694223927688</v>
      </c>
      <c r="AD1085" s="6" t="n">
        <v>2.999854966633574</v>
      </c>
      <c r="AE1085" s="6" t="n">
        <v>3.015028773098524</v>
      </c>
      <c r="AF1085" s="6" t="n">
        <v>2.418011671702669</v>
      </c>
      <c r="AG1085" s="6" t="n">
        <v>-2.681080071418959</v>
      </c>
      <c r="AH1085" s="6" t="n">
        <v>4.743994823553408</v>
      </c>
      <c r="AI1085" s="6" t="n">
        <v>2.903777777862873</v>
      </c>
      <c r="AJ1085" s="6" t="n">
        <v>72.80823396577355</v>
      </c>
      <c r="AK1085" s="6" t="n">
        <v>0.1210754630428287</v>
      </c>
      <c r="AL1085" s="6" t="n">
        <v>1.104410848193903</v>
      </c>
      <c r="AN1085" s="6" t="n">
        <v>1.327077050503678</v>
      </c>
      <c r="AO1085" s="6" t="n">
        <v>1.327469623821203</v>
      </c>
      <c r="AP1085" s="6" t="n">
        <v>0.1288778646310747</v>
      </c>
      <c r="AQ1085" s="6" t="n">
        <v>0</v>
      </c>
      <c r="AR1085" s="6" t="n">
        <v>0</v>
      </c>
    </row>
    <row r="1086">
      <c r="D1086" t="inlineStr">
        <is>
          <t>Run 774</t>
        </is>
      </c>
      <c r="J1086" s="6" t="n">
        <v>-0.09160093316615277</v>
      </c>
      <c r="K1086" s="6" t="n">
        <v>-1.48021349049132</v>
      </c>
      <c r="L1086" s="6" t="n">
        <v>-0.3390562661238305</v>
      </c>
      <c r="M1086" s="6" t="n">
        <v>-3.204615015690797</v>
      </c>
      <c r="N1086" s="6" t="n">
        <v>0.05329068592775461</v>
      </c>
      <c r="O1086" s="6" t="n">
        <v>0.8166889287222051</v>
      </c>
      <c r="P1086" s="6" t="n">
        <v>-1.99879732543944</v>
      </c>
      <c r="Q1086" s="6" t="n">
        <v>-2.300871387439773</v>
      </c>
      <c r="R1086" s="6" t="n">
        <v>0.3777231623338514</v>
      </c>
      <c r="S1086" s="6" t="n">
        <v>2.733727556141833</v>
      </c>
      <c r="T1086" s="6" t="n">
        <v>-1.101791176167576</v>
      </c>
      <c r="U1086" s="6" t="n">
        <v>-0.8931027687146134</v>
      </c>
      <c r="V1086" s="6" t="n">
        <v>2.044805391457953</v>
      </c>
      <c r="W1086" s="6" t="n">
        <v>1.196727648834961</v>
      </c>
      <c r="X1086" s="6" t="n">
        <v>-0.2689463106322661</v>
      </c>
      <c r="Y1086" s="6" t="n">
        <v>3.032855483725</v>
      </c>
      <c r="Z1086" s="6" t="n">
        <v>1.367516940688489</v>
      </c>
      <c r="AA1086" s="6" t="n">
        <v>1.253914596721334</v>
      </c>
      <c r="AB1086" s="6" t="n">
        <v>0.9488719780256963</v>
      </c>
      <c r="AC1086" s="6" t="n">
        <v>0.8769336609018548</v>
      </c>
      <c r="AD1086" s="6" t="n">
        <v>1.448750416317861</v>
      </c>
      <c r="AE1086" s="6" t="n">
        <v>0.2851507680858635</v>
      </c>
      <c r="AF1086" s="6" t="n">
        <v>1.768931428221059</v>
      </c>
      <c r="AG1086" s="6" t="n">
        <v>2.059237033991368</v>
      </c>
      <c r="AH1086" s="6" t="n">
        <v>-0.9888780314898874</v>
      </c>
      <c r="AI1086" s="6" t="n">
        <v>-2.314992510166888</v>
      </c>
      <c r="AJ1086" s="6" t="n">
        <v>77.68094667499734</v>
      </c>
      <c r="AK1086" s="6" t="n">
        <v>0.1974211805123189</v>
      </c>
      <c r="AL1086" s="6" t="n">
        <v>1.04449937287851</v>
      </c>
      <c r="AN1086" s="6" t="n">
        <v>1.312802049424643</v>
      </c>
      <c r="AO1086" s="6" t="n">
        <v>1.322058634269433</v>
      </c>
      <c r="AP1086" s="6" t="n">
        <v>0.1308736255723001</v>
      </c>
      <c r="AQ1086" s="6" t="n">
        <v>0</v>
      </c>
      <c r="AR1086" s="6" t="n">
        <v>0</v>
      </c>
    </row>
    <row r="1087">
      <c r="D1087" t="inlineStr">
        <is>
          <t>Run 775</t>
        </is>
      </c>
      <c r="J1087" s="6" t="n">
        <v>5</v>
      </c>
      <c r="K1087" s="6" t="n">
        <v>-2.705639083921502</v>
      </c>
      <c r="L1087" s="6" t="n">
        <v>-0.2420515989600411</v>
      </c>
      <c r="M1087" s="6" t="n">
        <v>-3.035559655396984</v>
      </c>
      <c r="N1087" s="6" t="n">
        <v>-0.6256477184386886</v>
      </c>
      <c r="O1087" s="6" t="n">
        <v>-1.166713082325285</v>
      </c>
      <c r="P1087" s="6" t="n">
        <v>-1.285066021226603</v>
      </c>
      <c r="Q1087" s="6" t="n">
        <v>0.354536544567749</v>
      </c>
      <c r="R1087" s="6" t="n">
        <v>-0.4216057145694075</v>
      </c>
      <c r="S1087" s="6" t="n">
        <v>1.01597288441608</v>
      </c>
      <c r="T1087" s="6" t="n">
        <v>-0.9525533901418964</v>
      </c>
      <c r="U1087" s="6" t="n">
        <v>0.6897485834793309</v>
      </c>
      <c r="V1087" s="6" t="n">
        <v>2.068425949919614</v>
      </c>
      <c r="W1087" s="6" t="n">
        <v>2.701250157593978</v>
      </c>
      <c r="X1087" s="6" t="n">
        <v>0.9834046971431948</v>
      </c>
      <c r="Y1087" s="6" t="n">
        <v>0.4678828055497524</v>
      </c>
      <c r="Z1087" s="6" t="n">
        <v>0.04908684454386052</v>
      </c>
      <c r="AA1087" s="6" t="n">
        <v>-1.129728560954971</v>
      </c>
      <c r="AB1087" s="6" t="n">
        <v>-0.5702878832613737</v>
      </c>
      <c r="AC1087" s="6" t="n">
        <v>1.003349344874037</v>
      </c>
      <c r="AD1087" s="6" t="n">
        <v>-2.668001140667187</v>
      </c>
      <c r="AE1087" s="6" t="n">
        <v>4.549344538354582</v>
      </c>
      <c r="AF1087" s="6" t="n">
        <v>-0.8709852498679426</v>
      </c>
      <c r="AG1087" s="6" t="n">
        <v>2.629374615099162</v>
      </c>
      <c r="AH1087" s="6" t="n">
        <v>-1.056070694728844</v>
      </c>
      <c r="AI1087" s="6" t="n">
        <v>-1.512675346051779</v>
      </c>
      <c r="AJ1087" s="6" t="n">
        <v>76.90023676067067</v>
      </c>
      <c r="AK1087" s="6" t="n">
        <v>0.1345943411601209</v>
      </c>
      <c r="AL1087" s="6" t="n">
        <v>1.108761615343729</v>
      </c>
      <c r="AN1087" s="6" t="n">
        <v>1.302623272769069</v>
      </c>
      <c r="AO1087" s="6" t="n">
        <v>1.309920074251378</v>
      </c>
      <c r="AP1087" s="6" t="n">
        <v>0.1285274207956462</v>
      </c>
      <c r="AQ1087" s="6" t="n">
        <v>0</v>
      </c>
      <c r="AR1087" s="6" t="n">
        <v>0</v>
      </c>
    </row>
    <row r="1088">
      <c r="D1088" t="inlineStr">
        <is>
          <t>Run 776</t>
        </is>
      </c>
      <c r="J1088" s="6" t="n">
        <v>1.296242874036994</v>
      </c>
      <c r="K1088" s="6" t="n">
        <v>-0.1892002399327277</v>
      </c>
      <c r="L1088" s="6" t="n">
        <v>0.5474489082006294</v>
      </c>
      <c r="M1088" s="6" t="n">
        <v>3.821731324006021</v>
      </c>
      <c r="N1088" s="6" t="n">
        <v>-0.2869712611635585</v>
      </c>
      <c r="O1088" s="6" t="n">
        <v>-0.6152098725152444</v>
      </c>
      <c r="P1088" s="6" t="n">
        <v>1.985971739451719</v>
      </c>
      <c r="Q1088" s="6" t="n">
        <v>-2.332202991355102</v>
      </c>
      <c r="R1088" s="6" t="n">
        <v>2.967052516975339</v>
      </c>
      <c r="S1088" s="6" t="n">
        <v>1.690892250770577</v>
      </c>
      <c r="T1088" s="6" t="n">
        <v>0.09395969824926108</v>
      </c>
      <c r="U1088" s="6" t="n">
        <v>1.506466805237045</v>
      </c>
      <c r="V1088" s="6" t="n">
        <v>3.121431342432748</v>
      </c>
      <c r="W1088" s="6" t="n">
        <v>-0.8270133835747903</v>
      </c>
      <c r="X1088" s="6" t="n">
        <v>0.7509050137402372</v>
      </c>
      <c r="Y1088" s="6" t="n">
        <v>-1.137222973859934</v>
      </c>
      <c r="Z1088" s="6" t="n">
        <v>-0.4655966462597622</v>
      </c>
      <c r="AA1088" s="6" t="n">
        <v>1.830292568249711</v>
      </c>
      <c r="AB1088" s="6" t="n">
        <v>-0.6551341658053484</v>
      </c>
      <c r="AC1088" s="6" t="n">
        <v>-0.5582451020983331</v>
      </c>
      <c r="AD1088" s="6" t="n">
        <v>4.276912254487509</v>
      </c>
      <c r="AE1088" s="6" t="n">
        <v>-1.843277234093855</v>
      </c>
      <c r="AF1088" s="6" t="n">
        <v>3.920691359205954</v>
      </c>
      <c r="AG1088" s="6" t="n">
        <v>2.596070811210744</v>
      </c>
      <c r="AH1088" s="6" t="n">
        <v>-0.2709630916875436</v>
      </c>
      <c r="AI1088" s="6" t="n">
        <v>-1.463582482658307</v>
      </c>
      <c r="AJ1088" s="6" t="n">
        <v>62.02602116515649</v>
      </c>
      <c r="AK1088" s="6" t="n">
        <v>0.07726762212223837</v>
      </c>
      <c r="AL1088" s="6" t="n">
        <v>1.075135468904247</v>
      </c>
      <c r="AN1088" s="6" t="n">
        <v>1.33399418612733</v>
      </c>
      <c r="AO1088" s="6" t="n">
        <v>1.334957958918817</v>
      </c>
      <c r="AP1088" s="6" t="n">
        <v>0.130581310063142</v>
      </c>
      <c r="AQ1088" s="6" t="n">
        <v>0</v>
      </c>
      <c r="AR1088" s="6" t="n">
        <v>0</v>
      </c>
    </row>
    <row r="1089">
      <c r="D1089" t="inlineStr">
        <is>
          <t>Run 777</t>
        </is>
      </c>
      <c r="J1089" s="6" t="n">
        <v>-0.004808340006246706</v>
      </c>
      <c r="K1089" s="6" t="n">
        <v>-0.6349876808156273</v>
      </c>
      <c r="L1089" s="6" t="n">
        <v>-0.7145480182896916</v>
      </c>
      <c r="M1089" s="6" t="n">
        <v>0.2653876528876467</v>
      </c>
      <c r="N1089" s="6" t="n">
        <v>-0.5244340921503435</v>
      </c>
      <c r="O1089" s="6" t="n">
        <v>-1.237060476572335</v>
      </c>
      <c r="P1089" s="6" t="n">
        <v>-1.495867260272442</v>
      </c>
      <c r="Q1089" s="6" t="n">
        <v>-0.1045422790447131</v>
      </c>
      <c r="R1089" s="6" t="n">
        <v>1.908432681921174</v>
      </c>
      <c r="S1089" s="6" t="n">
        <v>0.152606160568619</v>
      </c>
      <c r="T1089" s="6" t="n">
        <v>0.9366534440304177</v>
      </c>
      <c r="U1089" s="6" t="n">
        <v>1.211399230301076</v>
      </c>
      <c r="V1089" s="6" t="n">
        <v>-2.224011022178291</v>
      </c>
      <c r="W1089" s="6" t="n">
        <v>0.2860673166374894</v>
      </c>
      <c r="X1089" s="6" t="n">
        <v>2.511630128539394</v>
      </c>
      <c r="Y1089" s="6" t="n">
        <v>-4.323168824538182</v>
      </c>
      <c r="Z1089" s="6" t="n">
        <v>0.4604379023488485</v>
      </c>
      <c r="AA1089" s="6" t="n">
        <v>4.600383519466599</v>
      </c>
      <c r="AB1089" s="6" t="n">
        <v>-2.433697023831704</v>
      </c>
      <c r="AC1089" s="6" t="n">
        <v>-3.571611026102015</v>
      </c>
      <c r="AD1089" s="6" t="n">
        <v>1.23423173069836</v>
      </c>
      <c r="AE1089" s="6" t="n">
        <v>1.482750720495879</v>
      </c>
      <c r="AF1089" s="6" t="n">
        <v>1.642055222082276</v>
      </c>
      <c r="AG1089" s="6" t="n">
        <v>0.9319218770458423</v>
      </c>
      <c r="AH1089" s="6" t="n">
        <v>0.5288438913602103</v>
      </c>
      <c r="AI1089" s="6" t="n">
        <v>3.182148039502511</v>
      </c>
      <c r="AJ1089" s="6" t="n">
        <v>66.44930668088881</v>
      </c>
      <c r="AK1089" s="6" t="n">
        <v>0.07859569673373883</v>
      </c>
      <c r="AL1089" s="6" t="n">
        <v>1.018470326599973</v>
      </c>
      <c r="AN1089" s="6" t="n">
        <v>1.350016874842329</v>
      </c>
      <c r="AO1089" s="6" t="n">
        <v>1.350016874842329</v>
      </c>
      <c r="AP1089" s="6" t="n">
        <v>0.1360039234676226</v>
      </c>
      <c r="AQ1089" s="6" t="n">
        <v>0</v>
      </c>
      <c r="AR1089" s="6" t="n">
        <v>0</v>
      </c>
    </row>
    <row r="1090">
      <c r="D1090" t="inlineStr">
        <is>
          <t>Run 778</t>
        </is>
      </c>
      <c r="J1090" s="6" t="n">
        <v>0.4357505582331559</v>
      </c>
      <c r="K1090" s="6" t="n">
        <v>1.039866281035362</v>
      </c>
      <c r="L1090" s="6" t="n">
        <v>0.9432040739175281</v>
      </c>
      <c r="M1090" s="6" t="n">
        <v>3.282405660842853</v>
      </c>
      <c r="N1090" s="6" t="n">
        <v>-0.7016285508135419</v>
      </c>
      <c r="O1090" s="6" t="n">
        <v>0.08928348583967413</v>
      </c>
      <c r="P1090" s="6" t="n">
        <v>0.2702350873118434</v>
      </c>
      <c r="Q1090" s="6" t="n">
        <v>0.9081367046247896</v>
      </c>
      <c r="R1090" s="6" t="n">
        <v>1.620576073440239</v>
      </c>
      <c r="S1090" s="6" t="n">
        <v>-0.4011225187300189</v>
      </c>
      <c r="T1090" s="6" t="n">
        <v>-3.002226273210519</v>
      </c>
      <c r="U1090" s="6" t="n">
        <v>-1.152551025076596</v>
      </c>
      <c r="V1090" s="6" t="n">
        <v>1.73523980266497</v>
      </c>
      <c r="W1090" s="6" t="n">
        <v>2.412411490621163</v>
      </c>
      <c r="X1090" s="6" t="n">
        <v>-3.355239877420468</v>
      </c>
      <c r="Y1090" s="6" t="n">
        <v>-2.830300478530333</v>
      </c>
      <c r="Z1090" s="6" t="n">
        <v>0.7346025308693959</v>
      </c>
      <c r="AA1090" s="6" t="n">
        <v>2.272076588260985</v>
      </c>
      <c r="AB1090" s="6" t="n">
        <v>-3.967623357206556</v>
      </c>
      <c r="AC1090" s="6" t="n">
        <v>1.59340361189604</v>
      </c>
      <c r="AD1090" s="6" t="n">
        <v>-0.8142237151902223</v>
      </c>
      <c r="AE1090" s="6" t="n">
        <v>-1.272086643375056</v>
      </c>
      <c r="AF1090" s="6" t="n">
        <v>3.12699388761514</v>
      </c>
      <c r="AG1090" s="6" t="n">
        <v>1.357054385409594</v>
      </c>
      <c r="AH1090" s="6" t="n">
        <v>-2.99154020532651</v>
      </c>
      <c r="AI1090" s="6" t="n">
        <v>3.556996074075157</v>
      </c>
      <c r="AJ1090" s="6" t="n">
        <v>75.54828361147561</v>
      </c>
      <c r="AK1090" s="6" t="n">
        <v>0.1310694655411964</v>
      </c>
      <c r="AL1090" s="6" t="n">
        <v>1.085655803267235</v>
      </c>
      <c r="AN1090" s="6" t="n">
        <v>1.33359663531549</v>
      </c>
      <c r="AO1090" s="6" t="n">
        <v>1.334134839453786</v>
      </c>
      <c r="AP1090" s="6" t="n">
        <v>0.1297158164364183</v>
      </c>
      <c r="AQ1090" s="6" t="n">
        <v>0</v>
      </c>
      <c r="AR1090" s="6" t="n">
        <v>0</v>
      </c>
    </row>
    <row r="1091">
      <c r="D1091" t="inlineStr">
        <is>
          <t>Run 779</t>
        </is>
      </c>
      <c r="J1091" s="6" t="n">
        <v>-0.08903483840736368</v>
      </c>
      <c r="K1091" s="6" t="n">
        <v>0.7181724003208974</v>
      </c>
      <c r="L1091" s="6" t="n">
        <v>-0.3836052413771406</v>
      </c>
      <c r="M1091" s="6" t="n">
        <v>-0.8295640865766206</v>
      </c>
      <c r="N1091" s="6" t="n">
        <v>-1.602005725848627</v>
      </c>
      <c r="O1091" s="6" t="n">
        <v>-0.3678508092810219</v>
      </c>
      <c r="P1091" s="6" t="n">
        <v>1.580521393465161</v>
      </c>
      <c r="Q1091" s="6" t="n">
        <v>-2.858503200603633</v>
      </c>
      <c r="R1091" s="6" t="n">
        <v>3.70489055152859</v>
      </c>
      <c r="S1091" s="6" t="n">
        <v>1.009909646055519</v>
      </c>
      <c r="T1091" s="6" t="n">
        <v>-0.5011453165807214</v>
      </c>
      <c r="U1091" s="6" t="n">
        <v>-2.474062831452759</v>
      </c>
      <c r="V1091" s="6" t="n">
        <v>-1.293375307667346</v>
      </c>
      <c r="W1091" s="6" t="n">
        <v>-1.130939953466722</v>
      </c>
      <c r="X1091" s="6" t="n">
        <v>2.650992149552944</v>
      </c>
      <c r="Y1091" s="6" t="n">
        <v>-2.709041283959474</v>
      </c>
      <c r="Z1091" s="6" t="n">
        <v>1.837793109939723</v>
      </c>
      <c r="AA1091" s="6" t="n">
        <v>-1.124567688715175</v>
      </c>
      <c r="AB1091" s="6" t="n">
        <v>3.611522133618527</v>
      </c>
      <c r="AC1091" s="6" t="n">
        <v>-2.146832042732091</v>
      </c>
      <c r="AD1091" s="6" t="n">
        <v>0.4343449350667801</v>
      </c>
      <c r="AE1091" s="6" t="n">
        <v>-0.9798347013307118</v>
      </c>
      <c r="AF1091" s="6" t="n">
        <v>1.724377919521722</v>
      </c>
      <c r="AG1091" s="6" t="n">
        <v>0.1356413507428693</v>
      </c>
      <c r="AH1091" s="6" t="n">
        <v>0.2430601137654358</v>
      </c>
      <c r="AI1091" s="6" t="n">
        <v>-0.1491708269591382</v>
      </c>
      <c r="AJ1091" s="6" t="n">
        <v>69.49895540962622</v>
      </c>
      <c r="AK1091" s="6" t="n">
        <v>0.1182593097813581</v>
      </c>
      <c r="AL1091" s="6" t="n">
        <v>1.070641406752881</v>
      </c>
      <c r="AN1091" s="6" t="n">
        <v>1.338528763817425</v>
      </c>
      <c r="AO1091" s="6" t="n">
        <v>1.339289742199206</v>
      </c>
      <c r="AP1091" s="6" t="n">
        <v>0.1304162208838736</v>
      </c>
      <c r="AQ1091" s="6" t="n">
        <v>0</v>
      </c>
      <c r="AR1091" s="6" t="n">
        <v>0</v>
      </c>
    </row>
    <row r="1092">
      <c r="D1092" t="inlineStr">
        <is>
          <t>Run 780</t>
        </is>
      </c>
      <c r="J1092" s="6" t="n">
        <v>3.700212733554172</v>
      </c>
      <c r="K1092" s="6" t="n">
        <v>-3.56793837437928</v>
      </c>
      <c r="L1092" s="6" t="n">
        <v>-3.007911617986311</v>
      </c>
      <c r="M1092" s="6" t="n">
        <v>1.80427285313647</v>
      </c>
      <c r="N1092" s="6" t="n">
        <v>-1.677249126157315</v>
      </c>
      <c r="O1092" s="6" t="n">
        <v>1.042712362993647</v>
      </c>
      <c r="P1092" s="6" t="n">
        <v>-1.747087785279751</v>
      </c>
      <c r="Q1092" s="6" t="n">
        <v>-0.8429029429978707</v>
      </c>
      <c r="R1092" s="6" t="n">
        <v>0.7780333334413729</v>
      </c>
      <c r="S1092" s="6" t="n">
        <v>0.2609450231352181</v>
      </c>
      <c r="T1092" s="6" t="n">
        <v>-0.333885825565475</v>
      </c>
      <c r="U1092" s="6" t="n">
        <v>-1.873263886705928</v>
      </c>
      <c r="V1092" s="6" t="n">
        <v>-2.663860075898235</v>
      </c>
      <c r="W1092" s="6" t="n">
        <v>0.3506511367219635</v>
      </c>
      <c r="X1092" s="6" t="n">
        <v>-3.386814090783337</v>
      </c>
      <c r="Y1092" s="6" t="n">
        <v>1.449104494015716</v>
      </c>
      <c r="Z1092" s="6" t="n">
        <v>1.820825282873303</v>
      </c>
      <c r="AA1092" s="6" t="n">
        <v>0.8562790284380705</v>
      </c>
      <c r="AB1092" s="6" t="n">
        <v>3.561370034084671</v>
      </c>
      <c r="AC1092" s="6" t="n">
        <v>-1.291701205014266</v>
      </c>
      <c r="AD1092" s="6" t="n">
        <v>-0.6141343414398026</v>
      </c>
      <c r="AE1092" s="6" t="n">
        <v>5</v>
      </c>
      <c r="AF1092" s="6" t="n">
        <v>-1.655696176287258</v>
      </c>
      <c r="AG1092" s="6" t="n">
        <v>-1.899846813813773</v>
      </c>
      <c r="AH1092" s="6" t="n">
        <v>0.1751367264496181</v>
      </c>
      <c r="AI1092" s="6" t="n">
        <v>1.399096301327154</v>
      </c>
      <c r="AJ1092" s="6" t="n">
        <v>81.25860672701715</v>
      </c>
      <c r="AK1092" s="6" t="n">
        <v>0.1262387753309167</v>
      </c>
      <c r="AL1092" s="6" t="n">
        <v>1.087390002874712</v>
      </c>
      <c r="AN1092" s="6" t="n">
        <v>1.335053582212443</v>
      </c>
      <c r="AO1092" s="6" t="n">
        <v>1.335263121154478</v>
      </c>
      <c r="AP1092" s="6" t="n">
        <v>0.1300829615202255</v>
      </c>
      <c r="AQ1092" s="6" t="n">
        <v>0</v>
      </c>
      <c r="AR1092" s="6" t="n">
        <v>0</v>
      </c>
    </row>
    <row r="1093">
      <c r="D1093" t="inlineStr">
        <is>
          <t>Run 781</t>
        </is>
      </c>
      <c r="J1093" s="6" t="n">
        <v>-2.020418507048634</v>
      </c>
      <c r="K1093" s="6" t="n">
        <v>-0.1223864720051762</v>
      </c>
      <c r="L1093" s="6" t="n">
        <v>4.831461792663427</v>
      </c>
      <c r="M1093" s="6" t="n">
        <v>0.3127521598998799</v>
      </c>
      <c r="N1093" s="6" t="n">
        <v>-1.335917972775522</v>
      </c>
      <c r="O1093" s="6" t="n">
        <v>2.437676197489188</v>
      </c>
      <c r="P1093" s="6" t="n">
        <v>-2.063234528892527</v>
      </c>
      <c r="Q1093" s="6" t="n">
        <v>0.2212740784925348</v>
      </c>
      <c r="R1093" s="6" t="n">
        <v>-0.1459720184061808</v>
      </c>
      <c r="S1093" s="6" t="n">
        <v>2.807836569972847</v>
      </c>
      <c r="T1093" s="6" t="n">
        <v>2.808552146553655</v>
      </c>
      <c r="U1093" s="6" t="n">
        <v>-2.144991600563184</v>
      </c>
      <c r="V1093" s="6" t="n">
        <v>1.529823620399946</v>
      </c>
      <c r="W1093" s="6" t="n">
        <v>-2.335343100057081</v>
      </c>
      <c r="X1093" s="6" t="n">
        <v>1.591703774207625</v>
      </c>
      <c r="Y1093" s="6" t="n">
        <v>0.8788601202102877</v>
      </c>
      <c r="Z1093" s="6" t="n">
        <v>0.07475395719369758</v>
      </c>
      <c r="AA1093" s="6" t="n">
        <v>0.4328045637659133</v>
      </c>
      <c r="AB1093" s="6" t="n">
        <v>0.08922900946169028</v>
      </c>
      <c r="AC1093" s="6" t="n">
        <v>0.1483631819934765</v>
      </c>
      <c r="AD1093" s="6" t="n">
        <v>-0.2952129743471807</v>
      </c>
      <c r="AE1093" s="6" t="n">
        <v>0.7040327996180546</v>
      </c>
      <c r="AF1093" s="6" t="n">
        <v>-0.3346500967118051</v>
      </c>
      <c r="AG1093" s="6" t="n">
        <v>-0.1965415066816673</v>
      </c>
      <c r="AH1093" s="6" t="n">
        <v>0.02206887353434151</v>
      </c>
      <c r="AI1093" s="6" t="n">
        <v>-1.277829292987261</v>
      </c>
      <c r="AJ1093" s="6" t="n">
        <v>71.24341087163918</v>
      </c>
      <c r="AK1093" s="6" t="n">
        <v>0.1152198704014001</v>
      </c>
      <c r="AL1093" s="6" t="n">
        <v>1.076461393246289</v>
      </c>
      <c r="AN1093" s="6" t="n">
        <v>1.335220836911128</v>
      </c>
      <c r="AO1093" s="6" t="n">
        <v>1.335771226926593</v>
      </c>
      <c r="AP1093" s="6" t="n">
        <v>0.1306459110884287</v>
      </c>
      <c r="AQ1093" s="6" t="n">
        <v>0</v>
      </c>
      <c r="AR1093" s="6" t="n">
        <v>0</v>
      </c>
    </row>
    <row r="1094">
      <c r="D1094" t="inlineStr">
        <is>
          <t>Run 782</t>
        </is>
      </c>
      <c r="J1094" s="6" t="n">
        <v>2.567262389268585</v>
      </c>
      <c r="K1094" s="6" t="n">
        <v>-2.126472867436255</v>
      </c>
      <c r="L1094" s="6" t="n">
        <v>-1.936467169506904</v>
      </c>
      <c r="M1094" s="6" t="n">
        <v>2.905821389494003</v>
      </c>
      <c r="N1094" s="6" t="n">
        <v>-0.1421525568364995</v>
      </c>
      <c r="O1094" s="6" t="n">
        <v>3.584388539376925</v>
      </c>
      <c r="P1094" s="6" t="n">
        <v>-2.869164005922199</v>
      </c>
      <c r="Q1094" s="6" t="n">
        <v>-1.310163035143738</v>
      </c>
      <c r="R1094" s="6" t="n">
        <v>0.9979936768860816</v>
      </c>
      <c r="S1094" s="6" t="n">
        <v>2.801449909104308</v>
      </c>
      <c r="T1094" s="6" t="n">
        <v>2.767320046351946</v>
      </c>
      <c r="U1094" s="6" t="n">
        <v>-0.6103503123594334</v>
      </c>
      <c r="V1094" s="6" t="n">
        <v>-0.5032354119443068</v>
      </c>
      <c r="W1094" s="6" t="n">
        <v>1.168968737951711</v>
      </c>
      <c r="X1094" s="6" t="n">
        <v>2.053660812209215</v>
      </c>
      <c r="Y1094" s="6" t="n">
        <v>1.293802546524269</v>
      </c>
      <c r="Z1094" s="6" t="n">
        <v>-0.4362313872551827</v>
      </c>
      <c r="AA1094" s="6" t="n">
        <v>0.5573759638274207</v>
      </c>
      <c r="AB1094" s="6" t="n">
        <v>-0.485216766012779</v>
      </c>
      <c r="AC1094" s="6" t="n">
        <v>2.382689377594287</v>
      </c>
      <c r="AD1094" s="6" t="n">
        <v>-1.763103185864487</v>
      </c>
      <c r="AE1094" s="6" t="n">
        <v>-0.2183686995345911</v>
      </c>
      <c r="AF1094" s="6" t="n">
        <v>-3.737028133712951</v>
      </c>
      <c r="AG1094" s="6" t="n">
        <v>0.860493690221644</v>
      </c>
      <c r="AH1094" s="6" t="n">
        <v>1.907312775624588</v>
      </c>
      <c r="AI1094" s="6" t="n">
        <v>0.3559592396260826</v>
      </c>
      <c r="AJ1094" s="6" t="n">
        <v>80.45325549118607</v>
      </c>
      <c r="AK1094" s="6" t="n">
        <v>0.08345603812786122</v>
      </c>
      <c r="AL1094" s="6" t="n">
        <v>1.040395534373885</v>
      </c>
      <c r="AN1094" s="6" t="n">
        <v>1.354317232948441</v>
      </c>
      <c r="AO1094" s="6" t="n">
        <v>1.354633888387118</v>
      </c>
      <c r="AP1094" s="6" t="n">
        <v>0.1349470446344557</v>
      </c>
      <c r="AQ1094" s="6" t="n">
        <v>0</v>
      </c>
      <c r="AR1094" s="6" t="n">
        <v>0</v>
      </c>
    </row>
    <row r="1095">
      <c r="D1095" t="inlineStr">
        <is>
          <t>Run 783</t>
        </is>
      </c>
      <c r="J1095" s="6" t="n">
        <v>-3.780506113963222</v>
      </c>
      <c r="K1095" s="6" t="n">
        <v>1.402521014427767</v>
      </c>
      <c r="L1095" s="6" t="n">
        <v>3.042176511322855</v>
      </c>
      <c r="M1095" s="6" t="n">
        <v>-0.7530736284502472</v>
      </c>
      <c r="N1095" s="6" t="n">
        <v>1.373005779676608</v>
      </c>
      <c r="O1095" s="6" t="n">
        <v>-1.136824383551125</v>
      </c>
      <c r="P1095" s="6" t="n">
        <v>-1.63868951464486</v>
      </c>
      <c r="Q1095" s="6" t="n">
        <v>-1.423116553326987</v>
      </c>
      <c r="R1095" s="6" t="n">
        <v>-3.845557171346508</v>
      </c>
      <c r="S1095" s="6" t="n">
        <v>-1.373608579251723</v>
      </c>
      <c r="T1095" s="6" t="n">
        <v>0.3795120605973253</v>
      </c>
      <c r="U1095" s="6" t="n">
        <v>0.4770077454603461</v>
      </c>
      <c r="V1095" s="6" t="n">
        <v>4.984086885860006</v>
      </c>
      <c r="W1095" s="6" t="n">
        <v>-1.505988163086129</v>
      </c>
      <c r="X1095" s="6" t="n">
        <v>5</v>
      </c>
      <c r="Y1095" s="6" t="n">
        <v>0.8905753587360949</v>
      </c>
      <c r="Z1095" s="6" t="n">
        <v>-1.416266548713801</v>
      </c>
      <c r="AA1095" s="6" t="n">
        <v>1.106163882217884</v>
      </c>
      <c r="AB1095" s="6" t="n">
        <v>0.9169295286114366</v>
      </c>
      <c r="AC1095" s="6" t="n">
        <v>1.528356745770496</v>
      </c>
      <c r="AD1095" s="6" t="n">
        <v>-1.841665040911647</v>
      </c>
      <c r="AE1095" s="6" t="n">
        <v>-0.3152998646134536</v>
      </c>
      <c r="AF1095" s="6" t="n">
        <v>-1.082534527300603</v>
      </c>
      <c r="AG1095" s="6" t="n">
        <v>-4.259799730345166</v>
      </c>
      <c r="AH1095" s="6" t="n">
        <v>0.0307247551673433</v>
      </c>
      <c r="AI1095" s="6" t="n">
        <v>-3.537844519231878</v>
      </c>
      <c r="AJ1095" s="6" t="n">
        <v>58.50958713426568</v>
      </c>
      <c r="AK1095" s="6" t="n">
        <v>0.1431386079113461</v>
      </c>
      <c r="AL1095" s="6" t="n">
        <v>1.032009720559622</v>
      </c>
      <c r="AN1095" s="6" t="n">
        <v>1.342063181547113</v>
      </c>
      <c r="AO1095" s="6" t="n">
        <v>1.342256915157763</v>
      </c>
      <c r="AP1095" s="6" t="n">
        <v>0.1324413572552006</v>
      </c>
      <c r="AQ1095" s="6" t="n">
        <v>0</v>
      </c>
      <c r="AR1095" s="6" t="n">
        <v>0</v>
      </c>
    </row>
    <row r="1096">
      <c r="D1096" t="inlineStr">
        <is>
          <t>Run 784</t>
        </is>
      </c>
      <c r="J1096" s="6" t="n">
        <v>0.3522873756282737</v>
      </c>
      <c r="K1096" s="6" t="n">
        <v>2.082876889331391</v>
      </c>
      <c r="L1096" s="6" t="n">
        <v>-0.9176481803183186</v>
      </c>
      <c r="M1096" s="6" t="n">
        <v>1.017099246529792</v>
      </c>
      <c r="N1096" s="6" t="n">
        <v>3.066523399394872</v>
      </c>
      <c r="O1096" s="6" t="n">
        <v>0.9640825890055074</v>
      </c>
      <c r="P1096" s="6" t="n">
        <v>0.4652640285050894</v>
      </c>
      <c r="Q1096" s="6" t="n">
        <v>-0.3440598386652282</v>
      </c>
      <c r="R1096" s="6" t="n">
        <v>-2.775317547254473</v>
      </c>
      <c r="S1096" s="6" t="n">
        <v>1.061389785752978</v>
      </c>
      <c r="T1096" s="6" t="n">
        <v>-1.784816297900905</v>
      </c>
      <c r="U1096" s="6" t="n">
        <v>-2.254848283236436</v>
      </c>
      <c r="V1096" s="6" t="n">
        <v>0.4297710948296191</v>
      </c>
      <c r="W1096" s="6" t="n">
        <v>1.195875995555973</v>
      </c>
      <c r="X1096" s="6" t="n">
        <v>4.44857507392758</v>
      </c>
      <c r="Y1096" s="6" t="n">
        <v>-0.3228280436578117</v>
      </c>
      <c r="Z1096" s="6" t="n">
        <v>2.105814404744108</v>
      </c>
      <c r="AA1096" s="6" t="n">
        <v>0.9740941363453511</v>
      </c>
      <c r="AB1096" s="6" t="n">
        <v>-0.8861653930055211</v>
      </c>
      <c r="AC1096" s="6" t="n">
        <v>2.270196828689252</v>
      </c>
      <c r="AD1096" s="6" t="n">
        <v>-0.1432435556713207</v>
      </c>
      <c r="AE1096" s="6" t="n">
        <v>1.43413716267142</v>
      </c>
      <c r="AF1096" s="6" t="n">
        <v>0.7982746493091467</v>
      </c>
      <c r="AG1096" s="6" t="n">
        <v>-0.5786082961698211</v>
      </c>
      <c r="AH1096" s="6" t="n">
        <v>1.445363711555863</v>
      </c>
      <c r="AI1096" s="6" t="n">
        <v>0.3326718498849572</v>
      </c>
      <c r="AJ1096" s="6" t="n">
        <v>68.03429997923125</v>
      </c>
      <c r="AK1096" s="6" t="n">
        <v>0.1748369923208825</v>
      </c>
      <c r="AL1096" s="6" t="n">
        <v>1.002296923125685</v>
      </c>
      <c r="AN1096" s="6" t="n">
        <v>1.35236735525505</v>
      </c>
      <c r="AO1096" s="6" t="n">
        <v>1.35236735525505</v>
      </c>
      <c r="AP1096" s="6" t="n">
        <v>0.1364641472825151</v>
      </c>
      <c r="AQ1096" s="6" t="n">
        <v>0</v>
      </c>
      <c r="AR1096" s="6" t="n">
        <v>0</v>
      </c>
    </row>
    <row r="1097">
      <c r="D1097" t="inlineStr">
        <is>
          <t>Run 785</t>
        </is>
      </c>
      <c r="J1097" s="6" t="n">
        <v>2.053633388528213</v>
      </c>
      <c r="K1097" s="6" t="n">
        <v>0.7320545807864814</v>
      </c>
      <c r="L1097" s="6" t="n">
        <v>0.2458172762701319</v>
      </c>
      <c r="M1097" s="6" t="n">
        <v>-3.611453995156174</v>
      </c>
      <c r="N1097" s="6" t="n">
        <v>2.097611986389062</v>
      </c>
      <c r="O1097" s="6" t="n">
        <v>-1.971251904227319</v>
      </c>
      <c r="P1097" s="6" t="n">
        <v>3.765706328422744</v>
      </c>
      <c r="Q1097" s="6" t="n">
        <v>-2.249136077929915</v>
      </c>
      <c r="R1097" s="6" t="n">
        <v>-2.190840859756265</v>
      </c>
      <c r="S1097" s="6" t="n">
        <v>-0.8323217531658011</v>
      </c>
      <c r="T1097" s="6" t="n">
        <v>-2.248847810893573</v>
      </c>
      <c r="U1097" s="6" t="n">
        <v>1.977489128475792</v>
      </c>
      <c r="V1097" s="6" t="n">
        <v>-0.3931467754185689</v>
      </c>
      <c r="W1097" s="6" t="n">
        <v>1.122573700284813</v>
      </c>
      <c r="X1097" s="6" t="n">
        <v>0.198584599356889</v>
      </c>
      <c r="Y1097" s="6" t="n">
        <v>1.313016478759771</v>
      </c>
      <c r="Z1097" s="6" t="n">
        <v>-1.786333609477518</v>
      </c>
      <c r="AA1097" s="6" t="n">
        <v>-0.7845878456651285</v>
      </c>
      <c r="AB1097" s="6" t="n">
        <v>0.3365380464990622</v>
      </c>
      <c r="AC1097" s="6" t="n">
        <v>-0.8751625184065364</v>
      </c>
      <c r="AD1097" s="6" t="n">
        <v>-0.8602245925775777</v>
      </c>
      <c r="AE1097" s="6" t="n">
        <v>-2.383411902376205</v>
      </c>
      <c r="AF1097" s="6" t="n">
        <v>4.236823636590047</v>
      </c>
      <c r="AG1097" s="6" t="n">
        <v>2.252603500822774</v>
      </c>
      <c r="AH1097" s="6" t="n">
        <v>3.009975389546051</v>
      </c>
      <c r="AI1097" s="6" t="n">
        <v>2.052458176580257</v>
      </c>
      <c r="AJ1097" s="6" t="n">
        <v>75.29796982649501</v>
      </c>
      <c r="AK1097" s="6" t="n">
        <v>0.1657635896601924</v>
      </c>
      <c r="AL1097" s="6" t="n">
        <v>1.06675422748081</v>
      </c>
      <c r="AN1097" s="6" t="n">
        <v>1.301765279136968</v>
      </c>
      <c r="AO1097" s="6" t="n">
        <v>1.315244095625408</v>
      </c>
      <c r="AP1097" s="6" t="n">
        <v>0.1296215919033986</v>
      </c>
      <c r="AQ1097" s="6" t="n">
        <v>0</v>
      </c>
      <c r="AR1097" s="6" t="n">
        <v>0</v>
      </c>
    </row>
    <row r="1098">
      <c r="D1098" t="inlineStr">
        <is>
          <t>Run 786</t>
        </is>
      </c>
      <c r="J1098" s="6" t="n">
        <v>1.268633873827911</v>
      </c>
      <c r="K1098" s="6" t="n">
        <v>0.3939906925408519</v>
      </c>
      <c r="L1098" s="6" t="n">
        <v>-3.199933277768431</v>
      </c>
      <c r="M1098" s="6" t="n">
        <v>-3.659810597163546</v>
      </c>
      <c r="N1098" s="6" t="n">
        <v>-1.985417368269152</v>
      </c>
      <c r="O1098" s="6" t="n">
        <v>1.155951953983563</v>
      </c>
      <c r="P1098" s="6" t="n">
        <v>-0.4201853676959297</v>
      </c>
      <c r="Q1098" s="6" t="n">
        <v>1.04551475239847</v>
      </c>
      <c r="R1098" s="6" t="n">
        <v>1.514891646885349</v>
      </c>
      <c r="S1098" s="6" t="n">
        <v>0.4745258737980112</v>
      </c>
      <c r="T1098" s="6" t="n">
        <v>0.07642057639717754</v>
      </c>
      <c r="U1098" s="6" t="n">
        <v>-2.783496891346872</v>
      </c>
      <c r="V1098" s="6" t="n">
        <v>3.505524792365306</v>
      </c>
      <c r="W1098" s="6" t="n">
        <v>-1.699604190029157</v>
      </c>
      <c r="X1098" s="6" t="n">
        <v>-1.768676169838445</v>
      </c>
      <c r="Y1098" s="6" t="n">
        <v>0.8218250543674065</v>
      </c>
      <c r="Z1098" s="6" t="n">
        <v>5</v>
      </c>
      <c r="AA1098" s="6" t="n">
        <v>2.31042886555703</v>
      </c>
      <c r="AB1098" s="6" t="n">
        <v>1.370306162229974</v>
      </c>
      <c r="AC1098" s="6" t="n">
        <v>-0.9022545612773707</v>
      </c>
      <c r="AD1098" s="6" t="n">
        <v>-1.281837528363224</v>
      </c>
      <c r="AE1098" s="6" t="n">
        <v>0.08301119311376405</v>
      </c>
      <c r="AF1098" s="6" t="n">
        <v>-5.006576772721919</v>
      </c>
      <c r="AG1098" s="6" t="n">
        <v>1.877293472626952</v>
      </c>
      <c r="AH1098" s="6" t="n">
        <v>-2.091802153808185</v>
      </c>
      <c r="AI1098" s="6" t="n">
        <v>-0.01917257435971902</v>
      </c>
      <c r="AJ1098" s="6" t="n">
        <v>74.90318482759962</v>
      </c>
      <c r="AK1098" s="6" t="n">
        <v>0.1351815402092901</v>
      </c>
      <c r="AL1098" s="6" t="n">
        <v>1.042646585801764</v>
      </c>
      <c r="AN1098" s="6" t="n">
        <v>1.307051391625361</v>
      </c>
      <c r="AO1098" s="6" t="n">
        <v>1.313796345735563</v>
      </c>
      <c r="AP1098" s="6" t="n">
        <v>0.1324292159085997</v>
      </c>
      <c r="AQ1098" s="6" t="n">
        <v>0</v>
      </c>
      <c r="AR1098" s="6" t="n">
        <v>0</v>
      </c>
    </row>
    <row r="1099">
      <c r="D1099" t="inlineStr">
        <is>
          <t>Run 787</t>
        </is>
      </c>
      <c r="J1099" s="6" t="n">
        <v>2.81888654322639</v>
      </c>
      <c r="K1099" s="6" t="n">
        <v>-0.8953103071315064</v>
      </c>
      <c r="L1099" s="6" t="n">
        <v>-2.904021011328135</v>
      </c>
      <c r="M1099" s="6" t="n">
        <v>-1.258088931945093</v>
      </c>
      <c r="N1099" s="6" t="n">
        <v>-1.881177633172719</v>
      </c>
      <c r="O1099" s="6" t="n">
        <v>0.4457804941208091</v>
      </c>
      <c r="P1099" s="6" t="n">
        <v>1.420092172844277</v>
      </c>
      <c r="Q1099" s="6" t="n">
        <v>-4.538135307059119</v>
      </c>
      <c r="R1099" s="6" t="n">
        <v>1.596211209072497</v>
      </c>
      <c r="S1099" s="6" t="n">
        <v>2.581944187865647</v>
      </c>
      <c r="T1099" s="6" t="n">
        <v>-0.02023786746172886</v>
      </c>
      <c r="U1099" s="6" t="n">
        <v>-0.5235689506330921</v>
      </c>
      <c r="V1099" s="6" t="n">
        <v>-2.532440356953522</v>
      </c>
      <c r="W1099" s="6" t="n">
        <v>-0.4974211274691522</v>
      </c>
      <c r="X1099" s="6" t="n">
        <v>1.501602109930559</v>
      </c>
      <c r="Y1099" s="6" t="n">
        <v>-1.474778971169554</v>
      </c>
      <c r="Z1099" s="6" t="n">
        <v>1.425203251788478</v>
      </c>
      <c r="AA1099" s="6" t="n">
        <v>1.670302445914349</v>
      </c>
      <c r="AB1099" s="6" t="n">
        <v>0.8497743335887799</v>
      </c>
      <c r="AC1099" s="6" t="n">
        <v>1.613910493039811</v>
      </c>
      <c r="AD1099" s="6" t="n">
        <v>-1.498129470154325</v>
      </c>
      <c r="AE1099" s="6" t="n">
        <v>-0.9042947455864097</v>
      </c>
      <c r="AF1099" s="6" t="n">
        <v>1.873529740146494</v>
      </c>
      <c r="AG1099" s="6" t="n">
        <v>-0.07869400794902626</v>
      </c>
      <c r="AH1099" s="6" t="n">
        <v>-2.529891856566086</v>
      </c>
      <c r="AI1099" s="6" t="n">
        <v>3.501146746485734</v>
      </c>
      <c r="AJ1099" s="6" t="n">
        <v>61.77838682804453</v>
      </c>
      <c r="AK1099" s="6" t="n">
        <v>0.13473885485786</v>
      </c>
      <c r="AL1099" s="6" t="n">
        <v>1.042605314650723</v>
      </c>
      <c r="AN1099" s="6" t="n">
        <v>1.338662964032137</v>
      </c>
      <c r="AO1099" s="6" t="n">
        <v>1.34188973196707</v>
      </c>
      <c r="AP1099" s="6" t="n">
        <v>0.131562988982802</v>
      </c>
      <c r="AQ1099" s="6" t="n">
        <v>0</v>
      </c>
      <c r="AR1099" s="6" t="n">
        <v>0</v>
      </c>
    </row>
    <row r="1100">
      <c r="D1100" t="inlineStr">
        <is>
          <t>Run 788</t>
        </is>
      </c>
      <c r="J1100" s="6" t="n">
        <v>1.952842422461714</v>
      </c>
      <c r="K1100" s="6" t="n">
        <v>-0.007581935964761858</v>
      </c>
      <c r="L1100" s="6" t="n">
        <v>-2.81266216876681</v>
      </c>
      <c r="M1100" s="6" t="n">
        <v>1.674674301423596</v>
      </c>
      <c r="N1100" s="6" t="n">
        <v>-0.07046581323342339</v>
      </c>
      <c r="O1100" s="6" t="n">
        <v>-0.9686244153779027</v>
      </c>
      <c r="P1100" s="6" t="n">
        <v>-1.647429160839952</v>
      </c>
      <c r="Q1100" s="6" t="n">
        <v>0.1243579245857379</v>
      </c>
      <c r="R1100" s="6" t="n">
        <v>3.431221157891158</v>
      </c>
      <c r="S1100" s="6" t="n">
        <v>1.565795014450406</v>
      </c>
      <c r="T1100" s="6" t="n">
        <v>-1.416100221379971</v>
      </c>
      <c r="U1100" s="6" t="n">
        <v>-0.04306113560118131</v>
      </c>
      <c r="V1100" s="6" t="n">
        <v>2.337433372579364</v>
      </c>
      <c r="W1100" s="6" t="n">
        <v>-2.562120233122007</v>
      </c>
      <c r="X1100" s="6" t="n">
        <v>2.898423054630717</v>
      </c>
      <c r="Y1100" s="6" t="n">
        <v>0.06843864361228388</v>
      </c>
      <c r="Z1100" s="6" t="n">
        <v>-0.8464180449486288</v>
      </c>
      <c r="AA1100" s="6" t="n">
        <v>2.515902786330495</v>
      </c>
      <c r="AB1100" s="6" t="n">
        <v>-1.655961683743292</v>
      </c>
      <c r="AC1100" s="6" t="n">
        <v>0.1413523619246417</v>
      </c>
      <c r="AD1100" s="6" t="n">
        <v>2.38923162505516</v>
      </c>
      <c r="AE1100" s="6" t="n">
        <v>0.3763454601988124</v>
      </c>
      <c r="AF1100" s="6" t="n">
        <v>0.8484766116013522</v>
      </c>
      <c r="AG1100" s="6" t="n">
        <v>0.643703920470037</v>
      </c>
      <c r="AH1100" s="6" t="n">
        <v>-0.421454129057343</v>
      </c>
      <c r="AI1100" s="6" t="n">
        <v>0.02398692733557024</v>
      </c>
      <c r="AJ1100" s="6" t="n">
        <v>69.44868237109372</v>
      </c>
      <c r="AK1100" s="6" t="n">
        <v>0.1510551652257356</v>
      </c>
      <c r="AL1100" s="6" t="n">
        <v>1.015706348662931</v>
      </c>
      <c r="AN1100" s="6" t="n">
        <v>1.351121888861319</v>
      </c>
      <c r="AO1100" s="6" t="n">
        <v>1.351121888861319</v>
      </c>
      <c r="AP1100" s="6" t="n">
        <v>0.1353923974156774</v>
      </c>
      <c r="AQ1100" s="6" t="n">
        <v>0</v>
      </c>
      <c r="AR1100" s="6" t="n">
        <v>0</v>
      </c>
    </row>
    <row r="1101">
      <c r="D1101" t="inlineStr">
        <is>
          <t>Run 789</t>
        </is>
      </c>
      <c r="J1101" s="6" t="n">
        <v>-0.6406343271420972</v>
      </c>
      <c r="K1101" s="6" t="n">
        <v>-0.08564343685102362</v>
      </c>
      <c r="L1101" s="6" t="n">
        <v>0.8867329424231807</v>
      </c>
      <c r="M1101" s="6" t="n">
        <v>-1.979544009355493</v>
      </c>
      <c r="N1101" s="6" t="n">
        <v>0.2825632679368607</v>
      </c>
      <c r="O1101" s="6" t="n">
        <v>1.373117153585956</v>
      </c>
      <c r="P1101" s="6" t="n">
        <v>-2.923697750425997</v>
      </c>
      <c r="Q1101" s="6" t="n">
        <v>5</v>
      </c>
      <c r="R1101" s="6" t="n">
        <v>3.173055243495118</v>
      </c>
      <c r="S1101" s="6" t="n">
        <v>0.08943908791458653</v>
      </c>
      <c r="T1101" s="6" t="n">
        <v>-1.272353169150136</v>
      </c>
      <c r="U1101" s="6" t="n">
        <v>1.107776904277149</v>
      </c>
      <c r="V1101" s="6" t="n">
        <v>-1.693977857054764</v>
      </c>
      <c r="W1101" s="6" t="n">
        <v>1.661876019873278</v>
      </c>
      <c r="X1101" s="6" t="n">
        <v>-0.4805387013313056</v>
      </c>
      <c r="Y1101" s="6" t="n">
        <v>0.8400668926639081</v>
      </c>
      <c r="Z1101" s="6" t="n">
        <v>-0.1152212015963407</v>
      </c>
      <c r="AA1101" s="6" t="n">
        <v>0.2295782181215327</v>
      </c>
      <c r="AB1101" s="6" t="n">
        <v>1.513310990923174</v>
      </c>
      <c r="AC1101" s="6" t="n">
        <v>0.5491749528369928</v>
      </c>
      <c r="AD1101" s="6" t="n">
        <v>0.4811353080497142</v>
      </c>
      <c r="AE1101" s="6" t="n">
        <v>5</v>
      </c>
      <c r="AF1101" s="6" t="n">
        <v>-4.120851685707802</v>
      </c>
      <c r="AG1101" s="6" t="n">
        <v>-0.4674734105507672</v>
      </c>
      <c r="AH1101" s="6" t="n">
        <v>1.272026256351239</v>
      </c>
      <c r="AI1101" s="6" t="n">
        <v>-3.738024833129133</v>
      </c>
      <c r="AJ1101" s="6" t="n">
        <v>74.92739698435452</v>
      </c>
      <c r="AK1101" s="6" t="n">
        <v>0.1135436015777473</v>
      </c>
      <c r="AL1101" s="6" t="n">
        <v>1.07182998890833</v>
      </c>
      <c r="AN1101" s="6" t="n">
        <v>1.327313070045813</v>
      </c>
      <c r="AO1101" s="6" t="n">
        <v>1.33315219114603</v>
      </c>
      <c r="AP1101" s="6" t="n">
        <v>0.1310437373293911</v>
      </c>
      <c r="AQ1101" s="6" t="n">
        <v>0</v>
      </c>
      <c r="AR1101" s="6" t="n">
        <v>0</v>
      </c>
    </row>
    <row r="1102">
      <c r="D1102" t="inlineStr">
        <is>
          <t>Run 790</t>
        </is>
      </c>
      <c r="J1102" s="6" t="n">
        <v>0.6888835243656796</v>
      </c>
      <c r="K1102" s="6" t="n">
        <v>-0.9165909223251066</v>
      </c>
      <c r="L1102" s="6" t="n">
        <v>2.230417036156297</v>
      </c>
      <c r="M1102" s="6" t="n">
        <v>1.43335560534978</v>
      </c>
      <c r="N1102" s="6" t="n">
        <v>-1.23211143374848</v>
      </c>
      <c r="O1102" s="6" t="n">
        <v>-2.321802816960084</v>
      </c>
      <c r="P1102" s="6" t="n">
        <v>-2.209283157321839</v>
      </c>
      <c r="Q1102" s="6" t="n">
        <v>-0.06694936753213743</v>
      </c>
      <c r="R1102" s="6" t="n">
        <v>-1.648337267623803</v>
      </c>
      <c r="S1102" s="6" t="n">
        <v>-0.8538450446704302</v>
      </c>
      <c r="T1102" s="6" t="n">
        <v>-1.717226862994371</v>
      </c>
      <c r="U1102" s="6" t="n">
        <v>-2.308022093398465</v>
      </c>
      <c r="V1102" s="6" t="n">
        <v>0.08037957296820741</v>
      </c>
      <c r="W1102" s="6" t="n">
        <v>-0.5633079347255548</v>
      </c>
      <c r="X1102" s="6" t="n">
        <v>-1.270253522226245</v>
      </c>
      <c r="Y1102" s="6" t="n">
        <v>2.09285081143275</v>
      </c>
      <c r="Z1102" s="6" t="n">
        <v>4.980114559974075</v>
      </c>
      <c r="AA1102" s="6" t="n">
        <v>0.434823603901343</v>
      </c>
      <c r="AB1102" s="6" t="n">
        <v>1.629497441687215</v>
      </c>
      <c r="AC1102" s="6" t="n">
        <v>-1.662197238075172</v>
      </c>
      <c r="AD1102" s="6" t="n">
        <v>1.953143670285019</v>
      </c>
      <c r="AE1102" s="6" t="n">
        <v>0.1858790098318015</v>
      </c>
      <c r="AF1102" s="6" t="n">
        <v>3.628830814313005</v>
      </c>
      <c r="AG1102" s="6" t="n">
        <v>-0.8752660162432286</v>
      </c>
      <c r="AH1102" s="6" t="n">
        <v>2.074907109125556</v>
      </c>
      <c r="AI1102" s="6" t="n">
        <v>-4.898191667152656</v>
      </c>
      <c r="AJ1102" s="6" t="n">
        <v>72.3217213007771</v>
      </c>
      <c r="AK1102" s="6" t="n">
        <v>0.1289965525316369</v>
      </c>
      <c r="AL1102" s="6" t="n">
        <v>1.055409025529787</v>
      </c>
      <c r="AN1102" s="6" t="n">
        <v>1.344165263409294</v>
      </c>
      <c r="AO1102" s="6" t="n">
        <v>1.344313461160132</v>
      </c>
      <c r="AP1102" s="6" t="n">
        <v>0.1318372163228838</v>
      </c>
      <c r="AQ1102" s="6" t="n">
        <v>0</v>
      </c>
      <c r="AR1102" s="6" t="n">
        <v>0</v>
      </c>
    </row>
    <row r="1103">
      <c r="D1103" t="inlineStr">
        <is>
          <t>Run 791</t>
        </is>
      </c>
      <c r="J1103" s="6" t="n">
        <v>0.9983086161288105</v>
      </c>
      <c r="K1103" s="6" t="n">
        <v>-1.37899321228643</v>
      </c>
      <c r="L1103" s="6" t="n">
        <v>-1.128569107525646</v>
      </c>
      <c r="M1103" s="6" t="n">
        <v>-0.8431080906725071</v>
      </c>
      <c r="N1103" s="6" t="n">
        <v>-1.367056396877991</v>
      </c>
      <c r="O1103" s="6" t="n">
        <v>-3.169601330677839</v>
      </c>
      <c r="P1103" s="6" t="n">
        <v>1.264813249450197</v>
      </c>
      <c r="Q1103" s="6" t="n">
        <v>-0.1451389062319903</v>
      </c>
      <c r="R1103" s="6" t="n">
        <v>-2.480403402490652</v>
      </c>
      <c r="S1103" s="6" t="n">
        <v>2.55754673941499</v>
      </c>
      <c r="T1103" s="6" t="n">
        <v>-0.6315849325304091</v>
      </c>
      <c r="U1103" s="6" t="n">
        <v>1.154758918190831</v>
      </c>
      <c r="V1103" s="6" t="n">
        <v>1.829491708482557</v>
      </c>
      <c r="W1103" s="6" t="n">
        <v>-0.7015672088027578</v>
      </c>
      <c r="X1103" s="6" t="n">
        <v>1.843095702685578</v>
      </c>
      <c r="Y1103" s="6" t="n">
        <v>4.796439224088926</v>
      </c>
      <c r="Z1103" s="6" t="n">
        <v>2.914133262980245</v>
      </c>
      <c r="AA1103" s="6" t="n">
        <v>1.132281716363758</v>
      </c>
      <c r="AB1103" s="6" t="n">
        <v>-4.837965823578509</v>
      </c>
      <c r="AC1103" s="6" t="n">
        <v>1.115278624418281</v>
      </c>
      <c r="AD1103" s="6" t="n">
        <v>1.437748053651172</v>
      </c>
      <c r="AE1103" s="6" t="n">
        <v>-2.455846532556694</v>
      </c>
      <c r="AF1103" s="6" t="n">
        <v>1.467872832344185</v>
      </c>
      <c r="AG1103" s="6" t="n">
        <v>3.322125562422018</v>
      </c>
      <c r="AH1103" s="6" t="n">
        <v>-0.3570669650217986</v>
      </c>
      <c r="AI1103" s="6" t="n">
        <v>0.2376614347967113</v>
      </c>
      <c r="AJ1103" s="6" t="n">
        <v>66.36122282949442</v>
      </c>
      <c r="AK1103" s="6" t="n">
        <v>0.1859863937602977</v>
      </c>
      <c r="AL1103" s="6" t="n">
        <v>1.021832388796905</v>
      </c>
      <c r="AN1103" s="6" t="n">
        <v>1.347357219181847</v>
      </c>
      <c r="AO1103" s="6" t="n">
        <v>1.347357219181847</v>
      </c>
      <c r="AP1103" s="6" t="n">
        <v>0.1335222671951217</v>
      </c>
      <c r="AQ1103" s="6" t="n">
        <v>0</v>
      </c>
      <c r="AR1103" s="6" t="n">
        <v>0</v>
      </c>
    </row>
    <row r="1104">
      <c r="D1104" t="inlineStr">
        <is>
          <t>Run 792</t>
        </is>
      </c>
      <c r="J1104" s="6" t="n">
        <v>0.133368561790378</v>
      </c>
      <c r="K1104" s="6" t="n">
        <v>4.411427039003439</v>
      </c>
      <c r="L1104" s="6" t="n">
        <v>-0.08927347088977559</v>
      </c>
      <c r="M1104" s="6" t="n">
        <v>3.002790405080533</v>
      </c>
      <c r="N1104" s="6" t="n">
        <v>3.998184426223141</v>
      </c>
      <c r="O1104" s="6" t="n">
        <v>-1.463610730016753</v>
      </c>
      <c r="P1104" s="6" t="n">
        <v>0.6175664907270293</v>
      </c>
      <c r="Q1104" s="6" t="n">
        <v>2.443146107098171</v>
      </c>
      <c r="R1104" s="6" t="n">
        <v>0.6985433015020888</v>
      </c>
      <c r="S1104" s="6" t="n">
        <v>-0.6193183549168142</v>
      </c>
      <c r="T1104" s="6" t="n">
        <v>3.386443036723226</v>
      </c>
      <c r="U1104" s="6" t="n">
        <v>0.6634545406684651</v>
      </c>
      <c r="V1104" s="6" t="n">
        <v>-0.2607592400919351</v>
      </c>
      <c r="W1104" s="6" t="n">
        <v>2.060536309815781</v>
      </c>
      <c r="X1104" s="6" t="n">
        <v>2.667991497194569</v>
      </c>
      <c r="Y1104" s="6" t="n">
        <v>-3.000431272686853</v>
      </c>
      <c r="Z1104" s="6" t="n">
        <v>1.35705526197483</v>
      </c>
      <c r="AA1104" s="6" t="n">
        <v>1.63669059311138</v>
      </c>
      <c r="AB1104" s="6" t="n">
        <v>1.613595375555108</v>
      </c>
      <c r="AC1104" s="6" t="n">
        <v>-1.445286110856531</v>
      </c>
      <c r="AD1104" s="6" t="n">
        <v>0.1536214073114517</v>
      </c>
      <c r="AE1104" s="6" t="n">
        <v>1.352233979240234</v>
      </c>
      <c r="AF1104" s="6" t="n">
        <v>0.4099154116039145</v>
      </c>
      <c r="AG1104" s="6" t="n">
        <v>-1.167123364678495</v>
      </c>
      <c r="AH1104" s="6" t="n">
        <v>0.5263510901824883</v>
      </c>
      <c r="AI1104" s="6" t="n">
        <v>1.326445264600622</v>
      </c>
      <c r="AJ1104" s="6" t="n">
        <v>55.44404450158846</v>
      </c>
      <c r="AK1104" s="6" t="n">
        <v>0.1717601575846041</v>
      </c>
      <c r="AL1104" s="6" t="n">
        <v>1.050943731874405</v>
      </c>
      <c r="AN1104" s="6" t="n">
        <v>1.332088847211285</v>
      </c>
      <c r="AO1104" s="6" t="n">
        <v>1.332705987897507</v>
      </c>
      <c r="AP1104" s="6" t="n">
        <v>0.1299836245610651</v>
      </c>
      <c r="AQ1104" s="6" t="n">
        <v>0</v>
      </c>
      <c r="AR1104" s="6" t="n">
        <v>0</v>
      </c>
    </row>
    <row r="1105">
      <c r="D1105" t="inlineStr">
        <is>
          <t>Run 793</t>
        </is>
      </c>
      <c r="J1105" s="6" t="n">
        <v>3.355217300238278</v>
      </c>
      <c r="K1105" s="6" t="n">
        <v>-1.708291941323773</v>
      </c>
      <c r="L1105" s="6" t="n">
        <v>0.7389973127929044</v>
      </c>
      <c r="M1105" s="6" t="n">
        <v>-1.177574115529359</v>
      </c>
      <c r="N1105" s="6" t="n">
        <v>-1.76178657253486</v>
      </c>
      <c r="O1105" s="6" t="n">
        <v>-5.028520753076813</v>
      </c>
      <c r="P1105" s="6" t="n">
        <v>0.6518409962130668</v>
      </c>
      <c r="Q1105" s="6" t="n">
        <v>-3.958134921552556</v>
      </c>
      <c r="R1105" s="6" t="n">
        <v>-2.750404642589516</v>
      </c>
      <c r="S1105" s="6" t="n">
        <v>-1.521590922335867</v>
      </c>
      <c r="T1105" s="6" t="n">
        <v>-0.1419029439179325</v>
      </c>
      <c r="U1105" s="6" t="n">
        <v>-2.771007283885523</v>
      </c>
      <c r="V1105" s="6" t="n">
        <v>0.7432741398459621</v>
      </c>
      <c r="W1105" s="6" t="n">
        <v>-0.04325062194522884</v>
      </c>
      <c r="X1105" s="6" t="n">
        <v>-1.243016857999836</v>
      </c>
      <c r="Y1105" s="6" t="n">
        <v>-2.399619240048967</v>
      </c>
      <c r="Z1105" s="6" t="n">
        <v>-0.6345110466951788</v>
      </c>
      <c r="AA1105" s="6" t="n">
        <v>-2.827404572030908</v>
      </c>
      <c r="AB1105" s="6" t="n">
        <v>1.532266186333834</v>
      </c>
      <c r="AC1105" s="6" t="n">
        <v>0.6120840893548695</v>
      </c>
      <c r="AD1105" s="6" t="n">
        <v>-1.666334366131633</v>
      </c>
      <c r="AE1105" s="6" t="n">
        <v>3.010284837955549</v>
      </c>
      <c r="AF1105" s="6" t="n">
        <v>2.801428863604106</v>
      </c>
      <c r="AG1105" s="6" t="n">
        <v>-2.797904848596725</v>
      </c>
      <c r="AH1105" s="6" t="n">
        <v>2.611091550813549</v>
      </c>
      <c r="AI1105" s="6" t="n">
        <v>-0.05525918235946085</v>
      </c>
      <c r="AJ1105" s="6" t="n">
        <v>67.86696262856937</v>
      </c>
      <c r="AK1105" s="6" t="n">
        <v>0.1425765262122026</v>
      </c>
      <c r="AL1105" s="6" t="n">
        <v>1.073851940943413</v>
      </c>
      <c r="AN1105" s="6" t="n">
        <v>1.310979184688807</v>
      </c>
      <c r="AO1105" s="6" t="n">
        <v>1.320297392259164</v>
      </c>
      <c r="AP1105" s="6" t="n">
        <v>0.1292253290993448</v>
      </c>
      <c r="AQ1105" s="6" t="n">
        <v>0</v>
      </c>
      <c r="AR1105" s="6" t="n">
        <v>0</v>
      </c>
    </row>
    <row r="1106">
      <c r="D1106" t="inlineStr">
        <is>
          <t>Run 794</t>
        </is>
      </c>
      <c r="J1106" s="6" t="n">
        <v>-1.660500891649175</v>
      </c>
      <c r="K1106" s="6" t="n">
        <v>2.481669678959574</v>
      </c>
      <c r="L1106" s="6" t="n">
        <v>2.700932261750415</v>
      </c>
      <c r="M1106" s="6" t="n">
        <v>1.32028674505574</v>
      </c>
      <c r="N1106" s="6" t="n">
        <v>-1.784262572434308</v>
      </c>
      <c r="O1106" s="6" t="n">
        <v>-1.534026693607303</v>
      </c>
      <c r="P1106" s="6" t="n">
        <v>2.793778704443767</v>
      </c>
      <c r="Q1106" s="6" t="n">
        <v>-2.644463581283313</v>
      </c>
      <c r="R1106" s="6" t="n">
        <v>1.032534172537821</v>
      </c>
      <c r="S1106" s="6" t="n">
        <v>0.1006913593715022</v>
      </c>
      <c r="T1106" s="6" t="n">
        <v>0.9724739226472291</v>
      </c>
      <c r="U1106" s="6" t="n">
        <v>-0.4389046114037632</v>
      </c>
      <c r="V1106" s="6" t="n">
        <v>-0.3728337306032922</v>
      </c>
      <c r="W1106" s="6" t="n">
        <v>-2.318367604851423</v>
      </c>
      <c r="X1106" s="6" t="n">
        <v>4.881140622926877</v>
      </c>
      <c r="Y1106" s="6" t="n">
        <v>0.4774873163150744</v>
      </c>
      <c r="Z1106" s="6" t="n">
        <v>1.884299384066341</v>
      </c>
      <c r="AA1106" s="6" t="n">
        <v>0.654037661694907</v>
      </c>
      <c r="AB1106" s="6" t="n">
        <v>-0.5604860622565461</v>
      </c>
      <c r="AC1106" s="6" t="n">
        <v>1.415610765274401</v>
      </c>
      <c r="AD1106" s="6" t="n">
        <v>0.2242538550313885</v>
      </c>
      <c r="AE1106" s="6" t="n">
        <v>0.7458864620653268</v>
      </c>
      <c r="AF1106" s="6" t="n">
        <v>1.435091737460464</v>
      </c>
      <c r="AG1106" s="6" t="n">
        <v>-1.908025059113209</v>
      </c>
      <c r="AH1106" s="6" t="n">
        <v>-1.211883014455428</v>
      </c>
      <c r="AI1106" s="6" t="n">
        <v>3.236711536685903</v>
      </c>
      <c r="AJ1106" s="6" t="n">
        <v>69.50860214914775</v>
      </c>
      <c r="AK1106" s="6" t="n">
        <v>0.1036480793067969</v>
      </c>
      <c r="AL1106" s="6" t="n">
        <v>1.027815945146221</v>
      </c>
      <c r="AN1106" s="6" t="n">
        <v>1.349503794936526</v>
      </c>
      <c r="AO1106" s="6" t="n">
        <v>1.350432839932316</v>
      </c>
      <c r="AP1106" s="6" t="n">
        <v>0.1345852949981207</v>
      </c>
      <c r="AQ1106" s="6" t="n">
        <v>0</v>
      </c>
      <c r="AR1106" s="6" t="n">
        <v>0</v>
      </c>
    </row>
    <row r="1107">
      <c r="D1107" t="inlineStr">
        <is>
          <t>Run 795</t>
        </is>
      </c>
      <c r="J1107" s="6" t="n">
        <v>2.935155896889754</v>
      </c>
      <c r="K1107" s="6" t="n">
        <v>-2.652352222928972</v>
      </c>
      <c r="L1107" s="6" t="n">
        <v>1.149366160119979</v>
      </c>
      <c r="M1107" s="6" t="n">
        <v>0.4510901668597396</v>
      </c>
      <c r="N1107" s="6" t="n">
        <v>1.669665239346623</v>
      </c>
      <c r="O1107" s="6" t="n">
        <v>0.6599612680681824</v>
      </c>
      <c r="P1107" s="6" t="n">
        <v>-1.50598117854155</v>
      </c>
      <c r="Q1107" s="6" t="n">
        <v>-0.9789930546961466</v>
      </c>
      <c r="R1107" s="6" t="n">
        <v>-2.781740000998282</v>
      </c>
      <c r="S1107" s="6" t="n">
        <v>-0.2780948419021207</v>
      </c>
      <c r="T1107" s="6" t="n">
        <v>4.194950969400448</v>
      </c>
      <c r="U1107" s="6" t="n">
        <v>-2.24940171524488</v>
      </c>
      <c r="V1107" s="6" t="n">
        <v>-1.610060415249213</v>
      </c>
      <c r="W1107" s="6" t="n">
        <v>3.363808178879661</v>
      </c>
      <c r="X1107" s="6" t="n">
        <v>2.366596837020591</v>
      </c>
      <c r="Y1107" s="6" t="n">
        <v>0.547562317670082</v>
      </c>
      <c r="Z1107" s="6" t="n">
        <v>2.207701901234003</v>
      </c>
      <c r="AA1107" s="6" t="n">
        <v>1.219912123517205</v>
      </c>
      <c r="AB1107" s="6" t="n">
        <v>0.6618133272438846</v>
      </c>
      <c r="AC1107" s="6" t="n">
        <v>-0.5551170406801651</v>
      </c>
      <c r="AD1107" s="6" t="n">
        <v>-2.556712068486869</v>
      </c>
      <c r="AE1107" s="6" t="n">
        <v>-0.4917799801370127</v>
      </c>
      <c r="AF1107" s="6" t="n">
        <v>1.822644174884752</v>
      </c>
      <c r="AG1107" s="6" t="n">
        <v>2.332193954415448</v>
      </c>
      <c r="AH1107" s="6" t="n">
        <v>0.5942536249697148</v>
      </c>
      <c r="AI1107" s="6" t="n">
        <v>-0.1442168703169489</v>
      </c>
      <c r="AJ1107" s="6" t="n">
        <v>78.98179351202181</v>
      </c>
      <c r="AK1107" s="6" t="n">
        <v>0.2035808688738444</v>
      </c>
      <c r="AL1107" s="6" t="n">
        <v>1.0758856389771</v>
      </c>
      <c r="AN1107" s="6" t="n">
        <v>1.32874110893734</v>
      </c>
      <c r="AO1107" s="6" t="n">
        <v>1.329077671762523</v>
      </c>
      <c r="AP1107" s="6" t="n">
        <v>0.1285528637382989</v>
      </c>
      <c r="AQ1107" s="6" t="n">
        <v>0</v>
      </c>
      <c r="AR1107" s="6" t="n">
        <v>0</v>
      </c>
    </row>
    <row r="1108">
      <c r="D1108" t="inlineStr">
        <is>
          <t>Run 796</t>
        </is>
      </c>
      <c r="J1108" s="6" t="n">
        <v>-0.6617118324072558</v>
      </c>
      <c r="K1108" s="6" t="n">
        <v>-3.557722793037465</v>
      </c>
      <c r="L1108" s="6" t="n">
        <v>0.8752071380162098</v>
      </c>
      <c r="M1108" s="6" t="n">
        <v>0.1290984073771107</v>
      </c>
      <c r="N1108" s="6" t="n">
        <v>2.03320878859792</v>
      </c>
      <c r="O1108" s="6" t="n">
        <v>2.271713747586348</v>
      </c>
      <c r="P1108" s="6" t="n">
        <v>-1.703904226797336</v>
      </c>
      <c r="Q1108" s="6" t="n">
        <v>1.64386564959816</v>
      </c>
      <c r="R1108" s="6" t="n">
        <v>0.4032065361949352</v>
      </c>
      <c r="S1108" s="6" t="n">
        <v>-3.006599311542026</v>
      </c>
      <c r="T1108" s="6" t="n">
        <v>-1.097524890943647</v>
      </c>
      <c r="U1108" s="6" t="n">
        <v>-1.579407111235104</v>
      </c>
      <c r="V1108" s="6" t="n">
        <v>-0.4661601917862771</v>
      </c>
      <c r="W1108" s="6" t="n">
        <v>2.028252412508061</v>
      </c>
      <c r="X1108" s="6" t="n">
        <v>0.1598937492123494</v>
      </c>
      <c r="Y1108" s="6" t="n">
        <v>0.9870877327566975</v>
      </c>
      <c r="Z1108" s="6" t="n">
        <v>-5.209830270025156</v>
      </c>
      <c r="AA1108" s="6" t="n">
        <v>0.7327707295620252</v>
      </c>
      <c r="AB1108" s="6" t="n">
        <v>-2.722841220926069</v>
      </c>
      <c r="AC1108" s="6" t="n">
        <v>-0.6327389757759021</v>
      </c>
      <c r="AD1108" s="6" t="n">
        <v>-1.286487279948097</v>
      </c>
      <c r="AE1108" s="6" t="n">
        <v>0.6468005058707271</v>
      </c>
      <c r="AF1108" s="6" t="n">
        <v>2.539167579194304</v>
      </c>
      <c r="AG1108" s="6" t="n">
        <v>0.6414317174598334</v>
      </c>
      <c r="AH1108" s="6" t="n">
        <v>-1.993478683151156</v>
      </c>
      <c r="AI1108" s="6" t="n">
        <v>-0.8502865188348075</v>
      </c>
      <c r="AJ1108" s="6" t="n">
        <v>78.02561862062944</v>
      </c>
      <c r="AK1108" s="6" t="n">
        <v>0.02824037403635273</v>
      </c>
      <c r="AL1108" s="6" t="n">
        <v>1.093177899340204</v>
      </c>
      <c r="AN1108" s="6" t="n">
        <v>1.341125859110733</v>
      </c>
      <c r="AO1108" s="6" t="n">
        <v>1.343119262071478</v>
      </c>
      <c r="AP1108" s="6" t="n">
        <v>0.1322471851672776</v>
      </c>
      <c r="AQ1108" s="6" t="n">
        <v>0</v>
      </c>
      <c r="AR1108" s="6" t="n">
        <v>0</v>
      </c>
    </row>
    <row r="1109">
      <c r="D1109" t="inlineStr">
        <is>
          <t>Run 797</t>
        </is>
      </c>
      <c r="J1109" s="6" t="n">
        <v>0.6635810120708708</v>
      </c>
      <c r="K1109" s="6" t="n">
        <v>-1.347866865080664</v>
      </c>
      <c r="L1109" s="6" t="n">
        <v>-3.576362741856967</v>
      </c>
      <c r="M1109" s="6" t="n">
        <v>-3.402325419969803</v>
      </c>
      <c r="N1109" s="6" t="n">
        <v>0.8096089622066319</v>
      </c>
      <c r="O1109" s="6" t="n">
        <v>4.566892639704415</v>
      </c>
      <c r="P1109" s="6" t="n">
        <v>1.947325972601457</v>
      </c>
      <c r="Q1109" s="6" t="n">
        <v>0.4594445870810637</v>
      </c>
      <c r="R1109" s="6" t="n">
        <v>0.6400072207865155</v>
      </c>
      <c r="S1109" s="6" t="n">
        <v>0.4483011735817168</v>
      </c>
      <c r="T1109" s="6" t="n">
        <v>0.8923903648828957</v>
      </c>
      <c r="U1109" s="6" t="n">
        <v>3.805801410298071</v>
      </c>
      <c r="V1109" s="6" t="n">
        <v>-2.719890977147862</v>
      </c>
      <c r="W1109" s="6" t="n">
        <v>-2.048337394002125</v>
      </c>
      <c r="X1109" s="6" t="n">
        <v>1.422134979036769</v>
      </c>
      <c r="Y1109" s="6" t="n">
        <v>5</v>
      </c>
      <c r="Z1109" s="6" t="n">
        <v>3.055424202886979</v>
      </c>
      <c r="AA1109" s="6" t="n">
        <v>1.472184807836989</v>
      </c>
      <c r="AB1109" s="6" t="n">
        <v>-1.489854287687069</v>
      </c>
      <c r="AC1109" s="6" t="n">
        <v>1.907984536842738</v>
      </c>
      <c r="AD1109" s="6" t="n">
        <v>0.818241910407703</v>
      </c>
      <c r="AE1109" s="6" t="n">
        <v>-0.5815650474047512</v>
      </c>
      <c r="AF1109" s="6" t="n">
        <v>1.180593942243845</v>
      </c>
      <c r="AG1109" s="6" t="n">
        <v>-1.484045356842749</v>
      </c>
      <c r="AH1109" s="6" t="n">
        <v>-4.02270040381251</v>
      </c>
      <c r="AI1109" s="6" t="n">
        <v>0.7546327814878796</v>
      </c>
      <c r="AJ1109" s="6" t="n">
        <v>76.87168941010705</v>
      </c>
      <c r="AK1109" s="6" t="n">
        <v>0.1808471880067739</v>
      </c>
      <c r="AL1109" s="6" t="n">
        <v>1.070908986594662</v>
      </c>
      <c r="AN1109" s="6" t="n">
        <v>1.299684156785823</v>
      </c>
      <c r="AO1109" s="6" t="n">
        <v>1.311987650590795</v>
      </c>
      <c r="AP1109" s="6" t="n">
        <v>0.1291656627935622</v>
      </c>
      <c r="AQ1109" s="6" t="n">
        <v>0</v>
      </c>
      <c r="AR1109" s="6" t="n">
        <v>0</v>
      </c>
    </row>
    <row r="1110">
      <c r="D1110" t="inlineStr">
        <is>
          <t>Run 798</t>
        </is>
      </c>
      <c r="J1110" s="6" t="n">
        <v>1.565167504167932</v>
      </c>
      <c r="K1110" s="6" t="n">
        <v>-3.738443778578768</v>
      </c>
      <c r="L1110" s="6" t="n">
        <v>-3.028390455842017</v>
      </c>
      <c r="M1110" s="6" t="n">
        <v>-1.938668095438195</v>
      </c>
      <c r="N1110" s="6" t="n">
        <v>1.178275526422423</v>
      </c>
      <c r="O1110" s="6" t="n">
        <v>-0.5217382156228543</v>
      </c>
      <c r="P1110" s="6" t="n">
        <v>-1.632810024612645</v>
      </c>
      <c r="Q1110" s="6" t="n">
        <v>-0.1054488200723725</v>
      </c>
      <c r="R1110" s="6" t="n">
        <v>3.444914877259272</v>
      </c>
      <c r="S1110" s="6" t="n">
        <v>1.13256758097549</v>
      </c>
      <c r="T1110" s="6" t="n">
        <v>-4.010170351915576</v>
      </c>
      <c r="U1110" s="6" t="n">
        <v>-0.6509169918620414</v>
      </c>
      <c r="V1110" s="6" t="n">
        <v>-0.8010565363090688</v>
      </c>
      <c r="W1110" s="6" t="n">
        <v>-0.8198559995708138</v>
      </c>
      <c r="X1110" s="6" t="n">
        <v>3.435314241431208</v>
      </c>
      <c r="Y1110" s="6" t="n">
        <v>2.329278688031531</v>
      </c>
      <c r="Z1110" s="6" t="n">
        <v>-0.6693129841610299</v>
      </c>
      <c r="AA1110" s="6" t="n">
        <v>1.153781512606613</v>
      </c>
      <c r="AB1110" s="6" t="n">
        <v>-0.7801326940666723</v>
      </c>
      <c r="AC1110" s="6" t="n">
        <v>-0.1893449639797888</v>
      </c>
      <c r="AD1110" s="6" t="n">
        <v>-2.850138618993413</v>
      </c>
      <c r="AE1110" s="6" t="n">
        <v>-1.243856323385774</v>
      </c>
      <c r="AF1110" s="6" t="n">
        <v>-2.74326651489826</v>
      </c>
      <c r="AG1110" s="6" t="n">
        <v>3.94253641742859</v>
      </c>
      <c r="AH1110" s="6" t="n">
        <v>-0.2796010559108932</v>
      </c>
      <c r="AI1110" s="6" t="n">
        <v>0.2032195360923257</v>
      </c>
      <c r="AJ1110" s="6" t="n">
        <v>67.42668962258415</v>
      </c>
      <c r="AK1110" s="6" t="n">
        <v>0.1678914712357959</v>
      </c>
      <c r="AL1110" s="6" t="n">
        <v>1.054421914437109</v>
      </c>
      <c r="AN1110" s="6" t="n">
        <v>1.326687142538749</v>
      </c>
      <c r="AO1110" s="6" t="n">
        <v>1.332018713640982</v>
      </c>
      <c r="AP1110" s="6" t="n">
        <v>0.1306275452931777</v>
      </c>
      <c r="AQ1110" s="6" t="n">
        <v>0</v>
      </c>
      <c r="AR1110" s="6" t="n">
        <v>0</v>
      </c>
    </row>
    <row r="1111">
      <c r="D1111" t="inlineStr">
        <is>
          <t>Run 799</t>
        </is>
      </c>
      <c r="J1111" s="6" t="n">
        <v>-0.7439143907566148</v>
      </c>
      <c r="K1111" s="6" t="n">
        <v>-1.249081463889093</v>
      </c>
      <c r="L1111" s="6" t="n">
        <v>-0.6650629346295416</v>
      </c>
      <c r="M1111" s="6" t="n">
        <v>2.128307579779611</v>
      </c>
      <c r="N1111" s="6" t="n">
        <v>1.197560250816338</v>
      </c>
      <c r="O1111" s="6" t="n">
        <v>0.1560257429612519</v>
      </c>
      <c r="P1111" s="6" t="n">
        <v>-2.841574304325444</v>
      </c>
      <c r="Q1111" s="6" t="n">
        <v>1.37157967942362</v>
      </c>
      <c r="R1111" s="6" t="n">
        <v>0.4938175610550342</v>
      </c>
      <c r="S1111" s="6" t="n">
        <v>-0.4573682761674695</v>
      </c>
      <c r="T1111" s="6" t="n">
        <v>-2.203582634316027</v>
      </c>
      <c r="U1111" s="6" t="n">
        <v>-0.1470538079734284</v>
      </c>
      <c r="V1111" s="6" t="n">
        <v>1.500623939734405</v>
      </c>
      <c r="W1111" s="6" t="n">
        <v>0.4702229352311725</v>
      </c>
      <c r="X1111" s="6" t="n">
        <v>2.542784191067372</v>
      </c>
      <c r="Y1111" s="6" t="n">
        <v>1.239427778833784</v>
      </c>
      <c r="Z1111" s="6" t="n">
        <v>0.6990798110322763</v>
      </c>
      <c r="AA1111" s="6" t="n">
        <v>-0.3744212173630237</v>
      </c>
      <c r="AB1111" s="6" t="n">
        <v>2.525965206447073</v>
      </c>
      <c r="AC1111" s="6" t="n">
        <v>1.117791182292201</v>
      </c>
      <c r="AD1111" s="6" t="n">
        <v>-0.5326825030871621</v>
      </c>
      <c r="AE1111" s="6" t="n">
        <v>-3.281887408902988</v>
      </c>
      <c r="AF1111" s="6" t="n">
        <v>-0.6983554291899547</v>
      </c>
      <c r="AG1111" s="6" t="n">
        <v>-0.8530826840876479</v>
      </c>
      <c r="AH1111" s="6" t="n">
        <v>-1.34474308373295</v>
      </c>
      <c r="AI1111" s="6" t="n">
        <v>-2.261072625231279</v>
      </c>
      <c r="AJ1111" s="6" t="n">
        <v>75.90485793029498</v>
      </c>
      <c r="AK1111" s="6" t="n">
        <v>0.1124787116185652</v>
      </c>
      <c r="AL1111" s="6" t="n">
        <v>1.052128645051486</v>
      </c>
      <c r="AN1111" s="6" t="n">
        <v>1.34724250011655</v>
      </c>
      <c r="AO1111" s="6" t="n">
        <v>1.347493509134599</v>
      </c>
      <c r="AP1111" s="6" t="n">
        <v>0.1329067575046912</v>
      </c>
      <c r="AQ1111" s="6" t="n">
        <v>0</v>
      </c>
      <c r="AR1111" s="6" t="n">
        <v>0</v>
      </c>
    </row>
    <row r="1112">
      <c r="D1112" t="inlineStr">
        <is>
          <t>Run 800</t>
        </is>
      </c>
      <c r="J1112" s="6" t="n">
        <v>-1.417103363329467</v>
      </c>
      <c r="K1112" s="6" t="n">
        <v>-2.052124409196689</v>
      </c>
      <c r="L1112" s="6" t="n">
        <v>0.1512221970094904</v>
      </c>
      <c r="M1112" s="6" t="n">
        <v>0.5081224537468476</v>
      </c>
      <c r="N1112" s="6" t="n">
        <v>-0.4457742932933447</v>
      </c>
      <c r="O1112" s="6" t="n">
        <v>0.5656335548554592</v>
      </c>
      <c r="P1112" s="6" t="n">
        <v>0.2572638036067187</v>
      </c>
      <c r="Q1112" s="6" t="n">
        <v>-0.568278993711959</v>
      </c>
      <c r="R1112" s="6" t="n">
        <v>-2.329921679497927</v>
      </c>
      <c r="S1112" s="6" t="n">
        <v>-2.264675645485458</v>
      </c>
      <c r="T1112" s="6" t="n">
        <v>1.066228062582474</v>
      </c>
      <c r="U1112" s="6" t="n">
        <v>-1.054805944284274</v>
      </c>
      <c r="V1112" s="6" t="n">
        <v>-0.2326864014863473</v>
      </c>
      <c r="W1112" s="6" t="n">
        <v>-1.676474530660882</v>
      </c>
      <c r="X1112" s="6" t="n">
        <v>0.732156558495746</v>
      </c>
      <c r="Y1112" s="6" t="n">
        <v>-1.901308292839729</v>
      </c>
      <c r="Z1112" s="6" t="n">
        <v>2.402302063436321</v>
      </c>
      <c r="AA1112" s="6" t="n">
        <v>-1.314206336330355</v>
      </c>
      <c r="AB1112" s="6" t="n">
        <v>-3.527396506671557</v>
      </c>
      <c r="AC1112" s="6" t="n">
        <v>2.447247397342955</v>
      </c>
      <c r="AD1112" s="6" t="n">
        <v>2.838706520649755</v>
      </c>
      <c r="AE1112" s="6" t="n">
        <v>0.7875849392633316</v>
      </c>
      <c r="AF1112" s="6" t="n">
        <v>-1.52511821799028</v>
      </c>
      <c r="AG1112" s="6" t="n">
        <v>1.052977644327163</v>
      </c>
      <c r="AH1112" s="6" t="n">
        <v>-0.02019934745352639</v>
      </c>
      <c r="AI1112" s="6" t="n">
        <v>-3.524230557088454</v>
      </c>
      <c r="AJ1112" s="6" t="n">
        <v>72.46216506894253</v>
      </c>
      <c r="AK1112" s="6" t="n">
        <v>0.0822514173972904</v>
      </c>
      <c r="AL1112" s="6" t="n">
        <v>1.030961614184818</v>
      </c>
      <c r="AN1112" s="6" t="n">
        <v>1.353230485289405</v>
      </c>
      <c r="AO1112" s="6" t="n">
        <v>1.353230485289405</v>
      </c>
      <c r="AP1112" s="6" t="n">
        <v>0.1352675821849324</v>
      </c>
      <c r="AQ1112" s="6" t="n">
        <v>0</v>
      </c>
      <c r="AR1112" s="6" t="n">
        <v>0</v>
      </c>
    </row>
    <row r="1113">
      <c r="D1113" t="inlineStr">
        <is>
          <t>Run 801</t>
        </is>
      </c>
      <c r="J1113" s="6" t="n">
        <v>0.1220791620507081</v>
      </c>
      <c r="K1113" s="6" t="n">
        <v>-0.8558687710582369</v>
      </c>
      <c r="L1113" s="6" t="n">
        <v>-1.458174991448456</v>
      </c>
      <c r="M1113" s="6" t="n">
        <v>-2.111436659061582</v>
      </c>
      <c r="N1113" s="6" t="n">
        <v>-1.780057866037655</v>
      </c>
      <c r="O1113" s="6" t="n">
        <v>1.693652929634915</v>
      </c>
      <c r="P1113" s="6" t="n">
        <v>-1.7333851072128</v>
      </c>
      <c r="Q1113" s="6" t="n">
        <v>0.4240182056968921</v>
      </c>
      <c r="R1113" s="6" t="n">
        <v>-1.060563910024093</v>
      </c>
      <c r="S1113" s="6" t="n">
        <v>-1.025588286309952</v>
      </c>
      <c r="T1113" s="6" t="n">
        <v>0.2505557875264816</v>
      </c>
      <c r="U1113" s="6" t="n">
        <v>-2.359186569056337</v>
      </c>
      <c r="V1113" s="6" t="n">
        <v>3.159133654749624</v>
      </c>
      <c r="W1113" s="6" t="n">
        <v>-3.678439110163816</v>
      </c>
      <c r="X1113" s="6" t="n">
        <v>-0.9683011817091292</v>
      </c>
      <c r="Y1113" s="6" t="n">
        <v>0.09325485174923616</v>
      </c>
      <c r="Z1113" s="6" t="n">
        <v>-0.5208837976704754</v>
      </c>
      <c r="AA1113" s="6" t="n">
        <v>0.6638549127312617</v>
      </c>
      <c r="AB1113" s="6" t="n">
        <v>-3.526716340938627</v>
      </c>
      <c r="AC1113" s="6" t="n">
        <v>1.673949993650126</v>
      </c>
      <c r="AD1113" s="6" t="n">
        <v>0.9866733722808573</v>
      </c>
      <c r="AE1113" s="6" t="n">
        <v>-1.380669458004627</v>
      </c>
      <c r="AF1113" s="6" t="n">
        <v>2.080848979598402</v>
      </c>
      <c r="AG1113" s="6" t="n">
        <v>-1.813317955704087</v>
      </c>
      <c r="AH1113" s="6" t="n">
        <v>2.485595746500609</v>
      </c>
      <c r="AI1113" s="6" t="n">
        <v>-2.163581035064349</v>
      </c>
      <c r="AJ1113" s="6" t="n">
        <v>75.87741324989683</v>
      </c>
      <c r="AK1113" s="6" t="n">
        <v>0.104167403268847</v>
      </c>
      <c r="AL1113" s="6" t="n">
        <v>1.008234684334246</v>
      </c>
      <c r="AN1113" s="6" t="n">
        <v>1.347484948331342</v>
      </c>
      <c r="AO1113" s="6" t="n">
        <v>1.353511439786986</v>
      </c>
      <c r="AP1113" s="6" t="n">
        <v>0.138060306759642</v>
      </c>
      <c r="AQ1113" s="6" t="n">
        <v>0</v>
      </c>
      <c r="AR1113" s="6" t="n">
        <v>0</v>
      </c>
    </row>
    <row r="1114">
      <c r="D1114" t="inlineStr">
        <is>
          <t>Run 802</t>
        </is>
      </c>
      <c r="J1114" s="6" t="n">
        <v>0.7300456621243931</v>
      </c>
      <c r="K1114" s="6" t="n">
        <v>-2.776037500180036</v>
      </c>
      <c r="L1114" s="6" t="n">
        <v>1.408146143088842</v>
      </c>
      <c r="M1114" s="6" t="n">
        <v>-0.5269239644431308</v>
      </c>
      <c r="N1114" s="6" t="n">
        <v>2.501430157626272</v>
      </c>
      <c r="O1114" s="6" t="n">
        <v>-3.259011485654541</v>
      </c>
      <c r="P1114" s="6" t="n">
        <v>0.8378761527777535</v>
      </c>
      <c r="Q1114" s="6" t="n">
        <v>0.2358825809507621</v>
      </c>
      <c r="R1114" s="6" t="n">
        <v>0.5540935851112752</v>
      </c>
      <c r="S1114" s="6" t="n">
        <v>-2.886903984324603</v>
      </c>
      <c r="T1114" s="6" t="n">
        <v>0.0500805855209657</v>
      </c>
      <c r="U1114" s="6" t="n">
        <v>-0.5890308577602814</v>
      </c>
      <c r="V1114" s="6" t="n">
        <v>0.06979764904125409</v>
      </c>
      <c r="W1114" s="6" t="n">
        <v>-0.5429041116639967</v>
      </c>
      <c r="X1114" s="6" t="n">
        <v>-2.258242816032219</v>
      </c>
      <c r="Y1114" s="6" t="n">
        <v>-1.105143810995501</v>
      </c>
      <c r="Z1114" s="6" t="n">
        <v>0.0003565690560074625</v>
      </c>
      <c r="AA1114" s="6" t="n">
        <v>-1.467541154456842</v>
      </c>
      <c r="AB1114" s="6" t="n">
        <v>-1.588535809873577</v>
      </c>
      <c r="AC1114" s="6" t="n">
        <v>-0.2049333679628357</v>
      </c>
      <c r="AD1114" s="6" t="n">
        <v>-3.003221030655646</v>
      </c>
      <c r="AE1114" s="6" t="n">
        <v>2.291259467437145</v>
      </c>
      <c r="AF1114" s="6" t="n">
        <v>-1.703509220365113</v>
      </c>
      <c r="AG1114" s="6" t="n">
        <v>0.8282038559657662</v>
      </c>
      <c r="AH1114" s="6" t="n">
        <v>4.586138505849663</v>
      </c>
      <c r="AI1114" s="6" t="n">
        <v>2.464113683949024</v>
      </c>
      <c r="AJ1114" s="6" t="n">
        <v>76.71888042360401</v>
      </c>
      <c r="AK1114" s="6" t="n">
        <v>0.1271109355279741</v>
      </c>
      <c r="AL1114" s="6" t="n">
        <v>1.055179725443411</v>
      </c>
      <c r="AN1114" s="6" t="n">
        <v>1.34743319468424</v>
      </c>
      <c r="AO1114" s="6" t="n">
        <v>1.347606140040965</v>
      </c>
      <c r="AP1114" s="6" t="n">
        <v>0.1322619672235768</v>
      </c>
      <c r="AQ1114" s="6" t="n">
        <v>0</v>
      </c>
      <c r="AR1114" s="6" t="n">
        <v>0</v>
      </c>
    </row>
    <row r="1115">
      <c r="D1115" t="inlineStr">
        <is>
          <t>Run 803</t>
        </is>
      </c>
      <c r="J1115" s="6" t="n">
        <v>0.5286815766904002</v>
      </c>
      <c r="K1115" s="6" t="n">
        <v>-3.646412668753228</v>
      </c>
      <c r="L1115" s="6" t="n">
        <v>-0.4236993448635947</v>
      </c>
      <c r="M1115" s="6" t="n">
        <v>-2.427866791353524</v>
      </c>
      <c r="N1115" s="6" t="n">
        <v>-1.066310713022159</v>
      </c>
      <c r="O1115" s="6" t="n">
        <v>-0.006323594164467305</v>
      </c>
      <c r="P1115" s="6" t="n">
        <v>3.631745360759815</v>
      </c>
      <c r="Q1115" s="6" t="n">
        <v>-1.115113338118003</v>
      </c>
      <c r="R1115" s="6" t="n">
        <v>0.2150735961193092</v>
      </c>
      <c r="S1115" s="6" t="n">
        <v>2.168780904943952</v>
      </c>
      <c r="T1115" s="6" t="n">
        <v>-1.821782717306859</v>
      </c>
      <c r="U1115" s="6" t="n">
        <v>-1.098061764736188</v>
      </c>
      <c r="V1115" s="6" t="n">
        <v>-2.124321546763364</v>
      </c>
      <c r="W1115" s="6" t="n">
        <v>-0.2712187187534771</v>
      </c>
      <c r="X1115" s="6" t="n">
        <v>-1.885184959693211</v>
      </c>
      <c r="Y1115" s="6" t="n">
        <v>-0.3771519573567697</v>
      </c>
      <c r="Z1115" s="6" t="n">
        <v>-0.4749393833357071</v>
      </c>
      <c r="AA1115" s="6" t="n">
        <v>2.843374609893811</v>
      </c>
      <c r="AB1115" s="6" t="n">
        <v>-1.435699133429417</v>
      </c>
      <c r="AC1115" s="6" t="n">
        <v>-0.5886273847375006</v>
      </c>
      <c r="AD1115" s="6" t="n">
        <v>-0.6371438080538794</v>
      </c>
      <c r="AE1115" s="6" t="n">
        <v>1.360494852891224</v>
      </c>
      <c r="AF1115" s="6" t="n">
        <v>0.3321889813990048</v>
      </c>
      <c r="AG1115" s="6" t="n">
        <v>-1.198253245294604</v>
      </c>
      <c r="AH1115" s="6" t="n">
        <v>-0.3990553242144476</v>
      </c>
      <c r="AI1115" s="6" t="n">
        <v>1.754534089474346</v>
      </c>
      <c r="AJ1115" s="6" t="n">
        <v>79.32649586432451</v>
      </c>
      <c r="AK1115" s="6" t="n">
        <v>0.124257584880942</v>
      </c>
      <c r="AL1115" s="6" t="n">
        <v>1.080253078114336</v>
      </c>
      <c r="AN1115" s="6" t="n">
        <v>1.319322887206167</v>
      </c>
      <c r="AO1115" s="6" t="n">
        <v>1.325592292396401</v>
      </c>
      <c r="AP1115" s="6" t="n">
        <v>0.1301749340971994</v>
      </c>
      <c r="AQ1115" s="6" t="n">
        <v>0</v>
      </c>
      <c r="AR1115" s="6" t="n">
        <v>0</v>
      </c>
    </row>
    <row r="1116">
      <c r="D1116" t="inlineStr">
        <is>
          <t>Run 804</t>
        </is>
      </c>
      <c r="J1116" s="6" t="n">
        <v>-2.103390088701167</v>
      </c>
      <c r="K1116" s="6" t="n">
        <v>1.331617754044529</v>
      </c>
      <c r="L1116" s="6" t="n">
        <v>0.3600314124152925</v>
      </c>
      <c r="M1116" s="6" t="n">
        <v>-1.800855623665497</v>
      </c>
      <c r="N1116" s="6" t="n">
        <v>1.546703737974597</v>
      </c>
      <c r="O1116" s="6" t="n">
        <v>0.5387633430002433</v>
      </c>
      <c r="P1116" s="6" t="n">
        <v>1.418845510648565</v>
      </c>
      <c r="Q1116" s="6" t="n">
        <v>0.9683378943449963</v>
      </c>
      <c r="R1116" s="6" t="n">
        <v>1.319285793732269</v>
      </c>
      <c r="S1116" s="6" t="n">
        <v>0.9253317373876736</v>
      </c>
      <c r="T1116" s="6" t="n">
        <v>-1.203688135874293</v>
      </c>
      <c r="U1116" s="6" t="n">
        <v>0.5638494199654978</v>
      </c>
      <c r="V1116" s="6" t="n">
        <v>-0.474336907458684</v>
      </c>
      <c r="W1116" s="6" t="n">
        <v>-0.977959675138128</v>
      </c>
      <c r="X1116" s="6" t="n">
        <v>-3.215440011358476</v>
      </c>
      <c r="Y1116" s="6" t="n">
        <v>2.111237582054966</v>
      </c>
      <c r="Z1116" s="6" t="n">
        <v>0.1965158952412122</v>
      </c>
      <c r="AA1116" s="6" t="n">
        <v>-1.437738661974862</v>
      </c>
      <c r="AB1116" s="6" t="n">
        <v>0.6092903816634763</v>
      </c>
      <c r="AC1116" s="6" t="n">
        <v>-0.1914659222617812</v>
      </c>
      <c r="AD1116" s="6" t="n">
        <v>1.720432743580861</v>
      </c>
      <c r="AE1116" s="6" t="n">
        <v>2.670311810786099</v>
      </c>
      <c r="AF1116" s="6" t="n">
        <v>-5.2347748785279</v>
      </c>
      <c r="AG1116" s="6" t="n">
        <v>0.8678219224263982</v>
      </c>
      <c r="AH1116" s="6" t="n">
        <v>0.09208505600352362</v>
      </c>
      <c r="AI1116" s="6" t="n">
        <v>0.1556260363428663</v>
      </c>
      <c r="AJ1116" s="6" t="n">
        <v>75.18396244493555</v>
      </c>
      <c r="AK1116" s="6" t="n">
        <v>0.1442574540369256</v>
      </c>
      <c r="AL1116" s="6" t="n">
        <v>1.067487176211568</v>
      </c>
      <c r="AN1116" s="6" t="n">
        <v>1.329133387541062</v>
      </c>
      <c r="AO1116" s="6" t="n">
        <v>1.333601696048876</v>
      </c>
      <c r="AP1116" s="6" t="n">
        <v>0.1306365288050322</v>
      </c>
      <c r="AQ1116" s="6" t="n">
        <v>0</v>
      </c>
      <c r="AR1116" s="6" t="n">
        <v>0</v>
      </c>
    </row>
    <row r="1117">
      <c r="D1117" t="inlineStr">
        <is>
          <t>Run 805</t>
        </is>
      </c>
      <c r="J1117" s="6" t="n">
        <v>0.8987417228745239</v>
      </c>
      <c r="K1117" s="6" t="n">
        <v>-3.09390636275142</v>
      </c>
      <c r="L1117" s="6" t="n">
        <v>1.608571472889767</v>
      </c>
      <c r="M1117" s="6" t="n">
        <v>0.6867719529416531</v>
      </c>
      <c r="N1117" s="6" t="n">
        <v>-0.3282151317298059</v>
      </c>
      <c r="O1117" s="6" t="n">
        <v>-1.829376392962295</v>
      </c>
      <c r="P1117" s="6" t="n">
        <v>2.111207974783422</v>
      </c>
      <c r="Q1117" s="6" t="n">
        <v>0.7087379429296934</v>
      </c>
      <c r="R1117" s="6" t="n">
        <v>-1.728072697551496</v>
      </c>
      <c r="S1117" s="6" t="n">
        <v>3.408221133585647</v>
      </c>
      <c r="T1117" s="6" t="n">
        <v>1.939096403872722</v>
      </c>
      <c r="U1117" s="6" t="n">
        <v>-2.002369577497142</v>
      </c>
      <c r="V1117" s="6" t="n">
        <v>0.1801161776680833</v>
      </c>
      <c r="W1117" s="6" t="n">
        <v>0.01330554190592209</v>
      </c>
      <c r="X1117" s="6" t="n">
        <v>2.542814211823339</v>
      </c>
      <c r="Y1117" s="6" t="n">
        <v>2.855425370525961</v>
      </c>
      <c r="Z1117" s="6" t="n">
        <v>0.02246826971643455</v>
      </c>
      <c r="AA1117" s="6" t="n">
        <v>-0.2897486031139128</v>
      </c>
      <c r="AB1117" s="6" t="n">
        <v>-1.049380271999183</v>
      </c>
      <c r="AC1117" s="6" t="n">
        <v>-3.157117484020832</v>
      </c>
      <c r="AD1117" s="6" t="n">
        <v>0.8262875421745135</v>
      </c>
      <c r="AE1117" s="6" t="n">
        <v>1.366262330475336</v>
      </c>
      <c r="AF1117" s="6" t="n">
        <v>2.203521379390121</v>
      </c>
      <c r="AG1117" s="6" t="n">
        <v>2.050271187381884</v>
      </c>
      <c r="AH1117" s="6" t="n">
        <v>3.620994938738618</v>
      </c>
      <c r="AI1117" s="6" t="n">
        <v>2.36805184923309</v>
      </c>
      <c r="AJ1117" s="6" t="n">
        <v>74.43100250317968</v>
      </c>
      <c r="AK1117" s="6" t="n">
        <v>0.1395501146753905</v>
      </c>
      <c r="AL1117" s="6" t="n">
        <v>1.029858869060027</v>
      </c>
      <c r="AN1117" s="6" t="n">
        <v>1.351016734228761</v>
      </c>
      <c r="AO1117" s="6" t="n">
        <v>1.351016734228761</v>
      </c>
      <c r="AP1117" s="6" t="n">
        <v>0.1342443002174118</v>
      </c>
      <c r="AQ1117" s="6" t="n">
        <v>0</v>
      </c>
      <c r="AR1117" s="6" t="n">
        <v>0</v>
      </c>
    </row>
    <row r="1118">
      <c r="D1118" t="inlineStr">
        <is>
          <t>Run 806</t>
        </is>
      </c>
      <c r="J1118" s="6" t="n">
        <v>-1.180096979205325</v>
      </c>
      <c r="K1118" s="6" t="n">
        <v>-1.994971829148868</v>
      </c>
      <c r="L1118" s="6" t="n">
        <v>1.091540970262064</v>
      </c>
      <c r="M1118" s="6" t="n">
        <v>0.2787733573753511</v>
      </c>
      <c r="N1118" s="6" t="n">
        <v>-0.07101306680466352</v>
      </c>
      <c r="O1118" s="6" t="n">
        <v>-3.614413288902866</v>
      </c>
      <c r="P1118" s="6" t="n">
        <v>-0.9129812980118149</v>
      </c>
      <c r="Q1118" s="6" t="n">
        <v>0.39586253914869</v>
      </c>
      <c r="R1118" s="6" t="n">
        <v>1.497229288505528</v>
      </c>
      <c r="S1118" s="6" t="n">
        <v>-2.508096629044505</v>
      </c>
      <c r="T1118" s="6" t="n">
        <v>0.5845634418021459</v>
      </c>
      <c r="U1118" s="6" t="n">
        <v>-0.06284403579496475</v>
      </c>
      <c r="V1118" s="6" t="n">
        <v>1.029995979427166</v>
      </c>
      <c r="W1118" s="6" t="n">
        <v>3.217271406219472</v>
      </c>
      <c r="X1118" s="6" t="n">
        <v>0.5042540240158055</v>
      </c>
      <c r="Y1118" s="6" t="n">
        <v>2.810600191380886</v>
      </c>
      <c r="Z1118" s="6" t="n">
        <v>1.009890022942254</v>
      </c>
      <c r="AA1118" s="6" t="n">
        <v>0.3010958111629507</v>
      </c>
      <c r="AB1118" s="6" t="n">
        <v>-0.185069142259757</v>
      </c>
      <c r="AC1118" s="6" t="n">
        <v>4.804138718074953</v>
      </c>
      <c r="AD1118" s="6" t="n">
        <v>0.6578104420351829</v>
      </c>
      <c r="AE1118" s="6" t="n">
        <v>-0.749909180566203</v>
      </c>
      <c r="AF1118" s="6" t="n">
        <v>-1.439204162590245</v>
      </c>
      <c r="AG1118" s="6" t="n">
        <v>0.639349126543918</v>
      </c>
      <c r="AH1118" s="6" t="n">
        <v>-2.442503587632007</v>
      </c>
      <c r="AI1118" s="6" t="n">
        <v>0.1240255207574977</v>
      </c>
      <c r="AJ1118" s="6" t="n">
        <v>67.92489331566377</v>
      </c>
      <c r="AK1118" s="6" t="n">
        <v>0.1067641006349632</v>
      </c>
      <c r="AL1118" s="6" t="n">
        <v>1.074855367200754</v>
      </c>
      <c r="AN1118" s="6" t="n">
        <v>1.334676406826816</v>
      </c>
      <c r="AO1118" s="6" t="n">
        <v>1.337211299289595</v>
      </c>
      <c r="AP1118" s="6" t="n">
        <v>0.1308191348305088</v>
      </c>
      <c r="AQ1118" s="6" t="n">
        <v>0</v>
      </c>
      <c r="AR1118" s="6" t="n">
        <v>0</v>
      </c>
    </row>
    <row r="1119">
      <c r="D1119" t="inlineStr">
        <is>
          <t>Run 807</t>
        </is>
      </c>
      <c r="J1119" s="6" t="n">
        <v>0.2828107438789883</v>
      </c>
      <c r="K1119" s="6" t="n">
        <v>1.646125044008272</v>
      </c>
      <c r="L1119" s="6" t="n">
        <v>-2.828037559470516</v>
      </c>
      <c r="M1119" s="6" t="n">
        <v>1.073903249204061</v>
      </c>
      <c r="N1119" s="6" t="n">
        <v>-1.097249876688465</v>
      </c>
      <c r="O1119" s="6" t="n">
        <v>2.720618015813735</v>
      </c>
      <c r="P1119" s="6" t="n">
        <v>0.5725373842855841</v>
      </c>
      <c r="Q1119" s="6" t="n">
        <v>0.4249450406884673</v>
      </c>
      <c r="R1119" s="6" t="n">
        <v>1.995871191084976</v>
      </c>
      <c r="S1119" s="6" t="n">
        <v>-0.9268215763261968</v>
      </c>
      <c r="T1119" s="6" t="n">
        <v>0.5286940116058468</v>
      </c>
      <c r="U1119" s="6" t="n">
        <v>-2.072422239354885</v>
      </c>
      <c r="V1119" s="6" t="n">
        <v>-0.6634285572571719</v>
      </c>
      <c r="W1119" s="6" t="n">
        <v>0.5076079217490285</v>
      </c>
      <c r="X1119" s="6" t="n">
        <v>1.987660800780413</v>
      </c>
      <c r="Y1119" s="6" t="n">
        <v>-0.609938801821118</v>
      </c>
      <c r="Z1119" s="6" t="n">
        <v>-0.3885914679527889</v>
      </c>
      <c r="AA1119" s="6" t="n">
        <v>-0.7494130666556875</v>
      </c>
      <c r="AB1119" s="6" t="n">
        <v>2.101935706570726</v>
      </c>
      <c r="AC1119" s="6" t="n">
        <v>-2.861288513726166</v>
      </c>
      <c r="AD1119" s="6" t="n">
        <v>-2.574153901862769</v>
      </c>
      <c r="AE1119" s="6" t="n">
        <v>1.90854939079209</v>
      </c>
      <c r="AF1119" s="6" t="n">
        <v>0.6928587284476116</v>
      </c>
      <c r="AG1119" s="6" t="n">
        <v>-0.2674447079194431</v>
      </c>
      <c r="AH1119" s="6" t="n">
        <v>0.8364721148846969</v>
      </c>
      <c r="AI1119" s="6" t="n">
        <v>0.3046959858381956</v>
      </c>
      <c r="AJ1119" s="6" t="n">
        <v>70.37500036789565</v>
      </c>
      <c r="AK1119" s="6" t="n">
        <v>0.1940417726792974</v>
      </c>
      <c r="AL1119" s="6" t="n">
        <v>1.037923413459796</v>
      </c>
      <c r="AN1119" s="6" t="n">
        <v>1.342295895769723</v>
      </c>
      <c r="AO1119" s="6" t="n">
        <v>1.3423781521706</v>
      </c>
      <c r="AP1119" s="6" t="n">
        <v>0.1316506256115367</v>
      </c>
      <c r="AQ1119" s="6" t="n">
        <v>0</v>
      </c>
      <c r="AR1119" s="6" t="n">
        <v>0</v>
      </c>
    </row>
    <row r="1120">
      <c r="D1120" t="inlineStr">
        <is>
          <t>Run 808</t>
        </is>
      </c>
      <c r="J1120" s="6" t="n">
        <v>-2.179069846468411</v>
      </c>
      <c r="K1120" s="6" t="n">
        <v>1.118340155555606</v>
      </c>
      <c r="L1120" s="6" t="n">
        <v>0.4528232382334741</v>
      </c>
      <c r="M1120" s="6" t="n">
        <v>-1.665134073774259</v>
      </c>
      <c r="N1120" s="6" t="n">
        <v>-1.5351289261884</v>
      </c>
      <c r="O1120" s="6" t="n">
        <v>-1.68046885644492</v>
      </c>
      <c r="P1120" s="6" t="n">
        <v>-2.335438266835557</v>
      </c>
      <c r="Q1120" s="6" t="n">
        <v>-0.6796558105395583</v>
      </c>
      <c r="R1120" s="6" t="n">
        <v>-2.258545914524221</v>
      </c>
      <c r="S1120" s="6" t="n">
        <v>-4.120253813605455</v>
      </c>
      <c r="T1120" s="6" t="n">
        <v>-0.2069914048056665</v>
      </c>
      <c r="U1120" s="6" t="n">
        <v>2.455610133776864</v>
      </c>
      <c r="V1120" s="6" t="n">
        <v>3.930739724255803</v>
      </c>
      <c r="W1120" s="6" t="n">
        <v>-5.117607156124405</v>
      </c>
      <c r="X1120" s="6" t="n">
        <v>4.234789590136881</v>
      </c>
      <c r="Y1120" s="6" t="n">
        <v>-2.128727220527543</v>
      </c>
      <c r="Z1120" s="6" t="n">
        <v>-0.7612656679282069</v>
      </c>
      <c r="AA1120" s="6" t="n">
        <v>-2.436990865452358</v>
      </c>
      <c r="AB1120" s="6" t="n">
        <v>-0.4363362348084235</v>
      </c>
      <c r="AC1120" s="6" t="n">
        <v>-0.4016436886562139</v>
      </c>
      <c r="AD1120" s="6" t="n">
        <v>-1.430899313852207</v>
      </c>
      <c r="AE1120" s="6" t="n">
        <v>3.384093750998282</v>
      </c>
      <c r="AF1120" s="6" t="n">
        <v>0.9426023346436985</v>
      </c>
      <c r="AG1120" s="6" t="n">
        <v>0.3447346411150017</v>
      </c>
      <c r="AH1120" s="6" t="n">
        <v>1.246887561163341</v>
      </c>
      <c r="AI1120" s="6" t="n">
        <v>-0.5855794313505871</v>
      </c>
      <c r="AJ1120" s="6" t="n">
        <v>75.71682782192732</v>
      </c>
      <c r="AK1120" s="6" t="n">
        <v>0.1303940750422591</v>
      </c>
      <c r="AL1120" s="6" t="n">
        <v>0.9908618278259915</v>
      </c>
      <c r="AN1120" s="6" t="n">
        <v>1.360070287744048</v>
      </c>
      <c r="AO1120" s="6" t="n">
        <v>1.362303896378114</v>
      </c>
      <c r="AP1120" s="6" t="n">
        <v>0.1405170797633081</v>
      </c>
      <c r="AQ1120" s="6" t="n">
        <v>0</v>
      </c>
      <c r="AR1120" s="6" t="n">
        <v>0</v>
      </c>
    </row>
    <row r="1121">
      <c r="D1121" t="inlineStr">
        <is>
          <t>Run 809</t>
        </is>
      </c>
      <c r="J1121" s="6" t="n">
        <v>0.1645863839866615</v>
      </c>
      <c r="K1121" s="6" t="n">
        <v>-1.161899383953917</v>
      </c>
      <c r="L1121" s="6" t="n">
        <v>-0.5260736989578557</v>
      </c>
      <c r="M1121" s="6" t="n">
        <v>-4.285779421820465</v>
      </c>
      <c r="N1121" s="6" t="n">
        <v>2.929818688364903</v>
      </c>
      <c r="O1121" s="6" t="n">
        <v>-0.2481430201355332</v>
      </c>
      <c r="P1121" s="6" t="n">
        <v>0.2422053007752263</v>
      </c>
      <c r="Q1121" s="6" t="n">
        <v>2.374999324537942</v>
      </c>
      <c r="R1121" s="6" t="n">
        <v>-4.195331818071539</v>
      </c>
      <c r="S1121" s="6" t="n">
        <v>-0.9308166947428265</v>
      </c>
      <c r="T1121" s="6" t="n">
        <v>-0.5326509296503814</v>
      </c>
      <c r="U1121" s="6" t="n">
        <v>-1.990856319343409</v>
      </c>
      <c r="V1121" s="6" t="n">
        <v>-0.6817960787846102</v>
      </c>
      <c r="W1121" s="6" t="n">
        <v>-3.951076812587544</v>
      </c>
      <c r="X1121" s="6" t="n">
        <v>-2.63235049610054</v>
      </c>
      <c r="Y1121" s="6" t="n">
        <v>2.067194246646828</v>
      </c>
      <c r="Z1121" s="6" t="n">
        <v>-0.8853899762635097</v>
      </c>
      <c r="AA1121" s="6" t="n">
        <v>0.7793275135057903</v>
      </c>
      <c r="AB1121" s="6" t="n">
        <v>-0.118652180556844</v>
      </c>
      <c r="AC1121" s="6" t="n">
        <v>0.4282636983950719</v>
      </c>
      <c r="AD1121" s="6" t="n">
        <v>-0.8882653606624793</v>
      </c>
      <c r="AE1121" s="6" t="n">
        <v>1.105748590489473</v>
      </c>
      <c r="AF1121" s="6" t="n">
        <v>1.202564940642868</v>
      </c>
      <c r="AG1121" s="6" t="n">
        <v>-1.734762887983417</v>
      </c>
      <c r="AH1121" s="6" t="n">
        <v>-2.317665659210432</v>
      </c>
      <c r="AI1121" s="6" t="n">
        <v>4.765050360489075</v>
      </c>
      <c r="AJ1121" s="6" t="n">
        <v>62.89158909385171</v>
      </c>
      <c r="AK1121" s="6" t="n">
        <v>0.134752342777394</v>
      </c>
      <c r="AL1121" s="6" t="n">
        <v>1.037295778847606</v>
      </c>
      <c r="AN1121" s="6" t="n">
        <v>1.297649079757087</v>
      </c>
      <c r="AO1121" s="6" t="n">
        <v>1.314031758667147</v>
      </c>
      <c r="AP1121" s="6" t="n">
        <v>0.132213309888005</v>
      </c>
      <c r="AQ1121" s="6" t="n">
        <v>0</v>
      </c>
      <c r="AR1121" s="6" t="n">
        <v>0</v>
      </c>
    </row>
    <row r="1122">
      <c r="D1122" t="inlineStr">
        <is>
          <t>Run 810</t>
        </is>
      </c>
      <c r="J1122" s="6" t="n">
        <v>-1.314893345624614</v>
      </c>
      <c r="K1122" s="6" t="n">
        <v>0.402518894361905</v>
      </c>
      <c r="L1122" s="6" t="n">
        <v>1.36959591143915</v>
      </c>
      <c r="M1122" s="6" t="n">
        <v>-1.517733710993487</v>
      </c>
      <c r="N1122" s="6" t="n">
        <v>-1.991956968723481</v>
      </c>
      <c r="O1122" s="6" t="n">
        <v>1.398043336457224</v>
      </c>
      <c r="P1122" s="6" t="n">
        <v>2.794458465093045</v>
      </c>
      <c r="Q1122" s="6" t="n">
        <v>-1.371287599521057</v>
      </c>
      <c r="R1122" s="6" t="n">
        <v>0.5876936606202572</v>
      </c>
      <c r="S1122" s="6" t="n">
        <v>-1.258336608879826</v>
      </c>
      <c r="T1122" s="6" t="n">
        <v>-0.1498872947791213</v>
      </c>
      <c r="U1122" s="6" t="n">
        <v>3.244799930295628</v>
      </c>
      <c r="V1122" s="6" t="n">
        <v>1.635823600425546</v>
      </c>
      <c r="W1122" s="6" t="n">
        <v>2.674857485670171</v>
      </c>
      <c r="X1122" s="6" t="n">
        <v>0.007233883164301113</v>
      </c>
      <c r="Y1122" s="6" t="n">
        <v>0.047259162594334</v>
      </c>
      <c r="Z1122" s="6" t="n">
        <v>-0.7502113929753578</v>
      </c>
      <c r="AA1122" s="6" t="n">
        <v>0.2145827731202024</v>
      </c>
      <c r="AB1122" s="6" t="n">
        <v>-1.369713826348129</v>
      </c>
      <c r="AC1122" s="6" t="n">
        <v>-1.410467767780833</v>
      </c>
      <c r="AD1122" s="6" t="n">
        <v>-1.394406296156758</v>
      </c>
      <c r="AE1122" s="6" t="n">
        <v>-2.433180424676031</v>
      </c>
      <c r="AF1122" s="6" t="n">
        <v>-1.076540850980115</v>
      </c>
      <c r="AG1122" s="6" t="n">
        <v>1.510087436688931</v>
      </c>
      <c r="AH1122" s="6" t="n">
        <v>-0.604238679626009</v>
      </c>
      <c r="AI1122" s="6" t="n">
        <v>-1.162293504878299</v>
      </c>
      <c r="AJ1122" s="6" t="n">
        <v>74.05224900225325</v>
      </c>
      <c r="AK1122" s="6" t="n">
        <v>0.09249904837307862</v>
      </c>
      <c r="AL1122" s="6" t="n">
        <v>1.032779232383949</v>
      </c>
      <c r="AN1122" s="6" t="n">
        <v>1.346702976784147</v>
      </c>
      <c r="AO1122" s="6" t="n">
        <v>1.351235756217436</v>
      </c>
      <c r="AP1122" s="6" t="n">
        <v>0.13479536865986</v>
      </c>
      <c r="AQ1122" s="6" t="n">
        <v>0</v>
      </c>
      <c r="AR1122" s="6" t="n">
        <v>0</v>
      </c>
    </row>
    <row r="1123">
      <c r="D1123" t="inlineStr">
        <is>
          <t>Run 811</t>
        </is>
      </c>
      <c r="J1123" s="6" t="n">
        <v>-3.137566768052422</v>
      </c>
      <c r="K1123" s="6" t="n">
        <v>-1.331902907686077</v>
      </c>
      <c r="L1123" s="6" t="n">
        <v>0.2464051867220241</v>
      </c>
      <c r="M1123" s="6" t="n">
        <v>0.8596615274755314</v>
      </c>
      <c r="N1123" s="6" t="n">
        <v>-1.360468842567008</v>
      </c>
      <c r="O1123" s="6" t="n">
        <v>-1.705849876200036</v>
      </c>
      <c r="P1123" s="6" t="n">
        <v>-2.044116875736167</v>
      </c>
      <c r="Q1123" s="6" t="n">
        <v>-1.051947433640528</v>
      </c>
      <c r="R1123" s="6" t="n">
        <v>-1.834520024328422</v>
      </c>
      <c r="S1123" s="6" t="n">
        <v>0.1350145912153046</v>
      </c>
      <c r="T1123" s="6" t="n">
        <v>-1.196110667541578</v>
      </c>
      <c r="U1123" s="6" t="n">
        <v>-1.534483085876087</v>
      </c>
      <c r="V1123" s="6" t="n">
        <v>-1.078011012024739</v>
      </c>
      <c r="W1123" s="6" t="n">
        <v>-0.577517411076432</v>
      </c>
      <c r="X1123" s="6" t="n">
        <v>0.5765908249300372</v>
      </c>
      <c r="Y1123" s="6" t="n">
        <v>-0.3905142428354754</v>
      </c>
      <c r="Z1123" s="6" t="n">
        <v>0.3954516242131092</v>
      </c>
      <c r="AA1123" s="6" t="n">
        <v>-3.03806148528015</v>
      </c>
      <c r="AB1123" s="6" t="n">
        <v>4.635590636622823</v>
      </c>
      <c r="AC1123" s="6" t="n">
        <v>1.694277908245669</v>
      </c>
      <c r="AD1123" s="6" t="n">
        <v>-0.3941538502130867</v>
      </c>
      <c r="AE1123" s="6" t="n">
        <v>-4.078481628645267</v>
      </c>
      <c r="AF1123" s="6" t="n">
        <v>-3.055402078852722</v>
      </c>
      <c r="AG1123" s="6" t="n">
        <v>2.902490520952052</v>
      </c>
      <c r="AH1123" s="6" t="n">
        <v>-3.601312983272004</v>
      </c>
      <c r="AI1123" s="6" t="n">
        <v>-0.781551602669399</v>
      </c>
      <c r="AJ1123" s="6" t="n">
        <v>84.73219100189016</v>
      </c>
      <c r="AK1123" s="6" t="n">
        <v>0.1901127475820219</v>
      </c>
      <c r="AL1123" s="6" t="n">
        <v>1.033714411556829</v>
      </c>
      <c r="AN1123" s="6" t="n">
        <v>1.353872731598938</v>
      </c>
      <c r="AO1123" s="6" t="n">
        <v>1.354190125970434</v>
      </c>
      <c r="AP1123" s="6" t="n">
        <v>0.1333125581281488</v>
      </c>
      <c r="AQ1123" s="6" t="n">
        <v>0</v>
      </c>
      <c r="AR1123" s="6" t="n">
        <v>0</v>
      </c>
    </row>
    <row r="1124">
      <c r="D1124" t="inlineStr">
        <is>
          <t>Run 812</t>
        </is>
      </c>
      <c r="J1124" s="6" t="n">
        <v>-3.909387149554173</v>
      </c>
      <c r="K1124" s="6" t="n">
        <v>-0.8877795331467403</v>
      </c>
      <c r="L1124" s="6" t="n">
        <v>-1.519029305804017</v>
      </c>
      <c r="M1124" s="6" t="n">
        <v>2.312195270964667</v>
      </c>
      <c r="N1124" s="6" t="n">
        <v>2.54676412918112</v>
      </c>
      <c r="O1124" s="6" t="n">
        <v>3.093803794455834</v>
      </c>
      <c r="P1124" s="6" t="n">
        <v>-0.8699837989378786</v>
      </c>
      <c r="Q1124" s="6" t="n">
        <v>-1.161466446744192</v>
      </c>
      <c r="R1124" s="6" t="n">
        <v>-0.6151660507407201</v>
      </c>
      <c r="S1124" s="6" t="n">
        <v>0.1301691418885132</v>
      </c>
      <c r="T1124" s="6" t="n">
        <v>-2.35345787295601</v>
      </c>
      <c r="U1124" s="6" t="n">
        <v>-2.405603380839758</v>
      </c>
      <c r="V1124" s="6" t="n">
        <v>4.051663293889565</v>
      </c>
      <c r="W1124" s="6" t="n">
        <v>1.761044288348502</v>
      </c>
      <c r="X1124" s="6" t="n">
        <v>-1.599849750485312</v>
      </c>
      <c r="Y1124" s="6" t="n">
        <v>-0.7540702486459421</v>
      </c>
      <c r="Z1124" s="6" t="n">
        <v>3.363117376869688</v>
      </c>
      <c r="AA1124" s="6" t="n">
        <v>-0.5815626957650961</v>
      </c>
      <c r="AB1124" s="6" t="n">
        <v>-1.126970314418342</v>
      </c>
      <c r="AC1124" s="6" t="n">
        <v>2.238180125032847</v>
      </c>
      <c r="AD1124" s="6" t="n">
        <v>-1.104391925585751</v>
      </c>
      <c r="AE1124" s="6" t="n">
        <v>1.956887927147754</v>
      </c>
      <c r="AF1124" s="6" t="n">
        <v>0.5408202727120617</v>
      </c>
      <c r="AG1124" s="6" t="n">
        <v>-0.6028681904376934</v>
      </c>
      <c r="AH1124" s="6" t="n">
        <v>-1.80929863641282</v>
      </c>
      <c r="AI1124" s="6" t="n">
        <v>-0.4763937830002821</v>
      </c>
      <c r="AJ1124" s="6" t="n">
        <v>62.13848931617405</v>
      </c>
      <c r="AK1124" s="6" t="n">
        <v>0.1570123905687643</v>
      </c>
      <c r="AL1124" s="6" t="n">
        <v>1.037208770677374</v>
      </c>
      <c r="AN1124" s="6" t="n">
        <v>1.342055990632938</v>
      </c>
      <c r="AO1124" s="6" t="n">
        <v>1.342172614423953</v>
      </c>
      <c r="AP1124" s="6" t="n">
        <v>0.1320053663002747</v>
      </c>
      <c r="AQ1124" s="6" t="n">
        <v>0</v>
      </c>
      <c r="AR1124" s="6" t="n">
        <v>0</v>
      </c>
    </row>
    <row r="1125">
      <c r="D1125" t="inlineStr">
        <is>
          <t>Run 813</t>
        </is>
      </c>
      <c r="J1125" s="6" t="n">
        <v>-2.134587455931841</v>
      </c>
      <c r="K1125" s="6" t="n">
        <v>-0.9258698792924261</v>
      </c>
      <c r="L1125" s="6" t="n">
        <v>1.603161216344816</v>
      </c>
      <c r="M1125" s="6" t="n">
        <v>-1.738650979348502</v>
      </c>
      <c r="N1125" s="6" t="n">
        <v>2.257546113267311</v>
      </c>
      <c r="O1125" s="6" t="n">
        <v>-4.272084181241529</v>
      </c>
      <c r="P1125" s="6" t="n">
        <v>0.7118337501146066</v>
      </c>
      <c r="Q1125" s="6" t="n">
        <v>-1.191021568334868</v>
      </c>
      <c r="R1125" s="6" t="n">
        <v>-1.378488442880848</v>
      </c>
      <c r="S1125" s="6" t="n">
        <v>2.128719376528744</v>
      </c>
      <c r="T1125" s="6" t="n">
        <v>4.216402195400901</v>
      </c>
      <c r="U1125" s="6" t="n">
        <v>-2.261664703568921</v>
      </c>
      <c r="V1125" s="6" t="n">
        <v>-1.268368119373698</v>
      </c>
      <c r="W1125" s="6" t="n">
        <v>-2.441228271609328</v>
      </c>
      <c r="X1125" s="6" t="n">
        <v>5</v>
      </c>
      <c r="Y1125" s="6" t="n">
        <v>1.159233226260774</v>
      </c>
      <c r="Z1125" s="6" t="n">
        <v>-1.180743487170097</v>
      </c>
      <c r="AA1125" s="6" t="n">
        <v>-1.763791883077223</v>
      </c>
      <c r="AB1125" s="6" t="n">
        <v>0.272481367187918</v>
      </c>
      <c r="AC1125" s="6" t="n">
        <v>0.2501027660087406</v>
      </c>
      <c r="AD1125" s="6" t="n">
        <v>-2.510597319933901</v>
      </c>
      <c r="AE1125" s="6" t="n">
        <v>1.756195263953218</v>
      </c>
      <c r="AF1125" s="6" t="n">
        <v>-0.5608646681430742</v>
      </c>
      <c r="AG1125" s="6" t="n">
        <v>3.040605931742377</v>
      </c>
      <c r="AH1125" s="6" t="n">
        <v>-3.058558097903788</v>
      </c>
      <c r="AI1125" s="6" t="n">
        <v>-1.71624919272447</v>
      </c>
      <c r="AJ1125" s="6" t="n">
        <v>64.21308344222589</v>
      </c>
      <c r="AK1125" s="6" t="n">
        <v>0.1179099304504046</v>
      </c>
      <c r="AL1125" s="6" t="n">
        <v>1.030415492091782</v>
      </c>
      <c r="AN1125" s="6" t="n">
        <v>1.338052025348816</v>
      </c>
      <c r="AO1125" s="6" t="n">
        <v>1.342783985553126</v>
      </c>
      <c r="AP1125" s="6" t="n">
        <v>0.1334998083875024</v>
      </c>
      <c r="AQ1125" s="6" t="n">
        <v>0</v>
      </c>
      <c r="AR1125" s="6" t="n">
        <v>0</v>
      </c>
    </row>
    <row r="1126">
      <c r="D1126" t="inlineStr">
        <is>
          <t>Run 814</t>
        </is>
      </c>
      <c r="J1126" s="6" t="n">
        <v>1.650385230520342</v>
      </c>
      <c r="K1126" s="6" t="n">
        <v>-0.2554341168849754</v>
      </c>
      <c r="L1126" s="6" t="n">
        <v>-2.241981146961648</v>
      </c>
      <c r="M1126" s="6" t="n">
        <v>-0.1419384686906766</v>
      </c>
      <c r="N1126" s="6" t="n">
        <v>-3.130894606298068</v>
      </c>
      <c r="O1126" s="6" t="n">
        <v>0.6908418664519618</v>
      </c>
      <c r="P1126" s="6" t="n">
        <v>-2.456537742242023</v>
      </c>
      <c r="Q1126" s="6" t="n">
        <v>-0.01991344917382092</v>
      </c>
      <c r="R1126" s="6" t="n">
        <v>1.444495217714956</v>
      </c>
      <c r="S1126" s="6" t="n">
        <v>2.781721946624712</v>
      </c>
      <c r="T1126" s="6" t="n">
        <v>-1.006857050675435</v>
      </c>
      <c r="U1126" s="6" t="n">
        <v>0.5051720934760836</v>
      </c>
      <c r="V1126" s="6" t="n">
        <v>-0.5922242226496564</v>
      </c>
      <c r="W1126" s="6" t="n">
        <v>0.5327341307902896</v>
      </c>
      <c r="X1126" s="6" t="n">
        <v>-0.1255850104072634</v>
      </c>
      <c r="Y1126" s="6" t="n">
        <v>-2.916101914201966</v>
      </c>
      <c r="Z1126" s="6" t="n">
        <v>-0.8076113100812473</v>
      </c>
      <c r="AA1126" s="6" t="n">
        <v>4.635935878210308</v>
      </c>
      <c r="AB1126" s="6" t="n">
        <v>0.1298109352133125</v>
      </c>
      <c r="AC1126" s="6" t="n">
        <v>-1.279280004449395</v>
      </c>
      <c r="AD1126" s="6" t="n">
        <v>0.4411051591594142</v>
      </c>
      <c r="AE1126" s="6" t="n">
        <v>1.742213519969363</v>
      </c>
      <c r="AF1126" s="6" t="n">
        <v>0.8078369341899385</v>
      </c>
      <c r="AG1126" s="6" t="n">
        <v>-1.031429901260394</v>
      </c>
      <c r="AH1126" s="6" t="n">
        <v>-0.1797476568667682</v>
      </c>
      <c r="AI1126" s="6" t="n">
        <v>-0.5481576541345342</v>
      </c>
      <c r="AJ1126" s="6" t="n">
        <v>80.03803648263396</v>
      </c>
      <c r="AK1126" s="6" t="n">
        <v>0.1573966665707199</v>
      </c>
      <c r="AL1126" s="6" t="n">
        <v>1.026781872337163</v>
      </c>
      <c r="AN1126" s="6" t="n">
        <v>1.35489434693097</v>
      </c>
      <c r="AO1126" s="6" t="n">
        <v>1.35489434693097</v>
      </c>
      <c r="AP1126" s="6" t="n">
        <v>0.1346062355153906</v>
      </c>
      <c r="AQ1126" s="6" t="n">
        <v>0</v>
      </c>
      <c r="AR1126" s="6" t="n">
        <v>0</v>
      </c>
    </row>
    <row r="1127">
      <c r="D1127" t="inlineStr">
        <is>
          <t>Run 815</t>
        </is>
      </c>
      <c r="J1127" s="6" t="n">
        <v>-0.07674826105087711</v>
      </c>
      <c r="K1127" s="6" t="n">
        <v>-2.724458440527119</v>
      </c>
      <c r="L1127" s="6" t="n">
        <v>-5.381396829070124</v>
      </c>
      <c r="M1127" s="6" t="n">
        <v>2.093813296842086</v>
      </c>
      <c r="N1127" s="6" t="n">
        <v>-0.3066224589361571</v>
      </c>
      <c r="O1127" s="6" t="n">
        <v>1.03490372191224</v>
      </c>
      <c r="P1127" s="6" t="n">
        <v>-0.07242801069460643</v>
      </c>
      <c r="Q1127" s="6" t="n">
        <v>-0.4331028433162433</v>
      </c>
      <c r="R1127" s="6" t="n">
        <v>4.137342745332468</v>
      </c>
      <c r="S1127" s="6" t="n">
        <v>-0.9295072626288857</v>
      </c>
      <c r="T1127" s="6" t="n">
        <v>3.595640534495525</v>
      </c>
      <c r="U1127" s="6" t="n">
        <v>-2.171207213783414</v>
      </c>
      <c r="V1127" s="6" t="n">
        <v>-2.127554927093597</v>
      </c>
      <c r="W1127" s="6" t="n">
        <v>-0.3063935095786363</v>
      </c>
      <c r="X1127" s="6" t="n">
        <v>0.8960696144248418</v>
      </c>
      <c r="Y1127" s="6" t="n">
        <v>0.8127224210011058</v>
      </c>
      <c r="Z1127" s="6" t="n">
        <v>2.439433106179513</v>
      </c>
      <c r="AA1127" s="6" t="n">
        <v>1.298306290210078</v>
      </c>
      <c r="AB1127" s="6" t="n">
        <v>-0.7410664437139101</v>
      </c>
      <c r="AC1127" s="6" t="n">
        <v>-0.8425292565455863</v>
      </c>
      <c r="AD1127" s="6" t="n">
        <v>-0.707901168836637</v>
      </c>
      <c r="AE1127" s="6" t="n">
        <v>-2.529100025850207</v>
      </c>
      <c r="AF1127" s="6" t="n">
        <v>1.273920317136261</v>
      </c>
      <c r="AG1127" s="6" t="n">
        <v>-3.512526836669682</v>
      </c>
      <c r="AH1127" s="6" t="n">
        <v>0.03479035754214143</v>
      </c>
      <c r="AI1127" s="6" t="n">
        <v>0.4171337690345683</v>
      </c>
      <c r="AJ1127" s="6" t="n">
        <v>70.89581685748672</v>
      </c>
      <c r="AK1127" s="6" t="n">
        <v>0.1058579656165015</v>
      </c>
      <c r="AL1127" s="6" t="n">
        <v>1.080115001743849</v>
      </c>
      <c r="AN1127" s="6" t="n">
        <v>1.324731395166283</v>
      </c>
      <c r="AO1127" s="6" t="n">
        <v>1.330371245410553</v>
      </c>
      <c r="AP1127" s="6" t="n">
        <v>0.1302895342712221</v>
      </c>
      <c r="AQ1127" s="6" t="n">
        <v>0</v>
      </c>
      <c r="AR1127" s="6" t="n">
        <v>0</v>
      </c>
    </row>
    <row r="1128">
      <c r="D1128" t="inlineStr">
        <is>
          <t>Run 816</t>
        </is>
      </c>
      <c r="J1128" s="6" t="n">
        <v>2.534163082818124</v>
      </c>
      <c r="K1128" s="6" t="n">
        <v>-0.1169719544513214</v>
      </c>
      <c r="L1128" s="6" t="n">
        <v>1.1013174178662</v>
      </c>
      <c r="M1128" s="6" t="n">
        <v>1.997873124562246</v>
      </c>
      <c r="N1128" s="6" t="n">
        <v>1.835724830563184</v>
      </c>
      <c r="O1128" s="6" t="n">
        <v>-3.785397554960188</v>
      </c>
      <c r="P1128" s="6" t="n">
        <v>1.802165924967643</v>
      </c>
      <c r="Q1128" s="6" t="n">
        <v>-0.2409086829169601</v>
      </c>
      <c r="R1128" s="6" t="n">
        <v>1.120633184077288</v>
      </c>
      <c r="S1128" s="6" t="n">
        <v>-2.440724647928504</v>
      </c>
      <c r="T1128" s="6" t="n">
        <v>-0.2760366937790518</v>
      </c>
      <c r="U1128" s="6" t="n">
        <v>0.6463426884678813</v>
      </c>
      <c r="V1128" s="6" t="n">
        <v>5</v>
      </c>
      <c r="W1128" s="6" t="n">
        <v>-1.361469690560615</v>
      </c>
      <c r="X1128" s="6" t="n">
        <v>-1.961425832420202</v>
      </c>
      <c r="Y1128" s="6" t="n">
        <v>2.098457329043616</v>
      </c>
      <c r="Z1128" s="6" t="n">
        <v>1.145550163889832</v>
      </c>
      <c r="AA1128" s="6" t="n">
        <v>1.266629846097558</v>
      </c>
      <c r="AB1128" s="6" t="n">
        <v>3.578188407966735</v>
      </c>
      <c r="AC1128" s="6" t="n">
        <v>3.553884456774156</v>
      </c>
      <c r="AD1128" s="6" t="n">
        <v>0.7725836746492679</v>
      </c>
      <c r="AE1128" s="6" t="n">
        <v>-1.415581019289532</v>
      </c>
      <c r="AF1128" s="6" t="n">
        <v>-0.4133577832193782</v>
      </c>
      <c r="AG1128" s="6" t="n">
        <v>3.516411887060392</v>
      </c>
      <c r="AH1128" s="6" t="n">
        <v>-0.04300523529243022</v>
      </c>
      <c r="AI1128" s="6" t="n">
        <v>0.7521752564287613</v>
      </c>
      <c r="AJ1128" s="6" t="n">
        <v>77.5571450730945</v>
      </c>
      <c r="AK1128" s="6" t="n">
        <v>0.1515497043476772</v>
      </c>
      <c r="AL1128" s="6" t="n">
        <v>1.060766146259497</v>
      </c>
      <c r="AN1128" s="6" t="n">
        <v>1.336073068501353</v>
      </c>
      <c r="AO1128" s="6" t="n">
        <v>1.338450840257152</v>
      </c>
      <c r="AP1128" s="6" t="n">
        <v>0.1310434793821746</v>
      </c>
      <c r="AQ1128" s="6" t="n">
        <v>0</v>
      </c>
      <c r="AR1128" s="6" t="n">
        <v>0</v>
      </c>
    </row>
    <row r="1129">
      <c r="D1129" t="inlineStr">
        <is>
          <t>Run 817</t>
        </is>
      </c>
      <c r="J1129" s="6" t="n">
        <v>0.7567906290469584</v>
      </c>
      <c r="K1129" s="6" t="n">
        <v>-0.1485612278764513</v>
      </c>
      <c r="L1129" s="6" t="n">
        <v>-1.015450796672787</v>
      </c>
      <c r="M1129" s="6" t="n">
        <v>-1.302333975511802</v>
      </c>
      <c r="N1129" s="6" t="n">
        <v>0.3465831133440185</v>
      </c>
      <c r="O1129" s="6" t="n">
        <v>-0.3519751780662301</v>
      </c>
      <c r="P1129" s="6" t="n">
        <v>0.558170824338818</v>
      </c>
      <c r="Q1129" s="6" t="n">
        <v>-0.9157661091238881</v>
      </c>
      <c r="R1129" s="6" t="n">
        <v>-1.964884386444092</v>
      </c>
      <c r="S1129" s="6" t="n">
        <v>1.196556285857235</v>
      </c>
      <c r="T1129" s="6" t="n">
        <v>3.016922792633801</v>
      </c>
      <c r="U1129" s="6" t="n">
        <v>0.3811145806914431</v>
      </c>
      <c r="V1129" s="6" t="n">
        <v>2.326475393609258</v>
      </c>
      <c r="W1129" s="6" t="n">
        <v>-0.984383700671306</v>
      </c>
      <c r="X1129" s="6" t="n">
        <v>-0.9280067998634984</v>
      </c>
      <c r="Y1129" s="6" t="n">
        <v>-5.551742096469549</v>
      </c>
      <c r="Z1129" s="6" t="n">
        <v>2.457454893274085</v>
      </c>
      <c r="AA1129" s="6" t="n">
        <v>2.925274333971897</v>
      </c>
      <c r="AB1129" s="6" t="n">
        <v>-0.9641841651034696</v>
      </c>
      <c r="AC1129" s="6" t="n">
        <v>1.859285866403374</v>
      </c>
      <c r="AD1129" s="6" t="n">
        <v>-3.123315789036579</v>
      </c>
      <c r="AE1129" s="6" t="n">
        <v>-3.702116407204781</v>
      </c>
      <c r="AF1129" s="6" t="n">
        <v>0.01844091078456532</v>
      </c>
      <c r="AG1129" s="6" t="n">
        <v>0.5994523555471012</v>
      </c>
      <c r="AH1129" s="6" t="n">
        <v>0.3501476411390518</v>
      </c>
      <c r="AI1129" s="6" t="n">
        <v>-0.943474447737732</v>
      </c>
      <c r="AJ1129" s="6" t="n">
        <v>63.41593522986183</v>
      </c>
      <c r="AK1129" s="6" t="n">
        <v>0.1243343307884792</v>
      </c>
      <c r="AL1129" s="6" t="n">
        <v>1.036470290306709</v>
      </c>
      <c r="AN1129" s="6" t="n">
        <v>1.341127277325619</v>
      </c>
      <c r="AO1129" s="6" t="n">
        <v>1.344144850510439</v>
      </c>
      <c r="AP1129" s="6" t="n">
        <v>0.1325638206411195</v>
      </c>
      <c r="AQ1129" s="6" t="n">
        <v>0</v>
      </c>
      <c r="AR1129" s="6" t="n">
        <v>0</v>
      </c>
    </row>
    <row r="1130">
      <c r="D1130" t="inlineStr">
        <is>
          <t>Run 818</t>
        </is>
      </c>
      <c r="J1130" s="6" t="n">
        <v>0.3899332812670426</v>
      </c>
      <c r="K1130" s="6" t="n">
        <v>0.5437999826651366</v>
      </c>
      <c r="L1130" s="6" t="n">
        <v>-2.252078558488452</v>
      </c>
      <c r="M1130" s="6" t="n">
        <v>2.062858941036059</v>
      </c>
      <c r="N1130" s="6" t="n">
        <v>-0.5908047025832783</v>
      </c>
      <c r="O1130" s="6" t="n">
        <v>-1.898660628980314</v>
      </c>
      <c r="P1130" s="6" t="n">
        <v>-0.2962842165745816</v>
      </c>
      <c r="Q1130" s="6" t="n">
        <v>-3.494044960484345</v>
      </c>
      <c r="R1130" s="6" t="n">
        <v>1.508940967222993</v>
      </c>
      <c r="S1130" s="6" t="n">
        <v>-2.767022632154275</v>
      </c>
      <c r="T1130" s="6" t="n">
        <v>-1.887958635950977</v>
      </c>
      <c r="U1130" s="6" t="n">
        <v>0.6017722723378796</v>
      </c>
      <c r="V1130" s="6" t="n">
        <v>0.8023467363173289</v>
      </c>
      <c r="W1130" s="6" t="n">
        <v>2.835436685339501</v>
      </c>
      <c r="X1130" s="6" t="n">
        <v>1.557065868171568</v>
      </c>
      <c r="Y1130" s="6" t="n">
        <v>5</v>
      </c>
      <c r="Z1130" s="6" t="n">
        <v>-2.843135267462257</v>
      </c>
      <c r="AA1130" s="6" t="n">
        <v>-4.450742067057032</v>
      </c>
      <c r="AB1130" s="6" t="n">
        <v>-0.2031457354367202</v>
      </c>
      <c r="AC1130" s="6" t="n">
        <v>-2.67966043933205</v>
      </c>
      <c r="AD1130" s="6" t="n">
        <v>-1.117642341299164</v>
      </c>
      <c r="AE1130" s="6" t="n">
        <v>-0.02483669496417319</v>
      </c>
      <c r="AF1130" s="6" t="n">
        <v>-0.5744466430102964</v>
      </c>
      <c r="AG1130" s="6" t="n">
        <v>-1.615586689827121</v>
      </c>
      <c r="AH1130" s="6" t="n">
        <v>-0.595059261855547</v>
      </c>
      <c r="AI1130" s="6" t="n">
        <v>4.304488692258762</v>
      </c>
      <c r="AJ1130" s="6" t="n">
        <v>79.1024014112465</v>
      </c>
      <c r="AK1130" s="6" t="n">
        <v>0.09962979880465875</v>
      </c>
      <c r="AL1130" s="6" t="n">
        <v>1.058324363115379</v>
      </c>
      <c r="AN1130" s="6" t="n">
        <v>1.347712861454964</v>
      </c>
      <c r="AO1130" s="6" t="n">
        <v>1.348368470070529</v>
      </c>
      <c r="AP1130" s="6" t="n">
        <v>0.1324238557369084</v>
      </c>
      <c r="AQ1130" s="6" t="n">
        <v>0</v>
      </c>
      <c r="AR1130" s="6" t="n">
        <v>0</v>
      </c>
    </row>
    <row r="1131">
      <c r="D1131" t="inlineStr">
        <is>
          <t>Run 819</t>
        </is>
      </c>
      <c r="J1131" s="6" t="n">
        <v>1.057268100717108</v>
      </c>
      <c r="K1131" s="6" t="n">
        <v>0.2859400914083385</v>
      </c>
      <c r="L1131" s="6" t="n">
        <v>-0.04598706360086112</v>
      </c>
      <c r="M1131" s="6" t="n">
        <v>0.02873363676392164</v>
      </c>
      <c r="N1131" s="6" t="n">
        <v>-0.6954439645421584</v>
      </c>
      <c r="O1131" s="6" t="n">
        <v>-0.4843980443294624</v>
      </c>
      <c r="P1131" s="6" t="n">
        <v>-1.960380127366639</v>
      </c>
      <c r="Q1131" s="6" t="n">
        <v>-0.5302709180128101</v>
      </c>
      <c r="R1131" s="6" t="n">
        <v>3.547811960789037</v>
      </c>
      <c r="S1131" s="6" t="n">
        <v>3.737350073807016</v>
      </c>
      <c r="T1131" s="6" t="n">
        <v>0.1116248738381494</v>
      </c>
      <c r="U1131" s="6" t="n">
        <v>-0.2151361664020782</v>
      </c>
      <c r="V1131" s="6" t="n">
        <v>0.4522996041967167</v>
      </c>
      <c r="W1131" s="6" t="n">
        <v>0.5801645169909347</v>
      </c>
      <c r="X1131" s="6" t="n">
        <v>-0.3859215180102812</v>
      </c>
      <c r="Y1131" s="6" t="n">
        <v>2.001802935527012</v>
      </c>
      <c r="Z1131" s="6" t="n">
        <v>-0.7028500030719812</v>
      </c>
      <c r="AA1131" s="6" t="n">
        <v>2.528984382807453</v>
      </c>
      <c r="AB1131" s="6" t="n">
        <v>1.718329311825788</v>
      </c>
      <c r="AC1131" s="6" t="n">
        <v>-0.4586978776446877</v>
      </c>
      <c r="AD1131" s="6" t="n">
        <v>3.590498329026159</v>
      </c>
      <c r="AE1131" s="6" t="n">
        <v>-1.421320873218239</v>
      </c>
      <c r="AF1131" s="6" t="n">
        <v>1.319175120264301</v>
      </c>
      <c r="AG1131" s="6" t="n">
        <v>-2.178225409426134</v>
      </c>
      <c r="AH1131" s="6" t="n">
        <v>0.5134795532955153</v>
      </c>
      <c r="AI1131" s="6" t="n">
        <v>-0.8918173328072733</v>
      </c>
      <c r="AJ1131" s="6" t="n">
        <v>68.79830222992207</v>
      </c>
      <c r="AK1131" s="6" t="n">
        <v>0.07027957437427168</v>
      </c>
      <c r="AL1131" s="6" t="n">
        <v>1.131322962320277</v>
      </c>
      <c r="AN1131" s="6" t="n">
        <v>1.327962393636335</v>
      </c>
      <c r="AO1131" s="6" t="n">
        <v>1.328104766920985</v>
      </c>
      <c r="AP1131" s="6" t="n">
        <v>0.1290752186282506</v>
      </c>
      <c r="AQ1131" s="6" t="n">
        <v>0</v>
      </c>
      <c r="AR1131" s="6" t="n">
        <v>0</v>
      </c>
    </row>
    <row r="1132">
      <c r="D1132" t="inlineStr">
        <is>
          <t>Run 820</t>
        </is>
      </c>
      <c r="J1132" s="6" t="n">
        <v>-0.07392056400724298</v>
      </c>
      <c r="K1132" s="6" t="n">
        <v>-0.8868207279991708</v>
      </c>
      <c r="L1132" s="6" t="n">
        <v>-2.114844658049973</v>
      </c>
      <c r="M1132" s="6" t="n">
        <v>-0.2462713485353588</v>
      </c>
      <c r="N1132" s="6" t="n">
        <v>-4.095696270760298</v>
      </c>
      <c r="O1132" s="6" t="n">
        <v>2.891188811769463</v>
      </c>
      <c r="P1132" s="6" t="n">
        <v>0.3878577693452078</v>
      </c>
      <c r="Q1132" s="6" t="n">
        <v>3.23267529563216</v>
      </c>
      <c r="R1132" s="6" t="n">
        <v>-0.7731455958322083</v>
      </c>
      <c r="S1132" s="6" t="n">
        <v>2.555578607347685</v>
      </c>
      <c r="T1132" s="6" t="n">
        <v>-1.7072676757063</v>
      </c>
      <c r="U1132" s="6" t="n">
        <v>0.5301427049028511</v>
      </c>
      <c r="V1132" s="6" t="n">
        <v>3.312205678692342</v>
      </c>
      <c r="W1132" s="6" t="n">
        <v>-2.296083492239022</v>
      </c>
      <c r="X1132" s="6" t="n">
        <v>0.7637951504449567</v>
      </c>
      <c r="Y1132" s="6" t="n">
        <v>-0.3343671428308752</v>
      </c>
      <c r="Z1132" s="6" t="n">
        <v>2.544728930039243</v>
      </c>
      <c r="AA1132" s="6" t="n">
        <v>-2.575983714512839</v>
      </c>
      <c r="AB1132" s="6" t="n">
        <v>-2.824578696880254</v>
      </c>
      <c r="AC1132" s="6" t="n">
        <v>-0.8744544392835309</v>
      </c>
      <c r="AD1132" s="6" t="n">
        <v>1.25913624230731</v>
      </c>
      <c r="AE1132" s="6" t="n">
        <v>2.510653361658196</v>
      </c>
      <c r="AF1132" s="6" t="n">
        <v>0.9256754641617779</v>
      </c>
      <c r="AG1132" s="6" t="n">
        <v>0.6604198319464434</v>
      </c>
      <c r="AH1132" s="6" t="n">
        <v>-2.712819928562288</v>
      </c>
      <c r="AI1132" s="6" t="n">
        <v>0.528150295710049</v>
      </c>
      <c r="AJ1132" s="6" t="n">
        <v>81.05968368038712</v>
      </c>
      <c r="AK1132" s="6" t="n">
        <v>0.1256106092082799</v>
      </c>
      <c r="AL1132" s="6" t="n">
        <v>1.018094080033725</v>
      </c>
      <c r="AN1132" s="6" t="n">
        <v>1.3579039184169</v>
      </c>
      <c r="AO1132" s="6" t="n">
        <v>1.3579039184169</v>
      </c>
      <c r="AP1132" s="6" t="n">
        <v>0.136932167009035</v>
      </c>
      <c r="AQ1132" s="6" t="n">
        <v>0</v>
      </c>
      <c r="AR1132" s="6" t="n">
        <v>0</v>
      </c>
    </row>
    <row r="1133">
      <c r="D1133" t="inlineStr">
        <is>
          <t>Run 821</t>
        </is>
      </c>
      <c r="J1133" s="6" t="n">
        <v>4.297742661865641</v>
      </c>
      <c r="K1133" s="6" t="n">
        <v>0.174179923572543</v>
      </c>
      <c r="L1133" s="6" t="n">
        <v>-1.043195434947517</v>
      </c>
      <c r="M1133" s="6" t="n">
        <v>1.780877779488861</v>
      </c>
      <c r="N1133" s="6" t="n">
        <v>-0.4308982824441821</v>
      </c>
      <c r="O1133" s="6" t="n">
        <v>1.641189652850725</v>
      </c>
      <c r="P1133" s="6" t="n">
        <v>0.688921298117758</v>
      </c>
      <c r="Q1133" s="6" t="n">
        <v>2.065492373734847</v>
      </c>
      <c r="R1133" s="6" t="n">
        <v>0.3259420622506501</v>
      </c>
      <c r="S1133" s="6" t="n">
        <v>-0.744309525817373</v>
      </c>
      <c r="T1133" s="6" t="n">
        <v>4.068060880290897</v>
      </c>
      <c r="U1133" s="6" t="n">
        <v>3.708816101242178</v>
      </c>
      <c r="V1133" s="6" t="n">
        <v>2.526329350206674</v>
      </c>
      <c r="W1133" s="6" t="n">
        <v>-1.224130545652705</v>
      </c>
      <c r="X1133" s="6" t="n">
        <v>-3.745511467235251</v>
      </c>
      <c r="Y1133" s="6" t="n">
        <v>0.0895735572531532</v>
      </c>
      <c r="Z1133" s="6" t="n">
        <v>-1.299712512298802</v>
      </c>
      <c r="AA1133" s="6" t="n">
        <v>-0.59371527525102</v>
      </c>
      <c r="AB1133" s="6" t="n">
        <v>2.941204244434376</v>
      </c>
      <c r="AC1133" s="6" t="n">
        <v>-0.3774636394042999</v>
      </c>
      <c r="AD1133" s="6" t="n">
        <v>-0.09606831633592831</v>
      </c>
      <c r="AE1133" s="6" t="n">
        <v>-1.300400803039175</v>
      </c>
      <c r="AF1133" s="6" t="n">
        <v>-2.318113712598104</v>
      </c>
      <c r="AG1133" s="6" t="n">
        <v>-0.3873440866666366</v>
      </c>
      <c r="AH1133" s="6" t="n">
        <v>-2.135148689211941</v>
      </c>
      <c r="AI1133" s="6" t="n">
        <v>-1.584216761582784</v>
      </c>
      <c r="AJ1133" s="6" t="n">
        <v>77.21690807674955</v>
      </c>
      <c r="AK1133" s="6" t="n">
        <v>0.08749713522065379</v>
      </c>
      <c r="AL1133" s="6" t="n">
        <v>1.094582438010347</v>
      </c>
      <c r="AN1133" s="6" t="n">
        <v>1.335000190774181</v>
      </c>
      <c r="AO1133" s="6" t="n">
        <v>1.335050539567579</v>
      </c>
      <c r="AP1133" s="6" t="n">
        <v>0.130667326032276</v>
      </c>
      <c r="AQ1133" s="6" t="n">
        <v>0</v>
      </c>
      <c r="AR1133" s="6" t="n">
        <v>0</v>
      </c>
    </row>
    <row r="1134">
      <c r="D1134" t="inlineStr">
        <is>
          <t>Run 822</t>
        </is>
      </c>
      <c r="J1134" s="6" t="n">
        <v>0.1784624506792245</v>
      </c>
      <c r="K1134" s="6" t="n">
        <v>1.904715579773439</v>
      </c>
      <c r="L1134" s="6" t="n">
        <v>-3.05083582986403</v>
      </c>
      <c r="M1134" s="6" t="n">
        <v>0.2234047441437513</v>
      </c>
      <c r="N1134" s="6" t="n">
        <v>-1.0456686957275</v>
      </c>
      <c r="O1134" s="6" t="n">
        <v>-0.1828067451648062</v>
      </c>
      <c r="P1134" s="6" t="n">
        <v>2.061627388815825</v>
      </c>
      <c r="Q1134" s="6" t="n">
        <v>0.08964921079392289</v>
      </c>
      <c r="R1134" s="6" t="n">
        <v>-0.5865725728354199</v>
      </c>
      <c r="S1134" s="6" t="n">
        <v>-0.386699468576833</v>
      </c>
      <c r="T1134" s="6" t="n">
        <v>2.833573454574997</v>
      </c>
      <c r="U1134" s="6" t="n">
        <v>0.7463714969123251</v>
      </c>
      <c r="V1134" s="6" t="n">
        <v>2.27699666452802</v>
      </c>
      <c r="W1134" s="6" t="n">
        <v>0.3736003163020614</v>
      </c>
      <c r="X1134" s="6" t="n">
        <v>-1.783809787777838</v>
      </c>
      <c r="Y1134" s="6" t="n">
        <v>2.984763644170235</v>
      </c>
      <c r="Z1134" s="6" t="n">
        <v>4.176051699671899</v>
      </c>
      <c r="AA1134" s="6" t="n">
        <v>-3.857896385504696</v>
      </c>
      <c r="AB1134" s="6" t="n">
        <v>-0.913904400010657</v>
      </c>
      <c r="AC1134" s="6" t="n">
        <v>2.358112579652854</v>
      </c>
      <c r="AD1134" s="6" t="n">
        <v>0.4130269117139488</v>
      </c>
      <c r="AE1134" s="6" t="n">
        <v>-2.260835094099261</v>
      </c>
      <c r="AF1134" s="6" t="n">
        <v>-0.04277393188658617</v>
      </c>
      <c r="AG1134" s="6" t="n">
        <v>-0.3967036655278022</v>
      </c>
      <c r="AH1134" s="6" t="n">
        <v>-0.8904058569245451</v>
      </c>
      <c r="AI1134" s="6" t="n">
        <v>-0.7720911577089058</v>
      </c>
      <c r="AJ1134" s="6" t="n">
        <v>78.55213321828288</v>
      </c>
      <c r="AK1134" s="6" t="n">
        <v>0.1657564399953073</v>
      </c>
      <c r="AL1134" s="6" t="n">
        <v>1.041817367783003</v>
      </c>
      <c r="AN1134" s="6" t="n">
        <v>1.349078562890215</v>
      </c>
      <c r="AO1134" s="6" t="n">
        <v>1.349789694494172</v>
      </c>
      <c r="AP1134" s="6" t="n">
        <v>0.1326405838004622</v>
      </c>
      <c r="AQ1134" s="6" t="n">
        <v>0</v>
      </c>
      <c r="AR1134" s="6" t="n">
        <v>0</v>
      </c>
    </row>
    <row r="1135">
      <c r="D1135" t="inlineStr">
        <is>
          <t>Run 823</t>
        </is>
      </c>
      <c r="J1135" s="6" t="n">
        <v>0.6071267552430363</v>
      </c>
      <c r="K1135" s="6" t="n">
        <v>1.194201130494813</v>
      </c>
      <c r="L1135" s="6" t="n">
        <v>1.372392210919469</v>
      </c>
      <c r="M1135" s="6" t="n">
        <v>-3.288830522965187</v>
      </c>
      <c r="N1135" s="6" t="n">
        <v>-0.6022957958169434</v>
      </c>
      <c r="O1135" s="6" t="n">
        <v>0.4593509519002161</v>
      </c>
      <c r="P1135" s="6" t="n">
        <v>1.823182850452591</v>
      </c>
      <c r="Q1135" s="6" t="n">
        <v>-0.6796111248825016</v>
      </c>
      <c r="R1135" s="6" t="n">
        <v>-1.212722079802991</v>
      </c>
      <c r="S1135" s="6" t="n">
        <v>3.053284670814667</v>
      </c>
      <c r="T1135" s="6" t="n">
        <v>-0.5634926383772882</v>
      </c>
      <c r="U1135" s="6" t="n">
        <v>2.774588372217924</v>
      </c>
      <c r="V1135" s="6" t="n">
        <v>-0.1374295293670275</v>
      </c>
      <c r="W1135" s="6" t="n">
        <v>-0.8895301915324981</v>
      </c>
      <c r="X1135" s="6" t="n">
        <v>0.5638806018041993</v>
      </c>
      <c r="Y1135" s="6" t="n">
        <v>3.440894186670119</v>
      </c>
      <c r="Z1135" s="6" t="n">
        <v>0.2022580803218818</v>
      </c>
      <c r="AA1135" s="6" t="n">
        <v>4.524982807385159</v>
      </c>
      <c r="AB1135" s="6" t="n">
        <v>1.687527719868344</v>
      </c>
      <c r="AC1135" s="6" t="n">
        <v>0.740072407441129</v>
      </c>
      <c r="AD1135" s="6" t="n">
        <v>-0.5106482278053144</v>
      </c>
      <c r="AE1135" s="6" t="n">
        <v>2.900590388102328</v>
      </c>
      <c r="AF1135" s="6" t="n">
        <v>0.4486032505470119</v>
      </c>
      <c r="AG1135" s="6" t="n">
        <v>-1.69854804822435</v>
      </c>
      <c r="AH1135" s="6" t="n">
        <v>-5.594358666244643</v>
      </c>
      <c r="AI1135" s="6" t="n">
        <v>-0.3008792121578037</v>
      </c>
      <c r="AJ1135" s="6" t="n">
        <v>75.7865169750776</v>
      </c>
      <c r="AK1135" s="6" t="n">
        <v>0.1057075023559903</v>
      </c>
      <c r="AL1135" s="6" t="n">
        <v>1.044300751003311</v>
      </c>
      <c r="AN1135" s="6" t="n">
        <v>1.317045372639612</v>
      </c>
      <c r="AO1135" s="6" t="n">
        <v>1.325580416530513</v>
      </c>
      <c r="AP1135" s="6" t="n">
        <v>0.1330005912495602</v>
      </c>
      <c r="AQ1135" s="6" t="n">
        <v>0</v>
      </c>
      <c r="AR1135" s="6" t="n">
        <v>0</v>
      </c>
    </row>
    <row r="1136">
      <c r="D1136" t="inlineStr">
        <is>
          <t>Run 824</t>
        </is>
      </c>
      <c r="J1136" s="6" t="n">
        <v>1.278666942287576</v>
      </c>
      <c r="K1136" s="6" t="n">
        <v>-0.9755270651436883</v>
      </c>
      <c r="L1136" s="6" t="n">
        <v>1.098798943016076</v>
      </c>
      <c r="M1136" s="6" t="n">
        <v>-3.384907411865335</v>
      </c>
      <c r="N1136" s="6" t="n">
        <v>-2.258803857866864</v>
      </c>
      <c r="O1136" s="6" t="n">
        <v>0.5333577348245226</v>
      </c>
      <c r="P1136" s="6" t="n">
        <v>0.6899936741183372</v>
      </c>
      <c r="Q1136" s="6" t="n">
        <v>-0.4667257919773651</v>
      </c>
      <c r="R1136" s="6" t="n">
        <v>-1.713268862806768</v>
      </c>
      <c r="S1136" s="6" t="n">
        <v>-1.469747831378737</v>
      </c>
      <c r="T1136" s="6" t="n">
        <v>-2.796264895756661</v>
      </c>
      <c r="U1136" s="6" t="n">
        <v>1.542805072362514</v>
      </c>
      <c r="V1136" s="6" t="n">
        <v>-1.244793758984372</v>
      </c>
      <c r="W1136" s="6" t="n">
        <v>1.713813655541556</v>
      </c>
      <c r="X1136" s="6" t="n">
        <v>-1.149481897199921</v>
      </c>
      <c r="Y1136" s="6" t="n">
        <v>1.205447082015996</v>
      </c>
      <c r="Z1136" s="6" t="n">
        <v>-1.73925008715458</v>
      </c>
      <c r="AA1136" s="6" t="n">
        <v>-1.904405446665494</v>
      </c>
      <c r="AB1136" s="6" t="n">
        <v>2.054354484025066</v>
      </c>
      <c r="AC1136" s="6" t="n">
        <v>-0.7746715129812283</v>
      </c>
      <c r="AD1136" s="6" t="n">
        <v>0.6008347835959608</v>
      </c>
      <c r="AE1136" s="6" t="n">
        <v>-1.732797481447721</v>
      </c>
      <c r="AF1136" s="6" t="n">
        <v>3.210153976867494</v>
      </c>
      <c r="AG1136" s="6" t="n">
        <v>0.3647474770829592</v>
      </c>
      <c r="AH1136" s="6" t="n">
        <v>-1.811990011961316</v>
      </c>
      <c r="AI1136" s="6" t="n">
        <v>-0.03243312269463865</v>
      </c>
      <c r="AJ1136" s="6" t="n">
        <v>73.82313333898544</v>
      </c>
      <c r="AK1136" s="6" t="n">
        <v>0.1456593246031745</v>
      </c>
      <c r="AL1136" s="6" t="n">
        <v>1.068490321527888</v>
      </c>
      <c r="AN1136" s="6" t="n">
        <v>1.305435988819312</v>
      </c>
      <c r="AO1136" s="6" t="n">
        <v>1.309736260921104</v>
      </c>
      <c r="AP1136" s="6" t="n">
        <v>0.1300647442730493</v>
      </c>
      <c r="AQ1136" s="6" t="n">
        <v>0</v>
      </c>
      <c r="AR1136" s="6" t="n">
        <v>0</v>
      </c>
    </row>
    <row r="1137">
      <c r="D1137" t="inlineStr">
        <is>
          <t>Run 825</t>
        </is>
      </c>
      <c r="J1137" s="6" t="n">
        <v>-0.7195277769577446</v>
      </c>
      <c r="K1137" s="6" t="n">
        <v>-2.295089163412441</v>
      </c>
      <c r="L1137" s="6" t="n">
        <v>2.254487177906531</v>
      </c>
      <c r="M1137" s="6" t="n">
        <v>1.504808707055195</v>
      </c>
      <c r="N1137" s="6" t="n">
        <v>-0.2099401477664627</v>
      </c>
      <c r="O1137" s="6" t="n">
        <v>0.05062606746558269</v>
      </c>
      <c r="P1137" s="6" t="n">
        <v>-1.135615538422836</v>
      </c>
      <c r="Q1137" s="6" t="n">
        <v>-5.675959766586979</v>
      </c>
      <c r="R1137" s="6" t="n">
        <v>-1.841778238249573</v>
      </c>
      <c r="S1137" s="6" t="n">
        <v>-3.051101695704811</v>
      </c>
      <c r="T1137" s="6" t="n">
        <v>0.3548870792427151</v>
      </c>
      <c r="U1137" s="6" t="n">
        <v>0.2500488597715653</v>
      </c>
      <c r="V1137" s="6" t="n">
        <v>1.643212134307238</v>
      </c>
      <c r="W1137" s="6" t="n">
        <v>1.268475739354256</v>
      </c>
      <c r="X1137" s="6" t="n">
        <v>0.6398485962279489</v>
      </c>
      <c r="Y1137" s="6" t="n">
        <v>2.038597572013032</v>
      </c>
      <c r="Z1137" s="6" t="n">
        <v>1.797927904911505</v>
      </c>
      <c r="AA1137" s="6" t="n">
        <v>-0.6324413561709171</v>
      </c>
      <c r="AB1137" s="6" t="n">
        <v>0.9580027581588171</v>
      </c>
      <c r="AC1137" s="6" t="n">
        <v>-0.7753234240506774</v>
      </c>
      <c r="AD1137" s="6" t="n">
        <v>2.924630990700133</v>
      </c>
      <c r="AE1137" s="6" t="n">
        <v>-0.756146570137963</v>
      </c>
      <c r="AF1137" s="6" t="n">
        <v>4.183341951510739</v>
      </c>
      <c r="AG1137" s="6" t="n">
        <v>0.6114893402193374</v>
      </c>
      <c r="AH1137" s="6" t="n">
        <v>-0.2186999976597333</v>
      </c>
      <c r="AI1137" s="6" t="n">
        <v>-1.504891414762569</v>
      </c>
      <c r="AJ1137" s="6" t="n">
        <v>71.36521942355445</v>
      </c>
      <c r="AK1137" s="6" t="n">
        <v>0.1254371497237283</v>
      </c>
      <c r="AL1137" s="6" t="n">
        <v>1.112049255794514</v>
      </c>
      <c r="AN1137" s="6" t="n">
        <v>1.311995126034232</v>
      </c>
      <c r="AO1137" s="6" t="n">
        <v>1.325981816655965</v>
      </c>
      <c r="AP1137" s="6" t="n">
        <v>0.1279668800998161</v>
      </c>
      <c r="AQ1137" s="6" t="n">
        <v>0</v>
      </c>
      <c r="AR1137" s="6" t="n">
        <v>0</v>
      </c>
    </row>
    <row r="1138">
      <c r="D1138" t="inlineStr">
        <is>
          <t>Run 826</t>
        </is>
      </c>
      <c r="J1138" s="6" t="n">
        <v>-1.991401240443114</v>
      </c>
      <c r="K1138" s="6" t="n">
        <v>-1.906998468499318</v>
      </c>
      <c r="L1138" s="6" t="n">
        <v>-1.911493720543101</v>
      </c>
      <c r="M1138" s="6" t="n">
        <v>-0.782223132763781</v>
      </c>
      <c r="N1138" s="6" t="n">
        <v>0.5665824188661782</v>
      </c>
      <c r="O1138" s="6" t="n">
        <v>1.687692404907743</v>
      </c>
      <c r="P1138" s="6" t="n">
        <v>-2.869166238492754</v>
      </c>
      <c r="Q1138" s="6" t="n">
        <v>2.42631671832615</v>
      </c>
      <c r="R1138" s="6" t="n">
        <v>1.938051166498613</v>
      </c>
      <c r="S1138" s="6" t="n">
        <v>0.9094227328214478</v>
      </c>
      <c r="T1138" s="6" t="n">
        <v>-2.420507190854895</v>
      </c>
      <c r="U1138" s="6" t="n">
        <v>-2.921124214814101</v>
      </c>
      <c r="V1138" s="6" t="n">
        <v>3.045003411600983</v>
      </c>
      <c r="W1138" s="6" t="n">
        <v>2.77262601016568</v>
      </c>
      <c r="X1138" s="6" t="n">
        <v>-0.4002361797716945</v>
      </c>
      <c r="Y1138" s="6" t="n">
        <v>-2.127711626057248</v>
      </c>
      <c r="Z1138" s="6" t="n">
        <v>0.5673380037208045</v>
      </c>
      <c r="AA1138" s="6" t="n">
        <v>-3.196291949667208</v>
      </c>
      <c r="AB1138" s="6" t="n">
        <v>-3.198994747472951</v>
      </c>
      <c r="AC1138" s="6" t="n">
        <v>2.340242635992681</v>
      </c>
      <c r="AD1138" s="6" t="n">
        <v>1.395591878155627</v>
      </c>
      <c r="AE1138" s="6" t="n">
        <v>-1.5933104686454</v>
      </c>
      <c r="AF1138" s="6" t="n">
        <v>3.672430172936791</v>
      </c>
      <c r="AG1138" s="6" t="n">
        <v>-1.229402603701425</v>
      </c>
      <c r="AH1138" s="6" t="n">
        <v>2.505771842670631</v>
      </c>
      <c r="AI1138" s="6" t="n">
        <v>-0.4893155022033739</v>
      </c>
      <c r="AJ1138" s="6" t="n">
        <v>57.30170871908222</v>
      </c>
      <c r="AK1138" s="6" t="n">
        <v>0.08886412628093018</v>
      </c>
      <c r="AL1138" s="6" t="n">
        <v>1.02572648723856</v>
      </c>
      <c r="AN1138" s="6" t="n">
        <v>1.347218101196176</v>
      </c>
      <c r="AO1138" s="6" t="n">
        <v>1.347218101196176</v>
      </c>
      <c r="AP1138" s="6" t="n">
        <v>0.1341949522277797</v>
      </c>
      <c r="AQ1138" s="6" t="n">
        <v>0</v>
      </c>
      <c r="AR1138" s="6" t="n">
        <v>0</v>
      </c>
    </row>
    <row r="1139">
      <c r="D1139" t="inlineStr">
        <is>
          <t>Run 827</t>
        </is>
      </c>
      <c r="J1139" s="6" t="n">
        <v>0.6355834622467909</v>
      </c>
      <c r="K1139" s="6" t="n">
        <v>-0.1901135010796787</v>
      </c>
      <c r="L1139" s="6" t="n">
        <v>9.302203074812295e-05</v>
      </c>
      <c r="M1139" s="6" t="n">
        <v>-2.728374076552648</v>
      </c>
      <c r="N1139" s="6" t="n">
        <v>-0.3508991154558661</v>
      </c>
      <c r="O1139" s="6" t="n">
        <v>3.400920145316491</v>
      </c>
      <c r="P1139" s="6" t="n">
        <v>-1.631927854157091</v>
      </c>
      <c r="Q1139" s="6" t="n">
        <v>0.2397743551091296</v>
      </c>
      <c r="R1139" s="6" t="n">
        <v>2.068102429660594</v>
      </c>
      <c r="S1139" s="6" t="n">
        <v>2.375989464635086</v>
      </c>
      <c r="T1139" s="6" t="n">
        <v>2.796522130762533</v>
      </c>
      <c r="U1139" s="6" t="n">
        <v>1.076617192081046</v>
      </c>
      <c r="V1139" s="6" t="n">
        <v>-1.037560743117487</v>
      </c>
      <c r="W1139" s="6" t="n">
        <v>1.079691081502341</v>
      </c>
      <c r="X1139" s="6" t="n">
        <v>2.596039509931641</v>
      </c>
      <c r="Y1139" s="6" t="n">
        <v>-5.20094746947916</v>
      </c>
      <c r="Z1139" s="6" t="n">
        <v>-0.2458827283762286</v>
      </c>
      <c r="AA1139" s="6" t="n">
        <v>1.511491855375291</v>
      </c>
      <c r="AB1139" s="6" t="n">
        <v>1.528855943823936</v>
      </c>
      <c r="AC1139" s="6" t="n">
        <v>2.417896491100984</v>
      </c>
      <c r="AD1139" s="6" t="n">
        <v>-2.225463290976671</v>
      </c>
      <c r="AE1139" s="6" t="n">
        <v>-0.8740150227679501</v>
      </c>
      <c r="AF1139" s="6" t="n">
        <v>-1.637870020004457</v>
      </c>
      <c r="AG1139" s="6" t="n">
        <v>0.9744308949137219</v>
      </c>
      <c r="AH1139" s="6" t="n">
        <v>-0.9002677113253831</v>
      </c>
      <c r="AI1139" s="6" t="n">
        <v>1.837362361778014</v>
      </c>
      <c r="AJ1139" s="6" t="n">
        <v>79.24633569493446</v>
      </c>
      <c r="AK1139" s="6" t="n">
        <v>0.08500648962029653</v>
      </c>
      <c r="AL1139" s="6" t="n">
        <v>1.009446078989472</v>
      </c>
      <c r="AN1139" s="6" t="n">
        <v>1.341020705458954</v>
      </c>
      <c r="AO1139" s="6" t="n">
        <v>1.350574414589994</v>
      </c>
      <c r="AP1139" s="6" t="n">
        <v>0.1384068283291477</v>
      </c>
      <c r="AQ1139" s="6" t="n">
        <v>0</v>
      </c>
      <c r="AR1139" s="6" t="n">
        <v>0</v>
      </c>
    </row>
    <row r="1140">
      <c r="D1140" t="inlineStr">
        <is>
          <t>Run 828</t>
        </is>
      </c>
      <c r="J1140" s="6" t="n">
        <v>4.465364345769746</v>
      </c>
      <c r="K1140" s="6" t="n">
        <v>5</v>
      </c>
      <c r="L1140" s="6" t="n">
        <v>2.100110497968061</v>
      </c>
      <c r="M1140" s="6" t="n">
        <v>2.348499958233058</v>
      </c>
      <c r="N1140" s="6" t="n">
        <v>0.3800850636844033</v>
      </c>
      <c r="O1140" s="6" t="n">
        <v>1.49375386233876</v>
      </c>
      <c r="P1140" s="6" t="n">
        <v>1.455816672561042</v>
      </c>
      <c r="Q1140" s="6" t="n">
        <v>-2.717231849734</v>
      </c>
      <c r="R1140" s="6" t="n">
        <v>0.4807137325683541</v>
      </c>
      <c r="S1140" s="6" t="n">
        <v>1.233718555377717</v>
      </c>
      <c r="T1140" s="6" t="n">
        <v>1.884536616566317</v>
      </c>
      <c r="U1140" s="6" t="n">
        <v>1.949063262313625</v>
      </c>
      <c r="V1140" s="6" t="n">
        <v>3.32856140813864</v>
      </c>
      <c r="W1140" s="6" t="n">
        <v>-3.542019066618702</v>
      </c>
      <c r="X1140" s="6" t="n">
        <v>2.664225221053153</v>
      </c>
      <c r="Y1140" s="6" t="n">
        <v>-0.5779315540997093</v>
      </c>
      <c r="Z1140" s="6" t="n">
        <v>-0.685547790576169</v>
      </c>
      <c r="AA1140" s="6" t="n">
        <v>1.739081168764881</v>
      </c>
      <c r="AB1140" s="6" t="n">
        <v>-3.466737022720809</v>
      </c>
      <c r="AC1140" s="6" t="n">
        <v>-2.579568799677433</v>
      </c>
      <c r="AD1140" s="6" t="n">
        <v>0.6550442128871978</v>
      </c>
      <c r="AE1140" s="6" t="n">
        <v>-0.3007341158837402</v>
      </c>
      <c r="AF1140" s="6" t="n">
        <v>2.16387619254514</v>
      </c>
      <c r="AG1140" s="6" t="n">
        <v>-1.621642814331425</v>
      </c>
      <c r="AH1140" s="6" t="n">
        <v>1.845206405068905</v>
      </c>
      <c r="AI1140" s="6" t="n">
        <v>0.675986832775998</v>
      </c>
      <c r="AJ1140" s="6" t="n">
        <v>71.26975921365145</v>
      </c>
      <c r="AK1140" s="6" t="n">
        <v>0.084242411374369</v>
      </c>
      <c r="AL1140" s="6" t="n">
        <v>1.059290092903647</v>
      </c>
      <c r="AN1140" s="6" t="n">
        <v>1.344418158249642</v>
      </c>
      <c r="AO1140" s="6" t="n">
        <v>1.344576595162692</v>
      </c>
      <c r="AP1140" s="6" t="n">
        <v>0.1320845781391096</v>
      </c>
      <c r="AQ1140" s="6" t="n">
        <v>0</v>
      </c>
      <c r="AR1140" s="6" t="n">
        <v>0</v>
      </c>
    </row>
    <row r="1141">
      <c r="D1141" t="inlineStr">
        <is>
          <t>Run 829</t>
        </is>
      </c>
      <c r="J1141" s="6" t="n">
        <v>-0.6283461044172655</v>
      </c>
      <c r="K1141" s="6" t="n">
        <v>-0.6061140914287869</v>
      </c>
      <c r="L1141" s="6" t="n">
        <v>5</v>
      </c>
      <c r="M1141" s="6" t="n">
        <v>3.501538510220465</v>
      </c>
      <c r="N1141" s="6" t="n">
        <v>1.10419541273205</v>
      </c>
      <c r="O1141" s="6" t="n">
        <v>-0.527609255703839</v>
      </c>
      <c r="P1141" s="6" t="n">
        <v>0.5361570735346124</v>
      </c>
      <c r="Q1141" s="6" t="n">
        <v>-2.706945374120871</v>
      </c>
      <c r="R1141" s="6" t="n">
        <v>1.163017741707831</v>
      </c>
      <c r="S1141" s="6" t="n">
        <v>2.840723903167612</v>
      </c>
      <c r="T1141" s="6" t="n">
        <v>1.97985132911051</v>
      </c>
      <c r="U1141" s="6" t="n">
        <v>0.701162058652813</v>
      </c>
      <c r="V1141" s="6" t="n">
        <v>0.2750433118200592</v>
      </c>
      <c r="W1141" s="6" t="n">
        <v>4.601795009854984</v>
      </c>
      <c r="X1141" s="6" t="n">
        <v>-0.8790866542784793</v>
      </c>
      <c r="Y1141" s="6" t="n">
        <v>-3.527096479207295</v>
      </c>
      <c r="Z1141" s="6" t="n">
        <v>-2.095843037192861</v>
      </c>
      <c r="AA1141" s="6" t="n">
        <v>0.4634074377502287</v>
      </c>
      <c r="AB1141" s="6" t="n">
        <v>0.1218885973521426</v>
      </c>
      <c r="AC1141" s="6" t="n">
        <v>2.650455098166809</v>
      </c>
      <c r="AD1141" s="6" t="n">
        <v>0.5409395494615569</v>
      </c>
      <c r="AE1141" s="6" t="n">
        <v>1.241931102455</v>
      </c>
      <c r="AF1141" s="6" t="n">
        <v>-0.5042942773561402</v>
      </c>
      <c r="AG1141" s="6" t="n">
        <v>-0.6747081991748796</v>
      </c>
      <c r="AH1141" s="6" t="n">
        <v>4.174788500199816</v>
      </c>
      <c r="AI1141" s="6" t="n">
        <v>3.246653999672501</v>
      </c>
      <c r="AJ1141" s="6" t="n">
        <v>64.12756748948759</v>
      </c>
      <c r="AK1141" s="6" t="n">
        <v>0.08908853806788546</v>
      </c>
      <c r="AL1141" s="6" t="n">
        <v>1.059126972688883</v>
      </c>
      <c r="AN1141" s="6" t="n">
        <v>1.339837212580587</v>
      </c>
      <c r="AO1141" s="6" t="n">
        <v>1.340001374217291</v>
      </c>
      <c r="AP1141" s="6" t="n">
        <v>0.1313463926602213</v>
      </c>
      <c r="AQ1141" s="6" t="n">
        <v>0</v>
      </c>
      <c r="AR1141" s="6" t="n">
        <v>0</v>
      </c>
    </row>
    <row r="1142">
      <c r="D1142" t="inlineStr">
        <is>
          <t>Run 830</t>
        </is>
      </c>
      <c r="J1142" s="6" t="n">
        <v>-2.406794717829814</v>
      </c>
      <c r="K1142" s="6" t="n">
        <v>0.5510388911832523</v>
      </c>
      <c r="L1142" s="6" t="n">
        <v>-0.5761333624807947</v>
      </c>
      <c r="M1142" s="6" t="n">
        <v>5</v>
      </c>
      <c r="N1142" s="6" t="n">
        <v>-2.454310932761115</v>
      </c>
      <c r="O1142" s="6" t="n">
        <v>-0.1927776397871662</v>
      </c>
      <c r="P1142" s="6" t="n">
        <v>2.62785764143333</v>
      </c>
      <c r="Q1142" s="6" t="n">
        <v>-1.210218692138441</v>
      </c>
      <c r="R1142" s="6" t="n">
        <v>1.902259964699148</v>
      </c>
      <c r="S1142" s="6" t="n">
        <v>3.490697818063208</v>
      </c>
      <c r="T1142" s="6" t="n">
        <v>-0.2163255344461715</v>
      </c>
      <c r="U1142" s="6" t="n">
        <v>-2.28859512820086</v>
      </c>
      <c r="V1142" s="6" t="n">
        <v>1.263361084591889</v>
      </c>
      <c r="W1142" s="6" t="n">
        <v>0.1434261846007788</v>
      </c>
      <c r="X1142" s="6" t="n">
        <v>-0.1390101725325854</v>
      </c>
      <c r="Y1142" s="6" t="n">
        <v>-1.130916829139972</v>
      </c>
      <c r="Z1142" s="6" t="n">
        <v>2.167761000821739</v>
      </c>
      <c r="AA1142" s="6" t="n">
        <v>-0.7272658708186305</v>
      </c>
      <c r="AB1142" s="6" t="n">
        <v>-2.161936067367757</v>
      </c>
      <c r="AC1142" s="6" t="n">
        <v>-1.165212675654757</v>
      </c>
      <c r="AD1142" s="6" t="n">
        <v>-3.178229994520668</v>
      </c>
      <c r="AE1142" s="6" t="n">
        <v>0.5579147054560407</v>
      </c>
      <c r="AF1142" s="6" t="n">
        <v>-0.9175340038271427</v>
      </c>
      <c r="AG1142" s="6" t="n">
        <v>-0.4959669645310742</v>
      </c>
      <c r="AH1142" s="6" t="n">
        <v>-1.463096858877797</v>
      </c>
      <c r="AI1142" s="6" t="n">
        <v>-1.687615843552124</v>
      </c>
      <c r="AJ1142" s="6" t="n">
        <v>80.15359215195585</v>
      </c>
      <c r="AK1142" s="6" t="n">
        <v>0.158988374438127</v>
      </c>
      <c r="AL1142" s="6" t="n">
        <v>1.059196594810825</v>
      </c>
      <c r="AN1142" s="6" t="n">
        <v>1.341201598779207</v>
      </c>
      <c r="AO1142" s="6" t="n">
        <v>1.341943662175351</v>
      </c>
      <c r="AP1142" s="6" t="n">
        <v>0.1310413357746156</v>
      </c>
      <c r="AQ1142" s="6" t="n">
        <v>0</v>
      </c>
      <c r="AR1142" s="6" t="n">
        <v>0</v>
      </c>
    </row>
    <row r="1143">
      <c r="D1143" t="inlineStr">
        <is>
          <t>Run 831</t>
        </is>
      </c>
      <c r="J1143" s="6" t="n">
        <v>-2.251898123068107</v>
      </c>
      <c r="K1143" s="6" t="n">
        <v>3.490083245807253</v>
      </c>
      <c r="L1143" s="6" t="n">
        <v>-2.900901955745495</v>
      </c>
      <c r="M1143" s="6" t="n">
        <v>-0.7906927723593129</v>
      </c>
      <c r="N1143" s="6" t="n">
        <v>0.9880086831616726</v>
      </c>
      <c r="O1143" s="6" t="n">
        <v>2.4629813253953</v>
      </c>
      <c r="P1143" s="6" t="n">
        <v>2.033083630092405</v>
      </c>
      <c r="Q1143" s="6" t="n">
        <v>1.728796997002242</v>
      </c>
      <c r="R1143" s="6" t="n">
        <v>-2.935463619808201</v>
      </c>
      <c r="S1143" s="6" t="n">
        <v>-0.5752049332503506</v>
      </c>
      <c r="T1143" s="6" t="n">
        <v>-1.396197498579608</v>
      </c>
      <c r="U1143" s="6" t="n">
        <v>-1.087082565524304</v>
      </c>
      <c r="V1143" s="6" t="n">
        <v>-2.035112481496384</v>
      </c>
      <c r="W1143" s="6" t="n">
        <v>-1.255292556235983</v>
      </c>
      <c r="X1143" s="6" t="n">
        <v>0.1364770725830556</v>
      </c>
      <c r="Y1143" s="6" t="n">
        <v>2.751324444799978</v>
      </c>
      <c r="Z1143" s="6" t="n">
        <v>-0.8334355573417958</v>
      </c>
      <c r="AA1143" s="6" t="n">
        <v>1.577171235710309</v>
      </c>
      <c r="AB1143" s="6" t="n">
        <v>1.115395718837493</v>
      </c>
      <c r="AC1143" s="6" t="n">
        <v>1.689847767179053</v>
      </c>
      <c r="AD1143" s="6" t="n">
        <v>0.1676791938386982</v>
      </c>
      <c r="AE1143" s="6" t="n">
        <v>-0.2997095534587942</v>
      </c>
      <c r="AF1143" s="6" t="n">
        <v>3.21172220455616</v>
      </c>
      <c r="AG1143" s="6" t="n">
        <v>-0.2452135903106727</v>
      </c>
      <c r="AH1143" s="6" t="n">
        <v>2.016275859994184</v>
      </c>
      <c r="AI1143" s="6" t="n">
        <v>-1.175081662994253</v>
      </c>
      <c r="AJ1143" s="6" t="n">
        <v>67.71614595620971</v>
      </c>
      <c r="AK1143" s="6" t="n">
        <v>0.1084987314415012</v>
      </c>
      <c r="AL1143" s="6" t="n">
        <v>1.098373469852814</v>
      </c>
      <c r="AN1143" s="6" t="n">
        <v>1.327464903226913</v>
      </c>
      <c r="AO1143" s="6" t="n">
        <v>1.327467289763894</v>
      </c>
      <c r="AP1143" s="6" t="n">
        <v>0.1296039303317229</v>
      </c>
      <c r="AQ1143" s="6" t="n">
        <v>0</v>
      </c>
      <c r="AR1143" s="6" t="n">
        <v>0</v>
      </c>
    </row>
    <row r="1144">
      <c r="D1144" t="inlineStr">
        <is>
          <t>Run 832</t>
        </is>
      </c>
      <c r="J1144" s="6" t="n">
        <v>0.7871891093924651</v>
      </c>
      <c r="K1144" s="6" t="n">
        <v>-0.3249213949721477</v>
      </c>
      <c r="L1144" s="6" t="n">
        <v>0.01529943503862685</v>
      </c>
      <c r="M1144" s="6" t="n">
        <v>-0.7296929899495359</v>
      </c>
      <c r="N1144" s="6" t="n">
        <v>0.5469129106810421</v>
      </c>
      <c r="O1144" s="6" t="n">
        <v>1.899399203036588</v>
      </c>
      <c r="P1144" s="6" t="n">
        <v>2.225301971967496</v>
      </c>
      <c r="Q1144" s="6" t="n">
        <v>2.663687065321321</v>
      </c>
      <c r="R1144" s="6" t="n">
        <v>1.812858465120449</v>
      </c>
      <c r="S1144" s="6" t="n">
        <v>1.964223056781197</v>
      </c>
      <c r="T1144" s="6" t="n">
        <v>1.551734252599015</v>
      </c>
      <c r="U1144" s="6" t="n">
        <v>3.471591408538234</v>
      </c>
      <c r="V1144" s="6" t="n">
        <v>-0.8878211110117011</v>
      </c>
      <c r="W1144" s="6" t="n">
        <v>-2.241775741822547</v>
      </c>
      <c r="X1144" s="6" t="n">
        <v>0.3962514190062701</v>
      </c>
      <c r="Y1144" s="6" t="n">
        <v>1.289486455544443</v>
      </c>
      <c r="Z1144" s="6" t="n">
        <v>-0.4595804376171426</v>
      </c>
      <c r="AA1144" s="6" t="n">
        <v>-1.427599704415328</v>
      </c>
      <c r="AB1144" s="6" t="n">
        <v>1.097619649895146</v>
      </c>
      <c r="AC1144" s="6" t="n">
        <v>1.21204453168002</v>
      </c>
      <c r="AD1144" s="6" t="n">
        <v>-0.9237107326688559</v>
      </c>
      <c r="AE1144" s="6" t="n">
        <v>-2.449648155364352</v>
      </c>
      <c r="AF1144" s="6" t="n">
        <v>3.851414451205935</v>
      </c>
      <c r="AG1144" s="6" t="n">
        <v>2.613797850970357</v>
      </c>
      <c r="AH1144" s="6" t="n">
        <v>-1.207962095476169</v>
      </c>
      <c r="AI1144" s="6" t="n">
        <v>-0.9998796602631045</v>
      </c>
      <c r="AJ1144" s="6" t="n">
        <v>78.26138865480367</v>
      </c>
      <c r="AK1144" s="6" t="n">
        <v>0.1425569788464732</v>
      </c>
      <c r="AL1144" s="6" t="n">
        <v>1.041766649050241</v>
      </c>
      <c r="AN1144" s="6" t="n">
        <v>1.350249794373611</v>
      </c>
      <c r="AO1144" s="6" t="n">
        <v>1.350454369613492</v>
      </c>
      <c r="AP1144" s="6" t="n">
        <v>0.133191156462356</v>
      </c>
      <c r="AQ1144" s="6" t="n">
        <v>0</v>
      </c>
      <c r="AR1144" s="6" t="n">
        <v>0</v>
      </c>
    </row>
    <row r="1145">
      <c r="D1145" t="inlineStr">
        <is>
          <t>Run 833</t>
        </is>
      </c>
      <c r="J1145" s="6" t="n">
        <v>-0.02611028202551844</v>
      </c>
      <c r="K1145" s="6" t="n">
        <v>3.486713309451001</v>
      </c>
      <c r="L1145" s="6" t="n">
        <v>-0.8835004340781901</v>
      </c>
      <c r="M1145" s="6" t="n">
        <v>-0.06083328145710781</v>
      </c>
      <c r="N1145" s="6" t="n">
        <v>1.816291067646291</v>
      </c>
      <c r="O1145" s="6" t="n">
        <v>-3.991258748180038</v>
      </c>
      <c r="P1145" s="6" t="n">
        <v>1.3113268813804</v>
      </c>
      <c r="Q1145" s="6" t="n">
        <v>-2.818431992756416</v>
      </c>
      <c r="R1145" s="6" t="n">
        <v>3.714897218894438</v>
      </c>
      <c r="S1145" s="6" t="n">
        <v>1.67204893068436</v>
      </c>
      <c r="T1145" s="6" t="n">
        <v>-0.2238383613835976</v>
      </c>
      <c r="U1145" s="6" t="n">
        <v>1.436955638046755</v>
      </c>
      <c r="V1145" s="6" t="n">
        <v>1.526200130154869</v>
      </c>
      <c r="W1145" s="6" t="n">
        <v>3.319250970463234</v>
      </c>
      <c r="X1145" s="6" t="n">
        <v>-1.672784055238735</v>
      </c>
      <c r="Y1145" s="6" t="n">
        <v>0.7819591846136126</v>
      </c>
      <c r="Z1145" s="6" t="n">
        <v>0.4803026566668164</v>
      </c>
      <c r="AA1145" s="6" t="n">
        <v>3.652065929914123</v>
      </c>
      <c r="AB1145" s="6" t="n">
        <v>-1.233050552671545</v>
      </c>
      <c r="AC1145" s="6" t="n">
        <v>-1.715834305609623</v>
      </c>
      <c r="AD1145" s="6" t="n">
        <v>1.340409933316129</v>
      </c>
      <c r="AE1145" s="6" t="n">
        <v>-0.3817813104828408</v>
      </c>
      <c r="AF1145" s="6" t="n">
        <v>2.436013485414168</v>
      </c>
      <c r="AG1145" s="6" t="n">
        <v>0.8094809305322038</v>
      </c>
      <c r="AH1145" s="6" t="n">
        <v>0.4911811507963538</v>
      </c>
      <c r="AI1145" s="6" t="n">
        <v>0.66944720095369</v>
      </c>
      <c r="AJ1145" s="6" t="n">
        <v>75.37130013097446</v>
      </c>
      <c r="AK1145" s="6" t="n">
        <v>0.06246268774291347</v>
      </c>
      <c r="AL1145" s="6" t="n">
        <v>1.087372483862528</v>
      </c>
      <c r="AN1145" s="6" t="n">
        <v>1.333122028315445</v>
      </c>
      <c r="AO1145" s="6" t="n">
        <v>1.336920046435646</v>
      </c>
      <c r="AP1145" s="6" t="n">
        <v>0.1311650547939426</v>
      </c>
      <c r="AQ1145" s="6" t="n">
        <v>0</v>
      </c>
      <c r="AR1145" s="6" t="n">
        <v>0</v>
      </c>
    </row>
    <row r="1146">
      <c r="D1146" t="inlineStr">
        <is>
          <t>Run 834</t>
        </is>
      </c>
      <c r="J1146" s="6" t="n">
        <v>0.6344928912951466</v>
      </c>
      <c r="K1146" s="6" t="n">
        <v>5</v>
      </c>
      <c r="L1146" s="6" t="n">
        <v>-0.9243973675313534</v>
      </c>
      <c r="M1146" s="6" t="n">
        <v>-0.6917170051391472</v>
      </c>
      <c r="N1146" s="6" t="n">
        <v>-1.920813480286365</v>
      </c>
      <c r="O1146" s="6" t="n">
        <v>-2.03371971285566</v>
      </c>
      <c r="P1146" s="6" t="n">
        <v>2.108488056797968</v>
      </c>
      <c r="Q1146" s="6" t="n">
        <v>-0.8586796437451154</v>
      </c>
      <c r="R1146" s="6" t="n">
        <v>-1.660693186056917</v>
      </c>
      <c r="S1146" s="6" t="n">
        <v>1.529470314662416</v>
      </c>
      <c r="T1146" s="6" t="n">
        <v>-0.7924883944374378</v>
      </c>
      <c r="U1146" s="6" t="n">
        <v>-2.533177499032647</v>
      </c>
      <c r="V1146" s="6" t="n">
        <v>0.5910222670367269</v>
      </c>
      <c r="W1146" s="6" t="n">
        <v>-1.702256786537498</v>
      </c>
      <c r="X1146" s="6" t="n">
        <v>2.288468324115959</v>
      </c>
      <c r="Y1146" s="6" t="n">
        <v>0.1542193176439652</v>
      </c>
      <c r="Z1146" s="6" t="n">
        <v>-1.735012990764929</v>
      </c>
      <c r="AA1146" s="6" t="n">
        <v>-1.232046768319396</v>
      </c>
      <c r="AB1146" s="6" t="n">
        <v>-0.05777590785531748</v>
      </c>
      <c r="AC1146" s="6" t="n">
        <v>-0.9570248689942601</v>
      </c>
      <c r="AD1146" s="6" t="n">
        <v>0.665618193899957</v>
      </c>
      <c r="AE1146" s="6" t="n">
        <v>0.8993763783510432</v>
      </c>
      <c r="AF1146" s="6" t="n">
        <v>1.583548032254502</v>
      </c>
      <c r="AG1146" s="6" t="n">
        <v>-3.834665073926346</v>
      </c>
      <c r="AH1146" s="6" t="n">
        <v>0.3265210184907308</v>
      </c>
      <c r="AI1146" s="6" t="n">
        <v>-0.5742924067606671</v>
      </c>
      <c r="AJ1146" s="6" t="n">
        <v>62.72135616787041</v>
      </c>
      <c r="AK1146" s="6" t="n">
        <v>0.09269847990266364</v>
      </c>
      <c r="AL1146" s="6" t="n">
        <v>1.113560660787046</v>
      </c>
      <c r="AN1146" s="6" t="n">
        <v>1.327825289095358</v>
      </c>
      <c r="AO1146" s="6" t="n">
        <v>1.329371126413029</v>
      </c>
      <c r="AP1146" s="6" t="n">
        <v>0.1288051956137152</v>
      </c>
      <c r="AQ1146" s="6" t="n">
        <v>0</v>
      </c>
      <c r="AR1146" s="6" t="n">
        <v>0</v>
      </c>
    </row>
    <row r="1147">
      <c r="D1147" t="inlineStr">
        <is>
          <t>Run 835</t>
        </is>
      </c>
      <c r="J1147" s="6" t="n">
        <v>-1.212391781187838</v>
      </c>
      <c r="K1147" s="6" t="n">
        <v>-4.002985192127805</v>
      </c>
      <c r="L1147" s="6" t="n">
        <v>-1.484285951219375</v>
      </c>
      <c r="M1147" s="6" t="n">
        <v>-5.713619978971297</v>
      </c>
      <c r="N1147" s="6" t="n">
        <v>1.25643134056952</v>
      </c>
      <c r="O1147" s="6" t="n">
        <v>-2.525004196572609</v>
      </c>
      <c r="P1147" s="6" t="n">
        <v>1.465887385819781</v>
      </c>
      <c r="Q1147" s="6" t="n">
        <v>0.1562376171342718</v>
      </c>
      <c r="R1147" s="6" t="n">
        <v>1.602084098406973</v>
      </c>
      <c r="S1147" s="6" t="n">
        <v>0.951369145230837</v>
      </c>
      <c r="T1147" s="6" t="n">
        <v>0.2331430574924823</v>
      </c>
      <c r="U1147" s="6" t="n">
        <v>-0.5406238226057328</v>
      </c>
      <c r="V1147" s="6" t="n">
        <v>1.100539362163754</v>
      </c>
      <c r="W1147" s="6" t="n">
        <v>-3.364171061327935</v>
      </c>
      <c r="X1147" s="6" t="n">
        <v>0.8412461297223508</v>
      </c>
      <c r="Y1147" s="6" t="n">
        <v>-2.280533826427116</v>
      </c>
      <c r="Z1147" s="6" t="n">
        <v>-2.782722470317536</v>
      </c>
      <c r="AA1147" s="6" t="n">
        <v>0.07949329091919095</v>
      </c>
      <c r="AB1147" s="6" t="n">
        <v>-0.1199967366246291</v>
      </c>
      <c r="AC1147" s="6" t="n">
        <v>-1.062248791283586</v>
      </c>
      <c r="AD1147" s="6" t="n">
        <v>-1.25475125231601</v>
      </c>
      <c r="AE1147" s="6" t="n">
        <v>-0.7697705424860259</v>
      </c>
      <c r="AF1147" s="6" t="n">
        <v>0.7869976716835311</v>
      </c>
      <c r="AG1147" s="6" t="n">
        <v>-0.5245741581640172</v>
      </c>
      <c r="AH1147" s="6" t="n">
        <v>4.343114735479518</v>
      </c>
      <c r="AI1147" s="6" t="n">
        <v>2.651495760599758</v>
      </c>
      <c r="AJ1147" s="6" t="n">
        <v>66.98928953985607</v>
      </c>
      <c r="AK1147" s="6" t="n">
        <v>0.103415896106839</v>
      </c>
      <c r="AL1147" s="6" t="n">
        <v>1.034845470198155</v>
      </c>
      <c r="AN1147" s="6" t="n">
        <v>1.280272655078333</v>
      </c>
      <c r="AO1147" s="6" t="n">
        <v>1.294106311629275</v>
      </c>
      <c r="AP1147" s="6" t="n">
        <v>0.1328509342582868</v>
      </c>
      <c r="AQ1147" s="6" t="n">
        <v>0</v>
      </c>
      <c r="AR1147" s="6" t="n">
        <v>0</v>
      </c>
    </row>
    <row r="1148">
      <c r="D1148" t="inlineStr">
        <is>
          <t>Run 836</t>
        </is>
      </c>
      <c r="J1148" s="6" t="n">
        <v>-0.05601971800113004</v>
      </c>
      <c r="K1148" s="6" t="n">
        <v>0.0287784456223859</v>
      </c>
      <c r="L1148" s="6" t="n">
        <v>-1.757637597573777</v>
      </c>
      <c r="M1148" s="6" t="n">
        <v>0.4772697871443334</v>
      </c>
      <c r="N1148" s="6" t="n">
        <v>-0.413391135504605</v>
      </c>
      <c r="O1148" s="6" t="n">
        <v>0.266765679607665</v>
      </c>
      <c r="P1148" s="6" t="n">
        <v>-0.5474234033900003</v>
      </c>
      <c r="Q1148" s="6" t="n">
        <v>0.5944520082958246</v>
      </c>
      <c r="R1148" s="6" t="n">
        <v>-6.01006005932285</v>
      </c>
      <c r="S1148" s="6" t="n">
        <v>0.6695886009285861</v>
      </c>
      <c r="T1148" s="6" t="n">
        <v>2.033485836054816</v>
      </c>
      <c r="U1148" s="6" t="n">
        <v>-2.371205689049809</v>
      </c>
      <c r="V1148" s="6" t="n">
        <v>-0.3712593935466644</v>
      </c>
      <c r="W1148" s="6" t="n">
        <v>0.3671779070268297</v>
      </c>
      <c r="X1148" s="6" t="n">
        <v>2.532376303371312</v>
      </c>
      <c r="Y1148" s="6" t="n">
        <v>1.185740553859668</v>
      </c>
      <c r="Z1148" s="6" t="n">
        <v>2.610172605307117</v>
      </c>
      <c r="AA1148" s="6" t="n">
        <v>-2.476266454930883</v>
      </c>
      <c r="AB1148" s="6" t="n">
        <v>-0.7139832217232522</v>
      </c>
      <c r="AC1148" s="6" t="n">
        <v>1.807180293330542</v>
      </c>
      <c r="AD1148" s="6" t="n">
        <v>0.1971302248541214</v>
      </c>
      <c r="AE1148" s="6" t="n">
        <v>-1.723556682391987</v>
      </c>
      <c r="AF1148" s="6" t="n">
        <v>-1.208374484481303</v>
      </c>
      <c r="AG1148" s="6" t="n">
        <v>-0.3355346217362505</v>
      </c>
      <c r="AH1148" s="6" t="n">
        <v>1.886664799852123</v>
      </c>
      <c r="AI1148" s="6" t="n">
        <v>-1.61263766589796</v>
      </c>
      <c r="AJ1148" s="6" t="n">
        <v>73.94041398672729</v>
      </c>
      <c r="AK1148" s="6" t="n">
        <v>0.1638231499537384</v>
      </c>
      <c r="AL1148" s="6" t="n">
        <v>1.029368693010875</v>
      </c>
      <c r="AN1148" s="6" t="n">
        <v>1.351904454316018</v>
      </c>
      <c r="AO1148" s="6" t="n">
        <v>1.351904454316018</v>
      </c>
      <c r="AP1148" s="6" t="n">
        <v>0.1335503992905926</v>
      </c>
      <c r="AQ1148" s="6" t="n">
        <v>0</v>
      </c>
      <c r="AR1148" s="6" t="n">
        <v>0</v>
      </c>
    </row>
    <row r="1149">
      <c r="D1149" t="inlineStr">
        <is>
          <t>Run 837</t>
        </is>
      </c>
      <c r="J1149" s="6" t="n">
        <v>-2.527405318498336</v>
      </c>
      <c r="K1149" s="6" t="n">
        <v>-0.3815879986886856</v>
      </c>
      <c r="L1149" s="6" t="n">
        <v>1.113197160348117</v>
      </c>
      <c r="M1149" s="6" t="n">
        <v>-2.818632110222506</v>
      </c>
      <c r="N1149" s="6" t="n">
        <v>2.69036216012982</v>
      </c>
      <c r="O1149" s="6" t="n">
        <v>0.9102198023611784</v>
      </c>
      <c r="P1149" s="6" t="n">
        <v>-3.642582117236502</v>
      </c>
      <c r="Q1149" s="6" t="n">
        <v>-2.648013299040924</v>
      </c>
      <c r="R1149" s="6" t="n">
        <v>-0.2642743377978238</v>
      </c>
      <c r="S1149" s="6" t="n">
        <v>2.854879953257747</v>
      </c>
      <c r="T1149" s="6" t="n">
        <v>-1.033727933634681</v>
      </c>
      <c r="U1149" s="6" t="n">
        <v>-1.662157598025469</v>
      </c>
      <c r="V1149" s="6" t="n">
        <v>2.422405344678106</v>
      </c>
      <c r="W1149" s="6" t="n">
        <v>-0.4371672298024241</v>
      </c>
      <c r="X1149" s="6" t="n">
        <v>1.061007595829312</v>
      </c>
      <c r="Y1149" s="6" t="n">
        <v>4.587968488946442</v>
      </c>
      <c r="Z1149" s="6" t="n">
        <v>0.03381729536178943</v>
      </c>
      <c r="AA1149" s="6" t="n">
        <v>-1.201571125189626</v>
      </c>
      <c r="AB1149" s="6" t="n">
        <v>-0.3210301592472615</v>
      </c>
      <c r="AC1149" s="6" t="n">
        <v>1.687649467890968</v>
      </c>
      <c r="AD1149" s="6" t="n">
        <v>-2.872206823942447</v>
      </c>
      <c r="AE1149" s="6" t="n">
        <v>-1.547977207944845</v>
      </c>
      <c r="AF1149" s="6" t="n">
        <v>1.198186861046778</v>
      </c>
      <c r="AG1149" s="6" t="n">
        <v>0.8852910016314374</v>
      </c>
      <c r="AH1149" s="6" t="n">
        <v>-2.039589989090735</v>
      </c>
      <c r="AI1149" s="6" t="n">
        <v>3.579336679371915</v>
      </c>
      <c r="AJ1149" s="6" t="n">
        <v>74.8264802502695</v>
      </c>
      <c r="AK1149" s="6" t="n">
        <v>0.1512460006269288</v>
      </c>
      <c r="AL1149" s="6" t="n">
        <v>1.042527398632447</v>
      </c>
      <c r="AN1149" s="6" t="n">
        <v>1.321113234623149</v>
      </c>
      <c r="AO1149" s="6" t="n">
        <v>1.331072072996458</v>
      </c>
      <c r="AP1149" s="6" t="n">
        <v>0.1320469159695088</v>
      </c>
      <c r="AQ1149" s="6" t="n">
        <v>0</v>
      </c>
      <c r="AR1149" s="6" t="n">
        <v>0</v>
      </c>
    </row>
    <row r="1150">
      <c r="D1150" t="inlineStr">
        <is>
          <t>Run 838</t>
        </is>
      </c>
      <c r="J1150" s="6" t="n">
        <v>2.706722429577558</v>
      </c>
      <c r="K1150" s="6" t="n">
        <v>0.4667784581552681</v>
      </c>
      <c r="L1150" s="6" t="n">
        <v>1.804807077340906</v>
      </c>
      <c r="M1150" s="6" t="n">
        <v>2.32335454325876</v>
      </c>
      <c r="N1150" s="6" t="n">
        <v>2.224570898502396</v>
      </c>
      <c r="O1150" s="6" t="n">
        <v>-1.907592889941061</v>
      </c>
      <c r="P1150" s="6" t="n">
        <v>-1.965244293445894</v>
      </c>
      <c r="Q1150" s="6" t="n">
        <v>-3.892822235657841</v>
      </c>
      <c r="R1150" s="6" t="n">
        <v>-1.217373860502144</v>
      </c>
      <c r="S1150" s="6" t="n">
        <v>-5.066417174970798</v>
      </c>
      <c r="T1150" s="6" t="n">
        <v>0.6572715633303808</v>
      </c>
      <c r="U1150" s="6" t="n">
        <v>-1.783027991862387</v>
      </c>
      <c r="V1150" s="6" t="n">
        <v>0.872039305560293</v>
      </c>
      <c r="W1150" s="6" t="n">
        <v>-0.8004825436804102</v>
      </c>
      <c r="X1150" s="6" t="n">
        <v>-1.478110447866657</v>
      </c>
      <c r="Y1150" s="6" t="n">
        <v>0.3524586127076083</v>
      </c>
      <c r="Z1150" s="6" t="n">
        <v>-0.1514002044474607</v>
      </c>
      <c r="AA1150" s="6" t="n">
        <v>-2.024117195439009</v>
      </c>
      <c r="AB1150" s="6" t="n">
        <v>-2.463523636560154</v>
      </c>
      <c r="AC1150" s="6" t="n">
        <v>-1.017453399009487</v>
      </c>
      <c r="AD1150" s="6" t="n">
        <v>3.423547334782243</v>
      </c>
      <c r="AE1150" s="6" t="n">
        <v>-0.2297346643021781</v>
      </c>
      <c r="AF1150" s="6" t="n">
        <v>-1.779505892759863</v>
      </c>
      <c r="AG1150" s="6" t="n">
        <v>-1.573947782068417</v>
      </c>
      <c r="AH1150" s="6" t="n">
        <v>-1.120838059667072</v>
      </c>
      <c r="AI1150" s="6" t="n">
        <v>0.5688811486404808</v>
      </c>
      <c r="AJ1150" s="6" t="n">
        <v>67.0595706820281</v>
      </c>
      <c r="AK1150" s="6" t="n">
        <v>0.07749018750086031</v>
      </c>
      <c r="AL1150" s="6" t="n">
        <v>1.032383398339308</v>
      </c>
      <c r="AN1150" s="6" t="n">
        <v>1.348355225597916</v>
      </c>
      <c r="AO1150" s="6" t="n">
        <v>1.348539148567858</v>
      </c>
      <c r="AP1150" s="6" t="n">
        <v>0.1340337253966294</v>
      </c>
      <c r="AQ1150" s="6" t="n">
        <v>0</v>
      </c>
      <c r="AR1150" s="6" t="n">
        <v>0</v>
      </c>
    </row>
    <row r="1151">
      <c r="D1151" t="inlineStr">
        <is>
          <t>Run 839</t>
        </is>
      </c>
      <c r="J1151" s="6" t="n">
        <v>2.828744420376439</v>
      </c>
      <c r="K1151" s="6" t="n">
        <v>0.1016409665593066</v>
      </c>
      <c r="L1151" s="6" t="n">
        <v>-3.423594011066958</v>
      </c>
      <c r="M1151" s="6" t="n">
        <v>-4.119107174071695</v>
      </c>
      <c r="N1151" s="6" t="n">
        <v>-0.7055920771515909</v>
      </c>
      <c r="O1151" s="6" t="n">
        <v>0.1962195167667532</v>
      </c>
      <c r="P1151" s="6" t="n">
        <v>2.346596286315234</v>
      </c>
      <c r="Q1151" s="6" t="n">
        <v>0.1935963052122832</v>
      </c>
      <c r="R1151" s="6" t="n">
        <v>2.706694244154812</v>
      </c>
      <c r="S1151" s="6" t="n">
        <v>-3.348883081785164</v>
      </c>
      <c r="T1151" s="6" t="n">
        <v>-0.8394132160138239</v>
      </c>
      <c r="U1151" s="6" t="n">
        <v>4.088356121056252</v>
      </c>
      <c r="V1151" s="6" t="n">
        <v>1.537231503714574</v>
      </c>
      <c r="W1151" s="6" t="n">
        <v>-3.065572503893112</v>
      </c>
      <c r="X1151" s="6" t="n">
        <v>-2.184796585239994</v>
      </c>
      <c r="Y1151" s="6" t="n">
        <v>-0.9740609405645665</v>
      </c>
      <c r="Z1151" s="6" t="n">
        <v>-1.692446487801112</v>
      </c>
      <c r="AA1151" s="6" t="n">
        <v>0.1563527276109845</v>
      </c>
      <c r="AB1151" s="6" t="n">
        <v>2.303013606813566</v>
      </c>
      <c r="AC1151" s="6" t="n">
        <v>-1.84367972282212</v>
      </c>
      <c r="AD1151" s="6" t="n">
        <v>-2.008672771123317</v>
      </c>
      <c r="AE1151" s="6" t="n">
        <v>0.990148463646642</v>
      </c>
      <c r="AF1151" s="6" t="n">
        <v>-1.106852432877846</v>
      </c>
      <c r="AG1151" s="6" t="n">
        <v>-3.1390931965294</v>
      </c>
      <c r="AH1151" s="6" t="n">
        <v>2.567805277921812</v>
      </c>
      <c r="AI1151" s="6" t="n">
        <v>3.411281704916297</v>
      </c>
      <c r="AJ1151" s="6" t="n">
        <v>65.69928166040586</v>
      </c>
      <c r="AK1151" s="6" t="n">
        <v>0.1288599626485434</v>
      </c>
      <c r="AL1151" s="6" t="n">
        <v>1.026615839612147</v>
      </c>
      <c r="AN1151" s="6" t="n">
        <v>1.300647489316169</v>
      </c>
      <c r="AO1151" s="6" t="n">
        <v>1.31147486790625</v>
      </c>
      <c r="AP1151" s="6" t="n">
        <v>0.1333292650370825</v>
      </c>
      <c r="AQ1151" s="6" t="n">
        <v>0</v>
      </c>
      <c r="AR1151" s="6" t="n">
        <v>0</v>
      </c>
    </row>
    <row r="1152">
      <c r="D1152" t="inlineStr">
        <is>
          <t>Run 840</t>
        </is>
      </c>
      <c r="J1152" s="6" t="n">
        <v>-0.8914299781772217</v>
      </c>
      <c r="K1152" s="6" t="n">
        <v>0.2634838910682397</v>
      </c>
      <c r="L1152" s="6" t="n">
        <v>-0.6936465275596838</v>
      </c>
      <c r="M1152" s="6" t="n">
        <v>-3.401929652100824</v>
      </c>
      <c r="N1152" s="6" t="n">
        <v>0.9381065570669347</v>
      </c>
      <c r="O1152" s="6" t="n">
        <v>0.6973062883015051</v>
      </c>
      <c r="P1152" s="6" t="n">
        <v>-2.189078277709632</v>
      </c>
      <c r="Q1152" s="6" t="n">
        <v>1.100424768225989</v>
      </c>
      <c r="R1152" s="6" t="n">
        <v>-0.2569804125229603</v>
      </c>
      <c r="S1152" s="6" t="n">
        <v>1.357531119084926</v>
      </c>
      <c r="T1152" s="6" t="n">
        <v>1.195357167966484</v>
      </c>
      <c r="U1152" s="6" t="n">
        <v>-2.856727365572909</v>
      </c>
      <c r="V1152" s="6" t="n">
        <v>-0.5099235476633623</v>
      </c>
      <c r="W1152" s="6" t="n">
        <v>-2.111071145749644</v>
      </c>
      <c r="X1152" s="6" t="n">
        <v>0.3533178747437201</v>
      </c>
      <c r="Y1152" s="6" t="n">
        <v>1.622278861577303</v>
      </c>
      <c r="Z1152" s="6" t="n">
        <v>1.422183626095086</v>
      </c>
      <c r="AA1152" s="6" t="n">
        <v>-0.5268753039995252</v>
      </c>
      <c r="AB1152" s="6" t="n">
        <v>-1.96111428390471</v>
      </c>
      <c r="AC1152" s="6" t="n">
        <v>-2.200849361499083</v>
      </c>
      <c r="AD1152" s="6" t="n">
        <v>-0.1550138615103451</v>
      </c>
      <c r="AE1152" s="6" t="n">
        <v>-1.27557352456831</v>
      </c>
      <c r="AF1152" s="6" t="n">
        <v>-1.58356253732853</v>
      </c>
      <c r="AG1152" s="6" t="n">
        <v>0.6453097080122362</v>
      </c>
      <c r="AH1152" s="6" t="n">
        <v>-3.133630673076582</v>
      </c>
      <c r="AI1152" s="6" t="n">
        <v>1.881099155138641</v>
      </c>
      <c r="AJ1152" s="6" t="n">
        <v>83.10220404980235</v>
      </c>
      <c r="AK1152" s="6" t="n">
        <v>0.1226927349527341</v>
      </c>
      <c r="AL1152" s="6" t="n">
        <v>1.098031915480727</v>
      </c>
      <c r="AN1152" s="6" t="n">
        <v>1.301995540919758</v>
      </c>
      <c r="AO1152" s="6" t="n">
        <v>1.312808759677181</v>
      </c>
      <c r="AP1152" s="6" t="n">
        <v>0.129403417921919</v>
      </c>
      <c r="AQ1152" s="6" t="n">
        <v>0</v>
      </c>
      <c r="AR1152" s="6" t="n">
        <v>0</v>
      </c>
    </row>
    <row r="1153">
      <c r="D1153" t="inlineStr">
        <is>
          <t>Run 841</t>
        </is>
      </c>
      <c r="J1153" s="6" t="n">
        <v>-1.063964999945309</v>
      </c>
      <c r="K1153" s="6" t="n">
        <v>0.981834580669797</v>
      </c>
      <c r="L1153" s="6" t="n">
        <v>0.7085603217393908</v>
      </c>
      <c r="M1153" s="6" t="n">
        <v>-1.959959028469674</v>
      </c>
      <c r="N1153" s="6" t="n">
        <v>-0.3987102149353194</v>
      </c>
      <c r="O1153" s="6" t="n">
        <v>-0.9466357617027253</v>
      </c>
      <c r="P1153" s="6" t="n">
        <v>-1.305512405080764</v>
      </c>
      <c r="Q1153" s="6" t="n">
        <v>-0.1026147346780482</v>
      </c>
      <c r="R1153" s="6" t="n">
        <v>0.2416149771873307</v>
      </c>
      <c r="S1153" s="6" t="n">
        <v>-0.04384769444097895</v>
      </c>
      <c r="T1153" s="6" t="n">
        <v>-0.1761305083585871</v>
      </c>
      <c r="U1153" s="6" t="n">
        <v>0.4266942872121423</v>
      </c>
      <c r="V1153" s="6" t="n">
        <v>-0.7279117393915747</v>
      </c>
      <c r="W1153" s="6" t="n">
        <v>0.3528079676708179</v>
      </c>
      <c r="X1153" s="6" t="n">
        <v>1.918906383715458</v>
      </c>
      <c r="Y1153" s="6" t="n">
        <v>-2.257332753636313</v>
      </c>
      <c r="Z1153" s="6" t="n">
        <v>1.418634966349289</v>
      </c>
      <c r="AA1153" s="6" t="n">
        <v>0.4335237522329577</v>
      </c>
      <c r="AB1153" s="6" t="n">
        <v>-2.416355586531825</v>
      </c>
      <c r="AC1153" s="6" t="n">
        <v>-0.2692577138482145</v>
      </c>
      <c r="AD1153" s="6" t="n">
        <v>1.755342032185184</v>
      </c>
      <c r="AE1153" s="6" t="n">
        <v>2.111953122434194</v>
      </c>
      <c r="AF1153" s="6" t="n">
        <v>2.677708733112453</v>
      </c>
      <c r="AG1153" s="6" t="n">
        <v>-0.9066712034811863</v>
      </c>
      <c r="AH1153" s="6" t="n">
        <v>-1.478022214982052</v>
      </c>
      <c r="AI1153" s="6" t="n">
        <v>-0.1429329267525749</v>
      </c>
      <c r="AJ1153" s="6" t="n">
        <v>74.95778251958937</v>
      </c>
      <c r="AK1153" s="6" t="n">
        <v>0.1206665865986026</v>
      </c>
      <c r="AL1153" s="6" t="n">
        <v>1.031172781504469</v>
      </c>
      <c r="AN1153" s="6" t="n">
        <v>1.339539925426447</v>
      </c>
      <c r="AO1153" s="6" t="n">
        <v>1.346069639431438</v>
      </c>
      <c r="AP1153" s="6" t="n">
        <v>0.1343704230106219</v>
      </c>
      <c r="AQ1153" s="6" t="n">
        <v>0</v>
      </c>
      <c r="AR1153" s="6" t="n">
        <v>0</v>
      </c>
    </row>
    <row r="1154">
      <c r="D1154" t="inlineStr">
        <is>
          <t>Run 842</t>
        </is>
      </c>
      <c r="J1154" s="6" t="n">
        <v>0.4002352024377962</v>
      </c>
      <c r="K1154" s="6" t="n">
        <v>-0.7078755142790415</v>
      </c>
      <c r="L1154" s="6" t="n">
        <v>0.5382288218165816</v>
      </c>
      <c r="M1154" s="6" t="n">
        <v>0.353748206845712</v>
      </c>
      <c r="N1154" s="6" t="n">
        <v>1.536609290075243</v>
      </c>
      <c r="O1154" s="6" t="n">
        <v>5</v>
      </c>
      <c r="P1154" s="6" t="n">
        <v>3.761027880427429</v>
      </c>
      <c r="Q1154" s="6" t="n">
        <v>-0.6460090313356368</v>
      </c>
      <c r="R1154" s="6" t="n">
        <v>-0.9290005486266552</v>
      </c>
      <c r="S1154" s="6" t="n">
        <v>0.07014166427990633</v>
      </c>
      <c r="T1154" s="6" t="n">
        <v>0.5653318952232659</v>
      </c>
      <c r="U1154" s="6" t="n">
        <v>-1.238340111338894</v>
      </c>
      <c r="V1154" s="6" t="n">
        <v>-1.9465654304211</v>
      </c>
      <c r="W1154" s="6" t="n">
        <v>-2.812054502032162</v>
      </c>
      <c r="X1154" s="6" t="n">
        <v>-0.897620381754194</v>
      </c>
      <c r="Y1154" s="6" t="n">
        <v>1.651966423307328</v>
      </c>
      <c r="Z1154" s="6" t="n">
        <v>0.6593298941562259</v>
      </c>
      <c r="AA1154" s="6" t="n">
        <v>-1.174684238405385</v>
      </c>
      <c r="AB1154" s="6" t="n">
        <v>-3.135659868592182</v>
      </c>
      <c r="AC1154" s="6" t="n">
        <v>2.944351329532338</v>
      </c>
      <c r="AD1154" s="6" t="n">
        <v>-0.0168716366123904</v>
      </c>
      <c r="AE1154" s="6" t="n">
        <v>1.853596845697566</v>
      </c>
      <c r="AF1154" s="6" t="n">
        <v>-0.8862244795870988</v>
      </c>
      <c r="AG1154" s="6" t="n">
        <v>0.547873790127114</v>
      </c>
      <c r="AH1154" s="6" t="n">
        <v>4.161482011431731</v>
      </c>
      <c r="AI1154" s="6" t="n">
        <v>1.743620126591236</v>
      </c>
      <c r="AJ1154" s="6" t="n">
        <v>78.1792934104765</v>
      </c>
      <c r="AK1154" s="6" t="n">
        <v>0.1010170024990377</v>
      </c>
      <c r="AL1154" s="6" t="n">
        <v>1.085858905931806</v>
      </c>
      <c r="AN1154" s="6" t="n">
        <v>1.339105824396679</v>
      </c>
      <c r="AO1154" s="6" t="n">
        <v>1.339144099054612</v>
      </c>
      <c r="AP1154" s="6" t="n">
        <v>0.1307509446222299</v>
      </c>
      <c r="AQ1154" s="6" t="n">
        <v>0</v>
      </c>
      <c r="AR1154" s="6" t="n">
        <v>0</v>
      </c>
    </row>
    <row r="1155">
      <c r="D1155" t="inlineStr">
        <is>
          <t>Run 843</t>
        </is>
      </c>
      <c r="J1155" s="6" t="n">
        <v>-1.983825876430065</v>
      </c>
      <c r="K1155" s="6" t="n">
        <v>-1.274944712953389</v>
      </c>
      <c r="L1155" s="6" t="n">
        <v>1.059197646259272</v>
      </c>
      <c r="M1155" s="6" t="n">
        <v>-1.451605598715462</v>
      </c>
      <c r="N1155" s="6" t="n">
        <v>1.943030659130306</v>
      </c>
      <c r="O1155" s="6" t="n">
        <v>-3.361118312052952</v>
      </c>
      <c r="P1155" s="6" t="n">
        <v>-3.603626411366973</v>
      </c>
      <c r="Q1155" s="6" t="n">
        <v>0.3352453048388638</v>
      </c>
      <c r="R1155" s="6" t="n">
        <v>1.606837658173167</v>
      </c>
      <c r="S1155" s="6" t="n">
        <v>0.5681210604018483</v>
      </c>
      <c r="T1155" s="6" t="n">
        <v>0.8964952732158098</v>
      </c>
      <c r="U1155" s="6" t="n">
        <v>2.041135092286108</v>
      </c>
      <c r="V1155" s="6" t="n">
        <v>0.4929647639878201</v>
      </c>
      <c r="W1155" s="6" t="n">
        <v>3.439615519585659</v>
      </c>
      <c r="X1155" s="6" t="n">
        <v>-0.3051424675138673</v>
      </c>
      <c r="Y1155" s="6" t="n">
        <v>1.49244957558156</v>
      </c>
      <c r="Z1155" s="6" t="n">
        <v>0.3896436534967108</v>
      </c>
      <c r="AA1155" s="6" t="n">
        <v>-2.438794818766507</v>
      </c>
      <c r="AB1155" s="6" t="n">
        <v>-1.552211165701623</v>
      </c>
      <c r="AC1155" s="6" t="n">
        <v>0.01558538283206901</v>
      </c>
      <c r="AD1155" s="6" t="n">
        <v>-2.127156307333819</v>
      </c>
      <c r="AE1155" s="6" t="n">
        <v>-1.285137935324473</v>
      </c>
      <c r="AF1155" s="6" t="n">
        <v>1.0216559940564</v>
      </c>
      <c r="AG1155" s="6" t="n">
        <v>1.909917544154193</v>
      </c>
      <c r="AH1155" s="6" t="n">
        <v>-2.029428041761677</v>
      </c>
      <c r="AI1155" s="6" t="n">
        <v>2.042054924259395</v>
      </c>
      <c r="AJ1155" s="6" t="n">
        <v>82.30422023305599</v>
      </c>
      <c r="AK1155" s="6" t="n">
        <v>0.1763913724181708</v>
      </c>
      <c r="AL1155" s="6" t="n">
        <v>1.044490003893016</v>
      </c>
      <c r="AN1155" s="6" t="n">
        <v>1.341328518705877</v>
      </c>
      <c r="AO1155" s="6" t="n">
        <v>1.344147341183862</v>
      </c>
      <c r="AP1155" s="6" t="n">
        <v>0.1322651947859528</v>
      </c>
      <c r="AQ1155" s="6" t="n">
        <v>0</v>
      </c>
      <c r="AR1155" s="6" t="n">
        <v>0</v>
      </c>
    </row>
    <row r="1156">
      <c r="D1156" t="inlineStr">
        <is>
          <t>Run 844</t>
        </is>
      </c>
      <c r="J1156" s="6" t="n">
        <v>1.80484407396548</v>
      </c>
      <c r="K1156" s="6" t="n">
        <v>0.8700454802640941</v>
      </c>
      <c r="L1156" s="6" t="n">
        <v>0.7664226729158746</v>
      </c>
      <c r="M1156" s="6" t="n">
        <v>0.2458277955616949</v>
      </c>
      <c r="N1156" s="6" t="n">
        <v>-2.452920256468037</v>
      </c>
      <c r="O1156" s="6" t="n">
        <v>1.936488537471899</v>
      </c>
      <c r="P1156" s="6" t="n">
        <v>3.598490151229086</v>
      </c>
      <c r="Q1156" s="6" t="n">
        <v>1.981602839808894</v>
      </c>
      <c r="R1156" s="6" t="n">
        <v>-1.509693437910672</v>
      </c>
      <c r="S1156" s="6" t="n">
        <v>0.6903930206635259</v>
      </c>
      <c r="T1156" s="6" t="n">
        <v>0.4538047412112992</v>
      </c>
      <c r="U1156" s="6" t="n">
        <v>0.1118135022632249</v>
      </c>
      <c r="V1156" s="6" t="n">
        <v>-2.023045189165435</v>
      </c>
      <c r="W1156" s="6" t="n">
        <v>-0.3697481257112062</v>
      </c>
      <c r="X1156" s="6" t="n">
        <v>-0.9135704681570417</v>
      </c>
      <c r="Y1156" s="6" t="n">
        <v>-1.620023425004727</v>
      </c>
      <c r="Z1156" s="6" t="n">
        <v>2.861484249442281</v>
      </c>
      <c r="AA1156" s="6" t="n">
        <v>-5.054301593035093</v>
      </c>
      <c r="AB1156" s="6" t="n">
        <v>-4.101518745001546</v>
      </c>
      <c r="AC1156" s="6" t="n">
        <v>0.7260087244788236</v>
      </c>
      <c r="AD1156" s="6" t="n">
        <v>-0.4471945598689603</v>
      </c>
      <c r="AE1156" s="6" t="n">
        <v>0.4518960705520029</v>
      </c>
      <c r="AF1156" s="6" t="n">
        <v>-1.20453235874117</v>
      </c>
      <c r="AG1156" s="6" t="n">
        <v>1.113860585572509</v>
      </c>
      <c r="AH1156" s="6" t="n">
        <v>-3.529252034347064</v>
      </c>
      <c r="AI1156" s="6" t="n">
        <v>2.676756824430409</v>
      </c>
      <c r="AJ1156" s="6" t="n">
        <v>61.12910170838716</v>
      </c>
      <c r="AK1156" s="6" t="n">
        <v>0.161035208025038</v>
      </c>
      <c r="AL1156" s="6" t="n">
        <v>1.035382849391339</v>
      </c>
      <c r="AN1156" s="6" t="n">
        <v>1.342249251320434</v>
      </c>
      <c r="AO1156" s="6" t="n">
        <v>1.342655215517763</v>
      </c>
      <c r="AP1156" s="6" t="n">
        <v>0.1320685354731691</v>
      </c>
      <c r="AQ1156" s="6" t="n">
        <v>0</v>
      </c>
      <c r="AR1156" s="6" t="n">
        <v>0</v>
      </c>
    </row>
    <row r="1157">
      <c r="D1157" t="inlineStr">
        <is>
          <t>Run 845</t>
        </is>
      </c>
      <c r="J1157" s="6" t="n">
        <v>-0.4638229366251336</v>
      </c>
      <c r="K1157" s="6" t="n">
        <v>-2.508454316265994</v>
      </c>
      <c r="L1157" s="6" t="n">
        <v>-1.95819852423416</v>
      </c>
      <c r="M1157" s="6" t="n">
        <v>-4.145092550005599</v>
      </c>
      <c r="N1157" s="6" t="n">
        <v>0.4729841564607267</v>
      </c>
      <c r="O1157" s="6" t="n">
        <v>-3.085597685852363</v>
      </c>
      <c r="P1157" s="6" t="n">
        <v>-0.5082889167125938</v>
      </c>
      <c r="Q1157" s="6" t="n">
        <v>-4.47761609824493</v>
      </c>
      <c r="R1157" s="6" t="n">
        <v>-0.971717282635207</v>
      </c>
      <c r="S1157" s="6" t="n">
        <v>1.650000164680687</v>
      </c>
      <c r="T1157" s="6" t="n">
        <v>0.9969779215346321</v>
      </c>
      <c r="U1157" s="6" t="n">
        <v>0.7018787377438563</v>
      </c>
      <c r="V1157" s="6" t="n">
        <v>0.2548326796710019</v>
      </c>
      <c r="W1157" s="6" t="n">
        <v>1.246158349222733</v>
      </c>
      <c r="X1157" s="6" t="n">
        <v>-1.177337449755224</v>
      </c>
      <c r="Y1157" s="6" t="n">
        <v>-0.3064586444220196</v>
      </c>
      <c r="Z1157" s="6" t="n">
        <v>2.439802099728711</v>
      </c>
      <c r="AA1157" s="6" t="n">
        <v>-3.082619350881529</v>
      </c>
      <c r="AB1157" s="6" t="n">
        <v>-1.891021697193772</v>
      </c>
      <c r="AC1157" s="6" t="n">
        <v>1.625739872677575</v>
      </c>
      <c r="AD1157" s="6" t="n">
        <v>-0.4683429807189933</v>
      </c>
      <c r="AE1157" s="6" t="n">
        <v>1.529375922010845</v>
      </c>
      <c r="AF1157" s="6" t="n">
        <v>-1.686979954359036</v>
      </c>
      <c r="AG1157" s="6" t="n">
        <v>1.666755439611425</v>
      </c>
      <c r="AH1157" s="6" t="n">
        <v>0.6628342974634945</v>
      </c>
      <c r="AI1157" s="6" t="n">
        <v>3.332501205000276</v>
      </c>
      <c r="AJ1157" s="6" t="n">
        <v>77.839899548487</v>
      </c>
      <c r="AK1157" s="6" t="n">
        <v>0.05447231078480234</v>
      </c>
      <c r="AL1157" s="6" t="n">
        <v>0.9878496038828178</v>
      </c>
      <c r="AN1157" s="6" t="n">
        <v>1.3301913111694</v>
      </c>
      <c r="AO1157" s="6" t="n">
        <v>1.343529328800041</v>
      </c>
      <c r="AP1157" s="6" t="n">
        <v>0.1425220444826217</v>
      </c>
      <c r="AQ1157" s="6" t="n">
        <v>0</v>
      </c>
      <c r="AR1157" s="6" t="n">
        <v>0</v>
      </c>
    </row>
    <row r="1158">
      <c r="D1158" t="inlineStr">
        <is>
          <t>Run 846</t>
        </is>
      </c>
      <c r="J1158" s="6" t="n">
        <v>2.118231655093938</v>
      </c>
      <c r="K1158" s="6" t="n">
        <v>-0.06768601664783645</v>
      </c>
      <c r="L1158" s="6" t="n">
        <v>-0.3214199748495749</v>
      </c>
      <c r="M1158" s="6" t="n">
        <v>1.797857702139548</v>
      </c>
      <c r="N1158" s="6" t="n">
        <v>2.066753963047081</v>
      </c>
      <c r="O1158" s="6" t="n">
        <v>1.490034796438534</v>
      </c>
      <c r="P1158" s="6" t="n">
        <v>1.122058197385445</v>
      </c>
      <c r="Q1158" s="6" t="n">
        <v>-2.11867612214423</v>
      </c>
      <c r="R1158" s="6" t="n">
        <v>-1.587702750985776</v>
      </c>
      <c r="S1158" s="6" t="n">
        <v>-0.5927507786984439</v>
      </c>
      <c r="T1158" s="6" t="n">
        <v>-2.6381280292945</v>
      </c>
      <c r="U1158" s="6" t="n">
        <v>-0.9294469669364983</v>
      </c>
      <c r="V1158" s="6" t="n">
        <v>-1.115825983442213</v>
      </c>
      <c r="W1158" s="6" t="n">
        <v>0.304544788209886</v>
      </c>
      <c r="X1158" s="6" t="n">
        <v>1.04056833974232</v>
      </c>
      <c r="Y1158" s="6" t="n">
        <v>-0.6241440445907533</v>
      </c>
      <c r="Z1158" s="6" t="n">
        <v>-2.198204595397345</v>
      </c>
      <c r="AA1158" s="6" t="n">
        <v>-0.1045886940412052</v>
      </c>
      <c r="AB1158" s="6" t="n">
        <v>2.455223170978922</v>
      </c>
      <c r="AC1158" s="6" t="n">
        <v>0.3543685059847341</v>
      </c>
      <c r="AD1158" s="6" t="n">
        <v>1.392952935091734</v>
      </c>
      <c r="AE1158" s="6" t="n">
        <v>0.5188580487534499</v>
      </c>
      <c r="AF1158" s="6" t="n">
        <v>0.4109649703788663</v>
      </c>
      <c r="AG1158" s="6" t="n">
        <v>-2.06851745143929</v>
      </c>
      <c r="AH1158" s="6" t="n">
        <v>-0.2689192479458041</v>
      </c>
      <c r="AI1158" s="6" t="n">
        <v>-1.281421500435888</v>
      </c>
      <c r="AJ1158" s="6" t="n">
        <v>73.21994511387673</v>
      </c>
      <c r="AK1158" s="6" t="n">
        <v>0.1323108916586449</v>
      </c>
      <c r="AL1158" s="6" t="n">
        <v>1.052567804344578</v>
      </c>
      <c r="AN1158" s="6" t="n">
        <v>1.344321768981644</v>
      </c>
      <c r="AO1158" s="6" t="n">
        <v>1.344424245986699</v>
      </c>
      <c r="AP1158" s="6" t="n">
        <v>0.1316653555108633</v>
      </c>
      <c r="AQ1158" s="6" t="n">
        <v>0</v>
      </c>
      <c r="AR1158" s="6" t="n">
        <v>0</v>
      </c>
    </row>
    <row r="1159">
      <c r="D1159" t="inlineStr">
        <is>
          <t>Run 847</t>
        </is>
      </c>
      <c r="J1159" s="6" t="n">
        <v>-1.6830046312691</v>
      </c>
      <c r="K1159" s="6" t="n">
        <v>-1.27681496564905</v>
      </c>
      <c r="L1159" s="6" t="n">
        <v>-1.468866929952172</v>
      </c>
      <c r="M1159" s="6" t="n">
        <v>-0.6399124368200895</v>
      </c>
      <c r="N1159" s="6" t="n">
        <v>-0.5024462157690013</v>
      </c>
      <c r="O1159" s="6" t="n">
        <v>0.6259591882880479</v>
      </c>
      <c r="P1159" s="6" t="n">
        <v>1.539405088840246</v>
      </c>
      <c r="Q1159" s="6" t="n">
        <v>1.645618355864059</v>
      </c>
      <c r="R1159" s="6" t="n">
        <v>0.215689940391755</v>
      </c>
      <c r="S1159" s="6" t="n">
        <v>0.4394843560944946</v>
      </c>
      <c r="T1159" s="6" t="n">
        <v>-1.654500576993071</v>
      </c>
      <c r="U1159" s="6" t="n">
        <v>3.323789254811067</v>
      </c>
      <c r="V1159" s="6" t="n">
        <v>-1.32990034360515</v>
      </c>
      <c r="W1159" s="6" t="n">
        <v>-1.354258356403022</v>
      </c>
      <c r="X1159" s="6" t="n">
        <v>0.5217632151668326</v>
      </c>
      <c r="Y1159" s="6" t="n">
        <v>4.382883918974692</v>
      </c>
      <c r="Z1159" s="6" t="n">
        <v>-3.332844319534759</v>
      </c>
      <c r="AA1159" s="6" t="n">
        <v>0.3048190727250874</v>
      </c>
      <c r="AB1159" s="6" t="n">
        <v>-0.4048606154778966</v>
      </c>
      <c r="AC1159" s="6" t="n">
        <v>-0.3131664097264389</v>
      </c>
      <c r="AD1159" s="6" t="n">
        <v>-2.960604559911101</v>
      </c>
      <c r="AE1159" s="6" t="n">
        <v>1.161177217968421</v>
      </c>
      <c r="AF1159" s="6" t="n">
        <v>2.387982873448223</v>
      </c>
      <c r="AG1159" s="6" t="n">
        <v>-4.974154442837555</v>
      </c>
      <c r="AH1159" s="6" t="n">
        <v>-0.6531250408404475</v>
      </c>
      <c r="AI1159" s="6" t="n">
        <v>-0.08298594530040418</v>
      </c>
      <c r="AJ1159" s="6" t="n">
        <v>78.30219426360016</v>
      </c>
      <c r="AK1159" s="6" t="n">
        <v>0.09604019106928052</v>
      </c>
      <c r="AL1159" s="6" t="n">
        <v>1.035898817870687</v>
      </c>
      <c r="AN1159" s="6" t="n">
        <v>1.355588397791742</v>
      </c>
      <c r="AO1159" s="6" t="n">
        <v>1.355588397791742</v>
      </c>
      <c r="AP1159" s="6" t="n">
        <v>0.1350944603754624</v>
      </c>
      <c r="AQ1159" s="6" t="n">
        <v>0</v>
      </c>
      <c r="AR1159" s="6" t="n">
        <v>0</v>
      </c>
    </row>
    <row r="1160">
      <c r="D1160" t="inlineStr">
        <is>
          <t>Run 848</t>
        </is>
      </c>
      <c r="J1160" s="6" t="n">
        <v>-5.463767727596822</v>
      </c>
      <c r="K1160" s="6" t="n">
        <v>-1.430145362316833</v>
      </c>
      <c r="L1160" s="6" t="n">
        <v>-0.0630975902679593</v>
      </c>
      <c r="M1160" s="6" t="n">
        <v>0.05442915143456464</v>
      </c>
      <c r="N1160" s="6" t="n">
        <v>-2.102588091375031</v>
      </c>
      <c r="O1160" s="6" t="n">
        <v>-1.239408872659268</v>
      </c>
      <c r="P1160" s="6" t="n">
        <v>0.07891979918848617</v>
      </c>
      <c r="Q1160" s="6" t="n">
        <v>-4.430366853338029</v>
      </c>
      <c r="R1160" s="6" t="n">
        <v>-2.032449708589275</v>
      </c>
      <c r="S1160" s="6" t="n">
        <v>-2.301971784224465</v>
      </c>
      <c r="T1160" s="6" t="n">
        <v>0.4503879342038795</v>
      </c>
      <c r="U1160" s="6" t="n">
        <v>-3.509569027768594</v>
      </c>
      <c r="V1160" s="6" t="n">
        <v>1.833054029946732</v>
      </c>
      <c r="W1160" s="6" t="n">
        <v>-3.838008199528756</v>
      </c>
      <c r="X1160" s="6" t="n">
        <v>0.3592146696242038</v>
      </c>
      <c r="Y1160" s="6" t="n">
        <v>-3.226100626585971</v>
      </c>
      <c r="Z1160" s="6" t="n">
        <v>-1.38085588986207</v>
      </c>
      <c r="AA1160" s="6" t="n">
        <v>-1.136354337640759</v>
      </c>
      <c r="AB1160" s="6" t="n">
        <v>-0.7693908245616808</v>
      </c>
      <c r="AC1160" s="6" t="n">
        <v>-0.7018300603944039</v>
      </c>
      <c r="AD1160" s="6" t="n">
        <v>-0.2481427488919371</v>
      </c>
      <c r="AE1160" s="6" t="n">
        <v>-0.7428788745088801</v>
      </c>
      <c r="AF1160" s="6" t="n">
        <v>-0.3541722297205817</v>
      </c>
      <c r="AG1160" s="6" t="n">
        <v>0.1336639452718559</v>
      </c>
      <c r="AH1160" s="6" t="n">
        <v>-3.113631045012026</v>
      </c>
      <c r="AI1160" s="6" t="n">
        <v>2.587143640671917</v>
      </c>
      <c r="AJ1160" s="6" t="n">
        <v>67.93670118089148</v>
      </c>
      <c r="AK1160" s="6" t="n">
        <v>0.1007605356063872</v>
      </c>
      <c r="AL1160" s="6" t="n">
        <v>1.034047357705055</v>
      </c>
      <c r="AN1160" s="6" t="n">
        <v>1.324355816823341</v>
      </c>
      <c r="AO1160" s="6" t="n">
        <v>1.324355816823341</v>
      </c>
      <c r="AP1160" s="6" t="n">
        <v>0.1330357601793598</v>
      </c>
      <c r="AQ1160" s="6" t="n">
        <v>0</v>
      </c>
      <c r="AR1160" s="6" t="n">
        <v>0</v>
      </c>
    </row>
    <row r="1161">
      <c r="D1161" t="inlineStr">
        <is>
          <t>Run 849</t>
        </is>
      </c>
      <c r="J1161" s="6" t="n">
        <v>0.8919216470989209</v>
      </c>
      <c r="K1161" s="6" t="n">
        <v>-2.969357007292572</v>
      </c>
      <c r="L1161" s="6" t="n">
        <v>1.230637651651741</v>
      </c>
      <c r="M1161" s="6" t="n">
        <v>1.372049987876662</v>
      </c>
      <c r="N1161" s="6" t="n">
        <v>2.563830629520477</v>
      </c>
      <c r="O1161" s="6" t="n">
        <v>2.280515110896716</v>
      </c>
      <c r="P1161" s="6" t="n">
        <v>0.9914667519650732</v>
      </c>
      <c r="Q1161" s="6" t="n">
        <v>0.9952141033286673</v>
      </c>
      <c r="R1161" s="6" t="n">
        <v>0.3903139590540382</v>
      </c>
      <c r="S1161" s="6" t="n">
        <v>-1.689221069812632</v>
      </c>
      <c r="T1161" s="6" t="n">
        <v>-1.65764333707467</v>
      </c>
      <c r="U1161" s="6" t="n">
        <v>1.996496038413988</v>
      </c>
      <c r="V1161" s="6" t="n">
        <v>-1.157241469613272</v>
      </c>
      <c r="W1161" s="6" t="n">
        <v>-1.151204084182536</v>
      </c>
      <c r="X1161" s="6" t="n">
        <v>1.432396452213035</v>
      </c>
      <c r="Y1161" s="6" t="n">
        <v>2.764203113066648</v>
      </c>
      <c r="Z1161" s="6" t="n">
        <v>-2.012284653100492</v>
      </c>
      <c r="AA1161" s="6" t="n">
        <v>-2.43911073451148</v>
      </c>
      <c r="AB1161" s="6" t="n">
        <v>0.3984719067241222</v>
      </c>
      <c r="AC1161" s="6" t="n">
        <v>5</v>
      </c>
      <c r="AD1161" s="6" t="n">
        <v>2.498401944932582</v>
      </c>
      <c r="AE1161" s="6" t="n">
        <v>2.232558437405668</v>
      </c>
      <c r="AF1161" s="6" t="n">
        <v>2.655485262136014</v>
      </c>
      <c r="AG1161" s="6" t="n">
        <v>2.64708541453415</v>
      </c>
      <c r="AH1161" s="6" t="n">
        <v>-0.7451149472481021</v>
      </c>
      <c r="AI1161" s="6" t="n">
        <v>0.7386357105917301</v>
      </c>
      <c r="AJ1161" s="6" t="n">
        <v>62.67474259643858</v>
      </c>
      <c r="AK1161" s="6" t="n">
        <v>0.1399763336727078</v>
      </c>
      <c r="AL1161" s="6" t="n">
        <v>1.045730981887908</v>
      </c>
      <c r="AN1161" s="6" t="n">
        <v>1.340741631984236</v>
      </c>
      <c r="AO1161" s="6" t="n">
        <v>1.340745111796699</v>
      </c>
      <c r="AP1161" s="6" t="n">
        <v>0.1317663151849942</v>
      </c>
      <c r="AQ1161" s="6" t="n">
        <v>0</v>
      </c>
      <c r="AR1161" s="6" t="n">
        <v>0</v>
      </c>
    </row>
    <row r="1162">
      <c r="D1162" t="inlineStr">
        <is>
          <t>Run 850</t>
        </is>
      </c>
      <c r="J1162" s="6" t="n">
        <v>0.4765796585719814</v>
      </c>
      <c r="K1162" s="6" t="n">
        <v>0.007946876085282091</v>
      </c>
      <c r="L1162" s="6" t="n">
        <v>-0.6419240934805074</v>
      </c>
      <c r="M1162" s="6" t="n">
        <v>-1.165950266732394</v>
      </c>
      <c r="N1162" s="6" t="n">
        <v>-0.3420800357182079</v>
      </c>
      <c r="O1162" s="6" t="n">
        <v>0.218966510158687</v>
      </c>
      <c r="P1162" s="6" t="n">
        <v>-1.254615025024328</v>
      </c>
      <c r="Q1162" s="6" t="n">
        <v>-4.602765963304436</v>
      </c>
      <c r="R1162" s="6" t="n">
        <v>1.074690460836243</v>
      </c>
      <c r="S1162" s="6" t="n">
        <v>1.503282085900468</v>
      </c>
      <c r="T1162" s="6" t="n">
        <v>0.3821330310769616</v>
      </c>
      <c r="U1162" s="6" t="n">
        <v>-1.093940436602212</v>
      </c>
      <c r="V1162" s="6" t="n">
        <v>-3.236824023203149</v>
      </c>
      <c r="W1162" s="6" t="n">
        <v>0.1496323741075065</v>
      </c>
      <c r="X1162" s="6" t="n">
        <v>2.083541049577713</v>
      </c>
      <c r="Y1162" s="6" t="n">
        <v>-2.233124382797151</v>
      </c>
      <c r="Z1162" s="6" t="n">
        <v>-2.470777571445733</v>
      </c>
      <c r="AA1162" s="6" t="n">
        <v>-0.8591868178776246</v>
      </c>
      <c r="AB1162" s="6" t="n">
        <v>-0.6941558504851992</v>
      </c>
      <c r="AC1162" s="6" t="n">
        <v>-0.860930157018492</v>
      </c>
      <c r="AD1162" s="6" t="n">
        <v>-3.102803710721338</v>
      </c>
      <c r="AE1162" s="6" t="n">
        <v>1.534472042899005</v>
      </c>
      <c r="AF1162" s="6" t="n">
        <v>-2.159251019312848</v>
      </c>
      <c r="AG1162" s="6" t="n">
        <v>-1.00580015432294</v>
      </c>
      <c r="AH1162" s="6" t="n">
        <v>-0.3208120697971518</v>
      </c>
      <c r="AI1162" s="6" t="n">
        <v>-0.172250687676099</v>
      </c>
      <c r="AJ1162" s="6" t="n">
        <v>70.4542606673477</v>
      </c>
      <c r="AK1162" s="6" t="n">
        <v>0.1543141476381131</v>
      </c>
      <c r="AL1162" s="6" t="n">
        <v>1.071661572924254</v>
      </c>
      <c r="AN1162" s="6" t="n">
        <v>1.33389941518455</v>
      </c>
      <c r="AO1162" s="6" t="n">
        <v>1.334987965423299</v>
      </c>
      <c r="AP1162" s="6" t="n">
        <v>0.1293365805099375</v>
      </c>
      <c r="AQ1162" s="6" t="n">
        <v>0</v>
      </c>
      <c r="AR1162" s="6" t="n">
        <v>0</v>
      </c>
    </row>
    <row r="1163">
      <c r="D1163" t="inlineStr">
        <is>
          <t>Run 851</t>
        </is>
      </c>
      <c r="J1163" s="6" t="n">
        <v>-1.138869554818512</v>
      </c>
      <c r="K1163" s="6" t="n">
        <v>-1.714929394991362</v>
      </c>
      <c r="L1163" s="6" t="n">
        <v>0.3210274634450109</v>
      </c>
      <c r="M1163" s="6" t="n">
        <v>-1.844198642444068</v>
      </c>
      <c r="N1163" s="6" t="n">
        <v>0.9639454607642043</v>
      </c>
      <c r="O1163" s="6" t="n">
        <v>-2.552669052960278</v>
      </c>
      <c r="P1163" s="6" t="n">
        <v>-1.64207037747617</v>
      </c>
      <c r="Q1163" s="6" t="n">
        <v>-0.4714441802346819</v>
      </c>
      <c r="R1163" s="6" t="n">
        <v>0.879616451222748</v>
      </c>
      <c r="S1163" s="6" t="n">
        <v>-2.066297572202971</v>
      </c>
      <c r="T1163" s="6" t="n">
        <v>-1.16796501995688</v>
      </c>
      <c r="U1163" s="6" t="n">
        <v>-0.2196907392676327</v>
      </c>
      <c r="V1163" s="6" t="n">
        <v>4.567897565990916</v>
      </c>
      <c r="W1163" s="6" t="n">
        <v>-3.416662719424443</v>
      </c>
      <c r="X1163" s="6" t="n">
        <v>-1.360437753102039</v>
      </c>
      <c r="Y1163" s="6" t="n">
        <v>-3.089184396504586</v>
      </c>
      <c r="Z1163" s="6" t="n">
        <v>-0.8690018964147951</v>
      </c>
      <c r="AA1163" s="6" t="n">
        <v>-3.125977492423655</v>
      </c>
      <c r="AB1163" s="6" t="n">
        <v>-1.627861001241939</v>
      </c>
      <c r="AC1163" s="6" t="n">
        <v>2.080523142922349</v>
      </c>
      <c r="AD1163" s="6" t="n">
        <v>-1.959789585691908</v>
      </c>
      <c r="AE1163" s="6" t="n">
        <v>-3.337471705597455</v>
      </c>
      <c r="AF1163" s="6" t="n">
        <v>1.266319422369883</v>
      </c>
      <c r="AG1163" s="6" t="n">
        <v>1.569739841495046</v>
      </c>
      <c r="AH1163" s="6" t="n">
        <v>-2.225038895452875</v>
      </c>
      <c r="AI1163" s="6" t="n">
        <v>-1.087001830123108</v>
      </c>
      <c r="AJ1163" s="6" t="n">
        <v>81.91632897157788</v>
      </c>
      <c r="AK1163" s="6" t="n">
        <v>0.09136682015358158</v>
      </c>
      <c r="AL1163" s="6" t="n">
        <v>1.004503684950337</v>
      </c>
      <c r="AN1163" s="6" t="n">
        <v>1.357615826572451</v>
      </c>
      <c r="AO1163" s="6" t="n">
        <v>1.362289931445694</v>
      </c>
      <c r="AP1163" s="6" t="n">
        <v>0.1397658345698964</v>
      </c>
      <c r="AQ1163" s="6" t="n">
        <v>0</v>
      </c>
      <c r="AR1163" s="6" t="n">
        <v>0</v>
      </c>
    </row>
    <row r="1164">
      <c r="D1164" t="inlineStr">
        <is>
          <t>Run 852</t>
        </is>
      </c>
      <c r="J1164" s="6" t="n">
        <v>-1.897358372468216</v>
      </c>
      <c r="K1164" s="6" t="n">
        <v>3.214721736042241</v>
      </c>
      <c r="L1164" s="6" t="n">
        <v>-2.375954536348727</v>
      </c>
      <c r="M1164" s="6" t="n">
        <v>3.346346603955495</v>
      </c>
      <c r="N1164" s="6" t="n">
        <v>0.8079669448952727</v>
      </c>
      <c r="O1164" s="6" t="n">
        <v>0.5340154634658093</v>
      </c>
      <c r="P1164" s="6" t="n">
        <v>-0.1732726212295437</v>
      </c>
      <c r="Q1164" s="6" t="n">
        <v>-2.773374156175642</v>
      </c>
      <c r="R1164" s="6" t="n">
        <v>-1.122136844282441</v>
      </c>
      <c r="S1164" s="6" t="n">
        <v>-2.038165541193255</v>
      </c>
      <c r="T1164" s="6" t="n">
        <v>-1.774562775523641</v>
      </c>
      <c r="U1164" s="6" t="n">
        <v>-1.294177880277623</v>
      </c>
      <c r="V1164" s="6" t="n">
        <v>1.088761920350521</v>
      </c>
      <c r="W1164" s="6" t="n">
        <v>1.449649949380595</v>
      </c>
      <c r="X1164" s="6" t="n">
        <v>-0.03648722829237107</v>
      </c>
      <c r="Y1164" s="6" t="n">
        <v>0.7844241213304153</v>
      </c>
      <c r="Z1164" s="6" t="n">
        <v>0.4866191924153273</v>
      </c>
      <c r="AA1164" s="6" t="n">
        <v>0.6209292633334853</v>
      </c>
      <c r="AB1164" s="6" t="n">
        <v>-3.614451307418712</v>
      </c>
      <c r="AC1164" s="6" t="n">
        <v>0.1887426633716508</v>
      </c>
      <c r="AD1164" s="6" t="n">
        <v>-3.632734941387984</v>
      </c>
      <c r="AE1164" s="6" t="n">
        <v>0.2927537588790438</v>
      </c>
      <c r="AF1164" s="6" t="n">
        <v>-2.987362391683211</v>
      </c>
      <c r="AG1164" s="6" t="n">
        <v>1.419424083691992</v>
      </c>
      <c r="AH1164" s="6" t="n">
        <v>-2.92856247051368</v>
      </c>
      <c r="AI1164" s="6" t="n">
        <v>-0.3099553725541473</v>
      </c>
      <c r="AJ1164" s="6" t="n">
        <v>81.08259131025898</v>
      </c>
      <c r="AK1164" s="6" t="n">
        <v>0.1867236068854681</v>
      </c>
      <c r="AL1164" s="6" t="n">
        <v>1.022281777469302</v>
      </c>
      <c r="AN1164" s="6" t="n">
        <v>1.353753353978466</v>
      </c>
      <c r="AO1164" s="6" t="n">
        <v>1.354508116352031</v>
      </c>
      <c r="AP1164" s="6" t="n">
        <v>0.1343373563043158</v>
      </c>
      <c r="AQ1164" s="6" t="n">
        <v>0</v>
      </c>
      <c r="AR1164" s="6" t="n">
        <v>0</v>
      </c>
    </row>
    <row r="1165">
      <c r="D1165" t="inlineStr">
        <is>
          <t>Run 853</t>
        </is>
      </c>
      <c r="J1165" s="6" t="n">
        <v>4.443984236750289</v>
      </c>
      <c r="K1165" s="6" t="n">
        <v>-2.97462364468262</v>
      </c>
      <c r="L1165" s="6" t="n">
        <v>2.108822200677547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0.1108842184678497</v>
      </c>
      <c r="Q1165" s="6" t="n">
        <v>-0.6266434491010472</v>
      </c>
      <c r="R1165" s="6" t="n">
        <v>-0.4947123004430408</v>
      </c>
      <c r="S1165" s="6" t="n">
        <v>2.141078866045032</v>
      </c>
      <c r="T1165" s="6" t="n">
        <v>-0.7628999725103601</v>
      </c>
      <c r="U1165" s="6" t="n">
        <v>0.9835757956798359</v>
      </c>
      <c r="V1165" s="6" t="n">
        <v>4.479091313776459</v>
      </c>
      <c r="W1165" s="6" t="n">
        <v>1.056793112475263</v>
      </c>
      <c r="X1165" s="6" t="n">
        <v>0.687575580077941</v>
      </c>
      <c r="Y1165" s="6" t="n">
        <v>1.549982097119265</v>
      </c>
      <c r="Z1165" s="6" t="n">
        <v>1.081746906833647</v>
      </c>
      <c r="AA1165" s="6" t="n">
        <v>1.054636081240205</v>
      </c>
      <c r="AB1165" s="6" t="n">
        <v>-2.807471752224894</v>
      </c>
      <c r="AC1165" s="6" t="n">
        <v>1.53352574462939</v>
      </c>
      <c r="AD1165" s="6" t="n">
        <v>0.3575989465784939</v>
      </c>
      <c r="AE1165" s="6" t="n">
        <v>-1.600504008703756</v>
      </c>
      <c r="AF1165" s="6" t="n">
        <v>-1.533728719692351</v>
      </c>
      <c r="AG1165" s="6" t="n">
        <v>-2.889170123838388</v>
      </c>
      <c r="AH1165" s="6" t="n">
        <v>1.093561740963347</v>
      </c>
      <c r="AI1165" s="6" t="n">
        <v>-0.2326049258520576</v>
      </c>
      <c r="AJ1165" s="6" t="n">
        <v>78.05275608477639</v>
      </c>
      <c r="AK1165" s="6" t="n">
        <v>0.1350605247343445</v>
      </c>
      <c r="AL1165" s="6" t="n">
        <v>1.079777157443017</v>
      </c>
      <c r="AN1165" s="6" t="n">
        <v>1.337661991425413</v>
      </c>
      <c r="AO1165" s="6" t="n">
        <v>1.338495559779425</v>
      </c>
      <c r="AP1165" s="6" t="n">
        <v>0.1302547061786941</v>
      </c>
      <c r="AQ1165" s="6" t="n">
        <v>0</v>
      </c>
      <c r="AR1165" s="6" t="n">
        <v>0</v>
      </c>
    </row>
    <row r="1166">
      <c r="D1166" t="inlineStr">
        <is>
          <t>Run 854</t>
        </is>
      </c>
      <c r="J1166" s="6" t="n">
        <v>4.453006436516541</v>
      </c>
      <c r="K1166" s="6" t="n">
        <v>-0.03811129009925965</v>
      </c>
      <c r="L1166" s="6" t="n">
        <v>3.259711016744701</v>
      </c>
      <c r="M1166" s="6" t="n">
        <v>1.943814325619674</v>
      </c>
      <c r="N1166" s="6" t="n">
        <v>1.592432859501342</v>
      </c>
      <c r="O1166" s="6" t="n">
        <v>1.114035340897026</v>
      </c>
      <c r="P1166" s="6" t="n">
        <v>0.922856013131042</v>
      </c>
      <c r="Q1166" s="6" t="n">
        <v>-3.574227945095668</v>
      </c>
      <c r="R1166" s="6" t="n">
        <v>-1.227418400004606</v>
      </c>
      <c r="S1166" s="6" t="n">
        <v>2.213365810691923</v>
      </c>
      <c r="T1166" s="6" t="n">
        <v>0.8331806448408737</v>
      </c>
      <c r="U1166" s="6" t="n">
        <v>4.676751530073288</v>
      </c>
      <c r="V1166" s="6" t="n">
        <v>-1.08734698085275</v>
      </c>
      <c r="W1166" s="6" t="n">
        <v>0.7849316799204471</v>
      </c>
      <c r="X1166" s="6" t="n">
        <v>-0.6619663813986952</v>
      </c>
      <c r="Y1166" s="6" t="n">
        <v>-3.642044843953767</v>
      </c>
      <c r="Z1166" s="6" t="n">
        <v>0.08515369843976416</v>
      </c>
      <c r="AA1166" s="6" t="n">
        <v>2.355868045848072</v>
      </c>
      <c r="AB1166" s="6" t="n">
        <v>-2.473319168642619</v>
      </c>
      <c r="AC1166" s="6" t="n">
        <v>-1.135170547153029</v>
      </c>
      <c r="AD1166" s="6" t="n">
        <v>-3.591703847996377</v>
      </c>
      <c r="AE1166" s="6" t="n">
        <v>0.3952431578389866</v>
      </c>
      <c r="AF1166" s="6" t="n">
        <v>2.449036991437966</v>
      </c>
      <c r="AG1166" s="6" t="n">
        <v>-3.050679258770216</v>
      </c>
      <c r="AH1166" s="6" t="n">
        <v>-2.503019212780208</v>
      </c>
      <c r="AI1166" s="6" t="n">
        <v>0.1248989743635769</v>
      </c>
      <c r="AJ1166" s="6" t="n">
        <v>77.2078197817971</v>
      </c>
      <c r="AK1166" s="6" t="n">
        <v>0.124296784157579</v>
      </c>
      <c r="AL1166" s="6" t="n">
        <v>1.016458468388157</v>
      </c>
      <c r="AN1166" s="6" t="n">
        <v>1.358160092750485</v>
      </c>
      <c r="AO1166" s="6" t="n">
        <v>1.35873725705394</v>
      </c>
      <c r="AP1166" s="6" t="n">
        <v>0.1359559328546731</v>
      </c>
      <c r="AQ1166" s="6" t="n">
        <v>0</v>
      </c>
      <c r="AR1166" s="6" t="n">
        <v>0</v>
      </c>
    </row>
    <row r="1167">
      <c r="D1167" t="inlineStr">
        <is>
          <t>Run 855</t>
        </is>
      </c>
      <c r="J1167" s="6" t="n">
        <v>2.040219557568034</v>
      </c>
      <c r="K1167" s="6" t="n">
        <v>-2.61052990433538</v>
      </c>
      <c r="L1167" s="6" t="n">
        <v>-0.261824247973037</v>
      </c>
      <c r="M1167" s="6" t="n">
        <v>2.419160417770852</v>
      </c>
      <c r="N1167" s="6" t="n">
        <v>-0.5062987361697401</v>
      </c>
      <c r="O1167" s="6" t="n">
        <v>-2.520013477817508</v>
      </c>
      <c r="P1167" s="6" t="n">
        <v>3.496280841660674</v>
      </c>
      <c r="Q1167" s="6" t="n">
        <v>-0.1879951638328455</v>
      </c>
      <c r="R1167" s="6" t="n">
        <v>-1.722799133499884</v>
      </c>
      <c r="S1167" s="6" t="n">
        <v>-1.26423290847996</v>
      </c>
      <c r="T1167" s="6" t="n">
        <v>4.346090481808005</v>
      </c>
      <c r="U1167" s="6" t="n">
        <v>3.086976205297516</v>
      </c>
      <c r="V1167" s="6" t="n">
        <v>-0.02743244366974281</v>
      </c>
      <c r="W1167" s="6" t="n">
        <v>0.54171854259026</v>
      </c>
      <c r="X1167" s="6" t="n">
        <v>2.896643620451334</v>
      </c>
      <c r="Y1167" s="6" t="n">
        <v>0.1481677823496477</v>
      </c>
      <c r="Z1167" s="6" t="n">
        <v>-3.212819092856425</v>
      </c>
      <c r="AA1167" s="6" t="n">
        <v>3.575233071323821</v>
      </c>
      <c r="AB1167" s="6" t="n">
        <v>0.5343982556307012</v>
      </c>
      <c r="AC1167" s="6" t="n">
        <v>-5.545665395440779</v>
      </c>
      <c r="AD1167" s="6" t="n">
        <v>2.739532519460059</v>
      </c>
      <c r="AE1167" s="6" t="n">
        <v>0.05183164355039969</v>
      </c>
      <c r="AF1167" s="6" t="n">
        <v>-0.3288798979459328</v>
      </c>
      <c r="AG1167" s="6" t="n">
        <v>3.54312805527689</v>
      </c>
      <c r="AH1167" s="6" t="n">
        <v>-1.178660549691955</v>
      </c>
      <c r="AI1167" s="6" t="n">
        <v>-3.88437659896394</v>
      </c>
      <c r="AJ1167" s="6" t="n">
        <v>68.62821684785764</v>
      </c>
      <c r="AK1167" s="6" t="n">
        <v>0.1572344290909965</v>
      </c>
      <c r="AL1167" s="6" t="n">
        <v>1.060803357201319</v>
      </c>
      <c r="AN1167" s="6" t="n">
        <v>1.33805770757646</v>
      </c>
      <c r="AO1167" s="6" t="n">
        <v>1.338448069198295</v>
      </c>
      <c r="AP1167" s="6" t="n">
        <v>0.1304530625357973</v>
      </c>
      <c r="AQ1167" s="6" t="n">
        <v>0</v>
      </c>
      <c r="AR1167" s="6" t="n">
        <v>0</v>
      </c>
    </row>
    <row r="1168">
      <c r="D1168" t="inlineStr">
        <is>
          <t>Run 856</t>
        </is>
      </c>
      <c r="J1168" s="6" t="n">
        <v>-0.3285418950094688</v>
      </c>
      <c r="K1168" s="6" t="n">
        <v>1.54111750780241</v>
      </c>
      <c r="L1168" s="6" t="n">
        <v>-0.3764047209800605</v>
      </c>
      <c r="M1168" s="6" t="n">
        <v>0.9509096608844817</v>
      </c>
      <c r="N1168" s="6" t="n">
        <v>-3.847371766948319</v>
      </c>
      <c r="O1168" s="6" t="n">
        <v>3.151454135187802</v>
      </c>
      <c r="P1168" s="6" t="n">
        <v>0.8516229709099635</v>
      </c>
      <c r="Q1168" s="6" t="n">
        <v>-4.450564880530314</v>
      </c>
      <c r="R1168" s="6" t="n">
        <v>1.367892230743905</v>
      </c>
      <c r="S1168" s="6" t="n">
        <v>-0.1534219457602069</v>
      </c>
      <c r="T1168" s="6" t="n">
        <v>-2.842286343523742</v>
      </c>
      <c r="U1168" s="6" t="n">
        <v>-3.430750992833159</v>
      </c>
      <c r="V1168" s="6" t="n">
        <v>2.004025757659194</v>
      </c>
      <c r="W1168" s="6" t="n">
        <v>1.356735398539565</v>
      </c>
      <c r="X1168" s="6" t="n">
        <v>-0.5085497301038014</v>
      </c>
      <c r="Y1168" s="6" t="n">
        <v>-1.834595514682302</v>
      </c>
      <c r="Z1168" s="6" t="n">
        <v>-0.5530260540691526</v>
      </c>
      <c r="AA1168" s="6" t="n">
        <v>1.151639572760458</v>
      </c>
      <c r="AB1168" s="6" t="n">
        <v>0.06943735912794569</v>
      </c>
      <c r="AC1168" s="6" t="n">
        <v>-1.543252983738615</v>
      </c>
      <c r="AD1168" s="6" t="n">
        <v>-0.1224589858965448</v>
      </c>
      <c r="AE1168" s="6" t="n">
        <v>0.3069079567223078</v>
      </c>
      <c r="AF1168" s="6" t="n">
        <v>2.773413483539562</v>
      </c>
      <c r="AG1168" s="6" t="n">
        <v>-0.3475966332085702</v>
      </c>
      <c r="AH1168" s="6" t="n">
        <v>1.098111832438009</v>
      </c>
      <c r="AI1168" s="6" t="n">
        <v>-2.617920868330376</v>
      </c>
      <c r="AJ1168" s="6" t="n">
        <v>71.15417315866176</v>
      </c>
      <c r="AK1168" s="6" t="n">
        <v>0.1169561683434711</v>
      </c>
      <c r="AL1168" s="6" t="n">
        <v>1.00373517228536</v>
      </c>
      <c r="AN1168" s="6" t="n">
        <v>1.355219415607531</v>
      </c>
      <c r="AO1168" s="6" t="n">
        <v>1.355219415607531</v>
      </c>
      <c r="AP1168" s="6" t="n">
        <v>0.1373908806466314</v>
      </c>
      <c r="AQ1168" s="6" t="n">
        <v>0</v>
      </c>
      <c r="AR1168" s="6" t="n">
        <v>0</v>
      </c>
    </row>
    <row r="1169">
      <c r="D1169" t="inlineStr">
        <is>
          <t>Run 857</t>
        </is>
      </c>
      <c r="J1169" s="6" t="n">
        <v>2.900967819405169</v>
      </c>
      <c r="K1169" s="6" t="n">
        <v>0.3821014865074118</v>
      </c>
      <c r="L1169" s="6" t="n">
        <v>-1.871883737118612</v>
      </c>
      <c r="M1169" s="6" t="n">
        <v>-1.170491143965462</v>
      </c>
      <c r="N1169" s="6" t="n">
        <v>-1.703326195642468</v>
      </c>
      <c r="O1169" s="6" t="n">
        <v>0.5599018229544256</v>
      </c>
      <c r="P1169" s="6" t="n">
        <v>0.3066167318123127</v>
      </c>
      <c r="Q1169" s="6" t="n">
        <v>-3.600056684087255</v>
      </c>
      <c r="R1169" s="6" t="n">
        <v>1.782828882672828</v>
      </c>
      <c r="S1169" s="6" t="n">
        <v>0.331863353041485</v>
      </c>
      <c r="T1169" s="6" t="n">
        <v>-1.734595887783642</v>
      </c>
      <c r="U1169" s="6" t="n">
        <v>3.239335977075152</v>
      </c>
      <c r="V1169" s="6" t="n">
        <v>-0.1531437780757849</v>
      </c>
      <c r="W1169" s="6" t="n">
        <v>0.8280145435571086</v>
      </c>
      <c r="X1169" s="6" t="n">
        <v>0.670989967417104</v>
      </c>
      <c r="Y1169" s="6" t="n">
        <v>-1.273072216928615</v>
      </c>
      <c r="Z1169" s="6" t="n">
        <v>1.864562618883472</v>
      </c>
      <c r="AA1169" s="6" t="n">
        <v>1.773508061320447</v>
      </c>
      <c r="AB1169" s="6" t="n">
        <v>-3.40127712107066</v>
      </c>
      <c r="AC1169" s="6" t="n">
        <v>1.978574381186645</v>
      </c>
      <c r="AD1169" s="6" t="n">
        <v>1.981089576714886</v>
      </c>
      <c r="AE1169" s="6" t="n">
        <v>-4.178471509652461</v>
      </c>
      <c r="AF1169" s="6" t="n">
        <v>-0.8423526924667071</v>
      </c>
      <c r="AG1169" s="6" t="n">
        <v>-0.1060587821271395</v>
      </c>
      <c r="AH1169" s="6" t="n">
        <v>0.2188957417029492</v>
      </c>
      <c r="AI1169" s="6" t="n">
        <v>-0.3569366641111616</v>
      </c>
      <c r="AJ1169" s="6" t="n">
        <v>73.99197865183351</v>
      </c>
      <c r="AK1169" s="6" t="n">
        <v>0.03279980006530515</v>
      </c>
      <c r="AL1169" s="6" t="n">
        <v>1.079547967406497</v>
      </c>
      <c r="AN1169" s="6" t="n">
        <v>1.340854931810439</v>
      </c>
      <c r="AO1169" s="6" t="n">
        <v>1.343723350202568</v>
      </c>
      <c r="AP1169" s="6" t="n">
        <v>0.132156355217673</v>
      </c>
      <c r="AQ1169" s="6" t="n">
        <v>0</v>
      </c>
      <c r="AR1169" s="6" t="n">
        <v>0</v>
      </c>
    </row>
    <row r="1170">
      <c r="D1170" t="inlineStr">
        <is>
          <t>Run 858</t>
        </is>
      </c>
      <c r="J1170" s="6" t="n">
        <v>-0.9311795029516692</v>
      </c>
      <c r="K1170" s="6" t="n">
        <v>-0.07090749350017914</v>
      </c>
      <c r="L1170" s="6" t="n">
        <v>3.914990289893631</v>
      </c>
      <c r="M1170" s="6" t="n">
        <v>1.73348639368714</v>
      </c>
      <c r="N1170" s="6" t="n">
        <v>-0.2203203790795936</v>
      </c>
      <c r="O1170" s="6" t="n">
        <v>-2.710370177788156</v>
      </c>
      <c r="P1170" s="6" t="n">
        <v>-0.6926683000780823</v>
      </c>
      <c r="Q1170" s="6" t="n">
        <v>1.814923412073179</v>
      </c>
      <c r="R1170" s="6" t="n">
        <v>-0.9743091236563157</v>
      </c>
      <c r="S1170" s="6" t="n">
        <v>1.41966893151851</v>
      </c>
      <c r="T1170" s="6" t="n">
        <v>-1.177469122753657</v>
      </c>
      <c r="U1170" s="6" t="n">
        <v>-1.092009541319919</v>
      </c>
      <c r="V1170" s="6" t="n">
        <v>1.353832768913013</v>
      </c>
      <c r="W1170" s="6" t="n">
        <v>-2.538746242439439</v>
      </c>
      <c r="X1170" s="6" t="n">
        <v>0.411344977955203</v>
      </c>
      <c r="Y1170" s="6" t="n">
        <v>-0.8092907739014507</v>
      </c>
      <c r="Z1170" s="6" t="n">
        <v>-0.1022191958703524</v>
      </c>
      <c r="AA1170" s="6" t="n">
        <v>-0.3387288506037743</v>
      </c>
      <c r="AB1170" s="6" t="n">
        <v>-0.800767616519072</v>
      </c>
      <c r="AC1170" s="6" t="n">
        <v>1.358723713330302</v>
      </c>
      <c r="AD1170" s="6" t="n">
        <v>0.8044875667112323</v>
      </c>
      <c r="AE1170" s="6" t="n">
        <v>-0.6720844800495658</v>
      </c>
      <c r="AF1170" s="6" t="n">
        <v>1.020162391397948</v>
      </c>
      <c r="AG1170" s="6" t="n">
        <v>3.055497762039845</v>
      </c>
      <c r="AH1170" s="6" t="n">
        <v>3.214236629410393</v>
      </c>
      <c r="AI1170" s="6" t="n">
        <v>1.573487233930823</v>
      </c>
      <c r="AJ1170" s="6" t="n">
        <v>68.84031708694391</v>
      </c>
      <c r="AK1170" s="6" t="n">
        <v>0.1008245950531166</v>
      </c>
      <c r="AL1170" s="6" t="n">
        <v>1.034840159228951</v>
      </c>
      <c r="AN1170" s="6" t="n">
        <v>1.349153849542636</v>
      </c>
      <c r="AO1170" s="6" t="n">
        <v>1.34975062623325</v>
      </c>
      <c r="AP1170" s="6" t="n">
        <v>0.1341965451738973</v>
      </c>
      <c r="AQ1170" s="6" t="n">
        <v>0</v>
      </c>
      <c r="AR1170" s="6" t="n">
        <v>0</v>
      </c>
    </row>
    <row r="1171">
      <c r="D1171" t="inlineStr">
        <is>
          <t>Run 859</t>
        </is>
      </c>
      <c r="J1171" s="6" t="n">
        <v>1.579879096418842</v>
      </c>
      <c r="K1171" s="6" t="n">
        <v>0.5440417837820003</v>
      </c>
      <c r="L1171" s="6" t="n">
        <v>-0.04931301486644524</v>
      </c>
      <c r="M1171" s="6" t="n">
        <v>1.37201095896303</v>
      </c>
      <c r="N1171" s="6" t="n">
        <v>0.2029082446269523</v>
      </c>
      <c r="O1171" s="6" t="n">
        <v>1.27768961560464</v>
      </c>
      <c r="P1171" s="6" t="n">
        <v>2.265588761980917</v>
      </c>
      <c r="Q1171" s="6" t="n">
        <v>1.960980239869651</v>
      </c>
      <c r="R1171" s="6" t="n">
        <v>-1.393588710357754</v>
      </c>
      <c r="S1171" s="6" t="n">
        <v>-2.01989206096007</v>
      </c>
      <c r="T1171" s="6" t="n">
        <v>-0.5989989275111326</v>
      </c>
      <c r="U1171" s="6" t="n">
        <v>0.8269479979279815</v>
      </c>
      <c r="V1171" s="6" t="n">
        <v>-3.069982000686979</v>
      </c>
      <c r="W1171" s="6" t="n">
        <v>-1.194988447338353</v>
      </c>
      <c r="X1171" s="6" t="n">
        <v>-0.1911767801556831</v>
      </c>
      <c r="Y1171" s="6" t="n">
        <v>1.080778267824862</v>
      </c>
      <c r="Z1171" s="6" t="n">
        <v>1.004388391933116</v>
      </c>
      <c r="AA1171" s="6" t="n">
        <v>-1.647116445489958</v>
      </c>
      <c r="AB1171" s="6" t="n">
        <v>-1.074850557820536</v>
      </c>
      <c r="AC1171" s="6" t="n">
        <v>1.879582446940791</v>
      </c>
      <c r="AD1171" s="6" t="n">
        <v>-0.744165352478553</v>
      </c>
      <c r="AE1171" s="6" t="n">
        <v>-2.725668412439742</v>
      </c>
      <c r="AF1171" s="6" t="n">
        <v>0.8995717579615673</v>
      </c>
      <c r="AG1171" s="6" t="n">
        <v>2.669134833295131</v>
      </c>
      <c r="AH1171" s="6" t="n">
        <v>-0.06126642552359803</v>
      </c>
      <c r="AI1171" s="6" t="n">
        <v>-4.155162827353998</v>
      </c>
      <c r="AJ1171" s="6" t="n">
        <v>56.42590956569126</v>
      </c>
      <c r="AK1171" s="6" t="n">
        <v>0.1210234290512448</v>
      </c>
      <c r="AL1171" s="6" t="n">
        <v>1.041942709766779</v>
      </c>
      <c r="AN1171" s="6" t="n">
        <v>1.339711426058887</v>
      </c>
      <c r="AO1171" s="6" t="n">
        <v>1.339711426058887</v>
      </c>
      <c r="AP1171" s="6" t="n">
        <v>0.1319982068127141</v>
      </c>
      <c r="AQ1171" s="6" t="n">
        <v>0</v>
      </c>
      <c r="AR1171" s="6" t="n">
        <v>0</v>
      </c>
    </row>
    <row r="1172">
      <c r="D1172" t="inlineStr">
        <is>
          <t>Run 860</t>
        </is>
      </c>
      <c r="J1172" s="6" t="n">
        <v>-1.117693401764364</v>
      </c>
      <c r="K1172" s="6" t="n">
        <v>1.681801927254437</v>
      </c>
      <c r="L1172" s="6" t="n">
        <v>-2.414142857037774</v>
      </c>
      <c r="M1172" s="6" t="n">
        <v>-1.344084925175695</v>
      </c>
      <c r="N1172" s="6" t="n">
        <v>0.9922309989692266</v>
      </c>
      <c r="O1172" s="6" t="n">
        <v>0.7675700001106859</v>
      </c>
      <c r="P1172" s="6" t="n">
        <v>3.372311509734995</v>
      </c>
      <c r="Q1172" s="6" t="n">
        <v>-2.008226135838427</v>
      </c>
      <c r="R1172" s="6" t="n">
        <v>-3.7157421358157</v>
      </c>
      <c r="S1172" s="6" t="n">
        <v>-1.523151015102814</v>
      </c>
      <c r="T1172" s="6" t="n">
        <v>3.371059489418579</v>
      </c>
      <c r="U1172" s="6" t="n">
        <v>0.07150842292866792</v>
      </c>
      <c r="V1172" s="6" t="n">
        <v>1.865364560967251</v>
      </c>
      <c r="W1172" s="6" t="n">
        <v>1.675994991879944</v>
      </c>
      <c r="X1172" s="6" t="n">
        <v>0.1091674753432337</v>
      </c>
      <c r="Y1172" s="6" t="n">
        <v>-1.305113791727455</v>
      </c>
      <c r="Z1172" s="6" t="n">
        <v>-0.1178990734714619</v>
      </c>
      <c r="AA1172" s="6" t="n">
        <v>1.43388887647893</v>
      </c>
      <c r="AB1172" s="6" t="n">
        <v>-1.745503028771249</v>
      </c>
      <c r="AC1172" s="6" t="n">
        <v>0.9524239086568422</v>
      </c>
      <c r="AD1172" s="6" t="n">
        <v>0.01375170626117603</v>
      </c>
      <c r="AE1172" s="6" t="n">
        <v>-1.964197749458589</v>
      </c>
      <c r="AF1172" s="6" t="n">
        <v>-1.242476350164719</v>
      </c>
      <c r="AG1172" s="6" t="n">
        <v>0.1946902806734654</v>
      </c>
      <c r="AH1172" s="6" t="n">
        <v>1.081393286484035</v>
      </c>
      <c r="AI1172" s="6" t="n">
        <v>1.121927854209952</v>
      </c>
      <c r="AJ1172" s="6" t="n">
        <v>66.35000723484252</v>
      </c>
      <c r="AK1172" s="6" t="n">
        <v>0.0900479905303205</v>
      </c>
      <c r="AL1172" s="6" t="n">
        <v>1.044810409930463</v>
      </c>
      <c r="AN1172" s="6" t="n">
        <v>1.341473795101597</v>
      </c>
      <c r="AO1172" s="6" t="n">
        <v>1.344540173097078</v>
      </c>
      <c r="AP1172" s="6" t="n">
        <v>0.1328011497919649</v>
      </c>
      <c r="AQ1172" s="6" t="n">
        <v>0</v>
      </c>
      <c r="AR1172" s="6" t="n">
        <v>0</v>
      </c>
    </row>
    <row r="1173">
      <c r="D1173" t="inlineStr">
        <is>
          <t>Run 861</t>
        </is>
      </c>
      <c r="J1173" s="6" t="n">
        <v>0.4289403760949251</v>
      </c>
      <c r="K1173" s="6" t="n">
        <v>2.517361861823576</v>
      </c>
      <c r="L1173" s="6" t="n">
        <v>-1.170527120352135</v>
      </c>
      <c r="M1173" s="6" t="n">
        <v>-1.349724549313568</v>
      </c>
      <c r="N1173" s="6" t="n">
        <v>0.6921981698860407</v>
      </c>
      <c r="O1173" s="6" t="n">
        <v>-0.411643208280505</v>
      </c>
      <c r="P1173" s="6" t="n">
        <v>-0.1631797166091661</v>
      </c>
      <c r="Q1173" s="6" t="n">
        <v>2.997027639514192</v>
      </c>
      <c r="R1173" s="6" t="n">
        <v>-1.120965073296836</v>
      </c>
      <c r="S1173" s="6" t="n">
        <v>-0.8135536115701758</v>
      </c>
      <c r="T1173" s="6" t="n">
        <v>3.655887020418794</v>
      </c>
      <c r="U1173" s="6" t="n">
        <v>1.381734239616995</v>
      </c>
      <c r="V1173" s="6" t="n">
        <v>-3.822490265610601</v>
      </c>
      <c r="W1173" s="6" t="n">
        <v>-0.1615462584025923</v>
      </c>
      <c r="X1173" s="6" t="n">
        <v>1.772675626403431</v>
      </c>
      <c r="Y1173" s="6" t="n">
        <v>0.9055725151533058</v>
      </c>
      <c r="Z1173" s="6" t="n">
        <v>0.8507298604902379</v>
      </c>
      <c r="AA1173" s="6" t="n">
        <v>2.855759005843921</v>
      </c>
      <c r="AB1173" s="6" t="n">
        <v>2.014168226614702</v>
      </c>
      <c r="AC1173" s="6" t="n">
        <v>5</v>
      </c>
      <c r="AD1173" s="6" t="n">
        <v>2.307794384078399</v>
      </c>
      <c r="AE1173" s="6" t="n">
        <v>-2.256828693677615</v>
      </c>
      <c r="AF1173" s="6" t="n">
        <v>0.8590676990700132</v>
      </c>
      <c r="AG1173" s="6" t="n">
        <v>-2.931580067649964</v>
      </c>
      <c r="AH1173" s="6" t="n">
        <v>-1.358846837557639</v>
      </c>
      <c r="AI1173" s="6" t="n">
        <v>1.227996121465648</v>
      </c>
      <c r="AJ1173" s="6" t="n">
        <v>75.12587444958429</v>
      </c>
      <c r="AK1173" s="6" t="n">
        <v>0.05912081305953601</v>
      </c>
      <c r="AL1173" s="6" t="n">
        <v>1.038703874288774</v>
      </c>
      <c r="AN1173" s="6" t="n">
        <v>1.34941224449852</v>
      </c>
      <c r="AO1173" s="6" t="n">
        <v>1.351159862596743</v>
      </c>
      <c r="AP1173" s="6" t="n">
        <v>0.1351958208567158</v>
      </c>
      <c r="AQ1173" s="6" t="n">
        <v>0</v>
      </c>
      <c r="AR1173" s="6" t="n">
        <v>0</v>
      </c>
    </row>
    <row r="1174">
      <c r="D1174" t="inlineStr">
        <is>
          <t>Run 862</t>
        </is>
      </c>
      <c r="J1174" s="6" t="n">
        <v>2.427573777229865</v>
      </c>
      <c r="K1174" s="6" t="n">
        <v>-0.7243029796242536</v>
      </c>
      <c r="L1174" s="6" t="n">
        <v>-2.824700639111592</v>
      </c>
      <c r="M1174" s="6" t="n">
        <v>-1.976291452121079</v>
      </c>
      <c r="N1174" s="6" t="n">
        <v>1.885769319706814</v>
      </c>
      <c r="O1174" s="6" t="n">
        <v>2.827918001783604</v>
      </c>
      <c r="P1174" s="6" t="n">
        <v>-1.544416841359307</v>
      </c>
      <c r="Q1174" s="6" t="n">
        <v>-3.784398248869134</v>
      </c>
      <c r="R1174" s="6" t="n">
        <v>-3.373779483177517</v>
      </c>
      <c r="S1174" s="6" t="n">
        <v>2.960789004868614</v>
      </c>
      <c r="T1174" s="6" t="n">
        <v>-2.570349579674009</v>
      </c>
      <c r="U1174" s="6" t="n">
        <v>-2.982812749845902</v>
      </c>
      <c r="V1174" s="6" t="n">
        <v>1.44165879475947</v>
      </c>
      <c r="W1174" s="6" t="n">
        <v>2.94766676862635</v>
      </c>
      <c r="X1174" s="6" t="n">
        <v>-0.4891814708889177</v>
      </c>
      <c r="Y1174" s="6" t="n">
        <v>1.848236768006184</v>
      </c>
      <c r="Z1174" s="6" t="n">
        <v>2.536208914177811</v>
      </c>
      <c r="AA1174" s="6" t="n">
        <v>3.807362665857998</v>
      </c>
      <c r="AB1174" s="6" t="n">
        <v>-4.199012927412167</v>
      </c>
      <c r="AC1174" s="6" t="n">
        <v>0.004488771824054136</v>
      </c>
      <c r="AD1174" s="6" t="n">
        <v>-1.114051478573708</v>
      </c>
      <c r="AE1174" s="6" t="n">
        <v>-4.430785010027823</v>
      </c>
      <c r="AF1174" s="6" t="n">
        <v>3.139400778929296</v>
      </c>
      <c r="AG1174" s="6" t="n">
        <v>3.073803755838644</v>
      </c>
      <c r="AH1174" s="6" t="n">
        <v>1.155029114099071</v>
      </c>
      <c r="AI1174" s="6" t="n">
        <v>-2.607559298083382</v>
      </c>
      <c r="AJ1174" s="6" t="n">
        <v>78.44799859858047</v>
      </c>
      <c r="AK1174" s="6" t="n">
        <v>0.0888031533468701</v>
      </c>
      <c r="AL1174" s="6" t="n">
        <v>1.083413760188136</v>
      </c>
      <c r="AN1174" s="6" t="n">
        <v>1.327169936329109</v>
      </c>
      <c r="AO1174" s="6" t="n">
        <v>1.332629554864848</v>
      </c>
      <c r="AP1174" s="6" t="n">
        <v>0.1306040252838693</v>
      </c>
      <c r="AQ1174" s="6" t="n">
        <v>0</v>
      </c>
      <c r="AR1174" s="6" t="n">
        <v>0</v>
      </c>
    </row>
    <row r="1175">
      <c r="D1175" t="inlineStr">
        <is>
          <t>Run 863</t>
        </is>
      </c>
      <c r="J1175" s="6" t="n">
        <v>2.236994222810673</v>
      </c>
      <c r="K1175" s="6" t="n">
        <v>-1.962321538662709</v>
      </c>
      <c r="L1175" s="6" t="n">
        <v>0.5901338266614156</v>
      </c>
      <c r="M1175" s="6" t="n">
        <v>0.2902967219614714</v>
      </c>
      <c r="N1175" s="6" t="n">
        <v>-0.3314723236831834</v>
      </c>
      <c r="O1175" s="6" t="n">
        <v>0.918506937882423</v>
      </c>
      <c r="P1175" s="6" t="n">
        <v>-1.276095812889847</v>
      </c>
      <c r="Q1175" s="6" t="n">
        <v>-2.389758067485559</v>
      </c>
      <c r="R1175" s="6" t="n">
        <v>3.230378912027677</v>
      </c>
      <c r="S1175" s="6" t="n">
        <v>-1.605078666374174</v>
      </c>
      <c r="T1175" s="6" t="n">
        <v>3.399423262756399</v>
      </c>
      <c r="U1175" s="6" t="n">
        <v>-1.075977785091625</v>
      </c>
      <c r="V1175" s="6" t="n">
        <v>-1.149629632357999</v>
      </c>
      <c r="W1175" s="6" t="n">
        <v>-0.707800414930313</v>
      </c>
      <c r="X1175" s="6" t="n">
        <v>0.4435348761089777</v>
      </c>
      <c r="Y1175" s="6" t="n">
        <v>-2.226139924644689</v>
      </c>
      <c r="Z1175" s="6" t="n">
        <v>-2.123036332915855</v>
      </c>
      <c r="AA1175" s="6" t="n">
        <v>-1.539140508432108</v>
      </c>
      <c r="AB1175" s="6" t="n">
        <v>-0.616836711305135</v>
      </c>
      <c r="AC1175" s="6" t="n">
        <v>1.392840390085878</v>
      </c>
      <c r="AD1175" s="6" t="n">
        <v>4.295842186818177</v>
      </c>
      <c r="AE1175" s="6" t="n">
        <v>-0.4087023374252908</v>
      </c>
      <c r="AF1175" s="6" t="n">
        <v>-2.297034453131042</v>
      </c>
      <c r="AG1175" s="6" t="n">
        <v>0.128957867391158</v>
      </c>
      <c r="AH1175" s="6" t="n">
        <v>-0.6968580543993576</v>
      </c>
      <c r="AI1175" s="6" t="n">
        <v>1.899899062680529</v>
      </c>
      <c r="AJ1175" s="6" t="n">
        <v>67.08772701518367</v>
      </c>
      <c r="AK1175" s="6" t="n">
        <v>0.1411699187288231</v>
      </c>
      <c r="AL1175" s="6" t="n">
        <v>1.046163637549635</v>
      </c>
      <c r="AN1175" s="6" t="n">
        <v>1.344133927572254</v>
      </c>
      <c r="AO1175" s="6" t="n">
        <v>1.344722921769277</v>
      </c>
      <c r="AP1175" s="6" t="n">
        <v>0.131741694196532</v>
      </c>
      <c r="AQ1175" s="6" t="n">
        <v>0</v>
      </c>
      <c r="AR1175" s="6" t="n">
        <v>0</v>
      </c>
    </row>
    <row r="1176">
      <c r="D1176" t="inlineStr">
        <is>
          <t>Run 864</t>
        </is>
      </c>
      <c r="J1176" s="6" t="n">
        <v>-0.6584449044382781</v>
      </c>
      <c r="K1176" s="6" t="n">
        <v>-1.277858877203309</v>
      </c>
      <c r="L1176" s="6" t="n">
        <v>0.2432102706364232</v>
      </c>
      <c r="M1176" s="6" t="n">
        <v>-3.16708662363078</v>
      </c>
      <c r="N1176" s="6" t="n">
        <v>-2.412111328218396</v>
      </c>
      <c r="O1176" s="6" t="n">
        <v>-2.781046303419777</v>
      </c>
      <c r="P1176" s="6" t="n">
        <v>-0.220213295966542</v>
      </c>
      <c r="Q1176" s="6" t="n">
        <v>0.04775833695270508</v>
      </c>
      <c r="R1176" s="6" t="n">
        <v>1.697053893997945</v>
      </c>
      <c r="S1176" s="6" t="n">
        <v>-1.365841339467101</v>
      </c>
      <c r="T1176" s="6" t="n">
        <v>-4.871377184369219</v>
      </c>
      <c r="U1176" s="6" t="n">
        <v>-0.8050092348111165</v>
      </c>
      <c r="V1176" s="6" t="n">
        <v>-0.3271969137518662</v>
      </c>
      <c r="W1176" s="6" t="n">
        <v>-2.296692547405981</v>
      </c>
      <c r="X1176" s="6" t="n">
        <v>0.4454639024979666</v>
      </c>
      <c r="Y1176" s="6" t="n">
        <v>-1.217922345818323</v>
      </c>
      <c r="Z1176" s="6" t="n">
        <v>-0.3846429048487395</v>
      </c>
      <c r="AA1176" s="6" t="n">
        <v>0.9127012310099911</v>
      </c>
      <c r="AB1176" s="6" t="n">
        <v>-2.548262222924729</v>
      </c>
      <c r="AC1176" s="6" t="n">
        <v>-1.124392283370043</v>
      </c>
      <c r="AD1176" s="6" t="n">
        <v>-0.4453622935216953</v>
      </c>
      <c r="AE1176" s="6" t="n">
        <v>-0.1059079525123049</v>
      </c>
      <c r="AF1176" s="6" t="n">
        <v>2.980468913283602</v>
      </c>
      <c r="AG1176" s="6" t="n">
        <v>0.9625629822438251</v>
      </c>
      <c r="AH1176" s="6" t="n">
        <v>0.7613111464491152</v>
      </c>
      <c r="AI1176" s="6" t="n">
        <v>-2.561940356335832</v>
      </c>
      <c r="AJ1176" s="6" t="n">
        <v>66.67580268221387</v>
      </c>
      <c r="AK1176" s="6" t="n">
        <v>0.1648539238829484</v>
      </c>
      <c r="AL1176" s="6" t="n">
        <v>1.010671590457546</v>
      </c>
      <c r="AN1176" s="6" t="n">
        <v>1.322319336157871</v>
      </c>
      <c r="AO1176" s="6" t="n">
        <v>1.327164147777125</v>
      </c>
      <c r="AP1176" s="6" t="n">
        <v>0.1350584491177286</v>
      </c>
      <c r="AQ1176" s="6" t="n">
        <v>0</v>
      </c>
      <c r="AR1176" s="6" t="n">
        <v>0</v>
      </c>
    </row>
    <row r="1177">
      <c r="D1177" t="inlineStr">
        <is>
          <t>Run 865</t>
        </is>
      </c>
      <c r="J1177" s="6" t="n">
        <v>2.411970540228042</v>
      </c>
      <c r="K1177" s="6" t="n">
        <v>2.809719110917845</v>
      </c>
      <c r="L1177" s="6" t="n">
        <v>-1.77132109671507</v>
      </c>
      <c r="M1177" s="6" t="n">
        <v>2.558399715717143</v>
      </c>
      <c r="N1177" s="6" t="n">
        <v>2.439606959723437</v>
      </c>
      <c r="O1177" s="6" t="n">
        <v>0.8545211269306213</v>
      </c>
      <c r="P1177" s="6" t="n">
        <v>-4.160619897828299</v>
      </c>
      <c r="Q1177" s="6" t="n">
        <v>1.542912154542029</v>
      </c>
      <c r="R1177" s="6" t="n">
        <v>-1.093351647388574</v>
      </c>
      <c r="S1177" s="6" t="n">
        <v>0.3537550165386626</v>
      </c>
      <c r="T1177" s="6" t="n">
        <v>1.611889671701749</v>
      </c>
      <c r="U1177" s="6" t="n">
        <v>1.113792791200169</v>
      </c>
      <c r="V1177" s="6" t="n">
        <v>-0.06595390952273709</v>
      </c>
      <c r="W1177" s="6" t="n">
        <v>2.920586158244846</v>
      </c>
      <c r="X1177" s="6" t="n">
        <v>-2.798516490518772</v>
      </c>
      <c r="Y1177" s="6" t="n">
        <v>1.36707914125623</v>
      </c>
      <c r="Z1177" s="6" t="n">
        <v>1.775186606539817</v>
      </c>
      <c r="AA1177" s="6" t="n">
        <v>-1.44174852214348</v>
      </c>
      <c r="AB1177" s="6" t="n">
        <v>0.1072010190816305</v>
      </c>
      <c r="AC1177" s="6" t="n">
        <v>-4.745196680031381</v>
      </c>
      <c r="AD1177" s="6" t="n">
        <v>-5.109305333786451</v>
      </c>
      <c r="AE1177" s="6" t="n">
        <v>0.1371542737114176</v>
      </c>
      <c r="AF1177" s="6" t="n">
        <v>2.825650797312049</v>
      </c>
      <c r="AG1177" s="6" t="n">
        <v>1.674016596072641</v>
      </c>
      <c r="AH1177" s="6" t="n">
        <v>0.369410261798165</v>
      </c>
      <c r="AI1177" s="6" t="n">
        <v>0.2632079799536176</v>
      </c>
      <c r="AJ1177" s="6" t="n">
        <v>56.79141237029234</v>
      </c>
      <c r="AK1177" s="6" t="n">
        <v>0.07428712992649186</v>
      </c>
      <c r="AL1177" s="6" t="n">
        <v>0.9938907100002702</v>
      </c>
      <c r="AN1177" s="6" t="n">
        <v>1.347692780554552</v>
      </c>
      <c r="AO1177" s="6" t="n">
        <v>1.347692780554552</v>
      </c>
      <c r="AP1177" s="6" t="n">
        <v>0.1383678228655355</v>
      </c>
      <c r="AQ1177" s="6" t="n">
        <v>0</v>
      </c>
      <c r="AR1177" s="6" t="n">
        <v>0</v>
      </c>
    </row>
    <row r="1178">
      <c r="D1178" t="inlineStr">
        <is>
          <t>Run 866</t>
        </is>
      </c>
      <c r="J1178" s="6" t="n">
        <v>-0.8055214322454243</v>
      </c>
      <c r="K1178" s="6" t="n">
        <v>-0.3047369325581343</v>
      </c>
      <c r="L1178" s="6" t="n">
        <v>0.6170266194434124</v>
      </c>
      <c r="M1178" s="6" t="n">
        <v>-1.226043586066059</v>
      </c>
      <c r="N1178" s="6" t="n">
        <v>-2.162925906255319</v>
      </c>
      <c r="O1178" s="6" t="n">
        <v>-1.917758738587615</v>
      </c>
      <c r="P1178" s="6" t="n">
        <v>-2.777904837341368</v>
      </c>
      <c r="Q1178" s="6" t="n">
        <v>0.4478555662132369</v>
      </c>
      <c r="R1178" s="6" t="n">
        <v>2.382646596069854</v>
      </c>
      <c r="S1178" s="6" t="n">
        <v>-2.285168734769151</v>
      </c>
      <c r="T1178" s="6" t="n">
        <v>-2.686813547330155</v>
      </c>
      <c r="U1178" s="6" t="n">
        <v>-1.055350445454223</v>
      </c>
      <c r="V1178" s="6" t="n">
        <v>1.679784611383857</v>
      </c>
      <c r="W1178" s="6" t="n">
        <v>-0.6372423162354479</v>
      </c>
      <c r="X1178" s="6" t="n">
        <v>-0.7727714056712952</v>
      </c>
      <c r="Y1178" s="6" t="n">
        <v>-1.848008353254095</v>
      </c>
      <c r="Z1178" s="6" t="n">
        <v>-2.91351165005199</v>
      </c>
      <c r="AA1178" s="6" t="n">
        <v>2.126645691604113</v>
      </c>
      <c r="AB1178" s="6" t="n">
        <v>1.873160284208919</v>
      </c>
      <c r="AC1178" s="6" t="n">
        <v>-1.92083751995738</v>
      </c>
      <c r="AD1178" s="6" t="n">
        <v>-0.8468920453643163</v>
      </c>
      <c r="AE1178" s="6" t="n">
        <v>0.6741427157781016</v>
      </c>
      <c r="AF1178" s="6" t="n">
        <v>-2.98724350299463</v>
      </c>
      <c r="AG1178" s="6" t="n">
        <v>0.9752745343467498</v>
      </c>
      <c r="AH1178" s="6" t="n">
        <v>-2.674812215452871</v>
      </c>
      <c r="AI1178" s="6" t="n">
        <v>-1.422817558946528</v>
      </c>
      <c r="AJ1178" s="6" t="n">
        <v>66.47452333982932</v>
      </c>
      <c r="AK1178" s="6" t="n">
        <v>0.1161995261578374</v>
      </c>
      <c r="AL1178" s="6" t="n">
        <v>1.036499182670033</v>
      </c>
      <c r="AN1178" s="6" t="n">
        <v>1.343866788828478</v>
      </c>
      <c r="AO1178" s="6" t="n">
        <v>1.346778167426283</v>
      </c>
      <c r="AP1178" s="6" t="n">
        <v>0.133431590764765</v>
      </c>
      <c r="AQ1178" s="6" t="n">
        <v>0</v>
      </c>
      <c r="AR1178" s="6" t="n">
        <v>0</v>
      </c>
    </row>
    <row r="1179">
      <c r="D1179" t="inlineStr">
        <is>
          <t>Run 867</t>
        </is>
      </c>
      <c r="J1179" s="6" t="n">
        <v>-2.192074194629027</v>
      </c>
      <c r="K1179" s="6" t="n">
        <v>-0.5649781064858842</v>
      </c>
      <c r="L1179" s="6" t="n">
        <v>-0.9421529414876053</v>
      </c>
      <c r="M1179" s="6" t="n">
        <v>-2.847163085071051</v>
      </c>
      <c r="N1179" s="6" t="n">
        <v>0.01686056529957439</v>
      </c>
      <c r="O1179" s="6" t="n">
        <v>1.598023239358813</v>
      </c>
      <c r="P1179" s="6" t="n">
        <v>-0.7207445457078689</v>
      </c>
      <c r="Q1179" s="6" t="n">
        <v>0.5024089700975931</v>
      </c>
      <c r="R1179" s="6" t="n">
        <v>-2.421570907680238</v>
      </c>
      <c r="S1179" s="6" t="n">
        <v>0.4878038450819303</v>
      </c>
      <c r="T1179" s="6" t="n">
        <v>1.148985165024289</v>
      </c>
      <c r="U1179" s="6" t="n">
        <v>0.1128781784755526</v>
      </c>
      <c r="V1179" s="6" t="n">
        <v>0.8143580601867132</v>
      </c>
      <c r="W1179" s="6" t="n">
        <v>-0.1816631243520591</v>
      </c>
      <c r="X1179" s="6" t="n">
        <v>0.5495736918432204</v>
      </c>
      <c r="Y1179" s="6" t="n">
        <v>4.626379346467331</v>
      </c>
      <c r="Z1179" s="6" t="n">
        <v>-1.336962395386794</v>
      </c>
      <c r="AA1179" s="6" t="n">
        <v>-0.9530884569167067</v>
      </c>
      <c r="AB1179" s="6" t="n">
        <v>-1.32581928190691</v>
      </c>
      <c r="AC1179" s="6" t="n">
        <v>-0.3102060029865312</v>
      </c>
      <c r="AD1179" s="6" t="n">
        <v>1.328265175970212</v>
      </c>
      <c r="AE1179" s="6" t="n">
        <v>0.5143073944959373</v>
      </c>
      <c r="AF1179" s="6" t="n">
        <v>-0.3194136346624607</v>
      </c>
      <c r="AG1179" s="6" t="n">
        <v>2.040886881791678</v>
      </c>
      <c r="AH1179" s="6" t="n">
        <v>-4.259416945047594</v>
      </c>
      <c r="AI1179" s="6" t="n">
        <v>3.865921034679334</v>
      </c>
      <c r="AJ1179" s="6" t="n">
        <v>76.13445595190001</v>
      </c>
      <c r="AK1179" s="6" t="n">
        <v>0.09321142050115204</v>
      </c>
      <c r="AL1179" s="6" t="n">
        <v>1.071092570249263</v>
      </c>
      <c r="AN1179" s="6" t="n">
        <v>1.316694567974115</v>
      </c>
      <c r="AO1179" s="6" t="n">
        <v>1.325783563332679</v>
      </c>
      <c r="AP1179" s="6" t="n">
        <v>0.131633132231166</v>
      </c>
      <c r="AQ1179" s="6" t="n">
        <v>0</v>
      </c>
      <c r="AR1179" s="6" t="n">
        <v>0</v>
      </c>
    </row>
    <row r="1180">
      <c r="D1180" t="inlineStr">
        <is>
          <t>Run 868</t>
        </is>
      </c>
      <c r="J1180" s="6" t="n">
        <v>-2.192041610863523</v>
      </c>
      <c r="K1180" s="6" t="n">
        <v>0.2866861934477993</v>
      </c>
      <c r="L1180" s="6" t="n">
        <v>0.2264820177123826</v>
      </c>
      <c r="M1180" s="6" t="n">
        <v>1.823933783607451</v>
      </c>
      <c r="N1180" s="6" t="n">
        <v>-1.433246544886166</v>
      </c>
      <c r="O1180" s="6" t="n">
        <v>-1.844937319672159</v>
      </c>
      <c r="P1180" s="6" t="n">
        <v>1.998411867038548</v>
      </c>
      <c r="Q1180" s="6" t="n">
        <v>-0.3088416218158027</v>
      </c>
      <c r="R1180" s="6" t="n">
        <v>-2.173632615225166</v>
      </c>
      <c r="S1180" s="6" t="n">
        <v>2.437006105356701</v>
      </c>
      <c r="T1180" s="6" t="n">
        <v>-1.520988732320895</v>
      </c>
      <c r="U1180" s="6" t="n">
        <v>1.399033128932519</v>
      </c>
      <c r="V1180" s="6" t="n">
        <v>-1.083905117699131</v>
      </c>
      <c r="W1180" s="6" t="n">
        <v>-0.2317465704624466</v>
      </c>
      <c r="X1180" s="6" t="n">
        <v>-1.101620344943679</v>
      </c>
      <c r="Y1180" s="6" t="n">
        <v>0.4359046785156928</v>
      </c>
      <c r="Z1180" s="6" t="n">
        <v>-1.611131015935289</v>
      </c>
      <c r="AA1180" s="6" t="n">
        <v>-1.365854502536847</v>
      </c>
      <c r="AB1180" s="6" t="n">
        <v>1.383709322435974</v>
      </c>
      <c r="AC1180" s="6" t="n">
        <v>1.511923129439402</v>
      </c>
      <c r="AD1180" s="6" t="n">
        <v>0.8454958865483915</v>
      </c>
      <c r="AE1180" s="6" t="n">
        <v>-1.154242625909474</v>
      </c>
      <c r="AF1180" s="6" t="n">
        <v>-1.648609132519797</v>
      </c>
      <c r="AG1180" s="6" t="n">
        <v>-1.491989737039324</v>
      </c>
      <c r="AH1180" s="6" t="n">
        <v>2.524287716191739</v>
      </c>
      <c r="AI1180" s="6" t="n">
        <v>-1.583226543239154</v>
      </c>
      <c r="AJ1180" s="6" t="n">
        <v>71.73166669543964</v>
      </c>
      <c r="AK1180" s="6" t="n">
        <v>0.09316433377720237</v>
      </c>
      <c r="AL1180" s="6" t="n">
        <v>1.051839596459977</v>
      </c>
      <c r="AN1180" s="6" t="n">
        <v>1.347053895833658</v>
      </c>
      <c r="AO1180" s="6" t="n">
        <v>1.347607407035576</v>
      </c>
      <c r="AP1180" s="6" t="n">
        <v>0.1329730956801035</v>
      </c>
      <c r="AQ1180" s="6" t="n">
        <v>0</v>
      </c>
      <c r="AR1180" s="6" t="n">
        <v>0</v>
      </c>
    </row>
    <row r="1181">
      <c r="D1181" t="inlineStr">
        <is>
          <t>Run 869</t>
        </is>
      </c>
      <c r="J1181" s="6" t="n">
        <v>0.9961714449022528</v>
      </c>
      <c r="K1181" s="6" t="n">
        <v>-0.8785158977667552</v>
      </c>
      <c r="L1181" s="6" t="n">
        <v>1.027416560547266</v>
      </c>
      <c r="M1181" s="6" t="n">
        <v>2.686581973090991</v>
      </c>
      <c r="N1181" s="6" t="n">
        <v>5</v>
      </c>
      <c r="O1181" s="6" t="n">
        <v>1.056265860988324</v>
      </c>
      <c r="P1181" s="6" t="n">
        <v>1.599221602514508</v>
      </c>
      <c r="Q1181" s="6" t="n">
        <v>0.09727094729840408</v>
      </c>
      <c r="R1181" s="6" t="n">
        <v>-0.1364603959035756</v>
      </c>
      <c r="S1181" s="6" t="n">
        <v>-3.179861131639982</v>
      </c>
      <c r="T1181" s="6" t="n">
        <v>-2.753158085803915</v>
      </c>
      <c r="U1181" s="6" t="n">
        <v>1.831218993864254</v>
      </c>
      <c r="V1181" s="6" t="n">
        <v>0.2335866309838238</v>
      </c>
      <c r="W1181" s="6" t="n">
        <v>2.337788680827297</v>
      </c>
      <c r="X1181" s="6" t="n">
        <v>-1.008078678099016</v>
      </c>
      <c r="Y1181" s="6" t="n">
        <v>4.599648323976452</v>
      </c>
      <c r="Z1181" s="6" t="n">
        <v>-4.06378866763132</v>
      </c>
      <c r="AA1181" s="6" t="n">
        <v>1.760050369628092</v>
      </c>
      <c r="AB1181" s="6" t="n">
        <v>-4.940697706940329</v>
      </c>
      <c r="AC1181" s="6" t="n">
        <v>1.304593810690529</v>
      </c>
      <c r="AD1181" s="6" t="n">
        <v>-1.872546909668376</v>
      </c>
      <c r="AE1181" s="6" t="n">
        <v>-1.190512312380334</v>
      </c>
      <c r="AF1181" s="6" t="n">
        <v>-2.030530472823537</v>
      </c>
      <c r="AG1181" s="6" t="n">
        <v>-0.07192634824689076</v>
      </c>
      <c r="AH1181" s="6" t="n">
        <v>1.33227249326547</v>
      </c>
      <c r="AI1181" s="6" t="n">
        <v>1.143409243995426</v>
      </c>
      <c r="AJ1181" s="6" t="n">
        <v>81.48148278369527</v>
      </c>
      <c r="AK1181" s="6" t="n">
        <v>0.1297380590271449</v>
      </c>
      <c r="AL1181" s="6" t="n">
        <v>1.088853154946846</v>
      </c>
      <c r="AN1181" s="6" t="n">
        <v>1.332721480159727</v>
      </c>
      <c r="AO1181" s="6" t="n">
        <v>1.334063450632211</v>
      </c>
      <c r="AP1181" s="6" t="n">
        <v>0.1299612875777179</v>
      </c>
      <c r="AQ1181" s="6" t="n">
        <v>0</v>
      </c>
      <c r="AR1181" s="6" t="n">
        <v>0</v>
      </c>
    </row>
    <row r="1182">
      <c r="D1182" t="inlineStr">
        <is>
          <t>Run 870</t>
        </is>
      </c>
      <c r="J1182" s="6" t="n">
        <v>1.594519809816598</v>
      </c>
      <c r="K1182" s="6" t="n">
        <v>-3.305462369545559</v>
      </c>
      <c r="L1182" s="6" t="n">
        <v>-0.765520788926617</v>
      </c>
      <c r="M1182" s="6" t="n">
        <v>1.625052369389477</v>
      </c>
      <c r="N1182" s="6" t="n">
        <v>-2.804503388982465</v>
      </c>
      <c r="O1182" s="6" t="n">
        <v>-4.233592555546099</v>
      </c>
      <c r="P1182" s="6" t="n">
        <v>4.305833589279884</v>
      </c>
      <c r="Q1182" s="6" t="n">
        <v>-4.206054172414762</v>
      </c>
      <c r="R1182" s="6" t="n">
        <v>2.421406697228905</v>
      </c>
      <c r="S1182" s="6" t="n">
        <v>-2.252468618662951</v>
      </c>
      <c r="T1182" s="6" t="n">
        <v>0.4834056286042251</v>
      </c>
      <c r="U1182" s="6" t="n">
        <v>1.297617674984854</v>
      </c>
      <c r="V1182" s="6" t="n">
        <v>-0.06447899939716374</v>
      </c>
      <c r="W1182" s="6" t="n">
        <v>0.5336478917713244</v>
      </c>
      <c r="X1182" s="6" t="n">
        <v>-3.373890125058986</v>
      </c>
      <c r="Y1182" s="6" t="n">
        <v>-0.8568638438717023</v>
      </c>
      <c r="Z1182" s="6" t="n">
        <v>2.663339317693215</v>
      </c>
      <c r="AA1182" s="6" t="n">
        <v>-0.1540136935507476</v>
      </c>
      <c r="AB1182" s="6" t="n">
        <v>-1.465256797002771</v>
      </c>
      <c r="AC1182" s="6" t="n">
        <v>-1.807334757741889</v>
      </c>
      <c r="AD1182" s="6" t="n">
        <v>1.685116193692656</v>
      </c>
      <c r="AE1182" s="6" t="n">
        <v>-0.7737880890022467</v>
      </c>
      <c r="AF1182" s="6" t="n">
        <v>0.3001841481811959</v>
      </c>
      <c r="AG1182" s="6" t="n">
        <v>-1.040550653228721</v>
      </c>
      <c r="AH1182" s="6" t="n">
        <v>-0.3399522572047722</v>
      </c>
      <c r="AI1182" s="6" t="n">
        <v>0.2835806349911807</v>
      </c>
      <c r="AJ1182" s="6" t="n">
        <v>66.96604904077731</v>
      </c>
      <c r="AK1182" s="6" t="n">
        <v>0.1241095802253887</v>
      </c>
      <c r="AL1182" s="6" t="n">
        <v>1.048931900900744</v>
      </c>
      <c r="AN1182" s="6" t="n">
        <v>1.333637195813505</v>
      </c>
      <c r="AO1182" s="6" t="n">
        <v>1.33805042301941</v>
      </c>
      <c r="AP1182" s="6" t="n">
        <v>0.1316255954485149</v>
      </c>
      <c r="AQ1182" s="6" t="n">
        <v>0</v>
      </c>
      <c r="AR1182" s="6" t="n">
        <v>0</v>
      </c>
    </row>
    <row r="1183">
      <c r="D1183" t="inlineStr">
        <is>
          <t>Run 871</t>
        </is>
      </c>
      <c r="J1183" s="6" t="n">
        <v>-2.1524187652653</v>
      </c>
      <c r="K1183" s="6" t="n">
        <v>-2.140804026232679</v>
      </c>
      <c r="L1183" s="6" t="n">
        <v>0.3048111021625993</v>
      </c>
      <c r="M1183" s="6" t="n">
        <v>0.5842675875841131</v>
      </c>
      <c r="N1183" s="6" t="n">
        <v>-2.719792486358884</v>
      </c>
      <c r="O1183" s="6" t="n">
        <v>-1.322491654309337</v>
      </c>
      <c r="P1183" s="6" t="n">
        <v>2.513630335703303</v>
      </c>
      <c r="Q1183" s="6" t="n">
        <v>0.2297039584985415</v>
      </c>
      <c r="R1183" s="6" t="n">
        <v>-0.9048519664554298</v>
      </c>
      <c r="S1183" s="6" t="n">
        <v>2.722723830618411</v>
      </c>
      <c r="T1183" s="6" t="n">
        <v>2.360098110962351</v>
      </c>
      <c r="U1183" s="6" t="n">
        <v>2.792412659486476</v>
      </c>
      <c r="V1183" s="6" t="n">
        <v>-2.125007607675308</v>
      </c>
      <c r="W1183" s="6" t="n">
        <v>0.5886797751741383</v>
      </c>
      <c r="X1183" s="6" t="n">
        <v>-2.091237139844784</v>
      </c>
      <c r="Y1183" s="6" t="n">
        <v>3.276990908836511</v>
      </c>
      <c r="Z1183" s="6" t="n">
        <v>-0.6551728438567516</v>
      </c>
      <c r="AA1183" s="6" t="n">
        <v>3.331970766780964</v>
      </c>
      <c r="AB1183" s="6" t="n">
        <v>1.035272368474429</v>
      </c>
      <c r="AC1183" s="6" t="n">
        <v>-2.856036190279854</v>
      </c>
      <c r="AD1183" s="6" t="n">
        <v>0.3476409104745955</v>
      </c>
      <c r="AE1183" s="6" t="n">
        <v>-0.218627663987474</v>
      </c>
      <c r="AF1183" s="6" t="n">
        <v>-2.592181639711188</v>
      </c>
      <c r="AG1183" s="6" t="n">
        <v>0.2621222841540101</v>
      </c>
      <c r="AH1183" s="6" t="n">
        <v>3.658762583008744</v>
      </c>
      <c r="AI1183" s="6" t="n">
        <v>0.3665542922688656</v>
      </c>
      <c r="AJ1183" s="6" t="n">
        <v>67.44590455629502</v>
      </c>
      <c r="AK1183" s="6" t="n">
        <v>0.09114985495597067</v>
      </c>
      <c r="AL1183" s="6" t="n">
        <v>1.041671109469506</v>
      </c>
      <c r="AN1183" s="6" t="n">
        <v>1.348949362498803</v>
      </c>
      <c r="AO1183" s="6" t="n">
        <v>1.349218042933293</v>
      </c>
      <c r="AP1183" s="6" t="n">
        <v>0.1336875103550241</v>
      </c>
      <c r="AQ1183" s="6" t="n">
        <v>0</v>
      </c>
      <c r="AR1183" s="6" t="n">
        <v>0</v>
      </c>
    </row>
    <row r="1184">
      <c r="D1184" t="inlineStr">
        <is>
          <t>Run 872</t>
        </is>
      </c>
      <c r="J1184" s="6" t="n">
        <v>1.526651234816034</v>
      </c>
      <c r="K1184" s="6" t="n">
        <v>-2.02295840194369</v>
      </c>
      <c r="L1184" s="6" t="n">
        <v>-2.202432007123858</v>
      </c>
      <c r="M1184" s="6" t="n">
        <v>2.565810892713152</v>
      </c>
      <c r="N1184" s="6" t="n">
        <v>-1.315741210872079</v>
      </c>
      <c r="O1184" s="6" t="n">
        <v>0.07507053883661438</v>
      </c>
      <c r="P1184" s="6" t="n">
        <v>1.297043585048797</v>
      </c>
      <c r="Q1184" s="6" t="n">
        <v>-0.03014796092029285</v>
      </c>
      <c r="R1184" s="6" t="n">
        <v>1.259393469631733</v>
      </c>
      <c r="S1184" s="6" t="n">
        <v>-1.653243198526484</v>
      </c>
      <c r="T1184" s="6" t="n">
        <v>0.2499044447436065</v>
      </c>
      <c r="U1184" s="6" t="n">
        <v>0.3250068065880429</v>
      </c>
      <c r="V1184" s="6" t="n">
        <v>-1.536140223676921</v>
      </c>
      <c r="W1184" s="6" t="n">
        <v>1.545540257930409</v>
      </c>
      <c r="X1184" s="6" t="n">
        <v>1.897164973775737</v>
      </c>
      <c r="Y1184" s="6" t="n">
        <v>-1.540616418468575</v>
      </c>
      <c r="Z1184" s="6" t="n">
        <v>-0.9730019026938106</v>
      </c>
      <c r="AA1184" s="6" t="n">
        <v>1.735293561381842</v>
      </c>
      <c r="AB1184" s="6" t="n">
        <v>-0.3691976804071557</v>
      </c>
      <c r="AC1184" s="6" t="n">
        <v>2.388301530105831</v>
      </c>
      <c r="AD1184" s="6" t="n">
        <v>3.125530212085262</v>
      </c>
      <c r="AE1184" s="6" t="n">
        <v>-1.24110787276465</v>
      </c>
      <c r="AF1184" s="6" t="n">
        <v>2.000706733402731</v>
      </c>
      <c r="AG1184" s="6" t="n">
        <v>-1.000053475046014</v>
      </c>
      <c r="AH1184" s="6" t="n">
        <v>1.617052827734324</v>
      </c>
      <c r="AI1184" s="6" t="n">
        <v>-0.4651657551733419</v>
      </c>
      <c r="AJ1184" s="6" t="n">
        <v>61.23914060442065</v>
      </c>
      <c r="AK1184" s="6" t="n">
        <v>0.1090626801572817</v>
      </c>
      <c r="AL1184" s="6" t="n">
        <v>1.056029480910869</v>
      </c>
      <c r="AN1184" s="6" t="n">
        <v>1.338824466961697</v>
      </c>
      <c r="AO1184" s="6" t="n">
        <v>1.33976007603763</v>
      </c>
      <c r="AP1184" s="6" t="n">
        <v>0.1314048071053466</v>
      </c>
      <c r="AQ1184" s="6" t="n">
        <v>0</v>
      </c>
      <c r="AR1184" s="6" t="n">
        <v>0</v>
      </c>
    </row>
    <row r="1185">
      <c r="D1185" t="inlineStr">
        <is>
          <t>Run 873</t>
        </is>
      </c>
      <c r="J1185" s="6" t="n">
        <v>-0.9582651977010678</v>
      </c>
      <c r="K1185" s="6" t="n">
        <v>-0.2466808172756436</v>
      </c>
      <c r="L1185" s="6" t="n">
        <v>-0.6773413530466238</v>
      </c>
      <c r="M1185" s="6" t="n">
        <v>-0.9671021793668727</v>
      </c>
      <c r="N1185" s="6" t="n">
        <v>-0.7343677384558299</v>
      </c>
      <c r="O1185" s="6" t="n">
        <v>3.648853982187507</v>
      </c>
      <c r="P1185" s="6" t="n">
        <v>2.381420234672976</v>
      </c>
      <c r="Q1185" s="6" t="n">
        <v>1.733514485781544</v>
      </c>
      <c r="R1185" s="6" t="n">
        <v>-3.368306235158745</v>
      </c>
      <c r="S1185" s="6" t="n">
        <v>2.247985091165457</v>
      </c>
      <c r="T1185" s="6" t="n">
        <v>-3.954136595557889</v>
      </c>
      <c r="U1185" s="6" t="n">
        <v>-0.9832239091626692</v>
      </c>
      <c r="V1185" s="6" t="n">
        <v>2.129750777439359</v>
      </c>
      <c r="W1185" s="6" t="n">
        <v>1.194986904580207</v>
      </c>
      <c r="X1185" s="6" t="n">
        <v>0.5389046101611354</v>
      </c>
      <c r="Y1185" s="6" t="n">
        <v>2.044278534581859</v>
      </c>
      <c r="Z1185" s="6" t="n">
        <v>2.046465435255966</v>
      </c>
      <c r="AA1185" s="6" t="n">
        <v>-0.9761340114347088</v>
      </c>
      <c r="AB1185" s="6" t="n">
        <v>-0.6827536781864137</v>
      </c>
      <c r="AC1185" s="6" t="n">
        <v>2.860197717586571</v>
      </c>
      <c r="AD1185" s="6" t="n">
        <v>-0.9816078954135897</v>
      </c>
      <c r="AE1185" s="6" t="n">
        <v>-4.76178192700505</v>
      </c>
      <c r="AF1185" s="6" t="n">
        <v>0.2919155701995986</v>
      </c>
      <c r="AG1185" s="6" t="n">
        <v>-1.195586359406035</v>
      </c>
      <c r="AH1185" s="6" t="n">
        <v>-2.033369091416656</v>
      </c>
      <c r="AI1185" s="6" t="n">
        <v>-4.73357251917365</v>
      </c>
      <c r="AJ1185" s="6" t="n">
        <v>74.98172097324883</v>
      </c>
      <c r="AK1185" s="6" t="n">
        <v>0.1429066142575281</v>
      </c>
      <c r="AL1185" s="6" t="n">
        <v>1.083209982382845</v>
      </c>
      <c r="AN1185" s="6" t="n">
        <v>1.332273978239239</v>
      </c>
      <c r="AO1185" s="6" t="n">
        <v>1.332284873560154</v>
      </c>
      <c r="AP1185" s="6" t="n">
        <v>0.129796729963981</v>
      </c>
      <c r="AQ1185" s="6" t="n">
        <v>0</v>
      </c>
      <c r="AR1185" s="6" t="n">
        <v>0</v>
      </c>
    </row>
    <row r="1186">
      <c r="D1186" t="inlineStr">
        <is>
          <t>Run 874</t>
        </is>
      </c>
      <c r="J1186" s="6" t="n">
        <v>2.088490408741503</v>
      </c>
      <c r="K1186" s="6" t="n">
        <v>-0.1718714298304627</v>
      </c>
      <c r="L1186" s="6" t="n">
        <v>-0.6797544855000958</v>
      </c>
      <c r="M1186" s="6" t="n">
        <v>-1.250456168297385</v>
      </c>
      <c r="N1186" s="6" t="n">
        <v>-1.139381359981355</v>
      </c>
      <c r="O1186" s="6" t="n">
        <v>3.021306730486408</v>
      </c>
      <c r="P1186" s="6" t="n">
        <v>-1.313749070838671</v>
      </c>
      <c r="Q1186" s="6" t="n">
        <v>1.325509938446724</v>
      </c>
      <c r="R1186" s="6" t="n">
        <v>1.207407790757558</v>
      </c>
      <c r="S1186" s="6" t="n">
        <v>-1.390670948687657</v>
      </c>
      <c r="T1186" s="6" t="n">
        <v>-1.603170124349938</v>
      </c>
      <c r="U1186" s="6" t="n">
        <v>-0.8625377650745373</v>
      </c>
      <c r="V1186" s="6" t="n">
        <v>-0.08398219669272941</v>
      </c>
      <c r="W1186" s="6" t="n">
        <v>-0.2459773673986901</v>
      </c>
      <c r="X1186" s="6" t="n">
        <v>2.029961031890719</v>
      </c>
      <c r="Y1186" s="6" t="n">
        <v>-0.8554080909883152</v>
      </c>
      <c r="Z1186" s="6" t="n">
        <v>-2.396562071635663</v>
      </c>
      <c r="AA1186" s="6" t="n">
        <v>1.25687297901379</v>
      </c>
      <c r="AB1186" s="6" t="n">
        <v>-4.121810837226801</v>
      </c>
      <c r="AC1186" s="6" t="n">
        <v>0.9876350104392168</v>
      </c>
      <c r="AD1186" s="6" t="n">
        <v>1.185346385045063</v>
      </c>
      <c r="AE1186" s="6" t="n">
        <v>0.1340971944523445</v>
      </c>
      <c r="AF1186" s="6" t="n">
        <v>0.4181773553517073</v>
      </c>
      <c r="AG1186" s="6" t="n">
        <v>-2.190020623942862</v>
      </c>
      <c r="AH1186" s="6" t="n">
        <v>-2.496871986469383</v>
      </c>
      <c r="AI1186" s="6" t="n">
        <v>-2.052839903304013</v>
      </c>
      <c r="AJ1186" s="6" t="n">
        <v>69.47965943352995</v>
      </c>
      <c r="AK1186" s="6" t="n">
        <v>0.09622756885113046</v>
      </c>
      <c r="AL1186" s="6" t="n">
        <v>1.031100598722288</v>
      </c>
      <c r="AN1186" s="6" t="n">
        <v>1.347983569202562</v>
      </c>
      <c r="AO1186" s="6" t="n">
        <v>1.349233840634379</v>
      </c>
      <c r="AP1186" s="6" t="n">
        <v>0.1346023851591951</v>
      </c>
      <c r="AQ1186" s="6" t="n">
        <v>0</v>
      </c>
      <c r="AR1186" s="6" t="n">
        <v>0</v>
      </c>
    </row>
    <row r="1187">
      <c r="D1187" t="inlineStr">
        <is>
          <t>Run 875</t>
        </is>
      </c>
      <c r="J1187" s="6" t="n">
        <v>-0.07185790615949814</v>
      </c>
      <c r="K1187" s="6" t="n">
        <v>-1.159738817523268</v>
      </c>
      <c r="L1187" s="6" t="n">
        <v>-3.631970652552194</v>
      </c>
      <c r="M1187" s="6" t="n">
        <v>-2.323189885820909</v>
      </c>
      <c r="N1187" s="6" t="n">
        <v>-0.6614905208719276</v>
      </c>
      <c r="O1187" s="6" t="n">
        <v>-1.236412226692581</v>
      </c>
      <c r="P1187" s="6" t="n">
        <v>1.039910582301125</v>
      </c>
      <c r="Q1187" s="6" t="n">
        <v>-0.1764286000424116</v>
      </c>
      <c r="R1187" s="6" t="n">
        <v>1.481338279070688</v>
      </c>
      <c r="S1187" s="6" t="n">
        <v>1.410240054411841</v>
      </c>
      <c r="T1187" s="6" t="n">
        <v>-2.114502752282861</v>
      </c>
      <c r="U1187" s="6" t="n">
        <v>0.4394952593780355</v>
      </c>
      <c r="V1187" s="6" t="n">
        <v>1.235051661806002</v>
      </c>
      <c r="W1187" s="6" t="n">
        <v>0.3803097368145668</v>
      </c>
      <c r="X1187" s="6" t="n">
        <v>-1.764939179464474</v>
      </c>
      <c r="Y1187" s="6" t="n">
        <v>-0.8272178677856491</v>
      </c>
      <c r="Z1187" s="6" t="n">
        <v>2.355162058475692</v>
      </c>
      <c r="AA1187" s="6" t="n">
        <v>-0.04652352848587812</v>
      </c>
      <c r="AB1187" s="6" t="n">
        <v>0.2624735271693643</v>
      </c>
      <c r="AC1187" s="6" t="n">
        <v>-0.7110479839824728</v>
      </c>
      <c r="AD1187" s="6" t="n">
        <v>1.364438067090997</v>
      </c>
      <c r="AE1187" s="6" t="n">
        <v>1.209986173800534</v>
      </c>
      <c r="AF1187" s="6" t="n">
        <v>-0.6406363953577907</v>
      </c>
      <c r="AG1187" s="6" t="n">
        <v>2.320594834609473</v>
      </c>
      <c r="AH1187" s="6" t="n">
        <v>-1.683549613590644</v>
      </c>
      <c r="AI1187" s="6" t="n">
        <v>-3.527560978059397</v>
      </c>
      <c r="AJ1187" s="6" t="n">
        <v>78.29243786214866</v>
      </c>
      <c r="AK1187" s="6" t="n">
        <v>0.1208131718709054</v>
      </c>
      <c r="AL1187" s="6" t="n">
        <v>1.075997819751912</v>
      </c>
      <c r="AN1187" s="6" t="n">
        <v>1.319796307586623</v>
      </c>
      <c r="AO1187" s="6" t="n">
        <v>1.327901528231175</v>
      </c>
      <c r="AP1187" s="6" t="n">
        <v>0.1306901247546641</v>
      </c>
      <c r="AQ1187" s="6" t="n">
        <v>0</v>
      </c>
      <c r="AR1187" s="6" t="n">
        <v>0</v>
      </c>
    </row>
    <row r="1188">
      <c r="D1188" t="inlineStr">
        <is>
          <t>Run 876</t>
        </is>
      </c>
      <c r="J1188" s="6" t="n">
        <v>-0.3851964301794167</v>
      </c>
      <c r="K1188" s="6" t="n">
        <v>-2.446193854341805</v>
      </c>
      <c r="L1188" s="6" t="n">
        <v>-1.082542489632393</v>
      </c>
      <c r="M1188" s="6" t="n">
        <v>0.1422374193105235</v>
      </c>
      <c r="N1188" s="6" t="n">
        <v>2.775100443804217</v>
      </c>
      <c r="O1188" s="6" t="n">
        <v>2.826388664374249</v>
      </c>
      <c r="P1188" s="6" t="n">
        <v>0.0912170413530816</v>
      </c>
      <c r="Q1188" s="6" t="n">
        <v>-0.1785560080100499</v>
      </c>
      <c r="R1188" s="6" t="n">
        <v>-2.748221149973786</v>
      </c>
      <c r="S1188" s="6" t="n">
        <v>1.003509383058289</v>
      </c>
      <c r="T1188" s="6" t="n">
        <v>-3.193192067983656</v>
      </c>
      <c r="U1188" s="6" t="n">
        <v>1.367584820275918</v>
      </c>
      <c r="V1188" s="6" t="n">
        <v>0.5780323268895028</v>
      </c>
      <c r="W1188" s="6" t="n">
        <v>0.8200830926953038</v>
      </c>
      <c r="X1188" s="6" t="n">
        <v>3.910074168088302</v>
      </c>
      <c r="Y1188" s="6" t="n">
        <v>1.39090125350995</v>
      </c>
      <c r="Z1188" s="6" t="n">
        <v>0.07291312814305979</v>
      </c>
      <c r="AA1188" s="6" t="n">
        <v>-0.9018308315712258</v>
      </c>
      <c r="AB1188" s="6" t="n">
        <v>-0.1670648067958965</v>
      </c>
      <c r="AC1188" s="6" t="n">
        <v>-2.00325719589397</v>
      </c>
      <c r="AD1188" s="6" t="n">
        <v>-1.008124330794852</v>
      </c>
      <c r="AE1188" s="6" t="n">
        <v>-0.02116178282866324</v>
      </c>
      <c r="AF1188" s="6" t="n">
        <v>-0.6279801254434043</v>
      </c>
      <c r="AG1188" s="6" t="n">
        <v>-2.75256698111786</v>
      </c>
      <c r="AH1188" s="6" t="n">
        <v>-0.5119942889759135</v>
      </c>
      <c r="AI1188" s="6" t="n">
        <v>0.1465912174968902</v>
      </c>
      <c r="AJ1188" s="6" t="n">
        <v>67.77480859325595</v>
      </c>
      <c r="AK1188" s="6" t="n">
        <v>0.1804725481881437</v>
      </c>
      <c r="AL1188" s="6" t="n">
        <v>1.058842120697312</v>
      </c>
      <c r="AN1188" s="6" t="n">
        <v>1.332790251602873</v>
      </c>
      <c r="AO1188" s="6" t="n">
        <v>1.333449668939427</v>
      </c>
      <c r="AP1188" s="6" t="n">
        <v>0.1301515804500616</v>
      </c>
      <c r="AQ1188" s="6" t="n">
        <v>0</v>
      </c>
      <c r="AR1188" s="6" t="n">
        <v>0</v>
      </c>
    </row>
    <row r="1189">
      <c r="D1189" t="inlineStr">
        <is>
          <t>Run 877</t>
        </is>
      </c>
      <c r="J1189" s="6" t="n">
        <v>1.912708947547267</v>
      </c>
      <c r="K1189" s="6" t="n">
        <v>4.191362051283739</v>
      </c>
      <c r="L1189" s="6" t="n">
        <v>-1.312061684121551</v>
      </c>
      <c r="M1189" s="6" t="n">
        <v>4.066848540074127</v>
      </c>
      <c r="N1189" s="6" t="n">
        <v>-0.6467420413836529</v>
      </c>
      <c r="O1189" s="6" t="n">
        <v>-2.411981628344298</v>
      </c>
      <c r="P1189" s="6" t="n">
        <v>2.528711674680195</v>
      </c>
      <c r="Q1189" s="6" t="n">
        <v>3.520546201975054</v>
      </c>
      <c r="R1189" s="6" t="n">
        <v>2.606589808567513</v>
      </c>
      <c r="S1189" s="6" t="n">
        <v>2.118039452258027</v>
      </c>
      <c r="T1189" s="6" t="n">
        <v>-0.4058657595947014</v>
      </c>
      <c r="U1189" s="6" t="n">
        <v>3.527971027966868</v>
      </c>
      <c r="V1189" s="6" t="n">
        <v>2.695554662268734</v>
      </c>
      <c r="W1189" s="6" t="n">
        <v>-1.738667005679144</v>
      </c>
      <c r="X1189" s="6" t="n">
        <v>3.353733078545262</v>
      </c>
      <c r="Y1189" s="6" t="n">
        <v>-1.350618015382697</v>
      </c>
      <c r="Z1189" s="6" t="n">
        <v>4.659813482011467</v>
      </c>
      <c r="AA1189" s="6" t="n">
        <v>1.189525433000417</v>
      </c>
      <c r="AB1189" s="6" t="n">
        <v>-0.1440430238605873</v>
      </c>
      <c r="AC1189" s="6" t="n">
        <v>0.735428173604933</v>
      </c>
      <c r="AD1189" s="6" t="n">
        <v>0.2761694265767264</v>
      </c>
      <c r="AE1189" s="6" t="n">
        <v>-0.9246121455993002</v>
      </c>
      <c r="AF1189" s="6" t="n">
        <v>-3.437984278901629</v>
      </c>
      <c r="AG1189" s="6" t="n">
        <v>-0.6330247968702762</v>
      </c>
      <c r="AH1189" s="6" t="n">
        <v>1.01528226807515</v>
      </c>
      <c r="AI1189" s="6" t="n">
        <v>0.1205376594722701</v>
      </c>
      <c r="AJ1189" s="6" t="n">
        <v>76.0134468757837</v>
      </c>
      <c r="AK1189" s="6" t="n">
        <v>0.1239590582615561</v>
      </c>
      <c r="AL1189" s="6" t="n">
        <v>1.00345807085398</v>
      </c>
      <c r="AN1189" s="6" t="n">
        <v>1.357322423156593</v>
      </c>
      <c r="AO1189" s="6" t="n">
        <v>1.357322423156593</v>
      </c>
      <c r="AP1189" s="6" t="n">
        <v>0.1385842981983468</v>
      </c>
      <c r="AQ1189" s="6" t="n">
        <v>0</v>
      </c>
      <c r="AR1189" s="6" t="n">
        <v>0</v>
      </c>
    </row>
    <row r="1190">
      <c r="D1190" t="inlineStr">
        <is>
          <t>Run 878</t>
        </is>
      </c>
      <c r="J1190" s="6" t="n">
        <v>-3.859051758790275</v>
      </c>
      <c r="K1190" s="6" t="n">
        <v>0.4662306283180793</v>
      </c>
      <c r="L1190" s="6" t="n">
        <v>-0.382581364401686</v>
      </c>
      <c r="M1190" s="6" t="n">
        <v>-0.3596429932318126</v>
      </c>
      <c r="N1190" s="6" t="n">
        <v>-0.9096823243285512</v>
      </c>
      <c r="O1190" s="6" t="n">
        <v>-1.544221820513304</v>
      </c>
      <c r="P1190" s="6" t="n">
        <v>-1.98157726215726</v>
      </c>
      <c r="Q1190" s="6" t="n">
        <v>-0.1199460557962844</v>
      </c>
      <c r="R1190" s="6" t="n">
        <v>-0.2769159241610551</v>
      </c>
      <c r="S1190" s="6" t="n">
        <v>1.222701006860539</v>
      </c>
      <c r="T1190" s="6" t="n">
        <v>-1.821775052806359</v>
      </c>
      <c r="U1190" s="6" t="n">
        <v>-1.638880164065231</v>
      </c>
      <c r="V1190" s="6" t="n">
        <v>-0.7681925625330142</v>
      </c>
      <c r="W1190" s="6" t="n">
        <v>-2.81823307122556</v>
      </c>
      <c r="X1190" s="6" t="n">
        <v>-1.46988119105862</v>
      </c>
      <c r="Y1190" s="6" t="n">
        <v>2.043166042710381</v>
      </c>
      <c r="Z1190" s="6" t="n">
        <v>-3.748314038330341</v>
      </c>
      <c r="AA1190" s="6" t="n">
        <v>-1.159919125820103</v>
      </c>
      <c r="AB1190" s="6" t="n">
        <v>-0.9761342435910332</v>
      </c>
      <c r="AC1190" s="6" t="n">
        <v>-0.08669119080946981</v>
      </c>
      <c r="AD1190" s="6" t="n">
        <v>0.8106508196160302</v>
      </c>
      <c r="AE1190" s="6" t="n">
        <v>4.627614665965273</v>
      </c>
      <c r="AF1190" s="6" t="n">
        <v>-1.176106558836937</v>
      </c>
      <c r="AG1190" s="6" t="n">
        <v>2.283489223528842</v>
      </c>
      <c r="AH1190" s="6" t="n">
        <v>-0.572335355031909</v>
      </c>
      <c r="AI1190" s="6" t="n">
        <v>3.759999058871634</v>
      </c>
      <c r="AJ1190" s="6" t="n">
        <v>66.95695544143645</v>
      </c>
      <c r="AK1190" s="6" t="n">
        <v>0.1130507669252094</v>
      </c>
      <c r="AL1190" s="6" t="n">
        <v>1.015266985696021</v>
      </c>
      <c r="AN1190" s="6" t="n">
        <v>1.35257975711397</v>
      </c>
      <c r="AO1190" s="6" t="n">
        <v>1.353369590089883</v>
      </c>
      <c r="AP1190" s="6" t="n">
        <v>0.1361677953965232</v>
      </c>
      <c r="AQ1190" s="6" t="n">
        <v>0</v>
      </c>
      <c r="AR1190" s="6" t="n">
        <v>0</v>
      </c>
    </row>
    <row r="1191">
      <c r="D1191" t="inlineStr">
        <is>
          <t>Run 879</t>
        </is>
      </c>
      <c r="J1191" s="6" t="n">
        <v>-0.9276609465955323</v>
      </c>
      <c r="K1191" s="6" t="n">
        <v>-1.781114828307599</v>
      </c>
      <c r="L1191" s="6" t="n">
        <v>-0.2900427717158607</v>
      </c>
      <c r="M1191" s="6" t="n">
        <v>-2.798267256821644</v>
      </c>
      <c r="N1191" s="6" t="n">
        <v>-1.399206520637472</v>
      </c>
      <c r="O1191" s="6" t="n">
        <v>-0.2118885588305268</v>
      </c>
      <c r="P1191" s="6" t="n">
        <v>-0.8995295493658886</v>
      </c>
      <c r="Q1191" s="6" t="n">
        <v>2.787285937816709</v>
      </c>
      <c r="R1191" s="6" t="n">
        <v>-0.7436617993034437</v>
      </c>
      <c r="S1191" s="6" t="n">
        <v>4.078287138674888</v>
      </c>
      <c r="T1191" s="6" t="n">
        <v>-0.7481497348830667</v>
      </c>
      <c r="U1191" s="6" t="n">
        <v>2.688733212256826</v>
      </c>
      <c r="V1191" s="6" t="n">
        <v>0.9010930634266319</v>
      </c>
      <c r="W1191" s="6" t="n">
        <v>-4.728651225469103</v>
      </c>
      <c r="X1191" s="6" t="n">
        <v>4.285886760171683</v>
      </c>
      <c r="Y1191" s="6" t="n">
        <v>1.855426815215831</v>
      </c>
      <c r="Z1191" s="6" t="n">
        <v>-0.8959404943897328</v>
      </c>
      <c r="AA1191" s="6" t="n">
        <v>3.37521342918384</v>
      </c>
      <c r="AB1191" s="6" t="n">
        <v>-1.699401473534705</v>
      </c>
      <c r="AC1191" s="6" t="n">
        <v>-0.4449187132340486</v>
      </c>
      <c r="AD1191" s="6" t="n">
        <v>-1.262540755076816</v>
      </c>
      <c r="AE1191" s="6" t="n">
        <v>1.88486423884673</v>
      </c>
      <c r="AF1191" s="6" t="n">
        <v>-2.211451589358091</v>
      </c>
      <c r="AG1191" s="6" t="n">
        <v>-1.143779379901296</v>
      </c>
      <c r="AH1191" s="6" t="n">
        <v>-1.083841652496927</v>
      </c>
      <c r="AI1191" s="6" t="n">
        <v>-1.292552039020491</v>
      </c>
      <c r="AJ1191" s="6" t="n">
        <v>75.47549832161239</v>
      </c>
      <c r="AK1191" s="6" t="n">
        <v>0.06889418170893392</v>
      </c>
      <c r="AL1191" s="6" t="n">
        <v>1.023031732939712</v>
      </c>
      <c r="AN1191" s="6" t="n">
        <v>1.333684006637421</v>
      </c>
      <c r="AO1191" s="6" t="n">
        <v>1.340860644370108</v>
      </c>
      <c r="AP1191" s="6" t="n">
        <v>0.1366561966552193</v>
      </c>
      <c r="AQ1191" s="6" t="n">
        <v>0</v>
      </c>
      <c r="AR1191" s="6" t="n">
        <v>0</v>
      </c>
    </row>
    <row r="1192">
      <c r="D1192" t="inlineStr">
        <is>
          <t>Run 880</t>
        </is>
      </c>
      <c r="J1192" s="6" t="n">
        <v>3.495610972316308</v>
      </c>
      <c r="K1192" s="6" t="n">
        <v>-2.090916841829417</v>
      </c>
      <c r="L1192" s="6" t="n">
        <v>-1.715142167717169</v>
      </c>
      <c r="M1192" s="6" t="n">
        <v>1.72073998971973</v>
      </c>
      <c r="N1192" s="6" t="n">
        <v>0.7889428507299011</v>
      </c>
      <c r="O1192" s="6" t="n">
        <v>-1.706638684758167</v>
      </c>
      <c r="P1192" s="6" t="n">
        <v>3.396712664289178</v>
      </c>
      <c r="Q1192" s="6" t="n">
        <v>2.919367369219567</v>
      </c>
      <c r="R1192" s="6" t="n">
        <v>0.4256801326307971</v>
      </c>
      <c r="S1192" s="6" t="n">
        <v>0.7319210050378546</v>
      </c>
      <c r="T1192" s="6" t="n">
        <v>1.218875027197605</v>
      </c>
      <c r="U1192" s="6" t="n">
        <v>-3.538994762940562</v>
      </c>
      <c r="V1192" s="6" t="n">
        <v>1.055920450362126</v>
      </c>
      <c r="W1192" s="6" t="n">
        <v>-1.328758827415583</v>
      </c>
      <c r="X1192" s="6" t="n">
        <v>1.101064977431993</v>
      </c>
      <c r="Y1192" s="6" t="n">
        <v>-1.165224492117134</v>
      </c>
      <c r="Z1192" s="6" t="n">
        <v>-1.513449656426815</v>
      </c>
      <c r="AA1192" s="6" t="n">
        <v>1.26454275509929</v>
      </c>
      <c r="AB1192" s="6" t="n">
        <v>-2.052732689986478</v>
      </c>
      <c r="AC1192" s="6" t="n">
        <v>-2.33963300992423</v>
      </c>
      <c r="AD1192" s="6" t="n">
        <v>1.65286818462737</v>
      </c>
      <c r="AE1192" s="6" t="n">
        <v>-2.527643921967987</v>
      </c>
      <c r="AF1192" s="6" t="n">
        <v>-1.823191107461968</v>
      </c>
      <c r="AG1192" s="6" t="n">
        <v>1.435043234611662</v>
      </c>
      <c r="AH1192" s="6" t="n">
        <v>0.7728499300837509</v>
      </c>
      <c r="AI1192" s="6" t="n">
        <v>2.527266498215753</v>
      </c>
      <c r="AJ1192" s="6" t="n">
        <v>74.45223859481689</v>
      </c>
      <c r="AK1192" s="6" t="n">
        <v>0.08748929322435187</v>
      </c>
      <c r="AL1192" s="6" t="n">
        <v>1.071089765589087</v>
      </c>
      <c r="AN1192" s="6" t="n">
        <v>1.343207952770791</v>
      </c>
      <c r="AO1192" s="6" t="n">
        <v>1.343359407695755</v>
      </c>
      <c r="AP1192" s="6" t="n">
        <v>0.1317305062604845</v>
      </c>
      <c r="AQ1192" s="6" t="n">
        <v>0</v>
      </c>
      <c r="AR1192" s="6" t="n">
        <v>0</v>
      </c>
    </row>
    <row r="1193">
      <c r="D1193" t="inlineStr">
        <is>
          <t>Run 881</t>
        </is>
      </c>
      <c r="J1193" s="6" t="n">
        <v>-0.8735440957720449</v>
      </c>
      <c r="K1193" s="6" t="n">
        <v>-0.1097246852022601</v>
      </c>
      <c r="L1193" s="6" t="n">
        <v>-0.9397715955403892</v>
      </c>
      <c r="M1193" s="6" t="n">
        <v>1.56038448568376</v>
      </c>
      <c r="N1193" s="6" t="n">
        <v>1.221147423169034</v>
      </c>
      <c r="O1193" s="6" t="n">
        <v>2.218075216509143</v>
      </c>
      <c r="P1193" s="6" t="n">
        <v>-0.5111985268452589</v>
      </c>
      <c r="Q1193" s="6" t="n">
        <v>0.08109574403154758</v>
      </c>
      <c r="R1193" s="6" t="n">
        <v>1.356052413289457</v>
      </c>
      <c r="S1193" s="6" t="n">
        <v>-1.079251362064278</v>
      </c>
      <c r="T1193" s="6" t="n">
        <v>0.4322551740622752</v>
      </c>
      <c r="U1193" s="6" t="n">
        <v>-0.4904510242655606</v>
      </c>
      <c r="V1193" s="6" t="n">
        <v>-1.711282088617092</v>
      </c>
      <c r="W1193" s="6" t="n">
        <v>0.8427501869706624</v>
      </c>
      <c r="X1193" s="6" t="n">
        <v>0.8209193649080212</v>
      </c>
      <c r="Y1193" s="6" t="n">
        <v>0.8152960951549594</v>
      </c>
      <c r="Z1193" s="6" t="n">
        <v>-2.91781793354806</v>
      </c>
      <c r="AA1193" s="6" t="n">
        <v>-2.74198146858494</v>
      </c>
      <c r="AB1193" s="6" t="n">
        <v>0.3200532054827652</v>
      </c>
      <c r="AC1193" s="6" t="n">
        <v>-1.344656605004835</v>
      </c>
      <c r="AD1193" s="6" t="n">
        <v>2.766020182420043</v>
      </c>
      <c r="AE1193" s="6" t="n">
        <v>1.753369769054479</v>
      </c>
      <c r="AF1193" s="6" t="n">
        <v>0.899722672160707</v>
      </c>
      <c r="AG1193" s="6" t="n">
        <v>-1.992387435418941</v>
      </c>
      <c r="AH1193" s="6" t="n">
        <v>-2.522675601883929</v>
      </c>
      <c r="AI1193" s="6" t="n">
        <v>1.675258542210754</v>
      </c>
      <c r="AJ1193" s="6" t="n">
        <v>73.13871213834288</v>
      </c>
      <c r="AK1193" s="6" t="n">
        <v>0.1611815874804773</v>
      </c>
      <c r="AL1193" s="6" t="n">
        <v>0.9971158392058329</v>
      </c>
      <c r="AN1193" s="6" t="n">
        <v>1.357909604147524</v>
      </c>
      <c r="AO1193" s="6" t="n">
        <v>1.357909604147524</v>
      </c>
      <c r="AP1193" s="6" t="n">
        <v>0.138502267856573</v>
      </c>
      <c r="AQ1193" s="6" t="n">
        <v>0</v>
      </c>
      <c r="AR1193" s="6" t="n">
        <v>0</v>
      </c>
    </row>
    <row r="1194">
      <c r="D1194" t="inlineStr">
        <is>
          <t>Run 882</t>
        </is>
      </c>
      <c r="J1194" s="6" t="n">
        <v>-0.1695064474233154</v>
      </c>
      <c r="K1194" s="6" t="n">
        <v>-0.001351044823363215</v>
      </c>
      <c r="L1194" s="6" t="n">
        <v>-1.950340367035909</v>
      </c>
      <c r="M1194" s="6" t="n">
        <v>0.9459349880111244</v>
      </c>
      <c r="N1194" s="6" t="n">
        <v>4.349668187271062</v>
      </c>
      <c r="O1194" s="6" t="n">
        <v>-0.1351441608805002</v>
      </c>
      <c r="P1194" s="6" t="n">
        <v>0.5359008603107784</v>
      </c>
      <c r="Q1194" s="6" t="n">
        <v>-0.9942871013098371</v>
      </c>
      <c r="R1194" s="6" t="n">
        <v>-1.338116432310309</v>
      </c>
      <c r="S1194" s="6" t="n">
        <v>-2.743149567411263</v>
      </c>
      <c r="T1194" s="6" t="n">
        <v>1.646157638833564</v>
      </c>
      <c r="U1194" s="6" t="n">
        <v>1.199231133911968</v>
      </c>
      <c r="V1194" s="6" t="n">
        <v>-2.032008388199468</v>
      </c>
      <c r="W1194" s="6" t="n">
        <v>0.07317998674572115</v>
      </c>
      <c r="X1194" s="6" t="n">
        <v>4.003656138740204</v>
      </c>
      <c r="Y1194" s="6" t="n">
        <v>-0.4288259094436345</v>
      </c>
      <c r="Z1194" s="6" t="n">
        <v>-1.447321798038282</v>
      </c>
      <c r="AA1194" s="6" t="n">
        <v>1.092287468764188</v>
      </c>
      <c r="AB1194" s="6" t="n">
        <v>-0.6566261435468087</v>
      </c>
      <c r="AC1194" s="6" t="n">
        <v>-0.4396658827291157</v>
      </c>
      <c r="AD1194" s="6" t="n">
        <v>-0.1743079500634547</v>
      </c>
      <c r="AE1194" s="6" t="n">
        <v>2.059909664325996</v>
      </c>
      <c r="AF1194" s="6" t="n">
        <v>2.418796013195785</v>
      </c>
      <c r="AG1194" s="6" t="n">
        <v>-1.670561044750651</v>
      </c>
      <c r="AH1194" s="6" t="n">
        <v>-1.693289984570632</v>
      </c>
      <c r="AI1194" s="6" t="n">
        <v>2.677447285034138</v>
      </c>
      <c r="AJ1194" s="6" t="n">
        <v>70.4204475230592</v>
      </c>
      <c r="AK1194" s="6" t="n">
        <v>0.07261313427849898</v>
      </c>
      <c r="AL1194" s="6" t="n">
        <v>1.06981885220628</v>
      </c>
      <c r="AN1194" s="6" t="n">
        <v>1.342273004432871</v>
      </c>
      <c r="AO1194" s="6" t="n">
        <v>1.343100015969163</v>
      </c>
      <c r="AP1194" s="6" t="n">
        <v>0.1318704021341105</v>
      </c>
      <c r="AQ1194" s="6" t="n">
        <v>0</v>
      </c>
      <c r="AR1194" s="6" t="n">
        <v>0</v>
      </c>
    </row>
    <row r="1195">
      <c r="D1195" t="inlineStr">
        <is>
          <t>Run 883</t>
        </is>
      </c>
      <c r="J1195" s="6" t="n">
        <v>0.2497859684522952</v>
      </c>
      <c r="K1195" s="6" t="n">
        <v>-0.7530824249703141</v>
      </c>
      <c r="L1195" s="6" t="n">
        <v>1.79766177539045</v>
      </c>
      <c r="M1195" s="6" t="n">
        <v>-0.6718380976592733</v>
      </c>
      <c r="N1195" s="6" t="n">
        <v>-2.24228247218578</v>
      </c>
      <c r="O1195" s="6" t="n">
        <v>-1.775732349865785</v>
      </c>
      <c r="P1195" s="6" t="n">
        <v>-0.294864730533109</v>
      </c>
      <c r="Q1195" s="6" t="n">
        <v>0.7704369441303698</v>
      </c>
      <c r="R1195" s="6" t="n">
        <v>0.3295552871446217</v>
      </c>
      <c r="S1195" s="6" t="n">
        <v>-2.910121272728713</v>
      </c>
      <c r="T1195" s="6" t="n">
        <v>2.107830880458667</v>
      </c>
      <c r="U1195" s="6" t="n">
        <v>0.6634470796178092</v>
      </c>
      <c r="V1195" s="6" t="n">
        <v>-0.7054698558060578</v>
      </c>
      <c r="W1195" s="6" t="n">
        <v>-0.115197238908634</v>
      </c>
      <c r="X1195" s="6" t="n">
        <v>-1.572953646220555</v>
      </c>
      <c r="Y1195" s="6" t="n">
        <v>3.283529565489101</v>
      </c>
      <c r="Z1195" s="6" t="n">
        <v>-0.3130357101524692</v>
      </c>
      <c r="AA1195" s="6" t="n">
        <v>0.2375001423972846</v>
      </c>
      <c r="AB1195" s="6" t="n">
        <v>-1.382104121853686</v>
      </c>
      <c r="AC1195" s="6" t="n">
        <v>-2.687805387328293</v>
      </c>
      <c r="AD1195" s="6" t="n">
        <v>-0.7376669634185089</v>
      </c>
      <c r="AE1195" s="6" t="n">
        <v>0.9269391284831588</v>
      </c>
      <c r="AF1195" s="6" t="n">
        <v>-1.662776146003985</v>
      </c>
      <c r="AG1195" s="6" t="n">
        <v>2.11118776530938</v>
      </c>
      <c r="AH1195" s="6" t="n">
        <v>-0.2659807967674476</v>
      </c>
      <c r="AI1195" s="6" t="n">
        <v>1.697803960993655</v>
      </c>
      <c r="AJ1195" s="6" t="n">
        <v>71.10803262741068</v>
      </c>
      <c r="AK1195" s="6" t="n">
        <v>0.09112676464333043</v>
      </c>
      <c r="AL1195" s="6" t="n">
        <v>1.067766552395505</v>
      </c>
      <c r="AN1195" s="6" t="n">
        <v>1.34365351764047</v>
      </c>
      <c r="AO1195" s="6" t="n">
        <v>1.343664263887105</v>
      </c>
      <c r="AP1195" s="6" t="n">
        <v>0.1318686406321735</v>
      </c>
      <c r="AQ1195" s="6" t="n">
        <v>0</v>
      </c>
      <c r="AR1195" s="6" t="n">
        <v>0</v>
      </c>
    </row>
    <row r="1196">
      <c r="D1196" t="inlineStr">
        <is>
          <t>Run 884</t>
        </is>
      </c>
      <c r="J1196" s="6" t="n">
        <v>-1.686197287631833</v>
      </c>
      <c r="K1196" s="6" t="n">
        <v>-3.354875889167287</v>
      </c>
      <c r="L1196" s="6" t="n">
        <v>1.590201468051305</v>
      </c>
      <c r="M1196" s="6" t="n">
        <v>-0.2324456740459529</v>
      </c>
      <c r="N1196" s="6" t="n">
        <v>0.08729688918327363</v>
      </c>
      <c r="O1196" s="6" t="n">
        <v>-2.205819415847953</v>
      </c>
      <c r="P1196" s="6" t="n">
        <v>2.620676366611217</v>
      </c>
      <c r="Q1196" s="6" t="n">
        <v>4.44321954698295</v>
      </c>
      <c r="R1196" s="6" t="n">
        <v>-1.536622507439879</v>
      </c>
      <c r="S1196" s="6" t="n">
        <v>-1.279392495757636</v>
      </c>
      <c r="T1196" s="6" t="n">
        <v>2.105099038866686</v>
      </c>
      <c r="U1196" s="6" t="n">
        <v>0.03638779182349639</v>
      </c>
      <c r="V1196" s="6" t="n">
        <v>2.153949996259317</v>
      </c>
      <c r="W1196" s="6" t="n">
        <v>-2.893850559772989</v>
      </c>
      <c r="X1196" s="6" t="n">
        <v>2.310004713421024</v>
      </c>
      <c r="Y1196" s="6" t="n">
        <v>2.257007641969446</v>
      </c>
      <c r="Z1196" s="6" t="n">
        <v>-1.343539854531314</v>
      </c>
      <c r="AA1196" s="6" t="n">
        <v>3.68065415269159</v>
      </c>
      <c r="AB1196" s="6" t="n">
        <v>-2.74610374684996</v>
      </c>
      <c r="AC1196" s="6" t="n">
        <v>-0.1305298897275954</v>
      </c>
      <c r="AD1196" s="6" t="n">
        <v>0.200187383633545</v>
      </c>
      <c r="AE1196" s="6" t="n">
        <v>0.9207986296069168</v>
      </c>
      <c r="AF1196" s="6" t="n">
        <v>1.20310526519502</v>
      </c>
      <c r="AG1196" s="6" t="n">
        <v>-4.574329072146099</v>
      </c>
      <c r="AH1196" s="6" t="n">
        <v>0.4825505490653048</v>
      </c>
      <c r="AI1196" s="6" t="n">
        <v>-2.274785687428906</v>
      </c>
      <c r="AJ1196" s="6" t="n">
        <v>73.71632026417161</v>
      </c>
      <c r="AK1196" s="6" t="n">
        <v>0.1346482491104384</v>
      </c>
      <c r="AL1196" s="6" t="n">
        <v>1.051663906946786</v>
      </c>
      <c r="AN1196" s="6" t="n">
        <v>1.346698740597515</v>
      </c>
      <c r="AO1196" s="6" t="n">
        <v>1.346709599697583</v>
      </c>
      <c r="AP1196" s="6" t="n">
        <v>0.1321750672603784</v>
      </c>
      <c r="AQ1196" s="6" t="n">
        <v>0</v>
      </c>
      <c r="AR1196" s="6" t="n">
        <v>0</v>
      </c>
    </row>
    <row r="1197">
      <c r="D1197" t="inlineStr">
        <is>
          <t>Run 885</t>
        </is>
      </c>
      <c r="J1197" s="6" t="n">
        <v>0.2208314868733916</v>
      </c>
      <c r="K1197" s="6" t="n">
        <v>-3.217135573289864</v>
      </c>
      <c r="L1197" s="6" t="n">
        <v>-1.76516410999437</v>
      </c>
      <c r="M1197" s="6" t="n">
        <v>-2.816296489336391</v>
      </c>
      <c r="N1197" s="6" t="n">
        <v>0.1556571969499693</v>
      </c>
      <c r="O1197" s="6" t="n">
        <v>-5.83196729972715</v>
      </c>
      <c r="P1197" s="6" t="n">
        <v>-2.861374172196102</v>
      </c>
      <c r="Q1197" s="6" t="n">
        <v>3.330506299335356</v>
      </c>
      <c r="R1197" s="6" t="n">
        <v>-0.3419745141987479</v>
      </c>
      <c r="S1197" s="6" t="n">
        <v>-2.538703145859953</v>
      </c>
      <c r="T1197" s="6" t="n">
        <v>1.337173407618504</v>
      </c>
      <c r="U1197" s="6" t="n">
        <v>3.910380605813623</v>
      </c>
      <c r="V1197" s="6" t="n">
        <v>-3.721204201099672</v>
      </c>
      <c r="W1197" s="6" t="n">
        <v>-2.067766551384533</v>
      </c>
      <c r="X1197" s="6" t="n">
        <v>1.374580489872019</v>
      </c>
      <c r="Y1197" s="6" t="n">
        <v>-2.040194402501149</v>
      </c>
      <c r="Z1197" s="6" t="n">
        <v>4.69824782841284</v>
      </c>
      <c r="AA1197" s="6" t="n">
        <v>0.4815671012827307</v>
      </c>
      <c r="AB1197" s="6" t="n">
        <v>0.9671297645372079</v>
      </c>
      <c r="AC1197" s="6" t="n">
        <v>2.482833668117624</v>
      </c>
      <c r="AD1197" s="6" t="n">
        <v>-2.778177858173956</v>
      </c>
      <c r="AE1197" s="6" t="n">
        <v>0.6083485109293314</v>
      </c>
      <c r="AF1197" s="6" t="n">
        <v>-0.2567092446574434</v>
      </c>
      <c r="AG1197" s="6" t="n">
        <v>-1.988832239912298</v>
      </c>
      <c r="AH1197" s="6" t="n">
        <v>-4.108853714985009</v>
      </c>
      <c r="AI1197" s="6" t="n">
        <v>-3.099799852297253</v>
      </c>
      <c r="AJ1197" s="6" t="n">
        <v>70.26272199100434</v>
      </c>
      <c r="AK1197" s="6" t="n">
        <v>0.1042062728881677</v>
      </c>
      <c r="AL1197" s="6" t="n">
        <v>1.086325306209492</v>
      </c>
      <c r="AN1197" s="6" t="n">
        <v>1.29963031818133</v>
      </c>
      <c r="AO1197" s="6" t="n">
        <v>1.302129986284944</v>
      </c>
      <c r="AP1197" s="6" t="n">
        <v>0.1297468828469396</v>
      </c>
      <c r="AQ1197" s="6" t="n">
        <v>0</v>
      </c>
      <c r="AR1197" s="6" t="n">
        <v>0</v>
      </c>
    </row>
    <row r="1198">
      <c r="D1198" t="inlineStr">
        <is>
          <t>Run 886</t>
        </is>
      </c>
      <c r="J1198" s="6" t="n">
        <v>-1.919036188207992</v>
      </c>
      <c r="K1198" s="6" t="n">
        <v>3.045338630909237</v>
      </c>
      <c r="L1198" s="6" t="n">
        <v>1.145679698599109</v>
      </c>
      <c r="M1198" s="6" t="n">
        <v>0.1458347276647074</v>
      </c>
      <c r="N1198" s="6" t="n">
        <v>1.81828028935766</v>
      </c>
      <c r="O1198" s="6" t="n">
        <v>0.5439440447539848</v>
      </c>
      <c r="P1198" s="6" t="n">
        <v>1.060362203404378</v>
      </c>
      <c r="Q1198" s="6" t="n">
        <v>1.287679462179172</v>
      </c>
      <c r="R1198" s="6" t="n">
        <v>0.4729288276863837</v>
      </c>
      <c r="S1198" s="6" t="n">
        <v>0.1404472403782183</v>
      </c>
      <c r="T1198" s="6" t="n">
        <v>-2.455885815124407</v>
      </c>
      <c r="U1198" s="6" t="n">
        <v>-4.133197307881661</v>
      </c>
      <c r="V1198" s="6" t="n">
        <v>0.6703300473661409</v>
      </c>
      <c r="W1198" s="6" t="n">
        <v>0.6871293273286682</v>
      </c>
      <c r="X1198" s="6" t="n">
        <v>3.503917717114248</v>
      </c>
      <c r="Y1198" s="6" t="n">
        <v>3.545406402959293</v>
      </c>
      <c r="Z1198" s="6" t="n">
        <v>1.45529168056509</v>
      </c>
      <c r="AA1198" s="6" t="n">
        <v>0.2323418579440854</v>
      </c>
      <c r="AB1198" s="6" t="n">
        <v>-1.438947743397084</v>
      </c>
      <c r="AC1198" s="6" t="n">
        <v>0.3500739736937232</v>
      </c>
      <c r="AD1198" s="6" t="n">
        <v>0.2647152774563187</v>
      </c>
      <c r="AE1198" s="6" t="n">
        <v>0.01829794364046956</v>
      </c>
      <c r="AF1198" s="6" t="n">
        <v>1.539326267962706</v>
      </c>
      <c r="AG1198" s="6" t="n">
        <v>1.992876590812653</v>
      </c>
      <c r="AH1198" s="6" t="n">
        <v>-2.172127614067855</v>
      </c>
      <c r="AI1198" s="6" t="n">
        <v>3.275830667451954</v>
      </c>
      <c r="AJ1198" s="6" t="n">
        <v>64.72064648506965</v>
      </c>
      <c r="AK1198" s="6" t="n">
        <v>0.09569659378493392</v>
      </c>
      <c r="AL1198" s="6" t="n">
        <v>1.023824724195775</v>
      </c>
      <c r="AN1198" s="6" t="n">
        <v>1.348339040275394</v>
      </c>
      <c r="AO1198" s="6" t="n">
        <v>1.349098168239831</v>
      </c>
      <c r="AP1198" s="6" t="n">
        <v>0.134863363288758</v>
      </c>
      <c r="AQ1198" s="6" t="n">
        <v>0</v>
      </c>
      <c r="AR1198" s="6" t="n">
        <v>0</v>
      </c>
    </row>
    <row r="1199">
      <c r="D1199" t="inlineStr">
        <is>
          <t>Run 887</t>
        </is>
      </c>
      <c r="J1199" s="6" t="n">
        <v>-1.729331340065246</v>
      </c>
      <c r="K1199" s="6" t="n">
        <v>-1.160706996646071</v>
      </c>
      <c r="L1199" s="6" t="n">
        <v>4.557282231218009</v>
      </c>
      <c r="M1199" s="6" t="n">
        <v>-0.9233115536539321</v>
      </c>
      <c r="N1199" s="6" t="n">
        <v>0.5870688830600417</v>
      </c>
      <c r="O1199" s="6" t="n">
        <v>1.563293426642653</v>
      </c>
      <c r="P1199" s="6" t="n">
        <v>-2.402562641223481</v>
      </c>
      <c r="Q1199" s="6" t="n">
        <v>2.420163781987624</v>
      </c>
      <c r="R1199" s="6" t="n">
        <v>0.5149826274102615</v>
      </c>
      <c r="S1199" s="6" t="n">
        <v>-3.075353508676934</v>
      </c>
      <c r="T1199" s="6" t="n">
        <v>-2.270608395235765</v>
      </c>
      <c r="U1199" s="6" t="n">
        <v>2.438129564974916</v>
      </c>
      <c r="V1199" s="6" t="n">
        <v>2.029178809341083</v>
      </c>
      <c r="W1199" s="6" t="n">
        <v>0.3817903906325046</v>
      </c>
      <c r="X1199" s="6" t="n">
        <v>2.082754953525514</v>
      </c>
      <c r="Y1199" s="6" t="n">
        <v>-3.447431455084802</v>
      </c>
      <c r="Z1199" s="6" t="n">
        <v>1.583331862435636</v>
      </c>
      <c r="AA1199" s="6" t="n">
        <v>-1.501140867672193</v>
      </c>
      <c r="AB1199" s="6" t="n">
        <v>-1.613245466732918</v>
      </c>
      <c r="AC1199" s="6" t="n">
        <v>-1.754364281123398</v>
      </c>
      <c r="AD1199" s="6" t="n">
        <v>-1.809623982152369</v>
      </c>
      <c r="AE1199" s="6" t="n">
        <v>-1.545344940418926</v>
      </c>
      <c r="AF1199" s="6" t="n">
        <v>-0.02826197217688806</v>
      </c>
      <c r="AG1199" s="6" t="n">
        <v>1.67235649619638</v>
      </c>
      <c r="AH1199" s="6" t="n">
        <v>-0.3047320918973576</v>
      </c>
      <c r="AI1199" s="6" t="n">
        <v>3.072213126187108</v>
      </c>
      <c r="AJ1199" s="6" t="n">
        <v>71.72033931436457</v>
      </c>
      <c r="AK1199" s="6" t="n">
        <v>0.1010253690836095</v>
      </c>
      <c r="AL1199" s="6" t="n">
        <v>1.000788588417747</v>
      </c>
      <c r="AN1199" s="6" t="n">
        <v>1.357976031558595</v>
      </c>
      <c r="AO1199" s="6" t="n">
        <v>1.357976031558595</v>
      </c>
      <c r="AP1199" s="6" t="n">
        <v>0.1390007601625074</v>
      </c>
      <c r="AQ1199" s="6" t="n">
        <v>0</v>
      </c>
      <c r="AR1199" s="6" t="n">
        <v>0</v>
      </c>
    </row>
    <row r="1200">
      <c r="D1200" t="inlineStr">
        <is>
          <t>Run 888</t>
        </is>
      </c>
      <c r="J1200" s="6" t="n">
        <v>0.7082537229300443</v>
      </c>
      <c r="K1200" s="6" t="n">
        <v>0.8078318474130517</v>
      </c>
      <c r="L1200" s="6" t="n">
        <v>0.02118446407534</v>
      </c>
      <c r="M1200" s="6" t="n">
        <v>-0.3375616521838687</v>
      </c>
      <c r="N1200" s="6" t="n">
        <v>-0.8898446317463939</v>
      </c>
      <c r="O1200" s="6" t="n">
        <v>-1.227081161936999</v>
      </c>
      <c r="P1200" s="6" t="n">
        <v>2.840906534078064</v>
      </c>
      <c r="Q1200" s="6" t="n">
        <v>2.101091749002509</v>
      </c>
      <c r="R1200" s="6" t="n">
        <v>0.2770185979583198</v>
      </c>
      <c r="S1200" s="6" t="n">
        <v>2.850064307960364</v>
      </c>
      <c r="T1200" s="6" t="n">
        <v>-0.9977035632658565</v>
      </c>
      <c r="U1200" s="6" t="n">
        <v>0.07829995536573651</v>
      </c>
      <c r="V1200" s="6" t="n">
        <v>1.802155165815258</v>
      </c>
      <c r="W1200" s="6" t="n">
        <v>2.944909561187223</v>
      </c>
      <c r="X1200" s="6" t="n">
        <v>0.03761805361014504</v>
      </c>
      <c r="Y1200" s="6" t="n">
        <v>0.7272916486117499</v>
      </c>
      <c r="Z1200" s="6" t="n">
        <v>-1.219677268627027</v>
      </c>
      <c r="AA1200" s="6" t="n">
        <v>1.776933515561949</v>
      </c>
      <c r="AB1200" s="6" t="n">
        <v>-1.718180490285911</v>
      </c>
      <c r="AC1200" s="6" t="n">
        <v>-2.431548754143163</v>
      </c>
      <c r="AD1200" s="6" t="n">
        <v>2.26908866734419</v>
      </c>
      <c r="AE1200" s="6" t="n">
        <v>-2.303919546385273</v>
      </c>
      <c r="AF1200" s="6" t="n">
        <v>2.343004398193187</v>
      </c>
      <c r="AG1200" s="6" t="n">
        <v>-2.271746567727263</v>
      </c>
      <c r="AH1200" s="6" t="n">
        <v>-2.530800352716358</v>
      </c>
      <c r="AI1200" s="6" t="n">
        <v>2.655962089845434</v>
      </c>
      <c r="AJ1200" s="6" t="n">
        <v>69.26300213556411</v>
      </c>
      <c r="AK1200" s="6" t="n">
        <v>0.08902338497161398</v>
      </c>
      <c r="AL1200" s="6" t="n">
        <v>1.079431420673987</v>
      </c>
      <c r="AN1200" s="6" t="n">
        <v>1.33903296566253</v>
      </c>
      <c r="AO1200" s="6" t="n">
        <v>1.340262061300127</v>
      </c>
      <c r="AP1200" s="6" t="n">
        <v>0.1309052510943909</v>
      </c>
      <c r="AQ1200" s="6" t="n">
        <v>0</v>
      </c>
      <c r="AR1200" s="6" t="n">
        <v>0</v>
      </c>
    </row>
    <row r="1201">
      <c r="D1201" t="inlineStr">
        <is>
          <t>Run 889</t>
        </is>
      </c>
      <c r="J1201" s="6" t="n">
        <v>2.553923037179652</v>
      </c>
      <c r="K1201" s="6" t="n">
        <v>-0.7643422936600403</v>
      </c>
      <c r="L1201" s="6" t="n">
        <v>-3.863286907499168</v>
      </c>
      <c r="M1201" s="6" t="n">
        <v>0.4791008827927886</v>
      </c>
      <c r="N1201" s="6" t="n">
        <v>0.03244998331575199</v>
      </c>
      <c r="O1201" s="6" t="n">
        <v>2.883333450387639</v>
      </c>
      <c r="P1201" s="6" t="n">
        <v>-0.7981538546348461</v>
      </c>
      <c r="Q1201" s="6" t="n">
        <v>-0.9192573634101461</v>
      </c>
      <c r="R1201" s="6" t="n">
        <v>-5.023693452889018</v>
      </c>
      <c r="S1201" s="6" t="n">
        <v>0.8518531945593103</v>
      </c>
      <c r="T1201" s="6" t="n">
        <v>-0.1973686075567068</v>
      </c>
      <c r="U1201" s="6" t="n">
        <v>2.642708363200148</v>
      </c>
      <c r="V1201" s="6" t="n">
        <v>-0.7830110290635001</v>
      </c>
      <c r="W1201" s="6" t="n">
        <v>-1.527414140784716</v>
      </c>
      <c r="X1201" s="6" t="n">
        <v>1.385721642256154</v>
      </c>
      <c r="Y1201" s="6" t="n">
        <v>0.9553557487127862</v>
      </c>
      <c r="Z1201" s="6" t="n">
        <v>0.9257573660887776</v>
      </c>
      <c r="AA1201" s="6" t="n">
        <v>-1.408387491645138</v>
      </c>
      <c r="AB1201" s="6" t="n">
        <v>-1.763407502541149</v>
      </c>
      <c r="AC1201" s="6" t="n">
        <v>-2.261136690122837</v>
      </c>
      <c r="AD1201" s="6" t="n">
        <v>0.2083176950278895</v>
      </c>
      <c r="AE1201" s="6" t="n">
        <v>0.4191663084847213</v>
      </c>
      <c r="AF1201" s="6" t="n">
        <v>-0.2184827344433277</v>
      </c>
      <c r="AG1201" s="6" t="n">
        <v>-0.1457744569375667</v>
      </c>
      <c r="AH1201" s="6" t="n">
        <v>0.6813043114678388</v>
      </c>
      <c r="AI1201" s="6" t="n">
        <v>-0.1636876708142249</v>
      </c>
      <c r="AJ1201" s="6" t="n">
        <v>64.0349198784989</v>
      </c>
      <c r="AK1201" s="6" t="n">
        <v>0.08955104169852013</v>
      </c>
      <c r="AL1201" s="6" t="n">
        <v>1.005680928823427</v>
      </c>
      <c r="AN1201" s="6" t="n">
        <v>1.350648454720253</v>
      </c>
      <c r="AO1201" s="6" t="n">
        <v>1.350648454720253</v>
      </c>
      <c r="AP1201" s="6" t="n">
        <v>0.1372232581279666</v>
      </c>
      <c r="AQ1201" s="6" t="n">
        <v>0</v>
      </c>
      <c r="AR1201" s="6" t="n">
        <v>0</v>
      </c>
    </row>
    <row r="1202">
      <c r="D1202" t="inlineStr">
        <is>
          <t>Run 890</t>
        </is>
      </c>
      <c r="J1202" s="6" t="n">
        <v>-1.594837638616171</v>
      </c>
      <c r="K1202" s="6" t="n">
        <v>-1.849712303346876</v>
      </c>
      <c r="L1202" s="6" t="n">
        <v>-1.167631553752196</v>
      </c>
      <c r="M1202" s="6" t="n">
        <v>-2.487446612210022</v>
      </c>
      <c r="N1202" s="6" t="n">
        <v>1.320731880308677</v>
      </c>
      <c r="O1202" s="6" t="n">
        <v>2.028498786058156</v>
      </c>
      <c r="P1202" s="6" t="n">
        <v>3.530442257036412</v>
      </c>
      <c r="Q1202" s="6" t="n">
        <v>-0.8145551228854283</v>
      </c>
      <c r="R1202" s="6" t="n">
        <v>-1.897699219353711</v>
      </c>
      <c r="S1202" s="6" t="n">
        <v>0.9108142128260835</v>
      </c>
      <c r="T1202" s="6" t="n">
        <v>-2.910378062592548</v>
      </c>
      <c r="U1202" s="6" t="n">
        <v>0.2691199116503058</v>
      </c>
      <c r="V1202" s="6" t="n">
        <v>0.2233340484236908</v>
      </c>
      <c r="W1202" s="6" t="n">
        <v>2.347858856500683</v>
      </c>
      <c r="X1202" s="6" t="n">
        <v>-2.294748821853782</v>
      </c>
      <c r="Y1202" s="6" t="n">
        <v>2.238338238255791</v>
      </c>
      <c r="Z1202" s="6" t="n">
        <v>-2.55171733393984</v>
      </c>
      <c r="AA1202" s="6" t="n">
        <v>-1.798574820932466</v>
      </c>
      <c r="AB1202" s="6" t="n">
        <v>-1.766450717842154</v>
      </c>
      <c r="AC1202" s="6" t="n">
        <v>0.2865873417675362</v>
      </c>
      <c r="AD1202" s="6" t="n">
        <v>-0.1731819450296082</v>
      </c>
      <c r="AE1202" s="6" t="n">
        <v>1.812113626651018</v>
      </c>
      <c r="AF1202" s="6" t="n">
        <v>-1.812952436313601</v>
      </c>
      <c r="AG1202" s="6" t="n">
        <v>1.096796943472942</v>
      </c>
      <c r="AH1202" s="6" t="n">
        <v>3.865393979142597</v>
      </c>
      <c r="AI1202" s="6" t="n">
        <v>-0.8409967141157897</v>
      </c>
      <c r="AJ1202" s="6" t="n">
        <v>82.33364466087728</v>
      </c>
      <c r="AK1202" s="6" t="n">
        <v>0.09434005150844732</v>
      </c>
      <c r="AL1202" s="6" t="n">
        <v>1.078010088928482</v>
      </c>
      <c r="AN1202" s="6" t="n">
        <v>1.322098117164091</v>
      </c>
      <c r="AO1202" s="6" t="n">
        <v>1.330405060819385</v>
      </c>
      <c r="AP1202" s="6" t="n">
        <v>0.1314900619815421</v>
      </c>
      <c r="AQ1202" s="6" t="n">
        <v>0</v>
      </c>
      <c r="AR1202" s="6" t="n">
        <v>0</v>
      </c>
    </row>
    <row r="1203">
      <c r="D1203" t="inlineStr">
        <is>
          <t>Run 891</t>
        </is>
      </c>
      <c r="J1203" s="6" t="n">
        <v>-2.611615796509835</v>
      </c>
      <c r="K1203" s="6" t="n">
        <v>-1.400014236949162</v>
      </c>
      <c r="L1203" s="6" t="n">
        <v>-2.704944857556553</v>
      </c>
      <c r="M1203" s="6" t="n">
        <v>1.274293837432731</v>
      </c>
      <c r="N1203" s="6" t="n">
        <v>3.081975244119202</v>
      </c>
      <c r="O1203" s="6" t="n">
        <v>-1.340436554921719</v>
      </c>
      <c r="P1203" s="6" t="n">
        <v>-0.4795937924649368</v>
      </c>
      <c r="Q1203" s="6" t="n">
        <v>-2.046625710089535</v>
      </c>
      <c r="R1203" s="6" t="n">
        <v>1.263364573919596</v>
      </c>
      <c r="S1203" s="6" t="n">
        <v>2.291906875587962</v>
      </c>
      <c r="T1203" s="6" t="n">
        <v>3.886896110498656</v>
      </c>
      <c r="U1203" s="6" t="n">
        <v>1.436538382588986</v>
      </c>
      <c r="V1203" s="6" t="n">
        <v>-0.4236730989952701</v>
      </c>
      <c r="W1203" s="6" t="n">
        <v>-0.831235754897675</v>
      </c>
      <c r="X1203" s="6" t="n">
        <v>1.939142770289127</v>
      </c>
      <c r="Y1203" s="6" t="n">
        <v>1.953412891696762</v>
      </c>
      <c r="Z1203" s="6" t="n">
        <v>-1.030346239084429</v>
      </c>
      <c r="AA1203" s="6" t="n">
        <v>-1.406547740225039</v>
      </c>
      <c r="AB1203" s="6" t="n">
        <v>-1.196118007997413</v>
      </c>
      <c r="AC1203" s="6" t="n">
        <v>0.5613147648705736</v>
      </c>
      <c r="AD1203" s="6" t="n">
        <v>1.972944271776366</v>
      </c>
      <c r="AE1203" s="6" t="n">
        <v>0.167413996429212</v>
      </c>
      <c r="AF1203" s="6" t="n">
        <v>1.721835689946972</v>
      </c>
      <c r="AG1203" s="6" t="n">
        <v>2.024419387961037</v>
      </c>
      <c r="AH1203" s="6" t="n">
        <v>-4.823746968904395</v>
      </c>
      <c r="AI1203" s="6" t="n">
        <v>3.040415963229342</v>
      </c>
      <c r="AJ1203" s="6" t="n">
        <v>77.20409641779587</v>
      </c>
      <c r="AK1203" s="6" t="n">
        <v>0.1509411942774506</v>
      </c>
      <c r="AL1203" s="6" t="n">
        <v>1.063180552454133</v>
      </c>
      <c r="AN1203" s="6" t="n">
        <v>1.341039762742986</v>
      </c>
      <c r="AO1203" s="6" t="n">
        <v>1.342095526456719</v>
      </c>
      <c r="AP1203" s="6" t="n">
        <v>0.1309359438896724</v>
      </c>
      <c r="AQ1203" s="6" t="n">
        <v>0</v>
      </c>
      <c r="AR1203" s="6" t="n">
        <v>0</v>
      </c>
    </row>
    <row r="1204">
      <c r="D1204" t="inlineStr">
        <is>
          <t>Run 892</t>
        </is>
      </c>
      <c r="J1204" s="6" t="n">
        <v>1.548038942916641</v>
      </c>
      <c r="K1204" s="6" t="n">
        <v>-1.957976486629011</v>
      </c>
      <c r="L1204" s="6" t="n">
        <v>-4.83516342132831</v>
      </c>
      <c r="M1204" s="6" t="n">
        <v>1.692467947195198</v>
      </c>
      <c r="N1204" s="6" t="n">
        <v>2.637148007434866</v>
      </c>
      <c r="O1204" s="6" t="n">
        <v>0.4020153868608662</v>
      </c>
      <c r="P1204" s="6" t="n">
        <v>0.1988749955524656</v>
      </c>
      <c r="Q1204" s="6" t="n">
        <v>-2.87407229681526</v>
      </c>
      <c r="R1204" s="6" t="n">
        <v>2.269194452278398</v>
      </c>
      <c r="S1204" s="6" t="n">
        <v>-1.248601030268968</v>
      </c>
      <c r="T1204" s="6" t="n">
        <v>0.8313993670260795</v>
      </c>
      <c r="U1204" s="6" t="n">
        <v>-0.3199676525440632</v>
      </c>
      <c r="V1204" s="6" t="n">
        <v>0.6554209958317873</v>
      </c>
      <c r="W1204" s="6" t="n">
        <v>-0.5582047047786296</v>
      </c>
      <c r="X1204" s="6" t="n">
        <v>1.411416593498314</v>
      </c>
      <c r="Y1204" s="6" t="n">
        <v>1.132149884323348</v>
      </c>
      <c r="Z1204" s="6" t="n">
        <v>-0.2966305775209007</v>
      </c>
      <c r="AA1204" s="6" t="n">
        <v>-3.962901360534435</v>
      </c>
      <c r="AB1204" s="6" t="n">
        <v>-0.7793955767328626</v>
      </c>
      <c r="AC1204" s="6" t="n">
        <v>2.548446300769203</v>
      </c>
      <c r="AD1204" s="6" t="n">
        <v>-1.157367011748801</v>
      </c>
      <c r="AE1204" s="6" t="n">
        <v>0.1234735446378408</v>
      </c>
      <c r="AF1204" s="6" t="n">
        <v>-0.2254922392690155</v>
      </c>
      <c r="AG1204" s="6" t="n">
        <v>1.026255932914994</v>
      </c>
      <c r="AH1204" s="6" t="n">
        <v>1.661745466400939</v>
      </c>
      <c r="AI1204" s="6" t="n">
        <v>1.165895454894273</v>
      </c>
      <c r="AJ1204" s="6" t="n">
        <v>80.52627975575533</v>
      </c>
      <c r="AK1204" s="6" t="n">
        <v>0.008377131277628416</v>
      </c>
      <c r="AL1204" s="6" t="n">
        <v>1.037175552032976</v>
      </c>
      <c r="AN1204" s="6" t="n">
        <v>1.353503061946049</v>
      </c>
      <c r="AO1204" s="6" t="n">
        <v>1.354342164702762</v>
      </c>
      <c r="AP1204" s="6" t="n">
        <v>0.1369431195417588</v>
      </c>
      <c r="AQ1204" s="6" t="n">
        <v>0</v>
      </c>
      <c r="AR1204" s="6" t="n">
        <v>0</v>
      </c>
    </row>
    <row r="1205">
      <c r="D1205" t="inlineStr">
        <is>
          <t>Run 893</t>
        </is>
      </c>
      <c r="J1205" s="6" t="n">
        <v>-0.6203897729105328</v>
      </c>
      <c r="K1205" s="6" t="n">
        <v>0.2727554476702455</v>
      </c>
      <c r="L1205" s="6" t="n">
        <v>1.07137984192997</v>
      </c>
      <c r="M1205" s="6" t="n">
        <v>-0.270908625664485</v>
      </c>
      <c r="N1205" s="6" t="n">
        <v>1.465937018695225</v>
      </c>
      <c r="O1205" s="6" t="n">
        <v>0.8331394613076948</v>
      </c>
      <c r="P1205" s="6" t="n">
        <v>-0.6001011398445527</v>
      </c>
      <c r="Q1205" s="6" t="n">
        <v>3.129204160111577</v>
      </c>
      <c r="R1205" s="6" t="n">
        <v>-1.623738875808775</v>
      </c>
      <c r="S1205" s="6" t="n">
        <v>-0.7973317173980419</v>
      </c>
      <c r="T1205" s="6" t="n">
        <v>-0.3538882374103536</v>
      </c>
      <c r="U1205" s="6" t="n">
        <v>-1.590881340772625</v>
      </c>
      <c r="V1205" s="6" t="n">
        <v>0.2425961185760435</v>
      </c>
      <c r="W1205" s="6" t="n">
        <v>-2.768899912853549</v>
      </c>
      <c r="X1205" s="6" t="n">
        <v>2.830437858422855</v>
      </c>
      <c r="Y1205" s="6" t="n">
        <v>1.50124627586654</v>
      </c>
      <c r="Z1205" s="6" t="n">
        <v>4.567552834401104</v>
      </c>
      <c r="AA1205" s="6" t="n">
        <v>-0.6519814138794154</v>
      </c>
      <c r="AB1205" s="6" t="n">
        <v>1.162844190555384</v>
      </c>
      <c r="AC1205" s="6" t="n">
        <v>0.7805811617460018</v>
      </c>
      <c r="AD1205" s="6" t="n">
        <v>-1.881929197599666</v>
      </c>
      <c r="AE1205" s="6" t="n">
        <v>3.802987872833182</v>
      </c>
      <c r="AF1205" s="6" t="n">
        <v>-1.571814635176792</v>
      </c>
      <c r="AG1205" s="6" t="n">
        <v>0.1634403600024912</v>
      </c>
      <c r="AH1205" s="6" t="n">
        <v>-1.414814617262415</v>
      </c>
      <c r="AI1205" s="6" t="n">
        <v>-1.68757642473046</v>
      </c>
      <c r="AJ1205" s="6" t="n">
        <v>78.0467544868756</v>
      </c>
      <c r="AK1205" s="6" t="n">
        <v>0.1109650578431235</v>
      </c>
      <c r="AL1205" s="6" t="n">
        <v>1.018974921584476</v>
      </c>
      <c r="AN1205" s="6" t="n">
        <v>1.356856680132693</v>
      </c>
      <c r="AO1205" s="6" t="n">
        <v>1.356856680132693</v>
      </c>
      <c r="AP1205" s="6" t="n">
        <v>0.1367740214456928</v>
      </c>
      <c r="AQ1205" s="6" t="n">
        <v>0</v>
      </c>
      <c r="AR1205" s="6" t="n">
        <v>0</v>
      </c>
    </row>
    <row r="1206">
      <c r="D1206" t="inlineStr">
        <is>
          <t>Run 894</t>
        </is>
      </c>
      <c r="J1206" s="6" t="n">
        <v>-0.7040137323247081</v>
      </c>
      <c r="K1206" s="6" t="n">
        <v>-0.1727512812238964</v>
      </c>
      <c r="L1206" s="6" t="n">
        <v>3.435237481609311</v>
      </c>
      <c r="M1206" s="6" t="n">
        <v>3.37942305961194</v>
      </c>
      <c r="N1206" s="6" t="n">
        <v>0.8237341746413946</v>
      </c>
      <c r="O1206" s="6" t="n">
        <v>-3.084050415170321</v>
      </c>
      <c r="P1206" s="6" t="n">
        <v>0.7350186181512826</v>
      </c>
      <c r="Q1206" s="6" t="n">
        <v>-0.1578191089173528</v>
      </c>
      <c r="R1206" s="6" t="n">
        <v>1.229480308832805</v>
      </c>
      <c r="S1206" s="6" t="n">
        <v>-3.03175337936915</v>
      </c>
      <c r="T1206" s="6" t="n">
        <v>-1.255171315601087</v>
      </c>
      <c r="U1206" s="6" t="n">
        <v>1.996358505561496</v>
      </c>
      <c r="V1206" s="6" t="n">
        <v>3.791283302298515</v>
      </c>
      <c r="W1206" s="6" t="n">
        <v>4.77041371554994</v>
      </c>
      <c r="X1206" s="6" t="n">
        <v>0.05041676338231873</v>
      </c>
      <c r="Y1206" s="6" t="n">
        <v>-1.500707249143437</v>
      </c>
      <c r="Z1206" s="6" t="n">
        <v>-0.451088414783737</v>
      </c>
      <c r="AA1206" s="6" t="n">
        <v>3.820228537858683</v>
      </c>
      <c r="AB1206" s="6" t="n">
        <v>0.1795637533458881</v>
      </c>
      <c r="AC1206" s="6" t="n">
        <v>1.633548339445922</v>
      </c>
      <c r="AD1206" s="6" t="n">
        <v>0.497502439338268</v>
      </c>
      <c r="AE1206" s="6" t="n">
        <v>-2.220268953993624</v>
      </c>
      <c r="AF1206" s="6" t="n">
        <v>2.00971625264545</v>
      </c>
      <c r="AG1206" s="6" t="n">
        <v>2.056997318254293</v>
      </c>
      <c r="AH1206" s="6" t="n">
        <v>-2.411723353104459</v>
      </c>
      <c r="AI1206" s="6" t="n">
        <v>0.7573417514683533</v>
      </c>
      <c r="AJ1206" s="6" t="n">
        <v>76.296938564789</v>
      </c>
      <c r="AK1206" s="6" t="n">
        <v>0.0522692225360112</v>
      </c>
      <c r="AL1206" s="6" t="n">
        <v>1.024131787417171</v>
      </c>
      <c r="AN1206" s="6" t="n">
        <v>1.355571353577791</v>
      </c>
      <c r="AO1206" s="6" t="n">
        <v>1.355571353577791</v>
      </c>
      <c r="AP1206" s="6" t="n">
        <v>0.1371916547442595</v>
      </c>
      <c r="AQ1206" s="6" t="n">
        <v>0</v>
      </c>
      <c r="AR1206" s="6" t="n">
        <v>0</v>
      </c>
    </row>
    <row r="1207">
      <c r="D1207" t="inlineStr">
        <is>
          <t>Run 895</t>
        </is>
      </c>
      <c r="J1207" s="6" t="n">
        <v>2.188199592681181</v>
      </c>
      <c r="K1207" s="6" t="n">
        <v>-2.498298595089281</v>
      </c>
      <c r="L1207" s="6" t="n">
        <v>-2.698436596914264</v>
      </c>
      <c r="M1207" s="6" t="n">
        <v>1.376500909894794</v>
      </c>
      <c r="N1207" s="6" t="n">
        <v>4.786609035901522</v>
      </c>
      <c r="O1207" s="6" t="n">
        <v>0.9817111070439691</v>
      </c>
      <c r="P1207" s="6" t="n">
        <v>0.4551004620534546</v>
      </c>
      <c r="Q1207" s="6" t="n">
        <v>0.0633312539213991</v>
      </c>
      <c r="R1207" s="6" t="n">
        <v>-0.3287109350436406</v>
      </c>
      <c r="S1207" s="6" t="n">
        <v>0.3848553539178044</v>
      </c>
      <c r="T1207" s="6" t="n">
        <v>-3.018623865422974</v>
      </c>
      <c r="U1207" s="6" t="n">
        <v>0.6638776741909503</v>
      </c>
      <c r="V1207" s="6" t="n">
        <v>-3.378716333998386</v>
      </c>
      <c r="W1207" s="6" t="n">
        <v>2.57121937871156</v>
      </c>
      <c r="X1207" s="6" t="n">
        <v>-2.335441654519728</v>
      </c>
      <c r="Y1207" s="6" t="n">
        <v>1.615108712075508</v>
      </c>
      <c r="Z1207" s="6" t="n">
        <v>-2.152956670803387</v>
      </c>
      <c r="AA1207" s="6" t="n">
        <v>-2.446873634583295</v>
      </c>
      <c r="AB1207" s="6" t="n">
        <v>2.880106734337148</v>
      </c>
      <c r="AC1207" s="6" t="n">
        <v>-2.972686071960031</v>
      </c>
      <c r="AD1207" s="6" t="n">
        <v>1.943207883852735</v>
      </c>
      <c r="AE1207" s="6" t="n">
        <v>0.3405563814209947</v>
      </c>
      <c r="AF1207" s="6" t="n">
        <v>1.967628834993776</v>
      </c>
      <c r="AG1207" s="6" t="n">
        <v>-1.065874995461045</v>
      </c>
      <c r="AH1207" s="6" t="n">
        <v>-2.242220463528115</v>
      </c>
      <c r="AI1207" s="6" t="n">
        <v>1.168334767730522</v>
      </c>
      <c r="AJ1207" s="6" t="n">
        <v>77.19953441005309</v>
      </c>
      <c r="AK1207" s="6" t="n">
        <v>0.08836311285064702</v>
      </c>
      <c r="AL1207" s="6" t="n">
        <v>1.04413025734189</v>
      </c>
      <c r="AN1207" s="6" t="n">
        <v>1.351852510382111</v>
      </c>
      <c r="AO1207" s="6" t="n">
        <v>1.351852510382111</v>
      </c>
      <c r="AP1207" s="6" t="n">
        <v>0.1343231406016722</v>
      </c>
      <c r="AQ1207" s="6" t="n">
        <v>0</v>
      </c>
      <c r="AR1207" s="6" t="n">
        <v>0</v>
      </c>
    </row>
    <row r="1208">
      <c r="D1208" t="inlineStr">
        <is>
          <t>Run 896</t>
        </is>
      </c>
      <c r="J1208" s="6" t="n">
        <v>-2.128082620225997</v>
      </c>
      <c r="K1208" s="6" t="n">
        <v>1.97631017731384</v>
      </c>
      <c r="L1208" s="6" t="n">
        <v>-2.753784084010795</v>
      </c>
      <c r="M1208" s="6" t="n">
        <v>-2.314765568158439</v>
      </c>
      <c r="N1208" s="6" t="n">
        <v>2.348260068483399</v>
      </c>
      <c r="O1208" s="6" t="n">
        <v>-3.270417103538134</v>
      </c>
      <c r="P1208" s="6" t="n">
        <v>3.244377204226204</v>
      </c>
      <c r="Q1208" s="6" t="n">
        <v>0.7209588133471783</v>
      </c>
      <c r="R1208" s="6" t="n">
        <v>1.990937649443413</v>
      </c>
      <c r="S1208" s="6" t="n">
        <v>0.5295648275539496</v>
      </c>
      <c r="T1208" s="6" t="n">
        <v>0.3821664021720111</v>
      </c>
      <c r="U1208" s="6" t="n">
        <v>0.4286008832154252</v>
      </c>
      <c r="V1208" s="6" t="n">
        <v>2.552162021846756</v>
      </c>
      <c r="W1208" s="6" t="n">
        <v>-4.12330318876583</v>
      </c>
      <c r="X1208" s="6" t="n">
        <v>1.817499900203344</v>
      </c>
      <c r="Y1208" s="6" t="n">
        <v>-4.283155876133803</v>
      </c>
      <c r="Z1208" s="6" t="n">
        <v>0.1316463019431371</v>
      </c>
      <c r="AA1208" s="6" t="n">
        <v>0.9431747731097142</v>
      </c>
      <c r="AB1208" s="6" t="n">
        <v>0.2103601129874367</v>
      </c>
      <c r="AC1208" s="6" t="n">
        <v>-1.121583116694957</v>
      </c>
      <c r="AD1208" s="6" t="n">
        <v>-0.4299326554613284</v>
      </c>
      <c r="AE1208" s="6" t="n">
        <v>-1.929913611168824</v>
      </c>
      <c r="AF1208" s="6" t="n">
        <v>-0.1144052992350043</v>
      </c>
      <c r="AG1208" s="6" t="n">
        <v>-1.319837904965499</v>
      </c>
      <c r="AH1208" s="6" t="n">
        <v>2.342335230519959</v>
      </c>
      <c r="AI1208" s="6" t="n">
        <v>3.025229640594946</v>
      </c>
      <c r="AJ1208" s="6" t="n">
        <v>73.77322561326648</v>
      </c>
      <c r="AK1208" s="6" t="n">
        <v>0.1241610432525978</v>
      </c>
      <c r="AL1208" s="6" t="n">
        <v>1.071642082817993</v>
      </c>
      <c r="AN1208" s="6" t="n">
        <v>1.321443655855753</v>
      </c>
      <c r="AO1208" s="6" t="n">
        <v>1.328482491846045</v>
      </c>
      <c r="AP1208" s="6" t="n">
        <v>0.1304988065363805</v>
      </c>
      <c r="AQ1208" s="6" t="n">
        <v>0</v>
      </c>
      <c r="AR1208" s="6" t="n">
        <v>0</v>
      </c>
    </row>
    <row r="1209">
      <c r="D1209" t="inlineStr">
        <is>
          <t>Run 897</t>
        </is>
      </c>
      <c r="J1209" s="6" t="n">
        <v>-0.6820090654646029</v>
      </c>
      <c r="K1209" s="6" t="n">
        <v>5</v>
      </c>
      <c r="L1209" s="6" t="n">
        <v>-1.230161925696644</v>
      </c>
      <c r="M1209" s="6" t="n">
        <v>-1.356072494263465</v>
      </c>
      <c r="N1209" s="6" t="n">
        <v>0.0466012140302724</v>
      </c>
      <c r="O1209" s="6" t="n">
        <v>-1.647238439009245</v>
      </c>
      <c r="P1209" s="6" t="n">
        <v>0.8658166348416521</v>
      </c>
      <c r="Q1209" s="6" t="n">
        <v>-0.05621983042937766</v>
      </c>
      <c r="R1209" s="6" t="n">
        <v>1.849781993583957</v>
      </c>
      <c r="S1209" s="6" t="n">
        <v>0.205865569388736</v>
      </c>
      <c r="T1209" s="6" t="n">
        <v>2.476826692470004</v>
      </c>
      <c r="U1209" s="6" t="n">
        <v>-3.997831124726677</v>
      </c>
      <c r="V1209" s="6" t="n">
        <v>-0.376172103725221</v>
      </c>
      <c r="W1209" s="6" t="n">
        <v>-6.344995046267975</v>
      </c>
      <c r="X1209" s="6" t="n">
        <v>-0.6645995502818325</v>
      </c>
      <c r="Y1209" s="6" t="n">
        <v>-0.7242316865980178</v>
      </c>
      <c r="Z1209" s="6" t="n">
        <v>2.116284363016886</v>
      </c>
      <c r="AA1209" s="6" t="n">
        <v>2.971281901090213</v>
      </c>
      <c r="AB1209" s="6" t="n">
        <v>-3.423709985666776</v>
      </c>
      <c r="AC1209" s="6" t="n">
        <v>0.2473849452203583</v>
      </c>
      <c r="AD1209" s="6" t="n">
        <v>-2.090335118962216</v>
      </c>
      <c r="AE1209" s="6" t="n">
        <v>-0.5966264258953299</v>
      </c>
      <c r="AF1209" s="6" t="n">
        <v>0.8613809540681978</v>
      </c>
      <c r="AG1209" s="6" t="n">
        <v>0.6105780088117686</v>
      </c>
      <c r="AH1209" s="6" t="n">
        <v>-1.707580525532412</v>
      </c>
      <c r="AI1209" s="6" t="n">
        <v>0.3525579021876742</v>
      </c>
      <c r="AJ1209" s="6" t="n">
        <v>82.36107002986606</v>
      </c>
      <c r="AK1209" s="6" t="n">
        <v>0.1144005443302146</v>
      </c>
      <c r="AL1209" s="6" t="n">
        <v>1.060365734817259</v>
      </c>
      <c r="AN1209" s="6" t="n">
        <v>1.341696815567649</v>
      </c>
      <c r="AO1209" s="6" t="n">
        <v>1.344702357072173</v>
      </c>
      <c r="AP1209" s="6" t="n">
        <v>0.1320895949606727</v>
      </c>
      <c r="AQ1209" s="6" t="n">
        <v>0</v>
      </c>
      <c r="AR1209" s="6" t="n">
        <v>0</v>
      </c>
    </row>
    <row r="1210">
      <c r="D1210" t="inlineStr">
        <is>
          <t>Run 898</t>
        </is>
      </c>
      <c r="J1210" s="6" t="n">
        <v>-0.4024733814721912</v>
      </c>
      <c r="K1210" s="6" t="n">
        <v>-0.8662254702269827</v>
      </c>
      <c r="L1210" s="6" t="n">
        <v>2.7780042489132</v>
      </c>
      <c r="M1210" s="6" t="n">
        <v>1.521627392776446</v>
      </c>
      <c r="N1210" s="6" t="n">
        <v>-2.197538051361716</v>
      </c>
      <c r="O1210" s="6" t="n">
        <v>-2.021079257316915</v>
      </c>
      <c r="P1210" s="6" t="n">
        <v>-2.152334549486596</v>
      </c>
      <c r="Q1210" s="6" t="n">
        <v>-2.16984458443281</v>
      </c>
      <c r="R1210" s="6" t="n">
        <v>-0.5442653635081568</v>
      </c>
      <c r="S1210" s="6" t="n">
        <v>3.985640272785735</v>
      </c>
      <c r="T1210" s="6" t="n">
        <v>1.840856471805534</v>
      </c>
      <c r="U1210" s="6" t="n">
        <v>0.9186049612717175</v>
      </c>
      <c r="V1210" s="6" t="n">
        <v>-2.54647112861379</v>
      </c>
      <c r="W1210" s="6" t="n">
        <v>1.647944157618897</v>
      </c>
      <c r="X1210" s="6" t="n">
        <v>-3.445796743950827</v>
      </c>
      <c r="Y1210" s="6" t="n">
        <v>-0.7800942283610666</v>
      </c>
      <c r="Z1210" s="6" t="n">
        <v>-0.7658870152763297</v>
      </c>
      <c r="AA1210" s="6" t="n">
        <v>1.033036406490369</v>
      </c>
      <c r="AB1210" s="6" t="n">
        <v>1.472120064039728</v>
      </c>
      <c r="AC1210" s="6" t="n">
        <v>1.027967492840225</v>
      </c>
      <c r="AD1210" s="6" t="n">
        <v>-2.409984691662259</v>
      </c>
      <c r="AE1210" s="6" t="n">
        <v>1.911176712139206</v>
      </c>
      <c r="AF1210" s="6" t="n">
        <v>1.180113460828531</v>
      </c>
      <c r="AG1210" s="6" t="n">
        <v>-4.534416412430801</v>
      </c>
      <c r="AH1210" s="6" t="n">
        <v>-1.083446592891655</v>
      </c>
      <c r="AI1210" s="6" t="n">
        <v>-2.862820269074917</v>
      </c>
      <c r="AJ1210" s="6" t="n">
        <v>65.8108823175707</v>
      </c>
      <c r="AK1210" s="6" t="n">
        <v>0.1674493893841275</v>
      </c>
      <c r="AL1210" s="6" t="n">
        <v>1.080741440800847</v>
      </c>
      <c r="AN1210" s="6" t="n">
        <v>1.332235992496216</v>
      </c>
      <c r="AO1210" s="6" t="n">
        <v>1.332582797852241</v>
      </c>
      <c r="AP1210" s="6" t="n">
        <v>0.1286760846917586</v>
      </c>
      <c r="AQ1210" s="6" t="n">
        <v>0</v>
      </c>
      <c r="AR1210" s="6" t="n">
        <v>0</v>
      </c>
    </row>
    <row r="1211">
      <c r="D1211" t="inlineStr">
        <is>
          <t>Run 899</t>
        </is>
      </c>
      <c r="J1211" s="6" t="n">
        <v>1.34499428439731</v>
      </c>
      <c r="K1211" s="6" t="n">
        <v>-2.703386651532986</v>
      </c>
      <c r="L1211" s="6" t="n">
        <v>0.2983800721551559</v>
      </c>
      <c r="M1211" s="6" t="n">
        <v>-2.302874365193067</v>
      </c>
      <c r="N1211" s="6" t="n">
        <v>-0.04209102930164658</v>
      </c>
      <c r="O1211" s="6" t="n">
        <v>-2.462787791416544</v>
      </c>
      <c r="P1211" s="6" t="n">
        <v>-2.202944026590259</v>
      </c>
      <c r="Q1211" s="6" t="n">
        <v>-1.964375432022794</v>
      </c>
      <c r="R1211" s="6" t="n">
        <v>3.694715733854236</v>
      </c>
      <c r="S1211" s="6" t="n">
        <v>-1.16847755985163</v>
      </c>
      <c r="T1211" s="6" t="n">
        <v>-3.51599120402915</v>
      </c>
      <c r="U1211" s="6" t="n">
        <v>-1.160277960469253</v>
      </c>
      <c r="V1211" s="6" t="n">
        <v>0.9264562014973643</v>
      </c>
      <c r="W1211" s="6" t="n">
        <v>0.5941573345888806</v>
      </c>
      <c r="X1211" s="6" t="n">
        <v>0.2251228656807585</v>
      </c>
      <c r="Y1211" s="6" t="n">
        <v>-0.1141542210264941</v>
      </c>
      <c r="Z1211" s="6" t="n">
        <v>-3.924044247281098</v>
      </c>
      <c r="AA1211" s="6" t="n">
        <v>-3.431136679987461</v>
      </c>
      <c r="AB1211" s="6" t="n">
        <v>-0.5644711688527866</v>
      </c>
      <c r="AC1211" s="6" t="n">
        <v>-0.3844411625673488</v>
      </c>
      <c r="AD1211" s="6" t="n">
        <v>-3.751849330554349</v>
      </c>
      <c r="AE1211" s="6" t="n">
        <v>-0.2312985032601168</v>
      </c>
      <c r="AF1211" s="6" t="n">
        <v>-0.7934572791483705</v>
      </c>
      <c r="AG1211" s="6" t="n">
        <v>1.170774740849947</v>
      </c>
      <c r="AH1211" s="6" t="n">
        <v>0.1786279022004316</v>
      </c>
      <c r="AI1211" s="6" t="n">
        <v>-4.756632872421957</v>
      </c>
      <c r="AJ1211" s="6" t="n">
        <v>76.96090096938286</v>
      </c>
      <c r="AK1211" s="6" t="n">
        <v>0.1199364321085594</v>
      </c>
      <c r="AL1211" s="6" t="n">
        <v>1.032715592178128</v>
      </c>
      <c r="AN1211" s="6" t="n">
        <v>1.334917991530693</v>
      </c>
      <c r="AO1211" s="6" t="n">
        <v>1.343167640655722</v>
      </c>
      <c r="AP1211" s="6" t="n">
        <v>0.1343905102595199</v>
      </c>
      <c r="AQ1211" s="6" t="n">
        <v>0</v>
      </c>
      <c r="AR1211" s="6" t="n">
        <v>0</v>
      </c>
    </row>
    <row r="1212">
      <c r="D1212" t="inlineStr">
        <is>
          <t>Run 900</t>
        </is>
      </c>
      <c r="J1212" s="6" t="n">
        <v>2.304987776188663</v>
      </c>
      <c r="K1212" s="6" t="n">
        <v>-1.660139160824187</v>
      </c>
      <c r="L1212" s="6" t="n">
        <v>-3.199263548310982</v>
      </c>
      <c r="M1212" s="6" t="n">
        <v>3.558006081445359</v>
      </c>
      <c r="N1212" s="6" t="n">
        <v>-3.508538514720214</v>
      </c>
      <c r="O1212" s="6" t="n">
        <v>-0.9518464842903599</v>
      </c>
      <c r="P1212" s="6" t="n">
        <v>-0.2653207082634761</v>
      </c>
      <c r="Q1212" s="6" t="n">
        <v>0.8614293167228337</v>
      </c>
      <c r="R1212" s="6" t="n">
        <v>0.9121480341395451</v>
      </c>
      <c r="S1212" s="6" t="n">
        <v>-4.374699319996175</v>
      </c>
      <c r="T1212" s="6" t="n">
        <v>1.459140303767914</v>
      </c>
      <c r="U1212" s="6" t="n">
        <v>2.957255583354803</v>
      </c>
      <c r="V1212" s="6" t="n">
        <v>-0.0472712661292212</v>
      </c>
      <c r="W1212" s="6" t="n">
        <v>4.307306967553006</v>
      </c>
      <c r="X1212" s="6" t="n">
        <v>-1.558340705707599</v>
      </c>
      <c r="Y1212" s="6" t="n">
        <v>1.192469346084802</v>
      </c>
      <c r="Z1212" s="6" t="n">
        <v>-3.913586957618101</v>
      </c>
      <c r="AA1212" s="6" t="n">
        <v>1.555654687975687</v>
      </c>
      <c r="AB1212" s="6" t="n">
        <v>2.384934451965019</v>
      </c>
      <c r="AC1212" s="6" t="n">
        <v>-1.639053181351519</v>
      </c>
      <c r="AD1212" s="6" t="n">
        <v>-4.9568450624861</v>
      </c>
      <c r="AE1212" s="6" t="n">
        <v>-1.20155355093605</v>
      </c>
      <c r="AF1212" s="6" t="n">
        <v>1.631927545704653</v>
      </c>
      <c r="AG1212" s="6" t="n">
        <v>-0.6031290977814255</v>
      </c>
      <c r="AH1212" s="6" t="n">
        <v>2.871948146534574</v>
      </c>
      <c r="AI1212" s="6" t="n">
        <v>1.654342615954623</v>
      </c>
      <c r="AJ1212" s="6" t="n">
        <v>61.6679188270084</v>
      </c>
      <c r="AK1212" s="6" t="n">
        <v>0.102273461140079</v>
      </c>
      <c r="AL1212" s="6" t="n">
        <v>1.054462589325746</v>
      </c>
      <c r="AN1212" s="6" t="n">
        <v>1.338274309974288</v>
      </c>
      <c r="AO1212" s="6" t="n">
        <v>1.340052549181671</v>
      </c>
      <c r="AP1212" s="6" t="n">
        <v>0.1318280294235568</v>
      </c>
      <c r="AQ1212" s="6" t="n">
        <v>0</v>
      </c>
      <c r="AR1212" s="6" t="n">
        <v>0</v>
      </c>
    </row>
    <row r="1213">
      <c r="D1213" t="inlineStr">
        <is>
          <t>Run 901</t>
        </is>
      </c>
      <c r="J1213" s="6" t="n">
        <v>0.3189478834740277</v>
      </c>
      <c r="K1213" s="6" t="n">
        <v>-2.481042322617417</v>
      </c>
      <c r="L1213" s="6" t="n">
        <v>-2.4173991983712</v>
      </c>
      <c r="M1213" s="6" t="n">
        <v>1.116566380268127</v>
      </c>
      <c r="N1213" s="6" t="n">
        <v>-0.4306779615904461</v>
      </c>
      <c r="O1213" s="6" t="n">
        <v>0.1412525831951316</v>
      </c>
      <c r="P1213" s="6" t="n">
        <v>-1.047358132465998</v>
      </c>
      <c r="Q1213" s="6" t="n">
        <v>0.7734403848106151</v>
      </c>
      <c r="R1213" s="6" t="n">
        <v>-0.5610913504943714</v>
      </c>
      <c r="S1213" s="6" t="n">
        <v>-2.36221680966102</v>
      </c>
      <c r="T1213" s="6" t="n">
        <v>-1.115119040041949</v>
      </c>
      <c r="U1213" s="6" t="n">
        <v>-2.653201223856947</v>
      </c>
      <c r="V1213" s="6" t="n">
        <v>1.114215044712306</v>
      </c>
      <c r="W1213" s="6" t="n">
        <v>-0.8094608439307273</v>
      </c>
      <c r="X1213" s="6" t="n">
        <v>2.388776415468558</v>
      </c>
      <c r="Y1213" s="6" t="n">
        <v>1.397661241825621</v>
      </c>
      <c r="Z1213" s="6" t="n">
        <v>-2.045914896124722</v>
      </c>
      <c r="AA1213" s="6" t="n">
        <v>2.186911618167702</v>
      </c>
      <c r="AB1213" s="6" t="n">
        <v>-2.822644126401427</v>
      </c>
      <c r="AC1213" s="6" t="n">
        <v>0.4777224133931124</v>
      </c>
      <c r="AD1213" s="6" t="n">
        <v>-2.623608238901661</v>
      </c>
      <c r="AE1213" s="6" t="n">
        <v>0.5824238280497568</v>
      </c>
      <c r="AF1213" s="6" t="n">
        <v>2.2545626886634</v>
      </c>
      <c r="AG1213" s="6" t="n">
        <v>2.179982155825866</v>
      </c>
      <c r="AH1213" s="6" t="n">
        <v>0.3831846494665956</v>
      </c>
      <c r="AI1213" s="6" t="n">
        <v>-2.713624222687584</v>
      </c>
      <c r="AJ1213" s="6" t="n">
        <v>70.3674468196114</v>
      </c>
      <c r="AK1213" s="6" t="n">
        <v>0.1500331866053567</v>
      </c>
      <c r="AL1213" s="6" t="n">
        <v>1.065731915916281</v>
      </c>
      <c r="AN1213" s="6" t="n">
        <v>1.33778870353849</v>
      </c>
      <c r="AO1213" s="6" t="n">
        <v>1.337804819356101</v>
      </c>
      <c r="AP1213" s="6" t="n">
        <v>0.1306326223974823</v>
      </c>
      <c r="AQ1213" s="6" t="n">
        <v>0</v>
      </c>
      <c r="AR1213" s="6" t="n">
        <v>0</v>
      </c>
    </row>
    <row r="1214">
      <c r="D1214" t="inlineStr">
        <is>
          <t>Run 902</t>
        </is>
      </c>
      <c r="J1214" s="6" t="n">
        <v>0.5588817484489118</v>
      </c>
      <c r="K1214" s="6" t="n">
        <v>-0.2320017025258176</v>
      </c>
      <c r="L1214" s="6" t="n">
        <v>-3.788108705401274</v>
      </c>
      <c r="M1214" s="6" t="n">
        <v>3.086613837973132</v>
      </c>
      <c r="N1214" s="6" t="n">
        <v>1.368711384104114</v>
      </c>
      <c r="O1214" s="6" t="n">
        <v>-0.09883829696279202</v>
      </c>
      <c r="P1214" s="6" t="n">
        <v>-2.144249814287394</v>
      </c>
      <c r="Q1214" s="6" t="n">
        <v>2.333997048670244</v>
      </c>
      <c r="R1214" s="6" t="n">
        <v>-0.6129365727476945</v>
      </c>
      <c r="S1214" s="6" t="n">
        <v>1.690311105480457</v>
      </c>
      <c r="T1214" s="6" t="n">
        <v>-1.148505671085086</v>
      </c>
      <c r="U1214" s="6" t="n">
        <v>1.378060653975123</v>
      </c>
      <c r="V1214" s="6" t="n">
        <v>0.4197432505254374</v>
      </c>
      <c r="W1214" s="6" t="n">
        <v>-1.292590506640966</v>
      </c>
      <c r="X1214" s="6" t="n">
        <v>-3.039911101328374</v>
      </c>
      <c r="Y1214" s="6" t="n">
        <v>-0.2835571234783439</v>
      </c>
      <c r="Z1214" s="6" t="n">
        <v>-0.8905955056120872</v>
      </c>
      <c r="AA1214" s="6" t="n">
        <v>-0.7598383053910999</v>
      </c>
      <c r="AB1214" s="6" t="n">
        <v>-1.501119132284532</v>
      </c>
      <c r="AC1214" s="6" t="n">
        <v>-1.183894635395994</v>
      </c>
      <c r="AD1214" s="6" t="n">
        <v>2.069434331765517</v>
      </c>
      <c r="AE1214" s="6" t="n">
        <v>-4.25786484614546</v>
      </c>
      <c r="AF1214" s="6" t="n">
        <v>1.008791790404907</v>
      </c>
      <c r="AG1214" s="6" t="n">
        <v>1.072819286202603</v>
      </c>
      <c r="AH1214" s="6" t="n">
        <v>0.8593884226953988</v>
      </c>
      <c r="AI1214" s="6" t="n">
        <v>-2.275119502910812</v>
      </c>
      <c r="AJ1214" s="6" t="n">
        <v>71.87549999791943</v>
      </c>
      <c r="AK1214" s="6" t="n">
        <v>0.1207288621922836</v>
      </c>
      <c r="AL1214" s="6" t="n">
        <v>1.041139976975076</v>
      </c>
      <c r="AN1214" s="6" t="n">
        <v>1.346934317538815</v>
      </c>
      <c r="AO1214" s="6" t="n">
        <v>1.347482699108692</v>
      </c>
      <c r="AP1214" s="6" t="n">
        <v>0.1333780600963331</v>
      </c>
      <c r="AQ1214" s="6" t="n">
        <v>0</v>
      </c>
      <c r="AR1214" s="6" t="n">
        <v>0</v>
      </c>
    </row>
    <row r="1215">
      <c r="D1215" t="inlineStr">
        <is>
          <t>Run 903</t>
        </is>
      </c>
      <c r="J1215" s="6" t="n">
        <v>3.762832429077708</v>
      </c>
      <c r="K1215" s="6" t="n">
        <v>-0.1216523871402165</v>
      </c>
      <c r="L1215" s="6" t="n">
        <v>2.387390344268598</v>
      </c>
      <c r="M1215" s="6" t="n">
        <v>-0.05522398092653191</v>
      </c>
      <c r="N1215" s="6" t="n">
        <v>-0.7175254770435743</v>
      </c>
      <c r="O1215" s="6" t="n">
        <v>-1.958645803319147</v>
      </c>
      <c r="P1215" s="6" t="n">
        <v>-0.237780160820379</v>
      </c>
      <c r="Q1215" s="6" t="n">
        <v>1.383373572534659</v>
      </c>
      <c r="R1215" s="6" t="n">
        <v>0.5396982640985768</v>
      </c>
      <c r="S1215" s="6" t="n">
        <v>1.19974834491965</v>
      </c>
      <c r="T1215" s="6" t="n">
        <v>0.3238420136348531</v>
      </c>
      <c r="U1215" s="6" t="n">
        <v>0.5992625245804615</v>
      </c>
      <c r="V1215" s="6" t="n">
        <v>-2.558656221639533</v>
      </c>
      <c r="W1215" s="6" t="n">
        <v>-0.7579587608148782</v>
      </c>
      <c r="X1215" s="6" t="n">
        <v>2.260270636781955</v>
      </c>
      <c r="Y1215" s="6" t="n">
        <v>3.342171933445542</v>
      </c>
      <c r="Z1215" s="6" t="n">
        <v>1.434493252817181</v>
      </c>
      <c r="AA1215" s="6" t="n">
        <v>-1.702465789767351</v>
      </c>
      <c r="AB1215" s="6" t="n">
        <v>2.193891405598595</v>
      </c>
      <c r="AC1215" s="6" t="n">
        <v>-0.2019655907247364</v>
      </c>
      <c r="AD1215" s="6" t="n">
        <v>0.308153251571992</v>
      </c>
      <c r="AE1215" s="6" t="n">
        <v>2.987388737519584</v>
      </c>
      <c r="AF1215" s="6" t="n">
        <v>-1.276108502283727</v>
      </c>
      <c r="AG1215" s="6" t="n">
        <v>2.138599250722741</v>
      </c>
      <c r="AH1215" s="6" t="n">
        <v>0.8792666743651807</v>
      </c>
      <c r="AI1215" s="6" t="n">
        <v>1.41368262563398</v>
      </c>
      <c r="AJ1215" s="6" t="n">
        <v>80.35108344849377</v>
      </c>
      <c r="AK1215" s="6" t="n">
        <v>0.06927766831546506</v>
      </c>
      <c r="AL1215" s="6" t="n">
        <v>1.087749283061287</v>
      </c>
      <c r="AN1215" s="6" t="n">
        <v>1.343627471079776</v>
      </c>
      <c r="AO1215" s="6" t="n">
        <v>1.344267419283484</v>
      </c>
      <c r="AP1215" s="6" t="n">
        <v>0.1317602163727888</v>
      </c>
      <c r="AQ1215" s="6" t="n">
        <v>0</v>
      </c>
      <c r="AR1215" s="6" t="n">
        <v>0</v>
      </c>
    </row>
    <row r="1216">
      <c r="D1216" t="inlineStr">
        <is>
          <t>Run 904</t>
        </is>
      </c>
      <c r="J1216" s="6" t="n">
        <v>-0.4889015847325284</v>
      </c>
      <c r="K1216" s="6" t="n">
        <v>0.3180973308795096</v>
      </c>
      <c r="L1216" s="6" t="n">
        <v>0.311665479900392</v>
      </c>
      <c r="M1216" s="6" t="n">
        <v>-2.099007243244706</v>
      </c>
      <c r="N1216" s="6" t="n">
        <v>-1.429294488181844</v>
      </c>
      <c r="O1216" s="6" t="n">
        <v>-0.3608290645288182</v>
      </c>
      <c r="P1216" s="6" t="n">
        <v>1.445270676074652</v>
      </c>
      <c r="Q1216" s="6" t="n">
        <v>-0.582794741926475</v>
      </c>
      <c r="R1216" s="6" t="n">
        <v>1.073309389950384</v>
      </c>
      <c r="S1216" s="6" t="n">
        <v>0.7582246778337652</v>
      </c>
      <c r="T1216" s="6" t="n">
        <v>-0.4604399938566344</v>
      </c>
      <c r="U1216" s="6" t="n">
        <v>-2.427305015223319</v>
      </c>
      <c r="V1216" s="6" t="n">
        <v>-1.862573733481307</v>
      </c>
      <c r="W1216" s="6" t="n">
        <v>-0.9786084628635232</v>
      </c>
      <c r="X1216" s="6" t="n">
        <v>1.837394856653845</v>
      </c>
      <c r="Y1216" s="6" t="n">
        <v>0.4674409238627751</v>
      </c>
      <c r="Z1216" s="6" t="n">
        <v>-2.881866082295205</v>
      </c>
      <c r="AA1216" s="6" t="n">
        <v>2.093024419816884</v>
      </c>
      <c r="AB1216" s="6" t="n">
        <v>-0.7709353578179459</v>
      </c>
      <c r="AC1216" s="6" t="n">
        <v>-1.90230391737532</v>
      </c>
      <c r="AD1216" s="6" t="n">
        <v>0.5469750096224482</v>
      </c>
      <c r="AE1216" s="6" t="n">
        <v>-2.213984167014205</v>
      </c>
      <c r="AF1216" s="6" t="n">
        <v>-0.03537440496737765</v>
      </c>
      <c r="AG1216" s="6" t="n">
        <v>0.8517984699705172</v>
      </c>
      <c r="AH1216" s="6" t="n">
        <v>-0.7143272741251658</v>
      </c>
      <c r="AI1216" s="6" t="n">
        <v>-2.986355610795814</v>
      </c>
      <c r="AJ1216" s="6" t="n">
        <v>75.13851580667561</v>
      </c>
      <c r="AK1216" s="6" t="n">
        <v>0.1196367268938634</v>
      </c>
      <c r="AL1216" s="6" t="n">
        <v>1.060177156534545</v>
      </c>
      <c r="AN1216" s="6" t="n">
        <v>1.328465663475653</v>
      </c>
      <c r="AO1216" s="6" t="n">
        <v>1.334066558051802</v>
      </c>
      <c r="AP1216" s="6" t="n">
        <v>0.1315664521709876</v>
      </c>
      <c r="AQ1216" s="6" t="n">
        <v>0</v>
      </c>
      <c r="AR1216" s="6" t="n">
        <v>0</v>
      </c>
    </row>
    <row r="1217">
      <c r="D1217" t="inlineStr">
        <is>
          <t>Run 905</t>
        </is>
      </c>
      <c r="J1217" s="6" t="n">
        <v>-1.013158045939998</v>
      </c>
      <c r="K1217" s="6" t="n">
        <v>-1.188845524692924</v>
      </c>
      <c r="L1217" s="6" t="n">
        <v>-2.725060738515823</v>
      </c>
      <c r="M1217" s="6" t="n">
        <v>-2.328660557070572</v>
      </c>
      <c r="N1217" s="6" t="n">
        <v>2.361100343634631</v>
      </c>
      <c r="O1217" s="6" t="n">
        <v>-0.3941331199073282</v>
      </c>
      <c r="P1217" s="6" t="n">
        <v>-1.628123263448128</v>
      </c>
      <c r="Q1217" s="6" t="n">
        <v>0.4852716253638306</v>
      </c>
      <c r="R1217" s="6" t="n">
        <v>0.8831348091396209</v>
      </c>
      <c r="S1217" s="6" t="n">
        <v>-2.444466581969065</v>
      </c>
      <c r="T1217" s="6" t="n">
        <v>-1.889420249685326</v>
      </c>
      <c r="U1217" s="6" t="n">
        <v>-3.249868260665466</v>
      </c>
      <c r="V1217" s="6" t="n">
        <v>4.731588651268215</v>
      </c>
      <c r="W1217" s="6" t="n">
        <v>-4.285596275493367</v>
      </c>
      <c r="X1217" s="6" t="n">
        <v>-4.165321521247016</v>
      </c>
      <c r="Y1217" s="6" t="n">
        <v>2.682324579883378</v>
      </c>
      <c r="Z1217" s="6" t="n">
        <v>-0.7179636935155925</v>
      </c>
      <c r="AA1217" s="6" t="n">
        <v>0.9652637733181328</v>
      </c>
      <c r="AB1217" s="6" t="n">
        <v>-1.471095226676734</v>
      </c>
      <c r="AC1217" s="6" t="n">
        <v>-0.4973172412190566</v>
      </c>
      <c r="AD1217" s="6" t="n">
        <v>0.5879015999416036</v>
      </c>
      <c r="AE1217" s="6" t="n">
        <v>-0.5115126503881706</v>
      </c>
      <c r="AF1217" s="6" t="n">
        <v>-3.088043400841856</v>
      </c>
      <c r="AG1217" s="6" t="n">
        <v>2.606840143943971</v>
      </c>
      <c r="AH1217" s="6" t="n">
        <v>3.546572625041429</v>
      </c>
      <c r="AI1217" s="6" t="n">
        <v>-0.8075050814862358</v>
      </c>
      <c r="AJ1217" s="6" t="n">
        <v>78.04787066068121</v>
      </c>
      <c r="AK1217" s="6" t="n">
        <v>0.1020881068329847</v>
      </c>
      <c r="AL1217" s="6" t="n">
        <v>1.055757221763074</v>
      </c>
      <c r="AN1217" s="6" t="n">
        <v>1.328641910188516</v>
      </c>
      <c r="AO1217" s="6" t="n">
        <v>1.336184744319344</v>
      </c>
      <c r="AP1217" s="6" t="n">
        <v>0.1327636945834895</v>
      </c>
      <c r="AQ1217" s="6" t="n">
        <v>0</v>
      </c>
      <c r="AR1217" s="6" t="n">
        <v>0</v>
      </c>
    </row>
    <row r="1218">
      <c r="D1218" t="inlineStr">
        <is>
          <t>Run 906</t>
        </is>
      </c>
      <c r="J1218" s="6" t="n">
        <v>2.708758956464905</v>
      </c>
      <c r="K1218" s="6" t="n">
        <v>2.201637575073936</v>
      </c>
      <c r="L1218" s="6" t="n">
        <v>2.780034321206962</v>
      </c>
      <c r="M1218" s="6" t="n">
        <v>-2.717440465465073</v>
      </c>
      <c r="N1218" s="6" t="n">
        <v>-0.6732011417625247</v>
      </c>
      <c r="O1218" s="6" t="n">
        <v>2.184160225978484</v>
      </c>
      <c r="P1218" s="6" t="n">
        <v>0.3272245700277182</v>
      </c>
      <c r="Q1218" s="6" t="n">
        <v>-2.023649224245518</v>
      </c>
      <c r="R1218" s="6" t="n">
        <v>4.909770347586927</v>
      </c>
      <c r="S1218" s="6" t="n">
        <v>2.841457295365216</v>
      </c>
      <c r="T1218" s="6" t="n">
        <v>0.3251095502347469</v>
      </c>
      <c r="U1218" s="6" t="n">
        <v>1.460257162998897</v>
      </c>
      <c r="V1218" s="6" t="n">
        <v>3.15494938604143</v>
      </c>
      <c r="W1218" s="6" t="n">
        <v>-3.09161817814967</v>
      </c>
      <c r="X1218" s="6" t="n">
        <v>-3.197366455558478</v>
      </c>
      <c r="Y1218" s="6" t="n">
        <v>-2.54071318433176</v>
      </c>
      <c r="Z1218" s="6" t="n">
        <v>-0.4794055111919838</v>
      </c>
      <c r="AA1218" s="6" t="n">
        <v>-0.2999849312622034</v>
      </c>
      <c r="AB1218" s="6" t="n">
        <v>3.336646564303389</v>
      </c>
      <c r="AC1218" s="6" t="n">
        <v>-1.530021888124805</v>
      </c>
      <c r="AD1218" s="6" t="n">
        <v>2.191156323168659</v>
      </c>
      <c r="AE1218" s="6" t="n">
        <v>-1.867422616357425</v>
      </c>
      <c r="AF1218" s="6" t="n">
        <v>-0.5260595951625048</v>
      </c>
      <c r="AG1218" s="6" t="n">
        <v>-0.7563670190998162</v>
      </c>
      <c r="AH1218" s="6" t="n">
        <v>-0.7529792435159235</v>
      </c>
      <c r="AI1218" s="6" t="n">
        <v>0.6008322567708571</v>
      </c>
      <c r="AJ1218" s="6" t="n">
        <v>74.78423609956626</v>
      </c>
      <c r="AK1218" s="6" t="n">
        <v>0.204636893487069</v>
      </c>
      <c r="AL1218" s="6" t="n">
        <v>1.043776127985786</v>
      </c>
      <c r="AN1218" s="6" t="n">
        <v>1.31871125432872</v>
      </c>
      <c r="AO1218" s="6" t="n">
        <v>1.326101620337765</v>
      </c>
      <c r="AP1218" s="6" t="n">
        <v>0.13053623830784</v>
      </c>
      <c r="AQ1218" s="6" t="n">
        <v>0</v>
      </c>
      <c r="AR1218" s="6" t="n">
        <v>0</v>
      </c>
    </row>
    <row r="1219">
      <c r="D1219" t="inlineStr">
        <is>
          <t>Run 907</t>
        </is>
      </c>
      <c r="J1219" s="6" t="n">
        <v>-0.6697775470373165</v>
      </c>
      <c r="K1219" s="6" t="n">
        <v>-0.7819565574949875</v>
      </c>
      <c r="L1219" s="6" t="n">
        <v>-0.7246977109852863</v>
      </c>
      <c r="M1219" s="6" t="n">
        <v>-1.527535398332857</v>
      </c>
      <c r="N1219" s="6" t="n">
        <v>-0.2582148006612414</v>
      </c>
      <c r="O1219" s="6" t="n">
        <v>0.08957857318761134</v>
      </c>
      <c r="P1219" s="6" t="n">
        <v>-4.349262367774418</v>
      </c>
      <c r="Q1219" s="6" t="n">
        <v>-0.723530008761593</v>
      </c>
      <c r="R1219" s="6" t="n">
        <v>0.782860751310997</v>
      </c>
      <c r="S1219" s="6" t="n">
        <v>2.489586096973679</v>
      </c>
      <c r="T1219" s="6" t="n">
        <v>0.903502845051961</v>
      </c>
      <c r="U1219" s="6" t="n">
        <v>1.376232155275388</v>
      </c>
      <c r="V1219" s="6" t="n">
        <v>-0.4432322585638545</v>
      </c>
      <c r="W1219" s="6" t="n">
        <v>0.4025831929853809</v>
      </c>
      <c r="X1219" s="6" t="n">
        <v>1.160181939840474</v>
      </c>
      <c r="Y1219" s="6" t="n">
        <v>-0.2321547474354999</v>
      </c>
      <c r="Z1219" s="6" t="n">
        <v>1.543633616694657</v>
      </c>
      <c r="AA1219" s="6" t="n">
        <v>-0.8449691703257444</v>
      </c>
      <c r="AB1219" s="6" t="n">
        <v>-1.566688080977917</v>
      </c>
      <c r="AC1219" s="6" t="n">
        <v>0.2642866257557203</v>
      </c>
      <c r="AD1219" s="6" t="n">
        <v>-2.87365581660071</v>
      </c>
      <c r="AE1219" s="6" t="n">
        <v>4.675090651335431</v>
      </c>
      <c r="AF1219" s="6" t="n">
        <v>-1.662553683563696</v>
      </c>
      <c r="AG1219" s="6" t="n">
        <v>-0.2865006213111684</v>
      </c>
      <c r="AH1219" s="6" t="n">
        <v>4.972983875926717</v>
      </c>
      <c r="AI1219" s="6" t="n">
        <v>1.26430934038809</v>
      </c>
      <c r="AJ1219" s="6" t="n">
        <v>75.26827437341376</v>
      </c>
      <c r="AK1219" s="6" t="n">
        <v>0.1379227041030214</v>
      </c>
      <c r="AL1219" s="6" t="n">
        <v>1.060355412433743</v>
      </c>
      <c r="AN1219" s="6" t="n">
        <v>1.335367158659099</v>
      </c>
      <c r="AO1219" s="6" t="n">
        <v>1.339044326538977</v>
      </c>
      <c r="AP1219" s="6" t="n">
        <v>0.1312134087829196</v>
      </c>
      <c r="AQ1219" s="6" t="n">
        <v>0</v>
      </c>
      <c r="AR1219" s="6" t="n">
        <v>0</v>
      </c>
    </row>
    <row r="1220">
      <c r="D1220" t="inlineStr">
        <is>
          <t>Run 908</t>
        </is>
      </c>
      <c r="J1220" s="6" t="n">
        <v>-0.03604675132129954</v>
      </c>
      <c r="K1220" s="6" t="n">
        <v>0.9134999121417688</v>
      </c>
      <c r="L1220" s="6" t="n">
        <v>0.8889377530171735</v>
      </c>
      <c r="M1220" s="6" t="n">
        <v>0.6810845122042759</v>
      </c>
      <c r="N1220" s="6" t="n">
        <v>1.74488048991245</v>
      </c>
      <c r="O1220" s="6" t="n">
        <v>-0.7365647857725041</v>
      </c>
      <c r="P1220" s="6" t="n">
        <v>-1.496506107322492</v>
      </c>
      <c r="Q1220" s="6" t="n">
        <v>-0.6853934879690129</v>
      </c>
      <c r="R1220" s="6" t="n">
        <v>-2.972843357139938</v>
      </c>
      <c r="S1220" s="6" t="n">
        <v>-1.039405018467481</v>
      </c>
      <c r="T1220" s="6" t="n">
        <v>-0.2430891502736618</v>
      </c>
      <c r="U1220" s="6" t="n">
        <v>3.085351698359804</v>
      </c>
      <c r="V1220" s="6" t="n">
        <v>0.6382786062987057</v>
      </c>
      <c r="W1220" s="6" t="n">
        <v>1.952608664743749</v>
      </c>
      <c r="X1220" s="6" t="n">
        <v>-0.6590479455997191</v>
      </c>
      <c r="Y1220" s="6" t="n">
        <v>-0.9767209826552672</v>
      </c>
      <c r="Z1220" s="6" t="n">
        <v>0.06021793820726459</v>
      </c>
      <c r="AA1220" s="6" t="n">
        <v>0.3845102625469847</v>
      </c>
      <c r="AB1220" s="6" t="n">
        <v>1.16489685926482</v>
      </c>
      <c r="AC1220" s="6" t="n">
        <v>0.5512475365456667</v>
      </c>
      <c r="AD1220" s="6" t="n">
        <v>-0.2632459360951435</v>
      </c>
      <c r="AE1220" s="6" t="n">
        <v>0.09896134163196384</v>
      </c>
      <c r="AF1220" s="6" t="n">
        <v>3.441163806349917</v>
      </c>
      <c r="AG1220" s="6" t="n">
        <v>0.6323345112447408</v>
      </c>
      <c r="AH1220" s="6" t="n">
        <v>2.274738789774377</v>
      </c>
      <c r="AI1220" s="6" t="n">
        <v>2.756310861116543</v>
      </c>
      <c r="AJ1220" s="6" t="n">
        <v>76.41996381908402</v>
      </c>
      <c r="AK1220" s="6" t="n">
        <v>0.1263159534337356</v>
      </c>
      <c r="AL1220" s="6" t="n">
        <v>1.002693122227035</v>
      </c>
      <c r="AN1220" s="6" t="n">
        <v>1.357995864765836</v>
      </c>
      <c r="AO1220" s="6" t="n">
        <v>1.357995864765836</v>
      </c>
      <c r="AP1220" s="6" t="n">
        <v>0.1385640212625963</v>
      </c>
      <c r="AQ1220" s="6" t="n">
        <v>0</v>
      </c>
      <c r="AR1220" s="6" t="n">
        <v>0</v>
      </c>
    </row>
    <row r="1221">
      <c r="D1221" t="inlineStr">
        <is>
          <t>Run 909</t>
        </is>
      </c>
      <c r="J1221" s="6" t="n">
        <v>-0.6106789145972875</v>
      </c>
      <c r="K1221" s="6" t="n">
        <v>1.411689917455844</v>
      </c>
      <c r="L1221" s="6" t="n">
        <v>2.937280433315594</v>
      </c>
      <c r="M1221" s="6" t="n">
        <v>-0.9165168662414697</v>
      </c>
      <c r="N1221" s="6" t="n">
        <v>4.598936811553414</v>
      </c>
      <c r="O1221" s="6" t="n">
        <v>1.783929713994778</v>
      </c>
      <c r="P1221" s="6" t="n">
        <v>-0.04054861652049113</v>
      </c>
      <c r="Q1221" s="6" t="n">
        <v>2.342423379288698</v>
      </c>
      <c r="R1221" s="6" t="n">
        <v>-0.9162162412019952</v>
      </c>
      <c r="S1221" s="6" t="n">
        <v>-0.8128211370521878</v>
      </c>
      <c r="T1221" s="6" t="n">
        <v>-0.01628333792359839</v>
      </c>
      <c r="U1221" s="6" t="n">
        <v>0.2547112778022516</v>
      </c>
      <c r="V1221" s="6" t="n">
        <v>-0.6797310721447003</v>
      </c>
      <c r="W1221" s="6" t="n">
        <v>2.112682662034076</v>
      </c>
      <c r="X1221" s="6" t="n">
        <v>-0.5481397265285016</v>
      </c>
      <c r="Y1221" s="6" t="n">
        <v>1.122929897678781</v>
      </c>
      <c r="Z1221" s="6" t="n">
        <v>-1.153716777690622</v>
      </c>
      <c r="AA1221" s="6" t="n">
        <v>0.3547482065035819</v>
      </c>
      <c r="AB1221" s="6" t="n">
        <v>-0.6475605653101308</v>
      </c>
      <c r="AC1221" s="6" t="n">
        <v>2.758405196682217</v>
      </c>
      <c r="AD1221" s="6" t="n">
        <v>-1.051610713277612</v>
      </c>
      <c r="AE1221" s="6" t="n">
        <v>-0.04314691378218152</v>
      </c>
      <c r="AF1221" s="6" t="n">
        <v>1.232384965833092</v>
      </c>
      <c r="AG1221" s="6" t="n">
        <v>-0.4594368031703819</v>
      </c>
      <c r="AH1221" s="6" t="n">
        <v>-0.1633965231492369</v>
      </c>
      <c r="AI1221" s="6" t="n">
        <v>-6.164013281733291</v>
      </c>
      <c r="AJ1221" s="6" t="n">
        <v>76.84806345507505</v>
      </c>
      <c r="AK1221" s="6" t="n">
        <v>0.05458898773323402</v>
      </c>
      <c r="AL1221" s="6" t="n">
        <v>1.019984414620572</v>
      </c>
      <c r="AN1221" s="6" t="n">
        <v>1.35642367181831</v>
      </c>
      <c r="AO1221" s="6" t="n">
        <v>1.35642367181831</v>
      </c>
      <c r="AP1221" s="6" t="n">
        <v>0.1378623843818298</v>
      </c>
      <c r="AQ1221" s="6" t="n">
        <v>0</v>
      </c>
      <c r="AR1221" s="6" t="n">
        <v>0</v>
      </c>
    </row>
    <row r="1222">
      <c r="D1222" t="inlineStr">
        <is>
          <t>Run 910</t>
        </is>
      </c>
      <c r="J1222" s="6" t="n">
        <v>2.2860097550956</v>
      </c>
      <c r="K1222" s="6" t="n">
        <v>-0.9450278019762719</v>
      </c>
      <c r="L1222" s="6" t="n">
        <v>1.899295930193465</v>
      </c>
      <c r="M1222" s="6" t="n">
        <v>-2.929579604608609</v>
      </c>
      <c r="N1222" s="6" t="n">
        <v>1.679372140664708</v>
      </c>
      <c r="O1222" s="6" t="n">
        <v>2.103005394965889</v>
      </c>
      <c r="P1222" s="6" t="n">
        <v>2.137469312934254</v>
      </c>
      <c r="Q1222" s="6" t="n">
        <v>-3.778962298465775</v>
      </c>
      <c r="R1222" s="6" t="n">
        <v>-0.6502548286020398</v>
      </c>
      <c r="S1222" s="6" t="n">
        <v>4.211908793885163</v>
      </c>
      <c r="T1222" s="6" t="n">
        <v>-0.4102987646582441</v>
      </c>
      <c r="U1222" s="6" t="n">
        <v>-1.352303492495325</v>
      </c>
      <c r="V1222" s="6" t="n">
        <v>1.21624384346997</v>
      </c>
      <c r="W1222" s="6" t="n">
        <v>0.6925701848102626</v>
      </c>
      <c r="X1222" s="6" t="n">
        <v>2.185053392261294</v>
      </c>
      <c r="Y1222" s="6" t="n">
        <v>0.01449753968586801</v>
      </c>
      <c r="Z1222" s="6" t="n">
        <v>0.1762445116786543</v>
      </c>
      <c r="AA1222" s="6" t="n">
        <v>-4.547250848759977</v>
      </c>
      <c r="AB1222" s="6" t="n">
        <v>3.578406657755538</v>
      </c>
      <c r="AC1222" s="6" t="n">
        <v>0.5149517941522936</v>
      </c>
      <c r="AD1222" s="6" t="n">
        <v>0.5597322362822192</v>
      </c>
      <c r="AE1222" s="6" t="n">
        <v>-1.155470863465611</v>
      </c>
      <c r="AF1222" s="6" t="n">
        <v>2.112878192011155</v>
      </c>
      <c r="AG1222" s="6" t="n">
        <v>2.28051803279832</v>
      </c>
      <c r="AH1222" s="6" t="n">
        <v>0.3204344983838347</v>
      </c>
      <c r="AI1222" s="6" t="n">
        <v>2.931139161774849</v>
      </c>
      <c r="AJ1222" s="6" t="n">
        <v>71.54765952728026</v>
      </c>
      <c r="AK1222" s="6" t="n">
        <v>0.1120055009606377</v>
      </c>
      <c r="AL1222" s="6" t="n">
        <v>0.993356761516492</v>
      </c>
      <c r="AN1222" s="6" t="n">
        <v>1.338540870007369</v>
      </c>
      <c r="AO1222" s="6" t="n">
        <v>1.350834385226173</v>
      </c>
      <c r="AP1222" s="6" t="n">
        <v>0.1393016553637528</v>
      </c>
      <c r="AQ1222" s="6" t="n">
        <v>0</v>
      </c>
      <c r="AR1222" s="6" t="n">
        <v>0</v>
      </c>
    </row>
    <row r="1223">
      <c r="D1223" t="inlineStr">
        <is>
          <t>Run 911</t>
        </is>
      </c>
      <c r="J1223" s="6" t="n">
        <v>0.300500547199706</v>
      </c>
      <c r="K1223" s="6" t="n">
        <v>-2.036515587238724</v>
      </c>
      <c r="L1223" s="6" t="n">
        <v>2.248914322734041</v>
      </c>
      <c r="M1223" s="6" t="n">
        <v>0.3152325166739317</v>
      </c>
      <c r="N1223" s="6" t="n">
        <v>-0.1013096915757336</v>
      </c>
      <c r="O1223" s="6" t="n">
        <v>-0.827746720282608</v>
      </c>
      <c r="P1223" s="6" t="n">
        <v>-0.6973053013300502</v>
      </c>
      <c r="Q1223" s="6" t="n">
        <v>1.254587758154116</v>
      </c>
      <c r="R1223" s="6" t="n">
        <v>-0.4060866973992687</v>
      </c>
      <c r="S1223" s="6" t="n">
        <v>1.218977849745843</v>
      </c>
      <c r="T1223" s="6" t="n">
        <v>-1.777612890309997</v>
      </c>
      <c r="U1223" s="6" t="n">
        <v>-0.1514422115355759</v>
      </c>
      <c r="V1223" s="6" t="n">
        <v>0.4312193217424253</v>
      </c>
      <c r="W1223" s="6" t="n">
        <v>0.4841912638502477</v>
      </c>
      <c r="X1223" s="6" t="n">
        <v>-0.3723236591984233</v>
      </c>
      <c r="Y1223" s="6" t="n">
        <v>-3.539358223409705</v>
      </c>
      <c r="Z1223" s="6" t="n">
        <v>-0.6796703288228985</v>
      </c>
      <c r="AA1223" s="6" t="n">
        <v>-2.781763633116657</v>
      </c>
      <c r="AB1223" s="6" t="n">
        <v>-1.137881835580465</v>
      </c>
      <c r="AC1223" s="6" t="n">
        <v>2.596913907873706</v>
      </c>
      <c r="AD1223" s="6" t="n">
        <v>0.6920293810754632</v>
      </c>
      <c r="AE1223" s="6" t="n">
        <v>1.938120588114165</v>
      </c>
      <c r="AF1223" s="6" t="n">
        <v>0.2446022977911529</v>
      </c>
      <c r="AG1223" s="6" t="n">
        <v>3.739060035419266</v>
      </c>
      <c r="AH1223" s="6" t="n">
        <v>-0.5350399661672784</v>
      </c>
      <c r="AI1223" s="6" t="n">
        <v>-0.02943750427315106</v>
      </c>
      <c r="AJ1223" s="6" t="n">
        <v>74.84542400972703</v>
      </c>
      <c r="AK1223" s="6" t="n">
        <v>0.1235132690570686</v>
      </c>
      <c r="AL1223" s="6" t="n">
        <v>1.034434180895947</v>
      </c>
      <c r="AN1223" s="6" t="n">
        <v>1.351398422359122</v>
      </c>
      <c r="AO1223" s="6" t="n">
        <v>1.351398422359122</v>
      </c>
      <c r="AP1223" s="6" t="n">
        <v>0.134130216554657</v>
      </c>
      <c r="AQ1223" s="6" t="n">
        <v>0</v>
      </c>
      <c r="AR1223" s="6" t="n">
        <v>0</v>
      </c>
    </row>
    <row r="1224">
      <c r="D1224" t="inlineStr">
        <is>
          <t>Run 912</t>
        </is>
      </c>
      <c r="J1224" s="6" t="n">
        <v>3.496877379321769</v>
      </c>
      <c r="K1224" s="6" t="n">
        <v>-0.6732758677584387</v>
      </c>
      <c r="L1224" s="6" t="n">
        <v>1.57848107650287</v>
      </c>
      <c r="M1224" s="6" t="n">
        <v>-3.389335304761152</v>
      </c>
      <c r="N1224" s="6" t="n">
        <v>4.922553925234038</v>
      </c>
      <c r="O1224" s="6" t="n">
        <v>-1.063444936153094</v>
      </c>
      <c r="P1224" s="6" t="n">
        <v>-2.094693766467743</v>
      </c>
      <c r="Q1224" s="6" t="n">
        <v>-1.83556660107602</v>
      </c>
      <c r="R1224" s="6" t="n">
        <v>-1.665565852415263</v>
      </c>
      <c r="S1224" s="6" t="n">
        <v>2.804930794777357</v>
      </c>
      <c r="T1224" s="6" t="n">
        <v>-2.135102028856554</v>
      </c>
      <c r="U1224" s="6" t="n">
        <v>2.198741726537354</v>
      </c>
      <c r="V1224" s="6" t="n">
        <v>-1.280196875880822</v>
      </c>
      <c r="W1224" s="6" t="n">
        <v>-0.2317578316425487</v>
      </c>
      <c r="X1224" s="6" t="n">
        <v>2.983450404603808</v>
      </c>
      <c r="Y1224" s="6" t="n">
        <v>-4.915565728054326</v>
      </c>
      <c r="Z1224" s="6" t="n">
        <v>0.5648773721103165</v>
      </c>
      <c r="AA1224" s="6" t="n">
        <v>2.019248206185358</v>
      </c>
      <c r="AB1224" s="6" t="n">
        <v>0.1252011411153818</v>
      </c>
      <c r="AC1224" s="6" t="n">
        <v>4.112664822130044</v>
      </c>
      <c r="AD1224" s="6" t="n">
        <v>2.355196735039016</v>
      </c>
      <c r="AE1224" s="6" t="n">
        <v>-0.09680334200047748</v>
      </c>
      <c r="AF1224" s="6" t="n">
        <v>0.1627490859985197</v>
      </c>
      <c r="AG1224" s="6" t="n">
        <v>3.973715356515715</v>
      </c>
      <c r="AH1224" s="6" t="n">
        <v>-1.793626588279151</v>
      </c>
      <c r="AI1224" s="6" t="n">
        <v>0.3777821005073188</v>
      </c>
      <c r="AJ1224" s="6" t="n">
        <v>77.48862052692431</v>
      </c>
      <c r="AK1224" s="6" t="n">
        <v>0.146858284501215</v>
      </c>
      <c r="AL1224" s="6" t="n">
        <v>1.078648123413814</v>
      </c>
      <c r="AN1224" s="6" t="n">
        <v>1.303775508697748</v>
      </c>
      <c r="AO1224" s="6" t="n">
        <v>1.315597857616517</v>
      </c>
      <c r="AP1224" s="6" t="n">
        <v>0.1292783127644997</v>
      </c>
      <c r="AQ1224" s="6" t="n">
        <v>0</v>
      </c>
      <c r="AR1224" s="6" t="n">
        <v>0</v>
      </c>
    </row>
    <row r="1225">
      <c r="D1225" t="inlineStr">
        <is>
          <t>Run 913</t>
        </is>
      </c>
      <c r="J1225" s="6" t="n">
        <v>-0.3911138497011453</v>
      </c>
      <c r="K1225" s="6" t="n">
        <v>-1.422384252340709</v>
      </c>
      <c r="L1225" s="6" t="n">
        <v>1.982215056021761</v>
      </c>
      <c r="M1225" s="6" t="n">
        <v>0.9624891295617294</v>
      </c>
      <c r="N1225" s="6" t="n">
        <v>-3.392120193868449</v>
      </c>
      <c r="O1225" s="6" t="n">
        <v>1.879316003666326</v>
      </c>
      <c r="P1225" s="6" t="n">
        <v>-0.4235308006682661</v>
      </c>
      <c r="Q1225" s="6" t="n">
        <v>2.831138216855429</v>
      </c>
      <c r="R1225" s="6" t="n">
        <v>1.178020843485024</v>
      </c>
      <c r="S1225" s="6" t="n">
        <v>1.918800566353299</v>
      </c>
      <c r="T1225" s="6" t="n">
        <v>4.610341766960214</v>
      </c>
      <c r="U1225" s="6" t="n">
        <v>2.239611511493044</v>
      </c>
      <c r="V1225" s="6" t="n">
        <v>0.492259420898534</v>
      </c>
      <c r="W1225" s="6" t="n">
        <v>-2.173781009295825</v>
      </c>
      <c r="X1225" s="6" t="n">
        <v>1.947115495878907</v>
      </c>
      <c r="Y1225" s="6" t="n">
        <v>4.312221369036853</v>
      </c>
      <c r="Z1225" s="6" t="n">
        <v>-1.975878062322617</v>
      </c>
      <c r="AA1225" s="6" t="n">
        <v>3.491305982002972</v>
      </c>
      <c r="AB1225" s="6" t="n">
        <v>0.6865875883121475</v>
      </c>
      <c r="AC1225" s="6" t="n">
        <v>-1.869239032583964</v>
      </c>
      <c r="AD1225" s="6" t="n">
        <v>-0.250124608420333</v>
      </c>
      <c r="AE1225" s="6" t="n">
        <v>0.2952511427907437</v>
      </c>
      <c r="AF1225" s="6" t="n">
        <v>0.4977448757930813</v>
      </c>
      <c r="AG1225" s="6" t="n">
        <v>0.5832166900037986</v>
      </c>
      <c r="AH1225" s="6" t="n">
        <v>1.726291699924526</v>
      </c>
      <c r="AI1225" s="6" t="n">
        <v>-0.05041187688687741</v>
      </c>
      <c r="AJ1225" s="6" t="n">
        <v>65.75895654420248</v>
      </c>
      <c r="AK1225" s="6" t="n">
        <v>0.1496380346803772</v>
      </c>
      <c r="AL1225" s="6" t="n">
        <v>1.010786431571982</v>
      </c>
      <c r="AN1225" s="6" t="n">
        <v>1.350935609131072</v>
      </c>
      <c r="AO1225" s="6" t="n">
        <v>1.350935609131072</v>
      </c>
      <c r="AP1225" s="6" t="n">
        <v>0.1357452731792767</v>
      </c>
      <c r="AQ1225" s="6" t="n">
        <v>0</v>
      </c>
      <c r="AR1225" s="6" t="n">
        <v>0</v>
      </c>
    </row>
    <row r="1226">
      <c r="D1226" t="inlineStr">
        <is>
          <t>Run 914</t>
        </is>
      </c>
      <c r="J1226" s="6" t="n">
        <v>3.367987701602674</v>
      </c>
      <c r="K1226" s="6" t="n">
        <v>1.862159142906784</v>
      </c>
      <c r="L1226" s="6" t="n">
        <v>1.069114865472735</v>
      </c>
      <c r="M1226" s="6" t="n">
        <v>0.6341520082101827</v>
      </c>
      <c r="N1226" s="6" t="n">
        <v>-1.615153676306137</v>
      </c>
      <c r="O1226" s="6" t="n">
        <v>-3.283636491639554</v>
      </c>
      <c r="P1226" s="6" t="n">
        <v>1.041079599038349</v>
      </c>
      <c r="Q1226" s="6" t="n">
        <v>-1.423667995168439</v>
      </c>
      <c r="R1226" s="6" t="n">
        <v>0.9075521703060307</v>
      </c>
      <c r="S1226" s="6" t="n">
        <v>1.472568600538454</v>
      </c>
      <c r="T1226" s="6" t="n">
        <v>-1.094620803122459</v>
      </c>
      <c r="U1226" s="6" t="n">
        <v>2.944691114729277</v>
      </c>
      <c r="V1226" s="6" t="n">
        <v>0.1764224086807414</v>
      </c>
      <c r="W1226" s="6" t="n">
        <v>1.438814366927864</v>
      </c>
      <c r="X1226" s="6" t="n">
        <v>0.2727897807540646</v>
      </c>
      <c r="Y1226" s="6" t="n">
        <v>-0.196966656432813</v>
      </c>
      <c r="Z1226" s="6" t="n">
        <v>0.432243225167954</v>
      </c>
      <c r="AA1226" s="6" t="n">
        <v>-0.5279298514821711</v>
      </c>
      <c r="AB1226" s="6" t="n">
        <v>2.433832917697449</v>
      </c>
      <c r="AC1226" s="6" t="n">
        <v>0.7568125624170293</v>
      </c>
      <c r="AD1226" s="6" t="n">
        <v>-1.466414748963654</v>
      </c>
      <c r="AE1226" s="6" t="n">
        <v>1.468219333475906</v>
      </c>
      <c r="AF1226" s="6" t="n">
        <v>0.04603107575504986</v>
      </c>
      <c r="AG1226" s="6" t="n">
        <v>-1.981976002364543</v>
      </c>
      <c r="AH1226" s="6" t="n">
        <v>1.425538463931332</v>
      </c>
      <c r="AI1226" s="6" t="n">
        <v>-2.308379591503135</v>
      </c>
      <c r="AJ1226" s="6" t="n">
        <v>62.24637444525659</v>
      </c>
      <c r="AK1226" s="6" t="n">
        <v>0.1477292121043497</v>
      </c>
      <c r="AL1226" s="6" t="n">
        <v>1.034423187888057</v>
      </c>
      <c r="AN1226" s="6" t="n">
        <v>1.343488897518464</v>
      </c>
      <c r="AO1226" s="6" t="n">
        <v>1.343527445896646</v>
      </c>
      <c r="AP1226" s="6" t="n">
        <v>0.1323239799729278</v>
      </c>
      <c r="AQ1226" s="6" t="n">
        <v>0</v>
      </c>
      <c r="AR1226" s="6" t="n">
        <v>0</v>
      </c>
    </row>
    <row r="1227">
      <c r="D1227" t="inlineStr">
        <is>
          <t>Run 915</t>
        </is>
      </c>
      <c r="J1227" s="6" t="n">
        <v>0.6425034597677798</v>
      </c>
      <c r="K1227" s="6" t="n">
        <v>3.514073903638764</v>
      </c>
      <c r="L1227" s="6" t="n">
        <v>1.604755478065437</v>
      </c>
      <c r="M1227" s="6" t="n">
        <v>2.473349534867461</v>
      </c>
      <c r="N1227" s="6" t="n">
        <v>0.3426970131069924</v>
      </c>
      <c r="O1227" s="6" t="n">
        <v>1.78783818661782</v>
      </c>
      <c r="P1227" s="6" t="n">
        <v>1.983522734988305</v>
      </c>
      <c r="Q1227" s="6" t="n">
        <v>1.979134710961254</v>
      </c>
      <c r="R1227" s="6" t="n">
        <v>0.0207416731869772</v>
      </c>
      <c r="S1227" s="6" t="n">
        <v>1.587933040630703</v>
      </c>
      <c r="T1227" s="6" t="n">
        <v>1.47316213003434</v>
      </c>
      <c r="U1227" s="6" t="n">
        <v>-0.559703366889715</v>
      </c>
      <c r="V1227" s="6" t="n">
        <v>-2.141720276465764</v>
      </c>
      <c r="W1227" s="6" t="n">
        <v>2.225083274297042</v>
      </c>
      <c r="X1227" s="6" t="n">
        <v>1.927299350662044</v>
      </c>
      <c r="Y1227" s="6" t="n">
        <v>3.075926066959272</v>
      </c>
      <c r="Z1227" s="6" t="n">
        <v>0.5825906263934716</v>
      </c>
      <c r="AA1227" s="6" t="n">
        <v>2.089440254527962</v>
      </c>
      <c r="AB1227" s="6" t="n">
        <v>-1.613312448929658</v>
      </c>
      <c r="AC1227" s="6" t="n">
        <v>-0.6574297094131496</v>
      </c>
      <c r="AD1227" s="6" t="n">
        <v>-0.2624214451472674</v>
      </c>
      <c r="AE1227" s="6" t="n">
        <v>-2.495953696028264</v>
      </c>
      <c r="AF1227" s="6" t="n">
        <v>-0.1775641875221577</v>
      </c>
      <c r="AG1227" s="6" t="n">
        <v>3.202105173062366</v>
      </c>
      <c r="AH1227" s="6" t="n">
        <v>-1.374713103207581</v>
      </c>
      <c r="AI1227" s="6" t="n">
        <v>-1.271357383963543</v>
      </c>
      <c r="AJ1227" s="6" t="n">
        <v>79.80881698282968</v>
      </c>
      <c r="AK1227" s="6" t="n">
        <v>0.1260982122257431</v>
      </c>
      <c r="AL1227" s="6" t="n">
        <v>1.057118735849162</v>
      </c>
      <c r="AN1227" s="6" t="n">
        <v>1.345496366677341</v>
      </c>
      <c r="AO1227" s="6" t="n">
        <v>1.345627739823115</v>
      </c>
      <c r="AP1227" s="6" t="n">
        <v>0.1321794214336144</v>
      </c>
      <c r="AQ1227" s="6" t="n">
        <v>0</v>
      </c>
      <c r="AR1227" s="6" t="n">
        <v>0</v>
      </c>
    </row>
    <row r="1228">
      <c r="D1228" t="inlineStr">
        <is>
          <t>Run 916</t>
        </is>
      </c>
      <c r="J1228" s="6" t="n">
        <v>-1.270494524927289</v>
      </c>
      <c r="K1228" s="6" t="n">
        <v>-1.128220619936404</v>
      </c>
      <c r="L1228" s="6" t="n">
        <v>0.1907128424143574</v>
      </c>
      <c r="M1228" s="6" t="n">
        <v>-1.419492238953593</v>
      </c>
      <c r="N1228" s="6" t="n">
        <v>-0.07268722862973244</v>
      </c>
      <c r="O1228" s="6" t="n">
        <v>-1.07323706571703</v>
      </c>
      <c r="P1228" s="6" t="n">
        <v>-0.2028091680088691</v>
      </c>
      <c r="Q1228" s="6" t="n">
        <v>-6.016345002907393</v>
      </c>
      <c r="R1228" s="6" t="n">
        <v>0.2390778177324546</v>
      </c>
      <c r="S1228" s="6" t="n">
        <v>0.08202796284578201</v>
      </c>
      <c r="T1228" s="6" t="n">
        <v>-1.450357845298129</v>
      </c>
      <c r="U1228" s="6" t="n">
        <v>0.4859096590027042</v>
      </c>
      <c r="V1228" s="6" t="n">
        <v>3.033250244484859</v>
      </c>
      <c r="W1228" s="6" t="n">
        <v>-1.286575889176591</v>
      </c>
      <c r="X1228" s="6" t="n">
        <v>2.239878352199573</v>
      </c>
      <c r="Y1228" s="6" t="n">
        <v>2.689501156078632</v>
      </c>
      <c r="Z1228" s="6" t="n">
        <v>0.3277061219496012</v>
      </c>
      <c r="AA1228" s="6" t="n">
        <v>-1.872240026532094</v>
      </c>
      <c r="AB1228" s="6" t="n">
        <v>-0.3036146637655007</v>
      </c>
      <c r="AC1228" s="6" t="n">
        <v>2.267885240919986</v>
      </c>
      <c r="AD1228" s="6" t="n">
        <v>-3.675487265350331</v>
      </c>
      <c r="AE1228" s="6" t="n">
        <v>1.120817185545949</v>
      </c>
      <c r="AF1228" s="6" t="n">
        <v>-0.2375110038047663</v>
      </c>
      <c r="AG1228" s="6" t="n">
        <v>-3.58029614907874</v>
      </c>
      <c r="AH1228" s="6" t="n">
        <v>-0.4410220928148469</v>
      </c>
      <c r="AI1228" s="6" t="n">
        <v>1.100600819163015</v>
      </c>
      <c r="AJ1228" s="6" t="n">
        <v>74.85670389802733</v>
      </c>
      <c r="AK1228" s="6" t="n">
        <v>0.13949196874705</v>
      </c>
      <c r="AL1228" s="6" t="n">
        <v>1.07803846966146</v>
      </c>
      <c r="AN1228" s="6" t="n">
        <v>1.320996953682958</v>
      </c>
      <c r="AO1228" s="6" t="n">
        <v>1.334526976557431</v>
      </c>
      <c r="AP1228" s="6" t="n">
        <v>0.1294277214046649</v>
      </c>
      <c r="AQ1228" s="6" t="n">
        <v>0</v>
      </c>
      <c r="AR1228" s="6" t="n">
        <v>0</v>
      </c>
    </row>
    <row r="1229">
      <c r="D1229" t="inlineStr">
        <is>
          <t>Run 917</t>
        </is>
      </c>
      <c r="J1229" s="6" t="n">
        <v>1.85673721133598</v>
      </c>
      <c r="K1229" s="6" t="n">
        <v>-0.2564290801532877</v>
      </c>
      <c r="L1229" s="6" t="n">
        <v>-1.466925526814377</v>
      </c>
      <c r="M1229" s="6" t="n">
        <v>0.4144710278909732</v>
      </c>
      <c r="N1229" s="6" t="n">
        <v>2.45328179327144</v>
      </c>
      <c r="O1229" s="6" t="n">
        <v>1.388208407546356</v>
      </c>
      <c r="P1229" s="6" t="n">
        <v>3.292108930903794</v>
      </c>
      <c r="Q1229" s="6" t="n">
        <v>2.677544714612662</v>
      </c>
      <c r="R1229" s="6" t="n">
        <v>-0.6062954436853472</v>
      </c>
      <c r="S1229" s="6" t="n">
        <v>0.1688225772096681</v>
      </c>
      <c r="T1229" s="6" t="n">
        <v>-0.8777316864902447</v>
      </c>
      <c r="U1229" s="6" t="n">
        <v>3.90616737852143</v>
      </c>
      <c r="V1229" s="6" t="n">
        <v>-0.8372805296135971</v>
      </c>
      <c r="W1229" s="6" t="n">
        <v>3.179141561012719</v>
      </c>
      <c r="X1229" s="6" t="n">
        <v>0.6058962132530086</v>
      </c>
      <c r="Y1229" s="6" t="n">
        <v>-2.907454446237814</v>
      </c>
      <c r="Z1229" s="6" t="n">
        <v>-2.926939008113176</v>
      </c>
      <c r="AA1229" s="6" t="n">
        <v>-1.512872886400269</v>
      </c>
      <c r="AB1229" s="6" t="n">
        <v>3.122987815742488</v>
      </c>
      <c r="AC1229" s="6" t="n">
        <v>0.7402730090945128</v>
      </c>
      <c r="AD1229" s="6" t="n">
        <v>0.066079694492175</v>
      </c>
      <c r="AE1229" s="6" t="n">
        <v>-1.001775883373138</v>
      </c>
      <c r="AF1229" s="6" t="n">
        <v>-3.505530829257737</v>
      </c>
      <c r="AG1229" s="6" t="n">
        <v>0.3929092907947981</v>
      </c>
      <c r="AH1229" s="6" t="n">
        <v>0.1627879853385155</v>
      </c>
      <c r="AI1229" s="6" t="n">
        <v>0.3980840504952678</v>
      </c>
      <c r="AJ1229" s="6" t="n">
        <v>76.21141983522116</v>
      </c>
      <c r="AK1229" s="6" t="n">
        <v>0.03994347756513691</v>
      </c>
      <c r="AL1229" s="6" t="n">
        <v>1.029092179378587</v>
      </c>
      <c r="AN1229" s="6" t="n">
        <v>1.3535112418848</v>
      </c>
      <c r="AO1229" s="6" t="n">
        <v>1.3535112418848</v>
      </c>
      <c r="AP1229" s="6" t="n">
        <v>0.1368258155503027</v>
      </c>
      <c r="AQ1229" s="6" t="n">
        <v>0</v>
      </c>
      <c r="AR1229" s="6" t="n">
        <v>0</v>
      </c>
    </row>
    <row r="1230">
      <c r="D1230" t="inlineStr">
        <is>
          <t>Run 918</t>
        </is>
      </c>
      <c r="J1230" s="6" t="n">
        <v>3.340618979490763</v>
      </c>
      <c r="K1230" s="6" t="n">
        <v>2.986587392282622</v>
      </c>
      <c r="L1230" s="6" t="n">
        <v>-0.4670325319970881</v>
      </c>
      <c r="M1230" s="6" t="n">
        <v>0.8712462740815835</v>
      </c>
      <c r="N1230" s="6" t="n">
        <v>-0.4822047197616612</v>
      </c>
      <c r="O1230" s="6" t="n">
        <v>-1.022801391275175</v>
      </c>
      <c r="P1230" s="6" t="n">
        <v>-2.797677452371529</v>
      </c>
      <c r="Q1230" s="6" t="n">
        <v>-4.137210093294539</v>
      </c>
      <c r="R1230" s="6" t="n">
        <v>-2.724321854165492</v>
      </c>
      <c r="S1230" s="6" t="n">
        <v>-1.595236188802859</v>
      </c>
      <c r="T1230" s="6" t="n">
        <v>-1.936860475791192</v>
      </c>
      <c r="U1230" s="6" t="n">
        <v>-0.1491758210214744</v>
      </c>
      <c r="V1230" s="6" t="n">
        <v>5</v>
      </c>
      <c r="W1230" s="6" t="n">
        <v>-1.629710559620277</v>
      </c>
      <c r="X1230" s="6" t="n">
        <v>1.693540622065313</v>
      </c>
      <c r="Y1230" s="6" t="n">
        <v>1.427960879578754</v>
      </c>
      <c r="Z1230" s="6" t="n">
        <v>2.955240456561023</v>
      </c>
      <c r="AA1230" s="6" t="n">
        <v>-1.041678805673925</v>
      </c>
      <c r="AB1230" s="6" t="n">
        <v>-1.423515777009611</v>
      </c>
      <c r="AC1230" s="6" t="n">
        <v>4.542613632659436</v>
      </c>
      <c r="AD1230" s="6" t="n">
        <v>1.01492467843298</v>
      </c>
      <c r="AE1230" s="6" t="n">
        <v>-1.676440664559602</v>
      </c>
      <c r="AF1230" s="6" t="n">
        <v>4.460337389584487</v>
      </c>
      <c r="AG1230" s="6" t="n">
        <v>-1.965786090545946</v>
      </c>
      <c r="AH1230" s="6" t="n">
        <v>-1.547963107868982</v>
      </c>
      <c r="AI1230" s="6" t="n">
        <v>-3.834079366919194</v>
      </c>
      <c r="AJ1230" s="6" t="n">
        <v>64.56410598941551</v>
      </c>
      <c r="AK1230" s="6" t="n">
        <v>0.1243041809948994</v>
      </c>
      <c r="AL1230" s="6" t="n">
        <v>1.006913376530731</v>
      </c>
      <c r="AN1230" s="6" t="n">
        <v>1.351686395834357</v>
      </c>
      <c r="AO1230" s="6" t="n">
        <v>1.351686395834357</v>
      </c>
      <c r="AP1230" s="6" t="n">
        <v>0.136084640121374</v>
      </c>
      <c r="AQ1230" s="6" t="n">
        <v>0</v>
      </c>
      <c r="AR1230" s="6" t="n">
        <v>0</v>
      </c>
    </row>
    <row r="1231">
      <c r="D1231" t="inlineStr">
        <is>
          <t>Run 919</t>
        </is>
      </c>
      <c r="J1231" s="6" t="n">
        <v>1.525990839744945</v>
      </c>
      <c r="K1231" s="6" t="n">
        <v>-1.085441687813493</v>
      </c>
      <c r="L1231" s="6" t="n">
        <v>-1.087338063548021</v>
      </c>
      <c r="M1231" s="6" t="n">
        <v>-0.5192690683062081</v>
      </c>
      <c r="N1231" s="6" t="n">
        <v>-0.7015770989803854</v>
      </c>
      <c r="O1231" s="6" t="n">
        <v>-1.434089176989186</v>
      </c>
      <c r="P1231" s="6" t="n">
        <v>2.006726815053741</v>
      </c>
      <c r="Q1231" s="6" t="n">
        <v>-2.450000075580672</v>
      </c>
      <c r="R1231" s="6" t="n">
        <v>-3.390553508299887</v>
      </c>
      <c r="S1231" s="6" t="n">
        <v>1.980911705110914</v>
      </c>
      <c r="T1231" s="6" t="n">
        <v>1.254777970763874</v>
      </c>
      <c r="U1231" s="6" t="n">
        <v>3.109879004571446</v>
      </c>
      <c r="V1231" s="6" t="n">
        <v>-0.8060918298557859</v>
      </c>
      <c r="W1231" s="6" t="n">
        <v>-0.2013486048961161</v>
      </c>
      <c r="X1231" s="6" t="n">
        <v>-0.814610096321351</v>
      </c>
      <c r="Y1231" s="6" t="n">
        <v>-0.6028459366518333</v>
      </c>
      <c r="Z1231" s="6" t="n">
        <v>2.858801595912529</v>
      </c>
      <c r="AA1231" s="6" t="n">
        <v>-1.924167720929304</v>
      </c>
      <c r="AB1231" s="6" t="n">
        <v>0.7641847206505771</v>
      </c>
      <c r="AC1231" s="6" t="n">
        <v>-0.01770730835607654</v>
      </c>
      <c r="AD1231" s="6" t="n">
        <v>-3.454836589487454</v>
      </c>
      <c r="AE1231" s="6" t="n">
        <v>3.731787567091016</v>
      </c>
      <c r="AF1231" s="6" t="n">
        <v>-1.320130491885704</v>
      </c>
      <c r="AG1231" s="6" t="n">
        <v>0.5234241109271921</v>
      </c>
      <c r="AH1231" s="6" t="n">
        <v>1.814885736073435</v>
      </c>
      <c r="AI1231" s="6" t="n">
        <v>0.1540309005608717</v>
      </c>
      <c r="AJ1231" s="6" t="n">
        <v>80.11988071712724</v>
      </c>
      <c r="AK1231" s="6" t="n">
        <v>0.1597152599036452</v>
      </c>
      <c r="AL1231" s="6" t="n">
        <v>1.057142036043891</v>
      </c>
      <c r="AN1231" s="6" t="n">
        <v>1.343878330495279</v>
      </c>
      <c r="AO1231" s="6" t="n">
        <v>1.345132780079762</v>
      </c>
      <c r="AP1231" s="6" t="n">
        <v>0.1310824564031427</v>
      </c>
      <c r="AQ1231" s="6" t="n">
        <v>0</v>
      </c>
      <c r="AR1231" s="6" t="n">
        <v>0</v>
      </c>
    </row>
    <row r="1232">
      <c r="D1232" t="inlineStr">
        <is>
          <t>Run 920</t>
        </is>
      </c>
      <c r="J1232" s="6" t="n">
        <v>2.676301694646242</v>
      </c>
      <c r="K1232" s="6" t="n">
        <v>0.1863601054991156</v>
      </c>
      <c r="L1232" s="6" t="n">
        <v>-2.078653837870686</v>
      </c>
      <c r="M1232" s="6" t="n">
        <v>3.625233439306891</v>
      </c>
      <c r="N1232" s="6" t="n">
        <v>-0.9394150035366009</v>
      </c>
      <c r="O1232" s="6" t="n">
        <v>-1.202722412372309</v>
      </c>
      <c r="P1232" s="6" t="n">
        <v>-0.6575173689275343</v>
      </c>
      <c r="Q1232" s="6" t="n">
        <v>3.35846274807973</v>
      </c>
      <c r="R1232" s="6" t="n">
        <v>0.1812550222705932</v>
      </c>
      <c r="S1232" s="6" t="n">
        <v>-0.5241178279729093</v>
      </c>
      <c r="T1232" s="6" t="n">
        <v>-0.8327647202474194</v>
      </c>
      <c r="U1232" s="6" t="n">
        <v>1.00823379937947</v>
      </c>
      <c r="V1232" s="6" t="n">
        <v>2.943980122454813</v>
      </c>
      <c r="W1232" s="6" t="n">
        <v>-0.1673810309579691</v>
      </c>
      <c r="X1232" s="6" t="n">
        <v>2.139395946982694</v>
      </c>
      <c r="Y1232" s="6" t="n">
        <v>0.1223630413324526</v>
      </c>
      <c r="Z1232" s="6" t="n">
        <v>-2.28455348723501</v>
      </c>
      <c r="AA1232" s="6" t="n">
        <v>1.846366394447006</v>
      </c>
      <c r="AB1232" s="6" t="n">
        <v>1.222964127025399</v>
      </c>
      <c r="AC1232" s="6" t="n">
        <v>-0.4453817472695402</v>
      </c>
      <c r="AD1232" s="6" t="n">
        <v>-1.343512640513184</v>
      </c>
      <c r="AE1232" s="6" t="n">
        <v>1.477195814580567</v>
      </c>
      <c r="AF1232" s="6" t="n">
        <v>-1.306259039572633</v>
      </c>
      <c r="AG1232" s="6" t="n">
        <v>0.3686986558695823</v>
      </c>
      <c r="AH1232" s="6" t="n">
        <v>-3.382562337455489</v>
      </c>
      <c r="AI1232" s="6" t="n">
        <v>-0.6604309006651201</v>
      </c>
      <c r="AJ1232" s="6" t="n">
        <v>73.7335558967505</v>
      </c>
      <c r="AK1232" s="6" t="n">
        <v>0.1320309326585884</v>
      </c>
      <c r="AL1232" s="6" t="n">
        <v>1.057503684507131</v>
      </c>
      <c r="AN1232" s="6" t="n">
        <v>1.341111427282306</v>
      </c>
      <c r="AO1232" s="6" t="n">
        <v>1.342026328907794</v>
      </c>
      <c r="AP1232" s="6" t="n">
        <v>0.1317368604899943</v>
      </c>
      <c r="AQ1232" s="6" t="n">
        <v>0</v>
      </c>
      <c r="AR1232" s="6" t="n">
        <v>0</v>
      </c>
    </row>
    <row r="1233">
      <c r="D1233" t="inlineStr">
        <is>
          <t>Run 921</t>
        </is>
      </c>
      <c r="J1233" s="6" t="n">
        <v>0.7817278161264908</v>
      </c>
      <c r="K1233" s="6" t="n">
        <v>2.13985052917297</v>
      </c>
      <c r="L1233" s="6" t="n">
        <v>-1.063596628342357</v>
      </c>
      <c r="M1233" s="6" t="n">
        <v>-4.00646862605302</v>
      </c>
      <c r="N1233" s="6" t="n">
        <v>4.769434804824834</v>
      </c>
      <c r="O1233" s="6" t="n">
        <v>3.319551426724092</v>
      </c>
      <c r="P1233" s="6" t="n">
        <v>2.292828696935696</v>
      </c>
      <c r="Q1233" s="6" t="n">
        <v>0.1590986927871902</v>
      </c>
      <c r="R1233" s="6" t="n">
        <v>-0.9796845642832135</v>
      </c>
      <c r="S1233" s="6" t="n">
        <v>2.152195099506765</v>
      </c>
      <c r="T1233" s="6" t="n">
        <v>-2.306074720288862</v>
      </c>
      <c r="U1233" s="6" t="n">
        <v>-1.987270341698572</v>
      </c>
      <c r="V1233" s="6" t="n">
        <v>-2.790727595675405</v>
      </c>
      <c r="W1233" s="6" t="n">
        <v>-1.730392299959079</v>
      </c>
      <c r="X1233" s="6" t="n">
        <v>-1.972378928615418</v>
      </c>
      <c r="Y1233" s="6" t="n">
        <v>-1.679679491520149</v>
      </c>
      <c r="Z1233" s="6" t="n">
        <v>-3.436302274008582</v>
      </c>
      <c r="AA1233" s="6" t="n">
        <v>2.193352475176722</v>
      </c>
      <c r="AB1233" s="6" t="n">
        <v>-4.745708884953574</v>
      </c>
      <c r="AC1233" s="6" t="n">
        <v>0.8019103201611881</v>
      </c>
      <c r="AD1233" s="6" t="n">
        <v>-0.09295525625987766</v>
      </c>
      <c r="AE1233" s="6" t="n">
        <v>0.5182425638832819</v>
      </c>
      <c r="AF1233" s="6" t="n">
        <v>-0.2263431444659477</v>
      </c>
      <c r="AG1233" s="6" t="n">
        <v>-0.5688449486353089</v>
      </c>
      <c r="AH1233" s="6" t="n">
        <v>1.730005331213911</v>
      </c>
      <c r="AI1233" s="6" t="n">
        <v>3.393785302275206</v>
      </c>
      <c r="AJ1233" s="6" t="n">
        <v>61.32371360588605</v>
      </c>
      <c r="AK1233" s="6" t="n">
        <v>0.08671098117234212</v>
      </c>
      <c r="AL1233" s="6" t="n">
        <v>1.052522537554427</v>
      </c>
      <c r="AN1233" s="6" t="n">
        <v>1.299672608539063</v>
      </c>
      <c r="AO1233" s="6" t="n">
        <v>1.315444466694744</v>
      </c>
      <c r="AP1233" s="6" t="n">
        <v>0.1315972146036371</v>
      </c>
      <c r="AQ1233" s="6" t="n">
        <v>0</v>
      </c>
      <c r="AR1233" s="6" t="n">
        <v>0</v>
      </c>
    </row>
    <row r="1234">
      <c r="D1234" t="inlineStr">
        <is>
          <t>Run 922</t>
        </is>
      </c>
      <c r="J1234" s="6" t="n">
        <v>-0.06151754124992803</v>
      </c>
      <c r="K1234" s="6" t="n">
        <v>0.159270874577198</v>
      </c>
      <c r="L1234" s="6" t="n">
        <v>-1.315682771747551</v>
      </c>
      <c r="M1234" s="6" t="n">
        <v>-0.06534220600403991</v>
      </c>
      <c r="N1234" s="6" t="n">
        <v>-3.107375035165957</v>
      </c>
      <c r="O1234" s="6" t="n">
        <v>2.430561823321727</v>
      </c>
      <c r="P1234" s="6" t="n">
        <v>-0.9590644134873121</v>
      </c>
      <c r="Q1234" s="6" t="n">
        <v>0.2378805371682785</v>
      </c>
      <c r="R1234" s="6" t="n">
        <v>0.894018187032151</v>
      </c>
      <c r="S1234" s="6" t="n">
        <v>0.120738255684801</v>
      </c>
      <c r="T1234" s="6" t="n">
        <v>2.851388431465466</v>
      </c>
      <c r="U1234" s="6" t="n">
        <v>-0.2514312806095744</v>
      </c>
      <c r="V1234" s="6" t="n">
        <v>2.035423543606015</v>
      </c>
      <c r="W1234" s="6" t="n">
        <v>1.207184853504239</v>
      </c>
      <c r="X1234" s="6" t="n">
        <v>2.993910747956641</v>
      </c>
      <c r="Y1234" s="6" t="n">
        <v>1.255262130476495</v>
      </c>
      <c r="Z1234" s="6" t="n">
        <v>-4.275226220906624</v>
      </c>
      <c r="AA1234" s="6" t="n">
        <v>-2.152616589482221</v>
      </c>
      <c r="AB1234" s="6" t="n">
        <v>-1.870260628590351</v>
      </c>
      <c r="AC1234" s="6" t="n">
        <v>3.395610760275872</v>
      </c>
      <c r="AD1234" s="6" t="n">
        <v>1.251400156841321</v>
      </c>
      <c r="AE1234" s="6" t="n">
        <v>2.122890378809391</v>
      </c>
      <c r="AF1234" s="6" t="n">
        <v>0.005527869838016951</v>
      </c>
      <c r="AG1234" s="6" t="n">
        <v>-1.101312526297045</v>
      </c>
      <c r="AH1234" s="6" t="n">
        <v>0.9259064780560076</v>
      </c>
      <c r="AI1234" s="6" t="n">
        <v>-3.0608430189806</v>
      </c>
      <c r="AJ1234" s="6" t="n">
        <v>77.19329742968809</v>
      </c>
      <c r="AK1234" s="6" t="n">
        <v>0.1497952395639466</v>
      </c>
      <c r="AL1234" s="6" t="n">
        <v>1.03692310642373</v>
      </c>
      <c r="AN1234" s="6" t="n">
        <v>1.351353055006528</v>
      </c>
      <c r="AO1234" s="6" t="n">
        <v>1.351939382673989</v>
      </c>
      <c r="AP1234" s="6" t="n">
        <v>0.1334968922728147</v>
      </c>
      <c r="AQ1234" s="6" t="n">
        <v>0</v>
      </c>
      <c r="AR1234" s="6" t="n">
        <v>0</v>
      </c>
    </row>
    <row r="1235">
      <c r="D1235" t="inlineStr">
        <is>
          <t>Run 923</t>
        </is>
      </c>
      <c r="J1235" s="6" t="n">
        <v>2.366653769942856</v>
      </c>
      <c r="K1235" s="6" t="n">
        <v>-1.406277096185767</v>
      </c>
      <c r="L1235" s="6" t="n">
        <v>-0.9107977238194738</v>
      </c>
      <c r="M1235" s="6" t="n">
        <v>1.027624348679335</v>
      </c>
      <c r="N1235" s="6" t="n">
        <v>5</v>
      </c>
      <c r="O1235" s="6" t="n">
        <v>-1.249109873150988</v>
      </c>
      <c r="P1235" s="6" t="n">
        <v>0.959504304311169</v>
      </c>
      <c r="Q1235" s="6" t="n">
        <v>-0.3352100476325484</v>
      </c>
      <c r="R1235" s="6" t="n">
        <v>0.3542503891057002</v>
      </c>
      <c r="S1235" s="6" t="n">
        <v>-1.182910877384623</v>
      </c>
      <c r="T1235" s="6" t="n">
        <v>-2.747498154151709</v>
      </c>
      <c r="U1235" s="6" t="n">
        <v>1.30754071011798</v>
      </c>
      <c r="V1235" s="6" t="n">
        <v>-3.679441786025329</v>
      </c>
      <c r="W1235" s="6" t="n">
        <v>-0.8728177257954732</v>
      </c>
      <c r="X1235" s="6" t="n">
        <v>4.11780623035814</v>
      </c>
      <c r="Y1235" s="6" t="n">
        <v>1.073402678986278</v>
      </c>
      <c r="Z1235" s="6" t="n">
        <v>0.1629968832521312</v>
      </c>
      <c r="AA1235" s="6" t="n">
        <v>1.011130308210068</v>
      </c>
      <c r="AB1235" s="6" t="n">
        <v>-1.179287039767512</v>
      </c>
      <c r="AC1235" s="6" t="n">
        <v>-0.4249199355429401</v>
      </c>
      <c r="AD1235" s="6" t="n">
        <v>-0.6515212992442468</v>
      </c>
      <c r="AE1235" s="6" t="n">
        <v>2.405281549892587</v>
      </c>
      <c r="AF1235" s="6" t="n">
        <v>1.83283538805431</v>
      </c>
      <c r="AG1235" s="6" t="n">
        <v>-0.2647603038432902</v>
      </c>
      <c r="AH1235" s="6" t="n">
        <v>-1.076100782345915</v>
      </c>
      <c r="AI1235" s="6" t="n">
        <v>-0.02540743346652757</v>
      </c>
      <c r="AJ1235" s="6" t="n">
        <v>59.27415185397291</v>
      </c>
      <c r="AK1235" s="6" t="n">
        <v>0.1135908768329132</v>
      </c>
      <c r="AL1235" s="6" t="n">
        <v>1.02283161674041</v>
      </c>
      <c r="AN1235" s="6" t="n">
        <v>1.344815336319865</v>
      </c>
      <c r="AO1235" s="6" t="n">
        <v>1.344815336319865</v>
      </c>
      <c r="AP1235" s="6" t="n">
        <v>0.1342463647391278</v>
      </c>
      <c r="AQ1235" s="6" t="n">
        <v>0</v>
      </c>
      <c r="AR1235" s="6" t="n">
        <v>0</v>
      </c>
    </row>
    <row r="1236">
      <c r="D1236" t="inlineStr">
        <is>
          <t>Run 924</t>
        </is>
      </c>
      <c r="J1236" s="6" t="n">
        <v>-5.747040948614795</v>
      </c>
      <c r="K1236" s="6" t="n">
        <v>-1.069621197308286</v>
      </c>
      <c r="L1236" s="6" t="n">
        <v>1.094089185123168</v>
      </c>
      <c r="M1236" s="6" t="n">
        <v>-0.8638543819621493</v>
      </c>
      <c r="N1236" s="6" t="n">
        <v>1.94725834520236</v>
      </c>
      <c r="O1236" s="6" t="n">
        <v>0.5744147921534557</v>
      </c>
      <c r="P1236" s="6" t="n">
        <v>0.1562482131360207</v>
      </c>
      <c r="Q1236" s="6" t="n">
        <v>0.5969747242375619</v>
      </c>
      <c r="R1236" s="6" t="n">
        <v>-0.9354766973761093</v>
      </c>
      <c r="S1236" s="6" t="n">
        <v>0.1286837335065864</v>
      </c>
      <c r="T1236" s="6" t="n">
        <v>0.9878593295433197</v>
      </c>
      <c r="U1236" s="6" t="n">
        <v>1.053215648389931</v>
      </c>
      <c r="V1236" s="6" t="n">
        <v>-1.139344270383614</v>
      </c>
      <c r="W1236" s="6" t="n">
        <v>-3.144549580702927</v>
      </c>
      <c r="X1236" s="6" t="n">
        <v>-1.113195386991141</v>
      </c>
      <c r="Y1236" s="6" t="n">
        <v>-0.6666006028629619</v>
      </c>
      <c r="Z1236" s="6" t="n">
        <v>-0.04859451209627964</v>
      </c>
      <c r="AA1236" s="6" t="n">
        <v>-0.6443219688615395</v>
      </c>
      <c r="AB1236" s="6" t="n">
        <v>-1.026828941515597</v>
      </c>
      <c r="AC1236" s="6" t="n">
        <v>-0.973464359545683</v>
      </c>
      <c r="AD1236" s="6" t="n">
        <v>-1.3051864774316</v>
      </c>
      <c r="AE1236" s="6" t="n">
        <v>1.354259986093316</v>
      </c>
      <c r="AF1236" s="6" t="n">
        <v>-2.793698476074906</v>
      </c>
      <c r="AG1236" s="6" t="n">
        <v>-0.7532934236865378</v>
      </c>
      <c r="AH1236" s="6" t="n">
        <v>2.834741620550274</v>
      </c>
      <c r="AI1236" s="6" t="n">
        <v>-0.8410855552078695</v>
      </c>
      <c r="AJ1236" s="6" t="n">
        <v>70.73938934558203</v>
      </c>
      <c r="AK1236" s="6" t="n">
        <v>0.08796775079477967</v>
      </c>
      <c r="AL1236" s="6" t="n">
        <v>1.052864538912146</v>
      </c>
      <c r="AN1236" s="6" t="n">
        <v>1.317592073316513</v>
      </c>
      <c r="AO1236" s="6" t="n">
        <v>1.317592073316513</v>
      </c>
      <c r="AP1236" s="6" t="n">
        <v>0.1324104997599542</v>
      </c>
      <c r="AQ1236" s="6" t="n">
        <v>0</v>
      </c>
      <c r="AR1236" s="6" t="n">
        <v>0</v>
      </c>
    </row>
    <row r="1237">
      <c r="D1237" t="inlineStr">
        <is>
          <t>Run 925</t>
        </is>
      </c>
      <c r="J1237" s="6" t="n">
        <v>-1.003447707831528</v>
      </c>
      <c r="K1237" s="6" t="n">
        <v>-5.671920308730031</v>
      </c>
      <c r="L1237" s="6" t="n">
        <v>1.742297131800926</v>
      </c>
      <c r="M1237" s="6" t="n">
        <v>2.380867487606303</v>
      </c>
      <c r="N1237" s="6" t="n">
        <v>-0.253190618964755</v>
      </c>
      <c r="O1237" s="6" t="n">
        <v>-2.983120646932</v>
      </c>
      <c r="P1237" s="6" t="n">
        <v>-1.655111216448542</v>
      </c>
      <c r="Q1237" s="6" t="n">
        <v>-2.65829807572971</v>
      </c>
      <c r="R1237" s="6" t="n">
        <v>0.4454594566379447</v>
      </c>
      <c r="S1237" s="6" t="n">
        <v>-0.7418940851704046</v>
      </c>
      <c r="T1237" s="6" t="n">
        <v>-1.290940135984454</v>
      </c>
      <c r="U1237" s="6" t="n">
        <v>-3.83477530826439</v>
      </c>
      <c r="V1237" s="6" t="n">
        <v>-1.791543730074353</v>
      </c>
      <c r="W1237" s="6" t="n">
        <v>1.886728446031695</v>
      </c>
      <c r="X1237" s="6" t="n">
        <v>0.650783890650474</v>
      </c>
      <c r="Y1237" s="6" t="n">
        <v>-1.530649147892043</v>
      </c>
      <c r="Z1237" s="6" t="n">
        <v>0.1294734705779516</v>
      </c>
      <c r="AA1237" s="6" t="n">
        <v>-0.9203868187321654</v>
      </c>
      <c r="AB1237" s="6" t="n">
        <v>-0.7286327994734842</v>
      </c>
      <c r="AC1237" s="6" t="n">
        <v>-0.7897847855866714</v>
      </c>
      <c r="AD1237" s="6" t="n">
        <v>0.9349086243326127</v>
      </c>
      <c r="AE1237" s="6" t="n">
        <v>1.356243717246193</v>
      </c>
      <c r="AF1237" s="6" t="n">
        <v>-2.740675238989073</v>
      </c>
      <c r="AG1237" s="6" t="n">
        <v>-3.036378187787913</v>
      </c>
      <c r="AH1237" s="6" t="n">
        <v>-2.925382757636867</v>
      </c>
      <c r="AI1237" s="6" t="n">
        <v>-2.442809089178717</v>
      </c>
      <c r="AJ1237" s="6" t="n">
        <v>75.33726357362379</v>
      </c>
      <c r="AK1237" s="6" t="n">
        <v>0.04148070154624306</v>
      </c>
      <c r="AL1237" s="6" t="n">
        <v>1.070857064669867</v>
      </c>
      <c r="AN1237" s="6" t="n">
        <v>1.313752008353741</v>
      </c>
      <c r="AO1237" s="6" t="n">
        <v>1.326512901969894</v>
      </c>
      <c r="AP1237" s="6" t="n">
        <v>0.132105777562198</v>
      </c>
      <c r="AQ1237" s="6" t="n">
        <v>0</v>
      </c>
      <c r="AR1237" s="6" t="n">
        <v>0</v>
      </c>
    </row>
    <row r="1238">
      <c r="D1238" t="inlineStr">
        <is>
          <t>Run 926</t>
        </is>
      </c>
      <c r="J1238" s="6" t="n">
        <v>4.142550663536911</v>
      </c>
      <c r="K1238" s="6" t="n">
        <v>2.290273740231465</v>
      </c>
      <c r="L1238" s="6" t="n">
        <v>2.734142956678582</v>
      </c>
      <c r="M1238" s="6" t="n">
        <v>-0.5760374361246482</v>
      </c>
      <c r="N1238" s="6" t="n">
        <v>-0.2222992301967746</v>
      </c>
      <c r="O1238" s="6" t="n">
        <v>1.287073156837072</v>
      </c>
      <c r="P1238" s="6" t="n">
        <v>0.6953629388311359</v>
      </c>
      <c r="Q1238" s="6" t="n">
        <v>-0.4822003740179392</v>
      </c>
      <c r="R1238" s="6" t="n">
        <v>-0.1029477606108469</v>
      </c>
      <c r="S1238" s="6" t="n">
        <v>4.168167346754897</v>
      </c>
      <c r="T1238" s="6" t="n">
        <v>-0.3913837639485072</v>
      </c>
      <c r="U1238" s="6" t="n">
        <v>1.851651900068576</v>
      </c>
      <c r="V1238" s="6" t="n">
        <v>1.100335817593422</v>
      </c>
      <c r="W1238" s="6" t="n">
        <v>2.76858823203834</v>
      </c>
      <c r="X1238" s="6" t="n">
        <v>-1.134482132486754</v>
      </c>
      <c r="Y1238" s="6" t="n">
        <v>-1.368558769572958</v>
      </c>
      <c r="Z1238" s="6" t="n">
        <v>2.07257233691191</v>
      </c>
      <c r="AA1238" s="6" t="n">
        <v>-1.975044625786402</v>
      </c>
      <c r="AB1238" s="6" t="n">
        <v>1.695852003137727</v>
      </c>
      <c r="AC1238" s="6" t="n">
        <v>0.6864532634170369</v>
      </c>
      <c r="AD1238" s="6" t="n">
        <v>-0.9121360895770992</v>
      </c>
      <c r="AE1238" s="6" t="n">
        <v>1.193060007667413</v>
      </c>
      <c r="AF1238" s="6" t="n">
        <v>1.177690269706746</v>
      </c>
      <c r="AG1238" s="6" t="n">
        <v>1.757096721231822</v>
      </c>
      <c r="AH1238" s="6" t="n">
        <v>2.63849897231818</v>
      </c>
      <c r="AI1238" s="6" t="n">
        <v>-2.098499734391813</v>
      </c>
      <c r="AJ1238" s="6" t="n">
        <v>75.73149637549818</v>
      </c>
      <c r="AK1238" s="6" t="n">
        <v>0.1870254366645306</v>
      </c>
      <c r="AL1238" s="6" t="n">
        <v>1.086697365590811</v>
      </c>
      <c r="AN1238" s="6" t="n">
        <v>1.324160280878497</v>
      </c>
      <c r="AO1238" s="6" t="n">
        <v>1.324908477105751</v>
      </c>
      <c r="AP1238" s="6" t="n">
        <v>0.1282677703673493</v>
      </c>
      <c r="AQ1238" s="6" t="n">
        <v>0</v>
      </c>
      <c r="AR1238" s="6" t="n">
        <v>0</v>
      </c>
    </row>
    <row r="1239">
      <c r="D1239" t="inlineStr">
        <is>
          <t>Run 927</t>
        </is>
      </c>
      <c r="J1239" s="6" t="n">
        <v>-1.559499270064793</v>
      </c>
      <c r="K1239" s="6" t="n">
        <v>2.252417158654524</v>
      </c>
      <c r="L1239" s="6" t="n">
        <v>-0.7960470251642319</v>
      </c>
      <c r="M1239" s="6" t="n">
        <v>-2.822632601382348</v>
      </c>
      <c r="N1239" s="6" t="n">
        <v>0.2682878687526754</v>
      </c>
      <c r="O1239" s="6" t="n">
        <v>-3.307319676414547</v>
      </c>
      <c r="P1239" s="6" t="n">
        <v>-0.331786481470953</v>
      </c>
      <c r="Q1239" s="6" t="n">
        <v>1.503255934116409</v>
      </c>
      <c r="R1239" s="6" t="n">
        <v>1.299110602423097</v>
      </c>
      <c r="S1239" s="6" t="n">
        <v>-1.402149842630663</v>
      </c>
      <c r="T1239" s="6" t="n">
        <v>1.947123944091855</v>
      </c>
      <c r="U1239" s="6" t="n">
        <v>-0.2821403130312321</v>
      </c>
      <c r="V1239" s="6" t="n">
        <v>1.906648325064862</v>
      </c>
      <c r="W1239" s="6" t="n">
        <v>-0.7884784883777037</v>
      </c>
      <c r="X1239" s="6" t="n">
        <v>0.6492306879335744</v>
      </c>
      <c r="Y1239" s="6" t="n">
        <v>0.5452410397683646</v>
      </c>
      <c r="Z1239" s="6" t="n">
        <v>0.4746962193137288</v>
      </c>
      <c r="AA1239" s="6" t="n">
        <v>-0.4893288895022193</v>
      </c>
      <c r="AB1239" s="6" t="n">
        <v>1.965870240109719</v>
      </c>
      <c r="AC1239" s="6" t="n">
        <v>1.079382806170658</v>
      </c>
      <c r="AD1239" s="6" t="n">
        <v>-3.201617028029086</v>
      </c>
      <c r="AE1239" s="6" t="n">
        <v>-3.401504120864923</v>
      </c>
      <c r="AF1239" s="6" t="n">
        <v>-2.874872685086287</v>
      </c>
      <c r="AG1239" s="6" t="n">
        <v>1.835035222858024</v>
      </c>
      <c r="AH1239" s="6" t="n">
        <v>0.9526163908688769</v>
      </c>
      <c r="AI1239" s="6" t="n">
        <v>4.155826288517698</v>
      </c>
      <c r="AJ1239" s="6" t="n">
        <v>76.46513615527699</v>
      </c>
      <c r="AK1239" s="6" t="n">
        <v>0.1025318504474588</v>
      </c>
      <c r="AL1239" s="6" t="n">
        <v>1.072011523461277</v>
      </c>
      <c r="AN1239" s="6" t="n">
        <v>1.316305662122172</v>
      </c>
      <c r="AO1239" s="6" t="n">
        <v>1.325807138062672</v>
      </c>
      <c r="AP1239" s="6" t="n">
        <v>0.1313409198097956</v>
      </c>
      <c r="AQ1239" s="6" t="n">
        <v>0</v>
      </c>
      <c r="AR1239" s="6" t="n">
        <v>0</v>
      </c>
    </row>
    <row r="1240">
      <c r="D1240" t="inlineStr">
        <is>
          <t>Run 928</t>
        </is>
      </c>
      <c r="J1240" s="6" t="n">
        <v>1.058765306526995</v>
      </c>
      <c r="K1240" s="6" t="n">
        <v>2.578893468000286</v>
      </c>
      <c r="L1240" s="6" t="n">
        <v>0.3378784301600689</v>
      </c>
      <c r="M1240" s="6" t="n">
        <v>-1.835829197635672</v>
      </c>
      <c r="N1240" s="6" t="n">
        <v>-3.503755992335936</v>
      </c>
      <c r="O1240" s="6" t="n">
        <v>1.414524406285462</v>
      </c>
      <c r="P1240" s="6" t="n">
        <v>4.352717257702474</v>
      </c>
      <c r="Q1240" s="6" t="n">
        <v>0.3355974192523494</v>
      </c>
      <c r="R1240" s="6" t="n">
        <v>-0.8335728972573551</v>
      </c>
      <c r="S1240" s="6" t="n">
        <v>2.669234787606594</v>
      </c>
      <c r="T1240" s="6" t="n">
        <v>-2.635739675257421</v>
      </c>
      <c r="U1240" s="6" t="n">
        <v>0.2325432447091998</v>
      </c>
      <c r="V1240" s="6" t="n">
        <v>0.5232539835160975</v>
      </c>
      <c r="W1240" s="6" t="n">
        <v>-0.9933284845573658</v>
      </c>
      <c r="X1240" s="6" t="n">
        <v>0.4287130101482717</v>
      </c>
      <c r="Y1240" s="6" t="n">
        <v>2.188945428055215</v>
      </c>
      <c r="Z1240" s="6" t="n">
        <v>0.4937801935997261</v>
      </c>
      <c r="AA1240" s="6" t="n">
        <v>-0.5472818047416849</v>
      </c>
      <c r="AB1240" s="6" t="n">
        <v>1.219809531732384</v>
      </c>
      <c r="AC1240" s="6" t="n">
        <v>0.8195854506522124</v>
      </c>
      <c r="AD1240" s="6" t="n">
        <v>-3.209384228017512</v>
      </c>
      <c r="AE1240" s="6" t="n">
        <v>-0.9262065689723062</v>
      </c>
      <c r="AF1240" s="6" t="n">
        <v>-2.049070805756313</v>
      </c>
      <c r="AG1240" s="6" t="n">
        <v>-0.3407786459146456</v>
      </c>
      <c r="AH1240" s="6" t="n">
        <v>1.008793434759852</v>
      </c>
      <c r="AI1240" s="6" t="n">
        <v>0.4626432314334268</v>
      </c>
      <c r="AJ1240" s="6" t="n">
        <v>75.93685189897403</v>
      </c>
      <c r="AK1240" s="6" t="n">
        <v>0.1531295264844597</v>
      </c>
      <c r="AL1240" s="6" t="n">
        <v>1.073052187987728</v>
      </c>
      <c r="AN1240" s="6" t="n">
        <v>1.326778090362135</v>
      </c>
      <c r="AO1240" s="6" t="n">
        <v>1.327677314294828</v>
      </c>
      <c r="AP1240" s="6" t="n">
        <v>0.1299365497153116</v>
      </c>
      <c r="AQ1240" s="6" t="n">
        <v>0</v>
      </c>
      <c r="AR1240" s="6" t="n">
        <v>0</v>
      </c>
    </row>
    <row r="1241">
      <c r="D1241" t="inlineStr">
        <is>
          <t>Run 929</t>
        </is>
      </c>
      <c r="J1241" s="6" t="n">
        <v>-1.168416080194098</v>
      </c>
      <c r="K1241" s="6" t="n">
        <v>-2.783135613431706</v>
      </c>
      <c r="L1241" s="6" t="n">
        <v>-0.4386715159770934</v>
      </c>
      <c r="M1241" s="6" t="n">
        <v>4.043146354874586</v>
      </c>
      <c r="N1241" s="6" t="n">
        <v>-0.03594590574958301</v>
      </c>
      <c r="O1241" s="6" t="n">
        <v>1.041783226621465</v>
      </c>
      <c r="P1241" s="6" t="n">
        <v>-1.436348475434328</v>
      </c>
      <c r="Q1241" s="6" t="n">
        <v>-0.5631692254362195</v>
      </c>
      <c r="R1241" s="6" t="n">
        <v>-1.61318892015456</v>
      </c>
      <c r="S1241" s="6" t="n">
        <v>1.305619823559257</v>
      </c>
      <c r="T1241" s="6" t="n">
        <v>0.216348084814005</v>
      </c>
      <c r="U1241" s="6" t="n">
        <v>1.503941700709808</v>
      </c>
      <c r="V1241" s="6" t="n">
        <v>-0.960194442768901</v>
      </c>
      <c r="W1241" s="6" t="n">
        <v>-1.64714144249155</v>
      </c>
      <c r="X1241" s="6" t="n">
        <v>0.2402918811187609</v>
      </c>
      <c r="Y1241" s="6" t="n">
        <v>0.3502583131399835</v>
      </c>
      <c r="Z1241" s="6" t="n">
        <v>-1.463668184822795</v>
      </c>
      <c r="AA1241" s="6" t="n">
        <v>0.3316182704131821</v>
      </c>
      <c r="AB1241" s="6" t="n">
        <v>-0.6976529171106126</v>
      </c>
      <c r="AC1241" s="6" t="n">
        <v>0.1812367382322939</v>
      </c>
      <c r="AD1241" s="6" t="n">
        <v>2.325417603014942</v>
      </c>
      <c r="AE1241" s="6" t="n">
        <v>-2.41503402333318</v>
      </c>
      <c r="AF1241" s="6" t="n">
        <v>-3.031763161635314</v>
      </c>
      <c r="AG1241" s="6" t="n">
        <v>2.701185182381696</v>
      </c>
      <c r="AH1241" s="6" t="n">
        <v>-0.7357812606074767</v>
      </c>
      <c r="AI1241" s="6" t="n">
        <v>1.086770693732528</v>
      </c>
      <c r="AJ1241" s="6" t="n">
        <v>80.13536261944526</v>
      </c>
      <c r="AK1241" s="6" t="n">
        <v>0.1278881523775</v>
      </c>
      <c r="AL1241" s="6" t="n">
        <v>1.038012699170167</v>
      </c>
      <c r="AN1241" s="6" t="n">
        <v>1.350632345953916</v>
      </c>
      <c r="AO1241" s="6" t="n">
        <v>1.351734772740316</v>
      </c>
      <c r="AP1241" s="6" t="n">
        <v>0.1341000426867137</v>
      </c>
      <c r="AQ1241" s="6" t="n">
        <v>0</v>
      </c>
      <c r="AR1241" s="6" t="n">
        <v>0</v>
      </c>
    </row>
    <row r="1242">
      <c r="D1242" t="inlineStr">
        <is>
          <t>Run 930</t>
        </is>
      </c>
      <c r="J1242" s="6" t="n">
        <v>-0.2647770407936085</v>
      </c>
      <c r="K1242" s="6" t="n">
        <v>1.046730961507675</v>
      </c>
      <c r="L1242" s="6" t="n">
        <v>-2.560124320549513</v>
      </c>
      <c r="M1242" s="6" t="n">
        <v>-2.406446748837543</v>
      </c>
      <c r="N1242" s="6" t="n">
        <v>-1.859790354607983</v>
      </c>
      <c r="O1242" s="6" t="n">
        <v>1.5044591018978</v>
      </c>
      <c r="P1242" s="6" t="n">
        <v>3.198129531691629</v>
      </c>
      <c r="Q1242" s="6" t="n">
        <v>-0.2959097314234211</v>
      </c>
      <c r="R1242" s="6" t="n">
        <v>-0.1873242206848923</v>
      </c>
      <c r="S1242" s="6" t="n">
        <v>4.606962964610038</v>
      </c>
      <c r="T1242" s="6" t="n">
        <v>-0.09852054629472154</v>
      </c>
      <c r="U1242" s="6" t="n">
        <v>4.195182041636522</v>
      </c>
      <c r="V1242" s="6" t="n">
        <v>-1.395829802392793</v>
      </c>
      <c r="W1242" s="6" t="n">
        <v>-0.9373057659826346</v>
      </c>
      <c r="X1242" s="6" t="n">
        <v>-0.8125290913267214</v>
      </c>
      <c r="Y1242" s="6" t="n">
        <v>-1.962318248347168</v>
      </c>
      <c r="Z1242" s="6" t="n">
        <v>-1.199774933705555</v>
      </c>
      <c r="AA1242" s="6" t="n">
        <v>1.618908657266496</v>
      </c>
      <c r="AB1242" s="6" t="n">
        <v>1.190881858663976</v>
      </c>
      <c r="AC1242" s="6" t="n">
        <v>-2.690885522846354</v>
      </c>
      <c r="AD1242" s="6" t="n">
        <v>0.8209572728543151</v>
      </c>
      <c r="AE1242" s="6" t="n">
        <v>-3.423001165020831</v>
      </c>
      <c r="AF1242" s="6" t="n">
        <v>-0.6434853905270462</v>
      </c>
      <c r="AG1242" s="6" t="n">
        <v>-2.215518989677506</v>
      </c>
      <c r="AH1242" s="6" t="n">
        <v>2.435725847035508</v>
      </c>
      <c r="AI1242" s="6" t="n">
        <v>-2.288299844992925</v>
      </c>
      <c r="AJ1242" s="6" t="n">
        <v>74.89868566642613</v>
      </c>
      <c r="AK1242" s="6" t="n">
        <v>0.07866716344270236</v>
      </c>
      <c r="AL1242" s="6" t="n">
        <v>1.009011842676689</v>
      </c>
      <c r="AN1242" s="6" t="n">
        <v>1.343838215104049</v>
      </c>
      <c r="AO1242" s="6" t="n">
        <v>1.350071334651243</v>
      </c>
      <c r="AP1242" s="6" t="n">
        <v>0.1381687630930628</v>
      </c>
      <c r="AQ1242" s="6" t="n">
        <v>0</v>
      </c>
      <c r="AR1242" s="6" t="n">
        <v>0</v>
      </c>
    </row>
    <row r="1243">
      <c r="D1243" t="inlineStr">
        <is>
          <t>Run 931</t>
        </is>
      </c>
      <c r="J1243" s="6" t="n">
        <v>-1.928005887858535</v>
      </c>
      <c r="K1243" s="6" t="n">
        <v>4.487856594887918</v>
      </c>
      <c r="L1243" s="6" t="n">
        <v>1.659779923546316</v>
      </c>
      <c r="M1243" s="6" t="n">
        <v>-2.943546529275401</v>
      </c>
      <c r="N1243" s="6" t="n">
        <v>-1.310819362895592</v>
      </c>
      <c r="O1243" s="6" t="n">
        <v>1.305777474324345</v>
      </c>
      <c r="P1243" s="6" t="n">
        <v>-1.983569894299207</v>
      </c>
      <c r="Q1243" s="6" t="n">
        <v>-2.107915697870143</v>
      </c>
      <c r="R1243" s="6" t="n">
        <v>-0.3857682733631554</v>
      </c>
      <c r="S1243" s="6" t="n">
        <v>-0.1644625991422045</v>
      </c>
      <c r="T1243" s="6" t="n">
        <v>-0.4910825699368153</v>
      </c>
      <c r="U1243" s="6" t="n">
        <v>2.616062712865399</v>
      </c>
      <c r="V1243" s="6" t="n">
        <v>-1.441860923549673</v>
      </c>
      <c r="W1243" s="6" t="n">
        <v>-0.6039556501311802</v>
      </c>
      <c r="X1243" s="6" t="n">
        <v>3.892206573356868</v>
      </c>
      <c r="Y1243" s="6" t="n">
        <v>0.4031694724453982</v>
      </c>
      <c r="Z1243" s="6" t="n">
        <v>-2.417771394151395</v>
      </c>
      <c r="AA1243" s="6" t="n">
        <v>3.076779887352463</v>
      </c>
      <c r="AB1243" s="6" t="n">
        <v>-1.688706634161876</v>
      </c>
      <c r="AC1243" s="6" t="n">
        <v>0.5604840123777884</v>
      </c>
      <c r="AD1243" s="6" t="n">
        <v>-3.328061942109108</v>
      </c>
      <c r="AE1243" s="6" t="n">
        <v>1.799685017382924</v>
      </c>
      <c r="AF1243" s="6" t="n">
        <v>-1.2772823582368</v>
      </c>
      <c r="AG1243" s="6" t="n">
        <v>-2.314186485960939</v>
      </c>
      <c r="AH1243" s="6" t="n">
        <v>0.3109518062725726</v>
      </c>
      <c r="AI1243" s="6" t="n">
        <v>1.988079290883571</v>
      </c>
      <c r="AJ1243" s="6" t="n">
        <v>61.61786992655784</v>
      </c>
      <c r="AK1243" s="6" t="n">
        <v>0.12435820875679</v>
      </c>
      <c r="AL1243" s="6" t="n">
        <v>1.055233129799316</v>
      </c>
      <c r="AN1243" s="6" t="n">
        <v>1.312227118761745</v>
      </c>
      <c r="AO1243" s="6" t="n">
        <v>1.318916486280222</v>
      </c>
      <c r="AP1243" s="6" t="n">
        <v>0.1307089789888706</v>
      </c>
      <c r="AQ1243" s="6" t="n">
        <v>0</v>
      </c>
      <c r="AR1243" s="6" t="n">
        <v>0</v>
      </c>
    </row>
    <row r="1244">
      <c r="D1244" t="inlineStr">
        <is>
          <t>Run 932</t>
        </is>
      </c>
      <c r="J1244" s="6" t="n">
        <v>1.517745394363164</v>
      </c>
      <c r="K1244" s="6" t="n">
        <v>1.399493109553237</v>
      </c>
      <c r="L1244" s="6" t="n">
        <v>-1.905069439044101</v>
      </c>
      <c r="M1244" s="6" t="n">
        <v>-1.379469856870901</v>
      </c>
      <c r="N1244" s="6" t="n">
        <v>-0.05312634848269636</v>
      </c>
      <c r="O1244" s="6" t="n">
        <v>1.206596946921526</v>
      </c>
      <c r="P1244" s="6" t="n">
        <v>0.06025777311367804</v>
      </c>
      <c r="Q1244" s="6" t="n">
        <v>-2.29311660988346</v>
      </c>
      <c r="R1244" s="6" t="n">
        <v>-2.032151267102658</v>
      </c>
      <c r="S1244" s="6" t="n">
        <v>-2.198030217407933</v>
      </c>
      <c r="T1244" s="6" t="n">
        <v>-2.477273666720857</v>
      </c>
      <c r="U1244" s="6" t="n">
        <v>-2.589627209039852</v>
      </c>
      <c r="V1244" s="6" t="n">
        <v>2.410033666369215</v>
      </c>
      <c r="W1244" s="6" t="n">
        <v>1.356774128124571</v>
      </c>
      <c r="X1244" s="6" t="n">
        <v>-3.174706958448106</v>
      </c>
      <c r="Y1244" s="6" t="n">
        <v>1.594882301276697</v>
      </c>
      <c r="Z1244" s="6" t="n">
        <v>-0.3564953309594631</v>
      </c>
      <c r="AA1244" s="6" t="n">
        <v>0.5057972922082637</v>
      </c>
      <c r="AB1244" s="6" t="n">
        <v>-4.513866654844291</v>
      </c>
      <c r="AC1244" s="6" t="n">
        <v>2.44243441966587</v>
      </c>
      <c r="AD1244" s="6" t="n">
        <v>-1.31917710269244</v>
      </c>
      <c r="AE1244" s="6" t="n">
        <v>1.206591766768365</v>
      </c>
      <c r="AF1244" s="6" t="n">
        <v>-0.6656178267604138</v>
      </c>
      <c r="AG1244" s="6" t="n">
        <v>-4.670685971675637</v>
      </c>
      <c r="AH1244" s="6" t="n">
        <v>-2.349727833691535</v>
      </c>
      <c r="AI1244" s="6" t="n">
        <v>2.86299993384322</v>
      </c>
      <c r="AJ1244" s="6" t="n">
        <v>65.33074864594781</v>
      </c>
      <c r="AK1244" s="6" t="n">
        <v>0.07123057555253964</v>
      </c>
      <c r="AL1244" s="6" t="n">
        <v>1.062066050162166</v>
      </c>
      <c r="AN1244" s="6" t="n">
        <v>1.336951204462388</v>
      </c>
      <c r="AO1244" s="6" t="n">
        <v>1.340283097051466</v>
      </c>
      <c r="AP1244" s="6" t="n">
        <v>0.1316942988862543</v>
      </c>
      <c r="AQ1244" s="6" t="n">
        <v>0</v>
      </c>
      <c r="AR1244" s="6" t="n">
        <v>0</v>
      </c>
    </row>
    <row r="1245">
      <c r="D1245" t="inlineStr">
        <is>
          <t>Run 933</t>
        </is>
      </c>
      <c r="J1245" s="6" t="n">
        <v>-5.397806826624121</v>
      </c>
      <c r="K1245" s="6" t="n">
        <v>4.042259589194416</v>
      </c>
      <c r="L1245" s="6" t="n">
        <v>0.1292806142814132</v>
      </c>
      <c r="M1245" s="6" t="n">
        <v>0.4944817083910934</v>
      </c>
      <c r="N1245" s="6" t="n">
        <v>-1.087364819127469</v>
      </c>
      <c r="O1245" s="6" t="n">
        <v>0.1186431813314194</v>
      </c>
      <c r="P1245" s="6" t="n">
        <v>-0.03897077223512949</v>
      </c>
      <c r="Q1245" s="6" t="n">
        <v>2.687407636161037</v>
      </c>
      <c r="R1245" s="6" t="n">
        <v>2.394515639746416</v>
      </c>
      <c r="S1245" s="6" t="n">
        <v>-3.615469258452336</v>
      </c>
      <c r="T1245" s="6" t="n">
        <v>-3.221421609412797</v>
      </c>
      <c r="U1245" s="6" t="n">
        <v>-1.607306546556849</v>
      </c>
      <c r="V1245" s="6" t="n">
        <v>-1.560010273005179</v>
      </c>
      <c r="W1245" s="6" t="n">
        <v>2.178637130029844</v>
      </c>
      <c r="X1245" s="6" t="n">
        <v>3.772944848357899</v>
      </c>
      <c r="Y1245" s="6" t="n">
        <v>0.1046290495676623</v>
      </c>
      <c r="Z1245" s="6" t="n">
        <v>1.978880649997668</v>
      </c>
      <c r="AA1245" s="6" t="n">
        <v>0.7051195520747974</v>
      </c>
      <c r="AB1245" s="6" t="n">
        <v>-1.915317182404886</v>
      </c>
      <c r="AC1245" s="6" t="n">
        <v>-0.8459496487331569</v>
      </c>
      <c r="AD1245" s="6" t="n">
        <v>-2.080448316127852</v>
      </c>
      <c r="AE1245" s="6" t="n">
        <v>-1.494119132573286</v>
      </c>
      <c r="AF1245" s="6" t="n">
        <v>2.946793236882154</v>
      </c>
      <c r="AG1245" s="6" t="n">
        <v>0.759115770899276</v>
      </c>
      <c r="AH1245" s="6" t="n">
        <v>-1.213527892292976</v>
      </c>
      <c r="AI1245" s="6" t="n">
        <v>-0.1168934105339759</v>
      </c>
      <c r="AJ1245" s="6" t="n">
        <v>80.74712838582792</v>
      </c>
      <c r="AK1245" s="6" t="n">
        <v>0.1845461113466961</v>
      </c>
      <c r="AL1245" s="6" t="n">
        <v>1.070106294623099</v>
      </c>
      <c r="AN1245" s="6" t="n">
        <v>1.325132954437061</v>
      </c>
      <c r="AO1245" s="6" t="n">
        <v>1.325132954437061</v>
      </c>
      <c r="AP1245" s="6" t="n">
        <v>0.1294592225664495</v>
      </c>
      <c r="AQ1245" s="6" t="n">
        <v>0</v>
      </c>
      <c r="AR1245" s="6" t="n">
        <v>0</v>
      </c>
    </row>
    <row r="1246">
      <c r="D1246" t="inlineStr">
        <is>
          <t>Run 934</t>
        </is>
      </c>
      <c r="J1246" s="6" t="n">
        <v>-3.724151627305788</v>
      </c>
      <c r="K1246" s="6" t="n">
        <v>-0.6943903400039634</v>
      </c>
      <c r="L1246" s="6" t="n">
        <v>-1.995913509146006</v>
      </c>
      <c r="M1246" s="6" t="n">
        <v>-0.958498195725048</v>
      </c>
      <c r="N1246" s="6" t="n">
        <v>-0.1032757533957405</v>
      </c>
      <c r="O1246" s="6" t="n">
        <v>0.8443212483301104</v>
      </c>
      <c r="P1246" s="6" t="n">
        <v>1.31346233810284</v>
      </c>
      <c r="Q1246" s="6" t="n">
        <v>0.5911680382103861</v>
      </c>
      <c r="R1246" s="6" t="n">
        <v>2.987331674617792</v>
      </c>
      <c r="S1246" s="6" t="n">
        <v>-0.2846990963142966</v>
      </c>
      <c r="T1246" s="6" t="n">
        <v>0.2084011116950147</v>
      </c>
      <c r="U1246" s="6" t="n">
        <v>2.670755371779871</v>
      </c>
      <c r="V1246" s="6" t="n">
        <v>0.8389021850851688</v>
      </c>
      <c r="W1246" s="6" t="n">
        <v>-1.86364226726122</v>
      </c>
      <c r="X1246" s="6" t="n">
        <v>-3.762229760586904</v>
      </c>
      <c r="Y1246" s="6" t="n">
        <v>-0.5886997244210703</v>
      </c>
      <c r="Z1246" s="6" t="n">
        <v>2.103461600579566</v>
      </c>
      <c r="AA1246" s="6" t="n">
        <v>3.999967126742656</v>
      </c>
      <c r="AB1246" s="6" t="n">
        <v>1.443171543249048</v>
      </c>
      <c r="AC1246" s="6" t="n">
        <v>-1.499982066377991</v>
      </c>
      <c r="AD1246" s="6" t="n">
        <v>4.252465740262116</v>
      </c>
      <c r="AE1246" s="6" t="n">
        <v>2.365820117755035</v>
      </c>
      <c r="AF1246" s="6" t="n">
        <v>0.0332438592943984</v>
      </c>
      <c r="AG1246" s="6" t="n">
        <v>0.598930056482079</v>
      </c>
      <c r="AH1246" s="6" t="n">
        <v>1.041641248067636</v>
      </c>
      <c r="AI1246" s="6" t="n">
        <v>-0.2790111439482617</v>
      </c>
      <c r="AJ1246" s="6" t="n">
        <v>76.94881670350067</v>
      </c>
      <c r="AK1246" s="6" t="n">
        <v>0.1422066183473827</v>
      </c>
      <c r="AL1246" s="6" t="n">
        <v>1.044698061261806</v>
      </c>
      <c r="AN1246" s="6" t="n">
        <v>1.347430045940623</v>
      </c>
      <c r="AO1246" s="6" t="n">
        <v>1.348857908514538</v>
      </c>
      <c r="AP1246" s="6" t="n">
        <v>0.1329031888891474</v>
      </c>
      <c r="AQ1246" s="6" t="n">
        <v>0</v>
      </c>
      <c r="AR1246" s="6" t="n">
        <v>0</v>
      </c>
    </row>
    <row r="1247">
      <c r="D1247" t="inlineStr">
        <is>
          <t>Run 935</t>
        </is>
      </c>
      <c r="J1247" s="6" t="n">
        <v>-1.244397134045214</v>
      </c>
      <c r="K1247" s="6" t="n">
        <v>2.444221627775169</v>
      </c>
      <c r="L1247" s="6" t="n">
        <v>2.844433792804816</v>
      </c>
      <c r="M1247" s="6" t="n">
        <v>3.46574308752427</v>
      </c>
      <c r="N1247" s="6" t="n">
        <v>-0.309043043484993</v>
      </c>
      <c r="O1247" s="6" t="n">
        <v>0.1366212993664358</v>
      </c>
      <c r="P1247" s="6" t="n">
        <v>-2.660398174371402</v>
      </c>
      <c r="Q1247" s="6" t="n">
        <v>0.7838137050236318</v>
      </c>
      <c r="R1247" s="6" t="n">
        <v>-0.9894500365386132</v>
      </c>
      <c r="S1247" s="6" t="n">
        <v>-0.2248500683355418</v>
      </c>
      <c r="T1247" s="6" t="n">
        <v>1.600666500610505</v>
      </c>
      <c r="U1247" s="6" t="n">
        <v>0.09254110163338594</v>
      </c>
      <c r="V1247" s="6" t="n">
        <v>-0.8904839161379455</v>
      </c>
      <c r="W1247" s="6" t="n">
        <v>-3.568548728173664</v>
      </c>
      <c r="X1247" s="6" t="n">
        <v>-4.547183090844157</v>
      </c>
      <c r="Y1247" s="6" t="n">
        <v>-3.773078528887298</v>
      </c>
      <c r="Z1247" s="6" t="n">
        <v>-2.660651678416538</v>
      </c>
      <c r="AA1247" s="6" t="n">
        <v>-0.903707758018118</v>
      </c>
      <c r="AB1247" s="6" t="n">
        <v>-4.676973439583931</v>
      </c>
      <c r="AC1247" s="6" t="n">
        <v>1.103748782832487</v>
      </c>
      <c r="AD1247" s="6" t="n">
        <v>-0.3178049739352327</v>
      </c>
      <c r="AE1247" s="6" t="n">
        <v>-0.6886400461669447</v>
      </c>
      <c r="AF1247" s="6" t="n">
        <v>0.5167286526297439</v>
      </c>
      <c r="AG1247" s="6" t="n">
        <v>0.5396002047122286</v>
      </c>
      <c r="AH1247" s="6" t="n">
        <v>2.451597303823721</v>
      </c>
      <c r="AI1247" s="6" t="n">
        <v>0.3905411099635243</v>
      </c>
      <c r="AJ1247" s="6" t="n">
        <v>67.34867928343019</v>
      </c>
      <c r="AK1247" s="6" t="n">
        <v>0.106619695679854</v>
      </c>
      <c r="AL1247" s="6" t="n">
        <v>1.060487198805073</v>
      </c>
      <c r="AN1247" s="6" t="n">
        <v>1.339434879580936</v>
      </c>
      <c r="AO1247" s="6" t="n">
        <v>1.340138881589923</v>
      </c>
      <c r="AP1247" s="6" t="n">
        <v>0.1313948588996076</v>
      </c>
      <c r="AQ1247" s="6" t="n">
        <v>0</v>
      </c>
      <c r="AR1247" s="6" t="n">
        <v>0</v>
      </c>
    </row>
    <row r="1248">
      <c r="D1248" t="inlineStr">
        <is>
          <t>Run 936</t>
        </is>
      </c>
      <c r="J1248" s="6" t="n">
        <v>-0.2028033693549254</v>
      </c>
      <c r="K1248" s="6" t="n">
        <v>-0.4099462523099254</v>
      </c>
      <c r="L1248" s="6" t="n">
        <v>-1.585531187535582</v>
      </c>
      <c r="M1248" s="6" t="n">
        <v>2.350495628721136</v>
      </c>
      <c r="N1248" s="6" t="n">
        <v>-2.34995113729338</v>
      </c>
      <c r="O1248" s="6" t="n">
        <v>1.579937624959693</v>
      </c>
      <c r="P1248" s="6" t="n">
        <v>-0.681292785970989</v>
      </c>
      <c r="Q1248" s="6" t="n">
        <v>0.2587878268243834</v>
      </c>
      <c r="R1248" s="6" t="n">
        <v>0.6036970466321631</v>
      </c>
      <c r="S1248" s="6" t="n">
        <v>-0.6172356115480114</v>
      </c>
      <c r="T1248" s="6" t="n">
        <v>1.825483334832822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3.346537357893672</v>
      </c>
      <c r="Y1248" s="6" t="n">
        <v>-0.0197150867876215</v>
      </c>
      <c r="Z1248" s="6" t="n">
        <v>0.657690777141817</v>
      </c>
      <c r="AA1248" s="6" t="n">
        <v>-0.8670627523879926</v>
      </c>
      <c r="AB1248" s="6" t="n">
        <v>1.617435385017807</v>
      </c>
      <c r="AC1248" s="6" t="n">
        <v>-3.207314253725257</v>
      </c>
      <c r="AD1248" s="6" t="n">
        <v>3.215365571474484</v>
      </c>
      <c r="AE1248" s="6" t="n">
        <v>2.731386792077161</v>
      </c>
      <c r="AF1248" s="6" t="n">
        <v>-2.683598050167133</v>
      </c>
      <c r="AG1248" s="6" t="n">
        <v>1.301866095052323</v>
      </c>
      <c r="AH1248" s="6" t="n">
        <v>2.40228843314515</v>
      </c>
      <c r="AI1248" s="6" t="n">
        <v>-0.3436348488253439</v>
      </c>
      <c r="AJ1248" s="6" t="n">
        <v>81.61128318450362</v>
      </c>
      <c r="AK1248" s="6" t="n">
        <v>0.1558625517237713</v>
      </c>
      <c r="AL1248" s="6" t="n">
        <v>0.9871223055816545</v>
      </c>
      <c r="AN1248" s="6" t="n">
        <v>1.364018969467558</v>
      </c>
      <c r="AO1248" s="6" t="n">
        <v>1.364018969467558</v>
      </c>
      <c r="AP1248" s="6" t="n">
        <v>0.1419541797297389</v>
      </c>
      <c r="AQ1248" s="6" t="n">
        <v>0</v>
      </c>
      <c r="AR1248" s="6" t="n">
        <v>0</v>
      </c>
    </row>
    <row r="1249">
      <c r="D1249" t="inlineStr">
        <is>
          <t>Run 937</t>
        </is>
      </c>
      <c r="J1249" s="6" t="n">
        <v>-2.650659916591227</v>
      </c>
      <c r="K1249" s="6" t="n">
        <v>2.961716015737866</v>
      </c>
      <c r="L1249" s="6" t="n">
        <v>-2.572429073206685</v>
      </c>
      <c r="M1249" s="6" t="n">
        <v>4.059162768037299</v>
      </c>
      <c r="N1249" s="6" t="n">
        <v>2.74512470817843</v>
      </c>
      <c r="O1249" s="6" t="n">
        <v>1.412096412326417</v>
      </c>
      <c r="P1249" s="6" t="n">
        <v>1.569994031755119</v>
      </c>
      <c r="Q1249" s="6" t="n">
        <v>0.1609368923500557</v>
      </c>
      <c r="R1249" s="6" t="n">
        <v>-0.3243266347572232</v>
      </c>
      <c r="S1249" s="6" t="n">
        <v>-0.8029077563266137</v>
      </c>
      <c r="T1249" s="6" t="n">
        <v>-1.495249457179466</v>
      </c>
      <c r="U1249" s="6" t="n">
        <v>2.872091443556333</v>
      </c>
      <c r="V1249" s="6" t="n">
        <v>-3.719649740567157</v>
      </c>
      <c r="W1249" s="6" t="n">
        <v>-0.1098866485031114</v>
      </c>
      <c r="X1249" s="6" t="n">
        <v>3.085618246025261</v>
      </c>
      <c r="Y1249" s="6" t="n">
        <v>0.7414968585954073</v>
      </c>
      <c r="Z1249" s="6" t="n">
        <v>0.7693683769126529</v>
      </c>
      <c r="AA1249" s="6" t="n">
        <v>2.325323807188032</v>
      </c>
      <c r="AB1249" s="6" t="n">
        <v>-0.3523527406211046</v>
      </c>
      <c r="AC1249" s="6" t="n">
        <v>1.50242028060351</v>
      </c>
      <c r="AD1249" s="6" t="n">
        <v>1.892397417720595</v>
      </c>
      <c r="AE1249" s="6" t="n">
        <v>1.369081257441287</v>
      </c>
      <c r="AF1249" s="6" t="n">
        <v>-1.113291963008922</v>
      </c>
      <c r="AG1249" s="6" t="n">
        <v>-3.543494687993213</v>
      </c>
      <c r="AH1249" s="6" t="n">
        <v>0.933339233155814</v>
      </c>
      <c r="AI1249" s="6" t="n">
        <v>-1.824707085641718</v>
      </c>
      <c r="AJ1249" s="6" t="n">
        <v>71.55516342538992</v>
      </c>
      <c r="AK1249" s="6" t="n">
        <v>0.1129337472488872</v>
      </c>
      <c r="AL1249" s="6" t="n">
        <v>1.056961594084131</v>
      </c>
      <c r="AN1249" s="6" t="n">
        <v>1.340908314793045</v>
      </c>
      <c r="AO1249" s="6" t="n">
        <v>1.341499872556089</v>
      </c>
      <c r="AP1249" s="6" t="n">
        <v>0.1319655653623705</v>
      </c>
      <c r="AQ1249" s="6" t="n">
        <v>0</v>
      </c>
      <c r="AR1249" s="6" t="n">
        <v>0</v>
      </c>
    </row>
    <row r="1250">
      <c r="D1250" t="inlineStr">
        <is>
          <t>Run 938</t>
        </is>
      </c>
      <c r="J1250" s="6" t="n">
        <v>1.371054163380333</v>
      </c>
      <c r="K1250" s="6" t="n">
        <v>-0.06044264532514447</v>
      </c>
      <c r="L1250" s="6" t="n">
        <v>-1.895582208262363</v>
      </c>
      <c r="M1250" s="6" t="n">
        <v>3.886994423431938</v>
      </c>
      <c r="N1250" s="6" t="n">
        <v>-2.471818101460803</v>
      </c>
      <c r="O1250" s="6" t="n">
        <v>0.7930309227128678</v>
      </c>
      <c r="P1250" s="6" t="n">
        <v>1.863156501407388</v>
      </c>
      <c r="Q1250" s="6" t="n">
        <v>2.887862646014237</v>
      </c>
      <c r="R1250" s="6" t="n">
        <v>-0.6263660820937463</v>
      </c>
      <c r="S1250" s="6" t="n">
        <v>1.170473361428055</v>
      </c>
      <c r="T1250" s="6" t="n">
        <v>-1.702518935395739</v>
      </c>
      <c r="U1250" s="6" t="n">
        <v>-0.6509596035559833</v>
      </c>
      <c r="V1250" s="6" t="n">
        <v>-2.898164608364075</v>
      </c>
      <c r="W1250" s="6" t="n">
        <v>-2.485003229780584</v>
      </c>
      <c r="X1250" s="6" t="n">
        <v>-2.777424828892604</v>
      </c>
      <c r="Y1250" s="6" t="n">
        <v>-1.248433467323969</v>
      </c>
      <c r="Z1250" s="6" t="n">
        <v>1.070528995822859</v>
      </c>
      <c r="AA1250" s="6" t="n">
        <v>2.648804136805114</v>
      </c>
      <c r="AB1250" s="6" t="n">
        <v>5</v>
      </c>
      <c r="AC1250" s="6" t="n">
        <v>0.9496970888083448</v>
      </c>
      <c r="AD1250" s="6" t="n">
        <v>-0.2715495378000917</v>
      </c>
      <c r="AE1250" s="6" t="n">
        <v>0.8837743218110451</v>
      </c>
      <c r="AF1250" s="6" t="n">
        <v>2.86787745571949</v>
      </c>
      <c r="AG1250" s="6" t="n">
        <v>1.091149232744199</v>
      </c>
      <c r="AH1250" s="6" t="n">
        <v>2.309611368376904</v>
      </c>
      <c r="AI1250" s="6" t="n">
        <v>4.1766061797108</v>
      </c>
      <c r="AJ1250" s="6" t="n">
        <v>77.519969325763</v>
      </c>
      <c r="AK1250" s="6" t="n">
        <v>0.1504600441572911</v>
      </c>
      <c r="AL1250" s="6" t="n">
        <v>1.062374336131017</v>
      </c>
      <c r="AN1250" s="6" t="n">
        <v>1.339507635671619</v>
      </c>
      <c r="AO1250" s="6" t="n">
        <v>1.340167377817091</v>
      </c>
      <c r="AP1250" s="6" t="n">
        <v>0.1310812129026991</v>
      </c>
      <c r="AQ1250" s="6" t="n">
        <v>0</v>
      </c>
      <c r="AR1250" s="6" t="n">
        <v>0</v>
      </c>
    </row>
    <row r="1251">
      <c r="D1251" t="inlineStr">
        <is>
          <t>Run 939</t>
        </is>
      </c>
      <c r="J1251" s="6" t="n">
        <v>0.09501832787818469</v>
      </c>
      <c r="K1251" s="6" t="n">
        <v>0.5264634620488792</v>
      </c>
      <c r="L1251" s="6" t="n">
        <v>-1.434814437991558</v>
      </c>
      <c r="M1251" s="6" t="n">
        <v>-1.88296173203854</v>
      </c>
      <c r="N1251" s="6" t="n">
        <v>-0.3144183568502719</v>
      </c>
      <c r="O1251" s="6" t="n">
        <v>3.269563003366737</v>
      </c>
      <c r="P1251" s="6" t="n">
        <v>-0.1940776926203783</v>
      </c>
      <c r="Q1251" s="6" t="n">
        <v>-2.096151450980613</v>
      </c>
      <c r="R1251" s="6" t="n">
        <v>2.543861182433965</v>
      </c>
      <c r="S1251" s="6" t="n">
        <v>-1.670607671216152</v>
      </c>
      <c r="T1251" s="6" t="n">
        <v>-1.155539533453727</v>
      </c>
      <c r="U1251" s="6" t="n">
        <v>0.3611816560403075</v>
      </c>
      <c r="V1251" s="6" t="n">
        <v>-3.384543250522148</v>
      </c>
      <c r="W1251" s="6" t="n">
        <v>-0.05825478790240188</v>
      </c>
      <c r="X1251" s="6" t="n">
        <v>-3.131012737153709</v>
      </c>
      <c r="Y1251" s="6" t="n">
        <v>-1.430194352168645</v>
      </c>
      <c r="Z1251" s="6" t="n">
        <v>-3.242242190014051</v>
      </c>
      <c r="AA1251" s="6" t="n">
        <v>1.688494127410271</v>
      </c>
      <c r="AB1251" s="6" t="n">
        <v>-2.985004193371171</v>
      </c>
      <c r="AC1251" s="6" t="n">
        <v>1.100765151930921</v>
      </c>
      <c r="AD1251" s="6" t="n">
        <v>1.640800239348136</v>
      </c>
      <c r="AE1251" s="6" t="n">
        <v>0.05604032900377981</v>
      </c>
      <c r="AF1251" s="6" t="n">
        <v>2.890954488816541</v>
      </c>
      <c r="AG1251" s="6" t="n">
        <v>0.5195916669804468</v>
      </c>
      <c r="AH1251" s="6" t="n">
        <v>2.726973536714783</v>
      </c>
      <c r="AI1251" s="6" t="n">
        <v>-1.097777739432217</v>
      </c>
      <c r="AJ1251" s="6" t="n">
        <v>70.65482361719758</v>
      </c>
      <c r="AK1251" s="6" t="n">
        <v>0.1139755003947575</v>
      </c>
      <c r="AL1251" s="6" t="n">
        <v>1.034976192083361</v>
      </c>
      <c r="AN1251" s="6" t="n">
        <v>1.337797514411456</v>
      </c>
      <c r="AO1251" s="6" t="n">
        <v>1.343867425446737</v>
      </c>
      <c r="AP1251" s="6" t="n">
        <v>0.1336406779584048</v>
      </c>
      <c r="AQ1251" s="6" t="n">
        <v>0</v>
      </c>
      <c r="AR1251" s="6" t="n">
        <v>0</v>
      </c>
    </row>
    <row r="1252">
      <c r="D1252" t="inlineStr">
        <is>
          <t>Run 940</t>
        </is>
      </c>
      <c r="J1252" s="6" t="n">
        <v>3.369598858510356</v>
      </c>
      <c r="K1252" s="6" t="n">
        <v>-2.230918573389615</v>
      </c>
      <c r="L1252" s="6" t="n">
        <v>2.471795835116893</v>
      </c>
      <c r="M1252" s="6" t="n">
        <v>-4.491822840079151</v>
      </c>
      <c r="N1252" s="6" t="n">
        <v>2.232881283535396</v>
      </c>
      <c r="O1252" s="6" t="n">
        <v>0.6324819100201257</v>
      </c>
      <c r="P1252" s="6" t="n">
        <v>-0.4744155807820783</v>
      </c>
      <c r="Q1252" s="6" t="n">
        <v>-1.264963924943127</v>
      </c>
      <c r="R1252" s="6" t="n">
        <v>1.489858998435094</v>
      </c>
      <c r="S1252" s="6" t="n">
        <v>-0.9363809390895861</v>
      </c>
      <c r="T1252" s="6" t="n">
        <v>-2.299266803683182</v>
      </c>
      <c r="U1252" s="6" t="n">
        <v>-0.946467929873308</v>
      </c>
      <c r="V1252" s="6" t="n">
        <v>-2.286862126125743</v>
      </c>
      <c r="W1252" s="6" t="n">
        <v>-1.360551202056155</v>
      </c>
      <c r="X1252" s="6" t="n">
        <v>-2.711762737881676</v>
      </c>
      <c r="Y1252" s="6" t="n">
        <v>0.56990719667862</v>
      </c>
      <c r="Z1252" s="6" t="n">
        <v>-0.1519302289878374</v>
      </c>
      <c r="AA1252" s="6" t="n">
        <v>-1.924842502815558</v>
      </c>
      <c r="AB1252" s="6" t="n">
        <v>-0.6784501421114207</v>
      </c>
      <c r="AC1252" s="6" t="n">
        <v>1.793515357747092</v>
      </c>
      <c r="AD1252" s="6" t="n">
        <v>-0.1275474002278839</v>
      </c>
      <c r="AE1252" s="6" t="n">
        <v>4.256934870810269</v>
      </c>
      <c r="AF1252" s="6" t="n">
        <v>-1.020845569375137</v>
      </c>
      <c r="AG1252" s="6" t="n">
        <v>1.209901944993309</v>
      </c>
      <c r="AH1252" s="6" t="n">
        <v>0.9022748632653331</v>
      </c>
      <c r="AI1252" s="6" t="n">
        <v>1.119953735852684</v>
      </c>
      <c r="AJ1252" s="6" t="n">
        <v>77.0665852861035</v>
      </c>
      <c r="AK1252" s="6" t="n">
        <v>0.1265441113658556</v>
      </c>
      <c r="AL1252" s="6" t="n">
        <v>1.023260796289127</v>
      </c>
      <c r="AN1252" s="6" t="n">
        <v>1.305574791267909</v>
      </c>
      <c r="AO1252" s="6" t="n">
        <v>1.321168861178394</v>
      </c>
      <c r="AP1252" s="6" t="n">
        <v>0.1350573765302099</v>
      </c>
      <c r="AQ1252" s="6" t="n">
        <v>0</v>
      </c>
      <c r="AR1252" s="6" t="n">
        <v>0</v>
      </c>
    </row>
    <row r="1253">
      <c r="D1253" t="inlineStr">
        <is>
          <t>Run 941</t>
        </is>
      </c>
      <c r="J1253" s="6" t="n">
        <v>-2.777311941359063</v>
      </c>
      <c r="K1253" s="6" t="n">
        <v>2.311705395910344</v>
      </c>
      <c r="L1253" s="6" t="n">
        <v>-1.259634269814553</v>
      </c>
      <c r="M1253" s="6" t="n">
        <v>-0.09695378845162378</v>
      </c>
      <c r="N1253" s="6" t="n">
        <v>-0.1377725533532897</v>
      </c>
      <c r="O1253" s="6" t="n">
        <v>-1.176343561340897</v>
      </c>
      <c r="P1253" s="6" t="n">
        <v>3.140222967265775</v>
      </c>
      <c r="Q1253" s="6" t="n">
        <v>0.1353996485466012</v>
      </c>
      <c r="R1253" s="6" t="n">
        <v>0.8346919930356214</v>
      </c>
      <c r="S1253" s="6" t="n">
        <v>0.3541508615047878</v>
      </c>
      <c r="T1253" s="6" t="n">
        <v>-1.245468965165444</v>
      </c>
      <c r="U1253" s="6" t="n">
        <v>0.2818382105899786</v>
      </c>
      <c r="V1253" s="6" t="n">
        <v>2.627200774611892</v>
      </c>
      <c r="W1253" s="6" t="n">
        <v>-3.146721018183676</v>
      </c>
      <c r="X1253" s="6" t="n">
        <v>3.405134568343856</v>
      </c>
      <c r="Y1253" s="6" t="n">
        <v>-0.7348312592024162</v>
      </c>
      <c r="Z1253" s="6" t="n">
        <v>-0.0834909294091747</v>
      </c>
      <c r="AA1253" s="6" t="n">
        <v>1.733934188025354</v>
      </c>
      <c r="AB1253" s="6" t="n">
        <v>1.924238003706479</v>
      </c>
      <c r="AC1253" s="6" t="n">
        <v>-0.5038713945675025</v>
      </c>
      <c r="AD1253" s="6" t="n">
        <v>-2.99436342636581</v>
      </c>
      <c r="AE1253" s="6" t="n">
        <v>1.530803763571018</v>
      </c>
      <c r="AF1253" s="6" t="n">
        <v>-0.9933472101996176</v>
      </c>
      <c r="AG1253" s="6" t="n">
        <v>-2.001186452275829</v>
      </c>
      <c r="AH1253" s="6" t="n">
        <v>1.465011400364449</v>
      </c>
      <c r="AI1253" s="6" t="n">
        <v>-0.135578260986703</v>
      </c>
      <c r="AJ1253" s="6" t="n">
        <v>71.70808654416052</v>
      </c>
      <c r="AK1253" s="6" t="n">
        <v>0.08068392036193187</v>
      </c>
      <c r="AL1253" s="6" t="n">
        <v>1.089884306535415</v>
      </c>
      <c r="AN1253" s="6" t="n">
        <v>1.337180975549519</v>
      </c>
      <c r="AO1253" s="6" t="n">
        <v>1.338510875851156</v>
      </c>
      <c r="AP1253" s="6" t="n">
        <v>0.1307172920663081</v>
      </c>
      <c r="AQ1253" s="6" t="n">
        <v>0</v>
      </c>
      <c r="AR1253" s="6" t="n">
        <v>0</v>
      </c>
    </row>
    <row r="1254">
      <c r="D1254" t="inlineStr">
        <is>
          <t>Run 942</t>
        </is>
      </c>
      <c r="J1254" s="6" t="n">
        <v>-3.159083454585033</v>
      </c>
      <c r="K1254" s="6" t="n">
        <v>-1.777557726249742</v>
      </c>
      <c r="L1254" s="6" t="n">
        <v>-0.5842153339663051</v>
      </c>
      <c r="M1254" s="6" t="n">
        <v>-0.489765506971286</v>
      </c>
      <c r="N1254" s="6" t="n">
        <v>1.051784700301486</v>
      </c>
      <c r="O1254" s="6" t="n">
        <v>1.637596305996665</v>
      </c>
      <c r="P1254" s="6" t="n">
        <v>-0.4909420567067331</v>
      </c>
      <c r="Q1254" s="6" t="n">
        <v>1.086502005732414</v>
      </c>
      <c r="R1254" s="6" t="n">
        <v>0.08111266570186505</v>
      </c>
      <c r="S1254" s="6" t="n">
        <v>0.8383655367315962</v>
      </c>
      <c r="T1254" s="6" t="n">
        <v>2.625370815255362</v>
      </c>
      <c r="U1254" s="6" t="n">
        <v>2.435213092464997</v>
      </c>
      <c r="V1254" s="6" t="n">
        <v>-1.787406726064583</v>
      </c>
      <c r="W1254" s="6" t="n">
        <v>-0.6088821071109827</v>
      </c>
      <c r="X1254" s="6" t="n">
        <v>1.55705419296123</v>
      </c>
      <c r="Y1254" s="6" t="n">
        <v>1.672564879133631</v>
      </c>
      <c r="Z1254" s="6" t="n">
        <v>2.605224907129553</v>
      </c>
      <c r="AA1254" s="6" t="n">
        <v>1.652372639743885</v>
      </c>
      <c r="AB1254" s="6" t="n">
        <v>-0.4229084953990163</v>
      </c>
      <c r="AC1254" s="6" t="n">
        <v>-0.123071188296126</v>
      </c>
      <c r="AD1254" s="6" t="n">
        <v>-3.659078844308461</v>
      </c>
      <c r="AE1254" s="6" t="n">
        <v>0.3427389184102286</v>
      </c>
      <c r="AF1254" s="6" t="n">
        <v>-1.316627688838172</v>
      </c>
      <c r="AG1254" s="6" t="n">
        <v>-1.03589308058988</v>
      </c>
      <c r="AH1254" s="6" t="n">
        <v>-1.01548379305083</v>
      </c>
      <c r="AI1254" s="6" t="n">
        <v>0.7475573467354893</v>
      </c>
      <c r="AJ1254" s="6" t="n">
        <v>78.07897995623337</v>
      </c>
      <c r="AK1254" s="6" t="n">
        <v>0.02920434287003264</v>
      </c>
      <c r="AL1254" s="6" t="n">
        <v>1.065615380804441</v>
      </c>
      <c r="AN1254" s="6" t="n">
        <v>1.352388267650857</v>
      </c>
      <c r="AO1254" s="6" t="n">
        <v>1.352592587912312</v>
      </c>
      <c r="AP1254" s="6" t="n">
        <v>0.1341169117433312</v>
      </c>
      <c r="AQ1254" s="6" t="n">
        <v>0</v>
      </c>
      <c r="AR1254" s="6" t="n">
        <v>0</v>
      </c>
    </row>
    <row r="1255">
      <c r="D1255" t="inlineStr">
        <is>
          <t>Run 943</t>
        </is>
      </c>
      <c r="J1255" s="6" t="n">
        <v>-0.990338377593353</v>
      </c>
      <c r="K1255" s="6" t="n">
        <v>-1.708476922007632</v>
      </c>
      <c r="L1255" s="6" t="n">
        <v>2.124032442976202</v>
      </c>
      <c r="M1255" s="6" t="n">
        <v>-1.481167511131094</v>
      </c>
      <c r="N1255" s="6" t="n">
        <v>1.895215533518094</v>
      </c>
      <c r="O1255" s="6" t="n">
        <v>1.917110430655478</v>
      </c>
      <c r="P1255" s="6" t="n">
        <v>2.336886340003105</v>
      </c>
      <c r="Q1255" s="6" t="n">
        <v>0.8660684972673254</v>
      </c>
      <c r="R1255" s="6" t="n">
        <v>1.829155049000346</v>
      </c>
      <c r="S1255" s="6" t="n">
        <v>0.1173417725672514</v>
      </c>
      <c r="T1255" s="6" t="n">
        <v>0.288229719971833</v>
      </c>
      <c r="U1255" s="6" t="n">
        <v>1.489770634614652</v>
      </c>
      <c r="V1255" s="6" t="n">
        <v>1.229950536575151</v>
      </c>
      <c r="W1255" s="6" t="n">
        <v>0.9325702905770183</v>
      </c>
      <c r="X1255" s="6" t="n">
        <v>0.9909107018937686</v>
      </c>
      <c r="Y1255" s="6" t="n">
        <v>1.472513019192139</v>
      </c>
      <c r="Z1255" s="6" t="n">
        <v>2.450434181725268</v>
      </c>
      <c r="AA1255" s="6" t="n">
        <v>-0.03128520281989539</v>
      </c>
      <c r="AB1255" s="6" t="n">
        <v>0.5399847428060618</v>
      </c>
      <c r="AC1255" s="6" t="n">
        <v>3.76661119284108</v>
      </c>
      <c r="AD1255" s="6" t="n">
        <v>-0.06451227883000837</v>
      </c>
      <c r="AE1255" s="6" t="n">
        <v>-0.9378027374707566</v>
      </c>
      <c r="AF1255" s="6" t="n">
        <v>0.1220563780040293</v>
      </c>
      <c r="AG1255" s="6" t="n">
        <v>2.447793581647305</v>
      </c>
      <c r="AH1255" s="6" t="n">
        <v>-3.591942514516876</v>
      </c>
      <c r="AI1255" s="6" t="n">
        <v>-0.4846530899024513</v>
      </c>
      <c r="AJ1255" s="6" t="n">
        <v>82.67996095910316</v>
      </c>
      <c r="AK1255" s="6" t="n">
        <v>0.08655448296021884</v>
      </c>
      <c r="AL1255" s="6" t="n">
        <v>1.040238957230326</v>
      </c>
      <c r="AN1255" s="6" t="n">
        <v>1.349219725062759</v>
      </c>
      <c r="AO1255" s="6" t="n">
        <v>1.352818863204639</v>
      </c>
      <c r="AP1255" s="6" t="n">
        <v>0.1351148912705142</v>
      </c>
      <c r="AQ1255" s="6" t="n">
        <v>0</v>
      </c>
      <c r="AR1255" s="6" t="n">
        <v>0</v>
      </c>
    </row>
    <row r="1256">
      <c r="D1256" t="inlineStr">
        <is>
          <t>Run 944</t>
        </is>
      </c>
      <c r="J1256" s="6" t="n">
        <v>-1.700741298961599</v>
      </c>
      <c r="K1256" s="6" t="n">
        <v>0.8629671402176914</v>
      </c>
      <c r="L1256" s="6" t="n">
        <v>0.4233796610711573</v>
      </c>
      <c r="M1256" s="6" t="n">
        <v>-4.071700825195042</v>
      </c>
      <c r="N1256" s="6" t="n">
        <v>1.860791036578896</v>
      </c>
      <c r="O1256" s="6" t="n">
        <v>-0.2408717229769571</v>
      </c>
      <c r="P1256" s="6" t="n">
        <v>-0.3261528781666684</v>
      </c>
      <c r="Q1256" s="6" t="n">
        <v>-0.3601584036873786</v>
      </c>
      <c r="R1256" s="6" t="n">
        <v>-0.402213078024528</v>
      </c>
      <c r="S1256" s="6" t="n">
        <v>-2.865988071714947</v>
      </c>
      <c r="T1256" s="6" t="n">
        <v>1.712747792563745</v>
      </c>
      <c r="U1256" s="6" t="n">
        <v>-0.900103452515588</v>
      </c>
      <c r="V1256" s="6" t="n">
        <v>-2.060698149194853</v>
      </c>
      <c r="W1256" s="6" t="n">
        <v>-2.20875121219937</v>
      </c>
      <c r="X1256" s="6" t="n">
        <v>1.877078312840883</v>
      </c>
      <c r="Y1256" s="6" t="n">
        <v>-0.6272380816867289</v>
      </c>
      <c r="Z1256" s="6" t="n">
        <v>0.3573390087175869</v>
      </c>
      <c r="AA1256" s="6" t="n">
        <v>-0.5872970678219326</v>
      </c>
      <c r="AB1256" s="6" t="n">
        <v>-2.793288915187111</v>
      </c>
      <c r="AC1256" s="6" t="n">
        <v>0.5783016632211565</v>
      </c>
      <c r="AD1256" s="6" t="n">
        <v>-2.745954580345175</v>
      </c>
      <c r="AE1256" s="6" t="n">
        <v>-1.253075300544389</v>
      </c>
      <c r="AF1256" s="6" t="n">
        <v>1.025513542314479</v>
      </c>
      <c r="AG1256" s="6" t="n">
        <v>0.8212141472935902</v>
      </c>
      <c r="AH1256" s="6" t="n">
        <v>0.1902174058143553</v>
      </c>
      <c r="AI1256" s="6" t="n">
        <v>1.34551142431177</v>
      </c>
      <c r="AJ1256" s="6" t="n">
        <v>78.59297633467827</v>
      </c>
      <c r="AK1256" s="6" t="n">
        <v>0.1663734061778181</v>
      </c>
      <c r="AL1256" s="6" t="n">
        <v>1.053030968030296</v>
      </c>
      <c r="AN1256" s="6" t="n">
        <v>1.299907261236743</v>
      </c>
      <c r="AO1256" s="6" t="n">
        <v>1.313511969271939</v>
      </c>
      <c r="AP1256" s="6" t="n">
        <v>0.1310205370529197</v>
      </c>
      <c r="AQ1256" s="6" t="n">
        <v>0</v>
      </c>
      <c r="AR1256" s="6" t="n">
        <v>0</v>
      </c>
    </row>
    <row r="1257">
      <c r="D1257" t="inlineStr">
        <is>
          <t>Run 945</t>
        </is>
      </c>
      <c r="J1257" s="6" t="n">
        <v>-3.658288319277266</v>
      </c>
      <c r="K1257" s="6" t="n">
        <v>-1.075373360184154</v>
      </c>
      <c r="L1257" s="6" t="n">
        <v>-3.662621409266608</v>
      </c>
      <c r="M1257" s="6" t="n">
        <v>-0.8010654289579324</v>
      </c>
      <c r="N1257" s="6" t="n">
        <v>0.6989973717570523</v>
      </c>
      <c r="O1257" s="6" t="n">
        <v>2.657609889532197</v>
      </c>
      <c r="P1257" s="6" t="n">
        <v>-3.347026627230747</v>
      </c>
      <c r="Q1257" s="6" t="n">
        <v>-1.447592968577422</v>
      </c>
      <c r="R1257" s="6" t="n">
        <v>-2.135173730891619</v>
      </c>
      <c r="S1257" s="6" t="n">
        <v>0.01617419882235272</v>
      </c>
      <c r="T1257" s="6" t="n">
        <v>-3.378758731784135</v>
      </c>
      <c r="U1257" s="6" t="n">
        <v>-3.699178647646493</v>
      </c>
      <c r="V1257" s="6" t="n">
        <v>-0.5161328947827807</v>
      </c>
      <c r="W1257" s="6" t="n">
        <v>5</v>
      </c>
      <c r="X1257" s="6" t="n">
        <v>1.859227427382828</v>
      </c>
      <c r="Y1257" s="6" t="n">
        <v>1.766188332371395</v>
      </c>
      <c r="Z1257" s="6" t="n">
        <v>-1.855677931378279</v>
      </c>
      <c r="AA1257" s="6" t="n">
        <v>-0.2141982600845713</v>
      </c>
      <c r="AB1257" s="6" t="n">
        <v>0.7856591974954745</v>
      </c>
      <c r="AC1257" s="6" t="n">
        <v>0.4725146901028658</v>
      </c>
      <c r="AD1257" s="6" t="n">
        <v>-0.4618617523511521</v>
      </c>
      <c r="AE1257" s="6" t="n">
        <v>1.842089900520588</v>
      </c>
      <c r="AF1257" s="6" t="n">
        <v>0.7872364694790791</v>
      </c>
      <c r="AG1257" s="6" t="n">
        <v>5</v>
      </c>
      <c r="AH1257" s="6" t="n">
        <v>-0.4856708616112536</v>
      </c>
      <c r="AI1257" s="6" t="n">
        <v>0.1842423958525575</v>
      </c>
      <c r="AJ1257" s="6" t="n">
        <v>80.63899242070072</v>
      </c>
      <c r="AK1257" s="6" t="n">
        <v>0.130593462245995</v>
      </c>
      <c r="AL1257" s="6" t="n">
        <v>1.023352701720191</v>
      </c>
      <c r="AN1257" s="6" t="n">
        <v>1.359504320497745</v>
      </c>
      <c r="AO1257" s="6" t="n">
        <v>1.36012431337959</v>
      </c>
      <c r="AP1257" s="6" t="n">
        <v>0.1357054700571783</v>
      </c>
      <c r="AQ1257" s="6" t="n">
        <v>0</v>
      </c>
      <c r="AR1257" s="6" t="n">
        <v>0</v>
      </c>
    </row>
    <row r="1258">
      <c r="D1258" t="inlineStr">
        <is>
          <t>Run 946</t>
        </is>
      </c>
      <c r="J1258" s="6" t="n">
        <v>0.1751848947887611</v>
      </c>
      <c r="K1258" s="6" t="n">
        <v>0.8104502158138862</v>
      </c>
      <c r="L1258" s="6" t="n">
        <v>-1.514772426377986</v>
      </c>
      <c r="M1258" s="6" t="n">
        <v>-0.234772544766744</v>
      </c>
      <c r="N1258" s="6" t="n">
        <v>-0.2235884496211244</v>
      </c>
      <c r="O1258" s="6" t="n">
        <v>-2.116586264192341</v>
      </c>
      <c r="P1258" s="6" t="n">
        <v>0.4533607734167341</v>
      </c>
      <c r="Q1258" s="6" t="n">
        <v>-2.375367140532431</v>
      </c>
      <c r="R1258" s="6" t="n">
        <v>5</v>
      </c>
      <c r="S1258" s="6" t="n">
        <v>1.855914466217129</v>
      </c>
      <c r="T1258" s="6" t="n">
        <v>-0.8553964818093912</v>
      </c>
      <c r="U1258" s="6" t="n">
        <v>-0.2600423903856185</v>
      </c>
      <c r="V1258" s="6" t="n">
        <v>-5.483847215712692</v>
      </c>
      <c r="W1258" s="6" t="n">
        <v>1.409920285207874</v>
      </c>
      <c r="X1258" s="6" t="n">
        <v>2.790708061931477</v>
      </c>
      <c r="Y1258" s="6" t="n">
        <v>-0.9998229522250759</v>
      </c>
      <c r="Z1258" s="6" t="n">
        <v>1.573965854931423</v>
      </c>
      <c r="AA1258" s="6" t="n">
        <v>0.2821357060484876</v>
      </c>
      <c r="AB1258" s="6" t="n">
        <v>2.187787832704788</v>
      </c>
      <c r="AC1258" s="6" t="n">
        <v>-0.2584215900624068</v>
      </c>
      <c r="AD1258" s="6" t="n">
        <v>0.4035400933247994</v>
      </c>
      <c r="AE1258" s="6" t="n">
        <v>1.095708986882764</v>
      </c>
      <c r="AF1258" s="6" t="n">
        <v>-2.383642463261974</v>
      </c>
      <c r="AG1258" s="6" t="n">
        <v>-1.49679610385704</v>
      </c>
      <c r="AH1258" s="6" t="n">
        <v>-0.3457119249262867</v>
      </c>
      <c r="AI1258" s="6" t="n">
        <v>-2.763731498934838</v>
      </c>
      <c r="AJ1258" s="6" t="n">
        <v>62.18272727848758</v>
      </c>
      <c r="AK1258" s="6" t="n">
        <v>0.04626231419392438</v>
      </c>
      <c r="AL1258" s="6" t="n">
        <v>1.08257686826707</v>
      </c>
      <c r="AN1258" s="6" t="n">
        <v>1.338336329073865</v>
      </c>
      <c r="AO1258" s="6" t="n">
        <v>1.338684888950118</v>
      </c>
      <c r="AP1258" s="6" t="n">
        <v>0.1310047603033518</v>
      </c>
      <c r="AQ1258" s="6" t="n">
        <v>0</v>
      </c>
      <c r="AR1258" s="6" t="n">
        <v>0</v>
      </c>
    </row>
    <row r="1259">
      <c r="D1259" t="inlineStr">
        <is>
          <t>Run 947</t>
        </is>
      </c>
      <c r="J1259" s="6" t="n">
        <v>1.296591695070241</v>
      </c>
      <c r="K1259" s="6" t="n">
        <v>-0.8983340219234074</v>
      </c>
      <c r="L1259" s="6" t="n">
        <v>0.0461433810993719</v>
      </c>
      <c r="M1259" s="6" t="n">
        <v>0.1053544444069986</v>
      </c>
      <c r="N1259" s="6" t="n">
        <v>-1.649375254095116</v>
      </c>
      <c r="O1259" s="6" t="n">
        <v>1.195959480479026</v>
      </c>
      <c r="P1259" s="6" t="n">
        <v>-0.1157898931623841</v>
      </c>
      <c r="Q1259" s="6" t="n">
        <v>0.2021106281136247</v>
      </c>
      <c r="R1259" s="6" t="n">
        <v>-2.013776606497087</v>
      </c>
      <c r="S1259" s="6" t="n">
        <v>-2.310661787170465</v>
      </c>
      <c r="T1259" s="6" t="n">
        <v>0.0793993227255072</v>
      </c>
      <c r="U1259" s="6" t="n">
        <v>-0.2479169055075237</v>
      </c>
      <c r="V1259" s="6" t="n">
        <v>-2.230456929158022</v>
      </c>
      <c r="W1259" s="6" t="n">
        <v>-0.3611151577894909</v>
      </c>
      <c r="X1259" s="6" t="n">
        <v>-0.2635663351719589</v>
      </c>
      <c r="Y1259" s="6" t="n">
        <v>-1.483852347434075</v>
      </c>
      <c r="Z1259" s="6" t="n">
        <v>0.3529429887321847</v>
      </c>
      <c r="AA1259" s="6" t="n">
        <v>1.307054626270255</v>
      </c>
      <c r="AB1259" s="6" t="n">
        <v>-1.042079367196111</v>
      </c>
      <c r="AC1259" s="6" t="n">
        <v>0.4902494321945374</v>
      </c>
      <c r="AD1259" s="6" t="n">
        <v>0.3440363315918289</v>
      </c>
      <c r="AE1259" s="6" t="n">
        <v>0.5995508049414892</v>
      </c>
      <c r="AF1259" s="6" t="n">
        <v>-1.960642092250063</v>
      </c>
      <c r="AG1259" s="6" t="n">
        <v>1.121626417940717</v>
      </c>
      <c r="AH1259" s="6" t="n">
        <v>-0.3503422371749426</v>
      </c>
      <c r="AI1259" s="6" t="n">
        <v>0.441017243285048</v>
      </c>
      <c r="AJ1259" s="6" t="n">
        <v>56.65328862702013</v>
      </c>
      <c r="AK1259" s="6" t="n">
        <v>0.1579168388115104</v>
      </c>
      <c r="AL1259" s="6" t="n">
        <v>1.06635493560964</v>
      </c>
      <c r="AN1259" s="6" t="n">
        <v>1.329873153455564</v>
      </c>
      <c r="AO1259" s="6" t="n">
        <v>1.329876926539759</v>
      </c>
      <c r="AP1259" s="6" t="n">
        <v>0.1296551852967357</v>
      </c>
      <c r="AQ1259" s="6" t="n">
        <v>0</v>
      </c>
      <c r="AR1259" s="6" t="n">
        <v>0</v>
      </c>
    </row>
    <row r="1260">
      <c r="D1260" t="inlineStr">
        <is>
          <t>Run 948</t>
        </is>
      </c>
      <c r="J1260" s="6" t="n">
        <v>1.465196891661885</v>
      </c>
      <c r="K1260" s="6" t="n">
        <v>-2.82043511635679</v>
      </c>
      <c r="L1260" s="6" t="n">
        <v>-0.01606845707802033</v>
      </c>
      <c r="M1260" s="6" t="n">
        <v>-3.269753116124874</v>
      </c>
      <c r="N1260" s="6" t="n">
        <v>3.143658822060367</v>
      </c>
      <c r="O1260" s="6" t="n">
        <v>-1.422721671399411</v>
      </c>
      <c r="P1260" s="6" t="n">
        <v>4.434635652971926</v>
      </c>
      <c r="Q1260" s="6" t="n">
        <v>3.342565640522848</v>
      </c>
      <c r="R1260" s="6" t="n">
        <v>-1.945301569414928</v>
      </c>
      <c r="S1260" s="6" t="n">
        <v>-2.130183139019416</v>
      </c>
      <c r="T1260" s="6" t="n">
        <v>-2.589035633607935</v>
      </c>
      <c r="U1260" s="6" t="n">
        <v>0.25937709399938</v>
      </c>
      <c r="V1260" s="6" t="n">
        <v>1.27096420228179</v>
      </c>
      <c r="W1260" s="6" t="n">
        <v>2.395964846775012</v>
      </c>
      <c r="X1260" s="6" t="n">
        <v>-0.3416057235176554</v>
      </c>
      <c r="Y1260" s="6" t="n">
        <v>-1.291841632416861</v>
      </c>
      <c r="Z1260" s="6" t="n">
        <v>3.207939718114353</v>
      </c>
      <c r="AA1260" s="6" t="n">
        <v>-2.974409292197268</v>
      </c>
      <c r="AB1260" s="6" t="n">
        <v>-1.2471122093793</v>
      </c>
      <c r="AC1260" s="6" t="n">
        <v>-1.090513779120199</v>
      </c>
      <c r="AD1260" s="6" t="n">
        <v>1.484166051017266</v>
      </c>
      <c r="AE1260" s="6" t="n">
        <v>-1.646075787995026</v>
      </c>
      <c r="AF1260" s="6" t="n">
        <v>0.6531737631287787</v>
      </c>
      <c r="AG1260" s="6" t="n">
        <v>-0.7978111521752659</v>
      </c>
      <c r="AH1260" s="6" t="n">
        <v>0.6315894182865146</v>
      </c>
      <c r="AI1260" s="6" t="n">
        <v>-2.170994642017201</v>
      </c>
      <c r="AJ1260" s="6" t="n">
        <v>74.38676210129883</v>
      </c>
      <c r="AK1260" s="6" t="n">
        <v>0.1458340007845661</v>
      </c>
      <c r="AL1260" s="6" t="n">
        <v>1.063665600133962</v>
      </c>
      <c r="AN1260" s="6" t="n">
        <v>1.308548053843377</v>
      </c>
      <c r="AO1260" s="6" t="n">
        <v>1.320423300924129</v>
      </c>
      <c r="AP1260" s="6" t="n">
        <v>0.1306919551845015</v>
      </c>
      <c r="AQ1260" s="6" t="n">
        <v>0</v>
      </c>
      <c r="AR1260" s="6" t="n">
        <v>0</v>
      </c>
    </row>
    <row r="1261">
      <c r="D1261" t="inlineStr">
        <is>
          <t>Run 949</t>
        </is>
      </c>
      <c r="J1261" s="6" t="n">
        <v>1.958584267391056</v>
      </c>
      <c r="K1261" s="6" t="n">
        <v>0.6070022532132631</v>
      </c>
      <c r="L1261" s="6" t="n">
        <v>0.5810048365422122</v>
      </c>
      <c r="M1261" s="6" t="n">
        <v>0.5818883375811001</v>
      </c>
      <c r="N1261" s="6" t="n">
        <v>0.8521226332155489</v>
      </c>
      <c r="O1261" s="6" t="n">
        <v>1.215258659235578</v>
      </c>
      <c r="P1261" s="6" t="n">
        <v>0.8280882782986975</v>
      </c>
      <c r="Q1261" s="6" t="n">
        <v>-1.447355890251969</v>
      </c>
      <c r="R1261" s="6" t="n">
        <v>-1.695348954457059</v>
      </c>
      <c r="S1261" s="6" t="n">
        <v>0.1334856273458351</v>
      </c>
      <c r="T1261" s="6" t="n">
        <v>2.305428865552706</v>
      </c>
      <c r="U1261" s="6" t="n">
        <v>-0.793387278634422</v>
      </c>
      <c r="V1261" s="6" t="n">
        <v>-0.8532453720001353</v>
      </c>
      <c r="W1261" s="6" t="n">
        <v>-1.554242356113924</v>
      </c>
      <c r="X1261" s="6" t="n">
        <v>-0.4598503431257169</v>
      </c>
      <c r="Y1261" s="6" t="n">
        <v>1.360358620853209</v>
      </c>
      <c r="Z1261" s="6" t="n">
        <v>0.431845515661191</v>
      </c>
      <c r="AA1261" s="6" t="n">
        <v>-0.3068267878097852</v>
      </c>
      <c r="AB1261" s="6" t="n">
        <v>0.3022933836565092</v>
      </c>
      <c r="AC1261" s="6" t="n">
        <v>4.073012442984227</v>
      </c>
      <c r="AD1261" s="6" t="n">
        <v>1.044170696309827</v>
      </c>
      <c r="AE1261" s="6" t="n">
        <v>1.019685475206616</v>
      </c>
      <c r="AF1261" s="6" t="n">
        <v>0.9858574769726084</v>
      </c>
      <c r="AG1261" s="6" t="n">
        <v>-0.3219824862255227</v>
      </c>
      <c r="AH1261" s="6" t="n">
        <v>2.616534202027038</v>
      </c>
      <c r="AI1261" s="6" t="n">
        <v>1.117029822134478</v>
      </c>
      <c r="AJ1261" s="6" t="n">
        <v>78.72391609959149</v>
      </c>
      <c r="AK1261" s="6" t="n">
        <v>0.1694412294692611</v>
      </c>
      <c r="AL1261" s="6" t="n">
        <v>1.076323775458692</v>
      </c>
      <c r="AN1261" s="6" t="n">
        <v>1.331358955711158</v>
      </c>
      <c r="AO1261" s="6" t="n">
        <v>1.331969349222699</v>
      </c>
      <c r="AP1261" s="6" t="n">
        <v>0.1293520266627801</v>
      </c>
      <c r="AQ1261" s="6" t="n">
        <v>0</v>
      </c>
      <c r="AR1261" s="6" t="n">
        <v>0</v>
      </c>
    </row>
    <row r="1262">
      <c r="D1262" t="inlineStr">
        <is>
          <t>Run 950</t>
        </is>
      </c>
      <c r="J1262" s="6" t="n">
        <v>2.210239598107182</v>
      </c>
      <c r="K1262" s="6" t="n">
        <v>1.353333451322002</v>
      </c>
      <c r="L1262" s="6" t="n">
        <v>-2.443657686192018</v>
      </c>
      <c r="M1262" s="6" t="n">
        <v>4.723640385163128</v>
      </c>
      <c r="N1262" s="6" t="n">
        <v>-2.422277223439339</v>
      </c>
      <c r="O1262" s="6" t="n">
        <v>2.644794845090551</v>
      </c>
      <c r="P1262" s="6" t="n">
        <v>-4.312537163383449</v>
      </c>
      <c r="Q1262" s="6" t="n">
        <v>0.9291827738885529</v>
      </c>
      <c r="R1262" s="6" t="n">
        <v>-1.70567726604095</v>
      </c>
      <c r="S1262" s="6" t="n">
        <v>-0.7333509204382097</v>
      </c>
      <c r="T1262" s="6" t="n">
        <v>-1.898021381643153</v>
      </c>
      <c r="U1262" s="6" t="n">
        <v>-0.7265750758766316</v>
      </c>
      <c r="V1262" s="6" t="n">
        <v>0.1605549075330932</v>
      </c>
      <c r="W1262" s="6" t="n">
        <v>2.561451722472628</v>
      </c>
      <c r="X1262" s="6" t="n">
        <v>-0.1458458993475927</v>
      </c>
      <c r="Y1262" s="6" t="n">
        <v>-1.340664395336301</v>
      </c>
      <c r="Z1262" s="6" t="n">
        <v>0.3905923743706916</v>
      </c>
      <c r="AA1262" s="6" t="n">
        <v>-1.930698286214072</v>
      </c>
      <c r="AB1262" s="6" t="n">
        <v>-1.567733690626429</v>
      </c>
      <c r="AC1262" s="6" t="n">
        <v>0.2133728826777027</v>
      </c>
      <c r="AD1262" s="6" t="n">
        <v>1.358164209233139</v>
      </c>
      <c r="AE1262" s="6" t="n">
        <v>1.999323376340928</v>
      </c>
      <c r="AF1262" s="6" t="n">
        <v>-0.26166173777865</v>
      </c>
      <c r="AG1262" s="6" t="n">
        <v>-0.3151727193945142</v>
      </c>
      <c r="AH1262" s="6" t="n">
        <v>-4.445073430590426</v>
      </c>
      <c r="AI1262" s="6" t="n">
        <v>-1.436393978854801</v>
      </c>
      <c r="AJ1262" s="6" t="n">
        <v>71.75973507604701</v>
      </c>
      <c r="AK1262" s="6" t="n">
        <v>0.100655938338401</v>
      </c>
      <c r="AL1262" s="6" t="n">
        <v>1.024557101865599</v>
      </c>
      <c r="AN1262" s="6" t="n">
        <v>1.351793964019236</v>
      </c>
      <c r="AO1262" s="6" t="n">
        <v>1.351793964019236</v>
      </c>
      <c r="AP1262" s="6" t="n">
        <v>0.1354792542081725</v>
      </c>
      <c r="AQ1262" s="6" t="n">
        <v>0</v>
      </c>
      <c r="AR1262" s="6" t="n">
        <v>0</v>
      </c>
    </row>
    <row r="1263">
      <c r="D1263" t="inlineStr">
        <is>
          <t>Run 951</t>
        </is>
      </c>
      <c r="J1263" s="6" t="n">
        <v>2.085355433703517</v>
      </c>
      <c r="K1263" s="6" t="n">
        <v>-2.229806006080965</v>
      </c>
      <c r="L1263" s="6" t="n">
        <v>-1.133504556099875</v>
      </c>
      <c r="M1263" s="6" t="n">
        <v>0.3093459787290901</v>
      </c>
      <c r="N1263" s="6" t="n">
        <v>-1.083634375079754</v>
      </c>
      <c r="O1263" s="6" t="n">
        <v>3.61832590511047</v>
      </c>
      <c r="P1263" s="6" t="n">
        <v>0.0242345868285044</v>
      </c>
      <c r="Q1263" s="6" t="n">
        <v>-3.318274027875541</v>
      </c>
      <c r="R1263" s="6" t="n">
        <v>-2.753430904178142</v>
      </c>
      <c r="S1263" s="6" t="n">
        <v>1.771755976651759</v>
      </c>
      <c r="T1263" s="6" t="n">
        <v>0.598056736563513</v>
      </c>
      <c r="U1263" s="6" t="n">
        <v>-0.2275794097594241</v>
      </c>
      <c r="V1263" s="6" t="n">
        <v>0.6438240279803318</v>
      </c>
      <c r="W1263" s="6" t="n">
        <v>-3.253840115816744</v>
      </c>
      <c r="X1263" s="6" t="n">
        <v>1.060928349572501</v>
      </c>
      <c r="Y1263" s="6" t="n">
        <v>-1.239453094651812</v>
      </c>
      <c r="Z1263" s="6" t="n">
        <v>0.3025844816613795</v>
      </c>
      <c r="AA1263" s="6" t="n">
        <v>-0.7347978967176023</v>
      </c>
      <c r="AB1263" s="6" t="n">
        <v>1.546688112042639</v>
      </c>
      <c r="AC1263" s="6" t="n">
        <v>2.154181330210056</v>
      </c>
      <c r="AD1263" s="6" t="n">
        <v>1.124106554341227</v>
      </c>
      <c r="AE1263" s="6" t="n">
        <v>-0.8836259354586151</v>
      </c>
      <c r="AF1263" s="6" t="n">
        <v>2.266538212031196</v>
      </c>
      <c r="AG1263" s="6" t="n">
        <v>0.2522883515435735</v>
      </c>
      <c r="AH1263" s="6" t="n">
        <v>0.1164971494350163</v>
      </c>
      <c r="AI1263" s="6" t="n">
        <v>0.8032028404578566</v>
      </c>
      <c r="AJ1263" s="6" t="n">
        <v>56.37795470957585</v>
      </c>
      <c r="AK1263" s="6" t="n">
        <v>0.1543843257703044</v>
      </c>
      <c r="AL1263" s="6" t="n">
        <v>1.109671255466101</v>
      </c>
      <c r="AN1263" s="6" t="n">
        <v>1.316467678222206</v>
      </c>
      <c r="AO1263" s="6" t="n">
        <v>1.316963474661914</v>
      </c>
      <c r="AP1263" s="6" t="n">
        <v>0.1272669239004581</v>
      </c>
      <c r="AQ1263" s="6" t="n">
        <v>0</v>
      </c>
      <c r="AR1263" s="6" t="n">
        <v>0</v>
      </c>
    </row>
    <row r="1264">
      <c r="D1264" t="inlineStr">
        <is>
          <t>Run 952</t>
        </is>
      </c>
      <c r="J1264" s="6" t="n">
        <v>3.244124068053338</v>
      </c>
      <c r="K1264" s="6" t="n">
        <v>1.706615746199878</v>
      </c>
      <c r="L1264" s="6" t="n">
        <v>-0.3642685168411763</v>
      </c>
      <c r="M1264" s="6" t="n">
        <v>-1.206500360268624</v>
      </c>
      <c r="N1264" s="6" t="n">
        <v>-2.257081793094189</v>
      </c>
      <c r="O1264" s="6" t="n">
        <v>-1.129131229683614</v>
      </c>
      <c r="P1264" s="6" t="n">
        <v>-0.3245666931368685</v>
      </c>
      <c r="Q1264" s="6" t="n">
        <v>2.463033189414903</v>
      </c>
      <c r="R1264" s="6" t="n">
        <v>1.549991454519034</v>
      </c>
      <c r="S1264" s="6" t="n">
        <v>-1.216732379146151</v>
      </c>
      <c r="T1264" s="6" t="n">
        <v>0.9389051920575527</v>
      </c>
      <c r="U1264" s="6" t="n">
        <v>-0.1663472884187851</v>
      </c>
      <c r="V1264" s="6" t="n">
        <v>-4.11355670379977</v>
      </c>
      <c r="W1264" s="6" t="n">
        <v>1.149188384350687</v>
      </c>
      <c r="X1264" s="6" t="n">
        <v>4.171288716051839</v>
      </c>
      <c r="Y1264" s="6" t="n">
        <v>-2.349892002170154</v>
      </c>
      <c r="Z1264" s="6" t="n">
        <v>-2.248797800026217</v>
      </c>
      <c r="AA1264" s="6" t="n">
        <v>-0.8115261855597318</v>
      </c>
      <c r="AB1264" s="6" t="n">
        <v>-2.826406235676762</v>
      </c>
      <c r="AC1264" s="6" t="n">
        <v>-0.6741999595798716</v>
      </c>
      <c r="AD1264" s="6" t="n">
        <v>-2.459378693634296</v>
      </c>
      <c r="AE1264" s="6" t="n">
        <v>2.392119363060774</v>
      </c>
      <c r="AF1264" s="6" t="n">
        <v>0.1687207136798458</v>
      </c>
      <c r="AG1264" s="6" t="n">
        <v>-1.859678245366023</v>
      </c>
      <c r="AH1264" s="6" t="n">
        <v>-1.538527945511846</v>
      </c>
      <c r="AI1264" s="6" t="n">
        <v>1.097687648465653</v>
      </c>
      <c r="AJ1264" s="6" t="n">
        <v>83.07606825338023</v>
      </c>
      <c r="AK1264" s="6" t="n">
        <v>0.07648413746695723</v>
      </c>
      <c r="AL1264" s="6" t="n">
        <v>1.017810686768143</v>
      </c>
      <c r="AN1264" s="6" t="n">
        <v>1.361591753898193</v>
      </c>
      <c r="AO1264" s="6" t="n">
        <v>1.361727984506475</v>
      </c>
      <c r="AP1264" s="6" t="n">
        <v>0.1382609142241258</v>
      </c>
      <c r="AQ1264" s="6" t="n">
        <v>0</v>
      </c>
      <c r="AR1264" s="6" t="n">
        <v>0</v>
      </c>
    </row>
    <row r="1265">
      <c r="D1265" t="inlineStr">
        <is>
          <t>Run 953</t>
        </is>
      </c>
      <c r="J1265" s="6" t="n">
        <v>0.4399573114988614</v>
      </c>
      <c r="K1265" s="6" t="n">
        <v>-3.69685810374946</v>
      </c>
      <c r="L1265" s="6" t="n">
        <v>0.3292984773694381</v>
      </c>
      <c r="M1265" s="6" t="n">
        <v>-1.271472354954109</v>
      </c>
      <c r="N1265" s="6" t="n">
        <v>-1.179598589342768</v>
      </c>
      <c r="O1265" s="6" t="n">
        <v>1.64482561238357</v>
      </c>
      <c r="P1265" s="6" t="n">
        <v>-2.291245671503367</v>
      </c>
      <c r="Q1265" s="6" t="n">
        <v>0.7388881454639979</v>
      </c>
      <c r="R1265" s="6" t="n">
        <v>-1.04076295570584</v>
      </c>
      <c r="S1265" s="6" t="n">
        <v>0.7298152388217576</v>
      </c>
      <c r="T1265" s="6" t="n">
        <v>-2.671101160647148</v>
      </c>
      <c r="U1265" s="6" t="n">
        <v>-3.047274973251191</v>
      </c>
      <c r="V1265" s="6" t="n">
        <v>1.813403370743603</v>
      </c>
      <c r="W1265" s="6" t="n">
        <v>3.406430229307098</v>
      </c>
      <c r="X1265" s="6" t="n">
        <v>-2.3834258699486</v>
      </c>
      <c r="Y1265" s="6" t="n">
        <v>-3.563211233971053</v>
      </c>
      <c r="Z1265" s="6" t="n">
        <v>2.4567065932296</v>
      </c>
      <c r="AA1265" s="6" t="n">
        <v>2.364636268138733</v>
      </c>
      <c r="AB1265" s="6" t="n">
        <v>-3.422474910216658</v>
      </c>
      <c r="AC1265" s="6" t="n">
        <v>-0.3825776461964061</v>
      </c>
      <c r="AD1265" s="6" t="n">
        <v>-2.095195745872894</v>
      </c>
      <c r="AE1265" s="6" t="n">
        <v>-1.614592494795954</v>
      </c>
      <c r="AF1265" s="6" t="n">
        <v>1.481063711531632</v>
      </c>
      <c r="AG1265" s="6" t="n">
        <v>0.2173217135476601</v>
      </c>
      <c r="AH1265" s="6" t="n">
        <v>-1.681550620871427</v>
      </c>
      <c r="AI1265" s="6" t="n">
        <v>-1.561484017820534</v>
      </c>
      <c r="AJ1265" s="6" t="n">
        <v>72.72080334518651</v>
      </c>
      <c r="AK1265" s="6" t="n">
        <v>0.1055688436981927</v>
      </c>
      <c r="AL1265" s="6" t="n">
        <v>1.056342630545759</v>
      </c>
      <c r="AN1265" s="6" t="n">
        <v>1.340736042409058</v>
      </c>
      <c r="AO1265" s="6" t="n">
        <v>1.343790895090631</v>
      </c>
      <c r="AP1265" s="6" t="n">
        <v>0.1321041570192032</v>
      </c>
      <c r="AQ1265" s="6" t="n">
        <v>0</v>
      </c>
      <c r="AR1265" s="6" t="n">
        <v>0</v>
      </c>
    </row>
    <row r="1266">
      <c r="D1266" t="inlineStr">
        <is>
          <t>Run 954</t>
        </is>
      </c>
      <c r="J1266" s="6" t="n">
        <v>-2.639142490324828</v>
      </c>
      <c r="K1266" s="6" t="n">
        <v>-0.3750495197314067</v>
      </c>
      <c r="L1266" s="6" t="n">
        <v>2.811412203845752</v>
      </c>
      <c r="M1266" s="6" t="n">
        <v>-3.904771035156015</v>
      </c>
      <c r="N1266" s="6" t="n">
        <v>-0.9458200887734466</v>
      </c>
      <c r="O1266" s="6" t="n">
        <v>1.356165099020965</v>
      </c>
      <c r="P1266" s="6" t="n">
        <v>0.378531239499839</v>
      </c>
      <c r="Q1266" s="6" t="n">
        <v>-0.651944831170584</v>
      </c>
      <c r="R1266" s="6" t="n">
        <v>3.185917841968557</v>
      </c>
      <c r="S1266" s="6" t="n">
        <v>-3.522577750202632</v>
      </c>
      <c r="T1266" s="6" t="n">
        <v>-0.1290953802926208</v>
      </c>
      <c r="U1266" s="6" t="n">
        <v>0.8806187154876876</v>
      </c>
      <c r="V1266" s="6" t="n">
        <v>0.1619404800520443</v>
      </c>
      <c r="W1266" s="6" t="n">
        <v>1.322187721854804</v>
      </c>
      <c r="X1266" s="6" t="n">
        <v>1.861275095816877</v>
      </c>
      <c r="Y1266" s="6" t="n">
        <v>-3.15928625668281</v>
      </c>
      <c r="Z1266" s="6" t="n">
        <v>1.454023254506647</v>
      </c>
      <c r="AA1266" s="6" t="n">
        <v>0.3713290611938347</v>
      </c>
      <c r="AB1266" s="6" t="n">
        <v>1.226562231253925</v>
      </c>
      <c r="AC1266" s="6" t="n">
        <v>-1.200720826426205</v>
      </c>
      <c r="AD1266" s="6" t="n">
        <v>1.660458620407409</v>
      </c>
      <c r="AE1266" s="6" t="n">
        <v>-4.017621927324527</v>
      </c>
      <c r="AF1266" s="6" t="n">
        <v>0.9625932992132974</v>
      </c>
      <c r="AG1266" s="6" t="n">
        <v>2.219656392694184</v>
      </c>
      <c r="AH1266" s="6" t="n">
        <v>-1.751998276687533</v>
      </c>
      <c r="AI1266" s="6" t="n">
        <v>0.1332787014679853</v>
      </c>
      <c r="AJ1266" s="6" t="n">
        <v>77.16340546288018</v>
      </c>
      <c r="AK1266" s="6" t="n">
        <v>0.1350660138361221</v>
      </c>
      <c r="AL1266" s="6" t="n">
        <v>1.054816866372013</v>
      </c>
      <c r="AN1266" s="6" t="n">
        <v>1.303477864566732</v>
      </c>
      <c r="AO1266" s="6" t="n">
        <v>1.311124397301605</v>
      </c>
      <c r="AP1266" s="6" t="n">
        <v>0.1313086712350592</v>
      </c>
      <c r="AQ1266" s="6" t="n">
        <v>0</v>
      </c>
      <c r="AR1266" s="6" t="n">
        <v>0</v>
      </c>
    </row>
    <row r="1267">
      <c r="D1267" t="inlineStr">
        <is>
          <t>Run 955</t>
        </is>
      </c>
      <c r="J1267" s="6" t="n">
        <v>1.396893716152737</v>
      </c>
      <c r="K1267" s="6" t="n">
        <v>-0.8423270488876452</v>
      </c>
      <c r="L1267" s="6" t="n">
        <v>2.29691514866009</v>
      </c>
      <c r="M1267" s="6" t="n">
        <v>2.55216901240397</v>
      </c>
      <c r="N1267" s="6" t="n">
        <v>-0.1664261981479726</v>
      </c>
      <c r="O1267" s="6" t="n">
        <v>-2.95530826698005</v>
      </c>
      <c r="P1267" s="6" t="n">
        <v>-0.05888059980397224</v>
      </c>
      <c r="Q1267" s="6" t="n">
        <v>-1.769216183513204</v>
      </c>
      <c r="R1267" s="6" t="n">
        <v>2.189345545607096</v>
      </c>
      <c r="S1267" s="6" t="n">
        <v>-0.2770347429081625</v>
      </c>
      <c r="T1267" s="6" t="n">
        <v>-2.161101902282145</v>
      </c>
      <c r="U1267" s="6" t="n">
        <v>0.153372242204151</v>
      </c>
      <c r="V1267" s="6" t="n">
        <v>-0.04729760079254716</v>
      </c>
      <c r="W1267" s="6" t="n">
        <v>0.4307443746502869</v>
      </c>
      <c r="X1267" s="6" t="n">
        <v>3.868199107385772</v>
      </c>
      <c r="Y1267" s="6" t="n">
        <v>-2.154521730462498</v>
      </c>
      <c r="Z1267" s="6" t="n">
        <v>-0.4334576147295791</v>
      </c>
      <c r="AA1267" s="6" t="n">
        <v>1.33679584796778</v>
      </c>
      <c r="AB1267" s="6" t="n">
        <v>1.092038829101277</v>
      </c>
      <c r="AC1267" s="6" t="n">
        <v>0.6716742282161204</v>
      </c>
      <c r="AD1267" s="6" t="n">
        <v>-0.8992955319484668</v>
      </c>
      <c r="AE1267" s="6" t="n">
        <v>-2.129649785008947</v>
      </c>
      <c r="AF1267" s="6" t="n">
        <v>-4.25284074781743</v>
      </c>
      <c r="AG1267" s="6" t="n">
        <v>-2.172100037611697</v>
      </c>
      <c r="AH1267" s="6" t="n">
        <v>0.6229984495352155</v>
      </c>
      <c r="AI1267" s="6" t="n">
        <v>2.348683794655928</v>
      </c>
      <c r="AJ1267" s="6" t="n">
        <v>82.15152889496686</v>
      </c>
      <c r="AK1267" s="6" t="n">
        <v>0.1021897135277369</v>
      </c>
      <c r="AL1267" s="6" t="n">
        <v>1.037223713608158</v>
      </c>
      <c r="AN1267" s="6" t="n">
        <v>1.354267366650664</v>
      </c>
      <c r="AO1267" s="6" t="n">
        <v>1.354267366650664</v>
      </c>
      <c r="AP1267" s="6" t="n">
        <v>0.1347297253835547</v>
      </c>
      <c r="AQ1267" s="6" t="n">
        <v>0</v>
      </c>
      <c r="AR1267" s="6" t="n">
        <v>0</v>
      </c>
    </row>
    <row r="1268">
      <c r="D1268" t="inlineStr">
        <is>
          <t>Run 956</t>
        </is>
      </c>
      <c r="J1268" s="6" t="n">
        <v>-0.892567722762739</v>
      </c>
      <c r="K1268" s="6" t="n">
        <v>2.585157295415639</v>
      </c>
      <c r="L1268" s="6" t="n">
        <v>-4.008424538561223</v>
      </c>
      <c r="M1268" s="6" t="n">
        <v>1.099339806642248</v>
      </c>
      <c r="N1268" s="6" t="n">
        <v>0.3181292050993484</v>
      </c>
      <c r="O1268" s="6" t="n">
        <v>-0.8038006977227246</v>
      </c>
      <c r="P1268" s="6" t="n">
        <v>-0.1763770802806039</v>
      </c>
      <c r="Q1268" s="6" t="n">
        <v>-6.616161188242928</v>
      </c>
      <c r="R1268" s="6" t="n">
        <v>-2.570009848314524</v>
      </c>
      <c r="S1268" s="6" t="n">
        <v>-0.969472977825399</v>
      </c>
      <c r="T1268" s="6" t="n">
        <v>0.3299854932439383</v>
      </c>
      <c r="U1268" s="6" t="n">
        <v>0.2955749938626526</v>
      </c>
      <c r="V1268" s="6" t="n">
        <v>-0.8738473916595118</v>
      </c>
      <c r="W1268" s="6" t="n">
        <v>2.681110906911434</v>
      </c>
      <c r="X1268" s="6" t="n">
        <v>1.23179448273606</v>
      </c>
      <c r="Y1268" s="6" t="n">
        <v>0.06341318877078111</v>
      </c>
      <c r="Z1268" s="6" t="n">
        <v>-1.474939711225007</v>
      </c>
      <c r="AA1268" s="6" t="n">
        <v>-2.298971133417545</v>
      </c>
      <c r="AB1268" s="6" t="n">
        <v>-3.954131673761669</v>
      </c>
      <c r="AC1268" s="6" t="n">
        <v>-1.262733552401858</v>
      </c>
      <c r="AD1268" s="6" t="n">
        <v>-3.598481030326087</v>
      </c>
      <c r="AE1268" s="6" t="n">
        <v>-0.5205869527366642</v>
      </c>
      <c r="AF1268" s="6" t="n">
        <v>2.897863327860775</v>
      </c>
      <c r="AG1268" s="6" t="n">
        <v>-1.862012408042133</v>
      </c>
      <c r="AH1268" s="6" t="n">
        <v>-1.623715990667406</v>
      </c>
      <c r="AI1268" s="6" t="n">
        <v>0.9146331309615592</v>
      </c>
      <c r="AJ1268" s="6" t="n">
        <v>77.02299618914644</v>
      </c>
      <c r="AK1268" s="6" t="n">
        <v>0.17495318594752</v>
      </c>
      <c r="AL1268" s="6" t="n">
        <v>1.108118181543044</v>
      </c>
      <c r="AN1268" s="6" t="n">
        <v>1.29147012215257</v>
      </c>
      <c r="AO1268" s="6" t="n">
        <v>1.301657181212654</v>
      </c>
      <c r="AP1268" s="6" t="n">
        <v>0.1268974582590019</v>
      </c>
      <c r="AQ1268" s="6" t="n">
        <v>0</v>
      </c>
      <c r="AR1268" s="6" t="n">
        <v>0</v>
      </c>
    </row>
    <row r="1269">
      <c r="D1269" t="inlineStr">
        <is>
          <t>Run 957</t>
        </is>
      </c>
      <c r="J1269" s="6" t="n">
        <v>2.47407739860286</v>
      </c>
      <c r="K1269" s="6" t="n">
        <v>3.572965855958214</v>
      </c>
      <c r="L1269" s="6" t="n">
        <v>-2.171494709832464</v>
      </c>
      <c r="M1269" s="6" t="n">
        <v>1.359357401950602</v>
      </c>
      <c r="N1269" s="6" t="n">
        <v>0.7701536889965276</v>
      </c>
      <c r="O1269" s="6" t="n">
        <v>0.3022638008913703</v>
      </c>
      <c r="P1269" s="6" t="n">
        <v>0.08384641273024171</v>
      </c>
      <c r="Q1269" s="6" t="n">
        <v>5</v>
      </c>
      <c r="R1269" s="6" t="n">
        <v>1.770542522183989</v>
      </c>
      <c r="S1269" s="6" t="n">
        <v>1.989926306489427</v>
      </c>
      <c r="T1269" s="6" t="n">
        <v>0.455837331355305</v>
      </c>
      <c r="U1269" s="6" t="n">
        <v>-1.438060276112201</v>
      </c>
      <c r="V1269" s="6" t="n">
        <v>4.244849851699613</v>
      </c>
      <c r="W1269" s="6" t="n">
        <v>2.113241100884131</v>
      </c>
      <c r="X1269" s="6" t="n">
        <v>2.426005903641672</v>
      </c>
      <c r="Y1269" s="6" t="n">
        <v>-1.498481302132401</v>
      </c>
      <c r="Z1269" s="6" t="n">
        <v>3.190198860105498</v>
      </c>
      <c r="AA1269" s="6" t="n">
        <v>1.897149051440919</v>
      </c>
      <c r="AB1269" s="6" t="n">
        <v>-0.1641789364624872</v>
      </c>
      <c r="AC1269" s="6" t="n">
        <v>-1.005249977714481</v>
      </c>
      <c r="AD1269" s="6" t="n">
        <v>-0.101187085792165</v>
      </c>
      <c r="AE1269" s="6" t="n">
        <v>0.6113591621975494</v>
      </c>
      <c r="AF1269" s="6" t="n">
        <v>-2.415167037948944</v>
      </c>
      <c r="AG1269" s="6" t="n">
        <v>0.4781610765871033</v>
      </c>
      <c r="AH1269" s="6" t="n">
        <v>4.834456408136083</v>
      </c>
      <c r="AI1269" s="6" t="n">
        <v>0.3330514133167842</v>
      </c>
      <c r="AJ1269" s="6" t="n">
        <v>77.89831201080342</v>
      </c>
      <c r="AK1269" s="6" t="n">
        <v>0.06265743705495506</v>
      </c>
      <c r="AL1269" s="6" t="n">
        <v>1.09174871879411</v>
      </c>
      <c r="AN1269" s="6" t="n">
        <v>1.341223943518586</v>
      </c>
      <c r="AO1269" s="6" t="n">
        <v>1.341231081289912</v>
      </c>
      <c r="AP1269" s="6" t="n">
        <v>0.1313179926091703</v>
      </c>
      <c r="AQ1269" s="6" t="n">
        <v>0</v>
      </c>
      <c r="AR1269" s="6" t="n">
        <v>0</v>
      </c>
    </row>
    <row r="1270">
      <c r="D1270" t="inlineStr">
        <is>
          <t>Run 958</t>
        </is>
      </c>
      <c r="J1270" s="6" t="n">
        <v>1.93128027547281</v>
      </c>
      <c r="K1270" s="6" t="n">
        <v>1.141576247094678</v>
      </c>
      <c r="L1270" s="6" t="n">
        <v>0.05106352652581679</v>
      </c>
      <c r="M1270" s="6" t="n">
        <v>0.9940359951732298</v>
      </c>
      <c r="N1270" s="6" t="n">
        <v>3.220384162978862</v>
      </c>
      <c r="O1270" s="6" t="n">
        <v>-2.757451578628184</v>
      </c>
      <c r="P1270" s="6" t="n">
        <v>1.438417202570246</v>
      </c>
      <c r="Q1270" s="6" t="n">
        <v>0.4703548284142585</v>
      </c>
      <c r="R1270" s="6" t="n">
        <v>0.4474607011348727</v>
      </c>
      <c r="S1270" s="6" t="n">
        <v>4.208758468900361</v>
      </c>
      <c r="T1270" s="6" t="n">
        <v>-3.267527187106784</v>
      </c>
      <c r="U1270" s="6" t="n">
        <v>-0.6368009130056816</v>
      </c>
      <c r="V1270" s="6" t="n">
        <v>-0.08716633421906014</v>
      </c>
      <c r="W1270" s="6" t="n">
        <v>-2.132013247763354</v>
      </c>
      <c r="X1270" s="6" t="n">
        <v>-0.7549886857567799</v>
      </c>
      <c r="Y1270" s="6" t="n">
        <v>-3.114955935373329</v>
      </c>
      <c r="Z1270" s="6" t="n">
        <v>-2.922597964410443</v>
      </c>
      <c r="AA1270" s="6" t="n">
        <v>2.796780604633328</v>
      </c>
      <c r="AB1270" s="6" t="n">
        <v>-0.8583859017051336</v>
      </c>
      <c r="AC1270" s="6" t="n">
        <v>-0.1760041105022226</v>
      </c>
      <c r="AD1270" s="6" t="n">
        <v>2.956003595639201</v>
      </c>
      <c r="AE1270" s="6" t="n">
        <v>-1.282946290741929</v>
      </c>
      <c r="AF1270" s="6" t="n">
        <v>-1.720692713757944</v>
      </c>
      <c r="AG1270" s="6" t="n">
        <v>4.54887253026094</v>
      </c>
      <c r="AH1270" s="6" t="n">
        <v>2.731396926434397</v>
      </c>
      <c r="AI1270" s="6" t="n">
        <v>2.307540627899972</v>
      </c>
      <c r="AJ1270" s="6" t="n">
        <v>75.73390221046589</v>
      </c>
      <c r="AK1270" s="6" t="n">
        <v>0.08050244312073804</v>
      </c>
      <c r="AL1270" s="6" t="n">
        <v>1.016505158287334</v>
      </c>
      <c r="AN1270" s="6" t="n">
        <v>1.355181597157298</v>
      </c>
      <c r="AO1270" s="6" t="n">
        <v>1.355181597157298</v>
      </c>
      <c r="AP1270" s="6" t="n">
        <v>0.1374050309769584</v>
      </c>
      <c r="AQ1270" s="6" t="n">
        <v>0</v>
      </c>
      <c r="AR1270" s="6" t="n">
        <v>0</v>
      </c>
    </row>
    <row r="1271">
      <c r="D1271" t="inlineStr">
        <is>
          <t>Run 959</t>
        </is>
      </c>
      <c r="J1271" s="6" t="n">
        <v>1.974104112696578</v>
      </c>
      <c r="K1271" s="6" t="n">
        <v>1.49517639275073</v>
      </c>
      <c r="L1271" s="6" t="n">
        <v>-0.6144890608247356</v>
      </c>
      <c r="M1271" s="6" t="n">
        <v>-0.07705110359900585</v>
      </c>
      <c r="N1271" s="6" t="n">
        <v>1.026120091103958</v>
      </c>
      <c r="O1271" s="6" t="n">
        <v>0.02057010098873819</v>
      </c>
      <c r="P1271" s="6" t="n">
        <v>-0.6255591991092991</v>
      </c>
      <c r="Q1271" s="6" t="n">
        <v>4.230828278114958</v>
      </c>
      <c r="R1271" s="6" t="n">
        <v>0.3469880536340643</v>
      </c>
      <c r="S1271" s="6" t="n">
        <v>3.547913189861552</v>
      </c>
      <c r="T1271" s="6" t="n">
        <v>-1.856340402241805</v>
      </c>
      <c r="U1271" s="6" t="n">
        <v>-1.713958226627532</v>
      </c>
      <c r="V1271" s="6" t="n">
        <v>-0.8785009485429225</v>
      </c>
      <c r="W1271" s="6" t="n">
        <v>1.42853130077714</v>
      </c>
      <c r="X1271" s="6" t="n">
        <v>-1.360714333450251</v>
      </c>
      <c r="Y1271" s="6" t="n">
        <v>0.438512683840752</v>
      </c>
      <c r="Z1271" s="6" t="n">
        <v>-1.301187293800026</v>
      </c>
      <c r="AA1271" s="6" t="n">
        <v>-0.2464502614066843</v>
      </c>
      <c r="AB1271" s="6" t="n">
        <v>-5.226762042350952</v>
      </c>
      <c r="AC1271" s="6" t="n">
        <v>-0.3532140204598117</v>
      </c>
      <c r="AD1271" s="6" t="n">
        <v>0.4760806460140006</v>
      </c>
      <c r="AE1271" s="6" t="n">
        <v>0.3377840915506299</v>
      </c>
      <c r="AF1271" s="6" t="n">
        <v>0.7718715756114395</v>
      </c>
      <c r="AG1271" s="6" t="n">
        <v>2.163883528738975</v>
      </c>
      <c r="AH1271" s="6" t="n">
        <v>-2.927818702903243</v>
      </c>
      <c r="AI1271" s="6" t="n">
        <v>-2.34008562819453</v>
      </c>
      <c r="AJ1271" s="6" t="n">
        <v>72.21203953328859</v>
      </c>
      <c r="AK1271" s="6" t="n">
        <v>0.1324686148515284</v>
      </c>
      <c r="AL1271" s="6" t="n">
        <v>1.090560164482903</v>
      </c>
      <c r="AN1271" s="6" t="n">
        <v>1.331306415845617</v>
      </c>
      <c r="AO1271" s="6" t="n">
        <v>1.331604735135511</v>
      </c>
      <c r="AP1271" s="6" t="n">
        <v>0.1294243224150629</v>
      </c>
      <c r="AQ1271" s="6" t="n">
        <v>0</v>
      </c>
      <c r="AR1271" s="6" t="n">
        <v>0</v>
      </c>
    </row>
    <row r="1272">
      <c r="D1272" t="inlineStr">
        <is>
          <t>Run 960</t>
        </is>
      </c>
      <c r="J1272" s="6" t="n">
        <v>2.498042448406363</v>
      </c>
      <c r="K1272" s="6" t="n">
        <v>0.3516661882429225</v>
      </c>
      <c r="L1272" s="6" t="n">
        <v>-3.349411467948122</v>
      </c>
      <c r="M1272" s="6" t="n">
        <v>-3.781383891582789</v>
      </c>
      <c r="N1272" s="6" t="n">
        <v>-3.491214535056667</v>
      </c>
      <c r="O1272" s="6" t="n">
        <v>-2.956620622633678</v>
      </c>
      <c r="P1272" s="6" t="n">
        <v>-1.75234571673735</v>
      </c>
      <c r="Q1272" s="6" t="n">
        <v>1.148526347751946</v>
      </c>
      <c r="R1272" s="6" t="n">
        <v>-1.194622387430329</v>
      </c>
      <c r="S1272" s="6" t="n">
        <v>0.8631189979566857</v>
      </c>
      <c r="T1272" s="6" t="n">
        <v>-0.9097001112054142</v>
      </c>
      <c r="U1272" s="6" t="n">
        <v>1.558844450344965</v>
      </c>
      <c r="V1272" s="6" t="n">
        <v>-0.3227193514897547</v>
      </c>
      <c r="W1272" s="6" t="n">
        <v>-0.594155628750473</v>
      </c>
      <c r="X1272" s="6" t="n">
        <v>-3.311105087064564</v>
      </c>
      <c r="Y1272" s="6" t="n">
        <v>1.990455926740364</v>
      </c>
      <c r="Z1272" s="6" t="n">
        <v>0.406976132160066</v>
      </c>
      <c r="AA1272" s="6" t="n">
        <v>2.404056050268084</v>
      </c>
      <c r="AB1272" s="6" t="n">
        <v>0.4554886430610071</v>
      </c>
      <c r="AC1272" s="6" t="n">
        <v>0.4677491124900896</v>
      </c>
      <c r="AD1272" s="6" t="n">
        <v>-0.8113508982997164</v>
      </c>
      <c r="AE1272" s="6" t="n">
        <v>1.963499387707249</v>
      </c>
      <c r="AF1272" s="6" t="n">
        <v>-2.055518904000158</v>
      </c>
      <c r="AG1272" s="6" t="n">
        <v>-1.027548902338073</v>
      </c>
      <c r="AH1272" s="6" t="n">
        <v>-0.005272064370189727</v>
      </c>
      <c r="AI1272" s="6" t="n">
        <v>1.716611949304638</v>
      </c>
      <c r="AJ1272" s="6" t="n">
        <v>65.86771069693741</v>
      </c>
      <c r="AK1272" s="6" t="n">
        <v>0.1202542644663688</v>
      </c>
      <c r="AL1272" s="6" t="n">
        <v>1.020536960397699</v>
      </c>
      <c r="AN1272" s="6" t="n">
        <v>1.308771886794771</v>
      </c>
      <c r="AO1272" s="6" t="n">
        <v>1.31261413443955</v>
      </c>
      <c r="AP1272" s="6" t="n">
        <v>0.1345104679957103</v>
      </c>
      <c r="AQ1272" s="6" t="n">
        <v>0</v>
      </c>
      <c r="AR1272" s="6" t="n">
        <v>0</v>
      </c>
    </row>
    <row r="1273">
      <c r="D1273" t="inlineStr">
        <is>
          <t>Run 961</t>
        </is>
      </c>
      <c r="J1273" s="6" t="n">
        <v>-3.165905244910207</v>
      </c>
      <c r="K1273" s="6" t="n">
        <v>-1.960166791847325</v>
      </c>
      <c r="L1273" s="6" t="n">
        <v>-0.7356967277433847</v>
      </c>
      <c r="M1273" s="6" t="n">
        <v>-2.192741138339253</v>
      </c>
      <c r="N1273" s="6" t="n">
        <v>3.128659682275853</v>
      </c>
      <c r="O1273" s="6" t="n">
        <v>2.1337382793141</v>
      </c>
      <c r="P1273" s="6" t="n">
        <v>1.253498645206935</v>
      </c>
      <c r="Q1273" s="6" t="n">
        <v>-1.058666077142169</v>
      </c>
      <c r="R1273" s="6" t="n">
        <v>1.982766718884838</v>
      </c>
      <c r="S1273" s="6" t="n">
        <v>-2.426321873688347</v>
      </c>
      <c r="T1273" s="6" t="n">
        <v>-2.150493952105105</v>
      </c>
      <c r="U1273" s="6" t="n">
        <v>0.2603818165846284</v>
      </c>
      <c r="V1273" s="6" t="n">
        <v>-2.65304071953529</v>
      </c>
      <c r="W1273" s="6" t="n">
        <v>-1.995278850936354</v>
      </c>
      <c r="X1273" s="6" t="n">
        <v>0.5557466745873888</v>
      </c>
      <c r="Y1273" s="6" t="n">
        <v>3.986571164296339</v>
      </c>
      <c r="Z1273" s="6" t="n">
        <v>-0.8545573964506347</v>
      </c>
      <c r="AA1273" s="6" t="n">
        <v>-0.3054159610425738</v>
      </c>
      <c r="AB1273" s="6" t="n">
        <v>-0.1468028092751433</v>
      </c>
      <c r="AC1273" s="6" t="n">
        <v>-2.064805714910728</v>
      </c>
      <c r="AD1273" s="6" t="n">
        <v>0.4808256922588738</v>
      </c>
      <c r="AE1273" s="6" t="n">
        <v>0.2375245263488036</v>
      </c>
      <c r="AF1273" s="6" t="n">
        <v>-1.565305659969728</v>
      </c>
      <c r="AG1273" s="6" t="n">
        <v>-1.380788104385855</v>
      </c>
      <c r="AH1273" s="6" t="n">
        <v>-3.712472383244369</v>
      </c>
      <c r="AI1273" s="6" t="n">
        <v>4.235571295120876</v>
      </c>
      <c r="AJ1273" s="6" t="n">
        <v>70.57743610108521</v>
      </c>
      <c r="AK1273" s="6" t="n">
        <v>0.1660503220498746</v>
      </c>
      <c r="AL1273" s="6" t="n">
        <v>1.056624839384172</v>
      </c>
      <c r="AN1273" s="6" t="n">
        <v>1.323536550446961</v>
      </c>
      <c r="AO1273" s="6" t="n">
        <v>1.32971720295187</v>
      </c>
      <c r="AP1273" s="6" t="n">
        <v>0.1306796581745214</v>
      </c>
      <c r="AQ1273" s="6" t="n">
        <v>0</v>
      </c>
      <c r="AR1273" s="6" t="n">
        <v>0</v>
      </c>
    </row>
    <row r="1274">
      <c r="D1274" t="inlineStr">
        <is>
          <t>Run 962</t>
        </is>
      </c>
      <c r="J1274" s="6" t="n">
        <v>-1.849483019733519</v>
      </c>
      <c r="K1274" s="6" t="n">
        <v>-3.528671070714372</v>
      </c>
      <c r="L1274" s="6" t="n">
        <v>0.5215866212479781</v>
      </c>
      <c r="M1274" s="6" t="n">
        <v>1.808172595799061</v>
      </c>
      <c r="N1274" s="6" t="n">
        <v>0.1219893790345356</v>
      </c>
      <c r="O1274" s="6" t="n">
        <v>1.132334649145056</v>
      </c>
      <c r="P1274" s="6" t="n">
        <v>4.354613958646494</v>
      </c>
      <c r="Q1274" s="6" t="n">
        <v>-0.7819708140422784</v>
      </c>
      <c r="R1274" s="6" t="n">
        <v>-0.6786066752573221</v>
      </c>
      <c r="S1274" s="6" t="n">
        <v>-0.1798199023516847</v>
      </c>
      <c r="T1274" s="6" t="n">
        <v>1.852201569827312</v>
      </c>
      <c r="U1274" s="6" t="n">
        <v>3.531582696541485</v>
      </c>
      <c r="V1274" s="6" t="n">
        <v>-0.4433979499689965</v>
      </c>
      <c r="W1274" s="6" t="n">
        <v>2.564609626897008</v>
      </c>
      <c r="X1274" s="6" t="n">
        <v>-0.2158442634871278</v>
      </c>
      <c r="Y1274" s="6" t="n">
        <v>0.5225129626421535</v>
      </c>
      <c r="Z1274" s="6" t="n">
        <v>-3.943910655550179</v>
      </c>
      <c r="AA1274" s="6" t="n">
        <v>-1.149672923720812</v>
      </c>
      <c r="AB1274" s="6" t="n">
        <v>2.185922002252999</v>
      </c>
      <c r="AC1274" s="6" t="n">
        <v>-0.5721599220757242</v>
      </c>
      <c r="AD1274" s="6" t="n">
        <v>1.352904927016823</v>
      </c>
      <c r="AE1274" s="6" t="n">
        <v>1.415772618801642</v>
      </c>
      <c r="AF1274" s="6" t="n">
        <v>2.712236844119841</v>
      </c>
      <c r="AG1274" s="6" t="n">
        <v>-0.8558389699864559</v>
      </c>
      <c r="AH1274" s="6" t="n">
        <v>-5.676050320967704</v>
      </c>
      <c r="AI1274" s="6" t="n">
        <v>-3.70026993588204</v>
      </c>
      <c r="AJ1274" s="6" t="n">
        <v>77.59143230178067</v>
      </c>
      <c r="AK1274" s="6" t="n">
        <v>0.06868821224272774</v>
      </c>
      <c r="AL1274" s="6" t="n">
        <v>1.065605712817661</v>
      </c>
      <c r="AN1274" s="6" t="n">
        <v>1.345192769255595</v>
      </c>
      <c r="AO1274" s="6" t="n">
        <v>1.347253720477219</v>
      </c>
      <c r="AP1274" s="6" t="n">
        <v>0.1327199816302827</v>
      </c>
      <c r="AQ1274" s="6" t="n">
        <v>0</v>
      </c>
      <c r="AR1274" s="6" t="n">
        <v>0</v>
      </c>
    </row>
    <row r="1275">
      <c r="D1275" t="inlineStr">
        <is>
          <t>Run 963</t>
        </is>
      </c>
      <c r="J1275" s="6" t="n">
        <v>-3.012799132512517</v>
      </c>
      <c r="K1275" s="6" t="n">
        <v>-3.432469508554847</v>
      </c>
      <c r="L1275" s="6" t="n">
        <v>0.1398780105712488</v>
      </c>
      <c r="M1275" s="6" t="n">
        <v>0.9737545278087573</v>
      </c>
      <c r="N1275" s="6" t="n">
        <v>-2.230050013236388</v>
      </c>
      <c r="O1275" s="6" t="n">
        <v>-2.715559775332858</v>
      </c>
      <c r="P1275" s="6" t="n">
        <v>-1.616989567577263</v>
      </c>
      <c r="Q1275" s="6" t="n">
        <v>-1.474838798900804</v>
      </c>
      <c r="R1275" s="6" t="n">
        <v>2.470976567178</v>
      </c>
      <c r="S1275" s="6" t="n">
        <v>1.077471919255915</v>
      </c>
      <c r="T1275" s="6" t="n">
        <v>1.270803736492713</v>
      </c>
      <c r="U1275" s="6" t="n">
        <v>0.7065464034925263</v>
      </c>
      <c r="V1275" s="6" t="n">
        <v>-1.72141966918337</v>
      </c>
      <c r="W1275" s="6" t="n">
        <v>-0.9965872626839868</v>
      </c>
      <c r="X1275" s="6" t="n">
        <v>1.919598293619917</v>
      </c>
      <c r="Y1275" s="6" t="n">
        <v>0.683685577760541</v>
      </c>
      <c r="Z1275" s="6" t="n">
        <v>0.2627119411133644</v>
      </c>
      <c r="AA1275" s="6" t="n">
        <v>-0.9076877681773952</v>
      </c>
      <c r="AB1275" s="6" t="n">
        <v>-0.1394562693263056</v>
      </c>
      <c r="AC1275" s="6" t="n">
        <v>0.9776544811499533</v>
      </c>
      <c r="AD1275" s="6" t="n">
        <v>0.8528196514157108</v>
      </c>
      <c r="AE1275" s="6" t="n">
        <v>-4.574998796914809</v>
      </c>
      <c r="AF1275" s="6" t="n">
        <v>-1.548844776267491</v>
      </c>
      <c r="AG1275" s="6" t="n">
        <v>0.9203676791743611</v>
      </c>
      <c r="AH1275" s="6" t="n">
        <v>1.857342747504783</v>
      </c>
      <c r="AI1275" s="6" t="n">
        <v>-0.5748763645142696</v>
      </c>
      <c r="AJ1275" s="6" t="n">
        <v>66.93130672865594</v>
      </c>
      <c r="AK1275" s="6" t="n">
        <v>0.07420329340937581</v>
      </c>
      <c r="AL1275" s="6" t="n">
        <v>1.062808336946614</v>
      </c>
      <c r="AN1275" s="6" t="n">
        <v>1.342450591766859</v>
      </c>
      <c r="AO1275" s="6" t="n">
        <v>1.344148308172391</v>
      </c>
      <c r="AP1275" s="6" t="n">
        <v>0.1322244636259193</v>
      </c>
      <c r="AQ1275" s="6" t="n">
        <v>0</v>
      </c>
      <c r="AR1275" s="6" t="n">
        <v>0</v>
      </c>
    </row>
    <row r="1276">
      <c r="D1276" t="inlineStr">
        <is>
          <t>Run 964</t>
        </is>
      </c>
      <c r="J1276" s="6" t="n">
        <v>-0.5892949728753759</v>
      </c>
      <c r="K1276" s="6" t="n">
        <v>-1.852226838670938</v>
      </c>
      <c r="L1276" s="6" t="n">
        <v>1.470222798102805</v>
      </c>
      <c r="M1276" s="6" t="n">
        <v>-0.212862798640846</v>
      </c>
      <c r="N1276" s="6" t="n">
        <v>-1.741939170168813</v>
      </c>
      <c r="O1276" s="6" t="n">
        <v>-1.182083209826195</v>
      </c>
      <c r="P1276" s="6" t="n">
        <v>-1.617799470118223</v>
      </c>
      <c r="Q1276" s="6" t="n">
        <v>0.05633066027063915</v>
      </c>
      <c r="R1276" s="6" t="n">
        <v>0.9634658639170515</v>
      </c>
      <c r="S1276" s="6" t="n">
        <v>-1.526817159639944</v>
      </c>
      <c r="T1276" s="6" t="n">
        <v>-1.017545375179777</v>
      </c>
      <c r="U1276" s="6" t="n">
        <v>1.54438737689333</v>
      </c>
      <c r="V1276" s="6" t="n">
        <v>1.555404131684518</v>
      </c>
      <c r="W1276" s="6" t="n">
        <v>-0.1171963531428669</v>
      </c>
      <c r="X1276" s="6" t="n">
        <v>0.0302006287843376</v>
      </c>
      <c r="Y1276" s="6" t="n">
        <v>-0.03761113295569529</v>
      </c>
      <c r="Z1276" s="6" t="n">
        <v>0.4786261497720395</v>
      </c>
      <c r="AA1276" s="6" t="n">
        <v>0.3292986678155294</v>
      </c>
      <c r="AB1276" s="6" t="n">
        <v>0.5720556404730284</v>
      </c>
      <c r="AC1276" s="6" t="n">
        <v>0.235305933835526</v>
      </c>
      <c r="AD1276" s="6" t="n">
        <v>-2.10174387648304</v>
      </c>
      <c r="AE1276" s="6" t="n">
        <v>2.954033287405156</v>
      </c>
      <c r="AF1276" s="6" t="n">
        <v>-0.01036580471815824</v>
      </c>
      <c r="AG1276" s="6" t="n">
        <v>-2.861953560867812</v>
      </c>
      <c r="AH1276" s="6" t="n">
        <v>-0.1626387804228239</v>
      </c>
      <c r="AI1276" s="6" t="n">
        <v>2.829733015731345</v>
      </c>
      <c r="AJ1276" s="6" t="n">
        <v>72.3044113589315</v>
      </c>
      <c r="AK1276" s="6" t="n">
        <v>0.1394219644442236</v>
      </c>
      <c r="AL1276" s="6" t="n">
        <v>1.061360314281595</v>
      </c>
      <c r="AN1276" s="6" t="n">
        <v>1.34309480424355</v>
      </c>
      <c r="AO1276" s="6" t="n">
        <v>1.34315810015382</v>
      </c>
      <c r="AP1276" s="6" t="n">
        <v>0.1311845690190225</v>
      </c>
      <c r="AQ1276" s="6" t="n">
        <v>0</v>
      </c>
      <c r="AR1276" s="6" t="n">
        <v>0</v>
      </c>
    </row>
    <row r="1277">
      <c r="D1277" t="inlineStr">
        <is>
          <t>Run 965</t>
        </is>
      </c>
      <c r="J1277" s="6" t="n">
        <v>-3.320890622875872</v>
      </c>
      <c r="K1277" s="6" t="n">
        <v>-2.348569656481723</v>
      </c>
      <c r="L1277" s="6" t="n">
        <v>3.890903903087723</v>
      </c>
      <c r="M1277" s="6" t="n">
        <v>0.3724417315398832</v>
      </c>
      <c r="N1277" s="6" t="n">
        <v>0.7227196475273204</v>
      </c>
      <c r="O1277" s="6" t="n">
        <v>1.985826867433567</v>
      </c>
      <c r="P1277" s="6" t="n">
        <v>-0.846913588888746</v>
      </c>
      <c r="Q1277" s="6" t="n">
        <v>-1.879079495002303</v>
      </c>
      <c r="R1277" s="6" t="n">
        <v>-1.495943837520945</v>
      </c>
      <c r="S1277" s="6" t="n">
        <v>0.5136385125596978</v>
      </c>
      <c r="T1277" s="6" t="n">
        <v>4.443751739591978</v>
      </c>
      <c r="U1277" s="6" t="n">
        <v>1.62152795853602</v>
      </c>
      <c r="V1277" s="6" t="n">
        <v>1.690990799891173</v>
      </c>
      <c r="W1277" s="6" t="n">
        <v>-1.577649510751795</v>
      </c>
      <c r="X1277" s="6" t="n">
        <v>-0.299929503460042</v>
      </c>
      <c r="Y1277" s="6" t="n">
        <v>3.850990618470775</v>
      </c>
      <c r="Z1277" s="6" t="n">
        <v>-1.638113397572913</v>
      </c>
      <c r="AA1277" s="6" t="n">
        <v>0.751820222026522</v>
      </c>
      <c r="AB1277" s="6" t="n">
        <v>0.6117175617820321</v>
      </c>
      <c r="AC1277" s="6" t="n">
        <v>0.7696046790300335</v>
      </c>
      <c r="AD1277" s="6" t="n">
        <v>-1.642469143610219</v>
      </c>
      <c r="AE1277" s="6" t="n">
        <v>0.07085552031031921</v>
      </c>
      <c r="AF1277" s="6" t="n">
        <v>0.3669811103233631</v>
      </c>
      <c r="AG1277" s="6" t="n">
        <v>-0.486936092864039</v>
      </c>
      <c r="AH1277" s="6" t="n">
        <v>-1.153075687323185</v>
      </c>
      <c r="AI1277" s="6" t="n">
        <v>-2.964753754551647</v>
      </c>
      <c r="AJ1277" s="6" t="n">
        <v>69.97754953335608</v>
      </c>
      <c r="AK1277" s="6" t="n">
        <v>0.1388512148559781</v>
      </c>
      <c r="AL1277" s="6" t="n">
        <v>1.054840541509218</v>
      </c>
      <c r="AN1277" s="6" t="n">
        <v>1.340218887497451</v>
      </c>
      <c r="AO1277" s="6" t="n">
        <v>1.34082714400216</v>
      </c>
      <c r="AP1277" s="6" t="n">
        <v>0.1313978423876408</v>
      </c>
      <c r="AQ1277" s="6" t="n">
        <v>0</v>
      </c>
      <c r="AR1277" s="6" t="n">
        <v>0</v>
      </c>
    </row>
    <row r="1278">
      <c r="D1278" t="inlineStr">
        <is>
          <t>Run 966</t>
        </is>
      </c>
      <c r="J1278" s="6" t="n">
        <v>1.09120514310705</v>
      </c>
      <c r="K1278" s="6" t="n">
        <v>0.9618569593513958</v>
      </c>
      <c r="L1278" s="6" t="n">
        <v>-2.310111468161984</v>
      </c>
      <c r="M1278" s="6" t="n">
        <v>1.539595457392826</v>
      </c>
      <c r="N1278" s="6" t="n">
        <v>2.030891842053157</v>
      </c>
      <c r="O1278" s="6" t="n">
        <v>-0.5273729548518726</v>
      </c>
      <c r="P1278" s="6" t="n">
        <v>-2.327756179832011</v>
      </c>
      <c r="Q1278" s="6" t="n">
        <v>-0.9885517275022542</v>
      </c>
      <c r="R1278" s="6" t="n">
        <v>0.224384453569155</v>
      </c>
      <c r="S1278" s="6" t="n">
        <v>-1.051076267355157</v>
      </c>
      <c r="T1278" s="6" t="n">
        <v>1.858097276282097</v>
      </c>
      <c r="U1278" s="6" t="n">
        <v>0.9111154246342607</v>
      </c>
      <c r="V1278" s="6" t="n">
        <v>-2.329528658560607</v>
      </c>
      <c r="W1278" s="6" t="n">
        <v>-1.038040583977733</v>
      </c>
      <c r="X1278" s="6" t="n">
        <v>0.7481326822981147</v>
      </c>
      <c r="Y1278" s="6" t="n">
        <v>-3.380267455814339</v>
      </c>
      <c r="Z1278" s="6" t="n">
        <v>-1.629449903764174</v>
      </c>
      <c r="AA1278" s="6" t="n">
        <v>-0.760035578070532</v>
      </c>
      <c r="AB1278" s="6" t="n">
        <v>0.4450104727762635</v>
      </c>
      <c r="AC1278" s="6" t="n">
        <v>0.6410534734975905</v>
      </c>
      <c r="AD1278" s="6" t="n">
        <v>1.943428231480123</v>
      </c>
      <c r="AE1278" s="6" t="n">
        <v>-1.103693717931075</v>
      </c>
      <c r="AF1278" s="6" t="n">
        <v>1.839207346115</v>
      </c>
      <c r="AG1278" s="6" t="n">
        <v>-1.051085174358694</v>
      </c>
      <c r="AH1278" s="6" t="n">
        <v>2.116112493216107</v>
      </c>
      <c r="AI1278" s="6" t="n">
        <v>-0.5076276741258795</v>
      </c>
      <c r="AJ1278" s="6" t="n">
        <v>74.09706918851244</v>
      </c>
      <c r="AK1278" s="6" t="n">
        <v>0.05294093679550987</v>
      </c>
      <c r="AL1278" s="6" t="n">
        <v>1.130943413734288</v>
      </c>
      <c r="AN1278" s="6" t="n">
        <v>1.329701889475432</v>
      </c>
      <c r="AO1278" s="6" t="n">
        <v>1.330209951204189</v>
      </c>
      <c r="AP1278" s="6" t="n">
        <v>0.1295493796046006</v>
      </c>
      <c r="AQ1278" s="6" t="n">
        <v>0</v>
      </c>
      <c r="AR1278" s="6" t="n">
        <v>0</v>
      </c>
    </row>
    <row r="1279">
      <c r="D1279" t="inlineStr">
        <is>
          <t>Run 967</t>
        </is>
      </c>
      <c r="J1279" s="6" t="n">
        <v>3.121937352680843</v>
      </c>
      <c r="K1279" s="6" t="n">
        <v>1.956281045802884</v>
      </c>
      <c r="L1279" s="6" t="n">
        <v>0.761398574562359</v>
      </c>
      <c r="M1279" s="6" t="n">
        <v>-1.623971044151184</v>
      </c>
      <c r="N1279" s="6" t="n">
        <v>0.3997277148687563</v>
      </c>
      <c r="O1279" s="6" t="n">
        <v>-1.254561474881225</v>
      </c>
      <c r="P1279" s="6" t="n">
        <v>-2.182042276468661</v>
      </c>
      <c r="Q1279" s="6" t="n">
        <v>1.041169693682258</v>
      </c>
      <c r="R1279" s="6" t="n">
        <v>0.9412230267871718</v>
      </c>
      <c r="S1279" s="6" t="n">
        <v>-2.732621119660667</v>
      </c>
      <c r="T1279" s="6" t="n">
        <v>-1.292968064833082</v>
      </c>
      <c r="U1279" s="6" t="n">
        <v>-1.779710804228396</v>
      </c>
      <c r="V1279" s="6" t="n">
        <v>-1.76556707838648</v>
      </c>
      <c r="W1279" s="6" t="n">
        <v>0.0821535449413353</v>
      </c>
      <c r="X1279" s="6" t="n">
        <v>-0.5800296539407374</v>
      </c>
      <c r="Y1279" s="6" t="n">
        <v>-1.062650954883162</v>
      </c>
      <c r="Z1279" s="6" t="n">
        <v>3.075520350275347</v>
      </c>
      <c r="AA1279" s="6" t="n">
        <v>2.277436224801851</v>
      </c>
      <c r="AB1279" s="6" t="n">
        <v>-0.1186192542847986</v>
      </c>
      <c r="AC1279" s="6" t="n">
        <v>0.01682122365401117</v>
      </c>
      <c r="AD1279" s="6" t="n">
        <v>-4.116394716929325</v>
      </c>
      <c r="AE1279" s="6" t="n">
        <v>-1.987196747273136</v>
      </c>
      <c r="AF1279" s="6" t="n">
        <v>-1.142662248842797</v>
      </c>
      <c r="AG1279" s="6" t="n">
        <v>-1.937728368410277</v>
      </c>
      <c r="AH1279" s="6" t="n">
        <v>1.849536595007241</v>
      </c>
      <c r="AI1279" s="6" t="n">
        <v>-2.129968403412345</v>
      </c>
      <c r="AJ1279" s="6" t="n">
        <v>67.76087195534706</v>
      </c>
      <c r="AK1279" s="6" t="n">
        <v>0.1751608385936864</v>
      </c>
      <c r="AL1279" s="6" t="n">
        <v>1.067730030882116</v>
      </c>
      <c r="AN1279" s="6" t="n">
        <v>1.327260337567106</v>
      </c>
      <c r="AO1279" s="6" t="n">
        <v>1.330965547213741</v>
      </c>
      <c r="AP1279" s="6" t="n">
        <v>0.1295591361145794</v>
      </c>
      <c r="AQ1279" s="6" t="n">
        <v>0</v>
      </c>
      <c r="AR1279" s="6" t="n">
        <v>0</v>
      </c>
    </row>
    <row r="1280">
      <c r="D1280" t="inlineStr">
        <is>
          <t>Run 968</t>
        </is>
      </c>
      <c r="J1280" s="6" t="n">
        <v>-0.6151802927169456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2.754134617691706</v>
      </c>
      <c r="O1280" s="6" t="n">
        <v>-0.2891733305870561</v>
      </c>
      <c r="P1280" s="6" t="n">
        <v>-0.8636946178003247</v>
      </c>
      <c r="Q1280" s="6" t="n">
        <v>1.330272020561476</v>
      </c>
      <c r="R1280" s="6" t="n">
        <v>-1.775861464407595</v>
      </c>
      <c r="S1280" s="6" t="n">
        <v>0.09742814127495475</v>
      </c>
      <c r="T1280" s="6" t="n">
        <v>0.5134861672096632</v>
      </c>
      <c r="U1280" s="6" t="n">
        <v>-0.2328269886732949</v>
      </c>
      <c r="V1280" s="6" t="n">
        <v>-1.33927304528748</v>
      </c>
      <c r="W1280" s="6" t="n">
        <v>-3.288623682756406</v>
      </c>
      <c r="X1280" s="6" t="n">
        <v>1.324743075213496</v>
      </c>
      <c r="Y1280" s="6" t="n">
        <v>-1.24811815761912</v>
      </c>
      <c r="Z1280" s="6" t="n">
        <v>1.678857101218428</v>
      </c>
      <c r="AA1280" s="6" t="n">
        <v>0.491079008306374</v>
      </c>
      <c r="AB1280" s="6" t="n">
        <v>-1.545157090969498</v>
      </c>
      <c r="AC1280" s="6" t="n">
        <v>-0.04734996213699976</v>
      </c>
      <c r="AD1280" s="6" t="n">
        <v>-0.9921531119263977</v>
      </c>
      <c r="AE1280" s="6" t="n">
        <v>2.016173168513763</v>
      </c>
      <c r="AF1280" s="6" t="n">
        <v>-1.217739359827914</v>
      </c>
      <c r="AG1280" s="6" t="n">
        <v>-3.166721920193348</v>
      </c>
      <c r="AH1280" s="6" t="n">
        <v>-2.059855022239365</v>
      </c>
      <c r="AI1280" s="6" t="n">
        <v>-1.643557234934788</v>
      </c>
      <c r="AJ1280" s="6" t="n">
        <v>71.82394790819208</v>
      </c>
      <c r="AK1280" s="6" t="n">
        <v>0.08525065396365498</v>
      </c>
      <c r="AL1280" s="6" t="n">
        <v>1.068038061928025</v>
      </c>
      <c r="AN1280" s="6" t="n">
        <v>1.309469779132889</v>
      </c>
      <c r="AO1280" s="6" t="n">
        <v>1.322051153081837</v>
      </c>
      <c r="AP1280" s="6" t="n">
        <v>0.1315623998281977</v>
      </c>
      <c r="AQ1280" s="6" t="n">
        <v>0</v>
      </c>
      <c r="AR1280" s="6" t="n">
        <v>0</v>
      </c>
    </row>
    <row r="1281">
      <c r="D1281" t="inlineStr">
        <is>
          <t>Run 969</t>
        </is>
      </c>
      <c r="J1281" s="6" t="n">
        <v>-1.525058794925248</v>
      </c>
      <c r="K1281" s="6" t="n">
        <v>-0.690525300478702</v>
      </c>
      <c r="L1281" s="6" t="n">
        <v>0.8428546673137213</v>
      </c>
      <c r="M1281" s="6" t="n">
        <v>1.320603688688808</v>
      </c>
      <c r="N1281" s="6" t="n">
        <v>-1.981046044808634</v>
      </c>
      <c r="O1281" s="6" t="n">
        <v>-0.1221118660172337</v>
      </c>
      <c r="P1281" s="6" t="n">
        <v>0.2252732702740313</v>
      </c>
      <c r="Q1281" s="6" t="n">
        <v>1.26030035815816</v>
      </c>
      <c r="R1281" s="6" t="n">
        <v>-0.2657152990747509</v>
      </c>
      <c r="S1281" s="6" t="n">
        <v>-0.2752306604629646</v>
      </c>
      <c r="T1281" s="6" t="n">
        <v>1.72756128512293</v>
      </c>
      <c r="U1281" s="6" t="n">
        <v>0.5223986314378269</v>
      </c>
      <c r="V1281" s="6" t="n">
        <v>0.5949547646168002</v>
      </c>
      <c r="W1281" s="6" t="n">
        <v>0.2471868644595416</v>
      </c>
      <c r="X1281" s="6" t="n">
        <v>1.065628593296994</v>
      </c>
      <c r="Y1281" s="6" t="n">
        <v>0.4587222783697961</v>
      </c>
      <c r="Z1281" s="6" t="n">
        <v>-4.581036592933601</v>
      </c>
      <c r="AA1281" s="6" t="n">
        <v>-1.290909050625992</v>
      </c>
      <c r="AB1281" s="6" t="n">
        <v>0.480636294837539</v>
      </c>
      <c r="AC1281" s="6" t="n">
        <v>4.031302500056492</v>
      </c>
      <c r="AD1281" s="6" t="n">
        <v>0.6510628688637948</v>
      </c>
      <c r="AE1281" s="6" t="n">
        <v>-0.07928651376842849</v>
      </c>
      <c r="AF1281" s="6" t="n">
        <v>-1.124492890087459</v>
      </c>
      <c r="AG1281" s="6" t="n">
        <v>2.665295371944416</v>
      </c>
      <c r="AH1281" s="6" t="n">
        <v>-2.753447475711203</v>
      </c>
      <c r="AI1281" s="6" t="n">
        <v>-0.4741354527219999</v>
      </c>
      <c r="AJ1281" s="6" t="n">
        <v>59.73567858200413</v>
      </c>
      <c r="AK1281" s="6" t="n">
        <v>0.07934830388911215</v>
      </c>
      <c r="AL1281" s="6" t="n">
        <v>1.082994349276933</v>
      </c>
      <c r="AN1281" s="6" t="n">
        <v>1.335201816820974</v>
      </c>
      <c r="AO1281" s="6" t="n">
        <v>1.335253094450112</v>
      </c>
      <c r="AP1281" s="6" t="n">
        <v>0.1304873481428991</v>
      </c>
      <c r="AQ1281" s="6" t="n">
        <v>0</v>
      </c>
      <c r="AR1281" s="6" t="n">
        <v>0</v>
      </c>
    </row>
    <row r="1282">
      <c r="D1282" t="inlineStr">
        <is>
          <t>Run 970</t>
        </is>
      </c>
      <c r="J1282" s="6" t="n">
        <v>3.861365935614308</v>
      </c>
      <c r="K1282" s="6" t="n">
        <v>0.2504948719892141</v>
      </c>
      <c r="L1282" s="6" t="n">
        <v>5</v>
      </c>
      <c r="M1282" s="6" t="n">
        <v>-1.752497166401341</v>
      </c>
      <c r="N1282" s="6" t="n">
        <v>1.082866124348398</v>
      </c>
      <c r="O1282" s="6" t="n">
        <v>-2.121624828709205</v>
      </c>
      <c r="P1282" s="6" t="n">
        <v>-6.953551746704692</v>
      </c>
      <c r="Q1282" s="6" t="n">
        <v>2.664308936219326</v>
      </c>
      <c r="R1282" s="6" t="n">
        <v>-1.226365341827126</v>
      </c>
      <c r="S1282" s="6" t="n">
        <v>1.310520422375222</v>
      </c>
      <c r="T1282" s="6" t="n">
        <v>1.265376185417402</v>
      </c>
      <c r="U1282" s="6" t="n">
        <v>0.9157454338726126</v>
      </c>
      <c r="V1282" s="6" t="n">
        <v>-2.287959341130274</v>
      </c>
      <c r="W1282" s="6" t="n">
        <v>0.6865973484730957</v>
      </c>
      <c r="X1282" s="6" t="n">
        <v>-0.9838623894802937</v>
      </c>
      <c r="Y1282" s="6" t="n">
        <v>1.090621393355425</v>
      </c>
      <c r="Z1282" s="6" t="n">
        <v>-2.831495928180682</v>
      </c>
      <c r="AA1282" s="6" t="n">
        <v>-2.075105252214931</v>
      </c>
      <c r="AB1282" s="6" t="n">
        <v>-0.6286713586989394</v>
      </c>
      <c r="AC1282" s="6" t="n">
        <v>5</v>
      </c>
      <c r="AD1282" s="6" t="n">
        <v>-2.598000922006106</v>
      </c>
      <c r="AE1282" s="6" t="n">
        <v>1.222324119183853</v>
      </c>
      <c r="AF1282" s="6" t="n">
        <v>2.778151254900464</v>
      </c>
      <c r="AG1282" s="6" t="n">
        <v>-0.3401197650730554</v>
      </c>
      <c r="AH1282" s="6" t="n">
        <v>-0.1494537045085012</v>
      </c>
      <c r="AI1282" s="6" t="n">
        <v>-0.4572049280225606</v>
      </c>
      <c r="AJ1282" s="6" t="n">
        <v>76.98613748373796</v>
      </c>
      <c r="AK1282" s="6" t="n">
        <v>0.1649843793608148</v>
      </c>
      <c r="AL1282" s="6" t="n">
        <v>1.077387065152297</v>
      </c>
      <c r="AN1282" s="6" t="n">
        <v>1.312254813724519</v>
      </c>
      <c r="AO1282" s="6" t="n">
        <v>1.321937024286958</v>
      </c>
      <c r="AP1282" s="6" t="n">
        <v>0.1292615281873452</v>
      </c>
      <c r="AQ1282" s="6" t="n">
        <v>0</v>
      </c>
      <c r="AR1282" s="6" t="n">
        <v>0</v>
      </c>
    </row>
    <row r="1283">
      <c r="D1283" t="inlineStr">
        <is>
          <t>Run 971</t>
        </is>
      </c>
      <c r="J1283" s="6" t="n">
        <v>2.333387746551307</v>
      </c>
      <c r="K1283" s="6" t="n">
        <v>2.347073824195612</v>
      </c>
      <c r="L1283" s="6" t="n">
        <v>-1.993027885810546</v>
      </c>
      <c r="M1283" s="6" t="n">
        <v>-3.576912892443299</v>
      </c>
      <c r="N1283" s="6" t="n">
        <v>-0.1858940268630134</v>
      </c>
      <c r="O1283" s="6" t="n">
        <v>-0.4694275634254668</v>
      </c>
      <c r="P1283" s="6" t="n">
        <v>0.703676866903598</v>
      </c>
      <c r="Q1283" s="6" t="n">
        <v>0.5949548355250881</v>
      </c>
      <c r="R1283" s="6" t="n">
        <v>3.093836436489948</v>
      </c>
      <c r="S1283" s="6" t="n">
        <v>-2.059004193383168</v>
      </c>
      <c r="T1283" s="6" t="n">
        <v>-3.813869500354782</v>
      </c>
      <c r="U1283" s="6" t="n">
        <v>2.781094790184348</v>
      </c>
      <c r="V1283" s="6" t="n">
        <v>2.557791475612721</v>
      </c>
      <c r="W1283" s="6" t="n">
        <v>1.932936765591047</v>
      </c>
      <c r="X1283" s="6" t="n">
        <v>2.759991218209933</v>
      </c>
      <c r="Y1283" s="6" t="n">
        <v>-0.7376600432368554</v>
      </c>
      <c r="Z1283" s="6" t="n">
        <v>0.1980903921731611</v>
      </c>
      <c r="AA1283" s="6" t="n">
        <v>0.4716623567575413</v>
      </c>
      <c r="AB1283" s="6" t="n">
        <v>3.125239273166704</v>
      </c>
      <c r="AC1283" s="6" t="n">
        <v>0.02846052883655601</v>
      </c>
      <c r="AD1283" s="6" t="n">
        <v>-2.620625443988197</v>
      </c>
      <c r="AE1283" s="6" t="n">
        <v>-1.696086821441349</v>
      </c>
      <c r="AF1283" s="6" t="n">
        <v>2.793747617144242</v>
      </c>
      <c r="AG1283" s="6" t="n">
        <v>-3.006479849813572</v>
      </c>
      <c r="AH1283" s="6" t="n">
        <v>-2.065246158360053</v>
      </c>
      <c r="AI1283" s="6" t="n">
        <v>1.825928380058365</v>
      </c>
      <c r="AJ1283" s="6" t="n">
        <v>68.48071832606242</v>
      </c>
      <c r="AK1283" s="6" t="n">
        <v>0.1119442634466597</v>
      </c>
      <c r="AL1283" s="6" t="n">
        <v>1.057295477760575</v>
      </c>
      <c r="AN1283" s="6" t="n">
        <v>1.305919666806032</v>
      </c>
      <c r="AO1283" s="6" t="n">
        <v>1.315281018847078</v>
      </c>
      <c r="AP1283" s="6" t="n">
        <v>0.1313235303317759</v>
      </c>
      <c r="AQ1283" s="6" t="n">
        <v>0</v>
      </c>
      <c r="AR1283" s="6" t="n">
        <v>0</v>
      </c>
    </row>
    <row r="1284">
      <c r="D1284" t="inlineStr">
        <is>
          <t>Run 972</t>
        </is>
      </c>
      <c r="J1284" s="6" t="n">
        <v>-0.9119456174063471</v>
      </c>
      <c r="K1284" s="6" t="n">
        <v>1.064545673156869</v>
      </c>
      <c r="L1284" s="6" t="n">
        <v>0.7097644467876797</v>
      </c>
      <c r="M1284" s="6" t="n">
        <v>3.246156116939066</v>
      </c>
      <c r="N1284" s="6" t="n">
        <v>2.786826036447158</v>
      </c>
      <c r="O1284" s="6" t="n">
        <v>-1.95513297496119</v>
      </c>
      <c r="P1284" s="6" t="n">
        <v>-1.508619090889517</v>
      </c>
      <c r="Q1284" s="6" t="n">
        <v>-0.6105295832849114</v>
      </c>
      <c r="R1284" s="6" t="n">
        <v>-1.979851197381749</v>
      </c>
      <c r="S1284" s="6" t="n">
        <v>1.564248838385918</v>
      </c>
      <c r="T1284" s="6" t="n">
        <v>-0.1472826732518446</v>
      </c>
      <c r="U1284" s="6" t="n">
        <v>-0.7377532346066701</v>
      </c>
      <c r="V1284" s="6" t="n">
        <v>0.6871066975814109</v>
      </c>
      <c r="W1284" s="6" t="n">
        <v>-0.8145447096595956</v>
      </c>
      <c r="X1284" s="6" t="n">
        <v>1.025393419892739</v>
      </c>
      <c r="Y1284" s="6" t="n">
        <v>-0.4590156360310298</v>
      </c>
      <c r="Z1284" s="6" t="n">
        <v>-2.616336610047843</v>
      </c>
      <c r="AA1284" s="6" t="n">
        <v>-0.3846656345564136</v>
      </c>
      <c r="AB1284" s="6" t="n">
        <v>2.662261163804125</v>
      </c>
      <c r="AC1284" s="6" t="n">
        <v>-2.662688952000207</v>
      </c>
      <c r="AD1284" s="6" t="n">
        <v>-2.911449883150401</v>
      </c>
      <c r="AE1284" s="6" t="n">
        <v>-2.980410679524716</v>
      </c>
      <c r="AF1284" s="6" t="n">
        <v>-0.2788437358261916</v>
      </c>
      <c r="AG1284" s="6" t="n">
        <v>0.4535686872961042</v>
      </c>
      <c r="AH1284" s="6" t="n">
        <v>-1.686715710319526</v>
      </c>
      <c r="AI1284" s="6" t="n">
        <v>-0.1788082466473475</v>
      </c>
      <c r="AJ1284" s="6" t="n">
        <v>68.58619111586256</v>
      </c>
      <c r="AK1284" s="6" t="n">
        <v>0.1594922528046562</v>
      </c>
      <c r="AL1284" s="6" t="n">
        <v>1.076591596840053</v>
      </c>
      <c r="AN1284" s="6" t="n">
        <v>1.331458377951469</v>
      </c>
      <c r="AO1284" s="6" t="n">
        <v>1.331918413540402</v>
      </c>
      <c r="AP1284" s="6" t="n">
        <v>0.1292891261504471</v>
      </c>
      <c r="AQ1284" s="6" t="n">
        <v>0</v>
      </c>
      <c r="AR1284" s="6" t="n">
        <v>0</v>
      </c>
    </row>
    <row r="1285">
      <c r="D1285" t="inlineStr">
        <is>
          <t>Run 973</t>
        </is>
      </c>
      <c r="J1285" s="6" t="n">
        <v>-1.053870436560377</v>
      </c>
      <c r="K1285" s="6" t="n">
        <v>-0.4001328934262847</v>
      </c>
      <c r="L1285" s="6" t="n">
        <v>-1.805296289682796</v>
      </c>
      <c r="M1285" s="6" t="n">
        <v>-0.6199147608862494</v>
      </c>
      <c r="N1285" s="6" t="n">
        <v>-5.123595108834905</v>
      </c>
      <c r="O1285" s="6" t="n">
        <v>-0.7387518610707671</v>
      </c>
      <c r="P1285" s="6" t="n">
        <v>-0.9151806279051066</v>
      </c>
      <c r="Q1285" s="6" t="n">
        <v>-2.632918313068487</v>
      </c>
      <c r="R1285" s="6" t="n">
        <v>-1.480250972753624</v>
      </c>
      <c r="S1285" s="6" t="n">
        <v>-1.433308433638958</v>
      </c>
      <c r="T1285" s="6" t="n">
        <v>-0.08916889800123998</v>
      </c>
      <c r="U1285" s="6" t="n">
        <v>-1.461983335531846</v>
      </c>
      <c r="V1285" s="6" t="n">
        <v>-0.2929270087587652</v>
      </c>
      <c r="W1285" s="6" t="n">
        <v>3.964296283178841</v>
      </c>
      <c r="X1285" s="6" t="n">
        <v>0.1726492620349896</v>
      </c>
      <c r="Y1285" s="6" t="n">
        <v>-1.161707485402326</v>
      </c>
      <c r="Z1285" s="6" t="n">
        <v>-2.496598434219977</v>
      </c>
      <c r="AA1285" s="6" t="n">
        <v>-0.9652691924740419</v>
      </c>
      <c r="AB1285" s="6" t="n">
        <v>-3.471229606976572</v>
      </c>
      <c r="AC1285" s="6" t="n">
        <v>1.265792895121814</v>
      </c>
      <c r="AD1285" s="6" t="n">
        <v>2.73889682822043</v>
      </c>
      <c r="AE1285" s="6" t="n">
        <v>0.9264843119608807</v>
      </c>
      <c r="AF1285" s="6" t="n">
        <v>1.405324439478693</v>
      </c>
      <c r="AG1285" s="6" t="n">
        <v>0.07780929330449368</v>
      </c>
      <c r="AH1285" s="6" t="n">
        <v>-2.184115763945083</v>
      </c>
      <c r="AI1285" s="6" t="n">
        <v>-0.5767505030155597</v>
      </c>
      <c r="AJ1285" s="6" t="n">
        <v>77.26144328662036</v>
      </c>
      <c r="AK1285" s="6" t="n">
        <v>0.1722883862621775</v>
      </c>
      <c r="AL1285" s="6" t="n">
        <v>1.058511971086424</v>
      </c>
      <c r="AN1285" s="6" t="n">
        <v>1.328821002293155</v>
      </c>
      <c r="AO1285" s="6" t="n">
        <v>1.333807634827618</v>
      </c>
      <c r="AP1285" s="6" t="n">
        <v>0.1304193677607609</v>
      </c>
      <c r="AQ1285" s="6" t="n">
        <v>0</v>
      </c>
      <c r="AR1285" s="6" t="n">
        <v>0</v>
      </c>
    </row>
    <row r="1286">
      <c r="D1286" t="inlineStr">
        <is>
          <t>Run 974</t>
        </is>
      </c>
      <c r="J1286" s="6" t="n">
        <v>-1.794539531586197</v>
      </c>
      <c r="K1286" s="6" t="n">
        <v>1.062649687627715</v>
      </c>
      <c r="L1286" s="6" t="n">
        <v>-1.051613624955851</v>
      </c>
      <c r="M1286" s="6" t="n">
        <v>3.611095054670504</v>
      </c>
      <c r="N1286" s="6" t="n">
        <v>2.981048769967789</v>
      </c>
      <c r="O1286" s="6" t="n">
        <v>-0.8395185759056938</v>
      </c>
      <c r="P1286" s="6" t="n">
        <v>-1.681796243758559</v>
      </c>
      <c r="Q1286" s="6" t="n">
        <v>0.09632438585010593</v>
      </c>
      <c r="R1286" s="6" t="n">
        <v>1.655412834619397</v>
      </c>
      <c r="S1286" s="6" t="n">
        <v>1.536946278706688</v>
      </c>
      <c r="T1286" s="6" t="n">
        <v>2.507717007037602</v>
      </c>
      <c r="U1286" s="6" t="n">
        <v>0.855123109143785</v>
      </c>
      <c r="V1286" s="6" t="n">
        <v>1.582000424446655</v>
      </c>
      <c r="W1286" s="6" t="n">
        <v>0.667210854319925</v>
      </c>
      <c r="X1286" s="6" t="n">
        <v>0.2030434818939949</v>
      </c>
      <c r="Y1286" s="6" t="n">
        <v>-0.07562678001894171</v>
      </c>
      <c r="Z1286" s="6" t="n">
        <v>-0.07459215636597734</v>
      </c>
      <c r="AA1286" s="6" t="n">
        <v>1.007947077695699</v>
      </c>
      <c r="AB1286" s="6" t="n">
        <v>-1.004206637655885</v>
      </c>
      <c r="AC1286" s="6" t="n">
        <v>-3.717134109637252</v>
      </c>
      <c r="AD1286" s="6" t="n">
        <v>-3.013380412072626</v>
      </c>
      <c r="AE1286" s="6" t="n">
        <v>-0.880995770498328</v>
      </c>
      <c r="AF1286" s="6" t="n">
        <v>0.8008329833434835</v>
      </c>
      <c r="AG1286" s="6" t="n">
        <v>1.077468803609072</v>
      </c>
      <c r="AH1286" s="6" t="n">
        <v>-0.5356145952181453</v>
      </c>
      <c r="AI1286" s="6" t="n">
        <v>-2.981685386052067</v>
      </c>
      <c r="AJ1286" s="6" t="n">
        <v>73.47546720254749</v>
      </c>
      <c r="AK1286" s="6" t="n">
        <v>0.08982006356326261</v>
      </c>
      <c r="AL1286" s="6" t="n">
        <v>1.008044341034193</v>
      </c>
      <c r="AN1286" s="6" t="n">
        <v>1.357856714816705</v>
      </c>
      <c r="AO1286" s="6" t="n">
        <v>1.357856714816705</v>
      </c>
      <c r="AP1286" s="6" t="n">
        <v>0.138208106920552</v>
      </c>
      <c r="AQ1286" s="6" t="n">
        <v>0</v>
      </c>
      <c r="AR1286" s="6" t="n">
        <v>0</v>
      </c>
    </row>
    <row r="1287">
      <c r="D1287" t="inlineStr">
        <is>
          <t>Run 975</t>
        </is>
      </c>
      <c r="J1287" s="6" t="n">
        <v>0.2815125766194548</v>
      </c>
      <c r="K1287" s="6" t="n">
        <v>0.790511109718225</v>
      </c>
      <c r="L1287" s="6" t="n">
        <v>-1.664466387446463</v>
      </c>
      <c r="M1287" s="6" t="n">
        <v>1.245563743165779</v>
      </c>
      <c r="N1287" s="6" t="n">
        <v>-1.004663292308492</v>
      </c>
      <c r="O1287" s="6" t="n">
        <v>-2.04164621564063</v>
      </c>
      <c r="P1287" s="6" t="n">
        <v>-1.084124953958187</v>
      </c>
      <c r="Q1287" s="6" t="n">
        <v>-2.768466585293105</v>
      </c>
      <c r="R1287" s="6" t="n">
        <v>-1.86649589440476</v>
      </c>
      <c r="S1287" s="6" t="n">
        <v>-0.4920498984581913</v>
      </c>
      <c r="T1287" s="6" t="n">
        <v>-1.289579243959227</v>
      </c>
      <c r="U1287" s="6" t="n">
        <v>-1.246030683066355</v>
      </c>
      <c r="V1287" s="6" t="n">
        <v>-0.3189899043642699</v>
      </c>
      <c r="W1287" s="6" t="n">
        <v>-0.8431718059494998</v>
      </c>
      <c r="X1287" s="6" t="n">
        <v>0.7331781236030299</v>
      </c>
      <c r="Y1287" s="6" t="n">
        <v>0.4446567399267854</v>
      </c>
      <c r="Z1287" s="6" t="n">
        <v>2.528347313206278</v>
      </c>
      <c r="AA1287" s="6" t="n">
        <v>-1.544526060308233</v>
      </c>
      <c r="AB1287" s="6" t="n">
        <v>0.6929441784839433</v>
      </c>
      <c r="AC1287" s="6" t="n">
        <v>4.876433752426403</v>
      </c>
      <c r="AD1287" s="6" t="n">
        <v>1.661598699969533</v>
      </c>
      <c r="AE1287" s="6" t="n">
        <v>2.708655279490166</v>
      </c>
      <c r="AF1287" s="6" t="n">
        <v>0.6455650479264446</v>
      </c>
      <c r="AG1287" s="6" t="n">
        <v>1.939663902570375</v>
      </c>
      <c r="AH1287" s="6" t="n">
        <v>-0.1648682563479303</v>
      </c>
      <c r="AI1287" s="6" t="n">
        <v>4.339661895738087</v>
      </c>
      <c r="AJ1287" s="6" t="n">
        <v>80.11145880528701</v>
      </c>
      <c r="AK1287" s="6" t="n">
        <v>0.1160744841383784</v>
      </c>
      <c r="AL1287" s="6" t="n">
        <v>1.034149174494584</v>
      </c>
      <c r="AN1287" s="6" t="n">
        <v>1.354300243214805</v>
      </c>
      <c r="AO1287" s="6" t="n">
        <v>1.354300243214805</v>
      </c>
      <c r="AP1287" s="6" t="n">
        <v>0.134559791038328</v>
      </c>
      <c r="AQ1287" s="6" t="n">
        <v>0</v>
      </c>
      <c r="AR1287" s="6" t="n">
        <v>0</v>
      </c>
    </row>
    <row r="1288">
      <c r="D1288" t="inlineStr">
        <is>
          <t>Run 976</t>
        </is>
      </c>
      <c r="J1288" s="6" t="n">
        <v>-1.462581013318068</v>
      </c>
      <c r="K1288" s="6" t="n">
        <v>1.43491266136107</v>
      </c>
      <c r="L1288" s="6" t="n">
        <v>1.686088099352863</v>
      </c>
      <c r="M1288" s="6" t="n">
        <v>-0.01965828947203846</v>
      </c>
      <c r="N1288" s="6" t="n">
        <v>-4.64537726042292</v>
      </c>
      <c r="O1288" s="6" t="n">
        <v>1.653416153937221</v>
      </c>
      <c r="P1288" s="6" t="n">
        <v>-0.3554072302443728</v>
      </c>
      <c r="Q1288" s="6" t="n">
        <v>-0.08735146809338004</v>
      </c>
      <c r="R1288" s="6" t="n">
        <v>-3.685233186537937</v>
      </c>
      <c r="S1288" s="6" t="n">
        <v>-0.2525337513381508</v>
      </c>
      <c r="T1288" s="6" t="n">
        <v>-3.448380548870267</v>
      </c>
      <c r="U1288" s="6" t="n">
        <v>4.183384132254663</v>
      </c>
      <c r="V1288" s="6" t="n">
        <v>0.07519617905478922</v>
      </c>
      <c r="W1288" s="6" t="n">
        <v>2.623852570318249</v>
      </c>
      <c r="X1288" s="6" t="n">
        <v>4.67438297105117</v>
      </c>
      <c r="Y1288" s="6" t="n">
        <v>2.655565287352825</v>
      </c>
      <c r="Z1288" s="6" t="n">
        <v>-2.613420923034713</v>
      </c>
      <c r="AA1288" s="6" t="n">
        <v>3.274468970607474</v>
      </c>
      <c r="AB1288" s="6" t="n">
        <v>2.231747099560606</v>
      </c>
      <c r="AC1288" s="6" t="n">
        <v>1.110423282016062</v>
      </c>
      <c r="AD1288" s="6" t="n">
        <v>0.818388631579762</v>
      </c>
      <c r="AE1288" s="6" t="n">
        <v>-2.964448049461181</v>
      </c>
      <c r="AF1288" s="6" t="n">
        <v>3.187283656420444</v>
      </c>
      <c r="AG1288" s="6" t="n">
        <v>0.1275388819972497</v>
      </c>
      <c r="AH1288" s="6" t="n">
        <v>-1.689146171364563</v>
      </c>
      <c r="AI1288" s="6" t="n">
        <v>1.511070940466272</v>
      </c>
      <c r="AJ1288" s="6" t="n">
        <v>73.97211822791952</v>
      </c>
      <c r="AK1288" s="6" t="n">
        <v>0.0990559617122387</v>
      </c>
      <c r="AL1288" s="6" t="n">
        <v>1.096757971232619</v>
      </c>
      <c r="AN1288" s="6" t="n">
        <v>1.331455483550728</v>
      </c>
      <c r="AO1288" s="6" t="n">
        <v>1.331954990175006</v>
      </c>
      <c r="AP1288" s="6" t="n">
        <v>0.1299820896449962</v>
      </c>
      <c r="AQ1288" s="6" t="n">
        <v>0</v>
      </c>
      <c r="AR1288" s="6" t="n">
        <v>0</v>
      </c>
    </row>
    <row r="1289">
      <c r="D1289" t="inlineStr">
        <is>
          <t>Run 977</t>
        </is>
      </c>
      <c r="J1289" s="6" t="n">
        <v>-2.49068094390281</v>
      </c>
      <c r="K1289" s="6" t="n">
        <v>1.732145470205185</v>
      </c>
      <c r="L1289" s="6" t="n">
        <v>-1.834507169475909</v>
      </c>
      <c r="M1289" s="6" t="n">
        <v>0.2738854923293143</v>
      </c>
      <c r="N1289" s="6" t="n">
        <v>-1.42073786382382</v>
      </c>
      <c r="O1289" s="6" t="n">
        <v>0.1451000960684447</v>
      </c>
      <c r="P1289" s="6" t="n">
        <v>-1.386662384455225</v>
      </c>
      <c r="Q1289" s="6" t="n">
        <v>-3.227919798607167</v>
      </c>
      <c r="R1289" s="6" t="n">
        <v>-2.010306495438788</v>
      </c>
      <c r="S1289" s="6" t="n">
        <v>-0.03059083397725351</v>
      </c>
      <c r="T1289" s="6" t="n">
        <v>0.4197615231588761</v>
      </c>
      <c r="U1289" s="6" t="n">
        <v>-1.482727192020302</v>
      </c>
      <c r="V1289" s="6" t="n">
        <v>-3.922448846934844</v>
      </c>
      <c r="W1289" s="6" t="n">
        <v>0.2318651906212616</v>
      </c>
      <c r="X1289" s="6" t="n">
        <v>-1.893634198152105</v>
      </c>
      <c r="Y1289" s="6" t="n">
        <v>0.453245308889851</v>
      </c>
      <c r="Z1289" s="6" t="n">
        <v>-0.7880305367886076</v>
      </c>
      <c r="AA1289" s="6" t="n">
        <v>-0.6011708766753346</v>
      </c>
      <c r="AB1289" s="6" t="n">
        <v>-2.195370776597831</v>
      </c>
      <c r="AC1289" s="6" t="n">
        <v>0.6137493985842195</v>
      </c>
      <c r="AD1289" s="6" t="n">
        <v>0.4832365602754917</v>
      </c>
      <c r="AE1289" s="6" t="n">
        <v>-3.440649138525324</v>
      </c>
      <c r="AF1289" s="6" t="n">
        <v>1.272615869805754</v>
      </c>
      <c r="AG1289" s="6" t="n">
        <v>-2.300122011899628</v>
      </c>
      <c r="AH1289" s="6" t="n">
        <v>0.06967379126234044</v>
      </c>
      <c r="AI1289" s="6" t="n">
        <v>-0.4685946057359819</v>
      </c>
      <c r="AJ1289" s="6" t="n">
        <v>77.798880044889</v>
      </c>
      <c r="AK1289" s="6" t="n">
        <v>0.09990188748833385</v>
      </c>
      <c r="AL1289" s="6" t="n">
        <v>1.047669884045806</v>
      </c>
      <c r="AN1289" s="6" t="n">
        <v>1.349780051647172</v>
      </c>
      <c r="AO1289" s="6" t="n">
        <v>1.35076752788627</v>
      </c>
      <c r="AP1289" s="6" t="n">
        <v>0.1333228360683334</v>
      </c>
      <c r="AQ1289" s="6" t="n">
        <v>0</v>
      </c>
      <c r="AR1289" s="6" t="n">
        <v>0</v>
      </c>
    </row>
    <row r="1290">
      <c r="D1290" t="inlineStr">
        <is>
          <t>Run 978</t>
        </is>
      </c>
      <c r="J1290" s="6" t="n">
        <v>-2.515020112517509</v>
      </c>
      <c r="K1290" s="6" t="n">
        <v>1.183253141723829</v>
      </c>
      <c r="L1290" s="6" t="n">
        <v>-0.8853080488712662</v>
      </c>
      <c r="M1290" s="6" t="n">
        <v>4.997168864075495</v>
      </c>
      <c r="N1290" s="6" t="n">
        <v>-0.7387313305439899</v>
      </c>
      <c r="O1290" s="6" t="n">
        <v>0.23056827822479</v>
      </c>
      <c r="P1290" s="6" t="n">
        <v>1.427822888925533</v>
      </c>
      <c r="Q1290" s="6" t="n">
        <v>-3.137510397026287</v>
      </c>
      <c r="R1290" s="6" t="n">
        <v>-0.718630114377238</v>
      </c>
      <c r="S1290" s="6" t="n">
        <v>1.191453394204478</v>
      </c>
      <c r="T1290" s="6" t="n">
        <v>0.5589603480866205</v>
      </c>
      <c r="U1290" s="6" t="n">
        <v>-1.877092939123382</v>
      </c>
      <c r="V1290" s="6" t="n">
        <v>-0.2515809985012389</v>
      </c>
      <c r="W1290" s="6" t="n">
        <v>1.95189276436496</v>
      </c>
      <c r="X1290" s="6" t="n">
        <v>-1.115596136613031</v>
      </c>
      <c r="Y1290" s="6" t="n">
        <v>1.761726069750803</v>
      </c>
      <c r="Z1290" s="6" t="n">
        <v>1.304603526336783</v>
      </c>
      <c r="AA1290" s="6" t="n">
        <v>1.063705572110876</v>
      </c>
      <c r="AB1290" s="6" t="n">
        <v>1.912492254686118</v>
      </c>
      <c r="AC1290" s="6" t="n">
        <v>-2.322188085186697</v>
      </c>
      <c r="AD1290" s="6" t="n">
        <v>-2.432632743724669</v>
      </c>
      <c r="AE1290" s="6" t="n">
        <v>-1.111784821475916</v>
      </c>
      <c r="AF1290" s="6" t="n">
        <v>-1.509439509983906</v>
      </c>
      <c r="AG1290" s="6" t="n">
        <v>0.4649228286725647</v>
      </c>
      <c r="AH1290" s="6" t="n">
        <v>-0.4560083001129699</v>
      </c>
      <c r="AI1290" s="6" t="n">
        <v>-4.443441291591927</v>
      </c>
      <c r="AJ1290" s="6" t="n">
        <v>73.97112191499777</v>
      </c>
      <c r="AK1290" s="6" t="n">
        <v>0.05274004806473792</v>
      </c>
      <c r="AL1290" s="6" t="n">
        <v>1.008516102634776</v>
      </c>
      <c r="AN1290" s="6" t="n">
        <v>1.358863927905645</v>
      </c>
      <c r="AO1290" s="6" t="n">
        <v>1.35919627098251</v>
      </c>
      <c r="AP1290" s="6" t="n">
        <v>0.1387076397929133</v>
      </c>
      <c r="AQ1290" s="6" t="n">
        <v>0</v>
      </c>
      <c r="AR1290" s="6" t="n">
        <v>0</v>
      </c>
    </row>
    <row r="1291">
      <c r="D1291" t="inlineStr">
        <is>
          <t>Run 979</t>
        </is>
      </c>
      <c r="J1291" s="6" t="n">
        <v>-4.036979471587251</v>
      </c>
      <c r="K1291" s="6" t="n">
        <v>-1.032052782383685</v>
      </c>
      <c r="L1291" s="6" t="n">
        <v>1.618016198973573</v>
      </c>
      <c r="M1291" s="6" t="n">
        <v>-1.191237479759624</v>
      </c>
      <c r="N1291" s="6" t="n">
        <v>0.2786167230169512</v>
      </c>
      <c r="O1291" s="6" t="n">
        <v>-2.294437642674557</v>
      </c>
      <c r="P1291" s="6" t="n">
        <v>0.6835739483760284</v>
      </c>
      <c r="Q1291" s="6" t="n">
        <v>-2.601228259481168</v>
      </c>
      <c r="R1291" s="6" t="n">
        <v>1.029054523260013</v>
      </c>
      <c r="S1291" s="6" t="n">
        <v>0.4692547450607607</v>
      </c>
      <c r="T1291" s="6" t="n">
        <v>1.538967740261179</v>
      </c>
      <c r="U1291" s="6" t="n">
        <v>1.648078015276342</v>
      </c>
      <c r="V1291" s="6" t="n">
        <v>5</v>
      </c>
      <c r="W1291" s="6" t="n">
        <v>-2.470838005107544</v>
      </c>
      <c r="X1291" s="6" t="n">
        <v>-3.176221843917305</v>
      </c>
      <c r="Y1291" s="6" t="n">
        <v>2.277735736901999</v>
      </c>
      <c r="Z1291" s="6" t="n">
        <v>0.7005396376817551</v>
      </c>
      <c r="AA1291" s="6" t="n">
        <v>3.013324814172182</v>
      </c>
      <c r="AB1291" s="6" t="n">
        <v>-2.830850508155453</v>
      </c>
      <c r="AC1291" s="6" t="n">
        <v>0.08225043053700296</v>
      </c>
      <c r="AD1291" s="6" t="n">
        <v>-3.66976242379597</v>
      </c>
      <c r="AE1291" s="6" t="n">
        <v>-0.8725818867788553</v>
      </c>
      <c r="AF1291" s="6" t="n">
        <v>-1.152931366973385</v>
      </c>
      <c r="AG1291" s="6" t="n">
        <v>1.365179177375374</v>
      </c>
      <c r="AH1291" s="6" t="n">
        <v>2.093677650232712</v>
      </c>
      <c r="AI1291" s="6" t="n">
        <v>2.383164639658611</v>
      </c>
      <c r="AJ1291" s="6" t="n">
        <v>73.72992030618406</v>
      </c>
      <c r="AK1291" s="6" t="n">
        <v>0.1396481296277242</v>
      </c>
      <c r="AL1291" s="6" t="n">
        <v>1.054099389763987</v>
      </c>
      <c r="AN1291" s="6" t="n">
        <v>1.340568802057355</v>
      </c>
      <c r="AO1291" s="6" t="n">
        <v>1.342761474225479</v>
      </c>
      <c r="AP1291" s="6" t="n">
        <v>0.1315980928058882</v>
      </c>
      <c r="AQ1291" s="6" t="n">
        <v>0</v>
      </c>
      <c r="AR1291" s="6" t="n">
        <v>0</v>
      </c>
    </row>
    <row r="1292">
      <c r="D1292" t="inlineStr">
        <is>
          <t>Run 980</t>
        </is>
      </c>
      <c r="J1292" s="6" t="n">
        <v>-1.526409154986956</v>
      </c>
      <c r="K1292" s="6" t="n">
        <v>0.1818106980466698</v>
      </c>
      <c r="L1292" s="6" t="n">
        <v>0.02658304878776579</v>
      </c>
      <c r="M1292" s="6" t="n">
        <v>1.385222715752849</v>
      </c>
      <c r="N1292" s="6" t="n">
        <v>-0.9835513953358842</v>
      </c>
      <c r="O1292" s="6" t="n">
        <v>-0.9686667322450329</v>
      </c>
      <c r="P1292" s="6" t="n">
        <v>1.615573767315035</v>
      </c>
      <c r="Q1292" s="6" t="n">
        <v>5</v>
      </c>
      <c r="R1292" s="6" t="n">
        <v>-0.4902374961315524</v>
      </c>
      <c r="S1292" s="6" t="n">
        <v>0.3975933607111115</v>
      </c>
      <c r="T1292" s="6" t="n">
        <v>-1.334544491705316</v>
      </c>
      <c r="U1292" s="6" t="n">
        <v>0.26081669192973</v>
      </c>
      <c r="V1292" s="6" t="n">
        <v>-0.8839147904881731</v>
      </c>
      <c r="W1292" s="6" t="n">
        <v>-2.823604357008544</v>
      </c>
      <c r="X1292" s="6" t="n">
        <v>2.958647383543272</v>
      </c>
      <c r="Y1292" s="6" t="n">
        <v>-1.516374915834738</v>
      </c>
      <c r="Z1292" s="6" t="n">
        <v>-0.4167759635352736</v>
      </c>
      <c r="AA1292" s="6" t="n">
        <v>0.986847594512799</v>
      </c>
      <c r="AB1292" s="6" t="n">
        <v>-0.03170572599959313</v>
      </c>
      <c r="AC1292" s="6" t="n">
        <v>0.7265733050859925</v>
      </c>
      <c r="AD1292" s="6" t="n">
        <v>1.022710694761043</v>
      </c>
      <c r="AE1292" s="6" t="n">
        <v>2.298760962514578</v>
      </c>
      <c r="AF1292" s="6" t="n">
        <v>0.1904409051032251</v>
      </c>
      <c r="AG1292" s="6" t="n">
        <v>0.1668385884562444</v>
      </c>
      <c r="AH1292" s="6" t="n">
        <v>1.647268362409964</v>
      </c>
      <c r="AI1292" s="6" t="n">
        <v>1.981629432149125</v>
      </c>
      <c r="AJ1292" s="6" t="n">
        <v>58.19360376302006</v>
      </c>
      <c r="AK1292" s="6" t="n">
        <v>0.2212966474308858</v>
      </c>
      <c r="AL1292" s="6" t="n">
        <v>1.090339277768924</v>
      </c>
      <c r="AN1292" s="6" t="n">
        <v>1.318303523248799</v>
      </c>
      <c r="AO1292" s="6" t="n">
        <v>1.319945441118546</v>
      </c>
      <c r="AP1292" s="6" t="n">
        <v>0.1271620321416331</v>
      </c>
      <c r="AQ1292" s="6" t="n">
        <v>0</v>
      </c>
      <c r="AR1292" s="6" t="n">
        <v>0</v>
      </c>
    </row>
    <row r="1293">
      <c r="D1293" t="inlineStr">
        <is>
          <t>Run 981</t>
        </is>
      </c>
      <c r="J1293" s="6" t="n">
        <v>-1.769841773628082</v>
      </c>
      <c r="K1293" s="6" t="n">
        <v>-1.125671476756256</v>
      </c>
      <c r="L1293" s="6" t="n">
        <v>2.130277624829729</v>
      </c>
      <c r="M1293" s="6" t="n">
        <v>4.407934693649351</v>
      </c>
      <c r="N1293" s="6" t="n">
        <v>-3.170381726318939</v>
      </c>
      <c r="O1293" s="6" t="n">
        <v>-2.544747954700931</v>
      </c>
      <c r="P1293" s="6" t="n">
        <v>2.318408438017654</v>
      </c>
      <c r="Q1293" s="6" t="n">
        <v>1.321113161520433</v>
      </c>
      <c r="R1293" s="6" t="n">
        <v>-2.027322422354167</v>
      </c>
      <c r="S1293" s="6" t="n">
        <v>-2.560652497709774</v>
      </c>
      <c r="T1293" s="6" t="n">
        <v>-0.9597553628243735</v>
      </c>
      <c r="U1293" s="6" t="n">
        <v>-2.845462295492589</v>
      </c>
      <c r="V1293" s="6" t="n">
        <v>0.4707808044210865</v>
      </c>
      <c r="W1293" s="6" t="n">
        <v>-1.722240147554179</v>
      </c>
      <c r="X1293" s="6" t="n">
        <v>-1.48095939314302</v>
      </c>
      <c r="Y1293" s="6" t="n">
        <v>-2.210151301298033</v>
      </c>
      <c r="Z1293" s="6" t="n">
        <v>1.381613520277075</v>
      </c>
      <c r="AA1293" s="6" t="n">
        <v>1.400944742380121</v>
      </c>
      <c r="AB1293" s="6" t="n">
        <v>1.545154124576293</v>
      </c>
      <c r="AC1293" s="6" t="n">
        <v>-1.48777444815116</v>
      </c>
      <c r="AD1293" s="6" t="n">
        <v>-1.646782145560709</v>
      </c>
      <c r="AE1293" s="6" t="n">
        <v>0.7246066884270547</v>
      </c>
      <c r="AF1293" s="6" t="n">
        <v>1.197515222839038</v>
      </c>
      <c r="AG1293" s="6" t="n">
        <v>3.086201345253628</v>
      </c>
      <c r="AH1293" s="6" t="n">
        <v>-0.8315396764281605</v>
      </c>
      <c r="AI1293" s="6" t="n">
        <v>-0.3609776077291714</v>
      </c>
      <c r="AJ1293" s="6" t="n">
        <v>70.30002581674698</v>
      </c>
      <c r="AK1293" s="6" t="n">
        <v>0.08531637772725495</v>
      </c>
      <c r="AL1293" s="6" t="n">
        <v>1.051945841271092</v>
      </c>
      <c r="AN1293" s="6" t="n">
        <v>1.343390384660061</v>
      </c>
      <c r="AO1293" s="6" t="n">
        <v>1.345054666442501</v>
      </c>
      <c r="AP1293" s="6" t="n">
        <v>0.133040761993843</v>
      </c>
      <c r="AQ1293" s="6" t="n">
        <v>0</v>
      </c>
      <c r="AR1293" s="6" t="n">
        <v>0</v>
      </c>
    </row>
    <row r="1294">
      <c r="D1294" t="inlineStr">
        <is>
          <t>Run 982</t>
        </is>
      </c>
      <c r="J1294" s="6" t="n">
        <v>2.12240832480651</v>
      </c>
      <c r="K1294" s="6" t="n">
        <v>3.381727066961896</v>
      </c>
      <c r="L1294" s="6" t="n">
        <v>-4.833034418419588</v>
      </c>
      <c r="M1294" s="6" t="n">
        <v>-0.8384797117242524</v>
      </c>
      <c r="N1294" s="6" t="n">
        <v>-0.07697902007870075</v>
      </c>
      <c r="O1294" s="6" t="n">
        <v>-2.201590519664788</v>
      </c>
      <c r="P1294" s="6" t="n">
        <v>-0.1562534596266594</v>
      </c>
      <c r="Q1294" s="6" t="n">
        <v>0.09475210498777697</v>
      </c>
      <c r="R1294" s="6" t="n">
        <v>-3.394670524721199</v>
      </c>
      <c r="S1294" s="6" t="n">
        <v>0.2907852145396466</v>
      </c>
      <c r="T1294" s="6" t="n">
        <v>-1.353114910723296</v>
      </c>
      <c r="U1294" s="6" t="n">
        <v>-0.6040718334608756</v>
      </c>
      <c r="V1294" s="6" t="n">
        <v>-0.08857267986707758</v>
      </c>
      <c r="W1294" s="6" t="n">
        <v>0.5110059327178003</v>
      </c>
      <c r="X1294" s="6" t="n">
        <v>0.5721206643660149</v>
      </c>
      <c r="Y1294" s="6" t="n">
        <v>2.575546757754044</v>
      </c>
      <c r="Z1294" s="6" t="n">
        <v>3.568769138667518</v>
      </c>
      <c r="AA1294" s="6" t="n">
        <v>-4.566063639299273</v>
      </c>
      <c r="AB1294" s="6" t="n">
        <v>-0.6669306539665113</v>
      </c>
      <c r="AC1294" s="6" t="n">
        <v>-0.4189609306156113</v>
      </c>
      <c r="AD1294" s="6" t="n">
        <v>2.058727157134461</v>
      </c>
      <c r="AE1294" s="6" t="n">
        <v>-1.741843758482297</v>
      </c>
      <c r="AF1294" s="6" t="n">
        <v>1.783152278892715</v>
      </c>
      <c r="AG1294" s="6" t="n">
        <v>-1.2386782638634</v>
      </c>
      <c r="AH1294" s="6" t="n">
        <v>-0.01821495866578483</v>
      </c>
      <c r="AI1294" s="6" t="n">
        <v>-1.624227857624941</v>
      </c>
      <c r="AJ1294" s="6" t="n">
        <v>68.05815842355914</v>
      </c>
      <c r="AK1294" s="6" t="n">
        <v>0.1537265298782441</v>
      </c>
      <c r="AL1294" s="6" t="n">
        <v>1.103571695970727</v>
      </c>
      <c r="AN1294" s="6" t="n">
        <v>1.323258157613478</v>
      </c>
      <c r="AO1294" s="6" t="n">
        <v>1.324948914596189</v>
      </c>
      <c r="AP1294" s="6" t="n">
        <v>0.1280387031101596</v>
      </c>
      <c r="AQ1294" s="6" t="n">
        <v>0</v>
      </c>
      <c r="AR1294" s="6" t="n">
        <v>0</v>
      </c>
    </row>
    <row r="1295">
      <c r="D1295" t="inlineStr">
        <is>
          <t>Run 983</t>
        </is>
      </c>
      <c r="J1295" s="6" t="n">
        <v>-1.729789794137723</v>
      </c>
      <c r="K1295" s="6" t="n">
        <v>-1.66606536237634</v>
      </c>
      <c r="L1295" s="6" t="n">
        <v>0.9070001496141992</v>
      </c>
      <c r="M1295" s="6" t="n">
        <v>-1.099832606457199</v>
      </c>
      <c r="N1295" s="6" t="n">
        <v>-2.093763413409667</v>
      </c>
      <c r="O1295" s="6" t="n">
        <v>-4.089633702331256</v>
      </c>
      <c r="P1295" s="6" t="n">
        <v>-0.08505446288262826</v>
      </c>
      <c r="Q1295" s="6" t="n">
        <v>-0.09686986845726267</v>
      </c>
      <c r="R1295" s="6" t="n">
        <v>2.79330857462172</v>
      </c>
      <c r="S1295" s="6" t="n">
        <v>-0.9668552284307946</v>
      </c>
      <c r="T1295" s="6" t="n">
        <v>-0.9647982676574559</v>
      </c>
      <c r="U1295" s="6" t="n">
        <v>1.246614407238423</v>
      </c>
      <c r="V1295" s="6" t="n">
        <v>-2.876023470929379</v>
      </c>
      <c r="W1295" s="6" t="n">
        <v>-3.244674685657086</v>
      </c>
      <c r="X1295" s="6" t="n">
        <v>1.719806981527622</v>
      </c>
      <c r="Y1295" s="6" t="n">
        <v>5</v>
      </c>
      <c r="Z1295" s="6" t="n">
        <v>0.6477322746382039</v>
      </c>
      <c r="AA1295" s="6" t="n">
        <v>-0.05927176086459339</v>
      </c>
      <c r="AB1295" s="6" t="n">
        <v>-0.03152762595292232</v>
      </c>
      <c r="AC1295" s="6" t="n">
        <v>1.194199011232427</v>
      </c>
      <c r="AD1295" s="6" t="n">
        <v>1.22516708158916</v>
      </c>
      <c r="AE1295" s="6" t="n">
        <v>-0.6716544082328255</v>
      </c>
      <c r="AF1295" s="6" t="n">
        <v>-1.497100623917191</v>
      </c>
      <c r="AG1295" s="6" t="n">
        <v>0.9903131137094294</v>
      </c>
      <c r="AH1295" s="6" t="n">
        <v>0.2342156544320871</v>
      </c>
      <c r="AI1295" s="6" t="n">
        <v>0.2397956951436498</v>
      </c>
      <c r="AJ1295" s="6" t="n">
        <v>71.45139808735588</v>
      </c>
      <c r="AK1295" s="6" t="n">
        <v>0.1043724038520551</v>
      </c>
      <c r="AL1295" s="6" t="n">
        <v>1.017955433169528</v>
      </c>
      <c r="AN1295" s="6" t="n">
        <v>1.35497551813374</v>
      </c>
      <c r="AO1295" s="6" t="n">
        <v>1.355004362764293</v>
      </c>
      <c r="AP1295" s="6" t="n">
        <v>0.1363146804640943</v>
      </c>
      <c r="AQ1295" s="6" t="n">
        <v>0</v>
      </c>
      <c r="AR1295" s="6" t="n">
        <v>0</v>
      </c>
    </row>
    <row r="1296">
      <c r="D1296" t="inlineStr">
        <is>
          <t>Run 984</t>
        </is>
      </c>
      <c r="J1296" s="6" t="n">
        <v>-0.05873498509057271</v>
      </c>
      <c r="K1296" s="6" t="n">
        <v>-2.688439565447999</v>
      </c>
      <c r="L1296" s="6" t="n">
        <v>-1.419207093832885</v>
      </c>
      <c r="M1296" s="6" t="n">
        <v>2.948203419614484</v>
      </c>
      <c r="N1296" s="6" t="n">
        <v>5</v>
      </c>
      <c r="O1296" s="6" t="n">
        <v>-3.454845192471995</v>
      </c>
      <c r="P1296" s="6" t="n">
        <v>-1.323640820738082</v>
      </c>
      <c r="Q1296" s="6" t="n">
        <v>0.1603446173152639</v>
      </c>
      <c r="R1296" s="6" t="n">
        <v>2.900738059351027</v>
      </c>
      <c r="S1296" s="6" t="n">
        <v>-0.701232458221547</v>
      </c>
      <c r="T1296" s="6" t="n">
        <v>-3.224625548521499</v>
      </c>
      <c r="U1296" s="6" t="n">
        <v>-1.619294448051188</v>
      </c>
      <c r="V1296" s="6" t="n">
        <v>-0.1176330083928129</v>
      </c>
      <c r="W1296" s="6" t="n">
        <v>-0.0693449775896325</v>
      </c>
      <c r="X1296" s="6" t="n">
        <v>-0.6269418589829219</v>
      </c>
      <c r="Y1296" s="6" t="n">
        <v>0.935501166966732</v>
      </c>
      <c r="Z1296" s="6" t="n">
        <v>-0.7056062556290152</v>
      </c>
      <c r="AA1296" s="6" t="n">
        <v>-0.5857091811612225</v>
      </c>
      <c r="AB1296" s="6" t="n">
        <v>1.271899677512377</v>
      </c>
      <c r="AC1296" s="6" t="n">
        <v>-0.2353444218965557</v>
      </c>
      <c r="AD1296" s="6" t="n">
        <v>-2.247987552973634</v>
      </c>
      <c r="AE1296" s="6" t="n">
        <v>-1.001769171953304</v>
      </c>
      <c r="AF1296" s="6" t="n">
        <v>-2.065788318714748</v>
      </c>
      <c r="AG1296" s="6" t="n">
        <v>1.49832154566889</v>
      </c>
      <c r="AH1296" s="6" t="n">
        <v>-0.5126895113429661</v>
      </c>
      <c r="AI1296" s="6" t="n">
        <v>0.3292297986223386</v>
      </c>
      <c r="AJ1296" s="6" t="n">
        <v>77.50814226684298</v>
      </c>
      <c r="AK1296" s="6" t="n">
        <v>0.1439257673012263</v>
      </c>
      <c r="AL1296" s="6" t="n">
        <v>1.033721591520165</v>
      </c>
      <c r="AN1296" s="6" t="n">
        <v>1.351055394757523</v>
      </c>
      <c r="AO1296" s="6" t="n">
        <v>1.351150292869087</v>
      </c>
      <c r="AP1296" s="6" t="n">
        <v>0.1340858937285423</v>
      </c>
      <c r="AQ1296" s="6" t="n">
        <v>0</v>
      </c>
      <c r="AR1296" s="6" t="n">
        <v>0</v>
      </c>
    </row>
    <row r="1297">
      <c r="D1297" t="inlineStr">
        <is>
          <t>Run 985</t>
        </is>
      </c>
      <c r="J1297" s="6" t="n">
        <v>0.5929850287096288</v>
      </c>
      <c r="K1297" s="6" t="n">
        <v>-1.913774534825151</v>
      </c>
      <c r="L1297" s="6" t="n">
        <v>-0.06353268408064354</v>
      </c>
      <c r="M1297" s="6" t="n">
        <v>0.5847774827057305</v>
      </c>
      <c r="N1297" s="6" t="n">
        <v>2.426460972009925</v>
      </c>
      <c r="O1297" s="6" t="n">
        <v>2.950712918600302</v>
      </c>
      <c r="P1297" s="6" t="n">
        <v>-0.9021557031215562</v>
      </c>
      <c r="Q1297" s="6" t="n">
        <v>-2.683210927088302</v>
      </c>
      <c r="R1297" s="6" t="n">
        <v>3.874308160496643</v>
      </c>
      <c r="S1297" s="6" t="n">
        <v>3.045859638445999</v>
      </c>
      <c r="T1297" s="6" t="n">
        <v>-3.959166790514797</v>
      </c>
      <c r="U1297" s="6" t="n">
        <v>-0.09318474365567064</v>
      </c>
      <c r="V1297" s="6" t="n">
        <v>-1.82492545286342</v>
      </c>
      <c r="W1297" s="6" t="n">
        <v>0.814351299625794</v>
      </c>
      <c r="X1297" s="6" t="n">
        <v>0.7538782893065316</v>
      </c>
      <c r="Y1297" s="6" t="n">
        <v>5</v>
      </c>
      <c r="Z1297" s="6" t="n">
        <v>0.447669127686957</v>
      </c>
      <c r="AA1297" s="6" t="n">
        <v>2.067590542051429</v>
      </c>
      <c r="AB1297" s="6" t="n">
        <v>-1.779957784468135</v>
      </c>
      <c r="AC1297" s="6" t="n">
        <v>2.555819984217936</v>
      </c>
      <c r="AD1297" s="6" t="n">
        <v>-4.952177964988553</v>
      </c>
      <c r="AE1297" s="6" t="n">
        <v>1.088421069998861</v>
      </c>
      <c r="AF1297" s="6" t="n">
        <v>1.819473633035078</v>
      </c>
      <c r="AG1297" s="6" t="n">
        <v>0.9128596546521113</v>
      </c>
      <c r="AH1297" s="6" t="n">
        <v>3.87772070722861</v>
      </c>
      <c r="AI1297" s="6" t="n">
        <v>-0.7784209345874235</v>
      </c>
      <c r="AJ1297" s="6" t="n">
        <v>67.22096493551697</v>
      </c>
      <c r="AK1297" s="6" t="n">
        <v>0.08195592190855699</v>
      </c>
      <c r="AL1297" s="6" t="n">
        <v>1.045874973908855</v>
      </c>
      <c r="AN1297" s="6" t="n">
        <v>1.345604769249462</v>
      </c>
      <c r="AO1297" s="6" t="n">
        <v>1.345604769249462</v>
      </c>
      <c r="AP1297" s="6" t="n">
        <v>0.1331655373129371</v>
      </c>
      <c r="AQ1297" s="6" t="n">
        <v>0</v>
      </c>
      <c r="AR1297" s="6" t="n">
        <v>0</v>
      </c>
    </row>
    <row r="1298">
      <c r="D1298" t="inlineStr">
        <is>
          <t>Run 986</t>
        </is>
      </c>
      <c r="J1298" s="6" t="n">
        <v>-2.734610754371381</v>
      </c>
      <c r="K1298" s="6" t="n">
        <v>0.1599190401077108</v>
      </c>
      <c r="L1298" s="6" t="n">
        <v>1.980818870019028</v>
      </c>
      <c r="M1298" s="6" t="n">
        <v>1.514954709732311</v>
      </c>
      <c r="N1298" s="6" t="n">
        <v>-1.453400555763882</v>
      </c>
      <c r="O1298" s="6" t="n">
        <v>0.7143051354467431</v>
      </c>
      <c r="P1298" s="6" t="n">
        <v>-0.1198645238485872</v>
      </c>
      <c r="Q1298" s="6" t="n">
        <v>-0.2732580380763006</v>
      </c>
      <c r="R1298" s="6" t="n">
        <v>-2.468666203369416</v>
      </c>
      <c r="S1298" s="6" t="n">
        <v>1.38269160627873</v>
      </c>
      <c r="T1298" s="6" t="n">
        <v>-0.3743197752082795</v>
      </c>
      <c r="U1298" s="6" t="n">
        <v>0.9738532688567598</v>
      </c>
      <c r="V1298" s="6" t="n">
        <v>-0.7669752948843251</v>
      </c>
      <c r="W1298" s="6" t="n">
        <v>-2.991202592211887</v>
      </c>
      <c r="X1298" s="6" t="n">
        <v>-0.5053781804818853</v>
      </c>
      <c r="Y1298" s="6" t="n">
        <v>2.599135890433065</v>
      </c>
      <c r="Z1298" s="6" t="n">
        <v>1.280710827610402</v>
      </c>
      <c r="AA1298" s="6" t="n">
        <v>-1.657360016504607</v>
      </c>
      <c r="AB1298" s="6" t="n">
        <v>0.1559408386030164</v>
      </c>
      <c r="AC1298" s="6" t="n">
        <v>2.38473088082986</v>
      </c>
      <c r="AD1298" s="6" t="n">
        <v>-0.003709925583786087</v>
      </c>
      <c r="AE1298" s="6" t="n">
        <v>0.5174608305790667</v>
      </c>
      <c r="AF1298" s="6" t="n">
        <v>0.2721717204978825</v>
      </c>
      <c r="AG1298" s="6" t="n">
        <v>-1.883147914040699</v>
      </c>
      <c r="AH1298" s="6" t="n">
        <v>0.1647730071186639</v>
      </c>
      <c r="AI1298" s="6" t="n">
        <v>0.1132806928063163</v>
      </c>
      <c r="AJ1298" s="6" t="n">
        <v>61.82880574851269</v>
      </c>
      <c r="AK1298" s="6" t="n">
        <v>0.2133655694862449</v>
      </c>
      <c r="AL1298" s="6" t="n">
        <v>1.038662899774324</v>
      </c>
      <c r="AN1298" s="6" t="n">
        <v>1.337968787470654</v>
      </c>
      <c r="AO1298" s="6" t="n">
        <v>1.33803917356002</v>
      </c>
      <c r="AP1298" s="6" t="n">
        <v>0.1308134425259522</v>
      </c>
      <c r="AQ1298" s="6" t="n">
        <v>0</v>
      </c>
      <c r="AR1298" s="6" t="n">
        <v>0</v>
      </c>
    </row>
    <row r="1299">
      <c r="D1299" t="inlineStr">
        <is>
          <t>Run 987</t>
        </is>
      </c>
      <c r="J1299" s="6" t="n">
        <v>-0.364420610509467</v>
      </c>
      <c r="K1299" s="6" t="n">
        <v>1.31688159060226</v>
      </c>
      <c r="L1299" s="6" t="n">
        <v>-2.397713134232677</v>
      </c>
      <c r="M1299" s="6" t="n">
        <v>-0.5983291561287438</v>
      </c>
      <c r="N1299" s="6" t="n">
        <v>-1.676089083498146</v>
      </c>
      <c r="O1299" s="6" t="n">
        <v>-0.7070773104840323</v>
      </c>
      <c r="P1299" s="6" t="n">
        <v>0.7591065063638843</v>
      </c>
      <c r="Q1299" s="6" t="n">
        <v>-3.299454861429253</v>
      </c>
      <c r="R1299" s="6" t="n">
        <v>4.615896213190982</v>
      </c>
      <c r="S1299" s="6" t="n">
        <v>-0.5318811059190668</v>
      </c>
      <c r="T1299" s="6" t="n">
        <v>1.778094893604242</v>
      </c>
      <c r="U1299" s="6" t="n">
        <v>-0.01236855662205753</v>
      </c>
      <c r="V1299" s="6" t="n">
        <v>-1.43588738585525</v>
      </c>
      <c r="W1299" s="6" t="n">
        <v>-1.629339807731462</v>
      </c>
      <c r="X1299" s="6" t="n">
        <v>0.2102035891323321</v>
      </c>
      <c r="Y1299" s="6" t="n">
        <v>-4.803869335438882</v>
      </c>
      <c r="Z1299" s="6" t="n">
        <v>0.4645703362869069</v>
      </c>
      <c r="AA1299" s="6" t="n">
        <v>0.9135749682017474</v>
      </c>
      <c r="AB1299" s="6" t="n">
        <v>0.652150223404567</v>
      </c>
      <c r="AC1299" s="6" t="n">
        <v>0.9380542071512337</v>
      </c>
      <c r="AD1299" s="6" t="n">
        <v>-1.203061105571063</v>
      </c>
      <c r="AE1299" s="6" t="n">
        <v>1.482046014999071</v>
      </c>
      <c r="AF1299" s="6" t="n">
        <v>-5.015139077138254</v>
      </c>
      <c r="AG1299" s="6" t="n">
        <v>2.783264398229589</v>
      </c>
      <c r="AH1299" s="6" t="n">
        <v>1.544391626915527</v>
      </c>
      <c r="AI1299" s="6" t="n">
        <v>0.2457904579837811</v>
      </c>
      <c r="AJ1299" s="6" t="n">
        <v>58.63512064222736</v>
      </c>
      <c r="AK1299" s="6" t="n">
        <v>0</v>
      </c>
      <c r="AL1299" s="6" t="n">
        <v>1.051298319664242</v>
      </c>
      <c r="AN1299" s="6" t="n">
        <v>1.341937456070171</v>
      </c>
      <c r="AO1299" s="6" t="n">
        <v>1.342334681986104</v>
      </c>
      <c r="AP1299" s="6" t="n">
        <v>0.1333791627647824</v>
      </c>
      <c r="AQ1299" s="6" t="n">
        <v>0</v>
      </c>
      <c r="AR1299" s="6" t="n">
        <v>0</v>
      </c>
    </row>
    <row r="1300">
      <c r="D1300" t="inlineStr">
        <is>
          <t>Run 988</t>
        </is>
      </c>
      <c r="J1300" s="6" t="n">
        <v>0.3175090098327251</v>
      </c>
      <c r="K1300" s="6" t="n">
        <v>1.717686815872537</v>
      </c>
      <c r="L1300" s="6" t="n">
        <v>-4.389803226151752</v>
      </c>
      <c r="M1300" s="6" t="n">
        <v>-2.021591304126658</v>
      </c>
      <c r="N1300" s="6" t="n">
        <v>0.7069526161521755</v>
      </c>
      <c r="O1300" s="6" t="n">
        <v>-4.433153637333029</v>
      </c>
      <c r="P1300" s="6" t="n">
        <v>2.274385529916957</v>
      </c>
      <c r="Q1300" s="6" t="n">
        <v>1.382590708552771</v>
      </c>
      <c r="R1300" s="6" t="n">
        <v>1.079603581273309</v>
      </c>
      <c r="S1300" s="6" t="n">
        <v>-1.380954941889041</v>
      </c>
      <c r="T1300" s="6" t="n">
        <v>-0.3257803273194866</v>
      </c>
      <c r="U1300" s="6" t="n">
        <v>-1.442573842539685</v>
      </c>
      <c r="V1300" s="6" t="n">
        <v>0.2591217947883888</v>
      </c>
      <c r="W1300" s="6" t="n">
        <v>-1.279662475772939</v>
      </c>
      <c r="X1300" s="6" t="n">
        <v>0.6047838501651898</v>
      </c>
      <c r="Y1300" s="6" t="n">
        <v>-0.4865321353494366</v>
      </c>
      <c r="Z1300" s="6" t="n">
        <v>-2.307213304195435</v>
      </c>
      <c r="AA1300" s="6" t="n">
        <v>-0.8849738522005767</v>
      </c>
      <c r="AB1300" s="6" t="n">
        <v>-2.470365986791491</v>
      </c>
      <c r="AC1300" s="6" t="n">
        <v>-0.8284215442611885</v>
      </c>
      <c r="AD1300" s="6" t="n">
        <v>0.01100750669138955</v>
      </c>
      <c r="AE1300" s="6" t="n">
        <v>2.233029231090049</v>
      </c>
      <c r="AF1300" s="6" t="n">
        <v>-3.666560987642489</v>
      </c>
      <c r="AG1300" s="6" t="n">
        <v>3.566143139004677</v>
      </c>
      <c r="AH1300" s="6" t="n">
        <v>-4.475916192369633</v>
      </c>
      <c r="AI1300" s="6" t="n">
        <v>1.74335267673199</v>
      </c>
      <c r="AJ1300" s="6" t="n">
        <v>73.05763388150633</v>
      </c>
      <c r="AK1300" s="6" t="n">
        <v>0.03812290022760581</v>
      </c>
      <c r="AL1300" s="6" t="n">
        <v>1.061963617502842</v>
      </c>
      <c r="AN1300" s="6" t="n">
        <v>1.329693332675657</v>
      </c>
      <c r="AO1300" s="6" t="n">
        <v>1.335249898785166</v>
      </c>
      <c r="AP1300" s="6" t="n">
        <v>0.1331821567549224</v>
      </c>
      <c r="AQ1300" s="6" t="n">
        <v>0</v>
      </c>
      <c r="AR1300" s="6" t="n">
        <v>0</v>
      </c>
    </row>
    <row r="1301">
      <c r="D1301" t="inlineStr">
        <is>
          <t>Run 989</t>
        </is>
      </c>
      <c r="J1301" s="6" t="n">
        <v>-1.57794308331713</v>
      </c>
      <c r="K1301" s="6" t="n">
        <v>-1.339066278773275</v>
      </c>
      <c r="L1301" s="6" t="n">
        <v>2.166146702959775</v>
      </c>
      <c r="M1301" s="6" t="n">
        <v>-0.3990295478717806</v>
      </c>
      <c r="N1301" s="6" t="n">
        <v>-3.257722454677882</v>
      </c>
      <c r="O1301" s="6" t="n">
        <v>-0.2681170178287361</v>
      </c>
      <c r="P1301" s="6" t="n">
        <v>3.086986274013624</v>
      </c>
      <c r="Q1301" s="6" t="n">
        <v>-1.247313975518299</v>
      </c>
      <c r="R1301" s="6" t="n">
        <v>-4.50006677934289</v>
      </c>
      <c r="S1301" s="6" t="n">
        <v>4.200891914789112</v>
      </c>
      <c r="T1301" s="6" t="n">
        <v>2.854688639115195</v>
      </c>
      <c r="U1301" s="6" t="n">
        <v>0.4856606717298247</v>
      </c>
      <c r="V1301" s="6" t="n">
        <v>-1.685280944790812</v>
      </c>
      <c r="W1301" s="6" t="n">
        <v>-1.238098647806741</v>
      </c>
      <c r="X1301" s="6" t="n">
        <v>0.08078613156639727</v>
      </c>
      <c r="Y1301" s="6" t="n">
        <v>-4.50730880807578</v>
      </c>
      <c r="Z1301" s="6" t="n">
        <v>3.312449435701396</v>
      </c>
      <c r="AA1301" s="6" t="n">
        <v>2.943188317282955</v>
      </c>
      <c r="AB1301" s="6" t="n">
        <v>-3.978331060247689</v>
      </c>
      <c r="AC1301" s="6" t="n">
        <v>3.502846605197295</v>
      </c>
      <c r="AD1301" s="6" t="n">
        <v>1.465379677050491</v>
      </c>
      <c r="AE1301" s="6" t="n">
        <v>-1.10099567515879</v>
      </c>
      <c r="AF1301" s="6" t="n">
        <v>2.106832435731046</v>
      </c>
      <c r="AG1301" s="6" t="n">
        <v>-0.1417468982507371</v>
      </c>
      <c r="AH1301" s="6" t="n">
        <v>0.6956917862364791</v>
      </c>
      <c r="AI1301" s="6" t="n">
        <v>0.07966798012011106</v>
      </c>
      <c r="AJ1301" s="6" t="n">
        <v>78.94166609992951</v>
      </c>
      <c r="AK1301" s="6" t="n">
        <v>0.1138886513364515</v>
      </c>
      <c r="AL1301" s="6" t="n">
        <v>1.081253685793027</v>
      </c>
      <c r="AN1301" s="6" t="n">
        <v>1.337601844235828</v>
      </c>
      <c r="AO1301" s="6" t="n">
        <v>1.338818909280822</v>
      </c>
      <c r="AP1301" s="6" t="n">
        <v>0.1304838326504227</v>
      </c>
      <c r="AQ1301" s="6" t="n">
        <v>0</v>
      </c>
      <c r="AR1301" s="6" t="n">
        <v>0</v>
      </c>
    </row>
    <row r="1302">
      <c r="D1302" t="inlineStr">
        <is>
          <t>Run 990</t>
        </is>
      </c>
      <c r="J1302" s="6" t="n">
        <v>-1.587969759705848</v>
      </c>
      <c r="K1302" s="6" t="n">
        <v>-3.768744425046613</v>
      </c>
      <c r="L1302" s="6" t="n">
        <v>-2.070659398025033</v>
      </c>
      <c r="M1302" s="6" t="n">
        <v>0.8679388358445849</v>
      </c>
      <c r="N1302" s="6" t="n">
        <v>0.2353172871148037</v>
      </c>
      <c r="O1302" s="6" t="n">
        <v>0.1810413146188115</v>
      </c>
      <c r="P1302" s="6" t="n">
        <v>-2.158599925110355</v>
      </c>
      <c r="Q1302" s="6" t="n">
        <v>-1.551312770186338</v>
      </c>
      <c r="R1302" s="6" t="n">
        <v>-2.960017814504239</v>
      </c>
      <c r="S1302" s="6" t="n">
        <v>-0.2924865342704822</v>
      </c>
      <c r="T1302" s="6" t="n">
        <v>1.722069477677353</v>
      </c>
      <c r="U1302" s="6" t="n">
        <v>3.860869666009785</v>
      </c>
      <c r="V1302" s="6" t="n">
        <v>-0.1634864038164528</v>
      </c>
      <c r="W1302" s="6" t="n">
        <v>-2.977788231764062</v>
      </c>
      <c r="X1302" s="6" t="n">
        <v>-5.843929992242882</v>
      </c>
      <c r="Y1302" s="6" t="n">
        <v>0.7028918910486485</v>
      </c>
      <c r="Z1302" s="6" t="n">
        <v>0.5703399049835448</v>
      </c>
      <c r="AA1302" s="6" t="n">
        <v>0.08066586245865084</v>
      </c>
      <c r="AB1302" s="6" t="n">
        <v>-0.04557990503775199</v>
      </c>
      <c r="AC1302" s="6" t="n">
        <v>1.401455360353985</v>
      </c>
      <c r="AD1302" s="6" t="n">
        <v>0.8638592709366625</v>
      </c>
      <c r="AE1302" s="6" t="n">
        <v>0.5944497584768684</v>
      </c>
      <c r="AF1302" s="6" t="n">
        <v>0.3716112552180316</v>
      </c>
      <c r="AG1302" s="6" t="n">
        <v>4.096390398358176</v>
      </c>
      <c r="AH1302" s="6" t="n">
        <v>-1.598970895062142</v>
      </c>
      <c r="AI1302" s="6" t="n">
        <v>0.3245484308125164</v>
      </c>
      <c r="AJ1302" s="6" t="n">
        <v>68.1087581482217</v>
      </c>
      <c r="AK1302" s="6" t="n">
        <v>0.1325467849846522</v>
      </c>
      <c r="AL1302" s="6" t="n">
        <v>1.073943264173536</v>
      </c>
      <c r="AN1302" s="6" t="n">
        <v>1.335615811516261</v>
      </c>
      <c r="AO1302" s="6" t="n">
        <v>1.336031458972816</v>
      </c>
      <c r="AP1302" s="6" t="n">
        <v>0.1299962376549997</v>
      </c>
      <c r="AQ1302" s="6" t="n">
        <v>0</v>
      </c>
      <c r="AR1302" s="6" t="n">
        <v>0</v>
      </c>
    </row>
    <row r="1303">
      <c r="D1303" t="inlineStr">
        <is>
          <t>Run 991</t>
        </is>
      </c>
      <c r="J1303" s="6" t="n">
        <v>2.084985997137974</v>
      </c>
      <c r="K1303" s="6" t="n">
        <v>0.3803695577179292</v>
      </c>
      <c r="L1303" s="6" t="n">
        <v>-1.304659891301548</v>
      </c>
      <c r="M1303" s="6" t="n">
        <v>-0.4896545200730839</v>
      </c>
      <c r="N1303" s="6" t="n">
        <v>1.949844396125745</v>
      </c>
      <c r="O1303" s="6" t="n">
        <v>-1.607560478837686</v>
      </c>
      <c r="P1303" s="6" t="n">
        <v>-1.936014601571993</v>
      </c>
      <c r="Q1303" s="6" t="n">
        <v>-3.872932312728294</v>
      </c>
      <c r="R1303" s="6" t="n">
        <v>1.468092128762961</v>
      </c>
      <c r="S1303" s="6" t="n">
        <v>-1.61028529833838</v>
      </c>
      <c r="T1303" s="6" t="n">
        <v>-0.04968269648677162</v>
      </c>
      <c r="U1303" s="6" t="n">
        <v>2.873312345576316</v>
      </c>
      <c r="V1303" s="6" t="n">
        <v>-4.353567913622005</v>
      </c>
      <c r="W1303" s="6" t="n">
        <v>1.584289889667225</v>
      </c>
      <c r="X1303" s="6" t="n">
        <v>0.07863476681334705</v>
      </c>
      <c r="Y1303" s="6" t="n">
        <v>0.8705905539425609</v>
      </c>
      <c r="Z1303" s="6" t="n">
        <v>2.543252756233253</v>
      </c>
      <c r="AA1303" s="6" t="n">
        <v>-4.45283460349347</v>
      </c>
      <c r="AB1303" s="6" t="n">
        <v>0.08174917227420515</v>
      </c>
      <c r="AC1303" s="6" t="n">
        <v>-1.121086550910368</v>
      </c>
      <c r="AD1303" s="6" t="n">
        <v>-0.809759355354106</v>
      </c>
      <c r="AE1303" s="6" t="n">
        <v>-3.190887717496707</v>
      </c>
      <c r="AF1303" s="6" t="n">
        <v>2.949117821430504</v>
      </c>
      <c r="AG1303" s="6" t="n">
        <v>0.9326239786877096</v>
      </c>
      <c r="AH1303" s="6" t="n">
        <v>2.694624693523446</v>
      </c>
      <c r="AI1303" s="6" t="n">
        <v>-0.5190285799882942</v>
      </c>
      <c r="AJ1303" s="6" t="n">
        <v>60.18037602348803</v>
      </c>
      <c r="AK1303" s="6" t="n">
        <v>0.05253298292419691</v>
      </c>
      <c r="AL1303" s="6" t="n">
        <v>1.042517247551815</v>
      </c>
      <c r="AN1303" s="6" t="n">
        <v>1.342425778749707</v>
      </c>
      <c r="AO1303" s="6" t="n">
        <v>1.342562123494454</v>
      </c>
      <c r="AP1303" s="6" t="n">
        <v>0.1331721920489824</v>
      </c>
      <c r="AQ1303" s="6" t="n">
        <v>0</v>
      </c>
      <c r="AR1303" s="6" t="n">
        <v>0</v>
      </c>
    </row>
    <row r="1304">
      <c r="D1304" t="inlineStr">
        <is>
          <t>Run 992</t>
        </is>
      </c>
      <c r="J1304" s="6" t="n">
        <v>-2.629612079885419</v>
      </c>
      <c r="K1304" s="6" t="n">
        <v>1.578974083780203</v>
      </c>
      <c r="L1304" s="6" t="n">
        <v>-1.910635246446336</v>
      </c>
      <c r="M1304" s="6" t="n">
        <v>1.891436600921627</v>
      </c>
      <c r="N1304" s="6" t="n">
        <v>-0.9706586027186294</v>
      </c>
      <c r="O1304" s="6" t="n">
        <v>1.993189203764933</v>
      </c>
      <c r="P1304" s="6" t="n">
        <v>1.469982071837953</v>
      </c>
      <c r="Q1304" s="6" t="n">
        <v>-1.681392292863248</v>
      </c>
      <c r="R1304" s="6" t="n">
        <v>-1.731235835974447</v>
      </c>
      <c r="S1304" s="6" t="n">
        <v>2.828391037855364</v>
      </c>
      <c r="T1304" s="6" t="n">
        <v>-0.2176207090900231</v>
      </c>
      <c r="U1304" s="6" t="n">
        <v>0.9777188330705252</v>
      </c>
      <c r="V1304" s="6" t="n">
        <v>-0.5092338707779969</v>
      </c>
      <c r="W1304" s="6" t="n">
        <v>0.5479352013385554</v>
      </c>
      <c r="X1304" s="6" t="n">
        <v>-2.426957863812737</v>
      </c>
      <c r="Y1304" s="6" t="n">
        <v>0.7371385350869678</v>
      </c>
      <c r="Z1304" s="6" t="n">
        <v>0.3455425465155099</v>
      </c>
      <c r="AA1304" s="6" t="n">
        <v>2.932798611501737</v>
      </c>
      <c r="AB1304" s="6" t="n">
        <v>4.177874211912494</v>
      </c>
      <c r="AC1304" s="6" t="n">
        <v>-4.983939436546544</v>
      </c>
      <c r="AD1304" s="6" t="n">
        <v>-0.5311910667439238</v>
      </c>
      <c r="AE1304" s="6" t="n">
        <v>-1.879885347543223</v>
      </c>
      <c r="AF1304" s="6" t="n">
        <v>0.2201929160716281</v>
      </c>
      <c r="AG1304" s="6" t="n">
        <v>0.8548158151222611</v>
      </c>
      <c r="AH1304" s="6" t="n">
        <v>-1.505166803319366</v>
      </c>
      <c r="AI1304" s="6" t="n">
        <v>-2.61342662552417</v>
      </c>
      <c r="AJ1304" s="6" t="n">
        <v>68.69487112680447</v>
      </c>
      <c r="AK1304" s="6" t="n">
        <v>0.1978775146748309</v>
      </c>
      <c r="AL1304" s="6" t="n">
        <v>1.091026302950656</v>
      </c>
      <c r="AN1304" s="6" t="n">
        <v>1.31845603250516</v>
      </c>
      <c r="AO1304" s="6" t="n">
        <v>1.319267619749827</v>
      </c>
      <c r="AP1304" s="6" t="n">
        <v>0.1275119565566866</v>
      </c>
      <c r="AQ1304" s="6" t="n">
        <v>0</v>
      </c>
      <c r="AR1304" s="6" t="n">
        <v>0</v>
      </c>
    </row>
    <row r="1305">
      <c r="D1305" t="inlineStr">
        <is>
          <t>Run 993</t>
        </is>
      </c>
      <c r="J1305" s="6" t="n">
        <v>0.7783968995334463</v>
      </c>
      <c r="K1305" s="6" t="n">
        <v>-0.5177966455832602</v>
      </c>
      <c r="L1305" s="6" t="n">
        <v>0.3399637512226571</v>
      </c>
      <c r="M1305" s="6" t="n">
        <v>-0.366924776023767</v>
      </c>
      <c r="N1305" s="6" t="n">
        <v>-0.02377801901337294</v>
      </c>
      <c r="O1305" s="6" t="n">
        <v>-1.000417888428965</v>
      </c>
      <c r="P1305" s="6" t="n">
        <v>1.902288904117409</v>
      </c>
      <c r="Q1305" s="6" t="n">
        <v>0.9208336599780851</v>
      </c>
      <c r="R1305" s="6" t="n">
        <v>2.283910347232053</v>
      </c>
      <c r="S1305" s="6" t="n">
        <v>-4.755459922716721</v>
      </c>
      <c r="T1305" s="6" t="n">
        <v>-3.401696293161363</v>
      </c>
      <c r="U1305" s="6" t="n">
        <v>-0.8336829040927031</v>
      </c>
      <c r="V1305" s="6" t="n">
        <v>-0.4310176286756343</v>
      </c>
      <c r="W1305" s="6" t="n">
        <v>-0.9866654926033465</v>
      </c>
      <c r="X1305" s="6" t="n">
        <v>-2.691095052697211</v>
      </c>
      <c r="Y1305" s="6" t="n">
        <v>-1.947339870686064</v>
      </c>
      <c r="Z1305" s="6" t="n">
        <v>0.07321268064354219</v>
      </c>
      <c r="AA1305" s="6" t="n">
        <v>-1.716556796870564</v>
      </c>
      <c r="AB1305" s="6" t="n">
        <v>-0.8969523608029045</v>
      </c>
      <c r="AC1305" s="6" t="n">
        <v>0.1535597753069249</v>
      </c>
      <c r="AD1305" s="6" t="n">
        <v>2.131454860208054</v>
      </c>
      <c r="AE1305" s="6" t="n">
        <v>-0.8061610364978762</v>
      </c>
      <c r="AF1305" s="6" t="n">
        <v>3.085342357982767</v>
      </c>
      <c r="AG1305" s="6" t="n">
        <v>-1.54761849766274</v>
      </c>
      <c r="AH1305" s="6" t="n">
        <v>1.118197426756817</v>
      </c>
      <c r="AI1305" s="6" t="n">
        <v>-1.513237661488332</v>
      </c>
      <c r="AJ1305" s="6" t="n">
        <v>78.10431175521502</v>
      </c>
      <c r="AK1305" s="6" t="n">
        <v>0.195153009929317</v>
      </c>
      <c r="AL1305" s="6" t="n">
        <v>1.040131512262459</v>
      </c>
      <c r="AN1305" s="6" t="n">
        <v>1.346679261329156</v>
      </c>
      <c r="AO1305" s="6" t="n">
        <v>1.347745754651057</v>
      </c>
      <c r="AP1305" s="6" t="n">
        <v>0.1318488779790245</v>
      </c>
      <c r="AQ1305" s="6" t="n">
        <v>0</v>
      </c>
      <c r="AR1305" s="6" t="n">
        <v>0</v>
      </c>
    </row>
    <row r="1306">
      <c r="D1306" t="inlineStr">
        <is>
          <t>Run 994</t>
        </is>
      </c>
      <c r="J1306" s="6" t="n">
        <v>0.4053006486719922</v>
      </c>
      <c r="K1306" s="6" t="n">
        <v>1.428310628881502</v>
      </c>
      <c r="L1306" s="6" t="n">
        <v>-0.2226793486407502</v>
      </c>
      <c r="M1306" s="6" t="n">
        <v>2.366005367719387</v>
      </c>
      <c r="N1306" s="6" t="n">
        <v>-0.9489770232786884</v>
      </c>
      <c r="O1306" s="6" t="n">
        <v>2.205955907216876</v>
      </c>
      <c r="P1306" s="6" t="n">
        <v>-5.210233569452488</v>
      </c>
      <c r="Q1306" s="6" t="n">
        <v>-0.4865117864497699</v>
      </c>
      <c r="R1306" s="6" t="n">
        <v>0.2375333709712802</v>
      </c>
      <c r="S1306" s="6" t="n">
        <v>-1.318437440507032</v>
      </c>
      <c r="T1306" s="6" t="n">
        <v>-0.3890871150042854</v>
      </c>
      <c r="U1306" s="6" t="n">
        <v>-1.890625532393229</v>
      </c>
      <c r="V1306" s="6" t="n">
        <v>-1.957596379927219</v>
      </c>
      <c r="W1306" s="6" t="n">
        <v>-2.65593501527828</v>
      </c>
      <c r="X1306" s="6" t="n">
        <v>-2.491087728568179</v>
      </c>
      <c r="Y1306" s="6" t="n">
        <v>2.186641376874708</v>
      </c>
      <c r="Z1306" s="6" t="n">
        <v>-0.4717223331126617</v>
      </c>
      <c r="AA1306" s="6" t="n">
        <v>3.113997938546134</v>
      </c>
      <c r="AB1306" s="6" t="n">
        <v>-0.4058625372799662</v>
      </c>
      <c r="AC1306" s="6" t="n">
        <v>-0.08473932107281827</v>
      </c>
      <c r="AD1306" s="6" t="n">
        <v>-2.095261382912564</v>
      </c>
      <c r="AE1306" s="6" t="n">
        <v>1.471754227844127</v>
      </c>
      <c r="AF1306" s="6" t="n">
        <v>-0.8718481819835973</v>
      </c>
      <c r="AG1306" s="6" t="n">
        <v>-1.863513384107729</v>
      </c>
      <c r="AH1306" s="6" t="n">
        <v>0.6634228460242583</v>
      </c>
      <c r="AI1306" s="6" t="n">
        <v>-3.112399174937683</v>
      </c>
      <c r="AJ1306" s="6" t="n">
        <v>71.18668818319891</v>
      </c>
      <c r="AK1306" s="6" t="n">
        <v>0.04860291507100034</v>
      </c>
      <c r="AL1306" s="6" t="n">
        <v>1.037071885647445</v>
      </c>
      <c r="AN1306" s="6" t="n">
        <v>1.349419088852084</v>
      </c>
      <c r="AO1306" s="6" t="n">
        <v>1.349419088852084</v>
      </c>
      <c r="AP1306" s="6" t="n">
        <v>0.1349618632322078</v>
      </c>
      <c r="AQ1306" s="6" t="n">
        <v>0</v>
      </c>
      <c r="AR1306" s="6" t="n">
        <v>0</v>
      </c>
    </row>
    <row r="1307">
      <c r="D1307" t="inlineStr">
        <is>
          <t>Run 995</t>
        </is>
      </c>
      <c r="J1307" s="6" t="n">
        <v>-0.7101499123540163</v>
      </c>
      <c r="K1307" s="6" t="n">
        <v>-1.602227517900461</v>
      </c>
      <c r="L1307" s="6" t="n">
        <v>0.5856037501313831</v>
      </c>
      <c r="M1307" s="6" t="n">
        <v>2.067765768223488</v>
      </c>
      <c r="N1307" s="6" t="n">
        <v>-0.1202765900227217</v>
      </c>
      <c r="O1307" s="6" t="n">
        <v>-3.34628422114739</v>
      </c>
      <c r="P1307" s="6" t="n">
        <v>0.7234543335188396</v>
      </c>
      <c r="Q1307" s="6" t="n">
        <v>-0.8429765755024499</v>
      </c>
      <c r="R1307" s="6" t="n">
        <v>-2.422491346882153</v>
      </c>
      <c r="S1307" s="6" t="n">
        <v>-1.007372237465735</v>
      </c>
      <c r="T1307" s="6" t="n">
        <v>-0.937367459013111</v>
      </c>
      <c r="U1307" s="6" t="n">
        <v>0.6705458511272938</v>
      </c>
      <c r="V1307" s="6" t="n">
        <v>1.307718975580899</v>
      </c>
      <c r="W1307" s="6" t="n">
        <v>2.171967357169815</v>
      </c>
      <c r="X1307" s="6" t="n">
        <v>-3.010150534948087</v>
      </c>
      <c r="Y1307" s="6" t="n">
        <v>0.5806189028460281</v>
      </c>
      <c r="Z1307" s="6" t="n">
        <v>2.141981267980918</v>
      </c>
      <c r="AA1307" s="6" t="n">
        <v>-1.708134896349168</v>
      </c>
      <c r="AB1307" s="6" t="n">
        <v>-2.322908696937319</v>
      </c>
      <c r="AC1307" s="6" t="n">
        <v>-0.35946504154443</v>
      </c>
      <c r="AD1307" s="6" t="n">
        <v>-0.3449858522215065</v>
      </c>
      <c r="AE1307" s="6" t="n">
        <v>-0.412277730367026</v>
      </c>
      <c r="AF1307" s="6" t="n">
        <v>2.366211378295328</v>
      </c>
      <c r="AG1307" s="6" t="n">
        <v>0.7619457566847485</v>
      </c>
      <c r="AH1307" s="6" t="n">
        <v>-1.155964690746329</v>
      </c>
      <c r="AI1307" s="6" t="n">
        <v>-1.244933355335927</v>
      </c>
      <c r="AJ1307" s="6" t="n">
        <v>78.59902729838085</v>
      </c>
      <c r="AK1307" s="6" t="n">
        <v>0.008489191881701968</v>
      </c>
      <c r="AL1307" s="6" t="n">
        <v>1.06461655657513</v>
      </c>
      <c r="AN1307" s="6" t="n">
        <v>1.350822176190328</v>
      </c>
      <c r="AO1307" s="6" t="n">
        <v>1.350822176190328</v>
      </c>
      <c r="AP1307" s="6" t="n">
        <v>0.1345198648599018</v>
      </c>
      <c r="AQ1307" s="6" t="n">
        <v>0</v>
      </c>
      <c r="AR1307" s="6" t="n">
        <v>0</v>
      </c>
    </row>
    <row r="1308">
      <c r="D1308" t="inlineStr">
        <is>
          <t>Run 996</t>
        </is>
      </c>
      <c r="J1308" s="6" t="n">
        <v>-0.4640731533128912</v>
      </c>
      <c r="K1308" s="6" t="n">
        <v>-1.812042050196247</v>
      </c>
      <c r="L1308" s="6" t="n">
        <v>-0.8590328295500091</v>
      </c>
      <c r="M1308" s="6" t="n">
        <v>0.9634651576014759</v>
      </c>
      <c r="N1308" s="6" t="n">
        <v>-2.866690930918516</v>
      </c>
      <c r="O1308" s="6" t="n">
        <v>3.810659143489506</v>
      </c>
      <c r="P1308" s="6" t="n">
        <v>-1.572761369702489</v>
      </c>
      <c r="Q1308" s="6" t="n">
        <v>-0.3630884981895218</v>
      </c>
      <c r="R1308" s="6" t="n">
        <v>1.138468134389592</v>
      </c>
      <c r="S1308" s="6" t="n">
        <v>-0.04746638302201187</v>
      </c>
      <c r="T1308" s="6" t="n">
        <v>0.7866294595317174</v>
      </c>
      <c r="U1308" s="6" t="n">
        <v>-1.037185773662938</v>
      </c>
      <c r="V1308" s="6" t="n">
        <v>0.7442765181751152</v>
      </c>
      <c r="W1308" s="6" t="n">
        <v>1.112821039317589</v>
      </c>
      <c r="X1308" s="6" t="n">
        <v>1.836878467094332</v>
      </c>
      <c r="Y1308" s="6" t="n">
        <v>-0.751329037720724</v>
      </c>
      <c r="Z1308" s="6" t="n">
        <v>2.710954257429813</v>
      </c>
      <c r="AA1308" s="6" t="n">
        <v>1.685266384189459</v>
      </c>
      <c r="AB1308" s="6" t="n">
        <v>-0.2322023558116764</v>
      </c>
      <c r="AC1308" s="6" t="n">
        <v>-2.917622922313086</v>
      </c>
      <c r="AD1308" s="6" t="n">
        <v>3.347078184344388</v>
      </c>
      <c r="AE1308" s="6" t="n">
        <v>-0.5037578537369014</v>
      </c>
      <c r="AF1308" s="6" t="n">
        <v>-0.3325169242167947</v>
      </c>
      <c r="AG1308" s="6" t="n">
        <v>0.8770152051503852</v>
      </c>
      <c r="AH1308" s="6" t="n">
        <v>-0.4288056572839505</v>
      </c>
      <c r="AI1308" s="6" t="n">
        <v>-0.856475635182143</v>
      </c>
      <c r="AJ1308" s="6" t="n">
        <v>75.95297274946823</v>
      </c>
      <c r="AK1308" s="6" t="n">
        <v>0.06151972497357709</v>
      </c>
      <c r="AL1308" s="6" t="n">
        <v>1.065925125588409</v>
      </c>
      <c r="AN1308" s="6" t="n">
        <v>1.348152944113352</v>
      </c>
      <c r="AO1308" s="6" t="n">
        <v>1.348719051216666</v>
      </c>
      <c r="AP1308" s="6" t="n">
        <v>0.1329271571567248</v>
      </c>
      <c r="AQ1308" s="6" t="n">
        <v>0</v>
      </c>
      <c r="AR1308" s="6" t="n">
        <v>0</v>
      </c>
    </row>
    <row r="1309">
      <c r="D1309" t="inlineStr">
        <is>
          <t>Run 997</t>
        </is>
      </c>
      <c r="J1309" s="6" t="n">
        <v>-2.592347827469621</v>
      </c>
      <c r="K1309" s="6" t="n">
        <v>5</v>
      </c>
      <c r="L1309" s="6" t="n">
        <v>-1.368892029062649</v>
      </c>
      <c r="M1309" s="6" t="n">
        <v>0.2012865762737099</v>
      </c>
      <c r="N1309" s="6" t="n">
        <v>2.100205747906479</v>
      </c>
      <c r="O1309" s="6" t="n">
        <v>-2.888255795419393</v>
      </c>
      <c r="P1309" s="6" t="n">
        <v>1.242712286717102</v>
      </c>
      <c r="Q1309" s="6" t="n">
        <v>0.7948800200744662</v>
      </c>
      <c r="R1309" s="6" t="n">
        <v>1.122511984293108</v>
      </c>
      <c r="S1309" s="6" t="n">
        <v>0.4466973202188601</v>
      </c>
      <c r="T1309" s="6" t="n">
        <v>-1.479782074864419</v>
      </c>
      <c r="U1309" s="6" t="n">
        <v>-3.055999815174421</v>
      </c>
      <c r="V1309" s="6" t="n">
        <v>2.516119379287765</v>
      </c>
      <c r="W1309" s="6" t="n">
        <v>-4.388482060030041</v>
      </c>
      <c r="X1309" s="6" t="n">
        <v>-0.2676759423091932</v>
      </c>
      <c r="Y1309" s="6" t="n">
        <v>2.04828080800905</v>
      </c>
      <c r="Z1309" s="6" t="n">
        <v>-2.468154474918993</v>
      </c>
      <c r="AA1309" s="6" t="n">
        <v>-0.2153953340489871</v>
      </c>
      <c r="AB1309" s="6" t="n">
        <v>-0.3726009711341339</v>
      </c>
      <c r="AC1309" s="6" t="n">
        <v>1.1989856011894</v>
      </c>
      <c r="AD1309" s="6" t="n">
        <v>0.5883782940658255</v>
      </c>
      <c r="AE1309" s="6" t="n">
        <v>0.499076723982229</v>
      </c>
      <c r="AF1309" s="6" t="n">
        <v>-1.634387760507743</v>
      </c>
      <c r="AG1309" s="6" t="n">
        <v>1.457035508781247</v>
      </c>
      <c r="AH1309" s="6" t="n">
        <v>2.046204928097365</v>
      </c>
      <c r="AI1309" s="6" t="n">
        <v>-0.1970049861616196</v>
      </c>
      <c r="AJ1309" s="6" t="n">
        <v>77.91363112655181</v>
      </c>
      <c r="AK1309" s="6" t="n">
        <v>0.1889195992900973</v>
      </c>
      <c r="AL1309" s="6" t="n">
        <v>1.094172065562488</v>
      </c>
      <c r="AN1309" s="6" t="n">
        <v>1.326284175386389</v>
      </c>
      <c r="AO1309" s="6" t="n">
        <v>1.327640964264401</v>
      </c>
      <c r="AP1309" s="6" t="n">
        <v>0.1280536138368976</v>
      </c>
      <c r="AQ1309" s="6" t="n">
        <v>0</v>
      </c>
      <c r="AR1309" s="6" t="n">
        <v>0</v>
      </c>
    </row>
    <row r="1310">
      <c r="D1310" t="inlineStr">
        <is>
          <t>Run 998</t>
        </is>
      </c>
      <c r="J1310" s="6" t="n">
        <v>-2.445581361074648</v>
      </c>
      <c r="K1310" s="6" t="n">
        <v>0.1801846259431414</v>
      </c>
      <c r="L1310" s="6" t="n">
        <v>2.552909289162233</v>
      </c>
      <c r="M1310" s="6" t="n">
        <v>-1.421719304742122</v>
      </c>
      <c r="N1310" s="6" t="n">
        <v>-0.7473867633303258</v>
      </c>
      <c r="O1310" s="6" t="n">
        <v>2.697420228224993</v>
      </c>
      <c r="P1310" s="6" t="n">
        <v>2.257627556444991</v>
      </c>
      <c r="Q1310" s="6" t="n">
        <v>-2.762302006491631</v>
      </c>
      <c r="R1310" s="6" t="n">
        <v>2.064469643317318</v>
      </c>
      <c r="S1310" s="6" t="n">
        <v>-2.160325980949923</v>
      </c>
      <c r="T1310" s="6" t="n">
        <v>-0.8520149395732322</v>
      </c>
      <c r="U1310" s="6" t="n">
        <v>-0.2893176123668319</v>
      </c>
      <c r="V1310" s="6" t="n">
        <v>-1.997339924345024</v>
      </c>
      <c r="W1310" s="6" t="n">
        <v>-0.8497352324782675</v>
      </c>
      <c r="X1310" s="6" t="n">
        <v>-2.626965138478867</v>
      </c>
      <c r="Y1310" s="6" t="n">
        <v>1.077252124703424</v>
      </c>
      <c r="Z1310" s="6" t="n">
        <v>3.711394833579252</v>
      </c>
      <c r="AA1310" s="6" t="n">
        <v>2.864810923618629</v>
      </c>
      <c r="AB1310" s="6" t="n">
        <v>2.622723095088385</v>
      </c>
      <c r="AC1310" s="6" t="n">
        <v>0.5248039051230219</v>
      </c>
      <c r="AD1310" s="6" t="n">
        <v>-2.362615537774145</v>
      </c>
      <c r="AE1310" s="6" t="n">
        <v>-2.614788655992935</v>
      </c>
      <c r="AF1310" s="6" t="n">
        <v>-1.576637718701325</v>
      </c>
      <c r="AG1310" s="6" t="n">
        <v>-0.6175274588024748</v>
      </c>
      <c r="AH1310" s="6" t="n">
        <v>0.3790902939149541</v>
      </c>
      <c r="AI1310" s="6" t="n">
        <v>2.874633164132105</v>
      </c>
      <c r="AJ1310" s="6" t="n">
        <v>72.06542493379773</v>
      </c>
      <c r="AK1310" s="6" t="n">
        <v>0.07688190803504681</v>
      </c>
      <c r="AL1310" s="6" t="n">
        <v>1.041776931972811</v>
      </c>
      <c r="AN1310" s="6" t="n">
        <v>1.344916178945166</v>
      </c>
      <c r="AO1310" s="6" t="n">
        <v>1.348540580768816</v>
      </c>
      <c r="AP1310" s="6" t="n">
        <v>0.1340366073514098</v>
      </c>
      <c r="AQ1310" s="6" t="n">
        <v>0</v>
      </c>
      <c r="AR1310" s="6" t="n">
        <v>0</v>
      </c>
    </row>
    <row r="1311">
      <c r="D1311" t="inlineStr">
        <is>
          <t>Run 999</t>
        </is>
      </c>
      <c r="J1311" s="6" t="n">
        <v>-1.546173037637315</v>
      </c>
      <c r="K1311" s="6" t="n">
        <v>2.268364960092787</v>
      </c>
      <c r="L1311" s="6" t="n">
        <v>0.6712163721871198</v>
      </c>
      <c r="M1311" s="6" t="n">
        <v>-5.759421697811487</v>
      </c>
      <c r="N1311" s="6" t="n">
        <v>-2.559318478588104</v>
      </c>
      <c r="O1311" s="6" t="n">
        <v>-0.9348896455731278</v>
      </c>
      <c r="P1311" s="6" t="n">
        <v>-0.03514929370412902</v>
      </c>
      <c r="Q1311" s="6" t="n">
        <v>-0.201802150490228</v>
      </c>
      <c r="R1311" s="6" t="n">
        <v>0.5803081977023039</v>
      </c>
      <c r="S1311" s="6" t="n">
        <v>-0.06711286451365289</v>
      </c>
      <c r="T1311" s="6" t="n">
        <v>1.512218651120678</v>
      </c>
      <c r="U1311" s="6" t="n">
        <v>0.9611317385653753</v>
      </c>
      <c r="V1311" s="6" t="n">
        <v>3.04436408357549</v>
      </c>
      <c r="W1311" s="6" t="n">
        <v>0.5804679882667113</v>
      </c>
      <c r="X1311" s="6" t="n">
        <v>0.3041089105009384</v>
      </c>
      <c r="Y1311" s="6" t="n">
        <v>-1.5985361464295</v>
      </c>
      <c r="Z1311" s="6" t="n">
        <v>1.294732276685697</v>
      </c>
      <c r="AA1311" s="6" t="n">
        <v>-2.703618981656308</v>
      </c>
      <c r="AB1311" s="6" t="n">
        <v>2.23919088279755</v>
      </c>
      <c r="AC1311" s="6" t="n">
        <v>3.942057001018308</v>
      </c>
      <c r="AD1311" s="6" t="n">
        <v>1.436032179180001</v>
      </c>
      <c r="AE1311" s="6" t="n">
        <v>-1.98591360754182</v>
      </c>
      <c r="AF1311" s="6" t="n">
        <v>0.2857391285386231</v>
      </c>
      <c r="AG1311" s="6" t="n">
        <v>1.064669474926991</v>
      </c>
      <c r="AH1311" s="6" t="n">
        <v>2.432878764646485</v>
      </c>
      <c r="AI1311" s="6" t="n">
        <v>-1.064619615744803</v>
      </c>
      <c r="AJ1311" s="6" t="n">
        <v>62.45615604317771</v>
      </c>
      <c r="AK1311" s="6" t="n">
        <v>0.1452249385170049</v>
      </c>
      <c r="AL1311" s="6" t="n">
        <v>1.078143735688095</v>
      </c>
      <c r="AN1311" s="6" t="n">
        <v>1.266106328484886</v>
      </c>
      <c r="AO1311" s="6" t="n">
        <v>1.26964020646408</v>
      </c>
      <c r="AP1311" s="6" t="n">
        <v>0.1283226495236203</v>
      </c>
      <c r="AQ1311" s="6" t="n">
        <v>0</v>
      </c>
      <c r="AR1311" s="6" t="n">
        <v>0</v>
      </c>
    </row>
    <row r="1312">
      <c r="D1312" t="inlineStr">
        <is>
          <t>Run 1000</t>
        </is>
      </c>
      <c r="J1312" s="6" t="n">
        <v>-2.120437104788753</v>
      </c>
      <c r="K1312" s="6" t="n">
        <v>-3.344837218299385</v>
      </c>
      <c r="L1312" s="6" t="n">
        <v>-0.7213518648466849</v>
      </c>
      <c r="M1312" s="6" t="n">
        <v>1.245753747522199</v>
      </c>
      <c r="N1312" s="6" t="n">
        <v>2.404608577244002</v>
      </c>
      <c r="O1312" s="6" t="n">
        <v>-0.8182763010573062</v>
      </c>
      <c r="P1312" s="6" t="n">
        <v>3.920607328471599</v>
      </c>
      <c r="Q1312" s="6" t="n">
        <v>0.6435538706424982</v>
      </c>
      <c r="R1312" s="6" t="n">
        <v>-4.077676553647614</v>
      </c>
      <c r="S1312" s="6" t="n">
        <v>-2.916499529323234</v>
      </c>
      <c r="T1312" s="6" t="n">
        <v>-2.733326554335196</v>
      </c>
      <c r="U1312" s="6" t="n">
        <v>-1.18922072888853</v>
      </c>
      <c r="V1312" s="6" t="n">
        <v>0.2079115008051343</v>
      </c>
      <c r="W1312" s="6" t="n">
        <v>4.403989540263767</v>
      </c>
      <c r="X1312" s="6" t="n">
        <v>-0.6213732334491963</v>
      </c>
      <c r="Y1312" s="6" t="n">
        <v>-0.9375309057303887</v>
      </c>
      <c r="Z1312" s="6" t="n">
        <v>-0.788268148665749</v>
      </c>
      <c r="AA1312" s="6" t="n">
        <v>3.291825270036747</v>
      </c>
      <c r="AB1312" s="6" t="n">
        <v>-1.719473515958066</v>
      </c>
      <c r="AC1312" s="6" t="n">
        <v>-0.7282360454661948</v>
      </c>
      <c r="AD1312" s="6" t="n">
        <v>-0.5899270316898965</v>
      </c>
      <c r="AE1312" s="6" t="n">
        <v>-0.05759786331330598</v>
      </c>
      <c r="AF1312" s="6" t="n">
        <v>0.5553863871515402</v>
      </c>
      <c r="AG1312" s="6" t="n">
        <v>-1.185914041179444</v>
      </c>
      <c r="AH1312" s="6" t="n">
        <v>-0.9445457595900347</v>
      </c>
      <c r="AI1312" s="6" t="n">
        <v>1.710151077622349</v>
      </c>
      <c r="AJ1312" s="6" t="n">
        <v>77.91957977293019</v>
      </c>
      <c r="AK1312" s="6" t="n">
        <v>0.03917103063264142</v>
      </c>
      <c r="AL1312" s="6" t="n">
        <v>1.000002278791023</v>
      </c>
      <c r="AN1312" s="6" t="n">
        <v>1.362398496799127</v>
      </c>
      <c r="AO1312" s="6" t="n">
        <v>1.362398496799127</v>
      </c>
      <c r="AP1312" s="6" t="n">
        <v>0.1414655800097195</v>
      </c>
      <c r="AQ1312" s="6" t="n">
        <v>0</v>
      </c>
      <c r="AR1312" s="6" t="n">
        <v>0</v>
      </c>
    </row>
    <row r="1314">
      <c r="B1314" s="2" t="inlineStr">
        <is>
          <t>ECA test limits (OECD Arrangement, 2018 commitments) and constants for the appended rows</t>
        </is>
      </c>
    </row>
    <row r="1315">
      <c r="D1315" t="inlineStr">
        <is>
          <t>ECA limit: repayment term from COD</t>
        </is>
      </c>
      <c r="E1315" t="inlineStr">
        <is>
          <t>years</t>
        </is>
      </c>
      <c r="F1315" s="7" t="n">
        <v>14</v>
      </c>
    </row>
    <row r="1316">
      <c r="D1316" t="inlineStr">
        <is>
          <t>ECA limit: weighted average life from COD</t>
        </is>
      </c>
      <c r="E1316" t="inlineStr">
        <is>
          <t>years</t>
        </is>
      </c>
      <c r="F1316" s="7" t="n">
        <v>7.25</v>
      </c>
    </row>
    <row r="1317">
      <c r="D1317" t="inlineStr">
        <is>
          <t>ECA limit: largest installment</t>
        </is>
      </c>
      <c r="E1317" t="inlineStr">
        <is>
          <t>% of principal</t>
        </is>
      </c>
      <c r="F1317" s="7" t="n">
        <v>25</v>
      </c>
    </row>
    <row r="1318">
      <c r="D1318" t="inlineStr">
        <is>
          <t>ECA limit: months from COD to first repayment (and window for the minimum share)</t>
        </is>
      </c>
      <c r="E1318" t="inlineStr">
        <is>
          <t>months</t>
        </is>
      </c>
      <c r="F1318" s="7" t="n">
        <v>24</v>
      </c>
    </row>
    <row r="1319">
      <c r="D1319" t="inlineStr">
        <is>
          <t>ECA limit: minimum share repaid within the window</t>
        </is>
      </c>
      <c r="E1319" t="inlineStr">
        <is>
          <t>% of principal</t>
        </is>
      </c>
      <c r="F1319" s="7" t="n">
        <v>2</v>
      </c>
    </row>
    <row r="1320">
      <c r="D1320" t="inlineStr">
        <is>
          <t>Days per year for life measures</t>
        </is>
      </c>
      <c r="E1320" t="inlineStr">
        <is>
          <t>days</t>
        </is>
      </c>
      <c r="F1320" s="7" t="n">
        <v>365.25</v>
      </c>
    </row>
    <row r="1321">
      <c r="D1321" t="inlineStr">
        <is>
          <t>Monte Carlo: operating years with an availability shock</t>
        </is>
      </c>
      <c r="E1321" t="inlineStr">
        <is>
          <t>years</t>
        </is>
      </c>
      <c r="F1321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10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9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10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9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9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9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9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9">
        <f>SUMPRODUCT($J$37:$BN$37,$J$20:$BN$20)</f>
        <v/>
      </c>
    </row>
    <row r="16">
      <c r="D16" t="inlineStr">
        <is>
          <t>FC FX drift per year (Kessara / US CPI expectations; Monte Carlo draw when active)</t>
        </is>
      </c>
      <c r="E16" t="inlineStr">
        <is>
          <t>factor</t>
        </is>
      </c>
      <c r="F16" s="11">
        <f>IF(Inputs!$F$312=1,INDEX(Inputs!$AL$313:$AL$1312,Inputs!$F$311),(1+Inputs!$F$213/100)/(1+Inputs!$F$214/100))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9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9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9">
        <f>I20+1</f>
        <v/>
      </c>
      <c r="K20" s="9">
        <f>J20+1</f>
        <v/>
      </c>
      <c r="L20" s="9">
        <f>K20+1</f>
        <v/>
      </c>
      <c r="M20" s="9">
        <f>L20+1</f>
        <v/>
      </c>
      <c r="N20" s="9">
        <f>M20+1</f>
        <v/>
      </c>
      <c r="O20" s="9">
        <f>N20+1</f>
        <v/>
      </c>
      <c r="P20" s="9">
        <f>O20+1</f>
        <v/>
      </c>
      <c r="Q20" s="9">
        <f>P20+1</f>
        <v/>
      </c>
      <c r="R20" s="9">
        <f>Q20+1</f>
        <v/>
      </c>
      <c r="S20" s="9">
        <f>R20+1</f>
        <v/>
      </c>
      <c r="T20" s="9">
        <f>S20+1</f>
        <v/>
      </c>
      <c r="U20" s="9">
        <f>T20+1</f>
        <v/>
      </c>
      <c r="V20" s="9">
        <f>U20+1</f>
        <v/>
      </c>
      <c r="W20" s="9">
        <f>V20+1</f>
        <v/>
      </c>
      <c r="X20" s="9">
        <f>W20+1</f>
        <v/>
      </c>
      <c r="Y20" s="9">
        <f>X20+1</f>
        <v/>
      </c>
      <c r="Z20" s="9">
        <f>Y20+1</f>
        <v/>
      </c>
      <c r="AA20" s="9">
        <f>Z20+1</f>
        <v/>
      </c>
      <c r="AB20" s="9">
        <f>AA20+1</f>
        <v/>
      </c>
      <c r="AC20" s="9">
        <f>AB20+1</f>
        <v/>
      </c>
      <c r="AD20" s="9">
        <f>AC20+1</f>
        <v/>
      </c>
      <c r="AE20" s="9">
        <f>AD20+1</f>
        <v/>
      </c>
      <c r="AF20" s="9">
        <f>AE20+1</f>
        <v/>
      </c>
      <c r="AG20" s="9">
        <f>AF20+1</f>
        <v/>
      </c>
      <c r="AH20" s="9">
        <f>AG20+1</f>
        <v/>
      </c>
      <c r="AI20" s="9">
        <f>AH20+1</f>
        <v/>
      </c>
      <c r="AJ20" s="9">
        <f>AI20+1</f>
        <v/>
      </c>
      <c r="AK20" s="9">
        <f>AJ20+1</f>
        <v/>
      </c>
      <c r="AL20" s="9">
        <f>AK20+1</f>
        <v/>
      </c>
      <c r="AM20" s="9">
        <f>AL20+1</f>
        <v/>
      </c>
      <c r="AN20" s="9">
        <f>AM20+1</f>
        <v/>
      </c>
      <c r="AO20" s="9">
        <f>AN20+1</f>
        <v/>
      </c>
      <c r="AP20" s="9">
        <f>AO20+1</f>
        <v/>
      </c>
      <c r="AQ20" s="9">
        <f>AP20+1</f>
        <v/>
      </c>
      <c r="AR20" s="9">
        <f>AQ20+1</f>
        <v/>
      </c>
      <c r="AS20" s="9">
        <f>AR20+1</f>
        <v/>
      </c>
      <c r="AT20" s="9">
        <f>AS20+1</f>
        <v/>
      </c>
      <c r="AU20" s="9">
        <f>AT20+1</f>
        <v/>
      </c>
      <c r="AV20" s="9">
        <f>AU20+1</f>
        <v/>
      </c>
      <c r="AW20" s="9">
        <f>AV20+1</f>
        <v/>
      </c>
      <c r="AX20" s="9">
        <f>AW20+1</f>
        <v/>
      </c>
      <c r="AY20" s="9">
        <f>AX20+1</f>
        <v/>
      </c>
      <c r="AZ20" s="9">
        <f>AY20+1</f>
        <v/>
      </c>
      <c r="BA20" s="9">
        <f>AZ20+1</f>
        <v/>
      </c>
      <c r="BB20" s="9">
        <f>BA20+1</f>
        <v/>
      </c>
      <c r="BC20" s="9">
        <f>BB20+1</f>
        <v/>
      </c>
      <c r="BD20" s="9">
        <f>BC20+1</f>
        <v/>
      </c>
      <c r="BE20" s="9">
        <f>BD20+1</f>
        <v/>
      </c>
      <c r="BF20" s="9">
        <f>BE20+1</f>
        <v/>
      </c>
      <c r="BG20" s="9">
        <f>BF20+1</f>
        <v/>
      </c>
      <c r="BH20" s="9">
        <f>BG20+1</f>
        <v/>
      </c>
      <c r="BI20" s="9">
        <f>BH20+1</f>
        <v/>
      </c>
      <c r="BJ20" s="9">
        <f>BI20+1</f>
        <v/>
      </c>
      <c r="BK20" s="9">
        <f>BJ20+1</f>
        <v/>
      </c>
      <c r="BL20" s="9">
        <f>BK20+1</f>
        <v/>
      </c>
      <c r="BM20" s="9">
        <f>BL20+1</f>
        <v/>
      </c>
      <c r="BN20" s="9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10">
        <f>IF(J20=1,Inputs!$F$189,EDATE(I22,J21))</f>
        <v/>
      </c>
      <c r="K22" s="10">
        <f>IF(K20=1,Inputs!$F$189,EDATE(J22,K21))</f>
        <v/>
      </c>
      <c r="L22" s="10">
        <f>IF(L20=1,Inputs!$F$189,EDATE(K22,L21))</f>
        <v/>
      </c>
      <c r="M22" s="10">
        <f>IF(M20=1,Inputs!$F$189,EDATE(L22,M21))</f>
        <v/>
      </c>
      <c r="N22" s="10">
        <f>IF(N20=1,Inputs!$F$189,EDATE(M22,N21))</f>
        <v/>
      </c>
      <c r="O22" s="10">
        <f>IF(O20=1,Inputs!$F$189,EDATE(N22,O21))</f>
        <v/>
      </c>
      <c r="P22" s="10">
        <f>IF(P20=1,Inputs!$F$189,EDATE(O22,P21))</f>
        <v/>
      </c>
      <c r="Q22" s="10">
        <f>IF(Q20=1,Inputs!$F$189,EDATE(P22,Q21))</f>
        <v/>
      </c>
      <c r="R22" s="10">
        <f>IF(R20=1,Inputs!$F$189,EDATE(Q22,R21))</f>
        <v/>
      </c>
      <c r="S22" s="10">
        <f>IF(S20=1,Inputs!$F$189,EDATE(R22,S21))</f>
        <v/>
      </c>
      <c r="T22" s="10">
        <f>IF(T20=1,Inputs!$F$189,EDATE(S22,T21))</f>
        <v/>
      </c>
      <c r="U22" s="10">
        <f>IF(U20=1,Inputs!$F$189,EDATE(T22,U21))</f>
        <v/>
      </c>
      <c r="V22" s="10">
        <f>IF(V20=1,Inputs!$F$189,EDATE(U22,V21))</f>
        <v/>
      </c>
      <c r="W22" s="10">
        <f>IF(W20=1,Inputs!$F$189,EDATE(V22,W21))</f>
        <v/>
      </c>
      <c r="X22" s="10">
        <f>IF(X20=1,Inputs!$F$189,EDATE(W22,X21))</f>
        <v/>
      </c>
      <c r="Y22" s="10">
        <f>IF(Y20=1,Inputs!$F$189,EDATE(X22,Y21))</f>
        <v/>
      </c>
      <c r="Z22" s="10">
        <f>IF(Z20=1,Inputs!$F$189,EDATE(Y22,Z21))</f>
        <v/>
      </c>
      <c r="AA22" s="10">
        <f>IF(AA20=1,Inputs!$F$189,EDATE(Z22,AA21))</f>
        <v/>
      </c>
      <c r="AB22" s="10">
        <f>IF(AB20=1,Inputs!$F$189,EDATE(AA22,AB21))</f>
        <v/>
      </c>
      <c r="AC22" s="10">
        <f>IF(AC20=1,Inputs!$F$189,EDATE(AB22,AC21))</f>
        <v/>
      </c>
      <c r="AD22" s="10">
        <f>IF(AD20=1,Inputs!$F$189,EDATE(AC22,AD21))</f>
        <v/>
      </c>
      <c r="AE22" s="10">
        <f>IF(AE20=1,Inputs!$F$189,EDATE(AD22,AE21))</f>
        <v/>
      </c>
      <c r="AF22" s="10">
        <f>IF(AF20=1,Inputs!$F$189,EDATE(AE22,AF21))</f>
        <v/>
      </c>
      <c r="AG22" s="10">
        <f>IF(AG20=1,Inputs!$F$189,EDATE(AF22,AG21))</f>
        <v/>
      </c>
      <c r="AH22" s="10">
        <f>IF(AH20=1,Inputs!$F$189,EDATE(AG22,AH21))</f>
        <v/>
      </c>
      <c r="AI22" s="10">
        <f>IF(AI20=1,Inputs!$F$189,EDATE(AH22,AI21))</f>
        <v/>
      </c>
      <c r="AJ22" s="10">
        <f>IF(AJ20=1,Inputs!$F$189,EDATE(AI22,AJ21))</f>
        <v/>
      </c>
      <c r="AK22" s="10">
        <f>IF(AK20=1,Inputs!$F$189,EDATE(AJ22,AK21))</f>
        <v/>
      </c>
      <c r="AL22" s="10">
        <f>IF(AL20=1,Inputs!$F$189,EDATE(AK22,AL21))</f>
        <v/>
      </c>
      <c r="AM22" s="10">
        <f>IF(AM20=1,Inputs!$F$189,EDATE(AL22,AM21))</f>
        <v/>
      </c>
      <c r="AN22" s="10">
        <f>IF(AN20=1,Inputs!$F$189,EDATE(AM22,AN21))</f>
        <v/>
      </c>
      <c r="AO22" s="10">
        <f>IF(AO20=1,Inputs!$F$189,EDATE(AN22,AO21))</f>
        <v/>
      </c>
      <c r="AP22" s="10">
        <f>IF(AP20=1,Inputs!$F$189,EDATE(AO22,AP21))</f>
        <v/>
      </c>
      <c r="AQ22" s="10">
        <f>IF(AQ20=1,Inputs!$F$189,EDATE(AP22,AQ21))</f>
        <v/>
      </c>
      <c r="AR22" s="10">
        <f>IF(AR20=1,Inputs!$F$189,EDATE(AQ22,AR21))</f>
        <v/>
      </c>
      <c r="AS22" s="10">
        <f>IF(AS20=1,Inputs!$F$189,EDATE(AR22,AS21))</f>
        <v/>
      </c>
      <c r="AT22" s="10">
        <f>IF(AT20=1,Inputs!$F$189,EDATE(AS22,AT21))</f>
        <v/>
      </c>
      <c r="AU22" s="10">
        <f>IF(AU20=1,Inputs!$F$189,EDATE(AT22,AU21))</f>
        <v/>
      </c>
      <c r="AV22" s="10">
        <f>IF(AV20=1,Inputs!$F$189,EDATE(AU22,AV21))</f>
        <v/>
      </c>
      <c r="AW22" s="10">
        <f>IF(AW20=1,Inputs!$F$189,EDATE(AV22,AW21))</f>
        <v/>
      </c>
      <c r="AX22" s="10">
        <f>IF(AX20=1,Inputs!$F$189,EDATE(AW22,AX21))</f>
        <v/>
      </c>
      <c r="AY22" s="10">
        <f>IF(AY20=1,Inputs!$F$189,EDATE(AX22,AY21))</f>
        <v/>
      </c>
      <c r="AZ22" s="10">
        <f>IF(AZ20=1,Inputs!$F$189,EDATE(AY22,AZ21))</f>
        <v/>
      </c>
      <c r="BA22" s="10">
        <f>IF(BA20=1,Inputs!$F$189,EDATE(AZ22,BA21))</f>
        <v/>
      </c>
      <c r="BB22" s="10">
        <f>IF(BB20=1,Inputs!$F$189,EDATE(BA22,BB21))</f>
        <v/>
      </c>
      <c r="BC22" s="10">
        <f>IF(BC20=1,Inputs!$F$189,EDATE(BB22,BC21))</f>
        <v/>
      </c>
      <c r="BD22" s="10">
        <f>IF(BD20=1,Inputs!$F$189,EDATE(BC22,BD21))</f>
        <v/>
      </c>
      <c r="BE22" s="10">
        <f>IF(BE20=1,Inputs!$F$189,EDATE(BD22,BE21))</f>
        <v/>
      </c>
      <c r="BF22" s="10">
        <f>IF(BF20=1,Inputs!$F$189,EDATE(BE22,BF21))</f>
        <v/>
      </c>
      <c r="BG22" s="10">
        <f>IF(BG20=1,Inputs!$F$189,EDATE(BF22,BG21))</f>
        <v/>
      </c>
      <c r="BH22" s="10">
        <f>IF(BH20=1,Inputs!$F$189,EDATE(BG22,BH21))</f>
        <v/>
      </c>
      <c r="BI22" s="10">
        <f>IF(BI20=1,Inputs!$F$189,EDATE(BH22,BI21))</f>
        <v/>
      </c>
      <c r="BJ22" s="10">
        <f>IF(BJ20=1,Inputs!$F$189,EDATE(BI22,BJ21))</f>
        <v/>
      </c>
      <c r="BK22" s="10">
        <f>IF(BK20=1,Inputs!$F$189,EDATE(BJ22,BK21))</f>
        <v/>
      </c>
      <c r="BL22" s="10">
        <f>IF(BL20=1,Inputs!$F$189,EDATE(BK22,BL21))</f>
        <v/>
      </c>
      <c r="BM22" s="10">
        <f>IF(BM20=1,Inputs!$F$189,EDATE(BL22,BM21))</f>
        <v/>
      </c>
      <c r="BN22" s="10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10">
        <f>EOMONTH(J22,J21-1)</f>
        <v/>
      </c>
      <c r="K23" s="10">
        <f>EOMONTH(K22,K21-1)</f>
        <v/>
      </c>
      <c r="L23" s="10">
        <f>EOMONTH(L22,L21-1)</f>
        <v/>
      </c>
      <c r="M23" s="10">
        <f>EOMONTH(M22,M21-1)</f>
        <v/>
      </c>
      <c r="N23" s="10">
        <f>EOMONTH(N22,N21-1)</f>
        <v/>
      </c>
      <c r="O23" s="10">
        <f>EOMONTH(O22,O21-1)</f>
        <v/>
      </c>
      <c r="P23" s="10">
        <f>EOMONTH(P22,P21-1)</f>
        <v/>
      </c>
      <c r="Q23" s="10">
        <f>EOMONTH(Q22,Q21-1)</f>
        <v/>
      </c>
      <c r="R23" s="10">
        <f>EOMONTH(R22,R21-1)</f>
        <v/>
      </c>
      <c r="S23" s="10">
        <f>EOMONTH(S22,S21-1)</f>
        <v/>
      </c>
      <c r="T23" s="10">
        <f>EOMONTH(T22,T21-1)</f>
        <v/>
      </c>
      <c r="U23" s="10">
        <f>EOMONTH(U22,U21-1)</f>
        <v/>
      </c>
      <c r="V23" s="10">
        <f>EOMONTH(V22,V21-1)</f>
        <v/>
      </c>
      <c r="W23" s="10">
        <f>EOMONTH(W22,W21-1)</f>
        <v/>
      </c>
      <c r="X23" s="10">
        <f>EOMONTH(X22,X21-1)</f>
        <v/>
      </c>
      <c r="Y23" s="10">
        <f>EOMONTH(Y22,Y21-1)</f>
        <v/>
      </c>
      <c r="Z23" s="10">
        <f>EOMONTH(Z22,Z21-1)</f>
        <v/>
      </c>
      <c r="AA23" s="10">
        <f>EOMONTH(AA22,AA21-1)</f>
        <v/>
      </c>
      <c r="AB23" s="10">
        <f>EOMONTH(AB22,AB21-1)</f>
        <v/>
      </c>
      <c r="AC23" s="10">
        <f>EOMONTH(AC22,AC21-1)</f>
        <v/>
      </c>
      <c r="AD23" s="10">
        <f>EOMONTH(AD22,AD21-1)</f>
        <v/>
      </c>
      <c r="AE23" s="10">
        <f>EOMONTH(AE22,AE21-1)</f>
        <v/>
      </c>
      <c r="AF23" s="10">
        <f>EOMONTH(AF22,AF21-1)</f>
        <v/>
      </c>
      <c r="AG23" s="10">
        <f>EOMONTH(AG22,AG21-1)</f>
        <v/>
      </c>
      <c r="AH23" s="10">
        <f>EOMONTH(AH22,AH21-1)</f>
        <v/>
      </c>
      <c r="AI23" s="10">
        <f>EOMONTH(AI22,AI21-1)</f>
        <v/>
      </c>
      <c r="AJ23" s="10">
        <f>EOMONTH(AJ22,AJ21-1)</f>
        <v/>
      </c>
      <c r="AK23" s="10">
        <f>EOMONTH(AK22,AK21-1)</f>
        <v/>
      </c>
      <c r="AL23" s="10">
        <f>EOMONTH(AL22,AL21-1)</f>
        <v/>
      </c>
      <c r="AM23" s="10">
        <f>EOMONTH(AM22,AM21-1)</f>
        <v/>
      </c>
      <c r="AN23" s="10">
        <f>EOMONTH(AN22,AN21-1)</f>
        <v/>
      </c>
      <c r="AO23" s="10">
        <f>EOMONTH(AO22,AO21-1)</f>
        <v/>
      </c>
      <c r="AP23" s="10">
        <f>EOMONTH(AP22,AP21-1)</f>
        <v/>
      </c>
      <c r="AQ23" s="10">
        <f>EOMONTH(AQ22,AQ21-1)</f>
        <v/>
      </c>
      <c r="AR23" s="10">
        <f>EOMONTH(AR22,AR21-1)</f>
        <v/>
      </c>
      <c r="AS23" s="10">
        <f>EOMONTH(AS22,AS21-1)</f>
        <v/>
      </c>
      <c r="AT23" s="10">
        <f>EOMONTH(AT22,AT21-1)</f>
        <v/>
      </c>
      <c r="AU23" s="10">
        <f>EOMONTH(AU22,AU21-1)</f>
        <v/>
      </c>
      <c r="AV23" s="10">
        <f>EOMONTH(AV22,AV21-1)</f>
        <v/>
      </c>
      <c r="AW23" s="10">
        <f>EOMONTH(AW22,AW21-1)</f>
        <v/>
      </c>
      <c r="AX23" s="10">
        <f>EOMONTH(AX22,AX21-1)</f>
        <v/>
      </c>
      <c r="AY23" s="10">
        <f>EOMONTH(AY22,AY21-1)</f>
        <v/>
      </c>
      <c r="AZ23" s="10">
        <f>EOMONTH(AZ22,AZ21-1)</f>
        <v/>
      </c>
      <c r="BA23" s="10">
        <f>EOMONTH(BA22,BA21-1)</f>
        <v/>
      </c>
      <c r="BB23" s="10">
        <f>EOMONTH(BB22,BB21-1)</f>
        <v/>
      </c>
      <c r="BC23" s="10">
        <f>EOMONTH(BC22,BC21-1)</f>
        <v/>
      </c>
      <c r="BD23" s="10">
        <f>EOMONTH(BD22,BD21-1)</f>
        <v/>
      </c>
      <c r="BE23" s="10">
        <f>EOMONTH(BE22,BE21-1)</f>
        <v/>
      </c>
      <c r="BF23" s="10">
        <f>EOMONTH(BF22,BF21-1)</f>
        <v/>
      </c>
      <c r="BG23" s="10">
        <f>EOMONTH(BG22,BG21-1)</f>
        <v/>
      </c>
      <c r="BH23" s="10">
        <f>EOMONTH(BH22,BH21-1)</f>
        <v/>
      </c>
      <c r="BI23" s="10">
        <f>EOMONTH(BI22,BI21-1)</f>
        <v/>
      </c>
      <c r="BJ23" s="10">
        <f>EOMONTH(BJ22,BJ21-1)</f>
        <v/>
      </c>
      <c r="BK23" s="10">
        <f>EOMONTH(BK22,BK21-1)</f>
        <v/>
      </c>
      <c r="BL23" s="10">
        <f>EOMONTH(BL22,BL21-1)</f>
        <v/>
      </c>
      <c r="BM23" s="10">
        <f>EOMONTH(BM22,BM21-1)</f>
        <v/>
      </c>
      <c r="BN23" s="10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3">
        <f>J21/12</f>
        <v/>
      </c>
      <c r="K24" s="3">
        <f>K21/12</f>
        <v/>
      </c>
      <c r="L24" s="3">
        <f>L21/12</f>
        <v/>
      </c>
      <c r="M24" s="3">
        <f>M21/12</f>
        <v/>
      </c>
      <c r="N24" s="3">
        <f>N21/12</f>
        <v/>
      </c>
      <c r="O24" s="3">
        <f>O21/12</f>
        <v/>
      </c>
      <c r="P24" s="3">
        <f>P21/12</f>
        <v/>
      </c>
      <c r="Q24" s="3">
        <f>Q21/12</f>
        <v/>
      </c>
      <c r="R24" s="3">
        <f>R21/12</f>
        <v/>
      </c>
      <c r="S24" s="3">
        <f>S21/12</f>
        <v/>
      </c>
      <c r="T24" s="3">
        <f>T21/12</f>
        <v/>
      </c>
      <c r="U24" s="3">
        <f>U21/12</f>
        <v/>
      </c>
      <c r="V24" s="3">
        <f>V21/12</f>
        <v/>
      </c>
      <c r="W24" s="3">
        <f>W21/12</f>
        <v/>
      </c>
      <c r="X24" s="3">
        <f>X21/12</f>
        <v/>
      </c>
      <c r="Y24" s="3">
        <f>Y21/12</f>
        <v/>
      </c>
      <c r="Z24" s="3">
        <f>Z21/12</f>
        <v/>
      </c>
      <c r="AA24" s="3">
        <f>AA21/12</f>
        <v/>
      </c>
      <c r="AB24" s="3">
        <f>AB21/12</f>
        <v/>
      </c>
      <c r="AC24" s="3">
        <f>AC21/12</f>
        <v/>
      </c>
      <c r="AD24" s="3">
        <f>AD21/12</f>
        <v/>
      </c>
      <c r="AE24" s="3">
        <f>AE21/12</f>
        <v/>
      </c>
      <c r="AF24" s="3">
        <f>AF21/12</f>
        <v/>
      </c>
      <c r="AG24" s="3">
        <f>AG21/12</f>
        <v/>
      </c>
      <c r="AH24" s="3">
        <f>AH21/12</f>
        <v/>
      </c>
      <c r="AI24" s="3">
        <f>AI21/12</f>
        <v/>
      </c>
      <c r="AJ24" s="3">
        <f>AJ21/12</f>
        <v/>
      </c>
      <c r="AK24" s="3">
        <f>AK21/12</f>
        <v/>
      </c>
      <c r="AL24" s="3">
        <f>AL21/12</f>
        <v/>
      </c>
      <c r="AM24" s="3">
        <f>AM21/12</f>
        <v/>
      </c>
      <c r="AN24" s="3">
        <f>AN21/12</f>
        <v/>
      </c>
      <c r="AO24" s="3">
        <f>AO21/12</f>
        <v/>
      </c>
      <c r="AP24" s="3">
        <f>AP21/12</f>
        <v/>
      </c>
      <c r="AQ24" s="3">
        <f>AQ21/12</f>
        <v/>
      </c>
      <c r="AR24" s="3">
        <f>AR21/12</f>
        <v/>
      </c>
      <c r="AS24" s="3">
        <f>AS21/12</f>
        <v/>
      </c>
      <c r="AT24" s="3">
        <f>AT21/12</f>
        <v/>
      </c>
      <c r="AU24" s="3">
        <f>AU21/12</f>
        <v/>
      </c>
      <c r="AV24" s="3">
        <f>AV21/12</f>
        <v/>
      </c>
      <c r="AW24" s="3">
        <f>AW21/12</f>
        <v/>
      </c>
      <c r="AX24" s="3">
        <f>AX21/12</f>
        <v/>
      </c>
      <c r="AY24" s="3">
        <f>AY21/12</f>
        <v/>
      </c>
      <c r="AZ24" s="3">
        <f>AZ21/12</f>
        <v/>
      </c>
      <c r="BA24" s="3">
        <f>BA21/12</f>
        <v/>
      </c>
      <c r="BB24" s="3">
        <f>BB21/12</f>
        <v/>
      </c>
      <c r="BC24" s="3">
        <f>BC21/12</f>
        <v/>
      </c>
      <c r="BD24" s="3">
        <f>BD21/12</f>
        <v/>
      </c>
      <c r="BE24" s="3">
        <f>BE21/12</f>
        <v/>
      </c>
      <c r="BF24" s="3">
        <f>BF21/12</f>
        <v/>
      </c>
      <c r="BG24" s="3">
        <f>BG21/12</f>
        <v/>
      </c>
      <c r="BH24" s="3">
        <f>BH21/12</f>
        <v/>
      </c>
      <c r="BI24" s="3">
        <f>BI21/12</f>
        <v/>
      </c>
      <c r="BJ24" s="3">
        <f>BJ21/12</f>
        <v/>
      </c>
      <c r="BK24" s="3">
        <f>BK21/12</f>
        <v/>
      </c>
      <c r="BL24" s="3">
        <f>BL21/12</f>
        <v/>
      </c>
      <c r="BM24" s="3">
        <f>BM21/12</f>
        <v/>
      </c>
      <c r="BN24" s="3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9">
        <f>J23-J22+1</f>
        <v/>
      </c>
      <c r="K25" s="9">
        <f>K23-K22+1</f>
        <v/>
      </c>
      <c r="L25" s="9">
        <f>L23-L22+1</f>
        <v/>
      </c>
      <c r="M25" s="9">
        <f>M23-M22+1</f>
        <v/>
      </c>
      <c r="N25" s="9">
        <f>N23-N22+1</f>
        <v/>
      </c>
      <c r="O25" s="9">
        <f>O23-O22+1</f>
        <v/>
      </c>
      <c r="P25" s="9">
        <f>P23-P22+1</f>
        <v/>
      </c>
      <c r="Q25" s="9">
        <f>Q23-Q22+1</f>
        <v/>
      </c>
      <c r="R25" s="9">
        <f>R23-R22+1</f>
        <v/>
      </c>
      <c r="S25" s="9">
        <f>S23-S22+1</f>
        <v/>
      </c>
      <c r="T25" s="9">
        <f>T23-T22+1</f>
        <v/>
      </c>
      <c r="U25" s="9">
        <f>U23-U22+1</f>
        <v/>
      </c>
      <c r="V25" s="9">
        <f>V23-V22+1</f>
        <v/>
      </c>
      <c r="W25" s="9">
        <f>W23-W22+1</f>
        <v/>
      </c>
      <c r="X25" s="9">
        <f>X23-X22+1</f>
        <v/>
      </c>
      <c r="Y25" s="9">
        <f>Y23-Y22+1</f>
        <v/>
      </c>
      <c r="Z25" s="9">
        <f>Z23-Z22+1</f>
        <v/>
      </c>
      <c r="AA25" s="9">
        <f>AA23-AA22+1</f>
        <v/>
      </c>
      <c r="AB25" s="9">
        <f>AB23-AB22+1</f>
        <v/>
      </c>
      <c r="AC25" s="9">
        <f>AC23-AC22+1</f>
        <v/>
      </c>
      <c r="AD25" s="9">
        <f>AD23-AD22+1</f>
        <v/>
      </c>
      <c r="AE25" s="9">
        <f>AE23-AE22+1</f>
        <v/>
      </c>
      <c r="AF25" s="9">
        <f>AF23-AF22+1</f>
        <v/>
      </c>
      <c r="AG25" s="9">
        <f>AG23-AG22+1</f>
        <v/>
      </c>
      <c r="AH25" s="9">
        <f>AH23-AH22+1</f>
        <v/>
      </c>
      <c r="AI25" s="9">
        <f>AI23-AI22+1</f>
        <v/>
      </c>
      <c r="AJ25" s="9">
        <f>AJ23-AJ22+1</f>
        <v/>
      </c>
      <c r="AK25" s="9">
        <f>AK23-AK22+1</f>
        <v/>
      </c>
      <c r="AL25" s="9">
        <f>AL23-AL22+1</f>
        <v/>
      </c>
      <c r="AM25" s="9">
        <f>AM23-AM22+1</f>
        <v/>
      </c>
      <c r="AN25" s="9">
        <f>AN23-AN22+1</f>
        <v/>
      </c>
      <c r="AO25" s="9">
        <f>AO23-AO22+1</f>
        <v/>
      </c>
      <c r="AP25" s="9">
        <f>AP23-AP22+1</f>
        <v/>
      </c>
      <c r="AQ25" s="9">
        <f>AQ23-AQ22+1</f>
        <v/>
      </c>
      <c r="AR25" s="9">
        <f>AR23-AR22+1</f>
        <v/>
      </c>
      <c r="AS25" s="9">
        <f>AS23-AS22+1</f>
        <v/>
      </c>
      <c r="AT25" s="9">
        <f>AT23-AT22+1</f>
        <v/>
      </c>
      <c r="AU25" s="9">
        <f>AU23-AU22+1</f>
        <v/>
      </c>
      <c r="AV25" s="9">
        <f>AV23-AV22+1</f>
        <v/>
      </c>
      <c r="AW25" s="9">
        <f>AW23-AW22+1</f>
        <v/>
      </c>
      <c r="AX25" s="9">
        <f>AX23-AX22+1</f>
        <v/>
      </c>
      <c r="AY25" s="9">
        <f>AY23-AY22+1</f>
        <v/>
      </c>
      <c r="AZ25" s="9">
        <f>AZ23-AZ22+1</f>
        <v/>
      </c>
      <c r="BA25" s="9">
        <f>BA23-BA22+1</f>
        <v/>
      </c>
      <c r="BB25" s="9">
        <f>BB23-BB22+1</f>
        <v/>
      </c>
      <c r="BC25" s="9">
        <f>BC23-BC22+1</f>
        <v/>
      </c>
      <c r="BD25" s="9">
        <f>BD23-BD22+1</f>
        <v/>
      </c>
      <c r="BE25" s="9">
        <f>BE23-BE22+1</f>
        <v/>
      </c>
      <c r="BF25" s="9">
        <f>BF23-BF22+1</f>
        <v/>
      </c>
      <c r="BG25" s="9">
        <f>BG23-BG22+1</f>
        <v/>
      </c>
      <c r="BH25" s="9">
        <f>BH23-BH22+1</f>
        <v/>
      </c>
      <c r="BI25" s="9">
        <f>BI23-BI22+1</f>
        <v/>
      </c>
      <c r="BJ25" s="9">
        <f>BJ23-BJ22+1</f>
        <v/>
      </c>
      <c r="BK25" s="9">
        <f>BK23-BK22+1</f>
        <v/>
      </c>
      <c r="BL25" s="9">
        <f>BL23-BL22+1</f>
        <v/>
      </c>
      <c r="BM25" s="9">
        <f>BM23-BM22+1</f>
        <v/>
      </c>
      <c r="BN25" s="9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9">
        <f>YEAR(J22)</f>
        <v/>
      </c>
      <c r="K26" s="9">
        <f>YEAR(K22)</f>
        <v/>
      </c>
      <c r="L26" s="9">
        <f>YEAR(L22)</f>
        <v/>
      </c>
      <c r="M26" s="9">
        <f>YEAR(M22)</f>
        <v/>
      </c>
      <c r="N26" s="9">
        <f>YEAR(N22)</f>
        <v/>
      </c>
      <c r="O26" s="9">
        <f>YEAR(O22)</f>
        <v/>
      </c>
      <c r="P26" s="9">
        <f>YEAR(P22)</f>
        <v/>
      </c>
      <c r="Q26" s="9">
        <f>YEAR(Q22)</f>
        <v/>
      </c>
      <c r="R26" s="9">
        <f>YEAR(R22)</f>
        <v/>
      </c>
      <c r="S26" s="9">
        <f>YEAR(S22)</f>
        <v/>
      </c>
      <c r="T26" s="9">
        <f>YEAR(T22)</f>
        <v/>
      </c>
      <c r="U26" s="9">
        <f>YEAR(U22)</f>
        <v/>
      </c>
      <c r="V26" s="9">
        <f>YEAR(V22)</f>
        <v/>
      </c>
      <c r="W26" s="9">
        <f>YEAR(W22)</f>
        <v/>
      </c>
      <c r="X26" s="9">
        <f>YEAR(X22)</f>
        <v/>
      </c>
      <c r="Y26" s="9">
        <f>YEAR(Y22)</f>
        <v/>
      </c>
      <c r="Z26" s="9">
        <f>YEAR(Z22)</f>
        <v/>
      </c>
      <c r="AA26" s="9">
        <f>YEAR(AA22)</f>
        <v/>
      </c>
      <c r="AB26" s="9">
        <f>YEAR(AB22)</f>
        <v/>
      </c>
      <c r="AC26" s="9">
        <f>YEAR(AC22)</f>
        <v/>
      </c>
      <c r="AD26" s="9">
        <f>YEAR(AD22)</f>
        <v/>
      </c>
      <c r="AE26" s="9">
        <f>YEAR(AE22)</f>
        <v/>
      </c>
      <c r="AF26" s="9">
        <f>YEAR(AF22)</f>
        <v/>
      </c>
      <c r="AG26" s="9">
        <f>YEAR(AG22)</f>
        <v/>
      </c>
      <c r="AH26" s="9">
        <f>YEAR(AH22)</f>
        <v/>
      </c>
      <c r="AI26" s="9">
        <f>YEAR(AI22)</f>
        <v/>
      </c>
      <c r="AJ26" s="9">
        <f>YEAR(AJ22)</f>
        <v/>
      </c>
      <c r="AK26" s="9">
        <f>YEAR(AK22)</f>
        <v/>
      </c>
      <c r="AL26" s="9">
        <f>YEAR(AL22)</f>
        <v/>
      </c>
      <c r="AM26" s="9">
        <f>YEAR(AM22)</f>
        <v/>
      </c>
      <c r="AN26" s="9">
        <f>YEAR(AN22)</f>
        <v/>
      </c>
      <c r="AO26" s="9">
        <f>YEAR(AO22)</f>
        <v/>
      </c>
      <c r="AP26" s="9">
        <f>YEAR(AP22)</f>
        <v/>
      </c>
      <c r="AQ26" s="9">
        <f>YEAR(AQ22)</f>
        <v/>
      </c>
      <c r="AR26" s="9">
        <f>YEAR(AR22)</f>
        <v/>
      </c>
      <c r="AS26" s="9">
        <f>YEAR(AS22)</f>
        <v/>
      </c>
      <c r="AT26" s="9">
        <f>YEAR(AT22)</f>
        <v/>
      </c>
      <c r="AU26" s="9">
        <f>YEAR(AU22)</f>
        <v/>
      </c>
      <c r="AV26" s="9">
        <f>YEAR(AV22)</f>
        <v/>
      </c>
      <c r="AW26" s="9">
        <f>YEAR(AW22)</f>
        <v/>
      </c>
      <c r="AX26" s="9">
        <f>YEAR(AX22)</f>
        <v/>
      </c>
      <c r="AY26" s="9">
        <f>YEAR(AY22)</f>
        <v/>
      </c>
      <c r="AZ26" s="9">
        <f>YEAR(AZ22)</f>
        <v/>
      </c>
      <c r="BA26" s="9">
        <f>YEAR(BA22)</f>
        <v/>
      </c>
      <c r="BB26" s="9">
        <f>YEAR(BB22)</f>
        <v/>
      </c>
      <c r="BC26" s="9">
        <f>YEAR(BC22)</f>
        <v/>
      </c>
      <c r="BD26" s="9">
        <f>YEAR(BD22)</f>
        <v/>
      </c>
      <c r="BE26" s="9">
        <f>YEAR(BE22)</f>
        <v/>
      </c>
      <c r="BF26" s="9">
        <f>YEAR(BF22)</f>
        <v/>
      </c>
      <c r="BG26" s="9">
        <f>YEAR(BG22)</f>
        <v/>
      </c>
      <c r="BH26" s="9">
        <f>YEAR(BH22)</f>
        <v/>
      </c>
      <c r="BI26" s="9">
        <f>YEAR(BI22)</f>
        <v/>
      </c>
      <c r="BJ26" s="9">
        <f>YEAR(BJ22)</f>
        <v/>
      </c>
      <c r="BK26" s="9">
        <f>YEAR(BK22)</f>
        <v/>
      </c>
      <c r="BL26" s="9">
        <f>YEAR(BL22)</f>
        <v/>
      </c>
      <c r="BM26" s="9">
        <f>YEAR(BM22)</f>
        <v/>
      </c>
      <c r="BN26" s="9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9">
        <f>IF(MONTH(J22)=1,1,0)</f>
        <v/>
      </c>
      <c r="K27" s="9">
        <f>IF(MONTH(K22)=1,1,0)</f>
        <v/>
      </c>
      <c r="L27" s="9">
        <f>IF(MONTH(L22)=1,1,0)</f>
        <v/>
      </c>
      <c r="M27" s="9">
        <f>IF(MONTH(M22)=1,1,0)</f>
        <v/>
      </c>
      <c r="N27" s="9">
        <f>IF(MONTH(N22)=1,1,0)</f>
        <v/>
      </c>
      <c r="O27" s="9">
        <f>IF(MONTH(O22)=1,1,0)</f>
        <v/>
      </c>
      <c r="P27" s="9">
        <f>IF(MONTH(P22)=1,1,0)</f>
        <v/>
      </c>
      <c r="Q27" s="9">
        <f>IF(MONTH(Q22)=1,1,0)</f>
        <v/>
      </c>
      <c r="R27" s="9">
        <f>IF(MONTH(R22)=1,1,0)</f>
        <v/>
      </c>
      <c r="S27" s="9">
        <f>IF(MONTH(S22)=1,1,0)</f>
        <v/>
      </c>
      <c r="T27" s="9">
        <f>IF(MONTH(T22)=1,1,0)</f>
        <v/>
      </c>
      <c r="U27" s="9">
        <f>IF(MONTH(U22)=1,1,0)</f>
        <v/>
      </c>
      <c r="V27" s="9">
        <f>IF(MONTH(V22)=1,1,0)</f>
        <v/>
      </c>
      <c r="W27" s="9">
        <f>IF(MONTH(W22)=1,1,0)</f>
        <v/>
      </c>
      <c r="X27" s="9">
        <f>IF(MONTH(X22)=1,1,0)</f>
        <v/>
      </c>
      <c r="Y27" s="9">
        <f>IF(MONTH(Y22)=1,1,0)</f>
        <v/>
      </c>
      <c r="Z27" s="9">
        <f>IF(MONTH(Z22)=1,1,0)</f>
        <v/>
      </c>
      <c r="AA27" s="9">
        <f>IF(MONTH(AA22)=1,1,0)</f>
        <v/>
      </c>
      <c r="AB27" s="9">
        <f>IF(MONTH(AB22)=1,1,0)</f>
        <v/>
      </c>
      <c r="AC27" s="9">
        <f>IF(MONTH(AC22)=1,1,0)</f>
        <v/>
      </c>
      <c r="AD27" s="9">
        <f>IF(MONTH(AD22)=1,1,0)</f>
        <v/>
      </c>
      <c r="AE27" s="9">
        <f>IF(MONTH(AE22)=1,1,0)</f>
        <v/>
      </c>
      <c r="AF27" s="9">
        <f>IF(MONTH(AF22)=1,1,0)</f>
        <v/>
      </c>
      <c r="AG27" s="9">
        <f>IF(MONTH(AG22)=1,1,0)</f>
        <v/>
      </c>
      <c r="AH27" s="9">
        <f>IF(MONTH(AH22)=1,1,0)</f>
        <v/>
      </c>
      <c r="AI27" s="9">
        <f>IF(MONTH(AI22)=1,1,0)</f>
        <v/>
      </c>
      <c r="AJ27" s="9">
        <f>IF(MONTH(AJ22)=1,1,0)</f>
        <v/>
      </c>
      <c r="AK27" s="9">
        <f>IF(MONTH(AK22)=1,1,0)</f>
        <v/>
      </c>
      <c r="AL27" s="9">
        <f>IF(MONTH(AL22)=1,1,0)</f>
        <v/>
      </c>
      <c r="AM27" s="9">
        <f>IF(MONTH(AM22)=1,1,0)</f>
        <v/>
      </c>
      <c r="AN27" s="9">
        <f>IF(MONTH(AN22)=1,1,0)</f>
        <v/>
      </c>
      <c r="AO27" s="9">
        <f>IF(MONTH(AO22)=1,1,0)</f>
        <v/>
      </c>
      <c r="AP27" s="9">
        <f>IF(MONTH(AP22)=1,1,0)</f>
        <v/>
      </c>
      <c r="AQ27" s="9">
        <f>IF(MONTH(AQ22)=1,1,0)</f>
        <v/>
      </c>
      <c r="AR27" s="9">
        <f>IF(MONTH(AR22)=1,1,0)</f>
        <v/>
      </c>
      <c r="AS27" s="9">
        <f>IF(MONTH(AS22)=1,1,0)</f>
        <v/>
      </c>
      <c r="AT27" s="9">
        <f>IF(MONTH(AT22)=1,1,0)</f>
        <v/>
      </c>
      <c r="AU27" s="9">
        <f>IF(MONTH(AU22)=1,1,0)</f>
        <v/>
      </c>
      <c r="AV27" s="9">
        <f>IF(MONTH(AV22)=1,1,0)</f>
        <v/>
      </c>
      <c r="AW27" s="9">
        <f>IF(MONTH(AW22)=1,1,0)</f>
        <v/>
      </c>
      <c r="AX27" s="9">
        <f>IF(MONTH(AX22)=1,1,0)</f>
        <v/>
      </c>
      <c r="AY27" s="9">
        <f>IF(MONTH(AY22)=1,1,0)</f>
        <v/>
      </c>
      <c r="AZ27" s="9">
        <f>IF(MONTH(AZ22)=1,1,0)</f>
        <v/>
      </c>
      <c r="BA27" s="9">
        <f>IF(MONTH(BA22)=1,1,0)</f>
        <v/>
      </c>
      <c r="BB27" s="9">
        <f>IF(MONTH(BB22)=1,1,0)</f>
        <v/>
      </c>
      <c r="BC27" s="9">
        <f>IF(MONTH(BC22)=1,1,0)</f>
        <v/>
      </c>
      <c r="BD27" s="9">
        <f>IF(MONTH(BD22)=1,1,0)</f>
        <v/>
      </c>
      <c r="BE27" s="9">
        <f>IF(MONTH(BE22)=1,1,0)</f>
        <v/>
      </c>
      <c r="BF27" s="9">
        <f>IF(MONTH(BF22)=1,1,0)</f>
        <v/>
      </c>
      <c r="BG27" s="9">
        <f>IF(MONTH(BG22)=1,1,0)</f>
        <v/>
      </c>
      <c r="BH27" s="9">
        <f>IF(MONTH(BH22)=1,1,0)</f>
        <v/>
      </c>
      <c r="BI27" s="9">
        <f>IF(MONTH(BI22)=1,1,0)</f>
        <v/>
      </c>
      <c r="BJ27" s="9">
        <f>IF(MONTH(BJ22)=1,1,0)</f>
        <v/>
      </c>
      <c r="BK27" s="9">
        <f>IF(MONTH(BK22)=1,1,0)</f>
        <v/>
      </c>
      <c r="BL27" s="9">
        <f>IF(MONTH(BL22)=1,1,0)</f>
        <v/>
      </c>
      <c r="BM27" s="9">
        <f>IF(MONTH(BM22)=1,1,0)</f>
        <v/>
      </c>
      <c r="BN27" s="9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10">
        <f>MAX(J22,$F$8)</f>
        <v/>
      </c>
      <c r="K28" s="10">
        <f>MAX(K22,$F$8)</f>
        <v/>
      </c>
      <c r="L28" s="10">
        <f>MAX(L22,$F$8)</f>
        <v/>
      </c>
      <c r="M28" s="10">
        <f>MAX(M22,$F$8)</f>
        <v/>
      </c>
      <c r="N28" s="10">
        <f>MAX(N22,$F$8)</f>
        <v/>
      </c>
      <c r="O28" s="10">
        <f>MAX(O22,$F$8)</f>
        <v/>
      </c>
      <c r="P28" s="10">
        <f>MAX(P22,$F$8)</f>
        <v/>
      </c>
      <c r="Q28" s="10">
        <f>MAX(Q22,$F$8)</f>
        <v/>
      </c>
      <c r="R28" s="10">
        <f>MAX(R22,$F$8)</f>
        <v/>
      </c>
      <c r="S28" s="10">
        <f>MAX(S22,$F$8)</f>
        <v/>
      </c>
      <c r="T28" s="10">
        <f>MAX(T22,$F$8)</f>
        <v/>
      </c>
      <c r="U28" s="10">
        <f>MAX(U22,$F$8)</f>
        <v/>
      </c>
      <c r="V28" s="10">
        <f>MAX(V22,$F$8)</f>
        <v/>
      </c>
      <c r="W28" s="10">
        <f>MAX(W22,$F$8)</f>
        <v/>
      </c>
      <c r="X28" s="10">
        <f>MAX(X22,$F$8)</f>
        <v/>
      </c>
      <c r="Y28" s="10">
        <f>MAX(Y22,$F$8)</f>
        <v/>
      </c>
      <c r="Z28" s="10">
        <f>MAX(Z22,$F$8)</f>
        <v/>
      </c>
      <c r="AA28" s="10">
        <f>MAX(AA22,$F$8)</f>
        <v/>
      </c>
      <c r="AB28" s="10">
        <f>MAX(AB22,$F$8)</f>
        <v/>
      </c>
      <c r="AC28" s="10">
        <f>MAX(AC22,$F$8)</f>
        <v/>
      </c>
      <c r="AD28" s="10">
        <f>MAX(AD22,$F$8)</f>
        <v/>
      </c>
      <c r="AE28" s="10">
        <f>MAX(AE22,$F$8)</f>
        <v/>
      </c>
      <c r="AF28" s="10">
        <f>MAX(AF22,$F$8)</f>
        <v/>
      </c>
      <c r="AG28" s="10">
        <f>MAX(AG22,$F$8)</f>
        <v/>
      </c>
      <c r="AH28" s="10">
        <f>MAX(AH22,$F$8)</f>
        <v/>
      </c>
      <c r="AI28" s="10">
        <f>MAX(AI22,$F$8)</f>
        <v/>
      </c>
      <c r="AJ28" s="10">
        <f>MAX(AJ22,$F$8)</f>
        <v/>
      </c>
      <c r="AK28" s="10">
        <f>MAX(AK22,$F$8)</f>
        <v/>
      </c>
      <c r="AL28" s="10">
        <f>MAX(AL22,$F$8)</f>
        <v/>
      </c>
      <c r="AM28" s="10">
        <f>MAX(AM22,$F$8)</f>
        <v/>
      </c>
      <c r="AN28" s="10">
        <f>MAX(AN22,$F$8)</f>
        <v/>
      </c>
      <c r="AO28" s="10">
        <f>MAX(AO22,$F$8)</f>
        <v/>
      </c>
      <c r="AP28" s="10">
        <f>MAX(AP22,$F$8)</f>
        <v/>
      </c>
      <c r="AQ28" s="10">
        <f>MAX(AQ22,$F$8)</f>
        <v/>
      </c>
      <c r="AR28" s="10">
        <f>MAX(AR22,$F$8)</f>
        <v/>
      </c>
      <c r="AS28" s="10">
        <f>MAX(AS22,$F$8)</f>
        <v/>
      </c>
      <c r="AT28" s="10">
        <f>MAX(AT22,$F$8)</f>
        <v/>
      </c>
      <c r="AU28" s="10">
        <f>MAX(AU22,$F$8)</f>
        <v/>
      </c>
      <c r="AV28" s="10">
        <f>MAX(AV22,$F$8)</f>
        <v/>
      </c>
      <c r="AW28" s="10">
        <f>MAX(AW22,$F$8)</f>
        <v/>
      </c>
      <c r="AX28" s="10">
        <f>MAX(AX22,$F$8)</f>
        <v/>
      </c>
      <c r="AY28" s="10">
        <f>MAX(AY22,$F$8)</f>
        <v/>
      </c>
      <c r="AZ28" s="10">
        <f>MAX(AZ22,$F$8)</f>
        <v/>
      </c>
      <c r="BA28" s="10">
        <f>MAX(BA22,$F$8)</f>
        <v/>
      </c>
      <c r="BB28" s="10">
        <f>MAX(BB22,$F$8)</f>
        <v/>
      </c>
      <c r="BC28" s="10">
        <f>MAX(BC22,$F$8)</f>
        <v/>
      </c>
      <c r="BD28" s="10">
        <f>MAX(BD22,$F$8)</f>
        <v/>
      </c>
      <c r="BE28" s="10">
        <f>MAX(BE22,$F$8)</f>
        <v/>
      </c>
      <c r="BF28" s="10">
        <f>MAX(BF22,$F$8)</f>
        <v/>
      </c>
      <c r="BG28" s="10">
        <f>MAX(BG22,$F$8)</f>
        <v/>
      </c>
      <c r="BH28" s="10">
        <f>MAX(BH22,$F$8)</f>
        <v/>
      </c>
      <c r="BI28" s="10">
        <f>MAX(BI22,$F$8)</f>
        <v/>
      </c>
      <c r="BJ28" s="10">
        <f>MAX(BJ22,$F$8)</f>
        <v/>
      </c>
      <c r="BK28" s="10">
        <f>MAX(BK22,$F$8)</f>
        <v/>
      </c>
      <c r="BL28" s="10">
        <f>MAX(BL22,$F$8)</f>
        <v/>
      </c>
      <c r="BM28" s="10">
        <f>MAX(BM22,$F$8)</f>
        <v/>
      </c>
      <c r="BN28" s="10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10">
        <f>MIN(J23,$F$10)</f>
        <v/>
      </c>
      <c r="K29" s="10">
        <f>MIN(K23,$F$10)</f>
        <v/>
      </c>
      <c r="L29" s="10">
        <f>MIN(L23,$F$10)</f>
        <v/>
      </c>
      <c r="M29" s="10">
        <f>MIN(M23,$F$10)</f>
        <v/>
      </c>
      <c r="N29" s="10">
        <f>MIN(N23,$F$10)</f>
        <v/>
      </c>
      <c r="O29" s="10">
        <f>MIN(O23,$F$10)</f>
        <v/>
      </c>
      <c r="P29" s="10">
        <f>MIN(P23,$F$10)</f>
        <v/>
      </c>
      <c r="Q29" s="10">
        <f>MIN(Q23,$F$10)</f>
        <v/>
      </c>
      <c r="R29" s="10">
        <f>MIN(R23,$F$10)</f>
        <v/>
      </c>
      <c r="S29" s="10">
        <f>MIN(S23,$F$10)</f>
        <v/>
      </c>
      <c r="T29" s="10">
        <f>MIN(T23,$F$10)</f>
        <v/>
      </c>
      <c r="U29" s="10">
        <f>MIN(U23,$F$10)</f>
        <v/>
      </c>
      <c r="V29" s="10">
        <f>MIN(V23,$F$10)</f>
        <v/>
      </c>
      <c r="W29" s="10">
        <f>MIN(W23,$F$10)</f>
        <v/>
      </c>
      <c r="X29" s="10">
        <f>MIN(X23,$F$10)</f>
        <v/>
      </c>
      <c r="Y29" s="10">
        <f>MIN(Y23,$F$10)</f>
        <v/>
      </c>
      <c r="Z29" s="10">
        <f>MIN(Z23,$F$10)</f>
        <v/>
      </c>
      <c r="AA29" s="10">
        <f>MIN(AA23,$F$10)</f>
        <v/>
      </c>
      <c r="AB29" s="10">
        <f>MIN(AB23,$F$10)</f>
        <v/>
      </c>
      <c r="AC29" s="10">
        <f>MIN(AC23,$F$10)</f>
        <v/>
      </c>
      <c r="AD29" s="10">
        <f>MIN(AD23,$F$10)</f>
        <v/>
      </c>
      <c r="AE29" s="10">
        <f>MIN(AE23,$F$10)</f>
        <v/>
      </c>
      <c r="AF29" s="10">
        <f>MIN(AF23,$F$10)</f>
        <v/>
      </c>
      <c r="AG29" s="10">
        <f>MIN(AG23,$F$10)</f>
        <v/>
      </c>
      <c r="AH29" s="10">
        <f>MIN(AH23,$F$10)</f>
        <v/>
      </c>
      <c r="AI29" s="10">
        <f>MIN(AI23,$F$10)</f>
        <v/>
      </c>
      <c r="AJ29" s="10">
        <f>MIN(AJ23,$F$10)</f>
        <v/>
      </c>
      <c r="AK29" s="10">
        <f>MIN(AK23,$F$10)</f>
        <v/>
      </c>
      <c r="AL29" s="10">
        <f>MIN(AL23,$F$10)</f>
        <v/>
      </c>
      <c r="AM29" s="10">
        <f>MIN(AM23,$F$10)</f>
        <v/>
      </c>
      <c r="AN29" s="10">
        <f>MIN(AN23,$F$10)</f>
        <v/>
      </c>
      <c r="AO29" s="10">
        <f>MIN(AO23,$F$10)</f>
        <v/>
      </c>
      <c r="AP29" s="10">
        <f>MIN(AP23,$F$10)</f>
        <v/>
      </c>
      <c r="AQ29" s="10">
        <f>MIN(AQ23,$F$10)</f>
        <v/>
      </c>
      <c r="AR29" s="10">
        <f>MIN(AR23,$F$10)</f>
        <v/>
      </c>
      <c r="AS29" s="10">
        <f>MIN(AS23,$F$10)</f>
        <v/>
      </c>
      <c r="AT29" s="10">
        <f>MIN(AT23,$F$10)</f>
        <v/>
      </c>
      <c r="AU29" s="10">
        <f>MIN(AU23,$F$10)</f>
        <v/>
      </c>
      <c r="AV29" s="10">
        <f>MIN(AV23,$F$10)</f>
        <v/>
      </c>
      <c r="AW29" s="10">
        <f>MIN(AW23,$F$10)</f>
        <v/>
      </c>
      <c r="AX29" s="10">
        <f>MIN(AX23,$F$10)</f>
        <v/>
      </c>
      <c r="AY29" s="10">
        <f>MIN(AY23,$F$10)</f>
        <v/>
      </c>
      <c r="AZ29" s="10">
        <f>MIN(AZ23,$F$10)</f>
        <v/>
      </c>
      <c r="BA29" s="10">
        <f>MIN(BA23,$F$10)</f>
        <v/>
      </c>
      <c r="BB29" s="10">
        <f>MIN(BB23,$F$10)</f>
        <v/>
      </c>
      <c r="BC29" s="10">
        <f>MIN(BC23,$F$10)</f>
        <v/>
      </c>
      <c r="BD29" s="10">
        <f>MIN(BD23,$F$10)</f>
        <v/>
      </c>
      <c r="BE29" s="10">
        <f>MIN(BE23,$F$10)</f>
        <v/>
      </c>
      <c r="BF29" s="10">
        <f>MIN(BF23,$F$10)</f>
        <v/>
      </c>
      <c r="BG29" s="10">
        <f>MIN(BG23,$F$10)</f>
        <v/>
      </c>
      <c r="BH29" s="10">
        <f>MIN(BH23,$F$10)</f>
        <v/>
      </c>
      <c r="BI29" s="10">
        <f>MIN(BI23,$F$10)</f>
        <v/>
      </c>
      <c r="BJ29" s="10">
        <f>MIN(BJ23,$F$10)</f>
        <v/>
      </c>
      <c r="BK29" s="10">
        <f>MIN(BK23,$F$10)</f>
        <v/>
      </c>
      <c r="BL29" s="10">
        <f>MIN(BL23,$F$10)</f>
        <v/>
      </c>
      <c r="BM29" s="10">
        <f>MIN(BM23,$F$10)</f>
        <v/>
      </c>
      <c r="BN29" s="10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9">
        <f>IF(J29&gt;=J28,(YEAR(J29)-YEAR(J28))*12+MONTH(J29)-MONTH(J28)+1,0)</f>
        <v/>
      </c>
      <c r="K30" s="9">
        <f>IF(K29&gt;=K28,(YEAR(K29)-YEAR(K28))*12+MONTH(K29)-MONTH(K28)+1,0)</f>
        <v/>
      </c>
      <c r="L30" s="9">
        <f>IF(L29&gt;=L28,(YEAR(L29)-YEAR(L28))*12+MONTH(L29)-MONTH(L28)+1,0)</f>
        <v/>
      </c>
      <c r="M30" s="9">
        <f>IF(M29&gt;=M28,(YEAR(M29)-YEAR(M28))*12+MONTH(M29)-MONTH(M28)+1,0)</f>
        <v/>
      </c>
      <c r="N30" s="9">
        <f>IF(N29&gt;=N28,(YEAR(N29)-YEAR(N28))*12+MONTH(N29)-MONTH(N28)+1,0)</f>
        <v/>
      </c>
      <c r="O30" s="9">
        <f>IF(O29&gt;=O28,(YEAR(O29)-YEAR(O28))*12+MONTH(O29)-MONTH(O28)+1,0)</f>
        <v/>
      </c>
      <c r="P30" s="9">
        <f>IF(P29&gt;=P28,(YEAR(P29)-YEAR(P28))*12+MONTH(P29)-MONTH(P28)+1,0)</f>
        <v/>
      </c>
      <c r="Q30" s="9">
        <f>IF(Q29&gt;=Q28,(YEAR(Q29)-YEAR(Q28))*12+MONTH(Q29)-MONTH(Q28)+1,0)</f>
        <v/>
      </c>
      <c r="R30" s="9">
        <f>IF(R29&gt;=R28,(YEAR(R29)-YEAR(R28))*12+MONTH(R29)-MONTH(R28)+1,0)</f>
        <v/>
      </c>
      <c r="S30" s="9">
        <f>IF(S29&gt;=S28,(YEAR(S29)-YEAR(S28))*12+MONTH(S29)-MONTH(S28)+1,0)</f>
        <v/>
      </c>
      <c r="T30" s="9">
        <f>IF(T29&gt;=T28,(YEAR(T29)-YEAR(T28))*12+MONTH(T29)-MONTH(T28)+1,0)</f>
        <v/>
      </c>
      <c r="U30" s="9">
        <f>IF(U29&gt;=U28,(YEAR(U29)-YEAR(U28))*12+MONTH(U29)-MONTH(U28)+1,0)</f>
        <v/>
      </c>
      <c r="V30" s="9">
        <f>IF(V29&gt;=V28,(YEAR(V29)-YEAR(V28))*12+MONTH(V29)-MONTH(V28)+1,0)</f>
        <v/>
      </c>
      <c r="W30" s="9">
        <f>IF(W29&gt;=W28,(YEAR(W29)-YEAR(W28))*12+MONTH(W29)-MONTH(W28)+1,0)</f>
        <v/>
      </c>
      <c r="X30" s="9">
        <f>IF(X29&gt;=X28,(YEAR(X29)-YEAR(X28))*12+MONTH(X29)-MONTH(X28)+1,0)</f>
        <v/>
      </c>
      <c r="Y30" s="9">
        <f>IF(Y29&gt;=Y28,(YEAR(Y29)-YEAR(Y28))*12+MONTH(Y29)-MONTH(Y28)+1,0)</f>
        <v/>
      </c>
      <c r="Z30" s="9">
        <f>IF(Z29&gt;=Z28,(YEAR(Z29)-YEAR(Z28))*12+MONTH(Z29)-MONTH(Z28)+1,0)</f>
        <v/>
      </c>
      <c r="AA30" s="9">
        <f>IF(AA29&gt;=AA28,(YEAR(AA29)-YEAR(AA28))*12+MONTH(AA29)-MONTH(AA28)+1,0)</f>
        <v/>
      </c>
      <c r="AB30" s="9">
        <f>IF(AB29&gt;=AB28,(YEAR(AB29)-YEAR(AB28))*12+MONTH(AB29)-MONTH(AB28)+1,0)</f>
        <v/>
      </c>
      <c r="AC30" s="9">
        <f>IF(AC29&gt;=AC28,(YEAR(AC29)-YEAR(AC28))*12+MONTH(AC29)-MONTH(AC28)+1,0)</f>
        <v/>
      </c>
      <c r="AD30" s="9">
        <f>IF(AD29&gt;=AD28,(YEAR(AD29)-YEAR(AD28))*12+MONTH(AD29)-MONTH(AD28)+1,0)</f>
        <v/>
      </c>
      <c r="AE30" s="9">
        <f>IF(AE29&gt;=AE28,(YEAR(AE29)-YEAR(AE28))*12+MONTH(AE29)-MONTH(AE28)+1,0)</f>
        <v/>
      </c>
      <c r="AF30" s="9">
        <f>IF(AF29&gt;=AF28,(YEAR(AF29)-YEAR(AF28))*12+MONTH(AF29)-MONTH(AF28)+1,0)</f>
        <v/>
      </c>
      <c r="AG30" s="9">
        <f>IF(AG29&gt;=AG28,(YEAR(AG29)-YEAR(AG28))*12+MONTH(AG29)-MONTH(AG28)+1,0)</f>
        <v/>
      </c>
      <c r="AH30" s="9">
        <f>IF(AH29&gt;=AH28,(YEAR(AH29)-YEAR(AH28))*12+MONTH(AH29)-MONTH(AH28)+1,0)</f>
        <v/>
      </c>
      <c r="AI30" s="9">
        <f>IF(AI29&gt;=AI28,(YEAR(AI29)-YEAR(AI28))*12+MONTH(AI29)-MONTH(AI28)+1,0)</f>
        <v/>
      </c>
      <c r="AJ30" s="9">
        <f>IF(AJ29&gt;=AJ28,(YEAR(AJ29)-YEAR(AJ28))*12+MONTH(AJ29)-MONTH(AJ28)+1,0)</f>
        <v/>
      </c>
      <c r="AK30" s="9">
        <f>IF(AK29&gt;=AK28,(YEAR(AK29)-YEAR(AK28))*12+MONTH(AK29)-MONTH(AK28)+1,0)</f>
        <v/>
      </c>
      <c r="AL30" s="9">
        <f>IF(AL29&gt;=AL28,(YEAR(AL29)-YEAR(AL28))*12+MONTH(AL29)-MONTH(AL28)+1,0)</f>
        <v/>
      </c>
      <c r="AM30" s="9">
        <f>IF(AM29&gt;=AM28,(YEAR(AM29)-YEAR(AM28))*12+MONTH(AM29)-MONTH(AM28)+1,0)</f>
        <v/>
      </c>
      <c r="AN30" s="9">
        <f>IF(AN29&gt;=AN28,(YEAR(AN29)-YEAR(AN28))*12+MONTH(AN29)-MONTH(AN28)+1,0)</f>
        <v/>
      </c>
      <c r="AO30" s="9">
        <f>IF(AO29&gt;=AO28,(YEAR(AO29)-YEAR(AO28))*12+MONTH(AO29)-MONTH(AO28)+1,0)</f>
        <v/>
      </c>
      <c r="AP30" s="9">
        <f>IF(AP29&gt;=AP28,(YEAR(AP29)-YEAR(AP28))*12+MONTH(AP29)-MONTH(AP28)+1,0)</f>
        <v/>
      </c>
      <c r="AQ30" s="9">
        <f>IF(AQ29&gt;=AQ28,(YEAR(AQ29)-YEAR(AQ28))*12+MONTH(AQ29)-MONTH(AQ28)+1,0)</f>
        <v/>
      </c>
      <c r="AR30" s="9">
        <f>IF(AR29&gt;=AR28,(YEAR(AR29)-YEAR(AR28))*12+MONTH(AR29)-MONTH(AR28)+1,0)</f>
        <v/>
      </c>
      <c r="AS30" s="9">
        <f>IF(AS29&gt;=AS28,(YEAR(AS29)-YEAR(AS28))*12+MONTH(AS29)-MONTH(AS28)+1,0)</f>
        <v/>
      </c>
      <c r="AT30" s="9">
        <f>IF(AT29&gt;=AT28,(YEAR(AT29)-YEAR(AT28))*12+MONTH(AT29)-MONTH(AT28)+1,0)</f>
        <v/>
      </c>
      <c r="AU30" s="9">
        <f>IF(AU29&gt;=AU28,(YEAR(AU29)-YEAR(AU28))*12+MONTH(AU29)-MONTH(AU28)+1,0)</f>
        <v/>
      </c>
      <c r="AV30" s="9">
        <f>IF(AV29&gt;=AV28,(YEAR(AV29)-YEAR(AV28))*12+MONTH(AV29)-MONTH(AV28)+1,0)</f>
        <v/>
      </c>
      <c r="AW30" s="9">
        <f>IF(AW29&gt;=AW28,(YEAR(AW29)-YEAR(AW28))*12+MONTH(AW29)-MONTH(AW28)+1,0)</f>
        <v/>
      </c>
      <c r="AX30" s="9">
        <f>IF(AX29&gt;=AX28,(YEAR(AX29)-YEAR(AX28))*12+MONTH(AX29)-MONTH(AX28)+1,0)</f>
        <v/>
      </c>
      <c r="AY30" s="9">
        <f>IF(AY29&gt;=AY28,(YEAR(AY29)-YEAR(AY28))*12+MONTH(AY29)-MONTH(AY28)+1,0)</f>
        <v/>
      </c>
      <c r="AZ30" s="9">
        <f>IF(AZ29&gt;=AZ28,(YEAR(AZ29)-YEAR(AZ28))*12+MONTH(AZ29)-MONTH(AZ28)+1,0)</f>
        <v/>
      </c>
      <c r="BA30" s="9">
        <f>IF(BA29&gt;=BA28,(YEAR(BA29)-YEAR(BA28))*12+MONTH(BA29)-MONTH(BA28)+1,0)</f>
        <v/>
      </c>
      <c r="BB30" s="9">
        <f>IF(BB29&gt;=BB28,(YEAR(BB29)-YEAR(BB28))*12+MONTH(BB29)-MONTH(BB28)+1,0)</f>
        <v/>
      </c>
      <c r="BC30" s="9">
        <f>IF(BC29&gt;=BC28,(YEAR(BC29)-YEAR(BC28))*12+MONTH(BC29)-MONTH(BC28)+1,0)</f>
        <v/>
      </c>
      <c r="BD30" s="9">
        <f>IF(BD29&gt;=BD28,(YEAR(BD29)-YEAR(BD28))*12+MONTH(BD29)-MONTH(BD28)+1,0)</f>
        <v/>
      </c>
      <c r="BE30" s="9">
        <f>IF(BE29&gt;=BE28,(YEAR(BE29)-YEAR(BE28))*12+MONTH(BE29)-MONTH(BE28)+1,0)</f>
        <v/>
      </c>
      <c r="BF30" s="9">
        <f>IF(BF29&gt;=BF28,(YEAR(BF29)-YEAR(BF28))*12+MONTH(BF29)-MONTH(BF28)+1,0)</f>
        <v/>
      </c>
      <c r="BG30" s="9">
        <f>IF(BG29&gt;=BG28,(YEAR(BG29)-YEAR(BG28))*12+MONTH(BG29)-MONTH(BG28)+1,0)</f>
        <v/>
      </c>
      <c r="BH30" s="9">
        <f>IF(BH29&gt;=BH28,(YEAR(BH29)-YEAR(BH28))*12+MONTH(BH29)-MONTH(BH28)+1,0)</f>
        <v/>
      </c>
      <c r="BI30" s="9">
        <f>IF(BI29&gt;=BI28,(YEAR(BI29)-YEAR(BI28))*12+MONTH(BI29)-MONTH(BI28)+1,0)</f>
        <v/>
      </c>
      <c r="BJ30" s="9">
        <f>IF(BJ29&gt;=BJ28,(YEAR(BJ29)-YEAR(BJ28))*12+MONTH(BJ29)-MONTH(BJ28)+1,0)</f>
        <v/>
      </c>
      <c r="BK30" s="9">
        <f>IF(BK29&gt;=BK28,(YEAR(BK29)-YEAR(BK28))*12+MONTH(BK29)-MONTH(BK28)+1,0)</f>
        <v/>
      </c>
      <c r="BL30" s="9">
        <f>IF(BL29&gt;=BL28,(YEAR(BL29)-YEAR(BL28))*12+MONTH(BL29)-MONTH(BL28)+1,0)</f>
        <v/>
      </c>
      <c r="BM30" s="9">
        <f>IF(BM29&gt;=BM28,(YEAR(BM29)-YEAR(BM28))*12+MONTH(BM29)-MONTH(BM28)+1,0)</f>
        <v/>
      </c>
      <c r="BN30" s="9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9">
        <f>IF(J29&gt;=J28,J29-J28+1,0)</f>
        <v/>
      </c>
      <c r="K31" s="9">
        <f>IF(K29&gt;=K28,K29-K28+1,0)</f>
        <v/>
      </c>
      <c r="L31" s="9">
        <f>IF(L29&gt;=L28,L29-L28+1,0)</f>
        <v/>
      </c>
      <c r="M31" s="9">
        <f>IF(M29&gt;=M28,M29-M28+1,0)</f>
        <v/>
      </c>
      <c r="N31" s="9">
        <f>IF(N29&gt;=N28,N29-N28+1,0)</f>
        <v/>
      </c>
      <c r="O31" s="9">
        <f>IF(O29&gt;=O28,O29-O28+1,0)</f>
        <v/>
      </c>
      <c r="P31" s="9">
        <f>IF(P29&gt;=P28,P29-P28+1,0)</f>
        <v/>
      </c>
      <c r="Q31" s="9">
        <f>IF(Q29&gt;=Q28,Q29-Q28+1,0)</f>
        <v/>
      </c>
      <c r="R31" s="9">
        <f>IF(R29&gt;=R28,R29-R28+1,0)</f>
        <v/>
      </c>
      <c r="S31" s="9">
        <f>IF(S29&gt;=S28,S29-S28+1,0)</f>
        <v/>
      </c>
      <c r="T31" s="9">
        <f>IF(T29&gt;=T28,T29-T28+1,0)</f>
        <v/>
      </c>
      <c r="U31" s="9">
        <f>IF(U29&gt;=U28,U29-U28+1,0)</f>
        <v/>
      </c>
      <c r="V31" s="9">
        <f>IF(V29&gt;=V28,V29-V28+1,0)</f>
        <v/>
      </c>
      <c r="W31" s="9">
        <f>IF(W29&gt;=W28,W29-W28+1,0)</f>
        <v/>
      </c>
      <c r="X31" s="9">
        <f>IF(X29&gt;=X28,X29-X28+1,0)</f>
        <v/>
      </c>
      <c r="Y31" s="9">
        <f>IF(Y29&gt;=Y28,Y29-Y28+1,0)</f>
        <v/>
      </c>
      <c r="Z31" s="9">
        <f>IF(Z29&gt;=Z28,Z29-Z28+1,0)</f>
        <v/>
      </c>
      <c r="AA31" s="9">
        <f>IF(AA29&gt;=AA28,AA29-AA28+1,0)</f>
        <v/>
      </c>
      <c r="AB31" s="9">
        <f>IF(AB29&gt;=AB28,AB29-AB28+1,0)</f>
        <v/>
      </c>
      <c r="AC31" s="9">
        <f>IF(AC29&gt;=AC28,AC29-AC28+1,0)</f>
        <v/>
      </c>
      <c r="AD31" s="9">
        <f>IF(AD29&gt;=AD28,AD29-AD28+1,0)</f>
        <v/>
      </c>
      <c r="AE31" s="9">
        <f>IF(AE29&gt;=AE28,AE29-AE28+1,0)</f>
        <v/>
      </c>
      <c r="AF31" s="9">
        <f>IF(AF29&gt;=AF28,AF29-AF28+1,0)</f>
        <v/>
      </c>
      <c r="AG31" s="9">
        <f>IF(AG29&gt;=AG28,AG29-AG28+1,0)</f>
        <v/>
      </c>
      <c r="AH31" s="9">
        <f>IF(AH29&gt;=AH28,AH29-AH28+1,0)</f>
        <v/>
      </c>
      <c r="AI31" s="9">
        <f>IF(AI29&gt;=AI28,AI29-AI28+1,0)</f>
        <v/>
      </c>
      <c r="AJ31" s="9">
        <f>IF(AJ29&gt;=AJ28,AJ29-AJ28+1,0)</f>
        <v/>
      </c>
      <c r="AK31" s="9">
        <f>IF(AK29&gt;=AK28,AK29-AK28+1,0)</f>
        <v/>
      </c>
      <c r="AL31" s="9">
        <f>IF(AL29&gt;=AL28,AL29-AL28+1,0)</f>
        <v/>
      </c>
      <c r="AM31" s="9">
        <f>IF(AM29&gt;=AM28,AM29-AM28+1,0)</f>
        <v/>
      </c>
      <c r="AN31" s="9">
        <f>IF(AN29&gt;=AN28,AN29-AN28+1,0)</f>
        <v/>
      </c>
      <c r="AO31" s="9">
        <f>IF(AO29&gt;=AO28,AO29-AO28+1,0)</f>
        <v/>
      </c>
      <c r="AP31" s="9">
        <f>IF(AP29&gt;=AP28,AP29-AP28+1,0)</f>
        <v/>
      </c>
      <c r="AQ31" s="9">
        <f>IF(AQ29&gt;=AQ28,AQ29-AQ28+1,0)</f>
        <v/>
      </c>
      <c r="AR31" s="9">
        <f>IF(AR29&gt;=AR28,AR29-AR28+1,0)</f>
        <v/>
      </c>
      <c r="AS31" s="9">
        <f>IF(AS29&gt;=AS28,AS29-AS28+1,0)</f>
        <v/>
      </c>
      <c r="AT31" s="9">
        <f>IF(AT29&gt;=AT28,AT29-AT28+1,0)</f>
        <v/>
      </c>
      <c r="AU31" s="9">
        <f>IF(AU29&gt;=AU28,AU29-AU28+1,0)</f>
        <v/>
      </c>
      <c r="AV31" s="9">
        <f>IF(AV29&gt;=AV28,AV29-AV28+1,0)</f>
        <v/>
      </c>
      <c r="AW31" s="9">
        <f>IF(AW29&gt;=AW28,AW29-AW28+1,0)</f>
        <v/>
      </c>
      <c r="AX31" s="9">
        <f>IF(AX29&gt;=AX28,AX29-AX28+1,0)</f>
        <v/>
      </c>
      <c r="AY31" s="9">
        <f>IF(AY29&gt;=AY28,AY29-AY28+1,0)</f>
        <v/>
      </c>
      <c r="AZ31" s="9">
        <f>IF(AZ29&gt;=AZ28,AZ29-AZ28+1,0)</f>
        <v/>
      </c>
      <c r="BA31" s="9">
        <f>IF(BA29&gt;=BA28,BA29-BA28+1,0)</f>
        <v/>
      </c>
      <c r="BB31" s="9">
        <f>IF(BB29&gt;=BB28,BB29-BB28+1,0)</f>
        <v/>
      </c>
      <c r="BC31" s="9">
        <f>IF(BC29&gt;=BC28,BC29-BC28+1,0)</f>
        <v/>
      </c>
      <c r="BD31" s="9">
        <f>IF(BD29&gt;=BD28,BD29-BD28+1,0)</f>
        <v/>
      </c>
      <c r="BE31" s="9">
        <f>IF(BE29&gt;=BE28,BE29-BE28+1,0)</f>
        <v/>
      </c>
      <c r="BF31" s="9">
        <f>IF(BF29&gt;=BF28,BF29-BF28+1,0)</f>
        <v/>
      </c>
      <c r="BG31" s="9">
        <f>IF(BG29&gt;=BG28,BG29-BG28+1,0)</f>
        <v/>
      </c>
      <c r="BH31" s="9">
        <f>IF(BH29&gt;=BH28,BH29-BH28+1,0)</f>
        <v/>
      </c>
      <c r="BI31" s="9">
        <f>IF(BI29&gt;=BI28,BI29-BI28+1,0)</f>
        <v/>
      </c>
      <c r="BJ31" s="9">
        <f>IF(BJ29&gt;=BJ28,BJ29-BJ28+1,0)</f>
        <v/>
      </c>
      <c r="BK31" s="9">
        <f>IF(BK29&gt;=BK28,BK29-BK28+1,0)</f>
        <v/>
      </c>
      <c r="BL31" s="9">
        <f>IF(BL29&gt;=BL28,BL29-BL28+1,0)</f>
        <v/>
      </c>
      <c r="BM31" s="9">
        <f>IF(BM29&gt;=BM28,BM29-BM28+1,0)</f>
        <v/>
      </c>
      <c r="BN31" s="9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9">
        <f>MIN(MAX((YEAR(J22)-YEAR($F$8))*12+MONTH(J22)-MONTH($F$8),0),$F$9)</f>
        <v/>
      </c>
      <c r="K32" s="9">
        <f>MIN(MAX((YEAR(K22)-YEAR($F$8))*12+MONTH(K22)-MONTH($F$8),0),$F$9)</f>
        <v/>
      </c>
      <c r="L32" s="9">
        <f>MIN(MAX((YEAR(L22)-YEAR($F$8))*12+MONTH(L22)-MONTH($F$8),0),$F$9)</f>
        <v/>
      </c>
      <c r="M32" s="9">
        <f>MIN(MAX((YEAR(M22)-YEAR($F$8))*12+MONTH(M22)-MONTH($F$8),0),$F$9)</f>
        <v/>
      </c>
      <c r="N32" s="9">
        <f>MIN(MAX((YEAR(N22)-YEAR($F$8))*12+MONTH(N22)-MONTH($F$8),0),$F$9)</f>
        <v/>
      </c>
      <c r="O32" s="9">
        <f>MIN(MAX((YEAR(O22)-YEAR($F$8))*12+MONTH(O22)-MONTH($F$8),0),$F$9)</f>
        <v/>
      </c>
      <c r="P32" s="9">
        <f>MIN(MAX((YEAR(P22)-YEAR($F$8))*12+MONTH(P22)-MONTH($F$8),0),$F$9)</f>
        <v/>
      </c>
      <c r="Q32" s="9">
        <f>MIN(MAX((YEAR(Q22)-YEAR($F$8))*12+MONTH(Q22)-MONTH($F$8),0),$F$9)</f>
        <v/>
      </c>
      <c r="R32" s="9">
        <f>MIN(MAX((YEAR(R22)-YEAR($F$8))*12+MONTH(R22)-MONTH($F$8),0),$F$9)</f>
        <v/>
      </c>
      <c r="S32" s="9">
        <f>MIN(MAX((YEAR(S22)-YEAR($F$8))*12+MONTH(S22)-MONTH($F$8),0),$F$9)</f>
        <v/>
      </c>
      <c r="T32" s="9">
        <f>MIN(MAX((YEAR(T22)-YEAR($F$8))*12+MONTH(T22)-MONTH($F$8),0),$F$9)</f>
        <v/>
      </c>
      <c r="U32" s="9">
        <f>MIN(MAX((YEAR(U22)-YEAR($F$8))*12+MONTH(U22)-MONTH($F$8),0),$F$9)</f>
        <v/>
      </c>
      <c r="V32" s="9">
        <f>MIN(MAX((YEAR(V22)-YEAR($F$8))*12+MONTH(V22)-MONTH($F$8),0),$F$9)</f>
        <v/>
      </c>
      <c r="W32" s="9">
        <f>MIN(MAX((YEAR(W22)-YEAR($F$8))*12+MONTH(W22)-MONTH($F$8),0),$F$9)</f>
        <v/>
      </c>
      <c r="X32" s="9">
        <f>MIN(MAX((YEAR(X22)-YEAR($F$8))*12+MONTH(X22)-MONTH($F$8),0),$F$9)</f>
        <v/>
      </c>
      <c r="Y32" s="9">
        <f>MIN(MAX((YEAR(Y22)-YEAR($F$8))*12+MONTH(Y22)-MONTH($F$8),0),$F$9)</f>
        <v/>
      </c>
      <c r="Z32" s="9">
        <f>MIN(MAX((YEAR(Z22)-YEAR($F$8))*12+MONTH(Z22)-MONTH($F$8),0),$F$9)</f>
        <v/>
      </c>
      <c r="AA32" s="9">
        <f>MIN(MAX((YEAR(AA22)-YEAR($F$8))*12+MONTH(AA22)-MONTH($F$8),0),$F$9)</f>
        <v/>
      </c>
      <c r="AB32" s="9">
        <f>MIN(MAX((YEAR(AB22)-YEAR($F$8))*12+MONTH(AB22)-MONTH($F$8),0),$F$9)</f>
        <v/>
      </c>
      <c r="AC32" s="9">
        <f>MIN(MAX((YEAR(AC22)-YEAR($F$8))*12+MONTH(AC22)-MONTH($F$8),0),$F$9)</f>
        <v/>
      </c>
      <c r="AD32" s="9">
        <f>MIN(MAX((YEAR(AD22)-YEAR($F$8))*12+MONTH(AD22)-MONTH($F$8),0),$F$9)</f>
        <v/>
      </c>
      <c r="AE32" s="9">
        <f>MIN(MAX((YEAR(AE22)-YEAR($F$8))*12+MONTH(AE22)-MONTH($F$8),0),$F$9)</f>
        <v/>
      </c>
      <c r="AF32" s="9">
        <f>MIN(MAX((YEAR(AF22)-YEAR($F$8))*12+MONTH(AF22)-MONTH($F$8),0),$F$9)</f>
        <v/>
      </c>
      <c r="AG32" s="9">
        <f>MIN(MAX((YEAR(AG22)-YEAR($F$8))*12+MONTH(AG22)-MONTH($F$8),0),$F$9)</f>
        <v/>
      </c>
      <c r="AH32" s="9">
        <f>MIN(MAX((YEAR(AH22)-YEAR($F$8))*12+MONTH(AH22)-MONTH($F$8),0),$F$9)</f>
        <v/>
      </c>
      <c r="AI32" s="9">
        <f>MIN(MAX((YEAR(AI22)-YEAR($F$8))*12+MONTH(AI22)-MONTH($F$8),0),$F$9)</f>
        <v/>
      </c>
      <c r="AJ32" s="9">
        <f>MIN(MAX((YEAR(AJ22)-YEAR($F$8))*12+MONTH(AJ22)-MONTH($F$8),0),$F$9)</f>
        <v/>
      </c>
      <c r="AK32" s="9">
        <f>MIN(MAX((YEAR(AK22)-YEAR($F$8))*12+MONTH(AK22)-MONTH($F$8),0),$F$9)</f>
        <v/>
      </c>
      <c r="AL32" s="9">
        <f>MIN(MAX((YEAR(AL22)-YEAR($F$8))*12+MONTH(AL22)-MONTH($F$8),0),$F$9)</f>
        <v/>
      </c>
      <c r="AM32" s="9">
        <f>MIN(MAX((YEAR(AM22)-YEAR($F$8))*12+MONTH(AM22)-MONTH($F$8),0),$F$9)</f>
        <v/>
      </c>
      <c r="AN32" s="9">
        <f>MIN(MAX((YEAR(AN22)-YEAR($F$8))*12+MONTH(AN22)-MONTH($F$8),0),$F$9)</f>
        <v/>
      </c>
      <c r="AO32" s="9">
        <f>MIN(MAX((YEAR(AO22)-YEAR($F$8))*12+MONTH(AO22)-MONTH($F$8),0),$F$9)</f>
        <v/>
      </c>
      <c r="AP32" s="9">
        <f>MIN(MAX((YEAR(AP22)-YEAR($F$8))*12+MONTH(AP22)-MONTH($F$8),0),$F$9)</f>
        <v/>
      </c>
      <c r="AQ32" s="9">
        <f>MIN(MAX((YEAR(AQ22)-YEAR($F$8))*12+MONTH(AQ22)-MONTH($F$8),0),$F$9)</f>
        <v/>
      </c>
      <c r="AR32" s="9">
        <f>MIN(MAX((YEAR(AR22)-YEAR($F$8))*12+MONTH(AR22)-MONTH($F$8),0),$F$9)</f>
        <v/>
      </c>
      <c r="AS32" s="9">
        <f>MIN(MAX((YEAR(AS22)-YEAR($F$8))*12+MONTH(AS22)-MONTH($F$8),0),$F$9)</f>
        <v/>
      </c>
      <c r="AT32" s="9">
        <f>MIN(MAX((YEAR(AT22)-YEAR($F$8))*12+MONTH(AT22)-MONTH($F$8),0),$F$9)</f>
        <v/>
      </c>
      <c r="AU32" s="9">
        <f>MIN(MAX((YEAR(AU22)-YEAR($F$8))*12+MONTH(AU22)-MONTH($F$8),0),$F$9)</f>
        <v/>
      </c>
      <c r="AV32" s="9">
        <f>MIN(MAX((YEAR(AV22)-YEAR($F$8))*12+MONTH(AV22)-MONTH($F$8),0),$F$9)</f>
        <v/>
      </c>
      <c r="AW32" s="9">
        <f>MIN(MAX((YEAR(AW22)-YEAR($F$8))*12+MONTH(AW22)-MONTH($F$8),0),$F$9)</f>
        <v/>
      </c>
      <c r="AX32" s="9">
        <f>MIN(MAX((YEAR(AX22)-YEAR($F$8))*12+MONTH(AX22)-MONTH($F$8),0),$F$9)</f>
        <v/>
      </c>
      <c r="AY32" s="9">
        <f>MIN(MAX((YEAR(AY22)-YEAR($F$8))*12+MONTH(AY22)-MONTH($F$8),0),$F$9)</f>
        <v/>
      </c>
      <c r="AZ32" s="9">
        <f>MIN(MAX((YEAR(AZ22)-YEAR($F$8))*12+MONTH(AZ22)-MONTH($F$8),0),$F$9)</f>
        <v/>
      </c>
      <c r="BA32" s="9">
        <f>MIN(MAX((YEAR(BA22)-YEAR($F$8))*12+MONTH(BA22)-MONTH($F$8),0),$F$9)</f>
        <v/>
      </c>
      <c r="BB32" s="9">
        <f>MIN(MAX((YEAR(BB22)-YEAR($F$8))*12+MONTH(BB22)-MONTH($F$8),0),$F$9)</f>
        <v/>
      </c>
      <c r="BC32" s="9">
        <f>MIN(MAX((YEAR(BC22)-YEAR($F$8))*12+MONTH(BC22)-MONTH($F$8),0),$F$9)</f>
        <v/>
      </c>
      <c r="BD32" s="9">
        <f>MIN(MAX((YEAR(BD22)-YEAR($F$8))*12+MONTH(BD22)-MONTH($F$8),0),$F$9)</f>
        <v/>
      </c>
      <c r="BE32" s="9">
        <f>MIN(MAX((YEAR(BE22)-YEAR($F$8))*12+MONTH(BE22)-MONTH($F$8),0),$F$9)</f>
        <v/>
      </c>
      <c r="BF32" s="9">
        <f>MIN(MAX((YEAR(BF22)-YEAR($F$8))*12+MONTH(BF22)-MONTH($F$8),0),$F$9)</f>
        <v/>
      </c>
      <c r="BG32" s="9">
        <f>MIN(MAX((YEAR(BG22)-YEAR($F$8))*12+MONTH(BG22)-MONTH($F$8),0),$F$9)</f>
        <v/>
      </c>
      <c r="BH32" s="9">
        <f>MIN(MAX((YEAR(BH22)-YEAR($F$8))*12+MONTH(BH22)-MONTH($F$8),0),$F$9)</f>
        <v/>
      </c>
      <c r="BI32" s="9">
        <f>MIN(MAX((YEAR(BI22)-YEAR($F$8))*12+MONTH(BI22)-MONTH($F$8),0),$F$9)</f>
        <v/>
      </c>
      <c r="BJ32" s="9">
        <f>MIN(MAX((YEAR(BJ22)-YEAR($F$8))*12+MONTH(BJ22)-MONTH($F$8),0),$F$9)</f>
        <v/>
      </c>
      <c r="BK32" s="9">
        <f>MIN(MAX((YEAR(BK22)-YEAR($F$8))*12+MONTH(BK22)-MONTH($F$8),0),$F$9)</f>
        <v/>
      </c>
      <c r="BL32" s="9">
        <f>MIN(MAX((YEAR(BL22)-YEAR($F$8))*12+MONTH(BL22)-MONTH($F$8),0),$F$9)</f>
        <v/>
      </c>
      <c r="BM32" s="9">
        <f>MIN(MAX((YEAR(BM22)-YEAR($F$8))*12+MONTH(BM22)-MONTH($F$8),0),$F$9)</f>
        <v/>
      </c>
      <c r="BN32" s="9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9">
        <f>J32+J30</f>
        <v/>
      </c>
      <c r="K33" s="9">
        <f>K32+K30</f>
        <v/>
      </c>
      <c r="L33" s="9">
        <f>L32+L30</f>
        <v/>
      </c>
      <c r="M33" s="9">
        <f>M32+M30</f>
        <v/>
      </c>
      <c r="N33" s="9">
        <f>N32+N30</f>
        <v/>
      </c>
      <c r="O33" s="9">
        <f>O32+O30</f>
        <v/>
      </c>
      <c r="P33" s="9">
        <f>P32+P30</f>
        <v/>
      </c>
      <c r="Q33" s="9">
        <f>Q32+Q30</f>
        <v/>
      </c>
      <c r="R33" s="9">
        <f>R32+R30</f>
        <v/>
      </c>
      <c r="S33" s="9">
        <f>S32+S30</f>
        <v/>
      </c>
      <c r="T33" s="9">
        <f>T32+T30</f>
        <v/>
      </c>
      <c r="U33" s="9">
        <f>U32+U30</f>
        <v/>
      </c>
      <c r="V33" s="9">
        <f>V32+V30</f>
        <v/>
      </c>
      <c r="W33" s="9">
        <f>W32+W30</f>
        <v/>
      </c>
      <c r="X33" s="9">
        <f>X32+X30</f>
        <v/>
      </c>
      <c r="Y33" s="9">
        <f>Y32+Y30</f>
        <v/>
      </c>
      <c r="Z33" s="9">
        <f>Z32+Z30</f>
        <v/>
      </c>
      <c r="AA33" s="9">
        <f>AA32+AA30</f>
        <v/>
      </c>
      <c r="AB33" s="9">
        <f>AB32+AB30</f>
        <v/>
      </c>
      <c r="AC33" s="9">
        <f>AC32+AC30</f>
        <v/>
      </c>
      <c r="AD33" s="9">
        <f>AD32+AD30</f>
        <v/>
      </c>
      <c r="AE33" s="9">
        <f>AE32+AE30</f>
        <v/>
      </c>
      <c r="AF33" s="9">
        <f>AF32+AF30</f>
        <v/>
      </c>
      <c r="AG33" s="9">
        <f>AG32+AG30</f>
        <v/>
      </c>
      <c r="AH33" s="9">
        <f>AH32+AH30</f>
        <v/>
      </c>
      <c r="AI33" s="9">
        <f>AI32+AI30</f>
        <v/>
      </c>
      <c r="AJ33" s="9">
        <f>AJ32+AJ30</f>
        <v/>
      </c>
      <c r="AK33" s="9">
        <f>AK32+AK30</f>
        <v/>
      </c>
      <c r="AL33" s="9">
        <f>AL32+AL30</f>
        <v/>
      </c>
      <c r="AM33" s="9">
        <f>AM32+AM30</f>
        <v/>
      </c>
      <c r="AN33" s="9">
        <f>AN32+AN30</f>
        <v/>
      </c>
      <c r="AO33" s="9">
        <f>AO32+AO30</f>
        <v/>
      </c>
      <c r="AP33" s="9">
        <f>AP32+AP30</f>
        <v/>
      </c>
      <c r="AQ33" s="9">
        <f>AQ32+AQ30</f>
        <v/>
      </c>
      <c r="AR33" s="9">
        <f>AR32+AR30</f>
        <v/>
      </c>
      <c r="AS33" s="9">
        <f>AS32+AS30</f>
        <v/>
      </c>
      <c r="AT33" s="9">
        <f>AT32+AT30</f>
        <v/>
      </c>
      <c r="AU33" s="9">
        <f>AU32+AU30</f>
        <v/>
      </c>
      <c r="AV33" s="9">
        <f>AV32+AV30</f>
        <v/>
      </c>
      <c r="AW33" s="9">
        <f>AW32+AW30</f>
        <v/>
      </c>
      <c r="AX33" s="9">
        <f>AX32+AX30</f>
        <v/>
      </c>
      <c r="AY33" s="9">
        <f>AY32+AY30</f>
        <v/>
      </c>
      <c r="AZ33" s="9">
        <f>AZ32+AZ30</f>
        <v/>
      </c>
      <c r="BA33" s="9">
        <f>BA32+BA30</f>
        <v/>
      </c>
      <c r="BB33" s="9">
        <f>BB32+BB30</f>
        <v/>
      </c>
      <c r="BC33" s="9">
        <f>BC32+BC30</f>
        <v/>
      </c>
      <c r="BD33" s="9">
        <f>BD32+BD30</f>
        <v/>
      </c>
      <c r="BE33" s="9">
        <f>BE32+BE30</f>
        <v/>
      </c>
      <c r="BF33" s="9">
        <f>BF32+BF30</f>
        <v/>
      </c>
      <c r="BG33" s="9">
        <f>BG32+BG30</f>
        <v/>
      </c>
      <c r="BH33" s="9">
        <f>BH32+BH30</f>
        <v/>
      </c>
      <c r="BI33" s="9">
        <f>BI32+BI30</f>
        <v/>
      </c>
      <c r="BJ33" s="9">
        <f>BJ32+BJ30</f>
        <v/>
      </c>
      <c r="BK33" s="9">
        <f>BK32+BK30</f>
        <v/>
      </c>
      <c r="BL33" s="9">
        <f>BL32+BL30</f>
        <v/>
      </c>
      <c r="BM33" s="9">
        <f>BM32+BM30</f>
        <v/>
      </c>
      <c r="BN33" s="9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9">
        <f>IF(J20=$F$12,1,0)</f>
        <v/>
      </c>
      <c r="K34" s="9">
        <f>IF(K20=$F$12,1,0)</f>
        <v/>
      </c>
      <c r="L34" s="9">
        <f>IF(L20=$F$12,1,0)</f>
        <v/>
      </c>
      <c r="M34" s="9">
        <f>IF(M20=$F$12,1,0)</f>
        <v/>
      </c>
      <c r="N34" s="9">
        <f>IF(N20=$F$12,1,0)</f>
        <v/>
      </c>
      <c r="O34" s="9">
        <f>IF(O20=$F$12,1,0)</f>
        <v/>
      </c>
      <c r="P34" s="9">
        <f>IF(P20=$F$12,1,0)</f>
        <v/>
      </c>
      <c r="Q34" s="9">
        <f>IF(Q20=$F$12,1,0)</f>
        <v/>
      </c>
      <c r="R34" s="9">
        <f>IF(R20=$F$12,1,0)</f>
        <v/>
      </c>
      <c r="S34" s="9">
        <f>IF(S20=$F$12,1,0)</f>
        <v/>
      </c>
      <c r="T34" s="9">
        <f>IF(T20=$F$12,1,0)</f>
        <v/>
      </c>
      <c r="U34" s="9">
        <f>IF(U20=$F$12,1,0)</f>
        <v/>
      </c>
      <c r="V34" s="9">
        <f>IF(V20=$F$12,1,0)</f>
        <v/>
      </c>
      <c r="W34" s="9">
        <f>IF(W20=$F$12,1,0)</f>
        <v/>
      </c>
      <c r="X34" s="9">
        <f>IF(X20=$F$12,1,0)</f>
        <v/>
      </c>
      <c r="Y34" s="9">
        <f>IF(Y20=$F$12,1,0)</f>
        <v/>
      </c>
      <c r="Z34" s="9">
        <f>IF(Z20=$F$12,1,0)</f>
        <v/>
      </c>
      <c r="AA34" s="9">
        <f>IF(AA20=$F$12,1,0)</f>
        <v/>
      </c>
      <c r="AB34" s="9">
        <f>IF(AB20=$F$12,1,0)</f>
        <v/>
      </c>
      <c r="AC34" s="9">
        <f>IF(AC20=$F$12,1,0)</f>
        <v/>
      </c>
      <c r="AD34" s="9">
        <f>IF(AD20=$F$12,1,0)</f>
        <v/>
      </c>
      <c r="AE34" s="9">
        <f>IF(AE20=$F$12,1,0)</f>
        <v/>
      </c>
      <c r="AF34" s="9">
        <f>IF(AF20=$F$12,1,0)</f>
        <v/>
      </c>
      <c r="AG34" s="9">
        <f>IF(AG20=$F$12,1,0)</f>
        <v/>
      </c>
      <c r="AH34" s="9">
        <f>IF(AH20=$F$12,1,0)</f>
        <v/>
      </c>
      <c r="AI34" s="9">
        <f>IF(AI20=$F$12,1,0)</f>
        <v/>
      </c>
      <c r="AJ34" s="9">
        <f>IF(AJ20=$F$12,1,0)</f>
        <v/>
      </c>
      <c r="AK34" s="9">
        <f>IF(AK20=$F$12,1,0)</f>
        <v/>
      </c>
      <c r="AL34" s="9">
        <f>IF(AL20=$F$12,1,0)</f>
        <v/>
      </c>
      <c r="AM34" s="9">
        <f>IF(AM20=$F$12,1,0)</f>
        <v/>
      </c>
      <c r="AN34" s="9">
        <f>IF(AN20=$F$12,1,0)</f>
        <v/>
      </c>
      <c r="AO34" s="9">
        <f>IF(AO20=$F$12,1,0)</f>
        <v/>
      </c>
      <c r="AP34" s="9">
        <f>IF(AP20=$F$12,1,0)</f>
        <v/>
      </c>
      <c r="AQ34" s="9">
        <f>IF(AQ20=$F$12,1,0)</f>
        <v/>
      </c>
      <c r="AR34" s="9">
        <f>IF(AR20=$F$12,1,0)</f>
        <v/>
      </c>
      <c r="AS34" s="9">
        <f>IF(AS20=$F$12,1,0)</f>
        <v/>
      </c>
      <c r="AT34" s="9">
        <f>IF(AT20=$F$12,1,0)</f>
        <v/>
      </c>
      <c r="AU34" s="9">
        <f>IF(AU20=$F$12,1,0)</f>
        <v/>
      </c>
      <c r="AV34" s="9">
        <f>IF(AV20=$F$12,1,0)</f>
        <v/>
      </c>
      <c r="AW34" s="9">
        <f>IF(AW20=$F$12,1,0)</f>
        <v/>
      </c>
      <c r="AX34" s="9">
        <f>IF(AX20=$F$12,1,0)</f>
        <v/>
      </c>
      <c r="AY34" s="9">
        <f>IF(AY20=$F$12,1,0)</f>
        <v/>
      </c>
      <c r="AZ34" s="9">
        <f>IF(AZ20=$F$12,1,0)</f>
        <v/>
      </c>
      <c r="BA34" s="9">
        <f>IF(BA20=$F$12,1,0)</f>
        <v/>
      </c>
      <c r="BB34" s="9">
        <f>IF(BB20=$F$12,1,0)</f>
        <v/>
      </c>
      <c r="BC34" s="9">
        <f>IF(BC20=$F$12,1,0)</f>
        <v/>
      </c>
      <c r="BD34" s="9">
        <f>IF(BD20=$F$12,1,0)</f>
        <v/>
      </c>
      <c r="BE34" s="9">
        <f>IF(BE20=$F$12,1,0)</f>
        <v/>
      </c>
      <c r="BF34" s="9">
        <f>IF(BF20=$F$12,1,0)</f>
        <v/>
      </c>
      <c r="BG34" s="9">
        <f>IF(BG20=$F$12,1,0)</f>
        <v/>
      </c>
      <c r="BH34" s="9">
        <f>IF(BH20=$F$12,1,0)</f>
        <v/>
      </c>
      <c r="BI34" s="9">
        <f>IF(BI20=$F$12,1,0)</f>
        <v/>
      </c>
      <c r="BJ34" s="9">
        <f>IF(BJ20=$F$12,1,0)</f>
        <v/>
      </c>
      <c r="BK34" s="9">
        <f>IF(BK20=$F$12,1,0)</f>
        <v/>
      </c>
      <c r="BL34" s="9">
        <f>IF(BL20=$F$12,1,0)</f>
        <v/>
      </c>
      <c r="BM34" s="9">
        <f>IF(BM20=$F$12,1,0)</f>
        <v/>
      </c>
      <c r="BN34" s="9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9">
        <f>IF(J20&gt;$F$12,1,0)</f>
        <v/>
      </c>
      <c r="K35" s="9">
        <f>IF(K20&gt;$F$12,1,0)</f>
        <v/>
      </c>
      <c r="L35" s="9">
        <f>IF(L20&gt;$F$12,1,0)</f>
        <v/>
      </c>
      <c r="M35" s="9">
        <f>IF(M20&gt;$F$12,1,0)</f>
        <v/>
      </c>
      <c r="N35" s="9">
        <f>IF(N20&gt;$F$12,1,0)</f>
        <v/>
      </c>
      <c r="O35" s="9">
        <f>IF(O20&gt;$F$12,1,0)</f>
        <v/>
      </c>
      <c r="P35" s="9">
        <f>IF(P20&gt;$F$12,1,0)</f>
        <v/>
      </c>
      <c r="Q35" s="9">
        <f>IF(Q20&gt;$F$12,1,0)</f>
        <v/>
      </c>
      <c r="R35" s="9">
        <f>IF(R20&gt;$F$12,1,0)</f>
        <v/>
      </c>
      <c r="S35" s="9">
        <f>IF(S20&gt;$F$12,1,0)</f>
        <v/>
      </c>
      <c r="T35" s="9">
        <f>IF(T20&gt;$F$12,1,0)</f>
        <v/>
      </c>
      <c r="U35" s="9">
        <f>IF(U20&gt;$F$12,1,0)</f>
        <v/>
      </c>
      <c r="V35" s="9">
        <f>IF(V20&gt;$F$12,1,0)</f>
        <v/>
      </c>
      <c r="W35" s="9">
        <f>IF(W20&gt;$F$12,1,0)</f>
        <v/>
      </c>
      <c r="X35" s="9">
        <f>IF(X20&gt;$F$12,1,0)</f>
        <v/>
      </c>
      <c r="Y35" s="9">
        <f>IF(Y20&gt;$F$12,1,0)</f>
        <v/>
      </c>
      <c r="Z35" s="9">
        <f>IF(Z20&gt;$F$12,1,0)</f>
        <v/>
      </c>
      <c r="AA35" s="9">
        <f>IF(AA20&gt;$F$12,1,0)</f>
        <v/>
      </c>
      <c r="AB35" s="9">
        <f>IF(AB20&gt;$F$12,1,0)</f>
        <v/>
      </c>
      <c r="AC35" s="9">
        <f>IF(AC20&gt;$F$12,1,0)</f>
        <v/>
      </c>
      <c r="AD35" s="9">
        <f>IF(AD20&gt;$F$12,1,0)</f>
        <v/>
      </c>
      <c r="AE35" s="9">
        <f>IF(AE20&gt;$F$12,1,0)</f>
        <v/>
      </c>
      <c r="AF35" s="9">
        <f>IF(AF20&gt;$F$12,1,0)</f>
        <v/>
      </c>
      <c r="AG35" s="9">
        <f>IF(AG20&gt;$F$12,1,0)</f>
        <v/>
      </c>
      <c r="AH35" s="9">
        <f>IF(AH20&gt;$F$12,1,0)</f>
        <v/>
      </c>
      <c r="AI35" s="9">
        <f>IF(AI20&gt;$F$12,1,0)</f>
        <v/>
      </c>
      <c r="AJ35" s="9">
        <f>IF(AJ20&gt;$F$12,1,0)</f>
        <v/>
      </c>
      <c r="AK35" s="9">
        <f>IF(AK20&gt;$F$12,1,0)</f>
        <v/>
      </c>
      <c r="AL35" s="9">
        <f>IF(AL20&gt;$F$12,1,0)</f>
        <v/>
      </c>
      <c r="AM35" s="9">
        <f>IF(AM20&gt;$F$12,1,0)</f>
        <v/>
      </c>
      <c r="AN35" s="9">
        <f>IF(AN20&gt;$F$12,1,0)</f>
        <v/>
      </c>
      <c r="AO35" s="9">
        <f>IF(AO20&gt;$F$12,1,0)</f>
        <v/>
      </c>
      <c r="AP35" s="9">
        <f>IF(AP20&gt;$F$12,1,0)</f>
        <v/>
      </c>
      <c r="AQ35" s="9">
        <f>IF(AQ20&gt;$F$12,1,0)</f>
        <v/>
      </c>
      <c r="AR35" s="9">
        <f>IF(AR20&gt;$F$12,1,0)</f>
        <v/>
      </c>
      <c r="AS35" s="9">
        <f>IF(AS20&gt;$F$12,1,0)</f>
        <v/>
      </c>
      <c r="AT35" s="9">
        <f>IF(AT20&gt;$F$12,1,0)</f>
        <v/>
      </c>
      <c r="AU35" s="9">
        <f>IF(AU20&gt;$F$12,1,0)</f>
        <v/>
      </c>
      <c r="AV35" s="9">
        <f>IF(AV20&gt;$F$12,1,0)</f>
        <v/>
      </c>
      <c r="AW35" s="9">
        <f>IF(AW20&gt;$F$12,1,0)</f>
        <v/>
      </c>
      <c r="AX35" s="9">
        <f>IF(AX20&gt;$F$12,1,0)</f>
        <v/>
      </c>
      <c r="AY35" s="9">
        <f>IF(AY20&gt;$F$12,1,0)</f>
        <v/>
      </c>
      <c r="AZ35" s="9">
        <f>IF(AZ20&gt;$F$12,1,0)</f>
        <v/>
      </c>
      <c r="BA35" s="9">
        <f>IF(BA20&gt;$F$12,1,0)</f>
        <v/>
      </c>
      <c r="BB35" s="9">
        <f>IF(BB20&gt;$F$12,1,0)</f>
        <v/>
      </c>
      <c r="BC35" s="9">
        <f>IF(BC20&gt;$F$12,1,0)</f>
        <v/>
      </c>
      <c r="BD35" s="9">
        <f>IF(BD20&gt;$F$12,1,0)</f>
        <v/>
      </c>
      <c r="BE35" s="9">
        <f>IF(BE20&gt;$F$12,1,0)</f>
        <v/>
      </c>
      <c r="BF35" s="9">
        <f>IF(BF20&gt;$F$12,1,0)</f>
        <v/>
      </c>
      <c r="BG35" s="9">
        <f>IF(BG20&gt;$F$12,1,0)</f>
        <v/>
      </c>
      <c r="BH35" s="9">
        <f>IF(BH20&gt;$F$12,1,0)</f>
        <v/>
      </c>
      <c r="BI35" s="9">
        <f>IF(BI20&gt;$F$12,1,0)</f>
        <v/>
      </c>
      <c r="BJ35" s="9">
        <f>IF(BJ20&gt;$F$12,1,0)</f>
        <v/>
      </c>
      <c r="BK35" s="9">
        <f>IF(BK20&gt;$F$12,1,0)</f>
        <v/>
      </c>
      <c r="BL35" s="9">
        <f>IF(BL20&gt;$F$12,1,0)</f>
        <v/>
      </c>
      <c r="BM35" s="9">
        <f>IF(BM20&gt;$F$12,1,0)</f>
        <v/>
      </c>
      <c r="BN35" s="9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9">
        <f>IF(J30&gt;0,1,0)</f>
        <v/>
      </c>
      <c r="K36" s="9">
        <f>IF(K30&gt;0,1,0)</f>
        <v/>
      </c>
      <c r="L36" s="9">
        <f>IF(L30&gt;0,1,0)</f>
        <v/>
      </c>
      <c r="M36" s="9">
        <f>IF(M30&gt;0,1,0)</f>
        <v/>
      </c>
      <c r="N36" s="9">
        <f>IF(N30&gt;0,1,0)</f>
        <v/>
      </c>
      <c r="O36" s="9">
        <f>IF(O30&gt;0,1,0)</f>
        <v/>
      </c>
      <c r="P36" s="9">
        <f>IF(P30&gt;0,1,0)</f>
        <v/>
      </c>
      <c r="Q36" s="9">
        <f>IF(Q30&gt;0,1,0)</f>
        <v/>
      </c>
      <c r="R36" s="9">
        <f>IF(R30&gt;0,1,0)</f>
        <v/>
      </c>
      <c r="S36" s="9">
        <f>IF(S30&gt;0,1,0)</f>
        <v/>
      </c>
      <c r="T36" s="9">
        <f>IF(T30&gt;0,1,0)</f>
        <v/>
      </c>
      <c r="U36" s="9">
        <f>IF(U30&gt;0,1,0)</f>
        <v/>
      </c>
      <c r="V36" s="9">
        <f>IF(V30&gt;0,1,0)</f>
        <v/>
      </c>
      <c r="W36" s="9">
        <f>IF(W30&gt;0,1,0)</f>
        <v/>
      </c>
      <c r="X36" s="9">
        <f>IF(X30&gt;0,1,0)</f>
        <v/>
      </c>
      <c r="Y36" s="9">
        <f>IF(Y30&gt;0,1,0)</f>
        <v/>
      </c>
      <c r="Z36" s="9">
        <f>IF(Z30&gt;0,1,0)</f>
        <v/>
      </c>
      <c r="AA36" s="9">
        <f>IF(AA30&gt;0,1,0)</f>
        <v/>
      </c>
      <c r="AB36" s="9">
        <f>IF(AB30&gt;0,1,0)</f>
        <v/>
      </c>
      <c r="AC36" s="9">
        <f>IF(AC30&gt;0,1,0)</f>
        <v/>
      </c>
      <c r="AD36" s="9">
        <f>IF(AD30&gt;0,1,0)</f>
        <v/>
      </c>
      <c r="AE36" s="9">
        <f>IF(AE30&gt;0,1,0)</f>
        <v/>
      </c>
      <c r="AF36" s="9">
        <f>IF(AF30&gt;0,1,0)</f>
        <v/>
      </c>
      <c r="AG36" s="9">
        <f>IF(AG30&gt;0,1,0)</f>
        <v/>
      </c>
      <c r="AH36" s="9">
        <f>IF(AH30&gt;0,1,0)</f>
        <v/>
      </c>
      <c r="AI36" s="9">
        <f>IF(AI30&gt;0,1,0)</f>
        <v/>
      </c>
      <c r="AJ36" s="9">
        <f>IF(AJ30&gt;0,1,0)</f>
        <v/>
      </c>
      <c r="AK36" s="9">
        <f>IF(AK30&gt;0,1,0)</f>
        <v/>
      </c>
      <c r="AL36" s="9">
        <f>IF(AL30&gt;0,1,0)</f>
        <v/>
      </c>
      <c r="AM36" s="9">
        <f>IF(AM30&gt;0,1,0)</f>
        <v/>
      </c>
      <c r="AN36" s="9">
        <f>IF(AN30&gt;0,1,0)</f>
        <v/>
      </c>
      <c r="AO36" s="9">
        <f>IF(AO30&gt;0,1,0)</f>
        <v/>
      </c>
      <c r="AP36" s="9">
        <f>IF(AP30&gt;0,1,0)</f>
        <v/>
      </c>
      <c r="AQ36" s="9">
        <f>IF(AQ30&gt;0,1,0)</f>
        <v/>
      </c>
      <c r="AR36" s="9">
        <f>IF(AR30&gt;0,1,0)</f>
        <v/>
      </c>
      <c r="AS36" s="9">
        <f>IF(AS30&gt;0,1,0)</f>
        <v/>
      </c>
      <c r="AT36" s="9">
        <f>IF(AT30&gt;0,1,0)</f>
        <v/>
      </c>
      <c r="AU36" s="9">
        <f>IF(AU30&gt;0,1,0)</f>
        <v/>
      </c>
      <c r="AV36" s="9">
        <f>IF(AV30&gt;0,1,0)</f>
        <v/>
      </c>
      <c r="AW36" s="9">
        <f>IF(AW30&gt;0,1,0)</f>
        <v/>
      </c>
      <c r="AX36" s="9">
        <f>IF(AX30&gt;0,1,0)</f>
        <v/>
      </c>
      <c r="AY36" s="9">
        <f>IF(AY30&gt;0,1,0)</f>
        <v/>
      </c>
      <c r="AZ36" s="9">
        <f>IF(AZ30&gt;0,1,0)</f>
        <v/>
      </c>
      <c r="BA36" s="9">
        <f>IF(BA30&gt;0,1,0)</f>
        <v/>
      </c>
      <c r="BB36" s="9">
        <f>IF(BB30&gt;0,1,0)</f>
        <v/>
      </c>
      <c r="BC36" s="9">
        <f>IF(BC30&gt;0,1,0)</f>
        <v/>
      </c>
      <c r="BD36" s="9">
        <f>IF(BD30&gt;0,1,0)</f>
        <v/>
      </c>
      <c r="BE36" s="9">
        <f>IF(BE30&gt;0,1,0)</f>
        <v/>
      </c>
      <c r="BF36" s="9">
        <f>IF(BF30&gt;0,1,0)</f>
        <v/>
      </c>
      <c r="BG36" s="9">
        <f>IF(BG30&gt;0,1,0)</f>
        <v/>
      </c>
      <c r="BH36" s="9">
        <f>IF(BH30&gt;0,1,0)</f>
        <v/>
      </c>
      <c r="BI36" s="9">
        <f>IF(BI30&gt;0,1,0)</f>
        <v/>
      </c>
      <c r="BJ36" s="9">
        <f>IF(BJ30&gt;0,1,0)</f>
        <v/>
      </c>
      <c r="BK36" s="9">
        <f>IF(BK30&gt;0,1,0)</f>
        <v/>
      </c>
      <c r="BL36" s="9">
        <f>IF(BL30&gt;0,1,0)</f>
        <v/>
      </c>
      <c r="BM36" s="9">
        <f>IF(BM30&gt;0,1,0)</f>
        <v/>
      </c>
      <c r="BN36" s="9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9">
        <f>IF(AND(J30&gt;0,K30=0),1,0)</f>
        <v/>
      </c>
      <c r="K37" s="9">
        <f>IF(AND(K30&gt;0,L30=0),1,0)</f>
        <v/>
      </c>
      <c r="L37" s="9">
        <f>IF(AND(L30&gt;0,M30=0),1,0)</f>
        <v/>
      </c>
      <c r="M37" s="9">
        <f>IF(AND(M30&gt;0,N30=0),1,0)</f>
        <v/>
      </c>
      <c r="N37" s="9">
        <f>IF(AND(N30&gt;0,O30=0),1,0)</f>
        <v/>
      </c>
      <c r="O37" s="9">
        <f>IF(AND(O30&gt;0,P30=0),1,0)</f>
        <v/>
      </c>
      <c r="P37" s="9">
        <f>IF(AND(P30&gt;0,Q30=0),1,0)</f>
        <v/>
      </c>
      <c r="Q37" s="9">
        <f>IF(AND(Q30&gt;0,R30=0),1,0)</f>
        <v/>
      </c>
      <c r="R37" s="9">
        <f>IF(AND(R30&gt;0,S30=0),1,0)</f>
        <v/>
      </c>
      <c r="S37" s="9">
        <f>IF(AND(S30&gt;0,T30=0),1,0)</f>
        <v/>
      </c>
      <c r="T37" s="9">
        <f>IF(AND(T30&gt;0,U30=0),1,0)</f>
        <v/>
      </c>
      <c r="U37" s="9">
        <f>IF(AND(U30&gt;0,V30=0),1,0)</f>
        <v/>
      </c>
      <c r="V37" s="9">
        <f>IF(AND(V30&gt;0,W30=0),1,0)</f>
        <v/>
      </c>
      <c r="W37" s="9">
        <f>IF(AND(W30&gt;0,X30=0),1,0)</f>
        <v/>
      </c>
      <c r="X37" s="9">
        <f>IF(AND(X30&gt;0,Y30=0),1,0)</f>
        <v/>
      </c>
      <c r="Y37" s="9">
        <f>IF(AND(Y30&gt;0,Z30=0),1,0)</f>
        <v/>
      </c>
      <c r="Z37" s="9">
        <f>IF(AND(Z30&gt;0,AA30=0),1,0)</f>
        <v/>
      </c>
      <c r="AA37" s="9">
        <f>IF(AND(AA30&gt;0,AB30=0),1,0)</f>
        <v/>
      </c>
      <c r="AB37" s="9">
        <f>IF(AND(AB30&gt;0,AC30=0),1,0)</f>
        <v/>
      </c>
      <c r="AC37" s="9">
        <f>IF(AND(AC30&gt;0,AD30=0),1,0)</f>
        <v/>
      </c>
      <c r="AD37" s="9">
        <f>IF(AND(AD30&gt;0,AE30=0),1,0)</f>
        <v/>
      </c>
      <c r="AE37" s="9">
        <f>IF(AND(AE30&gt;0,AF30=0),1,0)</f>
        <v/>
      </c>
      <c r="AF37" s="9">
        <f>IF(AND(AF30&gt;0,AG30=0),1,0)</f>
        <v/>
      </c>
      <c r="AG37" s="9">
        <f>IF(AND(AG30&gt;0,AH30=0),1,0)</f>
        <v/>
      </c>
      <c r="AH37" s="9">
        <f>IF(AND(AH30&gt;0,AI30=0),1,0)</f>
        <v/>
      </c>
      <c r="AI37" s="9">
        <f>IF(AND(AI30&gt;0,AJ30=0),1,0)</f>
        <v/>
      </c>
      <c r="AJ37" s="9">
        <f>IF(AND(AJ30&gt;0,AK30=0),1,0)</f>
        <v/>
      </c>
      <c r="AK37" s="9">
        <f>IF(AND(AK30&gt;0,AL30=0),1,0)</f>
        <v/>
      </c>
      <c r="AL37" s="9">
        <f>IF(AND(AL30&gt;0,AM30=0),1,0)</f>
        <v/>
      </c>
      <c r="AM37" s="9">
        <f>IF(AND(AM30&gt;0,AN30=0),1,0)</f>
        <v/>
      </c>
      <c r="AN37" s="9">
        <f>IF(AND(AN30&gt;0,AO30=0),1,0)</f>
        <v/>
      </c>
      <c r="AO37" s="9">
        <f>IF(AND(AO30&gt;0,AP30=0),1,0)</f>
        <v/>
      </c>
      <c r="AP37" s="9">
        <f>IF(AND(AP30&gt;0,AQ30=0),1,0)</f>
        <v/>
      </c>
      <c r="AQ37" s="9">
        <f>IF(AND(AQ30&gt;0,AR30=0),1,0)</f>
        <v/>
      </c>
      <c r="AR37" s="9">
        <f>IF(AND(AR30&gt;0,AS30=0),1,0)</f>
        <v/>
      </c>
      <c r="AS37" s="9">
        <f>IF(AND(AS30&gt;0,AT30=0),1,0)</f>
        <v/>
      </c>
      <c r="AT37" s="9">
        <f>IF(AND(AT30&gt;0,AU30=0),1,0)</f>
        <v/>
      </c>
      <c r="AU37" s="9">
        <f>IF(AND(AU30&gt;0,AV30=0),1,0)</f>
        <v/>
      </c>
      <c r="AV37" s="9">
        <f>IF(AND(AV30&gt;0,AW30=0),1,0)</f>
        <v/>
      </c>
      <c r="AW37" s="9">
        <f>IF(AND(AW30&gt;0,AX30=0),1,0)</f>
        <v/>
      </c>
      <c r="AX37" s="9">
        <f>IF(AND(AX30&gt;0,AY30=0),1,0)</f>
        <v/>
      </c>
      <c r="AY37" s="9">
        <f>IF(AND(AY30&gt;0,AZ30=0),1,0)</f>
        <v/>
      </c>
      <c r="AZ37" s="9">
        <f>IF(AND(AZ30&gt;0,BA30=0),1,0)</f>
        <v/>
      </c>
      <c r="BA37" s="9">
        <f>IF(AND(BA30&gt;0,BB30=0),1,0)</f>
        <v/>
      </c>
      <c r="BB37" s="9">
        <f>IF(AND(BB30&gt;0,BC30=0),1,0)</f>
        <v/>
      </c>
      <c r="BC37" s="9">
        <f>IF(AND(BC30&gt;0,BD30=0),1,0)</f>
        <v/>
      </c>
      <c r="BD37" s="9">
        <f>IF(AND(BD30&gt;0,BE30=0),1,0)</f>
        <v/>
      </c>
      <c r="BE37" s="9">
        <f>IF(AND(BE30&gt;0,BF30=0),1,0)</f>
        <v/>
      </c>
      <c r="BF37" s="9">
        <f>IF(AND(BF30&gt;0,BG30=0),1,0)</f>
        <v/>
      </c>
      <c r="BG37" s="9">
        <f>IF(AND(BG30&gt;0,BH30=0),1,0)</f>
        <v/>
      </c>
      <c r="BH37" s="9">
        <f>IF(AND(BH30&gt;0,BI30=0),1,0)</f>
        <v/>
      </c>
      <c r="BI37" s="9">
        <f>IF(AND(BI30&gt;0,BJ30=0),1,0)</f>
        <v/>
      </c>
      <c r="BJ37" s="9">
        <f>IF(AND(BJ30&gt;0,BK30=0),1,0)</f>
        <v/>
      </c>
      <c r="BK37" s="9">
        <f>IF(AND(BK30&gt;0,BL30=0),1,0)</f>
        <v/>
      </c>
      <c r="BL37" s="9">
        <f>IF(AND(BL30&gt;0,BM30=0),1,0)</f>
        <v/>
      </c>
      <c r="BM37" s="9">
        <f>IF(AND(BM30&gt;0,BN30=0),1,0)</f>
        <v/>
      </c>
      <c r="BN37" s="9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9">
        <f>IF(AND(J22&gt;=Inputs!$F$193,J22&lt;EDATE(Inputs!$F$193,Inputs!$F$211)),1,0)</f>
        <v/>
      </c>
      <c r="K38" s="9">
        <f>IF(AND(K22&gt;=Inputs!$F$193,K22&lt;EDATE(Inputs!$F$193,Inputs!$F$211)),1,0)</f>
        <v/>
      </c>
      <c r="L38" s="9">
        <f>IF(AND(L22&gt;=Inputs!$F$193,L22&lt;EDATE(Inputs!$F$193,Inputs!$F$211)),1,0)</f>
        <v/>
      </c>
      <c r="M38" s="9">
        <f>IF(AND(M22&gt;=Inputs!$F$193,M22&lt;EDATE(Inputs!$F$193,Inputs!$F$211)),1,0)</f>
        <v/>
      </c>
      <c r="N38" s="9">
        <f>IF(AND(N22&gt;=Inputs!$F$193,N22&lt;EDATE(Inputs!$F$193,Inputs!$F$211)),1,0)</f>
        <v/>
      </c>
      <c r="O38" s="9">
        <f>IF(AND(O22&gt;=Inputs!$F$193,O22&lt;EDATE(Inputs!$F$193,Inputs!$F$211)),1,0)</f>
        <v/>
      </c>
      <c r="P38" s="9">
        <f>IF(AND(P22&gt;=Inputs!$F$193,P22&lt;EDATE(Inputs!$F$193,Inputs!$F$211)),1,0)</f>
        <v/>
      </c>
      <c r="Q38" s="9">
        <f>IF(AND(Q22&gt;=Inputs!$F$193,Q22&lt;EDATE(Inputs!$F$193,Inputs!$F$211)),1,0)</f>
        <v/>
      </c>
      <c r="R38" s="9">
        <f>IF(AND(R22&gt;=Inputs!$F$193,R22&lt;EDATE(Inputs!$F$193,Inputs!$F$211)),1,0)</f>
        <v/>
      </c>
      <c r="S38" s="9">
        <f>IF(AND(S22&gt;=Inputs!$F$193,S22&lt;EDATE(Inputs!$F$193,Inputs!$F$211)),1,0)</f>
        <v/>
      </c>
      <c r="T38" s="9">
        <f>IF(AND(T22&gt;=Inputs!$F$193,T22&lt;EDATE(Inputs!$F$193,Inputs!$F$211)),1,0)</f>
        <v/>
      </c>
      <c r="U38" s="9">
        <f>IF(AND(U22&gt;=Inputs!$F$193,U22&lt;EDATE(Inputs!$F$193,Inputs!$F$211)),1,0)</f>
        <v/>
      </c>
      <c r="V38" s="9">
        <f>IF(AND(V22&gt;=Inputs!$F$193,V22&lt;EDATE(Inputs!$F$193,Inputs!$F$211)),1,0)</f>
        <v/>
      </c>
      <c r="W38" s="9">
        <f>IF(AND(W22&gt;=Inputs!$F$193,W22&lt;EDATE(Inputs!$F$193,Inputs!$F$211)),1,0)</f>
        <v/>
      </c>
      <c r="X38" s="9">
        <f>IF(AND(X22&gt;=Inputs!$F$193,X22&lt;EDATE(Inputs!$F$193,Inputs!$F$211)),1,0)</f>
        <v/>
      </c>
      <c r="Y38" s="9">
        <f>IF(AND(Y22&gt;=Inputs!$F$193,Y22&lt;EDATE(Inputs!$F$193,Inputs!$F$211)),1,0)</f>
        <v/>
      </c>
      <c r="Z38" s="9">
        <f>IF(AND(Z22&gt;=Inputs!$F$193,Z22&lt;EDATE(Inputs!$F$193,Inputs!$F$211)),1,0)</f>
        <v/>
      </c>
      <c r="AA38" s="9">
        <f>IF(AND(AA22&gt;=Inputs!$F$193,AA22&lt;EDATE(Inputs!$F$193,Inputs!$F$211)),1,0)</f>
        <v/>
      </c>
      <c r="AB38" s="9">
        <f>IF(AND(AB22&gt;=Inputs!$F$193,AB22&lt;EDATE(Inputs!$F$193,Inputs!$F$211)),1,0)</f>
        <v/>
      </c>
      <c r="AC38" s="9">
        <f>IF(AND(AC22&gt;=Inputs!$F$193,AC22&lt;EDATE(Inputs!$F$193,Inputs!$F$211)),1,0)</f>
        <v/>
      </c>
      <c r="AD38" s="9">
        <f>IF(AND(AD22&gt;=Inputs!$F$193,AD22&lt;EDATE(Inputs!$F$193,Inputs!$F$211)),1,0)</f>
        <v/>
      </c>
      <c r="AE38" s="9">
        <f>IF(AND(AE22&gt;=Inputs!$F$193,AE22&lt;EDATE(Inputs!$F$193,Inputs!$F$211)),1,0)</f>
        <v/>
      </c>
      <c r="AF38" s="9">
        <f>IF(AND(AF22&gt;=Inputs!$F$193,AF22&lt;EDATE(Inputs!$F$193,Inputs!$F$211)),1,0)</f>
        <v/>
      </c>
      <c r="AG38" s="9">
        <f>IF(AND(AG22&gt;=Inputs!$F$193,AG22&lt;EDATE(Inputs!$F$193,Inputs!$F$211)),1,0)</f>
        <v/>
      </c>
      <c r="AH38" s="9">
        <f>IF(AND(AH22&gt;=Inputs!$F$193,AH22&lt;EDATE(Inputs!$F$193,Inputs!$F$211)),1,0)</f>
        <v/>
      </c>
      <c r="AI38" s="9">
        <f>IF(AND(AI22&gt;=Inputs!$F$193,AI22&lt;EDATE(Inputs!$F$193,Inputs!$F$211)),1,0)</f>
        <v/>
      </c>
      <c r="AJ38" s="9">
        <f>IF(AND(AJ22&gt;=Inputs!$F$193,AJ22&lt;EDATE(Inputs!$F$193,Inputs!$F$211)),1,0)</f>
        <v/>
      </c>
      <c r="AK38" s="9">
        <f>IF(AND(AK22&gt;=Inputs!$F$193,AK22&lt;EDATE(Inputs!$F$193,Inputs!$F$211)),1,0)</f>
        <v/>
      </c>
      <c r="AL38" s="9">
        <f>IF(AND(AL22&gt;=Inputs!$F$193,AL22&lt;EDATE(Inputs!$F$193,Inputs!$F$211)),1,0)</f>
        <v/>
      </c>
      <c r="AM38" s="9">
        <f>IF(AND(AM22&gt;=Inputs!$F$193,AM22&lt;EDATE(Inputs!$F$193,Inputs!$F$211)),1,0)</f>
        <v/>
      </c>
      <c r="AN38" s="9">
        <f>IF(AND(AN22&gt;=Inputs!$F$193,AN22&lt;EDATE(Inputs!$F$193,Inputs!$F$211)),1,0)</f>
        <v/>
      </c>
      <c r="AO38" s="9">
        <f>IF(AND(AO22&gt;=Inputs!$F$193,AO22&lt;EDATE(Inputs!$F$193,Inputs!$F$211)),1,0)</f>
        <v/>
      </c>
      <c r="AP38" s="9">
        <f>IF(AND(AP22&gt;=Inputs!$F$193,AP22&lt;EDATE(Inputs!$F$193,Inputs!$F$211)),1,0)</f>
        <v/>
      </c>
      <c r="AQ38" s="9">
        <f>IF(AND(AQ22&gt;=Inputs!$F$193,AQ22&lt;EDATE(Inputs!$F$193,Inputs!$F$211)),1,0)</f>
        <v/>
      </c>
      <c r="AR38" s="9">
        <f>IF(AND(AR22&gt;=Inputs!$F$193,AR22&lt;EDATE(Inputs!$F$193,Inputs!$F$211)),1,0)</f>
        <v/>
      </c>
      <c r="AS38" s="9">
        <f>IF(AND(AS22&gt;=Inputs!$F$193,AS22&lt;EDATE(Inputs!$F$193,Inputs!$F$211)),1,0)</f>
        <v/>
      </c>
      <c r="AT38" s="9">
        <f>IF(AND(AT22&gt;=Inputs!$F$193,AT22&lt;EDATE(Inputs!$F$193,Inputs!$F$211)),1,0)</f>
        <v/>
      </c>
      <c r="AU38" s="9">
        <f>IF(AND(AU22&gt;=Inputs!$F$193,AU22&lt;EDATE(Inputs!$F$193,Inputs!$F$211)),1,0)</f>
        <v/>
      </c>
      <c r="AV38" s="9">
        <f>IF(AND(AV22&gt;=Inputs!$F$193,AV22&lt;EDATE(Inputs!$F$193,Inputs!$F$211)),1,0)</f>
        <v/>
      </c>
      <c r="AW38" s="9">
        <f>IF(AND(AW22&gt;=Inputs!$F$193,AW22&lt;EDATE(Inputs!$F$193,Inputs!$F$211)),1,0)</f>
        <v/>
      </c>
      <c r="AX38" s="9">
        <f>IF(AND(AX22&gt;=Inputs!$F$193,AX22&lt;EDATE(Inputs!$F$193,Inputs!$F$211)),1,0)</f>
        <v/>
      </c>
      <c r="AY38" s="9">
        <f>IF(AND(AY22&gt;=Inputs!$F$193,AY22&lt;EDATE(Inputs!$F$193,Inputs!$F$211)),1,0)</f>
        <v/>
      </c>
      <c r="AZ38" s="9">
        <f>IF(AND(AZ22&gt;=Inputs!$F$193,AZ22&lt;EDATE(Inputs!$F$193,Inputs!$F$211)),1,0)</f>
        <v/>
      </c>
      <c r="BA38" s="9">
        <f>IF(AND(BA22&gt;=Inputs!$F$193,BA22&lt;EDATE(Inputs!$F$193,Inputs!$F$211)),1,0)</f>
        <v/>
      </c>
      <c r="BB38" s="9">
        <f>IF(AND(BB22&gt;=Inputs!$F$193,BB22&lt;EDATE(Inputs!$F$193,Inputs!$F$211)),1,0)</f>
        <v/>
      </c>
      <c r="BC38" s="9">
        <f>IF(AND(BC22&gt;=Inputs!$F$193,BC22&lt;EDATE(Inputs!$F$193,Inputs!$F$211)),1,0)</f>
        <v/>
      </c>
      <c r="BD38" s="9">
        <f>IF(AND(BD22&gt;=Inputs!$F$193,BD22&lt;EDATE(Inputs!$F$193,Inputs!$F$211)),1,0)</f>
        <v/>
      </c>
      <c r="BE38" s="9">
        <f>IF(AND(BE22&gt;=Inputs!$F$193,BE22&lt;EDATE(Inputs!$F$193,Inputs!$F$211)),1,0)</f>
        <v/>
      </c>
      <c r="BF38" s="9">
        <f>IF(AND(BF22&gt;=Inputs!$F$193,BF22&lt;EDATE(Inputs!$F$193,Inputs!$F$211)),1,0)</f>
        <v/>
      </c>
      <c r="BG38" s="9">
        <f>IF(AND(BG22&gt;=Inputs!$F$193,BG22&lt;EDATE(Inputs!$F$193,Inputs!$F$211)),1,0)</f>
        <v/>
      </c>
      <c r="BH38" s="9">
        <f>IF(AND(BH22&gt;=Inputs!$F$193,BH22&lt;EDATE(Inputs!$F$193,Inputs!$F$211)),1,0)</f>
        <v/>
      </c>
      <c r="BI38" s="9">
        <f>IF(AND(BI22&gt;=Inputs!$F$193,BI22&lt;EDATE(Inputs!$F$193,Inputs!$F$211)),1,0)</f>
        <v/>
      </c>
      <c r="BJ38" s="9">
        <f>IF(AND(BJ22&gt;=Inputs!$F$193,BJ22&lt;EDATE(Inputs!$F$193,Inputs!$F$211)),1,0)</f>
        <v/>
      </c>
      <c r="BK38" s="9">
        <f>IF(AND(BK22&gt;=Inputs!$F$193,BK22&lt;EDATE(Inputs!$F$193,Inputs!$F$211)),1,0)</f>
        <v/>
      </c>
      <c r="BL38" s="9">
        <f>IF(AND(BL22&gt;=Inputs!$F$193,BL22&lt;EDATE(Inputs!$F$193,Inputs!$F$211)),1,0)</f>
        <v/>
      </c>
      <c r="BM38" s="9">
        <f>IF(AND(BM22&gt;=Inputs!$F$193,BM22&lt;EDATE(Inputs!$F$193,Inputs!$F$211)),1,0)</f>
        <v/>
      </c>
      <c r="BN38" s="9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9">
        <f>IF(J22&gt;=Inputs!$F$193,1,0)</f>
        <v/>
      </c>
      <c r="K39" s="9">
        <f>IF(K22&gt;=Inputs!$F$193,1,0)</f>
        <v/>
      </c>
      <c r="L39" s="9">
        <f>IF(L22&gt;=Inputs!$F$193,1,0)</f>
        <v/>
      </c>
      <c r="M39" s="9">
        <f>IF(M22&gt;=Inputs!$F$193,1,0)</f>
        <v/>
      </c>
      <c r="N39" s="9">
        <f>IF(N22&gt;=Inputs!$F$193,1,0)</f>
        <v/>
      </c>
      <c r="O39" s="9">
        <f>IF(O22&gt;=Inputs!$F$193,1,0)</f>
        <v/>
      </c>
      <c r="P39" s="9">
        <f>IF(P22&gt;=Inputs!$F$193,1,0)</f>
        <v/>
      </c>
      <c r="Q39" s="9">
        <f>IF(Q22&gt;=Inputs!$F$193,1,0)</f>
        <v/>
      </c>
      <c r="R39" s="9">
        <f>IF(R22&gt;=Inputs!$F$193,1,0)</f>
        <v/>
      </c>
      <c r="S39" s="9">
        <f>IF(S22&gt;=Inputs!$F$193,1,0)</f>
        <v/>
      </c>
      <c r="T39" s="9">
        <f>IF(T22&gt;=Inputs!$F$193,1,0)</f>
        <v/>
      </c>
      <c r="U39" s="9">
        <f>IF(U22&gt;=Inputs!$F$193,1,0)</f>
        <v/>
      </c>
      <c r="V39" s="9">
        <f>IF(V22&gt;=Inputs!$F$193,1,0)</f>
        <v/>
      </c>
      <c r="W39" s="9">
        <f>IF(W22&gt;=Inputs!$F$193,1,0)</f>
        <v/>
      </c>
      <c r="X39" s="9">
        <f>IF(X22&gt;=Inputs!$F$193,1,0)</f>
        <v/>
      </c>
      <c r="Y39" s="9">
        <f>IF(Y22&gt;=Inputs!$F$193,1,0)</f>
        <v/>
      </c>
      <c r="Z39" s="9">
        <f>IF(Z22&gt;=Inputs!$F$193,1,0)</f>
        <v/>
      </c>
      <c r="AA39" s="9">
        <f>IF(AA22&gt;=Inputs!$F$193,1,0)</f>
        <v/>
      </c>
      <c r="AB39" s="9">
        <f>IF(AB22&gt;=Inputs!$F$193,1,0)</f>
        <v/>
      </c>
      <c r="AC39" s="9">
        <f>IF(AC22&gt;=Inputs!$F$193,1,0)</f>
        <v/>
      </c>
      <c r="AD39" s="9">
        <f>IF(AD22&gt;=Inputs!$F$193,1,0)</f>
        <v/>
      </c>
      <c r="AE39" s="9">
        <f>IF(AE22&gt;=Inputs!$F$193,1,0)</f>
        <v/>
      </c>
      <c r="AF39" s="9">
        <f>IF(AF22&gt;=Inputs!$F$193,1,0)</f>
        <v/>
      </c>
      <c r="AG39" s="9">
        <f>IF(AG22&gt;=Inputs!$F$193,1,0)</f>
        <v/>
      </c>
      <c r="AH39" s="9">
        <f>IF(AH22&gt;=Inputs!$F$193,1,0)</f>
        <v/>
      </c>
      <c r="AI39" s="9">
        <f>IF(AI22&gt;=Inputs!$F$193,1,0)</f>
        <v/>
      </c>
      <c r="AJ39" s="9">
        <f>IF(AJ22&gt;=Inputs!$F$193,1,0)</f>
        <v/>
      </c>
      <c r="AK39" s="9">
        <f>IF(AK22&gt;=Inputs!$F$193,1,0)</f>
        <v/>
      </c>
      <c r="AL39" s="9">
        <f>IF(AL22&gt;=Inputs!$F$193,1,0)</f>
        <v/>
      </c>
      <c r="AM39" s="9">
        <f>IF(AM22&gt;=Inputs!$F$193,1,0)</f>
        <v/>
      </c>
      <c r="AN39" s="9">
        <f>IF(AN22&gt;=Inputs!$F$193,1,0)</f>
        <v/>
      </c>
      <c r="AO39" s="9">
        <f>IF(AO22&gt;=Inputs!$F$193,1,0)</f>
        <v/>
      </c>
      <c r="AP39" s="9">
        <f>IF(AP22&gt;=Inputs!$F$193,1,0)</f>
        <v/>
      </c>
      <c r="AQ39" s="9">
        <f>IF(AQ22&gt;=Inputs!$F$193,1,0)</f>
        <v/>
      </c>
      <c r="AR39" s="9">
        <f>IF(AR22&gt;=Inputs!$F$193,1,0)</f>
        <v/>
      </c>
      <c r="AS39" s="9">
        <f>IF(AS22&gt;=Inputs!$F$193,1,0)</f>
        <v/>
      </c>
      <c r="AT39" s="9">
        <f>IF(AT22&gt;=Inputs!$F$193,1,0)</f>
        <v/>
      </c>
      <c r="AU39" s="9">
        <f>IF(AU22&gt;=Inputs!$F$193,1,0)</f>
        <v/>
      </c>
      <c r="AV39" s="9">
        <f>IF(AV22&gt;=Inputs!$F$193,1,0)</f>
        <v/>
      </c>
      <c r="AW39" s="9">
        <f>IF(AW22&gt;=Inputs!$F$193,1,0)</f>
        <v/>
      </c>
      <c r="AX39" s="9">
        <f>IF(AX22&gt;=Inputs!$F$193,1,0)</f>
        <v/>
      </c>
      <c r="AY39" s="9">
        <f>IF(AY22&gt;=Inputs!$F$193,1,0)</f>
        <v/>
      </c>
      <c r="AZ39" s="9">
        <f>IF(AZ22&gt;=Inputs!$F$193,1,0)</f>
        <v/>
      </c>
      <c r="BA39" s="9">
        <f>IF(BA22&gt;=Inputs!$F$193,1,0)</f>
        <v/>
      </c>
      <c r="BB39" s="9">
        <f>IF(BB22&gt;=Inputs!$F$193,1,0)</f>
        <v/>
      </c>
      <c r="BC39" s="9">
        <f>IF(BC22&gt;=Inputs!$F$193,1,0)</f>
        <v/>
      </c>
      <c r="BD39" s="9">
        <f>IF(BD22&gt;=Inputs!$F$193,1,0)</f>
        <v/>
      </c>
      <c r="BE39" s="9">
        <f>IF(BE22&gt;=Inputs!$F$193,1,0)</f>
        <v/>
      </c>
      <c r="BF39" s="9">
        <f>IF(BF22&gt;=Inputs!$F$193,1,0)</f>
        <v/>
      </c>
      <c r="BG39" s="9">
        <f>IF(BG22&gt;=Inputs!$F$193,1,0)</f>
        <v/>
      </c>
      <c r="BH39" s="9">
        <f>IF(BH22&gt;=Inputs!$F$193,1,0)</f>
        <v/>
      </c>
      <c r="BI39" s="9">
        <f>IF(BI22&gt;=Inputs!$F$193,1,0)</f>
        <v/>
      </c>
      <c r="BJ39" s="9">
        <f>IF(BJ22&gt;=Inputs!$F$193,1,0)</f>
        <v/>
      </c>
      <c r="BK39" s="9">
        <f>IF(BK22&gt;=Inputs!$F$193,1,0)</f>
        <v/>
      </c>
      <c r="BL39" s="9">
        <f>IF(BL22&gt;=Inputs!$F$193,1,0)</f>
        <v/>
      </c>
      <c r="BM39" s="9">
        <f>IF(BM22&gt;=Inputs!$F$193,1,0)</f>
        <v/>
      </c>
      <c r="BN39" s="9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9">
        <f>IF(J22&gt;=Inputs!$F$196,1,0)</f>
        <v/>
      </c>
      <c r="K40" s="9">
        <f>IF(K22&gt;=Inputs!$F$196,1,0)</f>
        <v/>
      </c>
      <c r="L40" s="9">
        <f>IF(L22&gt;=Inputs!$F$196,1,0)</f>
        <v/>
      </c>
      <c r="M40" s="9">
        <f>IF(M22&gt;=Inputs!$F$196,1,0)</f>
        <v/>
      </c>
      <c r="N40" s="9">
        <f>IF(N22&gt;=Inputs!$F$196,1,0)</f>
        <v/>
      </c>
      <c r="O40" s="9">
        <f>IF(O22&gt;=Inputs!$F$196,1,0)</f>
        <v/>
      </c>
      <c r="P40" s="9">
        <f>IF(P22&gt;=Inputs!$F$196,1,0)</f>
        <v/>
      </c>
      <c r="Q40" s="9">
        <f>IF(Q22&gt;=Inputs!$F$196,1,0)</f>
        <v/>
      </c>
      <c r="R40" s="9">
        <f>IF(R22&gt;=Inputs!$F$196,1,0)</f>
        <v/>
      </c>
      <c r="S40" s="9">
        <f>IF(S22&gt;=Inputs!$F$196,1,0)</f>
        <v/>
      </c>
      <c r="T40" s="9">
        <f>IF(T22&gt;=Inputs!$F$196,1,0)</f>
        <v/>
      </c>
      <c r="U40" s="9">
        <f>IF(U22&gt;=Inputs!$F$196,1,0)</f>
        <v/>
      </c>
      <c r="V40" s="9">
        <f>IF(V22&gt;=Inputs!$F$196,1,0)</f>
        <v/>
      </c>
      <c r="W40" s="9">
        <f>IF(W22&gt;=Inputs!$F$196,1,0)</f>
        <v/>
      </c>
      <c r="X40" s="9">
        <f>IF(X22&gt;=Inputs!$F$196,1,0)</f>
        <v/>
      </c>
      <c r="Y40" s="9">
        <f>IF(Y22&gt;=Inputs!$F$196,1,0)</f>
        <v/>
      </c>
      <c r="Z40" s="9">
        <f>IF(Z22&gt;=Inputs!$F$196,1,0)</f>
        <v/>
      </c>
      <c r="AA40" s="9">
        <f>IF(AA22&gt;=Inputs!$F$196,1,0)</f>
        <v/>
      </c>
      <c r="AB40" s="9">
        <f>IF(AB22&gt;=Inputs!$F$196,1,0)</f>
        <v/>
      </c>
      <c r="AC40" s="9">
        <f>IF(AC22&gt;=Inputs!$F$196,1,0)</f>
        <v/>
      </c>
      <c r="AD40" s="9">
        <f>IF(AD22&gt;=Inputs!$F$196,1,0)</f>
        <v/>
      </c>
      <c r="AE40" s="9">
        <f>IF(AE22&gt;=Inputs!$F$196,1,0)</f>
        <v/>
      </c>
      <c r="AF40" s="9">
        <f>IF(AF22&gt;=Inputs!$F$196,1,0)</f>
        <v/>
      </c>
      <c r="AG40" s="9">
        <f>IF(AG22&gt;=Inputs!$F$196,1,0)</f>
        <v/>
      </c>
      <c r="AH40" s="9">
        <f>IF(AH22&gt;=Inputs!$F$196,1,0)</f>
        <v/>
      </c>
      <c r="AI40" s="9">
        <f>IF(AI22&gt;=Inputs!$F$196,1,0)</f>
        <v/>
      </c>
      <c r="AJ40" s="9">
        <f>IF(AJ22&gt;=Inputs!$F$196,1,0)</f>
        <v/>
      </c>
      <c r="AK40" s="9">
        <f>IF(AK22&gt;=Inputs!$F$196,1,0)</f>
        <v/>
      </c>
      <c r="AL40" s="9">
        <f>IF(AL22&gt;=Inputs!$F$196,1,0)</f>
        <v/>
      </c>
      <c r="AM40" s="9">
        <f>IF(AM22&gt;=Inputs!$F$196,1,0)</f>
        <v/>
      </c>
      <c r="AN40" s="9">
        <f>IF(AN22&gt;=Inputs!$F$196,1,0)</f>
        <v/>
      </c>
      <c r="AO40" s="9">
        <f>IF(AO22&gt;=Inputs!$F$196,1,0)</f>
        <v/>
      </c>
      <c r="AP40" s="9">
        <f>IF(AP22&gt;=Inputs!$F$196,1,0)</f>
        <v/>
      </c>
      <c r="AQ40" s="9">
        <f>IF(AQ22&gt;=Inputs!$F$196,1,0)</f>
        <v/>
      </c>
      <c r="AR40" s="9">
        <f>IF(AR22&gt;=Inputs!$F$196,1,0)</f>
        <v/>
      </c>
      <c r="AS40" s="9">
        <f>IF(AS22&gt;=Inputs!$F$196,1,0)</f>
        <v/>
      </c>
      <c r="AT40" s="9">
        <f>IF(AT22&gt;=Inputs!$F$196,1,0)</f>
        <v/>
      </c>
      <c r="AU40" s="9">
        <f>IF(AU22&gt;=Inputs!$F$196,1,0)</f>
        <v/>
      </c>
      <c r="AV40" s="9">
        <f>IF(AV22&gt;=Inputs!$F$196,1,0)</f>
        <v/>
      </c>
      <c r="AW40" s="9">
        <f>IF(AW22&gt;=Inputs!$F$196,1,0)</f>
        <v/>
      </c>
      <c r="AX40" s="9">
        <f>IF(AX22&gt;=Inputs!$F$196,1,0)</f>
        <v/>
      </c>
      <c r="AY40" s="9">
        <f>IF(AY22&gt;=Inputs!$F$196,1,0)</f>
        <v/>
      </c>
      <c r="AZ40" s="9">
        <f>IF(AZ22&gt;=Inputs!$F$196,1,0)</f>
        <v/>
      </c>
      <c r="BA40" s="9">
        <f>IF(BA22&gt;=Inputs!$F$196,1,0)</f>
        <v/>
      </c>
      <c r="BB40" s="9">
        <f>IF(BB22&gt;=Inputs!$F$196,1,0)</f>
        <v/>
      </c>
      <c r="BC40" s="9">
        <f>IF(BC22&gt;=Inputs!$F$196,1,0)</f>
        <v/>
      </c>
      <c r="BD40" s="9">
        <f>IF(BD22&gt;=Inputs!$F$196,1,0)</f>
        <v/>
      </c>
      <c r="BE40" s="9">
        <f>IF(BE22&gt;=Inputs!$F$196,1,0)</f>
        <v/>
      </c>
      <c r="BF40" s="9">
        <f>IF(BF22&gt;=Inputs!$F$196,1,0)</f>
        <v/>
      </c>
      <c r="BG40" s="9">
        <f>IF(BG22&gt;=Inputs!$F$196,1,0)</f>
        <v/>
      </c>
      <c r="BH40" s="9">
        <f>IF(BH22&gt;=Inputs!$F$196,1,0)</f>
        <v/>
      </c>
      <c r="BI40" s="9">
        <f>IF(BI22&gt;=Inputs!$F$196,1,0)</f>
        <v/>
      </c>
      <c r="BJ40" s="9">
        <f>IF(BJ22&gt;=Inputs!$F$196,1,0)</f>
        <v/>
      </c>
      <c r="BK40" s="9">
        <f>IF(BK22&gt;=Inputs!$F$196,1,0)</f>
        <v/>
      </c>
      <c r="BL40" s="9">
        <f>IF(BL22&gt;=Inputs!$F$196,1,0)</f>
        <v/>
      </c>
      <c r="BM40" s="9">
        <f>IF(BM22&gt;=Inputs!$F$196,1,0)</f>
        <v/>
      </c>
      <c r="BN40" s="9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9">
        <f>IF(J22&gt;=Inputs!$F$195,1,0)</f>
        <v/>
      </c>
      <c r="K41" s="9">
        <f>IF(K22&gt;=Inputs!$F$195,1,0)</f>
        <v/>
      </c>
      <c r="L41" s="9">
        <f>IF(L22&gt;=Inputs!$F$195,1,0)</f>
        <v/>
      </c>
      <c r="M41" s="9">
        <f>IF(M22&gt;=Inputs!$F$195,1,0)</f>
        <v/>
      </c>
      <c r="N41" s="9">
        <f>IF(N22&gt;=Inputs!$F$195,1,0)</f>
        <v/>
      </c>
      <c r="O41" s="9">
        <f>IF(O22&gt;=Inputs!$F$195,1,0)</f>
        <v/>
      </c>
      <c r="P41" s="9">
        <f>IF(P22&gt;=Inputs!$F$195,1,0)</f>
        <v/>
      </c>
      <c r="Q41" s="9">
        <f>IF(Q22&gt;=Inputs!$F$195,1,0)</f>
        <v/>
      </c>
      <c r="R41" s="9">
        <f>IF(R22&gt;=Inputs!$F$195,1,0)</f>
        <v/>
      </c>
      <c r="S41" s="9">
        <f>IF(S22&gt;=Inputs!$F$195,1,0)</f>
        <v/>
      </c>
      <c r="T41" s="9">
        <f>IF(T22&gt;=Inputs!$F$195,1,0)</f>
        <v/>
      </c>
      <c r="U41" s="9">
        <f>IF(U22&gt;=Inputs!$F$195,1,0)</f>
        <v/>
      </c>
      <c r="V41" s="9">
        <f>IF(V22&gt;=Inputs!$F$195,1,0)</f>
        <v/>
      </c>
      <c r="W41" s="9">
        <f>IF(W22&gt;=Inputs!$F$195,1,0)</f>
        <v/>
      </c>
      <c r="X41" s="9">
        <f>IF(X22&gt;=Inputs!$F$195,1,0)</f>
        <v/>
      </c>
      <c r="Y41" s="9">
        <f>IF(Y22&gt;=Inputs!$F$195,1,0)</f>
        <v/>
      </c>
      <c r="Z41" s="9">
        <f>IF(Z22&gt;=Inputs!$F$195,1,0)</f>
        <v/>
      </c>
      <c r="AA41" s="9">
        <f>IF(AA22&gt;=Inputs!$F$195,1,0)</f>
        <v/>
      </c>
      <c r="AB41" s="9">
        <f>IF(AB22&gt;=Inputs!$F$195,1,0)</f>
        <v/>
      </c>
      <c r="AC41" s="9">
        <f>IF(AC22&gt;=Inputs!$F$195,1,0)</f>
        <v/>
      </c>
      <c r="AD41" s="9">
        <f>IF(AD22&gt;=Inputs!$F$195,1,0)</f>
        <v/>
      </c>
      <c r="AE41" s="9">
        <f>IF(AE22&gt;=Inputs!$F$195,1,0)</f>
        <v/>
      </c>
      <c r="AF41" s="9">
        <f>IF(AF22&gt;=Inputs!$F$195,1,0)</f>
        <v/>
      </c>
      <c r="AG41" s="9">
        <f>IF(AG22&gt;=Inputs!$F$195,1,0)</f>
        <v/>
      </c>
      <c r="AH41" s="9">
        <f>IF(AH22&gt;=Inputs!$F$195,1,0)</f>
        <v/>
      </c>
      <c r="AI41" s="9">
        <f>IF(AI22&gt;=Inputs!$F$195,1,0)</f>
        <v/>
      </c>
      <c r="AJ41" s="9">
        <f>IF(AJ22&gt;=Inputs!$F$195,1,0)</f>
        <v/>
      </c>
      <c r="AK41" s="9">
        <f>IF(AK22&gt;=Inputs!$F$195,1,0)</f>
        <v/>
      </c>
      <c r="AL41" s="9">
        <f>IF(AL22&gt;=Inputs!$F$195,1,0)</f>
        <v/>
      </c>
      <c r="AM41" s="9">
        <f>IF(AM22&gt;=Inputs!$F$195,1,0)</f>
        <v/>
      </c>
      <c r="AN41" s="9">
        <f>IF(AN22&gt;=Inputs!$F$195,1,0)</f>
        <v/>
      </c>
      <c r="AO41" s="9">
        <f>IF(AO22&gt;=Inputs!$F$195,1,0)</f>
        <v/>
      </c>
      <c r="AP41" s="9">
        <f>IF(AP22&gt;=Inputs!$F$195,1,0)</f>
        <v/>
      </c>
      <c r="AQ41" s="9">
        <f>IF(AQ22&gt;=Inputs!$F$195,1,0)</f>
        <v/>
      </c>
      <c r="AR41" s="9">
        <f>IF(AR22&gt;=Inputs!$F$195,1,0)</f>
        <v/>
      </c>
      <c r="AS41" s="9">
        <f>IF(AS22&gt;=Inputs!$F$195,1,0)</f>
        <v/>
      </c>
      <c r="AT41" s="9">
        <f>IF(AT22&gt;=Inputs!$F$195,1,0)</f>
        <v/>
      </c>
      <c r="AU41" s="9">
        <f>IF(AU22&gt;=Inputs!$F$195,1,0)</f>
        <v/>
      </c>
      <c r="AV41" s="9">
        <f>IF(AV22&gt;=Inputs!$F$195,1,0)</f>
        <v/>
      </c>
      <c r="AW41" s="9">
        <f>IF(AW22&gt;=Inputs!$F$195,1,0)</f>
        <v/>
      </c>
      <c r="AX41" s="9">
        <f>IF(AX22&gt;=Inputs!$F$195,1,0)</f>
        <v/>
      </c>
      <c r="AY41" s="9">
        <f>IF(AY22&gt;=Inputs!$F$195,1,0)</f>
        <v/>
      </c>
      <c r="AZ41" s="9">
        <f>IF(AZ22&gt;=Inputs!$F$195,1,0)</f>
        <v/>
      </c>
      <c r="BA41" s="9">
        <f>IF(BA22&gt;=Inputs!$F$195,1,0)</f>
        <v/>
      </c>
      <c r="BB41" s="9">
        <f>IF(BB22&gt;=Inputs!$F$195,1,0)</f>
        <v/>
      </c>
      <c r="BC41" s="9">
        <f>IF(BC22&gt;=Inputs!$F$195,1,0)</f>
        <v/>
      </c>
      <c r="BD41" s="9">
        <f>IF(BD22&gt;=Inputs!$F$195,1,0)</f>
        <v/>
      </c>
      <c r="BE41" s="9">
        <f>IF(BE22&gt;=Inputs!$F$195,1,0)</f>
        <v/>
      </c>
      <c r="BF41" s="9">
        <f>IF(BF22&gt;=Inputs!$F$195,1,0)</f>
        <v/>
      </c>
      <c r="BG41" s="9">
        <f>IF(BG22&gt;=Inputs!$F$195,1,0)</f>
        <v/>
      </c>
      <c r="BH41" s="9">
        <f>IF(BH22&gt;=Inputs!$F$195,1,0)</f>
        <v/>
      </c>
      <c r="BI41" s="9">
        <f>IF(BI22&gt;=Inputs!$F$195,1,0)</f>
        <v/>
      </c>
      <c r="BJ41" s="9">
        <f>IF(BJ22&gt;=Inputs!$F$195,1,0)</f>
        <v/>
      </c>
      <c r="BK41" s="9">
        <f>IF(BK22&gt;=Inputs!$F$195,1,0)</f>
        <v/>
      </c>
      <c r="BL41" s="9">
        <f>IF(BL22&gt;=Inputs!$F$195,1,0)</f>
        <v/>
      </c>
      <c r="BM41" s="9">
        <f>IF(BM22&gt;=Inputs!$F$195,1,0)</f>
        <v/>
      </c>
      <c r="BN41" s="9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9">
        <f>Inputs!$F$48*IF(J23=Inputs!$F$198,1,0)</f>
        <v/>
      </c>
      <c r="K42" s="9">
        <f>Inputs!$F$48*IF(K23=Inputs!$F$198,1,0)</f>
        <v/>
      </c>
      <c r="L42" s="9">
        <f>Inputs!$F$48*IF(L23=Inputs!$F$198,1,0)</f>
        <v/>
      </c>
      <c r="M42" s="9">
        <f>Inputs!$F$48*IF(M23=Inputs!$F$198,1,0)</f>
        <v/>
      </c>
      <c r="N42" s="9">
        <f>Inputs!$F$48*IF(N23=Inputs!$F$198,1,0)</f>
        <v/>
      </c>
      <c r="O42" s="9">
        <f>Inputs!$F$48*IF(O23=Inputs!$F$198,1,0)</f>
        <v/>
      </c>
      <c r="P42" s="9">
        <f>Inputs!$F$48*IF(P23=Inputs!$F$198,1,0)</f>
        <v/>
      </c>
      <c r="Q42" s="9">
        <f>Inputs!$F$48*IF(Q23=Inputs!$F$198,1,0)</f>
        <v/>
      </c>
      <c r="R42" s="9">
        <f>Inputs!$F$48*IF(R23=Inputs!$F$198,1,0)</f>
        <v/>
      </c>
      <c r="S42" s="9">
        <f>Inputs!$F$48*IF(S23=Inputs!$F$198,1,0)</f>
        <v/>
      </c>
      <c r="T42" s="9">
        <f>Inputs!$F$48*IF(T23=Inputs!$F$198,1,0)</f>
        <v/>
      </c>
      <c r="U42" s="9">
        <f>Inputs!$F$48*IF(U23=Inputs!$F$198,1,0)</f>
        <v/>
      </c>
      <c r="V42" s="9">
        <f>Inputs!$F$48*IF(V23=Inputs!$F$198,1,0)</f>
        <v/>
      </c>
      <c r="W42" s="9">
        <f>Inputs!$F$48*IF(W23=Inputs!$F$198,1,0)</f>
        <v/>
      </c>
      <c r="X42" s="9">
        <f>Inputs!$F$48*IF(X23=Inputs!$F$198,1,0)</f>
        <v/>
      </c>
      <c r="Y42" s="9">
        <f>Inputs!$F$48*IF(Y23=Inputs!$F$198,1,0)</f>
        <v/>
      </c>
      <c r="Z42" s="9">
        <f>Inputs!$F$48*IF(Z23=Inputs!$F$198,1,0)</f>
        <v/>
      </c>
      <c r="AA42" s="9">
        <f>Inputs!$F$48*IF(AA23=Inputs!$F$198,1,0)</f>
        <v/>
      </c>
      <c r="AB42" s="9">
        <f>Inputs!$F$48*IF(AB23=Inputs!$F$198,1,0)</f>
        <v/>
      </c>
      <c r="AC42" s="9">
        <f>Inputs!$F$48*IF(AC23=Inputs!$F$198,1,0)</f>
        <v/>
      </c>
      <c r="AD42" s="9">
        <f>Inputs!$F$48*IF(AD23=Inputs!$F$198,1,0)</f>
        <v/>
      </c>
      <c r="AE42" s="9">
        <f>Inputs!$F$48*IF(AE23=Inputs!$F$198,1,0)</f>
        <v/>
      </c>
      <c r="AF42" s="9">
        <f>Inputs!$F$48*IF(AF23=Inputs!$F$198,1,0)</f>
        <v/>
      </c>
      <c r="AG42" s="9">
        <f>Inputs!$F$48*IF(AG23=Inputs!$F$198,1,0)</f>
        <v/>
      </c>
      <c r="AH42" s="9">
        <f>Inputs!$F$48*IF(AH23=Inputs!$F$198,1,0)</f>
        <v/>
      </c>
      <c r="AI42" s="9">
        <f>Inputs!$F$48*IF(AI23=Inputs!$F$198,1,0)</f>
        <v/>
      </c>
      <c r="AJ42" s="9">
        <f>Inputs!$F$48*IF(AJ23=Inputs!$F$198,1,0)</f>
        <v/>
      </c>
      <c r="AK42" s="9">
        <f>Inputs!$F$48*IF(AK23=Inputs!$F$198,1,0)</f>
        <v/>
      </c>
      <c r="AL42" s="9">
        <f>Inputs!$F$48*IF(AL23=Inputs!$F$198,1,0)</f>
        <v/>
      </c>
      <c r="AM42" s="9">
        <f>Inputs!$F$48*IF(AM23=Inputs!$F$198,1,0)</f>
        <v/>
      </c>
      <c r="AN42" s="9">
        <f>Inputs!$F$48*IF(AN23=Inputs!$F$198,1,0)</f>
        <v/>
      </c>
      <c r="AO42" s="9">
        <f>Inputs!$F$48*IF(AO23=Inputs!$F$198,1,0)</f>
        <v/>
      </c>
      <c r="AP42" s="9">
        <f>Inputs!$F$48*IF(AP23=Inputs!$F$198,1,0)</f>
        <v/>
      </c>
      <c r="AQ42" s="9">
        <f>Inputs!$F$48*IF(AQ23=Inputs!$F$198,1,0)</f>
        <v/>
      </c>
      <c r="AR42" s="9">
        <f>Inputs!$F$48*IF(AR23=Inputs!$F$198,1,0)</f>
        <v/>
      </c>
      <c r="AS42" s="9">
        <f>Inputs!$F$48*IF(AS23=Inputs!$F$198,1,0)</f>
        <v/>
      </c>
      <c r="AT42" s="9">
        <f>Inputs!$F$48*IF(AT23=Inputs!$F$198,1,0)</f>
        <v/>
      </c>
      <c r="AU42" s="9">
        <f>Inputs!$F$48*IF(AU23=Inputs!$F$198,1,0)</f>
        <v/>
      </c>
      <c r="AV42" s="9">
        <f>Inputs!$F$48*IF(AV23=Inputs!$F$198,1,0)</f>
        <v/>
      </c>
      <c r="AW42" s="9">
        <f>Inputs!$F$48*IF(AW23=Inputs!$F$198,1,0)</f>
        <v/>
      </c>
      <c r="AX42" s="9">
        <f>Inputs!$F$48*IF(AX23=Inputs!$F$198,1,0)</f>
        <v/>
      </c>
      <c r="AY42" s="9">
        <f>Inputs!$F$48*IF(AY23=Inputs!$F$198,1,0)</f>
        <v/>
      </c>
      <c r="AZ42" s="9">
        <f>Inputs!$F$48*IF(AZ23=Inputs!$F$198,1,0)</f>
        <v/>
      </c>
      <c r="BA42" s="9">
        <f>Inputs!$F$48*IF(BA23=Inputs!$F$198,1,0)</f>
        <v/>
      </c>
      <c r="BB42" s="9">
        <f>Inputs!$F$48*IF(BB23=Inputs!$F$198,1,0)</f>
        <v/>
      </c>
      <c r="BC42" s="9">
        <f>Inputs!$F$48*IF(BC23=Inputs!$F$198,1,0)</f>
        <v/>
      </c>
      <c r="BD42" s="9">
        <f>Inputs!$F$48*IF(BD23=Inputs!$F$198,1,0)</f>
        <v/>
      </c>
      <c r="BE42" s="9">
        <f>Inputs!$F$48*IF(BE23=Inputs!$F$198,1,0)</f>
        <v/>
      </c>
      <c r="BF42" s="9">
        <f>Inputs!$F$48*IF(BF23=Inputs!$F$198,1,0)</f>
        <v/>
      </c>
      <c r="BG42" s="9">
        <f>Inputs!$F$48*IF(BG23=Inputs!$F$198,1,0)</f>
        <v/>
      </c>
      <c r="BH42" s="9">
        <f>Inputs!$F$48*IF(BH23=Inputs!$F$198,1,0)</f>
        <v/>
      </c>
      <c r="BI42" s="9">
        <f>Inputs!$F$48*IF(BI23=Inputs!$F$198,1,0)</f>
        <v/>
      </c>
      <c r="BJ42" s="9">
        <f>Inputs!$F$48*IF(BJ23=Inputs!$F$198,1,0)</f>
        <v/>
      </c>
      <c r="BK42" s="9">
        <f>Inputs!$F$48*IF(BK23=Inputs!$F$198,1,0)</f>
        <v/>
      </c>
      <c r="BL42" s="9">
        <f>Inputs!$F$48*IF(BL23=Inputs!$F$198,1,0)</f>
        <v/>
      </c>
      <c r="BM42" s="9">
        <f>Inputs!$F$48*IF(BM23=Inputs!$F$198,1,0)</f>
        <v/>
      </c>
      <c r="BN42" s="9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9">
        <f>Inputs!$F$49*IF(J23=Inputs!$F$200,1,0)</f>
        <v/>
      </c>
      <c r="K43" s="9">
        <f>Inputs!$F$49*IF(K23=Inputs!$F$200,1,0)</f>
        <v/>
      </c>
      <c r="L43" s="9">
        <f>Inputs!$F$49*IF(L23=Inputs!$F$200,1,0)</f>
        <v/>
      </c>
      <c r="M43" s="9">
        <f>Inputs!$F$49*IF(M23=Inputs!$F$200,1,0)</f>
        <v/>
      </c>
      <c r="N43" s="9">
        <f>Inputs!$F$49*IF(N23=Inputs!$F$200,1,0)</f>
        <v/>
      </c>
      <c r="O43" s="9">
        <f>Inputs!$F$49*IF(O23=Inputs!$F$200,1,0)</f>
        <v/>
      </c>
      <c r="P43" s="9">
        <f>Inputs!$F$49*IF(P23=Inputs!$F$200,1,0)</f>
        <v/>
      </c>
      <c r="Q43" s="9">
        <f>Inputs!$F$49*IF(Q23=Inputs!$F$200,1,0)</f>
        <v/>
      </c>
      <c r="R43" s="9">
        <f>Inputs!$F$49*IF(R23=Inputs!$F$200,1,0)</f>
        <v/>
      </c>
      <c r="S43" s="9">
        <f>Inputs!$F$49*IF(S23=Inputs!$F$200,1,0)</f>
        <v/>
      </c>
      <c r="T43" s="9">
        <f>Inputs!$F$49*IF(T23=Inputs!$F$200,1,0)</f>
        <v/>
      </c>
      <c r="U43" s="9">
        <f>Inputs!$F$49*IF(U23=Inputs!$F$200,1,0)</f>
        <v/>
      </c>
      <c r="V43" s="9">
        <f>Inputs!$F$49*IF(V23=Inputs!$F$200,1,0)</f>
        <v/>
      </c>
      <c r="W43" s="9">
        <f>Inputs!$F$49*IF(W23=Inputs!$F$200,1,0)</f>
        <v/>
      </c>
      <c r="X43" s="9">
        <f>Inputs!$F$49*IF(X23=Inputs!$F$200,1,0)</f>
        <v/>
      </c>
      <c r="Y43" s="9">
        <f>Inputs!$F$49*IF(Y23=Inputs!$F$200,1,0)</f>
        <v/>
      </c>
      <c r="Z43" s="9">
        <f>Inputs!$F$49*IF(Z23=Inputs!$F$200,1,0)</f>
        <v/>
      </c>
      <c r="AA43" s="9">
        <f>Inputs!$F$49*IF(AA23=Inputs!$F$200,1,0)</f>
        <v/>
      </c>
      <c r="AB43" s="9">
        <f>Inputs!$F$49*IF(AB23=Inputs!$F$200,1,0)</f>
        <v/>
      </c>
      <c r="AC43" s="9">
        <f>Inputs!$F$49*IF(AC23=Inputs!$F$200,1,0)</f>
        <v/>
      </c>
      <c r="AD43" s="9">
        <f>Inputs!$F$49*IF(AD23=Inputs!$F$200,1,0)</f>
        <v/>
      </c>
      <c r="AE43" s="9">
        <f>Inputs!$F$49*IF(AE23=Inputs!$F$200,1,0)</f>
        <v/>
      </c>
      <c r="AF43" s="9">
        <f>Inputs!$F$49*IF(AF23=Inputs!$F$200,1,0)</f>
        <v/>
      </c>
      <c r="AG43" s="9">
        <f>Inputs!$F$49*IF(AG23=Inputs!$F$200,1,0)</f>
        <v/>
      </c>
      <c r="AH43" s="9">
        <f>Inputs!$F$49*IF(AH23=Inputs!$F$200,1,0)</f>
        <v/>
      </c>
      <c r="AI43" s="9">
        <f>Inputs!$F$49*IF(AI23=Inputs!$F$200,1,0)</f>
        <v/>
      </c>
      <c r="AJ43" s="9">
        <f>Inputs!$F$49*IF(AJ23=Inputs!$F$200,1,0)</f>
        <v/>
      </c>
      <c r="AK43" s="9">
        <f>Inputs!$F$49*IF(AK23=Inputs!$F$200,1,0)</f>
        <v/>
      </c>
      <c r="AL43" s="9">
        <f>Inputs!$F$49*IF(AL23=Inputs!$F$200,1,0)</f>
        <v/>
      </c>
      <c r="AM43" s="9">
        <f>Inputs!$F$49*IF(AM23=Inputs!$F$200,1,0)</f>
        <v/>
      </c>
      <c r="AN43" s="9">
        <f>Inputs!$F$49*IF(AN23=Inputs!$F$200,1,0)</f>
        <v/>
      </c>
      <c r="AO43" s="9">
        <f>Inputs!$F$49*IF(AO23=Inputs!$F$200,1,0)</f>
        <v/>
      </c>
      <c r="AP43" s="9">
        <f>Inputs!$F$49*IF(AP23=Inputs!$F$200,1,0)</f>
        <v/>
      </c>
      <c r="AQ43" s="9">
        <f>Inputs!$F$49*IF(AQ23=Inputs!$F$200,1,0)</f>
        <v/>
      </c>
      <c r="AR43" s="9">
        <f>Inputs!$F$49*IF(AR23=Inputs!$F$200,1,0)</f>
        <v/>
      </c>
      <c r="AS43" s="9">
        <f>Inputs!$F$49*IF(AS23=Inputs!$F$200,1,0)</f>
        <v/>
      </c>
      <c r="AT43" s="9">
        <f>Inputs!$F$49*IF(AT23=Inputs!$F$200,1,0)</f>
        <v/>
      </c>
      <c r="AU43" s="9">
        <f>Inputs!$F$49*IF(AU23=Inputs!$F$200,1,0)</f>
        <v/>
      </c>
      <c r="AV43" s="9">
        <f>Inputs!$F$49*IF(AV23=Inputs!$F$200,1,0)</f>
        <v/>
      </c>
      <c r="AW43" s="9">
        <f>Inputs!$F$49*IF(AW23=Inputs!$F$200,1,0)</f>
        <v/>
      </c>
      <c r="AX43" s="9">
        <f>Inputs!$F$49*IF(AX23=Inputs!$F$200,1,0)</f>
        <v/>
      </c>
      <c r="AY43" s="9">
        <f>Inputs!$F$49*IF(AY23=Inputs!$F$200,1,0)</f>
        <v/>
      </c>
      <c r="AZ43" s="9">
        <f>Inputs!$F$49*IF(AZ23=Inputs!$F$200,1,0)</f>
        <v/>
      </c>
      <c r="BA43" s="9">
        <f>Inputs!$F$49*IF(BA23=Inputs!$F$200,1,0)</f>
        <v/>
      </c>
      <c r="BB43" s="9">
        <f>Inputs!$F$49*IF(BB23=Inputs!$F$200,1,0)</f>
        <v/>
      </c>
      <c r="BC43" s="9">
        <f>Inputs!$F$49*IF(BC23=Inputs!$F$200,1,0)</f>
        <v/>
      </c>
      <c r="BD43" s="9">
        <f>Inputs!$F$49*IF(BD23=Inputs!$F$200,1,0)</f>
        <v/>
      </c>
      <c r="BE43" s="9">
        <f>Inputs!$F$49*IF(BE23=Inputs!$F$200,1,0)</f>
        <v/>
      </c>
      <c r="BF43" s="9">
        <f>Inputs!$F$49*IF(BF23=Inputs!$F$200,1,0)</f>
        <v/>
      </c>
      <c r="BG43" s="9">
        <f>Inputs!$F$49*IF(BG23=Inputs!$F$200,1,0)</f>
        <v/>
      </c>
      <c r="BH43" s="9">
        <f>Inputs!$F$49*IF(BH23=Inputs!$F$200,1,0)</f>
        <v/>
      </c>
      <c r="BI43" s="9">
        <f>Inputs!$F$49*IF(BI23=Inputs!$F$200,1,0)</f>
        <v/>
      </c>
      <c r="BJ43" s="9">
        <f>Inputs!$F$49*IF(BJ23=Inputs!$F$200,1,0)</f>
        <v/>
      </c>
      <c r="BK43" s="9">
        <f>Inputs!$F$49*IF(BK23=Inputs!$F$200,1,0)</f>
        <v/>
      </c>
      <c r="BL43" s="9">
        <f>Inputs!$F$49*IF(BL23=Inputs!$F$200,1,0)</f>
        <v/>
      </c>
      <c r="BM43" s="9">
        <f>Inputs!$F$49*IF(BM23=Inputs!$F$200,1,0)</f>
        <v/>
      </c>
      <c r="BN43" s="9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9">
        <f>Inputs!$F$49*IF(AND(J22&gt;=Inputs!$F$201,J23&lt;=Inputs!$F$202),1,0)</f>
        <v/>
      </c>
      <c r="K44" s="9">
        <f>Inputs!$F$49*IF(AND(K22&gt;=Inputs!$F$201,K23&lt;=Inputs!$F$202),1,0)</f>
        <v/>
      </c>
      <c r="L44" s="9">
        <f>Inputs!$F$49*IF(AND(L22&gt;=Inputs!$F$201,L23&lt;=Inputs!$F$202),1,0)</f>
        <v/>
      </c>
      <c r="M44" s="9">
        <f>Inputs!$F$49*IF(AND(M22&gt;=Inputs!$F$201,M23&lt;=Inputs!$F$202),1,0)</f>
        <v/>
      </c>
      <c r="N44" s="9">
        <f>Inputs!$F$49*IF(AND(N22&gt;=Inputs!$F$201,N23&lt;=Inputs!$F$202),1,0)</f>
        <v/>
      </c>
      <c r="O44" s="9">
        <f>Inputs!$F$49*IF(AND(O22&gt;=Inputs!$F$201,O23&lt;=Inputs!$F$202),1,0)</f>
        <v/>
      </c>
      <c r="P44" s="9">
        <f>Inputs!$F$49*IF(AND(P22&gt;=Inputs!$F$201,P23&lt;=Inputs!$F$202),1,0)</f>
        <v/>
      </c>
      <c r="Q44" s="9">
        <f>Inputs!$F$49*IF(AND(Q22&gt;=Inputs!$F$201,Q23&lt;=Inputs!$F$202),1,0)</f>
        <v/>
      </c>
      <c r="R44" s="9">
        <f>Inputs!$F$49*IF(AND(R22&gt;=Inputs!$F$201,R23&lt;=Inputs!$F$202),1,0)</f>
        <v/>
      </c>
      <c r="S44" s="9">
        <f>Inputs!$F$49*IF(AND(S22&gt;=Inputs!$F$201,S23&lt;=Inputs!$F$202),1,0)</f>
        <v/>
      </c>
      <c r="T44" s="9">
        <f>Inputs!$F$49*IF(AND(T22&gt;=Inputs!$F$201,T23&lt;=Inputs!$F$202),1,0)</f>
        <v/>
      </c>
      <c r="U44" s="9">
        <f>Inputs!$F$49*IF(AND(U22&gt;=Inputs!$F$201,U23&lt;=Inputs!$F$202),1,0)</f>
        <v/>
      </c>
      <c r="V44" s="9">
        <f>Inputs!$F$49*IF(AND(V22&gt;=Inputs!$F$201,V23&lt;=Inputs!$F$202),1,0)</f>
        <v/>
      </c>
      <c r="W44" s="9">
        <f>Inputs!$F$49*IF(AND(W22&gt;=Inputs!$F$201,W23&lt;=Inputs!$F$202),1,0)</f>
        <v/>
      </c>
      <c r="X44" s="9">
        <f>Inputs!$F$49*IF(AND(X22&gt;=Inputs!$F$201,X23&lt;=Inputs!$F$202),1,0)</f>
        <v/>
      </c>
      <c r="Y44" s="9">
        <f>Inputs!$F$49*IF(AND(Y22&gt;=Inputs!$F$201,Y23&lt;=Inputs!$F$202),1,0)</f>
        <v/>
      </c>
      <c r="Z44" s="9">
        <f>Inputs!$F$49*IF(AND(Z22&gt;=Inputs!$F$201,Z23&lt;=Inputs!$F$202),1,0)</f>
        <v/>
      </c>
      <c r="AA44" s="9">
        <f>Inputs!$F$49*IF(AND(AA22&gt;=Inputs!$F$201,AA23&lt;=Inputs!$F$202),1,0)</f>
        <v/>
      </c>
      <c r="AB44" s="9">
        <f>Inputs!$F$49*IF(AND(AB22&gt;=Inputs!$F$201,AB23&lt;=Inputs!$F$202),1,0)</f>
        <v/>
      </c>
      <c r="AC44" s="9">
        <f>Inputs!$F$49*IF(AND(AC22&gt;=Inputs!$F$201,AC23&lt;=Inputs!$F$202),1,0)</f>
        <v/>
      </c>
      <c r="AD44" s="9">
        <f>Inputs!$F$49*IF(AND(AD22&gt;=Inputs!$F$201,AD23&lt;=Inputs!$F$202),1,0)</f>
        <v/>
      </c>
      <c r="AE44" s="9">
        <f>Inputs!$F$49*IF(AND(AE22&gt;=Inputs!$F$201,AE23&lt;=Inputs!$F$202),1,0)</f>
        <v/>
      </c>
      <c r="AF44" s="9">
        <f>Inputs!$F$49*IF(AND(AF22&gt;=Inputs!$F$201,AF23&lt;=Inputs!$F$202),1,0)</f>
        <v/>
      </c>
      <c r="AG44" s="9">
        <f>Inputs!$F$49*IF(AND(AG22&gt;=Inputs!$F$201,AG23&lt;=Inputs!$F$202),1,0)</f>
        <v/>
      </c>
      <c r="AH44" s="9">
        <f>Inputs!$F$49*IF(AND(AH22&gt;=Inputs!$F$201,AH23&lt;=Inputs!$F$202),1,0)</f>
        <v/>
      </c>
      <c r="AI44" s="9">
        <f>Inputs!$F$49*IF(AND(AI22&gt;=Inputs!$F$201,AI23&lt;=Inputs!$F$202),1,0)</f>
        <v/>
      </c>
      <c r="AJ44" s="9">
        <f>Inputs!$F$49*IF(AND(AJ22&gt;=Inputs!$F$201,AJ23&lt;=Inputs!$F$202),1,0)</f>
        <v/>
      </c>
      <c r="AK44" s="9">
        <f>Inputs!$F$49*IF(AND(AK22&gt;=Inputs!$F$201,AK23&lt;=Inputs!$F$202),1,0)</f>
        <v/>
      </c>
      <c r="AL44" s="9">
        <f>Inputs!$F$49*IF(AND(AL22&gt;=Inputs!$F$201,AL23&lt;=Inputs!$F$202),1,0)</f>
        <v/>
      </c>
      <c r="AM44" s="9">
        <f>Inputs!$F$49*IF(AND(AM22&gt;=Inputs!$F$201,AM23&lt;=Inputs!$F$202),1,0)</f>
        <v/>
      </c>
      <c r="AN44" s="9">
        <f>Inputs!$F$49*IF(AND(AN22&gt;=Inputs!$F$201,AN23&lt;=Inputs!$F$202),1,0)</f>
        <v/>
      </c>
      <c r="AO44" s="9">
        <f>Inputs!$F$49*IF(AND(AO22&gt;=Inputs!$F$201,AO23&lt;=Inputs!$F$202),1,0)</f>
        <v/>
      </c>
      <c r="AP44" s="9">
        <f>Inputs!$F$49*IF(AND(AP22&gt;=Inputs!$F$201,AP23&lt;=Inputs!$F$202),1,0)</f>
        <v/>
      </c>
      <c r="AQ44" s="9">
        <f>Inputs!$F$49*IF(AND(AQ22&gt;=Inputs!$F$201,AQ23&lt;=Inputs!$F$202),1,0)</f>
        <v/>
      </c>
      <c r="AR44" s="9">
        <f>Inputs!$F$49*IF(AND(AR22&gt;=Inputs!$F$201,AR23&lt;=Inputs!$F$202),1,0)</f>
        <v/>
      </c>
      <c r="AS44" s="9">
        <f>Inputs!$F$49*IF(AND(AS22&gt;=Inputs!$F$201,AS23&lt;=Inputs!$F$202),1,0)</f>
        <v/>
      </c>
      <c r="AT44" s="9">
        <f>Inputs!$F$49*IF(AND(AT22&gt;=Inputs!$F$201,AT23&lt;=Inputs!$F$202),1,0)</f>
        <v/>
      </c>
      <c r="AU44" s="9">
        <f>Inputs!$F$49*IF(AND(AU22&gt;=Inputs!$F$201,AU23&lt;=Inputs!$F$202),1,0)</f>
        <v/>
      </c>
      <c r="AV44" s="9">
        <f>Inputs!$F$49*IF(AND(AV22&gt;=Inputs!$F$201,AV23&lt;=Inputs!$F$202),1,0)</f>
        <v/>
      </c>
      <c r="AW44" s="9">
        <f>Inputs!$F$49*IF(AND(AW22&gt;=Inputs!$F$201,AW23&lt;=Inputs!$F$202),1,0)</f>
        <v/>
      </c>
      <c r="AX44" s="9">
        <f>Inputs!$F$49*IF(AND(AX22&gt;=Inputs!$F$201,AX23&lt;=Inputs!$F$202),1,0)</f>
        <v/>
      </c>
      <c r="AY44" s="9">
        <f>Inputs!$F$49*IF(AND(AY22&gt;=Inputs!$F$201,AY23&lt;=Inputs!$F$202),1,0)</f>
        <v/>
      </c>
      <c r="AZ44" s="9">
        <f>Inputs!$F$49*IF(AND(AZ22&gt;=Inputs!$F$201,AZ23&lt;=Inputs!$F$202),1,0)</f>
        <v/>
      </c>
      <c r="BA44" s="9">
        <f>Inputs!$F$49*IF(AND(BA22&gt;=Inputs!$F$201,BA23&lt;=Inputs!$F$202),1,0)</f>
        <v/>
      </c>
      <c r="BB44" s="9">
        <f>Inputs!$F$49*IF(AND(BB22&gt;=Inputs!$F$201,BB23&lt;=Inputs!$F$202),1,0)</f>
        <v/>
      </c>
      <c r="BC44" s="9">
        <f>Inputs!$F$49*IF(AND(BC22&gt;=Inputs!$F$201,BC23&lt;=Inputs!$F$202),1,0)</f>
        <v/>
      </c>
      <c r="BD44" s="9">
        <f>Inputs!$F$49*IF(AND(BD22&gt;=Inputs!$F$201,BD23&lt;=Inputs!$F$202),1,0)</f>
        <v/>
      </c>
      <c r="BE44" s="9">
        <f>Inputs!$F$49*IF(AND(BE22&gt;=Inputs!$F$201,BE23&lt;=Inputs!$F$202),1,0)</f>
        <v/>
      </c>
      <c r="BF44" s="9">
        <f>Inputs!$F$49*IF(AND(BF22&gt;=Inputs!$F$201,BF23&lt;=Inputs!$F$202),1,0)</f>
        <v/>
      </c>
      <c r="BG44" s="9">
        <f>Inputs!$F$49*IF(AND(BG22&gt;=Inputs!$F$201,BG23&lt;=Inputs!$F$202),1,0)</f>
        <v/>
      </c>
      <c r="BH44" s="9">
        <f>Inputs!$F$49*IF(AND(BH22&gt;=Inputs!$F$201,BH23&lt;=Inputs!$F$202),1,0)</f>
        <v/>
      </c>
      <c r="BI44" s="9">
        <f>Inputs!$F$49*IF(AND(BI22&gt;=Inputs!$F$201,BI23&lt;=Inputs!$F$202),1,0)</f>
        <v/>
      </c>
      <c r="BJ44" s="9">
        <f>Inputs!$F$49*IF(AND(BJ22&gt;=Inputs!$F$201,BJ23&lt;=Inputs!$F$202),1,0)</f>
        <v/>
      </c>
      <c r="BK44" s="9">
        <f>Inputs!$F$49*IF(AND(BK22&gt;=Inputs!$F$201,BK23&lt;=Inputs!$F$202),1,0)</f>
        <v/>
      </c>
      <c r="BL44" s="9">
        <f>Inputs!$F$49*IF(AND(BL22&gt;=Inputs!$F$201,BL23&lt;=Inputs!$F$202),1,0)</f>
        <v/>
      </c>
      <c r="BM44" s="9">
        <f>Inputs!$F$49*IF(AND(BM22&gt;=Inputs!$F$201,BM23&lt;=Inputs!$F$202),1,0)</f>
        <v/>
      </c>
      <c r="BN44" s="9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9">
        <f>Inputs!$F$49*IF(AND(J23&gt;=Inputs!$F$203,J23&lt;=Inputs!$F$204),1,0)</f>
        <v/>
      </c>
      <c r="K45" s="9">
        <f>Inputs!$F$49*IF(AND(K23&gt;=Inputs!$F$203,K23&lt;=Inputs!$F$204),1,0)</f>
        <v/>
      </c>
      <c r="L45" s="9">
        <f>Inputs!$F$49*IF(AND(L23&gt;=Inputs!$F$203,L23&lt;=Inputs!$F$204),1,0)</f>
        <v/>
      </c>
      <c r="M45" s="9">
        <f>Inputs!$F$49*IF(AND(M23&gt;=Inputs!$F$203,M23&lt;=Inputs!$F$204),1,0)</f>
        <v/>
      </c>
      <c r="N45" s="9">
        <f>Inputs!$F$49*IF(AND(N23&gt;=Inputs!$F$203,N23&lt;=Inputs!$F$204),1,0)</f>
        <v/>
      </c>
      <c r="O45" s="9">
        <f>Inputs!$F$49*IF(AND(O23&gt;=Inputs!$F$203,O23&lt;=Inputs!$F$204),1,0)</f>
        <v/>
      </c>
      <c r="P45" s="9">
        <f>Inputs!$F$49*IF(AND(P23&gt;=Inputs!$F$203,P23&lt;=Inputs!$F$204),1,0)</f>
        <v/>
      </c>
      <c r="Q45" s="9">
        <f>Inputs!$F$49*IF(AND(Q23&gt;=Inputs!$F$203,Q23&lt;=Inputs!$F$204),1,0)</f>
        <v/>
      </c>
      <c r="R45" s="9">
        <f>Inputs!$F$49*IF(AND(R23&gt;=Inputs!$F$203,R23&lt;=Inputs!$F$204),1,0)</f>
        <v/>
      </c>
      <c r="S45" s="9">
        <f>Inputs!$F$49*IF(AND(S23&gt;=Inputs!$F$203,S23&lt;=Inputs!$F$204),1,0)</f>
        <v/>
      </c>
      <c r="T45" s="9">
        <f>Inputs!$F$49*IF(AND(T23&gt;=Inputs!$F$203,T23&lt;=Inputs!$F$204),1,0)</f>
        <v/>
      </c>
      <c r="U45" s="9">
        <f>Inputs!$F$49*IF(AND(U23&gt;=Inputs!$F$203,U23&lt;=Inputs!$F$204),1,0)</f>
        <v/>
      </c>
      <c r="V45" s="9">
        <f>Inputs!$F$49*IF(AND(V23&gt;=Inputs!$F$203,V23&lt;=Inputs!$F$204),1,0)</f>
        <v/>
      </c>
      <c r="W45" s="9">
        <f>Inputs!$F$49*IF(AND(W23&gt;=Inputs!$F$203,W23&lt;=Inputs!$F$204),1,0)</f>
        <v/>
      </c>
      <c r="X45" s="9">
        <f>Inputs!$F$49*IF(AND(X23&gt;=Inputs!$F$203,X23&lt;=Inputs!$F$204),1,0)</f>
        <v/>
      </c>
      <c r="Y45" s="9">
        <f>Inputs!$F$49*IF(AND(Y23&gt;=Inputs!$F$203,Y23&lt;=Inputs!$F$204),1,0)</f>
        <v/>
      </c>
      <c r="Z45" s="9">
        <f>Inputs!$F$49*IF(AND(Z23&gt;=Inputs!$F$203,Z23&lt;=Inputs!$F$204),1,0)</f>
        <v/>
      </c>
      <c r="AA45" s="9">
        <f>Inputs!$F$49*IF(AND(AA23&gt;=Inputs!$F$203,AA23&lt;=Inputs!$F$204),1,0)</f>
        <v/>
      </c>
      <c r="AB45" s="9">
        <f>Inputs!$F$49*IF(AND(AB23&gt;=Inputs!$F$203,AB23&lt;=Inputs!$F$204),1,0)</f>
        <v/>
      </c>
      <c r="AC45" s="9">
        <f>Inputs!$F$49*IF(AND(AC23&gt;=Inputs!$F$203,AC23&lt;=Inputs!$F$204),1,0)</f>
        <v/>
      </c>
      <c r="AD45" s="9">
        <f>Inputs!$F$49*IF(AND(AD23&gt;=Inputs!$F$203,AD23&lt;=Inputs!$F$204),1,0)</f>
        <v/>
      </c>
      <c r="AE45" s="9">
        <f>Inputs!$F$49*IF(AND(AE23&gt;=Inputs!$F$203,AE23&lt;=Inputs!$F$204),1,0)</f>
        <v/>
      </c>
      <c r="AF45" s="9">
        <f>Inputs!$F$49*IF(AND(AF23&gt;=Inputs!$F$203,AF23&lt;=Inputs!$F$204),1,0)</f>
        <v/>
      </c>
      <c r="AG45" s="9">
        <f>Inputs!$F$49*IF(AND(AG23&gt;=Inputs!$F$203,AG23&lt;=Inputs!$F$204),1,0)</f>
        <v/>
      </c>
      <c r="AH45" s="9">
        <f>Inputs!$F$49*IF(AND(AH23&gt;=Inputs!$F$203,AH23&lt;=Inputs!$F$204),1,0)</f>
        <v/>
      </c>
      <c r="AI45" s="9">
        <f>Inputs!$F$49*IF(AND(AI23&gt;=Inputs!$F$203,AI23&lt;=Inputs!$F$204),1,0)</f>
        <v/>
      </c>
      <c r="AJ45" s="9">
        <f>Inputs!$F$49*IF(AND(AJ23&gt;=Inputs!$F$203,AJ23&lt;=Inputs!$F$204),1,0)</f>
        <v/>
      </c>
      <c r="AK45" s="9">
        <f>Inputs!$F$49*IF(AND(AK23&gt;=Inputs!$F$203,AK23&lt;=Inputs!$F$204),1,0)</f>
        <v/>
      </c>
      <c r="AL45" s="9">
        <f>Inputs!$F$49*IF(AND(AL23&gt;=Inputs!$F$203,AL23&lt;=Inputs!$F$204),1,0)</f>
        <v/>
      </c>
      <c r="AM45" s="9">
        <f>Inputs!$F$49*IF(AND(AM23&gt;=Inputs!$F$203,AM23&lt;=Inputs!$F$204),1,0)</f>
        <v/>
      </c>
      <c r="AN45" s="9">
        <f>Inputs!$F$49*IF(AND(AN23&gt;=Inputs!$F$203,AN23&lt;=Inputs!$F$204),1,0)</f>
        <v/>
      </c>
      <c r="AO45" s="9">
        <f>Inputs!$F$49*IF(AND(AO23&gt;=Inputs!$F$203,AO23&lt;=Inputs!$F$204),1,0)</f>
        <v/>
      </c>
      <c r="AP45" s="9">
        <f>Inputs!$F$49*IF(AND(AP23&gt;=Inputs!$F$203,AP23&lt;=Inputs!$F$204),1,0)</f>
        <v/>
      </c>
      <c r="AQ45" s="9">
        <f>Inputs!$F$49*IF(AND(AQ23&gt;=Inputs!$F$203,AQ23&lt;=Inputs!$F$204),1,0)</f>
        <v/>
      </c>
      <c r="AR45" s="9">
        <f>Inputs!$F$49*IF(AND(AR23&gt;=Inputs!$F$203,AR23&lt;=Inputs!$F$204),1,0)</f>
        <v/>
      </c>
      <c r="AS45" s="9">
        <f>Inputs!$F$49*IF(AND(AS23&gt;=Inputs!$F$203,AS23&lt;=Inputs!$F$204),1,0)</f>
        <v/>
      </c>
      <c r="AT45" s="9">
        <f>Inputs!$F$49*IF(AND(AT23&gt;=Inputs!$F$203,AT23&lt;=Inputs!$F$204),1,0)</f>
        <v/>
      </c>
      <c r="AU45" s="9">
        <f>Inputs!$F$49*IF(AND(AU23&gt;=Inputs!$F$203,AU23&lt;=Inputs!$F$204),1,0)</f>
        <v/>
      </c>
      <c r="AV45" s="9">
        <f>Inputs!$F$49*IF(AND(AV23&gt;=Inputs!$F$203,AV23&lt;=Inputs!$F$204),1,0)</f>
        <v/>
      </c>
      <c r="AW45" s="9">
        <f>Inputs!$F$49*IF(AND(AW23&gt;=Inputs!$F$203,AW23&lt;=Inputs!$F$204),1,0)</f>
        <v/>
      </c>
      <c r="AX45" s="9">
        <f>Inputs!$F$49*IF(AND(AX23&gt;=Inputs!$F$203,AX23&lt;=Inputs!$F$204),1,0)</f>
        <v/>
      </c>
      <c r="AY45" s="9">
        <f>Inputs!$F$49*IF(AND(AY23&gt;=Inputs!$F$203,AY23&lt;=Inputs!$F$204),1,0)</f>
        <v/>
      </c>
      <c r="AZ45" s="9">
        <f>Inputs!$F$49*IF(AND(AZ23&gt;=Inputs!$F$203,AZ23&lt;=Inputs!$F$204),1,0)</f>
        <v/>
      </c>
      <c r="BA45" s="9">
        <f>Inputs!$F$49*IF(AND(BA23&gt;=Inputs!$F$203,BA23&lt;=Inputs!$F$204),1,0)</f>
        <v/>
      </c>
      <c r="BB45" s="9">
        <f>Inputs!$F$49*IF(AND(BB23&gt;=Inputs!$F$203,BB23&lt;=Inputs!$F$204),1,0)</f>
        <v/>
      </c>
      <c r="BC45" s="9">
        <f>Inputs!$F$49*IF(AND(BC23&gt;=Inputs!$F$203,BC23&lt;=Inputs!$F$204),1,0)</f>
        <v/>
      </c>
      <c r="BD45" s="9">
        <f>Inputs!$F$49*IF(AND(BD23&gt;=Inputs!$F$203,BD23&lt;=Inputs!$F$204),1,0)</f>
        <v/>
      </c>
      <c r="BE45" s="9">
        <f>Inputs!$F$49*IF(AND(BE23&gt;=Inputs!$F$203,BE23&lt;=Inputs!$F$204),1,0)</f>
        <v/>
      </c>
      <c r="BF45" s="9">
        <f>Inputs!$F$49*IF(AND(BF23&gt;=Inputs!$F$203,BF23&lt;=Inputs!$F$204),1,0)</f>
        <v/>
      </c>
      <c r="BG45" s="9">
        <f>Inputs!$F$49*IF(AND(BG23&gt;=Inputs!$F$203,BG23&lt;=Inputs!$F$204),1,0)</f>
        <v/>
      </c>
      <c r="BH45" s="9">
        <f>Inputs!$F$49*IF(AND(BH23&gt;=Inputs!$F$203,BH23&lt;=Inputs!$F$204),1,0)</f>
        <v/>
      </c>
      <c r="BI45" s="9">
        <f>Inputs!$F$49*IF(AND(BI23&gt;=Inputs!$F$203,BI23&lt;=Inputs!$F$204),1,0)</f>
        <v/>
      </c>
      <c r="BJ45" s="9">
        <f>Inputs!$F$49*IF(AND(BJ23&gt;=Inputs!$F$203,BJ23&lt;=Inputs!$F$204),1,0)</f>
        <v/>
      </c>
      <c r="BK45" s="9">
        <f>Inputs!$F$49*IF(AND(BK23&gt;=Inputs!$F$203,BK23&lt;=Inputs!$F$204),1,0)</f>
        <v/>
      </c>
      <c r="BL45" s="9">
        <f>Inputs!$F$49*IF(AND(BL23&gt;=Inputs!$F$203,BL23&lt;=Inputs!$F$204),1,0)</f>
        <v/>
      </c>
      <c r="BM45" s="9">
        <f>Inputs!$F$49*IF(AND(BM23&gt;=Inputs!$F$203,BM23&lt;=Inputs!$F$204),1,0)</f>
        <v/>
      </c>
      <c r="BN45" s="9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9">
        <f>SUM(J45:BN45)</f>
        <v/>
      </c>
      <c r="K46" s="9">
        <f>SUM(K45:BN45)</f>
        <v/>
      </c>
      <c r="L46" s="9">
        <f>SUM(L45:BN45)</f>
        <v/>
      </c>
      <c r="M46" s="9">
        <f>SUM(M45:BN45)</f>
        <v/>
      </c>
      <c r="N46" s="9">
        <f>SUM(N45:BN45)</f>
        <v/>
      </c>
      <c r="O46" s="9">
        <f>SUM(O45:BN45)</f>
        <v/>
      </c>
      <c r="P46" s="9">
        <f>SUM(P45:BN45)</f>
        <v/>
      </c>
      <c r="Q46" s="9">
        <f>SUM(Q45:BN45)</f>
        <v/>
      </c>
      <c r="R46" s="9">
        <f>SUM(R45:BN45)</f>
        <v/>
      </c>
      <c r="S46" s="9">
        <f>SUM(S45:BN45)</f>
        <v/>
      </c>
      <c r="T46" s="9">
        <f>SUM(T45:BN45)</f>
        <v/>
      </c>
      <c r="U46" s="9">
        <f>SUM(U45:BN45)</f>
        <v/>
      </c>
      <c r="V46" s="9">
        <f>SUM(V45:BN45)</f>
        <v/>
      </c>
      <c r="W46" s="9">
        <f>SUM(W45:BN45)</f>
        <v/>
      </c>
      <c r="X46" s="9">
        <f>SUM(X45:BN45)</f>
        <v/>
      </c>
      <c r="Y46" s="9">
        <f>SUM(Y45:BN45)</f>
        <v/>
      </c>
      <c r="Z46" s="9">
        <f>SUM(Z45:BN45)</f>
        <v/>
      </c>
      <c r="AA46" s="9">
        <f>SUM(AA45:BN45)</f>
        <v/>
      </c>
      <c r="AB46" s="9">
        <f>SUM(AB45:BN45)</f>
        <v/>
      </c>
      <c r="AC46" s="9">
        <f>SUM(AC45:BN45)</f>
        <v/>
      </c>
      <c r="AD46" s="9">
        <f>SUM(AD45:BN45)</f>
        <v/>
      </c>
      <c r="AE46" s="9">
        <f>SUM(AE45:BN45)</f>
        <v/>
      </c>
      <c r="AF46" s="9">
        <f>SUM(AF45:BN45)</f>
        <v/>
      </c>
      <c r="AG46" s="9">
        <f>SUM(AG45:BN45)</f>
        <v/>
      </c>
      <c r="AH46" s="9">
        <f>SUM(AH45:BN45)</f>
        <v/>
      </c>
      <c r="AI46" s="9">
        <f>SUM(AI45:BN45)</f>
        <v/>
      </c>
      <c r="AJ46" s="9">
        <f>SUM(AJ45:BN45)</f>
        <v/>
      </c>
      <c r="AK46" s="9">
        <f>SUM(AK45:BN45)</f>
        <v/>
      </c>
      <c r="AL46" s="9">
        <f>SUM(AL45:BN45)</f>
        <v/>
      </c>
      <c r="AM46" s="9">
        <f>SUM(AM45:BN45)</f>
        <v/>
      </c>
      <c r="AN46" s="9">
        <f>SUM(AN45:BN45)</f>
        <v/>
      </c>
      <c r="AO46" s="9">
        <f>SUM(AO45:BN45)</f>
        <v/>
      </c>
      <c r="AP46" s="9">
        <f>SUM(AP45:BN45)</f>
        <v/>
      </c>
      <c r="AQ46" s="9">
        <f>SUM(AQ45:BN45)</f>
        <v/>
      </c>
      <c r="AR46" s="9">
        <f>SUM(AR45:BN45)</f>
        <v/>
      </c>
      <c r="AS46" s="9">
        <f>SUM(AS45:BN45)</f>
        <v/>
      </c>
      <c r="AT46" s="9">
        <f>SUM(AT45:BN45)</f>
        <v/>
      </c>
      <c r="AU46" s="9">
        <f>SUM(AU45:BN45)</f>
        <v/>
      </c>
      <c r="AV46" s="9">
        <f>SUM(AV45:BN45)</f>
        <v/>
      </c>
      <c r="AW46" s="9">
        <f>SUM(AW45:BN45)</f>
        <v/>
      </c>
      <c r="AX46" s="9">
        <f>SUM(AX45:BN45)</f>
        <v/>
      </c>
      <c r="AY46" s="9">
        <f>SUM(AY45:BN45)</f>
        <v/>
      </c>
      <c r="AZ46" s="9">
        <f>SUM(AZ45:BN45)</f>
        <v/>
      </c>
      <c r="BA46" s="9">
        <f>SUM(BA45:BN45)</f>
        <v/>
      </c>
      <c r="BB46" s="9">
        <f>SUM(BB45:BN45)</f>
        <v/>
      </c>
      <c r="BC46" s="9">
        <f>SUM(BC45:BN45)</f>
        <v/>
      </c>
      <c r="BD46" s="9">
        <f>SUM(BD45:BN45)</f>
        <v/>
      </c>
      <c r="BE46" s="9">
        <f>SUM(BE45:BN45)</f>
        <v/>
      </c>
      <c r="BF46" s="9">
        <f>SUM(BF45:BN45)</f>
        <v/>
      </c>
      <c r="BG46" s="9">
        <f>SUM(BG45:BN45)</f>
        <v/>
      </c>
      <c r="BH46" s="9">
        <f>SUM(BH45:BN45)</f>
        <v/>
      </c>
      <c r="BI46" s="9">
        <f>SUM(BI45:BN45)</f>
        <v/>
      </c>
      <c r="BJ46" s="9">
        <f>SUM(BJ45:BN45)</f>
        <v/>
      </c>
      <c r="BK46" s="9">
        <f>SUM(BK45:BN45)</f>
        <v/>
      </c>
      <c r="BL46" s="9">
        <f>SUM(BL45:BN45)</f>
        <v/>
      </c>
      <c r="BM46" s="9">
        <f>SUM(BM45:BN45)</f>
        <v/>
      </c>
      <c r="BN46" s="9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9">
        <f>Inputs!$F$50*IF(J23=Inputs!$F$205,1,0)</f>
        <v/>
      </c>
      <c r="K47" s="9">
        <f>Inputs!$F$50*IF(K23=Inputs!$F$205,1,0)</f>
        <v/>
      </c>
      <c r="L47" s="9">
        <f>Inputs!$F$50*IF(L23=Inputs!$F$205,1,0)</f>
        <v/>
      </c>
      <c r="M47" s="9">
        <f>Inputs!$F$50*IF(M23=Inputs!$F$205,1,0)</f>
        <v/>
      </c>
      <c r="N47" s="9">
        <f>Inputs!$F$50*IF(N23=Inputs!$F$205,1,0)</f>
        <v/>
      </c>
      <c r="O47" s="9">
        <f>Inputs!$F$50*IF(O23=Inputs!$F$205,1,0)</f>
        <v/>
      </c>
      <c r="P47" s="9">
        <f>Inputs!$F$50*IF(P23=Inputs!$F$205,1,0)</f>
        <v/>
      </c>
      <c r="Q47" s="9">
        <f>Inputs!$F$50*IF(Q23=Inputs!$F$205,1,0)</f>
        <v/>
      </c>
      <c r="R47" s="9">
        <f>Inputs!$F$50*IF(R23=Inputs!$F$205,1,0)</f>
        <v/>
      </c>
      <c r="S47" s="9">
        <f>Inputs!$F$50*IF(S23=Inputs!$F$205,1,0)</f>
        <v/>
      </c>
      <c r="T47" s="9">
        <f>Inputs!$F$50*IF(T23=Inputs!$F$205,1,0)</f>
        <v/>
      </c>
      <c r="U47" s="9">
        <f>Inputs!$F$50*IF(U23=Inputs!$F$205,1,0)</f>
        <v/>
      </c>
      <c r="V47" s="9">
        <f>Inputs!$F$50*IF(V23=Inputs!$F$205,1,0)</f>
        <v/>
      </c>
      <c r="W47" s="9">
        <f>Inputs!$F$50*IF(W23=Inputs!$F$205,1,0)</f>
        <v/>
      </c>
      <c r="X47" s="9">
        <f>Inputs!$F$50*IF(X23=Inputs!$F$205,1,0)</f>
        <v/>
      </c>
      <c r="Y47" s="9">
        <f>Inputs!$F$50*IF(Y23=Inputs!$F$205,1,0)</f>
        <v/>
      </c>
      <c r="Z47" s="9">
        <f>Inputs!$F$50*IF(Z23=Inputs!$F$205,1,0)</f>
        <v/>
      </c>
      <c r="AA47" s="9">
        <f>Inputs!$F$50*IF(AA23=Inputs!$F$205,1,0)</f>
        <v/>
      </c>
      <c r="AB47" s="9">
        <f>Inputs!$F$50*IF(AB23=Inputs!$F$205,1,0)</f>
        <v/>
      </c>
      <c r="AC47" s="9">
        <f>Inputs!$F$50*IF(AC23=Inputs!$F$205,1,0)</f>
        <v/>
      </c>
      <c r="AD47" s="9">
        <f>Inputs!$F$50*IF(AD23=Inputs!$F$205,1,0)</f>
        <v/>
      </c>
      <c r="AE47" s="9">
        <f>Inputs!$F$50*IF(AE23=Inputs!$F$205,1,0)</f>
        <v/>
      </c>
      <c r="AF47" s="9">
        <f>Inputs!$F$50*IF(AF23=Inputs!$F$205,1,0)</f>
        <v/>
      </c>
      <c r="AG47" s="9">
        <f>Inputs!$F$50*IF(AG23=Inputs!$F$205,1,0)</f>
        <v/>
      </c>
      <c r="AH47" s="9">
        <f>Inputs!$F$50*IF(AH23=Inputs!$F$205,1,0)</f>
        <v/>
      </c>
      <c r="AI47" s="9">
        <f>Inputs!$F$50*IF(AI23=Inputs!$F$205,1,0)</f>
        <v/>
      </c>
      <c r="AJ47" s="9">
        <f>Inputs!$F$50*IF(AJ23=Inputs!$F$205,1,0)</f>
        <v/>
      </c>
      <c r="AK47" s="9">
        <f>Inputs!$F$50*IF(AK23=Inputs!$F$205,1,0)</f>
        <v/>
      </c>
      <c r="AL47" s="9">
        <f>Inputs!$F$50*IF(AL23=Inputs!$F$205,1,0)</f>
        <v/>
      </c>
      <c r="AM47" s="9">
        <f>Inputs!$F$50*IF(AM23=Inputs!$F$205,1,0)</f>
        <v/>
      </c>
      <c r="AN47" s="9">
        <f>Inputs!$F$50*IF(AN23=Inputs!$F$205,1,0)</f>
        <v/>
      </c>
      <c r="AO47" s="9">
        <f>Inputs!$F$50*IF(AO23=Inputs!$F$205,1,0)</f>
        <v/>
      </c>
      <c r="AP47" s="9">
        <f>Inputs!$F$50*IF(AP23=Inputs!$F$205,1,0)</f>
        <v/>
      </c>
      <c r="AQ47" s="9">
        <f>Inputs!$F$50*IF(AQ23=Inputs!$F$205,1,0)</f>
        <v/>
      </c>
      <c r="AR47" s="9">
        <f>Inputs!$F$50*IF(AR23=Inputs!$F$205,1,0)</f>
        <v/>
      </c>
      <c r="AS47" s="9">
        <f>Inputs!$F$50*IF(AS23=Inputs!$F$205,1,0)</f>
        <v/>
      </c>
      <c r="AT47" s="9">
        <f>Inputs!$F$50*IF(AT23=Inputs!$F$205,1,0)</f>
        <v/>
      </c>
      <c r="AU47" s="9">
        <f>Inputs!$F$50*IF(AU23=Inputs!$F$205,1,0)</f>
        <v/>
      </c>
      <c r="AV47" s="9">
        <f>Inputs!$F$50*IF(AV23=Inputs!$F$205,1,0)</f>
        <v/>
      </c>
      <c r="AW47" s="9">
        <f>Inputs!$F$50*IF(AW23=Inputs!$F$205,1,0)</f>
        <v/>
      </c>
      <c r="AX47" s="9">
        <f>Inputs!$F$50*IF(AX23=Inputs!$F$205,1,0)</f>
        <v/>
      </c>
      <c r="AY47" s="9">
        <f>Inputs!$F$50*IF(AY23=Inputs!$F$205,1,0)</f>
        <v/>
      </c>
      <c r="AZ47" s="9">
        <f>Inputs!$F$50*IF(AZ23=Inputs!$F$205,1,0)</f>
        <v/>
      </c>
      <c r="BA47" s="9">
        <f>Inputs!$F$50*IF(BA23=Inputs!$F$205,1,0)</f>
        <v/>
      </c>
      <c r="BB47" s="9">
        <f>Inputs!$F$50*IF(BB23=Inputs!$F$205,1,0)</f>
        <v/>
      </c>
      <c r="BC47" s="9">
        <f>Inputs!$F$50*IF(BC23=Inputs!$F$205,1,0)</f>
        <v/>
      </c>
      <c r="BD47" s="9">
        <f>Inputs!$F$50*IF(BD23=Inputs!$F$205,1,0)</f>
        <v/>
      </c>
      <c r="BE47" s="9">
        <f>Inputs!$F$50*IF(BE23=Inputs!$F$205,1,0)</f>
        <v/>
      </c>
      <c r="BF47" s="9">
        <f>Inputs!$F$50*IF(BF23=Inputs!$F$205,1,0)</f>
        <v/>
      </c>
      <c r="BG47" s="9">
        <f>Inputs!$F$50*IF(BG23=Inputs!$F$205,1,0)</f>
        <v/>
      </c>
      <c r="BH47" s="9">
        <f>Inputs!$F$50*IF(BH23=Inputs!$F$205,1,0)</f>
        <v/>
      </c>
      <c r="BI47" s="9">
        <f>Inputs!$F$50*IF(BI23=Inputs!$F$205,1,0)</f>
        <v/>
      </c>
      <c r="BJ47" s="9">
        <f>Inputs!$F$50*IF(BJ23=Inputs!$F$205,1,0)</f>
        <v/>
      </c>
      <c r="BK47" s="9">
        <f>Inputs!$F$50*IF(BK23=Inputs!$F$205,1,0)</f>
        <v/>
      </c>
      <c r="BL47" s="9">
        <f>Inputs!$F$50*IF(BL23=Inputs!$F$205,1,0)</f>
        <v/>
      </c>
      <c r="BM47" s="9">
        <f>Inputs!$F$50*IF(BM23=Inputs!$F$205,1,0)</f>
        <v/>
      </c>
      <c r="BN47" s="9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9">
        <f>Inputs!$F$50*IF(J23&gt;Inputs!$F$205,1,0)</f>
        <v/>
      </c>
      <c r="K48" s="9">
        <f>Inputs!$F$50*IF(K23&gt;Inputs!$F$205,1,0)</f>
        <v/>
      </c>
      <c r="L48" s="9">
        <f>Inputs!$F$50*IF(L23&gt;Inputs!$F$205,1,0)</f>
        <v/>
      </c>
      <c r="M48" s="9">
        <f>Inputs!$F$50*IF(M23&gt;Inputs!$F$205,1,0)</f>
        <v/>
      </c>
      <c r="N48" s="9">
        <f>Inputs!$F$50*IF(N23&gt;Inputs!$F$205,1,0)</f>
        <v/>
      </c>
      <c r="O48" s="9">
        <f>Inputs!$F$50*IF(O23&gt;Inputs!$F$205,1,0)</f>
        <v/>
      </c>
      <c r="P48" s="9">
        <f>Inputs!$F$50*IF(P23&gt;Inputs!$F$205,1,0)</f>
        <v/>
      </c>
      <c r="Q48" s="9">
        <f>Inputs!$F$50*IF(Q23&gt;Inputs!$F$205,1,0)</f>
        <v/>
      </c>
      <c r="R48" s="9">
        <f>Inputs!$F$50*IF(R23&gt;Inputs!$F$205,1,0)</f>
        <v/>
      </c>
      <c r="S48" s="9">
        <f>Inputs!$F$50*IF(S23&gt;Inputs!$F$205,1,0)</f>
        <v/>
      </c>
      <c r="T48" s="9">
        <f>Inputs!$F$50*IF(T23&gt;Inputs!$F$205,1,0)</f>
        <v/>
      </c>
      <c r="U48" s="9">
        <f>Inputs!$F$50*IF(U23&gt;Inputs!$F$205,1,0)</f>
        <v/>
      </c>
      <c r="V48" s="9">
        <f>Inputs!$F$50*IF(V23&gt;Inputs!$F$205,1,0)</f>
        <v/>
      </c>
      <c r="W48" s="9">
        <f>Inputs!$F$50*IF(W23&gt;Inputs!$F$205,1,0)</f>
        <v/>
      </c>
      <c r="X48" s="9">
        <f>Inputs!$F$50*IF(X23&gt;Inputs!$F$205,1,0)</f>
        <v/>
      </c>
      <c r="Y48" s="9">
        <f>Inputs!$F$50*IF(Y23&gt;Inputs!$F$205,1,0)</f>
        <v/>
      </c>
      <c r="Z48" s="9">
        <f>Inputs!$F$50*IF(Z23&gt;Inputs!$F$205,1,0)</f>
        <v/>
      </c>
      <c r="AA48" s="9">
        <f>Inputs!$F$50*IF(AA23&gt;Inputs!$F$205,1,0)</f>
        <v/>
      </c>
      <c r="AB48" s="9">
        <f>Inputs!$F$50*IF(AB23&gt;Inputs!$F$205,1,0)</f>
        <v/>
      </c>
      <c r="AC48" s="9">
        <f>Inputs!$F$50*IF(AC23&gt;Inputs!$F$205,1,0)</f>
        <v/>
      </c>
      <c r="AD48" s="9">
        <f>Inputs!$F$50*IF(AD23&gt;Inputs!$F$205,1,0)</f>
        <v/>
      </c>
      <c r="AE48" s="9">
        <f>Inputs!$F$50*IF(AE23&gt;Inputs!$F$205,1,0)</f>
        <v/>
      </c>
      <c r="AF48" s="9">
        <f>Inputs!$F$50*IF(AF23&gt;Inputs!$F$205,1,0)</f>
        <v/>
      </c>
      <c r="AG48" s="9">
        <f>Inputs!$F$50*IF(AG23&gt;Inputs!$F$205,1,0)</f>
        <v/>
      </c>
      <c r="AH48" s="9">
        <f>Inputs!$F$50*IF(AH23&gt;Inputs!$F$205,1,0)</f>
        <v/>
      </c>
      <c r="AI48" s="9">
        <f>Inputs!$F$50*IF(AI23&gt;Inputs!$F$205,1,0)</f>
        <v/>
      </c>
      <c r="AJ48" s="9">
        <f>Inputs!$F$50*IF(AJ23&gt;Inputs!$F$205,1,0)</f>
        <v/>
      </c>
      <c r="AK48" s="9">
        <f>Inputs!$F$50*IF(AK23&gt;Inputs!$F$205,1,0)</f>
        <v/>
      </c>
      <c r="AL48" s="9">
        <f>Inputs!$F$50*IF(AL23&gt;Inputs!$F$205,1,0)</f>
        <v/>
      </c>
      <c r="AM48" s="9">
        <f>Inputs!$F$50*IF(AM23&gt;Inputs!$F$205,1,0)</f>
        <v/>
      </c>
      <c r="AN48" s="9">
        <f>Inputs!$F$50*IF(AN23&gt;Inputs!$F$205,1,0)</f>
        <v/>
      </c>
      <c r="AO48" s="9">
        <f>Inputs!$F$50*IF(AO23&gt;Inputs!$F$205,1,0)</f>
        <v/>
      </c>
      <c r="AP48" s="9">
        <f>Inputs!$F$50*IF(AP23&gt;Inputs!$F$205,1,0)</f>
        <v/>
      </c>
      <c r="AQ48" s="9">
        <f>Inputs!$F$50*IF(AQ23&gt;Inputs!$F$205,1,0)</f>
        <v/>
      </c>
      <c r="AR48" s="9">
        <f>Inputs!$F$50*IF(AR23&gt;Inputs!$F$205,1,0)</f>
        <v/>
      </c>
      <c r="AS48" s="9">
        <f>Inputs!$F$50*IF(AS23&gt;Inputs!$F$205,1,0)</f>
        <v/>
      </c>
      <c r="AT48" s="9">
        <f>Inputs!$F$50*IF(AT23&gt;Inputs!$F$205,1,0)</f>
        <v/>
      </c>
      <c r="AU48" s="9">
        <f>Inputs!$F$50*IF(AU23&gt;Inputs!$F$205,1,0)</f>
        <v/>
      </c>
      <c r="AV48" s="9">
        <f>Inputs!$F$50*IF(AV23&gt;Inputs!$F$205,1,0)</f>
        <v/>
      </c>
      <c r="AW48" s="9">
        <f>Inputs!$F$50*IF(AW23&gt;Inputs!$F$205,1,0)</f>
        <v/>
      </c>
      <c r="AX48" s="9">
        <f>Inputs!$F$50*IF(AX23&gt;Inputs!$F$205,1,0)</f>
        <v/>
      </c>
      <c r="AY48" s="9">
        <f>Inputs!$F$50*IF(AY23&gt;Inputs!$F$205,1,0)</f>
        <v/>
      </c>
      <c r="AZ48" s="9">
        <f>Inputs!$F$50*IF(AZ23&gt;Inputs!$F$205,1,0)</f>
        <v/>
      </c>
      <c r="BA48" s="9">
        <f>Inputs!$F$50*IF(BA23&gt;Inputs!$F$205,1,0)</f>
        <v/>
      </c>
      <c r="BB48" s="9">
        <f>Inputs!$F$50*IF(BB23&gt;Inputs!$F$205,1,0)</f>
        <v/>
      </c>
      <c r="BC48" s="9">
        <f>Inputs!$F$50*IF(BC23&gt;Inputs!$F$205,1,0)</f>
        <v/>
      </c>
      <c r="BD48" s="9">
        <f>Inputs!$F$50*IF(BD23&gt;Inputs!$F$205,1,0)</f>
        <v/>
      </c>
      <c r="BE48" s="9">
        <f>Inputs!$F$50*IF(BE23&gt;Inputs!$F$205,1,0)</f>
        <v/>
      </c>
      <c r="BF48" s="9">
        <f>Inputs!$F$50*IF(BF23&gt;Inputs!$F$205,1,0)</f>
        <v/>
      </c>
      <c r="BG48" s="9">
        <f>Inputs!$F$50*IF(BG23&gt;Inputs!$F$205,1,0)</f>
        <v/>
      </c>
      <c r="BH48" s="9">
        <f>Inputs!$F$50*IF(BH23&gt;Inputs!$F$205,1,0)</f>
        <v/>
      </c>
      <c r="BI48" s="9">
        <f>Inputs!$F$50*IF(BI23&gt;Inputs!$F$205,1,0)</f>
        <v/>
      </c>
      <c r="BJ48" s="9">
        <f>Inputs!$F$50*IF(BJ23&gt;Inputs!$F$205,1,0)</f>
        <v/>
      </c>
      <c r="BK48" s="9">
        <f>Inputs!$F$50*IF(BK23&gt;Inputs!$F$205,1,0)</f>
        <v/>
      </c>
      <c r="BL48" s="9">
        <f>Inputs!$F$50*IF(BL23&gt;Inputs!$F$205,1,0)</f>
        <v/>
      </c>
      <c r="BM48" s="9">
        <f>Inputs!$F$50*IF(BM23&gt;Inputs!$F$205,1,0)</f>
        <v/>
      </c>
      <c r="BN48" s="9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9">
        <f>Inputs!$F$49*IF(AND(J23&gt;=Inputs!$F$199,J23&lt;=Inputs!$F$200),1,0)</f>
        <v/>
      </c>
      <c r="K49" s="9">
        <f>Inputs!$F$49*IF(AND(K23&gt;=Inputs!$F$199,K23&lt;=Inputs!$F$200),1,0)</f>
        <v/>
      </c>
      <c r="L49" s="9">
        <f>Inputs!$F$49*IF(AND(L23&gt;=Inputs!$F$199,L23&lt;=Inputs!$F$200),1,0)</f>
        <v/>
      </c>
      <c r="M49" s="9">
        <f>Inputs!$F$49*IF(AND(M23&gt;=Inputs!$F$199,M23&lt;=Inputs!$F$200),1,0)</f>
        <v/>
      </c>
      <c r="N49" s="9">
        <f>Inputs!$F$49*IF(AND(N23&gt;=Inputs!$F$199,N23&lt;=Inputs!$F$200),1,0)</f>
        <v/>
      </c>
      <c r="O49" s="9">
        <f>Inputs!$F$49*IF(AND(O23&gt;=Inputs!$F$199,O23&lt;=Inputs!$F$200),1,0)</f>
        <v/>
      </c>
      <c r="P49" s="9">
        <f>Inputs!$F$49*IF(AND(P23&gt;=Inputs!$F$199,P23&lt;=Inputs!$F$200),1,0)</f>
        <v/>
      </c>
      <c r="Q49" s="9">
        <f>Inputs!$F$49*IF(AND(Q23&gt;=Inputs!$F$199,Q23&lt;=Inputs!$F$200),1,0)</f>
        <v/>
      </c>
      <c r="R49" s="9">
        <f>Inputs!$F$49*IF(AND(R23&gt;=Inputs!$F$199,R23&lt;=Inputs!$F$200),1,0)</f>
        <v/>
      </c>
      <c r="S49" s="9">
        <f>Inputs!$F$49*IF(AND(S23&gt;=Inputs!$F$199,S23&lt;=Inputs!$F$200),1,0)</f>
        <v/>
      </c>
      <c r="T49" s="9">
        <f>Inputs!$F$49*IF(AND(T23&gt;=Inputs!$F$199,T23&lt;=Inputs!$F$200),1,0)</f>
        <v/>
      </c>
      <c r="U49" s="9">
        <f>Inputs!$F$49*IF(AND(U23&gt;=Inputs!$F$199,U23&lt;=Inputs!$F$200),1,0)</f>
        <v/>
      </c>
      <c r="V49" s="9">
        <f>Inputs!$F$49*IF(AND(V23&gt;=Inputs!$F$199,V23&lt;=Inputs!$F$200),1,0)</f>
        <v/>
      </c>
      <c r="W49" s="9">
        <f>Inputs!$F$49*IF(AND(W23&gt;=Inputs!$F$199,W23&lt;=Inputs!$F$200),1,0)</f>
        <v/>
      </c>
      <c r="X49" s="9">
        <f>Inputs!$F$49*IF(AND(X23&gt;=Inputs!$F$199,X23&lt;=Inputs!$F$200),1,0)</f>
        <v/>
      </c>
      <c r="Y49" s="9">
        <f>Inputs!$F$49*IF(AND(Y23&gt;=Inputs!$F$199,Y23&lt;=Inputs!$F$200),1,0)</f>
        <v/>
      </c>
      <c r="Z49" s="9">
        <f>Inputs!$F$49*IF(AND(Z23&gt;=Inputs!$F$199,Z23&lt;=Inputs!$F$200),1,0)</f>
        <v/>
      </c>
      <c r="AA49" s="9">
        <f>Inputs!$F$49*IF(AND(AA23&gt;=Inputs!$F$199,AA23&lt;=Inputs!$F$200),1,0)</f>
        <v/>
      </c>
      <c r="AB49" s="9">
        <f>Inputs!$F$49*IF(AND(AB23&gt;=Inputs!$F$199,AB23&lt;=Inputs!$F$200),1,0)</f>
        <v/>
      </c>
      <c r="AC49" s="9">
        <f>Inputs!$F$49*IF(AND(AC23&gt;=Inputs!$F$199,AC23&lt;=Inputs!$F$200),1,0)</f>
        <v/>
      </c>
      <c r="AD49" s="9">
        <f>Inputs!$F$49*IF(AND(AD23&gt;=Inputs!$F$199,AD23&lt;=Inputs!$F$200),1,0)</f>
        <v/>
      </c>
      <c r="AE49" s="9">
        <f>Inputs!$F$49*IF(AND(AE23&gt;=Inputs!$F$199,AE23&lt;=Inputs!$F$200),1,0)</f>
        <v/>
      </c>
      <c r="AF49" s="9">
        <f>Inputs!$F$49*IF(AND(AF23&gt;=Inputs!$F$199,AF23&lt;=Inputs!$F$200),1,0)</f>
        <v/>
      </c>
      <c r="AG49" s="9">
        <f>Inputs!$F$49*IF(AND(AG23&gt;=Inputs!$F$199,AG23&lt;=Inputs!$F$200),1,0)</f>
        <v/>
      </c>
      <c r="AH49" s="9">
        <f>Inputs!$F$49*IF(AND(AH23&gt;=Inputs!$F$199,AH23&lt;=Inputs!$F$200),1,0)</f>
        <v/>
      </c>
      <c r="AI49" s="9">
        <f>Inputs!$F$49*IF(AND(AI23&gt;=Inputs!$F$199,AI23&lt;=Inputs!$F$200),1,0)</f>
        <v/>
      </c>
      <c r="AJ49" s="9">
        <f>Inputs!$F$49*IF(AND(AJ23&gt;=Inputs!$F$199,AJ23&lt;=Inputs!$F$200),1,0)</f>
        <v/>
      </c>
      <c r="AK49" s="9">
        <f>Inputs!$F$49*IF(AND(AK23&gt;=Inputs!$F$199,AK23&lt;=Inputs!$F$200),1,0)</f>
        <v/>
      </c>
      <c r="AL49" s="9">
        <f>Inputs!$F$49*IF(AND(AL23&gt;=Inputs!$F$199,AL23&lt;=Inputs!$F$200),1,0)</f>
        <v/>
      </c>
      <c r="AM49" s="9">
        <f>Inputs!$F$49*IF(AND(AM23&gt;=Inputs!$F$199,AM23&lt;=Inputs!$F$200),1,0)</f>
        <v/>
      </c>
      <c r="AN49" s="9">
        <f>Inputs!$F$49*IF(AND(AN23&gt;=Inputs!$F$199,AN23&lt;=Inputs!$F$200),1,0)</f>
        <v/>
      </c>
      <c r="AO49" s="9">
        <f>Inputs!$F$49*IF(AND(AO23&gt;=Inputs!$F$199,AO23&lt;=Inputs!$F$200),1,0)</f>
        <v/>
      </c>
      <c r="AP49" s="9">
        <f>Inputs!$F$49*IF(AND(AP23&gt;=Inputs!$F$199,AP23&lt;=Inputs!$F$200),1,0)</f>
        <v/>
      </c>
      <c r="AQ49" s="9">
        <f>Inputs!$F$49*IF(AND(AQ23&gt;=Inputs!$F$199,AQ23&lt;=Inputs!$F$200),1,0)</f>
        <v/>
      </c>
      <c r="AR49" s="9">
        <f>Inputs!$F$49*IF(AND(AR23&gt;=Inputs!$F$199,AR23&lt;=Inputs!$F$200),1,0)</f>
        <v/>
      </c>
      <c r="AS49" s="9">
        <f>Inputs!$F$49*IF(AND(AS23&gt;=Inputs!$F$199,AS23&lt;=Inputs!$F$200),1,0)</f>
        <v/>
      </c>
      <c r="AT49" s="9">
        <f>Inputs!$F$49*IF(AND(AT23&gt;=Inputs!$F$199,AT23&lt;=Inputs!$F$200),1,0)</f>
        <v/>
      </c>
      <c r="AU49" s="9">
        <f>Inputs!$F$49*IF(AND(AU23&gt;=Inputs!$F$199,AU23&lt;=Inputs!$F$200),1,0)</f>
        <v/>
      </c>
      <c r="AV49" s="9">
        <f>Inputs!$F$49*IF(AND(AV23&gt;=Inputs!$F$199,AV23&lt;=Inputs!$F$200),1,0)</f>
        <v/>
      </c>
      <c r="AW49" s="9">
        <f>Inputs!$F$49*IF(AND(AW23&gt;=Inputs!$F$199,AW23&lt;=Inputs!$F$200),1,0)</f>
        <v/>
      </c>
      <c r="AX49" s="9">
        <f>Inputs!$F$49*IF(AND(AX23&gt;=Inputs!$F$199,AX23&lt;=Inputs!$F$200),1,0)</f>
        <v/>
      </c>
      <c r="AY49" s="9">
        <f>Inputs!$F$49*IF(AND(AY23&gt;=Inputs!$F$199,AY23&lt;=Inputs!$F$200),1,0)</f>
        <v/>
      </c>
      <c r="AZ49" s="9">
        <f>Inputs!$F$49*IF(AND(AZ23&gt;=Inputs!$F$199,AZ23&lt;=Inputs!$F$200),1,0)</f>
        <v/>
      </c>
      <c r="BA49" s="9">
        <f>Inputs!$F$49*IF(AND(BA23&gt;=Inputs!$F$199,BA23&lt;=Inputs!$F$200),1,0)</f>
        <v/>
      </c>
      <c r="BB49" s="9">
        <f>Inputs!$F$49*IF(AND(BB23&gt;=Inputs!$F$199,BB23&lt;=Inputs!$F$200),1,0)</f>
        <v/>
      </c>
      <c r="BC49" s="9">
        <f>Inputs!$F$49*IF(AND(BC23&gt;=Inputs!$F$199,BC23&lt;=Inputs!$F$200),1,0)</f>
        <v/>
      </c>
      <c r="BD49" s="9">
        <f>Inputs!$F$49*IF(AND(BD23&gt;=Inputs!$F$199,BD23&lt;=Inputs!$F$200),1,0)</f>
        <v/>
      </c>
      <c r="BE49" s="9">
        <f>Inputs!$F$49*IF(AND(BE23&gt;=Inputs!$F$199,BE23&lt;=Inputs!$F$200),1,0)</f>
        <v/>
      </c>
      <c r="BF49" s="9">
        <f>Inputs!$F$49*IF(AND(BF23&gt;=Inputs!$F$199,BF23&lt;=Inputs!$F$200),1,0)</f>
        <v/>
      </c>
      <c r="BG49" s="9">
        <f>Inputs!$F$49*IF(AND(BG23&gt;=Inputs!$F$199,BG23&lt;=Inputs!$F$200),1,0)</f>
        <v/>
      </c>
      <c r="BH49" s="9">
        <f>Inputs!$F$49*IF(AND(BH23&gt;=Inputs!$F$199,BH23&lt;=Inputs!$F$200),1,0)</f>
        <v/>
      </c>
      <c r="BI49" s="9">
        <f>Inputs!$F$49*IF(AND(BI23&gt;=Inputs!$F$199,BI23&lt;=Inputs!$F$200),1,0)</f>
        <v/>
      </c>
      <c r="BJ49" s="9">
        <f>Inputs!$F$49*IF(AND(BJ23&gt;=Inputs!$F$199,BJ23&lt;=Inputs!$F$200),1,0)</f>
        <v/>
      </c>
      <c r="BK49" s="9">
        <f>Inputs!$F$49*IF(AND(BK23&gt;=Inputs!$F$199,BK23&lt;=Inputs!$F$200),1,0)</f>
        <v/>
      </c>
      <c r="BL49" s="9">
        <f>Inputs!$F$49*IF(AND(BL23&gt;=Inputs!$F$199,BL23&lt;=Inputs!$F$200),1,0)</f>
        <v/>
      </c>
      <c r="BM49" s="9">
        <f>Inputs!$F$49*IF(AND(BM23&gt;=Inputs!$F$199,BM23&lt;=Inputs!$F$200),1,0)</f>
        <v/>
      </c>
      <c r="BN49" s="9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9">
        <f>Inputs!$F$49*IF(J23&gt;=Inputs!$F$199,1,0)</f>
        <v/>
      </c>
      <c r="K50" s="9">
        <f>Inputs!$F$49*IF(K23&gt;=Inputs!$F$199,1,0)</f>
        <v/>
      </c>
      <c r="L50" s="9">
        <f>Inputs!$F$49*IF(L23&gt;=Inputs!$F$199,1,0)</f>
        <v/>
      </c>
      <c r="M50" s="9">
        <f>Inputs!$F$49*IF(M23&gt;=Inputs!$F$199,1,0)</f>
        <v/>
      </c>
      <c r="N50" s="9">
        <f>Inputs!$F$49*IF(N23&gt;=Inputs!$F$199,1,0)</f>
        <v/>
      </c>
      <c r="O50" s="9">
        <f>Inputs!$F$49*IF(O23&gt;=Inputs!$F$199,1,0)</f>
        <v/>
      </c>
      <c r="P50" s="9">
        <f>Inputs!$F$49*IF(P23&gt;=Inputs!$F$199,1,0)</f>
        <v/>
      </c>
      <c r="Q50" s="9">
        <f>Inputs!$F$49*IF(Q23&gt;=Inputs!$F$199,1,0)</f>
        <v/>
      </c>
      <c r="R50" s="9">
        <f>Inputs!$F$49*IF(R23&gt;=Inputs!$F$199,1,0)</f>
        <v/>
      </c>
      <c r="S50" s="9">
        <f>Inputs!$F$49*IF(S23&gt;=Inputs!$F$199,1,0)</f>
        <v/>
      </c>
      <c r="T50" s="9">
        <f>Inputs!$F$49*IF(T23&gt;=Inputs!$F$199,1,0)</f>
        <v/>
      </c>
      <c r="U50" s="9">
        <f>Inputs!$F$49*IF(U23&gt;=Inputs!$F$199,1,0)</f>
        <v/>
      </c>
      <c r="V50" s="9">
        <f>Inputs!$F$49*IF(V23&gt;=Inputs!$F$199,1,0)</f>
        <v/>
      </c>
      <c r="W50" s="9">
        <f>Inputs!$F$49*IF(W23&gt;=Inputs!$F$199,1,0)</f>
        <v/>
      </c>
      <c r="X50" s="9">
        <f>Inputs!$F$49*IF(X23&gt;=Inputs!$F$199,1,0)</f>
        <v/>
      </c>
      <c r="Y50" s="9">
        <f>Inputs!$F$49*IF(Y23&gt;=Inputs!$F$199,1,0)</f>
        <v/>
      </c>
      <c r="Z50" s="9">
        <f>Inputs!$F$49*IF(Z23&gt;=Inputs!$F$199,1,0)</f>
        <v/>
      </c>
      <c r="AA50" s="9">
        <f>Inputs!$F$49*IF(AA23&gt;=Inputs!$F$199,1,0)</f>
        <v/>
      </c>
      <c r="AB50" s="9">
        <f>Inputs!$F$49*IF(AB23&gt;=Inputs!$F$199,1,0)</f>
        <v/>
      </c>
      <c r="AC50" s="9">
        <f>Inputs!$F$49*IF(AC23&gt;=Inputs!$F$199,1,0)</f>
        <v/>
      </c>
      <c r="AD50" s="9">
        <f>Inputs!$F$49*IF(AD23&gt;=Inputs!$F$199,1,0)</f>
        <v/>
      </c>
      <c r="AE50" s="9">
        <f>Inputs!$F$49*IF(AE23&gt;=Inputs!$F$199,1,0)</f>
        <v/>
      </c>
      <c r="AF50" s="9">
        <f>Inputs!$F$49*IF(AF23&gt;=Inputs!$F$199,1,0)</f>
        <v/>
      </c>
      <c r="AG50" s="9">
        <f>Inputs!$F$49*IF(AG23&gt;=Inputs!$F$199,1,0)</f>
        <v/>
      </c>
      <c r="AH50" s="9">
        <f>Inputs!$F$49*IF(AH23&gt;=Inputs!$F$199,1,0)</f>
        <v/>
      </c>
      <c r="AI50" s="9">
        <f>Inputs!$F$49*IF(AI23&gt;=Inputs!$F$199,1,0)</f>
        <v/>
      </c>
      <c r="AJ50" s="9">
        <f>Inputs!$F$49*IF(AJ23&gt;=Inputs!$F$199,1,0)</f>
        <v/>
      </c>
      <c r="AK50" s="9">
        <f>Inputs!$F$49*IF(AK23&gt;=Inputs!$F$199,1,0)</f>
        <v/>
      </c>
      <c r="AL50" s="9">
        <f>Inputs!$F$49*IF(AL23&gt;=Inputs!$F$199,1,0)</f>
        <v/>
      </c>
      <c r="AM50" s="9">
        <f>Inputs!$F$49*IF(AM23&gt;=Inputs!$F$199,1,0)</f>
        <v/>
      </c>
      <c r="AN50" s="9">
        <f>Inputs!$F$49*IF(AN23&gt;=Inputs!$F$199,1,0)</f>
        <v/>
      </c>
      <c r="AO50" s="9">
        <f>Inputs!$F$49*IF(AO23&gt;=Inputs!$F$199,1,0)</f>
        <v/>
      </c>
      <c r="AP50" s="9">
        <f>Inputs!$F$49*IF(AP23&gt;=Inputs!$F$199,1,0)</f>
        <v/>
      </c>
      <c r="AQ50" s="9">
        <f>Inputs!$F$49*IF(AQ23&gt;=Inputs!$F$199,1,0)</f>
        <v/>
      </c>
      <c r="AR50" s="9">
        <f>Inputs!$F$49*IF(AR23&gt;=Inputs!$F$199,1,0)</f>
        <v/>
      </c>
      <c r="AS50" s="9">
        <f>Inputs!$F$49*IF(AS23&gt;=Inputs!$F$199,1,0)</f>
        <v/>
      </c>
      <c r="AT50" s="9">
        <f>Inputs!$F$49*IF(AT23&gt;=Inputs!$F$199,1,0)</f>
        <v/>
      </c>
      <c r="AU50" s="9">
        <f>Inputs!$F$49*IF(AU23&gt;=Inputs!$F$199,1,0)</f>
        <v/>
      </c>
      <c r="AV50" s="9">
        <f>Inputs!$F$49*IF(AV23&gt;=Inputs!$F$199,1,0)</f>
        <v/>
      </c>
      <c r="AW50" s="9">
        <f>Inputs!$F$49*IF(AW23&gt;=Inputs!$F$199,1,0)</f>
        <v/>
      </c>
      <c r="AX50" s="9">
        <f>Inputs!$F$49*IF(AX23&gt;=Inputs!$F$199,1,0)</f>
        <v/>
      </c>
      <c r="AY50" s="9">
        <f>Inputs!$F$49*IF(AY23&gt;=Inputs!$F$199,1,0)</f>
        <v/>
      </c>
      <c r="AZ50" s="9">
        <f>Inputs!$F$49*IF(AZ23&gt;=Inputs!$F$199,1,0)</f>
        <v/>
      </c>
      <c r="BA50" s="9">
        <f>Inputs!$F$49*IF(BA23&gt;=Inputs!$F$199,1,0)</f>
        <v/>
      </c>
      <c r="BB50" s="9">
        <f>Inputs!$F$49*IF(BB23&gt;=Inputs!$F$199,1,0)</f>
        <v/>
      </c>
      <c r="BC50" s="9">
        <f>Inputs!$F$49*IF(BC23&gt;=Inputs!$F$199,1,0)</f>
        <v/>
      </c>
      <c r="BD50" s="9">
        <f>Inputs!$F$49*IF(BD23&gt;=Inputs!$F$199,1,0)</f>
        <v/>
      </c>
      <c r="BE50" s="9">
        <f>Inputs!$F$49*IF(BE23&gt;=Inputs!$F$199,1,0)</f>
        <v/>
      </c>
      <c r="BF50" s="9">
        <f>Inputs!$F$49*IF(BF23&gt;=Inputs!$F$199,1,0)</f>
        <v/>
      </c>
      <c r="BG50" s="9">
        <f>Inputs!$F$49*IF(BG23&gt;=Inputs!$F$199,1,0)</f>
        <v/>
      </c>
      <c r="BH50" s="9">
        <f>Inputs!$F$49*IF(BH23&gt;=Inputs!$F$199,1,0)</f>
        <v/>
      </c>
      <c r="BI50" s="9">
        <f>Inputs!$F$49*IF(BI23&gt;=Inputs!$F$199,1,0)</f>
        <v/>
      </c>
      <c r="BJ50" s="9">
        <f>Inputs!$F$49*IF(BJ23&gt;=Inputs!$F$199,1,0)</f>
        <v/>
      </c>
      <c r="BK50" s="9">
        <f>Inputs!$F$49*IF(BK23&gt;=Inputs!$F$199,1,0)</f>
        <v/>
      </c>
      <c r="BL50" s="9">
        <f>Inputs!$F$49*IF(BL23&gt;=Inputs!$F$199,1,0)</f>
        <v/>
      </c>
      <c r="BM50" s="9">
        <f>Inputs!$F$49*IF(BM23&gt;=Inputs!$F$199,1,0)</f>
        <v/>
      </c>
      <c r="BN50" s="9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9">
        <f>Inputs!$F$49*IF(J23&gt;Inputs!$F$200,1,0)</f>
        <v/>
      </c>
      <c r="K51" s="9">
        <f>Inputs!$F$49*IF(K23&gt;Inputs!$F$200,1,0)</f>
        <v/>
      </c>
      <c r="L51" s="9">
        <f>Inputs!$F$49*IF(L23&gt;Inputs!$F$200,1,0)</f>
        <v/>
      </c>
      <c r="M51" s="9">
        <f>Inputs!$F$49*IF(M23&gt;Inputs!$F$200,1,0)</f>
        <v/>
      </c>
      <c r="N51" s="9">
        <f>Inputs!$F$49*IF(N23&gt;Inputs!$F$200,1,0)</f>
        <v/>
      </c>
      <c r="O51" s="9">
        <f>Inputs!$F$49*IF(O23&gt;Inputs!$F$200,1,0)</f>
        <v/>
      </c>
      <c r="P51" s="9">
        <f>Inputs!$F$49*IF(P23&gt;Inputs!$F$200,1,0)</f>
        <v/>
      </c>
      <c r="Q51" s="9">
        <f>Inputs!$F$49*IF(Q23&gt;Inputs!$F$200,1,0)</f>
        <v/>
      </c>
      <c r="R51" s="9">
        <f>Inputs!$F$49*IF(R23&gt;Inputs!$F$200,1,0)</f>
        <v/>
      </c>
      <c r="S51" s="9">
        <f>Inputs!$F$49*IF(S23&gt;Inputs!$F$200,1,0)</f>
        <v/>
      </c>
      <c r="T51" s="9">
        <f>Inputs!$F$49*IF(T23&gt;Inputs!$F$200,1,0)</f>
        <v/>
      </c>
      <c r="U51" s="9">
        <f>Inputs!$F$49*IF(U23&gt;Inputs!$F$200,1,0)</f>
        <v/>
      </c>
      <c r="V51" s="9">
        <f>Inputs!$F$49*IF(V23&gt;Inputs!$F$200,1,0)</f>
        <v/>
      </c>
      <c r="W51" s="9">
        <f>Inputs!$F$49*IF(W23&gt;Inputs!$F$200,1,0)</f>
        <v/>
      </c>
      <c r="X51" s="9">
        <f>Inputs!$F$49*IF(X23&gt;Inputs!$F$200,1,0)</f>
        <v/>
      </c>
      <c r="Y51" s="9">
        <f>Inputs!$F$49*IF(Y23&gt;Inputs!$F$200,1,0)</f>
        <v/>
      </c>
      <c r="Z51" s="9">
        <f>Inputs!$F$49*IF(Z23&gt;Inputs!$F$200,1,0)</f>
        <v/>
      </c>
      <c r="AA51" s="9">
        <f>Inputs!$F$49*IF(AA23&gt;Inputs!$F$200,1,0)</f>
        <v/>
      </c>
      <c r="AB51" s="9">
        <f>Inputs!$F$49*IF(AB23&gt;Inputs!$F$200,1,0)</f>
        <v/>
      </c>
      <c r="AC51" s="9">
        <f>Inputs!$F$49*IF(AC23&gt;Inputs!$F$200,1,0)</f>
        <v/>
      </c>
      <c r="AD51" s="9">
        <f>Inputs!$F$49*IF(AD23&gt;Inputs!$F$200,1,0)</f>
        <v/>
      </c>
      <c r="AE51" s="9">
        <f>Inputs!$F$49*IF(AE23&gt;Inputs!$F$200,1,0)</f>
        <v/>
      </c>
      <c r="AF51" s="9">
        <f>Inputs!$F$49*IF(AF23&gt;Inputs!$F$200,1,0)</f>
        <v/>
      </c>
      <c r="AG51" s="9">
        <f>Inputs!$F$49*IF(AG23&gt;Inputs!$F$200,1,0)</f>
        <v/>
      </c>
      <c r="AH51" s="9">
        <f>Inputs!$F$49*IF(AH23&gt;Inputs!$F$200,1,0)</f>
        <v/>
      </c>
      <c r="AI51" s="9">
        <f>Inputs!$F$49*IF(AI23&gt;Inputs!$F$200,1,0)</f>
        <v/>
      </c>
      <c r="AJ51" s="9">
        <f>Inputs!$F$49*IF(AJ23&gt;Inputs!$F$200,1,0)</f>
        <v/>
      </c>
      <c r="AK51" s="9">
        <f>Inputs!$F$49*IF(AK23&gt;Inputs!$F$200,1,0)</f>
        <v/>
      </c>
      <c r="AL51" s="9">
        <f>Inputs!$F$49*IF(AL23&gt;Inputs!$F$200,1,0)</f>
        <v/>
      </c>
      <c r="AM51" s="9">
        <f>Inputs!$F$49*IF(AM23&gt;Inputs!$F$200,1,0)</f>
        <v/>
      </c>
      <c r="AN51" s="9">
        <f>Inputs!$F$49*IF(AN23&gt;Inputs!$F$200,1,0)</f>
        <v/>
      </c>
      <c r="AO51" s="9">
        <f>Inputs!$F$49*IF(AO23&gt;Inputs!$F$200,1,0)</f>
        <v/>
      </c>
      <c r="AP51" s="9">
        <f>Inputs!$F$49*IF(AP23&gt;Inputs!$F$200,1,0)</f>
        <v/>
      </c>
      <c r="AQ51" s="9">
        <f>Inputs!$F$49*IF(AQ23&gt;Inputs!$F$200,1,0)</f>
        <v/>
      </c>
      <c r="AR51" s="9">
        <f>Inputs!$F$49*IF(AR23&gt;Inputs!$F$200,1,0)</f>
        <v/>
      </c>
      <c r="AS51" s="9">
        <f>Inputs!$F$49*IF(AS23&gt;Inputs!$F$200,1,0)</f>
        <v/>
      </c>
      <c r="AT51" s="9">
        <f>Inputs!$F$49*IF(AT23&gt;Inputs!$F$200,1,0)</f>
        <v/>
      </c>
      <c r="AU51" s="9">
        <f>Inputs!$F$49*IF(AU23&gt;Inputs!$F$200,1,0)</f>
        <v/>
      </c>
      <c r="AV51" s="9">
        <f>Inputs!$F$49*IF(AV23&gt;Inputs!$F$200,1,0)</f>
        <v/>
      </c>
      <c r="AW51" s="9">
        <f>Inputs!$F$49*IF(AW23&gt;Inputs!$F$200,1,0)</f>
        <v/>
      </c>
      <c r="AX51" s="9">
        <f>Inputs!$F$49*IF(AX23&gt;Inputs!$F$200,1,0)</f>
        <v/>
      </c>
      <c r="AY51" s="9">
        <f>Inputs!$F$49*IF(AY23&gt;Inputs!$F$200,1,0)</f>
        <v/>
      </c>
      <c r="AZ51" s="9">
        <f>Inputs!$F$49*IF(AZ23&gt;Inputs!$F$200,1,0)</f>
        <v/>
      </c>
      <c r="BA51" s="9">
        <f>Inputs!$F$49*IF(BA23&gt;Inputs!$F$200,1,0)</f>
        <v/>
      </c>
      <c r="BB51" s="9">
        <f>Inputs!$F$49*IF(BB23&gt;Inputs!$F$200,1,0)</f>
        <v/>
      </c>
      <c r="BC51" s="9">
        <f>Inputs!$F$49*IF(BC23&gt;Inputs!$F$200,1,0)</f>
        <v/>
      </c>
      <c r="BD51" s="9">
        <f>Inputs!$F$49*IF(BD23&gt;Inputs!$F$200,1,0)</f>
        <v/>
      </c>
      <c r="BE51" s="9">
        <f>Inputs!$F$49*IF(BE23&gt;Inputs!$F$200,1,0)</f>
        <v/>
      </c>
      <c r="BF51" s="9">
        <f>Inputs!$F$49*IF(BF23&gt;Inputs!$F$200,1,0)</f>
        <v/>
      </c>
      <c r="BG51" s="9">
        <f>Inputs!$F$49*IF(BG23&gt;Inputs!$F$200,1,0)</f>
        <v/>
      </c>
      <c r="BH51" s="9">
        <f>Inputs!$F$49*IF(BH23&gt;Inputs!$F$200,1,0)</f>
        <v/>
      </c>
      <c r="BI51" s="9">
        <f>Inputs!$F$49*IF(BI23&gt;Inputs!$F$200,1,0)</f>
        <v/>
      </c>
      <c r="BJ51" s="9">
        <f>Inputs!$F$49*IF(BJ23&gt;Inputs!$F$200,1,0)</f>
        <v/>
      </c>
      <c r="BK51" s="9">
        <f>Inputs!$F$49*IF(BK23&gt;Inputs!$F$200,1,0)</f>
        <v/>
      </c>
      <c r="BL51" s="9">
        <f>Inputs!$F$49*IF(BL23&gt;Inputs!$F$200,1,0)</f>
        <v/>
      </c>
      <c r="BM51" s="9">
        <f>Inputs!$F$49*IF(BM23&gt;Inputs!$F$200,1,0)</f>
        <v/>
      </c>
      <c r="BN51" s="9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9">
        <f>IF(J22&gt;=Inputs!$F$206,1,0)</f>
        <v/>
      </c>
      <c r="K52" s="9">
        <f>IF(K22&gt;=Inputs!$F$206,1,0)</f>
        <v/>
      </c>
      <c r="L52" s="9">
        <f>IF(L22&gt;=Inputs!$F$206,1,0)</f>
        <v/>
      </c>
      <c r="M52" s="9">
        <f>IF(M22&gt;=Inputs!$F$206,1,0)</f>
        <v/>
      </c>
      <c r="N52" s="9">
        <f>IF(N22&gt;=Inputs!$F$206,1,0)</f>
        <v/>
      </c>
      <c r="O52" s="9">
        <f>IF(O22&gt;=Inputs!$F$206,1,0)</f>
        <v/>
      </c>
      <c r="P52" s="9">
        <f>IF(P22&gt;=Inputs!$F$206,1,0)</f>
        <v/>
      </c>
      <c r="Q52" s="9">
        <f>IF(Q22&gt;=Inputs!$F$206,1,0)</f>
        <v/>
      </c>
      <c r="R52" s="9">
        <f>IF(R22&gt;=Inputs!$F$206,1,0)</f>
        <v/>
      </c>
      <c r="S52" s="9">
        <f>IF(S22&gt;=Inputs!$F$206,1,0)</f>
        <v/>
      </c>
      <c r="T52" s="9">
        <f>IF(T22&gt;=Inputs!$F$206,1,0)</f>
        <v/>
      </c>
      <c r="U52" s="9">
        <f>IF(U22&gt;=Inputs!$F$206,1,0)</f>
        <v/>
      </c>
      <c r="V52" s="9">
        <f>IF(V22&gt;=Inputs!$F$206,1,0)</f>
        <v/>
      </c>
      <c r="W52" s="9">
        <f>IF(W22&gt;=Inputs!$F$206,1,0)</f>
        <v/>
      </c>
      <c r="X52" s="9">
        <f>IF(X22&gt;=Inputs!$F$206,1,0)</f>
        <v/>
      </c>
      <c r="Y52" s="9">
        <f>IF(Y22&gt;=Inputs!$F$206,1,0)</f>
        <v/>
      </c>
      <c r="Z52" s="9">
        <f>IF(Z22&gt;=Inputs!$F$206,1,0)</f>
        <v/>
      </c>
      <c r="AA52" s="9">
        <f>IF(AA22&gt;=Inputs!$F$206,1,0)</f>
        <v/>
      </c>
      <c r="AB52" s="9">
        <f>IF(AB22&gt;=Inputs!$F$206,1,0)</f>
        <v/>
      </c>
      <c r="AC52" s="9">
        <f>IF(AC22&gt;=Inputs!$F$206,1,0)</f>
        <v/>
      </c>
      <c r="AD52" s="9">
        <f>IF(AD22&gt;=Inputs!$F$206,1,0)</f>
        <v/>
      </c>
      <c r="AE52" s="9">
        <f>IF(AE22&gt;=Inputs!$F$206,1,0)</f>
        <v/>
      </c>
      <c r="AF52" s="9">
        <f>IF(AF22&gt;=Inputs!$F$206,1,0)</f>
        <v/>
      </c>
      <c r="AG52" s="9">
        <f>IF(AG22&gt;=Inputs!$F$206,1,0)</f>
        <v/>
      </c>
      <c r="AH52" s="9">
        <f>IF(AH22&gt;=Inputs!$F$206,1,0)</f>
        <v/>
      </c>
      <c r="AI52" s="9">
        <f>IF(AI22&gt;=Inputs!$F$206,1,0)</f>
        <v/>
      </c>
      <c r="AJ52" s="9">
        <f>IF(AJ22&gt;=Inputs!$F$206,1,0)</f>
        <v/>
      </c>
      <c r="AK52" s="9">
        <f>IF(AK22&gt;=Inputs!$F$206,1,0)</f>
        <v/>
      </c>
      <c r="AL52" s="9">
        <f>IF(AL22&gt;=Inputs!$F$206,1,0)</f>
        <v/>
      </c>
      <c r="AM52" s="9">
        <f>IF(AM22&gt;=Inputs!$F$206,1,0)</f>
        <v/>
      </c>
      <c r="AN52" s="9">
        <f>IF(AN22&gt;=Inputs!$F$206,1,0)</f>
        <v/>
      </c>
      <c r="AO52" s="9">
        <f>IF(AO22&gt;=Inputs!$F$206,1,0)</f>
        <v/>
      </c>
      <c r="AP52" s="9">
        <f>IF(AP22&gt;=Inputs!$F$206,1,0)</f>
        <v/>
      </c>
      <c r="AQ52" s="9">
        <f>IF(AQ22&gt;=Inputs!$F$206,1,0)</f>
        <v/>
      </c>
      <c r="AR52" s="9">
        <f>IF(AR22&gt;=Inputs!$F$206,1,0)</f>
        <v/>
      </c>
      <c r="AS52" s="9">
        <f>IF(AS22&gt;=Inputs!$F$206,1,0)</f>
        <v/>
      </c>
      <c r="AT52" s="9">
        <f>IF(AT22&gt;=Inputs!$F$206,1,0)</f>
        <v/>
      </c>
      <c r="AU52" s="9">
        <f>IF(AU22&gt;=Inputs!$F$206,1,0)</f>
        <v/>
      </c>
      <c r="AV52" s="9">
        <f>IF(AV22&gt;=Inputs!$F$206,1,0)</f>
        <v/>
      </c>
      <c r="AW52" s="9">
        <f>IF(AW22&gt;=Inputs!$F$206,1,0)</f>
        <v/>
      </c>
      <c r="AX52" s="9">
        <f>IF(AX22&gt;=Inputs!$F$206,1,0)</f>
        <v/>
      </c>
      <c r="AY52" s="9">
        <f>IF(AY22&gt;=Inputs!$F$206,1,0)</f>
        <v/>
      </c>
      <c r="AZ52" s="9">
        <f>IF(AZ22&gt;=Inputs!$F$206,1,0)</f>
        <v/>
      </c>
      <c r="BA52" s="9">
        <f>IF(BA22&gt;=Inputs!$F$206,1,0)</f>
        <v/>
      </c>
      <c r="BB52" s="9">
        <f>IF(BB22&gt;=Inputs!$F$206,1,0)</f>
        <v/>
      </c>
      <c r="BC52" s="9">
        <f>IF(BC22&gt;=Inputs!$F$206,1,0)</f>
        <v/>
      </c>
      <c r="BD52" s="9">
        <f>IF(BD22&gt;=Inputs!$F$206,1,0)</f>
        <v/>
      </c>
      <c r="BE52" s="9">
        <f>IF(BE22&gt;=Inputs!$F$206,1,0)</f>
        <v/>
      </c>
      <c r="BF52" s="9">
        <f>IF(BF22&gt;=Inputs!$F$206,1,0)</f>
        <v/>
      </c>
      <c r="BG52" s="9">
        <f>IF(BG22&gt;=Inputs!$F$206,1,0)</f>
        <v/>
      </c>
      <c r="BH52" s="9">
        <f>IF(BH22&gt;=Inputs!$F$206,1,0)</f>
        <v/>
      </c>
      <c r="BI52" s="9">
        <f>IF(BI22&gt;=Inputs!$F$206,1,0)</f>
        <v/>
      </c>
      <c r="BJ52" s="9">
        <f>IF(BJ22&gt;=Inputs!$F$206,1,0)</f>
        <v/>
      </c>
      <c r="BK52" s="9">
        <f>IF(BK22&gt;=Inputs!$F$206,1,0)</f>
        <v/>
      </c>
      <c r="BL52" s="9">
        <f>IF(BL22&gt;=Inputs!$F$206,1,0)</f>
        <v/>
      </c>
      <c r="BM52" s="9">
        <f>IF(BM22&gt;=Inputs!$F$206,1,0)</f>
        <v/>
      </c>
      <c r="BN52" s="9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9">
        <f>IF(AND(J20&gt;=$F$13,J23&lt;=Inputs!$F$192),1,0)</f>
        <v/>
      </c>
      <c r="K53" s="9">
        <f>IF(AND(K20&gt;=$F$13,K23&lt;=Inputs!$F$192),1,0)</f>
        <v/>
      </c>
      <c r="L53" s="9">
        <f>IF(AND(L20&gt;=$F$13,L23&lt;=Inputs!$F$192),1,0)</f>
        <v/>
      </c>
      <c r="M53" s="9">
        <f>IF(AND(M20&gt;=$F$13,M23&lt;=Inputs!$F$192),1,0)</f>
        <v/>
      </c>
      <c r="N53" s="9">
        <f>IF(AND(N20&gt;=$F$13,N23&lt;=Inputs!$F$192),1,0)</f>
        <v/>
      </c>
      <c r="O53" s="9">
        <f>IF(AND(O20&gt;=$F$13,O23&lt;=Inputs!$F$192),1,0)</f>
        <v/>
      </c>
      <c r="P53" s="9">
        <f>IF(AND(P20&gt;=$F$13,P23&lt;=Inputs!$F$192),1,0)</f>
        <v/>
      </c>
      <c r="Q53" s="9">
        <f>IF(AND(Q20&gt;=$F$13,Q23&lt;=Inputs!$F$192),1,0)</f>
        <v/>
      </c>
      <c r="R53" s="9">
        <f>IF(AND(R20&gt;=$F$13,R23&lt;=Inputs!$F$192),1,0)</f>
        <v/>
      </c>
      <c r="S53" s="9">
        <f>IF(AND(S20&gt;=$F$13,S23&lt;=Inputs!$F$192),1,0)</f>
        <v/>
      </c>
      <c r="T53" s="9">
        <f>IF(AND(T20&gt;=$F$13,T23&lt;=Inputs!$F$192),1,0)</f>
        <v/>
      </c>
      <c r="U53" s="9">
        <f>IF(AND(U20&gt;=$F$13,U23&lt;=Inputs!$F$192),1,0)</f>
        <v/>
      </c>
      <c r="V53" s="9">
        <f>IF(AND(V20&gt;=$F$13,V23&lt;=Inputs!$F$192),1,0)</f>
        <v/>
      </c>
      <c r="W53" s="9">
        <f>IF(AND(W20&gt;=$F$13,W23&lt;=Inputs!$F$192),1,0)</f>
        <v/>
      </c>
      <c r="X53" s="9">
        <f>IF(AND(X20&gt;=$F$13,X23&lt;=Inputs!$F$192),1,0)</f>
        <v/>
      </c>
      <c r="Y53" s="9">
        <f>IF(AND(Y20&gt;=$F$13,Y23&lt;=Inputs!$F$192),1,0)</f>
        <v/>
      </c>
      <c r="Z53" s="9">
        <f>IF(AND(Z20&gt;=$F$13,Z23&lt;=Inputs!$F$192),1,0)</f>
        <v/>
      </c>
      <c r="AA53" s="9">
        <f>IF(AND(AA20&gt;=$F$13,AA23&lt;=Inputs!$F$192),1,0)</f>
        <v/>
      </c>
      <c r="AB53" s="9">
        <f>IF(AND(AB20&gt;=$F$13,AB23&lt;=Inputs!$F$192),1,0)</f>
        <v/>
      </c>
      <c r="AC53" s="9">
        <f>IF(AND(AC20&gt;=$F$13,AC23&lt;=Inputs!$F$192),1,0)</f>
        <v/>
      </c>
      <c r="AD53" s="9">
        <f>IF(AND(AD20&gt;=$F$13,AD23&lt;=Inputs!$F$192),1,0)</f>
        <v/>
      </c>
      <c r="AE53" s="9">
        <f>IF(AND(AE20&gt;=$F$13,AE23&lt;=Inputs!$F$192),1,0)</f>
        <v/>
      </c>
      <c r="AF53" s="9">
        <f>IF(AND(AF20&gt;=$F$13,AF23&lt;=Inputs!$F$192),1,0)</f>
        <v/>
      </c>
      <c r="AG53" s="9">
        <f>IF(AND(AG20&gt;=$F$13,AG23&lt;=Inputs!$F$192),1,0)</f>
        <v/>
      </c>
      <c r="AH53" s="9">
        <f>IF(AND(AH20&gt;=$F$13,AH23&lt;=Inputs!$F$192),1,0)</f>
        <v/>
      </c>
      <c r="AI53" s="9">
        <f>IF(AND(AI20&gt;=$F$13,AI23&lt;=Inputs!$F$192),1,0)</f>
        <v/>
      </c>
      <c r="AJ53" s="9">
        <f>IF(AND(AJ20&gt;=$F$13,AJ23&lt;=Inputs!$F$192),1,0)</f>
        <v/>
      </c>
      <c r="AK53" s="9">
        <f>IF(AND(AK20&gt;=$F$13,AK23&lt;=Inputs!$F$192),1,0)</f>
        <v/>
      </c>
      <c r="AL53" s="9">
        <f>IF(AND(AL20&gt;=$F$13,AL23&lt;=Inputs!$F$192),1,0)</f>
        <v/>
      </c>
      <c r="AM53" s="9">
        <f>IF(AND(AM20&gt;=$F$13,AM23&lt;=Inputs!$F$192),1,0)</f>
        <v/>
      </c>
      <c r="AN53" s="9">
        <f>IF(AND(AN20&gt;=$F$13,AN23&lt;=Inputs!$F$192),1,0)</f>
        <v/>
      </c>
      <c r="AO53" s="9">
        <f>IF(AND(AO20&gt;=$F$13,AO23&lt;=Inputs!$F$192),1,0)</f>
        <v/>
      </c>
      <c r="AP53" s="9">
        <f>IF(AND(AP20&gt;=$F$13,AP23&lt;=Inputs!$F$192),1,0)</f>
        <v/>
      </c>
      <c r="AQ53" s="9">
        <f>IF(AND(AQ20&gt;=$F$13,AQ23&lt;=Inputs!$F$192),1,0)</f>
        <v/>
      </c>
      <c r="AR53" s="9">
        <f>IF(AND(AR20&gt;=$F$13,AR23&lt;=Inputs!$F$192),1,0)</f>
        <v/>
      </c>
      <c r="AS53" s="9">
        <f>IF(AND(AS20&gt;=$F$13,AS23&lt;=Inputs!$F$192),1,0)</f>
        <v/>
      </c>
      <c r="AT53" s="9">
        <f>IF(AND(AT20&gt;=$F$13,AT23&lt;=Inputs!$F$192),1,0)</f>
        <v/>
      </c>
      <c r="AU53" s="9">
        <f>IF(AND(AU20&gt;=$F$13,AU23&lt;=Inputs!$F$192),1,0)</f>
        <v/>
      </c>
      <c r="AV53" s="9">
        <f>IF(AND(AV20&gt;=$F$13,AV23&lt;=Inputs!$F$192),1,0)</f>
        <v/>
      </c>
      <c r="AW53" s="9">
        <f>IF(AND(AW20&gt;=$F$13,AW23&lt;=Inputs!$F$192),1,0)</f>
        <v/>
      </c>
      <c r="AX53" s="9">
        <f>IF(AND(AX20&gt;=$F$13,AX23&lt;=Inputs!$F$192),1,0)</f>
        <v/>
      </c>
      <c r="AY53" s="9">
        <f>IF(AND(AY20&gt;=$F$13,AY23&lt;=Inputs!$F$192),1,0)</f>
        <v/>
      </c>
      <c r="AZ53" s="9">
        <f>IF(AND(AZ20&gt;=$F$13,AZ23&lt;=Inputs!$F$192),1,0)</f>
        <v/>
      </c>
      <c r="BA53" s="9">
        <f>IF(AND(BA20&gt;=$F$13,BA23&lt;=Inputs!$F$192),1,0)</f>
        <v/>
      </c>
      <c r="BB53" s="9">
        <f>IF(AND(BB20&gt;=$F$13,BB23&lt;=Inputs!$F$192),1,0)</f>
        <v/>
      </c>
      <c r="BC53" s="9">
        <f>IF(AND(BC20&gt;=$F$13,BC23&lt;=Inputs!$F$192),1,0)</f>
        <v/>
      </c>
      <c r="BD53" s="9">
        <f>IF(AND(BD20&gt;=$F$13,BD23&lt;=Inputs!$F$192),1,0)</f>
        <v/>
      </c>
      <c r="BE53" s="9">
        <f>IF(AND(BE20&gt;=$F$13,BE23&lt;=Inputs!$F$192),1,0)</f>
        <v/>
      </c>
      <c r="BF53" s="9">
        <f>IF(AND(BF20&gt;=$F$13,BF23&lt;=Inputs!$F$192),1,0)</f>
        <v/>
      </c>
      <c r="BG53" s="9">
        <f>IF(AND(BG20&gt;=$F$13,BG23&lt;=Inputs!$F$192),1,0)</f>
        <v/>
      </c>
      <c r="BH53" s="9">
        <f>IF(AND(BH20&gt;=$F$13,BH23&lt;=Inputs!$F$192),1,0)</f>
        <v/>
      </c>
      <c r="BI53" s="9">
        <f>IF(AND(BI20&gt;=$F$13,BI23&lt;=Inputs!$F$192),1,0)</f>
        <v/>
      </c>
      <c r="BJ53" s="9">
        <f>IF(AND(BJ20&gt;=$F$13,BJ23&lt;=Inputs!$F$192),1,0)</f>
        <v/>
      </c>
      <c r="BK53" s="9">
        <f>IF(AND(BK20&gt;=$F$13,BK23&lt;=Inputs!$F$192),1,0)</f>
        <v/>
      </c>
      <c r="BL53" s="9">
        <f>IF(AND(BL20&gt;=$F$13,BL23&lt;=Inputs!$F$192),1,0)</f>
        <v/>
      </c>
      <c r="BM53" s="9">
        <f>IF(AND(BM20&gt;=$F$13,BM23&lt;=Inputs!$F$192),1,0)</f>
        <v/>
      </c>
      <c r="BN53" s="9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9">
        <f>IF(J22&gt;=Inputs!$F$194,1,0)</f>
        <v/>
      </c>
      <c r="K54" s="9">
        <f>IF(K22&gt;=Inputs!$F$194,1,0)</f>
        <v/>
      </c>
      <c r="L54" s="9">
        <f>IF(L22&gt;=Inputs!$F$194,1,0)</f>
        <v/>
      </c>
      <c r="M54" s="9">
        <f>IF(M22&gt;=Inputs!$F$194,1,0)</f>
        <v/>
      </c>
      <c r="N54" s="9">
        <f>IF(N22&gt;=Inputs!$F$194,1,0)</f>
        <v/>
      </c>
      <c r="O54" s="9">
        <f>IF(O22&gt;=Inputs!$F$194,1,0)</f>
        <v/>
      </c>
      <c r="P54" s="9">
        <f>IF(P22&gt;=Inputs!$F$194,1,0)</f>
        <v/>
      </c>
      <c r="Q54" s="9">
        <f>IF(Q22&gt;=Inputs!$F$194,1,0)</f>
        <v/>
      </c>
      <c r="R54" s="9">
        <f>IF(R22&gt;=Inputs!$F$194,1,0)</f>
        <v/>
      </c>
      <c r="S54" s="9">
        <f>IF(S22&gt;=Inputs!$F$194,1,0)</f>
        <v/>
      </c>
      <c r="T54" s="9">
        <f>IF(T22&gt;=Inputs!$F$194,1,0)</f>
        <v/>
      </c>
      <c r="U54" s="9">
        <f>IF(U22&gt;=Inputs!$F$194,1,0)</f>
        <v/>
      </c>
      <c r="V54" s="9">
        <f>IF(V22&gt;=Inputs!$F$194,1,0)</f>
        <v/>
      </c>
      <c r="W54" s="9">
        <f>IF(W22&gt;=Inputs!$F$194,1,0)</f>
        <v/>
      </c>
      <c r="X54" s="9">
        <f>IF(X22&gt;=Inputs!$F$194,1,0)</f>
        <v/>
      </c>
      <c r="Y54" s="9">
        <f>IF(Y22&gt;=Inputs!$F$194,1,0)</f>
        <v/>
      </c>
      <c r="Z54" s="9">
        <f>IF(Z22&gt;=Inputs!$F$194,1,0)</f>
        <v/>
      </c>
      <c r="AA54" s="9">
        <f>IF(AA22&gt;=Inputs!$F$194,1,0)</f>
        <v/>
      </c>
      <c r="AB54" s="9">
        <f>IF(AB22&gt;=Inputs!$F$194,1,0)</f>
        <v/>
      </c>
      <c r="AC54" s="9">
        <f>IF(AC22&gt;=Inputs!$F$194,1,0)</f>
        <v/>
      </c>
      <c r="AD54" s="9">
        <f>IF(AD22&gt;=Inputs!$F$194,1,0)</f>
        <v/>
      </c>
      <c r="AE54" s="9">
        <f>IF(AE22&gt;=Inputs!$F$194,1,0)</f>
        <v/>
      </c>
      <c r="AF54" s="9">
        <f>IF(AF22&gt;=Inputs!$F$194,1,0)</f>
        <v/>
      </c>
      <c r="AG54" s="9">
        <f>IF(AG22&gt;=Inputs!$F$194,1,0)</f>
        <v/>
      </c>
      <c r="AH54" s="9">
        <f>IF(AH22&gt;=Inputs!$F$194,1,0)</f>
        <v/>
      </c>
      <c r="AI54" s="9">
        <f>IF(AI22&gt;=Inputs!$F$194,1,0)</f>
        <v/>
      </c>
      <c r="AJ54" s="9">
        <f>IF(AJ22&gt;=Inputs!$F$194,1,0)</f>
        <v/>
      </c>
      <c r="AK54" s="9">
        <f>IF(AK22&gt;=Inputs!$F$194,1,0)</f>
        <v/>
      </c>
      <c r="AL54" s="9">
        <f>IF(AL22&gt;=Inputs!$F$194,1,0)</f>
        <v/>
      </c>
      <c r="AM54" s="9">
        <f>IF(AM22&gt;=Inputs!$F$194,1,0)</f>
        <v/>
      </c>
      <c r="AN54" s="9">
        <f>IF(AN22&gt;=Inputs!$F$194,1,0)</f>
        <v/>
      </c>
      <c r="AO54" s="9">
        <f>IF(AO22&gt;=Inputs!$F$194,1,0)</f>
        <v/>
      </c>
      <c r="AP54" s="9">
        <f>IF(AP22&gt;=Inputs!$F$194,1,0)</f>
        <v/>
      </c>
      <c r="AQ54" s="9">
        <f>IF(AQ22&gt;=Inputs!$F$194,1,0)</f>
        <v/>
      </c>
      <c r="AR54" s="9">
        <f>IF(AR22&gt;=Inputs!$F$194,1,0)</f>
        <v/>
      </c>
      <c r="AS54" s="9">
        <f>IF(AS22&gt;=Inputs!$F$194,1,0)</f>
        <v/>
      </c>
      <c r="AT54" s="9">
        <f>IF(AT22&gt;=Inputs!$F$194,1,0)</f>
        <v/>
      </c>
      <c r="AU54" s="9">
        <f>IF(AU22&gt;=Inputs!$F$194,1,0)</f>
        <v/>
      </c>
      <c r="AV54" s="9">
        <f>IF(AV22&gt;=Inputs!$F$194,1,0)</f>
        <v/>
      </c>
      <c r="AW54" s="9">
        <f>IF(AW22&gt;=Inputs!$F$194,1,0)</f>
        <v/>
      </c>
      <c r="AX54" s="9">
        <f>IF(AX22&gt;=Inputs!$F$194,1,0)</f>
        <v/>
      </c>
      <c r="AY54" s="9">
        <f>IF(AY22&gt;=Inputs!$F$194,1,0)</f>
        <v/>
      </c>
      <c r="AZ54" s="9">
        <f>IF(AZ22&gt;=Inputs!$F$194,1,0)</f>
        <v/>
      </c>
      <c r="BA54" s="9">
        <f>IF(BA22&gt;=Inputs!$F$194,1,0)</f>
        <v/>
      </c>
      <c r="BB54" s="9">
        <f>IF(BB22&gt;=Inputs!$F$194,1,0)</f>
        <v/>
      </c>
      <c r="BC54" s="9">
        <f>IF(BC22&gt;=Inputs!$F$194,1,0)</f>
        <v/>
      </c>
      <c r="BD54" s="9">
        <f>IF(BD22&gt;=Inputs!$F$194,1,0)</f>
        <v/>
      </c>
      <c r="BE54" s="9">
        <f>IF(BE22&gt;=Inputs!$F$194,1,0)</f>
        <v/>
      </c>
      <c r="BF54" s="9">
        <f>IF(BF22&gt;=Inputs!$F$194,1,0)</f>
        <v/>
      </c>
      <c r="BG54" s="9">
        <f>IF(BG22&gt;=Inputs!$F$194,1,0)</f>
        <v/>
      </c>
      <c r="BH54" s="9">
        <f>IF(BH22&gt;=Inputs!$F$194,1,0)</f>
        <v/>
      </c>
      <c r="BI54" s="9">
        <f>IF(BI22&gt;=Inputs!$F$194,1,0)</f>
        <v/>
      </c>
      <c r="BJ54" s="9">
        <f>IF(BJ22&gt;=Inputs!$F$194,1,0)</f>
        <v/>
      </c>
      <c r="BK54" s="9">
        <f>IF(BK22&gt;=Inputs!$F$194,1,0)</f>
        <v/>
      </c>
      <c r="BL54" s="9">
        <f>IF(BL22&gt;=Inputs!$F$194,1,0)</f>
        <v/>
      </c>
      <c r="BM54" s="9">
        <f>IF(BM22&gt;=Inputs!$F$194,1,0)</f>
        <v/>
      </c>
      <c r="BN54" s="9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9">
        <f>MAX(0,MIN(J25,Inputs!$F$197-J22))</f>
        <v/>
      </c>
      <c r="K55" s="9">
        <f>MAX(0,MIN(K25,Inputs!$F$197-K22))</f>
        <v/>
      </c>
      <c r="L55" s="9">
        <f>MAX(0,MIN(L25,Inputs!$F$197-L22))</f>
        <v/>
      </c>
      <c r="M55" s="9">
        <f>MAX(0,MIN(M25,Inputs!$F$197-M22))</f>
        <v/>
      </c>
      <c r="N55" s="9">
        <f>MAX(0,MIN(N25,Inputs!$F$197-N22))</f>
        <v/>
      </c>
      <c r="O55" s="9">
        <f>MAX(0,MIN(O25,Inputs!$F$197-O22))</f>
        <v/>
      </c>
      <c r="P55" s="9">
        <f>MAX(0,MIN(P25,Inputs!$F$197-P22))</f>
        <v/>
      </c>
      <c r="Q55" s="9">
        <f>MAX(0,MIN(Q25,Inputs!$F$197-Q22))</f>
        <v/>
      </c>
      <c r="R55" s="9">
        <f>MAX(0,MIN(R25,Inputs!$F$197-R22))</f>
        <v/>
      </c>
      <c r="S55" s="9">
        <f>MAX(0,MIN(S25,Inputs!$F$197-S22))</f>
        <v/>
      </c>
      <c r="T55" s="9">
        <f>MAX(0,MIN(T25,Inputs!$F$197-T22))</f>
        <v/>
      </c>
      <c r="U55" s="9">
        <f>MAX(0,MIN(U25,Inputs!$F$197-U22))</f>
        <v/>
      </c>
      <c r="V55" s="9">
        <f>MAX(0,MIN(V25,Inputs!$F$197-V22))</f>
        <v/>
      </c>
      <c r="W55" s="9">
        <f>MAX(0,MIN(W25,Inputs!$F$197-W22))</f>
        <v/>
      </c>
      <c r="X55" s="9">
        <f>MAX(0,MIN(X25,Inputs!$F$197-X22))</f>
        <v/>
      </c>
      <c r="Y55" s="9">
        <f>MAX(0,MIN(Y25,Inputs!$F$197-Y22))</f>
        <v/>
      </c>
      <c r="Z55" s="9">
        <f>MAX(0,MIN(Z25,Inputs!$F$197-Z22))</f>
        <v/>
      </c>
      <c r="AA55" s="9">
        <f>MAX(0,MIN(AA25,Inputs!$F$197-AA22))</f>
        <v/>
      </c>
      <c r="AB55" s="9">
        <f>MAX(0,MIN(AB25,Inputs!$F$197-AB22))</f>
        <v/>
      </c>
      <c r="AC55" s="9">
        <f>MAX(0,MIN(AC25,Inputs!$F$197-AC22))</f>
        <v/>
      </c>
      <c r="AD55" s="9">
        <f>MAX(0,MIN(AD25,Inputs!$F$197-AD22))</f>
        <v/>
      </c>
      <c r="AE55" s="9">
        <f>MAX(0,MIN(AE25,Inputs!$F$197-AE22))</f>
        <v/>
      </c>
      <c r="AF55" s="9">
        <f>MAX(0,MIN(AF25,Inputs!$F$197-AF22))</f>
        <v/>
      </c>
      <c r="AG55" s="9">
        <f>MAX(0,MIN(AG25,Inputs!$F$197-AG22))</f>
        <v/>
      </c>
      <c r="AH55" s="9">
        <f>MAX(0,MIN(AH25,Inputs!$F$197-AH22))</f>
        <v/>
      </c>
      <c r="AI55" s="9">
        <f>MAX(0,MIN(AI25,Inputs!$F$197-AI22))</f>
        <v/>
      </c>
      <c r="AJ55" s="9">
        <f>MAX(0,MIN(AJ25,Inputs!$F$197-AJ22))</f>
        <v/>
      </c>
      <c r="AK55" s="9">
        <f>MAX(0,MIN(AK25,Inputs!$F$197-AK22))</f>
        <v/>
      </c>
      <c r="AL55" s="9">
        <f>MAX(0,MIN(AL25,Inputs!$F$197-AL22))</f>
        <v/>
      </c>
      <c r="AM55" s="9">
        <f>MAX(0,MIN(AM25,Inputs!$F$197-AM22))</f>
        <v/>
      </c>
      <c r="AN55" s="9">
        <f>MAX(0,MIN(AN25,Inputs!$F$197-AN22))</f>
        <v/>
      </c>
      <c r="AO55" s="9">
        <f>MAX(0,MIN(AO25,Inputs!$F$197-AO22))</f>
        <v/>
      </c>
      <c r="AP55" s="9">
        <f>MAX(0,MIN(AP25,Inputs!$F$197-AP22))</f>
        <v/>
      </c>
      <c r="AQ55" s="9">
        <f>MAX(0,MIN(AQ25,Inputs!$F$197-AQ22))</f>
        <v/>
      </c>
      <c r="AR55" s="9">
        <f>MAX(0,MIN(AR25,Inputs!$F$197-AR22))</f>
        <v/>
      </c>
      <c r="AS55" s="9">
        <f>MAX(0,MIN(AS25,Inputs!$F$197-AS22))</f>
        <v/>
      </c>
      <c r="AT55" s="9">
        <f>MAX(0,MIN(AT25,Inputs!$F$197-AT22))</f>
        <v/>
      </c>
      <c r="AU55" s="9">
        <f>MAX(0,MIN(AU25,Inputs!$F$197-AU22))</f>
        <v/>
      </c>
      <c r="AV55" s="9">
        <f>MAX(0,MIN(AV25,Inputs!$F$197-AV22))</f>
        <v/>
      </c>
      <c r="AW55" s="9">
        <f>MAX(0,MIN(AW25,Inputs!$F$197-AW22))</f>
        <v/>
      </c>
      <c r="AX55" s="9">
        <f>MAX(0,MIN(AX25,Inputs!$F$197-AX22))</f>
        <v/>
      </c>
      <c r="AY55" s="9">
        <f>MAX(0,MIN(AY25,Inputs!$F$197-AY22))</f>
        <v/>
      </c>
      <c r="AZ55" s="9">
        <f>MAX(0,MIN(AZ25,Inputs!$F$197-AZ22))</f>
        <v/>
      </c>
      <c r="BA55" s="9">
        <f>MAX(0,MIN(BA25,Inputs!$F$197-BA22))</f>
        <v/>
      </c>
      <c r="BB55" s="9">
        <f>MAX(0,MIN(BB25,Inputs!$F$197-BB22))</f>
        <v/>
      </c>
      <c r="BC55" s="9">
        <f>MAX(0,MIN(BC25,Inputs!$F$197-BC22))</f>
        <v/>
      </c>
      <c r="BD55" s="9">
        <f>MAX(0,MIN(BD25,Inputs!$F$197-BD22))</f>
        <v/>
      </c>
      <c r="BE55" s="9">
        <f>MAX(0,MIN(BE25,Inputs!$F$197-BE22))</f>
        <v/>
      </c>
      <c r="BF55" s="9">
        <f>MAX(0,MIN(BF25,Inputs!$F$197-BF22))</f>
        <v/>
      </c>
      <c r="BG55" s="9">
        <f>MAX(0,MIN(BG25,Inputs!$F$197-BG22))</f>
        <v/>
      </c>
      <c r="BH55" s="9">
        <f>MAX(0,MIN(BH25,Inputs!$F$197-BH22))</f>
        <v/>
      </c>
      <c r="BI55" s="9">
        <f>MAX(0,MIN(BI25,Inputs!$F$197-BI22))</f>
        <v/>
      </c>
      <c r="BJ55" s="9">
        <f>MAX(0,MIN(BJ25,Inputs!$F$197-BJ22))</f>
        <v/>
      </c>
      <c r="BK55" s="9">
        <f>MAX(0,MIN(BK25,Inputs!$F$197-BK22))</f>
        <v/>
      </c>
      <c r="BL55" s="9">
        <f>MAX(0,MIN(BL25,Inputs!$F$197-BL22))</f>
        <v/>
      </c>
      <c r="BM55" s="9">
        <f>MAX(0,MIN(BM25,Inputs!$F$197-BM22))</f>
        <v/>
      </c>
      <c r="BN55" s="9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I8+1</f>
        <v/>
      </c>
      <c r="K8" s="9">
        <f>J8+1</f>
        <v/>
      </c>
      <c r="L8" s="9">
        <f>K8+1</f>
        <v/>
      </c>
      <c r="M8" s="9">
        <f>L8+1</f>
        <v/>
      </c>
      <c r="N8" s="9">
        <f>M8+1</f>
        <v/>
      </c>
      <c r="O8" s="9">
        <f>N8+1</f>
        <v/>
      </c>
      <c r="P8" s="9">
        <f>O8+1</f>
        <v/>
      </c>
      <c r="Q8" s="9">
        <f>P8+1</f>
        <v/>
      </c>
      <c r="R8" s="9">
        <f>Q8+1</f>
        <v/>
      </c>
      <c r="S8" s="9">
        <f>R8+1</f>
        <v/>
      </c>
      <c r="T8" s="9">
        <f>S8+1</f>
        <v/>
      </c>
      <c r="U8" s="9">
        <f>T8+1</f>
        <v/>
      </c>
      <c r="V8" s="9">
        <f>U8+1</f>
        <v/>
      </c>
      <c r="W8" s="9">
        <f>V8+1</f>
        <v/>
      </c>
      <c r="X8" s="9">
        <f>W8+1</f>
        <v/>
      </c>
      <c r="Y8" s="9">
        <f>X8+1</f>
        <v/>
      </c>
      <c r="Z8" s="9">
        <f>Y8+1</f>
        <v/>
      </c>
      <c r="AA8" s="9">
        <f>Z8+1</f>
        <v/>
      </c>
      <c r="AB8" s="9">
        <f>AA8+1</f>
        <v/>
      </c>
      <c r="AC8" s="9">
        <f>AB8+1</f>
        <v/>
      </c>
      <c r="AD8" s="9">
        <f>AC8+1</f>
        <v/>
      </c>
      <c r="AE8" s="9">
        <f>AD8+1</f>
        <v/>
      </c>
      <c r="AF8" s="9">
        <f>AE8+1</f>
        <v/>
      </c>
      <c r="AG8" s="9">
        <f>AF8+1</f>
        <v/>
      </c>
      <c r="AH8" s="9">
        <f>AG8+1</f>
        <v/>
      </c>
      <c r="AI8" s="9">
        <f>AH8+1</f>
        <v/>
      </c>
      <c r="AJ8" s="9">
        <f>AI8+1</f>
        <v/>
      </c>
      <c r="AK8" s="9">
        <f>AJ8+1</f>
        <v/>
      </c>
      <c r="AL8" s="9">
        <f>AK8+1</f>
        <v/>
      </c>
      <c r="AM8" s="9">
        <f>AL8+1</f>
        <v/>
      </c>
      <c r="AN8" s="9">
        <f>AM8+1</f>
        <v/>
      </c>
      <c r="AO8" s="9">
        <f>AN8+1</f>
        <v/>
      </c>
      <c r="AP8" s="9">
        <f>AO8+1</f>
        <v/>
      </c>
      <c r="AQ8" s="9">
        <f>AP8+1</f>
        <v/>
      </c>
      <c r="AR8" s="9">
        <f>AQ8+1</f>
        <v/>
      </c>
      <c r="AS8" s="9">
        <f>AR8+1</f>
        <v/>
      </c>
      <c r="AT8" s="9">
        <f>AS8+1</f>
        <v/>
      </c>
      <c r="AU8" s="9">
        <f>AT8+1</f>
        <v/>
      </c>
      <c r="AV8" s="9">
        <f>AU8+1</f>
        <v/>
      </c>
      <c r="AW8" s="9">
        <f>AV8+1</f>
        <v/>
      </c>
      <c r="AX8" s="9">
        <f>AW8+1</f>
        <v/>
      </c>
      <c r="AY8" s="9">
        <f>AX8+1</f>
        <v/>
      </c>
      <c r="AZ8" s="9">
        <f>AY8+1</f>
        <v/>
      </c>
      <c r="BA8" s="9">
        <f>AZ8+1</f>
        <v/>
      </c>
      <c r="BB8" s="9">
        <f>BA8+1</f>
        <v/>
      </c>
      <c r="BC8" s="9">
        <f>BB8+1</f>
        <v/>
      </c>
      <c r="BD8" s="9">
        <f>BC8+1</f>
        <v/>
      </c>
      <c r="BE8" s="9">
        <f>BD8+1</f>
        <v/>
      </c>
      <c r="BF8" s="9">
        <f>BE8+1</f>
        <v/>
      </c>
      <c r="BG8" s="9">
        <f>BF8+1</f>
        <v/>
      </c>
      <c r="BH8" s="9">
        <f>BG8+1</f>
        <v/>
      </c>
      <c r="BI8" s="9">
        <f>BH8+1</f>
        <v/>
      </c>
      <c r="BJ8" s="9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10">
        <f>IF(J8=1,Inputs!$F$188,EDATE(I9,1))</f>
        <v/>
      </c>
      <c r="K9" s="10">
        <f>IF(K8=1,Inputs!$F$188,EDATE(J9,1))</f>
        <v/>
      </c>
      <c r="L9" s="10">
        <f>IF(L8=1,Inputs!$F$188,EDATE(K9,1))</f>
        <v/>
      </c>
      <c r="M9" s="10">
        <f>IF(M8=1,Inputs!$F$188,EDATE(L9,1))</f>
        <v/>
      </c>
      <c r="N9" s="10">
        <f>IF(N8=1,Inputs!$F$188,EDATE(M9,1))</f>
        <v/>
      </c>
      <c r="O9" s="10">
        <f>IF(O8=1,Inputs!$F$188,EDATE(N9,1))</f>
        <v/>
      </c>
      <c r="P9" s="10">
        <f>IF(P8=1,Inputs!$F$188,EDATE(O9,1))</f>
        <v/>
      </c>
      <c r="Q9" s="10">
        <f>IF(Q8=1,Inputs!$F$188,EDATE(P9,1))</f>
        <v/>
      </c>
      <c r="R9" s="10">
        <f>IF(R8=1,Inputs!$F$188,EDATE(Q9,1))</f>
        <v/>
      </c>
      <c r="S9" s="10">
        <f>IF(S8=1,Inputs!$F$188,EDATE(R9,1))</f>
        <v/>
      </c>
      <c r="T9" s="10">
        <f>IF(T8=1,Inputs!$F$188,EDATE(S9,1))</f>
        <v/>
      </c>
      <c r="U9" s="10">
        <f>IF(U8=1,Inputs!$F$188,EDATE(T9,1))</f>
        <v/>
      </c>
      <c r="V9" s="10">
        <f>IF(V8=1,Inputs!$F$188,EDATE(U9,1))</f>
        <v/>
      </c>
      <c r="W9" s="10">
        <f>IF(W8=1,Inputs!$F$188,EDATE(V9,1))</f>
        <v/>
      </c>
      <c r="X9" s="10">
        <f>IF(X8=1,Inputs!$F$188,EDATE(W9,1))</f>
        <v/>
      </c>
      <c r="Y9" s="10">
        <f>IF(Y8=1,Inputs!$F$188,EDATE(X9,1))</f>
        <v/>
      </c>
      <c r="Z9" s="10">
        <f>IF(Z8=1,Inputs!$F$188,EDATE(Y9,1))</f>
        <v/>
      </c>
      <c r="AA9" s="10">
        <f>IF(AA8=1,Inputs!$F$188,EDATE(Z9,1))</f>
        <v/>
      </c>
      <c r="AB9" s="10">
        <f>IF(AB8=1,Inputs!$F$188,EDATE(AA9,1))</f>
        <v/>
      </c>
      <c r="AC9" s="10">
        <f>IF(AC8=1,Inputs!$F$188,EDATE(AB9,1))</f>
        <v/>
      </c>
      <c r="AD9" s="10">
        <f>IF(AD8=1,Inputs!$F$188,EDATE(AC9,1))</f>
        <v/>
      </c>
      <c r="AE9" s="10">
        <f>IF(AE8=1,Inputs!$F$188,EDATE(AD9,1))</f>
        <v/>
      </c>
      <c r="AF9" s="10">
        <f>IF(AF8=1,Inputs!$F$188,EDATE(AE9,1))</f>
        <v/>
      </c>
      <c r="AG9" s="10">
        <f>IF(AG8=1,Inputs!$F$188,EDATE(AF9,1))</f>
        <v/>
      </c>
      <c r="AH9" s="10">
        <f>IF(AH8=1,Inputs!$F$188,EDATE(AG9,1))</f>
        <v/>
      </c>
      <c r="AI9" s="10">
        <f>IF(AI8=1,Inputs!$F$188,EDATE(AH9,1))</f>
        <v/>
      </c>
      <c r="AJ9" s="10">
        <f>IF(AJ8=1,Inputs!$F$188,EDATE(AI9,1))</f>
        <v/>
      </c>
      <c r="AK9" s="10">
        <f>IF(AK8=1,Inputs!$F$188,EDATE(AJ9,1))</f>
        <v/>
      </c>
      <c r="AL9" s="10">
        <f>IF(AL8=1,Inputs!$F$188,EDATE(AK9,1))</f>
        <v/>
      </c>
      <c r="AM9" s="10">
        <f>IF(AM8=1,Inputs!$F$188,EDATE(AL9,1))</f>
        <v/>
      </c>
      <c r="AN9" s="10">
        <f>IF(AN8=1,Inputs!$F$188,EDATE(AM9,1))</f>
        <v/>
      </c>
      <c r="AO9" s="10">
        <f>IF(AO8=1,Inputs!$F$188,EDATE(AN9,1))</f>
        <v/>
      </c>
      <c r="AP9" s="10">
        <f>IF(AP8=1,Inputs!$F$188,EDATE(AO9,1))</f>
        <v/>
      </c>
      <c r="AQ9" s="10">
        <f>IF(AQ8=1,Inputs!$F$188,EDATE(AP9,1))</f>
        <v/>
      </c>
      <c r="AR9" s="10">
        <f>IF(AR8=1,Inputs!$F$188,EDATE(AQ9,1))</f>
        <v/>
      </c>
      <c r="AS9" s="10">
        <f>IF(AS8=1,Inputs!$F$188,EDATE(AR9,1))</f>
        <v/>
      </c>
      <c r="AT9" s="10">
        <f>IF(AT8=1,Inputs!$F$188,EDATE(AS9,1))</f>
        <v/>
      </c>
      <c r="AU9" s="10">
        <f>IF(AU8=1,Inputs!$F$188,EDATE(AT9,1))</f>
        <v/>
      </c>
      <c r="AV9" s="10">
        <f>IF(AV8=1,Inputs!$F$188,EDATE(AU9,1))</f>
        <v/>
      </c>
      <c r="AW9" s="10">
        <f>IF(AW8=1,Inputs!$F$188,EDATE(AV9,1))</f>
        <v/>
      </c>
      <c r="AX9" s="10">
        <f>IF(AX8=1,Inputs!$F$188,EDATE(AW9,1))</f>
        <v/>
      </c>
      <c r="AY9" s="10">
        <f>IF(AY8=1,Inputs!$F$188,EDATE(AX9,1))</f>
        <v/>
      </c>
      <c r="AZ9" s="10">
        <f>IF(AZ8=1,Inputs!$F$188,EDATE(AY9,1))</f>
        <v/>
      </c>
      <c r="BA9" s="10">
        <f>IF(BA8=1,Inputs!$F$188,EDATE(AZ9,1))</f>
        <v/>
      </c>
      <c r="BB9" s="10">
        <f>IF(BB8=1,Inputs!$F$188,EDATE(BA9,1))</f>
        <v/>
      </c>
      <c r="BC9" s="10">
        <f>IF(BC8=1,Inputs!$F$188,EDATE(BB9,1))</f>
        <v/>
      </c>
      <c r="BD9" s="10">
        <f>IF(BD8=1,Inputs!$F$188,EDATE(BC9,1))</f>
        <v/>
      </c>
      <c r="BE9" s="10">
        <f>IF(BE8=1,Inputs!$F$188,EDATE(BD9,1))</f>
        <v/>
      </c>
      <c r="BF9" s="10">
        <f>IF(BF8=1,Inputs!$F$188,EDATE(BE9,1))</f>
        <v/>
      </c>
      <c r="BG9" s="10">
        <f>IF(BG8=1,Inputs!$F$188,EDATE(BF9,1))</f>
        <v/>
      </c>
      <c r="BH9" s="10">
        <f>IF(BH8=1,Inputs!$F$188,EDATE(BG9,1))</f>
        <v/>
      </c>
      <c r="BI9" s="10">
        <f>IF(BI8=1,Inputs!$F$188,EDATE(BH9,1))</f>
        <v/>
      </c>
      <c r="BJ9" s="10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10">
        <f>EOMONTH(J9,0)</f>
        <v/>
      </c>
      <c r="K10" s="10">
        <f>EOMONTH(K9,0)</f>
        <v/>
      </c>
      <c r="L10" s="10">
        <f>EOMONTH(L9,0)</f>
        <v/>
      </c>
      <c r="M10" s="10">
        <f>EOMONTH(M9,0)</f>
        <v/>
      </c>
      <c r="N10" s="10">
        <f>EOMONTH(N9,0)</f>
        <v/>
      </c>
      <c r="O10" s="10">
        <f>EOMONTH(O9,0)</f>
        <v/>
      </c>
      <c r="P10" s="10">
        <f>EOMONTH(P9,0)</f>
        <v/>
      </c>
      <c r="Q10" s="10">
        <f>EOMONTH(Q9,0)</f>
        <v/>
      </c>
      <c r="R10" s="10">
        <f>EOMONTH(R9,0)</f>
        <v/>
      </c>
      <c r="S10" s="10">
        <f>EOMONTH(S9,0)</f>
        <v/>
      </c>
      <c r="T10" s="10">
        <f>EOMONTH(T9,0)</f>
        <v/>
      </c>
      <c r="U10" s="10">
        <f>EOMONTH(U9,0)</f>
        <v/>
      </c>
      <c r="V10" s="10">
        <f>EOMONTH(V9,0)</f>
        <v/>
      </c>
      <c r="W10" s="10">
        <f>EOMONTH(W9,0)</f>
        <v/>
      </c>
      <c r="X10" s="10">
        <f>EOMONTH(X9,0)</f>
        <v/>
      </c>
      <c r="Y10" s="10">
        <f>EOMONTH(Y9,0)</f>
        <v/>
      </c>
      <c r="Z10" s="10">
        <f>EOMONTH(Z9,0)</f>
        <v/>
      </c>
      <c r="AA10" s="10">
        <f>EOMONTH(AA9,0)</f>
        <v/>
      </c>
      <c r="AB10" s="10">
        <f>EOMONTH(AB9,0)</f>
        <v/>
      </c>
      <c r="AC10" s="10">
        <f>EOMONTH(AC9,0)</f>
        <v/>
      </c>
      <c r="AD10" s="10">
        <f>EOMONTH(AD9,0)</f>
        <v/>
      </c>
      <c r="AE10" s="10">
        <f>EOMONTH(AE9,0)</f>
        <v/>
      </c>
      <c r="AF10" s="10">
        <f>EOMONTH(AF9,0)</f>
        <v/>
      </c>
      <c r="AG10" s="10">
        <f>EOMONTH(AG9,0)</f>
        <v/>
      </c>
      <c r="AH10" s="10">
        <f>EOMONTH(AH9,0)</f>
        <v/>
      </c>
      <c r="AI10" s="10">
        <f>EOMONTH(AI9,0)</f>
        <v/>
      </c>
      <c r="AJ10" s="10">
        <f>EOMONTH(AJ9,0)</f>
        <v/>
      </c>
      <c r="AK10" s="10">
        <f>EOMONTH(AK9,0)</f>
        <v/>
      </c>
      <c r="AL10" s="10">
        <f>EOMONTH(AL9,0)</f>
        <v/>
      </c>
      <c r="AM10" s="10">
        <f>EOMONTH(AM9,0)</f>
        <v/>
      </c>
      <c r="AN10" s="10">
        <f>EOMONTH(AN9,0)</f>
        <v/>
      </c>
      <c r="AO10" s="10">
        <f>EOMONTH(AO9,0)</f>
        <v/>
      </c>
      <c r="AP10" s="10">
        <f>EOMONTH(AP9,0)</f>
        <v/>
      </c>
      <c r="AQ10" s="10">
        <f>EOMONTH(AQ9,0)</f>
        <v/>
      </c>
      <c r="AR10" s="10">
        <f>EOMONTH(AR9,0)</f>
        <v/>
      </c>
      <c r="AS10" s="10">
        <f>EOMONTH(AS9,0)</f>
        <v/>
      </c>
      <c r="AT10" s="10">
        <f>EOMONTH(AT9,0)</f>
        <v/>
      </c>
      <c r="AU10" s="10">
        <f>EOMONTH(AU9,0)</f>
        <v/>
      </c>
      <c r="AV10" s="10">
        <f>EOMONTH(AV9,0)</f>
        <v/>
      </c>
      <c r="AW10" s="10">
        <f>EOMONTH(AW9,0)</f>
        <v/>
      </c>
      <c r="AX10" s="10">
        <f>EOMONTH(AX9,0)</f>
        <v/>
      </c>
      <c r="AY10" s="10">
        <f>EOMONTH(AY9,0)</f>
        <v/>
      </c>
      <c r="AZ10" s="10">
        <f>EOMONTH(AZ9,0)</f>
        <v/>
      </c>
      <c r="BA10" s="10">
        <f>EOMONTH(BA9,0)</f>
        <v/>
      </c>
      <c r="BB10" s="10">
        <f>EOMONTH(BB9,0)</f>
        <v/>
      </c>
      <c r="BC10" s="10">
        <f>EOMONTH(BC9,0)</f>
        <v/>
      </c>
      <c r="BD10" s="10">
        <f>EOMONTH(BD9,0)</f>
        <v/>
      </c>
      <c r="BE10" s="10">
        <f>EOMONTH(BE9,0)</f>
        <v/>
      </c>
      <c r="BF10" s="10">
        <f>EOMONTH(BF9,0)</f>
        <v/>
      </c>
      <c r="BG10" s="10">
        <f>EOMONTH(BG9,0)</f>
        <v/>
      </c>
      <c r="BH10" s="10">
        <f>EOMONTH(BH9,0)</f>
        <v/>
      </c>
      <c r="BI10" s="10">
        <f>EOMONTH(BI9,0)</f>
        <v/>
      </c>
      <c r="BJ10" s="10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MATCH(J9,Time!$J$22:$BN$22,1)</f>
        <v/>
      </c>
      <c r="K12" s="9">
        <f>MATCH(K9,Time!$J$22:$BN$22,1)</f>
        <v/>
      </c>
      <c r="L12" s="9">
        <f>MATCH(L9,Time!$J$22:$BN$22,1)</f>
        <v/>
      </c>
      <c r="M12" s="9">
        <f>MATCH(M9,Time!$J$22:$BN$22,1)</f>
        <v/>
      </c>
      <c r="N12" s="9">
        <f>MATCH(N9,Time!$J$22:$BN$22,1)</f>
        <v/>
      </c>
      <c r="O12" s="9">
        <f>MATCH(O9,Time!$J$22:$BN$22,1)</f>
        <v/>
      </c>
      <c r="P12" s="9">
        <f>MATCH(P9,Time!$J$22:$BN$22,1)</f>
        <v/>
      </c>
      <c r="Q12" s="9">
        <f>MATCH(Q9,Time!$J$22:$BN$22,1)</f>
        <v/>
      </c>
      <c r="R12" s="9">
        <f>MATCH(R9,Time!$J$22:$BN$22,1)</f>
        <v/>
      </c>
      <c r="S12" s="9">
        <f>MATCH(S9,Time!$J$22:$BN$22,1)</f>
        <v/>
      </c>
      <c r="T12" s="9">
        <f>MATCH(T9,Time!$J$22:$BN$22,1)</f>
        <v/>
      </c>
      <c r="U12" s="9">
        <f>MATCH(U9,Time!$J$22:$BN$22,1)</f>
        <v/>
      </c>
      <c r="V12" s="9">
        <f>MATCH(V9,Time!$J$22:$BN$22,1)</f>
        <v/>
      </c>
      <c r="W12" s="9">
        <f>MATCH(W9,Time!$J$22:$BN$22,1)</f>
        <v/>
      </c>
      <c r="X12" s="9">
        <f>MATCH(X9,Time!$J$22:$BN$22,1)</f>
        <v/>
      </c>
      <c r="Y12" s="9">
        <f>MATCH(Y9,Time!$J$22:$BN$22,1)</f>
        <v/>
      </c>
      <c r="Z12" s="9">
        <f>MATCH(Z9,Time!$J$22:$BN$22,1)</f>
        <v/>
      </c>
      <c r="AA12" s="9">
        <f>MATCH(AA9,Time!$J$22:$BN$22,1)</f>
        <v/>
      </c>
      <c r="AB12" s="9">
        <f>MATCH(AB9,Time!$J$22:$BN$22,1)</f>
        <v/>
      </c>
      <c r="AC12" s="9">
        <f>MATCH(AC9,Time!$J$22:$BN$22,1)</f>
        <v/>
      </c>
      <c r="AD12" s="9">
        <f>MATCH(AD9,Time!$J$22:$BN$22,1)</f>
        <v/>
      </c>
      <c r="AE12" s="9">
        <f>MATCH(AE9,Time!$J$22:$BN$22,1)</f>
        <v/>
      </c>
      <c r="AF12" s="9">
        <f>MATCH(AF9,Time!$J$22:$BN$22,1)</f>
        <v/>
      </c>
      <c r="AG12" s="9">
        <f>MATCH(AG9,Time!$J$22:$BN$22,1)</f>
        <v/>
      </c>
      <c r="AH12" s="9">
        <f>MATCH(AH9,Time!$J$22:$BN$22,1)</f>
        <v/>
      </c>
      <c r="AI12" s="9">
        <f>MATCH(AI9,Time!$J$22:$BN$22,1)</f>
        <v/>
      </c>
      <c r="AJ12" s="9">
        <f>MATCH(AJ9,Time!$J$22:$BN$22,1)</f>
        <v/>
      </c>
      <c r="AK12" s="9">
        <f>MATCH(AK9,Time!$J$22:$BN$22,1)</f>
        <v/>
      </c>
      <c r="AL12" s="9">
        <f>MATCH(AL9,Time!$J$22:$BN$22,1)</f>
        <v/>
      </c>
      <c r="AM12" s="9">
        <f>MATCH(AM9,Time!$J$22:$BN$22,1)</f>
        <v/>
      </c>
      <c r="AN12" s="9">
        <f>MATCH(AN9,Time!$J$22:$BN$22,1)</f>
        <v/>
      </c>
      <c r="AO12" s="9">
        <f>MATCH(AO9,Time!$J$22:$BN$22,1)</f>
        <v/>
      </c>
      <c r="AP12" s="9">
        <f>MATCH(AP9,Time!$J$22:$BN$22,1)</f>
        <v/>
      </c>
      <c r="AQ12" s="9">
        <f>MATCH(AQ9,Time!$J$22:$BN$22,1)</f>
        <v/>
      </c>
      <c r="AR12" s="9">
        <f>MATCH(AR9,Time!$J$22:$BN$22,1)</f>
        <v/>
      </c>
      <c r="AS12" s="9">
        <f>MATCH(AS9,Time!$J$22:$BN$22,1)</f>
        <v/>
      </c>
      <c r="AT12" s="9">
        <f>MATCH(AT9,Time!$J$22:$BN$22,1)</f>
        <v/>
      </c>
      <c r="AU12" s="9">
        <f>MATCH(AU9,Time!$J$22:$BN$22,1)</f>
        <v/>
      </c>
      <c r="AV12" s="9">
        <f>MATCH(AV9,Time!$J$22:$BN$22,1)</f>
        <v/>
      </c>
      <c r="AW12" s="9">
        <f>MATCH(AW9,Time!$J$22:$BN$22,1)</f>
        <v/>
      </c>
      <c r="AX12" s="9">
        <f>MATCH(AX9,Time!$J$22:$BN$22,1)</f>
        <v/>
      </c>
      <c r="AY12" s="9">
        <f>MATCH(AY9,Time!$J$22:$BN$22,1)</f>
        <v/>
      </c>
      <c r="AZ12" s="9">
        <f>MATCH(AZ9,Time!$J$22:$BN$22,1)</f>
        <v/>
      </c>
      <c r="BA12" s="9">
        <f>MATCH(BA9,Time!$J$22:$BN$22,1)</f>
        <v/>
      </c>
      <c r="BB12" s="9">
        <f>MATCH(BB9,Time!$J$22:$BN$22,1)</f>
        <v/>
      </c>
      <c r="BC12" s="9">
        <f>MATCH(BC9,Time!$J$22:$BN$22,1)</f>
        <v/>
      </c>
      <c r="BD12" s="9">
        <f>MATCH(BD9,Time!$J$22:$BN$22,1)</f>
        <v/>
      </c>
      <c r="BE12" s="9">
        <f>MATCH(BE9,Time!$J$22:$BN$22,1)</f>
        <v/>
      </c>
      <c r="BF12" s="9">
        <f>MATCH(BF9,Time!$J$22:$BN$22,1)</f>
        <v/>
      </c>
      <c r="BG12" s="9">
        <f>MATCH(BG9,Time!$J$22:$BN$22,1)</f>
        <v/>
      </c>
      <c r="BH12" s="9">
        <f>MATCH(BH9,Time!$J$22:$BN$22,1)</f>
        <v/>
      </c>
      <c r="BI12" s="9">
        <f>MATCH(BI9,Time!$J$22:$BN$22,1)</f>
        <v/>
      </c>
      <c r="BJ12" s="9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IF(J8&lt;=Time!$F$11,1,0)</f>
        <v/>
      </c>
      <c r="K13" s="9">
        <f>IF(K8&lt;=Time!$F$11,1,0)</f>
        <v/>
      </c>
      <c r="L13" s="9">
        <f>IF(L8&lt;=Time!$F$11,1,0)</f>
        <v/>
      </c>
      <c r="M13" s="9">
        <f>IF(M8&lt;=Time!$F$11,1,0)</f>
        <v/>
      </c>
      <c r="N13" s="9">
        <f>IF(N8&lt;=Time!$F$11,1,0)</f>
        <v/>
      </c>
      <c r="O13" s="9">
        <f>IF(O8&lt;=Time!$F$11,1,0)</f>
        <v/>
      </c>
      <c r="P13" s="9">
        <f>IF(P8&lt;=Time!$F$11,1,0)</f>
        <v/>
      </c>
      <c r="Q13" s="9">
        <f>IF(Q8&lt;=Time!$F$11,1,0)</f>
        <v/>
      </c>
      <c r="R13" s="9">
        <f>IF(R8&lt;=Time!$F$11,1,0)</f>
        <v/>
      </c>
      <c r="S13" s="9">
        <f>IF(S8&lt;=Time!$F$11,1,0)</f>
        <v/>
      </c>
      <c r="T13" s="9">
        <f>IF(T8&lt;=Time!$F$11,1,0)</f>
        <v/>
      </c>
      <c r="U13" s="9">
        <f>IF(U8&lt;=Time!$F$11,1,0)</f>
        <v/>
      </c>
      <c r="V13" s="9">
        <f>IF(V8&lt;=Time!$F$11,1,0)</f>
        <v/>
      </c>
      <c r="W13" s="9">
        <f>IF(W8&lt;=Time!$F$11,1,0)</f>
        <v/>
      </c>
      <c r="X13" s="9">
        <f>IF(X8&lt;=Time!$F$11,1,0)</f>
        <v/>
      </c>
      <c r="Y13" s="9">
        <f>IF(Y8&lt;=Time!$F$11,1,0)</f>
        <v/>
      </c>
      <c r="Z13" s="9">
        <f>IF(Z8&lt;=Time!$F$11,1,0)</f>
        <v/>
      </c>
      <c r="AA13" s="9">
        <f>IF(AA8&lt;=Time!$F$11,1,0)</f>
        <v/>
      </c>
      <c r="AB13" s="9">
        <f>IF(AB8&lt;=Time!$F$11,1,0)</f>
        <v/>
      </c>
      <c r="AC13" s="9">
        <f>IF(AC8&lt;=Time!$F$11,1,0)</f>
        <v/>
      </c>
      <c r="AD13" s="9">
        <f>IF(AD8&lt;=Time!$F$11,1,0)</f>
        <v/>
      </c>
      <c r="AE13" s="9">
        <f>IF(AE8&lt;=Time!$F$11,1,0)</f>
        <v/>
      </c>
      <c r="AF13" s="9">
        <f>IF(AF8&lt;=Time!$F$11,1,0)</f>
        <v/>
      </c>
      <c r="AG13" s="9">
        <f>IF(AG8&lt;=Time!$F$11,1,0)</f>
        <v/>
      </c>
      <c r="AH13" s="9">
        <f>IF(AH8&lt;=Time!$F$11,1,0)</f>
        <v/>
      </c>
      <c r="AI13" s="9">
        <f>IF(AI8&lt;=Time!$F$11,1,0)</f>
        <v/>
      </c>
      <c r="AJ13" s="9">
        <f>IF(AJ8&lt;=Time!$F$11,1,0)</f>
        <v/>
      </c>
      <c r="AK13" s="9">
        <f>IF(AK8&lt;=Time!$F$11,1,0)</f>
        <v/>
      </c>
      <c r="AL13" s="9">
        <f>IF(AL8&lt;=Time!$F$11,1,0)</f>
        <v/>
      </c>
      <c r="AM13" s="9">
        <f>IF(AM8&lt;=Time!$F$11,1,0)</f>
        <v/>
      </c>
      <c r="AN13" s="9">
        <f>IF(AN8&lt;=Time!$F$11,1,0)</f>
        <v/>
      </c>
      <c r="AO13" s="9">
        <f>IF(AO8&lt;=Time!$F$11,1,0)</f>
        <v/>
      </c>
      <c r="AP13" s="9">
        <f>IF(AP8&lt;=Time!$F$11,1,0)</f>
        <v/>
      </c>
      <c r="AQ13" s="9">
        <f>IF(AQ8&lt;=Time!$F$11,1,0)</f>
        <v/>
      </c>
      <c r="AR13" s="9">
        <f>IF(AR8&lt;=Time!$F$11,1,0)</f>
        <v/>
      </c>
      <c r="AS13" s="9">
        <f>IF(AS8&lt;=Time!$F$11,1,0)</f>
        <v/>
      </c>
      <c r="AT13" s="9">
        <f>IF(AT8&lt;=Time!$F$11,1,0)</f>
        <v/>
      </c>
      <c r="AU13" s="9">
        <f>IF(AU8&lt;=Time!$F$11,1,0)</f>
        <v/>
      </c>
      <c r="AV13" s="9">
        <f>IF(AV8&lt;=Time!$F$11,1,0)</f>
        <v/>
      </c>
      <c r="AW13" s="9">
        <f>IF(AW8&lt;=Time!$F$11,1,0)</f>
        <v/>
      </c>
      <c r="AX13" s="9">
        <f>IF(AX8&lt;=Time!$F$11,1,0)</f>
        <v/>
      </c>
      <c r="AY13" s="9">
        <f>IF(AY8&lt;=Time!$F$11,1,0)</f>
        <v/>
      </c>
      <c r="AZ13" s="9">
        <f>IF(AZ8&lt;=Time!$F$11,1,0)</f>
        <v/>
      </c>
      <c r="BA13" s="9">
        <f>IF(BA8&lt;=Time!$F$11,1,0)</f>
        <v/>
      </c>
      <c r="BB13" s="9">
        <f>IF(BB8&lt;=Time!$F$11,1,0)</f>
        <v/>
      </c>
      <c r="BC13" s="9">
        <f>IF(BC8&lt;=Time!$F$11,1,0)</f>
        <v/>
      </c>
      <c r="BD13" s="9">
        <f>IF(BD8&lt;=Time!$F$11,1,0)</f>
        <v/>
      </c>
      <c r="BE13" s="9">
        <f>IF(BE8&lt;=Time!$F$11,1,0)</f>
        <v/>
      </c>
      <c r="BF13" s="9">
        <f>IF(BF8&lt;=Time!$F$11,1,0)</f>
        <v/>
      </c>
      <c r="BG13" s="9">
        <f>IF(BG8&lt;=Time!$F$11,1,0)</f>
        <v/>
      </c>
      <c r="BH13" s="9">
        <f>IF(BH8&lt;=Time!$F$11,1,0)</f>
        <v/>
      </c>
      <c r="BI13" s="9">
        <f>IF(BI8&lt;=Time!$F$11,1,0)</f>
        <v/>
      </c>
      <c r="BJ13" s="9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IF(J8&lt;=Time!$F$14,1,0)</f>
        <v/>
      </c>
      <c r="K14" s="9">
        <f>IF(K8&lt;=Time!$F$14,1,0)</f>
        <v/>
      </c>
      <c r="L14" s="9">
        <f>IF(L8&lt;=Time!$F$14,1,0)</f>
        <v/>
      </c>
      <c r="M14" s="9">
        <f>IF(M8&lt;=Time!$F$14,1,0)</f>
        <v/>
      </c>
      <c r="N14" s="9">
        <f>IF(N8&lt;=Time!$F$14,1,0)</f>
        <v/>
      </c>
      <c r="O14" s="9">
        <f>IF(O8&lt;=Time!$F$14,1,0)</f>
        <v/>
      </c>
      <c r="P14" s="9">
        <f>IF(P8&lt;=Time!$F$14,1,0)</f>
        <v/>
      </c>
      <c r="Q14" s="9">
        <f>IF(Q8&lt;=Time!$F$14,1,0)</f>
        <v/>
      </c>
      <c r="R14" s="9">
        <f>IF(R8&lt;=Time!$F$14,1,0)</f>
        <v/>
      </c>
      <c r="S14" s="9">
        <f>IF(S8&lt;=Time!$F$14,1,0)</f>
        <v/>
      </c>
      <c r="T14" s="9">
        <f>IF(T8&lt;=Time!$F$14,1,0)</f>
        <v/>
      </c>
      <c r="U14" s="9">
        <f>IF(U8&lt;=Time!$F$14,1,0)</f>
        <v/>
      </c>
      <c r="V14" s="9">
        <f>IF(V8&lt;=Time!$F$14,1,0)</f>
        <v/>
      </c>
      <c r="W14" s="9">
        <f>IF(W8&lt;=Time!$F$14,1,0)</f>
        <v/>
      </c>
      <c r="X14" s="9">
        <f>IF(X8&lt;=Time!$F$14,1,0)</f>
        <v/>
      </c>
      <c r="Y14" s="9">
        <f>IF(Y8&lt;=Time!$F$14,1,0)</f>
        <v/>
      </c>
      <c r="Z14" s="9">
        <f>IF(Z8&lt;=Time!$F$14,1,0)</f>
        <v/>
      </c>
      <c r="AA14" s="9">
        <f>IF(AA8&lt;=Time!$F$14,1,0)</f>
        <v/>
      </c>
      <c r="AB14" s="9">
        <f>IF(AB8&lt;=Time!$F$14,1,0)</f>
        <v/>
      </c>
      <c r="AC14" s="9">
        <f>IF(AC8&lt;=Time!$F$14,1,0)</f>
        <v/>
      </c>
      <c r="AD14" s="9">
        <f>IF(AD8&lt;=Time!$F$14,1,0)</f>
        <v/>
      </c>
      <c r="AE14" s="9">
        <f>IF(AE8&lt;=Time!$F$14,1,0)</f>
        <v/>
      </c>
      <c r="AF14" s="9">
        <f>IF(AF8&lt;=Time!$F$14,1,0)</f>
        <v/>
      </c>
      <c r="AG14" s="9">
        <f>IF(AG8&lt;=Time!$F$14,1,0)</f>
        <v/>
      </c>
      <c r="AH14" s="9">
        <f>IF(AH8&lt;=Time!$F$14,1,0)</f>
        <v/>
      </c>
      <c r="AI14" s="9">
        <f>IF(AI8&lt;=Time!$F$14,1,0)</f>
        <v/>
      </c>
      <c r="AJ14" s="9">
        <f>IF(AJ8&lt;=Time!$F$14,1,0)</f>
        <v/>
      </c>
      <c r="AK14" s="9">
        <f>IF(AK8&lt;=Time!$F$14,1,0)</f>
        <v/>
      </c>
      <c r="AL14" s="9">
        <f>IF(AL8&lt;=Time!$F$14,1,0)</f>
        <v/>
      </c>
      <c r="AM14" s="9">
        <f>IF(AM8&lt;=Time!$F$14,1,0)</f>
        <v/>
      </c>
      <c r="AN14" s="9">
        <f>IF(AN8&lt;=Time!$F$14,1,0)</f>
        <v/>
      </c>
      <c r="AO14" s="9">
        <f>IF(AO8&lt;=Time!$F$14,1,0)</f>
        <v/>
      </c>
      <c r="AP14" s="9">
        <f>IF(AP8&lt;=Time!$F$14,1,0)</f>
        <v/>
      </c>
      <c r="AQ14" s="9">
        <f>IF(AQ8&lt;=Time!$F$14,1,0)</f>
        <v/>
      </c>
      <c r="AR14" s="9">
        <f>IF(AR8&lt;=Time!$F$14,1,0)</f>
        <v/>
      </c>
      <c r="AS14" s="9">
        <f>IF(AS8&lt;=Time!$F$14,1,0)</f>
        <v/>
      </c>
      <c r="AT14" s="9">
        <f>IF(AT8&lt;=Time!$F$14,1,0)</f>
        <v/>
      </c>
      <c r="AU14" s="9">
        <f>IF(AU8&lt;=Time!$F$14,1,0)</f>
        <v/>
      </c>
      <c r="AV14" s="9">
        <f>IF(AV8&lt;=Time!$F$14,1,0)</f>
        <v/>
      </c>
      <c r="AW14" s="9">
        <f>IF(AW8&lt;=Time!$F$14,1,0)</f>
        <v/>
      </c>
      <c r="AX14" s="9">
        <f>IF(AX8&lt;=Time!$F$14,1,0)</f>
        <v/>
      </c>
      <c r="AY14" s="9">
        <f>IF(AY8&lt;=Time!$F$14,1,0)</f>
        <v/>
      </c>
      <c r="AZ14" s="9">
        <f>IF(AZ8&lt;=Time!$F$14,1,0)</f>
        <v/>
      </c>
      <c r="BA14" s="9">
        <f>IF(BA8&lt;=Time!$F$14,1,0)</f>
        <v/>
      </c>
      <c r="BB14" s="9">
        <f>IF(BB8&lt;=Time!$F$14,1,0)</f>
        <v/>
      </c>
      <c r="BC14" s="9">
        <f>IF(BC8&lt;=Time!$F$14,1,0)</f>
        <v/>
      </c>
      <c r="BD14" s="9">
        <f>IF(BD8&lt;=Time!$F$14,1,0)</f>
        <v/>
      </c>
      <c r="BE14" s="9">
        <f>IF(BE8&lt;=Time!$F$14,1,0)</f>
        <v/>
      </c>
      <c r="BF14" s="9">
        <f>IF(BF8&lt;=Time!$F$14,1,0)</f>
        <v/>
      </c>
      <c r="BG14" s="9">
        <f>IF(BG8&lt;=Time!$F$14,1,0)</f>
        <v/>
      </c>
      <c r="BH14" s="9">
        <f>IF(BH8&lt;=Time!$F$14,1,0)</f>
        <v/>
      </c>
      <c r="BI14" s="9">
        <f>IF(BI8&lt;=Time!$F$14,1,0)</f>
        <v/>
      </c>
      <c r="BJ14" s="9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IF(J8=Time!$F$11+1,1,0)</f>
        <v/>
      </c>
      <c r="K15" s="9">
        <f>IF(K8=Time!$F$11+1,1,0)</f>
        <v/>
      </c>
      <c r="L15" s="9">
        <f>IF(L8=Time!$F$11+1,1,0)</f>
        <v/>
      </c>
      <c r="M15" s="9">
        <f>IF(M8=Time!$F$11+1,1,0)</f>
        <v/>
      </c>
      <c r="N15" s="9">
        <f>IF(N8=Time!$F$11+1,1,0)</f>
        <v/>
      </c>
      <c r="O15" s="9">
        <f>IF(O8=Time!$F$11+1,1,0)</f>
        <v/>
      </c>
      <c r="P15" s="9">
        <f>IF(P8=Time!$F$11+1,1,0)</f>
        <v/>
      </c>
      <c r="Q15" s="9">
        <f>IF(Q8=Time!$F$11+1,1,0)</f>
        <v/>
      </c>
      <c r="R15" s="9">
        <f>IF(R8=Time!$F$11+1,1,0)</f>
        <v/>
      </c>
      <c r="S15" s="9">
        <f>IF(S8=Time!$F$11+1,1,0)</f>
        <v/>
      </c>
      <c r="T15" s="9">
        <f>IF(T8=Time!$F$11+1,1,0)</f>
        <v/>
      </c>
      <c r="U15" s="9">
        <f>IF(U8=Time!$F$11+1,1,0)</f>
        <v/>
      </c>
      <c r="V15" s="9">
        <f>IF(V8=Time!$F$11+1,1,0)</f>
        <v/>
      </c>
      <c r="W15" s="9">
        <f>IF(W8=Time!$F$11+1,1,0)</f>
        <v/>
      </c>
      <c r="X15" s="9">
        <f>IF(X8=Time!$F$11+1,1,0)</f>
        <v/>
      </c>
      <c r="Y15" s="9">
        <f>IF(Y8=Time!$F$11+1,1,0)</f>
        <v/>
      </c>
      <c r="Z15" s="9">
        <f>IF(Z8=Time!$F$11+1,1,0)</f>
        <v/>
      </c>
      <c r="AA15" s="9">
        <f>IF(AA8=Time!$F$11+1,1,0)</f>
        <v/>
      </c>
      <c r="AB15" s="9">
        <f>IF(AB8=Time!$F$11+1,1,0)</f>
        <v/>
      </c>
      <c r="AC15" s="9">
        <f>IF(AC8=Time!$F$11+1,1,0)</f>
        <v/>
      </c>
      <c r="AD15" s="9">
        <f>IF(AD8=Time!$F$11+1,1,0)</f>
        <v/>
      </c>
      <c r="AE15" s="9">
        <f>IF(AE8=Time!$F$11+1,1,0)</f>
        <v/>
      </c>
      <c r="AF15" s="9">
        <f>IF(AF8=Time!$F$11+1,1,0)</f>
        <v/>
      </c>
      <c r="AG15" s="9">
        <f>IF(AG8=Time!$F$11+1,1,0)</f>
        <v/>
      </c>
      <c r="AH15" s="9">
        <f>IF(AH8=Time!$F$11+1,1,0)</f>
        <v/>
      </c>
      <c r="AI15" s="9">
        <f>IF(AI8=Time!$F$11+1,1,0)</f>
        <v/>
      </c>
      <c r="AJ15" s="9">
        <f>IF(AJ8=Time!$F$11+1,1,0)</f>
        <v/>
      </c>
      <c r="AK15" s="9">
        <f>IF(AK8=Time!$F$11+1,1,0)</f>
        <v/>
      </c>
      <c r="AL15" s="9">
        <f>IF(AL8=Time!$F$11+1,1,0)</f>
        <v/>
      </c>
      <c r="AM15" s="9">
        <f>IF(AM8=Time!$F$11+1,1,0)</f>
        <v/>
      </c>
      <c r="AN15" s="9">
        <f>IF(AN8=Time!$F$11+1,1,0)</f>
        <v/>
      </c>
      <c r="AO15" s="9">
        <f>IF(AO8=Time!$F$11+1,1,0)</f>
        <v/>
      </c>
      <c r="AP15" s="9">
        <f>IF(AP8=Time!$F$11+1,1,0)</f>
        <v/>
      </c>
      <c r="AQ15" s="9">
        <f>IF(AQ8=Time!$F$11+1,1,0)</f>
        <v/>
      </c>
      <c r="AR15" s="9">
        <f>IF(AR8=Time!$F$11+1,1,0)</f>
        <v/>
      </c>
      <c r="AS15" s="9">
        <f>IF(AS8=Time!$F$11+1,1,0)</f>
        <v/>
      </c>
      <c r="AT15" s="9">
        <f>IF(AT8=Time!$F$11+1,1,0)</f>
        <v/>
      </c>
      <c r="AU15" s="9">
        <f>IF(AU8=Time!$F$11+1,1,0)</f>
        <v/>
      </c>
      <c r="AV15" s="9">
        <f>IF(AV8=Time!$F$11+1,1,0)</f>
        <v/>
      </c>
      <c r="AW15" s="9">
        <f>IF(AW8=Time!$F$11+1,1,0)</f>
        <v/>
      </c>
      <c r="AX15" s="9">
        <f>IF(AX8=Time!$F$11+1,1,0)</f>
        <v/>
      </c>
      <c r="AY15" s="9">
        <f>IF(AY8=Time!$F$11+1,1,0)</f>
        <v/>
      </c>
      <c r="AZ15" s="9">
        <f>IF(AZ8=Time!$F$11+1,1,0)</f>
        <v/>
      </c>
      <c r="BA15" s="9">
        <f>IF(BA8=Time!$F$11+1,1,0)</f>
        <v/>
      </c>
      <c r="BB15" s="9">
        <f>IF(BB8=Time!$F$11+1,1,0)</f>
        <v/>
      </c>
      <c r="BC15" s="9">
        <f>IF(BC8=Time!$F$11+1,1,0)</f>
        <v/>
      </c>
      <c r="BD15" s="9">
        <f>IF(BD8=Time!$F$11+1,1,0)</f>
        <v/>
      </c>
      <c r="BE15" s="9">
        <f>IF(BE8=Time!$F$11+1,1,0)</f>
        <v/>
      </c>
      <c r="BF15" s="9">
        <f>IF(BF8=Time!$F$11+1,1,0)</f>
        <v/>
      </c>
      <c r="BG15" s="9">
        <f>IF(BG8=Time!$F$11+1,1,0)</f>
        <v/>
      </c>
      <c r="BH15" s="9">
        <f>IF(BH8=Time!$F$11+1,1,0)</f>
        <v/>
      </c>
      <c r="BI15" s="9">
        <f>IF(BI8=Time!$F$11+1,1,0)</f>
        <v/>
      </c>
      <c r="BJ15" s="9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3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J19*(1+J12/100)^(Inputs!$F$236/12)</f>
        <v/>
      </c>
      <c r="K20" s="13">
        <f>K19*(1+K12/100)^(Inputs!$F$236/12)</f>
        <v/>
      </c>
      <c r="L20" s="13">
        <f>L19*(1+L12/100)^(Inputs!$F$236/12)</f>
        <v/>
      </c>
      <c r="M20" s="13">
        <f>M19*(1+M12/100)^(Inputs!$F$236/12)</f>
        <v/>
      </c>
      <c r="N20" s="13">
        <f>N19*(1+N12/100)^(Inputs!$F$236/12)</f>
        <v/>
      </c>
      <c r="O20" s="13">
        <f>O19*(1+O12/100)^(Inputs!$F$236/12)</f>
        <v/>
      </c>
      <c r="P20" s="13">
        <f>P19*(1+P12/100)^(Inputs!$F$236/12)</f>
        <v/>
      </c>
      <c r="Q20" s="13">
        <f>Q19*(1+Q12/100)^(Inputs!$F$236/12)</f>
        <v/>
      </c>
      <c r="R20" s="13">
        <f>R19*(1+R12/100)^(Inputs!$F$236/12)</f>
        <v/>
      </c>
      <c r="S20" s="13">
        <f>S19*(1+S12/100)^(Inputs!$F$236/12)</f>
        <v/>
      </c>
      <c r="T20" s="13">
        <f>T19*(1+T12/100)^(Inputs!$F$236/12)</f>
        <v/>
      </c>
      <c r="U20" s="13">
        <f>U19*(1+U12/100)^(Inputs!$F$236/12)</f>
        <v/>
      </c>
      <c r="V20" s="13">
        <f>V19*(1+V12/100)^(Inputs!$F$236/12)</f>
        <v/>
      </c>
      <c r="W20" s="13">
        <f>W19*(1+W12/100)^(Inputs!$F$236/12)</f>
        <v/>
      </c>
      <c r="X20" s="13">
        <f>X19*(1+X12/100)^(Inputs!$F$236/12)</f>
        <v/>
      </c>
      <c r="Y20" s="13">
        <f>Y19*(1+Y12/100)^(Inputs!$F$236/12)</f>
        <v/>
      </c>
      <c r="Z20" s="13">
        <f>Z19*(1+Z12/100)^(Inputs!$F$236/12)</f>
        <v/>
      </c>
      <c r="AA20" s="13">
        <f>AA19*(1+AA12/100)^(Inputs!$F$236/12)</f>
        <v/>
      </c>
      <c r="AB20" s="13">
        <f>AB19*(1+AB12/100)^(Inputs!$F$236/12)</f>
        <v/>
      </c>
      <c r="AC20" s="13">
        <f>AC19*(1+AC12/100)^(Inputs!$F$236/12)</f>
        <v/>
      </c>
      <c r="AD20" s="13">
        <f>AD19*(1+AD12/100)^(Inputs!$F$236/12)</f>
        <v/>
      </c>
      <c r="AE20" s="13">
        <f>AE19*(1+AE12/100)^(Inputs!$F$236/12)</f>
        <v/>
      </c>
      <c r="AF20" s="13">
        <f>AF19*(1+AF12/100)^(Inputs!$F$236/12)</f>
        <v/>
      </c>
      <c r="AG20" s="13">
        <f>AG19*(1+AG12/100)^(Inputs!$F$236/12)</f>
        <v/>
      </c>
      <c r="AH20" s="13">
        <f>AH19*(1+AH12/100)^(Inputs!$F$236/12)</f>
        <v/>
      </c>
      <c r="AI20" s="13">
        <f>AI19*(1+AI12/100)^(Inputs!$F$236/12)</f>
        <v/>
      </c>
      <c r="AJ20" s="13">
        <f>AJ19*(1+AJ12/100)^(Inputs!$F$236/12)</f>
        <v/>
      </c>
      <c r="AK20" s="13">
        <f>AK19*(1+AK12/100)^(Inputs!$F$236/12)</f>
        <v/>
      </c>
      <c r="AL20" s="13">
        <f>AL19*(1+AL12/100)^(Inputs!$F$236/12)</f>
        <v/>
      </c>
      <c r="AM20" s="13">
        <f>AM19*(1+AM12/100)^(Inputs!$F$236/12)</f>
        <v/>
      </c>
      <c r="AN20" s="13">
        <f>AN19*(1+AN12/100)^(Inputs!$F$236/12)</f>
        <v/>
      </c>
      <c r="AO20" s="13">
        <f>AO19*(1+AO12/100)^(Inputs!$F$236/12)</f>
        <v/>
      </c>
      <c r="AP20" s="13">
        <f>AP19*(1+AP12/100)^(Inputs!$F$236/12)</f>
        <v/>
      </c>
      <c r="AQ20" s="13">
        <f>AQ19*(1+AQ12/100)^(Inputs!$F$236/12)</f>
        <v/>
      </c>
      <c r="AR20" s="13">
        <f>AR19*(1+AR12/100)^(Inputs!$F$236/12)</f>
        <v/>
      </c>
      <c r="AS20" s="13">
        <f>AS19*(1+AS12/100)^(Inputs!$F$236/12)</f>
        <v/>
      </c>
      <c r="AT20" s="13">
        <f>AT19*(1+AT12/100)^(Inputs!$F$236/12)</f>
        <v/>
      </c>
      <c r="AU20" s="13">
        <f>AU19*(1+AU12/100)^(Inputs!$F$236/12)</f>
        <v/>
      </c>
      <c r="AV20" s="13">
        <f>AV19*(1+AV12/100)^(Inputs!$F$236/12)</f>
        <v/>
      </c>
      <c r="AW20" s="13">
        <f>AW19*(1+AW12/100)^(Inputs!$F$236/12)</f>
        <v/>
      </c>
      <c r="AX20" s="13">
        <f>AX19*(1+AX12/100)^(Inputs!$F$236/12)</f>
        <v/>
      </c>
      <c r="AY20" s="13">
        <f>AY19*(1+AY12/100)^(Inputs!$F$236/12)</f>
        <v/>
      </c>
      <c r="AZ20" s="13">
        <f>AZ19*(1+AZ12/100)^(Inputs!$F$236/12)</f>
        <v/>
      </c>
      <c r="BA20" s="13">
        <f>BA19*(1+BA12/100)^(Inputs!$F$236/12)</f>
        <v/>
      </c>
      <c r="BB20" s="13">
        <f>BB19*(1+BB12/100)^(Inputs!$F$236/12)</f>
        <v/>
      </c>
      <c r="BC20" s="13">
        <f>BC19*(1+BC12/100)^(Inputs!$F$236/12)</f>
        <v/>
      </c>
      <c r="BD20" s="13">
        <f>BD19*(1+BD12/100)^(Inputs!$F$236/12)</f>
        <v/>
      </c>
      <c r="BE20" s="13">
        <f>BE19*(1+BE12/100)^(Inputs!$F$236/12)</f>
        <v/>
      </c>
      <c r="BF20" s="13">
        <f>BF19*(1+BF12/100)^(Inputs!$F$236/12)</f>
        <v/>
      </c>
      <c r="BG20" s="13">
        <f>BG19*(1+BG12/100)^(Inputs!$F$236/12)</f>
        <v/>
      </c>
      <c r="BH20" s="13">
        <f>BH19*(1+BH12/100)^(Inputs!$F$236/12)</f>
        <v/>
      </c>
      <c r="BI20" s="13">
        <f>BI19*(1+BI12/100)^(Inputs!$F$236/12)</f>
        <v/>
      </c>
      <c r="BJ20" s="13">
        <f>BJ19*(1+BJ12/100)^(Inputs!$F$236/12)</f>
        <v/>
      </c>
      <c r="BK20" s="13">
        <f>BK19*(1+BK12/100)^(Inputs!$F$236/12)</f>
        <v/>
      </c>
      <c r="BL20" s="13">
        <f>BL19*(1+BL12/100)^(Inputs!$F$236/12)</f>
        <v/>
      </c>
      <c r="BM20" s="13">
        <f>BM19*(1+BM12/100)^(Inputs!$F$236/12)</f>
        <v/>
      </c>
      <c r="BN20" s="13">
        <f>BN19*(1+BN12/100)^(Inputs!$F$236/12)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3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J25*(1+J13/100)^(Inputs!$F$236/12)</f>
        <v/>
      </c>
      <c r="K26" s="13">
        <f>K25*(1+K13/100)^(Inputs!$F$236/12)</f>
        <v/>
      </c>
      <c r="L26" s="13">
        <f>L25*(1+L13/100)^(Inputs!$F$236/12)</f>
        <v/>
      </c>
      <c r="M26" s="13">
        <f>M25*(1+M13/100)^(Inputs!$F$236/12)</f>
        <v/>
      </c>
      <c r="N26" s="13">
        <f>N25*(1+N13/100)^(Inputs!$F$236/12)</f>
        <v/>
      </c>
      <c r="O26" s="13">
        <f>O25*(1+O13/100)^(Inputs!$F$236/12)</f>
        <v/>
      </c>
      <c r="P26" s="13">
        <f>P25*(1+P13/100)^(Inputs!$F$236/12)</f>
        <v/>
      </c>
      <c r="Q26" s="13">
        <f>Q25*(1+Q13/100)^(Inputs!$F$236/12)</f>
        <v/>
      </c>
      <c r="R26" s="13">
        <f>R25*(1+R13/100)^(Inputs!$F$236/12)</f>
        <v/>
      </c>
      <c r="S26" s="13">
        <f>S25*(1+S13/100)^(Inputs!$F$236/12)</f>
        <v/>
      </c>
      <c r="T26" s="13">
        <f>T25*(1+T13/100)^(Inputs!$F$236/12)</f>
        <v/>
      </c>
      <c r="U26" s="13">
        <f>U25*(1+U13/100)^(Inputs!$F$236/12)</f>
        <v/>
      </c>
      <c r="V26" s="13">
        <f>V25*(1+V13/100)^(Inputs!$F$236/12)</f>
        <v/>
      </c>
      <c r="W26" s="13">
        <f>W25*(1+W13/100)^(Inputs!$F$236/12)</f>
        <v/>
      </c>
      <c r="X26" s="13">
        <f>X25*(1+X13/100)^(Inputs!$F$236/12)</f>
        <v/>
      </c>
      <c r="Y26" s="13">
        <f>Y25*(1+Y13/100)^(Inputs!$F$236/12)</f>
        <v/>
      </c>
      <c r="Z26" s="13">
        <f>Z25*(1+Z13/100)^(Inputs!$F$236/12)</f>
        <v/>
      </c>
      <c r="AA26" s="13">
        <f>AA25*(1+AA13/100)^(Inputs!$F$236/12)</f>
        <v/>
      </c>
      <c r="AB26" s="13">
        <f>AB25*(1+AB13/100)^(Inputs!$F$236/12)</f>
        <v/>
      </c>
      <c r="AC26" s="13">
        <f>AC25*(1+AC13/100)^(Inputs!$F$236/12)</f>
        <v/>
      </c>
      <c r="AD26" s="13">
        <f>AD25*(1+AD13/100)^(Inputs!$F$236/12)</f>
        <v/>
      </c>
      <c r="AE26" s="13">
        <f>AE25*(1+AE13/100)^(Inputs!$F$236/12)</f>
        <v/>
      </c>
      <c r="AF26" s="13">
        <f>AF25*(1+AF13/100)^(Inputs!$F$236/12)</f>
        <v/>
      </c>
      <c r="AG26" s="13">
        <f>AG25*(1+AG13/100)^(Inputs!$F$236/12)</f>
        <v/>
      </c>
      <c r="AH26" s="13">
        <f>AH25*(1+AH13/100)^(Inputs!$F$236/12)</f>
        <v/>
      </c>
      <c r="AI26" s="13">
        <f>AI25*(1+AI13/100)^(Inputs!$F$236/12)</f>
        <v/>
      </c>
      <c r="AJ26" s="13">
        <f>AJ25*(1+AJ13/100)^(Inputs!$F$236/12)</f>
        <v/>
      </c>
      <c r="AK26" s="13">
        <f>AK25*(1+AK13/100)^(Inputs!$F$236/12)</f>
        <v/>
      </c>
      <c r="AL26" s="13">
        <f>AL25*(1+AL13/100)^(Inputs!$F$236/12)</f>
        <v/>
      </c>
      <c r="AM26" s="13">
        <f>AM25*(1+AM13/100)^(Inputs!$F$236/12)</f>
        <v/>
      </c>
      <c r="AN26" s="13">
        <f>AN25*(1+AN13/100)^(Inputs!$F$236/12)</f>
        <v/>
      </c>
      <c r="AO26" s="13">
        <f>AO25*(1+AO13/100)^(Inputs!$F$236/12)</f>
        <v/>
      </c>
      <c r="AP26" s="13">
        <f>AP25*(1+AP13/100)^(Inputs!$F$236/12)</f>
        <v/>
      </c>
      <c r="AQ26" s="13">
        <f>AQ25*(1+AQ13/100)^(Inputs!$F$236/12)</f>
        <v/>
      </c>
      <c r="AR26" s="13">
        <f>AR25*(1+AR13/100)^(Inputs!$F$236/12)</f>
        <v/>
      </c>
      <c r="AS26" s="13">
        <f>AS25*(1+AS13/100)^(Inputs!$F$236/12)</f>
        <v/>
      </c>
      <c r="AT26" s="13">
        <f>AT25*(1+AT13/100)^(Inputs!$F$236/12)</f>
        <v/>
      </c>
      <c r="AU26" s="13">
        <f>AU25*(1+AU13/100)^(Inputs!$F$236/12)</f>
        <v/>
      </c>
      <c r="AV26" s="13">
        <f>AV25*(1+AV13/100)^(Inputs!$F$236/12)</f>
        <v/>
      </c>
      <c r="AW26" s="13">
        <f>AW25*(1+AW13/100)^(Inputs!$F$236/12)</f>
        <v/>
      </c>
      <c r="AX26" s="13">
        <f>AX25*(1+AX13/100)^(Inputs!$F$236/12)</f>
        <v/>
      </c>
      <c r="AY26" s="13">
        <f>AY25*(1+AY13/100)^(Inputs!$F$236/12)</f>
        <v/>
      </c>
      <c r="AZ26" s="13">
        <f>AZ25*(1+AZ13/100)^(Inputs!$F$236/12)</f>
        <v/>
      </c>
      <c r="BA26" s="13">
        <f>BA25*(1+BA13/100)^(Inputs!$F$236/12)</f>
        <v/>
      </c>
      <c r="BB26" s="13">
        <f>BB25*(1+BB13/100)^(Inputs!$F$236/12)</f>
        <v/>
      </c>
      <c r="BC26" s="13">
        <f>BC25*(1+BC13/100)^(Inputs!$F$236/12)</f>
        <v/>
      </c>
      <c r="BD26" s="13">
        <f>BD25*(1+BD13/100)^(Inputs!$F$236/12)</f>
        <v/>
      </c>
      <c r="BE26" s="13">
        <f>BE25*(1+BE13/100)^(Inputs!$F$236/12)</f>
        <v/>
      </c>
      <c r="BF26" s="13">
        <f>BF25*(1+BF13/100)^(Inputs!$F$236/12)</f>
        <v/>
      </c>
      <c r="BG26" s="13">
        <f>BG25*(1+BG13/100)^(Inputs!$F$236/12)</f>
        <v/>
      </c>
      <c r="BH26" s="13">
        <f>BH25*(1+BH13/100)^(Inputs!$F$236/12)</f>
        <v/>
      </c>
      <c r="BI26" s="13">
        <f>BI25*(1+BI13/100)^(Inputs!$F$236/12)</f>
        <v/>
      </c>
      <c r="BJ26" s="13">
        <f>BJ25*(1+BJ13/100)^(Inputs!$F$236/12)</f>
        <v/>
      </c>
      <c r="BK26" s="13">
        <f>BK25*(1+BK13/100)^(Inputs!$F$236/12)</f>
        <v/>
      </c>
      <c r="BL26" s="13">
        <f>BL25*(1+BL13/100)^(Inputs!$F$236/12)</f>
        <v/>
      </c>
      <c r="BM26" s="13">
        <f>BM25*(1+BM13/100)^(Inputs!$F$236/12)</f>
        <v/>
      </c>
      <c r="BN26" s="13">
        <f>BN25*(1+BN13/100)^(Inputs!$F$236/12)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9">
        <f>INT(Time!J32/12)+1</f>
        <v/>
      </c>
      <c r="K29" s="9">
        <f>INT(Time!K32/12)+1</f>
        <v/>
      </c>
      <c r="L29" s="9">
        <f>INT(Time!L32/12)+1</f>
        <v/>
      </c>
      <c r="M29" s="9">
        <f>INT(Time!M32/12)+1</f>
        <v/>
      </c>
      <c r="N29" s="9">
        <f>INT(Time!N32/12)+1</f>
        <v/>
      </c>
      <c r="O29" s="9">
        <f>INT(Time!O32/12)+1</f>
        <v/>
      </c>
      <c r="P29" s="9">
        <f>INT(Time!P32/12)+1</f>
        <v/>
      </c>
      <c r="Q29" s="9">
        <f>INT(Time!Q32/12)+1</f>
        <v/>
      </c>
      <c r="R29" s="9">
        <f>INT(Time!R32/12)+1</f>
        <v/>
      </c>
      <c r="S29" s="9">
        <f>INT(Time!S32/12)+1</f>
        <v/>
      </c>
      <c r="T29" s="9">
        <f>INT(Time!T32/12)+1</f>
        <v/>
      </c>
      <c r="U29" s="9">
        <f>INT(Time!U32/12)+1</f>
        <v/>
      </c>
      <c r="V29" s="9">
        <f>INT(Time!V32/12)+1</f>
        <v/>
      </c>
      <c r="W29" s="9">
        <f>INT(Time!W32/12)+1</f>
        <v/>
      </c>
      <c r="X29" s="9">
        <f>INT(Time!X32/12)+1</f>
        <v/>
      </c>
      <c r="Y29" s="9">
        <f>INT(Time!Y32/12)+1</f>
        <v/>
      </c>
      <c r="Z29" s="9">
        <f>INT(Time!Z32/12)+1</f>
        <v/>
      </c>
      <c r="AA29" s="9">
        <f>INT(Time!AA32/12)+1</f>
        <v/>
      </c>
      <c r="AB29" s="9">
        <f>INT(Time!AB32/12)+1</f>
        <v/>
      </c>
      <c r="AC29" s="9">
        <f>INT(Time!AC32/12)+1</f>
        <v/>
      </c>
      <c r="AD29" s="9">
        <f>INT(Time!AD32/12)+1</f>
        <v/>
      </c>
      <c r="AE29" s="9">
        <f>INT(Time!AE32/12)+1</f>
        <v/>
      </c>
      <c r="AF29" s="9">
        <f>INT(Time!AF32/12)+1</f>
        <v/>
      </c>
      <c r="AG29" s="9">
        <f>INT(Time!AG32/12)+1</f>
        <v/>
      </c>
      <c r="AH29" s="9">
        <f>INT(Time!AH32/12)+1</f>
        <v/>
      </c>
      <c r="AI29" s="9">
        <f>INT(Time!AI32/12)+1</f>
        <v/>
      </c>
      <c r="AJ29" s="9">
        <f>INT(Time!AJ32/12)+1</f>
        <v/>
      </c>
      <c r="AK29" s="9">
        <f>INT(Time!AK32/12)+1</f>
        <v/>
      </c>
      <c r="AL29" s="9">
        <f>INT(Time!AL32/12)+1</f>
        <v/>
      </c>
      <c r="AM29" s="9">
        <f>INT(Time!AM32/12)+1</f>
        <v/>
      </c>
      <c r="AN29" s="9">
        <f>INT(Time!AN32/12)+1</f>
        <v/>
      </c>
      <c r="AO29" s="9">
        <f>INT(Time!AO32/12)+1</f>
        <v/>
      </c>
      <c r="AP29" s="9">
        <f>INT(Time!AP32/12)+1</f>
        <v/>
      </c>
      <c r="AQ29" s="9">
        <f>INT(Time!AQ32/12)+1</f>
        <v/>
      </c>
      <c r="AR29" s="9">
        <f>INT(Time!AR32/12)+1</f>
        <v/>
      </c>
      <c r="AS29" s="9">
        <f>INT(Time!AS32/12)+1</f>
        <v/>
      </c>
      <c r="AT29" s="9">
        <f>INT(Time!AT32/12)+1</f>
        <v/>
      </c>
      <c r="AU29" s="9">
        <f>INT(Time!AU32/12)+1</f>
        <v/>
      </c>
      <c r="AV29" s="9">
        <f>INT(Time!AV32/12)+1</f>
        <v/>
      </c>
      <c r="AW29" s="9">
        <f>INT(Time!AW32/12)+1</f>
        <v/>
      </c>
      <c r="AX29" s="9">
        <f>INT(Time!AX32/12)+1</f>
        <v/>
      </c>
      <c r="AY29" s="9">
        <f>INT(Time!AY32/12)+1</f>
        <v/>
      </c>
      <c r="AZ29" s="9">
        <f>INT(Time!AZ32/12)+1</f>
        <v/>
      </c>
      <c r="BA29" s="9">
        <f>INT(Time!BA32/12)+1</f>
        <v/>
      </c>
      <c r="BB29" s="9">
        <f>INT(Time!BB32/12)+1</f>
        <v/>
      </c>
      <c r="BC29" s="9">
        <f>INT(Time!BC32/12)+1</f>
        <v/>
      </c>
      <c r="BD29" s="9">
        <f>INT(Time!BD32/12)+1</f>
        <v/>
      </c>
      <c r="BE29" s="9">
        <f>INT(Time!BE32/12)+1</f>
        <v/>
      </c>
      <c r="BF29" s="9">
        <f>INT(Time!BF32/12)+1</f>
        <v/>
      </c>
      <c r="BG29" s="9">
        <f>INT(Time!BG32/12)+1</f>
        <v/>
      </c>
      <c r="BH29" s="9">
        <f>INT(Time!BH32/12)+1</f>
        <v/>
      </c>
      <c r="BI29" s="9">
        <f>INT(Time!BI32/12)+1</f>
        <v/>
      </c>
      <c r="BJ29" s="9">
        <f>INT(Time!BJ32/12)+1</f>
        <v/>
      </c>
      <c r="BK29" s="9">
        <f>INT(Time!BK32/12)+1</f>
        <v/>
      </c>
      <c r="BL29" s="9">
        <f>INT(Time!BL32/12)+1</f>
        <v/>
      </c>
      <c r="BM29" s="9">
        <f>INT(Time!BM32/12)+1</f>
        <v/>
      </c>
      <c r="BN29" s="9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9">
        <f>MIN(Time!J33,J29*12)-Time!J32</f>
        <v/>
      </c>
      <c r="K30" s="9">
        <f>MIN(Time!K33,K29*12)-Time!K32</f>
        <v/>
      </c>
      <c r="L30" s="9">
        <f>MIN(Time!L33,L29*12)-Time!L32</f>
        <v/>
      </c>
      <c r="M30" s="9">
        <f>MIN(Time!M33,M29*12)-Time!M32</f>
        <v/>
      </c>
      <c r="N30" s="9">
        <f>MIN(Time!N33,N29*12)-Time!N32</f>
        <v/>
      </c>
      <c r="O30" s="9">
        <f>MIN(Time!O33,O29*12)-Time!O32</f>
        <v/>
      </c>
      <c r="P30" s="9">
        <f>MIN(Time!P33,P29*12)-Time!P32</f>
        <v/>
      </c>
      <c r="Q30" s="9">
        <f>MIN(Time!Q33,Q29*12)-Time!Q32</f>
        <v/>
      </c>
      <c r="R30" s="9">
        <f>MIN(Time!R33,R29*12)-Time!R32</f>
        <v/>
      </c>
      <c r="S30" s="9">
        <f>MIN(Time!S33,S29*12)-Time!S32</f>
        <v/>
      </c>
      <c r="T30" s="9">
        <f>MIN(Time!T33,T29*12)-Time!T32</f>
        <v/>
      </c>
      <c r="U30" s="9">
        <f>MIN(Time!U33,U29*12)-Time!U32</f>
        <v/>
      </c>
      <c r="V30" s="9">
        <f>MIN(Time!V33,V29*12)-Time!V32</f>
        <v/>
      </c>
      <c r="W30" s="9">
        <f>MIN(Time!W33,W29*12)-Time!W32</f>
        <v/>
      </c>
      <c r="X30" s="9">
        <f>MIN(Time!X33,X29*12)-Time!X32</f>
        <v/>
      </c>
      <c r="Y30" s="9">
        <f>MIN(Time!Y33,Y29*12)-Time!Y32</f>
        <v/>
      </c>
      <c r="Z30" s="9">
        <f>MIN(Time!Z33,Z29*12)-Time!Z32</f>
        <v/>
      </c>
      <c r="AA30" s="9">
        <f>MIN(Time!AA33,AA29*12)-Time!AA32</f>
        <v/>
      </c>
      <c r="AB30" s="9">
        <f>MIN(Time!AB33,AB29*12)-Time!AB32</f>
        <v/>
      </c>
      <c r="AC30" s="9">
        <f>MIN(Time!AC33,AC29*12)-Time!AC32</f>
        <v/>
      </c>
      <c r="AD30" s="9">
        <f>MIN(Time!AD33,AD29*12)-Time!AD32</f>
        <v/>
      </c>
      <c r="AE30" s="9">
        <f>MIN(Time!AE33,AE29*12)-Time!AE32</f>
        <v/>
      </c>
      <c r="AF30" s="9">
        <f>MIN(Time!AF33,AF29*12)-Time!AF32</f>
        <v/>
      </c>
      <c r="AG30" s="9">
        <f>MIN(Time!AG33,AG29*12)-Time!AG32</f>
        <v/>
      </c>
      <c r="AH30" s="9">
        <f>MIN(Time!AH33,AH29*12)-Time!AH32</f>
        <v/>
      </c>
      <c r="AI30" s="9">
        <f>MIN(Time!AI33,AI29*12)-Time!AI32</f>
        <v/>
      </c>
      <c r="AJ30" s="9">
        <f>MIN(Time!AJ33,AJ29*12)-Time!AJ32</f>
        <v/>
      </c>
      <c r="AK30" s="9">
        <f>MIN(Time!AK33,AK29*12)-Time!AK32</f>
        <v/>
      </c>
      <c r="AL30" s="9">
        <f>MIN(Time!AL33,AL29*12)-Time!AL32</f>
        <v/>
      </c>
      <c r="AM30" s="9">
        <f>MIN(Time!AM33,AM29*12)-Time!AM32</f>
        <v/>
      </c>
      <c r="AN30" s="9">
        <f>MIN(Time!AN33,AN29*12)-Time!AN32</f>
        <v/>
      </c>
      <c r="AO30" s="9">
        <f>MIN(Time!AO33,AO29*12)-Time!AO32</f>
        <v/>
      </c>
      <c r="AP30" s="9">
        <f>MIN(Time!AP33,AP29*12)-Time!AP32</f>
        <v/>
      </c>
      <c r="AQ30" s="9">
        <f>MIN(Time!AQ33,AQ29*12)-Time!AQ32</f>
        <v/>
      </c>
      <c r="AR30" s="9">
        <f>MIN(Time!AR33,AR29*12)-Time!AR32</f>
        <v/>
      </c>
      <c r="AS30" s="9">
        <f>MIN(Time!AS33,AS29*12)-Time!AS32</f>
        <v/>
      </c>
      <c r="AT30" s="9">
        <f>MIN(Time!AT33,AT29*12)-Time!AT32</f>
        <v/>
      </c>
      <c r="AU30" s="9">
        <f>MIN(Time!AU33,AU29*12)-Time!AU32</f>
        <v/>
      </c>
      <c r="AV30" s="9">
        <f>MIN(Time!AV33,AV29*12)-Time!AV32</f>
        <v/>
      </c>
      <c r="AW30" s="9">
        <f>MIN(Time!AW33,AW29*12)-Time!AW32</f>
        <v/>
      </c>
      <c r="AX30" s="9">
        <f>MIN(Time!AX33,AX29*12)-Time!AX32</f>
        <v/>
      </c>
      <c r="AY30" s="9">
        <f>MIN(Time!AY33,AY29*12)-Time!AY32</f>
        <v/>
      </c>
      <c r="AZ30" s="9">
        <f>MIN(Time!AZ33,AZ29*12)-Time!AZ32</f>
        <v/>
      </c>
      <c r="BA30" s="9">
        <f>MIN(Time!BA33,BA29*12)-Time!BA32</f>
        <v/>
      </c>
      <c r="BB30" s="9">
        <f>MIN(Time!BB33,BB29*12)-Time!BB32</f>
        <v/>
      </c>
      <c r="BC30" s="9">
        <f>MIN(Time!BC33,BC29*12)-Time!BC32</f>
        <v/>
      </c>
      <c r="BD30" s="9">
        <f>MIN(Time!BD33,BD29*12)-Time!BD32</f>
        <v/>
      </c>
      <c r="BE30" s="9">
        <f>MIN(Time!BE33,BE29*12)-Time!BE32</f>
        <v/>
      </c>
      <c r="BF30" s="9">
        <f>MIN(Time!BF33,BF29*12)-Time!BF32</f>
        <v/>
      </c>
      <c r="BG30" s="9">
        <f>MIN(Time!BG33,BG29*12)-Time!BG32</f>
        <v/>
      </c>
      <c r="BH30" s="9">
        <f>MIN(Time!BH33,BH29*12)-Time!BH32</f>
        <v/>
      </c>
      <c r="BI30" s="9">
        <f>MIN(Time!BI33,BI29*12)-Time!BI32</f>
        <v/>
      </c>
      <c r="BJ30" s="9">
        <f>MIN(Time!BJ33,BJ29*12)-Time!BJ32</f>
        <v/>
      </c>
      <c r="BK30" s="9">
        <f>MIN(Time!BK33,BK29*12)-Time!BK32</f>
        <v/>
      </c>
      <c r="BL30" s="9">
        <f>MIN(Time!BL33,BL29*12)-Time!BL32</f>
        <v/>
      </c>
      <c r="BM30" s="9">
        <f>MIN(Time!BM33,BM29*12)-Time!BM32</f>
        <v/>
      </c>
      <c r="BN30" s="9">
        <f>MIN(Time!BN33,BN29*12)-Time!BN32</f>
        <v/>
      </c>
    </row>
    <row r="31">
      <c r="D31" t="inlineStr">
        <is>
          <t>Availability, profile (month-weighted; plus the Monte Carlo shock for the operating year when active)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/>
      </c>
      <c r="K31" s="13">
        <f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/>
      </c>
      <c r="L31" s="13">
        <f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/>
      </c>
      <c r="M31" s="13">
        <f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/>
      </c>
      <c r="N31" s="13">
        <f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/>
      </c>
      <c r="O31" s="13">
        <f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/>
      </c>
      <c r="P31" s="13">
        <f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/>
      </c>
      <c r="Q31" s="13">
        <f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/>
      </c>
      <c r="R31" s="13">
        <f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/>
      </c>
      <c r="S31" s="13">
        <f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/>
      </c>
      <c r="T31" s="13">
        <f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/>
      </c>
      <c r="U31" s="13">
        <f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/>
      </c>
      <c r="V31" s="13">
        <f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/>
      </c>
      <c r="W31" s="13">
        <f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/>
      </c>
      <c r="X31" s="13">
        <f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/>
      </c>
      <c r="Y31" s="13">
        <f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/>
      </c>
      <c r="Z31" s="13">
        <f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/>
      </c>
      <c r="AA31" s="13">
        <f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/>
      </c>
      <c r="AB31" s="13">
        <f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/>
      </c>
      <c r="AC31" s="13">
        <f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/>
      </c>
      <c r="AD31" s="13">
        <f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/>
      </c>
      <c r="AE31" s="13">
        <f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/>
      </c>
      <c r="AF31" s="13">
        <f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/>
      </c>
      <c r="AG31" s="13">
        <f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/>
      </c>
      <c r="AH31" s="13">
        <f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/>
      </c>
      <c r="AI31" s="13">
        <f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/>
      </c>
      <c r="AJ31" s="13">
        <f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/>
      </c>
      <c r="AK31" s="13">
        <f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/>
      </c>
      <c r="AL31" s="13">
        <f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/>
      </c>
      <c r="AM31" s="13">
        <f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/>
      </c>
      <c r="AN31" s="13">
        <f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/>
      </c>
      <c r="AO31" s="13">
        <f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/>
      </c>
      <c r="AP31" s="13">
        <f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/>
      </c>
      <c r="AQ31" s="13">
        <f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/>
      </c>
      <c r="AR31" s="13">
        <f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/>
      </c>
      <c r="AS31" s="13">
        <f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/>
      </c>
      <c r="AT31" s="13">
        <f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/>
      </c>
      <c r="AU31" s="13">
        <f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/>
      </c>
      <c r="AV31" s="13">
        <f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/>
      </c>
      <c r="AW31" s="13">
        <f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/>
      </c>
      <c r="AX31" s="13">
        <f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/>
      </c>
      <c r="AY31" s="13">
        <f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/>
      </c>
      <c r="AZ31" s="13">
        <f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/>
      </c>
      <c r="BA31" s="13">
        <f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/>
      </c>
      <c r="BB31" s="13">
        <f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/>
      </c>
      <c r="BC31" s="13">
        <f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/>
      </c>
      <c r="BD31" s="13">
        <f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/>
      </c>
      <c r="BE31" s="13">
        <f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/>
      </c>
      <c r="BF31" s="13">
        <f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/>
      </c>
      <c r="BG31" s="13">
        <f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/>
      </c>
      <c r="BH31" s="13">
        <f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/>
      </c>
      <c r="BI31" s="13">
        <f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/>
      </c>
      <c r="BJ31" s="13">
        <f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/>
      </c>
      <c r="BK31" s="13">
        <f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/>
      </c>
      <c r="BL31" s="13">
        <f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/>
      </c>
      <c r="BM31" s="13">
        <f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/>
      </c>
      <c r="BN31" s="13">
        <f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9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IF(Inputs!$F$312=1,INDEX(Inputs!$AJ$313:$AJ$1312,Inputs!$F$311),IF(AND(Inputs!$F$55=1,Inputs!J303&gt;0),Inputs!J303,Inputs!$F$38))</f>
        <v/>
      </c>
      <c r="K37" s="13">
        <f>IF(Inputs!$F$312=1,INDEX(Inputs!$AJ$313:$AJ$1312,Inputs!$F$311),IF(AND(Inputs!$F$55=1,Inputs!K303&gt;0),Inputs!K303,Inputs!$F$38))</f>
        <v/>
      </c>
      <c r="L37" s="13">
        <f>IF(Inputs!$F$312=1,INDEX(Inputs!$AJ$313:$AJ$1312,Inputs!$F$311),IF(AND(Inputs!$F$55=1,Inputs!L303&gt;0),Inputs!L303,Inputs!$F$38))</f>
        <v/>
      </c>
      <c r="M37" s="13">
        <f>IF(Inputs!$F$312=1,INDEX(Inputs!$AJ$313:$AJ$1312,Inputs!$F$311),IF(AND(Inputs!$F$55=1,Inputs!M303&gt;0),Inputs!M303,Inputs!$F$38))</f>
        <v/>
      </c>
      <c r="N37" s="13">
        <f>IF(Inputs!$F$312=1,INDEX(Inputs!$AJ$313:$AJ$1312,Inputs!$F$311),IF(AND(Inputs!$F$55=1,Inputs!N303&gt;0),Inputs!N303,Inputs!$F$38))</f>
        <v/>
      </c>
      <c r="O37" s="13">
        <f>IF(Inputs!$F$312=1,INDEX(Inputs!$AJ$313:$AJ$1312,Inputs!$F$311),IF(AND(Inputs!$F$55=1,Inputs!O303&gt;0),Inputs!O303,Inputs!$F$38))</f>
        <v/>
      </c>
      <c r="P37" s="13">
        <f>IF(Inputs!$F$312=1,INDEX(Inputs!$AJ$313:$AJ$1312,Inputs!$F$311),IF(AND(Inputs!$F$55=1,Inputs!P303&gt;0),Inputs!P303,Inputs!$F$38))</f>
        <v/>
      </c>
      <c r="Q37" s="13">
        <f>IF(Inputs!$F$312=1,INDEX(Inputs!$AJ$313:$AJ$1312,Inputs!$F$311),IF(AND(Inputs!$F$55=1,Inputs!Q303&gt;0),Inputs!Q303,Inputs!$F$38))</f>
        <v/>
      </c>
      <c r="R37" s="13">
        <f>IF(Inputs!$F$312=1,INDEX(Inputs!$AJ$313:$AJ$1312,Inputs!$F$311),IF(AND(Inputs!$F$55=1,Inputs!R303&gt;0),Inputs!R303,Inputs!$F$38))</f>
        <v/>
      </c>
      <c r="S37" s="13">
        <f>IF(Inputs!$F$312=1,INDEX(Inputs!$AJ$313:$AJ$1312,Inputs!$F$311),IF(AND(Inputs!$F$55=1,Inputs!S303&gt;0),Inputs!S303,Inputs!$F$38))</f>
        <v/>
      </c>
      <c r="T37" s="13">
        <f>IF(Inputs!$F$312=1,INDEX(Inputs!$AJ$313:$AJ$1312,Inputs!$F$311),IF(AND(Inputs!$F$55=1,Inputs!T303&gt;0),Inputs!T303,Inputs!$F$38))</f>
        <v/>
      </c>
      <c r="U37" s="13">
        <f>IF(Inputs!$F$312=1,INDEX(Inputs!$AJ$313:$AJ$1312,Inputs!$F$311),IF(AND(Inputs!$F$55=1,Inputs!U303&gt;0),Inputs!U303,Inputs!$F$38))</f>
        <v/>
      </c>
      <c r="V37" s="13">
        <f>IF(Inputs!$F$312=1,INDEX(Inputs!$AJ$313:$AJ$1312,Inputs!$F$311),IF(AND(Inputs!$F$55=1,Inputs!V303&gt;0),Inputs!V303,Inputs!$F$38))</f>
        <v/>
      </c>
      <c r="W37" s="13">
        <f>IF(Inputs!$F$312=1,INDEX(Inputs!$AJ$313:$AJ$1312,Inputs!$F$311),IF(AND(Inputs!$F$55=1,Inputs!W303&gt;0),Inputs!W303,Inputs!$F$38))</f>
        <v/>
      </c>
      <c r="X37" s="13">
        <f>IF(Inputs!$F$312=1,INDEX(Inputs!$AJ$313:$AJ$1312,Inputs!$F$311),IF(AND(Inputs!$F$55=1,Inputs!X303&gt;0),Inputs!X303,Inputs!$F$38))</f>
        <v/>
      </c>
      <c r="Y37" s="13">
        <f>IF(Inputs!$F$312=1,INDEX(Inputs!$AJ$313:$AJ$1312,Inputs!$F$311),IF(AND(Inputs!$F$55=1,Inputs!Y303&gt;0),Inputs!Y303,Inputs!$F$38))</f>
        <v/>
      </c>
      <c r="Z37" s="13">
        <f>IF(Inputs!$F$312=1,INDEX(Inputs!$AJ$313:$AJ$1312,Inputs!$F$311),IF(AND(Inputs!$F$55=1,Inputs!Z303&gt;0),Inputs!Z303,Inputs!$F$38))</f>
        <v/>
      </c>
      <c r="AA37" s="13">
        <f>IF(Inputs!$F$312=1,INDEX(Inputs!$AJ$313:$AJ$1312,Inputs!$F$311),IF(AND(Inputs!$F$55=1,Inputs!AA303&gt;0),Inputs!AA303,Inputs!$F$38))</f>
        <v/>
      </c>
      <c r="AB37" s="13">
        <f>IF(Inputs!$F$312=1,INDEX(Inputs!$AJ$313:$AJ$1312,Inputs!$F$311),IF(AND(Inputs!$F$55=1,Inputs!AB303&gt;0),Inputs!AB303,Inputs!$F$38))</f>
        <v/>
      </c>
      <c r="AC37" s="13">
        <f>IF(Inputs!$F$312=1,INDEX(Inputs!$AJ$313:$AJ$1312,Inputs!$F$311),IF(AND(Inputs!$F$55=1,Inputs!AC303&gt;0),Inputs!AC303,Inputs!$F$38))</f>
        <v/>
      </c>
      <c r="AD37" s="13">
        <f>IF(Inputs!$F$312=1,INDEX(Inputs!$AJ$313:$AJ$1312,Inputs!$F$311),IF(AND(Inputs!$F$55=1,Inputs!AD303&gt;0),Inputs!AD303,Inputs!$F$38))</f>
        <v/>
      </c>
      <c r="AE37" s="13">
        <f>IF(Inputs!$F$312=1,INDEX(Inputs!$AJ$313:$AJ$1312,Inputs!$F$311),IF(AND(Inputs!$F$55=1,Inputs!AE303&gt;0),Inputs!AE303,Inputs!$F$38))</f>
        <v/>
      </c>
      <c r="AF37" s="13">
        <f>IF(Inputs!$F$312=1,INDEX(Inputs!$AJ$313:$AJ$1312,Inputs!$F$311),IF(AND(Inputs!$F$55=1,Inputs!AF303&gt;0),Inputs!AF303,Inputs!$F$38))</f>
        <v/>
      </c>
      <c r="AG37" s="13">
        <f>IF(Inputs!$F$312=1,INDEX(Inputs!$AJ$313:$AJ$1312,Inputs!$F$311),IF(AND(Inputs!$F$55=1,Inputs!AG303&gt;0),Inputs!AG303,Inputs!$F$38))</f>
        <v/>
      </c>
      <c r="AH37" s="13">
        <f>IF(Inputs!$F$312=1,INDEX(Inputs!$AJ$313:$AJ$1312,Inputs!$F$311),IF(AND(Inputs!$F$55=1,Inputs!AH303&gt;0),Inputs!AH303,Inputs!$F$38))</f>
        <v/>
      </c>
      <c r="AI37" s="13">
        <f>IF(Inputs!$F$312=1,INDEX(Inputs!$AJ$313:$AJ$1312,Inputs!$F$311),IF(AND(Inputs!$F$55=1,Inputs!AI303&gt;0),Inputs!AI303,Inputs!$F$38))</f>
        <v/>
      </c>
      <c r="AJ37" s="13">
        <f>IF(Inputs!$F$312=1,INDEX(Inputs!$AJ$313:$AJ$1312,Inputs!$F$311),IF(AND(Inputs!$F$55=1,Inputs!AJ303&gt;0),Inputs!AJ303,Inputs!$F$38))</f>
        <v/>
      </c>
      <c r="AK37" s="13">
        <f>IF(Inputs!$F$312=1,INDEX(Inputs!$AJ$313:$AJ$1312,Inputs!$F$311),IF(AND(Inputs!$F$55=1,Inputs!AK303&gt;0),Inputs!AK303,Inputs!$F$38))</f>
        <v/>
      </c>
      <c r="AL37" s="13">
        <f>IF(Inputs!$F$312=1,INDEX(Inputs!$AJ$313:$AJ$1312,Inputs!$F$311),IF(AND(Inputs!$F$55=1,Inputs!AL303&gt;0),Inputs!AL303,Inputs!$F$38))</f>
        <v/>
      </c>
      <c r="AM37" s="13">
        <f>IF(Inputs!$F$312=1,INDEX(Inputs!$AJ$313:$AJ$1312,Inputs!$F$311),IF(AND(Inputs!$F$55=1,Inputs!AM303&gt;0),Inputs!AM303,Inputs!$F$38))</f>
        <v/>
      </c>
      <c r="AN37" s="13">
        <f>IF(Inputs!$F$312=1,INDEX(Inputs!$AJ$313:$AJ$1312,Inputs!$F$311),IF(AND(Inputs!$F$55=1,Inputs!AN303&gt;0),Inputs!AN303,Inputs!$F$38))</f>
        <v/>
      </c>
      <c r="AO37" s="13">
        <f>IF(Inputs!$F$312=1,INDEX(Inputs!$AJ$313:$AJ$1312,Inputs!$F$311),IF(AND(Inputs!$F$55=1,Inputs!AO303&gt;0),Inputs!AO303,Inputs!$F$38))</f>
        <v/>
      </c>
      <c r="AP37" s="13">
        <f>IF(Inputs!$F$312=1,INDEX(Inputs!$AJ$313:$AJ$1312,Inputs!$F$311),IF(AND(Inputs!$F$55=1,Inputs!AP303&gt;0),Inputs!AP303,Inputs!$F$38))</f>
        <v/>
      </c>
      <c r="AQ37" s="13">
        <f>IF(Inputs!$F$312=1,INDEX(Inputs!$AJ$313:$AJ$1312,Inputs!$F$311),IF(AND(Inputs!$F$55=1,Inputs!AQ303&gt;0),Inputs!AQ303,Inputs!$F$38))</f>
        <v/>
      </c>
      <c r="AR37" s="13">
        <f>IF(Inputs!$F$312=1,INDEX(Inputs!$AJ$313:$AJ$1312,Inputs!$F$311),IF(AND(Inputs!$F$55=1,Inputs!AR303&gt;0),Inputs!AR303,Inputs!$F$38))</f>
        <v/>
      </c>
      <c r="AS37" s="13">
        <f>IF(Inputs!$F$312=1,INDEX(Inputs!$AJ$313:$AJ$1312,Inputs!$F$311),IF(AND(Inputs!$F$55=1,Inputs!AS303&gt;0),Inputs!AS303,Inputs!$F$38))</f>
        <v/>
      </c>
      <c r="AT37" s="13">
        <f>IF(Inputs!$F$312=1,INDEX(Inputs!$AJ$313:$AJ$1312,Inputs!$F$311),IF(AND(Inputs!$F$55=1,Inputs!AT303&gt;0),Inputs!AT303,Inputs!$F$38))</f>
        <v/>
      </c>
      <c r="AU37" s="13">
        <f>IF(Inputs!$F$312=1,INDEX(Inputs!$AJ$313:$AJ$1312,Inputs!$F$311),IF(AND(Inputs!$F$55=1,Inputs!AU303&gt;0),Inputs!AU303,Inputs!$F$38))</f>
        <v/>
      </c>
      <c r="AV37" s="13">
        <f>IF(Inputs!$F$312=1,INDEX(Inputs!$AJ$313:$AJ$1312,Inputs!$F$311),IF(AND(Inputs!$F$55=1,Inputs!AV303&gt;0),Inputs!AV303,Inputs!$F$38))</f>
        <v/>
      </c>
      <c r="AW37" s="13">
        <f>IF(Inputs!$F$312=1,INDEX(Inputs!$AJ$313:$AJ$1312,Inputs!$F$311),IF(AND(Inputs!$F$55=1,Inputs!AW303&gt;0),Inputs!AW303,Inputs!$F$38))</f>
        <v/>
      </c>
      <c r="AX37" s="13">
        <f>IF(Inputs!$F$312=1,INDEX(Inputs!$AJ$313:$AJ$1312,Inputs!$F$311),IF(AND(Inputs!$F$55=1,Inputs!AX303&gt;0),Inputs!AX303,Inputs!$F$38))</f>
        <v/>
      </c>
      <c r="AY37" s="13">
        <f>IF(Inputs!$F$312=1,INDEX(Inputs!$AJ$313:$AJ$1312,Inputs!$F$311),IF(AND(Inputs!$F$55=1,Inputs!AY303&gt;0),Inputs!AY303,Inputs!$F$38))</f>
        <v/>
      </c>
      <c r="AZ37" s="13">
        <f>IF(Inputs!$F$312=1,INDEX(Inputs!$AJ$313:$AJ$1312,Inputs!$F$311),IF(AND(Inputs!$F$55=1,Inputs!AZ303&gt;0),Inputs!AZ303,Inputs!$F$38))</f>
        <v/>
      </c>
      <c r="BA37" s="13">
        <f>IF(Inputs!$F$312=1,INDEX(Inputs!$AJ$313:$AJ$1312,Inputs!$F$311),IF(AND(Inputs!$F$55=1,Inputs!BA303&gt;0),Inputs!BA303,Inputs!$F$38))</f>
        <v/>
      </c>
      <c r="BB37" s="13">
        <f>IF(Inputs!$F$312=1,INDEX(Inputs!$AJ$313:$AJ$1312,Inputs!$F$311),IF(AND(Inputs!$F$55=1,Inputs!BB303&gt;0),Inputs!BB303,Inputs!$F$38))</f>
        <v/>
      </c>
      <c r="BC37" s="13">
        <f>IF(Inputs!$F$312=1,INDEX(Inputs!$AJ$313:$AJ$1312,Inputs!$F$311),IF(AND(Inputs!$F$55=1,Inputs!BC303&gt;0),Inputs!BC303,Inputs!$F$38))</f>
        <v/>
      </c>
      <c r="BD37" s="13">
        <f>IF(Inputs!$F$312=1,INDEX(Inputs!$AJ$313:$AJ$1312,Inputs!$F$311),IF(AND(Inputs!$F$55=1,Inputs!BD303&gt;0),Inputs!BD303,Inputs!$F$38))</f>
        <v/>
      </c>
      <c r="BE37" s="13">
        <f>IF(Inputs!$F$312=1,INDEX(Inputs!$AJ$313:$AJ$1312,Inputs!$F$311),IF(AND(Inputs!$F$55=1,Inputs!BE303&gt;0),Inputs!BE303,Inputs!$F$38))</f>
        <v/>
      </c>
      <c r="BF37" s="13">
        <f>IF(Inputs!$F$312=1,INDEX(Inputs!$AJ$313:$AJ$1312,Inputs!$F$311),IF(AND(Inputs!$F$55=1,Inputs!BF303&gt;0),Inputs!BF303,Inputs!$F$38))</f>
        <v/>
      </c>
      <c r="BG37" s="13">
        <f>IF(Inputs!$F$312=1,INDEX(Inputs!$AJ$313:$AJ$1312,Inputs!$F$311),IF(AND(Inputs!$F$55=1,Inputs!BG303&gt;0),Inputs!BG303,Inputs!$F$38))</f>
        <v/>
      </c>
      <c r="BH37" s="13">
        <f>IF(Inputs!$F$312=1,INDEX(Inputs!$AJ$313:$AJ$1312,Inputs!$F$311),IF(AND(Inputs!$F$55=1,Inputs!BH303&gt;0),Inputs!BH303,Inputs!$F$38))</f>
        <v/>
      </c>
      <c r="BI37" s="13">
        <f>IF(Inputs!$F$312=1,INDEX(Inputs!$AJ$313:$AJ$1312,Inputs!$F$311),IF(AND(Inputs!$F$55=1,Inputs!BI303&gt;0),Inputs!BI303,Inputs!$F$38))</f>
        <v/>
      </c>
      <c r="BJ37" s="13">
        <f>IF(Inputs!$F$312=1,INDEX(Inputs!$AJ$313:$AJ$1312,Inputs!$F$311),IF(AND(Inputs!$F$55=1,Inputs!BJ303&gt;0),Inputs!BJ303,Inputs!$F$38))</f>
        <v/>
      </c>
      <c r="BK37" s="13">
        <f>IF(Inputs!$F$312=1,INDEX(Inputs!$AJ$313:$AJ$1312,Inputs!$F$311),IF(AND(Inputs!$F$55=1,Inputs!BK303&gt;0),Inputs!BK303,Inputs!$F$38))</f>
        <v/>
      </c>
      <c r="BL37" s="13">
        <f>IF(Inputs!$F$312=1,INDEX(Inputs!$AJ$313:$AJ$1312,Inputs!$F$311),IF(AND(Inputs!$F$55=1,Inputs!BL303&gt;0),Inputs!BL303,Inputs!$F$38))</f>
        <v/>
      </c>
      <c r="BM37" s="13">
        <f>IF(Inputs!$F$312=1,INDEX(Inputs!$AJ$313:$AJ$1312,Inputs!$F$311),IF(AND(Inputs!$F$55=1,Inputs!BM303&gt;0),Inputs!BM303,Inputs!$F$38))</f>
        <v/>
      </c>
      <c r="BN37" s="13">
        <f>IF(Inputs!$F$312=1,INDEX(Inputs!$AJ$313:$AJ$1312,Inputs!$F$311),IF(AND(Inputs!$F$55=1,Inputs!BN303&gt;0),Inputs!BN303,Inputs!$F$38))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$F$35*(1+IF(Inputs!$F$312=1,INDEX(Inputs!$AK$313:$AK$1312,Inputs!$F$311),Inputs!$F$127)/100*J33)*(1+Inputs!$F$128/100)*(1+Inputs!$F$122/100)*Inputs!$F$39</f>
        <v/>
      </c>
      <c r="K39" s="13">
        <f>$F$35*(1+IF(Inputs!$F$312=1,INDEX(Inputs!$AK$313:$AK$1312,Inputs!$F$311),Inputs!$F$127)/100*K33)*(1+Inputs!$F$128/100)*(1+Inputs!$F$122/100)*Inputs!$F$39</f>
        <v/>
      </c>
      <c r="L39" s="13">
        <f>$F$35*(1+IF(Inputs!$F$312=1,INDEX(Inputs!$AK$313:$AK$1312,Inputs!$F$311),Inputs!$F$127)/100*L33)*(1+Inputs!$F$128/100)*(1+Inputs!$F$122/100)*Inputs!$F$39</f>
        <v/>
      </c>
      <c r="M39" s="13">
        <f>$F$35*(1+IF(Inputs!$F$312=1,INDEX(Inputs!$AK$313:$AK$1312,Inputs!$F$311),Inputs!$F$127)/100*M33)*(1+Inputs!$F$128/100)*(1+Inputs!$F$122/100)*Inputs!$F$39</f>
        <v/>
      </c>
      <c r="N39" s="13">
        <f>$F$35*(1+IF(Inputs!$F$312=1,INDEX(Inputs!$AK$313:$AK$1312,Inputs!$F$311),Inputs!$F$127)/100*N33)*(1+Inputs!$F$128/100)*(1+Inputs!$F$122/100)*Inputs!$F$39</f>
        <v/>
      </c>
      <c r="O39" s="13">
        <f>$F$35*(1+IF(Inputs!$F$312=1,INDEX(Inputs!$AK$313:$AK$1312,Inputs!$F$311),Inputs!$F$127)/100*O33)*(1+Inputs!$F$128/100)*(1+Inputs!$F$122/100)*Inputs!$F$39</f>
        <v/>
      </c>
      <c r="P39" s="13">
        <f>$F$35*(1+IF(Inputs!$F$312=1,INDEX(Inputs!$AK$313:$AK$1312,Inputs!$F$311),Inputs!$F$127)/100*P33)*(1+Inputs!$F$128/100)*(1+Inputs!$F$122/100)*Inputs!$F$39</f>
        <v/>
      </c>
      <c r="Q39" s="13">
        <f>$F$35*(1+IF(Inputs!$F$312=1,INDEX(Inputs!$AK$313:$AK$1312,Inputs!$F$311),Inputs!$F$127)/100*Q33)*(1+Inputs!$F$128/100)*(1+Inputs!$F$122/100)*Inputs!$F$39</f>
        <v/>
      </c>
      <c r="R39" s="13">
        <f>$F$35*(1+IF(Inputs!$F$312=1,INDEX(Inputs!$AK$313:$AK$1312,Inputs!$F$311),Inputs!$F$127)/100*R33)*(1+Inputs!$F$128/100)*(1+Inputs!$F$122/100)*Inputs!$F$39</f>
        <v/>
      </c>
      <c r="S39" s="13">
        <f>$F$35*(1+IF(Inputs!$F$312=1,INDEX(Inputs!$AK$313:$AK$1312,Inputs!$F$311),Inputs!$F$127)/100*S33)*(1+Inputs!$F$128/100)*(1+Inputs!$F$122/100)*Inputs!$F$39</f>
        <v/>
      </c>
      <c r="T39" s="13">
        <f>$F$35*(1+IF(Inputs!$F$312=1,INDEX(Inputs!$AK$313:$AK$1312,Inputs!$F$311),Inputs!$F$127)/100*T33)*(1+Inputs!$F$128/100)*(1+Inputs!$F$122/100)*Inputs!$F$39</f>
        <v/>
      </c>
      <c r="U39" s="13">
        <f>$F$35*(1+IF(Inputs!$F$312=1,INDEX(Inputs!$AK$313:$AK$1312,Inputs!$F$311),Inputs!$F$127)/100*U33)*(1+Inputs!$F$128/100)*(1+Inputs!$F$122/100)*Inputs!$F$39</f>
        <v/>
      </c>
      <c r="V39" s="13">
        <f>$F$35*(1+IF(Inputs!$F$312=1,INDEX(Inputs!$AK$313:$AK$1312,Inputs!$F$311),Inputs!$F$127)/100*V33)*(1+Inputs!$F$128/100)*(1+Inputs!$F$122/100)*Inputs!$F$39</f>
        <v/>
      </c>
      <c r="W39" s="13">
        <f>$F$35*(1+IF(Inputs!$F$312=1,INDEX(Inputs!$AK$313:$AK$1312,Inputs!$F$311),Inputs!$F$127)/100*W33)*(1+Inputs!$F$128/100)*(1+Inputs!$F$122/100)*Inputs!$F$39</f>
        <v/>
      </c>
      <c r="X39" s="13">
        <f>$F$35*(1+IF(Inputs!$F$312=1,INDEX(Inputs!$AK$313:$AK$1312,Inputs!$F$311),Inputs!$F$127)/100*X33)*(1+Inputs!$F$128/100)*(1+Inputs!$F$122/100)*Inputs!$F$39</f>
        <v/>
      </c>
      <c r="Y39" s="13">
        <f>$F$35*(1+IF(Inputs!$F$312=1,INDEX(Inputs!$AK$313:$AK$1312,Inputs!$F$311),Inputs!$F$127)/100*Y33)*(1+Inputs!$F$128/100)*(1+Inputs!$F$122/100)*Inputs!$F$39</f>
        <v/>
      </c>
      <c r="Z39" s="13">
        <f>$F$35*(1+IF(Inputs!$F$312=1,INDEX(Inputs!$AK$313:$AK$1312,Inputs!$F$311),Inputs!$F$127)/100*Z33)*(1+Inputs!$F$128/100)*(1+Inputs!$F$122/100)*Inputs!$F$39</f>
        <v/>
      </c>
      <c r="AA39" s="13">
        <f>$F$35*(1+IF(Inputs!$F$312=1,INDEX(Inputs!$AK$313:$AK$1312,Inputs!$F$311),Inputs!$F$127)/100*AA33)*(1+Inputs!$F$128/100)*(1+Inputs!$F$122/100)*Inputs!$F$39</f>
        <v/>
      </c>
      <c r="AB39" s="13">
        <f>$F$35*(1+IF(Inputs!$F$312=1,INDEX(Inputs!$AK$313:$AK$1312,Inputs!$F$311),Inputs!$F$127)/100*AB33)*(1+Inputs!$F$128/100)*(1+Inputs!$F$122/100)*Inputs!$F$39</f>
        <v/>
      </c>
      <c r="AC39" s="13">
        <f>$F$35*(1+IF(Inputs!$F$312=1,INDEX(Inputs!$AK$313:$AK$1312,Inputs!$F$311),Inputs!$F$127)/100*AC33)*(1+Inputs!$F$128/100)*(1+Inputs!$F$122/100)*Inputs!$F$39</f>
        <v/>
      </c>
      <c r="AD39" s="13">
        <f>$F$35*(1+IF(Inputs!$F$312=1,INDEX(Inputs!$AK$313:$AK$1312,Inputs!$F$311),Inputs!$F$127)/100*AD33)*(1+Inputs!$F$128/100)*(1+Inputs!$F$122/100)*Inputs!$F$39</f>
        <v/>
      </c>
      <c r="AE39" s="13">
        <f>$F$35*(1+IF(Inputs!$F$312=1,INDEX(Inputs!$AK$313:$AK$1312,Inputs!$F$311),Inputs!$F$127)/100*AE33)*(1+Inputs!$F$128/100)*(1+Inputs!$F$122/100)*Inputs!$F$39</f>
        <v/>
      </c>
      <c r="AF39" s="13">
        <f>$F$35*(1+IF(Inputs!$F$312=1,INDEX(Inputs!$AK$313:$AK$1312,Inputs!$F$311),Inputs!$F$127)/100*AF33)*(1+Inputs!$F$128/100)*(1+Inputs!$F$122/100)*Inputs!$F$39</f>
        <v/>
      </c>
      <c r="AG39" s="13">
        <f>$F$35*(1+IF(Inputs!$F$312=1,INDEX(Inputs!$AK$313:$AK$1312,Inputs!$F$311),Inputs!$F$127)/100*AG33)*(1+Inputs!$F$128/100)*(1+Inputs!$F$122/100)*Inputs!$F$39</f>
        <v/>
      </c>
      <c r="AH39" s="13">
        <f>$F$35*(1+IF(Inputs!$F$312=1,INDEX(Inputs!$AK$313:$AK$1312,Inputs!$F$311),Inputs!$F$127)/100*AH33)*(1+Inputs!$F$128/100)*(1+Inputs!$F$122/100)*Inputs!$F$39</f>
        <v/>
      </c>
      <c r="AI39" s="13">
        <f>$F$35*(1+IF(Inputs!$F$312=1,INDEX(Inputs!$AK$313:$AK$1312,Inputs!$F$311),Inputs!$F$127)/100*AI33)*(1+Inputs!$F$128/100)*(1+Inputs!$F$122/100)*Inputs!$F$39</f>
        <v/>
      </c>
      <c r="AJ39" s="13">
        <f>$F$35*(1+IF(Inputs!$F$312=1,INDEX(Inputs!$AK$313:$AK$1312,Inputs!$F$311),Inputs!$F$127)/100*AJ33)*(1+Inputs!$F$128/100)*(1+Inputs!$F$122/100)*Inputs!$F$39</f>
        <v/>
      </c>
      <c r="AK39" s="13">
        <f>$F$35*(1+IF(Inputs!$F$312=1,INDEX(Inputs!$AK$313:$AK$1312,Inputs!$F$311),Inputs!$F$127)/100*AK33)*(1+Inputs!$F$128/100)*(1+Inputs!$F$122/100)*Inputs!$F$39</f>
        <v/>
      </c>
      <c r="AL39" s="13">
        <f>$F$35*(1+IF(Inputs!$F$312=1,INDEX(Inputs!$AK$313:$AK$1312,Inputs!$F$311),Inputs!$F$127)/100*AL33)*(1+Inputs!$F$128/100)*(1+Inputs!$F$122/100)*Inputs!$F$39</f>
        <v/>
      </c>
      <c r="AM39" s="13">
        <f>$F$35*(1+IF(Inputs!$F$312=1,INDEX(Inputs!$AK$313:$AK$1312,Inputs!$F$311),Inputs!$F$127)/100*AM33)*(1+Inputs!$F$128/100)*(1+Inputs!$F$122/100)*Inputs!$F$39</f>
        <v/>
      </c>
      <c r="AN39" s="13">
        <f>$F$35*(1+IF(Inputs!$F$312=1,INDEX(Inputs!$AK$313:$AK$1312,Inputs!$F$311),Inputs!$F$127)/100*AN33)*(1+Inputs!$F$128/100)*(1+Inputs!$F$122/100)*Inputs!$F$39</f>
        <v/>
      </c>
      <c r="AO39" s="13">
        <f>$F$35*(1+IF(Inputs!$F$312=1,INDEX(Inputs!$AK$313:$AK$1312,Inputs!$F$311),Inputs!$F$127)/100*AO33)*(1+Inputs!$F$128/100)*(1+Inputs!$F$122/100)*Inputs!$F$39</f>
        <v/>
      </c>
      <c r="AP39" s="13">
        <f>$F$35*(1+IF(Inputs!$F$312=1,INDEX(Inputs!$AK$313:$AK$1312,Inputs!$F$311),Inputs!$F$127)/100*AP33)*(1+Inputs!$F$128/100)*(1+Inputs!$F$122/100)*Inputs!$F$39</f>
        <v/>
      </c>
      <c r="AQ39" s="13">
        <f>$F$35*(1+IF(Inputs!$F$312=1,INDEX(Inputs!$AK$313:$AK$1312,Inputs!$F$311),Inputs!$F$127)/100*AQ33)*(1+Inputs!$F$128/100)*(1+Inputs!$F$122/100)*Inputs!$F$39</f>
        <v/>
      </c>
      <c r="AR39" s="13">
        <f>$F$35*(1+IF(Inputs!$F$312=1,INDEX(Inputs!$AK$313:$AK$1312,Inputs!$F$311),Inputs!$F$127)/100*AR33)*(1+Inputs!$F$128/100)*(1+Inputs!$F$122/100)*Inputs!$F$39</f>
        <v/>
      </c>
      <c r="AS39" s="13">
        <f>$F$35*(1+IF(Inputs!$F$312=1,INDEX(Inputs!$AK$313:$AK$1312,Inputs!$F$311),Inputs!$F$127)/100*AS33)*(1+Inputs!$F$128/100)*(1+Inputs!$F$122/100)*Inputs!$F$39</f>
        <v/>
      </c>
      <c r="AT39" s="13">
        <f>$F$35*(1+IF(Inputs!$F$312=1,INDEX(Inputs!$AK$313:$AK$1312,Inputs!$F$311),Inputs!$F$127)/100*AT33)*(1+Inputs!$F$128/100)*(1+Inputs!$F$122/100)*Inputs!$F$39</f>
        <v/>
      </c>
      <c r="AU39" s="13">
        <f>$F$35*(1+IF(Inputs!$F$312=1,INDEX(Inputs!$AK$313:$AK$1312,Inputs!$F$311),Inputs!$F$127)/100*AU33)*(1+Inputs!$F$128/100)*(1+Inputs!$F$122/100)*Inputs!$F$39</f>
        <v/>
      </c>
      <c r="AV39" s="13">
        <f>$F$35*(1+IF(Inputs!$F$312=1,INDEX(Inputs!$AK$313:$AK$1312,Inputs!$F$311),Inputs!$F$127)/100*AV33)*(1+Inputs!$F$128/100)*(1+Inputs!$F$122/100)*Inputs!$F$39</f>
        <v/>
      </c>
      <c r="AW39" s="13">
        <f>$F$35*(1+IF(Inputs!$F$312=1,INDEX(Inputs!$AK$313:$AK$1312,Inputs!$F$311),Inputs!$F$127)/100*AW33)*(1+Inputs!$F$128/100)*(1+Inputs!$F$122/100)*Inputs!$F$39</f>
        <v/>
      </c>
      <c r="AX39" s="13">
        <f>$F$35*(1+IF(Inputs!$F$312=1,INDEX(Inputs!$AK$313:$AK$1312,Inputs!$F$311),Inputs!$F$127)/100*AX33)*(1+Inputs!$F$128/100)*(1+Inputs!$F$122/100)*Inputs!$F$39</f>
        <v/>
      </c>
      <c r="AY39" s="13">
        <f>$F$35*(1+IF(Inputs!$F$312=1,INDEX(Inputs!$AK$313:$AK$1312,Inputs!$F$311),Inputs!$F$127)/100*AY33)*(1+Inputs!$F$128/100)*(1+Inputs!$F$122/100)*Inputs!$F$39</f>
        <v/>
      </c>
      <c r="AZ39" s="13">
        <f>$F$35*(1+IF(Inputs!$F$312=1,INDEX(Inputs!$AK$313:$AK$1312,Inputs!$F$311),Inputs!$F$127)/100*AZ33)*(1+Inputs!$F$128/100)*(1+Inputs!$F$122/100)*Inputs!$F$39</f>
        <v/>
      </c>
      <c r="BA39" s="13">
        <f>$F$35*(1+IF(Inputs!$F$312=1,INDEX(Inputs!$AK$313:$AK$1312,Inputs!$F$311),Inputs!$F$127)/100*BA33)*(1+Inputs!$F$128/100)*(1+Inputs!$F$122/100)*Inputs!$F$39</f>
        <v/>
      </c>
      <c r="BB39" s="13">
        <f>$F$35*(1+IF(Inputs!$F$312=1,INDEX(Inputs!$AK$313:$AK$1312,Inputs!$F$311),Inputs!$F$127)/100*BB33)*(1+Inputs!$F$128/100)*(1+Inputs!$F$122/100)*Inputs!$F$39</f>
        <v/>
      </c>
      <c r="BC39" s="13">
        <f>$F$35*(1+IF(Inputs!$F$312=1,INDEX(Inputs!$AK$313:$AK$1312,Inputs!$F$311),Inputs!$F$127)/100*BC33)*(1+Inputs!$F$128/100)*(1+Inputs!$F$122/100)*Inputs!$F$39</f>
        <v/>
      </c>
      <c r="BD39" s="13">
        <f>$F$35*(1+IF(Inputs!$F$312=1,INDEX(Inputs!$AK$313:$AK$1312,Inputs!$F$311),Inputs!$F$127)/100*BD33)*(1+Inputs!$F$128/100)*(1+Inputs!$F$122/100)*Inputs!$F$39</f>
        <v/>
      </c>
      <c r="BE39" s="13">
        <f>$F$35*(1+IF(Inputs!$F$312=1,INDEX(Inputs!$AK$313:$AK$1312,Inputs!$F$311),Inputs!$F$127)/100*BE33)*(1+Inputs!$F$128/100)*(1+Inputs!$F$122/100)*Inputs!$F$39</f>
        <v/>
      </c>
      <c r="BF39" s="13">
        <f>$F$35*(1+IF(Inputs!$F$312=1,INDEX(Inputs!$AK$313:$AK$1312,Inputs!$F$311),Inputs!$F$127)/100*BF33)*(1+Inputs!$F$128/100)*(1+Inputs!$F$122/100)*Inputs!$F$39</f>
        <v/>
      </c>
      <c r="BG39" s="13">
        <f>$F$35*(1+IF(Inputs!$F$312=1,INDEX(Inputs!$AK$313:$AK$1312,Inputs!$F$311),Inputs!$F$127)/100*BG33)*(1+Inputs!$F$128/100)*(1+Inputs!$F$122/100)*Inputs!$F$39</f>
        <v/>
      </c>
      <c r="BH39" s="13">
        <f>$F$35*(1+IF(Inputs!$F$312=1,INDEX(Inputs!$AK$313:$AK$1312,Inputs!$F$311),Inputs!$F$127)/100*BH33)*(1+Inputs!$F$128/100)*(1+Inputs!$F$122/100)*Inputs!$F$39</f>
        <v/>
      </c>
      <c r="BI39" s="13">
        <f>$F$35*(1+IF(Inputs!$F$312=1,INDEX(Inputs!$AK$313:$AK$1312,Inputs!$F$311),Inputs!$F$127)/100*BI33)*(1+Inputs!$F$128/100)*(1+Inputs!$F$122/100)*Inputs!$F$39</f>
        <v/>
      </c>
      <c r="BJ39" s="13">
        <f>$F$35*(1+IF(Inputs!$F$312=1,INDEX(Inputs!$AK$313:$AK$1312,Inputs!$F$311),Inputs!$F$127)/100*BJ33)*(1+Inputs!$F$128/100)*(1+Inputs!$F$122/100)*Inputs!$F$39</f>
        <v/>
      </c>
      <c r="BK39" s="13">
        <f>$F$35*(1+IF(Inputs!$F$312=1,INDEX(Inputs!$AK$313:$AK$1312,Inputs!$F$311),Inputs!$F$127)/100*BK33)*(1+Inputs!$F$128/100)*(1+Inputs!$F$122/100)*Inputs!$F$39</f>
        <v/>
      </c>
      <c r="BL39" s="13">
        <f>$F$35*(1+IF(Inputs!$F$312=1,INDEX(Inputs!$AK$313:$AK$1312,Inputs!$F$311),Inputs!$F$127)/100*BL33)*(1+Inputs!$F$128/100)*(1+Inputs!$F$122/100)*Inputs!$F$39</f>
        <v/>
      </c>
      <c r="BM39" s="13">
        <f>$F$35*(1+IF(Inputs!$F$312=1,INDEX(Inputs!$AK$313:$AK$1312,Inputs!$F$311),Inputs!$F$127)/100*BM33)*(1+Inputs!$F$128/100)*(1+Inputs!$F$122/100)*Inputs!$F$39</f>
        <v/>
      </c>
      <c r="BN39" s="13">
        <f>$F$35*(1+IF(Inputs!$F$312=1,INDEX(Inputs!$AK$313:$AK$1312,Inputs!$F$311),Inputs!$F$127)/100*BN33)*(1+Inputs!$F$128/100)*(1+Inputs!$F$122/100)*Inputs!$F$39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J32/Inputs!$F$133</f>
        <v/>
      </c>
      <c r="K47" s="13">
        <f>K32/Inputs!$F$133</f>
        <v/>
      </c>
      <c r="L47" s="13">
        <f>L32/Inputs!$F$133</f>
        <v/>
      </c>
      <c r="M47" s="13">
        <f>M32/Inputs!$F$133</f>
        <v/>
      </c>
      <c r="N47" s="13">
        <f>N32/Inputs!$F$133</f>
        <v/>
      </c>
      <c r="O47" s="13">
        <f>O32/Inputs!$F$133</f>
        <v/>
      </c>
      <c r="P47" s="13">
        <f>P32/Inputs!$F$133</f>
        <v/>
      </c>
      <c r="Q47" s="13">
        <f>Q32/Inputs!$F$133</f>
        <v/>
      </c>
      <c r="R47" s="13">
        <f>R32/Inputs!$F$133</f>
        <v/>
      </c>
      <c r="S47" s="13">
        <f>S32/Inputs!$F$133</f>
        <v/>
      </c>
      <c r="T47" s="13">
        <f>T32/Inputs!$F$133</f>
        <v/>
      </c>
      <c r="U47" s="13">
        <f>U32/Inputs!$F$133</f>
        <v/>
      </c>
      <c r="V47" s="13">
        <f>V32/Inputs!$F$133</f>
        <v/>
      </c>
      <c r="W47" s="13">
        <f>W32/Inputs!$F$133</f>
        <v/>
      </c>
      <c r="X47" s="13">
        <f>X32/Inputs!$F$133</f>
        <v/>
      </c>
      <c r="Y47" s="13">
        <f>Y32/Inputs!$F$133</f>
        <v/>
      </c>
      <c r="Z47" s="13">
        <f>Z32/Inputs!$F$133</f>
        <v/>
      </c>
      <c r="AA47" s="13">
        <f>AA32/Inputs!$F$133</f>
        <v/>
      </c>
      <c r="AB47" s="13">
        <f>AB32/Inputs!$F$133</f>
        <v/>
      </c>
      <c r="AC47" s="13">
        <f>AC32/Inputs!$F$133</f>
        <v/>
      </c>
      <c r="AD47" s="13">
        <f>AD32/Inputs!$F$133</f>
        <v/>
      </c>
      <c r="AE47" s="13">
        <f>AE32/Inputs!$F$133</f>
        <v/>
      </c>
      <c r="AF47" s="13">
        <f>AF32/Inputs!$F$133</f>
        <v/>
      </c>
      <c r="AG47" s="13">
        <f>AG32/Inputs!$F$133</f>
        <v/>
      </c>
      <c r="AH47" s="13">
        <f>AH32/Inputs!$F$133</f>
        <v/>
      </c>
      <c r="AI47" s="13">
        <f>AI32/Inputs!$F$133</f>
        <v/>
      </c>
      <c r="AJ47" s="13">
        <f>AJ32/Inputs!$F$133</f>
        <v/>
      </c>
      <c r="AK47" s="13">
        <f>AK32/Inputs!$F$133</f>
        <v/>
      </c>
      <c r="AL47" s="13">
        <f>AL32/Inputs!$F$133</f>
        <v/>
      </c>
      <c r="AM47" s="13">
        <f>AM32/Inputs!$F$133</f>
        <v/>
      </c>
      <c r="AN47" s="13">
        <f>AN32/Inputs!$F$133</f>
        <v/>
      </c>
      <c r="AO47" s="13">
        <f>AO32/Inputs!$F$133</f>
        <v/>
      </c>
      <c r="AP47" s="13">
        <f>AP32/Inputs!$F$133</f>
        <v/>
      </c>
      <c r="AQ47" s="13">
        <f>AQ32/Inputs!$F$133</f>
        <v/>
      </c>
      <c r="AR47" s="13">
        <f>AR32/Inputs!$F$133</f>
        <v/>
      </c>
      <c r="AS47" s="13">
        <f>AS32/Inputs!$F$133</f>
        <v/>
      </c>
      <c r="AT47" s="13">
        <f>AT32/Inputs!$F$133</f>
        <v/>
      </c>
      <c r="AU47" s="13">
        <f>AU32/Inputs!$F$133</f>
        <v/>
      </c>
      <c r="AV47" s="13">
        <f>AV32/Inputs!$F$133</f>
        <v/>
      </c>
      <c r="AW47" s="13">
        <f>AW32/Inputs!$F$133</f>
        <v/>
      </c>
      <c r="AX47" s="13">
        <f>AX32/Inputs!$F$133</f>
        <v/>
      </c>
      <c r="AY47" s="13">
        <f>AY32/Inputs!$F$133</f>
        <v/>
      </c>
      <c r="AZ47" s="13">
        <f>AZ32/Inputs!$F$133</f>
        <v/>
      </c>
      <c r="BA47" s="13">
        <f>BA32/Inputs!$F$133</f>
        <v/>
      </c>
      <c r="BB47" s="13">
        <f>BB32/Inputs!$F$133</f>
        <v/>
      </c>
      <c r="BC47" s="13">
        <f>BC32/Inputs!$F$133</f>
        <v/>
      </c>
      <c r="BD47" s="13">
        <f>BD32/Inputs!$F$133</f>
        <v/>
      </c>
      <c r="BE47" s="13">
        <f>BE32/Inputs!$F$133</f>
        <v/>
      </c>
      <c r="BF47" s="13">
        <f>BF32/Inputs!$F$133</f>
        <v/>
      </c>
      <c r="BG47" s="13">
        <f>BG32/Inputs!$F$133</f>
        <v/>
      </c>
      <c r="BH47" s="13">
        <f>BH32/Inputs!$F$133</f>
        <v/>
      </c>
      <c r="BI47" s="13">
        <f>BI32/Inputs!$F$133</f>
        <v/>
      </c>
      <c r="BJ47" s="13">
        <f>BJ32/Inputs!$F$133</f>
        <v/>
      </c>
      <c r="BK47" s="13">
        <f>BK32/Inputs!$F$133</f>
        <v/>
      </c>
      <c r="BL47" s="13">
        <f>BL32/Inputs!$F$133</f>
        <v/>
      </c>
      <c r="BM47" s="13">
        <f>BM32/Inputs!$F$133</f>
        <v/>
      </c>
      <c r="BN47" s="13">
        <f>BN32/Inputs!$F$133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J38*J40*(1000*Inputs!$F$123/Inputs!$F$124)*J41/1000000*0.765/(Inputs!$F$38/100)</f>
        <v/>
      </c>
      <c r="K51" s="13">
        <f>K38*K40*(1000*Inputs!$F$123/Inputs!$F$124)*K41/1000000*0.765/(Inputs!$F$38/100)</f>
        <v/>
      </c>
      <c r="L51" s="13">
        <f>L38*L40*(1000*Inputs!$F$123/Inputs!$F$124)*L41/1000000*0.765/(Inputs!$F$38/100)</f>
        <v/>
      </c>
      <c r="M51" s="13">
        <f>M38*M40*(1000*Inputs!$F$123/Inputs!$F$124)*M41/1000000*0.765/(Inputs!$F$38/100)</f>
        <v/>
      </c>
      <c r="N51" s="13">
        <f>N38*N40*(1000*Inputs!$F$123/Inputs!$F$124)*N41/1000000*0.765/(Inputs!$F$38/100)</f>
        <v/>
      </c>
      <c r="O51" s="13">
        <f>O38*O40*(1000*Inputs!$F$123/Inputs!$F$124)*O41/1000000*0.765/(Inputs!$F$38/100)</f>
        <v/>
      </c>
      <c r="P51" s="13">
        <f>P38*P40*(1000*Inputs!$F$123/Inputs!$F$124)*P41/1000000*0.765/(Inputs!$F$38/100)</f>
        <v/>
      </c>
      <c r="Q51" s="13">
        <f>Q38*Q40*(1000*Inputs!$F$123/Inputs!$F$124)*Q41/1000000*0.765/(Inputs!$F$38/100)</f>
        <v/>
      </c>
      <c r="R51" s="13">
        <f>R38*R40*(1000*Inputs!$F$123/Inputs!$F$124)*R41/1000000*0.765/(Inputs!$F$38/100)</f>
        <v/>
      </c>
      <c r="S51" s="13">
        <f>S38*S40*(1000*Inputs!$F$123/Inputs!$F$124)*S41/1000000*0.765/(Inputs!$F$38/100)</f>
        <v/>
      </c>
      <c r="T51" s="13">
        <f>T38*T40*(1000*Inputs!$F$123/Inputs!$F$124)*T41/1000000*0.765/(Inputs!$F$38/100)</f>
        <v/>
      </c>
      <c r="U51" s="13">
        <f>U38*U40*(1000*Inputs!$F$123/Inputs!$F$124)*U41/1000000*0.765/(Inputs!$F$38/100)</f>
        <v/>
      </c>
      <c r="V51" s="13">
        <f>V38*V40*(1000*Inputs!$F$123/Inputs!$F$124)*V41/1000000*0.765/(Inputs!$F$38/100)</f>
        <v/>
      </c>
      <c r="W51" s="13">
        <f>W38*W40*(1000*Inputs!$F$123/Inputs!$F$124)*W41/1000000*0.765/(Inputs!$F$38/100)</f>
        <v/>
      </c>
      <c r="X51" s="13">
        <f>X38*X40*(1000*Inputs!$F$123/Inputs!$F$124)*X41/1000000*0.765/(Inputs!$F$38/100)</f>
        <v/>
      </c>
      <c r="Y51" s="13">
        <f>Y38*Y40*(1000*Inputs!$F$123/Inputs!$F$124)*Y41/1000000*0.765/(Inputs!$F$38/100)</f>
        <v/>
      </c>
      <c r="Z51" s="13">
        <f>Z38*Z40*(1000*Inputs!$F$123/Inputs!$F$124)*Z41/1000000*0.765/(Inputs!$F$38/100)</f>
        <v/>
      </c>
      <c r="AA51" s="13">
        <f>AA38*AA40*(1000*Inputs!$F$123/Inputs!$F$124)*AA41/1000000*0.765/(Inputs!$F$38/100)</f>
        <v/>
      </c>
      <c r="AB51" s="13">
        <f>AB38*AB40*(1000*Inputs!$F$123/Inputs!$F$124)*AB41/1000000*0.765/(Inputs!$F$38/100)</f>
        <v/>
      </c>
      <c r="AC51" s="13">
        <f>AC38*AC40*(1000*Inputs!$F$123/Inputs!$F$124)*AC41/1000000*0.765/(Inputs!$F$38/100)</f>
        <v/>
      </c>
      <c r="AD51" s="13">
        <f>AD38*AD40*(1000*Inputs!$F$123/Inputs!$F$124)*AD41/1000000*0.765/(Inputs!$F$38/100)</f>
        <v/>
      </c>
      <c r="AE51" s="13">
        <f>AE38*AE40*(1000*Inputs!$F$123/Inputs!$F$124)*AE41/1000000*0.765/(Inputs!$F$38/100)</f>
        <v/>
      </c>
      <c r="AF51" s="13">
        <f>AF38*AF40*(1000*Inputs!$F$123/Inputs!$F$124)*AF41/1000000*0.765/(Inputs!$F$38/100)</f>
        <v/>
      </c>
      <c r="AG51" s="13">
        <f>AG38*AG40*(1000*Inputs!$F$123/Inputs!$F$124)*AG41/1000000*0.765/(Inputs!$F$38/100)</f>
        <v/>
      </c>
      <c r="AH51" s="13">
        <f>AH38*AH40*(1000*Inputs!$F$123/Inputs!$F$124)*AH41/1000000*0.765/(Inputs!$F$38/100)</f>
        <v/>
      </c>
      <c r="AI51" s="13">
        <f>AI38*AI40*(1000*Inputs!$F$123/Inputs!$F$124)*AI41/1000000*0.765/(Inputs!$F$38/100)</f>
        <v/>
      </c>
      <c r="AJ51" s="13">
        <f>AJ38*AJ40*(1000*Inputs!$F$123/Inputs!$F$124)*AJ41/1000000*0.765/(Inputs!$F$38/100)</f>
        <v/>
      </c>
      <c r="AK51" s="13">
        <f>AK38*AK40*(1000*Inputs!$F$123/Inputs!$F$124)*AK41/1000000*0.765/(Inputs!$F$38/100)</f>
        <v/>
      </c>
      <c r="AL51" s="13">
        <f>AL38*AL40*(1000*Inputs!$F$123/Inputs!$F$124)*AL41/1000000*0.765/(Inputs!$F$38/100)</f>
        <v/>
      </c>
      <c r="AM51" s="13">
        <f>AM38*AM40*(1000*Inputs!$F$123/Inputs!$F$124)*AM41/1000000*0.765/(Inputs!$F$38/100)</f>
        <v/>
      </c>
      <c r="AN51" s="13">
        <f>AN38*AN40*(1000*Inputs!$F$123/Inputs!$F$124)*AN41/1000000*0.765/(Inputs!$F$38/100)</f>
        <v/>
      </c>
      <c r="AO51" s="13">
        <f>AO38*AO40*(1000*Inputs!$F$123/Inputs!$F$124)*AO41/1000000*0.765/(Inputs!$F$38/100)</f>
        <v/>
      </c>
      <c r="AP51" s="13">
        <f>AP38*AP40*(1000*Inputs!$F$123/Inputs!$F$124)*AP41/1000000*0.765/(Inputs!$F$38/100)</f>
        <v/>
      </c>
      <c r="AQ51" s="13">
        <f>AQ38*AQ40*(1000*Inputs!$F$123/Inputs!$F$124)*AQ41/1000000*0.765/(Inputs!$F$38/100)</f>
        <v/>
      </c>
      <c r="AR51" s="13">
        <f>AR38*AR40*(1000*Inputs!$F$123/Inputs!$F$124)*AR41/1000000*0.765/(Inputs!$F$38/100)</f>
        <v/>
      </c>
      <c r="AS51" s="13">
        <f>AS38*AS40*(1000*Inputs!$F$123/Inputs!$F$124)*AS41/1000000*0.765/(Inputs!$F$38/100)</f>
        <v/>
      </c>
      <c r="AT51" s="13">
        <f>AT38*AT40*(1000*Inputs!$F$123/Inputs!$F$124)*AT41/1000000*0.765/(Inputs!$F$38/100)</f>
        <v/>
      </c>
      <c r="AU51" s="13">
        <f>AU38*AU40*(1000*Inputs!$F$123/Inputs!$F$124)*AU41/1000000*0.765/(Inputs!$F$38/100)</f>
        <v/>
      </c>
      <c r="AV51" s="13">
        <f>AV38*AV40*(1000*Inputs!$F$123/Inputs!$F$124)*AV41/1000000*0.765/(Inputs!$F$38/100)</f>
        <v/>
      </c>
      <c r="AW51" s="13">
        <f>AW38*AW40*(1000*Inputs!$F$123/Inputs!$F$124)*AW41/1000000*0.765/(Inputs!$F$38/100)</f>
        <v/>
      </c>
      <c r="AX51" s="13">
        <f>AX38*AX40*(1000*Inputs!$F$123/Inputs!$F$124)*AX41/1000000*0.765/(Inputs!$F$38/100)</f>
        <v/>
      </c>
      <c r="AY51" s="13">
        <f>AY38*AY40*(1000*Inputs!$F$123/Inputs!$F$124)*AY41/1000000*0.765/(Inputs!$F$38/100)</f>
        <v/>
      </c>
      <c r="AZ51" s="13">
        <f>AZ38*AZ40*(1000*Inputs!$F$123/Inputs!$F$124)*AZ41/1000000*0.765/(Inputs!$F$38/100)</f>
        <v/>
      </c>
      <c r="BA51" s="13">
        <f>BA38*BA40*(1000*Inputs!$F$123/Inputs!$F$124)*BA41/1000000*0.765/(Inputs!$F$38/100)</f>
        <v/>
      </c>
      <c r="BB51" s="13">
        <f>BB38*BB40*(1000*Inputs!$F$123/Inputs!$F$124)*BB41/1000000*0.765/(Inputs!$F$38/100)</f>
        <v/>
      </c>
      <c r="BC51" s="13">
        <f>BC38*BC40*(1000*Inputs!$F$123/Inputs!$F$124)*BC41/1000000*0.765/(Inputs!$F$38/100)</f>
        <v/>
      </c>
      <c r="BD51" s="13">
        <f>BD38*BD40*(1000*Inputs!$F$123/Inputs!$F$124)*BD41/1000000*0.765/(Inputs!$F$38/100)</f>
        <v/>
      </c>
      <c r="BE51" s="13">
        <f>BE38*BE40*(1000*Inputs!$F$123/Inputs!$F$124)*BE41/1000000*0.765/(Inputs!$F$38/100)</f>
        <v/>
      </c>
      <c r="BF51" s="13">
        <f>BF38*BF40*(1000*Inputs!$F$123/Inputs!$F$124)*BF41/1000000*0.765/(Inputs!$F$38/100)</f>
        <v/>
      </c>
      <c r="BG51" s="13">
        <f>BG38*BG40*(1000*Inputs!$F$123/Inputs!$F$124)*BG41/1000000*0.765/(Inputs!$F$38/100)</f>
        <v/>
      </c>
      <c r="BH51" s="13">
        <f>BH38*BH40*(1000*Inputs!$F$123/Inputs!$F$124)*BH41/1000000*0.765/(Inputs!$F$38/100)</f>
        <v/>
      </c>
      <c r="BI51" s="13">
        <f>BI38*BI40*(1000*Inputs!$F$123/Inputs!$F$124)*BI41/1000000*0.765/(Inputs!$F$38/100)</f>
        <v/>
      </c>
      <c r="BJ51" s="13">
        <f>BJ38*BJ40*(1000*Inputs!$F$123/Inputs!$F$124)*BJ41/1000000*0.765/(Inputs!$F$38/100)</f>
        <v/>
      </c>
      <c r="BK51" s="13">
        <f>BK38*BK40*(1000*Inputs!$F$123/Inputs!$F$124)*BK41/1000000*0.765/(Inputs!$F$38/100)</f>
        <v/>
      </c>
      <c r="BL51" s="13">
        <f>BL38*BL40*(1000*Inputs!$F$123/Inputs!$F$124)*BL41/1000000*0.765/(Inputs!$F$38/100)</f>
        <v/>
      </c>
      <c r="BM51" s="13">
        <f>BM38*BM40*(1000*Inputs!$F$123/Inputs!$F$124)*BM41/1000000*0.765/(Inputs!$F$38/100)</f>
        <v/>
      </c>
      <c r="BN51" s="13">
        <f>BN38*BN40*(1000*Inputs!$F$123/Inputs!$F$124)*BN41/1000000*0.765/(Inputs!$F$38/100)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IF(J31&gt;0,1*(Inputs!$F$129*J32/J31*J37/Inputs!$F$131+Inputs!$F$130*Inputs!$F$132)*Time!J30/12,0)</f>
        <v/>
      </c>
      <c r="K63" s="15">
        <f>IF(K31&gt;0,1*(Inputs!$F$129*K32/K31*K37/Inputs!$F$131+Inputs!$F$130*Inputs!$F$132)*Time!K30/12,0)</f>
        <v/>
      </c>
      <c r="L63" s="15">
        <f>IF(L31&gt;0,1*(Inputs!$F$129*L32/L31*L37/Inputs!$F$131+Inputs!$F$130*Inputs!$F$132)*Time!L30/12,0)</f>
        <v/>
      </c>
      <c r="M63" s="15">
        <f>IF(M31&gt;0,1*(Inputs!$F$129*M32/M31*M37/Inputs!$F$131+Inputs!$F$130*Inputs!$F$132)*Time!M30/12,0)</f>
        <v/>
      </c>
      <c r="N63" s="15">
        <f>IF(N31&gt;0,1*(Inputs!$F$129*N32/N31*N37/Inputs!$F$131+Inputs!$F$130*Inputs!$F$132)*Time!N30/12,0)</f>
        <v/>
      </c>
      <c r="O63" s="15">
        <f>IF(O31&gt;0,1*(Inputs!$F$129*O32/O31*O37/Inputs!$F$131+Inputs!$F$130*Inputs!$F$132)*Time!O30/12,0)</f>
        <v/>
      </c>
      <c r="P63" s="15">
        <f>IF(P31&gt;0,1*(Inputs!$F$129*P32/P31*P37/Inputs!$F$131+Inputs!$F$130*Inputs!$F$132)*Time!P30/12,0)</f>
        <v/>
      </c>
      <c r="Q63" s="15">
        <f>IF(Q31&gt;0,1*(Inputs!$F$129*Q32/Q31*Q37/Inputs!$F$131+Inputs!$F$130*Inputs!$F$132)*Time!Q30/12,0)</f>
        <v/>
      </c>
      <c r="R63" s="15">
        <f>IF(R31&gt;0,1*(Inputs!$F$129*R32/R31*R37/Inputs!$F$131+Inputs!$F$130*Inputs!$F$132)*Time!R30/12,0)</f>
        <v/>
      </c>
      <c r="S63" s="15">
        <f>IF(S31&gt;0,1*(Inputs!$F$129*S32/S31*S37/Inputs!$F$131+Inputs!$F$130*Inputs!$F$132)*Time!S30/12,0)</f>
        <v/>
      </c>
      <c r="T63" s="15">
        <f>IF(T31&gt;0,1*(Inputs!$F$129*T32/T31*T37/Inputs!$F$131+Inputs!$F$130*Inputs!$F$132)*Time!T30/12,0)</f>
        <v/>
      </c>
      <c r="U63" s="15">
        <f>IF(U31&gt;0,1*(Inputs!$F$129*U32/U31*U37/Inputs!$F$131+Inputs!$F$130*Inputs!$F$132)*Time!U30/12,0)</f>
        <v/>
      </c>
      <c r="V63" s="15">
        <f>IF(V31&gt;0,1*(Inputs!$F$129*V32/V31*V37/Inputs!$F$131+Inputs!$F$130*Inputs!$F$132)*Time!V30/12,0)</f>
        <v/>
      </c>
      <c r="W63" s="15">
        <f>IF(W31&gt;0,1*(Inputs!$F$129*W32/W31*W37/Inputs!$F$131+Inputs!$F$130*Inputs!$F$132)*Time!W30/12,0)</f>
        <v/>
      </c>
      <c r="X63" s="15">
        <f>IF(X31&gt;0,1*(Inputs!$F$129*X32/X31*X37/Inputs!$F$131+Inputs!$F$130*Inputs!$F$132)*Time!X30/12,0)</f>
        <v/>
      </c>
      <c r="Y63" s="15">
        <f>IF(Y31&gt;0,1*(Inputs!$F$129*Y32/Y31*Y37/Inputs!$F$131+Inputs!$F$130*Inputs!$F$132)*Time!Y30/12,0)</f>
        <v/>
      </c>
      <c r="Z63" s="15">
        <f>IF(Z31&gt;0,1*(Inputs!$F$129*Z32/Z31*Z37/Inputs!$F$131+Inputs!$F$130*Inputs!$F$132)*Time!Z30/12,0)</f>
        <v/>
      </c>
      <c r="AA63" s="15">
        <f>IF(AA31&gt;0,1*(Inputs!$F$129*AA32/AA31*AA37/Inputs!$F$131+Inputs!$F$130*Inputs!$F$132)*Time!AA30/12,0)</f>
        <v/>
      </c>
      <c r="AB63" s="15">
        <f>IF(AB31&gt;0,1*(Inputs!$F$129*AB32/AB31*AB37/Inputs!$F$131+Inputs!$F$130*Inputs!$F$132)*Time!AB30/12,0)</f>
        <v/>
      </c>
      <c r="AC63" s="15">
        <f>IF(AC31&gt;0,1*(Inputs!$F$129*AC32/AC31*AC37/Inputs!$F$131+Inputs!$F$130*Inputs!$F$132)*Time!AC30/12,0)</f>
        <v/>
      </c>
      <c r="AD63" s="15">
        <f>IF(AD31&gt;0,1*(Inputs!$F$129*AD32/AD31*AD37/Inputs!$F$131+Inputs!$F$130*Inputs!$F$132)*Time!AD30/12,0)</f>
        <v/>
      </c>
      <c r="AE63" s="15">
        <f>IF(AE31&gt;0,1*(Inputs!$F$129*AE32/AE31*AE37/Inputs!$F$131+Inputs!$F$130*Inputs!$F$132)*Time!AE30/12,0)</f>
        <v/>
      </c>
      <c r="AF63" s="15">
        <f>IF(AF31&gt;0,1*(Inputs!$F$129*AF32/AF31*AF37/Inputs!$F$131+Inputs!$F$130*Inputs!$F$132)*Time!AF30/12,0)</f>
        <v/>
      </c>
      <c r="AG63" s="15">
        <f>IF(AG31&gt;0,1*(Inputs!$F$129*AG32/AG31*AG37/Inputs!$F$131+Inputs!$F$130*Inputs!$F$132)*Time!AG30/12,0)</f>
        <v/>
      </c>
      <c r="AH63" s="15">
        <f>IF(AH31&gt;0,1*(Inputs!$F$129*AH32/AH31*AH37/Inputs!$F$131+Inputs!$F$130*Inputs!$F$132)*Time!AH30/12,0)</f>
        <v/>
      </c>
      <c r="AI63" s="15">
        <f>IF(AI31&gt;0,1*(Inputs!$F$129*AI32/AI31*AI37/Inputs!$F$131+Inputs!$F$130*Inputs!$F$132)*Time!AI30/12,0)</f>
        <v/>
      </c>
      <c r="AJ63" s="15">
        <f>IF(AJ31&gt;0,1*(Inputs!$F$129*AJ32/AJ31*AJ37/Inputs!$F$131+Inputs!$F$130*Inputs!$F$132)*Time!AJ30/12,0)</f>
        <v/>
      </c>
      <c r="AK63" s="15">
        <f>IF(AK31&gt;0,1*(Inputs!$F$129*AK32/AK31*AK37/Inputs!$F$131+Inputs!$F$130*Inputs!$F$132)*Time!AK30/12,0)</f>
        <v/>
      </c>
      <c r="AL63" s="15">
        <f>IF(AL31&gt;0,1*(Inputs!$F$129*AL32/AL31*AL37/Inputs!$F$131+Inputs!$F$130*Inputs!$F$132)*Time!AL30/12,0)</f>
        <v/>
      </c>
      <c r="AM63" s="15">
        <f>IF(AM31&gt;0,1*(Inputs!$F$129*AM32/AM31*AM37/Inputs!$F$131+Inputs!$F$130*Inputs!$F$132)*Time!AM30/12,0)</f>
        <v/>
      </c>
      <c r="AN63" s="15">
        <f>IF(AN31&gt;0,1*(Inputs!$F$129*AN32/AN31*AN37/Inputs!$F$131+Inputs!$F$130*Inputs!$F$132)*Time!AN30/12,0)</f>
        <v/>
      </c>
      <c r="AO63" s="15">
        <f>IF(AO31&gt;0,1*(Inputs!$F$129*AO32/AO31*AO37/Inputs!$F$131+Inputs!$F$130*Inputs!$F$132)*Time!AO30/12,0)</f>
        <v/>
      </c>
      <c r="AP63" s="15">
        <f>IF(AP31&gt;0,1*(Inputs!$F$129*AP32/AP31*AP37/Inputs!$F$131+Inputs!$F$130*Inputs!$F$132)*Time!AP30/12,0)</f>
        <v/>
      </c>
      <c r="AQ63" s="15">
        <f>IF(AQ31&gt;0,1*(Inputs!$F$129*AQ32/AQ31*AQ37/Inputs!$F$131+Inputs!$F$130*Inputs!$F$132)*Time!AQ30/12,0)</f>
        <v/>
      </c>
      <c r="AR63" s="15">
        <f>IF(AR31&gt;0,1*(Inputs!$F$129*AR32/AR31*AR37/Inputs!$F$131+Inputs!$F$130*Inputs!$F$132)*Time!AR30/12,0)</f>
        <v/>
      </c>
      <c r="AS63" s="15">
        <f>IF(AS31&gt;0,1*(Inputs!$F$129*AS32/AS31*AS37/Inputs!$F$131+Inputs!$F$130*Inputs!$F$132)*Time!AS30/12,0)</f>
        <v/>
      </c>
      <c r="AT63" s="15">
        <f>IF(AT31&gt;0,1*(Inputs!$F$129*AT32/AT31*AT37/Inputs!$F$131+Inputs!$F$130*Inputs!$F$132)*Time!AT30/12,0)</f>
        <v/>
      </c>
      <c r="AU63" s="15">
        <f>IF(AU31&gt;0,1*(Inputs!$F$129*AU32/AU31*AU37/Inputs!$F$131+Inputs!$F$130*Inputs!$F$132)*Time!AU30/12,0)</f>
        <v/>
      </c>
      <c r="AV63" s="15">
        <f>IF(AV31&gt;0,1*(Inputs!$F$129*AV32/AV31*AV37/Inputs!$F$131+Inputs!$F$130*Inputs!$F$132)*Time!AV30/12,0)</f>
        <v/>
      </c>
      <c r="AW63" s="15">
        <f>IF(AW31&gt;0,1*(Inputs!$F$129*AW32/AW31*AW37/Inputs!$F$131+Inputs!$F$130*Inputs!$F$132)*Time!AW30/12,0)</f>
        <v/>
      </c>
      <c r="AX63" s="15">
        <f>IF(AX31&gt;0,1*(Inputs!$F$129*AX32/AX31*AX37/Inputs!$F$131+Inputs!$F$130*Inputs!$F$132)*Time!AX30/12,0)</f>
        <v/>
      </c>
      <c r="AY63" s="15">
        <f>IF(AY31&gt;0,1*(Inputs!$F$129*AY32/AY31*AY37/Inputs!$F$131+Inputs!$F$130*Inputs!$F$132)*Time!AY30/12,0)</f>
        <v/>
      </c>
      <c r="AZ63" s="15">
        <f>IF(AZ31&gt;0,1*(Inputs!$F$129*AZ32/AZ31*AZ37/Inputs!$F$131+Inputs!$F$130*Inputs!$F$132)*Time!AZ30/12,0)</f>
        <v/>
      </c>
      <c r="BA63" s="15">
        <f>IF(BA31&gt;0,1*(Inputs!$F$129*BA32/BA31*BA37/Inputs!$F$131+Inputs!$F$130*Inputs!$F$132)*Time!BA30/12,0)</f>
        <v/>
      </c>
      <c r="BB63" s="15">
        <f>IF(BB31&gt;0,1*(Inputs!$F$129*BB32/BB31*BB37/Inputs!$F$131+Inputs!$F$130*Inputs!$F$132)*Time!BB30/12,0)</f>
        <v/>
      </c>
      <c r="BC63" s="15">
        <f>IF(BC31&gt;0,1*(Inputs!$F$129*BC32/BC31*BC37/Inputs!$F$131+Inputs!$F$130*Inputs!$F$132)*Time!BC30/12,0)</f>
        <v/>
      </c>
      <c r="BD63" s="15">
        <f>IF(BD31&gt;0,1*(Inputs!$F$129*BD32/BD31*BD37/Inputs!$F$131+Inputs!$F$130*Inputs!$F$132)*Time!BD30/12,0)</f>
        <v/>
      </c>
      <c r="BE63" s="15">
        <f>IF(BE31&gt;0,1*(Inputs!$F$129*BE32/BE31*BE37/Inputs!$F$131+Inputs!$F$130*Inputs!$F$132)*Time!BE30/12,0)</f>
        <v/>
      </c>
      <c r="BF63" s="15">
        <f>IF(BF31&gt;0,1*(Inputs!$F$129*BF32/BF31*BF37/Inputs!$F$131+Inputs!$F$130*Inputs!$F$132)*Time!BF30/12,0)</f>
        <v/>
      </c>
      <c r="BG63" s="15">
        <f>IF(BG31&gt;0,1*(Inputs!$F$129*BG32/BG31*BG37/Inputs!$F$131+Inputs!$F$130*Inputs!$F$132)*Time!BG30/12,0)</f>
        <v/>
      </c>
      <c r="BH63" s="15">
        <f>IF(BH31&gt;0,1*(Inputs!$F$129*BH32/BH31*BH37/Inputs!$F$131+Inputs!$F$130*Inputs!$F$132)*Time!BH30/12,0)</f>
        <v/>
      </c>
      <c r="BI63" s="15">
        <f>IF(BI31&gt;0,1*(Inputs!$F$129*BI32/BI31*BI37/Inputs!$F$131+Inputs!$F$130*Inputs!$F$132)*Time!BI30/12,0)</f>
        <v/>
      </c>
      <c r="BJ63" s="15">
        <f>IF(BJ31&gt;0,1*(Inputs!$F$129*BJ32/BJ31*BJ37/Inputs!$F$131+Inputs!$F$130*Inputs!$F$132)*Time!BJ30/12,0)</f>
        <v/>
      </c>
      <c r="BK63" s="15">
        <f>IF(BK31&gt;0,1*(Inputs!$F$129*BK32/BK31*BK37/Inputs!$F$131+Inputs!$F$130*Inputs!$F$132)*Time!BK30/12,0)</f>
        <v/>
      </c>
      <c r="BL63" s="15">
        <f>IF(BL31&gt;0,1*(Inputs!$F$129*BL32/BL31*BL37/Inputs!$F$131+Inputs!$F$130*Inputs!$F$132)*Time!BL30/12,0)</f>
        <v/>
      </c>
      <c r="BM63" s="15">
        <f>IF(BM31&gt;0,1*(Inputs!$F$129*BM32/BM31*BM37/Inputs!$F$131+Inputs!$F$130*Inputs!$F$132)*Time!BM30/12,0)</f>
        <v/>
      </c>
      <c r="BN63" s="15">
        <f>IF(BN31&gt;0,1*(Inputs!$F$129*BN32/BN31*BN37/Inputs!$F$131+Inputs!$F$130*Inputs!$F$132)*Time!BN30/12,0)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9">
        <f>INT((Time!J33-Inputs!$F$221)/12)+1</f>
        <v/>
      </c>
      <c r="K77" s="9">
        <f>INT((Time!K33-Inputs!$F$221)/12)+1</f>
        <v/>
      </c>
      <c r="L77" s="9">
        <f>INT((Time!L33-Inputs!$F$221)/12)+1</f>
        <v/>
      </c>
      <c r="M77" s="9">
        <f>INT((Time!M33-Inputs!$F$221)/12)+1</f>
        <v/>
      </c>
      <c r="N77" s="9">
        <f>INT((Time!N33-Inputs!$F$221)/12)+1</f>
        <v/>
      </c>
      <c r="O77" s="9">
        <f>INT((Time!O33-Inputs!$F$221)/12)+1</f>
        <v/>
      </c>
      <c r="P77" s="9">
        <f>INT((Time!P33-Inputs!$F$221)/12)+1</f>
        <v/>
      </c>
      <c r="Q77" s="9">
        <f>INT((Time!Q33-Inputs!$F$221)/12)+1</f>
        <v/>
      </c>
      <c r="R77" s="9">
        <f>INT((Time!R33-Inputs!$F$221)/12)+1</f>
        <v/>
      </c>
      <c r="S77" s="9">
        <f>INT((Time!S33-Inputs!$F$221)/12)+1</f>
        <v/>
      </c>
      <c r="T77" s="9">
        <f>INT((Time!T33-Inputs!$F$221)/12)+1</f>
        <v/>
      </c>
      <c r="U77" s="9">
        <f>INT((Time!U33-Inputs!$F$221)/12)+1</f>
        <v/>
      </c>
      <c r="V77" s="9">
        <f>INT((Time!V33-Inputs!$F$221)/12)+1</f>
        <v/>
      </c>
      <c r="W77" s="9">
        <f>INT((Time!W33-Inputs!$F$221)/12)+1</f>
        <v/>
      </c>
      <c r="X77" s="9">
        <f>INT((Time!X33-Inputs!$F$221)/12)+1</f>
        <v/>
      </c>
      <c r="Y77" s="9">
        <f>INT((Time!Y33-Inputs!$F$221)/12)+1</f>
        <v/>
      </c>
      <c r="Z77" s="9">
        <f>INT((Time!Z33-Inputs!$F$221)/12)+1</f>
        <v/>
      </c>
      <c r="AA77" s="9">
        <f>INT((Time!AA33-Inputs!$F$221)/12)+1</f>
        <v/>
      </c>
      <c r="AB77" s="9">
        <f>INT((Time!AB33-Inputs!$F$221)/12)+1</f>
        <v/>
      </c>
      <c r="AC77" s="9">
        <f>INT((Time!AC33-Inputs!$F$221)/12)+1</f>
        <v/>
      </c>
      <c r="AD77" s="9">
        <f>INT((Time!AD33-Inputs!$F$221)/12)+1</f>
        <v/>
      </c>
      <c r="AE77" s="9">
        <f>INT((Time!AE33-Inputs!$F$221)/12)+1</f>
        <v/>
      </c>
      <c r="AF77" s="9">
        <f>INT((Time!AF33-Inputs!$F$221)/12)+1</f>
        <v/>
      </c>
      <c r="AG77" s="9">
        <f>INT((Time!AG33-Inputs!$F$221)/12)+1</f>
        <v/>
      </c>
      <c r="AH77" s="9">
        <f>INT((Time!AH33-Inputs!$F$221)/12)+1</f>
        <v/>
      </c>
      <c r="AI77" s="9">
        <f>INT((Time!AI33-Inputs!$F$221)/12)+1</f>
        <v/>
      </c>
      <c r="AJ77" s="9">
        <f>INT((Time!AJ33-Inputs!$F$221)/12)+1</f>
        <v/>
      </c>
      <c r="AK77" s="9">
        <f>INT((Time!AK33-Inputs!$F$221)/12)+1</f>
        <v/>
      </c>
      <c r="AL77" s="9">
        <f>INT((Time!AL33-Inputs!$F$221)/12)+1</f>
        <v/>
      </c>
      <c r="AM77" s="9">
        <f>INT((Time!AM33-Inputs!$F$221)/12)+1</f>
        <v/>
      </c>
      <c r="AN77" s="9">
        <f>INT((Time!AN33-Inputs!$F$221)/12)+1</f>
        <v/>
      </c>
      <c r="AO77" s="9">
        <f>INT((Time!AO33-Inputs!$F$221)/12)+1</f>
        <v/>
      </c>
      <c r="AP77" s="9">
        <f>INT((Time!AP33-Inputs!$F$221)/12)+1</f>
        <v/>
      </c>
      <c r="AQ77" s="9">
        <f>INT((Time!AQ33-Inputs!$F$221)/12)+1</f>
        <v/>
      </c>
      <c r="AR77" s="9">
        <f>INT((Time!AR33-Inputs!$F$221)/12)+1</f>
        <v/>
      </c>
      <c r="AS77" s="9">
        <f>INT((Time!AS33-Inputs!$F$221)/12)+1</f>
        <v/>
      </c>
      <c r="AT77" s="9">
        <f>INT((Time!AT33-Inputs!$F$221)/12)+1</f>
        <v/>
      </c>
      <c r="AU77" s="9">
        <f>INT((Time!AU33-Inputs!$F$221)/12)+1</f>
        <v/>
      </c>
      <c r="AV77" s="9">
        <f>INT((Time!AV33-Inputs!$F$221)/12)+1</f>
        <v/>
      </c>
      <c r="AW77" s="9">
        <f>INT((Time!AW33-Inputs!$F$221)/12)+1</f>
        <v/>
      </c>
      <c r="AX77" s="9">
        <f>INT((Time!AX33-Inputs!$F$221)/12)+1</f>
        <v/>
      </c>
      <c r="AY77" s="9">
        <f>INT((Time!AY33-Inputs!$F$221)/12)+1</f>
        <v/>
      </c>
      <c r="AZ77" s="9">
        <f>INT((Time!AZ33-Inputs!$F$221)/12)+1</f>
        <v/>
      </c>
      <c r="BA77" s="9">
        <f>INT((Time!BA33-Inputs!$F$221)/12)+1</f>
        <v/>
      </c>
      <c r="BB77" s="9">
        <f>INT((Time!BB33-Inputs!$F$221)/12)+1</f>
        <v/>
      </c>
      <c r="BC77" s="9">
        <f>INT((Time!BC33-Inputs!$F$221)/12)+1</f>
        <v/>
      </c>
      <c r="BD77" s="9">
        <f>INT((Time!BD33-Inputs!$F$221)/12)+1</f>
        <v/>
      </c>
      <c r="BE77" s="9">
        <f>INT((Time!BE33-Inputs!$F$221)/12)+1</f>
        <v/>
      </c>
      <c r="BF77" s="9">
        <f>INT((Time!BF33-Inputs!$F$221)/12)+1</f>
        <v/>
      </c>
      <c r="BG77" s="9">
        <f>INT((Time!BG33-Inputs!$F$221)/12)+1</f>
        <v/>
      </c>
      <c r="BH77" s="9">
        <f>INT((Time!BH33-Inputs!$F$221)/12)+1</f>
        <v/>
      </c>
      <c r="BI77" s="9">
        <f>INT((Time!BI33-Inputs!$F$221)/12)+1</f>
        <v/>
      </c>
      <c r="BJ77" s="9">
        <f>INT((Time!BJ33-Inputs!$F$221)/12)+1</f>
        <v/>
      </c>
      <c r="BK77" s="9">
        <f>INT((Time!BK33-Inputs!$F$221)/12)+1</f>
        <v/>
      </c>
      <c r="BL77" s="9">
        <f>INT((Time!BL33-Inputs!$F$221)/12)+1</f>
        <v/>
      </c>
      <c r="BM77" s="9">
        <f>INT((Time!BM33-Inputs!$F$221)/12)+1</f>
        <v/>
      </c>
      <c r="BN77" s="9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9">
        <f>MAX(0,MIN(Time!J33,Time!$F$9)-MAX(Time!J32,(Inputs!$F$227-1)*12))</f>
        <v/>
      </c>
      <c r="K80" s="9">
        <f>MAX(0,MIN(Time!K33,Time!$F$9)-MAX(Time!K32,(Inputs!$F$227-1)*12))</f>
        <v/>
      </c>
      <c r="L80" s="9">
        <f>MAX(0,MIN(Time!L33,Time!$F$9)-MAX(Time!L32,(Inputs!$F$227-1)*12))</f>
        <v/>
      </c>
      <c r="M80" s="9">
        <f>MAX(0,MIN(Time!M33,Time!$F$9)-MAX(Time!M32,(Inputs!$F$227-1)*12))</f>
        <v/>
      </c>
      <c r="N80" s="9">
        <f>MAX(0,MIN(Time!N33,Time!$F$9)-MAX(Time!N32,(Inputs!$F$227-1)*12))</f>
        <v/>
      </c>
      <c r="O80" s="9">
        <f>MAX(0,MIN(Time!O33,Time!$F$9)-MAX(Time!O32,(Inputs!$F$227-1)*12))</f>
        <v/>
      </c>
      <c r="P80" s="9">
        <f>MAX(0,MIN(Time!P33,Time!$F$9)-MAX(Time!P32,(Inputs!$F$227-1)*12))</f>
        <v/>
      </c>
      <c r="Q80" s="9">
        <f>MAX(0,MIN(Time!Q33,Time!$F$9)-MAX(Time!Q32,(Inputs!$F$227-1)*12))</f>
        <v/>
      </c>
      <c r="R80" s="9">
        <f>MAX(0,MIN(Time!R33,Time!$F$9)-MAX(Time!R32,(Inputs!$F$227-1)*12))</f>
        <v/>
      </c>
      <c r="S80" s="9">
        <f>MAX(0,MIN(Time!S33,Time!$F$9)-MAX(Time!S32,(Inputs!$F$227-1)*12))</f>
        <v/>
      </c>
      <c r="T80" s="9">
        <f>MAX(0,MIN(Time!T33,Time!$F$9)-MAX(Time!T32,(Inputs!$F$227-1)*12))</f>
        <v/>
      </c>
      <c r="U80" s="9">
        <f>MAX(0,MIN(Time!U33,Time!$F$9)-MAX(Time!U32,(Inputs!$F$227-1)*12))</f>
        <v/>
      </c>
      <c r="V80" s="9">
        <f>MAX(0,MIN(Time!V33,Time!$F$9)-MAX(Time!V32,(Inputs!$F$227-1)*12))</f>
        <v/>
      </c>
      <c r="W80" s="9">
        <f>MAX(0,MIN(Time!W33,Time!$F$9)-MAX(Time!W32,(Inputs!$F$227-1)*12))</f>
        <v/>
      </c>
      <c r="X80" s="9">
        <f>MAX(0,MIN(Time!X33,Time!$F$9)-MAX(Time!X32,(Inputs!$F$227-1)*12))</f>
        <v/>
      </c>
      <c r="Y80" s="9">
        <f>MAX(0,MIN(Time!Y33,Time!$F$9)-MAX(Time!Y32,(Inputs!$F$227-1)*12))</f>
        <v/>
      </c>
      <c r="Z80" s="9">
        <f>MAX(0,MIN(Time!Z33,Time!$F$9)-MAX(Time!Z32,(Inputs!$F$227-1)*12))</f>
        <v/>
      </c>
      <c r="AA80" s="9">
        <f>MAX(0,MIN(Time!AA33,Time!$F$9)-MAX(Time!AA32,(Inputs!$F$227-1)*12))</f>
        <v/>
      </c>
      <c r="AB80" s="9">
        <f>MAX(0,MIN(Time!AB33,Time!$F$9)-MAX(Time!AB32,(Inputs!$F$227-1)*12))</f>
        <v/>
      </c>
      <c r="AC80" s="9">
        <f>MAX(0,MIN(Time!AC33,Time!$F$9)-MAX(Time!AC32,(Inputs!$F$227-1)*12))</f>
        <v/>
      </c>
      <c r="AD80" s="9">
        <f>MAX(0,MIN(Time!AD33,Time!$F$9)-MAX(Time!AD32,(Inputs!$F$227-1)*12))</f>
        <v/>
      </c>
      <c r="AE80" s="9">
        <f>MAX(0,MIN(Time!AE33,Time!$F$9)-MAX(Time!AE32,(Inputs!$F$227-1)*12))</f>
        <v/>
      </c>
      <c r="AF80" s="9">
        <f>MAX(0,MIN(Time!AF33,Time!$F$9)-MAX(Time!AF32,(Inputs!$F$227-1)*12))</f>
        <v/>
      </c>
      <c r="AG80" s="9">
        <f>MAX(0,MIN(Time!AG33,Time!$F$9)-MAX(Time!AG32,(Inputs!$F$227-1)*12))</f>
        <v/>
      </c>
      <c r="AH80" s="9">
        <f>MAX(0,MIN(Time!AH33,Time!$F$9)-MAX(Time!AH32,(Inputs!$F$227-1)*12))</f>
        <v/>
      </c>
      <c r="AI80" s="9">
        <f>MAX(0,MIN(Time!AI33,Time!$F$9)-MAX(Time!AI32,(Inputs!$F$227-1)*12))</f>
        <v/>
      </c>
      <c r="AJ80" s="9">
        <f>MAX(0,MIN(Time!AJ33,Time!$F$9)-MAX(Time!AJ32,(Inputs!$F$227-1)*12))</f>
        <v/>
      </c>
      <c r="AK80" s="9">
        <f>MAX(0,MIN(Time!AK33,Time!$F$9)-MAX(Time!AK32,(Inputs!$F$227-1)*12))</f>
        <v/>
      </c>
      <c r="AL80" s="9">
        <f>MAX(0,MIN(Time!AL33,Time!$F$9)-MAX(Time!AL32,(Inputs!$F$227-1)*12))</f>
        <v/>
      </c>
      <c r="AM80" s="9">
        <f>MAX(0,MIN(Time!AM33,Time!$F$9)-MAX(Time!AM32,(Inputs!$F$227-1)*12))</f>
        <v/>
      </c>
      <c r="AN80" s="9">
        <f>MAX(0,MIN(Time!AN33,Time!$F$9)-MAX(Time!AN32,(Inputs!$F$227-1)*12))</f>
        <v/>
      </c>
      <c r="AO80" s="9">
        <f>MAX(0,MIN(Time!AO33,Time!$F$9)-MAX(Time!AO32,(Inputs!$F$227-1)*12))</f>
        <v/>
      </c>
      <c r="AP80" s="9">
        <f>MAX(0,MIN(Time!AP33,Time!$F$9)-MAX(Time!AP32,(Inputs!$F$227-1)*12))</f>
        <v/>
      </c>
      <c r="AQ80" s="9">
        <f>MAX(0,MIN(Time!AQ33,Time!$F$9)-MAX(Time!AQ32,(Inputs!$F$227-1)*12))</f>
        <v/>
      </c>
      <c r="AR80" s="9">
        <f>MAX(0,MIN(Time!AR33,Time!$F$9)-MAX(Time!AR32,(Inputs!$F$227-1)*12))</f>
        <v/>
      </c>
      <c r="AS80" s="9">
        <f>MAX(0,MIN(Time!AS33,Time!$F$9)-MAX(Time!AS32,(Inputs!$F$227-1)*12))</f>
        <v/>
      </c>
      <c r="AT80" s="9">
        <f>MAX(0,MIN(Time!AT33,Time!$F$9)-MAX(Time!AT32,(Inputs!$F$227-1)*12))</f>
        <v/>
      </c>
      <c r="AU80" s="9">
        <f>MAX(0,MIN(Time!AU33,Time!$F$9)-MAX(Time!AU32,(Inputs!$F$227-1)*12))</f>
        <v/>
      </c>
      <c r="AV80" s="9">
        <f>MAX(0,MIN(Time!AV33,Time!$F$9)-MAX(Time!AV32,(Inputs!$F$227-1)*12))</f>
        <v/>
      </c>
      <c r="AW80" s="9">
        <f>MAX(0,MIN(Time!AW33,Time!$F$9)-MAX(Time!AW32,(Inputs!$F$227-1)*12))</f>
        <v/>
      </c>
      <c r="AX80" s="9">
        <f>MAX(0,MIN(Time!AX33,Time!$F$9)-MAX(Time!AX32,(Inputs!$F$227-1)*12))</f>
        <v/>
      </c>
      <c r="AY80" s="9">
        <f>MAX(0,MIN(Time!AY33,Time!$F$9)-MAX(Time!AY32,(Inputs!$F$227-1)*12))</f>
        <v/>
      </c>
      <c r="AZ80" s="9">
        <f>MAX(0,MIN(Time!AZ33,Time!$F$9)-MAX(Time!AZ32,(Inputs!$F$227-1)*12))</f>
        <v/>
      </c>
      <c r="BA80" s="9">
        <f>MAX(0,MIN(Time!BA33,Time!$F$9)-MAX(Time!BA32,(Inputs!$F$227-1)*12))</f>
        <v/>
      </c>
      <c r="BB80" s="9">
        <f>MAX(0,MIN(Time!BB33,Time!$F$9)-MAX(Time!BB32,(Inputs!$F$227-1)*12))</f>
        <v/>
      </c>
      <c r="BC80" s="9">
        <f>MAX(0,MIN(Time!BC33,Time!$F$9)-MAX(Time!BC32,(Inputs!$F$227-1)*12))</f>
        <v/>
      </c>
      <c r="BD80" s="9">
        <f>MAX(0,MIN(Time!BD33,Time!$F$9)-MAX(Time!BD32,(Inputs!$F$227-1)*12))</f>
        <v/>
      </c>
      <c r="BE80" s="9">
        <f>MAX(0,MIN(Time!BE33,Time!$F$9)-MAX(Time!BE32,(Inputs!$F$227-1)*12))</f>
        <v/>
      </c>
      <c r="BF80" s="9">
        <f>MAX(0,MIN(Time!BF33,Time!$F$9)-MAX(Time!BF32,(Inputs!$F$227-1)*12))</f>
        <v/>
      </c>
      <c r="BG80" s="9">
        <f>MAX(0,MIN(Time!BG33,Time!$F$9)-MAX(Time!BG32,(Inputs!$F$227-1)*12))</f>
        <v/>
      </c>
      <c r="BH80" s="9">
        <f>MAX(0,MIN(Time!BH33,Time!$F$9)-MAX(Time!BH32,(Inputs!$F$227-1)*12))</f>
        <v/>
      </c>
      <c r="BI80" s="9">
        <f>MAX(0,MIN(Time!BI33,Time!$F$9)-MAX(Time!BI32,(Inputs!$F$227-1)*12))</f>
        <v/>
      </c>
      <c r="BJ80" s="9">
        <f>MAX(0,MIN(Time!BJ33,Time!$F$9)-MAX(Time!BJ32,(Inputs!$F$227-1)*12))</f>
        <v/>
      </c>
      <c r="BK80" s="9">
        <f>MAX(0,MIN(Time!BK33,Time!$F$9)-MAX(Time!BK32,(Inputs!$F$227-1)*12))</f>
        <v/>
      </c>
      <c r="BL80" s="9">
        <f>MAX(0,MIN(Time!BL33,Time!$F$9)-MAX(Time!BL32,(Inputs!$F$227-1)*12))</f>
        <v/>
      </c>
      <c r="BM80" s="9">
        <f>MAX(0,MIN(Time!BM33,Time!$F$9)-MAX(Time!BM32,(Inputs!$F$227-1)*12))</f>
        <v/>
      </c>
      <c r="BN80" s="9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9">
        <f>IF(Time!J20&gt;=Time!$F$15,1,0)</f>
        <v/>
      </c>
      <c r="K86" s="9">
        <f>IF(Time!K20&gt;=Time!$F$15,1,0)</f>
        <v/>
      </c>
      <c r="L86" s="9">
        <f>IF(Time!L20&gt;=Time!$F$15,1,0)</f>
        <v/>
      </c>
      <c r="M86" s="9">
        <f>IF(Time!M20&gt;=Time!$F$15,1,0)</f>
        <v/>
      </c>
      <c r="N86" s="9">
        <f>IF(Time!N20&gt;=Time!$F$15,1,0)</f>
        <v/>
      </c>
      <c r="O86" s="9">
        <f>IF(Time!O20&gt;=Time!$F$15,1,0)</f>
        <v/>
      </c>
      <c r="P86" s="9">
        <f>IF(Time!P20&gt;=Time!$F$15,1,0)</f>
        <v/>
      </c>
      <c r="Q86" s="9">
        <f>IF(Time!Q20&gt;=Time!$F$15,1,0)</f>
        <v/>
      </c>
      <c r="R86" s="9">
        <f>IF(Time!R20&gt;=Time!$F$15,1,0)</f>
        <v/>
      </c>
      <c r="S86" s="9">
        <f>IF(Time!S20&gt;=Time!$F$15,1,0)</f>
        <v/>
      </c>
      <c r="T86" s="9">
        <f>IF(Time!T20&gt;=Time!$F$15,1,0)</f>
        <v/>
      </c>
      <c r="U86" s="9">
        <f>IF(Time!U20&gt;=Time!$F$15,1,0)</f>
        <v/>
      </c>
      <c r="V86" s="9">
        <f>IF(Time!V20&gt;=Time!$F$15,1,0)</f>
        <v/>
      </c>
      <c r="W86" s="9">
        <f>IF(Time!W20&gt;=Time!$F$15,1,0)</f>
        <v/>
      </c>
      <c r="X86" s="9">
        <f>IF(Time!X20&gt;=Time!$F$15,1,0)</f>
        <v/>
      </c>
      <c r="Y86" s="9">
        <f>IF(Time!Y20&gt;=Time!$F$15,1,0)</f>
        <v/>
      </c>
      <c r="Z86" s="9">
        <f>IF(Time!Z20&gt;=Time!$F$15,1,0)</f>
        <v/>
      </c>
      <c r="AA86" s="9">
        <f>IF(Time!AA20&gt;=Time!$F$15,1,0)</f>
        <v/>
      </c>
      <c r="AB86" s="9">
        <f>IF(Time!AB20&gt;=Time!$F$15,1,0)</f>
        <v/>
      </c>
      <c r="AC86" s="9">
        <f>IF(Time!AC20&gt;=Time!$F$15,1,0)</f>
        <v/>
      </c>
      <c r="AD86" s="9">
        <f>IF(Time!AD20&gt;=Time!$F$15,1,0)</f>
        <v/>
      </c>
      <c r="AE86" s="9">
        <f>IF(Time!AE20&gt;=Time!$F$15,1,0)</f>
        <v/>
      </c>
      <c r="AF86" s="9">
        <f>IF(Time!AF20&gt;=Time!$F$15,1,0)</f>
        <v/>
      </c>
      <c r="AG86" s="9">
        <f>IF(Time!AG20&gt;=Time!$F$15,1,0)</f>
        <v/>
      </c>
      <c r="AH86" s="9">
        <f>IF(Time!AH20&gt;=Time!$F$15,1,0)</f>
        <v/>
      </c>
      <c r="AI86" s="9">
        <f>IF(Time!AI20&gt;=Time!$F$15,1,0)</f>
        <v/>
      </c>
      <c r="AJ86" s="9">
        <f>IF(Time!AJ20&gt;=Time!$F$15,1,0)</f>
        <v/>
      </c>
      <c r="AK86" s="9">
        <f>IF(Time!AK20&gt;=Time!$F$15,1,0)</f>
        <v/>
      </c>
      <c r="AL86" s="9">
        <f>IF(Time!AL20&gt;=Time!$F$15,1,0)</f>
        <v/>
      </c>
      <c r="AM86" s="9">
        <f>IF(Time!AM20&gt;=Time!$F$15,1,0)</f>
        <v/>
      </c>
      <c r="AN86" s="9">
        <f>IF(Time!AN20&gt;=Time!$F$15,1,0)</f>
        <v/>
      </c>
      <c r="AO86" s="9">
        <f>IF(Time!AO20&gt;=Time!$F$15,1,0)</f>
        <v/>
      </c>
      <c r="AP86" s="9">
        <f>IF(Time!AP20&gt;=Time!$F$15,1,0)</f>
        <v/>
      </c>
      <c r="AQ86" s="9">
        <f>IF(Time!AQ20&gt;=Time!$F$15,1,0)</f>
        <v/>
      </c>
      <c r="AR86" s="9">
        <f>IF(Time!AR20&gt;=Time!$F$15,1,0)</f>
        <v/>
      </c>
      <c r="AS86" s="9">
        <f>IF(Time!AS20&gt;=Time!$F$15,1,0)</f>
        <v/>
      </c>
      <c r="AT86" s="9">
        <f>IF(Time!AT20&gt;=Time!$F$15,1,0)</f>
        <v/>
      </c>
      <c r="AU86" s="9">
        <f>IF(Time!AU20&gt;=Time!$F$15,1,0)</f>
        <v/>
      </c>
      <c r="AV86" s="9">
        <f>IF(Time!AV20&gt;=Time!$F$15,1,0)</f>
        <v/>
      </c>
      <c r="AW86" s="9">
        <f>IF(Time!AW20&gt;=Time!$F$15,1,0)</f>
        <v/>
      </c>
      <c r="AX86" s="9">
        <f>IF(Time!AX20&gt;=Time!$F$15,1,0)</f>
        <v/>
      </c>
      <c r="AY86" s="9">
        <f>IF(Time!AY20&gt;=Time!$F$15,1,0)</f>
        <v/>
      </c>
      <c r="AZ86" s="9">
        <f>IF(Time!AZ20&gt;=Time!$F$15,1,0)</f>
        <v/>
      </c>
      <c r="BA86" s="9">
        <f>IF(Time!BA20&gt;=Time!$F$15,1,0)</f>
        <v/>
      </c>
      <c r="BB86" s="9">
        <f>IF(Time!BB20&gt;=Time!$F$15,1,0)</f>
        <v/>
      </c>
      <c r="BC86" s="9">
        <f>IF(Time!BC20&gt;=Time!$F$15,1,0)</f>
        <v/>
      </c>
      <c r="BD86" s="9">
        <f>IF(Time!BD20&gt;=Time!$F$15,1,0)</f>
        <v/>
      </c>
      <c r="BE86" s="9">
        <f>IF(Time!BE20&gt;=Time!$F$15,1,0)</f>
        <v/>
      </c>
      <c r="BF86" s="9">
        <f>IF(Time!BF20&gt;=Time!$F$15,1,0)</f>
        <v/>
      </c>
      <c r="BG86" s="9">
        <f>IF(Time!BG20&gt;=Time!$F$15,1,0)</f>
        <v/>
      </c>
      <c r="BH86" s="9">
        <f>IF(Time!BH20&gt;=Time!$F$15,1,0)</f>
        <v/>
      </c>
      <c r="BI86" s="9">
        <f>IF(Time!BI20&gt;=Time!$F$15,1,0)</f>
        <v/>
      </c>
      <c r="BJ86" s="9">
        <f>IF(Time!BJ20&gt;=Time!$F$15,1,0)</f>
        <v/>
      </c>
      <c r="BK86" s="9">
        <f>IF(Time!BK20&gt;=Time!$F$15,1,0)</f>
        <v/>
      </c>
      <c r="BL86" s="9">
        <f>IF(Time!BL20&gt;=Time!$F$15,1,0)</f>
        <v/>
      </c>
      <c r="BM86" s="9">
        <f>IF(Time!BM20&gt;=Time!$F$15,1,0)</f>
        <v/>
      </c>
      <c r="BN86" s="9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9">
        <f>Inputs!$F$44*Time!J38</f>
        <v/>
      </c>
      <c r="K87" s="9">
        <f>Inputs!$F$44*Time!K38</f>
        <v/>
      </c>
      <c r="L87" s="9">
        <f>Inputs!$F$44*Time!L38</f>
        <v/>
      </c>
      <c r="M87" s="9">
        <f>Inputs!$F$44*Time!M38</f>
        <v/>
      </c>
      <c r="N87" s="9">
        <f>Inputs!$F$44*Time!N38</f>
        <v/>
      </c>
      <c r="O87" s="9">
        <f>Inputs!$F$44*Time!O38</f>
        <v/>
      </c>
      <c r="P87" s="9">
        <f>Inputs!$F$44*Time!P38</f>
        <v/>
      </c>
      <c r="Q87" s="9">
        <f>Inputs!$F$44*Time!Q38</f>
        <v/>
      </c>
      <c r="R87" s="9">
        <f>Inputs!$F$44*Time!R38</f>
        <v/>
      </c>
      <c r="S87" s="9">
        <f>Inputs!$F$44*Time!S38</f>
        <v/>
      </c>
      <c r="T87" s="9">
        <f>Inputs!$F$44*Time!T38</f>
        <v/>
      </c>
      <c r="U87" s="9">
        <f>Inputs!$F$44*Time!U38</f>
        <v/>
      </c>
      <c r="V87" s="9">
        <f>Inputs!$F$44*Time!V38</f>
        <v/>
      </c>
      <c r="W87" s="9">
        <f>Inputs!$F$44*Time!W38</f>
        <v/>
      </c>
      <c r="X87" s="9">
        <f>Inputs!$F$44*Time!X38</f>
        <v/>
      </c>
      <c r="Y87" s="9">
        <f>Inputs!$F$44*Time!Y38</f>
        <v/>
      </c>
      <c r="Z87" s="9">
        <f>Inputs!$F$44*Time!Z38</f>
        <v/>
      </c>
      <c r="AA87" s="9">
        <f>Inputs!$F$44*Time!AA38</f>
        <v/>
      </c>
      <c r="AB87" s="9">
        <f>Inputs!$F$44*Time!AB38</f>
        <v/>
      </c>
      <c r="AC87" s="9">
        <f>Inputs!$F$44*Time!AC38</f>
        <v/>
      </c>
      <c r="AD87" s="9">
        <f>Inputs!$F$44*Time!AD38</f>
        <v/>
      </c>
      <c r="AE87" s="9">
        <f>Inputs!$F$44*Time!AE38</f>
        <v/>
      </c>
      <c r="AF87" s="9">
        <f>Inputs!$F$44*Time!AF38</f>
        <v/>
      </c>
      <c r="AG87" s="9">
        <f>Inputs!$F$44*Time!AG38</f>
        <v/>
      </c>
      <c r="AH87" s="9">
        <f>Inputs!$F$44*Time!AH38</f>
        <v/>
      </c>
      <c r="AI87" s="9">
        <f>Inputs!$F$44*Time!AI38</f>
        <v/>
      </c>
      <c r="AJ87" s="9">
        <f>Inputs!$F$44*Time!AJ38</f>
        <v/>
      </c>
      <c r="AK87" s="9">
        <f>Inputs!$F$44*Time!AK38</f>
        <v/>
      </c>
      <c r="AL87" s="9">
        <f>Inputs!$F$44*Time!AL38</f>
        <v/>
      </c>
      <c r="AM87" s="9">
        <f>Inputs!$F$44*Time!AM38</f>
        <v/>
      </c>
      <c r="AN87" s="9">
        <f>Inputs!$F$44*Time!AN38</f>
        <v/>
      </c>
      <c r="AO87" s="9">
        <f>Inputs!$F$44*Time!AO38</f>
        <v/>
      </c>
      <c r="AP87" s="9">
        <f>Inputs!$F$44*Time!AP38</f>
        <v/>
      </c>
      <c r="AQ87" s="9">
        <f>Inputs!$F$44*Time!AQ38</f>
        <v/>
      </c>
      <c r="AR87" s="9">
        <f>Inputs!$F$44*Time!AR38</f>
        <v/>
      </c>
      <c r="AS87" s="9">
        <f>Inputs!$F$44*Time!AS38</f>
        <v/>
      </c>
      <c r="AT87" s="9">
        <f>Inputs!$F$44*Time!AT38</f>
        <v/>
      </c>
      <c r="AU87" s="9">
        <f>Inputs!$F$44*Time!AU38</f>
        <v/>
      </c>
      <c r="AV87" s="9">
        <f>Inputs!$F$44*Time!AV38</f>
        <v/>
      </c>
      <c r="AW87" s="9">
        <f>Inputs!$F$44*Time!AW38</f>
        <v/>
      </c>
      <c r="AX87" s="9">
        <f>Inputs!$F$44*Time!AX38</f>
        <v/>
      </c>
      <c r="AY87" s="9">
        <f>Inputs!$F$44*Time!AY38</f>
        <v/>
      </c>
      <c r="AZ87" s="9">
        <f>Inputs!$F$44*Time!AZ38</f>
        <v/>
      </c>
      <c r="BA87" s="9">
        <f>Inputs!$F$44*Time!BA38</f>
        <v/>
      </c>
      <c r="BB87" s="9">
        <f>Inputs!$F$44*Time!BB38</f>
        <v/>
      </c>
      <c r="BC87" s="9">
        <f>Inputs!$F$44*Time!BC38</f>
        <v/>
      </c>
      <c r="BD87" s="9">
        <f>Inputs!$F$44*Time!BD38</f>
        <v/>
      </c>
      <c r="BE87" s="9">
        <f>Inputs!$F$44*Time!BE38</f>
        <v/>
      </c>
      <c r="BF87" s="9">
        <f>Inputs!$F$44*Time!BF38</f>
        <v/>
      </c>
      <c r="BG87" s="9">
        <f>Inputs!$F$44*Time!BG38</f>
        <v/>
      </c>
      <c r="BH87" s="9">
        <f>Inputs!$F$44*Time!BH38</f>
        <v/>
      </c>
      <c r="BI87" s="9">
        <f>Inputs!$F$44*Time!BI38</f>
        <v/>
      </c>
      <c r="BJ87" s="9">
        <f>Inputs!$F$44*Time!BJ38</f>
        <v/>
      </c>
      <c r="BK87" s="9">
        <f>Inputs!$F$44*Time!BK38</f>
        <v/>
      </c>
      <c r="BL87" s="9">
        <f>Inputs!$F$44*Time!BL38</f>
        <v/>
      </c>
      <c r="BM87" s="9">
        <f>Inputs!$F$44*Time!BM38</f>
        <v/>
      </c>
      <c r="BN87" s="9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  <row r="98">
      <c r="D98" t="inlineStr">
        <is>
          <t>Fuel pass-through test: fuel charge less gas purchases (= heat-rate headroom margin)</t>
        </is>
      </c>
      <c r="E98" t="inlineStr">
        <is>
          <t>USD m</t>
        </is>
      </c>
      <c r="G98" s="13">
        <f>SUM(J98:BN98)</f>
        <v/>
      </c>
      <c r="J98" s="13">
        <f>J51-J73</f>
        <v/>
      </c>
      <c r="K98" s="13">
        <f>K51-K73</f>
        <v/>
      </c>
      <c r="L98" s="13">
        <f>L51-L73</f>
        <v/>
      </c>
      <c r="M98" s="13">
        <f>M51-M73</f>
        <v/>
      </c>
      <c r="N98" s="13">
        <f>N51-N73</f>
        <v/>
      </c>
      <c r="O98" s="13">
        <f>O51-O73</f>
        <v/>
      </c>
      <c r="P98" s="13">
        <f>P51-P73</f>
        <v/>
      </c>
      <c r="Q98" s="13">
        <f>Q51-Q73</f>
        <v/>
      </c>
      <c r="R98" s="13">
        <f>R51-R73</f>
        <v/>
      </c>
      <c r="S98" s="13">
        <f>S51-S73</f>
        <v/>
      </c>
      <c r="T98" s="13">
        <f>T51-T73</f>
        <v/>
      </c>
      <c r="U98" s="13">
        <f>U51-U73</f>
        <v/>
      </c>
      <c r="V98" s="13">
        <f>V51-V73</f>
        <v/>
      </c>
      <c r="W98" s="13">
        <f>W51-W73</f>
        <v/>
      </c>
      <c r="X98" s="13">
        <f>X51-X73</f>
        <v/>
      </c>
      <c r="Y98" s="13">
        <f>Y51-Y73</f>
        <v/>
      </c>
      <c r="Z98" s="13">
        <f>Z51-Z73</f>
        <v/>
      </c>
      <c r="AA98" s="13">
        <f>AA51-AA73</f>
        <v/>
      </c>
      <c r="AB98" s="13">
        <f>AB51-AB73</f>
        <v/>
      </c>
      <c r="AC98" s="13">
        <f>AC51-AC73</f>
        <v/>
      </c>
      <c r="AD98" s="13">
        <f>AD51-AD73</f>
        <v/>
      </c>
      <c r="AE98" s="13">
        <f>AE51-AE73</f>
        <v/>
      </c>
      <c r="AF98" s="13">
        <f>AF51-AF73</f>
        <v/>
      </c>
      <c r="AG98" s="13">
        <f>AG51-AG73</f>
        <v/>
      </c>
      <c r="AH98" s="13">
        <f>AH51-AH73</f>
        <v/>
      </c>
      <c r="AI98" s="13">
        <f>AI51-AI73</f>
        <v/>
      </c>
      <c r="AJ98" s="13">
        <f>AJ51-AJ73</f>
        <v/>
      </c>
      <c r="AK98" s="13">
        <f>AK51-AK73</f>
        <v/>
      </c>
      <c r="AL98" s="13">
        <f>AL51-AL73</f>
        <v/>
      </c>
      <c r="AM98" s="13">
        <f>AM51-AM73</f>
        <v/>
      </c>
      <c r="AN98" s="13">
        <f>AN51-AN73</f>
        <v/>
      </c>
      <c r="AO98" s="13">
        <f>AO51-AO73</f>
        <v/>
      </c>
      <c r="AP98" s="13">
        <f>AP51-AP73</f>
        <v/>
      </c>
      <c r="AQ98" s="13">
        <f>AQ51-AQ73</f>
        <v/>
      </c>
      <c r="AR98" s="13">
        <f>AR51-AR73</f>
        <v/>
      </c>
      <c r="AS98" s="13">
        <f>AS51-AS73</f>
        <v/>
      </c>
      <c r="AT98" s="13">
        <f>AT51-AT73</f>
        <v/>
      </c>
      <c r="AU98" s="13">
        <f>AU51-AU73</f>
        <v/>
      </c>
      <c r="AV98" s="13">
        <f>AV51-AV73</f>
        <v/>
      </c>
      <c r="AW98" s="13">
        <f>AW51-AW73</f>
        <v/>
      </c>
      <c r="AX98" s="13">
        <f>AX51-AX73</f>
        <v/>
      </c>
      <c r="AY98" s="13">
        <f>AY51-AY73</f>
        <v/>
      </c>
      <c r="AZ98" s="13">
        <f>AZ51-AZ73</f>
        <v/>
      </c>
      <c r="BA98" s="13">
        <f>BA51-BA73</f>
        <v/>
      </c>
      <c r="BB98" s="13">
        <f>BB51-BB73</f>
        <v/>
      </c>
      <c r="BC98" s="13">
        <f>BC51-BC73</f>
        <v/>
      </c>
      <c r="BD98" s="13">
        <f>BD51-BD73</f>
        <v/>
      </c>
      <c r="BE98" s="13">
        <f>BE51-BE73</f>
        <v/>
      </c>
      <c r="BF98" s="13">
        <f>BF51-BF73</f>
        <v/>
      </c>
      <c r="BG98" s="13">
        <f>BG51-BG73</f>
        <v/>
      </c>
      <c r="BH98" s="13">
        <f>BH51-BH73</f>
        <v/>
      </c>
      <c r="BI98" s="13">
        <f>BI51-BI73</f>
        <v/>
      </c>
      <c r="BJ98" s="13">
        <f>BJ51-BJ73</f>
        <v/>
      </c>
      <c r="BK98" s="13">
        <f>BK51-BK73</f>
        <v/>
      </c>
      <c r="BL98" s="13">
        <f>BL51-BL73</f>
        <v/>
      </c>
      <c r="BM98" s="13">
        <f>BM51-BM73</f>
        <v/>
      </c>
      <c r="BN98" s="13">
        <f>BN51-BN73</f>
        <v/>
      </c>
    </row>
    <row r="99">
      <c r="D99" t="inlineStr">
        <is>
          <t>GTA pass-through test (0 in every period)</t>
        </is>
      </c>
      <c r="E99" t="inlineStr">
        <is>
          <t>USD m</t>
        </is>
      </c>
      <c r="G99" s="13">
        <f>SUM(J99:BN99)</f>
        <v/>
      </c>
      <c r="J99" s="13">
        <f>J52+J53-(J74-J73-J54)</f>
        <v/>
      </c>
      <c r="K99" s="13">
        <f>K52+K53-(K74-K73-K54)</f>
        <v/>
      </c>
      <c r="L99" s="13">
        <f>L52+L53-(L74-L73-L54)</f>
        <v/>
      </c>
      <c r="M99" s="13">
        <f>M52+M53-(M74-M73-M54)</f>
        <v/>
      </c>
      <c r="N99" s="13">
        <f>N52+N53-(N74-N73-N54)</f>
        <v/>
      </c>
      <c r="O99" s="13">
        <f>O52+O53-(O74-O73-O54)</f>
        <v/>
      </c>
      <c r="P99" s="13">
        <f>P52+P53-(P74-P73-P54)</f>
        <v/>
      </c>
      <c r="Q99" s="13">
        <f>Q52+Q53-(Q74-Q73-Q54)</f>
        <v/>
      </c>
      <c r="R99" s="13">
        <f>R52+R53-(R74-R73-R54)</f>
        <v/>
      </c>
      <c r="S99" s="13">
        <f>S52+S53-(S74-S73-S54)</f>
        <v/>
      </c>
      <c r="T99" s="13">
        <f>T52+T53-(T74-T73-T54)</f>
        <v/>
      </c>
      <c r="U99" s="13">
        <f>U52+U53-(U74-U73-U54)</f>
        <v/>
      </c>
      <c r="V99" s="13">
        <f>V52+V53-(V74-V73-V54)</f>
        <v/>
      </c>
      <c r="W99" s="13">
        <f>W52+W53-(W74-W73-W54)</f>
        <v/>
      </c>
      <c r="X99" s="13">
        <f>X52+X53-(X74-X73-X54)</f>
        <v/>
      </c>
      <c r="Y99" s="13">
        <f>Y52+Y53-(Y74-Y73-Y54)</f>
        <v/>
      </c>
      <c r="Z99" s="13">
        <f>Z52+Z53-(Z74-Z73-Z54)</f>
        <v/>
      </c>
      <c r="AA99" s="13">
        <f>AA52+AA53-(AA74-AA73-AA54)</f>
        <v/>
      </c>
      <c r="AB99" s="13">
        <f>AB52+AB53-(AB74-AB73-AB54)</f>
        <v/>
      </c>
      <c r="AC99" s="13">
        <f>AC52+AC53-(AC74-AC73-AC54)</f>
        <v/>
      </c>
      <c r="AD99" s="13">
        <f>AD52+AD53-(AD74-AD73-AD54)</f>
        <v/>
      </c>
      <c r="AE99" s="13">
        <f>AE52+AE53-(AE74-AE73-AE54)</f>
        <v/>
      </c>
      <c r="AF99" s="13">
        <f>AF52+AF53-(AF74-AF73-AF54)</f>
        <v/>
      </c>
      <c r="AG99" s="13">
        <f>AG52+AG53-(AG74-AG73-AG54)</f>
        <v/>
      </c>
      <c r="AH99" s="13">
        <f>AH52+AH53-(AH74-AH73-AH54)</f>
        <v/>
      </c>
      <c r="AI99" s="13">
        <f>AI52+AI53-(AI74-AI73-AI54)</f>
        <v/>
      </c>
      <c r="AJ99" s="13">
        <f>AJ52+AJ53-(AJ74-AJ73-AJ54)</f>
        <v/>
      </c>
      <c r="AK99" s="13">
        <f>AK52+AK53-(AK74-AK73-AK54)</f>
        <v/>
      </c>
      <c r="AL99" s="13">
        <f>AL52+AL53-(AL74-AL73-AL54)</f>
        <v/>
      </c>
      <c r="AM99" s="13">
        <f>AM52+AM53-(AM74-AM73-AM54)</f>
        <v/>
      </c>
      <c r="AN99" s="13">
        <f>AN52+AN53-(AN74-AN73-AN54)</f>
        <v/>
      </c>
      <c r="AO99" s="13">
        <f>AO52+AO53-(AO74-AO73-AO54)</f>
        <v/>
      </c>
      <c r="AP99" s="13">
        <f>AP52+AP53-(AP74-AP73-AP54)</f>
        <v/>
      </c>
      <c r="AQ99" s="13">
        <f>AQ52+AQ53-(AQ74-AQ73-AQ54)</f>
        <v/>
      </c>
      <c r="AR99" s="13">
        <f>AR52+AR53-(AR74-AR73-AR54)</f>
        <v/>
      </c>
      <c r="AS99" s="13">
        <f>AS52+AS53-(AS74-AS73-AS54)</f>
        <v/>
      </c>
      <c r="AT99" s="13">
        <f>AT52+AT53-(AT74-AT73-AT54)</f>
        <v/>
      </c>
      <c r="AU99" s="13">
        <f>AU52+AU53-(AU74-AU73-AU54)</f>
        <v/>
      </c>
      <c r="AV99" s="13">
        <f>AV52+AV53-(AV74-AV73-AV54)</f>
        <v/>
      </c>
      <c r="AW99" s="13">
        <f>AW52+AW53-(AW74-AW73-AW54)</f>
        <v/>
      </c>
      <c r="AX99" s="13">
        <f>AX52+AX53-(AX74-AX73-AX54)</f>
        <v/>
      </c>
      <c r="AY99" s="13">
        <f>AY52+AY53-(AY74-AY73-AY54)</f>
        <v/>
      </c>
      <c r="AZ99" s="13">
        <f>AZ52+AZ53-(AZ74-AZ73-AZ54)</f>
        <v/>
      </c>
      <c r="BA99" s="13">
        <f>BA52+BA53-(BA74-BA73-BA54)</f>
        <v/>
      </c>
      <c r="BB99" s="13">
        <f>BB52+BB53-(BB74-BB73-BB54)</f>
        <v/>
      </c>
      <c r="BC99" s="13">
        <f>BC52+BC53-(BC74-BC73-BC54)</f>
        <v/>
      </c>
      <c r="BD99" s="13">
        <f>BD52+BD53-(BD74-BD73-BD54)</f>
        <v/>
      </c>
      <c r="BE99" s="13">
        <f>BE52+BE53-(BE74-BE73-BE54)</f>
        <v/>
      </c>
      <c r="BF99" s="13">
        <f>BF52+BF53-(BF74-BF73-BF54)</f>
        <v/>
      </c>
      <c r="BG99" s="13">
        <f>BG52+BG53-(BG74-BG73-BG54)</f>
        <v/>
      </c>
      <c r="BH99" s="13">
        <f>BH52+BH53-(BH74-BH73-BH54)</f>
        <v/>
      </c>
      <c r="BI99" s="13">
        <f>BI52+BI53-(BI74-BI73-BI54)</f>
        <v/>
      </c>
      <c r="BJ99" s="13">
        <f>BJ52+BJ53-(BJ74-BJ73-BJ54)</f>
        <v/>
      </c>
      <c r="BK99" s="13">
        <f>BK52+BK53-(BK74-BK73-BK54)</f>
        <v/>
      </c>
      <c r="BL99" s="13">
        <f>BL52+BL53-(BL74-BL73-BL54)</f>
        <v/>
      </c>
      <c r="BM99" s="13">
        <f>BM52+BM53-(BM74-BM73-BM54)</f>
        <v/>
      </c>
      <c r="BN99" s="13">
        <f>BN52+BN53-(BN74-BN73-BN54)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MAX(0,MIN(Time!J33,Inputs!$F$229*12)-MIN(Time!J32,Inputs!$F$229*12))</f>
        <v/>
      </c>
      <c r="K7" s="9">
        <f>MAX(0,MIN(Time!K33,Inputs!$F$229*12)-MIN(Time!K32,Inputs!$F$229*12))</f>
        <v/>
      </c>
      <c r="L7" s="9">
        <f>MAX(0,MIN(Time!L33,Inputs!$F$229*12)-MIN(Time!L32,Inputs!$F$229*12))</f>
        <v/>
      </c>
      <c r="M7" s="9">
        <f>MAX(0,MIN(Time!M33,Inputs!$F$229*12)-MIN(Time!M32,Inputs!$F$229*12))</f>
        <v/>
      </c>
      <c r="N7" s="9">
        <f>MAX(0,MIN(Time!N33,Inputs!$F$229*12)-MIN(Time!N32,Inputs!$F$229*12))</f>
        <v/>
      </c>
      <c r="O7" s="9">
        <f>MAX(0,MIN(Time!O33,Inputs!$F$229*12)-MIN(Time!O32,Inputs!$F$229*12))</f>
        <v/>
      </c>
      <c r="P7" s="9">
        <f>MAX(0,MIN(Time!P33,Inputs!$F$229*12)-MIN(Time!P32,Inputs!$F$229*12))</f>
        <v/>
      </c>
      <c r="Q7" s="9">
        <f>MAX(0,MIN(Time!Q33,Inputs!$F$229*12)-MIN(Time!Q32,Inputs!$F$229*12))</f>
        <v/>
      </c>
      <c r="R7" s="9">
        <f>MAX(0,MIN(Time!R33,Inputs!$F$229*12)-MIN(Time!R32,Inputs!$F$229*12))</f>
        <v/>
      </c>
      <c r="S7" s="9">
        <f>MAX(0,MIN(Time!S33,Inputs!$F$229*12)-MIN(Time!S32,Inputs!$F$229*12))</f>
        <v/>
      </c>
      <c r="T7" s="9">
        <f>MAX(0,MIN(Time!T33,Inputs!$F$229*12)-MIN(Time!T32,Inputs!$F$229*12))</f>
        <v/>
      </c>
      <c r="U7" s="9">
        <f>MAX(0,MIN(Time!U33,Inputs!$F$229*12)-MIN(Time!U32,Inputs!$F$229*12))</f>
        <v/>
      </c>
      <c r="V7" s="9">
        <f>MAX(0,MIN(Time!V33,Inputs!$F$229*12)-MIN(Time!V32,Inputs!$F$229*12))</f>
        <v/>
      </c>
      <c r="W7" s="9">
        <f>MAX(0,MIN(Time!W33,Inputs!$F$229*12)-MIN(Time!W32,Inputs!$F$229*12))</f>
        <v/>
      </c>
      <c r="X7" s="9">
        <f>MAX(0,MIN(Time!X33,Inputs!$F$229*12)-MIN(Time!X32,Inputs!$F$229*12))</f>
        <v/>
      </c>
      <c r="Y7" s="9">
        <f>MAX(0,MIN(Time!Y33,Inputs!$F$229*12)-MIN(Time!Y32,Inputs!$F$229*12))</f>
        <v/>
      </c>
      <c r="Z7" s="9">
        <f>MAX(0,MIN(Time!Z33,Inputs!$F$229*12)-MIN(Time!Z32,Inputs!$F$229*12))</f>
        <v/>
      </c>
      <c r="AA7" s="9">
        <f>MAX(0,MIN(Time!AA33,Inputs!$F$229*12)-MIN(Time!AA32,Inputs!$F$229*12))</f>
        <v/>
      </c>
      <c r="AB7" s="9">
        <f>MAX(0,MIN(Time!AB33,Inputs!$F$229*12)-MIN(Time!AB32,Inputs!$F$229*12))</f>
        <v/>
      </c>
      <c r="AC7" s="9">
        <f>MAX(0,MIN(Time!AC33,Inputs!$F$229*12)-MIN(Time!AC32,Inputs!$F$229*12))</f>
        <v/>
      </c>
      <c r="AD7" s="9">
        <f>MAX(0,MIN(Time!AD33,Inputs!$F$229*12)-MIN(Time!AD32,Inputs!$F$229*12))</f>
        <v/>
      </c>
      <c r="AE7" s="9">
        <f>MAX(0,MIN(Time!AE33,Inputs!$F$229*12)-MIN(Time!AE32,Inputs!$F$229*12))</f>
        <v/>
      </c>
      <c r="AF7" s="9">
        <f>MAX(0,MIN(Time!AF33,Inputs!$F$229*12)-MIN(Time!AF32,Inputs!$F$229*12))</f>
        <v/>
      </c>
      <c r="AG7" s="9">
        <f>MAX(0,MIN(Time!AG33,Inputs!$F$229*12)-MIN(Time!AG32,Inputs!$F$229*12))</f>
        <v/>
      </c>
      <c r="AH7" s="9">
        <f>MAX(0,MIN(Time!AH33,Inputs!$F$229*12)-MIN(Time!AH32,Inputs!$F$229*12))</f>
        <v/>
      </c>
      <c r="AI7" s="9">
        <f>MAX(0,MIN(Time!AI33,Inputs!$F$229*12)-MIN(Time!AI32,Inputs!$F$229*12))</f>
        <v/>
      </c>
      <c r="AJ7" s="9">
        <f>MAX(0,MIN(Time!AJ33,Inputs!$F$229*12)-MIN(Time!AJ32,Inputs!$F$229*12))</f>
        <v/>
      </c>
      <c r="AK7" s="9">
        <f>MAX(0,MIN(Time!AK33,Inputs!$F$229*12)-MIN(Time!AK32,Inputs!$F$229*12))</f>
        <v/>
      </c>
      <c r="AL7" s="9">
        <f>MAX(0,MIN(Time!AL33,Inputs!$F$229*12)-MIN(Time!AL32,Inputs!$F$229*12))</f>
        <v/>
      </c>
      <c r="AM7" s="9">
        <f>MAX(0,MIN(Time!AM33,Inputs!$F$229*12)-MIN(Time!AM32,Inputs!$F$229*12))</f>
        <v/>
      </c>
      <c r="AN7" s="9">
        <f>MAX(0,MIN(Time!AN33,Inputs!$F$229*12)-MIN(Time!AN32,Inputs!$F$229*12))</f>
        <v/>
      </c>
      <c r="AO7" s="9">
        <f>MAX(0,MIN(Time!AO33,Inputs!$F$229*12)-MIN(Time!AO32,Inputs!$F$229*12))</f>
        <v/>
      </c>
      <c r="AP7" s="9">
        <f>MAX(0,MIN(Time!AP33,Inputs!$F$229*12)-MIN(Time!AP32,Inputs!$F$229*12))</f>
        <v/>
      </c>
      <c r="AQ7" s="9">
        <f>MAX(0,MIN(Time!AQ33,Inputs!$F$229*12)-MIN(Time!AQ32,Inputs!$F$229*12))</f>
        <v/>
      </c>
      <c r="AR7" s="9">
        <f>MAX(0,MIN(Time!AR33,Inputs!$F$229*12)-MIN(Time!AR32,Inputs!$F$229*12))</f>
        <v/>
      </c>
      <c r="AS7" s="9">
        <f>MAX(0,MIN(Time!AS33,Inputs!$F$229*12)-MIN(Time!AS32,Inputs!$F$229*12))</f>
        <v/>
      </c>
      <c r="AT7" s="9">
        <f>MAX(0,MIN(Time!AT33,Inputs!$F$229*12)-MIN(Time!AT32,Inputs!$F$229*12))</f>
        <v/>
      </c>
      <c r="AU7" s="9">
        <f>MAX(0,MIN(Time!AU33,Inputs!$F$229*12)-MIN(Time!AU32,Inputs!$F$229*12))</f>
        <v/>
      </c>
      <c r="AV7" s="9">
        <f>MAX(0,MIN(Time!AV33,Inputs!$F$229*12)-MIN(Time!AV32,Inputs!$F$229*12))</f>
        <v/>
      </c>
      <c r="AW7" s="9">
        <f>MAX(0,MIN(Time!AW33,Inputs!$F$229*12)-MIN(Time!AW32,Inputs!$F$229*12))</f>
        <v/>
      </c>
      <c r="AX7" s="9">
        <f>MAX(0,MIN(Time!AX33,Inputs!$F$229*12)-MIN(Time!AX32,Inputs!$F$229*12))</f>
        <v/>
      </c>
      <c r="AY7" s="9">
        <f>MAX(0,MIN(Time!AY33,Inputs!$F$229*12)-MIN(Time!AY32,Inputs!$F$229*12))</f>
        <v/>
      </c>
      <c r="AZ7" s="9">
        <f>MAX(0,MIN(Time!AZ33,Inputs!$F$229*12)-MIN(Time!AZ32,Inputs!$F$229*12))</f>
        <v/>
      </c>
      <c r="BA7" s="9">
        <f>MAX(0,MIN(Time!BA33,Inputs!$F$229*12)-MIN(Time!BA32,Inputs!$F$229*12))</f>
        <v/>
      </c>
      <c r="BB7" s="9">
        <f>MAX(0,MIN(Time!BB33,Inputs!$F$229*12)-MIN(Time!BB32,Inputs!$F$229*12))</f>
        <v/>
      </c>
      <c r="BC7" s="9">
        <f>MAX(0,MIN(Time!BC33,Inputs!$F$229*12)-MIN(Time!BC32,Inputs!$F$229*12))</f>
        <v/>
      </c>
      <c r="BD7" s="9">
        <f>MAX(0,MIN(Time!BD33,Inputs!$F$229*12)-MIN(Time!BD32,Inputs!$F$229*12))</f>
        <v/>
      </c>
      <c r="BE7" s="9">
        <f>MAX(0,MIN(Time!BE33,Inputs!$F$229*12)-MIN(Time!BE32,Inputs!$F$229*12))</f>
        <v/>
      </c>
      <c r="BF7" s="9">
        <f>MAX(0,MIN(Time!BF33,Inputs!$F$229*12)-MIN(Time!BF32,Inputs!$F$229*12))</f>
        <v/>
      </c>
      <c r="BG7" s="9">
        <f>MAX(0,MIN(Time!BG33,Inputs!$F$229*12)-MIN(Time!BG32,Inputs!$F$229*12))</f>
        <v/>
      </c>
      <c r="BH7" s="9">
        <f>MAX(0,MIN(Time!BH33,Inputs!$F$229*12)-MIN(Time!BH32,Inputs!$F$229*12))</f>
        <v/>
      </c>
      <c r="BI7" s="9">
        <f>MAX(0,MIN(Time!BI33,Inputs!$F$229*12)-MIN(Time!BI32,Inputs!$F$229*12))</f>
        <v/>
      </c>
      <c r="BJ7" s="9">
        <f>MAX(0,MIN(Time!BJ33,Inputs!$F$229*12)-MIN(Time!BJ32,Inputs!$F$229*12))</f>
        <v/>
      </c>
      <c r="BK7" s="9">
        <f>MAX(0,MIN(Time!BK33,Inputs!$F$229*12)-MIN(Time!BK32,Inputs!$F$229*12))</f>
        <v/>
      </c>
      <c r="BL7" s="9">
        <f>MAX(0,MIN(Time!BL33,Inputs!$F$229*12)-MIN(Time!BL32,Inputs!$F$229*12))</f>
        <v/>
      </c>
      <c r="BM7" s="9">
        <f>MAX(0,MIN(Time!BM33,Inputs!$F$229*12)-MIN(Time!BM32,Inputs!$F$229*12))</f>
        <v/>
      </c>
      <c r="BN7" s="9">
        <f>MAX(0,MIN(Time!BN33,Inputs!$F$229*12)-MIN(Time!BN32,Inputs!$F$229*12))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MAX(0,MIN(Time!J33,Inputs!$F$229*12)-MIN(MAX(Time!J32,Inputs!$F$229*12),Inputs!$F$229*12))</f>
        <v/>
      </c>
      <c r="K8" s="9">
        <f>MAX(0,MIN(Time!K33,Inputs!$F$229*12)-MIN(MAX(Time!K32,Inputs!$F$229*12),Inputs!$F$229*12))</f>
        <v/>
      </c>
      <c r="L8" s="9">
        <f>MAX(0,MIN(Time!L33,Inputs!$F$229*12)-MIN(MAX(Time!L32,Inputs!$F$229*12),Inputs!$F$229*12))</f>
        <v/>
      </c>
      <c r="M8" s="9">
        <f>MAX(0,MIN(Time!M33,Inputs!$F$229*12)-MIN(MAX(Time!M32,Inputs!$F$229*12),Inputs!$F$229*12))</f>
        <v/>
      </c>
      <c r="N8" s="9">
        <f>MAX(0,MIN(Time!N33,Inputs!$F$229*12)-MIN(MAX(Time!N32,Inputs!$F$229*12),Inputs!$F$229*12))</f>
        <v/>
      </c>
      <c r="O8" s="9">
        <f>MAX(0,MIN(Time!O33,Inputs!$F$229*12)-MIN(MAX(Time!O32,Inputs!$F$229*12),Inputs!$F$229*12))</f>
        <v/>
      </c>
      <c r="P8" s="9">
        <f>MAX(0,MIN(Time!P33,Inputs!$F$229*12)-MIN(MAX(Time!P32,Inputs!$F$229*12),Inputs!$F$229*12))</f>
        <v/>
      </c>
      <c r="Q8" s="9">
        <f>MAX(0,MIN(Time!Q33,Inputs!$F$229*12)-MIN(MAX(Time!Q32,Inputs!$F$229*12),Inputs!$F$229*12))</f>
        <v/>
      </c>
      <c r="R8" s="9">
        <f>MAX(0,MIN(Time!R33,Inputs!$F$229*12)-MIN(MAX(Time!R32,Inputs!$F$229*12),Inputs!$F$229*12))</f>
        <v/>
      </c>
      <c r="S8" s="9">
        <f>MAX(0,MIN(Time!S33,Inputs!$F$229*12)-MIN(MAX(Time!S32,Inputs!$F$229*12),Inputs!$F$229*12))</f>
        <v/>
      </c>
      <c r="T8" s="9">
        <f>MAX(0,MIN(Time!T33,Inputs!$F$229*12)-MIN(MAX(Time!T32,Inputs!$F$229*12),Inputs!$F$229*12))</f>
        <v/>
      </c>
      <c r="U8" s="9">
        <f>MAX(0,MIN(Time!U33,Inputs!$F$229*12)-MIN(MAX(Time!U32,Inputs!$F$229*12),Inputs!$F$229*12))</f>
        <v/>
      </c>
      <c r="V8" s="9">
        <f>MAX(0,MIN(Time!V33,Inputs!$F$229*12)-MIN(MAX(Time!V32,Inputs!$F$229*12),Inputs!$F$229*12))</f>
        <v/>
      </c>
      <c r="W8" s="9">
        <f>MAX(0,MIN(Time!W33,Inputs!$F$229*12)-MIN(MAX(Time!W32,Inputs!$F$229*12),Inputs!$F$229*12))</f>
        <v/>
      </c>
      <c r="X8" s="9">
        <f>MAX(0,MIN(Time!X33,Inputs!$F$229*12)-MIN(MAX(Time!X32,Inputs!$F$229*12),Inputs!$F$229*12))</f>
        <v/>
      </c>
      <c r="Y8" s="9">
        <f>MAX(0,MIN(Time!Y33,Inputs!$F$229*12)-MIN(MAX(Time!Y32,Inputs!$F$229*12),Inputs!$F$229*12))</f>
        <v/>
      </c>
      <c r="Z8" s="9">
        <f>MAX(0,MIN(Time!Z33,Inputs!$F$229*12)-MIN(MAX(Time!Z32,Inputs!$F$229*12),Inputs!$F$229*12))</f>
        <v/>
      </c>
      <c r="AA8" s="9">
        <f>MAX(0,MIN(Time!AA33,Inputs!$F$229*12)-MIN(MAX(Time!AA32,Inputs!$F$229*12),Inputs!$F$229*12))</f>
        <v/>
      </c>
      <c r="AB8" s="9">
        <f>MAX(0,MIN(Time!AB33,Inputs!$F$229*12)-MIN(MAX(Time!AB32,Inputs!$F$229*12),Inputs!$F$229*12))</f>
        <v/>
      </c>
      <c r="AC8" s="9">
        <f>MAX(0,MIN(Time!AC33,Inputs!$F$229*12)-MIN(MAX(Time!AC32,Inputs!$F$229*12),Inputs!$F$229*12))</f>
        <v/>
      </c>
      <c r="AD8" s="9">
        <f>MAX(0,MIN(Time!AD33,Inputs!$F$229*12)-MIN(MAX(Time!AD32,Inputs!$F$229*12),Inputs!$F$229*12))</f>
        <v/>
      </c>
      <c r="AE8" s="9">
        <f>MAX(0,MIN(Time!AE33,Inputs!$F$229*12)-MIN(MAX(Time!AE32,Inputs!$F$229*12),Inputs!$F$229*12))</f>
        <v/>
      </c>
      <c r="AF8" s="9">
        <f>MAX(0,MIN(Time!AF33,Inputs!$F$229*12)-MIN(MAX(Time!AF32,Inputs!$F$229*12),Inputs!$F$229*12))</f>
        <v/>
      </c>
      <c r="AG8" s="9">
        <f>MAX(0,MIN(Time!AG33,Inputs!$F$229*12)-MIN(MAX(Time!AG32,Inputs!$F$229*12),Inputs!$F$229*12))</f>
        <v/>
      </c>
      <c r="AH8" s="9">
        <f>MAX(0,MIN(Time!AH33,Inputs!$F$229*12)-MIN(MAX(Time!AH32,Inputs!$F$229*12),Inputs!$F$229*12))</f>
        <v/>
      </c>
      <c r="AI8" s="9">
        <f>MAX(0,MIN(Time!AI33,Inputs!$F$229*12)-MIN(MAX(Time!AI32,Inputs!$F$229*12),Inputs!$F$229*12))</f>
        <v/>
      </c>
      <c r="AJ8" s="9">
        <f>MAX(0,MIN(Time!AJ33,Inputs!$F$229*12)-MIN(MAX(Time!AJ32,Inputs!$F$229*12),Inputs!$F$229*12))</f>
        <v/>
      </c>
      <c r="AK8" s="9">
        <f>MAX(0,MIN(Time!AK33,Inputs!$F$229*12)-MIN(MAX(Time!AK32,Inputs!$F$229*12),Inputs!$F$229*12))</f>
        <v/>
      </c>
      <c r="AL8" s="9">
        <f>MAX(0,MIN(Time!AL33,Inputs!$F$229*12)-MIN(MAX(Time!AL32,Inputs!$F$229*12),Inputs!$F$229*12))</f>
        <v/>
      </c>
      <c r="AM8" s="9">
        <f>MAX(0,MIN(Time!AM33,Inputs!$F$229*12)-MIN(MAX(Time!AM32,Inputs!$F$229*12),Inputs!$F$229*12))</f>
        <v/>
      </c>
      <c r="AN8" s="9">
        <f>MAX(0,MIN(Time!AN33,Inputs!$F$229*12)-MIN(MAX(Time!AN32,Inputs!$F$229*12),Inputs!$F$229*12))</f>
        <v/>
      </c>
      <c r="AO8" s="9">
        <f>MAX(0,MIN(Time!AO33,Inputs!$F$229*12)-MIN(MAX(Time!AO32,Inputs!$F$229*12),Inputs!$F$229*12))</f>
        <v/>
      </c>
      <c r="AP8" s="9">
        <f>MAX(0,MIN(Time!AP33,Inputs!$F$229*12)-MIN(MAX(Time!AP32,Inputs!$F$229*12),Inputs!$F$229*12))</f>
        <v/>
      </c>
      <c r="AQ8" s="9">
        <f>MAX(0,MIN(Time!AQ33,Inputs!$F$229*12)-MIN(MAX(Time!AQ32,Inputs!$F$229*12),Inputs!$F$229*12))</f>
        <v/>
      </c>
      <c r="AR8" s="9">
        <f>MAX(0,MIN(Time!AR33,Inputs!$F$229*12)-MIN(MAX(Time!AR32,Inputs!$F$229*12),Inputs!$F$229*12))</f>
        <v/>
      </c>
      <c r="AS8" s="9">
        <f>MAX(0,MIN(Time!AS33,Inputs!$F$229*12)-MIN(MAX(Time!AS32,Inputs!$F$229*12),Inputs!$F$229*12))</f>
        <v/>
      </c>
      <c r="AT8" s="9">
        <f>MAX(0,MIN(Time!AT33,Inputs!$F$229*12)-MIN(MAX(Time!AT32,Inputs!$F$229*12),Inputs!$F$229*12))</f>
        <v/>
      </c>
      <c r="AU8" s="9">
        <f>MAX(0,MIN(Time!AU33,Inputs!$F$229*12)-MIN(MAX(Time!AU32,Inputs!$F$229*12),Inputs!$F$229*12))</f>
        <v/>
      </c>
      <c r="AV8" s="9">
        <f>MAX(0,MIN(Time!AV33,Inputs!$F$229*12)-MIN(MAX(Time!AV32,Inputs!$F$229*12),Inputs!$F$229*12))</f>
        <v/>
      </c>
      <c r="AW8" s="9">
        <f>MAX(0,MIN(Time!AW33,Inputs!$F$229*12)-MIN(MAX(Time!AW32,Inputs!$F$229*12),Inputs!$F$229*12))</f>
        <v/>
      </c>
      <c r="AX8" s="9">
        <f>MAX(0,MIN(Time!AX33,Inputs!$F$229*12)-MIN(MAX(Time!AX32,Inputs!$F$229*12),Inputs!$F$229*12))</f>
        <v/>
      </c>
      <c r="AY8" s="9">
        <f>MAX(0,MIN(Time!AY33,Inputs!$F$229*12)-MIN(MAX(Time!AY32,Inputs!$F$229*12),Inputs!$F$229*12))</f>
        <v/>
      </c>
      <c r="AZ8" s="9">
        <f>MAX(0,MIN(Time!AZ33,Inputs!$F$229*12)-MIN(MAX(Time!AZ32,Inputs!$F$229*12),Inputs!$F$229*12))</f>
        <v/>
      </c>
      <c r="BA8" s="9">
        <f>MAX(0,MIN(Time!BA33,Inputs!$F$229*12)-MIN(MAX(Time!BA32,Inputs!$F$229*12),Inputs!$F$229*12))</f>
        <v/>
      </c>
      <c r="BB8" s="9">
        <f>MAX(0,MIN(Time!BB33,Inputs!$F$229*12)-MIN(MAX(Time!BB32,Inputs!$F$229*12),Inputs!$F$229*12))</f>
        <v/>
      </c>
      <c r="BC8" s="9">
        <f>MAX(0,MIN(Time!BC33,Inputs!$F$229*12)-MIN(MAX(Time!BC32,Inputs!$F$229*12),Inputs!$F$229*12))</f>
        <v/>
      </c>
      <c r="BD8" s="9">
        <f>MAX(0,MIN(Time!BD33,Inputs!$F$229*12)-MIN(MAX(Time!BD32,Inputs!$F$229*12),Inputs!$F$229*12))</f>
        <v/>
      </c>
      <c r="BE8" s="9">
        <f>MAX(0,MIN(Time!BE33,Inputs!$F$229*12)-MIN(MAX(Time!BE32,Inputs!$F$229*12),Inputs!$F$229*12))</f>
        <v/>
      </c>
      <c r="BF8" s="9">
        <f>MAX(0,MIN(Time!BF33,Inputs!$F$229*12)-MIN(MAX(Time!BF32,Inputs!$F$229*12),Inputs!$F$229*12))</f>
        <v/>
      </c>
      <c r="BG8" s="9">
        <f>MAX(0,MIN(Time!BG33,Inputs!$F$229*12)-MIN(MAX(Time!BG32,Inputs!$F$229*12),Inputs!$F$229*12))</f>
        <v/>
      </c>
      <c r="BH8" s="9">
        <f>MAX(0,MIN(Time!BH33,Inputs!$F$229*12)-MIN(MAX(Time!BH32,Inputs!$F$229*12),Inputs!$F$229*12))</f>
        <v/>
      </c>
      <c r="BI8" s="9">
        <f>MAX(0,MIN(Time!BI33,Inputs!$F$229*12)-MIN(MAX(Time!BI32,Inputs!$F$229*12),Inputs!$F$229*12))</f>
        <v/>
      </c>
      <c r="BJ8" s="9">
        <f>MAX(0,MIN(Time!BJ33,Inputs!$F$229*12)-MIN(MAX(Time!BJ32,Inputs!$F$229*12),Inputs!$F$229*12))</f>
        <v/>
      </c>
      <c r="BK8" s="9">
        <f>MAX(0,MIN(Time!BK33,Inputs!$F$229*12)-MIN(MAX(Time!BK32,Inputs!$F$229*12),Inputs!$F$229*12))</f>
        <v/>
      </c>
      <c r="BL8" s="9">
        <f>MAX(0,MIN(Time!BL33,Inputs!$F$229*12)-MIN(MAX(Time!BL32,Inputs!$F$229*12),Inputs!$F$229*12))</f>
        <v/>
      </c>
      <c r="BM8" s="9">
        <f>MAX(0,MIN(Time!BM33,Inputs!$F$229*12)-MIN(MAX(Time!BM32,Inputs!$F$229*12),Inputs!$F$229*12))</f>
        <v/>
      </c>
      <c r="BN8" s="9">
        <f>MAX(0,MIN(Time!BN33,Inputs!$F$229*12)-MIN(MAX(Time!BN32,Inputs!$F$229*12),Inputs!$F$229*12))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Time!J30-J7-J8</f>
        <v/>
      </c>
      <c r="K9" s="9">
        <f>Time!K30-K7-K8</f>
        <v/>
      </c>
      <c r="L9" s="9">
        <f>Time!L30-L7-L8</f>
        <v/>
      </c>
      <c r="M9" s="9">
        <f>Time!M30-M7-M8</f>
        <v/>
      </c>
      <c r="N9" s="9">
        <f>Time!N30-N7-N8</f>
        <v/>
      </c>
      <c r="O9" s="9">
        <f>Time!O30-O7-O8</f>
        <v/>
      </c>
      <c r="P9" s="9">
        <f>Time!P30-P7-P8</f>
        <v/>
      </c>
      <c r="Q9" s="9">
        <f>Time!Q30-Q7-Q8</f>
        <v/>
      </c>
      <c r="R9" s="9">
        <f>Time!R30-R7-R8</f>
        <v/>
      </c>
      <c r="S9" s="9">
        <f>Time!S30-S7-S8</f>
        <v/>
      </c>
      <c r="T9" s="9">
        <f>Time!T30-T7-T8</f>
        <v/>
      </c>
      <c r="U9" s="9">
        <f>Time!U30-U7-U8</f>
        <v/>
      </c>
      <c r="V9" s="9">
        <f>Time!V30-V7-V8</f>
        <v/>
      </c>
      <c r="W9" s="9">
        <f>Time!W30-W7-W8</f>
        <v/>
      </c>
      <c r="X9" s="9">
        <f>Time!X30-X7-X8</f>
        <v/>
      </c>
      <c r="Y9" s="9">
        <f>Time!Y30-Y7-Y8</f>
        <v/>
      </c>
      <c r="Z9" s="9">
        <f>Time!Z30-Z7-Z8</f>
        <v/>
      </c>
      <c r="AA9" s="9">
        <f>Time!AA30-AA7-AA8</f>
        <v/>
      </c>
      <c r="AB9" s="9">
        <f>Time!AB30-AB7-AB8</f>
        <v/>
      </c>
      <c r="AC9" s="9">
        <f>Time!AC30-AC7-AC8</f>
        <v/>
      </c>
      <c r="AD9" s="9">
        <f>Time!AD30-AD7-AD8</f>
        <v/>
      </c>
      <c r="AE9" s="9">
        <f>Time!AE30-AE7-AE8</f>
        <v/>
      </c>
      <c r="AF9" s="9">
        <f>Time!AF30-AF7-AF8</f>
        <v/>
      </c>
      <c r="AG9" s="9">
        <f>Time!AG30-AG7-AG8</f>
        <v/>
      </c>
      <c r="AH9" s="9">
        <f>Time!AH30-AH7-AH8</f>
        <v/>
      </c>
      <c r="AI9" s="9">
        <f>Time!AI30-AI7-AI8</f>
        <v/>
      </c>
      <c r="AJ9" s="9">
        <f>Time!AJ30-AJ7-AJ8</f>
        <v/>
      </c>
      <c r="AK9" s="9">
        <f>Time!AK30-AK7-AK8</f>
        <v/>
      </c>
      <c r="AL9" s="9">
        <f>Time!AL30-AL7-AL8</f>
        <v/>
      </c>
      <c r="AM9" s="9">
        <f>Time!AM30-AM7-AM8</f>
        <v/>
      </c>
      <c r="AN9" s="9">
        <f>Time!AN30-AN7-AN8</f>
        <v/>
      </c>
      <c r="AO9" s="9">
        <f>Time!AO30-AO7-AO8</f>
        <v/>
      </c>
      <c r="AP9" s="9">
        <f>Time!AP30-AP7-AP8</f>
        <v/>
      </c>
      <c r="AQ9" s="9">
        <f>Time!AQ30-AQ7-AQ8</f>
        <v/>
      </c>
      <c r="AR9" s="9">
        <f>Time!AR30-AR7-AR8</f>
        <v/>
      </c>
      <c r="AS9" s="9">
        <f>Time!AS30-AS7-AS8</f>
        <v/>
      </c>
      <c r="AT9" s="9">
        <f>Time!AT30-AT7-AT8</f>
        <v/>
      </c>
      <c r="AU9" s="9">
        <f>Time!AU30-AU7-AU8</f>
        <v/>
      </c>
      <c r="AV9" s="9">
        <f>Time!AV30-AV7-AV8</f>
        <v/>
      </c>
      <c r="AW9" s="9">
        <f>Time!AW30-AW7-AW8</f>
        <v/>
      </c>
      <c r="AX9" s="9">
        <f>Time!AX30-AX7-AX8</f>
        <v/>
      </c>
      <c r="AY9" s="9">
        <f>Time!AY30-AY7-AY8</f>
        <v/>
      </c>
      <c r="AZ9" s="9">
        <f>Time!AZ30-AZ7-AZ8</f>
        <v/>
      </c>
      <c r="BA9" s="9">
        <f>Time!BA30-BA7-BA8</f>
        <v/>
      </c>
      <c r="BB9" s="9">
        <f>Time!BB30-BB7-BB8</f>
        <v/>
      </c>
      <c r="BC9" s="9">
        <f>Time!BC30-BC7-BC8</f>
        <v/>
      </c>
      <c r="BD9" s="9">
        <f>Time!BD30-BD7-BD8</f>
        <v/>
      </c>
      <c r="BE9" s="9">
        <f>Time!BE30-BE7-BE8</f>
        <v/>
      </c>
      <c r="BF9" s="9">
        <f>Time!BF30-BF7-BF8</f>
        <v/>
      </c>
      <c r="BG9" s="9">
        <f>Time!BG30-BG7-BG8</f>
        <v/>
      </c>
      <c r="BH9" s="9">
        <f>Time!BH30-BH7-BH8</f>
        <v/>
      </c>
      <c r="BI9" s="9">
        <f>Time!BI30-BI7-BI8</f>
        <v/>
      </c>
      <c r="BJ9" s="9">
        <f>Time!BJ30-BJ7-BJ8</f>
        <v/>
      </c>
      <c r="BK9" s="9">
        <f>Time!BK30-BK7-BK8</f>
        <v/>
      </c>
      <c r="BL9" s="9">
        <f>Time!BL30-BL7-BL8</f>
        <v/>
      </c>
      <c r="BM9" s="9">
        <f>Time!BM30-BM7-BM8</f>
        <v/>
      </c>
      <c r="BN9" s="9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(Inputs!$F$177*Funding!$F$76/Inputs!$F$178+Inputs!$F$179*Funding!$F$76/Inputs!$F$180)*J7+Inputs!$F$181*Funding!$F$76/Inputs!$F$182*MAX(0,MIN(Time!J33,MIN(Inputs!$F$182,Inputs!$F$229*12))-MIN(Time!J32,MIN(Inputs!$F$182,Inputs!$F$229*12)))</f>
        <v/>
      </c>
      <c r="K11" s="13">
        <f>(Inputs!$F$177*Funding!$F$76/Inputs!$F$178+Inputs!$F$179*Funding!$F$76/Inputs!$F$180)*K7+Inputs!$F$181*Funding!$F$76/Inputs!$F$182*MAX(0,MIN(Time!K33,MIN(Inputs!$F$182,Inputs!$F$229*12))-MIN(Time!K32,MIN(Inputs!$F$182,Inputs!$F$229*12)))</f>
        <v/>
      </c>
      <c r="L11" s="13">
        <f>(Inputs!$F$177*Funding!$F$76/Inputs!$F$178+Inputs!$F$179*Funding!$F$76/Inputs!$F$180)*L7+Inputs!$F$181*Funding!$F$76/Inputs!$F$182*MAX(0,MIN(Time!L33,MIN(Inputs!$F$182,Inputs!$F$229*12))-MIN(Time!L32,MIN(Inputs!$F$182,Inputs!$F$229*12)))</f>
        <v/>
      </c>
      <c r="M11" s="13">
        <f>(Inputs!$F$177*Funding!$F$76/Inputs!$F$178+Inputs!$F$179*Funding!$F$76/Inputs!$F$180)*M7+Inputs!$F$181*Funding!$F$76/Inputs!$F$182*MAX(0,MIN(Time!M33,MIN(Inputs!$F$182,Inputs!$F$229*12))-MIN(Time!M32,MIN(Inputs!$F$182,Inputs!$F$229*12)))</f>
        <v/>
      </c>
      <c r="N11" s="13">
        <f>(Inputs!$F$177*Funding!$F$76/Inputs!$F$178+Inputs!$F$179*Funding!$F$76/Inputs!$F$180)*N7+Inputs!$F$181*Funding!$F$76/Inputs!$F$182*MAX(0,MIN(Time!N33,MIN(Inputs!$F$182,Inputs!$F$229*12))-MIN(Time!N32,MIN(Inputs!$F$182,Inputs!$F$229*12)))</f>
        <v/>
      </c>
      <c r="O11" s="13">
        <f>(Inputs!$F$177*Funding!$F$76/Inputs!$F$178+Inputs!$F$179*Funding!$F$76/Inputs!$F$180)*O7+Inputs!$F$181*Funding!$F$76/Inputs!$F$182*MAX(0,MIN(Time!O33,MIN(Inputs!$F$182,Inputs!$F$229*12))-MIN(Time!O32,MIN(Inputs!$F$182,Inputs!$F$229*12)))</f>
        <v/>
      </c>
      <c r="P11" s="13">
        <f>(Inputs!$F$177*Funding!$F$76/Inputs!$F$178+Inputs!$F$179*Funding!$F$76/Inputs!$F$180)*P7+Inputs!$F$181*Funding!$F$76/Inputs!$F$182*MAX(0,MIN(Time!P33,MIN(Inputs!$F$182,Inputs!$F$229*12))-MIN(Time!P32,MIN(Inputs!$F$182,Inputs!$F$229*12)))</f>
        <v/>
      </c>
      <c r="Q11" s="13">
        <f>(Inputs!$F$177*Funding!$F$76/Inputs!$F$178+Inputs!$F$179*Funding!$F$76/Inputs!$F$180)*Q7+Inputs!$F$181*Funding!$F$76/Inputs!$F$182*MAX(0,MIN(Time!Q33,MIN(Inputs!$F$182,Inputs!$F$229*12))-MIN(Time!Q32,MIN(Inputs!$F$182,Inputs!$F$229*12)))</f>
        <v/>
      </c>
      <c r="R11" s="13">
        <f>(Inputs!$F$177*Funding!$F$76/Inputs!$F$178+Inputs!$F$179*Funding!$F$76/Inputs!$F$180)*R7+Inputs!$F$181*Funding!$F$76/Inputs!$F$182*MAX(0,MIN(Time!R33,MIN(Inputs!$F$182,Inputs!$F$229*12))-MIN(Time!R32,MIN(Inputs!$F$182,Inputs!$F$229*12)))</f>
        <v/>
      </c>
      <c r="S11" s="13">
        <f>(Inputs!$F$177*Funding!$F$76/Inputs!$F$178+Inputs!$F$179*Funding!$F$76/Inputs!$F$180)*S7+Inputs!$F$181*Funding!$F$76/Inputs!$F$182*MAX(0,MIN(Time!S33,MIN(Inputs!$F$182,Inputs!$F$229*12))-MIN(Time!S32,MIN(Inputs!$F$182,Inputs!$F$229*12)))</f>
        <v/>
      </c>
      <c r="T11" s="13">
        <f>(Inputs!$F$177*Funding!$F$76/Inputs!$F$178+Inputs!$F$179*Funding!$F$76/Inputs!$F$180)*T7+Inputs!$F$181*Funding!$F$76/Inputs!$F$182*MAX(0,MIN(Time!T33,MIN(Inputs!$F$182,Inputs!$F$229*12))-MIN(Time!T32,MIN(Inputs!$F$182,Inputs!$F$229*12)))</f>
        <v/>
      </c>
      <c r="U11" s="13">
        <f>(Inputs!$F$177*Funding!$F$76/Inputs!$F$178+Inputs!$F$179*Funding!$F$76/Inputs!$F$180)*U7+Inputs!$F$181*Funding!$F$76/Inputs!$F$182*MAX(0,MIN(Time!U33,MIN(Inputs!$F$182,Inputs!$F$229*12))-MIN(Time!U32,MIN(Inputs!$F$182,Inputs!$F$229*12)))</f>
        <v/>
      </c>
      <c r="V11" s="13">
        <f>(Inputs!$F$177*Funding!$F$76/Inputs!$F$178+Inputs!$F$179*Funding!$F$76/Inputs!$F$180)*V7+Inputs!$F$181*Funding!$F$76/Inputs!$F$182*MAX(0,MIN(Time!V33,MIN(Inputs!$F$182,Inputs!$F$229*12))-MIN(Time!V32,MIN(Inputs!$F$182,Inputs!$F$229*12)))</f>
        <v/>
      </c>
      <c r="W11" s="13">
        <f>(Inputs!$F$177*Funding!$F$76/Inputs!$F$178+Inputs!$F$179*Funding!$F$76/Inputs!$F$180)*W7+Inputs!$F$181*Funding!$F$76/Inputs!$F$182*MAX(0,MIN(Time!W33,MIN(Inputs!$F$182,Inputs!$F$229*12))-MIN(Time!W32,MIN(Inputs!$F$182,Inputs!$F$229*12)))</f>
        <v/>
      </c>
      <c r="X11" s="13">
        <f>(Inputs!$F$177*Funding!$F$76/Inputs!$F$178+Inputs!$F$179*Funding!$F$76/Inputs!$F$180)*X7+Inputs!$F$181*Funding!$F$76/Inputs!$F$182*MAX(0,MIN(Time!X33,MIN(Inputs!$F$182,Inputs!$F$229*12))-MIN(Time!X32,MIN(Inputs!$F$182,Inputs!$F$229*12)))</f>
        <v/>
      </c>
      <c r="Y11" s="13">
        <f>(Inputs!$F$177*Funding!$F$76/Inputs!$F$178+Inputs!$F$179*Funding!$F$76/Inputs!$F$180)*Y7+Inputs!$F$181*Funding!$F$76/Inputs!$F$182*MAX(0,MIN(Time!Y33,MIN(Inputs!$F$182,Inputs!$F$229*12))-MIN(Time!Y32,MIN(Inputs!$F$182,Inputs!$F$229*12)))</f>
        <v/>
      </c>
      <c r="Z11" s="13">
        <f>(Inputs!$F$177*Funding!$F$76/Inputs!$F$178+Inputs!$F$179*Funding!$F$76/Inputs!$F$180)*Z7+Inputs!$F$181*Funding!$F$76/Inputs!$F$182*MAX(0,MIN(Time!Z33,MIN(Inputs!$F$182,Inputs!$F$229*12))-MIN(Time!Z32,MIN(Inputs!$F$182,Inputs!$F$229*12)))</f>
        <v/>
      </c>
      <c r="AA11" s="13">
        <f>(Inputs!$F$177*Funding!$F$76/Inputs!$F$178+Inputs!$F$179*Funding!$F$76/Inputs!$F$180)*AA7+Inputs!$F$181*Funding!$F$76/Inputs!$F$182*MAX(0,MIN(Time!AA33,MIN(Inputs!$F$182,Inputs!$F$229*12))-MIN(Time!AA32,MIN(Inputs!$F$182,Inputs!$F$229*12)))</f>
        <v/>
      </c>
      <c r="AB11" s="13">
        <f>(Inputs!$F$177*Funding!$F$76/Inputs!$F$178+Inputs!$F$179*Funding!$F$76/Inputs!$F$180)*AB7+Inputs!$F$181*Funding!$F$76/Inputs!$F$182*MAX(0,MIN(Time!AB33,MIN(Inputs!$F$182,Inputs!$F$229*12))-MIN(Time!AB32,MIN(Inputs!$F$182,Inputs!$F$229*12)))</f>
        <v/>
      </c>
      <c r="AC11" s="13">
        <f>(Inputs!$F$177*Funding!$F$76/Inputs!$F$178+Inputs!$F$179*Funding!$F$76/Inputs!$F$180)*AC7+Inputs!$F$181*Funding!$F$76/Inputs!$F$182*MAX(0,MIN(Time!AC33,MIN(Inputs!$F$182,Inputs!$F$229*12))-MIN(Time!AC32,MIN(Inputs!$F$182,Inputs!$F$229*12)))</f>
        <v/>
      </c>
      <c r="AD11" s="13">
        <f>(Inputs!$F$177*Funding!$F$76/Inputs!$F$178+Inputs!$F$179*Funding!$F$76/Inputs!$F$180)*AD7+Inputs!$F$181*Funding!$F$76/Inputs!$F$182*MAX(0,MIN(Time!AD33,MIN(Inputs!$F$182,Inputs!$F$229*12))-MIN(Time!AD32,MIN(Inputs!$F$182,Inputs!$F$229*12)))</f>
        <v/>
      </c>
      <c r="AE11" s="13">
        <f>(Inputs!$F$177*Funding!$F$76/Inputs!$F$178+Inputs!$F$179*Funding!$F$76/Inputs!$F$180)*AE7+Inputs!$F$181*Funding!$F$76/Inputs!$F$182*MAX(0,MIN(Time!AE33,MIN(Inputs!$F$182,Inputs!$F$229*12))-MIN(Time!AE32,MIN(Inputs!$F$182,Inputs!$F$229*12)))</f>
        <v/>
      </c>
      <c r="AF11" s="13">
        <f>(Inputs!$F$177*Funding!$F$76/Inputs!$F$178+Inputs!$F$179*Funding!$F$76/Inputs!$F$180)*AF7+Inputs!$F$181*Funding!$F$76/Inputs!$F$182*MAX(0,MIN(Time!AF33,MIN(Inputs!$F$182,Inputs!$F$229*12))-MIN(Time!AF32,MIN(Inputs!$F$182,Inputs!$F$229*12)))</f>
        <v/>
      </c>
      <c r="AG11" s="13">
        <f>(Inputs!$F$177*Funding!$F$76/Inputs!$F$178+Inputs!$F$179*Funding!$F$76/Inputs!$F$180)*AG7+Inputs!$F$181*Funding!$F$76/Inputs!$F$182*MAX(0,MIN(Time!AG33,MIN(Inputs!$F$182,Inputs!$F$229*12))-MIN(Time!AG32,MIN(Inputs!$F$182,Inputs!$F$229*12)))</f>
        <v/>
      </c>
      <c r="AH11" s="13">
        <f>(Inputs!$F$177*Funding!$F$76/Inputs!$F$178+Inputs!$F$179*Funding!$F$76/Inputs!$F$180)*AH7+Inputs!$F$181*Funding!$F$76/Inputs!$F$182*MAX(0,MIN(Time!AH33,MIN(Inputs!$F$182,Inputs!$F$229*12))-MIN(Time!AH32,MIN(Inputs!$F$182,Inputs!$F$229*12)))</f>
        <v/>
      </c>
      <c r="AI11" s="13">
        <f>(Inputs!$F$177*Funding!$F$76/Inputs!$F$178+Inputs!$F$179*Funding!$F$76/Inputs!$F$180)*AI7+Inputs!$F$181*Funding!$F$76/Inputs!$F$182*MAX(0,MIN(Time!AI33,MIN(Inputs!$F$182,Inputs!$F$229*12))-MIN(Time!AI32,MIN(Inputs!$F$182,Inputs!$F$229*12)))</f>
        <v/>
      </c>
      <c r="AJ11" s="13">
        <f>(Inputs!$F$177*Funding!$F$76/Inputs!$F$178+Inputs!$F$179*Funding!$F$76/Inputs!$F$180)*AJ7+Inputs!$F$181*Funding!$F$76/Inputs!$F$182*MAX(0,MIN(Time!AJ33,MIN(Inputs!$F$182,Inputs!$F$229*12))-MIN(Time!AJ32,MIN(Inputs!$F$182,Inputs!$F$229*12)))</f>
        <v/>
      </c>
      <c r="AK11" s="13">
        <f>(Inputs!$F$177*Funding!$F$76/Inputs!$F$178+Inputs!$F$179*Funding!$F$76/Inputs!$F$180)*AK7+Inputs!$F$181*Funding!$F$76/Inputs!$F$182*MAX(0,MIN(Time!AK33,MIN(Inputs!$F$182,Inputs!$F$229*12))-MIN(Time!AK32,MIN(Inputs!$F$182,Inputs!$F$229*12)))</f>
        <v/>
      </c>
      <c r="AL11" s="13">
        <f>(Inputs!$F$177*Funding!$F$76/Inputs!$F$178+Inputs!$F$179*Funding!$F$76/Inputs!$F$180)*AL7+Inputs!$F$181*Funding!$F$76/Inputs!$F$182*MAX(0,MIN(Time!AL33,MIN(Inputs!$F$182,Inputs!$F$229*12))-MIN(Time!AL32,MIN(Inputs!$F$182,Inputs!$F$229*12)))</f>
        <v/>
      </c>
      <c r="AM11" s="13">
        <f>(Inputs!$F$177*Funding!$F$76/Inputs!$F$178+Inputs!$F$179*Funding!$F$76/Inputs!$F$180)*AM7+Inputs!$F$181*Funding!$F$76/Inputs!$F$182*MAX(0,MIN(Time!AM33,MIN(Inputs!$F$182,Inputs!$F$229*12))-MIN(Time!AM32,MIN(Inputs!$F$182,Inputs!$F$229*12)))</f>
        <v/>
      </c>
      <c r="AN11" s="13">
        <f>(Inputs!$F$177*Funding!$F$76/Inputs!$F$178+Inputs!$F$179*Funding!$F$76/Inputs!$F$180)*AN7+Inputs!$F$181*Funding!$F$76/Inputs!$F$182*MAX(0,MIN(Time!AN33,MIN(Inputs!$F$182,Inputs!$F$229*12))-MIN(Time!AN32,MIN(Inputs!$F$182,Inputs!$F$229*12)))</f>
        <v/>
      </c>
      <c r="AO11" s="13">
        <f>(Inputs!$F$177*Funding!$F$76/Inputs!$F$178+Inputs!$F$179*Funding!$F$76/Inputs!$F$180)*AO7+Inputs!$F$181*Funding!$F$76/Inputs!$F$182*MAX(0,MIN(Time!AO33,MIN(Inputs!$F$182,Inputs!$F$229*12))-MIN(Time!AO32,MIN(Inputs!$F$182,Inputs!$F$229*12)))</f>
        <v/>
      </c>
      <c r="AP11" s="13">
        <f>(Inputs!$F$177*Funding!$F$76/Inputs!$F$178+Inputs!$F$179*Funding!$F$76/Inputs!$F$180)*AP7+Inputs!$F$181*Funding!$F$76/Inputs!$F$182*MAX(0,MIN(Time!AP33,MIN(Inputs!$F$182,Inputs!$F$229*12))-MIN(Time!AP32,MIN(Inputs!$F$182,Inputs!$F$229*12)))</f>
        <v/>
      </c>
      <c r="AQ11" s="13">
        <f>(Inputs!$F$177*Funding!$F$76/Inputs!$F$178+Inputs!$F$179*Funding!$F$76/Inputs!$F$180)*AQ7+Inputs!$F$181*Funding!$F$76/Inputs!$F$182*MAX(0,MIN(Time!AQ33,MIN(Inputs!$F$182,Inputs!$F$229*12))-MIN(Time!AQ32,MIN(Inputs!$F$182,Inputs!$F$229*12)))</f>
        <v/>
      </c>
      <c r="AR11" s="13">
        <f>(Inputs!$F$177*Funding!$F$76/Inputs!$F$178+Inputs!$F$179*Funding!$F$76/Inputs!$F$180)*AR7+Inputs!$F$181*Funding!$F$76/Inputs!$F$182*MAX(0,MIN(Time!AR33,MIN(Inputs!$F$182,Inputs!$F$229*12))-MIN(Time!AR32,MIN(Inputs!$F$182,Inputs!$F$229*12)))</f>
        <v/>
      </c>
      <c r="AS11" s="13">
        <f>(Inputs!$F$177*Funding!$F$76/Inputs!$F$178+Inputs!$F$179*Funding!$F$76/Inputs!$F$180)*AS7+Inputs!$F$181*Funding!$F$76/Inputs!$F$182*MAX(0,MIN(Time!AS33,MIN(Inputs!$F$182,Inputs!$F$229*12))-MIN(Time!AS32,MIN(Inputs!$F$182,Inputs!$F$229*12)))</f>
        <v/>
      </c>
      <c r="AT11" s="13">
        <f>(Inputs!$F$177*Funding!$F$76/Inputs!$F$178+Inputs!$F$179*Funding!$F$76/Inputs!$F$180)*AT7+Inputs!$F$181*Funding!$F$76/Inputs!$F$182*MAX(0,MIN(Time!AT33,MIN(Inputs!$F$182,Inputs!$F$229*12))-MIN(Time!AT32,MIN(Inputs!$F$182,Inputs!$F$229*12)))</f>
        <v/>
      </c>
      <c r="AU11" s="13">
        <f>(Inputs!$F$177*Funding!$F$76/Inputs!$F$178+Inputs!$F$179*Funding!$F$76/Inputs!$F$180)*AU7+Inputs!$F$181*Funding!$F$76/Inputs!$F$182*MAX(0,MIN(Time!AU33,MIN(Inputs!$F$182,Inputs!$F$229*12))-MIN(Time!AU32,MIN(Inputs!$F$182,Inputs!$F$229*12)))</f>
        <v/>
      </c>
      <c r="AV11" s="13">
        <f>(Inputs!$F$177*Funding!$F$76/Inputs!$F$178+Inputs!$F$179*Funding!$F$76/Inputs!$F$180)*AV7+Inputs!$F$181*Funding!$F$76/Inputs!$F$182*MAX(0,MIN(Time!AV33,MIN(Inputs!$F$182,Inputs!$F$229*12))-MIN(Time!AV32,MIN(Inputs!$F$182,Inputs!$F$229*12)))</f>
        <v/>
      </c>
      <c r="AW11" s="13">
        <f>(Inputs!$F$177*Funding!$F$76/Inputs!$F$178+Inputs!$F$179*Funding!$F$76/Inputs!$F$180)*AW7+Inputs!$F$181*Funding!$F$76/Inputs!$F$182*MAX(0,MIN(Time!AW33,MIN(Inputs!$F$182,Inputs!$F$229*12))-MIN(Time!AW32,MIN(Inputs!$F$182,Inputs!$F$229*12)))</f>
        <v/>
      </c>
      <c r="AX11" s="13">
        <f>(Inputs!$F$177*Funding!$F$76/Inputs!$F$178+Inputs!$F$179*Funding!$F$76/Inputs!$F$180)*AX7+Inputs!$F$181*Funding!$F$76/Inputs!$F$182*MAX(0,MIN(Time!AX33,MIN(Inputs!$F$182,Inputs!$F$229*12))-MIN(Time!AX32,MIN(Inputs!$F$182,Inputs!$F$229*12)))</f>
        <v/>
      </c>
      <c r="AY11" s="13">
        <f>(Inputs!$F$177*Funding!$F$76/Inputs!$F$178+Inputs!$F$179*Funding!$F$76/Inputs!$F$180)*AY7+Inputs!$F$181*Funding!$F$76/Inputs!$F$182*MAX(0,MIN(Time!AY33,MIN(Inputs!$F$182,Inputs!$F$229*12))-MIN(Time!AY32,MIN(Inputs!$F$182,Inputs!$F$229*12)))</f>
        <v/>
      </c>
      <c r="AZ11" s="13">
        <f>(Inputs!$F$177*Funding!$F$76/Inputs!$F$178+Inputs!$F$179*Funding!$F$76/Inputs!$F$180)*AZ7+Inputs!$F$181*Funding!$F$76/Inputs!$F$182*MAX(0,MIN(Time!AZ33,MIN(Inputs!$F$182,Inputs!$F$229*12))-MIN(Time!AZ32,MIN(Inputs!$F$182,Inputs!$F$229*12)))</f>
        <v/>
      </c>
      <c r="BA11" s="13">
        <f>(Inputs!$F$177*Funding!$F$76/Inputs!$F$178+Inputs!$F$179*Funding!$F$76/Inputs!$F$180)*BA7+Inputs!$F$181*Funding!$F$76/Inputs!$F$182*MAX(0,MIN(Time!BA33,MIN(Inputs!$F$182,Inputs!$F$229*12))-MIN(Time!BA32,MIN(Inputs!$F$182,Inputs!$F$229*12)))</f>
        <v/>
      </c>
      <c r="BB11" s="13">
        <f>(Inputs!$F$177*Funding!$F$76/Inputs!$F$178+Inputs!$F$179*Funding!$F$76/Inputs!$F$180)*BB7+Inputs!$F$181*Funding!$F$76/Inputs!$F$182*MAX(0,MIN(Time!BB33,MIN(Inputs!$F$182,Inputs!$F$229*12))-MIN(Time!BB32,MIN(Inputs!$F$182,Inputs!$F$229*12)))</f>
        <v/>
      </c>
      <c r="BC11" s="13">
        <f>(Inputs!$F$177*Funding!$F$76/Inputs!$F$178+Inputs!$F$179*Funding!$F$76/Inputs!$F$180)*BC7+Inputs!$F$181*Funding!$F$76/Inputs!$F$182*MAX(0,MIN(Time!BC33,MIN(Inputs!$F$182,Inputs!$F$229*12))-MIN(Time!BC32,MIN(Inputs!$F$182,Inputs!$F$229*12)))</f>
        <v/>
      </c>
      <c r="BD11" s="13">
        <f>(Inputs!$F$177*Funding!$F$76/Inputs!$F$178+Inputs!$F$179*Funding!$F$76/Inputs!$F$180)*BD7+Inputs!$F$181*Funding!$F$76/Inputs!$F$182*MAX(0,MIN(Time!BD33,MIN(Inputs!$F$182,Inputs!$F$229*12))-MIN(Time!BD32,MIN(Inputs!$F$182,Inputs!$F$229*12)))</f>
        <v/>
      </c>
      <c r="BE11" s="13">
        <f>(Inputs!$F$177*Funding!$F$76/Inputs!$F$178+Inputs!$F$179*Funding!$F$76/Inputs!$F$180)*BE7+Inputs!$F$181*Funding!$F$76/Inputs!$F$182*MAX(0,MIN(Time!BE33,MIN(Inputs!$F$182,Inputs!$F$229*12))-MIN(Time!BE32,MIN(Inputs!$F$182,Inputs!$F$229*12)))</f>
        <v/>
      </c>
      <c r="BF11" s="13">
        <f>(Inputs!$F$177*Funding!$F$76/Inputs!$F$178+Inputs!$F$179*Funding!$F$76/Inputs!$F$180)*BF7+Inputs!$F$181*Funding!$F$76/Inputs!$F$182*MAX(0,MIN(Time!BF33,MIN(Inputs!$F$182,Inputs!$F$229*12))-MIN(Time!BF32,MIN(Inputs!$F$182,Inputs!$F$229*12)))</f>
        <v/>
      </c>
      <c r="BG11" s="13">
        <f>(Inputs!$F$177*Funding!$F$76/Inputs!$F$178+Inputs!$F$179*Funding!$F$76/Inputs!$F$180)*BG7+Inputs!$F$181*Funding!$F$76/Inputs!$F$182*MAX(0,MIN(Time!BG33,MIN(Inputs!$F$182,Inputs!$F$229*12))-MIN(Time!BG32,MIN(Inputs!$F$182,Inputs!$F$229*12)))</f>
        <v/>
      </c>
      <c r="BH11" s="13">
        <f>(Inputs!$F$177*Funding!$F$76/Inputs!$F$178+Inputs!$F$179*Funding!$F$76/Inputs!$F$180)*BH7+Inputs!$F$181*Funding!$F$76/Inputs!$F$182*MAX(0,MIN(Time!BH33,MIN(Inputs!$F$182,Inputs!$F$229*12))-MIN(Time!BH32,MIN(Inputs!$F$182,Inputs!$F$229*12)))</f>
        <v/>
      </c>
      <c r="BI11" s="13">
        <f>(Inputs!$F$177*Funding!$F$76/Inputs!$F$178+Inputs!$F$179*Funding!$F$76/Inputs!$F$180)*BI7+Inputs!$F$181*Funding!$F$76/Inputs!$F$182*MAX(0,MIN(Time!BI33,MIN(Inputs!$F$182,Inputs!$F$229*12))-MIN(Time!BI32,MIN(Inputs!$F$182,Inputs!$F$229*12)))</f>
        <v/>
      </c>
      <c r="BJ11" s="13">
        <f>(Inputs!$F$177*Funding!$F$76/Inputs!$F$178+Inputs!$F$179*Funding!$F$76/Inputs!$F$180)*BJ7+Inputs!$F$181*Funding!$F$76/Inputs!$F$182*MAX(0,MIN(Time!BJ33,MIN(Inputs!$F$182,Inputs!$F$229*12))-MIN(Time!BJ32,MIN(Inputs!$F$182,Inputs!$F$229*12)))</f>
        <v/>
      </c>
      <c r="BK11" s="13">
        <f>(Inputs!$F$177*Funding!$F$76/Inputs!$F$178+Inputs!$F$179*Funding!$F$76/Inputs!$F$180)*BK7+Inputs!$F$181*Funding!$F$76/Inputs!$F$182*MAX(0,MIN(Time!BK33,MIN(Inputs!$F$182,Inputs!$F$229*12))-MIN(Time!BK32,MIN(Inputs!$F$182,Inputs!$F$229*12)))</f>
        <v/>
      </c>
      <c r="BL11" s="13">
        <f>(Inputs!$F$177*Funding!$F$76/Inputs!$F$178+Inputs!$F$179*Funding!$F$76/Inputs!$F$180)*BL7+Inputs!$F$181*Funding!$F$76/Inputs!$F$182*MAX(0,MIN(Time!BL33,MIN(Inputs!$F$182,Inputs!$F$229*12))-MIN(Time!BL32,MIN(Inputs!$F$182,Inputs!$F$229*12)))</f>
        <v/>
      </c>
      <c r="BM11" s="13">
        <f>(Inputs!$F$177*Funding!$F$76/Inputs!$F$178+Inputs!$F$179*Funding!$F$76/Inputs!$F$180)*BM7+Inputs!$F$181*Funding!$F$76/Inputs!$F$182*MAX(0,MIN(Time!BM33,MIN(Inputs!$F$182,Inputs!$F$229*12))-MIN(Time!BM32,MIN(Inputs!$F$182,Inputs!$F$229*12)))</f>
        <v/>
      </c>
      <c r="BN11" s="13">
        <f>(Inputs!$F$177*Funding!$F$76/Inputs!$F$178+Inputs!$F$179*Funding!$F$76/Inputs!$F$180)*BN7+Inputs!$F$181*Funding!$F$76/Inputs!$F$182*MAX(0,MIN(Time!BN33,MIN(Inputs!$F$182,Inputs!$F$229*12))-MIN(Time!BN32,MIN(Inputs!$F$182,Inputs!$F$229*12)))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3">
        <f>IF(Waterfall!J33&gt;0,MIN(1,Inputs!$F$183*(Waterfall!$F$32+MAX(0,Waterfall!I43))/Waterfall!J33),1)</f>
        <v/>
      </c>
      <c r="K14" s="3">
        <f>IF(Waterfall!K33&gt;0,MIN(1,Inputs!$F$183*(Waterfall!$F$32+MAX(0,Waterfall!J43))/Waterfall!K33),1)</f>
        <v/>
      </c>
      <c r="L14" s="3">
        <f>IF(Waterfall!L33&gt;0,MIN(1,Inputs!$F$183*(Waterfall!$F$32+MAX(0,Waterfall!K43))/Waterfall!L33),1)</f>
        <v/>
      </c>
      <c r="M14" s="3">
        <f>IF(Waterfall!M33&gt;0,MIN(1,Inputs!$F$183*(Waterfall!$F$32+MAX(0,Waterfall!L43))/Waterfall!M33),1)</f>
        <v/>
      </c>
      <c r="N14" s="3">
        <f>IF(Waterfall!N33&gt;0,MIN(1,Inputs!$F$183*(Waterfall!$F$32+MAX(0,Waterfall!M43))/Waterfall!N33),1)</f>
        <v/>
      </c>
      <c r="O14" s="3">
        <f>IF(Waterfall!O33&gt;0,MIN(1,Inputs!$F$183*(Waterfall!$F$32+MAX(0,Waterfall!N43))/Waterfall!O33),1)</f>
        <v/>
      </c>
      <c r="P14" s="3">
        <f>IF(Waterfall!P33&gt;0,MIN(1,Inputs!$F$183*(Waterfall!$F$32+MAX(0,Waterfall!O43))/Waterfall!P33),1)</f>
        <v/>
      </c>
      <c r="Q14" s="3">
        <f>IF(Waterfall!Q33&gt;0,MIN(1,Inputs!$F$183*(Waterfall!$F$32+MAX(0,Waterfall!P43))/Waterfall!Q33),1)</f>
        <v/>
      </c>
      <c r="R14" s="3">
        <f>IF(Waterfall!R33&gt;0,MIN(1,Inputs!$F$183*(Waterfall!$F$32+MAX(0,Waterfall!Q43))/Waterfall!R33),1)</f>
        <v/>
      </c>
      <c r="S14" s="3">
        <f>IF(Waterfall!S33&gt;0,MIN(1,Inputs!$F$183*(Waterfall!$F$32+MAX(0,Waterfall!R43))/Waterfall!S33),1)</f>
        <v/>
      </c>
      <c r="T14" s="3">
        <f>IF(Waterfall!T33&gt;0,MIN(1,Inputs!$F$183*(Waterfall!$F$32+MAX(0,Waterfall!S43))/Waterfall!T33),1)</f>
        <v/>
      </c>
      <c r="U14" s="3">
        <f>IF(Waterfall!U33&gt;0,MIN(1,Inputs!$F$183*(Waterfall!$F$32+MAX(0,Waterfall!T43))/Waterfall!U33),1)</f>
        <v/>
      </c>
      <c r="V14" s="3">
        <f>IF(Waterfall!V33&gt;0,MIN(1,Inputs!$F$183*(Waterfall!$F$32+MAX(0,Waterfall!U43))/Waterfall!V33),1)</f>
        <v/>
      </c>
      <c r="W14" s="3">
        <f>IF(Waterfall!W33&gt;0,MIN(1,Inputs!$F$183*(Waterfall!$F$32+MAX(0,Waterfall!V43))/Waterfall!W33),1)</f>
        <v/>
      </c>
      <c r="X14" s="3">
        <f>IF(Waterfall!X33&gt;0,MIN(1,Inputs!$F$183*(Waterfall!$F$32+MAX(0,Waterfall!W43))/Waterfall!X33),1)</f>
        <v/>
      </c>
      <c r="Y14" s="3">
        <f>IF(Waterfall!Y33&gt;0,MIN(1,Inputs!$F$183*(Waterfall!$F$32+MAX(0,Waterfall!X43))/Waterfall!Y33),1)</f>
        <v/>
      </c>
      <c r="Z14" s="3">
        <f>IF(Waterfall!Z33&gt;0,MIN(1,Inputs!$F$183*(Waterfall!$F$32+MAX(0,Waterfall!Y43))/Waterfall!Z33),1)</f>
        <v/>
      </c>
      <c r="AA14" s="3">
        <f>IF(Waterfall!AA33&gt;0,MIN(1,Inputs!$F$183*(Waterfall!$F$32+MAX(0,Waterfall!Z43))/Waterfall!AA33),1)</f>
        <v/>
      </c>
      <c r="AB14" s="3">
        <f>IF(Waterfall!AB33&gt;0,MIN(1,Inputs!$F$183*(Waterfall!$F$32+MAX(0,Waterfall!AA43))/Waterfall!AB33),1)</f>
        <v/>
      </c>
      <c r="AC14" s="3">
        <f>IF(Waterfall!AC33&gt;0,MIN(1,Inputs!$F$183*(Waterfall!$F$32+MAX(0,Waterfall!AB43))/Waterfall!AC33),1)</f>
        <v/>
      </c>
      <c r="AD14" s="3">
        <f>IF(Waterfall!AD33&gt;0,MIN(1,Inputs!$F$183*(Waterfall!$F$32+MAX(0,Waterfall!AC43))/Waterfall!AD33),1)</f>
        <v/>
      </c>
      <c r="AE14" s="3">
        <f>IF(Waterfall!AE33&gt;0,MIN(1,Inputs!$F$183*(Waterfall!$F$32+MAX(0,Waterfall!AD43))/Waterfall!AE33),1)</f>
        <v/>
      </c>
      <c r="AF14" s="3">
        <f>IF(Waterfall!AF33&gt;0,MIN(1,Inputs!$F$183*(Waterfall!$F$32+MAX(0,Waterfall!AE43))/Waterfall!AF33),1)</f>
        <v/>
      </c>
      <c r="AG14" s="3">
        <f>IF(Waterfall!AG33&gt;0,MIN(1,Inputs!$F$183*(Waterfall!$F$32+MAX(0,Waterfall!AF43))/Waterfall!AG33),1)</f>
        <v/>
      </c>
      <c r="AH14" s="3">
        <f>IF(Waterfall!AH33&gt;0,MIN(1,Inputs!$F$183*(Waterfall!$F$32+MAX(0,Waterfall!AG43))/Waterfall!AH33),1)</f>
        <v/>
      </c>
      <c r="AI14" s="3">
        <f>IF(Waterfall!AI33&gt;0,MIN(1,Inputs!$F$183*(Waterfall!$F$32+MAX(0,Waterfall!AH43))/Waterfall!AI33),1)</f>
        <v/>
      </c>
      <c r="AJ14" s="3">
        <f>IF(Waterfall!AJ33&gt;0,MIN(1,Inputs!$F$183*(Waterfall!$F$32+MAX(0,Waterfall!AI43))/Waterfall!AJ33),1)</f>
        <v/>
      </c>
      <c r="AK14" s="3">
        <f>IF(Waterfall!AK33&gt;0,MIN(1,Inputs!$F$183*(Waterfall!$F$32+MAX(0,Waterfall!AJ43))/Waterfall!AK33),1)</f>
        <v/>
      </c>
      <c r="AL14" s="3">
        <f>IF(Waterfall!AL33&gt;0,MIN(1,Inputs!$F$183*(Waterfall!$F$32+MAX(0,Waterfall!AK43))/Waterfall!AL33),1)</f>
        <v/>
      </c>
      <c r="AM14" s="3">
        <f>IF(Waterfall!AM33&gt;0,MIN(1,Inputs!$F$183*(Waterfall!$F$32+MAX(0,Waterfall!AL43))/Waterfall!AM33),1)</f>
        <v/>
      </c>
      <c r="AN14" s="3">
        <f>IF(Waterfall!AN33&gt;0,MIN(1,Inputs!$F$183*(Waterfall!$F$32+MAX(0,Waterfall!AM43))/Waterfall!AN33),1)</f>
        <v/>
      </c>
      <c r="AO14" s="3">
        <f>IF(Waterfall!AO33&gt;0,MIN(1,Inputs!$F$183*(Waterfall!$F$32+MAX(0,Waterfall!AN43))/Waterfall!AO33),1)</f>
        <v/>
      </c>
      <c r="AP14" s="3">
        <f>IF(Waterfall!AP33&gt;0,MIN(1,Inputs!$F$183*(Waterfall!$F$32+MAX(0,Waterfall!AO43))/Waterfall!AP33),1)</f>
        <v/>
      </c>
      <c r="AQ14" s="3">
        <f>IF(Waterfall!AQ33&gt;0,MIN(1,Inputs!$F$183*(Waterfall!$F$32+MAX(0,Waterfall!AP43))/Waterfall!AQ33),1)</f>
        <v/>
      </c>
      <c r="AR14" s="3">
        <f>IF(Waterfall!AR33&gt;0,MIN(1,Inputs!$F$183*(Waterfall!$F$32+MAX(0,Waterfall!AQ43))/Waterfall!AR33),1)</f>
        <v/>
      </c>
      <c r="AS14" s="3">
        <f>IF(Waterfall!AS33&gt;0,MIN(1,Inputs!$F$183*(Waterfall!$F$32+MAX(0,Waterfall!AR43))/Waterfall!AS33),1)</f>
        <v/>
      </c>
      <c r="AT14" s="3">
        <f>IF(Waterfall!AT33&gt;0,MIN(1,Inputs!$F$183*(Waterfall!$F$32+MAX(0,Waterfall!AS43))/Waterfall!AT33),1)</f>
        <v/>
      </c>
      <c r="AU14" s="3">
        <f>IF(Waterfall!AU33&gt;0,MIN(1,Inputs!$F$183*(Waterfall!$F$32+MAX(0,Waterfall!AT43))/Waterfall!AU33),1)</f>
        <v/>
      </c>
      <c r="AV14" s="3">
        <f>IF(Waterfall!AV33&gt;0,MIN(1,Inputs!$F$183*(Waterfall!$F$32+MAX(0,Waterfall!AU43))/Waterfall!AV33),1)</f>
        <v/>
      </c>
      <c r="AW14" s="3">
        <f>IF(Waterfall!AW33&gt;0,MIN(1,Inputs!$F$183*(Waterfall!$F$32+MAX(0,Waterfall!AV43))/Waterfall!AW33),1)</f>
        <v/>
      </c>
      <c r="AX14" s="3">
        <f>IF(Waterfall!AX33&gt;0,MIN(1,Inputs!$F$183*(Waterfall!$F$32+MAX(0,Waterfall!AW43))/Waterfall!AX33),1)</f>
        <v/>
      </c>
      <c r="AY14" s="3">
        <f>IF(Waterfall!AY33&gt;0,MIN(1,Inputs!$F$183*(Waterfall!$F$32+MAX(0,Waterfall!AX43))/Waterfall!AY33),1)</f>
        <v/>
      </c>
      <c r="AZ14" s="3">
        <f>IF(Waterfall!AZ33&gt;0,MIN(1,Inputs!$F$183*(Waterfall!$F$32+MAX(0,Waterfall!AY43))/Waterfall!AZ33),1)</f>
        <v/>
      </c>
      <c r="BA14" s="3">
        <f>IF(Waterfall!BA33&gt;0,MIN(1,Inputs!$F$183*(Waterfall!$F$32+MAX(0,Waterfall!AZ43))/Waterfall!BA33),1)</f>
        <v/>
      </c>
      <c r="BB14" s="3">
        <f>IF(Waterfall!BB33&gt;0,MIN(1,Inputs!$F$183*(Waterfall!$F$32+MAX(0,Waterfall!BA43))/Waterfall!BB33),1)</f>
        <v/>
      </c>
      <c r="BC14" s="3">
        <f>IF(Waterfall!BC33&gt;0,MIN(1,Inputs!$F$183*(Waterfall!$F$32+MAX(0,Waterfall!BB43))/Waterfall!BC33),1)</f>
        <v/>
      </c>
      <c r="BD14" s="3">
        <f>IF(Waterfall!BD33&gt;0,MIN(1,Inputs!$F$183*(Waterfall!$F$32+MAX(0,Waterfall!BC43))/Waterfall!BD33),1)</f>
        <v/>
      </c>
      <c r="BE14" s="3">
        <f>IF(Waterfall!BE33&gt;0,MIN(1,Inputs!$F$183*(Waterfall!$F$32+MAX(0,Waterfall!BD43))/Waterfall!BE33),1)</f>
        <v/>
      </c>
      <c r="BF14" s="3">
        <f>IF(Waterfall!BF33&gt;0,MIN(1,Inputs!$F$183*(Waterfall!$F$32+MAX(0,Waterfall!BE43))/Waterfall!BF33),1)</f>
        <v/>
      </c>
      <c r="BG14" s="3">
        <f>IF(Waterfall!BG33&gt;0,MIN(1,Inputs!$F$183*(Waterfall!$F$32+MAX(0,Waterfall!BF43))/Waterfall!BG33),1)</f>
        <v/>
      </c>
      <c r="BH14" s="3">
        <f>IF(Waterfall!BH33&gt;0,MIN(1,Inputs!$F$183*(Waterfall!$F$32+MAX(0,Waterfall!BG43))/Waterfall!BH33),1)</f>
        <v/>
      </c>
      <c r="BI14" s="3">
        <f>IF(Waterfall!BI33&gt;0,MIN(1,Inputs!$F$183*(Waterfall!$F$32+MAX(0,Waterfall!BH43))/Waterfall!BI33),1)</f>
        <v/>
      </c>
      <c r="BJ14" s="3">
        <f>IF(Waterfall!BJ33&gt;0,MIN(1,Inputs!$F$183*(Waterfall!$F$32+MAX(0,Waterfall!BI43))/Waterfall!BJ33),1)</f>
        <v/>
      </c>
      <c r="BK14" s="3">
        <f>IF(Waterfall!BK33&gt;0,MIN(1,Inputs!$F$183*(Waterfall!$F$32+MAX(0,Waterfall!BJ43))/Waterfall!BK33),1)</f>
        <v/>
      </c>
      <c r="BL14" s="3">
        <f>IF(Waterfall!BL33&gt;0,MIN(1,Inputs!$F$183*(Waterfall!$F$32+MAX(0,Waterfall!BK43))/Waterfall!BL33),1)</f>
        <v/>
      </c>
      <c r="BM14" s="3">
        <f>IF(Waterfall!BM33&gt;0,MIN(1,Inputs!$F$183*(Waterfall!$F$32+MAX(0,Waterfall!BL43))/Waterfall!BM33),1)</f>
        <v/>
      </c>
      <c r="BN14" s="3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I21+0-J20</f>
        <v/>
      </c>
      <c r="K21" s="13">
        <f>J21+0-K20</f>
        <v/>
      </c>
      <c r="L21" s="13">
        <f>K21+0-L20</f>
        <v/>
      </c>
      <c r="M21" s="13">
        <f>L21+0-M20</f>
        <v/>
      </c>
      <c r="N21" s="13">
        <f>M21+0-N20</f>
        <v/>
      </c>
      <c r="O21" s="13">
        <f>N21+0-O20</f>
        <v/>
      </c>
      <c r="P21" s="13">
        <f>O21+0-P20</f>
        <v/>
      </c>
      <c r="Q21" s="13">
        <f>P21+0-Q20</f>
        <v/>
      </c>
      <c r="R21" s="13">
        <f>Q21+0-R20</f>
        <v/>
      </c>
      <c r="S21" s="13">
        <f>R21+0-S20</f>
        <v/>
      </c>
      <c r="T21" s="13">
        <f>S21+0-T20</f>
        <v/>
      </c>
      <c r="U21" s="13">
        <f>T21+0-U20</f>
        <v/>
      </c>
      <c r="V21" s="13">
        <f>U21+0-V20</f>
        <v/>
      </c>
      <c r="W21" s="13">
        <f>V21+0-W20</f>
        <v/>
      </c>
      <c r="X21" s="13">
        <f>W21+0-X20</f>
        <v/>
      </c>
      <c r="Y21" s="13">
        <f>X21+0-Y20</f>
        <v/>
      </c>
      <c r="Z21" s="13">
        <f>Y21+0-Z20</f>
        <v/>
      </c>
      <c r="AA21" s="13">
        <f>Z21+0-AA20</f>
        <v/>
      </c>
      <c r="AB21" s="13">
        <f>AA21+0-AB20</f>
        <v/>
      </c>
      <c r="AC21" s="13">
        <f>AB21+0-AC20</f>
        <v/>
      </c>
      <c r="AD21" s="13">
        <f>AC21+0-AD20</f>
        <v/>
      </c>
      <c r="AE21" s="13">
        <f>AD21+0-AE20</f>
        <v/>
      </c>
      <c r="AF21" s="13">
        <f>AE21+0-AF20</f>
        <v/>
      </c>
      <c r="AG21" s="13">
        <f>AF21+0-AG20</f>
        <v/>
      </c>
      <c r="AH21" s="13">
        <f>AG21+0-AH20</f>
        <v/>
      </c>
      <c r="AI21" s="13">
        <f>AH21+0-AI20</f>
        <v/>
      </c>
      <c r="AJ21" s="13">
        <f>AI21+0-AJ20</f>
        <v/>
      </c>
      <c r="AK21" s="13">
        <f>AJ21+0-AK20</f>
        <v/>
      </c>
      <c r="AL21" s="13">
        <f>AK21+0-AL20</f>
        <v/>
      </c>
      <c r="AM21" s="13">
        <f>AL21+0-AM20</f>
        <v/>
      </c>
      <c r="AN21" s="13">
        <f>AM21+0-AN20</f>
        <v/>
      </c>
      <c r="AO21" s="13">
        <f>AN21+0-AO20</f>
        <v/>
      </c>
      <c r="AP21" s="13">
        <f>AO21+0-AP20</f>
        <v/>
      </c>
      <c r="AQ21" s="13">
        <f>AP21+0-AQ20</f>
        <v/>
      </c>
      <c r="AR21" s="13">
        <f>AQ21+0-AR20</f>
        <v/>
      </c>
      <c r="AS21" s="13">
        <f>AR21+0-AS20</f>
        <v/>
      </c>
      <c r="AT21" s="13">
        <f>AS21+0-AT20</f>
        <v/>
      </c>
      <c r="AU21" s="13">
        <f>AT21+0-AU20</f>
        <v/>
      </c>
      <c r="AV21" s="13">
        <f>AU21+0-AV20</f>
        <v/>
      </c>
      <c r="AW21" s="13">
        <f>AV21+0-AW20</f>
        <v/>
      </c>
      <c r="AX21" s="13">
        <f>AW21+0-AX20</f>
        <v/>
      </c>
      <c r="AY21" s="13">
        <f>AX21+0-AY20</f>
        <v/>
      </c>
      <c r="AZ21" s="13">
        <f>AY21+0-AZ20</f>
        <v/>
      </c>
      <c r="BA21" s="13">
        <f>AZ21+0-BA20</f>
        <v/>
      </c>
      <c r="BB21" s="13">
        <f>BA21+0-BB20</f>
        <v/>
      </c>
      <c r="BC21" s="13">
        <f>BB21+0-BC20</f>
        <v/>
      </c>
      <c r="BD21" s="13">
        <f>BC21+0-BD20</f>
        <v/>
      </c>
      <c r="BE21" s="13">
        <f>BD21+0-BE20</f>
        <v/>
      </c>
      <c r="BF21" s="13">
        <f>BE21+0-BF20</f>
        <v/>
      </c>
      <c r="BG21" s="13">
        <f>BF21+0-BG20</f>
        <v/>
      </c>
      <c r="BH21" s="13">
        <f>BG21+0-BH20</f>
        <v/>
      </c>
      <c r="BI21" s="13">
        <f>BH21+0-BI20</f>
        <v/>
      </c>
      <c r="BJ21" s="13">
        <f>BI21+0-BJ20</f>
        <v/>
      </c>
      <c r="BK21" s="13">
        <f>BJ21+0-BK20</f>
        <v/>
      </c>
      <c r="BL21" s="13">
        <f>BK21+0-BL20</f>
        <v/>
      </c>
      <c r="BM21" s="13">
        <f>BL21+0-BM20</f>
        <v/>
      </c>
      <c r="BN21" s="13">
        <f>BM21+0-BN20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3">
        <f>IF(J8+J9&gt;0,(J8*Inputs!$F$175+J9*Inputs!$F$174)/(J8+J9)/100,0)</f>
        <v/>
      </c>
      <c r="K24" s="3">
        <f>IF(K8+K9&gt;0,(K8*Inputs!$F$175+K9*Inputs!$F$174)/(K8+K9)/100,0)</f>
        <v/>
      </c>
      <c r="L24" s="3">
        <f>IF(L8+L9&gt;0,(L8*Inputs!$F$175+L9*Inputs!$F$174)/(L8+L9)/100,0)</f>
        <v/>
      </c>
      <c r="M24" s="3">
        <f>IF(M8+M9&gt;0,(M8*Inputs!$F$175+M9*Inputs!$F$174)/(M8+M9)/100,0)</f>
        <v/>
      </c>
      <c r="N24" s="3">
        <f>IF(N8+N9&gt;0,(N8*Inputs!$F$175+N9*Inputs!$F$174)/(N8+N9)/100,0)</f>
        <v/>
      </c>
      <c r="O24" s="3">
        <f>IF(O8+O9&gt;0,(O8*Inputs!$F$175+O9*Inputs!$F$174)/(O8+O9)/100,0)</f>
        <v/>
      </c>
      <c r="P24" s="3">
        <f>IF(P8+P9&gt;0,(P8*Inputs!$F$175+P9*Inputs!$F$174)/(P8+P9)/100,0)</f>
        <v/>
      </c>
      <c r="Q24" s="3">
        <f>IF(Q8+Q9&gt;0,(Q8*Inputs!$F$175+Q9*Inputs!$F$174)/(Q8+Q9)/100,0)</f>
        <v/>
      </c>
      <c r="R24" s="3">
        <f>IF(R8+R9&gt;0,(R8*Inputs!$F$175+R9*Inputs!$F$174)/(R8+R9)/100,0)</f>
        <v/>
      </c>
      <c r="S24" s="3">
        <f>IF(S8+S9&gt;0,(S8*Inputs!$F$175+S9*Inputs!$F$174)/(S8+S9)/100,0)</f>
        <v/>
      </c>
      <c r="T24" s="3">
        <f>IF(T8+T9&gt;0,(T8*Inputs!$F$175+T9*Inputs!$F$174)/(T8+T9)/100,0)</f>
        <v/>
      </c>
      <c r="U24" s="3">
        <f>IF(U8+U9&gt;0,(U8*Inputs!$F$175+U9*Inputs!$F$174)/(U8+U9)/100,0)</f>
        <v/>
      </c>
      <c r="V24" s="3">
        <f>IF(V8+V9&gt;0,(V8*Inputs!$F$175+V9*Inputs!$F$174)/(V8+V9)/100,0)</f>
        <v/>
      </c>
      <c r="W24" s="3">
        <f>IF(W8+W9&gt;0,(W8*Inputs!$F$175+W9*Inputs!$F$174)/(W8+W9)/100,0)</f>
        <v/>
      </c>
      <c r="X24" s="3">
        <f>IF(X8+X9&gt;0,(X8*Inputs!$F$175+X9*Inputs!$F$174)/(X8+X9)/100,0)</f>
        <v/>
      </c>
      <c r="Y24" s="3">
        <f>IF(Y8+Y9&gt;0,(Y8*Inputs!$F$175+Y9*Inputs!$F$174)/(Y8+Y9)/100,0)</f>
        <v/>
      </c>
      <c r="Z24" s="3">
        <f>IF(Z8+Z9&gt;0,(Z8*Inputs!$F$175+Z9*Inputs!$F$174)/(Z8+Z9)/100,0)</f>
        <v/>
      </c>
      <c r="AA24" s="3">
        <f>IF(AA8+AA9&gt;0,(AA8*Inputs!$F$175+AA9*Inputs!$F$174)/(AA8+AA9)/100,0)</f>
        <v/>
      </c>
      <c r="AB24" s="3">
        <f>IF(AB8+AB9&gt;0,(AB8*Inputs!$F$175+AB9*Inputs!$F$174)/(AB8+AB9)/100,0)</f>
        <v/>
      </c>
      <c r="AC24" s="3">
        <f>IF(AC8+AC9&gt;0,(AC8*Inputs!$F$175+AC9*Inputs!$F$174)/(AC8+AC9)/100,0)</f>
        <v/>
      </c>
      <c r="AD24" s="3">
        <f>IF(AD8+AD9&gt;0,(AD8*Inputs!$F$175+AD9*Inputs!$F$174)/(AD8+AD9)/100,0)</f>
        <v/>
      </c>
      <c r="AE24" s="3">
        <f>IF(AE8+AE9&gt;0,(AE8*Inputs!$F$175+AE9*Inputs!$F$174)/(AE8+AE9)/100,0)</f>
        <v/>
      </c>
      <c r="AF24" s="3">
        <f>IF(AF8+AF9&gt;0,(AF8*Inputs!$F$175+AF9*Inputs!$F$174)/(AF8+AF9)/100,0)</f>
        <v/>
      </c>
      <c r="AG24" s="3">
        <f>IF(AG8+AG9&gt;0,(AG8*Inputs!$F$175+AG9*Inputs!$F$174)/(AG8+AG9)/100,0)</f>
        <v/>
      </c>
      <c r="AH24" s="3">
        <f>IF(AH8+AH9&gt;0,(AH8*Inputs!$F$175+AH9*Inputs!$F$174)/(AH8+AH9)/100,0)</f>
        <v/>
      </c>
      <c r="AI24" s="3">
        <f>IF(AI8+AI9&gt;0,(AI8*Inputs!$F$175+AI9*Inputs!$F$174)/(AI8+AI9)/100,0)</f>
        <v/>
      </c>
      <c r="AJ24" s="3">
        <f>IF(AJ8+AJ9&gt;0,(AJ8*Inputs!$F$175+AJ9*Inputs!$F$174)/(AJ8+AJ9)/100,0)</f>
        <v/>
      </c>
      <c r="AK24" s="3">
        <f>IF(AK8+AK9&gt;0,(AK8*Inputs!$F$175+AK9*Inputs!$F$174)/(AK8+AK9)/100,0)</f>
        <v/>
      </c>
      <c r="AL24" s="3">
        <f>IF(AL8+AL9&gt;0,(AL8*Inputs!$F$175+AL9*Inputs!$F$174)/(AL8+AL9)/100,0)</f>
        <v/>
      </c>
      <c r="AM24" s="3">
        <f>IF(AM8+AM9&gt;0,(AM8*Inputs!$F$175+AM9*Inputs!$F$174)/(AM8+AM9)/100,0)</f>
        <v/>
      </c>
      <c r="AN24" s="3">
        <f>IF(AN8+AN9&gt;0,(AN8*Inputs!$F$175+AN9*Inputs!$F$174)/(AN8+AN9)/100,0)</f>
        <v/>
      </c>
      <c r="AO24" s="3">
        <f>IF(AO8+AO9&gt;0,(AO8*Inputs!$F$175+AO9*Inputs!$F$174)/(AO8+AO9)/100,0)</f>
        <v/>
      </c>
      <c r="AP24" s="3">
        <f>IF(AP8+AP9&gt;0,(AP8*Inputs!$F$175+AP9*Inputs!$F$174)/(AP8+AP9)/100,0)</f>
        <v/>
      </c>
      <c r="AQ24" s="3">
        <f>IF(AQ8+AQ9&gt;0,(AQ8*Inputs!$F$175+AQ9*Inputs!$F$174)/(AQ8+AQ9)/100,0)</f>
        <v/>
      </c>
      <c r="AR24" s="3">
        <f>IF(AR8+AR9&gt;0,(AR8*Inputs!$F$175+AR9*Inputs!$F$174)/(AR8+AR9)/100,0)</f>
        <v/>
      </c>
      <c r="AS24" s="3">
        <f>IF(AS8+AS9&gt;0,(AS8*Inputs!$F$175+AS9*Inputs!$F$174)/(AS8+AS9)/100,0)</f>
        <v/>
      </c>
      <c r="AT24" s="3">
        <f>IF(AT8+AT9&gt;0,(AT8*Inputs!$F$175+AT9*Inputs!$F$174)/(AT8+AT9)/100,0)</f>
        <v/>
      </c>
      <c r="AU24" s="3">
        <f>IF(AU8+AU9&gt;0,(AU8*Inputs!$F$175+AU9*Inputs!$F$174)/(AU8+AU9)/100,0)</f>
        <v/>
      </c>
      <c r="AV24" s="3">
        <f>IF(AV8+AV9&gt;0,(AV8*Inputs!$F$175+AV9*Inputs!$F$174)/(AV8+AV9)/100,0)</f>
        <v/>
      </c>
      <c r="AW24" s="3">
        <f>IF(AW8+AW9&gt;0,(AW8*Inputs!$F$175+AW9*Inputs!$F$174)/(AW8+AW9)/100,0)</f>
        <v/>
      </c>
      <c r="AX24" s="3">
        <f>IF(AX8+AX9&gt;0,(AX8*Inputs!$F$175+AX9*Inputs!$F$174)/(AX8+AX9)/100,0)</f>
        <v/>
      </c>
      <c r="AY24" s="3">
        <f>IF(AY8+AY9&gt;0,(AY8*Inputs!$F$175+AY9*Inputs!$F$174)/(AY8+AY9)/100,0)</f>
        <v/>
      </c>
      <c r="AZ24" s="3">
        <f>IF(AZ8+AZ9&gt;0,(AZ8*Inputs!$F$175+AZ9*Inputs!$F$174)/(AZ8+AZ9)/100,0)</f>
        <v/>
      </c>
      <c r="BA24" s="3">
        <f>IF(BA8+BA9&gt;0,(BA8*Inputs!$F$175+BA9*Inputs!$F$174)/(BA8+BA9)/100,0)</f>
        <v/>
      </c>
      <c r="BB24" s="3">
        <f>IF(BB8+BB9&gt;0,(BB8*Inputs!$F$175+BB9*Inputs!$F$174)/(BB8+BB9)/100,0)</f>
        <v/>
      </c>
      <c r="BC24" s="3">
        <f>IF(BC8+BC9&gt;0,(BC8*Inputs!$F$175+BC9*Inputs!$F$174)/(BC8+BC9)/100,0)</f>
        <v/>
      </c>
      <c r="BD24" s="3">
        <f>IF(BD8+BD9&gt;0,(BD8*Inputs!$F$175+BD9*Inputs!$F$174)/(BD8+BD9)/100,0)</f>
        <v/>
      </c>
      <c r="BE24" s="3">
        <f>IF(BE8+BE9&gt;0,(BE8*Inputs!$F$175+BE9*Inputs!$F$174)/(BE8+BE9)/100,0)</f>
        <v/>
      </c>
      <c r="BF24" s="3">
        <f>IF(BF8+BF9&gt;0,(BF8*Inputs!$F$175+BF9*Inputs!$F$174)/(BF8+BF9)/100,0)</f>
        <v/>
      </c>
      <c r="BG24" s="3">
        <f>IF(BG8+BG9&gt;0,(BG8*Inputs!$F$175+BG9*Inputs!$F$174)/(BG8+BG9)/100,0)</f>
        <v/>
      </c>
      <c r="BH24" s="3">
        <f>IF(BH8+BH9&gt;0,(BH8*Inputs!$F$175+BH9*Inputs!$F$174)/(BH8+BH9)/100,0)</f>
        <v/>
      </c>
      <c r="BI24" s="3">
        <f>IF(BI8+BI9&gt;0,(BI8*Inputs!$F$175+BI9*Inputs!$F$174)/(BI8+BI9)/100,0)</f>
        <v/>
      </c>
      <c r="BJ24" s="3">
        <f>IF(BJ8+BJ9&gt;0,(BJ8*Inputs!$F$175+BJ9*Inputs!$F$174)/(BJ8+BJ9)/100,0)</f>
        <v/>
      </c>
      <c r="BK24" s="3">
        <f>IF(BK8+BK9&gt;0,(BK8*Inputs!$F$175+BK9*Inputs!$F$174)/(BK8+BK9)/100,0)</f>
        <v/>
      </c>
      <c r="BL24" s="3">
        <f>IF(BL8+BL9&gt;0,(BL8*Inputs!$F$175+BL9*Inputs!$F$174)/(BL8+BL9)/100,0)</f>
        <v/>
      </c>
      <c r="BM24" s="3">
        <f>IF(BM8+BM9&gt;0,(BM8*Inputs!$F$175+BM9*Inputs!$F$174)/(BM8+BM9)/100,0)</f>
        <v/>
      </c>
      <c r="BN24" s="3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4" t="inlineStr">
        <is>
          <t>2018-08</t>
        </is>
      </c>
      <c r="K5" s="4" t="inlineStr">
        <is>
          <t>2018-09</t>
        </is>
      </c>
      <c r="L5" s="4" t="inlineStr">
        <is>
          <t>2018-10</t>
        </is>
      </c>
      <c r="M5" s="4" t="inlineStr">
        <is>
          <t>2018-11</t>
        </is>
      </c>
      <c r="N5" s="4" t="inlineStr">
        <is>
          <t>2018-12</t>
        </is>
      </c>
      <c r="O5" s="4" t="inlineStr">
        <is>
          <t>2019-01</t>
        </is>
      </c>
      <c r="P5" s="4" t="inlineStr">
        <is>
          <t>2019-02</t>
        </is>
      </c>
      <c r="Q5" s="4" t="inlineStr">
        <is>
          <t>2019-03</t>
        </is>
      </c>
      <c r="R5" s="4" t="inlineStr">
        <is>
          <t>2019-04</t>
        </is>
      </c>
      <c r="S5" s="4" t="inlineStr">
        <is>
          <t>2019-05</t>
        </is>
      </c>
      <c r="T5" s="4" t="inlineStr">
        <is>
          <t>2019-06</t>
        </is>
      </c>
      <c r="U5" s="4" t="inlineStr">
        <is>
          <t>2019-07</t>
        </is>
      </c>
      <c r="V5" s="4" t="inlineStr">
        <is>
          <t>2019-08</t>
        </is>
      </c>
      <c r="W5" s="4" t="inlineStr">
        <is>
          <t>2019-09</t>
        </is>
      </c>
      <c r="X5" s="4" t="inlineStr">
        <is>
          <t>2019-10</t>
        </is>
      </c>
      <c r="Y5" s="4" t="inlineStr">
        <is>
          <t>2019-11</t>
        </is>
      </c>
      <c r="Z5" s="4" t="inlineStr">
        <is>
          <t>2019-12</t>
        </is>
      </c>
      <c r="AA5" s="4" t="inlineStr">
        <is>
          <t>2020-01</t>
        </is>
      </c>
      <c r="AB5" s="4" t="inlineStr">
        <is>
          <t>2020-02</t>
        </is>
      </c>
      <c r="AC5" s="4" t="inlineStr">
        <is>
          <t>2020-03</t>
        </is>
      </c>
      <c r="AD5" s="4" t="inlineStr">
        <is>
          <t>2020-04</t>
        </is>
      </c>
      <c r="AE5" s="4" t="inlineStr">
        <is>
          <t>2020-05</t>
        </is>
      </c>
      <c r="AF5" s="4" t="inlineStr">
        <is>
          <t>2020-06</t>
        </is>
      </c>
      <c r="AG5" s="4" t="inlineStr">
        <is>
          <t>2020-07</t>
        </is>
      </c>
      <c r="AH5" s="4" t="inlineStr">
        <is>
          <t>2020-08</t>
        </is>
      </c>
      <c r="AI5" s="4" t="inlineStr">
        <is>
          <t>2020-09</t>
        </is>
      </c>
      <c r="AJ5" s="4" t="inlineStr">
        <is>
          <t>2020-10</t>
        </is>
      </c>
      <c r="AK5" s="4" t="inlineStr">
        <is>
          <t>2020-11</t>
        </is>
      </c>
      <c r="AL5" s="4" t="inlineStr">
        <is>
          <t>2020-12</t>
        </is>
      </c>
      <c r="AM5" s="4" t="inlineStr">
        <is>
          <t>2021-01</t>
        </is>
      </c>
      <c r="AN5" s="4" t="inlineStr">
        <is>
          <t>2021-02</t>
        </is>
      </c>
      <c r="AO5" s="4" t="inlineStr">
        <is>
          <t>2021-03</t>
        </is>
      </c>
      <c r="AP5" s="4" t="inlineStr">
        <is>
          <t>2021-04</t>
        </is>
      </c>
      <c r="AQ5" s="4" t="inlineStr">
        <is>
          <t>2021-05</t>
        </is>
      </c>
      <c r="AR5" s="4" t="inlineStr">
        <is>
          <t>2021-06</t>
        </is>
      </c>
      <c r="AS5" s="4" t="inlineStr">
        <is>
          <t>2021-07</t>
        </is>
      </c>
      <c r="AT5" s="4" t="inlineStr">
        <is>
          <t>2021-08</t>
        </is>
      </c>
      <c r="AU5" s="4" t="inlineStr">
        <is>
          <t>2021-09</t>
        </is>
      </c>
      <c r="AV5" s="4" t="inlineStr">
        <is>
          <t>2021-10</t>
        </is>
      </c>
      <c r="AW5" s="4" t="inlineStr">
        <is>
          <t>2021-11</t>
        </is>
      </c>
      <c r="AX5" s="4" t="inlineStr">
        <is>
          <t>2021-12</t>
        </is>
      </c>
      <c r="AY5" s="4" t="inlineStr">
        <is>
          <t>2022-01</t>
        </is>
      </c>
      <c r="AZ5" s="4" t="inlineStr">
        <is>
          <t>2022-02</t>
        </is>
      </c>
      <c r="BA5" s="4" t="inlineStr">
        <is>
          <t>2022-03</t>
        </is>
      </c>
      <c r="BB5" s="4" t="inlineStr">
        <is>
          <t>2022-04</t>
        </is>
      </c>
      <c r="BC5" s="4" t="inlineStr">
        <is>
          <t>2022-05</t>
        </is>
      </c>
      <c r="BD5" s="4" t="inlineStr">
        <is>
          <t>2022-06</t>
        </is>
      </c>
      <c r="BE5" s="4" t="inlineStr">
        <is>
          <t>2022-07</t>
        </is>
      </c>
      <c r="BF5" s="4" t="inlineStr">
        <is>
          <t>2022-08</t>
        </is>
      </c>
      <c r="BG5" s="4" t="inlineStr">
        <is>
          <t>2022-09</t>
        </is>
      </c>
      <c r="BH5" s="4" t="inlineStr">
        <is>
          <t>2022-10</t>
        </is>
      </c>
      <c r="BI5" s="4" t="inlineStr">
        <is>
          <t>2022-11</t>
        </is>
      </c>
      <c r="BJ5" s="4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$F$11+(INDEX(Operations!$J$9:$BN$9,1,Time!$F$13)+Inputs!$F$79)/100*0.5*1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$F$11+(INDEX(Operations!$J$9:$BN$9,1,Time!$F$13)+Inputs!$F$80)/100*0.5*1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$F$11+(INDEX(Operations!$J$9:$BN$9,1,Time!$F$13)+Inputs!$F$81)/100*0.5*1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$F$11+(INDEX(Operations!$J$9:$BN$9,1,Time!$F$13)+INDEX(Debt!$J$8:$BN$8,1,Time!$F$13))/100*0.5*(1/(1-Inputs!$F$93/100))+(Inputs!$F$95/100*Inputs!$F$96/100)*INDEX(Time!$J$25:$BN$25,1,Time!$F$13)/Inputs!$F$248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-1*INDEX(Inputs!$J$301:$BN$301,1,Time!$F$13)*(Inputs!$F$97/100*INDEX(Time!$J$24:$BN$24,1,Time!$F$13)-INDEX(Operations!$J$9:$BN$9,1,Time!$F$13)/100*INDEX(Time!$J$25:$BN$25,1,Time!$F$13)/Inputs!$F$247)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(1/12)*1+Inputs!$F$76*(Construction!J17+Inputs!$F$80)/100*(1/12)*1+Inputs!$F$77*(Construction!J17+Inputs!$F$81)/100*(1/12)*1+Inputs!$F$78*(Construction!J17+Inputs!$F$82)/100*(1/12)*(1/(1-Inputs!$F$93/100))+Inputs!$F$78*(Inputs!$F$95/100*Inputs!$F$96/100)*Construction!J11/Inputs!$F$248</f>
        <v/>
      </c>
      <c r="K19" s="16">
        <f>Inputs!$F$75*(Construction!K17+Inputs!$F$79)/100*(1/12)*1+Inputs!$F$76*(Construction!K17+Inputs!$F$80)/100*(1/12)*1+Inputs!$F$77*(Construction!K17+Inputs!$F$81)/100*(1/12)*1+Inputs!$F$78*(Construction!K17+Inputs!$F$82)/100*(1/12)*(1/(1-Inputs!$F$93/100))+Inputs!$F$78*(Inputs!$F$95/100*Inputs!$F$96/100)*Construction!K11/Inputs!$F$248</f>
        <v/>
      </c>
      <c r="L19" s="16">
        <f>Inputs!$F$75*(Construction!L17+Inputs!$F$79)/100*(1/12)*1+Inputs!$F$76*(Construction!L17+Inputs!$F$80)/100*(1/12)*1+Inputs!$F$77*(Construction!L17+Inputs!$F$81)/100*(1/12)*1+Inputs!$F$78*(Construction!L17+Inputs!$F$82)/100*(1/12)*(1/(1-Inputs!$F$93/100))+Inputs!$F$78*(Inputs!$F$95/100*Inputs!$F$96/100)*Construction!L11/Inputs!$F$248</f>
        <v/>
      </c>
      <c r="M19" s="16">
        <f>Inputs!$F$75*(Construction!M17+Inputs!$F$79)/100*(1/12)*1+Inputs!$F$76*(Construction!M17+Inputs!$F$80)/100*(1/12)*1+Inputs!$F$77*(Construction!M17+Inputs!$F$81)/100*(1/12)*1+Inputs!$F$78*(Construction!M17+Inputs!$F$82)/100*(1/12)*(1/(1-Inputs!$F$93/100))+Inputs!$F$78*(Inputs!$F$95/100*Inputs!$F$96/100)*Construction!M11/Inputs!$F$248</f>
        <v/>
      </c>
      <c r="N19" s="16">
        <f>Inputs!$F$75*(Construction!N17+Inputs!$F$79)/100*(1/12)*1+Inputs!$F$76*(Construction!N17+Inputs!$F$80)/100*(1/12)*1+Inputs!$F$77*(Construction!N17+Inputs!$F$81)/100*(1/12)*1+Inputs!$F$78*(Construction!N17+Inputs!$F$82)/100*(1/12)*(1/(1-Inputs!$F$93/100))+Inputs!$F$78*(Inputs!$F$95/100*Inputs!$F$96/100)*Construction!N11/Inputs!$F$248</f>
        <v/>
      </c>
      <c r="O19" s="16">
        <f>Inputs!$F$75*(Construction!O17+Inputs!$F$79)/100*(1/12)*1+Inputs!$F$76*(Construction!O17+Inputs!$F$80)/100*(1/12)*1+Inputs!$F$77*(Construction!O17+Inputs!$F$81)/100*(1/12)*1+Inputs!$F$78*(Construction!O17+Inputs!$F$82)/100*(1/12)*(1/(1-Inputs!$F$93/100))+Inputs!$F$78*(Inputs!$F$95/100*Inputs!$F$96/100)*Construction!O11/Inputs!$F$248</f>
        <v/>
      </c>
      <c r="P19" s="16">
        <f>Inputs!$F$75*(Construction!P17+Inputs!$F$79)/100*(1/12)*1+Inputs!$F$76*(Construction!P17+Inputs!$F$80)/100*(1/12)*1+Inputs!$F$77*(Construction!P17+Inputs!$F$81)/100*(1/12)*1+Inputs!$F$78*(Construction!P17+Inputs!$F$82)/100*(1/12)*(1/(1-Inputs!$F$93/100))+Inputs!$F$78*(Inputs!$F$95/100*Inputs!$F$96/100)*Construction!P11/Inputs!$F$248</f>
        <v/>
      </c>
      <c r="Q19" s="16">
        <f>Inputs!$F$75*(Construction!Q17+Inputs!$F$79)/100*(1/12)*1+Inputs!$F$76*(Construction!Q17+Inputs!$F$80)/100*(1/12)*1+Inputs!$F$77*(Construction!Q17+Inputs!$F$81)/100*(1/12)*1+Inputs!$F$78*(Construction!Q17+Inputs!$F$82)/100*(1/12)*(1/(1-Inputs!$F$93/100))+Inputs!$F$78*(Inputs!$F$95/100*Inputs!$F$96/100)*Construction!Q11/Inputs!$F$248</f>
        <v/>
      </c>
      <c r="R19" s="16">
        <f>Inputs!$F$75*(Construction!R17+Inputs!$F$79)/100*(1/12)*1+Inputs!$F$76*(Construction!R17+Inputs!$F$80)/100*(1/12)*1+Inputs!$F$77*(Construction!R17+Inputs!$F$81)/100*(1/12)*1+Inputs!$F$78*(Construction!R17+Inputs!$F$82)/100*(1/12)*(1/(1-Inputs!$F$93/100))+Inputs!$F$78*(Inputs!$F$95/100*Inputs!$F$96/100)*Construction!R11/Inputs!$F$248</f>
        <v/>
      </c>
      <c r="S19" s="16">
        <f>Inputs!$F$75*(Construction!S17+Inputs!$F$79)/100*(1/12)*1+Inputs!$F$76*(Construction!S17+Inputs!$F$80)/100*(1/12)*1+Inputs!$F$77*(Construction!S17+Inputs!$F$81)/100*(1/12)*1+Inputs!$F$78*(Construction!S17+Inputs!$F$82)/100*(1/12)*(1/(1-Inputs!$F$93/100))+Inputs!$F$78*(Inputs!$F$95/100*Inputs!$F$96/100)*Construction!S11/Inputs!$F$248</f>
        <v/>
      </c>
      <c r="T19" s="16">
        <f>Inputs!$F$75*(Construction!T17+Inputs!$F$79)/100*(1/12)*1+Inputs!$F$76*(Construction!T17+Inputs!$F$80)/100*(1/12)*1+Inputs!$F$77*(Construction!T17+Inputs!$F$81)/100*(1/12)*1+Inputs!$F$78*(Construction!T17+Inputs!$F$82)/100*(1/12)*(1/(1-Inputs!$F$93/100))+Inputs!$F$78*(Inputs!$F$95/100*Inputs!$F$96/100)*Construction!T11/Inputs!$F$248</f>
        <v/>
      </c>
      <c r="U19" s="16">
        <f>Inputs!$F$75*(Construction!U17+Inputs!$F$79)/100*(1/12)*1+Inputs!$F$76*(Construction!U17+Inputs!$F$80)/100*(1/12)*1+Inputs!$F$77*(Construction!U17+Inputs!$F$81)/100*(1/12)*1+Inputs!$F$78*(Construction!U17+Inputs!$F$82)/100*(1/12)*(1/(1-Inputs!$F$93/100))+Inputs!$F$78*(Inputs!$F$95/100*Inputs!$F$96/100)*Construction!U11/Inputs!$F$248</f>
        <v/>
      </c>
      <c r="V19" s="16">
        <f>Inputs!$F$75*(Construction!V17+Inputs!$F$79)/100*(1/12)*1+Inputs!$F$76*(Construction!V17+Inputs!$F$80)/100*(1/12)*1+Inputs!$F$77*(Construction!V17+Inputs!$F$81)/100*(1/12)*1+Inputs!$F$78*(Construction!V17+Inputs!$F$82)/100*(1/12)*(1/(1-Inputs!$F$93/100))+Inputs!$F$78*(Inputs!$F$95/100*Inputs!$F$96/100)*Construction!V11/Inputs!$F$248</f>
        <v/>
      </c>
      <c r="W19" s="16">
        <f>Inputs!$F$75*(Construction!W17+Inputs!$F$79)/100*(1/12)*1+Inputs!$F$76*(Construction!W17+Inputs!$F$80)/100*(1/12)*1+Inputs!$F$77*(Construction!W17+Inputs!$F$81)/100*(1/12)*1+Inputs!$F$78*(Construction!W17+Inputs!$F$82)/100*(1/12)*(1/(1-Inputs!$F$93/100))+Inputs!$F$78*(Inputs!$F$95/100*Inputs!$F$96/100)*Construction!W11/Inputs!$F$248</f>
        <v/>
      </c>
      <c r="X19" s="16">
        <f>Inputs!$F$75*(Construction!X17+Inputs!$F$79)/100*(1/12)*1+Inputs!$F$76*(Construction!X17+Inputs!$F$80)/100*(1/12)*1+Inputs!$F$77*(Construction!X17+Inputs!$F$81)/100*(1/12)*1+Inputs!$F$78*(Construction!X17+Inputs!$F$82)/100*(1/12)*(1/(1-Inputs!$F$93/100))+Inputs!$F$78*(Inputs!$F$95/100*Inputs!$F$96/100)*Construction!X11/Inputs!$F$248</f>
        <v/>
      </c>
      <c r="Y19" s="16">
        <f>Inputs!$F$75*(Construction!Y17+Inputs!$F$79)/100*(1/12)*1+Inputs!$F$76*(Construction!Y17+Inputs!$F$80)/100*(1/12)*1+Inputs!$F$77*(Construction!Y17+Inputs!$F$81)/100*(1/12)*1+Inputs!$F$78*(Construction!Y17+Inputs!$F$82)/100*(1/12)*(1/(1-Inputs!$F$93/100))+Inputs!$F$78*(Inputs!$F$95/100*Inputs!$F$96/100)*Construction!Y11/Inputs!$F$248</f>
        <v/>
      </c>
      <c r="Z19" s="16">
        <f>Inputs!$F$75*(Construction!Z17+Inputs!$F$79)/100*(1/12)*1+Inputs!$F$76*(Construction!Z17+Inputs!$F$80)/100*(1/12)*1+Inputs!$F$77*(Construction!Z17+Inputs!$F$81)/100*(1/12)*1+Inputs!$F$78*(Construction!Z17+Inputs!$F$82)/100*(1/12)*(1/(1-Inputs!$F$93/100))+Inputs!$F$78*(Inputs!$F$95/100*Inputs!$F$96/100)*Construction!Z11/Inputs!$F$248</f>
        <v/>
      </c>
      <c r="AA19" s="16">
        <f>Inputs!$F$75*(Construction!AA17+Inputs!$F$79)/100*(1/12)*1+Inputs!$F$76*(Construction!AA17+Inputs!$F$80)/100*(1/12)*1+Inputs!$F$77*(Construction!AA17+Inputs!$F$81)/100*(1/12)*1+Inputs!$F$78*(Construction!AA17+Inputs!$F$82)/100*(1/12)*(1/(1-Inputs!$F$93/100))+Inputs!$F$78*(Inputs!$F$95/100*Inputs!$F$96/100)*Construction!AA11/Inputs!$F$248</f>
        <v/>
      </c>
      <c r="AB19" s="16">
        <f>Inputs!$F$75*(Construction!AB17+Inputs!$F$79)/100*(1/12)*1+Inputs!$F$76*(Construction!AB17+Inputs!$F$80)/100*(1/12)*1+Inputs!$F$77*(Construction!AB17+Inputs!$F$81)/100*(1/12)*1+Inputs!$F$78*(Construction!AB17+Inputs!$F$82)/100*(1/12)*(1/(1-Inputs!$F$93/100))+Inputs!$F$78*(Inputs!$F$95/100*Inputs!$F$96/100)*Construction!AB11/Inputs!$F$248</f>
        <v/>
      </c>
      <c r="AC19" s="16">
        <f>Inputs!$F$75*(Construction!AC17+Inputs!$F$79)/100*(1/12)*1+Inputs!$F$76*(Construction!AC17+Inputs!$F$80)/100*(1/12)*1+Inputs!$F$77*(Construction!AC17+Inputs!$F$81)/100*(1/12)*1+Inputs!$F$78*(Construction!AC17+Inputs!$F$82)/100*(1/12)*(1/(1-Inputs!$F$93/100))+Inputs!$F$78*(Inputs!$F$95/100*Inputs!$F$96/100)*Construction!AC11/Inputs!$F$248</f>
        <v/>
      </c>
      <c r="AD19" s="16">
        <f>Inputs!$F$75*(Construction!AD17+Inputs!$F$79)/100*(1/12)*1+Inputs!$F$76*(Construction!AD17+Inputs!$F$80)/100*(1/12)*1+Inputs!$F$77*(Construction!AD17+Inputs!$F$81)/100*(1/12)*1+Inputs!$F$78*(Construction!AD17+Inputs!$F$82)/100*(1/12)*(1/(1-Inputs!$F$93/100))+Inputs!$F$78*(Inputs!$F$95/100*Inputs!$F$96/100)*Construction!AD11/Inputs!$F$248</f>
        <v/>
      </c>
      <c r="AE19" s="16">
        <f>Inputs!$F$75*(Construction!AE17+Inputs!$F$79)/100*(1/12)*1+Inputs!$F$76*(Construction!AE17+Inputs!$F$80)/100*(1/12)*1+Inputs!$F$77*(Construction!AE17+Inputs!$F$81)/100*(1/12)*1+Inputs!$F$78*(Construction!AE17+Inputs!$F$82)/100*(1/12)*(1/(1-Inputs!$F$93/100))+Inputs!$F$78*(Inputs!$F$95/100*Inputs!$F$96/100)*Construction!AE11/Inputs!$F$248</f>
        <v/>
      </c>
      <c r="AF19" s="16">
        <f>Inputs!$F$75*(Construction!AF17+Inputs!$F$79)/100*(1/12)*1+Inputs!$F$76*(Construction!AF17+Inputs!$F$80)/100*(1/12)*1+Inputs!$F$77*(Construction!AF17+Inputs!$F$81)/100*(1/12)*1+Inputs!$F$78*(Construction!AF17+Inputs!$F$82)/100*(1/12)*(1/(1-Inputs!$F$93/100))+Inputs!$F$78*(Inputs!$F$95/100*Inputs!$F$96/100)*Construction!AF11/Inputs!$F$248</f>
        <v/>
      </c>
      <c r="AG19" s="16">
        <f>Inputs!$F$75*(Construction!AG17+Inputs!$F$79)/100*(1/12)*1+Inputs!$F$76*(Construction!AG17+Inputs!$F$80)/100*(1/12)*1+Inputs!$F$77*(Construction!AG17+Inputs!$F$81)/100*(1/12)*1+Inputs!$F$78*(Construction!AG17+Inputs!$F$82)/100*(1/12)*(1/(1-Inputs!$F$93/100))+Inputs!$F$78*(Inputs!$F$95/100*Inputs!$F$96/100)*Construction!AG11/Inputs!$F$248</f>
        <v/>
      </c>
      <c r="AH19" s="16">
        <f>Inputs!$F$75*(Construction!AH17+Inputs!$F$79)/100*(1/12)*1+Inputs!$F$76*(Construction!AH17+Inputs!$F$80)/100*(1/12)*1+Inputs!$F$77*(Construction!AH17+Inputs!$F$81)/100*(1/12)*1+Inputs!$F$78*(Construction!AH17+Inputs!$F$82)/100*(1/12)*(1/(1-Inputs!$F$93/100))+Inputs!$F$78*(Inputs!$F$95/100*Inputs!$F$96/100)*Construction!AH11/Inputs!$F$248</f>
        <v/>
      </c>
      <c r="AI19" s="16">
        <f>Inputs!$F$75*(Construction!AI17+Inputs!$F$79)/100*(1/12)*1+Inputs!$F$76*(Construction!AI17+Inputs!$F$80)/100*(1/12)*1+Inputs!$F$77*(Construction!AI17+Inputs!$F$81)/100*(1/12)*1+Inputs!$F$78*(Construction!AI17+Inputs!$F$82)/100*(1/12)*(1/(1-Inputs!$F$93/100))+Inputs!$F$78*(Inputs!$F$95/100*Inputs!$F$96/100)*Construction!AI11/Inputs!$F$248</f>
        <v/>
      </c>
      <c r="AJ19" s="16">
        <f>Inputs!$F$75*(Construction!AJ17+Inputs!$F$79)/100*(1/12)*1+Inputs!$F$76*(Construction!AJ17+Inputs!$F$80)/100*(1/12)*1+Inputs!$F$77*(Construction!AJ17+Inputs!$F$81)/100*(1/12)*1+Inputs!$F$78*(Construction!AJ17+Inputs!$F$82)/100*(1/12)*(1/(1-Inputs!$F$93/100))+Inputs!$F$78*(Inputs!$F$95/100*Inputs!$F$96/100)*Construction!AJ11/Inputs!$F$248</f>
        <v/>
      </c>
      <c r="AK19" s="16">
        <f>Inputs!$F$75*(Construction!AK17+Inputs!$F$79)/100*(1/12)*1+Inputs!$F$76*(Construction!AK17+Inputs!$F$80)/100*(1/12)*1+Inputs!$F$77*(Construction!AK17+Inputs!$F$81)/100*(1/12)*1+Inputs!$F$78*(Construction!AK17+Inputs!$F$82)/100*(1/12)*(1/(1-Inputs!$F$93/100))+Inputs!$F$78*(Inputs!$F$95/100*Inputs!$F$96/100)*Construction!AK11/Inputs!$F$248</f>
        <v/>
      </c>
      <c r="AL19" s="16">
        <f>Inputs!$F$75*(Construction!AL17+Inputs!$F$79)/100*(1/12)*1+Inputs!$F$76*(Construction!AL17+Inputs!$F$80)/100*(1/12)*1+Inputs!$F$77*(Construction!AL17+Inputs!$F$81)/100*(1/12)*1+Inputs!$F$78*(Construction!AL17+Inputs!$F$82)/100*(1/12)*(1/(1-Inputs!$F$93/100))+Inputs!$F$78*(Inputs!$F$95/100*Inputs!$F$96/100)*Construction!AL11/Inputs!$F$248</f>
        <v/>
      </c>
      <c r="AM19" s="16">
        <f>Inputs!$F$75*(Construction!AM17+Inputs!$F$79)/100*(1/12)*1+Inputs!$F$76*(Construction!AM17+Inputs!$F$80)/100*(1/12)*1+Inputs!$F$77*(Construction!AM17+Inputs!$F$81)/100*(1/12)*1+Inputs!$F$78*(Construction!AM17+Inputs!$F$82)/100*(1/12)*(1/(1-Inputs!$F$93/100))+Inputs!$F$78*(Inputs!$F$95/100*Inputs!$F$96/100)*Construction!AM11/Inputs!$F$248</f>
        <v/>
      </c>
      <c r="AN19" s="16">
        <f>Inputs!$F$75*(Construction!AN17+Inputs!$F$79)/100*(1/12)*1+Inputs!$F$76*(Construction!AN17+Inputs!$F$80)/100*(1/12)*1+Inputs!$F$77*(Construction!AN17+Inputs!$F$81)/100*(1/12)*1+Inputs!$F$78*(Construction!AN17+Inputs!$F$82)/100*(1/12)*(1/(1-Inputs!$F$93/100))+Inputs!$F$78*(Inputs!$F$95/100*Inputs!$F$96/100)*Construction!AN11/Inputs!$F$248</f>
        <v/>
      </c>
      <c r="AO19" s="16">
        <f>Inputs!$F$75*(Construction!AO17+Inputs!$F$79)/100*(1/12)*1+Inputs!$F$76*(Construction!AO17+Inputs!$F$80)/100*(1/12)*1+Inputs!$F$77*(Construction!AO17+Inputs!$F$81)/100*(1/12)*1+Inputs!$F$78*(Construction!AO17+Inputs!$F$82)/100*(1/12)*(1/(1-Inputs!$F$93/100))+Inputs!$F$78*(Inputs!$F$95/100*Inputs!$F$96/100)*Construction!AO11/Inputs!$F$248</f>
        <v/>
      </c>
      <c r="AP19" s="16">
        <f>Inputs!$F$75*(Construction!AP17+Inputs!$F$79)/100*(1/12)*1+Inputs!$F$76*(Construction!AP17+Inputs!$F$80)/100*(1/12)*1+Inputs!$F$77*(Construction!AP17+Inputs!$F$81)/100*(1/12)*1+Inputs!$F$78*(Construction!AP17+Inputs!$F$82)/100*(1/12)*(1/(1-Inputs!$F$93/100))+Inputs!$F$78*(Inputs!$F$95/100*Inputs!$F$96/100)*Construction!AP11/Inputs!$F$248</f>
        <v/>
      </c>
      <c r="AQ19" s="16">
        <f>Inputs!$F$75*(Construction!AQ17+Inputs!$F$79)/100*(1/12)*1+Inputs!$F$76*(Construction!AQ17+Inputs!$F$80)/100*(1/12)*1+Inputs!$F$77*(Construction!AQ17+Inputs!$F$81)/100*(1/12)*1+Inputs!$F$78*(Construction!AQ17+Inputs!$F$82)/100*(1/12)*(1/(1-Inputs!$F$93/100))+Inputs!$F$78*(Inputs!$F$95/100*Inputs!$F$96/100)*Construction!AQ11/Inputs!$F$248</f>
        <v/>
      </c>
      <c r="AR19" s="16">
        <f>Inputs!$F$75*(Construction!AR17+Inputs!$F$79)/100*(1/12)*1+Inputs!$F$76*(Construction!AR17+Inputs!$F$80)/100*(1/12)*1+Inputs!$F$77*(Construction!AR17+Inputs!$F$81)/100*(1/12)*1+Inputs!$F$78*(Construction!AR17+Inputs!$F$82)/100*(1/12)*(1/(1-Inputs!$F$93/100))+Inputs!$F$78*(Inputs!$F$95/100*Inputs!$F$96/100)*Construction!AR11/Inputs!$F$248</f>
        <v/>
      </c>
      <c r="AS19" s="16">
        <f>Inputs!$F$75*(Construction!AS17+Inputs!$F$79)/100*(1/12)*1+Inputs!$F$76*(Construction!AS17+Inputs!$F$80)/100*(1/12)*1+Inputs!$F$77*(Construction!AS17+Inputs!$F$81)/100*(1/12)*1+Inputs!$F$78*(Construction!AS17+Inputs!$F$82)/100*(1/12)*(1/(1-Inputs!$F$93/100))+Inputs!$F$78*(Inputs!$F$95/100*Inputs!$F$96/100)*Construction!AS11/Inputs!$F$248</f>
        <v/>
      </c>
      <c r="AT19" s="16">
        <f>Inputs!$F$75*(Construction!AT17+Inputs!$F$79)/100*(1/12)*1+Inputs!$F$76*(Construction!AT17+Inputs!$F$80)/100*(1/12)*1+Inputs!$F$77*(Construction!AT17+Inputs!$F$81)/100*(1/12)*1+Inputs!$F$78*(Construction!AT17+Inputs!$F$82)/100*(1/12)*(1/(1-Inputs!$F$93/100))+Inputs!$F$78*(Inputs!$F$95/100*Inputs!$F$96/100)*Construction!AT11/Inputs!$F$248</f>
        <v/>
      </c>
      <c r="AU19" s="16">
        <f>Inputs!$F$75*(Construction!AU17+Inputs!$F$79)/100*(1/12)*1+Inputs!$F$76*(Construction!AU17+Inputs!$F$80)/100*(1/12)*1+Inputs!$F$77*(Construction!AU17+Inputs!$F$81)/100*(1/12)*1+Inputs!$F$78*(Construction!AU17+Inputs!$F$82)/100*(1/12)*(1/(1-Inputs!$F$93/100))+Inputs!$F$78*(Inputs!$F$95/100*Inputs!$F$96/100)*Construction!AU11/Inputs!$F$248</f>
        <v/>
      </c>
      <c r="AV19" s="16">
        <f>Inputs!$F$75*(Construction!AV17+Inputs!$F$79)/100*(1/12)*1+Inputs!$F$76*(Construction!AV17+Inputs!$F$80)/100*(1/12)*1+Inputs!$F$77*(Construction!AV17+Inputs!$F$81)/100*(1/12)*1+Inputs!$F$78*(Construction!AV17+Inputs!$F$82)/100*(1/12)*(1/(1-Inputs!$F$93/100))+Inputs!$F$78*(Inputs!$F$95/100*Inputs!$F$96/100)*Construction!AV11/Inputs!$F$248</f>
        <v/>
      </c>
      <c r="AW19" s="16">
        <f>Inputs!$F$75*(Construction!AW17+Inputs!$F$79)/100*(1/12)*1+Inputs!$F$76*(Construction!AW17+Inputs!$F$80)/100*(1/12)*1+Inputs!$F$77*(Construction!AW17+Inputs!$F$81)/100*(1/12)*1+Inputs!$F$78*(Construction!AW17+Inputs!$F$82)/100*(1/12)*(1/(1-Inputs!$F$93/100))+Inputs!$F$78*(Inputs!$F$95/100*Inputs!$F$96/100)*Construction!AW11/Inputs!$F$248</f>
        <v/>
      </c>
      <c r="AX19" s="16">
        <f>Inputs!$F$75*(Construction!AX17+Inputs!$F$79)/100*(1/12)*1+Inputs!$F$76*(Construction!AX17+Inputs!$F$80)/100*(1/12)*1+Inputs!$F$77*(Construction!AX17+Inputs!$F$81)/100*(1/12)*1+Inputs!$F$78*(Construction!AX17+Inputs!$F$82)/100*(1/12)*(1/(1-Inputs!$F$93/100))+Inputs!$F$78*(Inputs!$F$95/100*Inputs!$F$96/100)*Construction!AX11/Inputs!$F$248</f>
        <v/>
      </c>
      <c r="AY19" s="16">
        <f>Inputs!$F$75*(Construction!AY17+Inputs!$F$79)/100*(1/12)*1+Inputs!$F$76*(Construction!AY17+Inputs!$F$80)/100*(1/12)*1+Inputs!$F$77*(Construction!AY17+Inputs!$F$81)/100*(1/12)*1+Inputs!$F$78*(Construction!AY17+Inputs!$F$82)/100*(1/12)*(1/(1-Inputs!$F$93/100))+Inputs!$F$78*(Inputs!$F$95/100*Inputs!$F$96/100)*Construction!AY11/Inputs!$F$248</f>
        <v/>
      </c>
      <c r="AZ19" s="16">
        <f>Inputs!$F$75*(Construction!AZ17+Inputs!$F$79)/100*(1/12)*1+Inputs!$F$76*(Construction!AZ17+Inputs!$F$80)/100*(1/12)*1+Inputs!$F$77*(Construction!AZ17+Inputs!$F$81)/100*(1/12)*1+Inputs!$F$78*(Construction!AZ17+Inputs!$F$82)/100*(1/12)*(1/(1-Inputs!$F$93/100))+Inputs!$F$78*(Inputs!$F$95/100*Inputs!$F$96/100)*Construction!AZ11/Inputs!$F$248</f>
        <v/>
      </c>
      <c r="BA19" s="16">
        <f>Inputs!$F$75*(Construction!BA17+Inputs!$F$79)/100*(1/12)*1+Inputs!$F$76*(Construction!BA17+Inputs!$F$80)/100*(1/12)*1+Inputs!$F$77*(Construction!BA17+Inputs!$F$81)/100*(1/12)*1+Inputs!$F$78*(Construction!BA17+Inputs!$F$82)/100*(1/12)*(1/(1-Inputs!$F$93/100))+Inputs!$F$78*(Inputs!$F$95/100*Inputs!$F$96/100)*Construction!BA11/Inputs!$F$248</f>
        <v/>
      </c>
      <c r="BB19" s="16">
        <f>Inputs!$F$75*(Construction!BB17+Inputs!$F$79)/100*(1/12)*1+Inputs!$F$76*(Construction!BB17+Inputs!$F$80)/100*(1/12)*1+Inputs!$F$77*(Construction!BB17+Inputs!$F$81)/100*(1/12)*1+Inputs!$F$78*(Construction!BB17+Inputs!$F$82)/100*(1/12)*(1/(1-Inputs!$F$93/100))+Inputs!$F$78*(Inputs!$F$95/100*Inputs!$F$96/100)*Construction!BB11/Inputs!$F$248</f>
        <v/>
      </c>
      <c r="BC19" s="16">
        <f>Inputs!$F$75*(Construction!BC17+Inputs!$F$79)/100*(1/12)*1+Inputs!$F$76*(Construction!BC17+Inputs!$F$80)/100*(1/12)*1+Inputs!$F$77*(Construction!BC17+Inputs!$F$81)/100*(1/12)*1+Inputs!$F$78*(Construction!BC17+Inputs!$F$82)/100*(1/12)*(1/(1-Inputs!$F$93/100))+Inputs!$F$78*(Inputs!$F$95/100*Inputs!$F$96/100)*Construction!BC11/Inputs!$F$248</f>
        <v/>
      </c>
      <c r="BD19" s="16">
        <f>Inputs!$F$75*(Construction!BD17+Inputs!$F$79)/100*(1/12)*1+Inputs!$F$76*(Construction!BD17+Inputs!$F$80)/100*(1/12)*1+Inputs!$F$77*(Construction!BD17+Inputs!$F$81)/100*(1/12)*1+Inputs!$F$78*(Construction!BD17+Inputs!$F$82)/100*(1/12)*(1/(1-Inputs!$F$93/100))+Inputs!$F$78*(Inputs!$F$95/100*Inputs!$F$96/100)*Construction!BD11/Inputs!$F$248</f>
        <v/>
      </c>
      <c r="BE19" s="16">
        <f>Inputs!$F$75*(Construction!BE17+Inputs!$F$79)/100*(1/12)*1+Inputs!$F$76*(Construction!BE17+Inputs!$F$80)/100*(1/12)*1+Inputs!$F$77*(Construction!BE17+Inputs!$F$81)/100*(1/12)*1+Inputs!$F$78*(Construction!BE17+Inputs!$F$82)/100*(1/12)*(1/(1-Inputs!$F$93/100))+Inputs!$F$78*(Inputs!$F$95/100*Inputs!$F$96/100)*Construction!BE11/Inputs!$F$248</f>
        <v/>
      </c>
      <c r="BF19" s="16">
        <f>Inputs!$F$75*(Construction!BF17+Inputs!$F$79)/100*(1/12)*1+Inputs!$F$76*(Construction!BF17+Inputs!$F$80)/100*(1/12)*1+Inputs!$F$77*(Construction!BF17+Inputs!$F$81)/100*(1/12)*1+Inputs!$F$78*(Construction!BF17+Inputs!$F$82)/100*(1/12)*(1/(1-Inputs!$F$93/100))+Inputs!$F$78*(Inputs!$F$95/100*Inputs!$F$96/100)*Construction!BF11/Inputs!$F$248</f>
        <v/>
      </c>
      <c r="BG19" s="16">
        <f>Inputs!$F$75*(Construction!BG17+Inputs!$F$79)/100*(1/12)*1+Inputs!$F$76*(Construction!BG17+Inputs!$F$80)/100*(1/12)*1+Inputs!$F$77*(Construction!BG17+Inputs!$F$81)/100*(1/12)*1+Inputs!$F$78*(Construction!BG17+Inputs!$F$82)/100*(1/12)*(1/(1-Inputs!$F$93/100))+Inputs!$F$78*(Inputs!$F$95/100*Inputs!$F$96/100)*Construction!BG11/Inputs!$F$248</f>
        <v/>
      </c>
      <c r="BH19" s="16">
        <f>Inputs!$F$75*(Construction!BH17+Inputs!$F$79)/100*(1/12)*1+Inputs!$F$76*(Construction!BH17+Inputs!$F$80)/100*(1/12)*1+Inputs!$F$77*(Construction!BH17+Inputs!$F$81)/100*(1/12)*1+Inputs!$F$78*(Construction!BH17+Inputs!$F$82)/100*(1/12)*(1/(1-Inputs!$F$93/100))+Inputs!$F$78*(Inputs!$F$95/100*Inputs!$F$96/100)*Construction!BH11/Inputs!$F$248</f>
        <v/>
      </c>
      <c r="BI19" s="16">
        <f>Inputs!$F$75*(Construction!BI17+Inputs!$F$79)/100*(1/12)*1+Inputs!$F$76*(Construction!BI17+Inputs!$F$80)/100*(1/12)*1+Inputs!$F$77*(Construction!BI17+Inputs!$F$81)/100*(1/12)*1+Inputs!$F$78*(Construction!BI17+Inputs!$F$82)/100*(1/12)*(1/(1-Inputs!$F$93/100))+Inputs!$F$78*(Inputs!$F$95/100*Inputs!$F$96/100)*Construction!BI11/Inputs!$F$248</f>
        <v/>
      </c>
      <c r="BJ19" s="16">
        <f>Inputs!$F$75*(Construction!BJ17+Inputs!$F$79)/100*(1/12)*1+Inputs!$F$76*(Construction!BJ17+Inputs!$F$80)/100*(1/12)*1+Inputs!$F$77*(Construction!BJ17+Inputs!$F$81)/100*(1/12)*1+Inputs!$F$78*(Construction!BJ17+Inputs!$F$82)/100*(1/12)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Construction!J14*(Construction!J32+Construction!J38+Inputs!$F$107/12+-1*Inputs!J309*(Inputs!$F$97/100/12-Construction!J17/100*Construction!J11/Inputs!$F$247)+Inputs!$F$99*Inputs!$F$100/100*Construction!J11/Inputs!$F$247+Construction!J15*$F$17)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Construction!K14*(Construction!K32+Construction!K38+Inputs!$F$107/12+-1*Inputs!K309*(Inputs!$F$97/100/12-Construction!K17/100*Construction!K11/Inputs!$F$247)+Inputs!$F$99*Inputs!$F$100/100*Construction!K11/Inputs!$F$247+Construction!K15*$F$17)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Construction!L14*(Construction!L32+Construction!L38+Inputs!$F$107/12+-1*Inputs!L309*(Inputs!$F$97/100/12-Construction!L17/100*Construction!L11/Inputs!$F$247)+Inputs!$F$99*Inputs!$F$100/100*Construction!L11/Inputs!$F$247+Construction!L15*$F$17)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Construction!M14*(Construction!M32+Construction!M38+Inputs!$F$107/12+-1*Inputs!M309*(Inputs!$F$97/100/12-Construction!M17/100*Construction!M11/Inputs!$F$247)+Inputs!$F$99*Inputs!$F$100/100*Construction!M11/Inputs!$F$247+Construction!M15*$F$17)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Construction!N14*(Construction!N32+Construction!N38+Inputs!$F$107/12+-1*Inputs!N309*(Inputs!$F$97/100/12-Construction!N17/100*Construction!N11/Inputs!$F$247)+Inputs!$F$99*Inputs!$F$100/100*Construction!N11/Inputs!$F$247+Construction!N15*$F$17)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Construction!O14*(Construction!O32+Construction!O38+Inputs!$F$107/12+-1*Inputs!O309*(Inputs!$F$97/100/12-Construction!O17/100*Construction!O11/Inputs!$F$247)+Inputs!$F$99*Inputs!$F$100/100*Construction!O11/Inputs!$F$247+Construction!O15*$F$17)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Construction!P14*(Construction!P32+Construction!P38+Inputs!$F$107/12+-1*Inputs!P309*(Inputs!$F$97/100/12-Construction!P17/100*Construction!P11/Inputs!$F$247)+Inputs!$F$99*Inputs!$F$100/100*Construction!P11/Inputs!$F$247+Construction!P15*$F$17)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Construction!Q14*(Construction!Q32+Construction!Q38+Inputs!$F$107/12+-1*Inputs!Q309*(Inputs!$F$97/100/12-Construction!Q17/100*Construction!Q11/Inputs!$F$247)+Inputs!$F$99*Inputs!$F$100/100*Construction!Q11/Inputs!$F$247+Construction!Q15*$F$17)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Construction!R14*(Construction!R32+Construction!R38+Inputs!$F$107/12+-1*Inputs!R309*(Inputs!$F$97/100/12-Construction!R17/100*Construction!R11/Inputs!$F$247)+Inputs!$F$99*Inputs!$F$100/100*Construction!R11/Inputs!$F$247+Construction!R15*$F$17)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Construction!S14*(Construction!S32+Construction!S38+Inputs!$F$107/12+-1*Inputs!S309*(Inputs!$F$97/100/12-Construction!S17/100*Construction!S11/Inputs!$F$247)+Inputs!$F$99*Inputs!$F$100/100*Construction!S11/Inputs!$F$247+Construction!S15*$F$17)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Construction!T14*(Construction!T32+Construction!T38+Inputs!$F$107/12+-1*Inputs!T309*(Inputs!$F$97/100/12-Construction!T17/100*Construction!T11/Inputs!$F$247)+Inputs!$F$99*Inputs!$F$100/100*Construction!T11/Inputs!$F$247+Construction!T15*$F$17)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Construction!U14*(Construction!U32+Construction!U38+Inputs!$F$107/12+-1*Inputs!U309*(Inputs!$F$97/100/12-Construction!U17/100*Construction!U11/Inputs!$F$247)+Inputs!$F$99*Inputs!$F$100/100*Construction!U11/Inputs!$F$247+Construction!U15*$F$17)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Construction!V14*(Construction!V32+Construction!V38+Inputs!$F$107/12+-1*Inputs!V309*(Inputs!$F$97/100/12-Construction!V17/100*Construction!V11/Inputs!$F$247)+Inputs!$F$99*Inputs!$F$100/100*Construction!V11/Inputs!$F$247+Construction!V15*$F$17)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Construction!W14*(Construction!W32+Construction!W38+Inputs!$F$107/12+-1*Inputs!W309*(Inputs!$F$97/100/12-Construction!W17/100*Construction!W11/Inputs!$F$247)+Inputs!$F$99*Inputs!$F$100/100*Construction!W11/Inputs!$F$247+Construction!W15*$F$17)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Construction!X14*(Construction!X32+Construction!X38+Inputs!$F$107/12+-1*Inputs!X309*(Inputs!$F$97/100/12-Construction!X17/100*Construction!X11/Inputs!$F$247)+Inputs!$F$99*Inputs!$F$100/100*Construction!X11/Inputs!$F$247+Construction!X15*$F$17)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Construction!Y14*(Construction!Y32+Construction!Y38+Inputs!$F$107/12+-1*Inputs!Y309*(Inputs!$F$97/100/12-Construction!Y17/100*Construction!Y11/Inputs!$F$247)+Inputs!$F$99*Inputs!$F$100/100*Construction!Y11/Inputs!$F$247+Construction!Y15*$F$17)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Construction!Z14*(Construction!Z32+Construction!Z38+Inputs!$F$107/12+-1*Inputs!Z309*(Inputs!$F$97/100/12-Construction!Z17/100*Construction!Z11/Inputs!$F$247)+Inputs!$F$99*Inputs!$F$100/100*Construction!Z11/Inputs!$F$247+Construction!Z15*$F$17)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Construction!AA14*(Construction!AA32+Construction!AA38+Inputs!$F$107/12+-1*Inputs!AA309*(Inputs!$F$97/100/12-Construction!AA17/100*Construction!AA11/Inputs!$F$247)+Inputs!$F$99*Inputs!$F$100/100*Construction!AA11/Inputs!$F$247+Construction!AA15*$F$17)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Construction!AB14*(Construction!AB32+Construction!AB38+Inputs!$F$107/12+-1*Inputs!AB309*(Inputs!$F$97/100/12-Construction!AB17/100*Construction!AB11/Inputs!$F$247)+Inputs!$F$99*Inputs!$F$100/100*Construction!AB11/Inputs!$F$247+Construction!AB15*$F$17)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Construction!AC14*(Construction!AC32+Construction!AC38+Inputs!$F$107/12+-1*Inputs!AC309*(Inputs!$F$97/100/12-Construction!AC17/100*Construction!AC11/Inputs!$F$247)+Inputs!$F$99*Inputs!$F$100/100*Construction!AC11/Inputs!$F$247+Construction!AC15*$F$17)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Construction!AD14*(Construction!AD32+Construction!AD38+Inputs!$F$107/12+-1*Inputs!AD309*(Inputs!$F$97/100/12-Construction!AD17/100*Construction!AD11/Inputs!$F$247)+Inputs!$F$99*Inputs!$F$100/100*Construction!AD11/Inputs!$F$247+Construction!AD15*$F$17)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Construction!AE14*(Construction!AE32+Construction!AE38+Inputs!$F$107/12+-1*Inputs!AE309*(Inputs!$F$97/100/12-Construction!AE17/100*Construction!AE11/Inputs!$F$247)+Inputs!$F$99*Inputs!$F$100/100*Construction!AE11/Inputs!$F$247+Construction!AE15*$F$17)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Construction!AF14*(Construction!AF32+Construction!AF38+Inputs!$F$107/12+-1*Inputs!AF309*(Inputs!$F$97/100/12-Construction!AF17/100*Construction!AF11/Inputs!$F$247)+Inputs!$F$99*Inputs!$F$100/100*Construction!AF11/Inputs!$F$247+Construction!AF15*$F$17)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Construction!AG14*(Construction!AG32+Construction!AG38+Inputs!$F$107/12+-1*Inputs!AG309*(Inputs!$F$97/100/12-Construction!AG17/100*Construction!AG11/Inputs!$F$247)+Inputs!$F$99*Inputs!$F$100/100*Construction!AG11/Inputs!$F$247+Construction!AG15*$F$17)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Construction!AH14*(Construction!AH32+Construction!AH38+Inputs!$F$107/12+-1*Inputs!AH309*(Inputs!$F$97/100/12-Construction!AH17/100*Construction!AH11/Inputs!$F$247)+Inputs!$F$99*Inputs!$F$100/100*Construction!AH11/Inputs!$F$247+Construction!AH15*$F$17)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Construction!AI14*(Construction!AI32+Construction!AI38+Inputs!$F$107/12+-1*Inputs!AI309*(Inputs!$F$97/100/12-Construction!AI17/100*Construction!AI11/Inputs!$F$247)+Inputs!$F$99*Inputs!$F$100/100*Construction!AI11/Inputs!$F$247+Construction!AI15*$F$17)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Construction!AJ14*(Construction!AJ32+Construction!AJ38+Inputs!$F$107/12+-1*Inputs!AJ309*(Inputs!$F$97/100/12-Construction!AJ17/100*Construction!AJ11/Inputs!$F$247)+Inputs!$F$99*Inputs!$F$100/100*Construction!AJ11/Inputs!$F$247+Construction!AJ15*$F$17)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Construction!AK14*(Construction!AK32+Construction!AK38+Inputs!$F$107/12+-1*Inputs!AK309*(Inputs!$F$97/100/12-Construction!AK17/100*Construction!AK11/Inputs!$F$247)+Inputs!$F$99*Inputs!$F$100/100*Construction!AK11/Inputs!$F$247+Construction!AK15*$F$17)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Construction!AL14*(Construction!AL32+Construction!AL38+Inputs!$F$107/12+-1*Inputs!AL309*(Inputs!$F$97/100/12-Construction!AL17/100*Construction!AL11/Inputs!$F$247)+Inputs!$F$99*Inputs!$F$100/100*Construction!AL11/Inputs!$F$247+Construction!AL15*$F$17)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Construction!AM14*(Construction!AM32+Construction!AM38+Inputs!$F$107/12+-1*Inputs!AM309*(Inputs!$F$97/100/12-Construction!AM17/100*Construction!AM11/Inputs!$F$247)+Inputs!$F$99*Inputs!$F$100/100*Construction!AM11/Inputs!$F$247+Construction!AM15*$F$17)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Construction!AN14*(Construction!AN32+Construction!AN38+Inputs!$F$107/12+-1*Inputs!AN309*(Inputs!$F$97/100/12-Construction!AN17/100*Construction!AN11/Inputs!$F$247)+Inputs!$F$99*Inputs!$F$100/100*Construction!AN11/Inputs!$F$247+Construction!AN15*$F$17)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Construction!AO14*(Construction!AO32+Construction!AO38+Inputs!$F$107/12+-1*Inputs!AO309*(Inputs!$F$97/100/12-Construction!AO17/100*Construction!AO11/Inputs!$F$247)+Inputs!$F$99*Inputs!$F$100/100*Construction!AO11/Inputs!$F$247+Construction!AO15*$F$17)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Construction!AP14*(Construction!AP32+Construction!AP38+Inputs!$F$107/12+-1*Inputs!AP309*(Inputs!$F$97/100/12-Construction!AP17/100*Construction!AP11/Inputs!$F$247)+Inputs!$F$99*Inputs!$F$100/100*Construction!AP11/Inputs!$F$247+Construction!AP15*$F$17)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Construction!AQ14*(Construction!AQ32+Construction!AQ38+Inputs!$F$107/12+-1*Inputs!AQ309*(Inputs!$F$97/100/12-Construction!AQ17/100*Construction!AQ11/Inputs!$F$247)+Inputs!$F$99*Inputs!$F$100/100*Construction!AQ11/Inputs!$F$247+Construction!AQ15*$F$17)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Construction!AR14*(Construction!AR32+Construction!AR38+Inputs!$F$107/12+-1*Inputs!AR309*(Inputs!$F$97/100/12-Construction!AR17/100*Construction!AR11/Inputs!$F$247)+Inputs!$F$99*Inputs!$F$100/100*Construction!AR11/Inputs!$F$247+Construction!AR15*$F$17)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Construction!AS14*(Construction!AS32+Construction!AS38+Inputs!$F$107/12+-1*Inputs!AS309*(Inputs!$F$97/100/12-Construction!AS17/100*Construction!AS11/Inputs!$F$247)+Inputs!$F$99*Inputs!$F$100/100*Construction!AS11/Inputs!$F$247+Construction!AS15*$F$17)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Construction!AT14*(Construction!AT32+Construction!AT38+Inputs!$F$107/12+-1*Inputs!AT309*(Inputs!$F$97/100/12-Construction!AT17/100*Construction!AT11/Inputs!$F$247)+Inputs!$F$99*Inputs!$F$100/100*Construction!AT11/Inputs!$F$247+Construction!AT15*$F$17)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Construction!AU14*(Construction!AU32+Construction!AU38+Inputs!$F$107/12+-1*Inputs!AU309*(Inputs!$F$97/100/12-Construction!AU17/100*Construction!AU11/Inputs!$F$247)+Inputs!$F$99*Inputs!$F$100/100*Construction!AU11/Inputs!$F$247+Construction!AU15*$F$17)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Construction!AV14*(Construction!AV32+Construction!AV38+Inputs!$F$107/12+-1*Inputs!AV309*(Inputs!$F$97/100/12-Construction!AV17/100*Construction!AV11/Inputs!$F$247)+Inputs!$F$99*Inputs!$F$100/100*Construction!AV11/Inputs!$F$247+Construction!AV15*$F$17)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Construction!AW14*(Construction!AW32+Construction!AW38+Inputs!$F$107/12+-1*Inputs!AW309*(Inputs!$F$97/100/12-Construction!AW17/100*Construction!AW11/Inputs!$F$247)+Inputs!$F$99*Inputs!$F$100/100*Construction!AW11/Inputs!$F$247+Construction!AW15*$F$17)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Construction!AX14*(Construction!AX32+Construction!AX38+Inputs!$F$107/12+-1*Inputs!AX309*(Inputs!$F$97/100/12-Construction!AX17/100*Construction!AX11/Inputs!$F$247)+Inputs!$F$99*Inputs!$F$100/100*Construction!AX11/Inputs!$F$247+Construction!AX15*$F$17)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Construction!AY14*(Construction!AY32+Construction!AY38+Inputs!$F$107/12+-1*Inputs!AY309*(Inputs!$F$97/100/12-Construction!AY17/100*Construction!AY11/Inputs!$F$247)+Inputs!$F$99*Inputs!$F$100/100*Construction!AY11/Inputs!$F$247+Construction!AY15*$F$17)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Construction!AZ14*(Construction!AZ32+Construction!AZ38+Inputs!$F$107/12+-1*Inputs!AZ309*(Inputs!$F$97/100/12-Construction!AZ17/100*Construction!AZ11/Inputs!$F$247)+Inputs!$F$99*Inputs!$F$100/100*Construction!AZ11/Inputs!$F$247+Construction!AZ15*$F$17)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Construction!BA14*(Construction!BA32+Construction!BA38+Inputs!$F$107/12+-1*Inputs!BA309*(Inputs!$F$97/100/12-Construction!BA17/100*Construction!BA11/Inputs!$F$247)+Inputs!$F$99*Inputs!$F$100/100*Construction!BA11/Inputs!$F$247+Construction!BA15*$F$17)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Construction!BB14*(Construction!BB32+Construction!BB38+Inputs!$F$107/12+-1*Inputs!BB309*(Inputs!$F$97/100/12-Construction!BB17/100*Construction!BB11/Inputs!$F$247)+Inputs!$F$99*Inputs!$F$100/100*Construction!BB11/Inputs!$F$247+Construction!BB15*$F$17)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Construction!BC14*(Construction!BC32+Construction!BC38+Inputs!$F$107/12+-1*Inputs!BC309*(Inputs!$F$97/100/12-Construction!BC17/100*Construction!BC11/Inputs!$F$247)+Inputs!$F$99*Inputs!$F$100/100*Construction!BC11/Inputs!$F$247+Construction!BC15*$F$17)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Construction!BD14*(Construction!BD32+Construction!BD38+Inputs!$F$107/12+-1*Inputs!BD309*(Inputs!$F$97/100/12-Construction!BD17/100*Construction!BD11/Inputs!$F$247)+Inputs!$F$99*Inputs!$F$100/100*Construction!BD11/Inputs!$F$247+Construction!BD15*$F$17)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Construction!BE14*(Construction!BE32+Construction!BE38+Inputs!$F$107/12+-1*Inputs!BE309*(Inputs!$F$97/100/12-Construction!BE17/100*Construction!BE11/Inputs!$F$247)+Inputs!$F$99*Inputs!$F$100/100*Construction!BE11/Inputs!$F$247+Construction!BE15*$F$17)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Construction!BF14*(Construction!BF32+Construction!BF38+Inputs!$F$107/12+-1*Inputs!BF309*(Inputs!$F$97/100/12-Construction!BF17/100*Construction!BF11/Inputs!$F$247)+Inputs!$F$99*Inputs!$F$100/100*Construction!BF11/Inputs!$F$247+Construction!BF15*$F$17)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Construction!BG14*(Construction!BG32+Construction!BG38+Inputs!$F$107/12+-1*Inputs!BG309*(Inputs!$F$97/100/12-Construction!BG17/100*Construction!BG11/Inputs!$F$247)+Inputs!$F$99*Inputs!$F$100/100*Construction!BG11/Inputs!$F$247+Construction!BG15*$F$17)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Construction!BH14*(Construction!BH32+Construction!BH38+Inputs!$F$107/12+-1*Inputs!BH309*(Inputs!$F$97/100/12-Construction!BH17/100*Construction!BH11/Inputs!$F$247)+Inputs!$F$99*Inputs!$F$100/100*Construction!BH11/Inputs!$F$247+Construction!BH15*$F$17)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Construction!BI14*(Construction!BI32+Construction!BI38+Inputs!$F$107/12+-1*Inputs!BI309*(Inputs!$F$97/100/12-Construction!BI17/100*Construction!BI11/Inputs!$F$247)+Inputs!$F$99*Inputs!$F$100/100*Construction!BI11/Inputs!$F$247+Construction!BI15*$F$17)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Construction!BJ14*(Construction!BJ32+Construction!BJ38+Inputs!$F$107/12+-1*Inputs!BJ309*(Inputs!$F$97/100/12-Construction!BJ17/100*Construction!BJ11/Inputs!$F$247)+Inputs!$F$99*Inputs!$F$100/100*Construction!BJ11/Inputs!$F$247+Construction!BJ15*$F$17)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(Inputs!$F$113-SUM($J$44:$BJ$44))/(Inputs!$F$113+Inputs!$F$114-SUM($J$44:$BJ$44))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Construction!J14*J28*(Construction!J17+Inputs!$F$79)/100*(1/12)*1</f>
        <v/>
      </c>
      <c r="K33" s="13">
        <f>Construction!K14*K28*(Construction!K17+Inputs!$F$79)/100*(1/12)*1</f>
        <v/>
      </c>
      <c r="L33" s="13">
        <f>Construction!L14*L28*(Construction!L17+Inputs!$F$79)/100*(1/12)*1</f>
        <v/>
      </c>
      <c r="M33" s="13">
        <f>Construction!M14*M28*(Construction!M17+Inputs!$F$79)/100*(1/12)*1</f>
        <v/>
      </c>
      <c r="N33" s="13">
        <f>Construction!N14*N28*(Construction!N17+Inputs!$F$79)/100*(1/12)*1</f>
        <v/>
      </c>
      <c r="O33" s="13">
        <f>Construction!O14*O28*(Construction!O17+Inputs!$F$79)/100*(1/12)*1</f>
        <v/>
      </c>
      <c r="P33" s="13">
        <f>Construction!P14*P28*(Construction!P17+Inputs!$F$79)/100*(1/12)*1</f>
        <v/>
      </c>
      <c r="Q33" s="13">
        <f>Construction!Q14*Q28*(Construction!Q17+Inputs!$F$79)/100*(1/12)*1</f>
        <v/>
      </c>
      <c r="R33" s="13">
        <f>Construction!R14*R28*(Construction!R17+Inputs!$F$79)/100*(1/12)*1</f>
        <v/>
      </c>
      <c r="S33" s="13">
        <f>Construction!S14*S28*(Construction!S17+Inputs!$F$79)/100*(1/12)*1</f>
        <v/>
      </c>
      <c r="T33" s="13">
        <f>Construction!T14*T28*(Construction!T17+Inputs!$F$79)/100*(1/12)*1</f>
        <v/>
      </c>
      <c r="U33" s="13">
        <f>Construction!U14*U28*(Construction!U17+Inputs!$F$79)/100*(1/12)*1</f>
        <v/>
      </c>
      <c r="V33" s="13">
        <f>Construction!V14*V28*(Construction!V17+Inputs!$F$79)/100*(1/12)*1</f>
        <v/>
      </c>
      <c r="W33" s="13">
        <f>Construction!W14*W28*(Construction!W17+Inputs!$F$79)/100*(1/12)*1</f>
        <v/>
      </c>
      <c r="X33" s="13">
        <f>Construction!X14*X28*(Construction!X17+Inputs!$F$79)/100*(1/12)*1</f>
        <v/>
      </c>
      <c r="Y33" s="13">
        <f>Construction!Y14*Y28*(Construction!Y17+Inputs!$F$79)/100*(1/12)*1</f>
        <v/>
      </c>
      <c r="Z33" s="13">
        <f>Construction!Z14*Z28*(Construction!Z17+Inputs!$F$79)/100*(1/12)*1</f>
        <v/>
      </c>
      <c r="AA33" s="13">
        <f>Construction!AA14*AA28*(Construction!AA17+Inputs!$F$79)/100*(1/12)*1</f>
        <v/>
      </c>
      <c r="AB33" s="13">
        <f>Construction!AB14*AB28*(Construction!AB17+Inputs!$F$79)/100*(1/12)*1</f>
        <v/>
      </c>
      <c r="AC33" s="13">
        <f>Construction!AC14*AC28*(Construction!AC17+Inputs!$F$79)/100*(1/12)*1</f>
        <v/>
      </c>
      <c r="AD33" s="13">
        <f>Construction!AD14*AD28*(Construction!AD17+Inputs!$F$79)/100*(1/12)*1</f>
        <v/>
      </c>
      <c r="AE33" s="13">
        <f>Construction!AE14*AE28*(Construction!AE17+Inputs!$F$79)/100*(1/12)*1</f>
        <v/>
      </c>
      <c r="AF33" s="13">
        <f>Construction!AF14*AF28*(Construction!AF17+Inputs!$F$79)/100*(1/12)*1</f>
        <v/>
      </c>
      <c r="AG33" s="13">
        <f>Construction!AG14*AG28*(Construction!AG17+Inputs!$F$79)/100*(1/12)*1</f>
        <v/>
      </c>
      <c r="AH33" s="13">
        <f>Construction!AH14*AH28*(Construction!AH17+Inputs!$F$79)/100*(1/12)*1</f>
        <v/>
      </c>
      <c r="AI33" s="13">
        <f>Construction!AI14*AI28*(Construction!AI17+Inputs!$F$79)/100*(1/12)*1</f>
        <v/>
      </c>
      <c r="AJ33" s="13">
        <f>Construction!AJ14*AJ28*(Construction!AJ17+Inputs!$F$79)/100*(1/12)*1</f>
        <v/>
      </c>
      <c r="AK33" s="13">
        <f>Construction!AK14*AK28*(Construction!AK17+Inputs!$F$79)/100*(1/12)*1</f>
        <v/>
      </c>
      <c r="AL33" s="13">
        <f>Construction!AL14*AL28*(Construction!AL17+Inputs!$F$79)/100*(1/12)*1</f>
        <v/>
      </c>
      <c r="AM33" s="13">
        <f>Construction!AM14*AM28*(Construction!AM17+Inputs!$F$79)/100*(1/12)*1</f>
        <v/>
      </c>
      <c r="AN33" s="13">
        <f>Construction!AN14*AN28*(Construction!AN17+Inputs!$F$79)/100*(1/12)*1</f>
        <v/>
      </c>
      <c r="AO33" s="13">
        <f>Construction!AO14*AO28*(Construction!AO17+Inputs!$F$79)/100*(1/12)*1</f>
        <v/>
      </c>
      <c r="AP33" s="13">
        <f>Construction!AP14*AP28*(Construction!AP17+Inputs!$F$79)/100*(1/12)*1</f>
        <v/>
      </c>
      <c r="AQ33" s="13">
        <f>Construction!AQ14*AQ28*(Construction!AQ17+Inputs!$F$79)/100*(1/12)*1</f>
        <v/>
      </c>
      <c r="AR33" s="13">
        <f>Construction!AR14*AR28*(Construction!AR17+Inputs!$F$79)/100*(1/12)*1</f>
        <v/>
      </c>
      <c r="AS33" s="13">
        <f>Construction!AS14*AS28*(Construction!AS17+Inputs!$F$79)/100*(1/12)*1</f>
        <v/>
      </c>
      <c r="AT33" s="13">
        <f>Construction!AT14*AT28*(Construction!AT17+Inputs!$F$79)/100*(1/12)*1</f>
        <v/>
      </c>
      <c r="AU33" s="13">
        <f>Construction!AU14*AU28*(Construction!AU17+Inputs!$F$79)/100*(1/12)*1</f>
        <v/>
      </c>
      <c r="AV33" s="13">
        <f>Construction!AV14*AV28*(Construction!AV17+Inputs!$F$79)/100*(1/12)*1</f>
        <v/>
      </c>
      <c r="AW33" s="13">
        <f>Construction!AW14*AW28*(Construction!AW17+Inputs!$F$79)/100*(1/12)*1</f>
        <v/>
      </c>
      <c r="AX33" s="13">
        <f>Construction!AX14*AX28*(Construction!AX17+Inputs!$F$79)/100*(1/12)*1</f>
        <v/>
      </c>
      <c r="AY33" s="13">
        <f>Construction!AY14*AY28*(Construction!AY17+Inputs!$F$79)/100*(1/12)*1</f>
        <v/>
      </c>
      <c r="AZ33" s="13">
        <f>Construction!AZ14*AZ28*(Construction!AZ17+Inputs!$F$79)/100*(1/12)*1</f>
        <v/>
      </c>
      <c r="BA33" s="13">
        <f>Construction!BA14*BA28*(Construction!BA17+Inputs!$F$79)/100*(1/12)*1</f>
        <v/>
      </c>
      <c r="BB33" s="13">
        <f>Construction!BB14*BB28*(Construction!BB17+Inputs!$F$79)/100*(1/12)*1</f>
        <v/>
      </c>
      <c r="BC33" s="13">
        <f>Construction!BC14*BC28*(Construction!BC17+Inputs!$F$79)/100*(1/12)*1</f>
        <v/>
      </c>
      <c r="BD33" s="13">
        <f>Construction!BD14*BD28*(Construction!BD17+Inputs!$F$79)/100*(1/12)*1</f>
        <v/>
      </c>
      <c r="BE33" s="13">
        <f>Construction!BE14*BE28*(Construction!BE17+Inputs!$F$79)/100*(1/12)*1</f>
        <v/>
      </c>
      <c r="BF33" s="13">
        <f>Construction!BF14*BF28*(Construction!BF17+Inputs!$F$79)/100*(1/12)*1</f>
        <v/>
      </c>
      <c r="BG33" s="13">
        <f>Construction!BG14*BG28*(Construction!BG17+Inputs!$F$79)/100*(1/12)*1</f>
        <v/>
      </c>
      <c r="BH33" s="13">
        <f>Construction!BH14*BH28*(Construction!BH17+Inputs!$F$79)/100*(1/12)*1</f>
        <v/>
      </c>
      <c r="BI33" s="13">
        <f>Construction!BI14*BI28*(Construction!BI17+Inputs!$F$79)/100*(1/12)*1</f>
        <v/>
      </c>
      <c r="BJ33" s="13">
        <f>Construction!BJ14*BJ28*(Construction!BJ17+Inputs!$F$79)/100*(1/12)*1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Construction!J14*J29*(Construction!J17+Inputs!$F$80)/100*(1/12)*1</f>
        <v/>
      </c>
      <c r="K34" s="13">
        <f>Construction!K14*K29*(Construction!K17+Inputs!$F$80)/100*(1/12)*1</f>
        <v/>
      </c>
      <c r="L34" s="13">
        <f>Construction!L14*L29*(Construction!L17+Inputs!$F$80)/100*(1/12)*1</f>
        <v/>
      </c>
      <c r="M34" s="13">
        <f>Construction!M14*M29*(Construction!M17+Inputs!$F$80)/100*(1/12)*1</f>
        <v/>
      </c>
      <c r="N34" s="13">
        <f>Construction!N14*N29*(Construction!N17+Inputs!$F$80)/100*(1/12)*1</f>
        <v/>
      </c>
      <c r="O34" s="13">
        <f>Construction!O14*O29*(Construction!O17+Inputs!$F$80)/100*(1/12)*1</f>
        <v/>
      </c>
      <c r="P34" s="13">
        <f>Construction!P14*P29*(Construction!P17+Inputs!$F$80)/100*(1/12)*1</f>
        <v/>
      </c>
      <c r="Q34" s="13">
        <f>Construction!Q14*Q29*(Construction!Q17+Inputs!$F$80)/100*(1/12)*1</f>
        <v/>
      </c>
      <c r="R34" s="13">
        <f>Construction!R14*R29*(Construction!R17+Inputs!$F$80)/100*(1/12)*1</f>
        <v/>
      </c>
      <c r="S34" s="13">
        <f>Construction!S14*S29*(Construction!S17+Inputs!$F$80)/100*(1/12)*1</f>
        <v/>
      </c>
      <c r="T34" s="13">
        <f>Construction!T14*T29*(Construction!T17+Inputs!$F$80)/100*(1/12)*1</f>
        <v/>
      </c>
      <c r="U34" s="13">
        <f>Construction!U14*U29*(Construction!U17+Inputs!$F$80)/100*(1/12)*1</f>
        <v/>
      </c>
      <c r="V34" s="13">
        <f>Construction!V14*V29*(Construction!V17+Inputs!$F$80)/100*(1/12)*1</f>
        <v/>
      </c>
      <c r="W34" s="13">
        <f>Construction!W14*W29*(Construction!W17+Inputs!$F$80)/100*(1/12)*1</f>
        <v/>
      </c>
      <c r="X34" s="13">
        <f>Construction!X14*X29*(Construction!X17+Inputs!$F$80)/100*(1/12)*1</f>
        <v/>
      </c>
      <c r="Y34" s="13">
        <f>Construction!Y14*Y29*(Construction!Y17+Inputs!$F$80)/100*(1/12)*1</f>
        <v/>
      </c>
      <c r="Z34" s="13">
        <f>Construction!Z14*Z29*(Construction!Z17+Inputs!$F$80)/100*(1/12)*1</f>
        <v/>
      </c>
      <c r="AA34" s="13">
        <f>Construction!AA14*AA29*(Construction!AA17+Inputs!$F$80)/100*(1/12)*1</f>
        <v/>
      </c>
      <c r="AB34" s="13">
        <f>Construction!AB14*AB29*(Construction!AB17+Inputs!$F$80)/100*(1/12)*1</f>
        <v/>
      </c>
      <c r="AC34" s="13">
        <f>Construction!AC14*AC29*(Construction!AC17+Inputs!$F$80)/100*(1/12)*1</f>
        <v/>
      </c>
      <c r="AD34" s="13">
        <f>Construction!AD14*AD29*(Construction!AD17+Inputs!$F$80)/100*(1/12)*1</f>
        <v/>
      </c>
      <c r="AE34" s="13">
        <f>Construction!AE14*AE29*(Construction!AE17+Inputs!$F$80)/100*(1/12)*1</f>
        <v/>
      </c>
      <c r="AF34" s="13">
        <f>Construction!AF14*AF29*(Construction!AF17+Inputs!$F$80)/100*(1/12)*1</f>
        <v/>
      </c>
      <c r="AG34" s="13">
        <f>Construction!AG14*AG29*(Construction!AG17+Inputs!$F$80)/100*(1/12)*1</f>
        <v/>
      </c>
      <c r="AH34" s="13">
        <f>Construction!AH14*AH29*(Construction!AH17+Inputs!$F$80)/100*(1/12)*1</f>
        <v/>
      </c>
      <c r="AI34" s="13">
        <f>Construction!AI14*AI29*(Construction!AI17+Inputs!$F$80)/100*(1/12)*1</f>
        <v/>
      </c>
      <c r="AJ34" s="13">
        <f>Construction!AJ14*AJ29*(Construction!AJ17+Inputs!$F$80)/100*(1/12)*1</f>
        <v/>
      </c>
      <c r="AK34" s="13">
        <f>Construction!AK14*AK29*(Construction!AK17+Inputs!$F$80)/100*(1/12)*1</f>
        <v/>
      </c>
      <c r="AL34" s="13">
        <f>Construction!AL14*AL29*(Construction!AL17+Inputs!$F$80)/100*(1/12)*1</f>
        <v/>
      </c>
      <c r="AM34" s="13">
        <f>Construction!AM14*AM29*(Construction!AM17+Inputs!$F$80)/100*(1/12)*1</f>
        <v/>
      </c>
      <c r="AN34" s="13">
        <f>Construction!AN14*AN29*(Construction!AN17+Inputs!$F$80)/100*(1/12)*1</f>
        <v/>
      </c>
      <c r="AO34" s="13">
        <f>Construction!AO14*AO29*(Construction!AO17+Inputs!$F$80)/100*(1/12)*1</f>
        <v/>
      </c>
      <c r="AP34" s="13">
        <f>Construction!AP14*AP29*(Construction!AP17+Inputs!$F$80)/100*(1/12)*1</f>
        <v/>
      </c>
      <c r="AQ34" s="13">
        <f>Construction!AQ14*AQ29*(Construction!AQ17+Inputs!$F$80)/100*(1/12)*1</f>
        <v/>
      </c>
      <c r="AR34" s="13">
        <f>Construction!AR14*AR29*(Construction!AR17+Inputs!$F$80)/100*(1/12)*1</f>
        <v/>
      </c>
      <c r="AS34" s="13">
        <f>Construction!AS14*AS29*(Construction!AS17+Inputs!$F$80)/100*(1/12)*1</f>
        <v/>
      </c>
      <c r="AT34" s="13">
        <f>Construction!AT14*AT29*(Construction!AT17+Inputs!$F$80)/100*(1/12)*1</f>
        <v/>
      </c>
      <c r="AU34" s="13">
        <f>Construction!AU14*AU29*(Construction!AU17+Inputs!$F$80)/100*(1/12)*1</f>
        <v/>
      </c>
      <c r="AV34" s="13">
        <f>Construction!AV14*AV29*(Construction!AV17+Inputs!$F$80)/100*(1/12)*1</f>
        <v/>
      </c>
      <c r="AW34" s="13">
        <f>Construction!AW14*AW29*(Construction!AW17+Inputs!$F$80)/100*(1/12)*1</f>
        <v/>
      </c>
      <c r="AX34" s="13">
        <f>Construction!AX14*AX29*(Construction!AX17+Inputs!$F$80)/100*(1/12)*1</f>
        <v/>
      </c>
      <c r="AY34" s="13">
        <f>Construction!AY14*AY29*(Construction!AY17+Inputs!$F$80)/100*(1/12)*1</f>
        <v/>
      </c>
      <c r="AZ34" s="13">
        <f>Construction!AZ14*AZ29*(Construction!AZ17+Inputs!$F$80)/100*(1/12)*1</f>
        <v/>
      </c>
      <c r="BA34" s="13">
        <f>Construction!BA14*BA29*(Construction!BA17+Inputs!$F$80)/100*(1/12)*1</f>
        <v/>
      </c>
      <c r="BB34" s="13">
        <f>Construction!BB14*BB29*(Construction!BB17+Inputs!$F$80)/100*(1/12)*1</f>
        <v/>
      </c>
      <c r="BC34" s="13">
        <f>Construction!BC14*BC29*(Construction!BC17+Inputs!$F$80)/100*(1/12)*1</f>
        <v/>
      </c>
      <c r="BD34" s="13">
        <f>Construction!BD14*BD29*(Construction!BD17+Inputs!$F$80)/100*(1/12)*1</f>
        <v/>
      </c>
      <c r="BE34" s="13">
        <f>Construction!BE14*BE29*(Construction!BE17+Inputs!$F$80)/100*(1/12)*1</f>
        <v/>
      </c>
      <c r="BF34" s="13">
        <f>Construction!BF14*BF29*(Construction!BF17+Inputs!$F$80)/100*(1/12)*1</f>
        <v/>
      </c>
      <c r="BG34" s="13">
        <f>Construction!BG14*BG29*(Construction!BG17+Inputs!$F$80)/100*(1/12)*1</f>
        <v/>
      </c>
      <c r="BH34" s="13">
        <f>Construction!BH14*BH29*(Construction!BH17+Inputs!$F$80)/100*(1/12)*1</f>
        <v/>
      </c>
      <c r="BI34" s="13">
        <f>Construction!BI14*BI29*(Construction!BI17+Inputs!$F$80)/100*(1/12)*1</f>
        <v/>
      </c>
      <c r="BJ34" s="13">
        <f>Construction!BJ14*BJ29*(Construction!BJ17+Inputs!$F$80)/100*(1/12)*1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Construction!J14*J30*(Construction!J17+Inputs!$F$81)/100*(1/12)*1</f>
        <v/>
      </c>
      <c r="K35" s="13">
        <f>Construction!K14*K30*(Construction!K17+Inputs!$F$81)/100*(1/12)*1</f>
        <v/>
      </c>
      <c r="L35" s="13">
        <f>Construction!L14*L30*(Construction!L17+Inputs!$F$81)/100*(1/12)*1</f>
        <v/>
      </c>
      <c r="M35" s="13">
        <f>Construction!M14*M30*(Construction!M17+Inputs!$F$81)/100*(1/12)*1</f>
        <v/>
      </c>
      <c r="N35" s="13">
        <f>Construction!N14*N30*(Construction!N17+Inputs!$F$81)/100*(1/12)*1</f>
        <v/>
      </c>
      <c r="O35" s="13">
        <f>Construction!O14*O30*(Construction!O17+Inputs!$F$81)/100*(1/12)*1</f>
        <v/>
      </c>
      <c r="P35" s="13">
        <f>Construction!P14*P30*(Construction!P17+Inputs!$F$81)/100*(1/12)*1</f>
        <v/>
      </c>
      <c r="Q35" s="13">
        <f>Construction!Q14*Q30*(Construction!Q17+Inputs!$F$81)/100*(1/12)*1</f>
        <v/>
      </c>
      <c r="R35" s="13">
        <f>Construction!R14*R30*(Construction!R17+Inputs!$F$81)/100*(1/12)*1</f>
        <v/>
      </c>
      <c r="S35" s="13">
        <f>Construction!S14*S30*(Construction!S17+Inputs!$F$81)/100*(1/12)*1</f>
        <v/>
      </c>
      <c r="T35" s="13">
        <f>Construction!T14*T30*(Construction!T17+Inputs!$F$81)/100*(1/12)*1</f>
        <v/>
      </c>
      <c r="U35" s="13">
        <f>Construction!U14*U30*(Construction!U17+Inputs!$F$81)/100*(1/12)*1</f>
        <v/>
      </c>
      <c r="V35" s="13">
        <f>Construction!V14*V30*(Construction!V17+Inputs!$F$81)/100*(1/12)*1</f>
        <v/>
      </c>
      <c r="W35" s="13">
        <f>Construction!W14*W30*(Construction!W17+Inputs!$F$81)/100*(1/12)*1</f>
        <v/>
      </c>
      <c r="X35" s="13">
        <f>Construction!X14*X30*(Construction!X17+Inputs!$F$81)/100*(1/12)*1</f>
        <v/>
      </c>
      <c r="Y35" s="13">
        <f>Construction!Y14*Y30*(Construction!Y17+Inputs!$F$81)/100*(1/12)*1</f>
        <v/>
      </c>
      <c r="Z35" s="13">
        <f>Construction!Z14*Z30*(Construction!Z17+Inputs!$F$81)/100*(1/12)*1</f>
        <v/>
      </c>
      <c r="AA35" s="13">
        <f>Construction!AA14*AA30*(Construction!AA17+Inputs!$F$81)/100*(1/12)*1</f>
        <v/>
      </c>
      <c r="AB35" s="13">
        <f>Construction!AB14*AB30*(Construction!AB17+Inputs!$F$81)/100*(1/12)*1</f>
        <v/>
      </c>
      <c r="AC35" s="13">
        <f>Construction!AC14*AC30*(Construction!AC17+Inputs!$F$81)/100*(1/12)*1</f>
        <v/>
      </c>
      <c r="AD35" s="13">
        <f>Construction!AD14*AD30*(Construction!AD17+Inputs!$F$81)/100*(1/12)*1</f>
        <v/>
      </c>
      <c r="AE35" s="13">
        <f>Construction!AE14*AE30*(Construction!AE17+Inputs!$F$81)/100*(1/12)*1</f>
        <v/>
      </c>
      <c r="AF35" s="13">
        <f>Construction!AF14*AF30*(Construction!AF17+Inputs!$F$81)/100*(1/12)*1</f>
        <v/>
      </c>
      <c r="AG35" s="13">
        <f>Construction!AG14*AG30*(Construction!AG17+Inputs!$F$81)/100*(1/12)*1</f>
        <v/>
      </c>
      <c r="AH35" s="13">
        <f>Construction!AH14*AH30*(Construction!AH17+Inputs!$F$81)/100*(1/12)*1</f>
        <v/>
      </c>
      <c r="AI35" s="13">
        <f>Construction!AI14*AI30*(Construction!AI17+Inputs!$F$81)/100*(1/12)*1</f>
        <v/>
      </c>
      <c r="AJ35" s="13">
        <f>Construction!AJ14*AJ30*(Construction!AJ17+Inputs!$F$81)/100*(1/12)*1</f>
        <v/>
      </c>
      <c r="AK35" s="13">
        <f>Construction!AK14*AK30*(Construction!AK17+Inputs!$F$81)/100*(1/12)*1</f>
        <v/>
      </c>
      <c r="AL35" s="13">
        <f>Construction!AL14*AL30*(Construction!AL17+Inputs!$F$81)/100*(1/12)*1</f>
        <v/>
      </c>
      <c r="AM35" s="13">
        <f>Construction!AM14*AM30*(Construction!AM17+Inputs!$F$81)/100*(1/12)*1</f>
        <v/>
      </c>
      <c r="AN35" s="13">
        <f>Construction!AN14*AN30*(Construction!AN17+Inputs!$F$81)/100*(1/12)*1</f>
        <v/>
      </c>
      <c r="AO35" s="13">
        <f>Construction!AO14*AO30*(Construction!AO17+Inputs!$F$81)/100*(1/12)*1</f>
        <v/>
      </c>
      <c r="AP35" s="13">
        <f>Construction!AP14*AP30*(Construction!AP17+Inputs!$F$81)/100*(1/12)*1</f>
        <v/>
      </c>
      <c r="AQ35" s="13">
        <f>Construction!AQ14*AQ30*(Construction!AQ17+Inputs!$F$81)/100*(1/12)*1</f>
        <v/>
      </c>
      <c r="AR35" s="13">
        <f>Construction!AR14*AR30*(Construction!AR17+Inputs!$F$81)/100*(1/12)*1</f>
        <v/>
      </c>
      <c r="AS35" s="13">
        <f>Construction!AS14*AS30*(Construction!AS17+Inputs!$F$81)/100*(1/12)*1</f>
        <v/>
      </c>
      <c r="AT35" s="13">
        <f>Construction!AT14*AT30*(Construction!AT17+Inputs!$F$81)/100*(1/12)*1</f>
        <v/>
      </c>
      <c r="AU35" s="13">
        <f>Construction!AU14*AU30*(Construction!AU17+Inputs!$F$81)/100*(1/12)*1</f>
        <v/>
      </c>
      <c r="AV35" s="13">
        <f>Construction!AV14*AV30*(Construction!AV17+Inputs!$F$81)/100*(1/12)*1</f>
        <v/>
      </c>
      <c r="AW35" s="13">
        <f>Construction!AW14*AW30*(Construction!AW17+Inputs!$F$81)/100*(1/12)*1</f>
        <v/>
      </c>
      <c r="AX35" s="13">
        <f>Construction!AX14*AX30*(Construction!AX17+Inputs!$F$81)/100*(1/12)*1</f>
        <v/>
      </c>
      <c r="AY35" s="13">
        <f>Construction!AY14*AY30*(Construction!AY17+Inputs!$F$81)/100*(1/12)*1</f>
        <v/>
      </c>
      <c r="AZ35" s="13">
        <f>Construction!AZ14*AZ30*(Construction!AZ17+Inputs!$F$81)/100*(1/12)*1</f>
        <v/>
      </c>
      <c r="BA35" s="13">
        <f>Construction!BA14*BA30*(Construction!BA17+Inputs!$F$81)/100*(1/12)*1</f>
        <v/>
      </c>
      <c r="BB35" s="13">
        <f>Construction!BB14*BB30*(Construction!BB17+Inputs!$F$81)/100*(1/12)*1</f>
        <v/>
      </c>
      <c r="BC35" s="13">
        <f>Construction!BC14*BC30*(Construction!BC17+Inputs!$F$81)/100*(1/12)*1</f>
        <v/>
      </c>
      <c r="BD35" s="13">
        <f>Construction!BD14*BD30*(Construction!BD17+Inputs!$F$81)/100*(1/12)*1</f>
        <v/>
      </c>
      <c r="BE35" s="13">
        <f>Construction!BE14*BE30*(Construction!BE17+Inputs!$F$81)/100*(1/12)*1</f>
        <v/>
      </c>
      <c r="BF35" s="13">
        <f>Construction!BF14*BF30*(Construction!BF17+Inputs!$F$81)/100*(1/12)*1</f>
        <v/>
      </c>
      <c r="BG35" s="13">
        <f>Construction!BG14*BG30*(Construction!BG17+Inputs!$F$81)/100*(1/12)*1</f>
        <v/>
      </c>
      <c r="BH35" s="13">
        <f>Construction!BH14*BH30*(Construction!BH17+Inputs!$F$81)/100*(1/12)*1</f>
        <v/>
      </c>
      <c r="BI35" s="13">
        <f>Construction!BI14*BI30*(Construction!BI17+Inputs!$F$81)/100*(1/12)*1</f>
        <v/>
      </c>
      <c r="BJ35" s="13">
        <f>Construction!BJ14*BJ30*(Construction!BJ17+Inputs!$F$81)/100*(1/12)*1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Construction!J14*J31*(Construction!J17+Inputs!$F$82)/100*(1/12)*(1/(1-Inputs!$F$93/100))</f>
        <v/>
      </c>
      <c r="K36" s="13">
        <f>Construction!K14*K31*(Construction!K17+Inputs!$F$82)/100*(1/12)*(1/(1-Inputs!$F$93/100))</f>
        <v/>
      </c>
      <c r="L36" s="13">
        <f>Construction!L14*L31*(Construction!L17+Inputs!$F$82)/100*(1/12)*(1/(1-Inputs!$F$93/100))</f>
        <v/>
      </c>
      <c r="M36" s="13">
        <f>Construction!M14*M31*(Construction!M17+Inputs!$F$82)/100*(1/12)*(1/(1-Inputs!$F$93/100))</f>
        <v/>
      </c>
      <c r="N36" s="13">
        <f>Construction!N14*N31*(Construction!N17+Inputs!$F$82)/100*(1/12)*(1/(1-Inputs!$F$93/100))</f>
        <v/>
      </c>
      <c r="O36" s="13">
        <f>Construction!O14*O31*(Construction!O17+Inputs!$F$82)/100*(1/12)*(1/(1-Inputs!$F$93/100))</f>
        <v/>
      </c>
      <c r="P36" s="13">
        <f>Construction!P14*P31*(Construction!P17+Inputs!$F$82)/100*(1/12)*(1/(1-Inputs!$F$93/100))</f>
        <v/>
      </c>
      <c r="Q36" s="13">
        <f>Construction!Q14*Q31*(Construction!Q17+Inputs!$F$82)/100*(1/12)*(1/(1-Inputs!$F$93/100))</f>
        <v/>
      </c>
      <c r="R36" s="13">
        <f>Construction!R14*R31*(Construction!R17+Inputs!$F$82)/100*(1/12)*(1/(1-Inputs!$F$93/100))</f>
        <v/>
      </c>
      <c r="S36" s="13">
        <f>Construction!S14*S31*(Construction!S17+Inputs!$F$82)/100*(1/12)*(1/(1-Inputs!$F$93/100))</f>
        <v/>
      </c>
      <c r="T36" s="13">
        <f>Construction!T14*T31*(Construction!T17+Inputs!$F$82)/100*(1/12)*(1/(1-Inputs!$F$93/100))</f>
        <v/>
      </c>
      <c r="U36" s="13">
        <f>Construction!U14*U31*(Construction!U17+Inputs!$F$82)/100*(1/12)*(1/(1-Inputs!$F$93/100))</f>
        <v/>
      </c>
      <c r="V36" s="13">
        <f>Construction!V14*V31*(Construction!V17+Inputs!$F$82)/100*(1/12)*(1/(1-Inputs!$F$93/100))</f>
        <v/>
      </c>
      <c r="W36" s="13">
        <f>Construction!W14*W31*(Construction!W17+Inputs!$F$82)/100*(1/12)*(1/(1-Inputs!$F$93/100))</f>
        <v/>
      </c>
      <c r="X36" s="13">
        <f>Construction!X14*X31*(Construction!X17+Inputs!$F$82)/100*(1/12)*(1/(1-Inputs!$F$93/100))</f>
        <v/>
      </c>
      <c r="Y36" s="13">
        <f>Construction!Y14*Y31*(Construction!Y17+Inputs!$F$82)/100*(1/12)*(1/(1-Inputs!$F$93/100))</f>
        <v/>
      </c>
      <c r="Z36" s="13">
        <f>Construction!Z14*Z31*(Construction!Z17+Inputs!$F$82)/100*(1/12)*(1/(1-Inputs!$F$93/100))</f>
        <v/>
      </c>
      <c r="AA36" s="13">
        <f>Construction!AA14*AA31*(Construction!AA17+Inputs!$F$82)/100*(1/12)*(1/(1-Inputs!$F$93/100))</f>
        <v/>
      </c>
      <c r="AB36" s="13">
        <f>Construction!AB14*AB31*(Construction!AB17+Inputs!$F$82)/100*(1/12)*(1/(1-Inputs!$F$93/100))</f>
        <v/>
      </c>
      <c r="AC36" s="13">
        <f>Construction!AC14*AC31*(Construction!AC17+Inputs!$F$82)/100*(1/12)*(1/(1-Inputs!$F$93/100))</f>
        <v/>
      </c>
      <c r="AD36" s="13">
        <f>Construction!AD14*AD31*(Construction!AD17+Inputs!$F$82)/100*(1/12)*(1/(1-Inputs!$F$93/100))</f>
        <v/>
      </c>
      <c r="AE36" s="13">
        <f>Construction!AE14*AE31*(Construction!AE17+Inputs!$F$82)/100*(1/12)*(1/(1-Inputs!$F$93/100))</f>
        <v/>
      </c>
      <c r="AF36" s="13">
        <f>Construction!AF14*AF31*(Construction!AF17+Inputs!$F$82)/100*(1/12)*(1/(1-Inputs!$F$93/100))</f>
        <v/>
      </c>
      <c r="AG36" s="13">
        <f>Construction!AG14*AG31*(Construction!AG17+Inputs!$F$82)/100*(1/12)*(1/(1-Inputs!$F$93/100))</f>
        <v/>
      </c>
      <c r="AH36" s="13">
        <f>Construction!AH14*AH31*(Construction!AH17+Inputs!$F$82)/100*(1/12)*(1/(1-Inputs!$F$93/100))</f>
        <v/>
      </c>
      <c r="AI36" s="13">
        <f>Construction!AI14*AI31*(Construction!AI17+Inputs!$F$82)/100*(1/12)*(1/(1-Inputs!$F$93/100))</f>
        <v/>
      </c>
      <c r="AJ36" s="13">
        <f>Construction!AJ14*AJ31*(Construction!AJ17+Inputs!$F$82)/100*(1/12)*(1/(1-Inputs!$F$93/100))</f>
        <v/>
      </c>
      <c r="AK36" s="13">
        <f>Construction!AK14*AK31*(Construction!AK17+Inputs!$F$82)/100*(1/12)*(1/(1-Inputs!$F$93/100))</f>
        <v/>
      </c>
      <c r="AL36" s="13">
        <f>Construction!AL14*AL31*(Construction!AL17+Inputs!$F$82)/100*(1/12)*(1/(1-Inputs!$F$93/100))</f>
        <v/>
      </c>
      <c r="AM36" s="13">
        <f>Construction!AM14*AM31*(Construction!AM17+Inputs!$F$82)/100*(1/12)*(1/(1-Inputs!$F$93/100))</f>
        <v/>
      </c>
      <c r="AN36" s="13">
        <f>Construction!AN14*AN31*(Construction!AN17+Inputs!$F$82)/100*(1/12)*(1/(1-Inputs!$F$93/100))</f>
        <v/>
      </c>
      <c r="AO36" s="13">
        <f>Construction!AO14*AO31*(Construction!AO17+Inputs!$F$82)/100*(1/12)*(1/(1-Inputs!$F$93/100))</f>
        <v/>
      </c>
      <c r="AP36" s="13">
        <f>Construction!AP14*AP31*(Construction!AP17+Inputs!$F$82)/100*(1/12)*(1/(1-Inputs!$F$93/100))</f>
        <v/>
      </c>
      <c r="AQ36" s="13">
        <f>Construction!AQ14*AQ31*(Construction!AQ17+Inputs!$F$82)/100*(1/12)*(1/(1-Inputs!$F$93/100))</f>
        <v/>
      </c>
      <c r="AR36" s="13">
        <f>Construction!AR14*AR31*(Construction!AR17+Inputs!$F$82)/100*(1/12)*(1/(1-Inputs!$F$93/100))</f>
        <v/>
      </c>
      <c r="AS36" s="13">
        <f>Construction!AS14*AS31*(Construction!AS17+Inputs!$F$82)/100*(1/12)*(1/(1-Inputs!$F$93/100))</f>
        <v/>
      </c>
      <c r="AT36" s="13">
        <f>Construction!AT14*AT31*(Construction!AT17+Inputs!$F$82)/100*(1/12)*(1/(1-Inputs!$F$93/100))</f>
        <v/>
      </c>
      <c r="AU36" s="13">
        <f>Construction!AU14*AU31*(Construction!AU17+Inputs!$F$82)/100*(1/12)*(1/(1-Inputs!$F$93/100))</f>
        <v/>
      </c>
      <c r="AV36" s="13">
        <f>Construction!AV14*AV31*(Construction!AV17+Inputs!$F$82)/100*(1/12)*(1/(1-Inputs!$F$93/100))</f>
        <v/>
      </c>
      <c r="AW36" s="13">
        <f>Construction!AW14*AW31*(Construction!AW17+Inputs!$F$82)/100*(1/12)*(1/(1-Inputs!$F$93/100))</f>
        <v/>
      </c>
      <c r="AX36" s="13">
        <f>Construction!AX14*AX31*(Construction!AX17+Inputs!$F$82)/100*(1/12)*(1/(1-Inputs!$F$93/100))</f>
        <v/>
      </c>
      <c r="AY36" s="13">
        <f>Construction!AY14*AY31*(Construction!AY17+Inputs!$F$82)/100*(1/12)*(1/(1-Inputs!$F$93/100))</f>
        <v/>
      </c>
      <c r="AZ36" s="13">
        <f>Construction!AZ14*AZ31*(Construction!AZ17+Inputs!$F$82)/100*(1/12)*(1/(1-Inputs!$F$93/100))</f>
        <v/>
      </c>
      <c r="BA36" s="13">
        <f>Construction!BA14*BA31*(Construction!BA17+Inputs!$F$82)/100*(1/12)*(1/(1-Inputs!$F$93/100))</f>
        <v/>
      </c>
      <c r="BB36" s="13">
        <f>Construction!BB14*BB31*(Construction!BB17+Inputs!$F$82)/100*(1/12)*(1/(1-Inputs!$F$93/100))</f>
        <v/>
      </c>
      <c r="BC36" s="13">
        <f>Construction!BC14*BC31*(Construction!BC17+Inputs!$F$82)/100*(1/12)*(1/(1-Inputs!$F$93/100))</f>
        <v/>
      </c>
      <c r="BD36" s="13">
        <f>Construction!BD14*BD31*(Construction!BD17+Inputs!$F$82)/100*(1/12)*(1/(1-Inputs!$F$93/100))</f>
        <v/>
      </c>
      <c r="BE36" s="13">
        <f>Construction!BE14*BE31*(Construction!BE17+Inputs!$F$82)/100*(1/12)*(1/(1-Inputs!$F$93/100))</f>
        <v/>
      </c>
      <c r="BF36" s="13">
        <f>Construction!BF14*BF31*(Construction!BF17+Inputs!$F$82)/100*(1/12)*(1/(1-Inputs!$F$93/100))</f>
        <v/>
      </c>
      <c r="BG36" s="13">
        <f>Construction!BG14*BG31*(Construction!BG17+Inputs!$F$82)/100*(1/12)*(1/(1-Inputs!$F$93/100))</f>
        <v/>
      </c>
      <c r="BH36" s="13">
        <f>Construction!BH14*BH31*(Construction!BH17+Inputs!$F$82)/100*(1/12)*(1/(1-Inputs!$F$93/100))</f>
        <v/>
      </c>
      <c r="BI36" s="13">
        <f>Construction!BI14*BI31*(Construction!BI17+Inputs!$F$82)/100*(1/12)*(1/(1-Inputs!$F$93/100))</f>
        <v/>
      </c>
      <c r="BJ36" s="13">
        <f>Construction!BJ14*BJ31*(Construction!BJ17+Inputs!$F$82)/100*(1/12)*(1/(1-Inputs!$F$93/100))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-1*Construction!J14*Inputs!J309*(Inputs!$F$97/100/12-Construction!J17/100*Construction!J11/Inputs!$F$247)</f>
        <v/>
      </c>
      <c r="K39" s="13">
        <f>-1*Construction!K14*Inputs!K309*(Inputs!$F$97/100/12-Construction!K17/100*Construction!K11/Inputs!$F$247)</f>
        <v/>
      </c>
      <c r="L39" s="13">
        <f>-1*Construction!L14*Inputs!L309*(Inputs!$F$97/100/12-Construction!L17/100*Construction!L11/Inputs!$F$247)</f>
        <v/>
      </c>
      <c r="M39" s="13">
        <f>-1*Construction!M14*Inputs!M309*(Inputs!$F$97/100/12-Construction!M17/100*Construction!M11/Inputs!$F$247)</f>
        <v/>
      </c>
      <c r="N39" s="13">
        <f>-1*Construction!N14*Inputs!N309*(Inputs!$F$97/100/12-Construction!N17/100*Construction!N11/Inputs!$F$247)</f>
        <v/>
      </c>
      <c r="O39" s="13">
        <f>-1*Construction!O14*Inputs!O309*(Inputs!$F$97/100/12-Construction!O17/100*Construction!O11/Inputs!$F$247)</f>
        <v/>
      </c>
      <c r="P39" s="13">
        <f>-1*Construction!P14*Inputs!P309*(Inputs!$F$97/100/12-Construction!P17/100*Construction!P11/Inputs!$F$247)</f>
        <v/>
      </c>
      <c r="Q39" s="13">
        <f>-1*Construction!Q14*Inputs!Q309*(Inputs!$F$97/100/12-Construction!Q17/100*Construction!Q11/Inputs!$F$247)</f>
        <v/>
      </c>
      <c r="R39" s="13">
        <f>-1*Construction!R14*Inputs!R309*(Inputs!$F$97/100/12-Construction!R17/100*Construction!R11/Inputs!$F$247)</f>
        <v/>
      </c>
      <c r="S39" s="13">
        <f>-1*Construction!S14*Inputs!S309*(Inputs!$F$97/100/12-Construction!S17/100*Construction!S11/Inputs!$F$247)</f>
        <v/>
      </c>
      <c r="T39" s="13">
        <f>-1*Construction!T14*Inputs!T309*(Inputs!$F$97/100/12-Construction!T17/100*Construction!T11/Inputs!$F$247)</f>
        <v/>
      </c>
      <c r="U39" s="13">
        <f>-1*Construction!U14*Inputs!U309*(Inputs!$F$97/100/12-Construction!U17/100*Construction!U11/Inputs!$F$247)</f>
        <v/>
      </c>
      <c r="V39" s="13">
        <f>-1*Construction!V14*Inputs!V309*(Inputs!$F$97/100/12-Construction!V17/100*Construction!V11/Inputs!$F$247)</f>
        <v/>
      </c>
      <c r="W39" s="13">
        <f>-1*Construction!W14*Inputs!W309*(Inputs!$F$97/100/12-Construction!W17/100*Construction!W11/Inputs!$F$247)</f>
        <v/>
      </c>
      <c r="X39" s="13">
        <f>-1*Construction!X14*Inputs!X309*(Inputs!$F$97/100/12-Construction!X17/100*Construction!X11/Inputs!$F$247)</f>
        <v/>
      </c>
      <c r="Y39" s="13">
        <f>-1*Construction!Y14*Inputs!Y309*(Inputs!$F$97/100/12-Construction!Y17/100*Construction!Y11/Inputs!$F$247)</f>
        <v/>
      </c>
      <c r="Z39" s="13">
        <f>-1*Construction!Z14*Inputs!Z309*(Inputs!$F$97/100/12-Construction!Z17/100*Construction!Z11/Inputs!$F$247)</f>
        <v/>
      </c>
      <c r="AA39" s="13">
        <f>-1*Construction!AA14*Inputs!AA309*(Inputs!$F$97/100/12-Construction!AA17/100*Construction!AA11/Inputs!$F$247)</f>
        <v/>
      </c>
      <c r="AB39" s="13">
        <f>-1*Construction!AB14*Inputs!AB309*(Inputs!$F$97/100/12-Construction!AB17/100*Construction!AB11/Inputs!$F$247)</f>
        <v/>
      </c>
      <c r="AC39" s="13">
        <f>-1*Construction!AC14*Inputs!AC309*(Inputs!$F$97/100/12-Construction!AC17/100*Construction!AC11/Inputs!$F$247)</f>
        <v/>
      </c>
      <c r="AD39" s="13">
        <f>-1*Construction!AD14*Inputs!AD309*(Inputs!$F$97/100/12-Construction!AD17/100*Construction!AD11/Inputs!$F$247)</f>
        <v/>
      </c>
      <c r="AE39" s="13">
        <f>-1*Construction!AE14*Inputs!AE309*(Inputs!$F$97/100/12-Construction!AE17/100*Construction!AE11/Inputs!$F$247)</f>
        <v/>
      </c>
      <c r="AF39" s="13">
        <f>-1*Construction!AF14*Inputs!AF309*(Inputs!$F$97/100/12-Construction!AF17/100*Construction!AF11/Inputs!$F$247)</f>
        <v/>
      </c>
      <c r="AG39" s="13">
        <f>-1*Construction!AG14*Inputs!AG309*(Inputs!$F$97/100/12-Construction!AG17/100*Construction!AG11/Inputs!$F$247)</f>
        <v/>
      </c>
      <c r="AH39" s="13">
        <f>-1*Construction!AH14*Inputs!AH309*(Inputs!$F$97/100/12-Construction!AH17/100*Construction!AH11/Inputs!$F$247)</f>
        <v/>
      </c>
      <c r="AI39" s="13">
        <f>-1*Construction!AI14*Inputs!AI309*(Inputs!$F$97/100/12-Construction!AI17/100*Construction!AI11/Inputs!$F$247)</f>
        <v/>
      </c>
      <c r="AJ39" s="13">
        <f>-1*Construction!AJ14*Inputs!AJ309*(Inputs!$F$97/100/12-Construction!AJ17/100*Construction!AJ11/Inputs!$F$247)</f>
        <v/>
      </c>
      <c r="AK39" s="13">
        <f>-1*Construction!AK14*Inputs!AK309*(Inputs!$F$97/100/12-Construction!AK17/100*Construction!AK11/Inputs!$F$247)</f>
        <v/>
      </c>
      <c r="AL39" s="13">
        <f>-1*Construction!AL14*Inputs!AL309*(Inputs!$F$97/100/12-Construction!AL17/100*Construction!AL11/Inputs!$F$247)</f>
        <v/>
      </c>
      <c r="AM39" s="13">
        <f>-1*Construction!AM14*Inputs!AM309*(Inputs!$F$97/100/12-Construction!AM17/100*Construction!AM11/Inputs!$F$247)</f>
        <v/>
      </c>
      <c r="AN39" s="13">
        <f>-1*Construction!AN14*Inputs!AN309*(Inputs!$F$97/100/12-Construction!AN17/100*Construction!AN11/Inputs!$F$247)</f>
        <v/>
      </c>
      <c r="AO39" s="13">
        <f>-1*Construction!AO14*Inputs!AO309*(Inputs!$F$97/100/12-Construction!AO17/100*Construction!AO11/Inputs!$F$247)</f>
        <v/>
      </c>
      <c r="AP39" s="13">
        <f>-1*Construction!AP14*Inputs!AP309*(Inputs!$F$97/100/12-Construction!AP17/100*Construction!AP11/Inputs!$F$247)</f>
        <v/>
      </c>
      <c r="AQ39" s="13">
        <f>-1*Construction!AQ14*Inputs!AQ309*(Inputs!$F$97/100/12-Construction!AQ17/100*Construction!AQ11/Inputs!$F$247)</f>
        <v/>
      </c>
      <c r="AR39" s="13">
        <f>-1*Construction!AR14*Inputs!AR309*(Inputs!$F$97/100/12-Construction!AR17/100*Construction!AR11/Inputs!$F$247)</f>
        <v/>
      </c>
      <c r="AS39" s="13">
        <f>-1*Construction!AS14*Inputs!AS309*(Inputs!$F$97/100/12-Construction!AS17/100*Construction!AS11/Inputs!$F$247)</f>
        <v/>
      </c>
      <c r="AT39" s="13">
        <f>-1*Construction!AT14*Inputs!AT309*(Inputs!$F$97/100/12-Construction!AT17/100*Construction!AT11/Inputs!$F$247)</f>
        <v/>
      </c>
      <c r="AU39" s="13">
        <f>-1*Construction!AU14*Inputs!AU309*(Inputs!$F$97/100/12-Construction!AU17/100*Construction!AU11/Inputs!$F$247)</f>
        <v/>
      </c>
      <c r="AV39" s="13">
        <f>-1*Construction!AV14*Inputs!AV309*(Inputs!$F$97/100/12-Construction!AV17/100*Construction!AV11/Inputs!$F$247)</f>
        <v/>
      </c>
      <c r="AW39" s="13">
        <f>-1*Construction!AW14*Inputs!AW309*(Inputs!$F$97/100/12-Construction!AW17/100*Construction!AW11/Inputs!$F$247)</f>
        <v/>
      </c>
      <c r="AX39" s="13">
        <f>-1*Construction!AX14*Inputs!AX309*(Inputs!$F$97/100/12-Construction!AX17/100*Construction!AX11/Inputs!$F$247)</f>
        <v/>
      </c>
      <c r="AY39" s="13">
        <f>-1*Construction!AY14*Inputs!AY309*(Inputs!$F$97/100/12-Construction!AY17/100*Construction!AY11/Inputs!$F$247)</f>
        <v/>
      </c>
      <c r="AZ39" s="13">
        <f>-1*Construction!AZ14*Inputs!AZ309*(Inputs!$F$97/100/12-Construction!AZ17/100*Construction!AZ11/Inputs!$F$247)</f>
        <v/>
      </c>
      <c r="BA39" s="13">
        <f>-1*Construction!BA14*Inputs!BA309*(Inputs!$F$97/100/12-Construction!BA17/100*Construction!BA11/Inputs!$F$247)</f>
        <v/>
      </c>
      <c r="BB39" s="13">
        <f>-1*Construction!BB14*Inputs!BB309*(Inputs!$F$97/100/12-Construction!BB17/100*Construction!BB11/Inputs!$F$247)</f>
        <v/>
      </c>
      <c r="BC39" s="13">
        <f>-1*Construction!BC14*Inputs!BC309*(Inputs!$F$97/100/12-Construction!BC17/100*Construction!BC11/Inputs!$F$247)</f>
        <v/>
      </c>
      <c r="BD39" s="13">
        <f>-1*Construction!BD14*Inputs!BD309*(Inputs!$F$97/100/12-Construction!BD17/100*Construction!BD11/Inputs!$F$247)</f>
        <v/>
      </c>
      <c r="BE39" s="13">
        <f>-1*Construction!BE14*Inputs!BE309*(Inputs!$F$97/100/12-Construction!BE17/100*Construction!BE11/Inputs!$F$247)</f>
        <v/>
      </c>
      <c r="BF39" s="13">
        <f>-1*Construction!BF14*Inputs!BF309*(Inputs!$F$97/100/12-Construction!BF17/100*Construction!BF11/Inputs!$F$247)</f>
        <v/>
      </c>
      <c r="BG39" s="13">
        <f>-1*Construction!BG14*Inputs!BG309*(Inputs!$F$97/100/12-Construction!BG17/100*Construction!BG11/Inputs!$F$247)</f>
        <v/>
      </c>
      <c r="BH39" s="13">
        <f>-1*Construction!BH14*Inputs!BH309*(Inputs!$F$97/100/12-Construction!BH17/100*Construction!BH11/Inputs!$F$247)</f>
        <v/>
      </c>
      <c r="BI39" s="13">
        <f>-1*Construction!BI14*Inputs!BI309*(Inputs!$F$97/100/12-Construction!BI17/100*Construction!BI11/Inputs!$F$247)</f>
        <v/>
      </c>
      <c r="BJ39" s="13">
        <f>-1*Construction!BJ14*Inputs!BJ309*(Inputs!$F$97/100/12-Construction!BJ17/100*Construction!BJ11/Inputs!$F$247)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MIN(($F$26*(J45-J44)+J44)/(1-Inputs!$F$94/100*Inputs!$F$75*$F$26),J46)</f>
        <v/>
      </c>
      <c r="K47" s="13">
        <f>MIN(($F$26*(K45-K44)+K44)/(1-Inputs!$F$94/100*Inputs!$F$75*$F$26),K46)</f>
        <v/>
      </c>
      <c r="L47" s="13">
        <f>MIN(($F$26*(L45-L44)+L44)/(1-Inputs!$F$94/100*Inputs!$F$75*$F$26),L46)</f>
        <v/>
      </c>
      <c r="M47" s="13">
        <f>MIN(($F$26*(M45-M44)+M44)/(1-Inputs!$F$94/100*Inputs!$F$75*$F$26),M46)</f>
        <v/>
      </c>
      <c r="N47" s="13">
        <f>MIN(($F$26*(N45-N44)+N44)/(1-Inputs!$F$94/100*Inputs!$F$75*$F$26),N46)</f>
        <v/>
      </c>
      <c r="O47" s="13">
        <f>MIN(($F$26*(O45-O44)+O44)/(1-Inputs!$F$94/100*Inputs!$F$75*$F$26),O46)</f>
        <v/>
      </c>
      <c r="P47" s="13">
        <f>MIN(($F$26*(P45-P44)+P44)/(1-Inputs!$F$94/100*Inputs!$F$75*$F$26),P46)</f>
        <v/>
      </c>
      <c r="Q47" s="13">
        <f>MIN(($F$26*(Q45-Q44)+Q44)/(1-Inputs!$F$94/100*Inputs!$F$75*$F$26),Q46)</f>
        <v/>
      </c>
      <c r="R47" s="13">
        <f>MIN(($F$26*(R45-R44)+R44)/(1-Inputs!$F$94/100*Inputs!$F$75*$F$26),R46)</f>
        <v/>
      </c>
      <c r="S47" s="13">
        <f>MIN(($F$26*(S45-S44)+S44)/(1-Inputs!$F$94/100*Inputs!$F$75*$F$26),S46)</f>
        <v/>
      </c>
      <c r="T47" s="13">
        <f>MIN(($F$26*(T45-T44)+T44)/(1-Inputs!$F$94/100*Inputs!$F$75*$F$26),T46)</f>
        <v/>
      </c>
      <c r="U47" s="13">
        <f>MIN(($F$26*(U45-U44)+U44)/(1-Inputs!$F$94/100*Inputs!$F$75*$F$26),U46)</f>
        <v/>
      </c>
      <c r="V47" s="13">
        <f>MIN(($F$26*(V45-V44)+V44)/(1-Inputs!$F$94/100*Inputs!$F$75*$F$26),V46)</f>
        <v/>
      </c>
      <c r="W47" s="13">
        <f>MIN(($F$26*(W45-W44)+W44)/(1-Inputs!$F$94/100*Inputs!$F$75*$F$26),W46)</f>
        <v/>
      </c>
      <c r="X47" s="13">
        <f>MIN(($F$26*(X45-X44)+X44)/(1-Inputs!$F$94/100*Inputs!$F$75*$F$26),X46)</f>
        <v/>
      </c>
      <c r="Y47" s="13">
        <f>MIN(($F$26*(Y45-Y44)+Y44)/(1-Inputs!$F$94/100*Inputs!$F$75*$F$26),Y46)</f>
        <v/>
      </c>
      <c r="Z47" s="13">
        <f>MIN(($F$26*(Z45-Z44)+Z44)/(1-Inputs!$F$94/100*Inputs!$F$75*$F$26),Z46)</f>
        <v/>
      </c>
      <c r="AA47" s="13">
        <f>MIN(($F$26*(AA45-AA44)+AA44)/(1-Inputs!$F$94/100*Inputs!$F$75*$F$26),AA46)</f>
        <v/>
      </c>
      <c r="AB47" s="13">
        <f>MIN(($F$26*(AB45-AB44)+AB44)/(1-Inputs!$F$94/100*Inputs!$F$75*$F$26),AB46)</f>
        <v/>
      </c>
      <c r="AC47" s="13">
        <f>MIN(($F$26*(AC45-AC44)+AC44)/(1-Inputs!$F$94/100*Inputs!$F$75*$F$26),AC46)</f>
        <v/>
      </c>
      <c r="AD47" s="13">
        <f>MIN(($F$26*(AD45-AD44)+AD44)/(1-Inputs!$F$94/100*Inputs!$F$75*$F$26),AD46)</f>
        <v/>
      </c>
      <c r="AE47" s="13">
        <f>MIN(($F$26*(AE45-AE44)+AE44)/(1-Inputs!$F$94/100*Inputs!$F$75*$F$26),AE46)</f>
        <v/>
      </c>
      <c r="AF47" s="13">
        <f>MIN(($F$26*(AF45-AF44)+AF44)/(1-Inputs!$F$94/100*Inputs!$F$75*$F$26),AF46)</f>
        <v/>
      </c>
      <c r="AG47" s="13">
        <f>MIN(($F$26*(AG45-AG44)+AG44)/(1-Inputs!$F$94/100*Inputs!$F$75*$F$26),AG46)</f>
        <v/>
      </c>
      <c r="AH47" s="13">
        <f>MIN(($F$26*(AH45-AH44)+AH44)/(1-Inputs!$F$94/100*Inputs!$F$75*$F$26),AH46)</f>
        <v/>
      </c>
      <c r="AI47" s="13">
        <f>MIN(($F$26*(AI45-AI44)+AI44)/(1-Inputs!$F$94/100*Inputs!$F$75*$F$26),AI46)</f>
        <v/>
      </c>
      <c r="AJ47" s="13">
        <f>MIN(($F$26*(AJ45-AJ44)+AJ44)/(1-Inputs!$F$94/100*Inputs!$F$75*$F$26),AJ46)</f>
        <v/>
      </c>
      <c r="AK47" s="13">
        <f>MIN(($F$26*(AK45-AK44)+AK44)/(1-Inputs!$F$94/100*Inputs!$F$75*$F$26),AK46)</f>
        <v/>
      </c>
      <c r="AL47" s="13">
        <f>MIN(($F$26*(AL45-AL44)+AL44)/(1-Inputs!$F$94/100*Inputs!$F$75*$F$26),AL46)</f>
        <v/>
      </c>
      <c r="AM47" s="13">
        <f>MIN(($F$26*(AM45-AM44)+AM44)/(1-Inputs!$F$94/100*Inputs!$F$75*$F$26),AM46)</f>
        <v/>
      </c>
      <c r="AN47" s="13">
        <f>MIN(($F$26*(AN45-AN44)+AN44)/(1-Inputs!$F$94/100*Inputs!$F$75*$F$26),AN46)</f>
        <v/>
      </c>
      <c r="AO47" s="13">
        <f>MIN(($F$26*(AO45-AO44)+AO44)/(1-Inputs!$F$94/100*Inputs!$F$75*$F$26),AO46)</f>
        <v/>
      </c>
      <c r="AP47" s="13">
        <f>MIN(($F$26*(AP45-AP44)+AP44)/(1-Inputs!$F$94/100*Inputs!$F$75*$F$26),AP46)</f>
        <v/>
      </c>
      <c r="AQ47" s="13">
        <f>MIN(($F$26*(AQ45-AQ44)+AQ44)/(1-Inputs!$F$94/100*Inputs!$F$75*$F$26),AQ46)</f>
        <v/>
      </c>
      <c r="AR47" s="13">
        <f>MIN(($F$26*(AR45-AR44)+AR44)/(1-Inputs!$F$94/100*Inputs!$F$75*$F$26),AR46)</f>
        <v/>
      </c>
      <c r="AS47" s="13">
        <f>MIN(($F$26*(AS45-AS44)+AS44)/(1-Inputs!$F$94/100*Inputs!$F$75*$F$26),AS46)</f>
        <v/>
      </c>
      <c r="AT47" s="13">
        <f>MIN(($F$26*(AT45-AT44)+AT44)/(1-Inputs!$F$94/100*Inputs!$F$75*$F$26),AT46)</f>
        <v/>
      </c>
      <c r="AU47" s="13">
        <f>MIN(($F$26*(AU45-AU44)+AU44)/(1-Inputs!$F$94/100*Inputs!$F$75*$F$26),AU46)</f>
        <v/>
      </c>
      <c r="AV47" s="13">
        <f>MIN(($F$26*(AV45-AV44)+AV44)/(1-Inputs!$F$94/100*Inputs!$F$75*$F$26),AV46)</f>
        <v/>
      </c>
      <c r="AW47" s="13">
        <f>MIN(($F$26*(AW45-AW44)+AW44)/(1-Inputs!$F$94/100*Inputs!$F$75*$F$26),AW46)</f>
        <v/>
      </c>
      <c r="AX47" s="13">
        <f>MIN(($F$26*(AX45-AX44)+AX44)/(1-Inputs!$F$94/100*Inputs!$F$75*$F$26),AX46)</f>
        <v/>
      </c>
      <c r="AY47" s="13">
        <f>MIN(($F$26*(AY45-AY44)+AY44)/(1-Inputs!$F$94/100*Inputs!$F$75*$F$26),AY46)</f>
        <v/>
      </c>
      <c r="AZ47" s="13">
        <f>MIN(($F$26*(AZ45-AZ44)+AZ44)/(1-Inputs!$F$94/100*Inputs!$F$75*$F$26),AZ46)</f>
        <v/>
      </c>
      <c r="BA47" s="13">
        <f>MIN(($F$26*(BA45-BA44)+BA44)/(1-Inputs!$F$94/100*Inputs!$F$75*$F$26),BA46)</f>
        <v/>
      </c>
      <c r="BB47" s="13">
        <f>MIN(($F$26*(BB45-BB44)+BB44)/(1-Inputs!$F$94/100*Inputs!$F$75*$F$26),BB46)</f>
        <v/>
      </c>
      <c r="BC47" s="13">
        <f>MIN(($F$26*(BC45-BC44)+BC44)/(1-Inputs!$F$94/100*Inputs!$F$75*$F$26),BC46)</f>
        <v/>
      </c>
      <c r="BD47" s="13">
        <f>MIN(($F$26*(BD45-BD44)+BD44)/(1-Inputs!$F$94/100*Inputs!$F$75*$F$26),BD46)</f>
        <v/>
      </c>
      <c r="BE47" s="13">
        <f>MIN(($F$26*(BE45-BE44)+BE44)/(1-Inputs!$F$94/100*Inputs!$F$75*$F$26),BE46)</f>
        <v/>
      </c>
      <c r="BF47" s="13">
        <f>MIN(($F$26*(BF45-BF44)+BF44)/(1-Inputs!$F$94/100*Inputs!$F$75*$F$26),BF46)</f>
        <v/>
      </c>
      <c r="BG47" s="13">
        <f>MIN(($F$26*(BG45-BG44)+BG44)/(1-Inputs!$F$94/100*Inputs!$F$75*$F$26),BG46)</f>
        <v/>
      </c>
      <c r="BH47" s="13">
        <f>MIN(($F$26*(BH45-BH44)+BH44)/(1-Inputs!$F$94/100*Inputs!$F$75*$F$26),BH46)</f>
        <v/>
      </c>
      <c r="BI47" s="13">
        <f>MIN(($F$26*(BI45-BI44)+BI44)/(1-Inputs!$F$94/100*Inputs!$F$75*$F$26),BI46)</f>
        <v/>
      </c>
      <c r="BJ47" s="13">
        <f>MIN(($F$26*(BJ45-BJ44)+BJ44)/(1-Inputs!$F$94/100*Inputs!$F$75*$F$26),BJ46)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J49</f>
        <v/>
      </c>
      <c r="K50" s="13">
        <f>K49</f>
        <v/>
      </c>
      <c r="L50" s="13">
        <f>L49</f>
        <v/>
      </c>
      <c r="M50" s="13">
        <f>M49</f>
        <v/>
      </c>
      <c r="N50" s="13">
        <f>N49</f>
        <v/>
      </c>
      <c r="O50" s="13">
        <f>O49</f>
        <v/>
      </c>
      <c r="P50" s="13">
        <f>P49</f>
        <v/>
      </c>
      <c r="Q50" s="13">
        <f>Q49</f>
        <v/>
      </c>
      <c r="R50" s="13">
        <f>R49</f>
        <v/>
      </c>
      <c r="S50" s="13">
        <f>S49</f>
        <v/>
      </c>
      <c r="T50" s="13">
        <f>T49</f>
        <v/>
      </c>
      <c r="U50" s="13">
        <f>U49</f>
        <v/>
      </c>
      <c r="V50" s="13">
        <f>V49</f>
        <v/>
      </c>
      <c r="W50" s="13">
        <f>W49</f>
        <v/>
      </c>
      <c r="X50" s="13">
        <f>X49</f>
        <v/>
      </c>
      <c r="Y50" s="13">
        <f>Y49</f>
        <v/>
      </c>
      <c r="Z50" s="13">
        <f>Z49</f>
        <v/>
      </c>
      <c r="AA50" s="13">
        <f>AA49</f>
        <v/>
      </c>
      <c r="AB50" s="13">
        <f>AB49</f>
        <v/>
      </c>
      <c r="AC50" s="13">
        <f>AC49</f>
        <v/>
      </c>
      <c r="AD50" s="13">
        <f>AD49</f>
        <v/>
      </c>
      <c r="AE50" s="13">
        <f>AE49</f>
        <v/>
      </c>
      <c r="AF50" s="13">
        <f>AF49</f>
        <v/>
      </c>
      <c r="AG50" s="13">
        <f>AG49</f>
        <v/>
      </c>
      <c r="AH50" s="13">
        <f>AH49</f>
        <v/>
      </c>
      <c r="AI50" s="13">
        <f>AI49</f>
        <v/>
      </c>
      <c r="AJ50" s="13">
        <f>AJ49</f>
        <v/>
      </c>
      <c r="AK50" s="13">
        <f>AK49</f>
        <v/>
      </c>
      <c r="AL50" s="13">
        <f>AL49</f>
        <v/>
      </c>
      <c r="AM50" s="13">
        <f>AM49</f>
        <v/>
      </c>
      <c r="AN50" s="13">
        <f>AN49</f>
        <v/>
      </c>
      <c r="AO50" s="13">
        <f>AO49</f>
        <v/>
      </c>
      <c r="AP50" s="13">
        <f>AP49</f>
        <v/>
      </c>
      <c r="AQ50" s="13">
        <f>AQ49</f>
        <v/>
      </c>
      <c r="AR50" s="13">
        <f>AR49</f>
        <v/>
      </c>
      <c r="AS50" s="13">
        <f>AS49</f>
        <v/>
      </c>
      <c r="AT50" s="13">
        <f>AT49</f>
        <v/>
      </c>
      <c r="AU50" s="13">
        <f>AU49</f>
        <v/>
      </c>
      <c r="AV50" s="13">
        <f>AV49</f>
        <v/>
      </c>
      <c r="AW50" s="13">
        <f>AW49</f>
        <v/>
      </c>
      <c r="AX50" s="13">
        <f>AX49</f>
        <v/>
      </c>
      <c r="AY50" s="13">
        <f>AY49</f>
        <v/>
      </c>
      <c r="AZ50" s="13">
        <f>AZ49</f>
        <v/>
      </c>
      <c r="BA50" s="13">
        <f>BA49</f>
        <v/>
      </c>
      <c r="BB50" s="13">
        <f>BB49</f>
        <v/>
      </c>
      <c r="BC50" s="13">
        <f>BC49</f>
        <v/>
      </c>
      <c r="BD50" s="13">
        <f>BD49</f>
        <v/>
      </c>
      <c r="BE50" s="13">
        <f>BE49</f>
        <v/>
      </c>
      <c r="BF50" s="13">
        <f>BF49</f>
        <v/>
      </c>
      <c r="BG50" s="13">
        <f>BG49</f>
        <v/>
      </c>
      <c r="BH50" s="13">
        <f>BH49</f>
        <v/>
      </c>
      <c r="BI50" s="13">
        <f>BI49</f>
        <v/>
      </c>
      <c r="BJ50" s="13">
        <f>BJ49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(Operations!J9+Inputs!$F$79+J9)/100*0.5</f>
        <v/>
      </c>
      <c r="K10" s="16">
        <f>(Operations!K9+Inputs!$F$79+K9)/100*0.5</f>
        <v/>
      </c>
      <c r="L10" s="16">
        <f>(Operations!L9+Inputs!$F$79+L9)/100*0.5</f>
        <v/>
      </c>
      <c r="M10" s="16">
        <f>(Operations!M9+Inputs!$F$79+M9)/100*0.5</f>
        <v/>
      </c>
      <c r="N10" s="16">
        <f>(Operations!N9+Inputs!$F$79+N9)/100*0.5</f>
        <v/>
      </c>
      <c r="O10" s="16">
        <f>(Operations!O9+Inputs!$F$79+O9)/100*0.5</f>
        <v/>
      </c>
      <c r="P10" s="16">
        <f>(Operations!P9+Inputs!$F$79+P9)/100*0.5</f>
        <v/>
      </c>
      <c r="Q10" s="16">
        <f>(Operations!Q9+Inputs!$F$79+Q9)/100*0.5</f>
        <v/>
      </c>
      <c r="R10" s="16">
        <f>(Operations!R9+Inputs!$F$79+R9)/100*0.5</f>
        <v/>
      </c>
      <c r="S10" s="16">
        <f>(Operations!S9+Inputs!$F$79+S9)/100*0.5</f>
        <v/>
      </c>
      <c r="T10" s="16">
        <f>(Operations!T9+Inputs!$F$79+T9)/100*0.5</f>
        <v/>
      </c>
      <c r="U10" s="16">
        <f>(Operations!U9+Inputs!$F$79+U9)/100*0.5</f>
        <v/>
      </c>
      <c r="V10" s="16">
        <f>(Operations!V9+Inputs!$F$79+V9)/100*0.5</f>
        <v/>
      </c>
      <c r="W10" s="16">
        <f>(Operations!W9+Inputs!$F$79+W9)/100*0.5</f>
        <v/>
      </c>
      <c r="X10" s="16">
        <f>(Operations!X9+Inputs!$F$79+X9)/100*0.5</f>
        <v/>
      </c>
      <c r="Y10" s="16">
        <f>(Operations!Y9+Inputs!$F$79+Y9)/100*0.5</f>
        <v/>
      </c>
      <c r="Z10" s="16">
        <f>(Operations!Z9+Inputs!$F$79+Z9)/100*0.5</f>
        <v/>
      </c>
      <c r="AA10" s="16">
        <f>(Operations!AA9+Inputs!$F$79+AA9)/100*0.5</f>
        <v/>
      </c>
      <c r="AB10" s="16">
        <f>(Operations!AB9+Inputs!$F$79+AB9)/100*0.5</f>
        <v/>
      </c>
      <c r="AC10" s="16">
        <f>(Operations!AC9+Inputs!$F$79+AC9)/100*0.5</f>
        <v/>
      </c>
      <c r="AD10" s="16">
        <f>(Operations!AD9+Inputs!$F$79+AD9)/100*0.5</f>
        <v/>
      </c>
      <c r="AE10" s="16">
        <f>(Operations!AE9+Inputs!$F$79+AE9)/100*0.5</f>
        <v/>
      </c>
      <c r="AF10" s="16">
        <f>(Operations!AF9+Inputs!$F$79+AF9)/100*0.5</f>
        <v/>
      </c>
      <c r="AG10" s="16">
        <f>(Operations!AG9+Inputs!$F$79+AG9)/100*0.5</f>
        <v/>
      </c>
      <c r="AH10" s="16">
        <f>(Operations!AH9+Inputs!$F$79+AH9)/100*0.5</f>
        <v/>
      </c>
      <c r="AI10" s="16">
        <f>(Operations!AI9+Inputs!$F$79+AI9)/100*0.5</f>
        <v/>
      </c>
      <c r="AJ10" s="16">
        <f>(Operations!AJ9+Inputs!$F$79+AJ9)/100*0.5</f>
        <v/>
      </c>
      <c r="AK10" s="16">
        <f>(Operations!AK9+Inputs!$F$79+AK9)/100*0.5</f>
        <v/>
      </c>
      <c r="AL10" s="16">
        <f>(Operations!AL9+Inputs!$F$79+AL9)/100*0.5</f>
        <v/>
      </c>
      <c r="AM10" s="16">
        <f>(Operations!AM9+Inputs!$F$79+AM9)/100*0.5</f>
        <v/>
      </c>
      <c r="AN10" s="16">
        <f>(Operations!AN9+Inputs!$F$79+AN9)/100*0.5</f>
        <v/>
      </c>
      <c r="AO10" s="16">
        <f>(Operations!AO9+Inputs!$F$79+AO9)/100*0.5</f>
        <v/>
      </c>
      <c r="AP10" s="16">
        <f>(Operations!AP9+Inputs!$F$79+AP9)/100*0.5</f>
        <v/>
      </c>
      <c r="AQ10" s="16">
        <f>(Operations!AQ9+Inputs!$F$79+AQ9)/100*0.5</f>
        <v/>
      </c>
      <c r="AR10" s="16">
        <f>(Operations!AR9+Inputs!$F$79+AR9)/100*0.5</f>
        <v/>
      </c>
      <c r="AS10" s="16">
        <f>(Operations!AS9+Inputs!$F$79+AS9)/100*0.5</f>
        <v/>
      </c>
      <c r="AT10" s="16">
        <f>(Operations!AT9+Inputs!$F$79+AT9)/100*0.5</f>
        <v/>
      </c>
      <c r="AU10" s="16">
        <f>(Operations!AU9+Inputs!$F$79+AU9)/100*0.5</f>
        <v/>
      </c>
      <c r="AV10" s="16">
        <f>(Operations!AV9+Inputs!$F$79+AV9)/100*0.5</f>
        <v/>
      </c>
      <c r="AW10" s="16">
        <f>(Operations!AW9+Inputs!$F$79+AW9)/100*0.5</f>
        <v/>
      </c>
      <c r="AX10" s="16">
        <f>(Operations!AX9+Inputs!$F$79+AX9)/100*0.5</f>
        <v/>
      </c>
      <c r="AY10" s="16">
        <f>(Operations!AY9+Inputs!$F$79+AY9)/100*0.5</f>
        <v/>
      </c>
      <c r="AZ10" s="16">
        <f>(Operations!AZ9+Inputs!$F$79+AZ9)/100*0.5</f>
        <v/>
      </c>
      <c r="BA10" s="16">
        <f>(Operations!BA9+Inputs!$F$79+BA9)/100*0.5</f>
        <v/>
      </c>
      <c r="BB10" s="16">
        <f>(Operations!BB9+Inputs!$F$79+BB9)/100*0.5</f>
        <v/>
      </c>
      <c r="BC10" s="16">
        <f>(Operations!BC9+Inputs!$F$79+BC9)/100*0.5</f>
        <v/>
      </c>
      <c r="BD10" s="16">
        <f>(Operations!BD9+Inputs!$F$79+BD9)/100*0.5</f>
        <v/>
      </c>
      <c r="BE10" s="16">
        <f>(Operations!BE9+Inputs!$F$79+BE9)/100*0.5</f>
        <v/>
      </c>
      <c r="BF10" s="16">
        <f>(Operations!BF9+Inputs!$F$79+BF9)/100*0.5</f>
        <v/>
      </c>
      <c r="BG10" s="16">
        <f>(Operations!BG9+Inputs!$F$79+BG9)/100*0.5</f>
        <v/>
      </c>
      <c r="BH10" s="16">
        <f>(Operations!BH9+Inputs!$F$79+BH9)/100*0.5</f>
        <v/>
      </c>
      <c r="BI10" s="16">
        <f>(Operations!BI9+Inputs!$F$79+BI9)/100*0.5</f>
        <v/>
      </c>
      <c r="BJ10" s="16">
        <f>(Operations!BJ9+Inputs!$F$79+BJ9)/100*0.5</f>
        <v/>
      </c>
      <c r="BK10" s="16">
        <f>(Operations!BK9+Inputs!$F$79+BK9)/100*0.5</f>
        <v/>
      </c>
      <c r="BL10" s="16">
        <f>(Operations!BL9+Inputs!$F$79+BL9)/100*0.5</f>
        <v/>
      </c>
      <c r="BM10" s="16">
        <f>(Operations!BM9+Inputs!$F$79+BM9)/100*0.5</f>
        <v/>
      </c>
      <c r="BN10" s="16">
        <f>(Operations!BN9+Inputs!$F$79+BN9)/100*0.5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(Operations!J9+Inputs!$F$80+J9)/100*0.5</f>
        <v/>
      </c>
      <c r="K11" s="16">
        <f>(Operations!K9+Inputs!$F$80+K9)/100*0.5</f>
        <v/>
      </c>
      <c r="L11" s="16">
        <f>(Operations!L9+Inputs!$F$80+L9)/100*0.5</f>
        <v/>
      </c>
      <c r="M11" s="16">
        <f>(Operations!M9+Inputs!$F$80+M9)/100*0.5</f>
        <v/>
      </c>
      <c r="N11" s="16">
        <f>(Operations!N9+Inputs!$F$80+N9)/100*0.5</f>
        <v/>
      </c>
      <c r="O11" s="16">
        <f>(Operations!O9+Inputs!$F$80+O9)/100*0.5</f>
        <v/>
      </c>
      <c r="P11" s="16">
        <f>(Operations!P9+Inputs!$F$80+P9)/100*0.5</f>
        <v/>
      </c>
      <c r="Q11" s="16">
        <f>(Operations!Q9+Inputs!$F$80+Q9)/100*0.5</f>
        <v/>
      </c>
      <c r="R11" s="16">
        <f>(Operations!R9+Inputs!$F$80+R9)/100*0.5</f>
        <v/>
      </c>
      <c r="S11" s="16">
        <f>(Operations!S9+Inputs!$F$80+S9)/100*0.5</f>
        <v/>
      </c>
      <c r="T11" s="16">
        <f>(Operations!T9+Inputs!$F$80+T9)/100*0.5</f>
        <v/>
      </c>
      <c r="U11" s="16">
        <f>(Operations!U9+Inputs!$F$80+U9)/100*0.5</f>
        <v/>
      </c>
      <c r="V11" s="16">
        <f>(Operations!V9+Inputs!$F$80+V9)/100*0.5</f>
        <v/>
      </c>
      <c r="W11" s="16">
        <f>(Operations!W9+Inputs!$F$80+W9)/100*0.5</f>
        <v/>
      </c>
      <c r="X11" s="16">
        <f>(Operations!X9+Inputs!$F$80+X9)/100*0.5</f>
        <v/>
      </c>
      <c r="Y11" s="16">
        <f>(Operations!Y9+Inputs!$F$80+Y9)/100*0.5</f>
        <v/>
      </c>
      <c r="Z11" s="16">
        <f>(Operations!Z9+Inputs!$F$80+Z9)/100*0.5</f>
        <v/>
      </c>
      <c r="AA11" s="16">
        <f>(Operations!AA9+Inputs!$F$80+AA9)/100*0.5</f>
        <v/>
      </c>
      <c r="AB11" s="16">
        <f>(Operations!AB9+Inputs!$F$80+AB9)/100*0.5</f>
        <v/>
      </c>
      <c r="AC11" s="16">
        <f>(Operations!AC9+Inputs!$F$80+AC9)/100*0.5</f>
        <v/>
      </c>
      <c r="AD11" s="16">
        <f>(Operations!AD9+Inputs!$F$80+AD9)/100*0.5</f>
        <v/>
      </c>
      <c r="AE11" s="16">
        <f>(Operations!AE9+Inputs!$F$80+AE9)/100*0.5</f>
        <v/>
      </c>
      <c r="AF11" s="16">
        <f>(Operations!AF9+Inputs!$F$80+AF9)/100*0.5</f>
        <v/>
      </c>
      <c r="AG11" s="16">
        <f>(Operations!AG9+Inputs!$F$80+AG9)/100*0.5</f>
        <v/>
      </c>
      <c r="AH11" s="16">
        <f>(Operations!AH9+Inputs!$F$80+AH9)/100*0.5</f>
        <v/>
      </c>
      <c r="AI11" s="16">
        <f>(Operations!AI9+Inputs!$F$80+AI9)/100*0.5</f>
        <v/>
      </c>
      <c r="AJ11" s="16">
        <f>(Operations!AJ9+Inputs!$F$80+AJ9)/100*0.5</f>
        <v/>
      </c>
      <c r="AK11" s="16">
        <f>(Operations!AK9+Inputs!$F$80+AK9)/100*0.5</f>
        <v/>
      </c>
      <c r="AL11" s="16">
        <f>(Operations!AL9+Inputs!$F$80+AL9)/100*0.5</f>
        <v/>
      </c>
      <c r="AM11" s="16">
        <f>(Operations!AM9+Inputs!$F$80+AM9)/100*0.5</f>
        <v/>
      </c>
      <c r="AN11" s="16">
        <f>(Operations!AN9+Inputs!$F$80+AN9)/100*0.5</f>
        <v/>
      </c>
      <c r="AO11" s="16">
        <f>(Operations!AO9+Inputs!$F$80+AO9)/100*0.5</f>
        <v/>
      </c>
      <c r="AP11" s="16">
        <f>(Operations!AP9+Inputs!$F$80+AP9)/100*0.5</f>
        <v/>
      </c>
      <c r="AQ11" s="16">
        <f>(Operations!AQ9+Inputs!$F$80+AQ9)/100*0.5</f>
        <v/>
      </c>
      <c r="AR11" s="16">
        <f>(Operations!AR9+Inputs!$F$80+AR9)/100*0.5</f>
        <v/>
      </c>
      <c r="AS11" s="16">
        <f>(Operations!AS9+Inputs!$F$80+AS9)/100*0.5</f>
        <v/>
      </c>
      <c r="AT11" s="16">
        <f>(Operations!AT9+Inputs!$F$80+AT9)/100*0.5</f>
        <v/>
      </c>
      <c r="AU11" s="16">
        <f>(Operations!AU9+Inputs!$F$80+AU9)/100*0.5</f>
        <v/>
      </c>
      <c r="AV11" s="16">
        <f>(Operations!AV9+Inputs!$F$80+AV9)/100*0.5</f>
        <v/>
      </c>
      <c r="AW11" s="16">
        <f>(Operations!AW9+Inputs!$F$80+AW9)/100*0.5</f>
        <v/>
      </c>
      <c r="AX11" s="16">
        <f>(Operations!AX9+Inputs!$F$80+AX9)/100*0.5</f>
        <v/>
      </c>
      <c r="AY11" s="16">
        <f>(Operations!AY9+Inputs!$F$80+AY9)/100*0.5</f>
        <v/>
      </c>
      <c r="AZ11" s="16">
        <f>(Operations!AZ9+Inputs!$F$80+AZ9)/100*0.5</f>
        <v/>
      </c>
      <c r="BA11" s="16">
        <f>(Operations!BA9+Inputs!$F$80+BA9)/100*0.5</f>
        <v/>
      </c>
      <c r="BB11" s="16">
        <f>(Operations!BB9+Inputs!$F$80+BB9)/100*0.5</f>
        <v/>
      </c>
      <c r="BC11" s="16">
        <f>(Operations!BC9+Inputs!$F$80+BC9)/100*0.5</f>
        <v/>
      </c>
      <c r="BD11" s="16">
        <f>(Operations!BD9+Inputs!$F$80+BD9)/100*0.5</f>
        <v/>
      </c>
      <c r="BE11" s="16">
        <f>(Operations!BE9+Inputs!$F$80+BE9)/100*0.5</f>
        <v/>
      </c>
      <c r="BF11" s="16">
        <f>(Operations!BF9+Inputs!$F$80+BF9)/100*0.5</f>
        <v/>
      </c>
      <c r="BG11" s="16">
        <f>(Operations!BG9+Inputs!$F$80+BG9)/100*0.5</f>
        <v/>
      </c>
      <c r="BH11" s="16">
        <f>(Operations!BH9+Inputs!$F$80+BH9)/100*0.5</f>
        <v/>
      </c>
      <c r="BI11" s="16">
        <f>(Operations!BI9+Inputs!$F$80+BI9)/100*0.5</f>
        <v/>
      </c>
      <c r="BJ11" s="16">
        <f>(Operations!BJ9+Inputs!$F$80+BJ9)/100*0.5</f>
        <v/>
      </c>
      <c r="BK11" s="16">
        <f>(Operations!BK9+Inputs!$F$80+BK9)/100*0.5</f>
        <v/>
      </c>
      <c r="BL11" s="16">
        <f>(Operations!BL9+Inputs!$F$80+BL9)/100*0.5</f>
        <v/>
      </c>
      <c r="BM11" s="16">
        <f>(Operations!BM9+Inputs!$F$80+BM9)/100*0.5</f>
        <v/>
      </c>
      <c r="BN11" s="16">
        <f>(Operations!BN9+Inputs!$F$80+BN9)/100*0.5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(Operations!J9+Inputs!$F$81+J9)/100*0.5</f>
        <v/>
      </c>
      <c r="K12" s="16">
        <f>(Operations!K9+Inputs!$F$81+K9)/100*0.5</f>
        <v/>
      </c>
      <c r="L12" s="16">
        <f>(Operations!L9+Inputs!$F$81+L9)/100*0.5</f>
        <v/>
      </c>
      <c r="M12" s="16">
        <f>(Operations!M9+Inputs!$F$81+M9)/100*0.5</f>
        <v/>
      </c>
      <c r="N12" s="16">
        <f>(Operations!N9+Inputs!$F$81+N9)/100*0.5</f>
        <v/>
      </c>
      <c r="O12" s="16">
        <f>(Operations!O9+Inputs!$F$81+O9)/100*0.5</f>
        <v/>
      </c>
      <c r="P12" s="16">
        <f>(Operations!P9+Inputs!$F$81+P9)/100*0.5</f>
        <v/>
      </c>
      <c r="Q12" s="16">
        <f>(Operations!Q9+Inputs!$F$81+Q9)/100*0.5</f>
        <v/>
      </c>
      <c r="R12" s="16">
        <f>(Operations!R9+Inputs!$F$81+R9)/100*0.5</f>
        <v/>
      </c>
      <c r="S12" s="16">
        <f>(Operations!S9+Inputs!$F$81+S9)/100*0.5</f>
        <v/>
      </c>
      <c r="T12" s="16">
        <f>(Operations!T9+Inputs!$F$81+T9)/100*0.5</f>
        <v/>
      </c>
      <c r="U12" s="16">
        <f>(Operations!U9+Inputs!$F$81+U9)/100*0.5</f>
        <v/>
      </c>
      <c r="V12" s="16">
        <f>(Operations!V9+Inputs!$F$81+V9)/100*0.5</f>
        <v/>
      </c>
      <c r="W12" s="16">
        <f>(Operations!W9+Inputs!$F$81+W9)/100*0.5</f>
        <v/>
      </c>
      <c r="X12" s="16">
        <f>(Operations!X9+Inputs!$F$81+X9)/100*0.5</f>
        <v/>
      </c>
      <c r="Y12" s="16">
        <f>(Operations!Y9+Inputs!$F$81+Y9)/100*0.5</f>
        <v/>
      </c>
      <c r="Z12" s="16">
        <f>(Operations!Z9+Inputs!$F$81+Z9)/100*0.5</f>
        <v/>
      </c>
      <c r="AA12" s="16">
        <f>(Operations!AA9+Inputs!$F$81+AA9)/100*0.5</f>
        <v/>
      </c>
      <c r="AB12" s="16">
        <f>(Operations!AB9+Inputs!$F$81+AB9)/100*0.5</f>
        <v/>
      </c>
      <c r="AC12" s="16">
        <f>(Operations!AC9+Inputs!$F$81+AC9)/100*0.5</f>
        <v/>
      </c>
      <c r="AD12" s="16">
        <f>(Operations!AD9+Inputs!$F$81+AD9)/100*0.5</f>
        <v/>
      </c>
      <c r="AE12" s="16">
        <f>(Operations!AE9+Inputs!$F$81+AE9)/100*0.5</f>
        <v/>
      </c>
      <c r="AF12" s="16">
        <f>(Operations!AF9+Inputs!$F$81+AF9)/100*0.5</f>
        <v/>
      </c>
      <c r="AG12" s="16">
        <f>(Operations!AG9+Inputs!$F$81+AG9)/100*0.5</f>
        <v/>
      </c>
      <c r="AH12" s="16">
        <f>(Operations!AH9+Inputs!$F$81+AH9)/100*0.5</f>
        <v/>
      </c>
      <c r="AI12" s="16">
        <f>(Operations!AI9+Inputs!$F$81+AI9)/100*0.5</f>
        <v/>
      </c>
      <c r="AJ12" s="16">
        <f>(Operations!AJ9+Inputs!$F$81+AJ9)/100*0.5</f>
        <v/>
      </c>
      <c r="AK12" s="16">
        <f>(Operations!AK9+Inputs!$F$81+AK9)/100*0.5</f>
        <v/>
      </c>
      <c r="AL12" s="16">
        <f>(Operations!AL9+Inputs!$F$81+AL9)/100*0.5</f>
        <v/>
      </c>
      <c r="AM12" s="16">
        <f>(Operations!AM9+Inputs!$F$81+AM9)/100*0.5</f>
        <v/>
      </c>
      <c r="AN12" s="16">
        <f>(Operations!AN9+Inputs!$F$81+AN9)/100*0.5</f>
        <v/>
      </c>
      <c r="AO12" s="16">
        <f>(Operations!AO9+Inputs!$F$81+AO9)/100*0.5</f>
        <v/>
      </c>
      <c r="AP12" s="16">
        <f>(Operations!AP9+Inputs!$F$81+AP9)/100*0.5</f>
        <v/>
      </c>
      <c r="AQ12" s="16">
        <f>(Operations!AQ9+Inputs!$F$81+AQ9)/100*0.5</f>
        <v/>
      </c>
      <c r="AR12" s="16">
        <f>(Operations!AR9+Inputs!$F$81+AR9)/100*0.5</f>
        <v/>
      </c>
      <c r="AS12" s="16">
        <f>(Operations!AS9+Inputs!$F$81+AS9)/100*0.5</f>
        <v/>
      </c>
      <c r="AT12" s="16">
        <f>(Operations!AT9+Inputs!$F$81+AT9)/100*0.5</f>
        <v/>
      </c>
      <c r="AU12" s="16">
        <f>(Operations!AU9+Inputs!$F$81+AU9)/100*0.5</f>
        <v/>
      </c>
      <c r="AV12" s="16">
        <f>(Operations!AV9+Inputs!$F$81+AV9)/100*0.5</f>
        <v/>
      </c>
      <c r="AW12" s="16">
        <f>(Operations!AW9+Inputs!$F$81+AW9)/100*0.5</f>
        <v/>
      </c>
      <c r="AX12" s="16">
        <f>(Operations!AX9+Inputs!$F$81+AX9)/100*0.5</f>
        <v/>
      </c>
      <c r="AY12" s="16">
        <f>(Operations!AY9+Inputs!$F$81+AY9)/100*0.5</f>
        <v/>
      </c>
      <c r="AZ12" s="16">
        <f>(Operations!AZ9+Inputs!$F$81+AZ9)/100*0.5</f>
        <v/>
      </c>
      <c r="BA12" s="16">
        <f>(Operations!BA9+Inputs!$F$81+BA9)/100*0.5</f>
        <v/>
      </c>
      <c r="BB12" s="16">
        <f>(Operations!BB9+Inputs!$F$81+BB9)/100*0.5</f>
        <v/>
      </c>
      <c r="BC12" s="16">
        <f>(Operations!BC9+Inputs!$F$81+BC9)/100*0.5</f>
        <v/>
      </c>
      <c r="BD12" s="16">
        <f>(Operations!BD9+Inputs!$F$81+BD9)/100*0.5</f>
        <v/>
      </c>
      <c r="BE12" s="16">
        <f>(Operations!BE9+Inputs!$F$81+BE9)/100*0.5</f>
        <v/>
      </c>
      <c r="BF12" s="16">
        <f>(Operations!BF9+Inputs!$F$81+BF9)/100*0.5</f>
        <v/>
      </c>
      <c r="BG12" s="16">
        <f>(Operations!BG9+Inputs!$F$81+BG9)/100*0.5</f>
        <v/>
      </c>
      <c r="BH12" s="16">
        <f>(Operations!BH9+Inputs!$F$81+BH9)/100*0.5</f>
        <v/>
      </c>
      <c r="BI12" s="16">
        <f>(Operations!BI9+Inputs!$F$81+BI9)/100*0.5</f>
        <v/>
      </c>
      <c r="BJ12" s="16">
        <f>(Operations!BJ9+Inputs!$F$81+BJ9)/100*0.5</f>
        <v/>
      </c>
      <c r="BK12" s="16">
        <f>(Operations!BK9+Inputs!$F$81+BK9)/100*0.5</f>
        <v/>
      </c>
      <c r="BL12" s="16">
        <f>(Operations!BL9+Inputs!$F$81+BL9)/100*0.5</f>
        <v/>
      </c>
      <c r="BM12" s="16">
        <f>(Operations!BM9+Inputs!$F$81+BM9)/100*0.5</f>
        <v/>
      </c>
      <c r="BN12" s="16">
        <f>(Operations!BN9+Inputs!$F$81+BN9)/100*0.5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(Operations!J9+J8+J9)/100*0.5/(1-Inputs!$F$93/100)</f>
        <v/>
      </c>
      <c r="K13" s="16">
        <f>(Operations!K9+K8+K9)/100*0.5/(1-Inputs!$F$93/100)</f>
        <v/>
      </c>
      <c r="L13" s="16">
        <f>(Operations!L9+L8+L9)/100*0.5/(1-Inputs!$F$93/100)</f>
        <v/>
      </c>
      <c r="M13" s="16">
        <f>(Operations!M9+M8+M9)/100*0.5/(1-Inputs!$F$93/100)</f>
        <v/>
      </c>
      <c r="N13" s="16">
        <f>(Operations!N9+N8+N9)/100*0.5/(1-Inputs!$F$93/100)</f>
        <v/>
      </c>
      <c r="O13" s="16">
        <f>(Operations!O9+O8+O9)/100*0.5/(1-Inputs!$F$93/100)</f>
        <v/>
      </c>
      <c r="P13" s="16">
        <f>(Operations!P9+P8+P9)/100*0.5/(1-Inputs!$F$93/100)</f>
        <v/>
      </c>
      <c r="Q13" s="16">
        <f>(Operations!Q9+Q8+Q9)/100*0.5/(1-Inputs!$F$93/100)</f>
        <v/>
      </c>
      <c r="R13" s="16">
        <f>(Operations!R9+R8+R9)/100*0.5/(1-Inputs!$F$93/100)</f>
        <v/>
      </c>
      <c r="S13" s="16">
        <f>(Operations!S9+S8+S9)/100*0.5/(1-Inputs!$F$93/100)</f>
        <v/>
      </c>
      <c r="T13" s="16">
        <f>(Operations!T9+T8+T9)/100*0.5/(1-Inputs!$F$93/100)</f>
        <v/>
      </c>
      <c r="U13" s="16">
        <f>(Operations!U9+U8+U9)/100*0.5/(1-Inputs!$F$93/100)</f>
        <v/>
      </c>
      <c r="V13" s="16">
        <f>(Operations!V9+V8+V9)/100*0.5/(1-Inputs!$F$93/100)</f>
        <v/>
      </c>
      <c r="W13" s="16">
        <f>(Operations!W9+W8+W9)/100*0.5/(1-Inputs!$F$93/100)</f>
        <v/>
      </c>
      <c r="X13" s="16">
        <f>(Operations!X9+X8+X9)/100*0.5/(1-Inputs!$F$93/100)</f>
        <v/>
      </c>
      <c r="Y13" s="16">
        <f>(Operations!Y9+Y8+Y9)/100*0.5/(1-Inputs!$F$93/100)</f>
        <v/>
      </c>
      <c r="Z13" s="16">
        <f>(Operations!Z9+Z8+Z9)/100*0.5/(1-Inputs!$F$93/100)</f>
        <v/>
      </c>
      <c r="AA13" s="16">
        <f>(Operations!AA9+AA8+AA9)/100*0.5/(1-Inputs!$F$93/100)</f>
        <v/>
      </c>
      <c r="AB13" s="16">
        <f>(Operations!AB9+AB8+AB9)/100*0.5/(1-Inputs!$F$93/100)</f>
        <v/>
      </c>
      <c r="AC13" s="16">
        <f>(Operations!AC9+AC8+AC9)/100*0.5/(1-Inputs!$F$93/100)</f>
        <v/>
      </c>
      <c r="AD13" s="16">
        <f>(Operations!AD9+AD8+AD9)/100*0.5/(1-Inputs!$F$93/100)</f>
        <v/>
      </c>
      <c r="AE13" s="16">
        <f>(Operations!AE9+AE8+AE9)/100*0.5/(1-Inputs!$F$93/100)</f>
        <v/>
      </c>
      <c r="AF13" s="16">
        <f>(Operations!AF9+AF8+AF9)/100*0.5/(1-Inputs!$F$93/100)</f>
        <v/>
      </c>
      <c r="AG13" s="16">
        <f>(Operations!AG9+AG8+AG9)/100*0.5/(1-Inputs!$F$93/100)</f>
        <v/>
      </c>
      <c r="AH13" s="16">
        <f>(Operations!AH9+AH8+AH9)/100*0.5/(1-Inputs!$F$93/100)</f>
        <v/>
      </c>
      <c r="AI13" s="16">
        <f>(Operations!AI9+AI8+AI9)/100*0.5/(1-Inputs!$F$93/100)</f>
        <v/>
      </c>
      <c r="AJ13" s="16">
        <f>(Operations!AJ9+AJ8+AJ9)/100*0.5/(1-Inputs!$F$93/100)</f>
        <v/>
      </c>
      <c r="AK13" s="16">
        <f>(Operations!AK9+AK8+AK9)/100*0.5/(1-Inputs!$F$93/100)</f>
        <v/>
      </c>
      <c r="AL13" s="16">
        <f>(Operations!AL9+AL8+AL9)/100*0.5/(1-Inputs!$F$93/100)</f>
        <v/>
      </c>
      <c r="AM13" s="16">
        <f>(Operations!AM9+AM8+AM9)/100*0.5/(1-Inputs!$F$93/100)</f>
        <v/>
      </c>
      <c r="AN13" s="16">
        <f>(Operations!AN9+AN8+AN9)/100*0.5/(1-Inputs!$F$93/100)</f>
        <v/>
      </c>
      <c r="AO13" s="16">
        <f>(Operations!AO9+AO8+AO9)/100*0.5/(1-Inputs!$F$93/100)</f>
        <v/>
      </c>
      <c r="AP13" s="16">
        <f>(Operations!AP9+AP8+AP9)/100*0.5/(1-Inputs!$F$93/100)</f>
        <v/>
      </c>
      <c r="AQ13" s="16">
        <f>(Operations!AQ9+AQ8+AQ9)/100*0.5/(1-Inputs!$F$93/100)</f>
        <v/>
      </c>
      <c r="AR13" s="16">
        <f>(Operations!AR9+AR8+AR9)/100*0.5/(1-Inputs!$F$93/100)</f>
        <v/>
      </c>
      <c r="AS13" s="16">
        <f>(Operations!AS9+AS8+AS9)/100*0.5/(1-Inputs!$F$93/100)</f>
        <v/>
      </c>
      <c r="AT13" s="16">
        <f>(Operations!AT9+AT8+AT9)/100*0.5/(1-Inputs!$F$93/100)</f>
        <v/>
      </c>
      <c r="AU13" s="16">
        <f>(Operations!AU9+AU8+AU9)/100*0.5/(1-Inputs!$F$93/100)</f>
        <v/>
      </c>
      <c r="AV13" s="16">
        <f>(Operations!AV9+AV8+AV9)/100*0.5/(1-Inputs!$F$93/100)</f>
        <v/>
      </c>
      <c r="AW13" s="16">
        <f>(Operations!AW9+AW8+AW9)/100*0.5/(1-Inputs!$F$93/100)</f>
        <v/>
      </c>
      <c r="AX13" s="16">
        <f>(Operations!AX9+AX8+AX9)/100*0.5/(1-Inputs!$F$93/100)</f>
        <v/>
      </c>
      <c r="AY13" s="16">
        <f>(Operations!AY9+AY8+AY9)/100*0.5/(1-Inputs!$F$93/100)</f>
        <v/>
      </c>
      <c r="AZ13" s="16">
        <f>(Operations!AZ9+AZ8+AZ9)/100*0.5/(1-Inputs!$F$93/100)</f>
        <v/>
      </c>
      <c r="BA13" s="16">
        <f>(Operations!BA9+BA8+BA9)/100*0.5/(1-Inputs!$F$93/100)</f>
        <v/>
      </c>
      <c r="BB13" s="16">
        <f>(Operations!BB9+BB8+BB9)/100*0.5/(1-Inputs!$F$93/100)</f>
        <v/>
      </c>
      <c r="BC13" s="16">
        <f>(Operations!BC9+BC8+BC9)/100*0.5/(1-Inputs!$F$93/100)</f>
        <v/>
      </c>
      <c r="BD13" s="16">
        <f>(Operations!BD9+BD8+BD9)/100*0.5/(1-Inputs!$F$93/100)</f>
        <v/>
      </c>
      <c r="BE13" s="16">
        <f>(Operations!BE9+BE8+BE9)/100*0.5/(1-Inputs!$F$93/100)</f>
        <v/>
      </c>
      <c r="BF13" s="16">
        <f>(Operations!BF9+BF8+BF9)/100*0.5/(1-Inputs!$F$93/100)</f>
        <v/>
      </c>
      <c r="BG13" s="16">
        <f>(Operations!BG9+BG8+BG9)/100*0.5/(1-Inputs!$F$93/100)</f>
        <v/>
      </c>
      <c r="BH13" s="16">
        <f>(Operations!BH9+BH8+BH9)/100*0.5/(1-Inputs!$F$93/100)</f>
        <v/>
      </c>
      <c r="BI13" s="16">
        <f>(Operations!BI9+BI8+BI9)/100*0.5/(1-Inputs!$F$93/100)</f>
        <v/>
      </c>
      <c r="BJ13" s="16">
        <f>(Operations!BJ9+BJ8+BJ9)/100*0.5/(1-Inputs!$F$93/100)</f>
        <v/>
      </c>
      <c r="BK13" s="16">
        <f>(Operations!BK9+BK8+BK9)/100*0.5/(1-Inputs!$F$93/100)</f>
        <v/>
      </c>
      <c r="BL13" s="16">
        <f>(Operations!BL9+BL8+BL9)/100*0.5/(1-Inputs!$F$93/100)</f>
        <v/>
      </c>
      <c r="BM13" s="16">
        <f>(Operations!BM9+BM8+BM9)/100*0.5/(1-Inputs!$F$93/100)</f>
        <v/>
      </c>
      <c r="BN13" s="16">
        <f>(Operations!BN9+BN8+BN9)/100*0.5/(1-Inputs!$F$93/100)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-1*Time!J35*Inputs!J301*J106*(Inputs!$F$97/100*Time!J24-Operations!J9/100*Time!J25/Inputs!$F$247)</f>
        <v/>
      </c>
      <c r="K107" s="13">
        <f>-1*Time!K35*Inputs!K301*K106*(Inputs!$F$97/100*Time!K24-Operations!K9/100*Time!K25/Inputs!$F$247)</f>
        <v/>
      </c>
      <c r="L107" s="13">
        <f>-1*Time!L35*Inputs!L301*L106*(Inputs!$F$97/100*Time!L24-Operations!L9/100*Time!L25/Inputs!$F$247)</f>
        <v/>
      </c>
      <c r="M107" s="13">
        <f>-1*Time!M35*Inputs!M301*M106*(Inputs!$F$97/100*Time!M24-Operations!M9/100*Time!M25/Inputs!$F$247)</f>
        <v/>
      </c>
      <c r="N107" s="13">
        <f>-1*Time!N35*Inputs!N301*N106*(Inputs!$F$97/100*Time!N24-Operations!N9/100*Time!N25/Inputs!$F$247)</f>
        <v/>
      </c>
      <c r="O107" s="13">
        <f>-1*Time!O35*Inputs!O301*O106*(Inputs!$F$97/100*Time!O24-Operations!O9/100*Time!O25/Inputs!$F$247)</f>
        <v/>
      </c>
      <c r="P107" s="13">
        <f>-1*Time!P35*Inputs!P301*P106*(Inputs!$F$97/100*Time!P24-Operations!P9/100*Time!P25/Inputs!$F$247)</f>
        <v/>
      </c>
      <c r="Q107" s="13">
        <f>-1*Time!Q35*Inputs!Q301*Q106*(Inputs!$F$97/100*Time!Q24-Operations!Q9/100*Time!Q25/Inputs!$F$247)</f>
        <v/>
      </c>
      <c r="R107" s="13">
        <f>-1*Time!R35*Inputs!R301*R106*(Inputs!$F$97/100*Time!R24-Operations!R9/100*Time!R25/Inputs!$F$247)</f>
        <v/>
      </c>
      <c r="S107" s="13">
        <f>-1*Time!S35*Inputs!S301*S106*(Inputs!$F$97/100*Time!S24-Operations!S9/100*Time!S25/Inputs!$F$247)</f>
        <v/>
      </c>
      <c r="T107" s="13">
        <f>-1*Time!T35*Inputs!T301*T106*(Inputs!$F$97/100*Time!T24-Operations!T9/100*Time!T25/Inputs!$F$247)</f>
        <v/>
      </c>
      <c r="U107" s="13">
        <f>-1*Time!U35*Inputs!U301*U106*(Inputs!$F$97/100*Time!U24-Operations!U9/100*Time!U25/Inputs!$F$247)</f>
        <v/>
      </c>
      <c r="V107" s="13">
        <f>-1*Time!V35*Inputs!V301*V106*(Inputs!$F$97/100*Time!V24-Operations!V9/100*Time!V25/Inputs!$F$247)</f>
        <v/>
      </c>
      <c r="W107" s="13">
        <f>-1*Time!W35*Inputs!W301*W106*(Inputs!$F$97/100*Time!W24-Operations!W9/100*Time!W25/Inputs!$F$247)</f>
        <v/>
      </c>
      <c r="X107" s="13">
        <f>-1*Time!X35*Inputs!X301*X106*(Inputs!$F$97/100*Time!X24-Operations!X9/100*Time!X25/Inputs!$F$247)</f>
        <v/>
      </c>
      <c r="Y107" s="13">
        <f>-1*Time!Y35*Inputs!Y301*Y106*(Inputs!$F$97/100*Time!Y24-Operations!Y9/100*Time!Y25/Inputs!$F$247)</f>
        <v/>
      </c>
      <c r="Z107" s="13">
        <f>-1*Time!Z35*Inputs!Z301*Z106*(Inputs!$F$97/100*Time!Z24-Operations!Z9/100*Time!Z25/Inputs!$F$247)</f>
        <v/>
      </c>
      <c r="AA107" s="13">
        <f>-1*Time!AA35*Inputs!AA301*AA106*(Inputs!$F$97/100*Time!AA24-Operations!AA9/100*Time!AA25/Inputs!$F$247)</f>
        <v/>
      </c>
      <c r="AB107" s="13">
        <f>-1*Time!AB35*Inputs!AB301*AB106*(Inputs!$F$97/100*Time!AB24-Operations!AB9/100*Time!AB25/Inputs!$F$247)</f>
        <v/>
      </c>
      <c r="AC107" s="13">
        <f>-1*Time!AC35*Inputs!AC301*AC106*(Inputs!$F$97/100*Time!AC24-Operations!AC9/100*Time!AC25/Inputs!$F$247)</f>
        <v/>
      </c>
      <c r="AD107" s="13">
        <f>-1*Time!AD35*Inputs!AD301*AD106*(Inputs!$F$97/100*Time!AD24-Operations!AD9/100*Time!AD25/Inputs!$F$247)</f>
        <v/>
      </c>
      <c r="AE107" s="13">
        <f>-1*Time!AE35*Inputs!AE301*AE106*(Inputs!$F$97/100*Time!AE24-Operations!AE9/100*Time!AE25/Inputs!$F$247)</f>
        <v/>
      </c>
      <c r="AF107" s="13">
        <f>-1*Time!AF35*Inputs!AF301*AF106*(Inputs!$F$97/100*Time!AF24-Operations!AF9/100*Time!AF25/Inputs!$F$247)</f>
        <v/>
      </c>
      <c r="AG107" s="13">
        <f>-1*Time!AG35*Inputs!AG301*AG106*(Inputs!$F$97/100*Time!AG24-Operations!AG9/100*Time!AG25/Inputs!$F$247)</f>
        <v/>
      </c>
      <c r="AH107" s="13">
        <f>-1*Time!AH35*Inputs!AH301*AH106*(Inputs!$F$97/100*Time!AH24-Operations!AH9/100*Time!AH25/Inputs!$F$247)</f>
        <v/>
      </c>
      <c r="AI107" s="13">
        <f>-1*Time!AI35*Inputs!AI301*AI106*(Inputs!$F$97/100*Time!AI24-Operations!AI9/100*Time!AI25/Inputs!$F$247)</f>
        <v/>
      </c>
      <c r="AJ107" s="13">
        <f>-1*Time!AJ35*Inputs!AJ301*AJ106*(Inputs!$F$97/100*Time!AJ24-Operations!AJ9/100*Time!AJ25/Inputs!$F$247)</f>
        <v/>
      </c>
      <c r="AK107" s="13">
        <f>-1*Time!AK35*Inputs!AK301*AK106*(Inputs!$F$97/100*Time!AK24-Operations!AK9/100*Time!AK25/Inputs!$F$247)</f>
        <v/>
      </c>
      <c r="AL107" s="13">
        <f>-1*Time!AL35*Inputs!AL301*AL106*(Inputs!$F$97/100*Time!AL24-Operations!AL9/100*Time!AL25/Inputs!$F$247)</f>
        <v/>
      </c>
      <c r="AM107" s="13">
        <f>-1*Time!AM35*Inputs!AM301*AM106*(Inputs!$F$97/100*Time!AM24-Operations!AM9/100*Time!AM25/Inputs!$F$247)</f>
        <v/>
      </c>
      <c r="AN107" s="13">
        <f>-1*Time!AN35*Inputs!AN301*AN106*(Inputs!$F$97/100*Time!AN24-Operations!AN9/100*Time!AN25/Inputs!$F$247)</f>
        <v/>
      </c>
      <c r="AO107" s="13">
        <f>-1*Time!AO35*Inputs!AO301*AO106*(Inputs!$F$97/100*Time!AO24-Operations!AO9/100*Time!AO25/Inputs!$F$247)</f>
        <v/>
      </c>
      <c r="AP107" s="13">
        <f>-1*Time!AP35*Inputs!AP301*AP106*(Inputs!$F$97/100*Time!AP24-Operations!AP9/100*Time!AP25/Inputs!$F$247)</f>
        <v/>
      </c>
      <c r="AQ107" s="13">
        <f>-1*Time!AQ35*Inputs!AQ301*AQ106*(Inputs!$F$97/100*Time!AQ24-Operations!AQ9/100*Time!AQ25/Inputs!$F$247)</f>
        <v/>
      </c>
      <c r="AR107" s="13">
        <f>-1*Time!AR35*Inputs!AR301*AR106*(Inputs!$F$97/100*Time!AR24-Operations!AR9/100*Time!AR25/Inputs!$F$247)</f>
        <v/>
      </c>
      <c r="AS107" s="13">
        <f>-1*Time!AS35*Inputs!AS301*AS106*(Inputs!$F$97/100*Time!AS24-Operations!AS9/100*Time!AS25/Inputs!$F$247)</f>
        <v/>
      </c>
      <c r="AT107" s="13">
        <f>-1*Time!AT35*Inputs!AT301*AT106*(Inputs!$F$97/100*Time!AT24-Operations!AT9/100*Time!AT25/Inputs!$F$247)</f>
        <v/>
      </c>
      <c r="AU107" s="13">
        <f>-1*Time!AU35*Inputs!AU301*AU106*(Inputs!$F$97/100*Time!AU24-Operations!AU9/100*Time!AU25/Inputs!$F$247)</f>
        <v/>
      </c>
      <c r="AV107" s="13">
        <f>-1*Time!AV35*Inputs!AV301*AV106*(Inputs!$F$97/100*Time!AV24-Operations!AV9/100*Time!AV25/Inputs!$F$247)</f>
        <v/>
      </c>
      <c r="AW107" s="13">
        <f>-1*Time!AW35*Inputs!AW301*AW106*(Inputs!$F$97/100*Time!AW24-Operations!AW9/100*Time!AW25/Inputs!$F$247)</f>
        <v/>
      </c>
      <c r="AX107" s="13">
        <f>-1*Time!AX35*Inputs!AX301*AX106*(Inputs!$F$97/100*Time!AX24-Operations!AX9/100*Time!AX25/Inputs!$F$247)</f>
        <v/>
      </c>
      <c r="AY107" s="13">
        <f>-1*Time!AY35*Inputs!AY301*AY106*(Inputs!$F$97/100*Time!AY24-Operations!AY9/100*Time!AY25/Inputs!$F$247)</f>
        <v/>
      </c>
      <c r="AZ107" s="13">
        <f>-1*Time!AZ35*Inputs!AZ301*AZ106*(Inputs!$F$97/100*Time!AZ24-Operations!AZ9/100*Time!AZ25/Inputs!$F$247)</f>
        <v/>
      </c>
      <c r="BA107" s="13">
        <f>-1*Time!BA35*Inputs!BA301*BA106*(Inputs!$F$97/100*Time!BA24-Operations!BA9/100*Time!BA25/Inputs!$F$247)</f>
        <v/>
      </c>
      <c r="BB107" s="13">
        <f>-1*Time!BB35*Inputs!BB301*BB106*(Inputs!$F$97/100*Time!BB24-Operations!BB9/100*Time!BB25/Inputs!$F$247)</f>
        <v/>
      </c>
      <c r="BC107" s="13">
        <f>-1*Time!BC35*Inputs!BC301*BC106*(Inputs!$F$97/100*Time!BC24-Operations!BC9/100*Time!BC25/Inputs!$F$247)</f>
        <v/>
      </c>
      <c r="BD107" s="13">
        <f>-1*Time!BD35*Inputs!BD301*BD106*(Inputs!$F$97/100*Time!BD24-Operations!BD9/100*Time!BD25/Inputs!$F$247)</f>
        <v/>
      </c>
      <c r="BE107" s="13">
        <f>-1*Time!BE35*Inputs!BE301*BE106*(Inputs!$F$97/100*Time!BE24-Operations!BE9/100*Time!BE25/Inputs!$F$247)</f>
        <v/>
      </c>
      <c r="BF107" s="13">
        <f>-1*Time!BF35*Inputs!BF301*BF106*(Inputs!$F$97/100*Time!BF24-Operations!BF9/100*Time!BF25/Inputs!$F$247)</f>
        <v/>
      </c>
      <c r="BG107" s="13">
        <f>-1*Time!BG35*Inputs!BG301*BG106*(Inputs!$F$97/100*Time!BG24-Operations!BG9/100*Time!BG25/Inputs!$F$247)</f>
        <v/>
      </c>
      <c r="BH107" s="13">
        <f>-1*Time!BH35*Inputs!BH301*BH106*(Inputs!$F$97/100*Time!BH24-Operations!BH9/100*Time!BH25/Inputs!$F$247)</f>
        <v/>
      </c>
      <c r="BI107" s="13">
        <f>-1*Time!BI35*Inputs!BI301*BI106*(Inputs!$F$97/100*Time!BI24-Operations!BI9/100*Time!BI25/Inputs!$F$247)</f>
        <v/>
      </c>
      <c r="BJ107" s="13">
        <f>-1*Time!BJ35*Inputs!BJ301*BJ106*(Inputs!$F$97/100*Time!BJ24-Operations!BJ9/100*Time!BJ25/Inputs!$F$247)</f>
        <v/>
      </c>
      <c r="BK107" s="13">
        <f>-1*Time!BK35*Inputs!BK301*BK106*(Inputs!$F$97/100*Time!BK24-Operations!BK9/100*Time!BK25/Inputs!$F$247)</f>
        <v/>
      </c>
      <c r="BL107" s="13">
        <f>-1*Time!BL35*Inputs!BL301*BL106*(Inputs!$F$97/100*Time!BL24-Operations!BL9/100*Time!BL25/Inputs!$F$247)</f>
        <v/>
      </c>
      <c r="BM107" s="13">
        <f>-1*Time!BM35*Inputs!BM301*BM106*(Inputs!$F$97/100*Time!BM24-Operations!BM9/100*Time!BM25/Inputs!$F$247)</f>
        <v/>
      </c>
      <c r="BN107" s="13">
        <f>-1*Time!BN35*Inputs!BN301*BN106*(Inputs!$F$97/100*Time!BN24-Operations!BN9/100*Time!BN25/Inputs!$F$247)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IF(AND(Time!J20&gt;=Time!$F$12,Time!K20&gt;0),J119+J120+J121+J122+J123+J124+-1*Inputs!K301*K106*(Inputs!$F$97/100*Time!K24-Operations!K9/100*Time!K25/Inputs!$F$247)+(Inputs!$F$95/100*Inputs!$F$96/100)*J118*Time!K25/Inputs!$F$248,0)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IF(AND(Time!K20&gt;=Time!$F$12,Time!L20&gt;0),K119+K120+K121+K122+K123+K124+-1*Inputs!L301*L106*(Inputs!$F$97/100*Time!L24-Operations!L9/100*Time!L25/Inputs!$F$247)+(Inputs!$F$95/100*Inputs!$F$96/100)*K118*Time!L25/Inputs!$F$248,0)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IF(AND(Time!L20&gt;=Time!$F$12,Time!M20&gt;0),L119+L120+L121+L122+L123+L124+-1*Inputs!M301*M106*(Inputs!$F$97/100*Time!M24-Operations!M9/100*Time!M25/Inputs!$F$247)+(Inputs!$F$95/100*Inputs!$F$96/100)*L118*Time!M25/Inputs!$F$248,0)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IF(AND(Time!M20&gt;=Time!$F$12,Time!N20&gt;0),M119+M120+M121+M122+M123+M124+-1*Inputs!N301*N106*(Inputs!$F$97/100*Time!N24-Operations!N9/100*Time!N25/Inputs!$F$247)+(Inputs!$F$95/100*Inputs!$F$96/100)*M118*Time!N25/Inputs!$F$248,0)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IF(AND(Time!N20&gt;=Time!$F$12,Time!O20&gt;0),N119+N120+N121+N122+N123+N124+-1*Inputs!O301*O106*(Inputs!$F$97/100*Time!O24-Operations!O9/100*Time!O25/Inputs!$F$247)+(Inputs!$F$95/100*Inputs!$F$96/100)*N118*Time!O25/Inputs!$F$248,0)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IF(AND(Time!O20&gt;=Time!$F$12,Time!P20&gt;0),O119+O120+O121+O122+O123+O124+-1*Inputs!P301*P106*(Inputs!$F$97/100*Time!P24-Operations!P9/100*Time!P25/Inputs!$F$247)+(Inputs!$F$95/100*Inputs!$F$96/100)*O118*Time!P25/Inputs!$F$248,0)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IF(AND(Time!P20&gt;=Time!$F$12,Time!Q20&gt;0),P119+P120+P121+P122+P123+P124+-1*Inputs!Q301*Q106*(Inputs!$F$97/100*Time!Q24-Operations!Q9/100*Time!Q25/Inputs!$F$247)+(Inputs!$F$95/100*Inputs!$F$96/100)*P118*Time!Q25/Inputs!$F$248,0)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IF(AND(Time!Q20&gt;=Time!$F$12,Time!R20&gt;0),Q119+Q120+Q121+Q122+Q123+Q124+-1*Inputs!R301*R106*(Inputs!$F$97/100*Time!R24-Operations!R9/100*Time!R25/Inputs!$F$247)+(Inputs!$F$95/100*Inputs!$F$96/100)*Q118*Time!R25/Inputs!$F$248,0)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IF(AND(Time!R20&gt;=Time!$F$12,Time!S20&gt;0),R119+R120+R121+R122+R123+R124+-1*Inputs!S301*S106*(Inputs!$F$97/100*Time!S24-Operations!S9/100*Time!S25/Inputs!$F$247)+(Inputs!$F$95/100*Inputs!$F$96/100)*R118*Time!S25/Inputs!$F$248,0)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IF(AND(Time!S20&gt;=Time!$F$12,Time!T20&gt;0),S119+S120+S121+S122+S123+S124+-1*Inputs!T301*T106*(Inputs!$F$97/100*Time!T24-Operations!T9/100*Time!T25/Inputs!$F$247)+(Inputs!$F$95/100*Inputs!$F$96/100)*S118*Time!T25/Inputs!$F$248,0)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IF(AND(Time!T20&gt;=Time!$F$12,Time!U20&gt;0),T119+T120+T121+T122+T123+T124+-1*Inputs!U301*U106*(Inputs!$F$97/100*Time!U24-Operations!U9/100*Time!U25/Inputs!$F$247)+(Inputs!$F$95/100*Inputs!$F$96/100)*T118*Time!U25/Inputs!$F$248,0)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IF(AND(Time!U20&gt;=Time!$F$12,Time!V20&gt;0),U119+U120+U121+U122+U123+U124+-1*Inputs!V301*V106*(Inputs!$F$97/100*Time!V24-Operations!V9/100*Time!V25/Inputs!$F$247)+(Inputs!$F$95/100*Inputs!$F$96/100)*U118*Time!V25/Inputs!$F$248,0)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IF(AND(Time!V20&gt;=Time!$F$12,Time!W20&gt;0),V119+V120+V121+V122+V123+V124+-1*Inputs!W301*W106*(Inputs!$F$97/100*Time!W24-Operations!W9/100*Time!W25/Inputs!$F$247)+(Inputs!$F$95/100*Inputs!$F$96/100)*V118*Time!W25/Inputs!$F$248,0)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IF(AND(Time!W20&gt;=Time!$F$12,Time!X20&gt;0),W119+W120+W121+W122+W123+W124+-1*Inputs!X301*X106*(Inputs!$F$97/100*Time!X24-Operations!X9/100*Time!X25/Inputs!$F$247)+(Inputs!$F$95/100*Inputs!$F$96/100)*W118*Time!X25/Inputs!$F$248,0)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IF(AND(Time!X20&gt;=Time!$F$12,Time!Y20&gt;0),X119+X120+X121+X122+X123+X124+-1*Inputs!Y301*Y106*(Inputs!$F$97/100*Time!Y24-Operations!Y9/100*Time!Y25/Inputs!$F$247)+(Inputs!$F$95/100*Inputs!$F$96/100)*X118*Time!Y25/Inputs!$F$248,0)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IF(AND(Time!Y20&gt;=Time!$F$12,Time!Z20&gt;0),Y119+Y120+Y121+Y122+Y123+Y124+-1*Inputs!Z301*Z106*(Inputs!$F$97/100*Time!Z24-Operations!Z9/100*Time!Z25/Inputs!$F$247)+(Inputs!$F$95/100*Inputs!$F$96/100)*Y118*Time!Z25/Inputs!$F$248,0)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IF(AND(Time!Z20&gt;=Time!$F$12,Time!AA20&gt;0),Z119+Z120+Z121+Z122+Z123+Z124+-1*Inputs!AA301*AA106*(Inputs!$F$97/100*Time!AA24-Operations!AA9/100*Time!AA25/Inputs!$F$247)+(Inputs!$F$95/100*Inputs!$F$96/100)*Z118*Time!AA25/Inputs!$F$248,0)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IF(AND(Time!AA20&gt;=Time!$F$12,Time!AB20&gt;0),AA119+AA120+AA121+AA122+AA123+AA124+-1*Inputs!AB301*AB106*(Inputs!$F$97/100*Time!AB24-Operations!AB9/100*Time!AB25/Inputs!$F$247)+(Inputs!$F$95/100*Inputs!$F$96/100)*AA118*Time!AB25/Inputs!$F$248,0)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IF(AND(Time!AB20&gt;=Time!$F$12,Time!AC20&gt;0),AB119+AB120+AB121+AB122+AB123+AB124+-1*Inputs!AC301*AC106*(Inputs!$F$97/100*Time!AC24-Operations!AC9/100*Time!AC25/Inputs!$F$247)+(Inputs!$F$95/100*Inputs!$F$96/100)*AB118*Time!AC25/Inputs!$F$248,0)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IF(AND(Time!AC20&gt;=Time!$F$12,Time!AD20&gt;0),AC119+AC120+AC121+AC122+AC123+AC124+-1*Inputs!AD301*AD106*(Inputs!$F$97/100*Time!AD24-Operations!AD9/100*Time!AD25/Inputs!$F$247)+(Inputs!$F$95/100*Inputs!$F$96/100)*AC118*Time!AD25/Inputs!$F$248,0)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IF(AND(Time!AD20&gt;=Time!$F$12,Time!AE20&gt;0),AD119+AD120+AD121+AD122+AD123+AD124+-1*Inputs!AE301*AE106*(Inputs!$F$97/100*Time!AE24-Operations!AE9/100*Time!AE25/Inputs!$F$247)+(Inputs!$F$95/100*Inputs!$F$96/100)*AD118*Time!AE25/Inputs!$F$248,0)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IF(AND(Time!AE20&gt;=Time!$F$12,Time!AF20&gt;0),AE119+AE120+AE121+AE122+AE123+AE124+-1*Inputs!AF301*AF106*(Inputs!$F$97/100*Time!AF24-Operations!AF9/100*Time!AF25/Inputs!$F$247)+(Inputs!$F$95/100*Inputs!$F$96/100)*AE118*Time!AF25/Inputs!$F$248,0)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IF(AND(Time!AF20&gt;=Time!$F$12,Time!AG20&gt;0),AF119+AF120+AF121+AF122+AF123+AF124+-1*Inputs!AG301*AG106*(Inputs!$F$97/100*Time!AG24-Operations!AG9/100*Time!AG25/Inputs!$F$247)+(Inputs!$F$95/100*Inputs!$F$96/100)*AF118*Time!AG25/Inputs!$F$248,0)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IF(AND(Time!AG20&gt;=Time!$F$12,Time!AH20&gt;0),AG119+AG120+AG121+AG122+AG123+AG124+-1*Inputs!AH301*AH106*(Inputs!$F$97/100*Time!AH24-Operations!AH9/100*Time!AH25/Inputs!$F$247)+(Inputs!$F$95/100*Inputs!$F$96/100)*AG118*Time!AH25/Inputs!$F$248,0)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IF(AND(Time!AH20&gt;=Time!$F$12,Time!AI20&gt;0),AH119+AH120+AH121+AH122+AH123+AH124+-1*Inputs!AI301*AI106*(Inputs!$F$97/100*Time!AI24-Operations!AI9/100*Time!AI25/Inputs!$F$247)+(Inputs!$F$95/100*Inputs!$F$96/100)*AH118*Time!AI25/Inputs!$F$248,0)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IF(AND(Time!AI20&gt;=Time!$F$12,Time!AJ20&gt;0),AI119+AI120+AI121+AI122+AI123+AI124+-1*Inputs!AJ301*AJ106*(Inputs!$F$97/100*Time!AJ24-Operations!AJ9/100*Time!AJ25/Inputs!$F$247)+(Inputs!$F$95/100*Inputs!$F$96/100)*AI118*Time!AJ25/Inputs!$F$248,0)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IF(AND(Time!AJ20&gt;=Time!$F$12,Time!AK20&gt;0),AJ119+AJ120+AJ121+AJ122+AJ123+AJ124+-1*Inputs!AK301*AK106*(Inputs!$F$97/100*Time!AK24-Operations!AK9/100*Time!AK25/Inputs!$F$247)+(Inputs!$F$95/100*Inputs!$F$96/100)*AJ118*Time!AK25/Inputs!$F$248,0)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IF(AND(Time!AK20&gt;=Time!$F$12,Time!AL20&gt;0),AK119+AK120+AK121+AK122+AK123+AK124+-1*Inputs!AL301*AL106*(Inputs!$F$97/100*Time!AL24-Operations!AL9/100*Time!AL25/Inputs!$F$247)+(Inputs!$F$95/100*Inputs!$F$96/100)*AK118*Time!AL25/Inputs!$F$248,0)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IF(AND(Time!AL20&gt;=Time!$F$12,Time!AM20&gt;0),AL119+AL120+AL121+AL122+AL123+AL124+-1*Inputs!AM301*AM106*(Inputs!$F$97/100*Time!AM24-Operations!AM9/100*Time!AM25/Inputs!$F$247)+(Inputs!$F$95/100*Inputs!$F$96/100)*AL118*Time!AM25/Inputs!$F$248,0)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IF(AND(Time!AM20&gt;=Time!$F$12,Time!AN20&gt;0),AM119+AM120+AM121+AM122+AM123+AM124+-1*Inputs!AN301*AN106*(Inputs!$F$97/100*Time!AN24-Operations!AN9/100*Time!AN25/Inputs!$F$247)+(Inputs!$F$95/100*Inputs!$F$96/100)*AM118*Time!AN25/Inputs!$F$248,0)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IF(AND(Time!AN20&gt;=Time!$F$12,Time!AO20&gt;0),AN119+AN120+AN121+AN122+AN123+AN124+-1*Inputs!AO301*AO106*(Inputs!$F$97/100*Time!AO24-Operations!AO9/100*Time!AO25/Inputs!$F$247)+(Inputs!$F$95/100*Inputs!$F$96/100)*AN118*Time!AO25/Inputs!$F$248,0)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IF(AND(Time!AO20&gt;=Time!$F$12,Time!AP20&gt;0),AO119+AO120+AO121+AO122+AO123+AO124+-1*Inputs!AP301*AP106*(Inputs!$F$97/100*Time!AP24-Operations!AP9/100*Time!AP25/Inputs!$F$247)+(Inputs!$F$95/100*Inputs!$F$96/100)*AO118*Time!AP25/Inputs!$F$248,0)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IF(AND(Time!AP20&gt;=Time!$F$12,Time!AQ20&gt;0),AP119+AP120+AP121+AP122+AP123+AP124+-1*Inputs!AQ301*AQ106*(Inputs!$F$97/100*Time!AQ24-Operations!AQ9/100*Time!AQ25/Inputs!$F$247)+(Inputs!$F$95/100*Inputs!$F$96/100)*AP118*Time!AQ25/Inputs!$F$248,0)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IF(AND(Time!AQ20&gt;=Time!$F$12,Time!AR20&gt;0),AQ119+AQ120+AQ121+AQ122+AQ123+AQ124+-1*Inputs!AR301*AR106*(Inputs!$F$97/100*Time!AR24-Operations!AR9/100*Time!AR25/Inputs!$F$247)+(Inputs!$F$95/100*Inputs!$F$96/100)*AQ118*Time!AR25/Inputs!$F$248,0)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IF(AND(Time!AR20&gt;=Time!$F$12,Time!AS20&gt;0),AR119+AR120+AR121+AR122+AR123+AR124+-1*Inputs!AS301*AS106*(Inputs!$F$97/100*Time!AS24-Operations!AS9/100*Time!AS25/Inputs!$F$247)+(Inputs!$F$95/100*Inputs!$F$96/100)*AR118*Time!AS25/Inputs!$F$248,0)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IF(AND(Time!AS20&gt;=Time!$F$12,Time!AT20&gt;0),AS119+AS120+AS121+AS122+AS123+AS124+-1*Inputs!AT301*AT106*(Inputs!$F$97/100*Time!AT24-Operations!AT9/100*Time!AT25/Inputs!$F$247)+(Inputs!$F$95/100*Inputs!$F$96/100)*AS118*Time!AT25/Inputs!$F$248,0)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IF(AND(Time!AT20&gt;=Time!$F$12,Time!AU20&gt;0),AT119+AT120+AT121+AT122+AT123+AT124+-1*Inputs!AU301*AU106*(Inputs!$F$97/100*Time!AU24-Operations!AU9/100*Time!AU25/Inputs!$F$247)+(Inputs!$F$95/100*Inputs!$F$96/100)*AT118*Time!AU25/Inputs!$F$248,0)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IF(AND(Time!AU20&gt;=Time!$F$12,Time!AV20&gt;0),AU119+AU120+AU121+AU122+AU123+AU124+-1*Inputs!AV301*AV106*(Inputs!$F$97/100*Time!AV24-Operations!AV9/100*Time!AV25/Inputs!$F$247)+(Inputs!$F$95/100*Inputs!$F$96/100)*AU118*Time!AV25/Inputs!$F$248,0)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IF(AND(Time!AV20&gt;=Time!$F$12,Time!AW20&gt;0),AV119+AV120+AV121+AV122+AV123+AV124+-1*Inputs!AW301*AW106*(Inputs!$F$97/100*Time!AW24-Operations!AW9/100*Time!AW25/Inputs!$F$247)+(Inputs!$F$95/100*Inputs!$F$96/100)*AV118*Time!AW25/Inputs!$F$248,0)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IF(AND(Time!AW20&gt;=Time!$F$12,Time!AX20&gt;0),AW119+AW120+AW121+AW122+AW123+AW124+-1*Inputs!AX301*AX106*(Inputs!$F$97/100*Time!AX24-Operations!AX9/100*Time!AX25/Inputs!$F$247)+(Inputs!$F$95/100*Inputs!$F$96/100)*AW118*Time!AX25/Inputs!$F$248,0)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IF(AND(Time!AX20&gt;=Time!$F$12,Time!AY20&gt;0),AX119+AX120+AX121+AX122+AX123+AX124+-1*Inputs!AY301*AY106*(Inputs!$F$97/100*Time!AY24-Operations!AY9/100*Time!AY25/Inputs!$F$247)+(Inputs!$F$95/100*Inputs!$F$96/100)*AX118*Time!AY25/Inputs!$F$248,0)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IF(AND(Time!AY20&gt;=Time!$F$12,Time!AZ20&gt;0),AY119+AY120+AY121+AY122+AY123+AY124+-1*Inputs!AZ301*AZ106*(Inputs!$F$97/100*Time!AZ24-Operations!AZ9/100*Time!AZ25/Inputs!$F$247)+(Inputs!$F$95/100*Inputs!$F$96/100)*AY118*Time!AZ25/Inputs!$F$248,0)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IF(AND(Time!AZ20&gt;=Time!$F$12,Time!BA20&gt;0),AZ119+AZ120+AZ121+AZ122+AZ123+AZ124+-1*Inputs!BA301*BA106*(Inputs!$F$97/100*Time!BA24-Operations!BA9/100*Time!BA25/Inputs!$F$247)+(Inputs!$F$95/100*Inputs!$F$96/100)*AZ118*Time!BA25/Inputs!$F$248,0)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IF(AND(Time!BA20&gt;=Time!$F$12,Time!BB20&gt;0),BA119+BA120+BA121+BA122+BA123+BA124+-1*Inputs!BB301*BB106*(Inputs!$F$97/100*Time!BB24-Operations!BB9/100*Time!BB25/Inputs!$F$247)+(Inputs!$F$95/100*Inputs!$F$96/100)*BA118*Time!BB25/Inputs!$F$248,0)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IF(AND(Time!BB20&gt;=Time!$F$12,Time!BC20&gt;0),BB119+BB120+BB121+BB122+BB123+BB124+-1*Inputs!BC301*BC106*(Inputs!$F$97/100*Time!BC24-Operations!BC9/100*Time!BC25/Inputs!$F$247)+(Inputs!$F$95/100*Inputs!$F$96/100)*BB118*Time!BC25/Inputs!$F$248,0)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IF(AND(Time!BC20&gt;=Time!$F$12,Time!BD20&gt;0),BC119+BC120+BC121+BC122+BC123+BC124+-1*Inputs!BD301*BD106*(Inputs!$F$97/100*Time!BD24-Operations!BD9/100*Time!BD25/Inputs!$F$247)+(Inputs!$F$95/100*Inputs!$F$96/100)*BC118*Time!BD25/Inputs!$F$248,0)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IF(AND(Time!BD20&gt;=Time!$F$12,Time!BE20&gt;0),BD119+BD120+BD121+BD122+BD123+BD124+-1*Inputs!BE301*BE106*(Inputs!$F$97/100*Time!BE24-Operations!BE9/100*Time!BE25/Inputs!$F$247)+(Inputs!$F$95/100*Inputs!$F$96/100)*BD118*Time!BE25/Inputs!$F$248,0)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IF(AND(Time!BE20&gt;=Time!$F$12,Time!BF20&gt;0),BE119+BE120+BE121+BE122+BE123+BE124+-1*Inputs!BF301*BF106*(Inputs!$F$97/100*Time!BF24-Operations!BF9/100*Time!BF25/Inputs!$F$247)+(Inputs!$F$95/100*Inputs!$F$96/100)*BE118*Time!BF25/Inputs!$F$248,0)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IF(AND(Time!BF20&gt;=Time!$F$12,Time!BG20&gt;0),BF119+BF120+BF121+BF122+BF123+BF124+-1*Inputs!BG301*BG106*(Inputs!$F$97/100*Time!BG24-Operations!BG9/100*Time!BG25/Inputs!$F$247)+(Inputs!$F$95/100*Inputs!$F$96/100)*BF118*Time!BG25/Inputs!$F$248,0)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IF(AND(Time!BG20&gt;=Time!$F$12,Time!BH20&gt;0),BG119+BG120+BG121+BG122+BG123+BG124+-1*Inputs!BH301*BH106*(Inputs!$F$97/100*Time!BH24-Operations!BH9/100*Time!BH25/Inputs!$F$247)+(Inputs!$F$95/100*Inputs!$F$96/100)*BG118*Time!BH25/Inputs!$F$248,0)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IF(AND(Time!BH20&gt;=Time!$F$12,Time!BI20&gt;0),BH119+BH120+BH121+BH122+BH123+BH124+-1*Inputs!BI301*BI106*(Inputs!$F$97/100*Time!BI24-Operations!BI9/100*Time!BI25/Inputs!$F$247)+(Inputs!$F$95/100*Inputs!$F$96/100)*BH118*Time!BI25/Inputs!$F$248,0)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IF(AND(Time!BI20&gt;=Time!$F$12,Time!BJ20&gt;0),BI119+BI120+BI121+BI122+BI123+BI124+-1*Inputs!BJ301*BJ106*(Inputs!$F$97/100*Time!BJ24-Operations!BJ9/100*Time!BJ25/Inputs!$F$247)+(Inputs!$F$95/100*Inputs!$F$96/100)*BI118*Time!BJ25/Inputs!$F$248,0)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IF(AND(Time!BJ20&gt;=Time!$F$12,Time!BK20&gt;0),BJ119+BJ120+BJ121+BJ122+BJ123+BJ124+-1*Inputs!BK301*BK106*(Inputs!$F$97/100*Time!BK24-Operations!BK9/100*Time!BK25/Inputs!$F$247)+(Inputs!$F$95/100*Inputs!$F$96/100)*BJ118*Time!BK25/Inputs!$F$248,0)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IF(AND(Time!BK20&gt;=Time!$F$12,Time!BL20&gt;0),BK119+BK120+BK121+BK122+BK123+BK124+-1*Inputs!BL301*BL106*(Inputs!$F$97/100*Time!BL24-Operations!BL9/100*Time!BL25/Inputs!$F$247)+(Inputs!$F$95/100*Inputs!$F$96/100)*BK118*Time!BL25/Inputs!$F$248,0)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IF(AND(Time!BL20&gt;=Time!$F$12,Time!BM20&gt;0),BL119+BL120+BL121+BL122+BL123+BL124+-1*Inputs!BM301*BM106*(Inputs!$F$97/100*Time!BM24-Operations!BM9/100*Time!BM25/Inputs!$F$247)+(Inputs!$F$95/100*Inputs!$F$96/100)*BL118*Time!BM25/Inputs!$F$248,0)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IF(AND(Time!BM20&gt;=Time!$F$12,Time!BN20&gt;0),BM119+BM120+BM121+BM122+BM123+BM124+-1*Inputs!BN301*BN106*(Inputs!$F$97/100*Time!BN24-Operations!BN9/100*Time!BN25/Inputs!$F$247)+(Inputs!$F$95/100*Inputs!$F$96/100)*BM118*Time!BN25/Inputs!$F$248,0)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IF(AND(Time!BN20&gt;=Time!$F$12,Time!BO20&gt;0),BN119+BN120+BN121+BN122+BN123+BN124+-1*Inputs!BO301*BO106*(Inputs!$F$97/100*Time!BO24-Operations!BO9/100*Time!BO25/Inputs!$F$247)+(Inputs!$F$95/100*Inputs!$F$96/100)*BN118*Time!BO25/Inputs!$F$248,0)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IF(Time!J53=1,Inputs!$F$75*J10+Inputs!$F$76*J11+Inputs!$F$77*J12+Inputs!$F$78*(J13+(Inputs!$F$95/100*Inputs!$F$96/100)*Time!J25/Inputs!$F$248)+-1*Inputs!J301/(Funding!$F$25*J18)*(Inputs!$F$97/100*Time!J24-Operations!J9/100*Time!J25/Inputs!$F$247),0)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IF(Time!K53=1,Inputs!$F$75*K10+Inputs!$F$76*K11+Inputs!$F$77*K12+Inputs!$F$78*(K13+(Inputs!$F$95/100*Inputs!$F$96/100)*Time!K25/Inputs!$F$248)+-1*Inputs!K301/(Funding!$F$25*K18)*(Inputs!$F$97/100*Time!K24-Operations!K9/100*Time!K25/Inputs!$F$247),0)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IF(Time!L53=1,Inputs!$F$75*L10+Inputs!$F$76*L11+Inputs!$F$77*L12+Inputs!$F$78*(L13+(Inputs!$F$95/100*Inputs!$F$96/100)*Time!L25/Inputs!$F$248)+-1*Inputs!L301/(Funding!$F$25*L18)*(Inputs!$F$97/100*Time!L24-Operations!L9/100*Time!L25/Inputs!$F$247),0)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IF(Time!M53=1,Inputs!$F$75*M10+Inputs!$F$76*M11+Inputs!$F$77*M12+Inputs!$F$78*(M13+(Inputs!$F$95/100*Inputs!$F$96/100)*Time!M25/Inputs!$F$248)+-1*Inputs!M301/(Funding!$F$25*M18)*(Inputs!$F$97/100*Time!M24-Operations!M9/100*Time!M25/Inputs!$F$247),0)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IF(Time!N53=1,Inputs!$F$75*N10+Inputs!$F$76*N11+Inputs!$F$77*N12+Inputs!$F$78*(N13+(Inputs!$F$95/100*Inputs!$F$96/100)*Time!N25/Inputs!$F$248)+-1*Inputs!N301/(Funding!$F$25*N18)*(Inputs!$F$97/100*Time!N24-Operations!N9/100*Time!N25/Inputs!$F$247),0)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IF(Time!O53=1,Inputs!$F$75*O10+Inputs!$F$76*O11+Inputs!$F$77*O12+Inputs!$F$78*(O13+(Inputs!$F$95/100*Inputs!$F$96/100)*Time!O25/Inputs!$F$248)+-1*Inputs!O301/(Funding!$F$25*O18)*(Inputs!$F$97/100*Time!O24-Operations!O9/100*Time!O25/Inputs!$F$247),0)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IF(Time!P53=1,Inputs!$F$75*P10+Inputs!$F$76*P11+Inputs!$F$77*P12+Inputs!$F$78*(P13+(Inputs!$F$95/100*Inputs!$F$96/100)*Time!P25/Inputs!$F$248)+-1*Inputs!P301/(Funding!$F$25*P18)*(Inputs!$F$97/100*Time!P24-Operations!P9/100*Time!P25/Inputs!$F$247),0)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IF(Time!Q53=1,Inputs!$F$75*Q10+Inputs!$F$76*Q11+Inputs!$F$77*Q12+Inputs!$F$78*(Q13+(Inputs!$F$95/100*Inputs!$F$96/100)*Time!Q25/Inputs!$F$248)+-1*Inputs!Q301/(Funding!$F$25*Q18)*(Inputs!$F$97/100*Time!Q24-Operations!Q9/100*Time!Q25/Inputs!$F$247),0)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IF(Time!R53=1,Inputs!$F$75*R10+Inputs!$F$76*R11+Inputs!$F$77*R12+Inputs!$F$78*(R13+(Inputs!$F$95/100*Inputs!$F$96/100)*Time!R25/Inputs!$F$248)+-1*Inputs!R301/(Funding!$F$25*R18)*(Inputs!$F$97/100*Time!R24-Operations!R9/100*Time!R25/Inputs!$F$247),0)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IF(Time!S53=1,Inputs!$F$75*S10+Inputs!$F$76*S11+Inputs!$F$77*S12+Inputs!$F$78*(S13+(Inputs!$F$95/100*Inputs!$F$96/100)*Time!S25/Inputs!$F$248)+-1*Inputs!S301/(Funding!$F$25*S18)*(Inputs!$F$97/100*Time!S24-Operations!S9/100*Time!S25/Inputs!$F$247),0)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IF(Time!T53=1,Inputs!$F$75*T10+Inputs!$F$76*T11+Inputs!$F$77*T12+Inputs!$F$78*(T13+(Inputs!$F$95/100*Inputs!$F$96/100)*Time!T25/Inputs!$F$248)+-1*Inputs!T301/(Funding!$F$25*T18)*(Inputs!$F$97/100*Time!T24-Operations!T9/100*Time!T25/Inputs!$F$247),0)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IF(Time!U53=1,Inputs!$F$75*U10+Inputs!$F$76*U11+Inputs!$F$77*U12+Inputs!$F$78*(U13+(Inputs!$F$95/100*Inputs!$F$96/100)*Time!U25/Inputs!$F$248)+-1*Inputs!U301/(Funding!$F$25*U18)*(Inputs!$F$97/100*Time!U24-Operations!U9/100*Time!U25/Inputs!$F$247),0)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IF(Time!V53=1,Inputs!$F$75*V10+Inputs!$F$76*V11+Inputs!$F$77*V12+Inputs!$F$78*(V13+(Inputs!$F$95/100*Inputs!$F$96/100)*Time!V25/Inputs!$F$248)+-1*Inputs!V301/(Funding!$F$25*V18)*(Inputs!$F$97/100*Time!V24-Operations!V9/100*Time!V25/Inputs!$F$247),0)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IF(Time!W53=1,Inputs!$F$75*W10+Inputs!$F$76*W11+Inputs!$F$77*W12+Inputs!$F$78*(W13+(Inputs!$F$95/100*Inputs!$F$96/100)*Time!W25/Inputs!$F$248)+-1*Inputs!W301/(Funding!$F$25*W18)*(Inputs!$F$97/100*Time!W24-Operations!W9/100*Time!W25/Inputs!$F$247),0)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IF(Time!X53=1,Inputs!$F$75*X10+Inputs!$F$76*X11+Inputs!$F$77*X12+Inputs!$F$78*(X13+(Inputs!$F$95/100*Inputs!$F$96/100)*Time!X25/Inputs!$F$248)+-1*Inputs!X301/(Funding!$F$25*X18)*(Inputs!$F$97/100*Time!X24-Operations!X9/100*Time!X25/Inputs!$F$247),0)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IF(Time!Y53=1,Inputs!$F$75*Y10+Inputs!$F$76*Y11+Inputs!$F$77*Y12+Inputs!$F$78*(Y13+(Inputs!$F$95/100*Inputs!$F$96/100)*Time!Y25/Inputs!$F$248)+-1*Inputs!Y301/(Funding!$F$25*Y18)*(Inputs!$F$97/100*Time!Y24-Operations!Y9/100*Time!Y25/Inputs!$F$247),0)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IF(Time!Z53=1,Inputs!$F$75*Z10+Inputs!$F$76*Z11+Inputs!$F$77*Z12+Inputs!$F$78*(Z13+(Inputs!$F$95/100*Inputs!$F$96/100)*Time!Z25/Inputs!$F$248)+-1*Inputs!Z301/(Funding!$F$25*Z18)*(Inputs!$F$97/100*Time!Z24-Operations!Z9/100*Time!Z25/Inputs!$F$247),0)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IF(Time!AA53=1,Inputs!$F$75*AA10+Inputs!$F$76*AA11+Inputs!$F$77*AA12+Inputs!$F$78*(AA13+(Inputs!$F$95/100*Inputs!$F$96/100)*Time!AA25/Inputs!$F$248)+-1*Inputs!AA301/(Funding!$F$25*AA18)*(Inputs!$F$97/100*Time!AA24-Operations!AA9/100*Time!AA25/Inputs!$F$247),0)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IF(Time!AB53=1,Inputs!$F$75*AB10+Inputs!$F$76*AB11+Inputs!$F$77*AB12+Inputs!$F$78*(AB13+(Inputs!$F$95/100*Inputs!$F$96/100)*Time!AB25/Inputs!$F$248)+-1*Inputs!AB301/(Funding!$F$25*AB18)*(Inputs!$F$97/100*Time!AB24-Operations!AB9/100*Time!AB25/Inputs!$F$247),0)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IF(Time!AC53=1,Inputs!$F$75*AC10+Inputs!$F$76*AC11+Inputs!$F$77*AC12+Inputs!$F$78*(AC13+(Inputs!$F$95/100*Inputs!$F$96/100)*Time!AC25/Inputs!$F$248)+-1*Inputs!AC301/(Funding!$F$25*AC18)*(Inputs!$F$97/100*Time!AC24-Operations!AC9/100*Time!AC25/Inputs!$F$247),0)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IF(Time!AD53=1,Inputs!$F$75*AD10+Inputs!$F$76*AD11+Inputs!$F$77*AD12+Inputs!$F$78*(AD13+(Inputs!$F$95/100*Inputs!$F$96/100)*Time!AD25/Inputs!$F$248)+-1*Inputs!AD301/(Funding!$F$25*AD18)*(Inputs!$F$97/100*Time!AD24-Operations!AD9/100*Time!AD25/Inputs!$F$247),0)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IF(Time!AE53=1,Inputs!$F$75*AE10+Inputs!$F$76*AE11+Inputs!$F$77*AE12+Inputs!$F$78*(AE13+(Inputs!$F$95/100*Inputs!$F$96/100)*Time!AE25/Inputs!$F$248)+-1*Inputs!AE301/(Funding!$F$25*AE18)*(Inputs!$F$97/100*Time!AE24-Operations!AE9/100*Time!AE25/Inputs!$F$247),0)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IF(Time!AF53=1,Inputs!$F$75*AF10+Inputs!$F$76*AF11+Inputs!$F$77*AF12+Inputs!$F$78*(AF13+(Inputs!$F$95/100*Inputs!$F$96/100)*Time!AF25/Inputs!$F$248)+-1*Inputs!AF301/(Funding!$F$25*AF18)*(Inputs!$F$97/100*Time!AF24-Operations!AF9/100*Time!AF25/Inputs!$F$247),0)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IF(Time!AG53=1,Inputs!$F$75*AG10+Inputs!$F$76*AG11+Inputs!$F$77*AG12+Inputs!$F$78*(AG13+(Inputs!$F$95/100*Inputs!$F$96/100)*Time!AG25/Inputs!$F$248)+-1*Inputs!AG301/(Funding!$F$25*AG18)*(Inputs!$F$97/100*Time!AG24-Operations!AG9/100*Time!AG25/Inputs!$F$247),0)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IF(Time!AH53=1,Inputs!$F$75*AH10+Inputs!$F$76*AH11+Inputs!$F$77*AH12+Inputs!$F$78*(AH13+(Inputs!$F$95/100*Inputs!$F$96/100)*Time!AH25/Inputs!$F$248)+-1*Inputs!AH301/(Funding!$F$25*AH18)*(Inputs!$F$97/100*Time!AH24-Operations!AH9/100*Time!AH25/Inputs!$F$247),0)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IF(Time!AI53=1,Inputs!$F$75*AI10+Inputs!$F$76*AI11+Inputs!$F$77*AI12+Inputs!$F$78*(AI13+(Inputs!$F$95/100*Inputs!$F$96/100)*Time!AI25/Inputs!$F$248)+-1*Inputs!AI301/(Funding!$F$25*AI18)*(Inputs!$F$97/100*Time!AI24-Operations!AI9/100*Time!AI25/Inputs!$F$247),0)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IF(Time!AJ53=1,Inputs!$F$75*AJ10+Inputs!$F$76*AJ11+Inputs!$F$77*AJ12+Inputs!$F$78*(AJ13+(Inputs!$F$95/100*Inputs!$F$96/100)*Time!AJ25/Inputs!$F$248)+-1*Inputs!AJ301/(Funding!$F$25*AJ18)*(Inputs!$F$97/100*Time!AJ24-Operations!AJ9/100*Time!AJ25/Inputs!$F$247),0)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IF(Time!AK53=1,Inputs!$F$75*AK10+Inputs!$F$76*AK11+Inputs!$F$77*AK12+Inputs!$F$78*(AK13+(Inputs!$F$95/100*Inputs!$F$96/100)*Time!AK25/Inputs!$F$248)+-1*Inputs!AK301/(Funding!$F$25*AK18)*(Inputs!$F$97/100*Time!AK24-Operations!AK9/100*Time!AK25/Inputs!$F$247),0)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IF(Time!AL53=1,Inputs!$F$75*AL10+Inputs!$F$76*AL11+Inputs!$F$77*AL12+Inputs!$F$78*(AL13+(Inputs!$F$95/100*Inputs!$F$96/100)*Time!AL25/Inputs!$F$248)+-1*Inputs!AL301/(Funding!$F$25*AL18)*(Inputs!$F$97/100*Time!AL24-Operations!AL9/100*Time!AL25/Inputs!$F$247),0)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IF(Time!AM53=1,Inputs!$F$75*AM10+Inputs!$F$76*AM11+Inputs!$F$77*AM12+Inputs!$F$78*(AM13+(Inputs!$F$95/100*Inputs!$F$96/100)*Time!AM25/Inputs!$F$248)+-1*Inputs!AM301/(Funding!$F$25*AM18)*(Inputs!$F$97/100*Time!AM24-Operations!AM9/100*Time!AM25/Inputs!$F$247),0)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IF(Time!AN53=1,Inputs!$F$75*AN10+Inputs!$F$76*AN11+Inputs!$F$77*AN12+Inputs!$F$78*(AN13+(Inputs!$F$95/100*Inputs!$F$96/100)*Time!AN25/Inputs!$F$248)+-1*Inputs!AN301/(Funding!$F$25*AN18)*(Inputs!$F$97/100*Time!AN24-Operations!AN9/100*Time!AN25/Inputs!$F$247),0)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IF(Time!AO53=1,Inputs!$F$75*AO10+Inputs!$F$76*AO11+Inputs!$F$77*AO12+Inputs!$F$78*(AO13+(Inputs!$F$95/100*Inputs!$F$96/100)*Time!AO25/Inputs!$F$248)+-1*Inputs!AO301/(Funding!$F$25*AO18)*(Inputs!$F$97/100*Time!AO24-Operations!AO9/100*Time!AO25/Inputs!$F$247),0)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IF(Time!AP53=1,Inputs!$F$75*AP10+Inputs!$F$76*AP11+Inputs!$F$77*AP12+Inputs!$F$78*(AP13+(Inputs!$F$95/100*Inputs!$F$96/100)*Time!AP25/Inputs!$F$248)+-1*Inputs!AP301/(Funding!$F$25*AP18)*(Inputs!$F$97/100*Time!AP24-Operations!AP9/100*Time!AP25/Inputs!$F$247),0)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IF(Time!AQ53=1,Inputs!$F$75*AQ10+Inputs!$F$76*AQ11+Inputs!$F$77*AQ12+Inputs!$F$78*(AQ13+(Inputs!$F$95/100*Inputs!$F$96/100)*Time!AQ25/Inputs!$F$248)+-1*Inputs!AQ301/(Funding!$F$25*AQ18)*(Inputs!$F$97/100*Time!AQ24-Operations!AQ9/100*Time!AQ25/Inputs!$F$247),0)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IF(Time!AR53=1,Inputs!$F$75*AR10+Inputs!$F$76*AR11+Inputs!$F$77*AR12+Inputs!$F$78*(AR13+(Inputs!$F$95/100*Inputs!$F$96/100)*Time!AR25/Inputs!$F$248)+-1*Inputs!AR301/(Funding!$F$25*AR18)*(Inputs!$F$97/100*Time!AR24-Operations!AR9/100*Time!AR25/Inputs!$F$247),0)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IF(Time!AS53=1,Inputs!$F$75*AS10+Inputs!$F$76*AS11+Inputs!$F$77*AS12+Inputs!$F$78*(AS13+(Inputs!$F$95/100*Inputs!$F$96/100)*Time!AS25/Inputs!$F$248)+-1*Inputs!AS301/(Funding!$F$25*AS18)*(Inputs!$F$97/100*Time!AS24-Operations!AS9/100*Time!AS25/Inputs!$F$247),0)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IF(Time!AT53=1,Inputs!$F$75*AT10+Inputs!$F$76*AT11+Inputs!$F$77*AT12+Inputs!$F$78*(AT13+(Inputs!$F$95/100*Inputs!$F$96/100)*Time!AT25/Inputs!$F$248)+-1*Inputs!AT301/(Funding!$F$25*AT18)*(Inputs!$F$97/100*Time!AT24-Operations!AT9/100*Time!AT25/Inputs!$F$247),0)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IF(Time!AU53=1,Inputs!$F$75*AU10+Inputs!$F$76*AU11+Inputs!$F$77*AU12+Inputs!$F$78*(AU13+(Inputs!$F$95/100*Inputs!$F$96/100)*Time!AU25/Inputs!$F$248)+-1*Inputs!AU301/(Funding!$F$25*AU18)*(Inputs!$F$97/100*Time!AU24-Operations!AU9/100*Time!AU25/Inputs!$F$247),0)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IF(Time!AV53=1,Inputs!$F$75*AV10+Inputs!$F$76*AV11+Inputs!$F$77*AV12+Inputs!$F$78*(AV13+(Inputs!$F$95/100*Inputs!$F$96/100)*Time!AV25/Inputs!$F$248)+-1*Inputs!AV301/(Funding!$F$25*AV18)*(Inputs!$F$97/100*Time!AV24-Operations!AV9/100*Time!AV25/Inputs!$F$247),0)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IF(Time!AW53=1,Inputs!$F$75*AW10+Inputs!$F$76*AW11+Inputs!$F$77*AW12+Inputs!$F$78*(AW13+(Inputs!$F$95/100*Inputs!$F$96/100)*Time!AW25/Inputs!$F$248)+-1*Inputs!AW301/(Funding!$F$25*AW18)*(Inputs!$F$97/100*Time!AW24-Operations!AW9/100*Time!AW25/Inputs!$F$247),0)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IF(Time!AX53=1,Inputs!$F$75*AX10+Inputs!$F$76*AX11+Inputs!$F$77*AX12+Inputs!$F$78*(AX13+(Inputs!$F$95/100*Inputs!$F$96/100)*Time!AX25/Inputs!$F$248)+-1*Inputs!AX301/(Funding!$F$25*AX18)*(Inputs!$F$97/100*Time!AX24-Operations!AX9/100*Time!AX25/Inputs!$F$247),0)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IF(Time!AY53=1,Inputs!$F$75*AY10+Inputs!$F$76*AY11+Inputs!$F$77*AY12+Inputs!$F$78*(AY13+(Inputs!$F$95/100*Inputs!$F$96/100)*Time!AY25/Inputs!$F$248)+-1*Inputs!AY301/(Funding!$F$25*AY18)*(Inputs!$F$97/100*Time!AY24-Operations!AY9/100*Time!AY25/Inputs!$F$247),0)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IF(Time!AZ53=1,Inputs!$F$75*AZ10+Inputs!$F$76*AZ11+Inputs!$F$77*AZ12+Inputs!$F$78*(AZ13+(Inputs!$F$95/100*Inputs!$F$96/100)*Time!AZ25/Inputs!$F$248)+-1*Inputs!AZ301/(Funding!$F$25*AZ18)*(Inputs!$F$97/100*Time!AZ24-Operations!AZ9/100*Time!AZ25/Inputs!$F$247),0)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IF(Time!BA53=1,Inputs!$F$75*BA10+Inputs!$F$76*BA11+Inputs!$F$77*BA12+Inputs!$F$78*(BA13+(Inputs!$F$95/100*Inputs!$F$96/100)*Time!BA25/Inputs!$F$248)+-1*Inputs!BA301/(Funding!$F$25*BA18)*(Inputs!$F$97/100*Time!BA24-Operations!BA9/100*Time!BA25/Inputs!$F$247),0)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IF(Time!BB53=1,Inputs!$F$75*BB10+Inputs!$F$76*BB11+Inputs!$F$77*BB12+Inputs!$F$78*(BB13+(Inputs!$F$95/100*Inputs!$F$96/100)*Time!BB25/Inputs!$F$248)+-1*Inputs!BB301/(Funding!$F$25*BB18)*(Inputs!$F$97/100*Time!BB24-Operations!BB9/100*Time!BB25/Inputs!$F$247),0)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IF(Time!BC53=1,Inputs!$F$75*BC10+Inputs!$F$76*BC11+Inputs!$F$77*BC12+Inputs!$F$78*(BC13+(Inputs!$F$95/100*Inputs!$F$96/100)*Time!BC25/Inputs!$F$248)+-1*Inputs!BC301/(Funding!$F$25*BC18)*(Inputs!$F$97/100*Time!BC24-Operations!BC9/100*Time!BC25/Inputs!$F$247),0)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IF(Time!BD53=1,Inputs!$F$75*BD10+Inputs!$F$76*BD11+Inputs!$F$77*BD12+Inputs!$F$78*(BD13+(Inputs!$F$95/100*Inputs!$F$96/100)*Time!BD25/Inputs!$F$248)+-1*Inputs!BD301/(Funding!$F$25*BD18)*(Inputs!$F$97/100*Time!BD24-Operations!BD9/100*Time!BD25/Inputs!$F$247),0)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IF(Time!BE53=1,Inputs!$F$75*BE10+Inputs!$F$76*BE11+Inputs!$F$77*BE12+Inputs!$F$78*(BE13+(Inputs!$F$95/100*Inputs!$F$96/100)*Time!BE25/Inputs!$F$248)+-1*Inputs!BE301/(Funding!$F$25*BE18)*(Inputs!$F$97/100*Time!BE24-Operations!BE9/100*Time!BE25/Inputs!$F$247),0)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IF(Time!BF53=1,Inputs!$F$75*BF10+Inputs!$F$76*BF11+Inputs!$F$77*BF12+Inputs!$F$78*(BF13+(Inputs!$F$95/100*Inputs!$F$96/100)*Time!BF25/Inputs!$F$248)+-1*Inputs!BF301/(Funding!$F$25*BF18)*(Inputs!$F$97/100*Time!BF24-Operations!BF9/100*Time!BF25/Inputs!$F$247),0)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IF(Time!BG53=1,Inputs!$F$75*BG10+Inputs!$F$76*BG11+Inputs!$F$77*BG12+Inputs!$F$78*(BG13+(Inputs!$F$95/100*Inputs!$F$96/100)*Time!BG25/Inputs!$F$248)+-1*Inputs!BG301/(Funding!$F$25*BG18)*(Inputs!$F$97/100*Time!BG24-Operations!BG9/100*Time!BG25/Inputs!$F$247),0)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IF(Time!BH53=1,Inputs!$F$75*BH10+Inputs!$F$76*BH11+Inputs!$F$77*BH12+Inputs!$F$78*(BH13+(Inputs!$F$95/100*Inputs!$F$96/100)*Time!BH25/Inputs!$F$248)+-1*Inputs!BH301/(Funding!$F$25*BH18)*(Inputs!$F$97/100*Time!BH24-Operations!BH9/100*Time!BH25/Inputs!$F$247),0)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IF(Time!BI53=1,Inputs!$F$75*BI10+Inputs!$F$76*BI11+Inputs!$F$77*BI12+Inputs!$F$78*(BI13+(Inputs!$F$95/100*Inputs!$F$96/100)*Time!BI25/Inputs!$F$248)+-1*Inputs!BI301/(Funding!$F$25*BI18)*(Inputs!$F$97/100*Time!BI24-Operations!BI9/100*Time!BI25/Inputs!$F$247),0)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IF(Time!BJ53=1,Inputs!$F$75*BJ10+Inputs!$F$76*BJ11+Inputs!$F$77*BJ12+Inputs!$F$78*(BJ13+(Inputs!$F$95/100*Inputs!$F$96/100)*Time!BJ25/Inputs!$F$248)+-1*Inputs!BJ301/(Funding!$F$25*BJ18)*(Inputs!$F$97/100*Time!BJ24-Operations!BJ9/100*Time!BJ25/Inputs!$F$247),0)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IF(Time!BK53=1,Inputs!$F$75*BK10+Inputs!$F$76*BK11+Inputs!$F$77*BK12+Inputs!$F$78*(BK13+(Inputs!$F$95/100*Inputs!$F$96/100)*Time!BK25/Inputs!$F$248)+-1*Inputs!BK301/(Funding!$F$25*BK18)*(Inputs!$F$97/100*Time!BK24-Operations!BK9/100*Time!BK25/Inputs!$F$247),0)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IF(Time!BL53=1,Inputs!$F$75*BL10+Inputs!$F$76*BL11+Inputs!$F$77*BL12+Inputs!$F$78*(BL13+(Inputs!$F$95/100*Inputs!$F$96/100)*Time!BL25/Inputs!$F$248)+-1*Inputs!BL301/(Funding!$F$25*BL18)*(Inputs!$F$97/100*Time!BL24-Operations!BL9/100*Time!BL25/Inputs!$F$247),0)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IF(Time!BM53=1,Inputs!$F$75*BM10+Inputs!$F$76*BM11+Inputs!$F$77*BM12+Inputs!$F$78*(BM13+(Inputs!$F$95/100*Inputs!$F$96/100)*Time!BM25/Inputs!$F$248)+-1*Inputs!BM301/(Funding!$F$25*BM18)*(Inputs!$F$97/100*Time!BM24-Operations!BM9/100*Time!BM25/Inputs!$F$247),0)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IF(Time!BN53=1,Inputs!$F$75*BN10+Inputs!$F$76*BN11+Inputs!$F$77*BN12+Inputs!$F$78*(BN13+(Inputs!$F$95/100*Inputs!$F$96/100)*Time!BN25/Inputs!$F$248)+-1*Inputs!BN301/(Funding!$F$25*BN18)*(Inputs!$F$97/100*Time!BN24-Operations!BN9/100*Time!BN25/Inputs!$F$247),0)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IF(Time!J53=1,(Waterfall!J7+Tax!J27+K128)/(1+J127),0)</f>
        <v/>
      </c>
      <c r="K128" s="13">
        <f>IF(Time!K53=1,(Waterfall!K7+Tax!K27+L128)/(1+K127),0)</f>
        <v/>
      </c>
      <c r="L128" s="13">
        <f>IF(Time!L53=1,(Waterfall!L7+Tax!L27+M128)/(1+L127),0)</f>
        <v/>
      </c>
      <c r="M128" s="13">
        <f>IF(Time!M53=1,(Waterfall!M7+Tax!M27+N128)/(1+M127),0)</f>
        <v/>
      </c>
      <c r="N128" s="13">
        <f>IF(Time!N53=1,(Waterfall!N7+Tax!N27+O128)/(1+N127),0)</f>
        <v/>
      </c>
      <c r="O128" s="13">
        <f>IF(Time!O53=1,(Waterfall!O7+Tax!O27+P128)/(1+O127),0)</f>
        <v/>
      </c>
      <c r="P128" s="13">
        <f>IF(Time!P53=1,(Waterfall!P7+Tax!P27+Q128)/(1+P127),0)</f>
        <v/>
      </c>
      <c r="Q128" s="13">
        <f>IF(Time!Q53=1,(Waterfall!Q7+Tax!Q27+R128)/(1+Q127),0)</f>
        <v/>
      </c>
      <c r="R128" s="13">
        <f>IF(Time!R53=1,(Waterfall!R7+Tax!R27+S128)/(1+R127),0)</f>
        <v/>
      </c>
      <c r="S128" s="13">
        <f>IF(Time!S53=1,(Waterfall!S7+Tax!S27+T128)/(1+S127),0)</f>
        <v/>
      </c>
      <c r="T128" s="13">
        <f>IF(Time!T53=1,(Waterfall!T7+Tax!T27+U128)/(1+T127),0)</f>
        <v/>
      </c>
      <c r="U128" s="13">
        <f>IF(Time!U53=1,(Waterfall!U7+Tax!U27+V128)/(1+U127),0)</f>
        <v/>
      </c>
      <c r="V128" s="13">
        <f>IF(Time!V53=1,(Waterfall!V7+Tax!V27+W128)/(1+V127),0)</f>
        <v/>
      </c>
      <c r="W128" s="13">
        <f>IF(Time!W53=1,(Waterfall!W7+Tax!W27+X128)/(1+W127),0)</f>
        <v/>
      </c>
      <c r="X128" s="13">
        <f>IF(Time!X53=1,(Waterfall!X7+Tax!X27+Y128)/(1+X127),0)</f>
        <v/>
      </c>
      <c r="Y128" s="13">
        <f>IF(Time!Y53=1,(Waterfall!Y7+Tax!Y27+Z128)/(1+Y127),0)</f>
        <v/>
      </c>
      <c r="Z128" s="13">
        <f>IF(Time!Z53=1,(Waterfall!Z7+Tax!Z27+AA128)/(1+Z127),0)</f>
        <v/>
      </c>
      <c r="AA128" s="13">
        <f>IF(Time!AA53=1,(Waterfall!AA7+Tax!AA27+AB128)/(1+AA127),0)</f>
        <v/>
      </c>
      <c r="AB128" s="13">
        <f>IF(Time!AB53=1,(Waterfall!AB7+Tax!AB27+AC128)/(1+AB127),0)</f>
        <v/>
      </c>
      <c r="AC128" s="13">
        <f>IF(Time!AC53=1,(Waterfall!AC7+Tax!AC27+AD128)/(1+AC127),0)</f>
        <v/>
      </c>
      <c r="AD128" s="13">
        <f>IF(Time!AD53=1,(Waterfall!AD7+Tax!AD27+AE128)/(1+AD127),0)</f>
        <v/>
      </c>
      <c r="AE128" s="13">
        <f>IF(Time!AE53=1,(Waterfall!AE7+Tax!AE27+AF128)/(1+AE127),0)</f>
        <v/>
      </c>
      <c r="AF128" s="13">
        <f>IF(Time!AF53=1,(Waterfall!AF7+Tax!AF27+AG128)/(1+AF127),0)</f>
        <v/>
      </c>
      <c r="AG128" s="13">
        <f>IF(Time!AG53=1,(Waterfall!AG7+Tax!AG27+AH128)/(1+AG127),0)</f>
        <v/>
      </c>
      <c r="AH128" s="13">
        <f>IF(Time!AH53=1,(Waterfall!AH7+Tax!AH27+AI128)/(1+AH127),0)</f>
        <v/>
      </c>
      <c r="AI128" s="13">
        <f>IF(Time!AI53=1,(Waterfall!AI7+Tax!AI27+AJ128)/(1+AI127),0)</f>
        <v/>
      </c>
      <c r="AJ128" s="13">
        <f>IF(Time!AJ53=1,(Waterfall!AJ7+Tax!AJ27+AK128)/(1+AJ127),0)</f>
        <v/>
      </c>
      <c r="AK128" s="13">
        <f>IF(Time!AK53=1,(Waterfall!AK7+Tax!AK27+AL128)/(1+AK127),0)</f>
        <v/>
      </c>
      <c r="AL128" s="13">
        <f>IF(Time!AL53=1,(Waterfall!AL7+Tax!AL27+AM128)/(1+AL127),0)</f>
        <v/>
      </c>
      <c r="AM128" s="13">
        <f>IF(Time!AM53=1,(Waterfall!AM7+Tax!AM27+AN128)/(1+AM127),0)</f>
        <v/>
      </c>
      <c r="AN128" s="13">
        <f>IF(Time!AN53=1,(Waterfall!AN7+Tax!AN27+AO128)/(1+AN127),0)</f>
        <v/>
      </c>
      <c r="AO128" s="13">
        <f>IF(Time!AO53=1,(Waterfall!AO7+Tax!AO27+AP128)/(1+AO127),0)</f>
        <v/>
      </c>
      <c r="AP128" s="13">
        <f>IF(Time!AP53=1,(Waterfall!AP7+Tax!AP27+AQ128)/(1+AP127),0)</f>
        <v/>
      </c>
      <c r="AQ128" s="13">
        <f>IF(Time!AQ53=1,(Waterfall!AQ7+Tax!AQ27+AR128)/(1+AQ127),0)</f>
        <v/>
      </c>
      <c r="AR128" s="13">
        <f>IF(Time!AR53=1,(Waterfall!AR7+Tax!AR27+AS128)/(1+AR127),0)</f>
        <v/>
      </c>
      <c r="AS128" s="13">
        <f>IF(Time!AS53=1,(Waterfall!AS7+Tax!AS27+AT128)/(1+AS127),0)</f>
        <v/>
      </c>
      <c r="AT128" s="13">
        <f>IF(Time!AT53=1,(Waterfall!AT7+Tax!AT27+AU128)/(1+AT127),0)</f>
        <v/>
      </c>
      <c r="AU128" s="13">
        <f>IF(Time!AU53=1,(Waterfall!AU7+Tax!AU27+AV128)/(1+AU127),0)</f>
        <v/>
      </c>
      <c r="AV128" s="13">
        <f>IF(Time!AV53=1,(Waterfall!AV7+Tax!AV27+AW128)/(1+AV127),0)</f>
        <v/>
      </c>
      <c r="AW128" s="13">
        <f>IF(Time!AW53=1,(Waterfall!AW7+Tax!AW27+AX128)/(1+AW127),0)</f>
        <v/>
      </c>
      <c r="AX128" s="13">
        <f>IF(Time!AX53=1,(Waterfall!AX7+Tax!AX27+AY128)/(1+AX127),0)</f>
        <v/>
      </c>
      <c r="AY128" s="13">
        <f>IF(Time!AY53=1,(Waterfall!AY7+Tax!AY27+AZ128)/(1+AY127),0)</f>
        <v/>
      </c>
      <c r="AZ128" s="13">
        <f>IF(Time!AZ53=1,(Waterfall!AZ7+Tax!AZ27+BA128)/(1+AZ127),0)</f>
        <v/>
      </c>
      <c r="BA128" s="13">
        <f>IF(Time!BA53=1,(Waterfall!BA7+Tax!BA27+BB128)/(1+BA127),0)</f>
        <v/>
      </c>
      <c r="BB128" s="13">
        <f>IF(Time!BB53=1,(Waterfall!BB7+Tax!BB27+BC128)/(1+BB127),0)</f>
        <v/>
      </c>
      <c r="BC128" s="13">
        <f>IF(Time!BC53=1,(Waterfall!BC7+Tax!BC27+BD128)/(1+BC127),0)</f>
        <v/>
      </c>
      <c r="BD128" s="13">
        <f>IF(Time!BD53=1,(Waterfall!BD7+Tax!BD27+BE128)/(1+BD127),0)</f>
        <v/>
      </c>
      <c r="BE128" s="13">
        <f>IF(Time!BE53=1,(Waterfall!BE7+Tax!BE27+BF128)/(1+BE127),0)</f>
        <v/>
      </c>
      <c r="BF128" s="13">
        <f>IF(Time!BF53=1,(Waterfall!BF7+Tax!BF27+BG128)/(1+BF127),0)</f>
        <v/>
      </c>
      <c r="BG128" s="13">
        <f>IF(Time!BG53=1,(Waterfall!BG7+Tax!BG27+BH128)/(1+BG127),0)</f>
        <v/>
      </c>
      <c r="BH128" s="13">
        <f>IF(Time!BH53=1,(Waterfall!BH7+Tax!BH27+BI128)/(1+BH127),0)</f>
        <v/>
      </c>
      <c r="BI128" s="13">
        <f>IF(Time!BI53=1,(Waterfall!BI7+Tax!BI27+BJ128)/(1+BI127),0)</f>
        <v/>
      </c>
      <c r="BJ128" s="13">
        <f>IF(Time!BJ53=1,(Waterfall!BJ7+Tax!BJ27+BK128)/(1+BJ127),0)</f>
        <v/>
      </c>
      <c r="BK128" s="13">
        <f>IF(Time!BK53=1,(Waterfall!BK7+Tax!BK27+BL128)/(1+BK127),0)</f>
        <v/>
      </c>
      <c r="BL128" s="13">
        <f>IF(Time!BL53=1,(Waterfall!BL7+Tax!BL27+BM128)/(1+BL127),0)</f>
        <v/>
      </c>
      <c r="BM128" s="13">
        <f>IF(Time!BM53=1,(Waterfall!BM7+Tax!BM27+BN128)/(1+BM127),0)</f>
        <v/>
      </c>
      <c r="BN128" s="13">
        <f>IF(Time!BN53=1,(Waterfall!BN7+Tax!BN27+BO128)/(1+BN127),0)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IF(Time!J53=1,(Waterfall!J7+Tax!J27)/$F$129,0)</f>
        <v/>
      </c>
      <c r="K132" s="13">
        <f>IF(Time!K53=1,(Waterfall!K7+Tax!K27)/$F$129,0)</f>
        <v/>
      </c>
      <c r="L132" s="13">
        <f>IF(Time!L53=1,(Waterfall!L7+Tax!L27)/$F$129,0)</f>
        <v/>
      </c>
      <c r="M132" s="13">
        <f>IF(Time!M53=1,(Waterfall!M7+Tax!M27)/$F$129,0)</f>
        <v/>
      </c>
      <c r="N132" s="13">
        <f>IF(Time!N53=1,(Waterfall!N7+Tax!N27)/$F$129,0)</f>
        <v/>
      </c>
      <c r="O132" s="13">
        <f>IF(Time!O53=1,(Waterfall!O7+Tax!O27)/$F$129,0)</f>
        <v/>
      </c>
      <c r="P132" s="13">
        <f>IF(Time!P53=1,(Waterfall!P7+Tax!P27)/$F$129,0)</f>
        <v/>
      </c>
      <c r="Q132" s="13">
        <f>IF(Time!Q53=1,(Waterfall!Q7+Tax!Q27)/$F$129,0)</f>
        <v/>
      </c>
      <c r="R132" s="13">
        <f>IF(Time!R53=1,(Waterfall!R7+Tax!R27)/$F$129,0)</f>
        <v/>
      </c>
      <c r="S132" s="13">
        <f>IF(Time!S53=1,(Waterfall!S7+Tax!S27)/$F$129,0)</f>
        <v/>
      </c>
      <c r="T132" s="13">
        <f>IF(Time!T53=1,(Waterfall!T7+Tax!T27)/$F$129,0)</f>
        <v/>
      </c>
      <c r="U132" s="13">
        <f>IF(Time!U53=1,(Waterfall!U7+Tax!U27)/$F$129,0)</f>
        <v/>
      </c>
      <c r="V132" s="13">
        <f>IF(Time!V53=1,(Waterfall!V7+Tax!V27)/$F$129,0)</f>
        <v/>
      </c>
      <c r="W132" s="13">
        <f>IF(Time!W53=1,(Waterfall!W7+Tax!W27)/$F$129,0)</f>
        <v/>
      </c>
      <c r="X132" s="13">
        <f>IF(Time!X53=1,(Waterfall!X7+Tax!X27)/$F$129,0)</f>
        <v/>
      </c>
      <c r="Y132" s="13">
        <f>IF(Time!Y53=1,(Waterfall!Y7+Tax!Y27)/$F$129,0)</f>
        <v/>
      </c>
      <c r="Z132" s="13">
        <f>IF(Time!Z53=1,(Waterfall!Z7+Tax!Z27)/$F$129,0)</f>
        <v/>
      </c>
      <c r="AA132" s="13">
        <f>IF(Time!AA53=1,(Waterfall!AA7+Tax!AA27)/$F$129,0)</f>
        <v/>
      </c>
      <c r="AB132" s="13">
        <f>IF(Time!AB53=1,(Waterfall!AB7+Tax!AB27)/$F$129,0)</f>
        <v/>
      </c>
      <c r="AC132" s="13">
        <f>IF(Time!AC53=1,(Waterfall!AC7+Tax!AC27)/$F$129,0)</f>
        <v/>
      </c>
      <c r="AD132" s="13">
        <f>IF(Time!AD53=1,(Waterfall!AD7+Tax!AD27)/$F$129,0)</f>
        <v/>
      </c>
      <c r="AE132" s="13">
        <f>IF(Time!AE53=1,(Waterfall!AE7+Tax!AE27)/$F$129,0)</f>
        <v/>
      </c>
      <c r="AF132" s="13">
        <f>IF(Time!AF53=1,(Waterfall!AF7+Tax!AF27)/$F$129,0)</f>
        <v/>
      </c>
      <c r="AG132" s="13">
        <f>IF(Time!AG53=1,(Waterfall!AG7+Tax!AG27)/$F$129,0)</f>
        <v/>
      </c>
      <c r="AH132" s="13">
        <f>IF(Time!AH53=1,(Waterfall!AH7+Tax!AH27)/$F$129,0)</f>
        <v/>
      </c>
      <c r="AI132" s="13">
        <f>IF(Time!AI53=1,(Waterfall!AI7+Tax!AI27)/$F$129,0)</f>
        <v/>
      </c>
      <c r="AJ132" s="13">
        <f>IF(Time!AJ53=1,(Waterfall!AJ7+Tax!AJ27)/$F$129,0)</f>
        <v/>
      </c>
      <c r="AK132" s="13">
        <f>IF(Time!AK53=1,(Waterfall!AK7+Tax!AK27)/$F$129,0)</f>
        <v/>
      </c>
      <c r="AL132" s="13">
        <f>IF(Time!AL53=1,(Waterfall!AL7+Tax!AL27)/$F$129,0)</f>
        <v/>
      </c>
      <c r="AM132" s="13">
        <f>IF(Time!AM53=1,(Waterfall!AM7+Tax!AM27)/$F$129,0)</f>
        <v/>
      </c>
      <c r="AN132" s="13">
        <f>IF(Time!AN53=1,(Waterfall!AN7+Tax!AN27)/$F$129,0)</f>
        <v/>
      </c>
      <c r="AO132" s="13">
        <f>IF(Time!AO53=1,(Waterfall!AO7+Tax!AO27)/$F$129,0)</f>
        <v/>
      </c>
      <c r="AP132" s="13">
        <f>IF(Time!AP53=1,(Waterfall!AP7+Tax!AP27)/$F$129,0)</f>
        <v/>
      </c>
      <c r="AQ132" s="13">
        <f>IF(Time!AQ53=1,(Waterfall!AQ7+Tax!AQ27)/$F$129,0)</f>
        <v/>
      </c>
      <c r="AR132" s="13">
        <f>IF(Time!AR53=1,(Waterfall!AR7+Tax!AR27)/$F$129,0)</f>
        <v/>
      </c>
      <c r="AS132" s="13">
        <f>IF(Time!AS53=1,(Waterfall!AS7+Tax!AS27)/$F$129,0)</f>
        <v/>
      </c>
      <c r="AT132" s="13">
        <f>IF(Time!AT53=1,(Waterfall!AT7+Tax!AT27)/$F$129,0)</f>
        <v/>
      </c>
      <c r="AU132" s="13">
        <f>IF(Time!AU53=1,(Waterfall!AU7+Tax!AU27)/$F$129,0)</f>
        <v/>
      </c>
      <c r="AV132" s="13">
        <f>IF(Time!AV53=1,(Waterfall!AV7+Tax!AV27)/$F$129,0)</f>
        <v/>
      </c>
      <c r="AW132" s="13">
        <f>IF(Time!AW53=1,(Waterfall!AW7+Tax!AW27)/$F$129,0)</f>
        <v/>
      </c>
      <c r="AX132" s="13">
        <f>IF(Time!AX53=1,(Waterfall!AX7+Tax!AX27)/$F$129,0)</f>
        <v/>
      </c>
      <c r="AY132" s="13">
        <f>IF(Time!AY53=1,(Waterfall!AY7+Tax!AY27)/$F$129,0)</f>
        <v/>
      </c>
      <c r="AZ132" s="13">
        <f>IF(Time!AZ53=1,(Waterfall!AZ7+Tax!AZ27)/$F$129,0)</f>
        <v/>
      </c>
      <c r="BA132" s="13">
        <f>IF(Time!BA53=1,(Waterfall!BA7+Tax!BA27)/$F$129,0)</f>
        <v/>
      </c>
      <c r="BB132" s="13">
        <f>IF(Time!BB53=1,(Waterfall!BB7+Tax!BB27)/$F$129,0)</f>
        <v/>
      </c>
      <c r="BC132" s="13">
        <f>IF(Time!BC53=1,(Waterfall!BC7+Tax!BC27)/$F$129,0)</f>
        <v/>
      </c>
      <c r="BD132" s="13">
        <f>IF(Time!BD53=1,(Waterfall!BD7+Tax!BD27)/$F$129,0)</f>
        <v/>
      </c>
      <c r="BE132" s="13">
        <f>IF(Time!BE53=1,(Waterfall!BE7+Tax!BE27)/$F$129,0)</f>
        <v/>
      </c>
      <c r="BF132" s="13">
        <f>IF(Time!BF53=1,(Waterfall!BF7+Tax!BF27)/$F$129,0)</f>
        <v/>
      </c>
      <c r="BG132" s="13">
        <f>IF(Time!BG53=1,(Waterfall!BG7+Tax!BG27)/$F$129,0)</f>
        <v/>
      </c>
      <c r="BH132" s="13">
        <f>IF(Time!BH53=1,(Waterfall!BH7+Tax!BH27)/$F$129,0)</f>
        <v/>
      </c>
      <c r="BI132" s="13">
        <f>IF(Time!BI53=1,(Waterfall!BI7+Tax!BI27)/$F$129,0)</f>
        <v/>
      </c>
      <c r="BJ132" s="13">
        <f>IF(Time!BJ53=1,(Waterfall!BJ7+Tax!BJ27)/$F$129,0)</f>
        <v/>
      </c>
      <c r="BK132" s="13">
        <f>IF(Time!BK53=1,(Waterfall!BK7+Tax!BK27)/$F$129,0)</f>
        <v/>
      </c>
      <c r="BL132" s="13">
        <f>IF(Time!BL53=1,(Waterfall!BL7+Tax!BL27)/$F$129,0)</f>
        <v/>
      </c>
      <c r="BM132" s="13">
        <f>IF(Time!BM53=1,(Waterfall!BM7+Tax!BM27)/$F$129,0)</f>
        <v/>
      </c>
      <c r="BN132" s="13">
        <f>IF(Time!BN53=1,(Waterfall!BN7+Tax!BN27)/$F$129,0)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  <row r="137">
      <c r="D137" t="inlineStr">
        <is>
          <t>ECA tests: years from COD to period end</t>
        </is>
      </c>
      <c r="E137" t="inlineStr">
        <is>
          <t>years</t>
        </is>
      </c>
      <c r="J137" s="3">
        <f>(Time!J23-Time!$F$8)/Inputs!$F$1320</f>
        <v/>
      </c>
      <c r="K137" s="3">
        <f>(Time!K23-Time!$F$8)/Inputs!$F$1320</f>
        <v/>
      </c>
      <c r="L137" s="3">
        <f>(Time!L23-Time!$F$8)/Inputs!$F$1320</f>
        <v/>
      </c>
      <c r="M137" s="3">
        <f>(Time!M23-Time!$F$8)/Inputs!$F$1320</f>
        <v/>
      </c>
      <c r="N137" s="3">
        <f>(Time!N23-Time!$F$8)/Inputs!$F$1320</f>
        <v/>
      </c>
      <c r="O137" s="3">
        <f>(Time!O23-Time!$F$8)/Inputs!$F$1320</f>
        <v/>
      </c>
      <c r="P137" s="3">
        <f>(Time!P23-Time!$F$8)/Inputs!$F$1320</f>
        <v/>
      </c>
      <c r="Q137" s="3">
        <f>(Time!Q23-Time!$F$8)/Inputs!$F$1320</f>
        <v/>
      </c>
      <c r="R137" s="3">
        <f>(Time!R23-Time!$F$8)/Inputs!$F$1320</f>
        <v/>
      </c>
      <c r="S137" s="3">
        <f>(Time!S23-Time!$F$8)/Inputs!$F$1320</f>
        <v/>
      </c>
      <c r="T137" s="3">
        <f>(Time!T23-Time!$F$8)/Inputs!$F$1320</f>
        <v/>
      </c>
      <c r="U137" s="3">
        <f>(Time!U23-Time!$F$8)/Inputs!$F$1320</f>
        <v/>
      </c>
      <c r="V137" s="3">
        <f>(Time!V23-Time!$F$8)/Inputs!$F$1320</f>
        <v/>
      </c>
      <c r="W137" s="3">
        <f>(Time!W23-Time!$F$8)/Inputs!$F$1320</f>
        <v/>
      </c>
      <c r="X137" s="3">
        <f>(Time!X23-Time!$F$8)/Inputs!$F$1320</f>
        <v/>
      </c>
      <c r="Y137" s="3">
        <f>(Time!Y23-Time!$F$8)/Inputs!$F$1320</f>
        <v/>
      </c>
      <c r="Z137" s="3">
        <f>(Time!Z23-Time!$F$8)/Inputs!$F$1320</f>
        <v/>
      </c>
      <c r="AA137" s="3">
        <f>(Time!AA23-Time!$F$8)/Inputs!$F$1320</f>
        <v/>
      </c>
      <c r="AB137" s="3">
        <f>(Time!AB23-Time!$F$8)/Inputs!$F$1320</f>
        <v/>
      </c>
      <c r="AC137" s="3">
        <f>(Time!AC23-Time!$F$8)/Inputs!$F$1320</f>
        <v/>
      </c>
      <c r="AD137" s="3">
        <f>(Time!AD23-Time!$F$8)/Inputs!$F$1320</f>
        <v/>
      </c>
      <c r="AE137" s="3">
        <f>(Time!AE23-Time!$F$8)/Inputs!$F$1320</f>
        <v/>
      </c>
      <c r="AF137" s="3">
        <f>(Time!AF23-Time!$F$8)/Inputs!$F$1320</f>
        <v/>
      </c>
      <c r="AG137" s="3">
        <f>(Time!AG23-Time!$F$8)/Inputs!$F$1320</f>
        <v/>
      </c>
      <c r="AH137" s="3">
        <f>(Time!AH23-Time!$F$8)/Inputs!$F$1320</f>
        <v/>
      </c>
      <c r="AI137" s="3">
        <f>(Time!AI23-Time!$F$8)/Inputs!$F$1320</f>
        <v/>
      </c>
      <c r="AJ137" s="3">
        <f>(Time!AJ23-Time!$F$8)/Inputs!$F$1320</f>
        <v/>
      </c>
      <c r="AK137" s="3">
        <f>(Time!AK23-Time!$F$8)/Inputs!$F$1320</f>
        <v/>
      </c>
      <c r="AL137" s="3">
        <f>(Time!AL23-Time!$F$8)/Inputs!$F$1320</f>
        <v/>
      </c>
      <c r="AM137" s="3">
        <f>(Time!AM23-Time!$F$8)/Inputs!$F$1320</f>
        <v/>
      </c>
      <c r="AN137" s="3">
        <f>(Time!AN23-Time!$F$8)/Inputs!$F$1320</f>
        <v/>
      </c>
      <c r="AO137" s="3">
        <f>(Time!AO23-Time!$F$8)/Inputs!$F$1320</f>
        <v/>
      </c>
      <c r="AP137" s="3">
        <f>(Time!AP23-Time!$F$8)/Inputs!$F$1320</f>
        <v/>
      </c>
      <c r="AQ137" s="3">
        <f>(Time!AQ23-Time!$F$8)/Inputs!$F$1320</f>
        <v/>
      </c>
      <c r="AR137" s="3">
        <f>(Time!AR23-Time!$F$8)/Inputs!$F$1320</f>
        <v/>
      </c>
      <c r="AS137" s="3">
        <f>(Time!AS23-Time!$F$8)/Inputs!$F$1320</f>
        <v/>
      </c>
      <c r="AT137" s="3">
        <f>(Time!AT23-Time!$F$8)/Inputs!$F$1320</f>
        <v/>
      </c>
      <c r="AU137" s="3">
        <f>(Time!AU23-Time!$F$8)/Inputs!$F$1320</f>
        <v/>
      </c>
      <c r="AV137" s="3">
        <f>(Time!AV23-Time!$F$8)/Inputs!$F$1320</f>
        <v/>
      </c>
      <c r="AW137" s="3">
        <f>(Time!AW23-Time!$F$8)/Inputs!$F$1320</f>
        <v/>
      </c>
      <c r="AX137" s="3">
        <f>(Time!AX23-Time!$F$8)/Inputs!$F$1320</f>
        <v/>
      </c>
      <c r="AY137" s="3">
        <f>(Time!AY23-Time!$F$8)/Inputs!$F$1320</f>
        <v/>
      </c>
      <c r="AZ137" s="3">
        <f>(Time!AZ23-Time!$F$8)/Inputs!$F$1320</f>
        <v/>
      </c>
      <c r="BA137" s="3">
        <f>(Time!BA23-Time!$F$8)/Inputs!$F$1320</f>
        <v/>
      </c>
      <c r="BB137" s="3">
        <f>(Time!BB23-Time!$F$8)/Inputs!$F$1320</f>
        <v/>
      </c>
      <c r="BC137" s="3">
        <f>(Time!BC23-Time!$F$8)/Inputs!$F$1320</f>
        <v/>
      </c>
      <c r="BD137" s="3">
        <f>(Time!BD23-Time!$F$8)/Inputs!$F$1320</f>
        <v/>
      </c>
      <c r="BE137" s="3">
        <f>(Time!BE23-Time!$F$8)/Inputs!$F$1320</f>
        <v/>
      </c>
      <c r="BF137" s="3">
        <f>(Time!BF23-Time!$F$8)/Inputs!$F$1320</f>
        <v/>
      </c>
      <c r="BG137" s="3">
        <f>(Time!BG23-Time!$F$8)/Inputs!$F$1320</f>
        <v/>
      </c>
      <c r="BH137" s="3">
        <f>(Time!BH23-Time!$F$8)/Inputs!$F$1320</f>
        <v/>
      </c>
      <c r="BI137" s="3">
        <f>(Time!BI23-Time!$F$8)/Inputs!$F$1320</f>
        <v/>
      </c>
      <c r="BJ137" s="3">
        <f>(Time!BJ23-Time!$F$8)/Inputs!$F$1320</f>
        <v/>
      </c>
      <c r="BK137" s="3">
        <f>(Time!BK23-Time!$F$8)/Inputs!$F$1320</f>
        <v/>
      </c>
      <c r="BL137" s="3">
        <f>(Time!BL23-Time!$F$8)/Inputs!$F$1320</f>
        <v/>
      </c>
      <c r="BM137" s="3">
        <f>(Time!BM23-Time!$F$8)/Inputs!$F$1320</f>
        <v/>
      </c>
      <c r="BN137" s="3">
        <f>(Time!BN23-Time!$F$8)/Inputs!$F$1320</f>
        <v/>
      </c>
    </row>
    <row r="138">
      <c r="D138" t="inlineStr">
        <is>
          <t>ECA test: weighted average life from COD</t>
        </is>
      </c>
      <c r="E138" t="inlineStr">
        <is>
          <t>years</t>
        </is>
      </c>
      <c r="F138" s="3">
        <f>SUMPRODUCT($J$113:$BN$113,$J$137:$BN$137)/SUM($J$113:$BN$113)</f>
        <v/>
      </c>
    </row>
    <row r="139">
      <c r="D139" t="inlineStr">
        <is>
          <t>ECA test: largest installment as a share of principal</t>
        </is>
      </c>
      <c r="E139" t="inlineStr">
        <is>
          <t>fraction</t>
        </is>
      </c>
      <c r="F139" s="3">
        <f>MAX($J$113:$BN$113)/SUM($J$113:$BN$113)</f>
        <v/>
      </c>
    </row>
    <row r="140">
      <c r="D140" t="inlineStr">
        <is>
          <t>ECA test: repayment term from COD (to the last installment)</t>
        </is>
      </c>
      <c r="E140" t="inlineStr">
        <is>
          <t>years</t>
        </is>
      </c>
      <c r="F140" s="3">
        <f>INDEX($J$137:$BN$137,1,SUMPRODUCT(MAX(($J$113:$BN$113&gt;Inputs!$F$253)*Time!$J$20:$BN$20)))</f>
        <v/>
      </c>
    </row>
    <row r="141">
      <c r="D141" t="inlineStr">
        <is>
          <t>ECA test: months from COD to the first repayment</t>
        </is>
      </c>
      <c r="E141" t="inlineStr">
        <is>
          <t>months</t>
        </is>
      </c>
      <c r="F141" s="9">
        <f>(YEAR(INDEX(Time!$J$23:$BN$23,1,_xlfn.MINIFS(Time!$J$20:$BN$20,$J$113:$BN$113,"&gt;"&amp;Inputs!$F$253))+1)-YEAR(Time!$F$8))*12+MONTH(INDEX(Time!$J$23:$BN$23,1,_xlfn.MINIFS(Time!$J$20:$BN$20,$J$113:$BN$113,"&gt;"&amp;Inputs!$F$253))+1)-MONTH(Time!$F$8)</f>
        <v/>
      </c>
    </row>
    <row r="142">
      <c r="D142" t="inlineStr">
        <is>
          <t>ECA test: share of principal repaid within the window from COD</t>
        </is>
      </c>
      <c r="E142" t="inlineStr">
        <is>
          <t>fraction</t>
        </is>
      </c>
      <c r="F142" s="3">
        <f>SUMIFS($J$113:$BN$113,Time!$J$23:$BN$23,"&lt;="&amp;(EDATE(Time!$F$8,Inputs!$F$1318)-1))/SUM($J$113:$BN$113)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3">
        <f>IF(Debt!J114&gt;Inputs!$F$253,J7/Debt!J114,0)</f>
        <v/>
      </c>
      <c r="K17" s="3">
        <f>IF(Debt!K114&gt;Inputs!$F$253,K7/Debt!K114,0)</f>
        <v/>
      </c>
      <c r="L17" s="3">
        <f>IF(Debt!L114&gt;Inputs!$F$253,L7/Debt!L114,0)</f>
        <v/>
      </c>
      <c r="M17" s="3">
        <f>IF(Debt!M114&gt;Inputs!$F$253,M7/Debt!M114,0)</f>
        <v/>
      </c>
      <c r="N17" s="3">
        <f>IF(Debt!N114&gt;Inputs!$F$253,N7/Debt!N114,0)</f>
        <v/>
      </c>
      <c r="O17" s="3">
        <f>IF(Debt!O114&gt;Inputs!$F$253,O7/Debt!O114,0)</f>
        <v/>
      </c>
      <c r="P17" s="3">
        <f>IF(Debt!P114&gt;Inputs!$F$253,P7/Debt!P114,0)</f>
        <v/>
      </c>
      <c r="Q17" s="3">
        <f>IF(Debt!Q114&gt;Inputs!$F$253,Q7/Debt!Q114,0)</f>
        <v/>
      </c>
      <c r="R17" s="3">
        <f>IF(Debt!R114&gt;Inputs!$F$253,R7/Debt!R114,0)</f>
        <v/>
      </c>
      <c r="S17" s="3">
        <f>IF(Debt!S114&gt;Inputs!$F$253,S7/Debt!S114,0)</f>
        <v/>
      </c>
      <c r="T17" s="3">
        <f>IF(Debt!T114&gt;Inputs!$F$253,T7/Debt!T114,0)</f>
        <v/>
      </c>
      <c r="U17" s="3">
        <f>IF(Debt!U114&gt;Inputs!$F$253,U7/Debt!U114,0)</f>
        <v/>
      </c>
      <c r="V17" s="3">
        <f>IF(Debt!V114&gt;Inputs!$F$253,V7/Debt!V114,0)</f>
        <v/>
      </c>
      <c r="W17" s="3">
        <f>IF(Debt!W114&gt;Inputs!$F$253,W7/Debt!W114,0)</f>
        <v/>
      </c>
      <c r="X17" s="3">
        <f>IF(Debt!X114&gt;Inputs!$F$253,X7/Debt!X114,0)</f>
        <v/>
      </c>
      <c r="Y17" s="3">
        <f>IF(Debt!Y114&gt;Inputs!$F$253,Y7/Debt!Y114,0)</f>
        <v/>
      </c>
      <c r="Z17" s="3">
        <f>IF(Debt!Z114&gt;Inputs!$F$253,Z7/Debt!Z114,0)</f>
        <v/>
      </c>
      <c r="AA17" s="3">
        <f>IF(Debt!AA114&gt;Inputs!$F$253,AA7/Debt!AA114,0)</f>
        <v/>
      </c>
      <c r="AB17" s="3">
        <f>IF(Debt!AB114&gt;Inputs!$F$253,AB7/Debt!AB114,0)</f>
        <v/>
      </c>
      <c r="AC17" s="3">
        <f>IF(Debt!AC114&gt;Inputs!$F$253,AC7/Debt!AC114,0)</f>
        <v/>
      </c>
      <c r="AD17" s="3">
        <f>IF(Debt!AD114&gt;Inputs!$F$253,AD7/Debt!AD114,0)</f>
        <v/>
      </c>
      <c r="AE17" s="3">
        <f>IF(Debt!AE114&gt;Inputs!$F$253,AE7/Debt!AE114,0)</f>
        <v/>
      </c>
      <c r="AF17" s="3">
        <f>IF(Debt!AF114&gt;Inputs!$F$253,AF7/Debt!AF114,0)</f>
        <v/>
      </c>
      <c r="AG17" s="3">
        <f>IF(Debt!AG114&gt;Inputs!$F$253,AG7/Debt!AG114,0)</f>
        <v/>
      </c>
      <c r="AH17" s="3">
        <f>IF(Debt!AH114&gt;Inputs!$F$253,AH7/Debt!AH114,0)</f>
        <v/>
      </c>
      <c r="AI17" s="3">
        <f>IF(Debt!AI114&gt;Inputs!$F$253,AI7/Debt!AI114,0)</f>
        <v/>
      </c>
      <c r="AJ17" s="3">
        <f>IF(Debt!AJ114&gt;Inputs!$F$253,AJ7/Debt!AJ114,0)</f>
        <v/>
      </c>
      <c r="AK17" s="3">
        <f>IF(Debt!AK114&gt;Inputs!$F$253,AK7/Debt!AK114,0)</f>
        <v/>
      </c>
      <c r="AL17" s="3">
        <f>IF(Debt!AL114&gt;Inputs!$F$253,AL7/Debt!AL114,0)</f>
        <v/>
      </c>
      <c r="AM17" s="3">
        <f>IF(Debt!AM114&gt;Inputs!$F$253,AM7/Debt!AM114,0)</f>
        <v/>
      </c>
      <c r="AN17" s="3">
        <f>IF(Debt!AN114&gt;Inputs!$F$253,AN7/Debt!AN114,0)</f>
        <v/>
      </c>
      <c r="AO17" s="3">
        <f>IF(Debt!AO114&gt;Inputs!$F$253,AO7/Debt!AO114,0)</f>
        <v/>
      </c>
      <c r="AP17" s="3">
        <f>IF(Debt!AP114&gt;Inputs!$F$253,AP7/Debt!AP114,0)</f>
        <v/>
      </c>
      <c r="AQ17" s="3">
        <f>IF(Debt!AQ114&gt;Inputs!$F$253,AQ7/Debt!AQ114,0)</f>
        <v/>
      </c>
      <c r="AR17" s="3">
        <f>IF(Debt!AR114&gt;Inputs!$F$253,AR7/Debt!AR114,0)</f>
        <v/>
      </c>
      <c r="AS17" s="3">
        <f>IF(Debt!AS114&gt;Inputs!$F$253,AS7/Debt!AS114,0)</f>
        <v/>
      </c>
      <c r="AT17" s="3">
        <f>IF(Debt!AT114&gt;Inputs!$F$253,AT7/Debt!AT114,0)</f>
        <v/>
      </c>
      <c r="AU17" s="3">
        <f>IF(Debt!AU114&gt;Inputs!$F$253,AU7/Debt!AU114,0)</f>
        <v/>
      </c>
      <c r="AV17" s="3">
        <f>IF(Debt!AV114&gt;Inputs!$F$253,AV7/Debt!AV114,0)</f>
        <v/>
      </c>
      <c r="AW17" s="3">
        <f>IF(Debt!AW114&gt;Inputs!$F$253,AW7/Debt!AW114,0)</f>
        <v/>
      </c>
      <c r="AX17" s="3">
        <f>IF(Debt!AX114&gt;Inputs!$F$253,AX7/Debt!AX114,0)</f>
        <v/>
      </c>
      <c r="AY17" s="3">
        <f>IF(Debt!AY114&gt;Inputs!$F$253,AY7/Debt!AY114,0)</f>
        <v/>
      </c>
      <c r="AZ17" s="3">
        <f>IF(Debt!AZ114&gt;Inputs!$F$253,AZ7/Debt!AZ114,0)</f>
        <v/>
      </c>
      <c r="BA17" s="3">
        <f>IF(Debt!BA114&gt;Inputs!$F$253,BA7/Debt!BA114,0)</f>
        <v/>
      </c>
      <c r="BB17" s="3">
        <f>IF(Debt!BB114&gt;Inputs!$F$253,BB7/Debt!BB114,0)</f>
        <v/>
      </c>
      <c r="BC17" s="3">
        <f>IF(Debt!BC114&gt;Inputs!$F$253,BC7/Debt!BC114,0)</f>
        <v/>
      </c>
      <c r="BD17" s="3">
        <f>IF(Debt!BD114&gt;Inputs!$F$253,BD7/Debt!BD114,0)</f>
        <v/>
      </c>
      <c r="BE17" s="3">
        <f>IF(Debt!BE114&gt;Inputs!$F$253,BE7/Debt!BE114,0)</f>
        <v/>
      </c>
      <c r="BF17" s="3">
        <f>IF(Debt!BF114&gt;Inputs!$F$253,BF7/Debt!BF114,0)</f>
        <v/>
      </c>
      <c r="BG17" s="3">
        <f>IF(Debt!BG114&gt;Inputs!$F$253,BG7/Debt!BG114,0)</f>
        <v/>
      </c>
      <c r="BH17" s="3">
        <f>IF(Debt!BH114&gt;Inputs!$F$253,BH7/Debt!BH114,0)</f>
        <v/>
      </c>
      <c r="BI17" s="3">
        <f>IF(Debt!BI114&gt;Inputs!$F$253,BI7/Debt!BI114,0)</f>
        <v/>
      </c>
      <c r="BJ17" s="3">
        <f>IF(Debt!BJ114&gt;Inputs!$F$253,BJ7/Debt!BJ114,0)</f>
        <v/>
      </c>
      <c r="BK17" s="3">
        <f>IF(Debt!BK114&gt;Inputs!$F$253,BK7/Debt!BK114,0)</f>
        <v/>
      </c>
      <c r="BL17" s="3">
        <f>IF(Debt!BL114&gt;Inputs!$F$253,BL7/Debt!BL114,0)</f>
        <v/>
      </c>
      <c r="BM17" s="3">
        <f>IF(Debt!BM114&gt;Inputs!$F$253,BM7/Debt!BM114,0)</f>
        <v/>
      </c>
      <c r="BN17" s="3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3">
        <f>IF(Debt!J114&gt;Inputs!$F$253,IF(Debt!I114&gt;Inputs!$F$253,(J7+I7)/(Debt!J114+Debt!I114),J17),0)</f>
        <v/>
      </c>
      <c r="K18" s="3">
        <f>IF(Debt!K114&gt;Inputs!$F$253,IF(Debt!J114&gt;Inputs!$F$253,(K7+J7)/(Debt!K114+Debt!J114),K17),0)</f>
        <v/>
      </c>
      <c r="L18" s="3">
        <f>IF(Debt!L114&gt;Inputs!$F$253,IF(Debt!K114&gt;Inputs!$F$253,(L7+K7)/(Debt!L114+Debt!K114),L17),0)</f>
        <v/>
      </c>
      <c r="M18" s="3">
        <f>IF(Debt!M114&gt;Inputs!$F$253,IF(Debt!L114&gt;Inputs!$F$253,(M7+L7)/(Debt!M114+Debt!L114),M17),0)</f>
        <v/>
      </c>
      <c r="N18" s="3">
        <f>IF(Debt!N114&gt;Inputs!$F$253,IF(Debt!M114&gt;Inputs!$F$253,(N7+M7)/(Debt!N114+Debt!M114),N17),0)</f>
        <v/>
      </c>
      <c r="O18" s="3">
        <f>IF(Debt!O114&gt;Inputs!$F$253,IF(Debt!N114&gt;Inputs!$F$253,(O7+N7)/(Debt!O114+Debt!N114),O17),0)</f>
        <v/>
      </c>
      <c r="P18" s="3">
        <f>IF(Debt!P114&gt;Inputs!$F$253,IF(Debt!O114&gt;Inputs!$F$253,(P7+O7)/(Debt!P114+Debt!O114),P17),0)</f>
        <v/>
      </c>
      <c r="Q18" s="3">
        <f>IF(Debt!Q114&gt;Inputs!$F$253,IF(Debt!P114&gt;Inputs!$F$253,(Q7+P7)/(Debt!Q114+Debt!P114),Q17),0)</f>
        <v/>
      </c>
      <c r="R18" s="3">
        <f>IF(Debt!R114&gt;Inputs!$F$253,IF(Debt!Q114&gt;Inputs!$F$253,(R7+Q7)/(Debt!R114+Debt!Q114),R17),0)</f>
        <v/>
      </c>
      <c r="S18" s="3">
        <f>IF(Debt!S114&gt;Inputs!$F$253,IF(Debt!R114&gt;Inputs!$F$253,(S7+R7)/(Debt!S114+Debt!R114),S17),0)</f>
        <v/>
      </c>
      <c r="T18" s="3">
        <f>IF(Debt!T114&gt;Inputs!$F$253,IF(Debt!S114&gt;Inputs!$F$253,(T7+S7)/(Debt!T114+Debt!S114),T17),0)</f>
        <v/>
      </c>
      <c r="U18" s="3">
        <f>IF(Debt!U114&gt;Inputs!$F$253,IF(Debt!T114&gt;Inputs!$F$253,(U7+T7)/(Debt!U114+Debt!T114),U17),0)</f>
        <v/>
      </c>
      <c r="V18" s="3">
        <f>IF(Debt!V114&gt;Inputs!$F$253,IF(Debt!U114&gt;Inputs!$F$253,(V7+U7)/(Debt!V114+Debt!U114),V17),0)</f>
        <v/>
      </c>
      <c r="W18" s="3">
        <f>IF(Debt!W114&gt;Inputs!$F$253,IF(Debt!V114&gt;Inputs!$F$253,(W7+V7)/(Debt!W114+Debt!V114),W17),0)</f>
        <v/>
      </c>
      <c r="X18" s="3">
        <f>IF(Debt!X114&gt;Inputs!$F$253,IF(Debt!W114&gt;Inputs!$F$253,(X7+W7)/(Debt!X114+Debt!W114),X17),0)</f>
        <v/>
      </c>
      <c r="Y18" s="3">
        <f>IF(Debt!Y114&gt;Inputs!$F$253,IF(Debt!X114&gt;Inputs!$F$253,(Y7+X7)/(Debt!Y114+Debt!X114),Y17),0)</f>
        <v/>
      </c>
      <c r="Z18" s="3">
        <f>IF(Debt!Z114&gt;Inputs!$F$253,IF(Debt!Y114&gt;Inputs!$F$253,(Z7+Y7)/(Debt!Z114+Debt!Y114),Z17),0)</f>
        <v/>
      </c>
      <c r="AA18" s="3">
        <f>IF(Debt!AA114&gt;Inputs!$F$253,IF(Debt!Z114&gt;Inputs!$F$253,(AA7+Z7)/(Debt!AA114+Debt!Z114),AA17),0)</f>
        <v/>
      </c>
      <c r="AB18" s="3">
        <f>IF(Debt!AB114&gt;Inputs!$F$253,IF(Debt!AA114&gt;Inputs!$F$253,(AB7+AA7)/(Debt!AB114+Debt!AA114),AB17),0)</f>
        <v/>
      </c>
      <c r="AC18" s="3">
        <f>IF(Debt!AC114&gt;Inputs!$F$253,IF(Debt!AB114&gt;Inputs!$F$253,(AC7+AB7)/(Debt!AC114+Debt!AB114),AC17),0)</f>
        <v/>
      </c>
      <c r="AD18" s="3">
        <f>IF(Debt!AD114&gt;Inputs!$F$253,IF(Debt!AC114&gt;Inputs!$F$253,(AD7+AC7)/(Debt!AD114+Debt!AC114),AD17),0)</f>
        <v/>
      </c>
      <c r="AE18" s="3">
        <f>IF(Debt!AE114&gt;Inputs!$F$253,IF(Debt!AD114&gt;Inputs!$F$253,(AE7+AD7)/(Debt!AE114+Debt!AD114),AE17),0)</f>
        <v/>
      </c>
      <c r="AF18" s="3">
        <f>IF(Debt!AF114&gt;Inputs!$F$253,IF(Debt!AE114&gt;Inputs!$F$253,(AF7+AE7)/(Debt!AF114+Debt!AE114),AF17),0)</f>
        <v/>
      </c>
      <c r="AG18" s="3">
        <f>IF(Debt!AG114&gt;Inputs!$F$253,IF(Debt!AF114&gt;Inputs!$F$253,(AG7+AF7)/(Debt!AG114+Debt!AF114),AG17),0)</f>
        <v/>
      </c>
      <c r="AH18" s="3">
        <f>IF(Debt!AH114&gt;Inputs!$F$253,IF(Debt!AG114&gt;Inputs!$F$253,(AH7+AG7)/(Debt!AH114+Debt!AG114),AH17),0)</f>
        <v/>
      </c>
      <c r="AI18" s="3">
        <f>IF(Debt!AI114&gt;Inputs!$F$253,IF(Debt!AH114&gt;Inputs!$F$253,(AI7+AH7)/(Debt!AI114+Debt!AH114),AI17),0)</f>
        <v/>
      </c>
      <c r="AJ18" s="3">
        <f>IF(Debt!AJ114&gt;Inputs!$F$253,IF(Debt!AI114&gt;Inputs!$F$253,(AJ7+AI7)/(Debt!AJ114+Debt!AI114),AJ17),0)</f>
        <v/>
      </c>
      <c r="AK18" s="3">
        <f>IF(Debt!AK114&gt;Inputs!$F$253,IF(Debt!AJ114&gt;Inputs!$F$253,(AK7+AJ7)/(Debt!AK114+Debt!AJ114),AK17),0)</f>
        <v/>
      </c>
      <c r="AL18" s="3">
        <f>IF(Debt!AL114&gt;Inputs!$F$253,IF(Debt!AK114&gt;Inputs!$F$253,(AL7+AK7)/(Debt!AL114+Debt!AK114),AL17),0)</f>
        <v/>
      </c>
      <c r="AM18" s="3">
        <f>IF(Debt!AM114&gt;Inputs!$F$253,IF(Debt!AL114&gt;Inputs!$F$253,(AM7+AL7)/(Debt!AM114+Debt!AL114),AM17),0)</f>
        <v/>
      </c>
      <c r="AN18" s="3">
        <f>IF(Debt!AN114&gt;Inputs!$F$253,IF(Debt!AM114&gt;Inputs!$F$253,(AN7+AM7)/(Debt!AN114+Debt!AM114),AN17),0)</f>
        <v/>
      </c>
      <c r="AO18" s="3">
        <f>IF(Debt!AO114&gt;Inputs!$F$253,IF(Debt!AN114&gt;Inputs!$F$253,(AO7+AN7)/(Debt!AO114+Debt!AN114),AO17),0)</f>
        <v/>
      </c>
      <c r="AP18" s="3">
        <f>IF(Debt!AP114&gt;Inputs!$F$253,IF(Debt!AO114&gt;Inputs!$F$253,(AP7+AO7)/(Debt!AP114+Debt!AO114),AP17),0)</f>
        <v/>
      </c>
      <c r="AQ18" s="3">
        <f>IF(Debt!AQ114&gt;Inputs!$F$253,IF(Debt!AP114&gt;Inputs!$F$253,(AQ7+AP7)/(Debt!AQ114+Debt!AP114),AQ17),0)</f>
        <v/>
      </c>
      <c r="AR18" s="3">
        <f>IF(Debt!AR114&gt;Inputs!$F$253,IF(Debt!AQ114&gt;Inputs!$F$253,(AR7+AQ7)/(Debt!AR114+Debt!AQ114),AR17),0)</f>
        <v/>
      </c>
      <c r="AS18" s="3">
        <f>IF(Debt!AS114&gt;Inputs!$F$253,IF(Debt!AR114&gt;Inputs!$F$253,(AS7+AR7)/(Debt!AS114+Debt!AR114),AS17),0)</f>
        <v/>
      </c>
      <c r="AT18" s="3">
        <f>IF(Debt!AT114&gt;Inputs!$F$253,IF(Debt!AS114&gt;Inputs!$F$253,(AT7+AS7)/(Debt!AT114+Debt!AS114),AT17),0)</f>
        <v/>
      </c>
      <c r="AU18" s="3">
        <f>IF(Debt!AU114&gt;Inputs!$F$253,IF(Debt!AT114&gt;Inputs!$F$253,(AU7+AT7)/(Debt!AU114+Debt!AT114),AU17),0)</f>
        <v/>
      </c>
      <c r="AV18" s="3">
        <f>IF(Debt!AV114&gt;Inputs!$F$253,IF(Debt!AU114&gt;Inputs!$F$253,(AV7+AU7)/(Debt!AV114+Debt!AU114),AV17),0)</f>
        <v/>
      </c>
      <c r="AW18" s="3">
        <f>IF(Debt!AW114&gt;Inputs!$F$253,IF(Debt!AV114&gt;Inputs!$F$253,(AW7+AV7)/(Debt!AW114+Debt!AV114),AW17),0)</f>
        <v/>
      </c>
      <c r="AX18" s="3">
        <f>IF(Debt!AX114&gt;Inputs!$F$253,IF(Debt!AW114&gt;Inputs!$F$253,(AX7+AW7)/(Debt!AX114+Debt!AW114),AX17),0)</f>
        <v/>
      </c>
      <c r="AY18" s="3">
        <f>IF(Debt!AY114&gt;Inputs!$F$253,IF(Debt!AX114&gt;Inputs!$F$253,(AY7+AX7)/(Debt!AY114+Debt!AX114),AY17),0)</f>
        <v/>
      </c>
      <c r="AZ18" s="3">
        <f>IF(Debt!AZ114&gt;Inputs!$F$253,IF(Debt!AY114&gt;Inputs!$F$253,(AZ7+AY7)/(Debt!AZ114+Debt!AY114),AZ17),0)</f>
        <v/>
      </c>
      <c r="BA18" s="3">
        <f>IF(Debt!BA114&gt;Inputs!$F$253,IF(Debt!AZ114&gt;Inputs!$F$253,(BA7+AZ7)/(Debt!BA114+Debt!AZ114),BA17),0)</f>
        <v/>
      </c>
      <c r="BB18" s="3">
        <f>IF(Debt!BB114&gt;Inputs!$F$253,IF(Debt!BA114&gt;Inputs!$F$253,(BB7+BA7)/(Debt!BB114+Debt!BA114),BB17),0)</f>
        <v/>
      </c>
      <c r="BC18" s="3">
        <f>IF(Debt!BC114&gt;Inputs!$F$253,IF(Debt!BB114&gt;Inputs!$F$253,(BC7+BB7)/(Debt!BC114+Debt!BB114),BC17),0)</f>
        <v/>
      </c>
      <c r="BD18" s="3">
        <f>IF(Debt!BD114&gt;Inputs!$F$253,IF(Debt!BC114&gt;Inputs!$F$253,(BD7+BC7)/(Debt!BD114+Debt!BC114),BD17),0)</f>
        <v/>
      </c>
      <c r="BE18" s="3">
        <f>IF(Debt!BE114&gt;Inputs!$F$253,IF(Debt!BD114&gt;Inputs!$F$253,(BE7+BD7)/(Debt!BE114+Debt!BD114),BE17),0)</f>
        <v/>
      </c>
      <c r="BF18" s="3">
        <f>IF(Debt!BF114&gt;Inputs!$F$253,IF(Debt!BE114&gt;Inputs!$F$253,(BF7+BE7)/(Debt!BF114+Debt!BE114),BF17),0)</f>
        <v/>
      </c>
      <c r="BG18" s="3">
        <f>IF(Debt!BG114&gt;Inputs!$F$253,IF(Debt!BF114&gt;Inputs!$F$253,(BG7+BF7)/(Debt!BG114+Debt!BF114),BG17),0)</f>
        <v/>
      </c>
      <c r="BH18" s="3">
        <f>IF(Debt!BH114&gt;Inputs!$F$253,IF(Debt!BG114&gt;Inputs!$F$253,(BH7+BG7)/(Debt!BH114+Debt!BG114),BH17),0)</f>
        <v/>
      </c>
      <c r="BI18" s="3">
        <f>IF(Debt!BI114&gt;Inputs!$F$253,IF(Debt!BH114&gt;Inputs!$F$253,(BI7+BH7)/(Debt!BI114+Debt!BH114),BI17),0)</f>
        <v/>
      </c>
      <c r="BJ18" s="3">
        <f>IF(Debt!BJ114&gt;Inputs!$F$253,IF(Debt!BI114&gt;Inputs!$F$253,(BJ7+BI7)/(Debt!BJ114+Debt!BI114),BJ17),0)</f>
        <v/>
      </c>
      <c r="BK18" s="3">
        <f>IF(Debt!BK114&gt;Inputs!$F$253,IF(Debt!BJ114&gt;Inputs!$F$253,(BK7+BJ7)/(Debt!BK114+Debt!BJ114),BK17),0)</f>
        <v/>
      </c>
      <c r="BL18" s="3">
        <f>IF(Debt!BL114&gt;Inputs!$F$253,IF(Debt!BK114&gt;Inputs!$F$253,(BL7+BK7)/(Debt!BL114+Debt!BK114),BL17),0)</f>
        <v/>
      </c>
      <c r="BM18" s="3">
        <f>IF(Debt!BM114&gt;Inputs!$F$253,IF(Debt!BL114&gt;Inputs!$F$253,(BM7+BL7)/(Debt!BM114+Debt!BL114),BM17),0)</f>
        <v/>
      </c>
      <c r="BN18" s="3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IF(SUM(Debt!J$113:J$113)&gt;Inputs!$F$253,1,0)</f>
        <v/>
      </c>
      <c r="K19" s="9">
        <f>IF(SUM(Debt!$J$113:K$113)&gt;Inputs!$F$253,1,0)</f>
        <v/>
      </c>
      <c r="L19" s="9">
        <f>IF(SUM(Debt!$J$113:L$113)&gt;Inputs!$F$253,1,0)</f>
        <v/>
      </c>
      <c r="M19" s="9">
        <f>IF(SUM(Debt!$J$113:M$113)&gt;Inputs!$F$253,1,0)</f>
        <v/>
      </c>
      <c r="N19" s="9">
        <f>IF(SUM(Debt!$J$113:N$113)&gt;Inputs!$F$253,1,0)</f>
        <v/>
      </c>
      <c r="O19" s="9">
        <f>IF(SUM(Debt!$J$113:O$113)&gt;Inputs!$F$253,1,0)</f>
        <v/>
      </c>
      <c r="P19" s="9">
        <f>IF(SUM(Debt!$J$113:P$113)&gt;Inputs!$F$253,1,0)</f>
        <v/>
      </c>
      <c r="Q19" s="9">
        <f>IF(SUM(Debt!$J$113:Q$113)&gt;Inputs!$F$253,1,0)</f>
        <v/>
      </c>
      <c r="R19" s="9">
        <f>IF(SUM(Debt!$J$113:R$113)&gt;Inputs!$F$253,1,0)</f>
        <v/>
      </c>
      <c r="S19" s="9">
        <f>IF(SUM(Debt!$J$113:S$113)&gt;Inputs!$F$253,1,0)</f>
        <v/>
      </c>
      <c r="T19" s="9">
        <f>IF(SUM(Debt!$J$113:T$113)&gt;Inputs!$F$253,1,0)</f>
        <v/>
      </c>
      <c r="U19" s="9">
        <f>IF(SUM(Debt!$J$113:U$113)&gt;Inputs!$F$253,1,0)</f>
        <v/>
      </c>
      <c r="V19" s="9">
        <f>IF(SUM(Debt!$J$113:V$113)&gt;Inputs!$F$253,1,0)</f>
        <v/>
      </c>
      <c r="W19" s="9">
        <f>IF(SUM(Debt!$J$113:W$113)&gt;Inputs!$F$253,1,0)</f>
        <v/>
      </c>
      <c r="X19" s="9">
        <f>IF(SUM(Debt!$J$113:X$113)&gt;Inputs!$F$253,1,0)</f>
        <v/>
      </c>
      <c r="Y19" s="9">
        <f>IF(SUM(Debt!$J$113:Y$113)&gt;Inputs!$F$253,1,0)</f>
        <v/>
      </c>
      <c r="Z19" s="9">
        <f>IF(SUM(Debt!$J$113:Z$113)&gt;Inputs!$F$253,1,0)</f>
        <v/>
      </c>
      <c r="AA19" s="9">
        <f>IF(SUM(Debt!$J$113:AA$113)&gt;Inputs!$F$253,1,0)</f>
        <v/>
      </c>
      <c r="AB19" s="9">
        <f>IF(SUM(Debt!$J$113:AB$113)&gt;Inputs!$F$253,1,0)</f>
        <v/>
      </c>
      <c r="AC19" s="9">
        <f>IF(SUM(Debt!$J$113:AC$113)&gt;Inputs!$F$253,1,0)</f>
        <v/>
      </c>
      <c r="AD19" s="9">
        <f>IF(SUM(Debt!$J$113:AD$113)&gt;Inputs!$F$253,1,0)</f>
        <v/>
      </c>
      <c r="AE19" s="9">
        <f>IF(SUM(Debt!$J$113:AE$113)&gt;Inputs!$F$253,1,0)</f>
        <v/>
      </c>
      <c r="AF19" s="9">
        <f>IF(SUM(Debt!$J$113:AF$113)&gt;Inputs!$F$253,1,0)</f>
        <v/>
      </c>
      <c r="AG19" s="9">
        <f>IF(SUM(Debt!$J$113:AG$113)&gt;Inputs!$F$253,1,0)</f>
        <v/>
      </c>
      <c r="AH19" s="9">
        <f>IF(SUM(Debt!$J$113:AH$113)&gt;Inputs!$F$253,1,0)</f>
        <v/>
      </c>
      <c r="AI19" s="9">
        <f>IF(SUM(Debt!$J$113:AI$113)&gt;Inputs!$F$253,1,0)</f>
        <v/>
      </c>
      <c r="AJ19" s="9">
        <f>IF(SUM(Debt!$J$113:AJ$113)&gt;Inputs!$F$253,1,0)</f>
        <v/>
      </c>
      <c r="AK19" s="9">
        <f>IF(SUM(Debt!$J$113:AK$113)&gt;Inputs!$F$253,1,0)</f>
        <v/>
      </c>
      <c r="AL19" s="9">
        <f>IF(SUM(Debt!$J$113:AL$113)&gt;Inputs!$F$253,1,0)</f>
        <v/>
      </c>
      <c r="AM19" s="9">
        <f>IF(SUM(Debt!$J$113:AM$113)&gt;Inputs!$F$253,1,0)</f>
        <v/>
      </c>
      <c r="AN19" s="9">
        <f>IF(SUM(Debt!$J$113:AN$113)&gt;Inputs!$F$253,1,0)</f>
        <v/>
      </c>
      <c r="AO19" s="9">
        <f>IF(SUM(Debt!$J$113:AO$113)&gt;Inputs!$F$253,1,0)</f>
        <v/>
      </c>
      <c r="AP19" s="9">
        <f>IF(SUM(Debt!$J$113:AP$113)&gt;Inputs!$F$253,1,0)</f>
        <v/>
      </c>
      <c r="AQ19" s="9">
        <f>IF(SUM(Debt!$J$113:AQ$113)&gt;Inputs!$F$253,1,0)</f>
        <v/>
      </c>
      <c r="AR19" s="9">
        <f>IF(SUM(Debt!$J$113:AR$113)&gt;Inputs!$F$253,1,0)</f>
        <v/>
      </c>
      <c r="AS19" s="9">
        <f>IF(SUM(Debt!$J$113:AS$113)&gt;Inputs!$F$253,1,0)</f>
        <v/>
      </c>
      <c r="AT19" s="9">
        <f>IF(SUM(Debt!$J$113:AT$113)&gt;Inputs!$F$253,1,0)</f>
        <v/>
      </c>
      <c r="AU19" s="9">
        <f>IF(SUM(Debt!$J$113:AU$113)&gt;Inputs!$F$253,1,0)</f>
        <v/>
      </c>
      <c r="AV19" s="9">
        <f>IF(SUM(Debt!$J$113:AV$113)&gt;Inputs!$F$253,1,0)</f>
        <v/>
      </c>
      <c r="AW19" s="9">
        <f>IF(SUM(Debt!$J$113:AW$113)&gt;Inputs!$F$253,1,0)</f>
        <v/>
      </c>
      <c r="AX19" s="9">
        <f>IF(SUM(Debt!$J$113:AX$113)&gt;Inputs!$F$253,1,0)</f>
        <v/>
      </c>
      <c r="AY19" s="9">
        <f>IF(SUM(Debt!$J$113:AY$113)&gt;Inputs!$F$253,1,0)</f>
        <v/>
      </c>
      <c r="AZ19" s="9">
        <f>IF(SUM(Debt!$J$113:AZ$113)&gt;Inputs!$F$253,1,0)</f>
        <v/>
      </c>
      <c r="BA19" s="9">
        <f>IF(SUM(Debt!$J$113:BA$113)&gt;Inputs!$F$253,1,0)</f>
        <v/>
      </c>
      <c r="BB19" s="9">
        <f>IF(SUM(Debt!$J$113:BB$113)&gt;Inputs!$F$253,1,0)</f>
        <v/>
      </c>
      <c r="BC19" s="9">
        <f>IF(SUM(Debt!$J$113:BC$113)&gt;Inputs!$F$253,1,0)</f>
        <v/>
      </c>
      <c r="BD19" s="9">
        <f>IF(SUM(Debt!$J$113:BD$113)&gt;Inputs!$F$253,1,0)</f>
        <v/>
      </c>
      <c r="BE19" s="9">
        <f>IF(SUM(Debt!$J$113:BE$113)&gt;Inputs!$F$253,1,0)</f>
        <v/>
      </c>
      <c r="BF19" s="9">
        <f>IF(SUM(Debt!$J$113:BF$113)&gt;Inputs!$F$253,1,0)</f>
        <v/>
      </c>
      <c r="BG19" s="9">
        <f>IF(SUM(Debt!$J$113:BG$113)&gt;Inputs!$F$253,1,0)</f>
        <v/>
      </c>
      <c r="BH19" s="9">
        <f>IF(SUM(Debt!$J$113:BH$113)&gt;Inputs!$F$253,1,0)</f>
        <v/>
      </c>
      <c r="BI19" s="9">
        <f>IF(SUM(Debt!$J$113:BI$113)&gt;Inputs!$F$253,1,0)</f>
        <v/>
      </c>
      <c r="BJ19" s="9">
        <f>IF(SUM(Debt!$J$113:BJ$113)&gt;Inputs!$F$253,1,0)</f>
        <v/>
      </c>
      <c r="BK19" s="9">
        <f>IF(SUM(Debt!$J$113:BK$113)&gt;Inputs!$F$253,1,0)</f>
        <v/>
      </c>
      <c r="BL19" s="9">
        <f>IF(SUM(Debt!$J$113:BL$113)&gt;Inputs!$F$253,1,0)</f>
        <v/>
      </c>
      <c r="BM19" s="9">
        <f>IF(SUM(Debt!$J$113:BM$113)&gt;Inputs!$F$253,1,0)</f>
        <v/>
      </c>
      <c r="BN19" s="9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IF(AND(Debt!J114&gt;Inputs!$F$253,J18&lt;Inputs!$F$109),1,0)</f>
        <v/>
      </c>
      <c r="K20" s="9">
        <f>IF(AND(Debt!K114&gt;Inputs!$F$253,K18&lt;Inputs!$F$109),1,0)</f>
        <v/>
      </c>
      <c r="L20" s="9">
        <f>IF(AND(Debt!L114&gt;Inputs!$F$253,L18&lt;Inputs!$F$109),1,0)</f>
        <v/>
      </c>
      <c r="M20" s="9">
        <f>IF(AND(Debt!M114&gt;Inputs!$F$253,M18&lt;Inputs!$F$109),1,0)</f>
        <v/>
      </c>
      <c r="N20" s="9">
        <f>IF(AND(Debt!N114&gt;Inputs!$F$253,N18&lt;Inputs!$F$109),1,0)</f>
        <v/>
      </c>
      <c r="O20" s="9">
        <f>IF(AND(Debt!O114&gt;Inputs!$F$253,O18&lt;Inputs!$F$109),1,0)</f>
        <v/>
      </c>
      <c r="P20" s="9">
        <f>IF(AND(Debt!P114&gt;Inputs!$F$253,P18&lt;Inputs!$F$109),1,0)</f>
        <v/>
      </c>
      <c r="Q20" s="9">
        <f>IF(AND(Debt!Q114&gt;Inputs!$F$253,Q18&lt;Inputs!$F$109),1,0)</f>
        <v/>
      </c>
      <c r="R20" s="9">
        <f>IF(AND(Debt!R114&gt;Inputs!$F$253,R18&lt;Inputs!$F$109),1,0)</f>
        <v/>
      </c>
      <c r="S20" s="9">
        <f>IF(AND(Debt!S114&gt;Inputs!$F$253,S18&lt;Inputs!$F$109),1,0)</f>
        <v/>
      </c>
      <c r="T20" s="9">
        <f>IF(AND(Debt!T114&gt;Inputs!$F$253,T18&lt;Inputs!$F$109),1,0)</f>
        <v/>
      </c>
      <c r="U20" s="9">
        <f>IF(AND(Debt!U114&gt;Inputs!$F$253,U18&lt;Inputs!$F$109),1,0)</f>
        <v/>
      </c>
      <c r="V20" s="9">
        <f>IF(AND(Debt!V114&gt;Inputs!$F$253,V18&lt;Inputs!$F$109),1,0)</f>
        <v/>
      </c>
      <c r="W20" s="9">
        <f>IF(AND(Debt!W114&gt;Inputs!$F$253,W18&lt;Inputs!$F$109),1,0)</f>
        <v/>
      </c>
      <c r="X20" s="9">
        <f>IF(AND(Debt!X114&gt;Inputs!$F$253,X18&lt;Inputs!$F$109),1,0)</f>
        <v/>
      </c>
      <c r="Y20" s="9">
        <f>IF(AND(Debt!Y114&gt;Inputs!$F$253,Y18&lt;Inputs!$F$109),1,0)</f>
        <v/>
      </c>
      <c r="Z20" s="9">
        <f>IF(AND(Debt!Z114&gt;Inputs!$F$253,Z18&lt;Inputs!$F$109),1,0)</f>
        <v/>
      </c>
      <c r="AA20" s="9">
        <f>IF(AND(Debt!AA114&gt;Inputs!$F$253,AA18&lt;Inputs!$F$109),1,0)</f>
        <v/>
      </c>
      <c r="AB20" s="9">
        <f>IF(AND(Debt!AB114&gt;Inputs!$F$253,AB18&lt;Inputs!$F$109),1,0)</f>
        <v/>
      </c>
      <c r="AC20" s="9">
        <f>IF(AND(Debt!AC114&gt;Inputs!$F$253,AC18&lt;Inputs!$F$109),1,0)</f>
        <v/>
      </c>
      <c r="AD20" s="9">
        <f>IF(AND(Debt!AD114&gt;Inputs!$F$253,AD18&lt;Inputs!$F$109),1,0)</f>
        <v/>
      </c>
      <c r="AE20" s="9">
        <f>IF(AND(Debt!AE114&gt;Inputs!$F$253,AE18&lt;Inputs!$F$109),1,0)</f>
        <v/>
      </c>
      <c r="AF20" s="9">
        <f>IF(AND(Debt!AF114&gt;Inputs!$F$253,AF18&lt;Inputs!$F$109),1,0)</f>
        <v/>
      </c>
      <c r="AG20" s="9">
        <f>IF(AND(Debt!AG114&gt;Inputs!$F$253,AG18&lt;Inputs!$F$109),1,0)</f>
        <v/>
      </c>
      <c r="AH20" s="9">
        <f>IF(AND(Debt!AH114&gt;Inputs!$F$253,AH18&lt;Inputs!$F$109),1,0)</f>
        <v/>
      </c>
      <c r="AI20" s="9">
        <f>IF(AND(Debt!AI114&gt;Inputs!$F$253,AI18&lt;Inputs!$F$109),1,0)</f>
        <v/>
      </c>
      <c r="AJ20" s="9">
        <f>IF(AND(Debt!AJ114&gt;Inputs!$F$253,AJ18&lt;Inputs!$F$109),1,0)</f>
        <v/>
      </c>
      <c r="AK20" s="9">
        <f>IF(AND(Debt!AK114&gt;Inputs!$F$253,AK18&lt;Inputs!$F$109),1,0)</f>
        <v/>
      </c>
      <c r="AL20" s="9">
        <f>IF(AND(Debt!AL114&gt;Inputs!$F$253,AL18&lt;Inputs!$F$109),1,0)</f>
        <v/>
      </c>
      <c r="AM20" s="9">
        <f>IF(AND(Debt!AM114&gt;Inputs!$F$253,AM18&lt;Inputs!$F$109),1,0)</f>
        <v/>
      </c>
      <c r="AN20" s="9">
        <f>IF(AND(Debt!AN114&gt;Inputs!$F$253,AN18&lt;Inputs!$F$109),1,0)</f>
        <v/>
      </c>
      <c r="AO20" s="9">
        <f>IF(AND(Debt!AO114&gt;Inputs!$F$253,AO18&lt;Inputs!$F$109),1,0)</f>
        <v/>
      </c>
      <c r="AP20" s="9">
        <f>IF(AND(Debt!AP114&gt;Inputs!$F$253,AP18&lt;Inputs!$F$109),1,0)</f>
        <v/>
      </c>
      <c r="AQ20" s="9">
        <f>IF(AND(Debt!AQ114&gt;Inputs!$F$253,AQ18&lt;Inputs!$F$109),1,0)</f>
        <v/>
      </c>
      <c r="AR20" s="9">
        <f>IF(AND(Debt!AR114&gt;Inputs!$F$253,AR18&lt;Inputs!$F$109),1,0)</f>
        <v/>
      </c>
      <c r="AS20" s="9">
        <f>IF(AND(Debt!AS114&gt;Inputs!$F$253,AS18&lt;Inputs!$F$109),1,0)</f>
        <v/>
      </c>
      <c r="AT20" s="9">
        <f>IF(AND(Debt!AT114&gt;Inputs!$F$253,AT18&lt;Inputs!$F$109),1,0)</f>
        <v/>
      </c>
      <c r="AU20" s="9">
        <f>IF(AND(Debt!AU114&gt;Inputs!$F$253,AU18&lt;Inputs!$F$109),1,0)</f>
        <v/>
      </c>
      <c r="AV20" s="9">
        <f>IF(AND(Debt!AV114&gt;Inputs!$F$253,AV18&lt;Inputs!$F$109),1,0)</f>
        <v/>
      </c>
      <c r="AW20" s="9">
        <f>IF(AND(Debt!AW114&gt;Inputs!$F$253,AW18&lt;Inputs!$F$109),1,0)</f>
        <v/>
      </c>
      <c r="AX20" s="9">
        <f>IF(AND(Debt!AX114&gt;Inputs!$F$253,AX18&lt;Inputs!$F$109),1,0)</f>
        <v/>
      </c>
      <c r="AY20" s="9">
        <f>IF(AND(Debt!AY114&gt;Inputs!$F$253,AY18&lt;Inputs!$F$109),1,0)</f>
        <v/>
      </c>
      <c r="AZ20" s="9">
        <f>IF(AND(Debt!AZ114&gt;Inputs!$F$253,AZ18&lt;Inputs!$F$109),1,0)</f>
        <v/>
      </c>
      <c r="BA20" s="9">
        <f>IF(AND(Debt!BA114&gt;Inputs!$F$253,BA18&lt;Inputs!$F$109),1,0)</f>
        <v/>
      </c>
      <c r="BB20" s="9">
        <f>IF(AND(Debt!BB114&gt;Inputs!$F$253,BB18&lt;Inputs!$F$109),1,0)</f>
        <v/>
      </c>
      <c r="BC20" s="9">
        <f>IF(AND(Debt!BC114&gt;Inputs!$F$253,BC18&lt;Inputs!$F$109),1,0)</f>
        <v/>
      </c>
      <c r="BD20" s="9">
        <f>IF(AND(Debt!BD114&gt;Inputs!$F$253,BD18&lt;Inputs!$F$109),1,0)</f>
        <v/>
      </c>
      <c r="BE20" s="9">
        <f>IF(AND(Debt!BE114&gt;Inputs!$F$253,BE18&lt;Inputs!$F$109),1,0)</f>
        <v/>
      </c>
      <c r="BF20" s="9">
        <f>IF(AND(Debt!BF114&gt;Inputs!$F$253,BF18&lt;Inputs!$F$109),1,0)</f>
        <v/>
      </c>
      <c r="BG20" s="9">
        <f>IF(AND(Debt!BG114&gt;Inputs!$F$253,BG18&lt;Inputs!$F$109),1,0)</f>
        <v/>
      </c>
      <c r="BH20" s="9">
        <f>IF(AND(Debt!BH114&gt;Inputs!$F$253,BH18&lt;Inputs!$F$109),1,0)</f>
        <v/>
      </c>
      <c r="BI20" s="9">
        <f>IF(AND(Debt!BI114&gt;Inputs!$F$253,BI18&lt;Inputs!$F$109),1,0)</f>
        <v/>
      </c>
      <c r="BJ20" s="9">
        <f>IF(AND(Debt!BJ114&gt;Inputs!$F$253,BJ18&lt;Inputs!$F$109),1,0)</f>
        <v/>
      </c>
      <c r="BK20" s="9">
        <f>IF(AND(Debt!BK114&gt;Inputs!$F$253,BK18&lt;Inputs!$F$109),1,0)</f>
        <v/>
      </c>
      <c r="BL20" s="9">
        <f>IF(AND(Debt!BL114&gt;Inputs!$F$253,BL18&lt;Inputs!$F$109),1,0)</f>
        <v/>
      </c>
      <c r="BM20" s="9">
        <f>IF(AND(Debt!BM114&gt;Inputs!$F$253,BM18&lt;Inputs!$F$109),1,0)</f>
        <v/>
      </c>
      <c r="BN20" s="9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MAX(I23,IF(AND(J22=1,Time!J51=1,J18&gt;=Inputs!$F$110,Time!I51=1,I18&gt;=Inputs!$F$110,Reserves!J13&gt;=Debt!J125-Inputs!$F$254),1,0))</f>
        <v/>
      </c>
      <c r="K23" s="9">
        <f>MAX(J23,IF(AND(K22=1,Time!K51=1,K18&gt;=Inputs!$F$110,Time!J51=1,J18&gt;=Inputs!$F$110,Reserves!K13&gt;=Debt!K125-Inputs!$F$254),1,0))</f>
        <v/>
      </c>
      <c r="L23" s="9">
        <f>MAX(K23,IF(AND(L22=1,Time!L51=1,L18&gt;=Inputs!$F$110,Time!K51=1,K18&gt;=Inputs!$F$110,Reserves!L13&gt;=Debt!L125-Inputs!$F$254),1,0))</f>
        <v/>
      </c>
      <c r="M23" s="9">
        <f>MAX(L23,IF(AND(M22=1,Time!M51=1,M18&gt;=Inputs!$F$110,Time!L51=1,L18&gt;=Inputs!$F$110,Reserves!M13&gt;=Debt!M125-Inputs!$F$254),1,0))</f>
        <v/>
      </c>
      <c r="N23" s="9">
        <f>MAX(M23,IF(AND(N22=1,Time!N51=1,N18&gt;=Inputs!$F$110,Time!M51=1,M18&gt;=Inputs!$F$110,Reserves!N13&gt;=Debt!N125-Inputs!$F$254),1,0))</f>
        <v/>
      </c>
      <c r="O23" s="9">
        <f>MAX(N23,IF(AND(O22=1,Time!O51=1,O18&gt;=Inputs!$F$110,Time!N51=1,N18&gt;=Inputs!$F$110,Reserves!O13&gt;=Debt!O125-Inputs!$F$254),1,0))</f>
        <v/>
      </c>
      <c r="P23" s="9">
        <f>MAX(O23,IF(AND(P22=1,Time!P51=1,P18&gt;=Inputs!$F$110,Time!O51=1,O18&gt;=Inputs!$F$110,Reserves!P13&gt;=Debt!P125-Inputs!$F$254),1,0))</f>
        <v/>
      </c>
      <c r="Q23" s="9">
        <f>MAX(P23,IF(AND(Q22=1,Time!Q51=1,Q18&gt;=Inputs!$F$110,Time!P51=1,P18&gt;=Inputs!$F$110,Reserves!Q13&gt;=Debt!Q125-Inputs!$F$254),1,0))</f>
        <v/>
      </c>
      <c r="R23" s="9">
        <f>MAX(Q23,IF(AND(R22=1,Time!R51=1,R18&gt;=Inputs!$F$110,Time!Q51=1,Q18&gt;=Inputs!$F$110,Reserves!R13&gt;=Debt!R125-Inputs!$F$254),1,0))</f>
        <v/>
      </c>
      <c r="S23" s="9">
        <f>MAX(R23,IF(AND(S22=1,Time!S51=1,S18&gt;=Inputs!$F$110,Time!R51=1,R18&gt;=Inputs!$F$110,Reserves!S13&gt;=Debt!S125-Inputs!$F$254),1,0))</f>
        <v/>
      </c>
      <c r="T23" s="9">
        <f>MAX(S23,IF(AND(T22=1,Time!T51=1,T18&gt;=Inputs!$F$110,Time!S51=1,S18&gt;=Inputs!$F$110,Reserves!T13&gt;=Debt!T125-Inputs!$F$254),1,0))</f>
        <v/>
      </c>
      <c r="U23" s="9">
        <f>MAX(T23,IF(AND(U22=1,Time!U51=1,U18&gt;=Inputs!$F$110,Time!T51=1,T18&gt;=Inputs!$F$110,Reserves!U13&gt;=Debt!U125-Inputs!$F$254),1,0))</f>
        <v/>
      </c>
      <c r="V23" s="9">
        <f>MAX(U23,IF(AND(V22=1,Time!V51=1,V18&gt;=Inputs!$F$110,Time!U51=1,U18&gt;=Inputs!$F$110,Reserves!V13&gt;=Debt!V125-Inputs!$F$254),1,0))</f>
        <v/>
      </c>
      <c r="W23" s="9">
        <f>MAX(V23,IF(AND(W22=1,Time!W51=1,W18&gt;=Inputs!$F$110,Time!V51=1,V18&gt;=Inputs!$F$110,Reserves!W13&gt;=Debt!W125-Inputs!$F$254),1,0))</f>
        <v/>
      </c>
      <c r="X23" s="9">
        <f>MAX(W23,IF(AND(X22=1,Time!X51=1,X18&gt;=Inputs!$F$110,Time!W51=1,W18&gt;=Inputs!$F$110,Reserves!X13&gt;=Debt!X125-Inputs!$F$254),1,0))</f>
        <v/>
      </c>
      <c r="Y23" s="9">
        <f>MAX(X23,IF(AND(Y22=1,Time!Y51=1,Y18&gt;=Inputs!$F$110,Time!X51=1,X18&gt;=Inputs!$F$110,Reserves!Y13&gt;=Debt!Y125-Inputs!$F$254),1,0))</f>
        <v/>
      </c>
      <c r="Z23" s="9">
        <f>MAX(Y23,IF(AND(Z22=1,Time!Z51=1,Z18&gt;=Inputs!$F$110,Time!Y51=1,Y18&gt;=Inputs!$F$110,Reserves!Z13&gt;=Debt!Z125-Inputs!$F$254),1,0))</f>
        <v/>
      </c>
      <c r="AA23" s="9">
        <f>MAX(Z23,IF(AND(AA22=1,Time!AA51=1,AA18&gt;=Inputs!$F$110,Time!Z51=1,Z18&gt;=Inputs!$F$110,Reserves!AA13&gt;=Debt!AA125-Inputs!$F$254),1,0))</f>
        <v/>
      </c>
      <c r="AB23" s="9">
        <f>MAX(AA23,IF(AND(AB22=1,Time!AB51=1,AB18&gt;=Inputs!$F$110,Time!AA51=1,AA18&gt;=Inputs!$F$110,Reserves!AB13&gt;=Debt!AB125-Inputs!$F$254),1,0))</f>
        <v/>
      </c>
      <c r="AC23" s="9">
        <f>MAX(AB23,IF(AND(AC22=1,Time!AC51=1,AC18&gt;=Inputs!$F$110,Time!AB51=1,AB18&gt;=Inputs!$F$110,Reserves!AC13&gt;=Debt!AC125-Inputs!$F$254),1,0))</f>
        <v/>
      </c>
      <c r="AD23" s="9">
        <f>MAX(AC23,IF(AND(AD22=1,Time!AD51=1,AD18&gt;=Inputs!$F$110,Time!AC51=1,AC18&gt;=Inputs!$F$110,Reserves!AD13&gt;=Debt!AD125-Inputs!$F$254),1,0))</f>
        <v/>
      </c>
      <c r="AE23" s="9">
        <f>MAX(AD23,IF(AND(AE22=1,Time!AE51=1,AE18&gt;=Inputs!$F$110,Time!AD51=1,AD18&gt;=Inputs!$F$110,Reserves!AE13&gt;=Debt!AE125-Inputs!$F$254),1,0))</f>
        <v/>
      </c>
      <c r="AF23" s="9">
        <f>MAX(AE23,IF(AND(AF22=1,Time!AF51=1,AF18&gt;=Inputs!$F$110,Time!AE51=1,AE18&gt;=Inputs!$F$110,Reserves!AF13&gt;=Debt!AF125-Inputs!$F$254),1,0))</f>
        <v/>
      </c>
      <c r="AG23" s="9">
        <f>MAX(AF23,IF(AND(AG22=1,Time!AG51=1,AG18&gt;=Inputs!$F$110,Time!AF51=1,AF18&gt;=Inputs!$F$110,Reserves!AG13&gt;=Debt!AG125-Inputs!$F$254),1,0))</f>
        <v/>
      </c>
      <c r="AH23" s="9">
        <f>MAX(AG23,IF(AND(AH22=1,Time!AH51=1,AH18&gt;=Inputs!$F$110,Time!AG51=1,AG18&gt;=Inputs!$F$110,Reserves!AH13&gt;=Debt!AH125-Inputs!$F$254),1,0))</f>
        <v/>
      </c>
      <c r="AI23" s="9">
        <f>MAX(AH23,IF(AND(AI22=1,Time!AI51=1,AI18&gt;=Inputs!$F$110,Time!AH51=1,AH18&gt;=Inputs!$F$110,Reserves!AI13&gt;=Debt!AI125-Inputs!$F$254),1,0))</f>
        <v/>
      </c>
      <c r="AJ23" s="9">
        <f>MAX(AI23,IF(AND(AJ22=1,Time!AJ51=1,AJ18&gt;=Inputs!$F$110,Time!AI51=1,AI18&gt;=Inputs!$F$110,Reserves!AJ13&gt;=Debt!AJ125-Inputs!$F$254),1,0))</f>
        <v/>
      </c>
      <c r="AK23" s="9">
        <f>MAX(AJ23,IF(AND(AK22=1,Time!AK51=1,AK18&gt;=Inputs!$F$110,Time!AJ51=1,AJ18&gt;=Inputs!$F$110,Reserves!AK13&gt;=Debt!AK125-Inputs!$F$254),1,0))</f>
        <v/>
      </c>
      <c r="AL23" s="9">
        <f>MAX(AK23,IF(AND(AL22=1,Time!AL51=1,AL18&gt;=Inputs!$F$110,Time!AK51=1,AK18&gt;=Inputs!$F$110,Reserves!AL13&gt;=Debt!AL125-Inputs!$F$254),1,0))</f>
        <v/>
      </c>
      <c r="AM23" s="9">
        <f>MAX(AL23,IF(AND(AM22=1,Time!AM51=1,AM18&gt;=Inputs!$F$110,Time!AL51=1,AL18&gt;=Inputs!$F$110,Reserves!AM13&gt;=Debt!AM125-Inputs!$F$254),1,0))</f>
        <v/>
      </c>
      <c r="AN23" s="9">
        <f>MAX(AM23,IF(AND(AN22=1,Time!AN51=1,AN18&gt;=Inputs!$F$110,Time!AM51=1,AM18&gt;=Inputs!$F$110,Reserves!AN13&gt;=Debt!AN125-Inputs!$F$254),1,0))</f>
        <v/>
      </c>
      <c r="AO23" s="9">
        <f>MAX(AN23,IF(AND(AO22=1,Time!AO51=1,AO18&gt;=Inputs!$F$110,Time!AN51=1,AN18&gt;=Inputs!$F$110,Reserves!AO13&gt;=Debt!AO125-Inputs!$F$254),1,0))</f>
        <v/>
      </c>
      <c r="AP23" s="9">
        <f>MAX(AO23,IF(AND(AP22=1,Time!AP51=1,AP18&gt;=Inputs!$F$110,Time!AO51=1,AO18&gt;=Inputs!$F$110,Reserves!AP13&gt;=Debt!AP125-Inputs!$F$254),1,0))</f>
        <v/>
      </c>
      <c r="AQ23" s="9">
        <f>MAX(AP23,IF(AND(AQ22=1,Time!AQ51=1,AQ18&gt;=Inputs!$F$110,Time!AP51=1,AP18&gt;=Inputs!$F$110,Reserves!AQ13&gt;=Debt!AQ125-Inputs!$F$254),1,0))</f>
        <v/>
      </c>
      <c r="AR23" s="9">
        <f>MAX(AQ23,IF(AND(AR22=1,Time!AR51=1,AR18&gt;=Inputs!$F$110,Time!AQ51=1,AQ18&gt;=Inputs!$F$110,Reserves!AR13&gt;=Debt!AR125-Inputs!$F$254),1,0))</f>
        <v/>
      </c>
      <c r="AS23" s="9">
        <f>MAX(AR23,IF(AND(AS22=1,Time!AS51=1,AS18&gt;=Inputs!$F$110,Time!AR51=1,AR18&gt;=Inputs!$F$110,Reserves!AS13&gt;=Debt!AS125-Inputs!$F$254),1,0))</f>
        <v/>
      </c>
      <c r="AT23" s="9">
        <f>MAX(AS23,IF(AND(AT22=1,Time!AT51=1,AT18&gt;=Inputs!$F$110,Time!AS51=1,AS18&gt;=Inputs!$F$110,Reserves!AT13&gt;=Debt!AT125-Inputs!$F$254),1,0))</f>
        <v/>
      </c>
      <c r="AU23" s="9">
        <f>MAX(AT23,IF(AND(AU22=1,Time!AU51=1,AU18&gt;=Inputs!$F$110,Time!AT51=1,AT18&gt;=Inputs!$F$110,Reserves!AU13&gt;=Debt!AU125-Inputs!$F$254),1,0))</f>
        <v/>
      </c>
      <c r="AV23" s="9">
        <f>MAX(AU23,IF(AND(AV22=1,Time!AV51=1,AV18&gt;=Inputs!$F$110,Time!AU51=1,AU18&gt;=Inputs!$F$110,Reserves!AV13&gt;=Debt!AV125-Inputs!$F$254),1,0))</f>
        <v/>
      </c>
      <c r="AW23" s="9">
        <f>MAX(AV23,IF(AND(AW22=1,Time!AW51=1,AW18&gt;=Inputs!$F$110,Time!AV51=1,AV18&gt;=Inputs!$F$110,Reserves!AW13&gt;=Debt!AW125-Inputs!$F$254),1,0))</f>
        <v/>
      </c>
      <c r="AX23" s="9">
        <f>MAX(AW23,IF(AND(AX22=1,Time!AX51=1,AX18&gt;=Inputs!$F$110,Time!AW51=1,AW18&gt;=Inputs!$F$110,Reserves!AX13&gt;=Debt!AX125-Inputs!$F$254),1,0))</f>
        <v/>
      </c>
      <c r="AY23" s="9">
        <f>MAX(AX23,IF(AND(AY22=1,Time!AY51=1,AY18&gt;=Inputs!$F$110,Time!AX51=1,AX18&gt;=Inputs!$F$110,Reserves!AY13&gt;=Debt!AY125-Inputs!$F$254),1,0))</f>
        <v/>
      </c>
      <c r="AZ23" s="9">
        <f>MAX(AY23,IF(AND(AZ22=1,Time!AZ51=1,AZ18&gt;=Inputs!$F$110,Time!AY51=1,AY18&gt;=Inputs!$F$110,Reserves!AZ13&gt;=Debt!AZ125-Inputs!$F$254),1,0))</f>
        <v/>
      </c>
      <c r="BA23" s="9">
        <f>MAX(AZ23,IF(AND(BA22=1,Time!BA51=1,BA18&gt;=Inputs!$F$110,Time!AZ51=1,AZ18&gt;=Inputs!$F$110,Reserves!BA13&gt;=Debt!BA125-Inputs!$F$254),1,0))</f>
        <v/>
      </c>
      <c r="BB23" s="9">
        <f>MAX(BA23,IF(AND(BB22=1,Time!BB51=1,BB18&gt;=Inputs!$F$110,Time!BA51=1,BA18&gt;=Inputs!$F$110,Reserves!BB13&gt;=Debt!BB125-Inputs!$F$254),1,0))</f>
        <v/>
      </c>
      <c r="BC23" s="9">
        <f>MAX(BB23,IF(AND(BC22=1,Time!BC51=1,BC18&gt;=Inputs!$F$110,Time!BB51=1,BB18&gt;=Inputs!$F$110,Reserves!BC13&gt;=Debt!BC125-Inputs!$F$254),1,0))</f>
        <v/>
      </c>
      <c r="BD23" s="9">
        <f>MAX(BC23,IF(AND(BD22=1,Time!BD51=1,BD18&gt;=Inputs!$F$110,Time!BC51=1,BC18&gt;=Inputs!$F$110,Reserves!BD13&gt;=Debt!BD125-Inputs!$F$254),1,0))</f>
        <v/>
      </c>
      <c r="BE23" s="9">
        <f>MAX(BD23,IF(AND(BE22=1,Time!BE51=1,BE18&gt;=Inputs!$F$110,Time!BD51=1,BD18&gt;=Inputs!$F$110,Reserves!BE13&gt;=Debt!BE125-Inputs!$F$254),1,0))</f>
        <v/>
      </c>
      <c r="BF23" s="9">
        <f>MAX(BE23,IF(AND(BF22=1,Time!BF51=1,BF18&gt;=Inputs!$F$110,Time!BE51=1,BE18&gt;=Inputs!$F$110,Reserves!BF13&gt;=Debt!BF125-Inputs!$F$254),1,0))</f>
        <v/>
      </c>
      <c r="BG23" s="9">
        <f>MAX(BF23,IF(AND(BG22=1,Time!BG51=1,BG18&gt;=Inputs!$F$110,Time!BF51=1,BF18&gt;=Inputs!$F$110,Reserves!BG13&gt;=Debt!BG125-Inputs!$F$254),1,0))</f>
        <v/>
      </c>
      <c r="BH23" s="9">
        <f>MAX(BG23,IF(AND(BH22=1,Time!BH51=1,BH18&gt;=Inputs!$F$110,Time!BG51=1,BG18&gt;=Inputs!$F$110,Reserves!BH13&gt;=Debt!BH125-Inputs!$F$254),1,0))</f>
        <v/>
      </c>
      <c r="BI23" s="9">
        <f>MAX(BH23,IF(AND(BI22=1,Time!BI51=1,BI18&gt;=Inputs!$F$110,Time!BH51=1,BH18&gt;=Inputs!$F$110,Reserves!BI13&gt;=Debt!BI125-Inputs!$F$254),1,0))</f>
        <v/>
      </c>
      <c r="BJ23" s="9">
        <f>MAX(BI23,IF(AND(BJ22=1,Time!BJ51=1,BJ18&gt;=Inputs!$F$110,Time!BI51=1,BI18&gt;=Inputs!$F$110,Reserves!BJ13&gt;=Debt!BJ125-Inputs!$F$254),1,0))</f>
        <v/>
      </c>
      <c r="BK23" s="9">
        <f>MAX(BJ23,IF(AND(BK22=1,Time!BK51=1,BK18&gt;=Inputs!$F$110,Time!BJ51=1,BJ18&gt;=Inputs!$F$110,Reserves!BK13&gt;=Debt!BK125-Inputs!$F$254),1,0))</f>
        <v/>
      </c>
      <c r="BL23" s="9">
        <f>MAX(BK23,IF(AND(BL22=1,Time!BL51=1,BL18&gt;=Inputs!$F$110,Time!BK51=1,BK18&gt;=Inputs!$F$110,Reserves!BL13&gt;=Debt!BL125-Inputs!$F$254),1,0))</f>
        <v/>
      </c>
      <c r="BM23" s="9">
        <f>MAX(BL23,IF(AND(BM22=1,Time!BM51=1,BM18&gt;=Inputs!$F$110,Time!BL51=1,BL18&gt;=Inputs!$F$110,Reserves!BM13&gt;=Debt!BM125-Inputs!$F$254),1,0))</f>
        <v/>
      </c>
      <c r="BN23" s="9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9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9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9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9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9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9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9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9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9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9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9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9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9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9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9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9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9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9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9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9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9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9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9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9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9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9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9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9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9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9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9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9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9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9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9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9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9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9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9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9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9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9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9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9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9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9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9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9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9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9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9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9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9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9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9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9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IF(AND(J24=0,J19=1,Debt!J114&gt;Inputs!$F$253),1,0)</f>
        <v/>
      </c>
      <c r="K25" s="9">
        <f>IF(AND(K24=0,K19=1,Debt!K114&gt;Inputs!$F$253),1,0)</f>
        <v/>
      </c>
      <c r="L25" s="9">
        <f>IF(AND(L24=0,L19=1,Debt!L114&gt;Inputs!$F$253),1,0)</f>
        <v/>
      </c>
      <c r="M25" s="9">
        <f>IF(AND(M24=0,M19=1,Debt!M114&gt;Inputs!$F$253),1,0)</f>
        <v/>
      </c>
      <c r="N25" s="9">
        <f>IF(AND(N24=0,N19=1,Debt!N114&gt;Inputs!$F$253),1,0)</f>
        <v/>
      </c>
      <c r="O25" s="9">
        <f>IF(AND(O24=0,O19=1,Debt!O114&gt;Inputs!$F$253),1,0)</f>
        <v/>
      </c>
      <c r="P25" s="9">
        <f>IF(AND(P24=0,P19=1,Debt!P114&gt;Inputs!$F$253),1,0)</f>
        <v/>
      </c>
      <c r="Q25" s="9">
        <f>IF(AND(Q24=0,Q19=1,Debt!Q114&gt;Inputs!$F$253),1,0)</f>
        <v/>
      </c>
      <c r="R25" s="9">
        <f>IF(AND(R24=0,R19=1,Debt!R114&gt;Inputs!$F$253),1,0)</f>
        <v/>
      </c>
      <c r="S25" s="9">
        <f>IF(AND(S24=0,S19=1,Debt!S114&gt;Inputs!$F$253),1,0)</f>
        <v/>
      </c>
      <c r="T25" s="9">
        <f>IF(AND(T24=0,T19=1,Debt!T114&gt;Inputs!$F$253),1,0)</f>
        <v/>
      </c>
      <c r="U25" s="9">
        <f>IF(AND(U24=0,U19=1,Debt!U114&gt;Inputs!$F$253),1,0)</f>
        <v/>
      </c>
      <c r="V25" s="9">
        <f>IF(AND(V24=0,V19=1,Debt!V114&gt;Inputs!$F$253),1,0)</f>
        <v/>
      </c>
      <c r="W25" s="9">
        <f>IF(AND(W24=0,W19=1,Debt!W114&gt;Inputs!$F$253),1,0)</f>
        <v/>
      </c>
      <c r="X25" s="9">
        <f>IF(AND(X24=0,X19=1,Debt!X114&gt;Inputs!$F$253),1,0)</f>
        <v/>
      </c>
      <c r="Y25" s="9">
        <f>IF(AND(Y24=0,Y19=1,Debt!Y114&gt;Inputs!$F$253),1,0)</f>
        <v/>
      </c>
      <c r="Z25" s="9">
        <f>IF(AND(Z24=0,Z19=1,Debt!Z114&gt;Inputs!$F$253),1,0)</f>
        <v/>
      </c>
      <c r="AA25" s="9">
        <f>IF(AND(AA24=0,AA19=1,Debt!AA114&gt;Inputs!$F$253),1,0)</f>
        <v/>
      </c>
      <c r="AB25" s="9">
        <f>IF(AND(AB24=0,AB19=1,Debt!AB114&gt;Inputs!$F$253),1,0)</f>
        <v/>
      </c>
      <c r="AC25" s="9">
        <f>IF(AND(AC24=0,AC19=1,Debt!AC114&gt;Inputs!$F$253),1,0)</f>
        <v/>
      </c>
      <c r="AD25" s="9">
        <f>IF(AND(AD24=0,AD19=1,Debt!AD114&gt;Inputs!$F$253),1,0)</f>
        <v/>
      </c>
      <c r="AE25" s="9">
        <f>IF(AND(AE24=0,AE19=1,Debt!AE114&gt;Inputs!$F$253),1,0)</f>
        <v/>
      </c>
      <c r="AF25" s="9">
        <f>IF(AND(AF24=0,AF19=1,Debt!AF114&gt;Inputs!$F$253),1,0)</f>
        <v/>
      </c>
      <c r="AG25" s="9">
        <f>IF(AND(AG24=0,AG19=1,Debt!AG114&gt;Inputs!$F$253),1,0)</f>
        <v/>
      </c>
      <c r="AH25" s="9">
        <f>IF(AND(AH24=0,AH19=1,Debt!AH114&gt;Inputs!$F$253),1,0)</f>
        <v/>
      </c>
      <c r="AI25" s="9">
        <f>IF(AND(AI24=0,AI19=1,Debt!AI114&gt;Inputs!$F$253),1,0)</f>
        <v/>
      </c>
      <c r="AJ25" s="9">
        <f>IF(AND(AJ24=0,AJ19=1,Debt!AJ114&gt;Inputs!$F$253),1,0)</f>
        <v/>
      </c>
      <c r="AK25" s="9">
        <f>IF(AND(AK24=0,AK19=1,Debt!AK114&gt;Inputs!$F$253),1,0)</f>
        <v/>
      </c>
      <c r="AL25" s="9">
        <f>IF(AND(AL24=0,AL19=1,Debt!AL114&gt;Inputs!$F$253),1,0)</f>
        <v/>
      </c>
      <c r="AM25" s="9">
        <f>IF(AND(AM24=0,AM19=1,Debt!AM114&gt;Inputs!$F$253),1,0)</f>
        <v/>
      </c>
      <c r="AN25" s="9">
        <f>IF(AND(AN24=0,AN19=1,Debt!AN114&gt;Inputs!$F$253),1,0)</f>
        <v/>
      </c>
      <c r="AO25" s="9">
        <f>IF(AND(AO24=0,AO19=1,Debt!AO114&gt;Inputs!$F$253),1,0)</f>
        <v/>
      </c>
      <c r="AP25" s="9">
        <f>IF(AND(AP24=0,AP19=1,Debt!AP114&gt;Inputs!$F$253),1,0)</f>
        <v/>
      </c>
      <c r="AQ25" s="9">
        <f>IF(AND(AQ24=0,AQ19=1,Debt!AQ114&gt;Inputs!$F$253),1,0)</f>
        <v/>
      </c>
      <c r="AR25" s="9">
        <f>IF(AND(AR24=0,AR19=1,Debt!AR114&gt;Inputs!$F$253),1,0)</f>
        <v/>
      </c>
      <c r="AS25" s="9">
        <f>IF(AND(AS24=0,AS19=1,Debt!AS114&gt;Inputs!$F$253),1,0)</f>
        <v/>
      </c>
      <c r="AT25" s="9">
        <f>IF(AND(AT24=0,AT19=1,Debt!AT114&gt;Inputs!$F$253),1,0)</f>
        <v/>
      </c>
      <c r="AU25" s="9">
        <f>IF(AND(AU24=0,AU19=1,Debt!AU114&gt;Inputs!$F$253),1,0)</f>
        <v/>
      </c>
      <c r="AV25" s="9">
        <f>IF(AND(AV24=0,AV19=1,Debt!AV114&gt;Inputs!$F$253),1,0)</f>
        <v/>
      </c>
      <c r="AW25" s="9">
        <f>IF(AND(AW24=0,AW19=1,Debt!AW114&gt;Inputs!$F$253),1,0)</f>
        <v/>
      </c>
      <c r="AX25" s="9">
        <f>IF(AND(AX24=0,AX19=1,Debt!AX114&gt;Inputs!$F$253),1,0)</f>
        <v/>
      </c>
      <c r="AY25" s="9">
        <f>IF(AND(AY24=0,AY19=1,Debt!AY114&gt;Inputs!$F$253),1,0)</f>
        <v/>
      </c>
      <c r="AZ25" s="9">
        <f>IF(AND(AZ24=0,AZ19=1,Debt!AZ114&gt;Inputs!$F$253),1,0)</f>
        <v/>
      </c>
      <c r="BA25" s="9">
        <f>IF(AND(BA24=0,BA19=1,Debt!BA114&gt;Inputs!$F$253),1,0)</f>
        <v/>
      </c>
      <c r="BB25" s="9">
        <f>IF(AND(BB24=0,BB19=1,Debt!BB114&gt;Inputs!$F$253),1,0)</f>
        <v/>
      </c>
      <c r="BC25" s="9">
        <f>IF(AND(BC24=0,BC19=1,Debt!BC114&gt;Inputs!$F$253),1,0)</f>
        <v/>
      </c>
      <c r="BD25" s="9">
        <f>IF(AND(BD24=0,BD19=1,Debt!BD114&gt;Inputs!$F$253),1,0)</f>
        <v/>
      </c>
      <c r="BE25" s="9">
        <f>IF(AND(BE24=0,BE19=1,Debt!BE114&gt;Inputs!$F$253),1,0)</f>
        <v/>
      </c>
      <c r="BF25" s="9">
        <f>IF(AND(BF24=0,BF19=1,Debt!BF114&gt;Inputs!$F$253),1,0)</f>
        <v/>
      </c>
      <c r="BG25" s="9">
        <f>IF(AND(BG24=0,BG19=1,Debt!BG114&gt;Inputs!$F$253),1,0)</f>
        <v/>
      </c>
      <c r="BH25" s="9">
        <f>IF(AND(BH24=0,BH19=1,Debt!BH114&gt;Inputs!$F$253),1,0)</f>
        <v/>
      </c>
      <c r="BI25" s="9">
        <f>IF(AND(BI24=0,BI19=1,Debt!BI114&gt;Inputs!$F$253),1,0)</f>
        <v/>
      </c>
      <c r="BJ25" s="9">
        <f>IF(AND(BJ24=0,BJ19=1,Debt!BJ114&gt;Inputs!$F$253),1,0)</f>
        <v/>
      </c>
      <c r="BK25" s="9">
        <f>IF(AND(BK24=0,BK19=1,Debt!BK114&gt;Inputs!$F$253),1,0)</f>
        <v/>
      </c>
      <c r="BL25" s="9">
        <f>IF(AND(BL24=0,BL19=1,Debt!BL114&gt;Inputs!$F$253),1,0)</f>
        <v/>
      </c>
      <c r="BM25" s="9">
        <f>IF(AND(BM24=0,BM19=1,Debt!BM114&gt;Inputs!$F$253),1,0)</f>
        <v/>
      </c>
      <c r="BN25" s="9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IF(J25=1,I26+1,0)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  <row r="31">
      <c r="B31" s="2" t="inlineStr">
        <is>
          <t>Cash flow statement (USD m; project accounts as in the cash row above)</t>
        </is>
      </c>
    </row>
    <row r="32">
      <c r="D32" t="inlineStr">
        <is>
          <t>EBITDA</t>
        </is>
      </c>
      <c r="E32" t="inlineStr">
        <is>
          <t>USD m</t>
        </is>
      </c>
      <c r="G32" s="13">
        <f>SUM(J32:BN32)</f>
        <v/>
      </c>
      <c r="J32" s="18">
        <f>Operations!J84</f>
        <v/>
      </c>
      <c r="K32" s="18">
        <f>Operations!K84</f>
        <v/>
      </c>
      <c r="L32" s="18">
        <f>Operations!L84</f>
        <v/>
      </c>
      <c r="M32" s="18">
        <f>Operations!M84</f>
        <v/>
      </c>
      <c r="N32" s="18">
        <f>Operations!N84</f>
        <v/>
      </c>
      <c r="O32" s="18">
        <f>Operations!O84</f>
        <v/>
      </c>
      <c r="P32" s="18">
        <f>Operations!P84</f>
        <v/>
      </c>
      <c r="Q32" s="18">
        <f>Operations!Q84</f>
        <v/>
      </c>
      <c r="R32" s="18">
        <f>Operations!R84</f>
        <v/>
      </c>
      <c r="S32" s="18">
        <f>Operations!S84</f>
        <v/>
      </c>
      <c r="T32" s="18">
        <f>Operations!T84</f>
        <v/>
      </c>
      <c r="U32" s="18">
        <f>Operations!U84</f>
        <v/>
      </c>
      <c r="V32" s="18">
        <f>Operations!V84</f>
        <v/>
      </c>
      <c r="W32" s="18">
        <f>Operations!W84</f>
        <v/>
      </c>
      <c r="X32" s="18">
        <f>Operations!X84</f>
        <v/>
      </c>
      <c r="Y32" s="18">
        <f>Operations!Y84</f>
        <v/>
      </c>
      <c r="Z32" s="18">
        <f>Operations!Z84</f>
        <v/>
      </c>
      <c r="AA32" s="18">
        <f>Operations!AA84</f>
        <v/>
      </c>
      <c r="AB32" s="18">
        <f>Operations!AB84</f>
        <v/>
      </c>
      <c r="AC32" s="18">
        <f>Operations!AC84</f>
        <v/>
      </c>
      <c r="AD32" s="18">
        <f>Operations!AD84</f>
        <v/>
      </c>
      <c r="AE32" s="18">
        <f>Operations!AE84</f>
        <v/>
      </c>
      <c r="AF32" s="18">
        <f>Operations!AF84</f>
        <v/>
      </c>
      <c r="AG32" s="18">
        <f>Operations!AG84</f>
        <v/>
      </c>
      <c r="AH32" s="18">
        <f>Operations!AH84</f>
        <v/>
      </c>
      <c r="AI32" s="18">
        <f>Operations!AI84</f>
        <v/>
      </c>
      <c r="AJ32" s="18">
        <f>Operations!AJ84</f>
        <v/>
      </c>
      <c r="AK32" s="18">
        <f>Operations!AK84</f>
        <v/>
      </c>
      <c r="AL32" s="18">
        <f>Operations!AL84</f>
        <v/>
      </c>
      <c r="AM32" s="18">
        <f>Operations!AM84</f>
        <v/>
      </c>
      <c r="AN32" s="18">
        <f>Operations!AN84</f>
        <v/>
      </c>
      <c r="AO32" s="18">
        <f>Operations!AO84</f>
        <v/>
      </c>
      <c r="AP32" s="18">
        <f>Operations!AP84</f>
        <v/>
      </c>
      <c r="AQ32" s="18">
        <f>Operations!AQ84</f>
        <v/>
      </c>
      <c r="AR32" s="18">
        <f>Operations!AR84</f>
        <v/>
      </c>
      <c r="AS32" s="18">
        <f>Operations!AS84</f>
        <v/>
      </c>
      <c r="AT32" s="18">
        <f>Operations!AT84</f>
        <v/>
      </c>
      <c r="AU32" s="18">
        <f>Operations!AU84</f>
        <v/>
      </c>
      <c r="AV32" s="18">
        <f>Operations!AV84</f>
        <v/>
      </c>
      <c r="AW32" s="18">
        <f>Operations!AW84</f>
        <v/>
      </c>
      <c r="AX32" s="18">
        <f>Operations!AX84</f>
        <v/>
      </c>
      <c r="AY32" s="18">
        <f>Operations!AY84</f>
        <v/>
      </c>
      <c r="AZ32" s="18">
        <f>Operations!AZ84</f>
        <v/>
      </c>
      <c r="BA32" s="18">
        <f>Operations!BA84</f>
        <v/>
      </c>
      <c r="BB32" s="18">
        <f>Operations!BB84</f>
        <v/>
      </c>
      <c r="BC32" s="18">
        <f>Operations!BC84</f>
        <v/>
      </c>
      <c r="BD32" s="18">
        <f>Operations!BD84</f>
        <v/>
      </c>
      <c r="BE32" s="18">
        <f>Operations!BE84</f>
        <v/>
      </c>
      <c r="BF32" s="18">
        <f>Operations!BF84</f>
        <v/>
      </c>
      <c r="BG32" s="18">
        <f>Operations!BG84</f>
        <v/>
      </c>
      <c r="BH32" s="18">
        <f>Operations!BH84</f>
        <v/>
      </c>
      <c r="BI32" s="18">
        <f>Operations!BI84</f>
        <v/>
      </c>
      <c r="BJ32" s="18">
        <f>Operations!BJ84</f>
        <v/>
      </c>
      <c r="BK32" s="18">
        <f>Operations!BK84</f>
        <v/>
      </c>
      <c r="BL32" s="18">
        <f>Operations!BL84</f>
        <v/>
      </c>
      <c r="BM32" s="18">
        <f>Operations!BM84</f>
        <v/>
      </c>
      <c r="BN32" s="18">
        <f>Operations!BN84</f>
        <v/>
      </c>
    </row>
    <row r="33">
      <c r="D33" t="inlineStr">
        <is>
          <t>Tax paid</t>
        </is>
      </c>
      <c r="E33" t="inlineStr">
        <is>
          <t>USD m</t>
        </is>
      </c>
      <c r="G33" s="13">
        <f>SUM(J33:BN33)</f>
        <v/>
      </c>
      <c r="J33" s="13">
        <f>-Tax!J27</f>
        <v/>
      </c>
      <c r="K33" s="13">
        <f>-Tax!K27</f>
        <v/>
      </c>
      <c r="L33" s="13">
        <f>-Tax!L27</f>
        <v/>
      </c>
      <c r="M33" s="13">
        <f>-Tax!M27</f>
        <v/>
      </c>
      <c r="N33" s="13">
        <f>-Tax!N27</f>
        <v/>
      </c>
      <c r="O33" s="13">
        <f>-Tax!O27</f>
        <v/>
      </c>
      <c r="P33" s="13">
        <f>-Tax!P27</f>
        <v/>
      </c>
      <c r="Q33" s="13">
        <f>-Tax!Q27</f>
        <v/>
      </c>
      <c r="R33" s="13">
        <f>-Tax!R27</f>
        <v/>
      </c>
      <c r="S33" s="13">
        <f>-Tax!S27</f>
        <v/>
      </c>
      <c r="T33" s="13">
        <f>-Tax!T27</f>
        <v/>
      </c>
      <c r="U33" s="13">
        <f>-Tax!U27</f>
        <v/>
      </c>
      <c r="V33" s="13">
        <f>-Tax!V27</f>
        <v/>
      </c>
      <c r="W33" s="13">
        <f>-Tax!W27</f>
        <v/>
      </c>
      <c r="X33" s="13">
        <f>-Tax!X27</f>
        <v/>
      </c>
      <c r="Y33" s="13">
        <f>-Tax!Y27</f>
        <v/>
      </c>
      <c r="Z33" s="13">
        <f>-Tax!Z27</f>
        <v/>
      </c>
      <c r="AA33" s="13">
        <f>-Tax!AA27</f>
        <v/>
      </c>
      <c r="AB33" s="13">
        <f>-Tax!AB27</f>
        <v/>
      </c>
      <c r="AC33" s="13">
        <f>-Tax!AC27</f>
        <v/>
      </c>
      <c r="AD33" s="13">
        <f>-Tax!AD27</f>
        <v/>
      </c>
      <c r="AE33" s="13">
        <f>-Tax!AE27</f>
        <v/>
      </c>
      <c r="AF33" s="13">
        <f>-Tax!AF27</f>
        <v/>
      </c>
      <c r="AG33" s="13">
        <f>-Tax!AG27</f>
        <v/>
      </c>
      <c r="AH33" s="13">
        <f>-Tax!AH27</f>
        <v/>
      </c>
      <c r="AI33" s="13">
        <f>-Tax!AI27</f>
        <v/>
      </c>
      <c r="AJ33" s="13">
        <f>-Tax!AJ27</f>
        <v/>
      </c>
      <c r="AK33" s="13">
        <f>-Tax!AK27</f>
        <v/>
      </c>
      <c r="AL33" s="13">
        <f>-Tax!AL27</f>
        <v/>
      </c>
      <c r="AM33" s="13">
        <f>-Tax!AM27</f>
        <v/>
      </c>
      <c r="AN33" s="13">
        <f>-Tax!AN27</f>
        <v/>
      </c>
      <c r="AO33" s="13">
        <f>-Tax!AO27</f>
        <v/>
      </c>
      <c r="AP33" s="13">
        <f>-Tax!AP27</f>
        <v/>
      </c>
      <c r="AQ33" s="13">
        <f>-Tax!AQ27</f>
        <v/>
      </c>
      <c r="AR33" s="13">
        <f>-Tax!AR27</f>
        <v/>
      </c>
      <c r="AS33" s="13">
        <f>-Tax!AS27</f>
        <v/>
      </c>
      <c r="AT33" s="13">
        <f>-Tax!AT27</f>
        <v/>
      </c>
      <c r="AU33" s="13">
        <f>-Tax!AU27</f>
        <v/>
      </c>
      <c r="AV33" s="13">
        <f>-Tax!AV27</f>
        <v/>
      </c>
      <c r="AW33" s="13">
        <f>-Tax!AW27</f>
        <v/>
      </c>
      <c r="AX33" s="13">
        <f>-Tax!AX27</f>
        <v/>
      </c>
      <c r="AY33" s="13">
        <f>-Tax!AY27</f>
        <v/>
      </c>
      <c r="AZ33" s="13">
        <f>-Tax!AZ27</f>
        <v/>
      </c>
      <c r="BA33" s="13">
        <f>-Tax!BA27</f>
        <v/>
      </c>
      <c r="BB33" s="13">
        <f>-Tax!BB27</f>
        <v/>
      </c>
      <c r="BC33" s="13">
        <f>-Tax!BC27</f>
        <v/>
      </c>
      <c r="BD33" s="13">
        <f>-Tax!BD27</f>
        <v/>
      </c>
      <c r="BE33" s="13">
        <f>-Tax!BE27</f>
        <v/>
      </c>
      <c r="BF33" s="13">
        <f>-Tax!BF27</f>
        <v/>
      </c>
      <c r="BG33" s="13">
        <f>-Tax!BG27</f>
        <v/>
      </c>
      <c r="BH33" s="13">
        <f>-Tax!BH27</f>
        <v/>
      </c>
      <c r="BI33" s="13">
        <f>-Tax!BI27</f>
        <v/>
      </c>
      <c r="BJ33" s="13">
        <f>-Tax!BJ27</f>
        <v/>
      </c>
      <c r="BK33" s="13">
        <f>-Tax!BK27</f>
        <v/>
      </c>
      <c r="BL33" s="13">
        <f>-Tax!BL27</f>
        <v/>
      </c>
      <c r="BM33" s="13">
        <f>-Tax!BM27</f>
        <v/>
      </c>
      <c r="BN33" s="13">
        <f>-Tax!BN27</f>
        <v/>
      </c>
    </row>
    <row r="34">
      <c r="D34" t="inlineStr">
        <is>
          <t>Working capital: increase (negative) and spares release</t>
        </is>
      </c>
      <c r="E34" t="inlineStr">
        <is>
          <t>USD m</t>
        </is>
      </c>
      <c r="G34" s="13">
        <f>SUM(J34:BN34)</f>
        <v/>
      </c>
      <c r="J34" s="13">
        <f>-Operations!J96+Operations!J97</f>
        <v/>
      </c>
      <c r="K34" s="13">
        <f>-Operations!K96+Operations!K97</f>
        <v/>
      </c>
      <c r="L34" s="13">
        <f>-Operations!L96+Operations!L97</f>
        <v/>
      </c>
      <c r="M34" s="13">
        <f>-Operations!M96+Operations!M97</f>
        <v/>
      </c>
      <c r="N34" s="13">
        <f>-Operations!N96+Operations!N97</f>
        <v/>
      </c>
      <c r="O34" s="13">
        <f>-Operations!O96+Operations!O97</f>
        <v/>
      </c>
      <c r="P34" s="13">
        <f>-Operations!P96+Operations!P97</f>
        <v/>
      </c>
      <c r="Q34" s="13">
        <f>-Operations!Q96+Operations!Q97</f>
        <v/>
      </c>
      <c r="R34" s="13">
        <f>-Operations!R96+Operations!R97</f>
        <v/>
      </c>
      <c r="S34" s="13">
        <f>-Operations!S96+Operations!S97</f>
        <v/>
      </c>
      <c r="T34" s="13">
        <f>-Operations!T96+Operations!T97</f>
        <v/>
      </c>
      <c r="U34" s="13">
        <f>-Operations!U96+Operations!U97</f>
        <v/>
      </c>
      <c r="V34" s="13">
        <f>-Operations!V96+Operations!V97</f>
        <v/>
      </c>
      <c r="W34" s="13">
        <f>-Operations!W96+Operations!W97</f>
        <v/>
      </c>
      <c r="X34" s="13">
        <f>-Operations!X96+Operations!X97</f>
        <v/>
      </c>
      <c r="Y34" s="13">
        <f>-Operations!Y96+Operations!Y97</f>
        <v/>
      </c>
      <c r="Z34" s="13">
        <f>-Operations!Z96+Operations!Z97</f>
        <v/>
      </c>
      <c r="AA34" s="13">
        <f>-Operations!AA96+Operations!AA97</f>
        <v/>
      </c>
      <c r="AB34" s="13">
        <f>-Operations!AB96+Operations!AB97</f>
        <v/>
      </c>
      <c r="AC34" s="13">
        <f>-Operations!AC96+Operations!AC97</f>
        <v/>
      </c>
      <c r="AD34" s="13">
        <f>-Operations!AD96+Operations!AD97</f>
        <v/>
      </c>
      <c r="AE34" s="13">
        <f>-Operations!AE96+Operations!AE97</f>
        <v/>
      </c>
      <c r="AF34" s="13">
        <f>-Operations!AF96+Operations!AF97</f>
        <v/>
      </c>
      <c r="AG34" s="13">
        <f>-Operations!AG96+Operations!AG97</f>
        <v/>
      </c>
      <c r="AH34" s="13">
        <f>-Operations!AH96+Operations!AH97</f>
        <v/>
      </c>
      <c r="AI34" s="13">
        <f>-Operations!AI96+Operations!AI97</f>
        <v/>
      </c>
      <c r="AJ34" s="13">
        <f>-Operations!AJ96+Operations!AJ97</f>
        <v/>
      </c>
      <c r="AK34" s="13">
        <f>-Operations!AK96+Operations!AK97</f>
        <v/>
      </c>
      <c r="AL34" s="13">
        <f>-Operations!AL96+Operations!AL97</f>
        <v/>
      </c>
      <c r="AM34" s="13">
        <f>-Operations!AM96+Operations!AM97</f>
        <v/>
      </c>
      <c r="AN34" s="13">
        <f>-Operations!AN96+Operations!AN97</f>
        <v/>
      </c>
      <c r="AO34" s="13">
        <f>-Operations!AO96+Operations!AO97</f>
        <v/>
      </c>
      <c r="AP34" s="13">
        <f>-Operations!AP96+Operations!AP97</f>
        <v/>
      </c>
      <c r="AQ34" s="13">
        <f>-Operations!AQ96+Operations!AQ97</f>
        <v/>
      </c>
      <c r="AR34" s="13">
        <f>-Operations!AR96+Operations!AR97</f>
        <v/>
      </c>
      <c r="AS34" s="13">
        <f>-Operations!AS96+Operations!AS97</f>
        <v/>
      </c>
      <c r="AT34" s="13">
        <f>-Operations!AT96+Operations!AT97</f>
        <v/>
      </c>
      <c r="AU34" s="13">
        <f>-Operations!AU96+Operations!AU97</f>
        <v/>
      </c>
      <c r="AV34" s="13">
        <f>-Operations!AV96+Operations!AV97</f>
        <v/>
      </c>
      <c r="AW34" s="13">
        <f>-Operations!AW96+Operations!AW97</f>
        <v/>
      </c>
      <c r="AX34" s="13">
        <f>-Operations!AX96+Operations!AX97</f>
        <v/>
      </c>
      <c r="AY34" s="13">
        <f>-Operations!AY96+Operations!AY97</f>
        <v/>
      </c>
      <c r="AZ34" s="13">
        <f>-Operations!AZ96+Operations!AZ97</f>
        <v/>
      </c>
      <c r="BA34" s="13">
        <f>-Operations!BA96+Operations!BA97</f>
        <v/>
      </c>
      <c r="BB34" s="13">
        <f>-Operations!BB96+Operations!BB97</f>
        <v/>
      </c>
      <c r="BC34" s="13">
        <f>-Operations!BC96+Operations!BC97</f>
        <v/>
      </c>
      <c r="BD34" s="13">
        <f>-Operations!BD96+Operations!BD97</f>
        <v/>
      </c>
      <c r="BE34" s="13">
        <f>-Operations!BE96+Operations!BE97</f>
        <v/>
      </c>
      <c r="BF34" s="13">
        <f>-Operations!BF96+Operations!BF97</f>
        <v/>
      </c>
      <c r="BG34" s="13">
        <f>-Operations!BG96+Operations!BG97</f>
        <v/>
      </c>
      <c r="BH34" s="13">
        <f>-Operations!BH96+Operations!BH97</f>
        <v/>
      </c>
      <c r="BI34" s="13">
        <f>-Operations!BI96+Operations!BI97</f>
        <v/>
      </c>
      <c r="BJ34" s="13">
        <f>-Operations!BJ96+Operations!BJ97</f>
        <v/>
      </c>
      <c r="BK34" s="13">
        <f>-Operations!BK96+Operations!BK97</f>
        <v/>
      </c>
      <c r="BL34" s="13">
        <f>-Operations!BL96+Operations!BL97</f>
        <v/>
      </c>
      <c r="BM34" s="13">
        <f>-Operations!BM96+Operations!BM97</f>
        <v/>
      </c>
      <c r="BN34" s="13">
        <f>-Operations!BN96+Operations!BN97</f>
        <v/>
      </c>
    </row>
    <row r="35">
      <c r="D35" t="inlineStr">
        <is>
          <t>MMRA net: releases for outlays less contributions</t>
        </is>
      </c>
      <c r="E35" t="inlineStr">
        <is>
          <t>USD m</t>
        </is>
      </c>
      <c r="G35" s="13">
        <f>SUM(J35:BN35)</f>
        <v/>
      </c>
      <c r="J35" s="13">
        <f>Operations!J79-Reserves!J7</f>
        <v/>
      </c>
      <c r="K35" s="13">
        <f>Operations!K79-Reserves!K7</f>
        <v/>
      </c>
      <c r="L35" s="13">
        <f>Operations!L79-Reserves!L7</f>
        <v/>
      </c>
      <c r="M35" s="13">
        <f>Operations!M79-Reserves!M7</f>
        <v/>
      </c>
      <c r="N35" s="13">
        <f>Operations!N79-Reserves!N7</f>
        <v/>
      </c>
      <c r="O35" s="13">
        <f>Operations!O79-Reserves!O7</f>
        <v/>
      </c>
      <c r="P35" s="13">
        <f>Operations!P79-Reserves!P7</f>
        <v/>
      </c>
      <c r="Q35" s="13">
        <f>Operations!Q79-Reserves!Q7</f>
        <v/>
      </c>
      <c r="R35" s="13">
        <f>Operations!R79-Reserves!R7</f>
        <v/>
      </c>
      <c r="S35" s="13">
        <f>Operations!S79-Reserves!S7</f>
        <v/>
      </c>
      <c r="T35" s="13">
        <f>Operations!T79-Reserves!T7</f>
        <v/>
      </c>
      <c r="U35" s="13">
        <f>Operations!U79-Reserves!U7</f>
        <v/>
      </c>
      <c r="V35" s="13">
        <f>Operations!V79-Reserves!V7</f>
        <v/>
      </c>
      <c r="W35" s="13">
        <f>Operations!W79-Reserves!W7</f>
        <v/>
      </c>
      <c r="X35" s="13">
        <f>Operations!X79-Reserves!X7</f>
        <v/>
      </c>
      <c r="Y35" s="13">
        <f>Operations!Y79-Reserves!Y7</f>
        <v/>
      </c>
      <c r="Z35" s="13">
        <f>Operations!Z79-Reserves!Z7</f>
        <v/>
      </c>
      <c r="AA35" s="13">
        <f>Operations!AA79-Reserves!AA7</f>
        <v/>
      </c>
      <c r="AB35" s="13">
        <f>Operations!AB79-Reserves!AB7</f>
        <v/>
      </c>
      <c r="AC35" s="13">
        <f>Operations!AC79-Reserves!AC7</f>
        <v/>
      </c>
      <c r="AD35" s="13">
        <f>Operations!AD79-Reserves!AD7</f>
        <v/>
      </c>
      <c r="AE35" s="13">
        <f>Operations!AE79-Reserves!AE7</f>
        <v/>
      </c>
      <c r="AF35" s="13">
        <f>Operations!AF79-Reserves!AF7</f>
        <v/>
      </c>
      <c r="AG35" s="13">
        <f>Operations!AG79-Reserves!AG7</f>
        <v/>
      </c>
      <c r="AH35" s="13">
        <f>Operations!AH79-Reserves!AH7</f>
        <v/>
      </c>
      <c r="AI35" s="13">
        <f>Operations!AI79-Reserves!AI7</f>
        <v/>
      </c>
      <c r="AJ35" s="13">
        <f>Operations!AJ79-Reserves!AJ7</f>
        <v/>
      </c>
      <c r="AK35" s="13">
        <f>Operations!AK79-Reserves!AK7</f>
        <v/>
      </c>
      <c r="AL35" s="13">
        <f>Operations!AL79-Reserves!AL7</f>
        <v/>
      </c>
      <c r="AM35" s="13">
        <f>Operations!AM79-Reserves!AM7</f>
        <v/>
      </c>
      <c r="AN35" s="13">
        <f>Operations!AN79-Reserves!AN7</f>
        <v/>
      </c>
      <c r="AO35" s="13">
        <f>Operations!AO79-Reserves!AO7</f>
        <v/>
      </c>
      <c r="AP35" s="13">
        <f>Operations!AP79-Reserves!AP7</f>
        <v/>
      </c>
      <c r="AQ35" s="13">
        <f>Operations!AQ79-Reserves!AQ7</f>
        <v/>
      </c>
      <c r="AR35" s="13">
        <f>Operations!AR79-Reserves!AR7</f>
        <v/>
      </c>
      <c r="AS35" s="13">
        <f>Operations!AS79-Reserves!AS7</f>
        <v/>
      </c>
      <c r="AT35" s="13">
        <f>Operations!AT79-Reserves!AT7</f>
        <v/>
      </c>
      <c r="AU35" s="13">
        <f>Operations!AU79-Reserves!AU7</f>
        <v/>
      </c>
      <c r="AV35" s="13">
        <f>Operations!AV79-Reserves!AV7</f>
        <v/>
      </c>
      <c r="AW35" s="13">
        <f>Operations!AW79-Reserves!AW7</f>
        <v/>
      </c>
      <c r="AX35" s="13">
        <f>Operations!AX79-Reserves!AX7</f>
        <v/>
      </c>
      <c r="AY35" s="13">
        <f>Operations!AY79-Reserves!AY7</f>
        <v/>
      </c>
      <c r="AZ35" s="13">
        <f>Operations!AZ79-Reserves!AZ7</f>
        <v/>
      </c>
      <c r="BA35" s="13">
        <f>Operations!BA79-Reserves!BA7</f>
        <v/>
      </c>
      <c r="BB35" s="13">
        <f>Operations!BB79-Reserves!BB7</f>
        <v/>
      </c>
      <c r="BC35" s="13">
        <f>Operations!BC79-Reserves!BC7</f>
        <v/>
      </c>
      <c r="BD35" s="13">
        <f>Operations!BD79-Reserves!BD7</f>
        <v/>
      </c>
      <c r="BE35" s="13">
        <f>Operations!BE79-Reserves!BE7</f>
        <v/>
      </c>
      <c r="BF35" s="13">
        <f>Operations!BF79-Reserves!BF7</f>
        <v/>
      </c>
      <c r="BG35" s="13">
        <f>Operations!BG79-Reserves!BG7</f>
        <v/>
      </c>
      <c r="BH35" s="13">
        <f>Operations!BH79-Reserves!BH7</f>
        <v/>
      </c>
      <c r="BI35" s="13">
        <f>Operations!BI79-Reserves!BI7</f>
        <v/>
      </c>
      <c r="BJ35" s="13">
        <f>Operations!BJ79-Reserves!BJ7</f>
        <v/>
      </c>
      <c r="BK35" s="13">
        <f>Operations!BK79-Reserves!BK7</f>
        <v/>
      </c>
      <c r="BL35" s="13">
        <f>Operations!BL79-Reserves!BL7</f>
        <v/>
      </c>
      <c r="BM35" s="13">
        <f>Operations!BM79-Reserves!BM7</f>
        <v/>
      </c>
      <c r="BN35" s="13">
        <f>Operations!BN79-Reserves!BN7</f>
        <v/>
      </c>
    </row>
    <row r="36">
      <c r="D36" t="inlineStr">
        <is>
          <t>CFADS</t>
        </is>
      </c>
      <c r="E36" t="inlineStr">
        <is>
          <t>USD m</t>
        </is>
      </c>
      <c r="G36" s="13">
        <f>SUM(J36:BN36)</f>
        <v/>
      </c>
      <c r="J36" s="13">
        <f>J32+J33+J34+J35</f>
        <v/>
      </c>
      <c r="K36" s="13">
        <f>K32+K33+K34+K35</f>
        <v/>
      </c>
      <c r="L36" s="13">
        <f>L32+L33+L34+L35</f>
        <v/>
      </c>
      <c r="M36" s="13">
        <f>M32+M33+M34+M35</f>
        <v/>
      </c>
      <c r="N36" s="13">
        <f>N32+N33+N34+N35</f>
        <v/>
      </c>
      <c r="O36" s="13">
        <f>O32+O33+O34+O35</f>
        <v/>
      </c>
      <c r="P36" s="13">
        <f>P32+P33+P34+P35</f>
        <v/>
      </c>
      <c r="Q36" s="13">
        <f>Q32+Q33+Q34+Q35</f>
        <v/>
      </c>
      <c r="R36" s="13">
        <f>R32+R33+R34+R35</f>
        <v/>
      </c>
      <c r="S36" s="13">
        <f>S32+S33+S34+S35</f>
        <v/>
      </c>
      <c r="T36" s="13">
        <f>T32+T33+T34+T35</f>
        <v/>
      </c>
      <c r="U36" s="13">
        <f>U32+U33+U34+U35</f>
        <v/>
      </c>
      <c r="V36" s="13">
        <f>V32+V33+V34+V35</f>
        <v/>
      </c>
      <c r="W36" s="13">
        <f>W32+W33+W34+W35</f>
        <v/>
      </c>
      <c r="X36" s="13">
        <f>X32+X33+X34+X35</f>
        <v/>
      </c>
      <c r="Y36" s="13">
        <f>Y32+Y33+Y34+Y35</f>
        <v/>
      </c>
      <c r="Z36" s="13">
        <f>Z32+Z33+Z34+Z35</f>
        <v/>
      </c>
      <c r="AA36" s="13">
        <f>AA32+AA33+AA34+AA35</f>
        <v/>
      </c>
      <c r="AB36" s="13">
        <f>AB32+AB33+AB34+AB35</f>
        <v/>
      </c>
      <c r="AC36" s="13">
        <f>AC32+AC33+AC34+AC35</f>
        <v/>
      </c>
      <c r="AD36" s="13">
        <f>AD32+AD33+AD34+AD35</f>
        <v/>
      </c>
      <c r="AE36" s="13">
        <f>AE32+AE33+AE34+AE35</f>
        <v/>
      </c>
      <c r="AF36" s="13">
        <f>AF32+AF33+AF34+AF35</f>
        <v/>
      </c>
      <c r="AG36" s="13">
        <f>AG32+AG33+AG34+AG35</f>
        <v/>
      </c>
      <c r="AH36" s="13">
        <f>AH32+AH33+AH34+AH35</f>
        <v/>
      </c>
      <c r="AI36" s="13">
        <f>AI32+AI33+AI34+AI35</f>
        <v/>
      </c>
      <c r="AJ36" s="13">
        <f>AJ32+AJ33+AJ34+AJ35</f>
        <v/>
      </c>
      <c r="AK36" s="13">
        <f>AK32+AK33+AK34+AK35</f>
        <v/>
      </c>
      <c r="AL36" s="13">
        <f>AL32+AL33+AL34+AL35</f>
        <v/>
      </c>
      <c r="AM36" s="13">
        <f>AM32+AM33+AM34+AM35</f>
        <v/>
      </c>
      <c r="AN36" s="13">
        <f>AN32+AN33+AN34+AN35</f>
        <v/>
      </c>
      <c r="AO36" s="13">
        <f>AO32+AO33+AO34+AO35</f>
        <v/>
      </c>
      <c r="AP36" s="13">
        <f>AP32+AP33+AP34+AP35</f>
        <v/>
      </c>
      <c r="AQ36" s="13">
        <f>AQ32+AQ33+AQ34+AQ35</f>
        <v/>
      </c>
      <c r="AR36" s="13">
        <f>AR32+AR33+AR34+AR35</f>
        <v/>
      </c>
      <c r="AS36" s="13">
        <f>AS32+AS33+AS34+AS35</f>
        <v/>
      </c>
      <c r="AT36" s="13">
        <f>AT32+AT33+AT34+AT35</f>
        <v/>
      </c>
      <c r="AU36" s="13">
        <f>AU32+AU33+AU34+AU35</f>
        <v/>
      </c>
      <c r="AV36" s="13">
        <f>AV32+AV33+AV34+AV35</f>
        <v/>
      </c>
      <c r="AW36" s="13">
        <f>AW32+AW33+AW34+AW35</f>
        <v/>
      </c>
      <c r="AX36" s="13">
        <f>AX32+AX33+AX34+AX35</f>
        <v/>
      </c>
      <c r="AY36" s="13">
        <f>AY32+AY33+AY34+AY35</f>
        <v/>
      </c>
      <c r="AZ36" s="13">
        <f>AZ32+AZ33+AZ34+AZ35</f>
        <v/>
      </c>
      <c r="BA36" s="13">
        <f>BA32+BA33+BA34+BA35</f>
        <v/>
      </c>
      <c r="BB36" s="13">
        <f>BB32+BB33+BB34+BB35</f>
        <v/>
      </c>
      <c r="BC36" s="13">
        <f>BC32+BC33+BC34+BC35</f>
        <v/>
      </c>
      <c r="BD36" s="13">
        <f>BD32+BD33+BD34+BD35</f>
        <v/>
      </c>
      <c r="BE36" s="13">
        <f>BE32+BE33+BE34+BE35</f>
        <v/>
      </c>
      <c r="BF36" s="13">
        <f>BF32+BF33+BF34+BF35</f>
        <v/>
      </c>
      <c r="BG36" s="13">
        <f>BG32+BG33+BG34+BG35</f>
        <v/>
      </c>
      <c r="BH36" s="13">
        <f>BH32+BH33+BH34+BH35</f>
        <v/>
      </c>
      <c r="BI36" s="13">
        <f>BI32+BI33+BI34+BI35</f>
        <v/>
      </c>
      <c r="BJ36" s="13">
        <f>BJ32+BJ33+BJ34+BJ35</f>
        <v/>
      </c>
      <c r="BK36" s="13">
        <f>BK32+BK33+BK34+BK35</f>
        <v/>
      </c>
      <c r="BL36" s="13">
        <f>BL32+BL33+BL34+BL35</f>
        <v/>
      </c>
      <c r="BM36" s="13">
        <f>BM32+BM33+BM34+BM35</f>
        <v/>
      </c>
      <c r="BN36" s="13">
        <f>BN32+BN33+BN34+BN35</f>
        <v/>
      </c>
    </row>
    <row r="37">
      <c r="D37" t="inlineStr">
        <is>
          <t>Senior debt service and fees</t>
        </is>
      </c>
      <c r="E37" t="inlineStr">
        <is>
          <t>USD m</t>
        </is>
      </c>
      <c r="G37" s="13">
        <f>SUM(J37:BN37)</f>
        <v/>
      </c>
      <c r="J37" s="13">
        <f>-(Debt!J114+Debt!J110)</f>
        <v/>
      </c>
      <c r="K37" s="13">
        <f>-(Debt!K114+Debt!K110)</f>
        <v/>
      </c>
      <c r="L37" s="13">
        <f>-(Debt!L114+Debt!L110)</f>
        <v/>
      </c>
      <c r="M37" s="13">
        <f>-(Debt!M114+Debt!M110)</f>
        <v/>
      </c>
      <c r="N37" s="13">
        <f>-(Debt!N114+Debt!N110)</f>
        <v/>
      </c>
      <c r="O37" s="13">
        <f>-(Debt!O114+Debt!O110)</f>
        <v/>
      </c>
      <c r="P37" s="13">
        <f>-(Debt!P114+Debt!P110)</f>
        <v/>
      </c>
      <c r="Q37" s="13">
        <f>-(Debt!Q114+Debt!Q110)</f>
        <v/>
      </c>
      <c r="R37" s="13">
        <f>-(Debt!R114+Debt!R110)</f>
        <v/>
      </c>
      <c r="S37" s="13">
        <f>-(Debt!S114+Debt!S110)</f>
        <v/>
      </c>
      <c r="T37" s="13">
        <f>-(Debt!T114+Debt!T110)</f>
        <v/>
      </c>
      <c r="U37" s="13">
        <f>-(Debt!U114+Debt!U110)</f>
        <v/>
      </c>
      <c r="V37" s="13">
        <f>-(Debt!V114+Debt!V110)</f>
        <v/>
      </c>
      <c r="W37" s="13">
        <f>-(Debt!W114+Debt!W110)</f>
        <v/>
      </c>
      <c r="X37" s="13">
        <f>-(Debt!X114+Debt!X110)</f>
        <v/>
      </c>
      <c r="Y37" s="13">
        <f>-(Debt!Y114+Debt!Y110)</f>
        <v/>
      </c>
      <c r="Z37" s="13">
        <f>-(Debt!Z114+Debt!Z110)</f>
        <v/>
      </c>
      <c r="AA37" s="13">
        <f>-(Debt!AA114+Debt!AA110)</f>
        <v/>
      </c>
      <c r="AB37" s="13">
        <f>-(Debt!AB114+Debt!AB110)</f>
        <v/>
      </c>
      <c r="AC37" s="13">
        <f>-(Debt!AC114+Debt!AC110)</f>
        <v/>
      </c>
      <c r="AD37" s="13">
        <f>-(Debt!AD114+Debt!AD110)</f>
        <v/>
      </c>
      <c r="AE37" s="13">
        <f>-(Debt!AE114+Debt!AE110)</f>
        <v/>
      </c>
      <c r="AF37" s="13">
        <f>-(Debt!AF114+Debt!AF110)</f>
        <v/>
      </c>
      <c r="AG37" s="13">
        <f>-(Debt!AG114+Debt!AG110)</f>
        <v/>
      </c>
      <c r="AH37" s="13">
        <f>-(Debt!AH114+Debt!AH110)</f>
        <v/>
      </c>
      <c r="AI37" s="13">
        <f>-(Debt!AI114+Debt!AI110)</f>
        <v/>
      </c>
      <c r="AJ37" s="13">
        <f>-(Debt!AJ114+Debt!AJ110)</f>
        <v/>
      </c>
      <c r="AK37" s="13">
        <f>-(Debt!AK114+Debt!AK110)</f>
        <v/>
      </c>
      <c r="AL37" s="13">
        <f>-(Debt!AL114+Debt!AL110)</f>
        <v/>
      </c>
      <c r="AM37" s="13">
        <f>-(Debt!AM114+Debt!AM110)</f>
        <v/>
      </c>
      <c r="AN37" s="13">
        <f>-(Debt!AN114+Debt!AN110)</f>
        <v/>
      </c>
      <c r="AO37" s="13">
        <f>-(Debt!AO114+Debt!AO110)</f>
        <v/>
      </c>
      <c r="AP37" s="13">
        <f>-(Debt!AP114+Debt!AP110)</f>
        <v/>
      </c>
      <c r="AQ37" s="13">
        <f>-(Debt!AQ114+Debt!AQ110)</f>
        <v/>
      </c>
      <c r="AR37" s="13">
        <f>-(Debt!AR114+Debt!AR110)</f>
        <v/>
      </c>
      <c r="AS37" s="13">
        <f>-(Debt!AS114+Debt!AS110)</f>
        <v/>
      </c>
      <c r="AT37" s="13">
        <f>-(Debt!AT114+Debt!AT110)</f>
        <v/>
      </c>
      <c r="AU37" s="13">
        <f>-(Debt!AU114+Debt!AU110)</f>
        <v/>
      </c>
      <c r="AV37" s="13">
        <f>-(Debt!AV114+Debt!AV110)</f>
        <v/>
      </c>
      <c r="AW37" s="13">
        <f>-(Debt!AW114+Debt!AW110)</f>
        <v/>
      </c>
      <c r="AX37" s="13">
        <f>-(Debt!AX114+Debt!AX110)</f>
        <v/>
      </c>
      <c r="AY37" s="13">
        <f>-(Debt!AY114+Debt!AY110)</f>
        <v/>
      </c>
      <c r="AZ37" s="13">
        <f>-(Debt!AZ114+Debt!AZ110)</f>
        <v/>
      </c>
      <c r="BA37" s="13">
        <f>-(Debt!BA114+Debt!BA110)</f>
        <v/>
      </c>
      <c r="BB37" s="13">
        <f>-(Debt!BB114+Debt!BB110)</f>
        <v/>
      </c>
      <c r="BC37" s="13">
        <f>-(Debt!BC114+Debt!BC110)</f>
        <v/>
      </c>
      <c r="BD37" s="13">
        <f>-(Debt!BD114+Debt!BD110)</f>
        <v/>
      </c>
      <c r="BE37" s="13">
        <f>-(Debt!BE114+Debt!BE110)</f>
        <v/>
      </c>
      <c r="BF37" s="13">
        <f>-(Debt!BF114+Debt!BF110)</f>
        <v/>
      </c>
      <c r="BG37" s="13">
        <f>-(Debt!BG114+Debt!BG110)</f>
        <v/>
      </c>
      <c r="BH37" s="13">
        <f>-(Debt!BH114+Debt!BH110)</f>
        <v/>
      </c>
      <c r="BI37" s="13">
        <f>-(Debt!BI114+Debt!BI110)</f>
        <v/>
      </c>
      <c r="BJ37" s="13">
        <f>-(Debt!BJ114+Debt!BJ110)</f>
        <v/>
      </c>
      <c r="BK37" s="13">
        <f>-(Debt!BK114+Debt!BK110)</f>
        <v/>
      </c>
      <c r="BL37" s="13">
        <f>-(Debt!BL114+Debt!BL110)</f>
        <v/>
      </c>
      <c r="BM37" s="13">
        <f>-(Debt!BM114+Debt!BM110)</f>
        <v/>
      </c>
      <c r="BN37" s="13">
        <f>-(Debt!BN114+Debt!BN110)</f>
        <v/>
      </c>
    </row>
    <row r="38">
      <c r="D38" t="inlineStr">
        <is>
          <t>Performance LDs received (Compensation Account)</t>
        </is>
      </c>
      <c r="E38" t="inlineStr">
        <is>
          <t>USD m</t>
        </is>
      </c>
      <c r="G38" s="13">
        <f>SUM(J38:BN38)</f>
        <v/>
      </c>
      <c r="J38" s="13">
        <f>Reserves!J17-Reserves!I17+Debt!J28+Debt!J42+Debt!J56+Debt!J70+Debt!J84</f>
        <v/>
      </c>
      <c r="K38" s="13">
        <f>Reserves!K17-Reserves!J17+Debt!K28+Debt!K42+Debt!K56+Debt!K70+Debt!K84</f>
        <v/>
      </c>
      <c r="L38" s="13">
        <f>Reserves!L17-Reserves!K17+Debt!L28+Debt!L42+Debt!L56+Debt!L70+Debt!L84</f>
        <v/>
      </c>
      <c r="M38" s="13">
        <f>Reserves!M17-Reserves!L17+Debt!M28+Debt!M42+Debt!M56+Debt!M70+Debt!M84</f>
        <v/>
      </c>
      <c r="N38" s="13">
        <f>Reserves!N17-Reserves!M17+Debt!N28+Debt!N42+Debt!N56+Debt!N70+Debt!N84</f>
        <v/>
      </c>
      <c r="O38" s="13">
        <f>Reserves!O17-Reserves!N17+Debt!O28+Debt!O42+Debt!O56+Debt!O70+Debt!O84</f>
        <v/>
      </c>
      <c r="P38" s="13">
        <f>Reserves!P17-Reserves!O17+Debt!P28+Debt!P42+Debt!P56+Debt!P70+Debt!P84</f>
        <v/>
      </c>
      <c r="Q38" s="13">
        <f>Reserves!Q17-Reserves!P17+Debt!Q28+Debt!Q42+Debt!Q56+Debt!Q70+Debt!Q84</f>
        <v/>
      </c>
      <c r="R38" s="13">
        <f>Reserves!R17-Reserves!Q17+Debt!R28+Debt!R42+Debt!R56+Debt!R70+Debt!R84</f>
        <v/>
      </c>
      <c r="S38" s="13">
        <f>Reserves!S17-Reserves!R17+Debt!S28+Debt!S42+Debt!S56+Debt!S70+Debt!S84</f>
        <v/>
      </c>
      <c r="T38" s="13">
        <f>Reserves!T17-Reserves!S17+Debt!T28+Debt!T42+Debt!T56+Debt!T70+Debt!T84</f>
        <v/>
      </c>
      <c r="U38" s="13">
        <f>Reserves!U17-Reserves!T17+Debt!U28+Debt!U42+Debt!U56+Debt!U70+Debt!U84</f>
        <v/>
      </c>
      <c r="V38" s="13">
        <f>Reserves!V17-Reserves!U17+Debt!V28+Debt!V42+Debt!V56+Debt!V70+Debt!V84</f>
        <v/>
      </c>
      <c r="W38" s="13">
        <f>Reserves!W17-Reserves!V17+Debt!W28+Debt!W42+Debt!W56+Debt!W70+Debt!W84</f>
        <v/>
      </c>
      <c r="X38" s="13">
        <f>Reserves!X17-Reserves!W17+Debt!X28+Debt!X42+Debt!X56+Debt!X70+Debt!X84</f>
        <v/>
      </c>
      <c r="Y38" s="13">
        <f>Reserves!Y17-Reserves!X17+Debt!Y28+Debt!Y42+Debt!Y56+Debt!Y70+Debt!Y84</f>
        <v/>
      </c>
      <c r="Z38" s="13">
        <f>Reserves!Z17-Reserves!Y17+Debt!Z28+Debt!Z42+Debt!Z56+Debt!Z70+Debt!Z84</f>
        <v/>
      </c>
      <c r="AA38" s="13">
        <f>Reserves!AA17-Reserves!Z17+Debt!AA28+Debt!AA42+Debt!AA56+Debt!AA70+Debt!AA84</f>
        <v/>
      </c>
      <c r="AB38" s="13">
        <f>Reserves!AB17-Reserves!AA17+Debt!AB28+Debt!AB42+Debt!AB56+Debt!AB70+Debt!AB84</f>
        <v/>
      </c>
      <c r="AC38" s="13">
        <f>Reserves!AC17-Reserves!AB17+Debt!AC28+Debt!AC42+Debt!AC56+Debt!AC70+Debt!AC84</f>
        <v/>
      </c>
      <c r="AD38" s="13">
        <f>Reserves!AD17-Reserves!AC17+Debt!AD28+Debt!AD42+Debt!AD56+Debt!AD70+Debt!AD84</f>
        <v/>
      </c>
      <c r="AE38" s="13">
        <f>Reserves!AE17-Reserves!AD17+Debt!AE28+Debt!AE42+Debt!AE56+Debt!AE70+Debt!AE84</f>
        <v/>
      </c>
      <c r="AF38" s="13">
        <f>Reserves!AF17-Reserves!AE17+Debt!AF28+Debt!AF42+Debt!AF56+Debt!AF70+Debt!AF84</f>
        <v/>
      </c>
      <c r="AG38" s="13">
        <f>Reserves!AG17-Reserves!AF17+Debt!AG28+Debt!AG42+Debt!AG56+Debt!AG70+Debt!AG84</f>
        <v/>
      </c>
      <c r="AH38" s="13">
        <f>Reserves!AH17-Reserves!AG17+Debt!AH28+Debt!AH42+Debt!AH56+Debt!AH70+Debt!AH84</f>
        <v/>
      </c>
      <c r="AI38" s="13">
        <f>Reserves!AI17-Reserves!AH17+Debt!AI28+Debt!AI42+Debt!AI56+Debt!AI70+Debt!AI84</f>
        <v/>
      </c>
      <c r="AJ38" s="13">
        <f>Reserves!AJ17-Reserves!AI17+Debt!AJ28+Debt!AJ42+Debt!AJ56+Debt!AJ70+Debt!AJ84</f>
        <v/>
      </c>
      <c r="AK38" s="13">
        <f>Reserves!AK17-Reserves!AJ17+Debt!AK28+Debt!AK42+Debt!AK56+Debt!AK70+Debt!AK84</f>
        <v/>
      </c>
      <c r="AL38" s="13">
        <f>Reserves!AL17-Reserves!AK17+Debt!AL28+Debt!AL42+Debt!AL56+Debt!AL70+Debt!AL84</f>
        <v/>
      </c>
      <c r="AM38" s="13">
        <f>Reserves!AM17-Reserves!AL17+Debt!AM28+Debt!AM42+Debt!AM56+Debt!AM70+Debt!AM84</f>
        <v/>
      </c>
      <c r="AN38" s="13">
        <f>Reserves!AN17-Reserves!AM17+Debt!AN28+Debt!AN42+Debt!AN56+Debt!AN70+Debt!AN84</f>
        <v/>
      </c>
      <c r="AO38" s="13">
        <f>Reserves!AO17-Reserves!AN17+Debt!AO28+Debt!AO42+Debt!AO56+Debt!AO70+Debt!AO84</f>
        <v/>
      </c>
      <c r="AP38" s="13">
        <f>Reserves!AP17-Reserves!AO17+Debt!AP28+Debt!AP42+Debt!AP56+Debt!AP70+Debt!AP84</f>
        <v/>
      </c>
      <c r="AQ38" s="13">
        <f>Reserves!AQ17-Reserves!AP17+Debt!AQ28+Debt!AQ42+Debt!AQ56+Debt!AQ70+Debt!AQ84</f>
        <v/>
      </c>
      <c r="AR38" s="13">
        <f>Reserves!AR17-Reserves!AQ17+Debt!AR28+Debt!AR42+Debt!AR56+Debt!AR70+Debt!AR84</f>
        <v/>
      </c>
      <c r="AS38" s="13">
        <f>Reserves!AS17-Reserves!AR17+Debt!AS28+Debt!AS42+Debt!AS56+Debt!AS70+Debt!AS84</f>
        <v/>
      </c>
      <c r="AT38" s="13">
        <f>Reserves!AT17-Reserves!AS17+Debt!AT28+Debt!AT42+Debt!AT56+Debt!AT70+Debt!AT84</f>
        <v/>
      </c>
      <c r="AU38" s="13">
        <f>Reserves!AU17-Reserves!AT17+Debt!AU28+Debt!AU42+Debt!AU56+Debt!AU70+Debt!AU84</f>
        <v/>
      </c>
      <c r="AV38" s="13">
        <f>Reserves!AV17-Reserves!AU17+Debt!AV28+Debt!AV42+Debt!AV56+Debt!AV70+Debt!AV84</f>
        <v/>
      </c>
      <c r="AW38" s="13">
        <f>Reserves!AW17-Reserves!AV17+Debt!AW28+Debt!AW42+Debt!AW56+Debt!AW70+Debt!AW84</f>
        <v/>
      </c>
      <c r="AX38" s="13">
        <f>Reserves!AX17-Reserves!AW17+Debt!AX28+Debt!AX42+Debt!AX56+Debt!AX70+Debt!AX84</f>
        <v/>
      </c>
      <c r="AY38" s="13">
        <f>Reserves!AY17-Reserves!AX17+Debt!AY28+Debt!AY42+Debt!AY56+Debt!AY70+Debt!AY84</f>
        <v/>
      </c>
      <c r="AZ38" s="13">
        <f>Reserves!AZ17-Reserves!AY17+Debt!AZ28+Debt!AZ42+Debt!AZ56+Debt!AZ70+Debt!AZ84</f>
        <v/>
      </c>
      <c r="BA38" s="13">
        <f>Reserves!BA17-Reserves!AZ17+Debt!BA28+Debt!BA42+Debt!BA56+Debt!BA70+Debt!BA84</f>
        <v/>
      </c>
      <c r="BB38" s="13">
        <f>Reserves!BB17-Reserves!BA17+Debt!BB28+Debt!BB42+Debt!BB56+Debt!BB70+Debt!BB84</f>
        <v/>
      </c>
      <c r="BC38" s="13">
        <f>Reserves!BC17-Reserves!BB17+Debt!BC28+Debt!BC42+Debt!BC56+Debt!BC70+Debt!BC84</f>
        <v/>
      </c>
      <c r="BD38" s="13">
        <f>Reserves!BD17-Reserves!BC17+Debt!BD28+Debt!BD42+Debt!BD56+Debt!BD70+Debt!BD84</f>
        <v/>
      </c>
      <c r="BE38" s="13">
        <f>Reserves!BE17-Reserves!BD17+Debt!BE28+Debt!BE42+Debt!BE56+Debt!BE70+Debt!BE84</f>
        <v/>
      </c>
      <c r="BF38" s="13">
        <f>Reserves!BF17-Reserves!BE17+Debt!BF28+Debt!BF42+Debt!BF56+Debt!BF70+Debt!BF84</f>
        <v/>
      </c>
      <c r="BG38" s="13">
        <f>Reserves!BG17-Reserves!BF17+Debt!BG28+Debt!BG42+Debt!BG56+Debt!BG70+Debt!BG84</f>
        <v/>
      </c>
      <c r="BH38" s="13">
        <f>Reserves!BH17-Reserves!BG17+Debt!BH28+Debt!BH42+Debt!BH56+Debt!BH70+Debt!BH84</f>
        <v/>
      </c>
      <c r="BI38" s="13">
        <f>Reserves!BI17-Reserves!BH17+Debt!BI28+Debt!BI42+Debt!BI56+Debt!BI70+Debt!BI84</f>
        <v/>
      </c>
      <c r="BJ38" s="13">
        <f>Reserves!BJ17-Reserves!BI17+Debt!BJ28+Debt!BJ42+Debt!BJ56+Debt!BJ70+Debt!BJ84</f>
        <v/>
      </c>
      <c r="BK38" s="13">
        <f>Reserves!BK17-Reserves!BJ17+Debt!BK28+Debt!BK42+Debt!BK56+Debt!BK70+Debt!BK84</f>
        <v/>
      </c>
      <c r="BL38" s="13">
        <f>Reserves!BL17-Reserves!BK17+Debt!BL28+Debt!BL42+Debt!BL56+Debt!BL70+Debt!BL84</f>
        <v/>
      </c>
      <c r="BM38" s="13">
        <f>Reserves!BM17-Reserves!BL17+Debt!BM28+Debt!BM42+Debt!BM56+Debt!BM70+Debt!BM84</f>
        <v/>
      </c>
      <c r="BN38" s="13">
        <f>Reserves!BN17-Reserves!BM17+Debt!BN28+Debt!BN42+Debt!BN56+Debt!BN70+Debt!BN84</f>
        <v/>
      </c>
    </row>
    <row r="39">
      <c r="D39" t="inlineStr">
        <is>
          <t>Performance LD prepayment of senior debt</t>
        </is>
      </c>
      <c r="E39" t="inlineStr">
        <is>
          <t>USD m</t>
        </is>
      </c>
      <c r="G39" s="13">
        <f>SUM(J39:BN39)</f>
        <v/>
      </c>
      <c r="J39" s="13">
        <f>-(Debt!J28+Debt!J42+Debt!J56+Debt!J70+Debt!J84)</f>
        <v/>
      </c>
      <c r="K39" s="13">
        <f>-(Debt!K28+Debt!K42+Debt!K56+Debt!K70+Debt!K84)</f>
        <v/>
      </c>
      <c r="L39" s="13">
        <f>-(Debt!L28+Debt!L42+Debt!L56+Debt!L70+Debt!L84)</f>
        <v/>
      </c>
      <c r="M39" s="13">
        <f>-(Debt!M28+Debt!M42+Debt!M56+Debt!M70+Debt!M84)</f>
        <v/>
      </c>
      <c r="N39" s="13">
        <f>-(Debt!N28+Debt!N42+Debt!N56+Debt!N70+Debt!N84)</f>
        <v/>
      </c>
      <c r="O39" s="13">
        <f>-(Debt!O28+Debt!O42+Debt!O56+Debt!O70+Debt!O84)</f>
        <v/>
      </c>
      <c r="P39" s="13">
        <f>-(Debt!P28+Debt!P42+Debt!P56+Debt!P70+Debt!P84)</f>
        <v/>
      </c>
      <c r="Q39" s="13">
        <f>-(Debt!Q28+Debt!Q42+Debt!Q56+Debt!Q70+Debt!Q84)</f>
        <v/>
      </c>
      <c r="R39" s="13">
        <f>-(Debt!R28+Debt!R42+Debt!R56+Debt!R70+Debt!R84)</f>
        <v/>
      </c>
      <c r="S39" s="13">
        <f>-(Debt!S28+Debt!S42+Debt!S56+Debt!S70+Debt!S84)</f>
        <v/>
      </c>
      <c r="T39" s="13">
        <f>-(Debt!T28+Debt!T42+Debt!T56+Debt!T70+Debt!T84)</f>
        <v/>
      </c>
      <c r="U39" s="13">
        <f>-(Debt!U28+Debt!U42+Debt!U56+Debt!U70+Debt!U84)</f>
        <v/>
      </c>
      <c r="V39" s="13">
        <f>-(Debt!V28+Debt!V42+Debt!V56+Debt!V70+Debt!V84)</f>
        <v/>
      </c>
      <c r="W39" s="13">
        <f>-(Debt!W28+Debt!W42+Debt!W56+Debt!W70+Debt!W84)</f>
        <v/>
      </c>
      <c r="X39" s="13">
        <f>-(Debt!X28+Debt!X42+Debt!X56+Debt!X70+Debt!X84)</f>
        <v/>
      </c>
      <c r="Y39" s="13">
        <f>-(Debt!Y28+Debt!Y42+Debt!Y56+Debt!Y70+Debt!Y84)</f>
        <v/>
      </c>
      <c r="Z39" s="13">
        <f>-(Debt!Z28+Debt!Z42+Debt!Z56+Debt!Z70+Debt!Z84)</f>
        <v/>
      </c>
      <c r="AA39" s="13">
        <f>-(Debt!AA28+Debt!AA42+Debt!AA56+Debt!AA70+Debt!AA84)</f>
        <v/>
      </c>
      <c r="AB39" s="13">
        <f>-(Debt!AB28+Debt!AB42+Debt!AB56+Debt!AB70+Debt!AB84)</f>
        <v/>
      </c>
      <c r="AC39" s="13">
        <f>-(Debt!AC28+Debt!AC42+Debt!AC56+Debt!AC70+Debt!AC84)</f>
        <v/>
      </c>
      <c r="AD39" s="13">
        <f>-(Debt!AD28+Debt!AD42+Debt!AD56+Debt!AD70+Debt!AD84)</f>
        <v/>
      </c>
      <c r="AE39" s="13">
        <f>-(Debt!AE28+Debt!AE42+Debt!AE56+Debt!AE70+Debt!AE84)</f>
        <v/>
      </c>
      <c r="AF39" s="13">
        <f>-(Debt!AF28+Debt!AF42+Debt!AF56+Debt!AF70+Debt!AF84)</f>
        <v/>
      </c>
      <c r="AG39" s="13">
        <f>-(Debt!AG28+Debt!AG42+Debt!AG56+Debt!AG70+Debt!AG84)</f>
        <v/>
      </c>
      <c r="AH39" s="13">
        <f>-(Debt!AH28+Debt!AH42+Debt!AH56+Debt!AH70+Debt!AH84)</f>
        <v/>
      </c>
      <c r="AI39" s="13">
        <f>-(Debt!AI28+Debt!AI42+Debt!AI56+Debt!AI70+Debt!AI84)</f>
        <v/>
      </c>
      <c r="AJ39" s="13">
        <f>-(Debt!AJ28+Debt!AJ42+Debt!AJ56+Debt!AJ70+Debt!AJ84)</f>
        <v/>
      </c>
      <c r="AK39" s="13">
        <f>-(Debt!AK28+Debt!AK42+Debt!AK56+Debt!AK70+Debt!AK84)</f>
        <v/>
      </c>
      <c r="AL39" s="13">
        <f>-(Debt!AL28+Debt!AL42+Debt!AL56+Debt!AL70+Debt!AL84)</f>
        <v/>
      </c>
      <c r="AM39" s="13">
        <f>-(Debt!AM28+Debt!AM42+Debt!AM56+Debt!AM70+Debt!AM84)</f>
        <v/>
      </c>
      <c r="AN39" s="13">
        <f>-(Debt!AN28+Debt!AN42+Debt!AN56+Debt!AN70+Debt!AN84)</f>
        <v/>
      </c>
      <c r="AO39" s="13">
        <f>-(Debt!AO28+Debt!AO42+Debt!AO56+Debt!AO70+Debt!AO84)</f>
        <v/>
      </c>
      <c r="AP39" s="13">
        <f>-(Debt!AP28+Debt!AP42+Debt!AP56+Debt!AP70+Debt!AP84)</f>
        <v/>
      </c>
      <c r="AQ39" s="13">
        <f>-(Debt!AQ28+Debt!AQ42+Debt!AQ56+Debt!AQ70+Debt!AQ84)</f>
        <v/>
      </c>
      <c r="AR39" s="13">
        <f>-(Debt!AR28+Debt!AR42+Debt!AR56+Debt!AR70+Debt!AR84)</f>
        <v/>
      </c>
      <c r="AS39" s="13">
        <f>-(Debt!AS28+Debt!AS42+Debt!AS56+Debt!AS70+Debt!AS84)</f>
        <v/>
      </c>
      <c r="AT39" s="13">
        <f>-(Debt!AT28+Debt!AT42+Debt!AT56+Debt!AT70+Debt!AT84)</f>
        <v/>
      </c>
      <c r="AU39" s="13">
        <f>-(Debt!AU28+Debt!AU42+Debt!AU56+Debt!AU70+Debt!AU84)</f>
        <v/>
      </c>
      <c r="AV39" s="13">
        <f>-(Debt!AV28+Debt!AV42+Debt!AV56+Debt!AV70+Debt!AV84)</f>
        <v/>
      </c>
      <c r="AW39" s="13">
        <f>-(Debt!AW28+Debt!AW42+Debt!AW56+Debt!AW70+Debt!AW84)</f>
        <v/>
      </c>
      <c r="AX39" s="13">
        <f>-(Debt!AX28+Debt!AX42+Debt!AX56+Debt!AX70+Debt!AX84)</f>
        <v/>
      </c>
      <c r="AY39" s="13">
        <f>-(Debt!AY28+Debt!AY42+Debt!AY56+Debt!AY70+Debt!AY84)</f>
        <v/>
      </c>
      <c r="AZ39" s="13">
        <f>-(Debt!AZ28+Debt!AZ42+Debt!AZ56+Debt!AZ70+Debt!AZ84)</f>
        <v/>
      </c>
      <c r="BA39" s="13">
        <f>-(Debt!BA28+Debt!BA42+Debt!BA56+Debt!BA70+Debt!BA84)</f>
        <v/>
      </c>
      <c r="BB39" s="13">
        <f>-(Debt!BB28+Debt!BB42+Debt!BB56+Debt!BB70+Debt!BB84)</f>
        <v/>
      </c>
      <c r="BC39" s="13">
        <f>-(Debt!BC28+Debt!BC42+Debt!BC56+Debt!BC70+Debt!BC84)</f>
        <v/>
      </c>
      <c r="BD39" s="13">
        <f>-(Debt!BD28+Debt!BD42+Debt!BD56+Debt!BD70+Debt!BD84)</f>
        <v/>
      </c>
      <c r="BE39" s="13">
        <f>-(Debt!BE28+Debt!BE42+Debt!BE56+Debt!BE70+Debt!BE84)</f>
        <v/>
      </c>
      <c r="BF39" s="13">
        <f>-(Debt!BF28+Debt!BF42+Debt!BF56+Debt!BF70+Debt!BF84)</f>
        <v/>
      </c>
      <c r="BG39" s="13">
        <f>-(Debt!BG28+Debt!BG42+Debt!BG56+Debt!BG70+Debt!BG84)</f>
        <v/>
      </c>
      <c r="BH39" s="13">
        <f>-(Debt!BH28+Debt!BH42+Debt!BH56+Debt!BH70+Debt!BH84)</f>
        <v/>
      </c>
      <c r="BI39" s="13">
        <f>-(Debt!BI28+Debt!BI42+Debt!BI56+Debt!BI70+Debt!BI84)</f>
        <v/>
      </c>
      <c r="BJ39" s="13">
        <f>-(Debt!BJ28+Debt!BJ42+Debt!BJ56+Debt!BJ70+Debt!BJ84)</f>
        <v/>
      </c>
      <c r="BK39" s="13">
        <f>-(Debt!BK28+Debt!BK42+Debt!BK56+Debt!BK70+Debt!BK84)</f>
        <v/>
      </c>
      <c r="BL39" s="13">
        <f>-(Debt!BL28+Debt!BL42+Debt!BL56+Debt!BL70+Debt!BL84)</f>
        <v/>
      </c>
      <c r="BM39" s="13">
        <f>-(Debt!BM28+Debt!BM42+Debt!BM56+Debt!BM70+Debt!BM84)</f>
        <v/>
      </c>
      <c r="BN39" s="13">
        <f>-(Debt!BN28+Debt!BN42+Debt!BN56+Debt!BN70+Debt!BN84)</f>
        <v/>
      </c>
    </row>
    <row r="40">
      <c r="D40" t="inlineStr">
        <is>
          <t>Bond issued, net of refinancing costs</t>
        </is>
      </c>
      <c r="E40" t="inlineStr">
        <is>
          <t>USD m</t>
        </is>
      </c>
      <c r="G40" s="13">
        <f>SUM(J40:BN40)</f>
        <v/>
      </c>
      <c r="J40" s="13">
        <f>Debt!J100-Debt!J104</f>
        <v/>
      </c>
      <c r="K40" s="13">
        <f>Debt!K100-Debt!K104</f>
        <v/>
      </c>
      <c r="L40" s="13">
        <f>Debt!L100-Debt!L104</f>
        <v/>
      </c>
      <c r="M40" s="13">
        <f>Debt!M100-Debt!M104</f>
        <v/>
      </c>
      <c r="N40" s="13">
        <f>Debt!N100-Debt!N104</f>
        <v/>
      </c>
      <c r="O40" s="13">
        <f>Debt!O100-Debt!O104</f>
        <v/>
      </c>
      <c r="P40" s="13">
        <f>Debt!P100-Debt!P104</f>
        <v/>
      </c>
      <c r="Q40" s="13">
        <f>Debt!Q100-Debt!Q104</f>
        <v/>
      </c>
      <c r="R40" s="13">
        <f>Debt!R100-Debt!R104</f>
        <v/>
      </c>
      <c r="S40" s="13">
        <f>Debt!S100-Debt!S104</f>
        <v/>
      </c>
      <c r="T40" s="13">
        <f>Debt!T100-Debt!T104</f>
        <v/>
      </c>
      <c r="U40" s="13">
        <f>Debt!U100-Debt!U104</f>
        <v/>
      </c>
      <c r="V40" s="13">
        <f>Debt!V100-Debt!V104</f>
        <v/>
      </c>
      <c r="W40" s="13">
        <f>Debt!W100-Debt!W104</f>
        <v/>
      </c>
      <c r="X40" s="13">
        <f>Debt!X100-Debt!X104</f>
        <v/>
      </c>
      <c r="Y40" s="13">
        <f>Debt!Y100-Debt!Y104</f>
        <v/>
      </c>
      <c r="Z40" s="13">
        <f>Debt!Z100-Debt!Z104</f>
        <v/>
      </c>
      <c r="AA40" s="13">
        <f>Debt!AA100-Debt!AA104</f>
        <v/>
      </c>
      <c r="AB40" s="13">
        <f>Debt!AB100-Debt!AB104</f>
        <v/>
      </c>
      <c r="AC40" s="13">
        <f>Debt!AC100-Debt!AC104</f>
        <v/>
      </c>
      <c r="AD40" s="13">
        <f>Debt!AD100-Debt!AD104</f>
        <v/>
      </c>
      <c r="AE40" s="13">
        <f>Debt!AE100-Debt!AE104</f>
        <v/>
      </c>
      <c r="AF40" s="13">
        <f>Debt!AF100-Debt!AF104</f>
        <v/>
      </c>
      <c r="AG40" s="13">
        <f>Debt!AG100-Debt!AG104</f>
        <v/>
      </c>
      <c r="AH40" s="13">
        <f>Debt!AH100-Debt!AH104</f>
        <v/>
      </c>
      <c r="AI40" s="13">
        <f>Debt!AI100-Debt!AI104</f>
        <v/>
      </c>
      <c r="AJ40" s="13">
        <f>Debt!AJ100-Debt!AJ104</f>
        <v/>
      </c>
      <c r="AK40" s="13">
        <f>Debt!AK100-Debt!AK104</f>
        <v/>
      </c>
      <c r="AL40" s="13">
        <f>Debt!AL100-Debt!AL104</f>
        <v/>
      </c>
      <c r="AM40" s="13">
        <f>Debt!AM100-Debt!AM104</f>
        <v/>
      </c>
      <c r="AN40" s="13">
        <f>Debt!AN100-Debt!AN104</f>
        <v/>
      </c>
      <c r="AO40" s="13">
        <f>Debt!AO100-Debt!AO104</f>
        <v/>
      </c>
      <c r="AP40" s="13">
        <f>Debt!AP100-Debt!AP104</f>
        <v/>
      </c>
      <c r="AQ40" s="13">
        <f>Debt!AQ100-Debt!AQ104</f>
        <v/>
      </c>
      <c r="AR40" s="13">
        <f>Debt!AR100-Debt!AR104</f>
        <v/>
      </c>
      <c r="AS40" s="13">
        <f>Debt!AS100-Debt!AS104</f>
        <v/>
      </c>
      <c r="AT40" s="13">
        <f>Debt!AT100-Debt!AT104</f>
        <v/>
      </c>
      <c r="AU40" s="13">
        <f>Debt!AU100-Debt!AU104</f>
        <v/>
      </c>
      <c r="AV40" s="13">
        <f>Debt!AV100-Debt!AV104</f>
        <v/>
      </c>
      <c r="AW40" s="13">
        <f>Debt!AW100-Debt!AW104</f>
        <v/>
      </c>
      <c r="AX40" s="13">
        <f>Debt!AX100-Debt!AX104</f>
        <v/>
      </c>
      <c r="AY40" s="13">
        <f>Debt!AY100-Debt!AY104</f>
        <v/>
      </c>
      <c r="AZ40" s="13">
        <f>Debt!AZ100-Debt!AZ104</f>
        <v/>
      </c>
      <c r="BA40" s="13">
        <f>Debt!BA100-Debt!BA104</f>
        <v/>
      </c>
      <c r="BB40" s="13">
        <f>Debt!BB100-Debt!BB104</f>
        <v/>
      </c>
      <c r="BC40" s="13">
        <f>Debt!BC100-Debt!BC104</f>
        <v/>
      </c>
      <c r="BD40" s="13">
        <f>Debt!BD100-Debt!BD104</f>
        <v/>
      </c>
      <c r="BE40" s="13">
        <f>Debt!BE100-Debt!BE104</f>
        <v/>
      </c>
      <c r="BF40" s="13">
        <f>Debt!BF100-Debt!BF104</f>
        <v/>
      </c>
      <c r="BG40" s="13">
        <f>Debt!BG100-Debt!BG104</f>
        <v/>
      </c>
      <c r="BH40" s="13">
        <f>Debt!BH100-Debt!BH104</f>
        <v/>
      </c>
      <c r="BI40" s="13">
        <f>Debt!BI100-Debt!BI104</f>
        <v/>
      </c>
      <c r="BJ40" s="13">
        <f>Debt!BJ100-Debt!BJ104</f>
        <v/>
      </c>
      <c r="BK40" s="13">
        <f>Debt!BK100-Debt!BK104</f>
        <v/>
      </c>
      <c r="BL40" s="13">
        <f>Debt!BL100-Debt!BL104</f>
        <v/>
      </c>
      <c r="BM40" s="13">
        <f>Debt!BM100-Debt!BM104</f>
        <v/>
      </c>
      <c r="BN40" s="13">
        <f>Debt!BN100-Debt!BN104</f>
        <v/>
      </c>
    </row>
    <row r="41">
      <c r="D41" t="inlineStr">
        <is>
          <t>Senior debt prepaid from bond proceeds</t>
        </is>
      </c>
      <c r="E41" t="inlineStr">
        <is>
          <t>USD m</t>
        </is>
      </c>
      <c r="G41" s="13">
        <f>SUM(J41:BN41)</f>
        <v/>
      </c>
      <c r="J41" s="13">
        <f>-Debt!J99</f>
        <v/>
      </c>
      <c r="K41" s="13">
        <f>-Debt!K99</f>
        <v/>
      </c>
      <c r="L41" s="13">
        <f>-Debt!L99</f>
        <v/>
      </c>
      <c r="M41" s="13">
        <f>-Debt!M99</f>
        <v/>
      </c>
      <c r="N41" s="13">
        <f>-Debt!N99</f>
        <v/>
      </c>
      <c r="O41" s="13">
        <f>-Debt!O99</f>
        <v/>
      </c>
      <c r="P41" s="13">
        <f>-Debt!P99</f>
        <v/>
      </c>
      <c r="Q41" s="13">
        <f>-Debt!Q99</f>
        <v/>
      </c>
      <c r="R41" s="13">
        <f>-Debt!R99</f>
        <v/>
      </c>
      <c r="S41" s="13">
        <f>-Debt!S99</f>
        <v/>
      </c>
      <c r="T41" s="13">
        <f>-Debt!T99</f>
        <v/>
      </c>
      <c r="U41" s="13">
        <f>-Debt!U99</f>
        <v/>
      </c>
      <c r="V41" s="13">
        <f>-Debt!V99</f>
        <v/>
      </c>
      <c r="W41" s="13">
        <f>-Debt!W99</f>
        <v/>
      </c>
      <c r="X41" s="13">
        <f>-Debt!X99</f>
        <v/>
      </c>
      <c r="Y41" s="13">
        <f>-Debt!Y99</f>
        <v/>
      </c>
      <c r="Z41" s="13">
        <f>-Debt!Z99</f>
        <v/>
      </c>
      <c r="AA41" s="13">
        <f>-Debt!AA99</f>
        <v/>
      </c>
      <c r="AB41" s="13">
        <f>-Debt!AB99</f>
        <v/>
      </c>
      <c r="AC41" s="13">
        <f>-Debt!AC99</f>
        <v/>
      </c>
      <c r="AD41" s="13">
        <f>-Debt!AD99</f>
        <v/>
      </c>
      <c r="AE41" s="13">
        <f>-Debt!AE99</f>
        <v/>
      </c>
      <c r="AF41" s="13">
        <f>-Debt!AF99</f>
        <v/>
      </c>
      <c r="AG41" s="13">
        <f>-Debt!AG99</f>
        <v/>
      </c>
      <c r="AH41" s="13">
        <f>-Debt!AH99</f>
        <v/>
      </c>
      <c r="AI41" s="13">
        <f>-Debt!AI99</f>
        <v/>
      </c>
      <c r="AJ41" s="13">
        <f>-Debt!AJ99</f>
        <v/>
      </c>
      <c r="AK41" s="13">
        <f>-Debt!AK99</f>
        <v/>
      </c>
      <c r="AL41" s="13">
        <f>-Debt!AL99</f>
        <v/>
      </c>
      <c r="AM41" s="13">
        <f>-Debt!AM99</f>
        <v/>
      </c>
      <c r="AN41" s="13">
        <f>-Debt!AN99</f>
        <v/>
      </c>
      <c r="AO41" s="13">
        <f>-Debt!AO99</f>
        <v/>
      </c>
      <c r="AP41" s="13">
        <f>-Debt!AP99</f>
        <v/>
      </c>
      <c r="AQ41" s="13">
        <f>-Debt!AQ99</f>
        <v/>
      </c>
      <c r="AR41" s="13">
        <f>-Debt!AR99</f>
        <v/>
      </c>
      <c r="AS41" s="13">
        <f>-Debt!AS99</f>
        <v/>
      </c>
      <c r="AT41" s="13">
        <f>-Debt!AT99</f>
        <v/>
      </c>
      <c r="AU41" s="13">
        <f>-Debt!AU99</f>
        <v/>
      </c>
      <c r="AV41" s="13">
        <f>-Debt!AV99</f>
        <v/>
      </c>
      <c r="AW41" s="13">
        <f>-Debt!AW99</f>
        <v/>
      </c>
      <c r="AX41" s="13">
        <f>-Debt!AX99</f>
        <v/>
      </c>
      <c r="AY41" s="13">
        <f>-Debt!AY99</f>
        <v/>
      </c>
      <c r="AZ41" s="13">
        <f>-Debt!AZ99</f>
        <v/>
      </c>
      <c r="BA41" s="13">
        <f>-Debt!BA99</f>
        <v/>
      </c>
      <c r="BB41" s="13">
        <f>-Debt!BB99</f>
        <v/>
      </c>
      <c r="BC41" s="13">
        <f>-Debt!BC99</f>
        <v/>
      </c>
      <c r="BD41" s="13">
        <f>-Debt!BD99</f>
        <v/>
      </c>
      <c r="BE41" s="13">
        <f>-Debt!BE99</f>
        <v/>
      </c>
      <c r="BF41" s="13">
        <f>-Debt!BF99</f>
        <v/>
      </c>
      <c r="BG41" s="13">
        <f>-Debt!BG99</f>
        <v/>
      </c>
      <c r="BH41" s="13">
        <f>-Debt!BH99</f>
        <v/>
      </c>
      <c r="BI41" s="13">
        <f>-Debt!BI99</f>
        <v/>
      </c>
      <c r="BJ41" s="13">
        <f>-Debt!BJ99</f>
        <v/>
      </c>
      <c r="BK41" s="13">
        <f>-Debt!BK99</f>
        <v/>
      </c>
      <c r="BL41" s="13">
        <f>-Debt!BL99</f>
        <v/>
      </c>
      <c r="BM41" s="13">
        <f>-Debt!BM99</f>
        <v/>
      </c>
      <c r="BN41" s="13">
        <f>-Debt!BN99</f>
        <v/>
      </c>
    </row>
    <row r="42">
      <c r="D42" t="inlineStr">
        <is>
          <t>Swap unwind receipt</t>
        </is>
      </c>
      <c r="E42" t="inlineStr">
        <is>
          <t>USD m</t>
        </is>
      </c>
      <c r="G42" s="13">
        <f>SUM(J42:BN42)</f>
        <v/>
      </c>
      <c r="J42" s="18">
        <f>Debt!J103</f>
        <v/>
      </c>
      <c r="K42" s="18">
        <f>Debt!K103</f>
        <v/>
      </c>
      <c r="L42" s="18">
        <f>Debt!L103</f>
        <v/>
      </c>
      <c r="M42" s="18">
        <f>Debt!M103</f>
        <v/>
      </c>
      <c r="N42" s="18">
        <f>Debt!N103</f>
        <v/>
      </c>
      <c r="O42" s="18">
        <f>Debt!O103</f>
        <v/>
      </c>
      <c r="P42" s="18">
        <f>Debt!P103</f>
        <v/>
      </c>
      <c r="Q42" s="18">
        <f>Debt!Q103</f>
        <v/>
      </c>
      <c r="R42" s="18">
        <f>Debt!R103</f>
        <v/>
      </c>
      <c r="S42" s="18">
        <f>Debt!S103</f>
        <v/>
      </c>
      <c r="T42" s="18">
        <f>Debt!T103</f>
        <v/>
      </c>
      <c r="U42" s="18">
        <f>Debt!U103</f>
        <v/>
      </c>
      <c r="V42" s="18">
        <f>Debt!V103</f>
        <v/>
      </c>
      <c r="W42" s="18">
        <f>Debt!W103</f>
        <v/>
      </c>
      <c r="X42" s="18">
        <f>Debt!X103</f>
        <v/>
      </c>
      <c r="Y42" s="18">
        <f>Debt!Y103</f>
        <v/>
      </c>
      <c r="Z42" s="18">
        <f>Debt!Z103</f>
        <v/>
      </c>
      <c r="AA42" s="18">
        <f>Debt!AA103</f>
        <v/>
      </c>
      <c r="AB42" s="18">
        <f>Debt!AB103</f>
        <v/>
      </c>
      <c r="AC42" s="18">
        <f>Debt!AC103</f>
        <v/>
      </c>
      <c r="AD42" s="18">
        <f>Debt!AD103</f>
        <v/>
      </c>
      <c r="AE42" s="18">
        <f>Debt!AE103</f>
        <v/>
      </c>
      <c r="AF42" s="18">
        <f>Debt!AF103</f>
        <v/>
      </c>
      <c r="AG42" s="18">
        <f>Debt!AG103</f>
        <v/>
      </c>
      <c r="AH42" s="18">
        <f>Debt!AH103</f>
        <v/>
      </c>
      <c r="AI42" s="18">
        <f>Debt!AI103</f>
        <v/>
      </c>
      <c r="AJ42" s="18">
        <f>Debt!AJ103</f>
        <v/>
      </c>
      <c r="AK42" s="18">
        <f>Debt!AK103</f>
        <v/>
      </c>
      <c r="AL42" s="18">
        <f>Debt!AL103</f>
        <v/>
      </c>
      <c r="AM42" s="18">
        <f>Debt!AM103</f>
        <v/>
      </c>
      <c r="AN42" s="18">
        <f>Debt!AN103</f>
        <v/>
      </c>
      <c r="AO42" s="18">
        <f>Debt!AO103</f>
        <v/>
      </c>
      <c r="AP42" s="18">
        <f>Debt!AP103</f>
        <v/>
      </c>
      <c r="AQ42" s="18">
        <f>Debt!AQ103</f>
        <v/>
      </c>
      <c r="AR42" s="18">
        <f>Debt!AR103</f>
        <v/>
      </c>
      <c r="AS42" s="18">
        <f>Debt!AS103</f>
        <v/>
      </c>
      <c r="AT42" s="18">
        <f>Debt!AT103</f>
        <v/>
      </c>
      <c r="AU42" s="18">
        <f>Debt!AU103</f>
        <v/>
      </c>
      <c r="AV42" s="18">
        <f>Debt!AV103</f>
        <v/>
      </c>
      <c r="AW42" s="18">
        <f>Debt!AW103</f>
        <v/>
      </c>
      <c r="AX42" s="18">
        <f>Debt!AX103</f>
        <v/>
      </c>
      <c r="AY42" s="18">
        <f>Debt!AY103</f>
        <v/>
      </c>
      <c r="AZ42" s="18">
        <f>Debt!AZ103</f>
        <v/>
      </c>
      <c r="BA42" s="18">
        <f>Debt!BA103</f>
        <v/>
      </c>
      <c r="BB42" s="18">
        <f>Debt!BB103</f>
        <v/>
      </c>
      <c r="BC42" s="18">
        <f>Debt!BC103</f>
        <v/>
      </c>
      <c r="BD42" s="18">
        <f>Debt!BD103</f>
        <v/>
      </c>
      <c r="BE42" s="18">
        <f>Debt!BE103</f>
        <v/>
      </c>
      <c r="BF42" s="18">
        <f>Debt!BF103</f>
        <v/>
      </c>
      <c r="BG42" s="18">
        <f>Debt!BG103</f>
        <v/>
      </c>
      <c r="BH42" s="18">
        <f>Debt!BH103</f>
        <v/>
      </c>
      <c r="BI42" s="18">
        <f>Debt!BI103</f>
        <v/>
      </c>
      <c r="BJ42" s="18">
        <f>Debt!BJ103</f>
        <v/>
      </c>
      <c r="BK42" s="18">
        <f>Debt!BK103</f>
        <v/>
      </c>
      <c r="BL42" s="18">
        <f>Debt!BL103</f>
        <v/>
      </c>
      <c r="BM42" s="18">
        <f>Debt!BM103</f>
        <v/>
      </c>
      <c r="BN42" s="18">
        <f>Debt!BN103</f>
        <v/>
      </c>
    </row>
    <row r="43">
      <c r="D43" t="inlineStr">
        <is>
          <t>Cash sweeps (lock-up and soft mini-perm)</t>
        </is>
      </c>
      <c r="E43" t="inlineStr">
        <is>
          <t>USD m</t>
        </is>
      </c>
      <c r="G43" s="13">
        <f>SUM(J43:BN43)</f>
        <v/>
      </c>
      <c r="J43" s="13">
        <f>-(Waterfall!J28+Waterfall!J29)</f>
        <v/>
      </c>
      <c r="K43" s="13">
        <f>-(Waterfall!K28+Waterfall!K29)</f>
        <v/>
      </c>
      <c r="L43" s="13">
        <f>-(Waterfall!L28+Waterfall!L29)</f>
        <v/>
      </c>
      <c r="M43" s="13">
        <f>-(Waterfall!M28+Waterfall!M29)</f>
        <v/>
      </c>
      <c r="N43" s="13">
        <f>-(Waterfall!N28+Waterfall!N29)</f>
        <v/>
      </c>
      <c r="O43" s="13">
        <f>-(Waterfall!O28+Waterfall!O29)</f>
        <v/>
      </c>
      <c r="P43" s="13">
        <f>-(Waterfall!P28+Waterfall!P29)</f>
        <v/>
      </c>
      <c r="Q43" s="13">
        <f>-(Waterfall!Q28+Waterfall!Q29)</f>
        <v/>
      </c>
      <c r="R43" s="13">
        <f>-(Waterfall!R28+Waterfall!R29)</f>
        <v/>
      </c>
      <c r="S43" s="13">
        <f>-(Waterfall!S28+Waterfall!S29)</f>
        <v/>
      </c>
      <c r="T43" s="13">
        <f>-(Waterfall!T28+Waterfall!T29)</f>
        <v/>
      </c>
      <c r="U43" s="13">
        <f>-(Waterfall!U28+Waterfall!U29)</f>
        <v/>
      </c>
      <c r="V43" s="13">
        <f>-(Waterfall!V28+Waterfall!V29)</f>
        <v/>
      </c>
      <c r="W43" s="13">
        <f>-(Waterfall!W28+Waterfall!W29)</f>
        <v/>
      </c>
      <c r="X43" s="13">
        <f>-(Waterfall!X28+Waterfall!X29)</f>
        <v/>
      </c>
      <c r="Y43" s="13">
        <f>-(Waterfall!Y28+Waterfall!Y29)</f>
        <v/>
      </c>
      <c r="Z43" s="13">
        <f>-(Waterfall!Z28+Waterfall!Z29)</f>
        <v/>
      </c>
      <c r="AA43" s="13">
        <f>-(Waterfall!AA28+Waterfall!AA29)</f>
        <v/>
      </c>
      <c r="AB43" s="13">
        <f>-(Waterfall!AB28+Waterfall!AB29)</f>
        <v/>
      </c>
      <c r="AC43" s="13">
        <f>-(Waterfall!AC28+Waterfall!AC29)</f>
        <v/>
      </c>
      <c r="AD43" s="13">
        <f>-(Waterfall!AD28+Waterfall!AD29)</f>
        <v/>
      </c>
      <c r="AE43" s="13">
        <f>-(Waterfall!AE28+Waterfall!AE29)</f>
        <v/>
      </c>
      <c r="AF43" s="13">
        <f>-(Waterfall!AF28+Waterfall!AF29)</f>
        <v/>
      </c>
      <c r="AG43" s="13">
        <f>-(Waterfall!AG28+Waterfall!AG29)</f>
        <v/>
      </c>
      <c r="AH43" s="13">
        <f>-(Waterfall!AH28+Waterfall!AH29)</f>
        <v/>
      </c>
      <c r="AI43" s="13">
        <f>-(Waterfall!AI28+Waterfall!AI29)</f>
        <v/>
      </c>
      <c r="AJ43" s="13">
        <f>-(Waterfall!AJ28+Waterfall!AJ29)</f>
        <v/>
      </c>
      <c r="AK43" s="13">
        <f>-(Waterfall!AK28+Waterfall!AK29)</f>
        <v/>
      </c>
      <c r="AL43" s="13">
        <f>-(Waterfall!AL28+Waterfall!AL29)</f>
        <v/>
      </c>
      <c r="AM43" s="13">
        <f>-(Waterfall!AM28+Waterfall!AM29)</f>
        <v/>
      </c>
      <c r="AN43" s="13">
        <f>-(Waterfall!AN28+Waterfall!AN29)</f>
        <v/>
      </c>
      <c r="AO43" s="13">
        <f>-(Waterfall!AO28+Waterfall!AO29)</f>
        <v/>
      </c>
      <c r="AP43" s="13">
        <f>-(Waterfall!AP28+Waterfall!AP29)</f>
        <v/>
      </c>
      <c r="AQ43" s="13">
        <f>-(Waterfall!AQ28+Waterfall!AQ29)</f>
        <v/>
      </c>
      <c r="AR43" s="13">
        <f>-(Waterfall!AR28+Waterfall!AR29)</f>
        <v/>
      </c>
      <c r="AS43" s="13">
        <f>-(Waterfall!AS28+Waterfall!AS29)</f>
        <v/>
      </c>
      <c r="AT43" s="13">
        <f>-(Waterfall!AT28+Waterfall!AT29)</f>
        <v/>
      </c>
      <c r="AU43" s="13">
        <f>-(Waterfall!AU28+Waterfall!AU29)</f>
        <v/>
      </c>
      <c r="AV43" s="13">
        <f>-(Waterfall!AV28+Waterfall!AV29)</f>
        <v/>
      </c>
      <c r="AW43" s="13">
        <f>-(Waterfall!AW28+Waterfall!AW29)</f>
        <v/>
      </c>
      <c r="AX43" s="13">
        <f>-(Waterfall!AX28+Waterfall!AX29)</f>
        <v/>
      </c>
      <c r="AY43" s="13">
        <f>-(Waterfall!AY28+Waterfall!AY29)</f>
        <v/>
      </c>
      <c r="AZ43" s="13">
        <f>-(Waterfall!AZ28+Waterfall!AZ29)</f>
        <v/>
      </c>
      <c r="BA43" s="13">
        <f>-(Waterfall!BA28+Waterfall!BA29)</f>
        <v/>
      </c>
      <c r="BB43" s="13">
        <f>-(Waterfall!BB28+Waterfall!BB29)</f>
        <v/>
      </c>
      <c r="BC43" s="13">
        <f>-(Waterfall!BC28+Waterfall!BC29)</f>
        <v/>
      </c>
      <c r="BD43" s="13">
        <f>-(Waterfall!BD28+Waterfall!BD29)</f>
        <v/>
      </c>
      <c r="BE43" s="13">
        <f>-(Waterfall!BE28+Waterfall!BE29)</f>
        <v/>
      </c>
      <c r="BF43" s="13">
        <f>-(Waterfall!BF28+Waterfall!BF29)</f>
        <v/>
      </c>
      <c r="BG43" s="13">
        <f>-(Waterfall!BG28+Waterfall!BG29)</f>
        <v/>
      </c>
      <c r="BH43" s="13">
        <f>-(Waterfall!BH28+Waterfall!BH29)</f>
        <v/>
      </c>
      <c r="BI43" s="13">
        <f>-(Waterfall!BI28+Waterfall!BI29)</f>
        <v/>
      </c>
      <c r="BJ43" s="13">
        <f>-(Waterfall!BJ28+Waterfall!BJ29)</f>
        <v/>
      </c>
      <c r="BK43" s="13">
        <f>-(Waterfall!BK28+Waterfall!BK29)</f>
        <v/>
      </c>
      <c r="BL43" s="13">
        <f>-(Waterfall!BL28+Waterfall!BL29)</f>
        <v/>
      </c>
      <c r="BM43" s="13">
        <f>-(Waterfall!BM28+Waterfall!BM29)</f>
        <v/>
      </c>
      <c r="BN43" s="13">
        <f>-(Waterfall!BN28+Waterfall!BN29)</f>
        <v/>
      </c>
    </row>
    <row r="44">
      <c r="D44" t="inlineStr">
        <is>
          <t>Shareholder loan interest and principal paid</t>
        </is>
      </c>
      <c r="E44" t="inlineStr">
        <is>
          <t>USD m</t>
        </is>
      </c>
      <c r="G44" s="13">
        <f>SUM(J44:BN44)</f>
        <v/>
      </c>
      <c r="J44" s="13">
        <f>-(Waterfall!J34+Waterfall!J35)</f>
        <v/>
      </c>
      <c r="K44" s="13">
        <f>-(Waterfall!K34+Waterfall!K35)</f>
        <v/>
      </c>
      <c r="L44" s="13">
        <f>-(Waterfall!L34+Waterfall!L35)</f>
        <v/>
      </c>
      <c r="M44" s="13">
        <f>-(Waterfall!M34+Waterfall!M35)</f>
        <v/>
      </c>
      <c r="N44" s="13">
        <f>-(Waterfall!N34+Waterfall!N35)</f>
        <v/>
      </c>
      <c r="O44" s="13">
        <f>-(Waterfall!O34+Waterfall!O35)</f>
        <v/>
      </c>
      <c r="P44" s="13">
        <f>-(Waterfall!P34+Waterfall!P35)</f>
        <v/>
      </c>
      <c r="Q44" s="13">
        <f>-(Waterfall!Q34+Waterfall!Q35)</f>
        <v/>
      </c>
      <c r="R44" s="13">
        <f>-(Waterfall!R34+Waterfall!R35)</f>
        <v/>
      </c>
      <c r="S44" s="13">
        <f>-(Waterfall!S34+Waterfall!S35)</f>
        <v/>
      </c>
      <c r="T44" s="13">
        <f>-(Waterfall!T34+Waterfall!T35)</f>
        <v/>
      </c>
      <c r="U44" s="13">
        <f>-(Waterfall!U34+Waterfall!U35)</f>
        <v/>
      </c>
      <c r="V44" s="13">
        <f>-(Waterfall!V34+Waterfall!V35)</f>
        <v/>
      </c>
      <c r="W44" s="13">
        <f>-(Waterfall!W34+Waterfall!W35)</f>
        <v/>
      </c>
      <c r="X44" s="13">
        <f>-(Waterfall!X34+Waterfall!X35)</f>
        <v/>
      </c>
      <c r="Y44" s="13">
        <f>-(Waterfall!Y34+Waterfall!Y35)</f>
        <v/>
      </c>
      <c r="Z44" s="13">
        <f>-(Waterfall!Z34+Waterfall!Z35)</f>
        <v/>
      </c>
      <c r="AA44" s="13">
        <f>-(Waterfall!AA34+Waterfall!AA35)</f>
        <v/>
      </c>
      <c r="AB44" s="13">
        <f>-(Waterfall!AB34+Waterfall!AB35)</f>
        <v/>
      </c>
      <c r="AC44" s="13">
        <f>-(Waterfall!AC34+Waterfall!AC35)</f>
        <v/>
      </c>
      <c r="AD44" s="13">
        <f>-(Waterfall!AD34+Waterfall!AD35)</f>
        <v/>
      </c>
      <c r="AE44" s="13">
        <f>-(Waterfall!AE34+Waterfall!AE35)</f>
        <v/>
      </c>
      <c r="AF44" s="13">
        <f>-(Waterfall!AF34+Waterfall!AF35)</f>
        <v/>
      </c>
      <c r="AG44" s="13">
        <f>-(Waterfall!AG34+Waterfall!AG35)</f>
        <v/>
      </c>
      <c r="AH44" s="13">
        <f>-(Waterfall!AH34+Waterfall!AH35)</f>
        <v/>
      </c>
      <c r="AI44" s="13">
        <f>-(Waterfall!AI34+Waterfall!AI35)</f>
        <v/>
      </c>
      <c r="AJ44" s="13">
        <f>-(Waterfall!AJ34+Waterfall!AJ35)</f>
        <v/>
      </c>
      <c r="AK44" s="13">
        <f>-(Waterfall!AK34+Waterfall!AK35)</f>
        <v/>
      </c>
      <c r="AL44" s="13">
        <f>-(Waterfall!AL34+Waterfall!AL35)</f>
        <v/>
      </c>
      <c r="AM44" s="13">
        <f>-(Waterfall!AM34+Waterfall!AM35)</f>
        <v/>
      </c>
      <c r="AN44" s="13">
        <f>-(Waterfall!AN34+Waterfall!AN35)</f>
        <v/>
      </c>
      <c r="AO44" s="13">
        <f>-(Waterfall!AO34+Waterfall!AO35)</f>
        <v/>
      </c>
      <c r="AP44" s="13">
        <f>-(Waterfall!AP34+Waterfall!AP35)</f>
        <v/>
      </c>
      <c r="AQ44" s="13">
        <f>-(Waterfall!AQ34+Waterfall!AQ35)</f>
        <v/>
      </c>
      <c r="AR44" s="13">
        <f>-(Waterfall!AR34+Waterfall!AR35)</f>
        <v/>
      </c>
      <c r="AS44" s="13">
        <f>-(Waterfall!AS34+Waterfall!AS35)</f>
        <v/>
      </c>
      <c r="AT44" s="13">
        <f>-(Waterfall!AT34+Waterfall!AT35)</f>
        <v/>
      </c>
      <c r="AU44" s="13">
        <f>-(Waterfall!AU34+Waterfall!AU35)</f>
        <v/>
      </c>
      <c r="AV44" s="13">
        <f>-(Waterfall!AV34+Waterfall!AV35)</f>
        <v/>
      </c>
      <c r="AW44" s="13">
        <f>-(Waterfall!AW34+Waterfall!AW35)</f>
        <v/>
      </c>
      <c r="AX44" s="13">
        <f>-(Waterfall!AX34+Waterfall!AX35)</f>
        <v/>
      </c>
      <c r="AY44" s="13">
        <f>-(Waterfall!AY34+Waterfall!AY35)</f>
        <v/>
      </c>
      <c r="AZ44" s="13">
        <f>-(Waterfall!AZ34+Waterfall!AZ35)</f>
        <v/>
      </c>
      <c r="BA44" s="13">
        <f>-(Waterfall!BA34+Waterfall!BA35)</f>
        <v/>
      </c>
      <c r="BB44" s="13">
        <f>-(Waterfall!BB34+Waterfall!BB35)</f>
        <v/>
      </c>
      <c r="BC44" s="13">
        <f>-(Waterfall!BC34+Waterfall!BC35)</f>
        <v/>
      </c>
      <c r="BD44" s="13">
        <f>-(Waterfall!BD34+Waterfall!BD35)</f>
        <v/>
      </c>
      <c r="BE44" s="13">
        <f>-(Waterfall!BE34+Waterfall!BE35)</f>
        <v/>
      </c>
      <c r="BF44" s="13">
        <f>-(Waterfall!BF34+Waterfall!BF35)</f>
        <v/>
      </c>
      <c r="BG44" s="13">
        <f>-(Waterfall!BG34+Waterfall!BG35)</f>
        <v/>
      </c>
      <c r="BH44" s="13">
        <f>-(Waterfall!BH34+Waterfall!BH35)</f>
        <v/>
      </c>
      <c r="BI44" s="13">
        <f>-(Waterfall!BI34+Waterfall!BI35)</f>
        <v/>
      </c>
      <c r="BJ44" s="13">
        <f>-(Waterfall!BJ34+Waterfall!BJ35)</f>
        <v/>
      </c>
      <c r="BK44" s="13">
        <f>-(Waterfall!BK34+Waterfall!BK35)</f>
        <v/>
      </c>
      <c r="BL44" s="13">
        <f>-(Waterfall!BL34+Waterfall!BL35)</f>
        <v/>
      </c>
      <c r="BM44" s="13">
        <f>-(Waterfall!BM34+Waterfall!BM35)</f>
        <v/>
      </c>
      <c r="BN44" s="13">
        <f>-(Waterfall!BN34+Waterfall!BN35)</f>
        <v/>
      </c>
    </row>
    <row r="45">
      <c r="D45" t="inlineStr">
        <is>
          <t>Dividends</t>
        </is>
      </c>
      <c r="E45" t="inlineStr">
        <is>
          <t>USD m</t>
        </is>
      </c>
      <c r="G45" s="13">
        <f>SUM(J45:BN45)</f>
        <v/>
      </c>
      <c r="J45" s="13">
        <f>-Waterfall!J41</f>
        <v/>
      </c>
      <c r="K45" s="13">
        <f>-Waterfall!K41</f>
        <v/>
      </c>
      <c r="L45" s="13">
        <f>-Waterfall!L41</f>
        <v/>
      </c>
      <c r="M45" s="13">
        <f>-Waterfall!M41</f>
        <v/>
      </c>
      <c r="N45" s="13">
        <f>-Waterfall!N41</f>
        <v/>
      </c>
      <c r="O45" s="13">
        <f>-Waterfall!O41</f>
        <v/>
      </c>
      <c r="P45" s="13">
        <f>-Waterfall!P41</f>
        <v/>
      </c>
      <c r="Q45" s="13">
        <f>-Waterfall!Q41</f>
        <v/>
      </c>
      <c r="R45" s="13">
        <f>-Waterfall!R41</f>
        <v/>
      </c>
      <c r="S45" s="13">
        <f>-Waterfall!S41</f>
        <v/>
      </c>
      <c r="T45" s="13">
        <f>-Waterfall!T41</f>
        <v/>
      </c>
      <c r="U45" s="13">
        <f>-Waterfall!U41</f>
        <v/>
      </c>
      <c r="V45" s="13">
        <f>-Waterfall!V41</f>
        <v/>
      </c>
      <c r="W45" s="13">
        <f>-Waterfall!W41</f>
        <v/>
      </c>
      <c r="X45" s="13">
        <f>-Waterfall!X41</f>
        <v/>
      </c>
      <c r="Y45" s="13">
        <f>-Waterfall!Y41</f>
        <v/>
      </c>
      <c r="Z45" s="13">
        <f>-Waterfall!Z41</f>
        <v/>
      </c>
      <c r="AA45" s="13">
        <f>-Waterfall!AA41</f>
        <v/>
      </c>
      <c r="AB45" s="13">
        <f>-Waterfall!AB41</f>
        <v/>
      </c>
      <c r="AC45" s="13">
        <f>-Waterfall!AC41</f>
        <v/>
      </c>
      <c r="AD45" s="13">
        <f>-Waterfall!AD41</f>
        <v/>
      </c>
      <c r="AE45" s="13">
        <f>-Waterfall!AE41</f>
        <v/>
      </c>
      <c r="AF45" s="13">
        <f>-Waterfall!AF41</f>
        <v/>
      </c>
      <c r="AG45" s="13">
        <f>-Waterfall!AG41</f>
        <v/>
      </c>
      <c r="AH45" s="13">
        <f>-Waterfall!AH41</f>
        <v/>
      </c>
      <c r="AI45" s="13">
        <f>-Waterfall!AI41</f>
        <v/>
      </c>
      <c r="AJ45" s="13">
        <f>-Waterfall!AJ41</f>
        <v/>
      </c>
      <c r="AK45" s="13">
        <f>-Waterfall!AK41</f>
        <v/>
      </c>
      <c r="AL45" s="13">
        <f>-Waterfall!AL41</f>
        <v/>
      </c>
      <c r="AM45" s="13">
        <f>-Waterfall!AM41</f>
        <v/>
      </c>
      <c r="AN45" s="13">
        <f>-Waterfall!AN41</f>
        <v/>
      </c>
      <c r="AO45" s="13">
        <f>-Waterfall!AO41</f>
        <v/>
      </c>
      <c r="AP45" s="13">
        <f>-Waterfall!AP41</f>
        <v/>
      </c>
      <c r="AQ45" s="13">
        <f>-Waterfall!AQ41</f>
        <v/>
      </c>
      <c r="AR45" s="13">
        <f>-Waterfall!AR41</f>
        <v/>
      </c>
      <c r="AS45" s="13">
        <f>-Waterfall!AS41</f>
        <v/>
      </c>
      <c r="AT45" s="13">
        <f>-Waterfall!AT41</f>
        <v/>
      </c>
      <c r="AU45" s="13">
        <f>-Waterfall!AU41</f>
        <v/>
      </c>
      <c r="AV45" s="13">
        <f>-Waterfall!AV41</f>
        <v/>
      </c>
      <c r="AW45" s="13">
        <f>-Waterfall!AW41</f>
        <v/>
      </c>
      <c r="AX45" s="13">
        <f>-Waterfall!AX41</f>
        <v/>
      </c>
      <c r="AY45" s="13">
        <f>-Waterfall!AY41</f>
        <v/>
      </c>
      <c r="AZ45" s="13">
        <f>-Waterfall!AZ41</f>
        <v/>
      </c>
      <c r="BA45" s="13">
        <f>-Waterfall!BA41</f>
        <v/>
      </c>
      <c r="BB45" s="13">
        <f>-Waterfall!BB41</f>
        <v/>
      </c>
      <c r="BC45" s="13">
        <f>-Waterfall!BC41</f>
        <v/>
      </c>
      <c r="BD45" s="13">
        <f>-Waterfall!BD41</f>
        <v/>
      </c>
      <c r="BE45" s="13">
        <f>-Waterfall!BE41</f>
        <v/>
      </c>
      <c r="BF45" s="13">
        <f>-Waterfall!BF41</f>
        <v/>
      </c>
      <c r="BG45" s="13">
        <f>-Waterfall!BG41</f>
        <v/>
      </c>
      <c r="BH45" s="13">
        <f>-Waterfall!BH41</f>
        <v/>
      </c>
      <c r="BI45" s="13">
        <f>-Waterfall!BI41</f>
        <v/>
      </c>
      <c r="BJ45" s="13">
        <f>-Waterfall!BJ41</f>
        <v/>
      </c>
      <c r="BK45" s="13">
        <f>-Waterfall!BK41</f>
        <v/>
      </c>
      <c r="BL45" s="13">
        <f>-Waterfall!BL41</f>
        <v/>
      </c>
      <c r="BM45" s="13">
        <f>-Waterfall!BM41</f>
        <v/>
      </c>
      <c r="BN45" s="13">
        <f>-Waterfall!BN41</f>
        <v/>
      </c>
    </row>
    <row r="46">
      <c r="D46" t="inlineStr">
        <is>
          <t>DSRA initial funding from the construction budget (COD period)</t>
        </is>
      </c>
      <c r="E46" t="inlineStr">
        <is>
          <t>USD m</t>
        </is>
      </c>
      <c r="G46" s="13">
        <f>SUM(J46:BN46)</f>
        <v/>
      </c>
      <c r="J46" s="13">
        <f>Time!J34*SUM(Funding!$J$44:$BJ$44)</f>
        <v/>
      </c>
      <c r="K46" s="13">
        <f>Time!K34*SUM(Funding!$J$44:$BJ$44)</f>
        <v/>
      </c>
      <c r="L46" s="13">
        <f>Time!L34*SUM(Funding!$J$44:$BJ$44)</f>
        <v/>
      </c>
      <c r="M46" s="13">
        <f>Time!M34*SUM(Funding!$J$44:$BJ$44)</f>
        <v/>
      </c>
      <c r="N46" s="13">
        <f>Time!N34*SUM(Funding!$J$44:$BJ$44)</f>
        <v/>
      </c>
      <c r="O46" s="13">
        <f>Time!O34*SUM(Funding!$J$44:$BJ$44)</f>
        <v/>
      </c>
      <c r="P46" s="13">
        <f>Time!P34*SUM(Funding!$J$44:$BJ$44)</f>
        <v/>
      </c>
      <c r="Q46" s="13">
        <f>Time!Q34*SUM(Funding!$J$44:$BJ$44)</f>
        <v/>
      </c>
      <c r="R46" s="13">
        <f>Time!R34*SUM(Funding!$J$44:$BJ$44)</f>
        <v/>
      </c>
      <c r="S46" s="13">
        <f>Time!S34*SUM(Funding!$J$44:$BJ$44)</f>
        <v/>
      </c>
      <c r="T46" s="13">
        <f>Time!T34*SUM(Funding!$J$44:$BJ$44)</f>
        <v/>
      </c>
      <c r="U46" s="13">
        <f>Time!U34*SUM(Funding!$J$44:$BJ$44)</f>
        <v/>
      </c>
      <c r="V46" s="13">
        <f>Time!V34*SUM(Funding!$J$44:$BJ$44)</f>
        <v/>
      </c>
      <c r="W46" s="13">
        <f>Time!W34*SUM(Funding!$J$44:$BJ$44)</f>
        <v/>
      </c>
      <c r="X46" s="13">
        <f>Time!X34*SUM(Funding!$J$44:$BJ$44)</f>
        <v/>
      </c>
      <c r="Y46" s="13">
        <f>Time!Y34*SUM(Funding!$J$44:$BJ$44)</f>
        <v/>
      </c>
      <c r="Z46" s="13">
        <f>Time!Z34*SUM(Funding!$J$44:$BJ$44)</f>
        <v/>
      </c>
      <c r="AA46" s="13">
        <f>Time!AA34*SUM(Funding!$J$44:$BJ$44)</f>
        <v/>
      </c>
      <c r="AB46" s="13">
        <f>Time!AB34*SUM(Funding!$J$44:$BJ$44)</f>
        <v/>
      </c>
      <c r="AC46" s="13">
        <f>Time!AC34*SUM(Funding!$J$44:$BJ$44)</f>
        <v/>
      </c>
      <c r="AD46" s="13">
        <f>Time!AD34*SUM(Funding!$J$44:$BJ$44)</f>
        <v/>
      </c>
      <c r="AE46" s="13">
        <f>Time!AE34*SUM(Funding!$J$44:$BJ$44)</f>
        <v/>
      </c>
      <c r="AF46" s="13">
        <f>Time!AF34*SUM(Funding!$J$44:$BJ$44)</f>
        <v/>
      </c>
      <c r="AG46" s="13">
        <f>Time!AG34*SUM(Funding!$J$44:$BJ$44)</f>
        <v/>
      </c>
      <c r="AH46" s="13">
        <f>Time!AH34*SUM(Funding!$J$44:$BJ$44)</f>
        <v/>
      </c>
      <c r="AI46" s="13">
        <f>Time!AI34*SUM(Funding!$J$44:$BJ$44)</f>
        <v/>
      </c>
      <c r="AJ46" s="13">
        <f>Time!AJ34*SUM(Funding!$J$44:$BJ$44)</f>
        <v/>
      </c>
      <c r="AK46" s="13">
        <f>Time!AK34*SUM(Funding!$J$44:$BJ$44)</f>
        <v/>
      </c>
      <c r="AL46" s="13">
        <f>Time!AL34*SUM(Funding!$J$44:$BJ$44)</f>
        <v/>
      </c>
      <c r="AM46" s="13">
        <f>Time!AM34*SUM(Funding!$J$44:$BJ$44)</f>
        <v/>
      </c>
      <c r="AN46" s="13">
        <f>Time!AN34*SUM(Funding!$J$44:$BJ$44)</f>
        <v/>
      </c>
      <c r="AO46" s="13">
        <f>Time!AO34*SUM(Funding!$J$44:$BJ$44)</f>
        <v/>
      </c>
      <c r="AP46" s="13">
        <f>Time!AP34*SUM(Funding!$J$44:$BJ$44)</f>
        <v/>
      </c>
      <c r="AQ46" s="13">
        <f>Time!AQ34*SUM(Funding!$J$44:$BJ$44)</f>
        <v/>
      </c>
      <c r="AR46" s="13">
        <f>Time!AR34*SUM(Funding!$J$44:$BJ$44)</f>
        <v/>
      </c>
      <c r="AS46" s="13">
        <f>Time!AS34*SUM(Funding!$J$44:$BJ$44)</f>
        <v/>
      </c>
      <c r="AT46" s="13">
        <f>Time!AT34*SUM(Funding!$J$44:$BJ$44)</f>
        <v/>
      </c>
      <c r="AU46" s="13">
        <f>Time!AU34*SUM(Funding!$J$44:$BJ$44)</f>
        <v/>
      </c>
      <c r="AV46" s="13">
        <f>Time!AV34*SUM(Funding!$J$44:$BJ$44)</f>
        <v/>
      </c>
      <c r="AW46" s="13">
        <f>Time!AW34*SUM(Funding!$J$44:$BJ$44)</f>
        <v/>
      </c>
      <c r="AX46" s="13">
        <f>Time!AX34*SUM(Funding!$J$44:$BJ$44)</f>
        <v/>
      </c>
      <c r="AY46" s="13">
        <f>Time!AY34*SUM(Funding!$J$44:$BJ$44)</f>
        <v/>
      </c>
      <c r="AZ46" s="13">
        <f>Time!AZ34*SUM(Funding!$J$44:$BJ$44)</f>
        <v/>
      </c>
      <c r="BA46" s="13">
        <f>Time!BA34*SUM(Funding!$J$44:$BJ$44)</f>
        <v/>
      </c>
      <c r="BB46" s="13">
        <f>Time!BB34*SUM(Funding!$J$44:$BJ$44)</f>
        <v/>
      </c>
      <c r="BC46" s="13">
        <f>Time!BC34*SUM(Funding!$J$44:$BJ$44)</f>
        <v/>
      </c>
      <c r="BD46" s="13">
        <f>Time!BD34*SUM(Funding!$J$44:$BJ$44)</f>
        <v/>
      </c>
      <c r="BE46" s="13">
        <f>Time!BE34*SUM(Funding!$J$44:$BJ$44)</f>
        <v/>
      </c>
      <c r="BF46" s="13">
        <f>Time!BF34*SUM(Funding!$J$44:$BJ$44)</f>
        <v/>
      </c>
      <c r="BG46" s="13">
        <f>Time!BG34*SUM(Funding!$J$44:$BJ$44)</f>
        <v/>
      </c>
      <c r="BH46" s="13">
        <f>Time!BH34*SUM(Funding!$J$44:$BJ$44)</f>
        <v/>
      </c>
      <c r="BI46" s="13">
        <f>Time!BI34*SUM(Funding!$J$44:$BJ$44)</f>
        <v/>
      </c>
      <c r="BJ46" s="13">
        <f>Time!BJ34*SUM(Funding!$J$44:$BJ$44)</f>
        <v/>
      </c>
      <c r="BK46" s="13">
        <f>Time!BK34*SUM(Funding!$J$44:$BJ$44)</f>
        <v/>
      </c>
      <c r="BL46" s="13">
        <f>Time!BL34*SUM(Funding!$J$44:$BJ$44)</f>
        <v/>
      </c>
      <c r="BM46" s="13">
        <f>Time!BM34*SUM(Funding!$J$44:$BJ$44)</f>
        <v/>
      </c>
      <c r="BN46" s="13">
        <f>Time!BN34*SUM(Funding!$J$44:$BJ$44)</f>
        <v/>
      </c>
    </row>
    <row r="47">
      <c r="D47" t="inlineStr">
        <is>
          <t>Construction: delay LDs and DSU received less applied to uses</t>
        </is>
      </c>
      <c r="E47" t="inlineStr">
        <is>
          <t>USD m</t>
        </is>
      </c>
      <c r="G47" s="13">
        <f>SUM(J47:BN47)</f>
        <v/>
      </c>
      <c r="J47" s="13">
        <f>SUMIFS(Funding!$J$52:$BJ$52,Construction!$J$12:$BJ$12,Time!J20)-SUMIFS(Funding!$J$53:$BJ$53,Construction!$J$12:$BJ$12,Time!J20)</f>
        <v/>
      </c>
      <c r="K47" s="13">
        <f>SUMIFS(Funding!$J$52:$BJ$52,Construction!$J$12:$BJ$12,Time!K20)-SUMIFS(Funding!$J$53:$BJ$53,Construction!$J$12:$BJ$12,Time!K20)</f>
        <v/>
      </c>
      <c r="L47" s="13">
        <f>SUMIFS(Funding!$J$52:$BJ$52,Construction!$J$12:$BJ$12,Time!L20)-SUMIFS(Funding!$J$53:$BJ$53,Construction!$J$12:$BJ$12,Time!L20)</f>
        <v/>
      </c>
      <c r="M47" s="13">
        <f>SUMIFS(Funding!$J$52:$BJ$52,Construction!$J$12:$BJ$12,Time!M20)-SUMIFS(Funding!$J$53:$BJ$53,Construction!$J$12:$BJ$12,Time!M20)</f>
        <v/>
      </c>
      <c r="N47" s="13">
        <f>SUMIFS(Funding!$J$52:$BJ$52,Construction!$J$12:$BJ$12,Time!N20)-SUMIFS(Funding!$J$53:$BJ$53,Construction!$J$12:$BJ$12,Time!N20)</f>
        <v/>
      </c>
      <c r="O47" s="13">
        <f>SUMIFS(Funding!$J$52:$BJ$52,Construction!$J$12:$BJ$12,Time!O20)-SUMIFS(Funding!$J$53:$BJ$53,Construction!$J$12:$BJ$12,Time!O20)</f>
        <v/>
      </c>
      <c r="P47" s="13">
        <f>SUMIFS(Funding!$J$52:$BJ$52,Construction!$J$12:$BJ$12,Time!P20)-SUMIFS(Funding!$J$53:$BJ$53,Construction!$J$12:$BJ$12,Time!P20)</f>
        <v/>
      </c>
      <c r="Q47" s="13">
        <f>SUMIFS(Funding!$J$52:$BJ$52,Construction!$J$12:$BJ$12,Time!Q20)-SUMIFS(Funding!$J$53:$BJ$53,Construction!$J$12:$BJ$12,Time!Q20)</f>
        <v/>
      </c>
      <c r="R47" s="13">
        <f>SUMIFS(Funding!$J$52:$BJ$52,Construction!$J$12:$BJ$12,Time!R20)-SUMIFS(Funding!$J$53:$BJ$53,Construction!$J$12:$BJ$12,Time!R20)</f>
        <v/>
      </c>
      <c r="S47" s="13">
        <f>SUMIFS(Funding!$J$52:$BJ$52,Construction!$J$12:$BJ$12,Time!S20)-SUMIFS(Funding!$J$53:$BJ$53,Construction!$J$12:$BJ$12,Time!S20)</f>
        <v/>
      </c>
      <c r="T47" s="13">
        <f>SUMIFS(Funding!$J$52:$BJ$52,Construction!$J$12:$BJ$12,Time!T20)-SUMIFS(Funding!$J$53:$BJ$53,Construction!$J$12:$BJ$12,Time!T20)</f>
        <v/>
      </c>
      <c r="U47" s="13">
        <f>SUMIFS(Funding!$J$52:$BJ$52,Construction!$J$12:$BJ$12,Time!U20)-SUMIFS(Funding!$J$53:$BJ$53,Construction!$J$12:$BJ$12,Time!U20)</f>
        <v/>
      </c>
      <c r="V47" s="13">
        <f>SUMIFS(Funding!$J$52:$BJ$52,Construction!$J$12:$BJ$12,Time!V20)-SUMIFS(Funding!$J$53:$BJ$53,Construction!$J$12:$BJ$12,Time!V20)</f>
        <v/>
      </c>
      <c r="W47" s="13">
        <f>SUMIFS(Funding!$J$52:$BJ$52,Construction!$J$12:$BJ$12,Time!W20)-SUMIFS(Funding!$J$53:$BJ$53,Construction!$J$12:$BJ$12,Time!W20)</f>
        <v/>
      </c>
      <c r="X47" s="13">
        <f>SUMIFS(Funding!$J$52:$BJ$52,Construction!$J$12:$BJ$12,Time!X20)-SUMIFS(Funding!$J$53:$BJ$53,Construction!$J$12:$BJ$12,Time!X20)</f>
        <v/>
      </c>
      <c r="Y47" s="13">
        <f>SUMIFS(Funding!$J$52:$BJ$52,Construction!$J$12:$BJ$12,Time!Y20)-SUMIFS(Funding!$J$53:$BJ$53,Construction!$J$12:$BJ$12,Time!Y20)</f>
        <v/>
      </c>
      <c r="Z47" s="13">
        <f>SUMIFS(Funding!$J$52:$BJ$52,Construction!$J$12:$BJ$12,Time!Z20)-SUMIFS(Funding!$J$53:$BJ$53,Construction!$J$12:$BJ$12,Time!Z20)</f>
        <v/>
      </c>
      <c r="AA47" s="13">
        <f>SUMIFS(Funding!$J$52:$BJ$52,Construction!$J$12:$BJ$12,Time!AA20)-SUMIFS(Funding!$J$53:$BJ$53,Construction!$J$12:$BJ$12,Time!AA20)</f>
        <v/>
      </c>
      <c r="AB47" s="13">
        <f>SUMIFS(Funding!$J$52:$BJ$52,Construction!$J$12:$BJ$12,Time!AB20)-SUMIFS(Funding!$J$53:$BJ$53,Construction!$J$12:$BJ$12,Time!AB20)</f>
        <v/>
      </c>
      <c r="AC47" s="13">
        <f>SUMIFS(Funding!$J$52:$BJ$52,Construction!$J$12:$BJ$12,Time!AC20)-SUMIFS(Funding!$J$53:$BJ$53,Construction!$J$12:$BJ$12,Time!AC20)</f>
        <v/>
      </c>
      <c r="AD47" s="13">
        <f>SUMIFS(Funding!$J$52:$BJ$52,Construction!$J$12:$BJ$12,Time!AD20)-SUMIFS(Funding!$J$53:$BJ$53,Construction!$J$12:$BJ$12,Time!AD20)</f>
        <v/>
      </c>
      <c r="AE47" s="13">
        <f>SUMIFS(Funding!$J$52:$BJ$52,Construction!$J$12:$BJ$12,Time!AE20)-SUMIFS(Funding!$J$53:$BJ$53,Construction!$J$12:$BJ$12,Time!AE20)</f>
        <v/>
      </c>
      <c r="AF47" s="13">
        <f>SUMIFS(Funding!$J$52:$BJ$52,Construction!$J$12:$BJ$12,Time!AF20)-SUMIFS(Funding!$J$53:$BJ$53,Construction!$J$12:$BJ$12,Time!AF20)</f>
        <v/>
      </c>
      <c r="AG47" s="13">
        <f>SUMIFS(Funding!$J$52:$BJ$52,Construction!$J$12:$BJ$12,Time!AG20)-SUMIFS(Funding!$J$53:$BJ$53,Construction!$J$12:$BJ$12,Time!AG20)</f>
        <v/>
      </c>
      <c r="AH47" s="13">
        <f>SUMIFS(Funding!$J$52:$BJ$52,Construction!$J$12:$BJ$12,Time!AH20)-SUMIFS(Funding!$J$53:$BJ$53,Construction!$J$12:$BJ$12,Time!AH20)</f>
        <v/>
      </c>
      <c r="AI47" s="13">
        <f>SUMIFS(Funding!$J$52:$BJ$52,Construction!$J$12:$BJ$12,Time!AI20)-SUMIFS(Funding!$J$53:$BJ$53,Construction!$J$12:$BJ$12,Time!AI20)</f>
        <v/>
      </c>
      <c r="AJ47" s="13">
        <f>SUMIFS(Funding!$J$52:$BJ$52,Construction!$J$12:$BJ$12,Time!AJ20)-SUMIFS(Funding!$J$53:$BJ$53,Construction!$J$12:$BJ$12,Time!AJ20)</f>
        <v/>
      </c>
      <c r="AK47" s="13">
        <f>SUMIFS(Funding!$J$52:$BJ$52,Construction!$J$12:$BJ$12,Time!AK20)-SUMIFS(Funding!$J$53:$BJ$53,Construction!$J$12:$BJ$12,Time!AK20)</f>
        <v/>
      </c>
      <c r="AL47" s="13">
        <f>SUMIFS(Funding!$J$52:$BJ$52,Construction!$J$12:$BJ$12,Time!AL20)-SUMIFS(Funding!$J$53:$BJ$53,Construction!$J$12:$BJ$12,Time!AL20)</f>
        <v/>
      </c>
      <c r="AM47" s="13">
        <f>SUMIFS(Funding!$J$52:$BJ$52,Construction!$J$12:$BJ$12,Time!AM20)-SUMIFS(Funding!$J$53:$BJ$53,Construction!$J$12:$BJ$12,Time!AM20)</f>
        <v/>
      </c>
      <c r="AN47" s="13">
        <f>SUMIFS(Funding!$J$52:$BJ$52,Construction!$J$12:$BJ$12,Time!AN20)-SUMIFS(Funding!$J$53:$BJ$53,Construction!$J$12:$BJ$12,Time!AN20)</f>
        <v/>
      </c>
      <c r="AO47" s="13">
        <f>SUMIFS(Funding!$J$52:$BJ$52,Construction!$J$12:$BJ$12,Time!AO20)-SUMIFS(Funding!$J$53:$BJ$53,Construction!$J$12:$BJ$12,Time!AO20)</f>
        <v/>
      </c>
      <c r="AP47" s="13">
        <f>SUMIFS(Funding!$J$52:$BJ$52,Construction!$J$12:$BJ$12,Time!AP20)-SUMIFS(Funding!$J$53:$BJ$53,Construction!$J$12:$BJ$12,Time!AP20)</f>
        <v/>
      </c>
      <c r="AQ47" s="13">
        <f>SUMIFS(Funding!$J$52:$BJ$52,Construction!$J$12:$BJ$12,Time!AQ20)-SUMIFS(Funding!$J$53:$BJ$53,Construction!$J$12:$BJ$12,Time!AQ20)</f>
        <v/>
      </c>
      <c r="AR47" s="13">
        <f>SUMIFS(Funding!$J$52:$BJ$52,Construction!$J$12:$BJ$12,Time!AR20)-SUMIFS(Funding!$J$53:$BJ$53,Construction!$J$12:$BJ$12,Time!AR20)</f>
        <v/>
      </c>
      <c r="AS47" s="13">
        <f>SUMIFS(Funding!$J$52:$BJ$52,Construction!$J$12:$BJ$12,Time!AS20)-SUMIFS(Funding!$J$53:$BJ$53,Construction!$J$12:$BJ$12,Time!AS20)</f>
        <v/>
      </c>
      <c r="AT47" s="13">
        <f>SUMIFS(Funding!$J$52:$BJ$52,Construction!$J$12:$BJ$12,Time!AT20)-SUMIFS(Funding!$J$53:$BJ$53,Construction!$J$12:$BJ$12,Time!AT20)</f>
        <v/>
      </c>
      <c r="AU47" s="13">
        <f>SUMIFS(Funding!$J$52:$BJ$52,Construction!$J$12:$BJ$12,Time!AU20)-SUMIFS(Funding!$J$53:$BJ$53,Construction!$J$12:$BJ$12,Time!AU20)</f>
        <v/>
      </c>
      <c r="AV47" s="13">
        <f>SUMIFS(Funding!$J$52:$BJ$52,Construction!$J$12:$BJ$12,Time!AV20)-SUMIFS(Funding!$J$53:$BJ$53,Construction!$J$12:$BJ$12,Time!AV20)</f>
        <v/>
      </c>
      <c r="AW47" s="13">
        <f>SUMIFS(Funding!$J$52:$BJ$52,Construction!$J$12:$BJ$12,Time!AW20)-SUMIFS(Funding!$J$53:$BJ$53,Construction!$J$12:$BJ$12,Time!AW20)</f>
        <v/>
      </c>
      <c r="AX47" s="13">
        <f>SUMIFS(Funding!$J$52:$BJ$52,Construction!$J$12:$BJ$12,Time!AX20)-SUMIFS(Funding!$J$53:$BJ$53,Construction!$J$12:$BJ$12,Time!AX20)</f>
        <v/>
      </c>
      <c r="AY47" s="13">
        <f>SUMIFS(Funding!$J$52:$BJ$52,Construction!$J$12:$BJ$12,Time!AY20)-SUMIFS(Funding!$J$53:$BJ$53,Construction!$J$12:$BJ$12,Time!AY20)</f>
        <v/>
      </c>
      <c r="AZ47" s="13">
        <f>SUMIFS(Funding!$J$52:$BJ$52,Construction!$J$12:$BJ$12,Time!AZ20)-SUMIFS(Funding!$J$53:$BJ$53,Construction!$J$12:$BJ$12,Time!AZ20)</f>
        <v/>
      </c>
      <c r="BA47" s="13">
        <f>SUMIFS(Funding!$J$52:$BJ$52,Construction!$J$12:$BJ$12,Time!BA20)-SUMIFS(Funding!$J$53:$BJ$53,Construction!$J$12:$BJ$12,Time!BA20)</f>
        <v/>
      </c>
      <c r="BB47" s="13">
        <f>SUMIFS(Funding!$J$52:$BJ$52,Construction!$J$12:$BJ$12,Time!BB20)-SUMIFS(Funding!$J$53:$BJ$53,Construction!$J$12:$BJ$12,Time!BB20)</f>
        <v/>
      </c>
      <c r="BC47" s="13">
        <f>SUMIFS(Funding!$J$52:$BJ$52,Construction!$J$12:$BJ$12,Time!BC20)-SUMIFS(Funding!$J$53:$BJ$53,Construction!$J$12:$BJ$12,Time!BC20)</f>
        <v/>
      </c>
      <c r="BD47" s="13">
        <f>SUMIFS(Funding!$J$52:$BJ$52,Construction!$J$12:$BJ$12,Time!BD20)-SUMIFS(Funding!$J$53:$BJ$53,Construction!$J$12:$BJ$12,Time!BD20)</f>
        <v/>
      </c>
      <c r="BE47" s="13">
        <f>SUMIFS(Funding!$J$52:$BJ$52,Construction!$J$12:$BJ$12,Time!BE20)-SUMIFS(Funding!$J$53:$BJ$53,Construction!$J$12:$BJ$12,Time!BE20)</f>
        <v/>
      </c>
      <c r="BF47" s="13">
        <f>SUMIFS(Funding!$J$52:$BJ$52,Construction!$J$12:$BJ$12,Time!BF20)-SUMIFS(Funding!$J$53:$BJ$53,Construction!$J$12:$BJ$12,Time!BF20)</f>
        <v/>
      </c>
      <c r="BG47" s="13">
        <f>SUMIFS(Funding!$J$52:$BJ$52,Construction!$J$12:$BJ$12,Time!BG20)-SUMIFS(Funding!$J$53:$BJ$53,Construction!$J$12:$BJ$12,Time!BG20)</f>
        <v/>
      </c>
      <c r="BH47" s="13">
        <f>SUMIFS(Funding!$J$52:$BJ$52,Construction!$J$12:$BJ$12,Time!BH20)-SUMIFS(Funding!$J$53:$BJ$53,Construction!$J$12:$BJ$12,Time!BH20)</f>
        <v/>
      </c>
      <c r="BI47" s="13">
        <f>SUMIFS(Funding!$J$52:$BJ$52,Construction!$J$12:$BJ$12,Time!BI20)-SUMIFS(Funding!$J$53:$BJ$53,Construction!$J$12:$BJ$12,Time!BI20)</f>
        <v/>
      </c>
      <c r="BJ47" s="13">
        <f>SUMIFS(Funding!$J$52:$BJ$52,Construction!$J$12:$BJ$12,Time!BJ20)-SUMIFS(Funding!$J$53:$BJ$53,Construction!$J$12:$BJ$12,Time!BJ20)</f>
        <v/>
      </c>
      <c r="BK47" s="13">
        <f>SUMIFS(Funding!$J$52:$BJ$52,Construction!$J$12:$BJ$12,Time!BK20)-SUMIFS(Funding!$J$53:$BJ$53,Construction!$J$12:$BJ$12,Time!BK20)</f>
        <v/>
      </c>
      <c r="BL47" s="13">
        <f>SUMIFS(Funding!$J$52:$BJ$52,Construction!$J$12:$BJ$12,Time!BL20)-SUMIFS(Funding!$J$53:$BJ$53,Construction!$J$12:$BJ$12,Time!BL20)</f>
        <v/>
      </c>
      <c r="BM47" s="13">
        <f>SUMIFS(Funding!$J$52:$BJ$52,Construction!$J$12:$BJ$12,Time!BM20)-SUMIFS(Funding!$J$53:$BJ$53,Construction!$J$12:$BJ$12,Time!BM20)</f>
        <v/>
      </c>
      <c r="BN47" s="13">
        <f>SUMIFS(Funding!$J$52:$BJ$52,Construction!$J$12:$BJ$12,Time!BN20)-SUMIFS(Funding!$J$53:$BJ$53,Construction!$J$12:$BJ$12,Time!BN20)</f>
        <v/>
      </c>
    </row>
    <row r="48">
      <c r="D48" t="inlineStr">
        <is>
          <t>MMRA contributions less releases (held in the project accounts)</t>
        </is>
      </c>
      <c r="E48" t="inlineStr">
        <is>
          <t>USD m</t>
        </is>
      </c>
      <c r="G48" s="13">
        <f>SUM(J48:BN48)</f>
        <v/>
      </c>
      <c r="J48" s="13">
        <f>Reserves!J7-Operations!J79</f>
        <v/>
      </c>
      <c r="K48" s="13">
        <f>Reserves!K7-Operations!K79</f>
        <v/>
      </c>
      <c r="L48" s="13">
        <f>Reserves!L7-Operations!L79</f>
        <v/>
      </c>
      <c r="M48" s="13">
        <f>Reserves!M7-Operations!M79</f>
        <v/>
      </c>
      <c r="N48" s="13">
        <f>Reserves!N7-Operations!N79</f>
        <v/>
      </c>
      <c r="O48" s="13">
        <f>Reserves!O7-Operations!O79</f>
        <v/>
      </c>
      <c r="P48" s="13">
        <f>Reserves!P7-Operations!P79</f>
        <v/>
      </c>
      <c r="Q48" s="13">
        <f>Reserves!Q7-Operations!Q79</f>
        <v/>
      </c>
      <c r="R48" s="13">
        <f>Reserves!R7-Operations!R79</f>
        <v/>
      </c>
      <c r="S48" s="13">
        <f>Reserves!S7-Operations!S79</f>
        <v/>
      </c>
      <c r="T48" s="13">
        <f>Reserves!T7-Operations!T79</f>
        <v/>
      </c>
      <c r="U48" s="13">
        <f>Reserves!U7-Operations!U79</f>
        <v/>
      </c>
      <c r="V48" s="13">
        <f>Reserves!V7-Operations!V79</f>
        <v/>
      </c>
      <c r="W48" s="13">
        <f>Reserves!W7-Operations!W79</f>
        <v/>
      </c>
      <c r="X48" s="13">
        <f>Reserves!X7-Operations!X79</f>
        <v/>
      </c>
      <c r="Y48" s="13">
        <f>Reserves!Y7-Operations!Y79</f>
        <v/>
      </c>
      <c r="Z48" s="13">
        <f>Reserves!Z7-Operations!Z79</f>
        <v/>
      </c>
      <c r="AA48" s="13">
        <f>Reserves!AA7-Operations!AA79</f>
        <v/>
      </c>
      <c r="AB48" s="13">
        <f>Reserves!AB7-Operations!AB79</f>
        <v/>
      </c>
      <c r="AC48" s="13">
        <f>Reserves!AC7-Operations!AC79</f>
        <v/>
      </c>
      <c r="AD48" s="13">
        <f>Reserves!AD7-Operations!AD79</f>
        <v/>
      </c>
      <c r="AE48" s="13">
        <f>Reserves!AE7-Operations!AE79</f>
        <v/>
      </c>
      <c r="AF48" s="13">
        <f>Reserves!AF7-Operations!AF79</f>
        <v/>
      </c>
      <c r="AG48" s="13">
        <f>Reserves!AG7-Operations!AG79</f>
        <v/>
      </c>
      <c r="AH48" s="13">
        <f>Reserves!AH7-Operations!AH79</f>
        <v/>
      </c>
      <c r="AI48" s="13">
        <f>Reserves!AI7-Operations!AI79</f>
        <v/>
      </c>
      <c r="AJ48" s="13">
        <f>Reserves!AJ7-Operations!AJ79</f>
        <v/>
      </c>
      <c r="AK48" s="13">
        <f>Reserves!AK7-Operations!AK79</f>
        <v/>
      </c>
      <c r="AL48" s="13">
        <f>Reserves!AL7-Operations!AL79</f>
        <v/>
      </c>
      <c r="AM48" s="13">
        <f>Reserves!AM7-Operations!AM79</f>
        <v/>
      </c>
      <c r="AN48" s="13">
        <f>Reserves!AN7-Operations!AN79</f>
        <v/>
      </c>
      <c r="AO48" s="13">
        <f>Reserves!AO7-Operations!AO79</f>
        <v/>
      </c>
      <c r="AP48" s="13">
        <f>Reserves!AP7-Operations!AP79</f>
        <v/>
      </c>
      <c r="AQ48" s="13">
        <f>Reserves!AQ7-Operations!AQ79</f>
        <v/>
      </c>
      <c r="AR48" s="13">
        <f>Reserves!AR7-Operations!AR79</f>
        <v/>
      </c>
      <c r="AS48" s="13">
        <f>Reserves!AS7-Operations!AS79</f>
        <v/>
      </c>
      <c r="AT48" s="13">
        <f>Reserves!AT7-Operations!AT79</f>
        <v/>
      </c>
      <c r="AU48" s="13">
        <f>Reserves!AU7-Operations!AU79</f>
        <v/>
      </c>
      <c r="AV48" s="13">
        <f>Reserves!AV7-Operations!AV79</f>
        <v/>
      </c>
      <c r="AW48" s="13">
        <f>Reserves!AW7-Operations!AW79</f>
        <v/>
      </c>
      <c r="AX48" s="13">
        <f>Reserves!AX7-Operations!AX79</f>
        <v/>
      </c>
      <c r="AY48" s="13">
        <f>Reserves!AY7-Operations!AY79</f>
        <v/>
      </c>
      <c r="AZ48" s="13">
        <f>Reserves!AZ7-Operations!AZ79</f>
        <v/>
      </c>
      <c r="BA48" s="13">
        <f>Reserves!BA7-Operations!BA79</f>
        <v/>
      </c>
      <c r="BB48" s="13">
        <f>Reserves!BB7-Operations!BB79</f>
        <v/>
      </c>
      <c r="BC48" s="13">
        <f>Reserves!BC7-Operations!BC79</f>
        <v/>
      </c>
      <c r="BD48" s="13">
        <f>Reserves!BD7-Operations!BD79</f>
        <v/>
      </c>
      <c r="BE48" s="13">
        <f>Reserves!BE7-Operations!BE79</f>
        <v/>
      </c>
      <c r="BF48" s="13">
        <f>Reserves!BF7-Operations!BF79</f>
        <v/>
      </c>
      <c r="BG48" s="13">
        <f>Reserves!BG7-Operations!BG79</f>
        <v/>
      </c>
      <c r="BH48" s="13">
        <f>Reserves!BH7-Operations!BH79</f>
        <v/>
      </c>
      <c r="BI48" s="13">
        <f>Reserves!BI7-Operations!BI79</f>
        <v/>
      </c>
      <c r="BJ48" s="13">
        <f>Reserves!BJ7-Operations!BJ79</f>
        <v/>
      </c>
      <c r="BK48" s="13">
        <f>Reserves!BK7-Operations!BK79</f>
        <v/>
      </c>
      <c r="BL48" s="13">
        <f>Reserves!BL7-Operations!BL79</f>
        <v/>
      </c>
      <c r="BM48" s="13">
        <f>Reserves!BM7-Operations!BM79</f>
        <v/>
      </c>
      <c r="BN48" s="13">
        <f>Reserves!BN7-Operations!BN79</f>
        <v/>
      </c>
    </row>
    <row r="49">
      <c r="D49" t="inlineStr">
        <is>
          <t>Net cash flow</t>
        </is>
      </c>
      <c r="E49" t="inlineStr">
        <is>
          <t>USD m</t>
        </is>
      </c>
      <c r="G49" s="13">
        <f>SUM(J49:BN49)</f>
        <v/>
      </c>
      <c r="J49" s="13">
        <f>J36+J37+J38+J39+J40+J41+J42+J43+J44+J45+J46+J47+J48</f>
        <v/>
      </c>
      <c r="K49" s="13">
        <f>K36+K37+K38+K39+K40+K41+K42+K43+K44+K45+K46+K47+K48</f>
        <v/>
      </c>
      <c r="L49" s="13">
        <f>L36+L37+L38+L39+L40+L41+L42+L43+L44+L45+L46+L47+L48</f>
        <v/>
      </c>
      <c r="M49" s="13">
        <f>M36+M37+M38+M39+M40+M41+M42+M43+M44+M45+M46+M47+M48</f>
        <v/>
      </c>
      <c r="N49" s="13">
        <f>N36+N37+N38+N39+N40+N41+N42+N43+N44+N45+N46+N47+N48</f>
        <v/>
      </c>
      <c r="O49" s="13">
        <f>O36+O37+O38+O39+O40+O41+O42+O43+O44+O45+O46+O47+O48</f>
        <v/>
      </c>
      <c r="P49" s="13">
        <f>P36+P37+P38+P39+P40+P41+P42+P43+P44+P45+P46+P47+P48</f>
        <v/>
      </c>
      <c r="Q49" s="13">
        <f>Q36+Q37+Q38+Q39+Q40+Q41+Q42+Q43+Q44+Q45+Q46+Q47+Q48</f>
        <v/>
      </c>
      <c r="R49" s="13">
        <f>R36+R37+R38+R39+R40+R41+R42+R43+R44+R45+R46+R47+R48</f>
        <v/>
      </c>
      <c r="S49" s="13">
        <f>S36+S37+S38+S39+S40+S41+S42+S43+S44+S45+S46+S47+S48</f>
        <v/>
      </c>
      <c r="T49" s="13">
        <f>T36+T37+T38+T39+T40+T41+T42+T43+T44+T45+T46+T47+T48</f>
        <v/>
      </c>
      <c r="U49" s="13">
        <f>U36+U37+U38+U39+U40+U41+U42+U43+U44+U45+U46+U47+U48</f>
        <v/>
      </c>
      <c r="V49" s="13">
        <f>V36+V37+V38+V39+V40+V41+V42+V43+V44+V45+V46+V47+V48</f>
        <v/>
      </c>
      <c r="W49" s="13">
        <f>W36+W37+W38+W39+W40+W41+W42+W43+W44+W45+W46+W47+W48</f>
        <v/>
      </c>
      <c r="X49" s="13">
        <f>X36+X37+X38+X39+X40+X41+X42+X43+X44+X45+X46+X47+X48</f>
        <v/>
      </c>
      <c r="Y49" s="13">
        <f>Y36+Y37+Y38+Y39+Y40+Y41+Y42+Y43+Y44+Y45+Y46+Y47+Y48</f>
        <v/>
      </c>
      <c r="Z49" s="13">
        <f>Z36+Z37+Z38+Z39+Z40+Z41+Z42+Z43+Z44+Z45+Z46+Z47+Z48</f>
        <v/>
      </c>
      <c r="AA49" s="13">
        <f>AA36+AA37+AA38+AA39+AA40+AA41+AA42+AA43+AA44+AA45+AA46+AA47+AA48</f>
        <v/>
      </c>
      <c r="AB49" s="13">
        <f>AB36+AB37+AB38+AB39+AB40+AB41+AB42+AB43+AB44+AB45+AB46+AB47+AB48</f>
        <v/>
      </c>
      <c r="AC49" s="13">
        <f>AC36+AC37+AC38+AC39+AC40+AC41+AC42+AC43+AC44+AC45+AC46+AC47+AC48</f>
        <v/>
      </c>
      <c r="AD49" s="13">
        <f>AD36+AD37+AD38+AD39+AD40+AD41+AD42+AD43+AD44+AD45+AD46+AD47+AD48</f>
        <v/>
      </c>
      <c r="AE49" s="13">
        <f>AE36+AE37+AE38+AE39+AE40+AE41+AE42+AE43+AE44+AE45+AE46+AE47+AE48</f>
        <v/>
      </c>
      <c r="AF49" s="13">
        <f>AF36+AF37+AF38+AF39+AF40+AF41+AF42+AF43+AF44+AF45+AF46+AF47+AF48</f>
        <v/>
      </c>
      <c r="AG49" s="13">
        <f>AG36+AG37+AG38+AG39+AG40+AG41+AG42+AG43+AG44+AG45+AG46+AG47+AG48</f>
        <v/>
      </c>
      <c r="AH49" s="13">
        <f>AH36+AH37+AH38+AH39+AH40+AH41+AH42+AH43+AH44+AH45+AH46+AH47+AH48</f>
        <v/>
      </c>
      <c r="AI49" s="13">
        <f>AI36+AI37+AI38+AI39+AI40+AI41+AI42+AI43+AI44+AI45+AI46+AI47+AI48</f>
        <v/>
      </c>
      <c r="AJ49" s="13">
        <f>AJ36+AJ37+AJ38+AJ39+AJ40+AJ41+AJ42+AJ43+AJ44+AJ45+AJ46+AJ47+AJ48</f>
        <v/>
      </c>
      <c r="AK49" s="13">
        <f>AK36+AK37+AK38+AK39+AK40+AK41+AK42+AK43+AK44+AK45+AK46+AK47+AK48</f>
        <v/>
      </c>
      <c r="AL49" s="13">
        <f>AL36+AL37+AL38+AL39+AL40+AL41+AL42+AL43+AL44+AL45+AL46+AL47+AL48</f>
        <v/>
      </c>
      <c r="AM49" s="13">
        <f>AM36+AM37+AM38+AM39+AM40+AM41+AM42+AM43+AM44+AM45+AM46+AM47+AM48</f>
        <v/>
      </c>
      <c r="AN49" s="13">
        <f>AN36+AN37+AN38+AN39+AN40+AN41+AN42+AN43+AN44+AN45+AN46+AN47+AN48</f>
        <v/>
      </c>
      <c r="AO49" s="13">
        <f>AO36+AO37+AO38+AO39+AO40+AO41+AO42+AO43+AO44+AO45+AO46+AO47+AO48</f>
        <v/>
      </c>
      <c r="AP49" s="13">
        <f>AP36+AP37+AP38+AP39+AP40+AP41+AP42+AP43+AP44+AP45+AP46+AP47+AP48</f>
        <v/>
      </c>
      <c r="AQ49" s="13">
        <f>AQ36+AQ37+AQ38+AQ39+AQ40+AQ41+AQ42+AQ43+AQ44+AQ45+AQ46+AQ47+AQ48</f>
        <v/>
      </c>
      <c r="AR49" s="13">
        <f>AR36+AR37+AR38+AR39+AR40+AR41+AR42+AR43+AR44+AR45+AR46+AR47+AR48</f>
        <v/>
      </c>
      <c r="AS49" s="13">
        <f>AS36+AS37+AS38+AS39+AS40+AS41+AS42+AS43+AS44+AS45+AS46+AS47+AS48</f>
        <v/>
      </c>
      <c r="AT49" s="13">
        <f>AT36+AT37+AT38+AT39+AT40+AT41+AT42+AT43+AT44+AT45+AT46+AT47+AT48</f>
        <v/>
      </c>
      <c r="AU49" s="13">
        <f>AU36+AU37+AU38+AU39+AU40+AU41+AU42+AU43+AU44+AU45+AU46+AU47+AU48</f>
        <v/>
      </c>
      <c r="AV49" s="13">
        <f>AV36+AV37+AV38+AV39+AV40+AV41+AV42+AV43+AV44+AV45+AV46+AV47+AV48</f>
        <v/>
      </c>
      <c r="AW49" s="13">
        <f>AW36+AW37+AW38+AW39+AW40+AW41+AW42+AW43+AW44+AW45+AW46+AW47+AW48</f>
        <v/>
      </c>
      <c r="AX49" s="13">
        <f>AX36+AX37+AX38+AX39+AX40+AX41+AX42+AX43+AX44+AX45+AX46+AX47+AX48</f>
        <v/>
      </c>
      <c r="AY49" s="13">
        <f>AY36+AY37+AY38+AY39+AY40+AY41+AY42+AY43+AY44+AY45+AY46+AY47+AY48</f>
        <v/>
      </c>
      <c r="AZ49" s="13">
        <f>AZ36+AZ37+AZ38+AZ39+AZ40+AZ41+AZ42+AZ43+AZ44+AZ45+AZ46+AZ47+AZ48</f>
        <v/>
      </c>
      <c r="BA49" s="13">
        <f>BA36+BA37+BA38+BA39+BA40+BA41+BA42+BA43+BA44+BA45+BA46+BA47+BA48</f>
        <v/>
      </c>
      <c r="BB49" s="13">
        <f>BB36+BB37+BB38+BB39+BB40+BB41+BB42+BB43+BB44+BB45+BB46+BB47+BB48</f>
        <v/>
      </c>
      <c r="BC49" s="13">
        <f>BC36+BC37+BC38+BC39+BC40+BC41+BC42+BC43+BC44+BC45+BC46+BC47+BC48</f>
        <v/>
      </c>
      <c r="BD49" s="13">
        <f>BD36+BD37+BD38+BD39+BD40+BD41+BD42+BD43+BD44+BD45+BD46+BD47+BD48</f>
        <v/>
      </c>
      <c r="BE49" s="13">
        <f>BE36+BE37+BE38+BE39+BE40+BE41+BE42+BE43+BE44+BE45+BE46+BE47+BE48</f>
        <v/>
      </c>
      <c r="BF49" s="13">
        <f>BF36+BF37+BF38+BF39+BF40+BF41+BF42+BF43+BF44+BF45+BF46+BF47+BF48</f>
        <v/>
      </c>
      <c r="BG49" s="13">
        <f>BG36+BG37+BG38+BG39+BG40+BG41+BG42+BG43+BG44+BG45+BG46+BG47+BG48</f>
        <v/>
      </c>
      <c r="BH49" s="13">
        <f>BH36+BH37+BH38+BH39+BH40+BH41+BH42+BH43+BH44+BH45+BH46+BH47+BH48</f>
        <v/>
      </c>
      <c r="BI49" s="13">
        <f>BI36+BI37+BI38+BI39+BI40+BI41+BI42+BI43+BI44+BI45+BI46+BI47+BI48</f>
        <v/>
      </c>
      <c r="BJ49" s="13">
        <f>BJ36+BJ37+BJ38+BJ39+BJ40+BJ41+BJ42+BJ43+BJ44+BJ45+BJ46+BJ47+BJ48</f>
        <v/>
      </c>
      <c r="BK49" s="13">
        <f>BK36+BK37+BK38+BK39+BK40+BK41+BK42+BK43+BK44+BK45+BK46+BK47+BK48</f>
        <v/>
      </c>
      <c r="BL49" s="13">
        <f>BL36+BL37+BL38+BL39+BL40+BL41+BL42+BL43+BL44+BL45+BL46+BL47+BL48</f>
        <v/>
      </c>
      <c r="BM49" s="13">
        <f>BM36+BM37+BM38+BM39+BM40+BM41+BM42+BM43+BM44+BM45+BM46+BM47+BM48</f>
        <v/>
      </c>
      <c r="BN49" s="13">
        <f>BN36+BN37+BN38+BN39+BN40+BN41+BN42+BN43+BN44+BN45+BN46+BN47+BN48</f>
        <v/>
      </c>
    </row>
    <row r="50">
      <c r="D50" t="inlineStr">
        <is>
          <t>Memo: DSRA top-ups less drawings and releases (transfers within the project accounts)</t>
        </is>
      </c>
      <c r="E50" t="inlineStr">
        <is>
          <t>USD m</t>
        </is>
      </c>
      <c r="G50" s="13">
        <f>SUM(J50:BN50)</f>
        <v/>
      </c>
      <c r="J50" s="13">
        <f>Reserves!J11-Reserves!J10-Reserves!J12</f>
        <v/>
      </c>
      <c r="K50" s="13">
        <f>Reserves!K11-Reserves!K10-Reserves!K12</f>
        <v/>
      </c>
      <c r="L50" s="13">
        <f>Reserves!L11-Reserves!L10-Reserves!L12</f>
        <v/>
      </c>
      <c r="M50" s="13">
        <f>Reserves!M11-Reserves!M10-Reserves!M12</f>
        <v/>
      </c>
      <c r="N50" s="13">
        <f>Reserves!N11-Reserves!N10-Reserves!N12</f>
        <v/>
      </c>
      <c r="O50" s="13">
        <f>Reserves!O11-Reserves!O10-Reserves!O12</f>
        <v/>
      </c>
      <c r="P50" s="13">
        <f>Reserves!P11-Reserves!P10-Reserves!P12</f>
        <v/>
      </c>
      <c r="Q50" s="13">
        <f>Reserves!Q11-Reserves!Q10-Reserves!Q12</f>
        <v/>
      </c>
      <c r="R50" s="13">
        <f>Reserves!R11-Reserves!R10-Reserves!R12</f>
        <v/>
      </c>
      <c r="S50" s="13">
        <f>Reserves!S11-Reserves!S10-Reserves!S12</f>
        <v/>
      </c>
      <c r="T50" s="13">
        <f>Reserves!T11-Reserves!T10-Reserves!T12</f>
        <v/>
      </c>
      <c r="U50" s="13">
        <f>Reserves!U11-Reserves!U10-Reserves!U12</f>
        <v/>
      </c>
      <c r="V50" s="13">
        <f>Reserves!V11-Reserves!V10-Reserves!V12</f>
        <v/>
      </c>
      <c r="W50" s="13">
        <f>Reserves!W11-Reserves!W10-Reserves!W12</f>
        <v/>
      </c>
      <c r="X50" s="13">
        <f>Reserves!X11-Reserves!X10-Reserves!X12</f>
        <v/>
      </c>
      <c r="Y50" s="13">
        <f>Reserves!Y11-Reserves!Y10-Reserves!Y12</f>
        <v/>
      </c>
      <c r="Z50" s="13">
        <f>Reserves!Z11-Reserves!Z10-Reserves!Z12</f>
        <v/>
      </c>
      <c r="AA50" s="13">
        <f>Reserves!AA11-Reserves!AA10-Reserves!AA12</f>
        <v/>
      </c>
      <c r="AB50" s="13">
        <f>Reserves!AB11-Reserves!AB10-Reserves!AB12</f>
        <v/>
      </c>
      <c r="AC50" s="13">
        <f>Reserves!AC11-Reserves!AC10-Reserves!AC12</f>
        <v/>
      </c>
      <c r="AD50" s="13">
        <f>Reserves!AD11-Reserves!AD10-Reserves!AD12</f>
        <v/>
      </c>
      <c r="AE50" s="13">
        <f>Reserves!AE11-Reserves!AE10-Reserves!AE12</f>
        <v/>
      </c>
      <c r="AF50" s="13">
        <f>Reserves!AF11-Reserves!AF10-Reserves!AF12</f>
        <v/>
      </c>
      <c r="AG50" s="13">
        <f>Reserves!AG11-Reserves!AG10-Reserves!AG12</f>
        <v/>
      </c>
      <c r="AH50" s="13">
        <f>Reserves!AH11-Reserves!AH10-Reserves!AH12</f>
        <v/>
      </c>
      <c r="AI50" s="13">
        <f>Reserves!AI11-Reserves!AI10-Reserves!AI12</f>
        <v/>
      </c>
      <c r="AJ50" s="13">
        <f>Reserves!AJ11-Reserves!AJ10-Reserves!AJ12</f>
        <v/>
      </c>
      <c r="AK50" s="13">
        <f>Reserves!AK11-Reserves!AK10-Reserves!AK12</f>
        <v/>
      </c>
      <c r="AL50" s="13">
        <f>Reserves!AL11-Reserves!AL10-Reserves!AL12</f>
        <v/>
      </c>
      <c r="AM50" s="13">
        <f>Reserves!AM11-Reserves!AM10-Reserves!AM12</f>
        <v/>
      </c>
      <c r="AN50" s="13">
        <f>Reserves!AN11-Reserves!AN10-Reserves!AN12</f>
        <v/>
      </c>
      <c r="AO50" s="13">
        <f>Reserves!AO11-Reserves!AO10-Reserves!AO12</f>
        <v/>
      </c>
      <c r="AP50" s="13">
        <f>Reserves!AP11-Reserves!AP10-Reserves!AP12</f>
        <v/>
      </c>
      <c r="AQ50" s="13">
        <f>Reserves!AQ11-Reserves!AQ10-Reserves!AQ12</f>
        <v/>
      </c>
      <c r="AR50" s="13">
        <f>Reserves!AR11-Reserves!AR10-Reserves!AR12</f>
        <v/>
      </c>
      <c r="AS50" s="13">
        <f>Reserves!AS11-Reserves!AS10-Reserves!AS12</f>
        <v/>
      </c>
      <c r="AT50" s="13">
        <f>Reserves!AT11-Reserves!AT10-Reserves!AT12</f>
        <v/>
      </c>
      <c r="AU50" s="13">
        <f>Reserves!AU11-Reserves!AU10-Reserves!AU12</f>
        <v/>
      </c>
      <c r="AV50" s="13">
        <f>Reserves!AV11-Reserves!AV10-Reserves!AV12</f>
        <v/>
      </c>
      <c r="AW50" s="13">
        <f>Reserves!AW11-Reserves!AW10-Reserves!AW12</f>
        <v/>
      </c>
      <c r="AX50" s="13">
        <f>Reserves!AX11-Reserves!AX10-Reserves!AX12</f>
        <v/>
      </c>
      <c r="AY50" s="13">
        <f>Reserves!AY11-Reserves!AY10-Reserves!AY12</f>
        <v/>
      </c>
      <c r="AZ50" s="13">
        <f>Reserves!AZ11-Reserves!AZ10-Reserves!AZ12</f>
        <v/>
      </c>
      <c r="BA50" s="13">
        <f>Reserves!BA11-Reserves!BA10-Reserves!BA12</f>
        <v/>
      </c>
      <c r="BB50" s="13">
        <f>Reserves!BB11-Reserves!BB10-Reserves!BB12</f>
        <v/>
      </c>
      <c r="BC50" s="13">
        <f>Reserves!BC11-Reserves!BC10-Reserves!BC12</f>
        <v/>
      </c>
      <c r="BD50" s="13">
        <f>Reserves!BD11-Reserves!BD10-Reserves!BD12</f>
        <v/>
      </c>
      <c r="BE50" s="13">
        <f>Reserves!BE11-Reserves!BE10-Reserves!BE12</f>
        <v/>
      </c>
      <c r="BF50" s="13">
        <f>Reserves!BF11-Reserves!BF10-Reserves!BF12</f>
        <v/>
      </c>
      <c r="BG50" s="13">
        <f>Reserves!BG11-Reserves!BG10-Reserves!BG12</f>
        <v/>
      </c>
      <c r="BH50" s="13">
        <f>Reserves!BH11-Reserves!BH10-Reserves!BH12</f>
        <v/>
      </c>
      <c r="BI50" s="13">
        <f>Reserves!BI11-Reserves!BI10-Reserves!BI12</f>
        <v/>
      </c>
      <c r="BJ50" s="13">
        <f>Reserves!BJ11-Reserves!BJ10-Reserves!BJ12</f>
        <v/>
      </c>
      <c r="BK50" s="13">
        <f>Reserves!BK11-Reserves!BK10-Reserves!BK12</f>
        <v/>
      </c>
      <c r="BL50" s="13">
        <f>Reserves!BL11-Reserves!BL10-Reserves!BL12</f>
        <v/>
      </c>
      <c r="BM50" s="13">
        <f>Reserves!BM11-Reserves!BM10-Reserves!BM12</f>
        <v/>
      </c>
      <c r="BN50" s="13">
        <f>Reserves!BN11-Reserves!BN10-Reserves!BN12</f>
        <v/>
      </c>
    </row>
    <row r="51">
      <c r="D51" t="inlineStr">
        <is>
          <t>Change in project-account cash</t>
        </is>
      </c>
      <c r="E51" t="inlineStr">
        <is>
          <t>USD m</t>
        </is>
      </c>
      <c r="G51" s="13">
        <f>SUM(J51:BN51)</f>
        <v/>
      </c>
      <c r="J51" s="13">
        <f>J17-I17</f>
        <v/>
      </c>
      <c r="K51" s="13">
        <f>K17-J17</f>
        <v/>
      </c>
      <c r="L51" s="13">
        <f>L17-K17</f>
        <v/>
      </c>
      <c r="M51" s="13">
        <f>M17-L17</f>
        <v/>
      </c>
      <c r="N51" s="13">
        <f>N17-M17</f>
        <v/>
      </c>
      <c r="O51" s="13">
        <f>O17-N17</f>
        <v/>
      </c>
      <c r="P51" s="13">
        <f>P17-O17</f>
        <v/>
      </c>
      <c r="Q51" s="13">
        <f>Q17-P17</f>
        <v/>
      </c>
      <c r="R51" s="13">
        <f>R17-Q17</f>
        <v/>
      </c>
      <c r="S51" s="13">
        <f>S17-R17</f>
        <v/>
      </c>
      <c r="T51" s="13">
        <f>T17-S17</f>
        <v/>
      </c>
      <c r="U51" s="13">
        <f>U17-T17</f>
        <v/>
      </c>
      <c r="V51" s="13">
        <f>V17-U17</f>
        <v/>
      </c>
      <c r="W51" s="13">
        <f>W17-V17</f>
        <v/>
      </c>
      <c r="X51" s="13">
        <f>X17-W17</f>
        <v/>
      </c>
      <c r="Y51" s="13">
        <f>Y17-X17</f>
        <v/>
      </c>
      <c r="Z51" s="13">
        <f>Z17-Y17</f>
        <v/>
      </c>
      <c r="AA51" s="13">
        <f>AA17-Z17</f>
        <v/>
      </c>
      <c r="AB51" s="13">
        <f>AB17-AA17</f>
        <v/>
      </c>
      <c r="AC51" s="13">
        <f>AC17-AB17</f>
        <v/>
      </c>
      <c r="AD51" s="13">
        <f>AD17-AC17</f>
        <v/>
      </c>
      <c r="AE51" s="13">
        <f>AE17-AD17</f>
        <v/>
      </c>
      <c r="AF51" s="13">
        <f>AF17-AE17</f>
        <v/>
      </c>
      <c r="AG51" s="13">
        <f>AG17-AF17</f>
        <v/>
      </c>
      <c r="AH51" s="13">
        <f>AH17-AG17</f>
        <v/>
      </c>
      <c r="AI51" s="13">
        <f>AI17-AH17</f>
        <v/>
      </c>
      <c r="AJ51" s="13">
        <f>AJ17-AI17</f>
        <v/>
      </c>
      <c r="AK51" s="13">
        <f>AK17-AJ17</f>
        <v/>
      </c>
      <c r="AL51" s="13">
        <f>AL17-AK17</f>
        <v/>
      </c>
      <c r="AM51" s="13">
        <f>AM17-AL17</f>
        <v/>
      </c>
      <c r="AN51" s="13">
        <f>AN17-AM17</f>
        <v/>
      </c>
      <c r="AO51" s="13">
        <f>AO17-AN17</f>
        <v/>
      </c>
      <c r="AP51" s="13">
        <f>AP17-AO17</f>
        <v/>
      </c>
      <c r="AQ51" s="13">
        <f>AQ17-AP17</f>
        <v/>
      </c>
      <c r="AR51" s="13">
        <f>AR17-AQ17</f>
        <v/>
      </c>
      <c r="AS51" s="13">
        <f>AS17-AR17</f>
        <v/>
      </c>
      <c r="AT51" s="13">
        <f>AT17-AS17</f>
        <v/>
      </c>
      <c r="AU51" s="13">
        <f>AU17-AT17</f>
        <v/>
      </c>
      <c r="AV51" s="13">
        <f>AV17-AU17</f>
        <v/>
      </c>
      <c r="AW51" s="13">
        <f>AW17-AV17</f>
        <v/>
      </c>
      <c r="AX51" s="13">
        <f>AX17-AW17</f>
        <v/>
      </c>
      <c r="AY51" s="13">
        <f>AY17-AX17</f>
        <v/>
      </c>
      <c r="AZ51" s="13">
        <f>AZ17-AY17</f>
        <v/>
      </c>
      <c r="BA51" s="13">
        <f>BA17-AZ17</f>
        <v/>
      </c>
      <c r="BB51" s="13">
        <f>BB17-BA17</f>
        <v/>
      </c>
      <c r="BC51" s="13">
        <f>BC17-BB17</f>
        <v/>
      </c>
      <c r="BD51" s="13">
        <f>BD17-BC17</f>
        <v/>
      </c>
      <c r="BE51" s="13">
        <f>BE17-BD17</f>
        <v/>
      </c>
      <c r="BF51" s="13">
        <f>BF17-BE17</f>
        <v/>
      </c>
      <c r="BG51" s="13">
        <f>BG17-BF17</f>
        <v/>
      </c>
      <c r="BH51" s="13">
        <f>BH17-BG17</f>
        <v/>
      </c>
      <c r="BI51" s="13">
        <f>BI17-BH17</f>
        <v/>
      </c>
      <c r="BJ51" s="13">
        <f>BJ17-BI17</f>
        <v/>
      </c>
      <c r="BK51" s="13">
        <f>BK17-BJ17</f>
        <v/>
      </c>
      <c r="BL51" s="13">
        <f>BL17-BK17</f>
        <v/>
      </c>
      <c r="BM51" s="13">
        <f>BM17-BL17</f>
        <v/>
      </c>
      <c r="BN51" s="13">
        <f>BN17-BM17</f>
        <v/>
      </c>
    </row>
    <row r="52">
      <c r="D52" t="inlineStr">
        <is>
          <t>Cash check: change in cash less net cash flow (0)</t>
        </is>
      </c>
      <c r="E52" t="inlineStr">
        <is>
          <t>USD m</t>
        </is>
      </c>
      <c r="J52" s="13">
        <f>J51-J49</f>
        <v/>
      </c>
      <c r="K52" s="13">
        <f>K51-K49</f>
        <v/>
      </c>
      <c r="L52" s="13">
        <f>L51-L49</f>
        <v/>
      </c>
      <c r="M52" s="13">
        <f>M51-M49</f>
        <v/>
      </c>
      <c r="N52" s="13">
        <f>N51-N49</f>
        <v/>
      </c>
      <c r="O52" s="13">
        <f>O51-O49</f>
        <v/>
      </c>
      <c r="P52" s="13">
        <f>P51-P49</f>
        <v/>
      </c>
      <c r="Q52" s="13">
        <f>Q51-Q49</f>
        <v/>
      </c>
      <c r="R52" s="13">
        <f>R51-R49</f>
        <v/>
      </c>
      <c r="S52" s="13">
        <f>S51-S49</f>
        <v/>
      </c>
      <c r="T52" s="13">
        <f>T51-T49</f>
        <v/>
      </c>
      <c r="U52" s="13">
        <f>U51-U49</f>
        <v/>
      </c>
      <c r="V52" s="13">
        <f>V51-V49</f>
        <v/>
      </c>
      <c r="W52" s="13">
        <f>W51-W49</f>
        <v/>
      </c>
      <c r="X52" s="13">
        <f>X51-X49</f>
        <v/>
      </c>
      <c r="Y52" s="13">
        <f>Y51-Y49</f>
        <v/>
      </c>
      <c r="Z52" s="13">
        <f>Z51-Z49</f>
        <v/>
      </c>
      <c r="AA52" s="13">
        <f>AA51-AA49</f>
        <v/>
      </c>
      <c r="AB52" s="13">
        <f>AB51-AB49</f>
        <v/>
      </c>
      <c r="AC52" s="13">
        <f>AC51-AC49</f>
        <v/>
      </c>
      <c r="AD52" s="13">
        <f>AD51-AD49</f>
        <v/>
      </c>
      <c r="AE52" s="13">
        <f>AE51-AE49</f>
        <v/>
      </c>
      <c r="AF52" s="13">
        <f>AF51-AF49</f>
        <v/>
      </c>
      <c r="AG52" s="13">
        <f>AG51-AG49</f>
        <v/>
      </c>
      <c r="AH52" s="13">
        <f>AH51-AH49</f>
        <v/>
      </c>
      <c r="AI52" s="13">
        <f>AI51-AI49</f>
        <v/>
      </c>
      <c r="AJ52" s="13">
        <f>AJ51-AJ49</f>
        <v/>
      </c>
      <c r="AK52" s="13">
        <f>AK51-AK49</f>
        <v/>
      </c>
      <c r="AL52" s="13">
        <f>AL51-AL49</f>
        <v/>
      </c>
      <c r="AM52" s="13">
        <f>AM51-AM49</f>
        <v/>
      </c>
      <c r="AN52" s="13">
        <f>AN51-AN49</f>
        <v/>
      </c>
      <c r="AO52" s="13">
        <f>AO51-AO49</f>
        <v/>
      </c>
      <c r="AP52" s="13">
        <f>AP51-AP49</f>
        <v/>
      </c>
      <c r="AQ52" s="13">
        <f>AQ51-AQ49</f>
        <v/>
      </c>
      <c r="AR52" s="13">
        <f>AR51-AR49</f>
        <v/>
      </c>
      <c r="AS52" s="13">
        <f>AS51-AS49</f>
        <v/>
      </c>
      <c r="AT52" s="13">
        <f>AT51-AT49</f>
        <v/>
      </c>
      <c r="AU52" s="13">
        <f>AU51-AU49</f>
        <v/>
      </c>
      <c r="AV52" s="13">
        <f>AV51-AV49</f>
        <v/>
      </c>
      <c r="AW52" s="13">
        <f>AW51-AW49</f>
        <v/>
      </c>
      <c r="AX52" s="13">
        <f>AX51-AX49</f>
        <v/>
      </c>
      <c r="AY52" s="13">
        <f>AY51-AY49</f>
        <v/>
      </c>
      <c r="AZ52" s="13">
        <f>AZ51-AZ49</f>
        <v/>
      </c>
      <c r="BA52" s="13">
        <f>BA51-BA49</f>
        <v/>
      </c>
      <c r="BB52" s="13">
        <f>BB51-BB49</f>
        <v/>
      </c>
      <c r="BC52" s="13">
        <f>BC51-BC49</f>
        <v/>
      </c>
      <c r="BD52" s="13">
        <f>BD51-BD49</f>
        <v/>
      </c>
      <c r="BE52" s="13">
        <f>BE51-BE49</f>
        <v/>
      </c>
      <c r="BF52" s="13">
        <f>BF51-BF49</f>
        <v/>
      </c>
      <c r="BG52" s="13">
        <f>BG51-BG49</f>
        <v/>
      </c>
      <c r="BH52" s="13">
        <f>BH51-BH49</f>
        <v/>
      </c>
      <c r="BI52" s="13">
        <f>BI51-BI49</f>
        <v/>
      </c>
      <c r="BJ52" s="13">
        <f>BJ51-BJ49</f>
        <v/>
      </c>
      <c r="BK52" s="13">
        <f>BK51-BK49</f>
        <v/>
      </c>
      <c r="BL52" s="13">
        <f>BL51-BL49</f>
        <v/>
      </c>
      <c r="BM52" s="13">
        <f>BM51-BM49</f>
        <v/>
      </c>
      <c r="BN52" s="13">
        <f>BN51-BN49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4" t="inlineStr">
        <is>
          <t>2018H2</t>
        </is>
      </c>
      <c r="K5" s="4" t="inlineStr">
        <is>
          <t>2019H1</t>
        </is>
      </c>
      <c r="L5" s="4" t="inlineStr">
        <is>
          <t>2019H2</t>
        </is>
      </c>
      <c r="M5" s="4" t="inlineStr">
        <is>
          <t>2020H1</t>
        </is>
      </c>
      <c r="N5" s="4" t="inlineStr">
        <is>
          <t>2020H2</t>
        </is>
      </c>
      <c r="O5" s="4" t="inlineStr">
        <is>
          <t>2021H1</t>
        </is>
      </c>
      <c r="P5" s="4" t="inlineStr">
        <is>
          <t>2021H2</t>
        </is>
      </c>
      <c r="Q5" s="4" t="inlineStr">
        <is>
          <t>2022H1</t>
        </is>
      </c>
      <c r="R5" s="4" t="inlineStr">
        <is>
          <t>2022H2</t>
        </is>
      </c>
      <c r="S5" s="4" t="inlineStr">
        <is>
          <t>2023H1</t>
        </is>
      </c>
      <c r="T5" s="4" t="inlineStr">
        <is>
          <t>2023H2</t>
        </is>
      </c>
      <c r="U5" s="4" t="inlineStr">
        <is>
          <t>2024H1</t>
        </is>
      </c>
      <c r="V5" s="4" t="inlineStr">
        <is>
          <t>2024H2</t>
        </is>
      </c>
      <c r="W5" s="4" t="inlineStr">
        <is>
          <t>2025H1</t>
        </is>
      </c>
      <c r="X5" s="4" t="inlineStr">
        <is>
          <t>2025H2</t>
        </is>
      </c>
      <c r="Y5" s="4" t="inlineStr">
        <is>
          <t>2026H1</t>
        </is>
      </c>
      <c r="Z5" s="4" t="inlineStr">
        <is>
          <t>2026H2</t>
        </is>
      </c>
      <c r="AA5" s="4" t="inlineStr">
        <is>
          <t>2027H1</t>
        </is>
      </c>
      <c r="AB5" s="4" t="inlineStr">
        <is>
          <t>2027H2</t>
        </is>
      </c>
      <c r="AC5" s="4" t="inlineStr">
        <is>
          <t>2028H1</t>
        </is>
      </c>
      <c r="AD5" s="4" t="inlineStr">
        <is>
          <t>2028H2</t>
        </is>
      </c>
      <c r="AE5" s="4" t="inlineStr">
        <is>
          <t>2029H1</t>
        </is>
      </c>
      <c r="AF5" s="4" t="inlineStr">
        <is>
          <t>2029H2</t>
        </is>
      </c>
      <c r="AG5" s="4" t="inlineStr">
        <is>
          <t>2030H1</t>
        </is>
      </c>
      <c r="AH5" s="4" t="inlineStr">
        <is>
          <t>2030H2</t>
        </is>
      </c>
      <c r="AI5" s="4" t="inlineStr">
        <is>
          <t>2031H1</t>
        </is>
      </c>
      <c r="AJ5" s="4" t="inlineStr">
        <is>
          <t>2031H2</t>
        </is>
      </c>
      <c r="AK5" s="4" t="inlineStr">
        <is>
          <t>2032H1</t>
        </is>
      </c>
      <c r="AL5" s="4" t="inlineStr">
        <is>
          <t>2032H2</t>
        </is>
      </c>
      <c r="AM5" s="4" t="inlineStr">
        <is>
          <t>2033H1</t>
        </is>
      </c>
      <c r="AN5" s="4" t="inlineStr">
        <is>
          <t>2033H2</t>
        </is>
      </c>
      <c r="AO5" s="4" t="inlineStr">
        <is>
          <t>2034H1</t>
        </is>
      </c>
      <c r="AP5" s="4" t="inlineStr">
        <is>
          <t>2034H2</t>
        </is>
      </c>
      <c r="AQ5" s="4" t="inlineStr">
        <is>
          <t>2035H1</t>
        </is>
      </c>
      <c r="AR5" s="4" t="inlineStr">
        <is>
          <t>2035H2</t>
        </is>
      </c>
      <c r="AS5" s="4" t="inlineStr">
        <is>
          <t>2036H1</t>
        </is>
      </c>
      <c r="AT5" s="4" t="inlineStr">
        <is>
          <t>2036H2</t>
        </is>
      </c>
      <c r="AU5" s="4" t="inlineStr">
        <is>
          <t>2037H1</t>
        </is>
      </c>
      <c r="AV5" s="4" t="inlineStr">
        <is>
          <t>2037H2</t>
        </is>
      </c>
      <c r="AW5" s="4" t="inlineStr">
        <is>
          <t>2038H1</t>
        </is>
      </c>
      <c r="AX5" s="4" t="inlineStr">
        <is>
          <t>2038H2</t>
        </is>
      </c>
      <c r="AY5" s="4" t="inlineStr">
        <is>
          <t>2039H1</t>
        </is>
      </c>
      <c r="AZ5" s="4" t="inlineStr">
        <is>
          <t>2039H2</t>
        </is>
      </c>
      <c r="BA5" s="4" t="inlineStr">
        <is>
          <t>2040H1</t>
        </is>
      </c>
      <c r="BB5" s="4" t="inlineStr">
        <is>
          <t>2040H2</t>
        </is>
      </c>
      <c r="BC5" s="4" t="inlineStr">
        <is>
          <t>2041H1</t>
        </is>
      </c>
      <c r="BD5" s="4" t="inlineStr">
        <is>
          <t>2041H2</t>
        </is>
      </c>
      <c r="BE5" s="4" t="inlineStr">
        <is>
          <t>2042H1</t>
        </is>
      </c>
      <c r="BF5" s="4" t="inlineStr">
        <is>
          <t>2042H2</t>
        </is>
      </c>
      <c r="BG5" s="4" t="inlineStr">
        <is>
          <t>2043H1</t>
        </is>
      </c>
      <c r="BH5" s="4" t="inlineStr">
        <is>
          <t>2043H2</t>
        </is>
      </c>
      <c r="BI5" s="4" t="inlineStr">
        <is>
          <t>2044H1</t>
        </is>
      </c>
      <c r="BJ5" s="4" t="inlineStr">
        <is>
          <t>2044H2</t>
        </is>
      </c>
      <c r="BK5" s="4" t="inlineStr">
        <is>
          <t>2045H1</t>
        </is>
      </c>
      <c r="BL5" s="4" t="inlineStr">
        <is>
          <t>2045H2</t>
        </is>
      </c>
      <c r="BM5" s="4" t="inlineStr">
        <is>
          <t>2046H1</t>
        </is>
      </c>
      <c r="BN5" s="4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3">
        <f>IF(Debt!J115&gt;Inputs!$F$253,(J11+Reserves!J9)/Debt!J115,0)</f>
        <v/>
      </c>
      <c r="K13" s="3">
        <f>IF(Debt!K115&gt;Inputs!$F$253,(K11+Reserves!K9)/Debt!K115,0)</f>
        <v/>
      </c>
      <c r="L13" s="3">
        <f>IF(Debt!L115&gt;Inputs!$F$253,(L11+Reserves!L9)/Debt!L115,0)</f>
        <v/>
      </c>
      <c r="M13" s="3">
        <f>IF(Debt!M115&gt;Inputs!$F$253,(M11+Reserves!M9)/Debt!M115,0)</f>
        <v/>
      </c>
      <c r="N13" s="3">
        <f>IF(Debt!N115&gt;Inputs!$F$253,(N11+Reserves!N9)/Debt!N115,0)</f>
        <v/>
      </c>
      <c r="O13" s="3">
        <f>IF(Debt!O115&gt;Inputs!$F$253,(O11+Reserves!O9)/Debt!O115,0)</f>
        <v/>
      </c>
      <c r="P13" s="3">
        <f>IF(Debt!P115&gt;Inputs!$F$253,(P11+Reserves!P9)/Debt!P115,0)</f>
        <v/>
      </c>
      <c r="Q13" s="3">
        <f>IF(Debt!Q115&gt;Inputs!$F$253,(Q11+Reserves!Q9)/Debt!Q115,0)</f>
        <v/>
      </c>
      <c r="R13" s="3">
        <f>IF(Debt!R115&gt;Inputs!$F$253,(R11+Reserves!R9)/Debt!R115,0)</f>
        <v/>
      </c>
      <c r="S13" s="3">
        <f>IF(Debt!S115&gt;Inputs!$F$253,(S11+Reserves!S9)/Debt!S115,0)</f>
        <v/>
      </c>
      <c r="T13" s="3">
        <f>IF(Debt!T115&gt;Inputs!$F$253,(T11+Reserves!T9)/Debt!T115,0)</f>
        <v/>
      </c>
      <c r="U13" s="3">
        <f>IF(Debt!U115&gt;Inputs!$F$253,(U11+Reserves!U9)/Debt!U115,0)</f>
        <v/>
      </c>
      <c r="V13" s="3">
        <f>IF(Debt!V115&gt;Inputs!$F$253,(V11+Reserves!V9)/Debt!V115,0)</f>
        <v/>
      </c>
      <c r="W13" s="3">
        <f>IF(Debt!W115&gt;Inputs!$F$253,(W11+Reserves!W9)/Debt!W115,0)</f>
        <v/>
      </c>
      <c r="X13" s="3">
        <f>IF(Debt!X115&gt;Inputs!$F$253,(X11+Reserves!X9)/Debt!X115,0)</f>
        <v/>
      </c>
      <c r="Y13" s="3">
        <f>IF(Debt!Y115&gt;Inputs!$F$253,(Y11+Reserves!Y9)/Debt!Y115,0)</f>
        <v/>
      </c>
      <c r="Z13" s="3">
        <f>IF(Debt!Z115&gt;Inputs!$F$253,(Z11+Reserves!Z9)/Debt!Z115,0)</f>
        <v/>
      </c>
      <c r="AA13" s="3">
        <f>IF(Debt!AA115&gt;Inputs!$F$253,(AA11+Reserves!AA9)/Debt!AA115,0)</f>
        <v/>
      </c>
      <c r="AB13" s="3">
        <f>IF(Debt!AB115&gt;Inputs!$F$253,(AB11+Reserves!AB9)/Debt!AB115,0)</f>
        <v/>
      </c>
      <c r="AC13" s="3">
        <f>IF(Debt!AC115&gt;Inputs!$F$253,(AC11+Reserves!AC9)/Debt!AC115,0)</f>
        <v/>
      </c>
      <c r="AD13" s="3">
        <f>IF(Debt!AD115&gt;Inputs!$F$253,(AD11+Reserves!AD9)/Debt!AD115,0)</f>
        <v/>
      </c>
      <c r="AE13" s="3">
        <f>IF(Debt!AE115&gt;Inputs!$F$253,(AE11+Reserves!AE9)/Debt!AE115,0)</f>
        <v/>
      </c>
      <c r="AF13" s="3">
        <f>IF(Debt!AF115&gt;Inputs!$F$253,(AF11+Reserves!AF9)/Debt!AF115,0)</f>
        <v/>
      </c>
      <c r="AG13" s="3">
        <f>IF(Debt!AG115&gt;Inputs!$F$253,(AG11+Reserves!AG9)/Debt!AG115,0)</f>
        <v/>
      </c>
      <c r="AH13" s="3">
        <f>IF(Debt!AH115&gt;Inputs!$F$253,(AH11+Reserves!AH9)/Debt!AH115,0)</f>
        <v/>
      </c>
      <c r="AI13" s="3">
        <f>IF(Debt!AI115&gt;Inputs!$F$253,(AI11+Reserves!AI9)/Debt!AI115,0)</f>
        <v/>
      </c>
      <c r="AJ13" s="3">
        <f>IF(Debt!AJ115&gt;Inputs!$F$253,(AJ11+Reserves!AJ9)/Debt!AJ115,0)</f>
        <v/>
      </c>
      <c r="AK13" s="3">
        <f>IF(Debt!AK115&gt;Inputs!$F$253,(AK11+Reserves!AK9)/Debt!AK115,0)</f>
        <v/>
      </c>
      <c r="AL13" s="3">
        <f>IF(Debt!AL115&gt;Inputs!$F$253,(AL11+Reserves!AL9)/Debt!AL115,0)</f>
        <v/>
      </c>
      <c r="AM13" s="3">
        <f>IF(Debt!AM115&gt;Inputs!$F$253,(AM11+Reserves!AM9)/Debt!AM115,0)</f>
        <v/>
      </c>
      <c r="AN13" s="3">
        <f>IF(Debt!AN115&gt;Inputs!$F$253,(AN11+Reserves!AN9)/Debt!AN115,0)</f>
        <v/>
      </c>
      <c r="AO13" s="3">
        <f>IF(Debt!AO115&gt;Inputs!$F$253,(AO11+Reserves!AO9)/Debt!AO115,0)</f>
        <v/>
      </c>
      <c r="AP13" s="3">
        <f>IF(Debt!AP115&gt;Inputs!$F$253,(AP11+Reserves!AP9)/Debt!AP115,0)</f>
        <v/>
      </c>
      <c r="AQ13" s="3">
        <f>IF(Debt!AQ115&gt;Inputs!$F$253,(AQ11+Reserves!AQ9)/Debt!AQ115,0)</f>
        <v/>
      </c>
      <c r="AR13" s="3">
        <f>IF(Debt!AR115&gt;Inputs!$F$253,(AR11+Reserves!AR9)/Debt!AR115,0)</f>
        <v/>
      </c>
      <c r="AS13" s="3">
        <f>IF(Debt!AS115&gt;Inputs!$F$253,(AS11+Reserves!AS9)/Debt!AS115,0)</f>
        <v/>
      </c>
      <c r="AT13" s="3">
        <f>IF(Debt!AT115&gt;Inputs!$F$253,(AT11+Reserves!AT9)/Debt!AT115,0)</f>
        <v/>
      </c>
      <c r="AU13" s="3">
        <f>IF(Debt!AU115&gt;Inputs!$F$253,(AU11+Reserves!AU9)/Debt!AU115,0)</f>
        <v/>
      </c>
      <c r="AV13" s="3">
        <f>IF(Debt!AV115&gt;Inputs!$F$253,(AV11+Reserves!AV9)/Debt!AV115,0)</f>
        <v/>
      </c>
      <c r="AW13" s="3">
        <f>IF(Debt!AW115&gt;Inputs!$F$253,(AW11+Reserves!AW9)/Debt!AW115,0)</f>
        <v/>
      </c>
      <c r="AX13" s="3">
        <f>IF(Debt!AX115&gt;Inputs!$F$253,(AX11+Reserves!AX9)/Debt!AX115,0)</f>
        <v/>
      </c>
      <c r="AY13" s="3">
        <f>IF(Debt!AY115&gt;Inputs!$F$253,(AY11+Reserves!AY9)/Debt!AY115,0)</f>
        <v/>
      </c>
      <c r="AZ13" s="3">
        <f>IF(Debt!AZ115&gt;Inputs!$F$253,(AZ11+Reserves!AZ9)/Debt!AZ115,0)</f>
        <v/>
      </c>
      <c r="BA13" s="3">
        <f>IF(Debt!BA115&gt;Inputs!$F$253,(BA11+Reserves!BA9)/Debt!BA115,0)</f>
        <v/>
      </c>
      <c r="BB13" s="3">
        <f>IF(Debt!BB115&gt;Inputs!$F$253,(BB11+Reserves!BB9)/Debt!BB115,0)</f>
        <v/>
      </c>
      <c r="BC13" s="3">
        <f>IF(Debt!BC115&gt;Inputs!$F$253,(BC11+Reserves!BC9)/Debt!BC115,0)</f>
        <v/>
      </c>
      <c r="BD13" s="3">
        <f>IF(Debt!BD115&gt;Inputs!$F$253,(BD11+Reserves!BD9)/Debt!BD115,0)</f>
        <v/>
      </c>
      <c r="BE13" s="3">
        <f>IF(Debt!BE115&gt;Inputs!$F$253,(BE11+Reserves!BE9)/Debt!BE115,0)</f>
        <v/>
      </c>
      <c r="BF13" s="3">
        <f>IF(Debt!BF115&gt;Inputs!$F$253,(BF11+Reserves!BF9)/Debt!BF115,0)</f>
        <v/>
      </c>
      <c r="BG13" s="3">
        <f>IF(Debt!BG115&gt;Inputs!$F$253,(BG11+Reserves!BG9)/Debt!BG115,0)</f>
        <v/>
      </c>
      <c r="BH13" s="3">
        <f>IF(Debt!BH115&gt;Inputs!$F$253,(BH11+Reserves!BH9)/Debt!BH115,0)</f>
        <v/>
      </c>
      <c r="BI13" s="3">
        <f>IF(Debt!BI115&gt;Inputs!$F$253,(BI11+Reserves!BI9)/Debt!BI115,0)</f>
        <v/>
      </c>
      <c r="BJ13" s="3">
        <f>IF(Debt!BJ115&gt;Inputs!$F$253,(BJ11+Reserves!BJ9)/Debt!BJ115,0)</f>
        <v/>
      </c>
      <c r="BK13" s="3">
        <f>IF(Debt!BK115&gt;Inputs!$F$253,(BK11+Reserves!BK9)/Debt!BK115,0)</f>
        <v/>
      </c>
      <c r="BL13" s="3">
        <f>IF(Debt!BL115&gt;Inputs!$F$253,(BL11+Reserves!BL9)/Debt!BL115,0)</f>
        <v/>
      </c>
      <c r="BM13" s="3">
        <f>IF(Debt!BM115&gt;Inputs!$F$253,(BM11+Reserves!BM9)/Debt!BM115,0)</f>
        <v/>
      </c>
      <c r="BN13" s="3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3">
        <f>IF(Debt!J115&gt;Inputs!$F$253,J11/Debt!J115,0)</f>
        <v/>
      </c>
      <c r="K14" s="3">
        <f>IF(Debt!K115&gt;Inputs!$F$253,K11/Debt!K115,0)</f>
        <v/>
      </c>
      <c r="L14" s="3">
        <f>IF(Debt!L115&gt;Inputs!$F$253,L11/Debt!L115,0)</f>
        <v/>
      </c>
      <c r="M14" s="3">
        <f>IF(Debt!M115&gt;Inputs!$F$253,M11/Debt!M115,0)</f>
        <v/>
      </c>
      <c r="N14" s="3">
        <f>IF(Debt!N115&gt;Inputs!$F$253,N11/Debt!N115,0)</f>
        <v/>
      </c>
      <c r="O14" s="3">
        <f>IF(Debt!O115&gt;Inputs!$F$253,O11/Debt!O115,0)</f>
        <v/>
      </c>
      <c r="P14" s="3">
        <f>IF(Debt!P115&gt;Inputs!$F$253,P11/Debt!P115,0)</f>
        <v/>
      </c>
      <c r="Q14" s="3">
        <f>IF(Debt!Q115&gt;Inputs!$F$253,Q11/Debt!Q115,0)</f>
        <v/>
      </c>
      <c r="R14" s="3">
        <f>IF(Debt!R115&gt;Inputs!$F$253,R11/Debt!R115,0)</f>
        <v/>
      </c>
      <c r="S14" s="3">
        <f>IF(Debt!S115&gt;Inputs!$F$253,S11/Debt!S115,0)</f>
        <v/>
      </c>
      <c r="T14" s="3">
        <f>IF(Debt!T115&gt;Inputs!$F$253,T11/Debt!T115,0)</f>
        <v/>
      </c>
      <c r="U14" s="3">
        <f>IF(Debt!U115&gt;Inputs!$F$253,U11/Debt!U115,0)</f>
        <v/>
      </c>
      <c r="V14" s="3">
        <f>IF(Debt!V115&gt;Inputs!$F$253,V11/Debt!V115,0)</f>
        <v/>
      </c>
      <c r="W14" s="3">
        <f>IF(Debt!W115&gt;Inputs!$F$253,W11/Debt!W115,0)</f>
        <v/>
      </c>
      <c r="X14" s="3">
        <f>IF(Debt!X115&gt;Inputs!$F$253,X11/Debt!X115,0)</f>
        <v/>
      </c>
      <c r="Y14" s="3">
        <f>IF(Debt!Y115&gt;Inputs!$F$253,Y11/Debt!Y115,0)</f>
        <v/>
      </c>
      <c r="Z14" s="3">
        <f>IF(Debt!Z115&gt;Inputs!$F$253,Z11/Debt!Z115,0)</f>
        <v/>
      </c>
      <c r="AA14" s="3">
        <f>IF(Debt!AA115&gt;Inputs!$F$253,AA11/Debt!AA115,0)</f>
        <v/>
      </c>
      <c r="AB14" s="3">
        <f>IF(Debt!AB115&gt;Inputs!$F$253,AB11/Debt!AB115,0)</f>
        <v/>
      </c>
      <c r="AC14" s="3">
        <f>IF(Debt!AC115&gt;Inputs!$F$253,AC11/Debt!AC115,0)</f>
        <v/>
      </c>
      <c r="AD14" s="3">
        <f>IF(Debt!AD115&gt;Inputs!$F$253,AD11/Debt!AD115,0)</f>
        <v/>
      </c>
      <c r="AE14" s="3">
        <f>IF(Debt!AE115&gt;Inputs!$F$253,AE11/Debt!AE115,0)</f>
        <v/>
      </c>
      <c r="AF14" s="3">
        <f>IF(Debt!AF115&gt;Inputs!$F$253,AF11/Debt!AF115,0)</f>
        <v/>
      </c>
      <c r="AG14" s="3">
        <f>IF(Debt!AG115&gt;Inputs!$F$253,AG11/Debt!AG115,0)</f>
        <v/>
      </c>
      <c r="AH14" s="3">
        <f>IF(Debt!AH115&gt;Inputs!$F$253,AH11/Debt!AH115,0)</f>
        <v/>
      </c>
      <c r="AI14" s="3">
        <f>IF(Debt!AI115&gt;Inputs!$F$253,AI11/Debt!AI115,0)</f>
        <v/>
      </c>
      <c r="AJ14" s="3">
        <f>IF(Debt!AJ115&gt;Inputs!$F$253,AJ11/Debt!AJ115,0)</f>
        <v/>
      </c>
      <c r="AK14" s="3">
        <f>IF(Debt!AK115&gt;Inputs!$F$253,AK11/Debt!AK115,0)</f>
        <v/>
      </c>
      <c r="AL14" s="3">
        <f>IF(Debt!AL115&gt;Inputs!$F$253,AL11/Debt!AL115,0)</f>
        <v/>
      </c>
      <c r="AM14" s="3">
        <f>IF(Debt!AM115&gt;Inputs!$F$253,AM11/Debt!AM115,0)</f>
        <v/>
      </c>
      <c r="AN14" s="3">
        <f>IF(Debt!AN115&gt;Inputs!$F$253,AN11/Debt!AN115,0)</f>
        <v/>
      </c>
      <c r="AO14" s="3">
        <f>IF(Debt!AO115&gt;Inputs!$F$253,AO11/Debt!AO115,0)</f>
        <v/>
      </c>
      <c r="AP14" s="3">
        <f>IF(Debt!AP115&gt;Inputs!$F$253,AP11/Debt!AP115,0)</f>
        <v/>
      </c>
      <c r="AQ14" s="3">
        <f>IF(Debt!AQ115&gt;Inputs!$F$253,AQ11/Debt!AQ115,0)</f>
        <v/>
      </c>
      <c r="AR14" s="3">
        <f>IF(Debt!AR115&gt;Inputs!$F$253,AR11/Debt!AR115,0)</f>
        <v/>
      </c>
      <c r="AS14" s="3">
        <f>IF(Debt!AS115&gt;Inputs!$F$253,AS11/Debt!AS115,0)</f>
        <v/>
      </c>
      <c r="AT14" s="3">
        <f>IF(Debt!AT115&gt;Inputs!$F$253,AT11/Debt!AT115,0)</f>
        <v/>
      </c>
      <c r="AU14" s="3">
        <f>IF(Debt!AU115&gt;Inputs!$F$253,AU11/Debt!AU115,0)</f>
        <v/>
      </c>
      <c r="AV14" s="3">
        <f>IF(Debt!AV115&gt;Inputs!$F$253,AV11/Debt!AV115,0)</f>
        <v/>
      </c>
      <c r="AW14" s="3">
        <f>IF(Debt!AW115&gt;Inputs!$F$253,AW11/Debt!AW115,0)</f>
        <v/>
      </c>
      <c r="AX14" s="3">
        <f>IF(Debt!AX115&gt;Inputs!$F$253,AX11/Debt!AX115,0)</f>
        <v/>
      </c>
      <c r="AY14" s="3">
        <f>IF(Debt!AY115&gt;Inputs!$F$253,AY11/Debt!AY115,0)</f>
        <v/>
      </c>
      <c r="AZ14" s="3">
        <f>IF(Debt!AZ115&gt;Inputs!$F$253,AZ11/Debt!AZ115,0)</f>
        <v/>
      </c>
      <c r="BA14" s="3">
        <f>IF(Debt!BA115&gt;Inputs!$F$253,BA11/Debt!BA115,0)</f>
        <v/>
      </c>
      <c r="BB14" s="3">
        <f>IF(Debt!BB115&gt;Inputs!$F$253,BB11/Debt!BB115,0)</f>
        <v/>
      </c>
      <c r="BC14" s="3">
        <f>IF(Debt!BC115&gt;Inputs!$F$253,BC11/Debt!BC115,0)</f>
        <v/>
      </c>
      <c r="BD14" s="3">
        <f>IF(Debt!BD115&gt;Inputs!$F$253,BD11/Debt!BD115,0)</f>
        <v/>
      </c>
      <c r="BE14" s="3">
        <f>IF(Debt!BE115&gt;Inputs!$F$253,BE11/Debt!BE115,0)</f>
        <v/>
      </c>
      <c r="BF14" s="3">
        <f>IF(Debt!BF115&gt;Inputs!$F$253,BF11/Debt!BF115,0)</f>
        <v/>
      </c>
      <c r="BG14" s="3">
        <f>IF(Debt!BG115&gt;Inputs!$F$253,BG11/Debt!BG115,0)</f>
        <v/>
      </c>
      <c r="BH14" s="3">
        <f>IF(Debt!BH115&gt;Inputs!$F$253,BH11/Debt!BH115,0)</f>
        <v/>
      </c>
      <c r="BI14" s="3">
        <f>IF(Debt!BI115&gt;Inputs!$F$253,BI11/Debt!BI115,0)</f>
        <v/>
      </c>
      <c r="BJ14" s="3">
        <f>IF(Debt!BJ115&gt;Inputs!$F$253,BJ11/Debt!BJ115,0)</f>
        <v/>
      </c>
      <c r="BK14" s="3">
        <f>IF(Debt!BK115&gt;Inputs!$F$253,BK11/Debt!BK115,0)</f>
        <v/>
      </c>
      <c r="BL14" s="3">
        <f>IF(Debt!BL115&gt;Inputs!$F$253,BL11/Debt!BL115,0)</f>
        <v/>
      </c>
      <c r="BM14" s="3">
        <f>IF(Debt!BM115&gt;Inputs!$F$253,BM11/Debt!BM115,0)</f>
        <v/>
      </c>
      <c r="BN14" s="3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3">
        <f>IF(Debt!J115&gt;Inputs!$F$253,J12/Debt!J115,0)</f>
        <v/>
      </c>
      <c r="K15" s="3">
        <f>IF(Debt!K115&gt;Inputs!$F$253,K12/Debt!K115,0)</f>
        <v/>
      </c>
      <c r="L15" s="3">
        <f>IF(Debt!L115&gt;Inputs!$F$253,L12/Debt!L115,0)</f>
        <v/>
      </c>
      <c r="M15" s="3">
        <f>IF(Debt!M115&gt;Inputs!$F$253,M12/Debt!M115,0)</f>
        <v/>
      </c>
      <c r="N15" s="3">
        <f>IF(Debt!N115&gt;Inputs!$F$253,N12/Debt!N115,0)</f>
        <v/>
      </c>
      <c r="O15" s="3">
        <f>IF(Debt!O115&gt;Inputs!$F$253,O12/Debt!O115,0)</f>
        <v/>
      </c>
      <c r="P15" s="3">
        <f>IF(Debt!P115&gt;Inputs!$F$253,P12/Debt!P115,0)</f>
        <v/>
      </c>
      <c r="Q15" s="3">
        <f>IF(Debt!Q115&gt;Inputs!$F$253,Q12/Debt!Q115,0)</f>
        <v/>
      </c>
      <c r="R15" s="3">
        <f>IF(Debt!R115&gt;Inputs!$F$253,R12/Debt!R115,0)</f>
        <v/>
      </c>
      <c r="S15" s="3">
        <f>IF(Debt!S115&gt;Inputs!$F$253,S12/Debt!S115,0)</f>
        <v/>
      </c>
      <c r="T15" s="3">
        <f>IF(Debt!T115&gt;Inputs!$F$253,T12/Debt!T115,0)</f>
        <v/>
      </c>
      <c r="U15" s="3">
        <f>IF(Debt!U115&gt;Inputs!$F$253,U12/Debt!U115,0)</f>
        <v/>
      </c>
      <c r="V15" s="3">
        <f>IF(Debt!V115&gt;Inputs!$F$253,V12/Debt!V115,0)</f>
        <v/>
      </c>
      <c r="W15" s="3">
        <f>IF(Debt!W115&gt;Inputs!$F$253,W12/Debt!W115,0)</f>
        <v/>
      </c>
      <c r="X15" s="3">
        <f>IF(Debt!X115&gt;Inputs!$F$253,X12/Debt!X115,0)</f>
        <v/>
      </c>
      <c r="Y15" s="3">
        <f>IF(Debt!Y115&gt;Inputs!$F$253,Y12/Debt!Y115,0)</f>
        <v/>
      </c>
      <c r="Z15" s="3">
        <f>IF(Debt!Z115&gt;Inputs!$F$253,Z12/Debt!Z115,0)</f>
        <v/>
      </c>
      <c r="AA15" s="3">
        <f>IF(Debt!AA115&gt;Inputs!$F$253,AA12/Debt!AA115,0)</f>
        <v/>
      </c>
      <c r="AB15" s="3">
        <f>IF(Debt!AB115&gt;Inputs!$F$253,AB12/Debt!AB115,0)</f>
        <v/>
      </c>
      <c r="AC15" s="3">
        <f>IF(Debt!AC115&gt;Inputs!$F$253,AC12/Debt!AC115,0)</f>
        <v/>
      </c>
      <c r="AD15" s="3">
        <f>IF(Debt!AD115&gt;Inputs!$F$253,AD12/Debt!AD115,0)</f>
        <v/>
      </c>
      <c r="AE15" s="3">
        <f>IF(Debt!AE115&gt;Inputs!$F$253,AE12/Debt!AE115,0)</f>
        <v/>
      </c>
      <c r="AF15" s="3">
        <f>IF(Debt!AF115&gt;Inputs!$F$253,AF12/Debt!AF115,0)</f>
        <v/>
      </c>
      <c r="AG15" s="3">
        <f>IF(Debt!AG115&gt;Inputs!$F$253,AG12/Debt!AG115,0)</f>
        <v/>
      </c>
      <c r="AH15" s="3">
        <f>IF(Debt!AH115&gt;Inputs!$F$253,AH12/Debt!AH115,0)</f>
        <v/>
      </c>
      <c r="AI15" s="3">
        <f>IF(Debt!AI115&gt;Inputs!$F$253,AI12/Debt!AI115,0)</f>
        <v/>
      </c>
      <c r="AJ15" s="3">
        <f>IF(Debt!AJ115&gt;Inputs!$F$253,AJ12/Debt!AJ115,0)</f>
        <v/>
      </c>
      <c r="AK15" s="3">
        <f>IF(Debt!AK115&gt;Inputs!$F$253,AK12/Debt!AK115,0)</f>
        <v/>
      </c>
      <c r="AL15" s="3">
        <f>IF(Debt!AL115&gt;Inputs!$F$253,AL12/Debt!AL115,0)</f>
        <v/>
      </c>
      <c r="AM15" s="3">
        <f>IF(Debt!AM115&gt;Inputs!$F$253,AM12/Debt!AM115,0)</f>
        <v/>
      </c>
      <c r="AN15" s="3">
        <f>IF(Debt!AN115&gt;Inputs!$F$253,AN12/Debt!AN115,0)</f>
        <v/>
      </c>
      <c r="AO15" s="3">
        <f>IF(Debt!AO115&gt;Inputs!$F$253,AO12/Debt!AO115,0)</f>
        <v/>
      </c>
      <c r="AP15" s="3">
        <f>IF(Debt!AP115&gt;Inputs!$F$253,AP12/Debt!AP115,0)</f>
        <v/>
      </c>
      <c r="AQ15" s="3">
        <f>IF(Debt!AQ115&gt;Inputs!$F$253,AQ12/Debt!AQ115,0)</f>
        <v/>
      </c>
      <c r="AR15" s="3">
        <f>IF(Debt!AR115&gt;Inputs!$F$253,AR12/Debt!AR115,0)</f>
        <v/>
      </c>
      <c r="AS15" s="3">
        <f>IF(Debt!AS115&gt;Inputs!$F$253,AS12/Debt!AS115,0)</f>
        <v/>
      </c>
      <c r="AT15" s="3">
        <f>IF(Debt!AT115&gt;Inputs!$F$253,AT12/Debt!AT115,0)</f>
        <v/>
      </c>
      <c r="AU15" s="3">
        <f>IF(Debt!AU115&gt;Inputs!$F$253,AU12/Debt!AU115,0)</f>
        <v/>
      </c>
      <c r="AV15" s="3">
        <f>IF(Debt!AV115&gt;Inputs!$F$253,AV12/Debt!AV115,0)</f>
        <v/>
      </c>
      <c r="AW15" s="3">
        <f>IF(Debt!AW115&gt;Inputs!$F$253,AW12/Debt!AW115,0)</f>
        <v/>
      </c>
      <c r="AX15" s="3">
        <f>IF(Debt!AX115&gt;Inputs!$F$253,AX12/Debt!AX115,0)</f>
        <v/>
      </c>
      <c r="AY15" s="3">
        <f>IF(Debt!AY115&gt;Inputs!$F$253,AY12/Debt!AY115,0)</f>
        <v/>
      </c>
      <c r="AZ15" s="3">
        <f>IF(Debt!AZ115&gt;Inputs!$F$253,AZ12/Debt!AZ115,0)</f>
        <v/>
      </c>
      <c r="BA15" s="3">
        <f>IF(Debt!BA115&gt;Inputs!$F$253,BA12/Debt!BA115,0)</f>
        <v/>
      </c>
      <c r="BB15" s="3">
        <f>IF(Debt!BB115&gt;Inputs!$F$253,BB12/Debt!BB115,0)</f>
        <v/>
      </c>
      <c r="BC15" s="3">
        <f>IF(Debt!BC115&gt;Inputs!$F$253,BC12/Debt!BC115,0)</f>
        <v/>
      </c>
      <c r="BD15" s="3">
        <f>IF(Debt!BD115&gt;Inputs!$F$253,BD12/Debt!BD115,0)</f>
        <v/>
      </c>
      <c r="BE15" s="3">
        <f>IF(Debt!BE115&gt;Inputs!$F$253,BE12/Debt!BE115,0)</f>
        <v/>
      </c>
      <c r="BF15" s="3">
        <f>IF(Debt!BF115&gt;Inputs!$F$253,BF12/Debt!BF115,0)</f>
        <v/>
      </c>
      <c r="BG15" s="3">
        <f>IF(Debt!BG115&gt;Inputs!$F$253,BG12/Debt!BG115,0)</f>
        <v/>
      </c>
      <c r="BH15" s="3">
        <f>IF(Debt!BH115&gt;Inputs!$F$253,BH12/Debt!BH115,0)</f>
        <v/>
      </c>
      <c r="BI15" s="3">
        <f>IF(Debt!BI115&gt;Inputs!$F$253,BI12/Debt!BI115,0)</f>
        <v/>
      </c>
      <c r="BJ15" s="3">
        <f>IF(Debt!BJ115&gt;Inputs!$F$253,BJ12/Debt!BJ115,0)</f>
        <v/>
      </c>
      <c r="BK15" s="3">
        <f>IF(Debt!BK115&gt;Inputs!$F$253,BK12/Debt!BK115,0)</f>
        <v/>
      </c>
      <c r="BL15" s="3">
        <f>IF(Debt!BL115&gt;Inputs!$F$253,BL12/Debt!BL115,0)</f>
        <v/>
      </c>
      <c r="BM15" s="3">
        <f>IF(Debt!BM115&gt;Inputs!$F$253,BM12/Debt!BM115,0)</f>
        <v/>
      </c>
      <c r="BN15" s="3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3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3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3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3">
        <f>INDEX(Ratios!$J$15:$BN$15,1,Time!$F$13)</f>
        <v/>
      </c>
    </row>
    <row r="20">
      <c r="D20" t="inlineStr">
        <is>
          <t>Projected 12-month DSCR, next two periods (report only)</t>
        </is>
      </c>
      <c r="E20" t="inlineStr">
        <is>
          <t>x</t>
        </is>
      </c>
      <c r="J20" s="3">
        <f>IF(Debt!K114&gt;Inputs!$F$253,(Waterfall!K7+IF(Debt!L114&gt;Inputs!$F$253,Waterfall!L7,0))/(Debt!K114+Debt!L114),0)</f>
        <v/>
      </c>
      <c r="K20" s="3">
        <f>IF(Debt!L114&gt;Inputs!$F$253,(Waterfall!L7+IF(Debt!M114&gt;Inputs!$F$253,Waterfall!M7,0))/(Debt!L114+Debt!M114),0)</f>
        <v/>
      </c>
      <c r="L20" s="3">
        <f>IF(Debt!M114&gt;Inputs!$F$253,(Waterfall!M7+IF(Debt!N114&gt;Inputs!$F$253,Waterfall!N7,0))/(Debt!M114+Debt!N114),0)</f>
        <v/>
      </c>
      <c r="M20" s="3">
        <f>IF(Debt!N114&gt;Inputs!$F$253,(Waterfall!N7+IF(Debt!O114&gt;Inputs!$F$253,Waterfall!O7,0))/(Debt!N114+Debt!O114),0)</f>
        <v/>
      </c>
      <c r="N20" s="3">
        <f>IF(Debt!O114&gt;Inputs!$F$253,(Waterfall!O7+IF(Debt!P114&gt;Inputs!$F$253,Waterfall!P7,0))/(Debt!O114+Debt!P114),0)</f>
        <v/>
      </c>
      <c r="O20" s="3">
        <f>IF(Debt!P114&gt;Inputs!$F$253,(Waterfall!P7+IF(Debt!Q114&gt;Inputs!$F$253,Waterfall!Q7,0))/(Debt!P114+Debt!Q114),0)</f>
        <v/>
      </c>
      <c r="P20" s="3">
        <f>IF(Debt!Q114&gt;Inputs!$F$253,(Waterfall!Q7+IF(Debt!R114&gt;Inputs!$F$253,Waterfall!R7,0))/(Debt!Q114+Debt!R114),0)</f>
        <v/>
      </c>
      <c r="Q20" s="3">
        <f>IF(Debt!R114&gt;Inputs!$F$253,(Waterfall!R7+IF(Debt!S114&gt;Inputs!$F$253,Waterfall!S7,0))/(Debt!R114+Debt!S114),0)</f>
        <v/>
      </c>
      <c r="R20" s="3">
        <f>IF(Debt!S114&gt;Inputs!$F$253,(Waterfall!S7+IF(Debt!T114&gt;Inputs!$F$253,Waterfall!T7,0))/(Debt!S114+Debt!T114),0)</f>
        <v/>
      </c>
      <c r="S20" s="3">
        <f>IF(Debt!T114&gt;Inputs!$F$253,(Waterfall!T7+IF(Debt!U114&gt;Inputs!$F$253,Waterfall!U7,0))/(Debt!T114+Debt!U114),0)</f>
        <v/>
      </c>
      <c r="T20" s="3">
        <f>IF(Debt!U114&gt;Inputs!$F$253,(Waterfall!U7+IF(Debt!V114&gt;Inputs!$F$253,Waterfall!V7,0))/(Debt!U114+Debt!V114),0)</f>
        <v/>
      </c>
      <c r="U20" s="3">
        <f>IF(Debt!V114&gt;Inputs!$F$253,(Waterfall!V7+IF(Debt!W114&gt;Inputs!$F$253,Waterfall!W7,0))/(Debt!V114+Debt!W114),0)</f>
        <v/>
      </c>
      <c r="V20" s="3">
        <f>IF(Debt!W114&gt;Inputs!$F$253,(Waterfall!W7+IF(Debt!X114&gt;Inputs!$F$253,Waterfall!X7,0))/(Debt!W114+Debt!X114),0)</f>
        <v/>
      </c>
      <c r="W20" s="3">
        <f>IF(Debt!X114&gt;Inputs!$F$253,(Waterfall!X7+IF(Debt!Y114&gt;Inputs!$F$253,Waterfall!Y7,0))/(Debt!X114+Debt!Y114),0)</f>
        <v/>
      </c>
      <c r="X20" s="3">
        <f>IF(Debt!Y114&gt;Inputs!$F$253,(Waterfall!Y7+IF(Debt!Z114&gt;Inputs!$F$253,Waterfall!Z7,0))/(Debt!Y114+Debt!Z114),0)</f>
        <v/>
      </c>
      <c r="Y20" s="3">
        <f>IF(Debt!Z114&gt;Inputs!$F$253,(Waterfall!Z7+IF(Debt!AA114&gt;Inputs!$F$253,Waterfall!AA7,0))/(Debt!Z114+Debt!AA114),0)</f>
        <v/>
      </c>
      <c r="Z20" s="3">
        <f>IF(Debt!AA114&gt;Inputs!$F$253,(Waterfall!AA7+IF(Debt!AB114&gt;Inputs!$F$253,Waterfall!AB7,0))/(Debt!AA114+Debt!AB114),0)</f>
        <v/>
      </c>
      <c r="AA20" s="3">
        <f>IF(Debt!AB114&gt;Inputs!$F$253,(Waterfall!AB7+IF(Debt!AC114&gt;Inputs!$F$253,Waterfall!AC7,0))/(Debt!AB114+Debt!AC114),0)</f>
        <v/>
      </c>
      <c r="AB20" s="3">
        <f>IF(Debt!AC114&gt;Inputs!$F$253,(Waterfall!AC7+IF(Debt!AD114&gt;Inputs!$F$253,Waterfall!AD7,0))/(Debt!AC114+Debt!AD114),0)</f>
        <v/>
      </c>
      <c r="AC20" s="3">
        <f>IF(Debt!AD114&gt;Inputs!$F$253,(Waterfall!AD7+IF(Debt!AE114&gt;Inputs!$F$253,Waterfall!AE7,0))/(Debt!AD114+Debt!AE114),0)</f>
        <v/>
      </c>
      <c r="AD20" s="3">
        <f>IF(Debt!AE114&gt;Inputs!$F$253,(Waterfall!AE7+IF(Debt!AF114&gt;Inputs!$F$253,Waterfall!AF7,0))/(Debt!AE114+Debt!AF114),0)</f>
        <v/>
      </c>
      <c r="AE20" s="3">
        <f>IF(Debt!AF114&gt;Inputs!$F$253,(Waterfall!AF7+IF(Debt!AG114&gt;Inputs!$F$253,Waterfall!AG7,0))/(Debt!AF114+Debt!AG114),0)</f>
        <v/>
      </c>
      <c r="AF20" s="3">
        <f>IF(Debt!AG114&gt;Inputs!$F$253,(Waterfall!AG7+IF(Debt!AH114&gt;Inputs!$F$253,Waterfall!AH7,0))/(Debt!AG114+Debt!AH114),0)</f>
        <v/>
      </c>
      <c r="AG20" s="3">
        <f>IF(Debt!AH114&gt;Inputs!$F$253,(Waterfall!AH7+IF(Debt!AI114&gt;Inputs!$F$253,Waterfall!AI7,0))/(Debt!AH114+Debt!AI114),0)</f>
        <v/>
      </c>
      <c r="AH20" s="3">
        <f>IF(Debt!AI114&gt;Inputs!$F$253,(Waterfall!AI7+IF(Debt!AJ114&gt;Inputs!$F$253,Waterfall!AJ7,0))/(Debt!AI114+Debt!AJ114),0)</f>
        <v/>
      </c>
      <c r="AI20" s="3">
        <f>IF(Debt!AJ114&gt;Inputs!$F$253,(Waterfall!AJ7+IF(Debt!AK114&gt;Inputs!$F$253,Waterfall!AK7,0))/(Debt!AJ114+Debt!AK114),0)</f>
        <v/>
      </c>
      <c r="AJ20" s="3">
        <f>IF(Debt!AK114&gt;Inputs!$F$253,(Waterfall!AK7+IF(Debt!AL114&gt;Inputs!$F$253,Waterfall!AL7,0))/(Debt!AK114+Debt!AL114),0)</f>
        <v/>
      </c>
      <c r="AK20" s="3">
        <f>IF(Debt!AL114&gt;Inputs!$F$253,(Waterfall!AL7+IF(Debt!AM114&gt;Inputs!$F$253,Waterfall!AM7,0))/(Debt!AL114+Debt!AM114),0)</f>
        <v/>
      </c>
      <c r="AL20" s="3">
        <f>IF(Debt!AM114&gt;Inputs!$F$253,(Waterfall!AM7+IF(Debt!AN114&gt;Inputs!$F$253,Waterfall!AN7,0))/(Debt!AM114+Debt!AN114),0)</f>
        <v/>
      </c>
      <c r="AM20" s="3">
        <f>IF(Debt!AN114&gt;Inputs!$F$253,(Waterfall!AN7+IF(Debt!AO114&gt;Inputs!$F$253,Waterfall!AO7,0))/(Debt!AN114+Debt!AO114),0)</f>
        <v/>
      </c>
      <c r="AN20" s="3">
        <f>IF(Debt!AO114&gt;Inputs!$F$253,(Waterfall!AO7+IF(Debt!AP114&gt;Inputs!$F$253,Waterfall!AP7,0))/(Debt!AO114+Debt!AP114),0)</f>
        <v/>
      </c>
      <c r="AO20" s="3">
        <f>IF(Debt!AP114&gt;Inputs!$F$253,(Waterfall!AP7+IF(Debt!AQ114&gt;Inputs!$F$253,Waterfall!AQ7,0))/(Debt!AP114+Debt!AQ114),0)</f>
        <v/>
      </c>
      <c r="AP20" s="3">
        <f>IF(Debt!AQ114&gt;Inputs!$F$253,(Waterfall!AQ7+IF(Debt!AR114&gt;Inputs!$F$253,Waterfall!AR7,0))/(Debt!AQ114+Debt!AR114),0)</f>
        <v/>
      </c>
      <c r="AQ20" s="3">
        <f>IF(Debt!AR114&gt;Inputs!$F$253,(Waterfall!AR7+IF(Debt!AS114&gt;Inputs!$F$253,Waterfall!AS7,0))/(Debt!AR114+Debt!AS114),0)</f>
        <v/>
      </c>
      <c r="AR20" s="3">
        <f>IF(Debt!AS114&gt;Inputs!$F$253,(Waterfall!AS7+IF(Debt!AT114&gt;Inputs!$F$253,Waterfall!AT7,0))/(Debt!AS114+Debt!AT114),0)</f>
        <v/>
      </c>
      <c r="AS20" s="3">
        <f>IF(Debt!AT114&gt;Inputs!$F$253,(Waterfall!AT7+IF(Debt!AU114&gt;Inputs!$F$253,Waterfall!AU7,0))/(Debt!AT114+Debt!AU114),0)</f>
        <v/>
      </c>
      <c r="AT20" s="3">
        <f>IF(Debt!AU114&gt;Inputs!$F$253,(Waterfall!AU7+IF(Debt!AV114&gt;Inputs!$F$253,Waterfall!AV7,0))/(Debt!AU114+Debt!AV114),0)</f>
        <v/>
      </c>
      <c r="AU20" s="3">
        <f>IF(Debt!AV114&gt;Inputs!$F$253,(Waterfall!AV7+IF(Debt!AW114&gt;Inputs!$F$253,Waterfall!AW7,0))/(Debt!AV114+Debt!AW114),0)</f>
        <v/>
      </c>
      <c r="AV20" s="3">
        <f>IF(Debt!AW114&gt;Inputs!$F$253,(Waterfall!AW7+IF(Debt!AX114&gt;Inputs!$F$253,Waterfall!AX7,0))/(Debt!AW114+Debt!AX114),0)</f>
        <v/>
      </c>
      <c r="AW20" s="3">
        <f>IF(Debt!AX114&gt;Inputs!$F$253,(Waterfall!AX7+IF(Debt!AY114&gt;Inputs!$F$253,Waterfall!AY7,0))/(Debt!AX114+Debt!AY114),0)</f>
        <v/>
      </c>
      <c r="AX20" s="3">
        <f>IF(Debt!AY114&gt;Inputs!$F$253,(Waterfall!AY7+IF(Debt!AZ114&gt;Inputs!$F$253,Waterfall!AZ7,0))/(Debt!AY114+Debt!AZ114),0)</f>
        <v/>
      </c>
      <c r="AY20" s="3">
        <f>IF(Debt!AZ114&gt;Inputs!$F$253,(Waterfall!AZ7+IF(Debt!BA114&gt;Inputs!$F$253,Waterfall!BA7,0))/(Debt!AZ114+Debt!BA114),0)</f>
        <v/>
      </c>
      <c r="AZ20" s="3">
        <f>IF(Debt!BA114&gt;Inputs!$F$253,(Waterfall!BA7+IF(Debt!BB114&gt;Inputs!$F$253,Waterfall!BB7,0))/(Debt!BA114+Debt!BB114),0)</f>
        <v/>
      </c>
      <c r="BA20" s="3">
        <f>IF(Debt!BB114&gt;Inputs!$F$253,(Waterfall!BB7+IF(Debt!BC114&gt;Inputs!$F$253,Waterfall!BC7,0))/(Debt!BB114+Debt!BC114),0)</f>
        <v/>
      </c>
      <c r="BB20" s="3">
        <f>IF(Debt!BC114&gt;Inputs!$F$253,(Waterfall!BC7+IF(Debt!BD114&gt;Inputs!$F$253,Waterfall!BD7,0))/(Debt!BC114+Debt!BD114),0)</f>
        <v/>
      </c>
      <c r="BC20" s="3">
        <f>IF(Debt!BD114&gt;Inputs!$F$253,(Waterfall!BD7+IF(Debt!BE114&gt;Inputs!$F$253,Waterfall!BE7,0))/(Debt!BD114+Debt!BE114),0)</f>
        <v/>
      </c>
      <c r="BD20" s="3">
        <f>IF(Debt!BE114&gt;Inputs!$F$253,(Waterfall!BE7+IF(Debt!BF114&gt;Inputs!$F$253,Waterfall!BF7,0))/(Debt!BE114+Debt!BF114),0)</f>
        <v/>
      </c>
      <c r="BE20" s="3">
        <f>IF(Debt!BF114&gt;Inputs!$F$253,(Waterfall!BF7+IF(Debt!BG114&gt;Inputs!$F$253,Waterfall!BG7,0))/(Debt!BF114+Debt!BG114),0)</f>
        <v/>
      </c>
      <c r="BF20" s="3">
        <f>IF(Debt!BG114&gt;Inputs!$F$253,(Waterfall!BG7+IF(Debt!BH114&gt;Inputs!$F$253,Waterfall!BH7,0))/(Debt!BG114+Debt!BH114),0)</f>
        <v/>
      </c>
      <c r="BG20" s="3">
        <f>IF(Debt!BH114&gt;Inputs!$F$253,(Waterfall!BH7+IF(Debt!BI114&gt;Inputs!$F$253,Waterfall!BI7,0))/(Debt!BH114+Debt!BI114),0)</f>
        <v/>
      </c>
      <c r="BH20" s="3">
        <f>IF(Debt!BI114&gt;Inputs!$F$253,(Waterfall!BI7+IF(Debt!BJ114&gt;Inputs!$F$253,Waterfall!BJ7,0))/(Debt!BI114+Debt!BJ114),0)</f>
        <v/>
      </c>
      <c r="BI20" s="3">
        <f>IF(Debt!BJ114&gt;Inputs!$F$253,(Waterfall!BJ7+IF(Debt!BK114&gt;Inputs!$F$253,Waterfall!BK7,0))/(Debt!BJ114+Debt!BK114),0)</f>
        <v/>
      </c>
      <c r="BJ20" s="3">
        <f>IF(Debt!BK114&gt;Inputs!$F$253,(Waterfall!BK7+IF(Debt!BL114&gt;Inputs!$F$253,Waterfall!BL7,0))/(Debt!BK114+Debt!BL114),0)</f>
        <v/>
      </c>
      <c r="BK20" s="3">
        <f>IF(Debt!BL114&gt;Inputs!$F$253,(Waterfall!BL7+IF(Debt!BM114&gt;Inputs!$F$253,Waterfall!BM7,0))/(Debt!BL114+Debt!BM114),0)</f>
        <v/>
      </c>
      <c r="BL20" s="3">
        <f>IF(Debt!BM114&gt;Inputs!$F$253,(Waterfall!BM7+IF(Debt!BN114&gt;Inputs!$F$253,Waterfall!BN7,0))/(Debt!BM114+Debt!BN114),0)</f>
        <v/>
      </c>
      <c r="BM20" s="3">
        <f>IF(Debt!BN114&gt;Inputs!$F$253,(Waterfall!BN7+IF(Debt!BO114&gt;Inputs!$F$253,Waterfall!BO7,0))/(Debt!BN114+Debt!BO114),0)</f>
        <v/>
      </c>
      <c r="BN20" s="3">
        <f>IF(Debt!BO114&gt;Inputs!$F$253,(Waterfall!BO7+IF(Debt!BP114&gt;Inputs!$F$253,Waterfall!BP7,0))/(Debt!BO114+Debt!BP114),0)</f>
        <v/>
      </c>
    </row>
    <row r="21">
      <c r="D21" t="inlineStr">
        <is>
          <t>Projected 12-month DSCR below the lock-up level (flag)</t>
        </is>
      </c>
      <c r="E21" t="inlineStr">
        <is>
          <t>flag</t>
        </is>
      </c>
      <c r="J21" s="9">
        <f>IF(AND(J20&gt;0,J20&lt;Inputs!$F$108),1,0)</f>
        <v/>
      </c>
      <c r="K21" s="9">
        <f>IF(AND(K20&gt;0,K20&lt;Inputs!$F$108),1,0)</f>
        <v/>
      </c>
      <c r="L21" s="9">
        <f>IF(AND(L20&gt;0,L20&lt;Inputs!$F$108),1,0)</f>
        <v/>
      </c>
      <c r="M21" s="9">
        <f>IF(AND(M20&gt;0,M20&lt;Inputs!$F$108),1,0)</f>
        <v/>
      </c>
      <c r="N21" s="9">
        <f>IF(AND(N20&gt;0,N20&lt;Inputs!$F$108),1,0)</f>
        <v/>
      </c>
      <c r="O21" s="9">
        <f>IF(AND(O20&gt;0,O20&lt;Inputs!$F$108),1,0)</f>
        <v/>
      </c>
      <c r="P21" s="9">
        <f>IF(AND(P20&gt;0,P20&lt;Inputs!$F$108),1,0)</f>
        <v/>
      </c>
      <c r="Q21" s="9">
        <f>IF(AND(Q20&gt;0,Q20&lt;Inputs!$F$108),1,0)</f>
        <v/>
      </c>
      <c r="R21" s="9">
        <f>IF(AND(R20&gt;0,R20&lt;Inputs!$F$108),1,0)</f>
        <v/>
      </c>
      <c r="S21" s="9">
        <f>IF(AND(S20&gt;0,S20&lt;Inputs!$F$108),1,0)</f>
        <v/>
      </c>
      <c r="T21" s="9">
        <f>IF(AND(T20&gt;0,T20&lt;Inputs!$F$108),1,0)</f>
        <v/>
      </c>
      <c r="U21" s="9">
        <f>IF(AND(U20&gt;0,U20&lt;Inputs!$F$108),1,0)</f>
        <v/>
      </c>
      <c r="V21" s="9">
        <f>IF(AND(V20&gt;0,V20&lt;Inputs!$F$108),1,0)</f>
        <v/>
      </c>
      <c r="W21" s="9">
        <f>IF(AND(W20&gt;0,W20&lt;Inputs!$F$108),1,0)</f>
        <v/>
      </c>
      <c r="X21" s="9">
        <f>IF(AND(X20&gt;0,X20&lt;Inputs!$F$108),1,0)</f>
        <v/>
      </c>
      <c r="Y21" s="9">
        <f>IF(AND(Y20&gt;0,Y20&lt;Inputs!$F$108),1,0)</f>
        <v/>
      </c>
      <c r="Z21" s="9">
        <f>IF(AND(Z20&gt;0,Z20&lt;Inputs!$F$108),1,0)</f>
        <v/>
      </c>
      <c r="AA21" s="9">
        <f>IF(AND(AA20&gt;0,AA20&lt;Inputs!$F$108),1,0)</f>
        <v/>
      </c>
      <c r="AB21" s="9">
        <f>IF(AND(AB20&gt;0,AB20&lt;Inputs!$F$108),1,0)</f>
        <v/>
      </c>
      <c r="AC21" s="9">
        <f>IF(AND(AC20&gt;0,AC20&lt;Inputs!$F$108),1,0)</f>
        <v/>
      </c>
      <c r="AD21" s="9">
        <f>IF(AND(AD20&gt;0,AD20&lt;Inputs!$F$108),1,0)</f>
        <v/>
      </c>
      <c r="AE21" s="9">
        <f>IF(AND(AE20&gt;0,AE20&lt;Inputs!$F$108),1,0)</f>
        <v/>
      </c>
      <c r="AF21" s="9">
        <f>IF(AND(AF20&gt;0,AF20&lt;Inputs!$F$108),1,0)</f>
        <v/>
      </c>
      <c r="AG21" s="9">
        <f>IF(AND(AG20&gt;0,AG20&lt;Inputs!$F$108),1,0)</f>
        <v/>
      </c>
      <c r="AH21" s="9">
        <f>IF(AND(AH20&gt;0,AH20&lt;Inputs!$F$108),1,0)</f>
        <v/>
      </c>
      <c r="AI21" s="9">
        <f>IF(AND(AI20&gt;0,AI20&lt;Inputs!$F$108),1,0)</f>
        <v/>
      </c>
      <c r="AJ21" s="9">
        <f>IF(AND(AJ20&gt;0,AJ20&lt;Inputs!$F$108),1,0)</f>
        <v/>
      </c>
      <c r="AK21" s="9">
        <f>IF(AND(AK20&gt;0,AK20&lt;Inputs!$F$108),1,0)</f>
        <v/>
      </c>
      <c r="AL21" s="9">
        <f>IF(AND(AL20&gt;0,AL20&lt;Inputs!$F$108),1,0)</f>
        <v/>
      </c>
      <c r="AM21" s="9">
        <f>IF(AND(AM20&gt;0,AM20&lt;Inputs!$F$108),1,0)</f>
        <v/>
      </c>
      <c r="AN21" s="9">
        <f>IF(AND(AN20&gt;0,AN20&lt;Inputs!$F$108),1,0)</f>
        <v/>
      </c>
      <c r="AO21" s="9">
        <f>IF(AND(AO20&gt;0,AO20&lt;Inputs!$F$108),1,0)</f>
        <v/>
      </c>
      <c r="AP21" s="9">
        <f>IF(AND(AP20&gt;0,AP20&lt;Inputs!$F$108),1,0)</f>
        <v/>
      </c>
      <c r="AQ21" s="9">
        <f>IF(AND(AQ20&gt;0,AQ20&lt;Inputs!$F$108),1,0)</f>
        <v/>
      </c>
      <c r="AR21" s="9">
        <f>IF(AND(AR20&gt;0,AR20&lt;Inputs!$F$108),1,0)</f>
        <v/>
      </c>
      <c r="AS21" s="9">
        <f>IF(AND(AS20&gt;0,AS20&lt;Inputs!$F$108),1,0)</f>
        <v/>
      </c>
      <c r="AT21" s="9">
        <f>IF(AND(AT20&gt;0,AT20&lt;Inputs!$F$108),1,0)</f>
        <v/>
      </c>
      <c r="AU21" s="9">
        <f>IF(AND(AU20&gt;0,AU20&lt;Inputs!$F$108),1,0)</f>
        <v/>
      </c>
      <c r="AV21" s="9">
        <f>IF(AND(AV20&gt;0,AV20&lt;Inputs!$F$108),1,0)</f>
        <v/>
      </c>
      <c r="AW21" s="9">
        <f>IF(AND(AW20&gt;0,AW20&lt;Inputs!$F$108),1,0)</f>
        <v/>
      </c>
      <c r="AX21" s="9">
        <f>IF(AND(AX20&gt;0,AX20&lt;Inputs!$F$108),1,0)</f>
        <v/>
      </c>
      <c r="AY21" s="9">
        <f>IF(AND(AY20&gt;0,AY20&lt;Inputs!$F$108),1,0)</f>
        <v/>
      </c>
      <c r="AZ21" s="9">
        <f>IF(AND(AZ20&gt;0,AZ20&lt;Inputs!$F$108),1,0)</f>
        <v/>
      </c>
      <c r="BA21" s="9">
        <f>IF(AND(BA20&gt;0,BA20&lt;Inputs!$F$108),1,0)</f>
        <v/>
      </c>
      <c r="BB21" s="9">
        <f>IF(AND(BB20&gt;0,BB20&lt;Inputs!$F$108),1,0)</f>
        <v/>
      </c>
      <c r="BC21" s="9">
        <f>IF(AND(BC20&gt;0,BC20&lt;Inputs!$F$108),1,0)</f>
        <v/>
      </c>
      <c r="BD21" s="9">
        <f>IF(AND(BD20&gt;0,BD20&lt;Inputs!$F$108),1,0)</f>
        <v/>
      </c>
      <c r="BE21" s="9">
        <f>IF(AND(BE20&gt;0,BE20&lt;Inputs!$F$108),1,0)</f>
        <v/>
      </c>
      <c r="BF21" s="9">
        <f>IF(AND(BF20&gt;0,BF20&lt;Inputs!$F$108),1,0)</f>
        <v/>
      </c>
      <c r="BG21" s="9">
        <f>IF(AND(BG20&gt;0,BG20&lt;Inputs!$F$108),1,0)</f>
        <v/>
      </c>
      <c r="BH21" s="9">
        <f>IF(AND(BH20&gt;0,BH20&lt;Inputs!$F$108),1,0)</f>
        <v/>
      </c>
      <c r="BI21" s="9">
        <f>IF(AND(BI20&gt;0,BI20&lt;Inputs!$F$108),1,0)</f>
        <v/>
      </c>
      <c r="BJ21" s="9">
        <f>IF(AND(BJ20&gt;0,BJ20&lt;Inputs!$F$108),1,0)</f>
        <v/>
      </c>
      <c r="BK21" s="9">
        <f>IF(AND(BK20&gt;0,BK20&lt;Inputs!$F$108),1,0)</f>
        <v/>
      </c>
      <c r="BL21" s="9">
        <f>IF(AND(BL20&gt;0,BL20&lt;Inputs!$F$108),1,0)</f>
        <v/>
      </c>
      <c r="BM21" s="9">
        <f>IF(AND(BM20&gt;0,BM20&lt;Inputs!$F$108),1,0)</f>
        <v/>
      </c>
      <c r="BN21" s="9">
        <f>IF(AND(BN20&gt;0,BN20&lt;Inputs!$F$108),1,0)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4" t="inlineStr">
        <is>
          <t>LNTP</t>
        </is>
      </c>
      <c r="K5" s="4" t="inlineStr">
        <is>
          <t>2018-08</t>
        </is>
      </c>
      <c r="L5" s="4" t="inlineStr">
        <is>
          <t>2018-09</t>
        </is>
      </c>
      <c r="M5" s="4" t="inlineStr">
        <is>
          <t>2018-10</t>
        </is>
      </c>
      <c r="N5" s="4" t="inlineStr">
        <is>
          <t>2018-11</t>
        </is>
      </c>
      <c r="O5" s="4" t="inlineStr">
        <is>
          <t>2018-12</t>
        </is>
      </c>
      <c r="P5" s="4" t="inlineStr">
        <is>
          <t>2019-01</t>
        </is>
      </c>
      <c r="Q5" s="4" t="inlineStr">
        <is>
          <t>2019-02</t>
        </is>
      </c>
      <c r="R5" s="4" t="inlineStr">
        <is>
          <t>2019-03</t>
        </is>
      </c>
      <c r="S5" s="4" t="inlineStr">
        <is>
          <t>2019-04</t>
        </is>
      </c>
      <c r="T5" s="4" t="inlineStr">
        <is>
          <t>2019-05</t>
        </is>
      </c>
      <c r="U5" s="4" t="inlineStr">
        <is>
          <t>2019-06</t>
        </is>
      </c>
      <c r="V5" s="4" t="inlineStr">
        <is>
          <t>2019-07</t>
        </is>
      </c>
      <c r="W5" s="4" t="inlineStr">
        <is>
          <t>2019-08</t>
        </is>
      </c>
      <c r="X5" s="4" t="inlineStr">
        <is>
          <t>2019-09</t>
        </is>
      </c>
      <c r="Y5" s="4" t="inlineStr">
        <is>
          <t>2019-10</t>
        </is>
      </c>
      <c r="Z5" s="4" t="inlineStr">
        <is>
          <t>2019-11</t>
        </is>
      </c>
      <c r="AA5" s="4" t="inlineStr">
        <is>
          <t>2019-12</t>
        </is>
      </c>
      <c r="AB5" s="4" t="inlineStr">
        <is>
          <t>2020-01</t>
        </is>
      </c>
      <c r="AC5" s="4" t="inlineStr">
        <is>
          <t>2020-02</t>
        </is>
      </c>
      <c r="AD5" s="4" t="inlineStr">
        <is>
          <t>2020-03</t>
        </is>
      </c>
      <c r="AE5" s="4" t="inlineStr">
        <is>
          <t>2020-04</t>
        </is>
      </c>
      <c r="AF5" s="4" t="inlineStr">
        <is>
          <t>2020-05</t>
        </is>
      </c>
      <c r="AG5" s="4" t="inlineStr">
        <is>
          <t>2020-06</t>
        </is>
      </c>
      <c r="AH5" s="4" t="inlineStr">
        <is>
          <t>2020-07</t>
        </is>
      </c>
      <c r="AI5" s="4" t="inlineStr">
        <is>
          <t>2020-08</t>
        </is>
      </c>
      <c r="AJ5" s="4" t="inlineStr">
        <is>
          <t>2020-09</t>
        </is>
      </c>
      <c r="AK5" s="4" t="inlineStr">
        <is>
          <t>2020-10</t>
        </is>
      </c>
      <c r="AL5" s="4" t="inlineStr">
        <is>
          <t>2020-11</t>
        </is>
      </c>
      <c r="AM5" s="4" t="inlineStr">
        <is>
          <t>2020-12</t>
        </is>
      </c>
      <c r="AN5" s="4" t="inlineStr">
        <is>
          <t>2021-01</t>
        </is>
      </c>
      <c r="AO5" s="4" t="inlineStr">
        <is>
          <t>2021-02</t>
        </is>
      </c>
      <c r="AP5" s="4" t="inlineStr">
        <is>
          <t>2021-03</t>
        </is>
      </c>
      <c r="AQ5" s="4" t="inlineStr">
        <is>
          <t>2021-04</t>
        </is>
      </c>
      <c r="AR5" s="4" t="inlineStr">
        <is>
          <t>2021-05</t>
        </is>
      </c>
      <c r="AS5" s="4" t="inlineStr">
        <is>
          <t>2021-06</t>
        </is>
      </c>
      <c r="AT5" s="4" t="inlineStr">
        <is>
          <t>2021-07</t>
        </is>
      </c>
      <c r="AU5" s="4" t="inlineStr">
        <is>
          <t>2021-08</t>
        </is>
      </c>
      <c r="AV5" s="4" t="inlineStr">
        <is>
          <t>2021-09</t>
        </is>
      </c>
      <c r="AW5" s="4" t="inlineStr">
        <is>
          <t>2021-10</t>
        </is>
      </c>
      <c r="AX5" s="4" t="inlineStr">
        <is>
          <t>2021-11</t>
        </is>
      </c>
      <c r="AY5" s="4" t="inlineStr">
        <is>
          <t>2021-12</t>
        </is>
      </c>
      <c r="AZ5" s="4" t="inlineStr">
        <is>
          <t>2022-01</t>
        </is>
      </c>
      <c r="BA5" s="4" t="inlineStr">
        <is>
          <t>2022-02</t>
        </is>
      </c>
      <c r="BB5" s="4" t="inlineStr">
        <is>
          <t>2022-03</t>
        </is>
      </c>
      <c r="BC5" s="4" t="inlineStr">
        <is>
          <t>2022-04</t>
        </is>
      </c>
      <c r="BD5" s="4" t="inlineStr">
        <is>
          <t>2022-05</t>
        </is>
      </c>
      <c r="BE5" s="4" t="inlineStr">
        <is>
          <t>2022-06</t>
        </is>
      </c>
      <c r="BF5" s="4" t="inlineStr">
        <is>
          <t>2022-07</t>
        </is>
      </c>
      <c r="BG5" s="4" t="inlineStr">
        <is>
          <t>2022-08</t>
        </is>
      </c>
      <c r="BH5" s="4" t="inlineStr">
        <is>
          <t>2022-09</t>
        </is>
      </c>
      <c r="BI5" s="4" t="inlineStr">
        <is>
          <t>2022-10</t>
        </is>
      </c>
      <c r="BJ5" s="4" t="inlineStr">
        <is>
          <t>2022-11</t>
        </is>
      </c>
      <c r="BK5" s="4" t="inlineStr">
        <is>
          <t>2022-12</t>
        </is>
      </c>
      <c r="BL5" s="4" t="inlineStr">
        <is>
          <t>2018H2</t>
        </is>
      </c>
      <c r="BM5" s="4" t="inlineStr">
        <is>
          <t>2019H1</t>
        </is>
      </c>
      <c r="BN5" s="4" t="inlineStr">
        <is>
          <t>2019H2</t>
        </is>
      </c>
      <c r="BO5" s="4" t="inlineStr">
        <is>
          <t>2020H1</t>
        </is>
      </c>
      <c r="BP5" s="4" t="inlineStr">
        <is>
          <t>2020H2</t>
        </is>
      </c>
      <c r="BQ5" s="4" t="inlineStr">
        <is>
          <t>2021H1</t>
        </is>
      </c>
      <c r="BR5" s="4" t="inlineStr">
        <is>
          <t>2021H2</t>
        </is>
      </c>
      <c r="BS5" s="4" t="inlineStr">
        <is>
          <t>2022H1</t>
        </is>
      </c>
      <c r="BT5" s="4" t="inlineStr">
        <is>
          <t>2022H2</t>
        </is>
      </c>
      <c r="BU5" s="4" t="inlineStr">
        <is>
          <t>2023H1</t>
        </is>
      </c>
      <c r="BV5" s="4" t="inlineStr">
        <is>
          <t>2023H2</t>
        </is>
      </c>
      <c r="BW5" s="4" t="inlineStr">
        <is>
          <t>2024H1</t>
        </is>
      </c>
      <c r="BX5" s="4" t="inlineStr">
        <is>
          <t>2024H2</t>
        </is>
      </c>
      <c r="BY5" s="4" t="inlineStr">
        <is>
          <t>2025H1</t>
        </is>
      </c>
      <c r="BZ5" s="4" t="inlineStr">
        <is>
          <t>2025H2</t>
        </is>
      </c>
      <c r="CA5" s="4" t="inlineStr">
        <is>
          <t>2026H1</t>
        </is>
      </c>
      <c r="CB5" s="4" t="inlineStr">
        <is>
          <t>2026H2</t>
        </is>
      </c>
      <c r="CC5" s="4" t="inlineStr">
        <is>
          <t>2027H1</t>
        </is>
      </c>
      <c r="CD5" s="4" t="inlineStr">
        <is>
          <t>2027H2</t>
        </is>
      </c>
      <c r="CE5" s="4" t="inlineStr">
        <is>
          <t>2028H1</t>
        </is>
      </c>
      <c r="CF5" s="4" t="inlineStr">
        <is>
          <t>2028H2</t>
        </is>
      </c>
      <c r="CG5" s="4" t="inlineStr">
        <is>
          <t>2029H1</t>
        </is>
      </c>
      <c r="CH5" s="4" t="inlineStr">
        <is>
          <t>2029H2</t>
        </is>
      </c>
      <c r="CI5" s="4" t="inlineStr">
        <is>
          <t>2030H1</t>
        </is>
      </c>
      <c r="CJ5" s="4" t="inlineStr">
        <is>
          <t>2030H2</t>
        </is>
      </c>
      <c r="CK5" s="4" t="inlineStr">
        <is>
          <t>2031H1</t>
        </is>
      </c>
      <c r="CL5" s="4" t="inlineStr">
        <is>
          <t>2031H2</t>
        </is>
      </c>
      <c r="CM5" s="4" t="inlineStr">
        <is>
          <t>2032H1</t>
        </is>
      </c>
      <c r="CN5" s="4" t="inlineStr">
        <is>
          <t>2032H2</t>
        </is>
      </c>
      <c r="CO5" s="4" t="inlineStr">
        <is>
          <t>2033H1</t>
        </is>
      </c>
      <c r="CP5" s="4" t="inlineStr">
        <is>
          <t>2033H2</t>
        </is>
      </c>
      <c r="CQ5" s="4" t="inlineStr">
        <is>
          <t>2034H1</t>
        </is>
      </c>
      <c r="CR5" s="4" t="inlineStr">
        <is>
          <t>2034H2</t>
        </is>
      </c>
      <c r="CS5" s="4" t="inlineStr">
        <is>
          <t>2035H1</t>
        </is>
      </c>
      <c r="CT5" s="4" t="inlineStr">
        <is>
          <t>2035H2</t>
        </is>
      </c>
      <c r="CU5" s="4" t="inlineStr">
        <is>
          <t>2036H1</t>
        </is>
      </c>
      <c r="CV5" s="4" t="inlineStr">
        <is>
          <t>2036H2</t>
        </is>
      </c>
      <c r="CW5" s="4" t="inlineStr">
        <is>
          <t>2037H1</t>
        </is>
      </c>
      <c r="CX5" s="4" t="inlineStr">
        <is>
          <t>2037H2</t>
        </is>
      </c>
      <c r="CY5" s="4" t="inlineStr">
        <is>
          <t>2038H1</t>
        </is>
      </c>
      <c r="CZ5" s="4" t="inlineStr">
        <is>
          <t>2038H2</t>
        </is>
      </c>
      <c r="DA5" s="4" t="inlineStr">
        <is>
          <t>2039H1</t>
        </is>
      </c>
      <c r="DB5" s="4" t="inlineStr">
        <is>
          <t>2039H2</t>
        </is>
      </c>
      <c r="DC5" s="4" t="inlineStr">
        <is>
          <t>2040H1</t>
        </is>
      </c>
      <c r="DD5" s="4" t="inlineStr">
        <is>
          <t>2040H2</t>
        </is>
      </c>
      <c r="DE5" s="4" t="inlineStr">
        <is>
          <t>2041H1</t>
        </is>
      </c>
      <c r="DF5" s="4" t="inlineStr">
        <is>
          <t>2041H2</t>
        </is>
      </c>
      <c r="DG5" s="4" t="inlineStr">
        <is>
          <t>2042H1</t>
        </is>
      </c>
      <c r="DH5" s="4" t="inlineStr">
        <is>
          <t>2042H2</t>
        </is>
      </c>
      <c r="DI5" s="4" t="inlineStr">
        <is>
          <t>2043H1</t>
        </is>
      </c>
      <c r="DJ5" s="4" t="inlineStr">
        <is>
          <t>2043H2</t>
        </is>
      </c>
      <c r="DK5" s="4" t="inlineStr">
        <is>
          <t>2044H1</t>
        </is>
      </c>
      <c r="DL5" s="4" t="inlineStr">
        <is>
          <t>2044H2</t>
        </is>
      </c>
      <c r="DM5" s="4" t="inlineStr">
        <is>
          <t>2045H1</t>
        </is>
      </c>
      <c r="DN5" s="4" t="inlineStr">
        <is>
          <t>2045H2</t>
        </is>
      </c>
      <c r="DO5" s="4" t="inlineStr">
        <is>
          <t>2046H1</t>
        </is>
      </c>
      <c r="DP5" s="4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3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(FC-type, Monte Carlo off), USD m</t>
        </is>
      </c>
      <c r="E8" t="inlineStr">
        <is>
          <t>check</t>
        </is>
      </c>
      <c r="F8" s="3">
        <f>IF(AND(Inputs!$F$34=1,Inputs!$F$312=0),IF(ABS(SUM(Funding!$J$47:$BJ$47)-Funding!$F$25)&lt;=Inputs!$F$254,0,SUM(Funding!$J$47:$BJ$47)-Funding!$F$25),0)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3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3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3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3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3">
        <f>IF(Inputs!$F$312=1,0,IF(MAX(MAX(Debt!$J$135:$BN$135),-MIN(Debt!$J$135:$BN$135))&lt;=Inputs!$F$260,0,MAX(MAX(Debt!$J$135:$BN$135),-MIN(Debt!$J$135:$BN$135))))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3">
        <f>IF(AND(Inputs!$F$8=1,Inputs!$F$312=0),IF(Funding!$F$25&lt;=MIN(Debt!$F$130,Debt!$F$131)+Inputs!$F$254,0,1),0)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3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3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3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3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3">
        <f>ABS($F$7)+ABS($F$8)+ABS($F$9)+ABS($F$10)+ABS($F$11)+ABS($F$12)+ABS($F$13)+ABS($F$14)+ABS($F$15)+ABS($F$16)+ABS($F$17)+ABS($F$18)+ABS($F$20)+ABS($F$21)+ABS($F$22)+ABS($F$23)+ABS($F$24)+ABS($F$25)</f>
        <v/>
      </c>
    </row>
    <row r="20">
      <c r="D20" t="inlineStr">
        <is>
          <t>Time: operating months sum to the PPA term</t>
        </is>
      </c>
      <c r="E20" t="inlineStr">
        <is>
          <t>check</t>
        </is>
      </c>
      <c r="F20" s="3">
        <f>SUM(Time!$J$30:$BN$30)-Time!$F$9</f>
        <v/>
      </c>
    </row>
    <row r="21">
      <c r="D21" t="inlineStr">
        <is>
          <t>Construction flags sum to construction months</t>
        </is>
      </c>
      <c r="E21" t="inlineStr">
        <is>
          <t>check</t>
        </is>
      </c>
      <c r="F21" s="3">
        <f>SUM(Construction!$J$13:$BJ$13)-Time!$F$11</f>
        <v/>
      </c>
    </row>
    <row r="22">
      <c r="D22" t="inlineStr">
        <is>
          <t>Cash flow statement reconciles to project-account cash (max abs, USD m)</t>
        </is>
      </c>
      <c r="E22" t="inlineStr">
        <is>
          <t>check</t>
        </is>
      </c>
      <c r="F22" s="3">
        <f>IF(MAX(MAX(Financials!$J$52:$BN$52),-MIN(Financials!$J$52:$BN$52))&lt;=Inputs!$F$254,0,MAX(MAX(Financials!$J$52:$BN$52),-MIN(Financials!$J$52:$BN$52)))</f>
        <v/>
      </c>
    </row>
    <row r="23">
      <c r="D23" t="inlineStr">
        <is>
          <t>ECA tests pass on the FC base (Scenario 1; number of failed tests)</t>
        </is>
      </c>
      <c r="E23" t="inlineStr">
        <is>
          <t>check</t>
        </is>
      </c>
      <c r="F23" s="3">
        <f>IF(AND(Inputs!$F$8=1,Inputs!$F$312=0),(Debt!$F$140&gt;Inputs!$F$1315)+(Debt!$F$138&gt;Inputs!$F$1316)+(Debt!$F$139&gt;Inputs!$F$1317/100)+(Debt!$F$141&gt;Inputs!$F$1318)+(Debt!$F$142&lt;Inputs!$F$1319/100),0)</f>
        <v/>
      </c>
    </row>
    <row r="24">
      <c r="D24" t="inlineStr">
        <is>
          <t>MMRA window equals the input number of periods</t>
        </is>
      </c>
      <c r="E24" t="inlineStr">
        <is>
          <t>check</t>
        </is>
      </c>
      <c r="F24" s="3">
        <f>COLUMNS(Operations!$K$79:$P$79)-Inputs!$F$225</f>
        <v/>
      </c>
    </row>
    <row r="25">
      <c r="D25" t="inlineStr">
        <is>
          <t>Outputs: live dashboard equals the pasted row of the selected scenario</t>
        </is>
      </c>
      <c r="E25" t="inlineStr">
        <is>
          <t>check</t>
        </is>
      </c>
      <c r="F25" s="3">
        <f>Outputs!$F$44</f>
        <v/>
      </c>
    </row>
  </sheetData>
  <conditionalFormatting sqref="F7:F26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  <row r="26">
      <c r="D26" s="2" t="inlineStr">
        <is>
          <t>Fifteen-scenario results pasted from case_p.py (model version 1.4, run 2026-10-03); compare row below and Checks row 25</t>
        </is>
      </c>
    </row>
    <row r="27">
      <c r="D27" s="2" t="inlineStr">
        <is>
          <t>Scenario</t>
        </is>
      </c>
      <c r="J27" s="2" t="inlineStr">
        <is>
          <t>Total funding requirement</t>
        </is>
      </c>
      <c r="K27" s="2" t="inlineStr">
        <is>
          <t>Senior debt (four tranches)</t>
        </is>
      </c>
      <c r="L27" s="2" t="inlineStr">
        <is>
          <t>Equity (incl. LNTP)</t>
        </is>
      </c>
      <c r="M27" s="2" t="inlineStr">
        <is>
          <t>Gearing (debt incl. standby / total funding)</t>
        </is>
      </c>
      <c r="N27" s="2" t="inlineStr">
        <is>
          <t>Interest during construction incl. swap and PRI</t>
        </is>
      </c>
      <c r="O27" s="2" t="inlineStr">
        <is>
          <t>Commitment, upfront and agency fees</t>
        </is>
      </c>
      <c r="P27" s="2" t="inlineStr">
        <is>
          <t>ECA premium</t>
        </is>
      </c>
      <c r="Q27" s="2" t="inlineStr">
        <is>
          <t>DSRA initial funding</t>
        </is>
      </c>
      <c r="R27" s="2" t="inlineStr">
        <is>
          <t>Standby drawn</t>
        </is>
      </c>
      <c r="S27" s="2" t="inlineStr">
        <is>
          <t>Contingent equity drawn</t>
        </is>
      </c>
      <c r="T27" s="2" t="inlineStr">
        <is>
          <t>Minimum DSCR</t>
        </is>
      </c>
      <c r="U27" s="2" t="inlineStr">
        <is>
          <t>Average DSCR</t>
        </is>
      </c>
      <c r="V27" s="2" t="inlineStr">
        <is>
          <t>LLCR at first debt service period (incl. DSRA)</t>
        </is>
      </c>
      <c r="W27" s="2" t="inlineStr">
        <is>
          <t>PLCR at first debt service period</t>
        </is>
      </c>
      <c r="X27" s="2" t="inlineStr">
        <is>
          <t>Equity IRR</t>
        </is>
      </c>
      <c r="Y27" s="2" t="inlineStr">
        <is>
          <t>Project IRR, post-tax</t>
        </is>
      </c>
      <c r="Z27" s="2" t="inlineStr">
        <is>
          <t>Equity NPV at 16.0% (at FC)</t>
        </is>
      </c>
    </row>
    <row r="28">
      <c r="D28" t="inlineStr">
        <is>
          <t>1: FC base</t>
        </is>
      </c>
      <c r="J28" s="23" t="n">
        <v>859.9157651791288</v>
      </c>
      <c r="K28" s="23" t="n">
        <v>654.6335649688092</v>
      </c>
      <c r="L28" s="23" t="n">
        <v>205.2822002103496</v>
      </c>
      <c r="M28" s="24" t="n">
        <v>0.761276384824056</v>
      </c>
      <c r="N28" s="23" t="n">
        <v>65.66592429782797</v>
      </c>
      <c r="O28" s="23" t="n">
        <v>21.64108407075162</v>
      </c>
      <c r="P28" s="23" t="n">
        <v>21.30832253973376</v>
      </c>
      <c r="Q28" s="23" t="n">
        <v>38.78696433895405</v>
      </c>
      <c r="R28" s="23" t="n">
        <v>0</v>
      </c>
      <c r="S28" s="23" t="n">
        <v>0</v>
      </c>
      <c r="T28" s="23" t="n">
        <v>1.436080176389749</v>
      </c>
      <c r="U28" s="23" t="n">
        <v>1.529571692711584</v>
      </c>
      <c r="V28" s="23" t="n">
        <v>1.432329667942195</v>
      </c>
      <c r="W28" s="23" t="n">
        <v>1.873041484367959</v>
      </c>
      <c r="X28" s="24" t="n">
        <v>0.1522021241602415</v>
      </c>
      <c r="Y28" s="24" t="n">
        <v>0.1182974458890152</v>
      </c>
      <c r="Z28" s="23" t="n">
        <v>-11.5028033441364</v>
      </c>
    </row>
    <row r="29">
      <c r="D29" t="inlineStr">
        <is>
          <t>2: FC banking</t>
        </is>
      </c>
      <c r="J29" s="23" t="n">
        <v>859.9157651791288</v>
      </c>
      <c r="K29" s="23" t="n">
        <v>654.6335649688092</v>
      </c>
      <c r="L29" s="23" t="n">
        <v>205.2822002103496</v>
      </c>
      <c r="M29" s="24" t="n">
        <v>0.761276384824056</v>
      </c>
      <c r="N29" s="23" t="n">
        <v>65.66592429782797</v>
      </c>
      <c r="O29" s="23" t="n">
        <v>21.64108407075162</v>
      </c>
      <c r="P29" s="23" t="n">
        <v>21.30832253973376</v>
      </c>
      <c r="Q29" s="23" t="n">
        <v>38.78696433895405</v>
      </c>
      <c r="R29" s="23" t="n">
        <v>0</v>
      </c>
      <c r="S29" s="23" t="n">
        <v>0</v>
      </c>
      <c r="T29" s="23" t="n">
        <v>1.547878622967198</v>
      </c>
      <c r="U29" s="23" t="n">
        <v>1.681004857973692</v>
      </c>
      <c r="V29" s="23" t="n">
        <v>1.542292961308823</v>
      </c>
      <c r="W29" s="23" t="n">
        <v>2.034003303154754</v>
      </c>
      <c r="X29" s="24" t="n">
        <v>0.1757177861356726</v>
      </c>
      <c r="Y29" s="24" t="n">
        <v>0.1283414248509357</v>
      </c>
      <c r="Z29" s="23" t="n">
        <v>23.33032087183385</v>
      </c>
    </row>
    <row r="30">
      <c r="D30" t="inlineStr">
        <is>
          <t>3: FC downside</t>
        </is>
      </c>
      <c r="J30" s="23" t="n">
        <v>859.9157651791288</v>
      </c>
      <c r="K30" s="23" t="n">
        <v>654.6335649688092</v>
      </c>
      <c r="L30" s="23" t="n">
        <v>205.2822002103496</v>
      </c>
      <c r="M30" s="24" t="n">
        <v>0.761276384824056</v>
      </c>
      <c r="N30" s="23" t="n">
        <v>65.66592429782797</v>
      </c>
      <c r="O30" s="23" t="n">
        <v>21.64108407075162</v>
      </c>
      <c r="P30" s="23" t="n">
        <v>21.30832253973376</v>
      </c>
      <c r="Q30" s="23" t="n">
        <v>38.78696433895405</v>
      </c>
      <c r="R30" s="23" t="n">
        <v>0</v>
      </c>
      <c r="S30" s="23" t="n">
        <v>0</v>
      </c>
      <c r="T30" s="23" t="n">
        <v>1.262498296223135</v>
      </c>
      <c r="U30" s="23" t="n">
        <v>1.341012940620131</v>
      </c>
      <c r="V30" s="23" t="n">
        <v>1.293238659958465</v>
      </c>
      <c r="W30" s="23" t="n">
        <v>1.670613385533821</v>
      </c>
      <c r="X30" s="24" t="n">
        <v>0.1214987722491939</v>
      </c>
      <c r="Y30" s="24" t="n">
        <v>0.1048510978689257</v>
      </c>
      <c r="Z30" s="23" t="n">
        <v>-57.19129192356737</v>
      </c>
    </row>
    <row r="31">
      <c r="D31" t="inlineStr">
        <is>
          <t>4: Sens: availability -3 points</t>
        </is>
      </c>
      <c r="J31" s="23" t="n">
        <v>859.9157651791288</v>
      </c>
      <c r="K31" s="23" t="n">
        <v>654.6335649688092</v>
      </c>
      <c r="L31" s="23" t="n">
        <v>205.2822002103496</v>
      </c>
      <c r="M31" s="24" t="n">
        <v>0.761276384824056</v>
      </c>
      <c r="N31" s="23" t="n">
        <v>65.66592429782797</v>
      </c>
      <c r="O31" s="23" t="n">
        <v>21.64108407075162</v>
      </c>
      <c r="P31" s="23" t="n">
        <v>21.30832253973376</v>
      </c>
      <c r="Q31" s="23" t="n">
        <v>38.78696433895405</v>
      </c>
      <c r="R31" s="23" t="n">
        <v>0</v>
      </c>
      <c r="S31" s="23" t="n">
        <v>0</v>
      </c>
      <c r="T31" s="23" t="n">
        <v>1.384832926127392</v>
      </c>
      <c r="U31" s="23" t="n">
        <v>1.474691202093671</v>
      </c>
      <c r="V31" s="23" t="n">
        <v>1.391549484468431</v>
      </c>
      <c r="W31" s="23" t="n">
        <v>1.814592870889771</v>
      </c>
      <c r="X31" s="24" t="n">
        <v>0.1432591488756877</v>
      </c>
      <c r="Y31" s="24" t="n">
        <v>0.114458907829196</v>
      </c>
      <c r="Z31" s="23" t="n">
        <v>-24.73869160347048</v>
      </c>
    </row>
    <row r="32">
      <c r="D32" t="inlineStr">
        <is>
          <t>5: Sens: heat rate +2%</t>
        </is>
      </c>
      <c r="J32" s="23" t="n">
        <v>859.9157651791288</v>
      </c>
      <c r="K32" s="23" t="n">
        <v>654.6335649688092</v>
      </c>
      <c r="L32" s="23" t="n">
        <v>205.2822002103496</v>
      </c>
      <c r="M32" s="24" t="n">
        <v>0.761276384824056</v>
      </c>
      <c r="N32" s="23" t="n">
        <v>65.66592429782797</v>
      </c>
      <c r="O32" s="23" t="n">
        <v>21.64108407075162</v>
      </c>
      <c r="P32" s="23" t="n">
        <v>21.30832253973376</v>
      </c>
      <c r="Q32" s="23" t="n">
        <v>38.78696433895405</v>
      </c>
      <c r="R32" s="23" t="n">
        <v>0</v>
      </c>
      <c r="S32" s="23" t="n">
        <v>0</v>
      </c>
      <c r="T32" s="23" t="n">
        <v>1.391582543237112</v>
      </c>
      <c r="U32" s="23" t="n">
        <v>1.480157020551438</v>
      </c>
      <c r="V32" s="23" t="n">
        <v>1.395972473998044</v>
      </c>
      <c r="W32" s="23" t="n">
        <v>1.818633001931246</v>
      </c>
      <c r="X32" s="24" t="n">
        <v>0.1441245189731189</v>
      </c>
      <c r="Y32" s="24" t="n">
        <v>0.1147962611885914</v>
      </c>
      <c r="Z32" s="23" t="n">
        <v>-23.39903603323113</v>
      </c>
    </row>
    <row r="33">
      <c r="D33" t="inlineStr">
        <is>
          <t>6: Sens: fixed opex +10%</t>
        </is>
      </c>
      <c r="J33" s="23" t="n">
        <v>859.9157651791288</v>
      </c>
      <c r="K33" s="23" t="n">
        <v>654.6335649688092</v>
      </c>
      <c r="L33" s="23" t="n">
        <v>205.2822002103496</v>
      </c>
      <c r="M33" s="24" t="n">
        <v>0.761276384824056</v>
      </c>
      <c r="N33" s="23" t="n">
        <v>65.66592429782797</v>
      </c>
      <c r="O33" s="23" t="n">
        <v>21.64108407075162</v>
      </c>
      <c r="P33" s="23" t="n">
        <v>21.30832253973376</v>
      </c>
      <c r="Q33" s="23" t="n">
        <v>38.78696433895405</v>
      </c>
      <c r="R33" s="23" t="n">
        <v>0</v>
      </c>
      <c r="S33" s="23" t="n">
        <v>0</v>
      </c>
      <c r="T33" s="23" t="n">
        <v>1.406591929813284</v>
      </c>
      <c r="U33" s="23" t="n">
        <v>1.496699933595691</v>
      </c>
      <c r="V33" s="23" t="n">
        <v>1.407987866845456</v>
      </c>
      <c r="W33" s="23" t="n">
        <v>1.836438379456822</v>
      </c>
      <c r="X33" s="24" t="n">
        <v>0.1467686035838852</v>
      </c>
      <c r="Y33" s="24" t="n">
        <v>0.1159411623979583</v>
      </c>
      <c r="Z33" s="23" t="n">
        <v>-19.5010097722822</v>
      </c>
    </row>
    <row r="34">
      <c r="D34" t="inlineStr">
        <is>
          <t>7: Sens: capex +10% funded pro rata</t>
        </is>
      </c>
    </row>
    <row r="35">
      <c r="D35" t="inlineStr">
        <is>
          <t>8: Sens: COD delay 6 months, no LDs</t>
        </is>
      </c>
    </row>
    <row r="36">
      <c r="D36" t="inlineStr">
        <is>
          <t>9: Sens: base rate +200 bps (unhedged)</t>
        </is>
      </c>
      <c r="J36" s="23" t="n">
        <v>859.9157651791288</v>
      </c>
      <c r="K36" s="23" t="n">
        <v>654.6335649688092</v>
      </c>
      <c r="L36" s="23" t="n">
        <v>205.2822002103496</v>
      </c>
      <c r="M36" s="24" t="n">
        <v>0.761276384824056</v>
      </c>
      <c r="N36" s="23" t="n">
        <v>65.66592429782797</v>
      </c>
      <c r="O36" s="23" t="n">
        <v>21.64108407075162</v>
      </c>
      <c r="P36" s="23" t="n">
        <v>21.30832253973376</v>
      </c>
      <c r="Q36" s="23" t="n">
        <v>38.78696433895405</v>
      </c>
      <c r="R36" s="23" t="n">
        <v>0</v>
      </c>
      <c r="S36" s="23" t="n">
        <v>0</v>
      </c>
      <c r="T36" s="23" t="n">
        <v>1.099912144644166</v>
      </c>
      <c r="U36" s="23" t="n">
        <v>1.382417349427416</v>
      </c>
      <c r="V36" s="23" t="n">
        <v>1.226936919013069</v>
      </c>
      <c r="W36" s="23" t="n">
        <v>1.411240169640272</v>
      </c>
      <c r="X36" s="24" t="n">
        <v>0.119494279056258</v>
      </c>
      <c r="Y36" s="24" t="n">
        <v>0.1203322953492714</v>
      </c>
      <c r="Z36" s="23" t="n">
        <v>-68.90748642732383</v>
      </c>
    </row>
    <row r="37">
      <c r="D37" t="inlineStr">
        <is>
          <t>10: Sens: KCR devaluation 40%, 90-day lag</t>
        </is>
      </c>
      <c r="J37" s="23" t="n">
        <v>859.9157651791288</v>
      </c>
      <c r="K37" s="23" t="n">
        <v>654.6335649688092</v>
      </c>
      <c r="L37" s="23" t="n">
        <v>205.2822002103496</v>
      </c>
      <c r="M37" s="24" t="n">
        <v>0.761276384824056</v>
      </c>
      <c r="N37" s="23" t="n">
        <v>65.66592429782797</v>
      </c>
      <c r="O37" s="23" t="n">
        <v>21.64108407075162</v>
      </c>
      <c r="P37" s="23" t="n">
        <v>21.30832253973376</v>
      </c>
      <c r="Q37" s="23" t="n">
        <v>38.78696433895405</v>
      </c>
      <c r="R37" s="23" t="n">
        <v>0</v>
      </c>
      <c r="S37" s="23" t="n">
        <v>0</v>
      </c>
      <c r="T37" s="23" t="n">
        <v>0.5303800683203485</v>
      </c>
      <c r="U37" s="23" t="n">
        <v>1.499834822262688</v>
      </c>
      <c r="V37" s="23" t="n">
        <v>1.4077583454036</v>
      </c>
      <c r="W37" s="23" t="n">
        <v>1.836819694069927</v>
      </c>
      <c r="X37" s="24" t="n">
        <v>0.1464841866991513</v>
      </c>
      <c r="Y37" s="24" t="n">
        <v>0.1157882366625316</v>
      </c>
      <c r="Z37" s="23" t="n">
        <v>-20.10230549271821</v>
      </c>
    </row>
    <row r="38">
      <c r="D38" t="inlineStr">
        <is>
          <t>11: Sens: SEKA pays 120 days late for 12 months</t>
        </is>
      </c>
      <c r="J38" s="23" t="n">
        <v>859.9157651791288</v>
      </c>
      <c r="K38" s="23" t="n">
        <v>654.6335649688092</v>
      </c>
      <c r="L38" s="23" t="n">
        <v>205.2822002103496</v>
      </c>
      <c r="M38" s="24" t="n">
        <v>0.761276384824056</v>
      </c>
      <c r="N38" s="23" t="n">
        <v>65.66592429782797</v>
      </c>
      <c r="O38" s="23" t="n">
        <v>21.64108407075162</v>
      </c>
      <c r="P38" s="23" t="n">
        <v>21.30832253973376</v>
      </c>
      <c r="Q38" s="23" t="n">
        <v>38.78696433895405</v>
      </c>
      <c r="R38" s="23" t="n">
        <v>0</v>
      </c>
      <c r="S38" s="23" t="n">
        <v>0</v>
      </c>
      <c r="T38" s="23" t="n">
        <v>0.2099737925901093</v>
      </c>
      <c r="U38" s="23" t="n">
        <v>1.53021032231938</v>
      </c>
      <c r="V38" s="23" t="n">
        <v>1.428160896331157</v>
      </c>
      <c r="W38" s="23" t="n">
        <v>1.868902015132677</v>
      </c>
      <c r="X38" s="24" t="n">
        <v>0.1510665287021444</v>
      </c>
      <c r="Y38" s="24" t="n">
        <v>0.1176694953059988</v>
      </c>
      <c r="Z38" s="23" t="n">
        <v>-13.34163717641519</v>
      </c>
    </row>
    <row r="39">
      <c r="D39" t="inlineStr">
        <is>
          <t>12: Sens: dispatch 50%</t>
        </is>
      </c>
      <c r="J39" s="23" t="n">
        <v>859.9157651791288</v>
      </c>
      <c r="K39" s="23" t="n">
        <v>654.6335649688092</v>
      </c>
      <c r="L39" s="23" t="n">
        <v>205.2822002103496</v>
      </c>
      <c r="M39" s="24" t="n">
        <v>0.761276384824056</v>
      </c>
      <c r="N39" s="23" t="n">
        <v>65.66592429782797</v>
      </c>
      <c r="O39" s="23" t="n">
        <v>21.64108407075162</v>
      </c>
      <c r="P39" s="23" t="n">
        <v>21.30832253973376</v>
      </c>
      <c r="Q39" s="23" t="n">
        <v>38.78696433895405</v>
      </c>
      <c r="R39" s="23" t="n">
        <v>0</v>
      </c>
      <c r="S39" s="23" t="n">
        <v>0</v>
      </c>
      <c r="T39" s="23" t="n">
        <v>2.094448806180913</v>
      </c>
      <c r="U39" s="23" t="n">
        <v>2.405612955504073</v>
      </c>
      <c r="V39" s="23" t="n">
        <v>2.091851865344346</v>
      </c>
      <c r="W39" s="23" t="n">
        <v>2.828217234641016</v>
      </c>
      <c r="X39" s="24" t="n">
        <v>0.2862483121078772</v>
      </c>
      <c r="Y39" s="24" t="n">
        <v>0.1736412654001008</v>
      </c>
      <c r="Z39" s="23" t="n">
        <v>196.5443386460137</v>
      </c>
    </row>
    <row r="40">
      <c r="D40" t="inlineStr">
        <is>
          <t>13: Sens: gas price +30%</t>
        </is>
      </c>
      <c r="J40" s="23" t="n">
        <v>859.9157651791288</v>
      </c>
      <c r="K40" s="23" t="n">
        <v>654.6335649688092</v>
      </c>
      <c r="L40" s="23" t="n">
        <v>205.2822002103496</v>
      </c>
      <c r="M40" s="24" t="n">
        <v>0.761276384824056</v>
      </c>
      <c r="N40" s="23" t="n">
        <v>65.66592429782797</v>
      </c>
      <c r="O40" s="23" t="n">
        <v>21.64108407075162</v>
      </c>
      <c r="P40" s="23" t="n">
        <v>21.30832253973376</v>
      </c>
      <c r="Q40" s="23" t="n">
        <v>38.78696433895405</v>
      </c>
      <c r="R40" s="23" t="n">
        <v>0</v>
      </c>
      <c r="S40" s="23" t="n">
        <v>0</v>
      </c>
      <c r="T40" s="23" t="n">
        <v>1.436570131193144</v>
      </c>
      <c r="U40" s="23" t="n">
        <v>1.529977789420781</v>
      </c>
      <c r="V40" s="23" t="n">
        <v>1.432770711751233</v>
      </c>
      <c r="W40" s="23" t="n">
        <v>1.873057949092107</v>
      </c>
      <c r="X40" s="24" t="n">
        <v>0.1522821099979922</v>
      </c>
      <c r="Y40" s="24" t="n">
        <v>0.1183208747048872</v>
      </c>
      <c r="Z40" s="23" t="n">
        <v>-11.3774260337567</v>
      </c>
    </row>
    <row r="41">
      <c r="D41" t="inlineStr">
        <is>
          <t>14: COD re-forecast (2021 lenders case)</t>
        </is>
      </c>
      <c r="J41" s="23" t="n">
        <v>893.0688711885529</v>
      </c>
      <c r="K41" s="23" t="n">
        <v>654.6335649688092</v>
      </c>
      <c r="L41" s="23" t="n">
        <v>209.2655517127056</v>
      </c>
      <c r="M41" s="24" t="n">
        <v>0.7463966564960609</v>
      </c>
      <c r="N41" s="23" t="n">
        <v>64.534767334013</v>
      </c>
      <c r="O41" s="23" t="n">
        <v>23.8049660414879</v>
      </c>
      <c r="P41" s="23" t="n">
        <v>21.30832253973474</v>
      </c>
      <c r="Q41" s="23" t="n">
        <v>39.01902799013646</v>
      </c>
      <c r="R41" s="23" t="n">
        <v>11.95005450703798</v>
      </c>
      <c r="S41" s="23" t="n">
        <v>3.983351502345994</v>
      </c>
      <c r="T41" s="23" t="n">
        <v>1.353439731833688</v>
      </c>
      <c r="U41" s="23" t="n">
        <v>1.512216842185324</v>
      </c>
      <c r="V41" s="23" t="n">
        <v>1.358244082025121</v>
      </c>
      <c r="W41" s="23" t="n">
        <v>1.825352487301976</v>
      </c>
      <c r="X41" s="24" t="n">
        <v>0.1419195338469136</v>
      </c>
      <c r="Y41" s="24" t="n">
        <v>0.1089269650932658</v>
      </c>
      <c r="Z41" s="23" t="n">
        <v>-27.16041388796975</v>
      </c>
    </row>
    <row r="42">
      <c r="D42" t="inlineStr">
        <is>
          <t>15: Actual history</t>
        </is>
      </c>
      <c r="J42" s="23" t="n">
        <v>876.5912924046045</v>
      </c>
      <c r="K42" s="23" t="n">
        <v>654.6335649688092</v>
      </c>
      <c r="L42" s="23" t="n">
        <v>205.2822002103596</v>
      </c>
      <c r="M42" s="24" t="n">
        <v>0.7467945103276851</v>
      </c>
      <c r="N42" s="23" t="n">
        <v>64.534767334013</v>
      </c>
      <c r="O42" s="23" t="n">
        <v>23.8049660414879</v>
      </c>
      <c r="P42" s="23" t="n">
        <v>21.30832253973474</v>
      </c>
      <c r="Q42" s="23" t="n">
        <v>22.54144920618804</v>
      </c>
      <c r="R42" s="23" t="n">
        <v>1.298960938811433e-14</v>
      </c>
      <c r="S42" s="23" t="n">
        <v>4.329869796038111e-15</v>
      </c>
      <c r="T42" s="23" t="n">
        <v>0.8299839908603198</v>
      </c>
      <c r="U42" s="23" t="n">
        <v>1.487526088151491</v>
      </c>
      <c r="V42" s="23" t="n">
        <v>1.426351658730717</v>
      </c>
      <c r="W42" s="23" t="n">
        <v>1.666225292305598</v>
      </c>
      <c r="X42" s="24" t="n">
        <v>0.135029846264012</v>
      </c>
      <c r="Y42" s="24" t="n">
        <v>0.1115972393795046</v>
      </c>
      <c r="Z42" s="23" t="n">
        <v>-38.34716603135769</v>
      </c>
    </row>
    <row r="44">
      <c r="D44" t="inlineStr">
        <is>
          <t>Live dashboard (rows above) less the pasted row of the selected scenario (max abs; 0 = match)</t>
        </is>
      </c>
      <c r="E44" t="inlineStr">
        <is>
          <t>check</t>
        </is>
      </c>
      <c r="F44" s="11">
        <f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2026-10-03T22:39:21Z</dcterms:created>
  <dcterms:modified xsi:type="dcterms:W3CDTF">2026-10-03T22:39:24Z</dcterms:modified>
</cp:coreProperties>
</file>