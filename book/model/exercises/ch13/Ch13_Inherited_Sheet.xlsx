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" customWidth="1" min="1" max="1"/>
    <col width="2" customWidth="1" min="2" max="2"/>
    <col width="2" customWidth="1" min="3" max="3"/>
    <col width="30" customWidth="1" min="4" max="4"/>
    <col width="10" customWidth="1" min="5" max="5"/>
    <col width="12" customWidth="1" min="6" max="6"/>
    <col width="4" customWidth="1" min="7" max="7"/>
    <col width="4" customWidth="1" min="8" max="8"/>
    <col width="4" customWidth="1" min="9" max="9"/>
    <col width="12" customWidth="1" min="10" max="10"/>
    <col width="12" customWidth="1" min="11" max="11"/>
    <col width="12" customWidth="1" min="12" max="12"/>
  </cols>
  <sheetData>
    <row r="1">
      <c r="A1" s="1" t="inlineStr">
        <is>
          <t>Quebracho Alto: first three operating years (inherited sheet, Exercise 13.13)</t>
        </is>
      </c>
    </row>
    <row r="4">
      <c r="D4" t="inlineStr">
        <is>
          <t>Operating year</t>
        </is>
      </c>
      <c r="J4" t="n">
        <v>1</v>
      </c>
      <c r="K4" t="n">
        <v>2</v>
      </c>
      <c r="L4" t="n">
        <v>3</v>
      </c>
    </row>
    <row r="8">
      <c r="D8" t="inlineStr">
        <is>
          <t>Tariff</t>
        </is>
      </c>
      <c r="E8" t="inlineStr">
        <is>
          <t>USD/MWh</t>
        </is>
      </c>
      <c r="F8" s="2" t="n">
        <v>63.4</v>
      </c>
    </row>
    <row r="9">
      <c r="D9" t="inlineStr">
        <is>
          <t>Escalation</t>
        </is>
      </c>
      <c r="E9" t="inlineStr">
        <is>
          <t>% pa</t>
        </is>
      </c>
      <c r="F9" s="3" t="n">
        <v>0.024</v>
      </c>
    </row>
    <row r="10">
      <c r="D10" t="inlineStr">
        <is>
          <t>Energy</t>
        </is>
      </c>
      <c r="E10" t="inlineStr">
        <is>
          <t>GWh</t>
        </is>
      </c>
      <c r="F10" s="2" t="n">
        <v>551.4</v>
      </c>
    </row>
    <row r="11">
      <c r="D11" t="inlineStr">
        <is>
          <t>Opex</t>
        </is>
      </c>
      <c r="E11" t="inlineStr">
        <is>
          <t>USD m</t>
        </is>
      </c>
      <c r="F11" s="2" t="n">
        <v>7.94</v>
      </c>
    </row>
    <row r="12">
      <c r="D12" t="inlineStr">
        <is>
          <t>Opex escalation</t>
        </is>
      </c>
      <c r="E12" t="inlineStr">
        <is>
          <t>% pa</t>
        </is>
      </c>
      <c r="F12" s="3" t="n">
        <v>0.02</v>
      </c>
    </row>
    <row r="13">
      <c r="D13" t="inlineStr">
        <is>
          <t>Degradation</t>
        </is>
      </c>
      <c r="E13" t="inlineStr">
        <is>
          <t>% pa</t>
        </is>
      </c>
      <c r="F13" s="3" t="n">
        <v>0.005</v>
      </c>
    </row>
    <row r="14">
      <c r="D14" t="inlineStr">
        <is>
          <t>Tariff</t>
        </is>
      </c>
      <c r="E14" t="inlineStr">
        <is>
          <t>USD/MWh</t>
        </is>
      </c>
      <c r="J14" s="4">
        <f>$F$8*(1+F9)^(J$4-1)</f>
        <v/>
      </c>
      <c r="K14" s="4">
        <f>$F$8*(1+G9)^(K$4-1)</f>
        <v/>
      </c>
      <c r="L14" s="4">
        <f>$F$8*(1+H9)^(L$4-1)</f>
        <v/>
      </c>
    </row>
    <row r="15">
      <c r="D15" t="inlineStr">
        <is>
          <t>Energy</t>
        </is>
      </c>
      <c r="E15" t="inlineStr">
        <is>
          <t>GWh</t>
        </is>
      </c>
      <c r="J15" s="4">
        <f>$F$10*0.995^(J$4-1)</f>
        <v/>
      </c>
      <c r="K15" s="4">
        <f>$F$10*0.995^(K$4-1)</f>
        <v/>
      </c>
      <c r="L15" s="4" t="inlineStr">
        <is>
          <t>tbc</t>
        </is>
      </c>
    </row>
    <row r="16">
      <c r="D16" t="inlineStr">
        <is>
          <t>Revenue</t>
        </is>
      </c>
      <c r="E16" t="inlineStr">
        <is>
          <t>USD m</t>
        </is>
      </c>
      <c r="J16" s="4">
        <f>J14*J15</f>
        <v/>
      </c>
      <c r="K16" s="4">
        <f>K14*K15</f>
        <v/>
      </c>
      <c r="L16" s="4">
        <f>L14*L15</f>
        <v/>
      </c>
    </row>
    <row r="17">
      <c r="D17" t="inlineStr">
        <is>
          <t>Opex</t>
        </is>
      </c>
      <c r="E17" t="inlineStr">
        <is>
          <t>USD m</t>
        </is>
      </c>
      <c r="J17" s="4">
        <f>OFFSET($E$11,0,1)*(1+$F$12)^(J$4-1)</f>
        <v/>
      </c>
      <c r="K17" s="4">
        <f>OFFSET($E$11,0,1)*(1+$F$12)^(K$4-1)</f>
        <v/>
      </c>
      <c r="L17" s="4">
        <f>OFFSET($E$11,0,1)*(1+$F$12)^(L$4-1)</f>
        <v/>
      </c>
    </row>
    <row r="18">
      <c r="D18" t="inlineStr">
        <is>
          <t>Margin</t>
        </is>
      </c>
      <c r="E18" t="inlineStr">
        <is>
          <t>USD m</t>
        </is>
      </c>
      <c r="J18" s="4">
        <f>IFERROR(J16-J17,0)</f>
        <v/>
      </c>
      <c r="K18" s="4">
        <f>IFERROR(K16-K17,0)</f>
        <v/>
      </c>
      <c r="L18" s="4">
        <f>IFERROR(L16-L17,0)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2026-10-03T23:08:03Z</dcterms:created>
  <dcterms:modified xsi:type="dcterms:W3CDTF">2026-10-03T23:08:03Z</dcterms:modified>
</cp:coreProperties>
</file>