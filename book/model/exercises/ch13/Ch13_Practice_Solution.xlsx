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Time" sheetId="2" state="visible" r:id="rId2"/>
    <sheet name="Calc" sheetId="3" state="visible" r:id="rId3"/>
    <sheet name="Checks" sheetId="4" state="visible" r:id="rId4"/>
  </sheets>
  <definedNames>
    <definedName name="Scenario">Inputs!$F$8</definedName>
  </definedNames>
  <calcPr calcId="124519" fullCalcOnLoad="1"/>
</workbook>
</file>

<file path=xl/styles.xml><?xml version="1.0" encoding="utf-8"?>
<styleSheet xmlns="http://schemas.openxmlformats.org/spreadsheetml/2006/main">
  <numFmts count="10">
    <numFmt numFmtId="164" formatCode="0.000"/>
    <numFmt numFmtId="165" formatCode="0.000000"/>
    <numFmt numFmtId="166" formatCode="yyyy-mm-dd"/>
    <numFmt numFmtId="167" formatCode="#,##0.0"/>
    <numFmt numFmtId="168" formatCode="0.0%"/>
    <numFmt numFmtId="169" formatCode="0.0"/>
    <numFmt numFmtId="170" formatCode="0.0000"/>
    <numFmt numFmtId="171" formatCode="#,##0.000"/>
    <numFmt numFmtId="172" formatCode="0.00000"/>
    <numFmt numFmtId="173" formatCode="#,##0.00;(#,##0.00)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</font>
    <font>
      <color rgb="000000FF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3" fillId="2" borderId="0" pivotButton="0" quotePrefix="0" xfId="0"/>
    <xf numFmtId="1" fontId="3" fillId="2" borderId="0" pivotButton="0" quotePrefix="0" xfId="0"/>
    <xf numFmtId="165" fontId="3" fillId="2" borderId="0" pivotButton="0" quotePrefix="0" xfId="0"/>
    <xf numFmtId="166" fontId="3" fillId="2" borderId="0" pivotButton="0" quotePrefix="0" xfId="0"/>
    <xf numFmtId="167" fontId="3" fillId="2" borderId="0" pivotButton="0" quotePrefix="0" xfId="0"/>
    <xf numFmtId="2" fontId="3" fillId="2" borderId="0" pivotButton="0" quotePrefix="0" xfId="0"/>
    <xf numFmtId="168" fontId="3" fillId="2" borderId="0" pivotButton="0" quotePrefix="0" xfId="0"/>
    <xf numFmtId="10" fontId="3" fillId="2" borderId="0" pivotButton="0" quotePrefix="0" xfId="0"/>
    <xf numFmtId="3" fontId="3" fillId="2" borderId="0" pivotButton="0" quotePrefix="0" xfId="0"/>
    <xf numFmtId="169" fontId="0" fillId="0" borderId="0" pivotButton="0" quotePrefix="0" xfId="0"/>
    <xf numFmtId="169" fontId="3" fillId="2" borderId="0" pivotButton="0" quotePrefix="0" xfId="0"/>
    <xf numFmtId="170" fontId="3" fillId="2" borderId="0" pivotButton="0" quotePrefix="0" xfId="0"/>
    <xf numFmtId="1" fontId="0" fillId="0" borderId="0" pivotButton="0" quotePrefix="0" xfId="0"/>
    <xf numFmtId="0" fontId="2" fillId="3" borderId="0" pivotButton="0" quotePrefix="0" xfId="0"/>
    <xf numFmtId="166" fontId="0" fillId="0" borderId="0" pivotButton="0" quotePrefix="0" xfId="0"/>
    <xf numFmtId="166" fontId="4" fillId="0" borderId="0" pivotButton="0" quotePrefix="0" xfId="0"/>
    <xf numFmtId="170" fontId="0" fillId="0" borderId="0" pivotButton="0" quotePrefix="0" xfId="0"/>
    <xf numFmtId="1" fontId="4" fillId="0" borderId="0" pivotButton="0" quotePrefix="0" xfId="0"/>
    <xf numFmtId="3" fontId="4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171" fontId="0" fillId="0" borderId="0" pivotButton="0" quotePrefix="0" xfId="0"/>
    <xf numFmtId="171" fontId="4" fillId="0" borderId="0" pivotButton="0" quotePrefix="0" xfId="0"/>
    <xf numFmtId="2" fontId="0" fillId="0" borderId="0" pivotButton="0" quotePrefix="0" xfId="0"/>
    <xf numFmtId="172" fontId="0" fillId="0" borderId="0" pivotButton="0" quotePrefix="0" xfId="0"/>
    <xf numFmtId="173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999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6"/>
  <sheetViews>
    <sheetView workbookViewId="0">
      <selection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0" customWidth="1" min="4" max="4"/>
    <col width="12" customWidth="1" min="5" max="5"/>
    <col width="14" customWidth="1" min="6" max="6"/>
    <col width="12" customWidth="1" min="7" max="7"/>
    <col width="4" customWidth="1" min="8" max="8"/>
    <col width="4" customWidth="1" min="9" max="9"/>
  </cols>
  <sheetData>
    <row r="1">
      <c r="A1" s="1" t="inlineStr">
        <is>
          <t>Quebracho Alto (fictional; Illustrative): Chapter 13 practice files</t>
        </is>
      </c>
    </row>
    <row r="2">
      <c r="A2" t="inlineStr">
        <is>
          <t>Inputs: every number the workbook uses, with units (Examples 13.2 to 13.9)</t>
        </is>
      </c>
    </row>
    <row r="3">
      <c r="A3" t="inlineStr">
        <is>
          <t>Column D label, E unit, F value or scalar, G row total; first period in column J. Inputs: blue on yellow. Links: green. Checks: 0 when passing.</t>
        </is>
      </c>
    </row>
    <row r="5">
      <c r="B5" s="2" t="inlineStr">
        <is>
          <t>Check and macro settings</t>
        </is>
      </c>
    </row>
    <row r="6">
      <c r="D6" t="inlineStr">
        <is>
          <t>Check tolerance</t>
        </is>
      </c>
      <c r="E6" t="inlineStr">
        <is>
          <t>USD m</t>
        </is>
      </c>
      <c r="F6" s="3" t="n">
        <v>0.001</v>
      </c>
    </row>
    <row r="7">
      <c r="B7" s="2" t="inlineStr">
        <is>
          <t>Scenario control (Example 13.4)</t>
        </is>
      </c>
    </row>
    <row r="8">
      <c r="D8" t="inlineStr">
        <is>
          <t>Scenario (1 Base, 2 Low, 3 High; cell named Scenario)</t>
        </is>
      </c>
      <c r="E8" t="inlineStr">
        <is>
          <t>index</t>
        </is>
      </c>
      <c r="F8" s="4" t="n">
        <v>1</v>
      </c>
    </row>
    <row r="9">
      <c r="B9" s="2" t="inlineStr">
        <is>
          <t>Escalation factors by operating year (columns F to Y = years 1 to 20; Example 13.5)</t>
        </is>
      </c>
    </row>
    <row r="10">
      <c r="D10" t="inlineStr">
        <is>
          <t>Escalation factor (tariff escalation 2.4% a year)</t>
        </is>
      </c>
      <c r="F10" s="5" t="n">
        <v>1</v>
      </c>
      <c r="G10" s="5" t="n">
        <v>1.024</v>
      </c>
      <c r="H10" s="5" t="n">
        <v>1.048576</v>
      </c>
      <c r="I10" s="5" t="n">
        <v>1.073741824</v>
      </c>
      <c r="J10" s="5" t="n">
        <v>1.099511627776</v>
      </c>
      <c r="K10" s="5" t="n">
        <v>1.125899906842624</v>
      </c>
      <c r="L10" s="5" t="n">
        <v>1.152921504606847</v>
      </c>
      <c r="M10" s="5" t="n">
        <v>1.180591620717411</v>
      </c>
      <c r="N10" s="5" t="n">
        <v>1.208925819614629</v>
      </c>
      <c r="O10" s="5" t="n">
        <v>1.237940039285381</v>
      </c>
      <c r="P10" s="5" t="n">
        <v>1.26765060022823</v>
      </c>
      <c r="Q10" s="5" t="n">
        <v>1.298074214633707</v>
      </c>
      <c r="R10" s="5" t="n">
        <v>1.329227995784916</v>
      </c>
      <c r="S10" s="5" t="n">
        <v>1.361129467683754</v>
      </c>
      <c r="T10" s="5" t="n">
        <v>1.393796574908164</v>
      </c>
      <c r="U10" s="5" t="n">
        <v>1.42724769270596</v>
      </c>
      <c r="V10" s="5" t="n">
        <v>1.461501637330903</v>
      </c>
      <c r="W10" s="5" t="n">
        <v>1.496577676626845</v>
      </c>
      <c r="X10" s="5" t="n">
        <v>1.532495540865889</v>
      </c>
      <c r="Y10" s="5" t="n">
        <v>1.569275433846671</v>
      </c>
    </row>
    <row r="11">
      <c r="B11" s="2" t="inlineStr">
        <is>
          <t>Timing (Example 13.2)</t>
        </is>
      </c>
    </row>
    <row r="12">
      <c r="D12" t="inlineStr">
        <is>
          <t>Notice to proceed</t>
        </is>
      </c>
      <c r="E12" t="inlineStr">
        <is>
          <t>date</t>
        </is>
      </c>
      <c r="F12" s="6" t="n">
        <v>46447</v>
      </c>
    </row>
    <row r="13">
      <c r="D13" t="inlineStr">
        <is>
          <t>Construction months</t>
        </is>
      </c>
      <c r="E13" t="inlineStr">
        <is>
          <t>months</t>
        </is>
      </c>
      <c r="F13" s="4" t="n">
        <v>26</v>
      </c>
    </row>
    <row r="14">
      <c r="D14" t="inlineStr">
        <is>
          <t>Commercial operation date</t>
        </is>
      </c>
      <c r="E14" t="inlineStr">
        <is>
          <t>date</t>
        </is>
      </c>
      <c r="F14" s="6" t="n">
        <v>47239</v>
      </c>
    </row>
    <row r="15">
      <c r="D15" t="inlineStr">
        <is>
          <t>Operating years</t>
        </is>
      </c>
      <c r="E15" t="inlineStr">
        <is>
          <t>years</t>
        </is>
      </c>
      <c r="F15" s="4" t="n">
        <v>20</v>
      </c>
    </row>
    <row r="16">
      <c r="D16" t="inlineStr">
        <is>
          <t>Months per operating period</t>
        </is>
      </c>
      <c r="E16" t="inlineStr">
        <is>
          <t>months</t>
        </is>
      </c>
      <c r="F16" s="4" t="n">
        <v>6</v>
      </c>
    </row>
    <row r="17">
      <c r="B17" s="2" t="inlineStr">
        <is>
          <t>Operations and revenue (Examples 13.5 to 13.7)</t>
        </is>
      </c>
    </row>
    <row r="18">
      <c r="D18" t="inlineStr">
        <is>
          <t>Annual energy (no degradation in these examples)</t>
        </is>
      </c>
      <c r="E18" t="inlineStr">
        <is>
          <t>GWh</t>
        </is>
      </c>
      <c r="F18" s="7" t="n">
        <v>551.4</v>
      </c>
    </row>
    <row r="19">
      <c r="D19" t="inlineStr">
        <is>
          <t>Base tariff (year 1)</t>
        </is>
      </c>
      <c r="E19" t="inlineStr">
        <is>
          <t>USD/MWh</t>
        </is>
      </c>
      <c r="F19" s="8" t="n">
        <v>63.4</v>
      </c>
    </row>
    <row r="20">
      <c r="D20" t="inlineStr">
        <is>
          <t>Tariff escalation (Example 13.5; factors in row 10)</t>
        </is>
      </c>
      <c r="E20" t="inlineStr">
        <is>
          <t>% pa</t>
        </is>
      </c>
      <c r="F20" s="9" t="n">
        <v>0.024</v>
      </c>
    </row>
    <row r="21">
      <c r="D21" t="inlineStr">
        <is>
          <t>Operating cost</t>
        </is>
      </c>
      <c r="E21" t="inlineStr">
        <is>
          <t>USD m pa</t>
        </is>
      </c>
      <c r="F21" s="8" t="n">
        <v>7.94</v>
      </c>
    </row>
    <row r="22">
      <c r="D22" t="inlineStr">
        <is>
          <t>Discount rate (base)</t>
        </is>
      </c>
      <c r="E22" t="inlineStr">
        <is>
          <t>% pa</t>
        </is>
      </c>
      <c r="F22" s="10" t="n">
        <v>0.08749999999999999</v>
      </c>
    </row>
    <row r="23">
      <c r="B23" s="2" t="inlineStr">
        <is>
          <t>Delay LDs (Example 13.3)</t>
        </is>
      </c>
    </row>
    <row r="24">
      <c r="D24" t="inlineStr">
        <is>
          <t>Delay LD rate</t>
        </is>
      </c>
      <c r="E24" t="inlineStr">
        <is>
          <t>USD/day</t>
        </is>
      </c>
      <c r="F24" s="11" t="n">
        <v>39500</v>
      </c>
    </row>
    <row r="25">
      <c r="D25" t="inlineStr">
        <is>
          <t>Delay LD cap</t>
        </is>
      </c>
      <c r="E25" t="inlineStr">
        <is>
          <t>USD</t>
        </is>
      </c>
      <c r="F25" s="11" t="n">
        <v>9620000</v>
      </c>
    </row>
    <row r="26">
      <c r="D26" t="inlineStr">
        <is>
          <t>Days in each delay month (columns J to Q = delay months 1 to 8)</t>
        </is>
      </c>
      <c r="E26" t="inlineStr">
        <is>
          <t>days</t>
        </is>
      </c>
      <c r="J26" s="4" t="n">
        <v>31</v>
      </c>
      <c r="K26" s="4" t="n">
        <v>30</v>
      </c>
      <c r="L26" s="4" t="n">
        <v>31</v>
      </c>
      <c r="M26" s="4" t="n">
        <v>31</v>
      </c>
      <c r="N26" s="4" t="n">
        <v>30</v>
      </c>
      <c r="O26" s="4" t="n">
        <v>31</v>
      </c>
      <c r="P26" s="4" t="n">
        <v>30</v>
      </c>
      <c r="Q26" s="4" t="n">
        <v>31</v>
      </c>
    </row>
    <row r="27">
      <c r="B27" s="2" t="inlineStr">
        <is>
          <t>Funding (Example 13.8)</t>
        </is>
      </c>
    </row>
    <row r="28">
      <c r="D28" t="inlineStr">
        <is>
          <t>Gearing (debt share of total funding)</t>
        </is>
      </c>
      <c r="E28" t="inlineStr">
        <is>
          <t>%</t>
        </is>
      </c>
      <c r="F28" s="10" t="n">
        <v>0.72</v>
      </c>
    </row>
    <row r="29">
      <c r="D29" t="inlineStr">
        <is>
          <t>IDC as a share of total debt (whole construction period; simplification)</t>
        </is>
      </c>
      <c r="E29" t="inlineStr">
        <is>
          <t>%</t>
        </is>
      </c>
      <c r="F29" s="10" t="n">
        <v>0.08740000000000001</v>
      </c>
      <c r="H29" t="inlineStr">
        <is>
          <t>Base</t>
        </is>
      </c>
      <c r="I29" t="inlineStr">
        <is>
          <t>Low</t>
        </is>
      </c>
      <c r="J29" t="inlineStr">
        <is>
          <t>High</t>
        </is>
      </c>
    </row>
    <row r="30">
      <c r="D30" t="inlineStr">
        <is>
          <t>Costs before financing: scenario table H30:J30 (Base, Low, High); live value in F30</t>
        </is>
      </c>
      <c r="E30" t="inlineStr">
        <is>
          <t>USD m</t>
        </is>
      </c>
      <c r="F30" s="12">
        <f>INDEX(H30:J30,Scenario)</f>
        <v/>
      </c>
      <c r="H30" s="13" t="n">
        <v>248.6</v>
      </c>
      <c r="I30" s="13" t="n">
        <v>231.7</v>
      </c>
      <c r="J30" s="13" t="n">
        <v>271.9</v>
      </c>
    </row>
    <row r="31">
      <c r="D31" t="inlineStr">
        <is>
          <t>Macro tolerance (optional Converge macro, ssec:13.8.5)</t>
        </is>
      </c>
      <c r="E31" t="inlineStr">
        <is>
          <t>USD m</t>
        </is>
      </c>
      <c r="F31" s="3" t="n">
        <v>0.001</v>
      </c>
    </row>
    <row r="32">
      <c r="D32" t="inlineStr">
        <is>
          <t>Macro pass limit</t>
        </is>
      </c>
      <c r="E32" t="inlineStr">
        <is>
          <t>passes</t>
        </is>
      </c>
      <c r="F32" s="4" t="n">
        <v>50</v>
      </c>
    </row>
    <row r="33">
      <c r="B33" s="2" t="inlineStr">
        <is>
          <t>Goal seek (Example 13.7)</t>
        </is>
      </c>
    </row>
    <row r="34">
      <c r="D34" t="inlineStr">
        <is>
          <t>Breakeven tariff at the base rate, pasted from Goal Seek (NPV = 0 by changing the tariff)</t>
        </is>
      </c>
      <c r="E34" t="inlineStr">
        <is>
          <t>USD/MWh</t>
        </is>
      </c>
      <c r="F34" s="14" t="n">
        <v>62.91221842140023</v>
      </c>
    </row>
    <row r="35">
      <c r="D35" t="inlineStr">
        <is>
          <t>Breakeven test rate, low (Example 13.7)</t>
        </is>
      </c>
      <c r="E35" t="inlineStr">
        <is>
          <t>% pa</t>
        </is>
      </c>
      <c r="F35" s="10" t="n">
        <v>0.0775</v>
      </c>
    </row>
    <row r="36">
      <c r="D36" t="inlineStr">
        <is>
          <t>Breakeven test rate, high (Example 13.7)</t>
        </is>
      </c>
      <c r="E36" t="inlineStr">
        <is>
          <t>% pa</t>
        </is>
      </c>
      <c r="F36" s="10" t="n">
        <v>0.0975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25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0" customWidth="1" min="4" max="4"/>
    <col width="12" customWidth="1" min="5" max="5"/>
    <col width="14" customWidth="1" min="6" max="6"/>
    <col width="12" customWidth="1" min="7" max="7"/>
    <col width="4" customWidth="1" min="8" max="8"/>
    <col width="4" customWidth="1" min="9" max="9"/>
  </cols>
  <sheetData>
    <row r="1">
      <c r="A1" s="1" t="inlineStr">
        <is>
          <t>Quebracho Alto (fictional; Illustrative): Chapter 13 practice files</t>
        </is>
      </c>
    </row>
    <row r="2">
      <c r="A2" t="inlineStr">
        <is>
          <t>Time: monthly construction timeline (rows 4 to 12) and semiannual operations timeline (rows 18 to 24)</t>
        </is>
      </c>
    </row>
    <row r="3">
      <c r="A3" t="inlineStr">
        <is>
          <t>Column D label, E unit, F value or scalar, G row total; first period in column J. Inputs: blue on yellow. Links: green. Checks: 0 when passing.</t>
        </is>
      </c>
    </row>
    <row r="4">
      <c r="D4" t="inlineStr">
        <is>
          <t>Month counter</t>
        </is>
      </c>
      <c r="E4" t="inlineStr">
        <is>
          <t>index</t>
        </is>
      </c>
      <c r="J4" s="15">
        <f>I4+1</f>
        <v/>
      </c>
      <c r="K4" s="15">
        <f>J4+1</f>
        <v/>
      </c>
      <c r="L4" s="15">
        <f>K4+1</f>
        <v/>
      </c>
      <c r="M4" s="15">
        <f>L4+1</f>
        <v/>
      </c>
      <c r="N4" s="15">
        <f>M4+1</f>
        <v/>
      </c>
      <c r="O4" s="15">
        <f>N4+1</f>
        <v/>
      </c>
      <c r="P4" s="15">
        <f>O4+1</f>
        <v/>
      </c>
      <c r="Q4" s="15">
        <f>P4+1</f>
        <v/>
      </c>
      <c r="R4" s="15">
        <f>Q4+1</f>
        <v/>
      </c>
      <c r="S4" s="15">
        <f>R4+1</f>
        <v/>
      </c>
      <c r="T4" s="15">
        <f>S4+1</f>
        <v/>
      </c>
      <c r="U4" s="15">
        <f>T4+1</f>
        <v/>
      </c>
      <c r="V4" s="15">
        <f>U4+1</f>
        <v/>
      </c>
      <c r="W4" s="15">
        <f>V4+1</f>
        <v/>
      </c>
      <c r="X4" s="15">
        <f>W4+1</f>
        <v/>
      </c>
      <c r="Y4" s="15">
        <f>X4+1</f>
        <v/>
      </c>
      <c r="Z4" s="15">
        <f>Y4+1</f>
        <v/>
      </c>
      <c r="AA4" s="15">
        <f>Z4+1</f>
        <v/>
      </c>
      <c r="AB4" s="15">
        <f>AA4+1</f>
        <v/>
      </c>
      <c r="AC4" s="15">
        <f>AB4+1</f>
        <v/>
      </c>
      <c r="AD4" s="15">
        <f>AC4+1</f>
        <v/>
      </c>
      <c r="AE4" s="15">
        <f>AD4+1</f>
        <v/>
      </c>
      <c r="AF4" s="15">
        <f>AE4+1</f>
        <v/>
      </c>
      <c r="AG4" s="15">
        <f>AF4+1</f>
        <v/>
      </c>
      <c r="AH4" s="15">
        <f>AG4+1</f>
        <v/>
      </c>
      <c r="AI4" s="15">
        <f>AH4+1</f>
        <v/>
      </c>
      <c r="AJ4" s="15">
        <f>AI4+1</f>
        <v/>
      </c>
      <c r="AK4" s="15">
        <f>AJ4+1</f>
        <v/>
      </c>
      <c r="AL4" s="15">
        <f>AK4+1</f>
        <v/>
      </c>
      <c r="AM4" s="15">
        <f>AL4+1</f>
        <v/>
      </c>
    </row>
    <row r="5">
      <c r="J5" s="16" t="inlineStr">
        <is>
          <t>2027-03</t>
        </is>
      </c>
      <c r="K5" s="16" t="inlineStr">
        <is>
          <t>2027-04</t>
        </is>
      </c>
      <c r="L5" s="16" t="inlineStr">
        <is>
          <t>2027-05</t>
        </is>
      </c>
      <c r="M5" s="16" t="inlineStr">
        <is>
          <t>2027-06</t>
        </is>
      </c>
      <c r="N5" s="16" t="inlineStr">
        <is>
          <t>2027-07</t>
        </is>
      </c>
      <c r="O5" s="16" t="inlineStr">
        <is>
          <t>2027-08</t>
        </is>
      </c>
      <c r="P5" s="16" t="inlineStr">
        <is>
          <t>2027-09</t>
        </is>
      </c>
      <c r="Q5" s="16" t="inlineStr">
        <is>
          <t>2027-10</t>
        </is>
      </c>
      <c r="R5" s="16" t="inlineStr">
        <is>
          <t>2027-11</t>
        </is>
      </c>
      <c r="S5" s="16" t="inlineStr">
        <is>
          <t>2027-12</t>
        </is>
      </c>
      <c r="T5" s="16" t="inlineStr">
        <is>
          <t>2028-01</t>
        </is>
      </c>
      <c r="U5" s="16" t="inlineStr">
        <is>
          <t>2028-02</t>
        </is>
      </c>
      <c r="V5" s="16" t="inlineStr">
        <is>
          <t>2028-03</t>
        </is>
      </c>
      <c r="W5" s="16" t="inlineStr">
        <is>
          <t>2028-04</t>
        </is>
      </c>
      <c r="X5" s="16" t="inlineStr">
        <is>
          <t>2028-05</t>
        </is>
      </c>
      <c r="Y5" s="16" t="inlineStr">
        <is>
          <t>2028-06</t>
        </is>
      </c>
      <c r="Z5" s="16" t="inlineStr">
        <is>
          <t>2028-07</t>
        </is>
      </c>
      <c r="AA5" s="16" t="inlineStr">
        <is>
          <t>2028-08</t>
        </is>
      </c>
      <c r="AB5" s="16" t="inlineStr">
        <is>
          <t>2028-09</t>
        </is>
      </c>
      <c r="AC5" s="16" t="inlineStr">
        <is>
          <t>2028-10</t>
        </is>
      </c>
      <c r="AD5" s="16" t="inlineStr">
        <is>
          <t>2028-11</t>
        </is>
      </c>
      <c r="AE5" s="16" t="inlineStr">
        <is>
          <t>2028-12</t>
        </is>
      </c>
      <c r="AF5" s="16" t="inlineStr">
        <is>
          <t>2029-01</t>
        </is>
      </c>
      <c r="AG5" s="16" t="inlineStr">
        <is>
          <t>2029-02</t>
        </is>
      </c>
      <c r="AH5" s="16" t="inlineStr">
        <is>
          <t>2029-03</t>
        </is>
      </c>
      <c r="AI5" s="16" t="inlineStr">
        <is>
          <t>2029-04</t>
        </is>
      </c>
      <c r="AJ5" s="16" t="inlineStr">
        <is>
          <t>2029-05</t>
        </is>
      </c>
      <c r="AK5" s="16" t="inlineStr">
        <is>
          <t>2029-06</t>
        </is>
      </c>
      <c r="AL5" s="16" t="inlineStr">
        <is>
          <t>2029-07</t>
        </is>
      </c>
      <c r="AM5" s="16" t="inlineStr">
        <is>
          <t>2029-08</t>
        </is>
      </c>
    </row>
    <row r="7">
      <c r="D7" t="inlineStr">
        <is>
          <t>Days in month</t>
        </is>
      </c>
      <c r="E7" t="inlineStr">
        <is>
          <t>days</t>
        </is>
      </c>
      <c r="J7" s="15">
        <f>J10-J9+1</f>
        <v/>
      </c>
      <c r="K7" s="15">
        <f>K10-K9+1</f>
        <v/>
      </c>
      <c r="L7" s="15">
        <f>L10-L9+1</f>
        <v/>
      </c>
      <c r="M7" s="15">
        <f>M10-M9+1</f>
        <v/>
      </c>
      <c r="N7" s="15">
        <f>N10-N9+1</f>
        <v/>
      </c>
      <c r="O7" s="15">
        <f>O10-O9+1</f>
        <v/>
      </c>
      <c r="P7" s="15">
        <f>P10-P9+1</f>
        <v/>
      </c>
      <c r="Q7" s="15">
        <f>Q10-Q9+1</f>
        <v/>
      </c>
      <c r="R7" s="15">
        <f>R10-R9+1</f>
        <v/>
      </c>
      <c r="S7" s="15">
        <f>S10-S9+1</f>
        <v/>
      </c>
      <c r="T7" s="15">
        <f>T10-T9+1</f>
        <v/>
      </c>
      <c r="U7" s="15">
        <f>U10-U9+1</f>
        <v/>
      </c>
      <c r="V7" s="15">
        <f>V10-V9+1</f>
        <v/>
      </c>
      <c r="W7" s="15">
        <f>W10-W9+1</f>
        <v/>
      </c>
      <c r="X7" s="15">
        <f>X10-X9+1</f>
        <v/>
      </c>
      <c r="Y7" s="15">
        <f>Y10-Y9+1</f>
        <v/>
      </c>
      <c r="Z7" s="15">
        <f>Z10-Z9+1</f>
        <v/>
      </c>
      <c r="AA7" s="15">
        <f>AA10-AA9+1</f>
        <v/>
      </c>
      <c r="AB7" s="15">
        <f>AB10-AB9+1</f>
        <v/>
      </c>
      <c r="AC7" s="15">
        <f>AC10-AC9+1</f>
        <v/>
      </c>
      <c r="AD7" s="15">
        <f>AD10-AD9+1</f>
        <v/>
      </c>
      <c r="AE7" s="15">
        <f>AE10-AE9+1</f>
        <v/>
      </c>
      <c r="AF7" s="15">
        <f>AF10-AF9+1</f>
        <v/>
      </c>
      <c r="AG7" s="15">
        <f>AG10-AG9+1</f>
        <v/>
      </c>
      <c r="AH7" s="15">
        <f>AH10-AH9+1</f>
        <v/>
      </c>
      <c r="AI7" s="15">
        <f>AI10-AI9+1</f>
        <v/>
      </c>
      <c r="AJ7" s="15">
        <f>AJ10-AJ9+1</f>
        <v/>
      </c>
      <c r="AK7" s="15">
        <f>AK10-AK9+1</f>
        <v/>
      </c>
      <c r="AL7" s="15">
        <f>AL10-AL9+1</f>
        <v/>
      </c>
      <c r="AM7" s="15">
        <f>AM10-AM9+1</f>
        <v/>
      </c>
    </row>
    <row r="9">
      <c r="D9" t="inlineStr">
        <is>
          <t>Month start</t>
        </is>
      </c>
      <c r="E9" t="inlineStr">
        <is>
          <t>date</t>
        </is>
      </c>
      <c r="J9" s="17">
        <f>IF(J4=1,$F$14,I10+1)</f>
        <v/>
      </c>
      <c r="K9" s="17">
        <f>IF(K4=1,$F$14,J10+1)</f>
        <v/>
      </c>
      <c r="L9" s="17">
        <f>IF(L4=1,$F$14,K10+1)</f>
        <v/>
      </c>
      <c r="M9" s="17">
        <f>IF(M4=1,$F$14,L10+1)</f>
        <v/>
      </c>
      <c r="N9" s="17">
        <f>IF(N4=1,$F$14,M10+1)</f>
        <v/>
      </c>
      <c r="O9" s="17">
        <f>IF(O4=1,$F$14,N10+1)</f>
        <v/>
      </c>
      <c r="P9" s="17">
        <f>IF(P4=1,$F$14,O10+1)</f>
        <v/>
      </c>
      <c r="Q9" s="17">
        <f>IF(Q4=1,$F$14,P10+1)</f>
        <v/>
      </c>
      <c r="R9" s="17">
        <f>IF(R4=1,$F$14,Q10+1)</f>
        <v/>
      </c>
      <c r="S9" s="17">
        <f>IF(S4=1,$F$14,R10+1)</f>
        <v/>
      </c>
      <c r="T9" s="17">
        <f>IF(T4=1,$F$14,S10+1)</f>
        <v/>
      </c>
      <c r="U9" s="17">
        <f>IF(U4=1,$F$14,T10+1)</f>
        <v/>
      </c>
      <c r="V9" s="17">
        <f>IF(V4=1,$F$14,U10+1)</f>
        <v/>
      </c>
      <c r="W9" s="17">
        <f>IF(W4=1,$F$14,V10+1)</f>
        <v/>
      </c>
      <c r="X9" s="17">
        <f>IF(X4=1,$F$14,W10+1)</f>
        <v/>
      </c>
      <c r="Y9" s="17">
        <f>IF(Y4=1,$F$14,X10+1)</f>
        <v/>
      </c>
      <c r="Z9" s="17">
        <f>IF(Z4=1,$F$14,Y10+1)</f>
        <v/>
      </c>
      <c r="AA9" s="17">
        <f>IF(AA4=1,$F$14,Z10+1)</f>
        <v/>
      </c>
      <c r="AB9" s="17">
        <f>IF(AB4=1,$F$14,AA10+1)</f>
        <v/>
      </c>
      <c r="AC9" s="17">
        <f>IF(AC4=1,$F$14,AB10+1)</f>
        <v/>
      </c>
      <c r="AD9" s="17">
        <f>IF(AD4=1,$F$14,AC10+1)</f>
        <v/>
      </c>
      <c r="AE9" s="17">
        <f>IF(AE4=1,$F$14,AD10+1)</f>
        <v/>
      </c>
      <c r="AF9" s="17">
        <f>IF(AF4=1,$F$14,AE10+1)</f>
        <v/>
      </c>
      <c r="AG9" s="17">
        <f>IF(AG4=1,$F$14,AF10+1)</f>
        <v/>
      </c>
      <c r="AH9" s="17">
        <f>IF(AH4=1,$F$14,AG10+1)</f>
        <v/>
      </c>
      <c r="AI9" s="17">
        <f>IF(AI4=1,$F$14,AH10+1)</f>
        <v/>
      </c>
      <c r="AJ9" s="17">
        <f>IF(AJ4=1,$F$14,AI10+1)</f>
        <v/>
      </c>
      <c r="AK9" s="17">
        <f>IF(AK4=1,$F$14,AJ10+1)</f>
        <v/>
      </c>
      <c r="AL9" s="17">
        <f>IF(AL4=1,$F$14,AK10+1)</f>
        <v/>
      </c>
      <c r="AM9" s="17">
        <f>IF(AM4=1,$F$14,AL10+1)</f>
        <v/>
      </c>
    </row>
    <row r="10">
      <c r="D10" t="inlineStr">
        <is>
          <t>Month end</t>
        </is>
      </c>
      <c r="E10" t="inlineStr">
        <is>
          <t>date</t>
        </is>
      </c>
      <c r="J10" s="17">
        <f>IF(J4=1,EOMONTH($F$14,0),EOMONTH(I10,1))</f>
        <v/>
      </c>
      <c r="K10" s="17">
        <f>IF(K4=1,EOMONTH($F$14,0),EOMONTH(J10,1))</f>
        <v/>
      </c>
      <c r="L10" s="17">
        <f>IF(L4=1,EOMONTH($F$14,0),EOMONTH(K10,1))</f>
        <v/>
      </c>
      <c r="M10" s="17">
        <f>IF(M4=1,EOMONTH($F$14,0),EOMONTH(L10,1))</f>
        <v/>
      </c>
      <c r="N10" s="17">
        <f>IF(N4=1,EOMONTH($F$14,0),EOMONTH(M10,1))</f>
        <v/>
      </c>
      <c r="O10" s="17">
        <f>IF(O4=1,EOMONTH($F$14,0),EOMONTH(N10,1))</f>
        <v/>
      </c>
      <c r="P10" s="17">
        <f>IF(P4=1,EOMONTH($F$14,0),EOMONTH(O10,1))</f>
        <v/>
      </c>
      <c r="Q10" s="17">
        <f>IF(Q4=1,EOMONTH($F$14,0),EOMONTH(P10,1))</f>
        <v/>
      </c>
      <c r="R10" s="17">
        <f>IF(R4=1,EOMONTH($F$14,0),EOMONTH(Q10,1))</f>
        <v/>
      </c>
      <c r="S10" s="17">
        <f>IF(S4=1,EOMONTH($F$14,0),EOMONTH(R10,1))</f>
        <v/>
      </c>
      <c r="T10" s="17">
        <f>IF(T4=1,EOMONTH($F$14,0),EOMONTH(S10,1))</f>
        <v/>
      </c>
      <c r="U10" s="17">
        <f>IF(U4=1,EOMONTH($F$14,0),EOMONTH(T10,1))</f>
        <v/>
      </c>
      <c r="V10" s="17">
        <f>IF(V4=1,EOMONTH($F$14,0),EOMONTH(U10,1))</f>
        <v/>
      </c>
      <c r="W10" s="17">
        <f>IF(W4=1,EOMONTH($F$14,0),EOMONTH(V10,1))</f>
        <v/>
      </c>
      <c r="X10" s="17">
        <f>IF(X4=1,EOMONTH($F$14,0),EOMONTH(W10,1))</f>
        <v/>
      </c>
      <c r="Y10" s="17">
        <f>IF(Y4=1,EOMONTH($F$14,0),EOMONTH(X10,1))</f>
        <v/>
      </c>
      <c r="Z10" s="17">
        <f>IF(Z4=1,EOMONTH($F$14,0),EOMONTH(Y10,1))</f>
        <v/>
      </c>
      <c r="AA10" s="17">
        <f>IF(AA4=1,EOMONTH($F$14,0),EOMONTH(Z10,1))</f>
        <v/>
      </c>
      <c r="AB10" s="17">
        <f>IF(AB4=1,EOMONTH($F$14,0),EOMONTH(AA10,1))</f>
        <v/>
      </c>
      <c r="AC10" s="17">
        <f>IF(AC4=1,EOMONTH($F$14,0),EOMONTH(AB10,1))</f>
        <v/>
      </c>
      <c r="AD10" s="17">
        <f>IF(AD4=1,EOMONTH($F$14,0),EOMONTH(AC10,1))</f>
        <v/>
      </c>
      <c r="AE10" s="17">
        <f>IF(AE4=1,EOMONTH($F$14,0),EOMONTH(AD10,1))</f>
        <v/>
      </c>
      <c r="AF10" s="17">
        <f>IF(AF4=1,EOMONTH($F$14,0),EOMONTH(AE10,1))</f>
        <v/>
      </c>
      <c r="AG10" s="17">
        <f>IF(AG4=1,EOMONTH($F$14,0),EOMONTH(AF10,1))</f>
        <v/>
      </c>
      <c r="AH10" s="17">
        <f>IF(AH4=1,EOMONTH($F$14,0),EOMONTH(AG10,1))</f>
        <v/>
      </c>
      <c r="AI10" s="17">
        <f>IF(AI4=1,EOMONTH($F$14,0),EOMONTH(AH10,1))</f>
        <v/>
      </c>
      <c r="AJ10" s="17">
        <f>IF(AJ4=1,EOMONTH($F$14,0),EOMONTH(AI10,1))</f>
        <v/>
      </c>
      <c r="AK10" s="17">
        <f>IF(AK4=1,EOMONTH($F$14,0),EOMONTH(AJ10,1))</f>
        <v/>
      </c>
      <c r="AL10" s="17">
        <f>IF(AL4=1,EOMONTH($F$14,0),EOMONTH(AK10,1))</f>
        <v/>
      </c>
      <c r="AM10" s="17">
        <f>IF(AM4=1,EOMONTH($F$14,0),EOMONTH(AL10,1))</f>
        <v/>
      </c>
    </row>
    <row r="12">
      <c r="D12" t="inlineStr">
        <is>
          <t>Flag_Construction</t>
        </is>
      </c>
      <c r="E12" t="inlineStr">
        <is>
          <t>flag</t>
        </is>
      </c>
      <c r="G12" s="15">
        <f>SUM(J12:AM12)</f>
        <v/>
      </c>
      <c r="J12" s="15">
        <f>(J10&lt;=$F$15)*(J9&gt;=$F$14)</f>
        <v/>
      </c>
      <c r="K12" s="15">
        <f>(K10&lt;=$F$15)*(K9&gt;=$F$14)</f>
        <v/>
      </c>
      <c r="L12" s="15">
        <f>(L10&lt;=$F$15)*(L9&gt;=$F$14)</f>
        <v/>
      </c>
      <c r="M12" s="15">
        <f>(M10&lt;=$F$15)*(M9&gt;=$F$14)</f>
        <v/>
      </c>
      <c r="N12" s="15">
        <f>(N10&lt;=$F$15)*(N9&gt;=$F$14)</f>
        <v/>
      </c>
      <c r="O12" s="15">
        <f>(O10&lt;=$F$15)*(O9&gt;=$F$14)</f>
        <v/>
      </c>
      <c r="P12" s="15">
        <f>(P10&lt;=$F$15)*(P9&gt;=$F$14)</f>
        <v/>
      </c>
      <c r="Q12" s="15">
        <f>(Q10&lt;=$F$15)*(Q9&gt;=$F$14)</f>
        <v/>
      </c>
      <c r="R12" s="15">
        <f>(R10&lt;=$F$15)*(R9&gt;=$F$14)</f>
        <v/>
      </c>
      <c r="S12" s="15">
        <f>(S10&lt;=$F$15)*(S9&gt;=$F$14)</f>
        <v/>
      </c>
      <c r="T12" s="15">
        <f>(T10&lt;=$F$15)*(T9&gt;=$F$14)</f>
        <v/>
      </c>
      <c r="U12" s="15">
        <f>(U10&lt;=$F$15)*(U9&gt;=$F$14)</f>
        <v/>
      </c>
      <c r="V12" s="15">
        <f>(V10&lt;=$F$15)*(V9&gt;=$F$14)</f>
        <v/>
      </c>
      <c r="W12" s="15">
        <f>(W10&lt;=$F$15)*(W9&gt;=$F$14)</f>
        <v/>
      </c>
      <c r="X12" s="15">
        <f>(X10&lt;=$F$15)*(X9&gt;=$F$14)</f>
        <v/>
      </c>
      <c r="Y12" s="15">
        <f>(Y10&lt;=$F$15)*(Y9&gt;=$F$14)</f>
        <v/>
      </c>
      <c r="Z12" s="15">
        <f>(Z10&lt;=$F$15)*(Z9&gt;=$F$14)</f>
        <v/>
      </c>
      <c r="AA12" s="15">
        <f>(AA10&lt;=$F$15)*(AA9&gt;=$F$14)</f>
        <v/>
      </c>
      <c r="AB12" s="15">
        <f>(AB10&lt;=$F$15)*(AB9&gt;=$F$14)</f>
        <v/>
      </c>
      <c r="AC12" s="15">
        <f>(AC10&lt;=$F$15)*(AC9&gt;=$F$14)</f>
        <v/>
      </c>
      <c r="AD12" s="15">
        <f>(AD10&lt;=$F$15)*(AD9&gt;=$F$14)</f>
        <v/>
      </c>
      <c r="AE12" s="15">
        <f>(AE10&lt;=$F$15)*(AE9&gt;=$F$14)</f>
        <v/>
      </c>
      <c r="AF12" s="15">
        <f>(AF10&lt;=$F$15)*(AF9&gt;=$F$14)</f>
        <v/>
      </c>
      <c r="AG12" s="15">
        <f>(AG10&lt;=$F$15)*(AG9&gt;=$F$14)</f>
        <v/>
      </c>
      <c r="AH12" s="15">
        <f>(AH10&lt;=$F$15)*(AH9&gt;=$F$14)</f>
        <v/>
      </c>
      <c r="AI12" s="15">
        <f>(AI10&lt;=$F$15)*(AI9&gt;=$F$14)</f>
        <v/>
      </c>
      <c r="AJ12" s="15">
        <f>(AJ10&lt;=$F$15)*(AJ9&gt;=$F$14)</f>
        <v/>
      </c>
      <c r="AK12" s="15">
        <f>(AK10&lt;=$F$15)*(AK9&gt;=$F$14)</f>
        <v/>
      </c>
      <c r="AL12" s="15">
        <f>(AL10&lt;=$F$15)*(AL9&gt;=$F$14)</f>
        <v/>
      </c>
      <c r="AM12" s="15">
        <f>(AM10&lt;=$F$15)*(AM9&gt;=$F$14)</f>
        <v/>
      </c>
    </row>
    <row r="13">
      <c r="B13" s="2" t="inlineStr">
        <is>
          <t>Key dates (column F)</t>
        </is>
      </c>
    </row>
    <row r="14">
      <c r="D14" t="inlineStr">
        <is>
          <t>Start of construction (notice to proceed)</t>
        </is>
      </c>
      <c r="E14" t="inlineStr">
        <is>
          <t>date</t>
        </is>
      </c>
      <c r="F14" s="18">
        <f>Inputs!$F$12</f>
        <v/>
      </c>
    </row>
    <row r="15">
      <c r="D15" t="inlineStr">
        <is>
          <t>End of construction (last day of the last construction month)</t>
        </is>
      </c>
      <c r="E15" t="inlineStr">
        <is>
          <t>date</t>
        </is>
      </c>
      <c r="F15" s="17">
        <f>EOMONTH(EDATE(F14,Inputs!$F$13-1),0)</f>
        <v/>
      </c>
    </row>
    <row r="16">
      <c r="D16" t="inlineStr">
        <is>
          <t>Commercial operation date</t>
        </is>
      </c>
      <c r="E16" t="inlineStr">
        <is>
          <t>date</t>
        </is>
      </c>
      <c r="F16" s="18">
        <f>Inputs!$F$14</f>
        <v/>
      </c>
    </row>
    <row r="17">
      <c r="D17" t="inlineStr">
        <is>
          <t>End of operations</t>
        </is>
      </c>
      <c r="E17" t="inlineStr">
        <is>
          <t>date</t>
        </is>
      </c>
      <c r="F17" s="17">
        <f>EDATE(F16,12*Inputs!$F$15)-1</f>
        <v/>
      </c>
    </row>
    <row r="18">
      <c r="D18" t="inlineStr">
        <is>
          <t>Half-year counter (operations timeline)</t>
        </is>
      </c>
      <c r="E18" t="inlineStr">
        <is>
          <t>index</t>
        </is>
      </c>
      <c r="J18" s="15">
        <f>I18+1</f>
        <v/>
      </c>
      <c r="K18" s="15">
        <f>J18+1</f>
        <v/>
      </c>
      <c r="L18" s="15">
        <f>K18+1</f>
        <v/>
      </c>
      <c r="M18" s="15">
        <f>L18+1</f>
        <v/>
      </c>
      <c r="N18" s="15">
        <f>M18+1</f>
        <v/>
      </c>
      <c r="O18" s="15">
        <f>N18+1</f>
        <v/>
      </c>
      <c r="P18" s="15">
        <f>O18+1</f>
        <v/>
      </c>
      <c r="Q18" s="15">
        <f>P18+1</f>
        <v/>
      </c>
      <c r="R18" s="15">
        <f>Q18+1</f>
        <v/>
      </c>
      <c r="S18" s="15">
        <f>R18+1</f>
        <v/>
      </c>
      <c r="T18" s="15">
        <f>S18+1</f>
        <v/>
      </c>
      <c r="U18" s="15">
        <f>T18+1</f>
        <v/>
      </c>
      <c r="V18" s="15">
        <f>U18+1</f>
        <v/>
      </c>
      <c r="W18" s="15">
        <f>V18+1</f>
        <v/>
      </c>
      <c r="X18" s="15">
        <f>W18+1</f>
        <v/>
      </c>
      <c r="Y18" s="15">
        <f>X18+1</f>
        <v/>
      </c>
      <c r="Z18" s="15">
        <f>Y18+1</f>
        <v/>
      </c>
      <c r="AA18" s="15">
        <f>Z18+1</f>
        <v/>
      </c>
      <c r="AB18" s="15">
        <f>AA18+1</f>
        <v/>
      </c>
      <c r="AC18" s="15">
        <f>AB18+1</f>
        <v/>
      </c>
      <c r="AD18" s="15">
        <f>AC18+1</f>
        <v/>
      </c>
      <c r="AE18" s="15">
        <f>AD18+1</f>
        <v/>
      </c>
      <c r="AF18" s="15">
        <f>AE18+1</f>
        <v/>
      </c>
      <c r="AG18" s="15">
        <f>AF18+1</f>
        <v/>
      </c>
      <c r="AH18" s="15">
        <f>AG18+1</f>
        <v/>
      </c>
      <c r="AI18" s="15">
        <f>AH18+1</f>
        <v/>
      </c>
      <c r="AJ18" s="15">
        <f>AI18+1</f>
        <v/>
      </c>
      <c r="AK18" s="15">
        <f>AJ18+1</f>
        <v/>
      </c>
      <c r="AL18" s="15">
        <f>AK18+1</f>
        <v/>
      </c>
      <c r="AM18" s="15">
        <f>AL18+1</f>
        <v/>
      </c>
      <c r="AN18" s="15">
        <f>AM18+1</f>
        <v/>
      </c>
      <c r="AO18" s="15">
        <f>AN18+1</f>
        <v/>
      </c>
      <c r="AP18" s="15">
        <f>AO18+1</f>
        <v/>
      </c>
      <c r="AQ18" s="15">
        <f>AP18+1</f>
        <v/>
      </c>
      <c r="AR18" s="15">
        <f>AQ18+1</f>
        <v/>
      </c>
      <c r="AS18" s="15">
        <f>AR18+1</f>
        <v/>
      </c>
      <c r="AT18" s="15">
        <f>AS18+1</f>
        <v/>
      </c>
      <c r="AU18" s="15">
        <f>AT18+1</f>
        <v/>
      </c>
      <c r="AV18" s="15">
        <f>AU18+1</f>
        <v/>
      </c>
      <c r="AW18" s="15">
        <f>AV18+1</f>
        <v/>
      </c>
      <c r="AX18" s="15">
        <f>AW18+1</f>
        <v/>
      </c>
    </row>
    <row r="19">
      <c r="D19" t="inlineStr">
        <is>
          <t>Half-year start</t>
        </is>
      </c>
      <c r="E19" t="inlineStr">
        <is>
          <t>date</t>
        </is>
      </c>
      <c r="J19" s="17">
        <f>IF(J18=1,DATE(YEAR($F$16),1+Inputs!$F$16*INT((MONTH($F$16)-1)/Inputs!$F$16),1),I20+1)</f>
        <v/>
      </c>
      <c r="K19" s="17">
        <f>IF(K18=1,DATE(YEAR($F$16),1+Inputs!$F$16*INT((MONTH($F$16)-1)/Inputs!$F$16),1),J20+1)</f>
        <v/>
      </c>
      <c r="L19" s="17">
        <f>IF(L18=1,DATE(YEAR($F$16),1+Inputs!$F$16*INT((MONTH($F$16)-1)/Inputs!$F$16),1),K20+1)</f>
        <v/>
      </c>
      <c r="M19" s="17">
        <f>IF(M18=1,DATE(YEAR($F$16),1+Inputs!$F$16*INT((MONTH($F$16)-1)/Inputs!$F$16),1),L20+1)</f>
        <v/>
      </c>
      <c r="N19" s="17">
        <f>IF(N18=1,DATE(YEAR($F$16),1+Inputs!$F$16*INT((MONTH($F$16)-1)/Inputs!$F$16),1),M20+1)</f>
        <v/>
      </c>
      <c r="O19" s="17">
        <f>IF(O18=1,DATE(YEAR($F$16),1+Inputs!$F$16*INT((MONTH($F$16)-1)/Inputs!$F$16),1),N20+1)</f>
        <v/>
      </c>
      <c r="P19" s="17">
        <f>IF(P18=1,DATE(YEAR($F$16),1+Inputs!$F$16*INT((MONTH($F$16)-1)/Inputs!$F$16),1),O20+1)</f>
        <v/>
      </c>
      <c r="Q19" s="17">
        <f>IF(Q18=1,DATE(YEAR($F$16),1+Inputs!$F$16*INT((MONTH($F$16)-1)/Inputs!$F$16),1),P20+1)</f>
        <v/>
      </c>
      <c r="R19" s="17">
        <f>IF(R18=1,DATE(YEAR($F$16),1+Inputs!$F$16*INT((MONTH($F$16)-1)/Inputs!$F$16),1),Q20+1)</f>
        <v/>
      </c>
      <c r="S19" s="17">
        <f>IF(S18=1,DATE(YEAR($F$16),1+Inputs!$F$16*INT((MONTH($F$16)-1)/Inputs!$F$16),1),R20+1)</f>
        <v/>
      </c>
      <c r="T19" s="17">
        <f>IF(T18=1,DATE(YEAR($F$16),1+Inputs!$F$16*INT((MONTH($F$16)-1)/Inputs!$F$16),1),S20+1)</f>
        <v/>
      </c>
      <c r="U19" s="17">
        <f>IF(U18=1,DATE(YEAR($F$16),1+Inputs!$F$16*INT((MONTH($F$16)-1)/Inputs!$F$16),1),T20+1)</f>
        <v/>
      </c>
      <c r="V19" s="17">
        <f>IF(V18=1,DATE(YEAR($F$16),1+Inputs!$F$16*INT((MONTH($F$16)-1)/Inputs!$F$16),1),U20+1)</f>
        <v/>
      </c>
      <c r="W19" s="17">
        <f>IF(W18=1,DATE(YEAR($F$16),1+Inputs!$F$16*INT((MONTH($F$16)-1)/Inputs!$F$16),1),V20+1)</f>
        <v/>
      </c>
      <c r="X19" s="17">
        <f>IF(X18=1,DATE(YEAR($F$16),1+Inputs!$F$16*INT((MONTH($F$16)-1)/Inputs!$F$16),1),W20+1)</f>
        <v/>
      </c>
      <c r="Y19" s="17">
        <f>IF(Y18=1,DATE(YEAR($F$16),1+Inputs!$F$16*INT((MONTH($F$16)-1)/Inputs!$F$16),1),X20+1)</f>
        <v/>
      </c>
      <c r="Z19" s="17">
        <f>IF(Z18=1,DATE(YEAR($F$16),1+Inputs!$F$16*INT((MONTH($F$16)-1)/Inputs!$F$16),1),Y20+1)</f>
        <v/>
      </c>
      <c r="AA19" s="17">
        <f>IF(AA18=1,DATE(YEAR($F$16),1+Inputs!$F$16*INT((MONTH($F$16)-1)/Inputs!$F$16),1),Z20+1)</f>
        <v/>
      </c>
      <c r="AB19" s="17">
        <f>IF(AB18=1,DATE(YEAR($F$16),1+Inputs!$F$16*INT((MONTH($F$16)-1)/Inputs!$F$16),1),AA20+1)</f>
        <v/>
      </c>
      <c r="AC19" s="17">
        <f>IF(AC18=1,DATE(YEAR($F$16),1+Inputs!$F$16*INT((MONTH($F$16)-1)/Inputs!$F$16),1),AB20+1)</f>
        <v/>
      </c>
      <c r="AD19" s="17">
        <f>IF(AD18=1,DATE(YEAR($F$16),1+Inputs!$F$16*INT((MONTH($F$16)-1)/Inputs!$F$16),1),AC20+1)</f>
        <v/>
      </c>
      <c r="AE19" s="17">
        <f>IF(AE18=1,DATE(YEAR($F$16),1+Inputs!$F$16*INT((MONTH($F$16)-1)/Inputs!$F$16),1),AD20+1)</f>
        <v/>
      </c>
      <c r="AF19" s="17">
        <f>IF(AF18=1,DATE(YEAR($F$16),1+Inputs!$F$16*INT((MONTH($F$16)-1)/Inputs!$F$16),1),AE20+1)</f>
        <v/>
      </c>
      <c r="AG19" s="17">
        <f>IF(AG18=1,DATE(YEAR($F$16),1+Inputs!$F$16*INT((MONTH($F$16)-1)/Inputs!$F$16),1),AF20+1)</f>
        <v/>
      </c>
      <c r="AH19" s="17">
        <f>IF(AH18=1,DATE(YEAR($F$16),1+Inputs!$F$16*INT((MONTH($F$16)-1)/Inputs!$F$16),1),AG20+1)</f>
        <v/>
      </c>
      <c r="AI19" s="17">
        <f>IF(AI18=1,DATE(YEAR($F$16),1+Inputs!$F$16*INT((MONTH($F$16)-1)/Inputs!$F$16),1),AH20+1)</f>
        <v/>
      </c>
      <c r="AJ19" s="17">
        <f>IF(AJ18=1,DATE(YEAR($F$16),1+Inputs!$F$16*INT((MONTH($F$16)-1)/Inputs!$F$16),1),AI20+1)</f>
        <v/>
      </c>
      <c r="AK19" s="17">
        <f>IF(AK18=1,DATE(YEAR($F$16),1+Inputs!$F$16*INT((MONTH($F$16)-1)/Inputs!$F$16),1),AJ20+1)</f>
        <v/>
      </c>
      <c r="AL19" s="17">
        <f>IF(AL18=1,DATE(YEAR($F$16),1+Inputs!$F$16*INT((MONTH($F$16)-1)/Inputs!$F$16),1),AK20+1)</f>
        <v/>
      </c>
      <c r="AM19" s="17">
        <f>IF(AM18=1,DATE(YEAR($F$16),1+Inputs!$F$16*INT((MONTH($F$16)-1)/Inputs!$F$16),1),AL20+1)</f>
        <v/>
      </c>
      <c r="AN19" s="17">
        <f>IF(AN18=1,DATE(YEAR($F$16),1+Inputs!$F$16*INT((MONTH($F$16)-1)/Inputs!$F$16),1),AM20+1)</f>
        <v/>
      </c>
      <c r="AO19" s="17">
        <f>IF(AO18=1,DATE(YEAR($F$16),1+Inputs!$F$16*INT((MONTH($F$16)-1)/Inputs!$F$16),1),AN20+1)</f>
        <v/>
      </c>
      <c r="AP19" s="17">
        <f>IF(AP18=1,DATE(YEAR($F$16),1+Inputs!$F$16*INT((MONTH($F$16)-1)/Inputs!$F$16),1),AO20+1)</f>
        <v/>
      </c>
      <c r="AQ19" s="17">
        <f>IF(AQ18=1,DATE(YEAR($F$16),1+Inputs!$F$16*INT((MONTH($F$16)-1)/Inputs!$F$16),1),AP20+1)</f>
        <v/>
      </c>
      <c r="AR19" s="17">
        <f>IF(AR18=1,DATE(YEAR($F$16),1+Inputs!$F$16*INT((MONTH($F$16)-1)/Inputs!$F$16),1),AQ20+1)</f>
        <v/>
      </c>
      <c r="AS19" s="17">
        <f>IF(AS18=1,DATE(YEAR($F$16),1+Inputs!$F$16*INT((MONTH($F$16)-1)/Inputs!$F$16),1),AR20+1)</f>
        <v/>
      </c>
      <c r="AT19" s="17">
        <f>IF(AT18=1,DATE(YEAR($F$16),1+Inputs!$F$16*INT((MONTH($F$16)-1)/Inputs!$F$16),1),AS20+1)</f>
        <v/>
      </c>
      <c r="AU19" s="17">
        <f>IF(AU18=1,DATE(YEAR($F$16),1+Inputs!$F$16*INT((MONTH($F$16)-1)/Inputs!$F$16),1),AT20+1)</f>
        <v/>
      </c>
      <c r="AV19" s="17">
        <f>IF(AV18=1,DATE(YEAR($F$16),1+Inputs!$F$16*INT((MONTH($F$16)-1)/Inputs!$F$16),1),AU20+1)</f>
        <v/>
      </c>
      <c r="AW19" s="17">
        <f>IF(AW18=1,DATE(YEAR($F$16),1+Inputs!$F$16*INT((MONTH($F$16)-1)/Inputs!$F$16),1),AV20+1)</f>
        <v/>
      </c>
      <c r="AX19" s="17">
        <f>IF(AX18=1,DATE(YEAR($F$16),1+Inputs!$F$16*INT((MONTH($F$16)-1)/Inputs!$F$16),1),AW20+1)</f>
        <v/>
      </c>
    </row>
    <row r="20">
      <c r="D20" t="inlineStr">
        <is>
          <t>Half-year end</t>
        </is>
      </c>
      <c r="E20" t="inlineStr">
        <is>
          <t>date</t>
        </is>
      </c>
      <c r="J20" s="17">
        <f>EOMONTH(J19,Inputs!$F$16-1)</f>
        <v/>
      </c>
      <c r="K20" s="17">
        <f>EOMONTH(K19,Inputs!$F$16-1)</f>
        <v/>
      </c>
      <c r="L20" s="17">
        <f>EOMONTH(L19,Inputs!$F$16-1)</f>
        <v/>
      </c>
      <c r="M20" s="17">
        <f>EOMONTH(M19,Inputs!$F$16-1)</f>
        <v/>
      </c>
      <c r="N20" s="17">
        <f>EOMONTH(N19,Inputs!$F$16-1)</f>
        <v/>
      </c>
      <c r="O20" s="17">
        <f>EOMONTH(O19,Inputs!$F$16-1)</f>
        <v/>
      </c>
      <c r="P20" s="17">
        <f>EOMONTH(P19,Inputs!$F$16-1)</f>
        <v/>
      </c>
      <c r="Q20" s="17">
        <f>EOMONTH(Q19,Inputs!$F$16-1)</f>
        <v/>
      </c>
      <c r="R20" s="17">
        <f>EOMONTH(R19,Inputs!$F$16-1)</f>
        <v/>
      </c>
      <c r="S20" s="17">
        <f>EOMONTH(S19,Inputs!$F$16-1)</f>
        <v/>
      </c>
      <c r="T20" s="17">
        <f>EOMONTH(T19,Inputs!$F$16-1)</f>
        <v/>
      </c>
      <c r="U20" s="17">
        <f>EOMONTH(U19,Inputs!$F$16-1)</f>
        <v/>
      </c>
      <c r="V20" s="17">
        <f>EOMONTH(V19,Inputs!$F$16-1)</f>
        <v/>
      </c>
      <c r="W20" s="17">
        <f>EOMONTH(W19,Inputs!$F$16-1)</f>
        <v/>
      </c>
      <c r="X20" s="17">
        <f>EOMONTH(X19,Inputs!$F$16-1)</f>
        <v/>
      </c>
      <c r="Y20" s="17">
        <f>EOMONTH(Y19,Inputs!$F$16-1)</f>
        <v/>
      </c>
      <c r="Z20" s="17">
        <f>EOMONTH(Z19,Inputs!$F$16-1)</f>
        <v/>
      </c>
      <c r="AA20" s="17">
        <f>EOMONTH(AA19,Inputs!$F$16-1)</f>
        <v/>
      </c>
      <c r="AB20" s="17">
        <f>EOMONTH(AB19,Inputs!$F$16-1)</f>
        <v/>
      </c>
      <c r="AC20" s="17">
        <f>EOMONTH(AC19,Inputs!$F$16-1)</f>
        <v/>
      </c>
      <c r="AD20" s="17">
        <f>EOMONTH(AD19,Inputs!$F$16-1)</f>
        <v/>
      </c>
      <c r="AE20" s="17">
        <f>EOMONTH(AE19,Inputs!$F$16-1)</f>
        <v/>
      </c>
      <c r="AF20" s="17">
        <f>EOMONTH(AF19,Inputs!$F$16-1)</f>
        <v/>
      </c>
      <c r="AG20" s="17">
        <f>EOMONTH(AG19,Inputs!$F$16-1)</f>
        <v/>
      </c>
      <c r="AH20" s="17">
        <f>EOMONTH(AH19,Inputs!$F$16-1)</f>
        <v/>
      </c>
      <c r="AI20" s="17">
        <f>EOMONTH(AI19,Inputs!$F$16-1)</f>
        <v/>
      </c>
      <c r="AJ20" s="17">
        <f>EOMONTH(AJ19,Inputs!$F$16-1)</f>
        <v/>
      </c>
      <c r="AK20" s="17">
        <f>EOMONTH(AK19,Inputs!$F$16-1)</f>
        <v/>
      </c>
      <c r="AL20" s="17">
        <f>EOMONTH(AL19,Inputs!$F$16-1)</f>
        <v/>
      </c>
      <c r="AM20" s="17">
        <f>EOMONTH(AM19,Inputs!$F$16-1)</f>
        <v/>
      </c>
      <c r="AN20" s="17">
        <f>EOMONTH(AN19,Inputs!$F$16-1)</f>
        <v/>
      </c>
      <c r="AO20" s="17">
        <f>EOMONTH(AO19,Inputs!$F$16-1)</f>
        <v/>
      </c>
      <c r="AP20" s="17">
        <f>EOMONTH(AP19,Inputs!$F$16-1)</f>
        <v/>
      </c>
      <c r="AQ20" s="17">
        <f>EOMONTH(AQ19,Inputs!$F$16-1)</f>
        <v/>
      </c>
      <c r="AR20" s="17">
        <f>EOMONTH(AR19,Inputs!$F$16-1)</f>
        <v/>
      </c>
      <c r="AS20" s="17">
        <f>EOMONTH(AS19,Inputs!$F$16-1)</f>
        <v/>
      </c>
      <c r="AT20" s="17">
        <f>EOMONTH(AT19,Inputs!$F$16-1)</f>
        <v/>
      </c>
      <c r="AU20" s="17">
        <f>EOMONTH(AU19,Inputs!$F$16-1)</f>
        <v/>
      </c>
      <c r="AV20" s="17">
        <f>EOMONTH(AV19,Inputs!$F$16-1)</f>
        <v/>
      </c>
      <c r="AW20" s="17">
        <f>EOMONTH(AW19,Inputs!$F$16-1)</f>
        <v/>
      </c>
      <c r="AX20" s="17">
        <f>EOMONTH(AX19,Inputs!$F$16-1)</f>
        <v/>
      </c>
    </row>
    <row r="21">
      <c r="D21" t="inlineStr">
        <is>
          <t>Days in half-year</t>
        </is>
      </c>
      <c r="E21" t="inlineStr">
        <is>
          <t>days</t>
        </is>
      </c>
      <c r="J21" s="15">
        <f>J20-J19+1</f>
        <v/>
      </c>
      <c r="K21" s="15">
        <f>K20-K19+1</f>
        <v/>
      </c>
      <c r="L21" s="15">
        <f>L20-L19+1</f>
        <v/>
      </c>
      <c r="M21" s="15">
        <f>M20-M19+1</f>
        <v/>
      </c>
      <c r="N21" s="15">
        <f>N20-N19+1</f>
        <v/>
      </c>
      <c r="O21" s="15">
        <f>O20-O19+1</f>
        <v/>
      </c>
      <c r="P21" s="15">
        <f>P20-P19+1</f>
        <v/>
      </c>
      <c r="Q21" s="15">
        <f>Q20-Q19+1</f>
        <v/>
      </c>
      <c r="R21" s="15">
        <f>R20-R19+1</f>
        <v/>
      </c>
      <c r="S21" s="15">
        <f>S20-S19+1</f>
        <v/>
      </c>
      <c r="T21" s="15">
        <f>T20-T19+1</f>
        <v/>
      </c>
      <c r="U21" s="15">
        <f>U20-U19+1</f>
        <v/>
      </c>
      <c r="V21" s="15">
        <f>V20-V19+1</f>
        <v/>
      </c>
      <c r="W21" s="15">
        <f>W20-W19+1</f>
        <v/>
      </c>
      <c r="X21" s="15">
        <f>X20-X19+1</f>
        <v/>
      </c>
      <c r="Y21" s="15">
        <f>Y20-Y19+1</f>
        <v/>
      </c>
      <c r="Z21" s="15">
        <f>Z20-Z19+1</f>
        <v/>
      </c>
      <c r="AA21" s="15">
        <f>AA20-AA19+1</f>
        <v/>
      </c>
      <c r="AB21" s="15">
        <f>AB20-AB19+1</f>
        <v/>
      </c>
      <c r="AC21" s="15">
        <f>AC20-AC19+1</f>
        <v/>
      </c>
      <c r="AD21" s="15">
        <f>AD20-AD19+1</f>
        <v/>
      </c>
      <c r="AE21" s="15">
        <f>AE20-AE19+1</f>
        <v/>
      </c>
      <c r="AF21" s="15">
        <f>AF20-AF19+1</f>
        <v/>
      </c>
      <c r="AG21" s="15">
        <f>AG20-AG19+1</f>
        <v/>
      </c>
      <c r="AH21" s="15">
        <f>AH20-AH19+1</f>
        <v/>
      </c>
      <c r="AI21" s="15">
        <f>AI20-AI19+1</f>
        <v/>
      </c>
      <c r="AJ21" s="15">
        <f>AJ20-AJ19+1</f>
        <v/>
      </c>
      <c r="AK21" s="15">
        <f>AK20-AK19+1</f>
        <v/>
      </c>
      <c r="AL21" s="15">
        <f>AL20-AL19+1</f>
        <v/>
      </c>
      <c r="AM21" s="15">
        <f>AM20-AM19+1</f>
        <v/>
      </c>
      <c r="AN21" s="15">
        <f>AN20-AN19+1</f>
        <v/>
      </c>
      <c r="AO21" s="15">
        <f>AO20-AO19+1</f>
        <v/>
      </c>
      <c r="AP21" s="15">
        <f>AP20-AP19+1</f>
        <v/>
      </c>
      <c r="AQ21" s="15">
        <f>AQ20-AQ19+1</f>
        <v/>
      </c>
      <c r="AR21" s="15">
        <f>AR20-AR19+1</f>
        <v/>
      </c>
      <c r="AS21" s="15">
        <f>AS20-AS19+1</f>
        <v/>
      </c>
      <c r="AT21" s="15">
        <f>AT20-AT19+1</f>
        <v/>
      </c>
      <c r="AU21" s="15">
        <f>AU20-AU19+1</f>
        <v/>
      </c>
      <c r="AV21" s="15">
        <f>AV20-AV19+1</f>
        <v/>
      </c>
      <c r="AW21" s="15">
        <f>AW20-AW19+1</f>
        <v/>
      </c>
      <c r="AX21" s="15">
        <f>AX20-AX19+1</f>
        <v/>
      </c>
    </row>
    <row r="22">
      <c r="D22" t="inlineStr">
        <is>
          <t>Flag_Operations</t>
        </is>
      </c>
      <c r="E22" t="inlineStr">
        <is>
          <t>flag</t>
        </is>
      </c>
      <c r="J22" s="15">
        <f>IF(AND(J20&gt;=$F$16,J19&lt;=$F$17),1,0)</f>
        <v/>
      </c>
      <c r="K22" s="15">
        <f>IF(AND(K20&gt;=$F$16,K19&lt;=$F$17),1,0)</f>
        <v/>
      </c>
      <c r="L22" s="15">
        <f>IF(AND(L20&gt;=$F$16,L19&lt;=$F$17),1,0)</f>
        <v/>
      </c>
      <c r="M22" s="15">
        <f>IF(AND(M20&gt;=$F$16,M19&lt;=$F$17),1,0)</f>
        <v/>
      </c>
      <c r="N22" s="15">
        <f>IF(AND(N20&gt;=$F$16,N19&lt;=$F$17),1,0)</f>
        <v/>
      </c>
      <c r="O22" s="15">
        <f>IF(AND(O20&gt;=$F$16,O19&lt;=$F$17),1,0)</f>
        <v/>
      </c>
      <c r="P22" s="15">
        <f>IF(AND(P20&gt;=$F$16,P19&lt;=$F$17),1,0)</f>
        <v/>
      </c>
      <c r="Q22" s="15">
        <f>IF(AND(Q20&gt;=$F$16,Q19&lt;=$F$17),1,0)</f>
        <v/>
      </c>
      <c r="R22" s="15">
        <f>IF(AND(R20&gt;=$F$16,R19&lt;=$F$17),1,0)</f>
        <v/>
      </c>
      <c r="S22" s="15">
        <f>IF(AND(S20&gt;=$F$16,S19&lt;=$F$17),1,0)</f>
        <v/>
      </c>
      <c r="T22" s="15">
        <f>IF(AND(T20&gt;=$F$16,T19&lt;=$F$17),1,0)</f>
        <v/>
      </c>
      <c r="U22" s="15">
        <f>IF(AND(U20&gt;=$F$16,U19&lt;=$F$17),1,0)</f>
        <v/>
      </c>
      <c r="V22" s="15">
        <f>IF(AND(V20&gt;=$F$16,V19&lt;=$F$17),1,0)</f>
        <v/>
      </c>
      <c r="W22" s="15">
        <f>IF(AND(W20&gt;=$F$16,W19&lt;=$F$17),1,0)</f>
        <v/>
      </c>
      <c r="X22" s="15">
        <f>IF(AND(X20&gt;=$F$16,X19&lt;=$F$17),1,0)</f>
        <v/>
      </c>
      <c r="Y22" s="15">
        <f>IF(AND(Y20&gt;=$F$16,Y19&lt;=$F$17),1,0)</f>
        <v/>
      </c>
      <c r="Z22" s="15">
        <f>IF(AND(Z20&gt;=$F$16,Z19&lt;=$F$17),1,0)</f>
        <v/>
      </c>
      <c r="AA22" s="15">
        <f>IF(AND(AA20&gt;=$F$16,AA19&lt;=$F$17),1,0)</f>
        <v/>
      </c>
      <c r="AB22" s="15">
        <f>IF(AND(AB20&gt;=$F$16,AB19&lt;=$F$17),1,0)</f>
        <v/>
      </c>
      <c r="AC22" s="15">
        <f>IF(AND(AC20&gt;=$F$16,AC19&lt;=$F$17),1,0)</f>
        <v/>
      </c>
      <c r="AD22" s="15">
        <f>IF(AND(AD20&gt;=$F$16,AD19&lt;=$F$17),1,0)</f>
        <v/>
      </c>
      <c r="AE22" s="15">
        <f>IF(AND(AE20&gt;=$F$16,AE19&lt;=$F$17),1,0)</f>
        <v/>
      </c>
      <c r="AF22" s="15">
        <f>IF(AND(AF20&gt;=$F$16,AF19&lt;=$F$17),1,0)</f>
        <v/>
      </c>
      <c r="AG22" s="15">
        <f>IF(AND(AG20&gt;=$F$16,AG19&lt;=$F$17),1,0)</f>
        <v/>
      </c>
      <c r="AH22" s="15">
        <f>IF(AND(AH20&gt;=$F$16,AH19&lt;=$F$17),1,0)</f>
        <v/>
      </c>
      <c r="AI22" s="15">
        <f>IF(AND(AI20&gt;=$F$16,AI19&lt;=$F$17),1,0)</f>
        <v/>
      </c>
      <c r="AJ22" s="15">
        <f>IF(AND(AJ20&gt;=$F$16,AJ19&lt;=$F$17),1,0)</f>
        <v/>
      </c>
      <c r="AK22" s="15">
        <f>IF(AND(AK20&gt;=$F$16,AK19&lt;=$F$17),1,0)</f>
        <v/>
      </c>
      <c r="AL22" s="15">
        <f>IF(AND(AL20&gt;=$F$16,AL19&lt;=$F$17),1,0)</f>
        <v/>
      </c>
      <c r="AM22" s="15">
        <f>IF(AND(AM20&gt;=$F$16,AM19&lt;=$F$17),1,0)</f>
        <v/>
      </c>
      <c r="AN22" s="15">
        <f>IF(AND(AN20&gt;=$F$16,AN19&lt;=$F$17),1,0)</f>
        <v/>
      </c>
      <c r="AO22" s="15">
        <f>IF(AND(AO20&gt;=$F$16,AO19&lt;=$F$17),1,0)</f>
        <v/>
      </c>
      <c r="AP22" s="15">
        <f>IF(AND(AP20&gt;=$F$16,AP19&lt;=$F$17),1,0)</f>
        <v/>
      </c>
      <c r="AQ22" s="15">
        <f>IF(AND(AQ20&gt;=$F$16,AQ19&lt;=$F$17),1,0)</f>
        <v/>
      </c>
      <c r="AR22" s="15">
        <f>IF(AND(AR20&gt;=$F$16,AR19&lt;=$F$17),1,0)</f>
        <v/>
      </c>
      <c r="AS22" s="15">
        <f>IF(AND(AS20&gt;=$F$16,AS19&lt;=$F$17),1,0)</f>
        <v/>
      </c>
      <c r="AT22" s="15">
        <f>IF(AND(AT20&gt;=$F$16,AT19&lt;=$F$17),1,0)</f>
        <v/>
      </c>
      <c r="AU22" s="15">
        <f>IF(AND(AU20&gt;=$F$16,AU19&lt;=$F$17),1,0)</f>
        <v/>
      </c>
      <c r="AV22" s="15">
        <f>IF(AND(AV20&gt;=$F$16,AV19&lt;=$F$17),1,0)</f>
        <v/>
      </c>
      <c r="AW22" s="15">
        <f>IF(AND(AW20&gt;=$F$16,AW19&lt;=$F$17),1,0)</f>
        <v/>
      </c>
      <c r="AX22" s="15">
        <f>IF(AND(AX20&gt;=$F$16,AX19&lt;=$F$17),1,0)</f>
        <v/>
      </c>
    </row>
    <row r="23">
      <c r="D23" t="inlineStr">
        <is>
          <t>Flag_FirstOperationsPeriod</t>
        </is>
      </c>
      <c r="E23" t="inlineStr">
        <is>
          <t>flag</t>
        </is>
      </c>
      <c r="J23" s="15">
        <f>IF(AND(J22=1,I22=0),1,0)</f>
        <v/>
      </c>
      <c r="K23" s="15">
        <f>IF(AND(K22=1,J22=0),1,0)</f>
        <v/>
      </c>
      <c r="L23" s="15">
        <f>IF(AND(L22=1,K22=0),1,0)</f>
        <v/>
      </c>
      <c r="M23" s="15">
        <f>IF(AND(M22=1,L22=0),1,0)</f>
        <v/>
      </c>
      <c r="N23" s="15">
        <f>IF(AND(N22=1,M22=0),1,0)</f>
        <v/>
      </c>
      <c r="O23" s="15">
        <f>IF(AND(O22=1,N22=0),1,0)</f>
        <v/>
      </c>
      <c r="P23" s="15">
        <f>IF(AND(P22=1,O22=0),1,0)</f>
        <v/>
      </c>
      <c r="Q23" s="15">
        <f>IF(AND(Q22=1,P22=0),1,0)</f>
        <v/>
      </c>
      <c r="R23" s="15">
        <f>IF(AND(R22=1,Q22=0),1,0)</f>
        <v/>
      </c>
      <c r="S23" s="15">
        <f>IF(AND(S22=1,R22=0),1,0)</f>
        <v/>
      </c>
      <c r="T23" s="15">
        <f>IF(AND(T22=1,S22=0),1,0)</f>
        <v/>
      </c>
      <c r="U23" s="15">
        <f>IF(AND(U22=1,T22=0),1,0)</f>
        <v/>
      </c>
      <c r="V23" s="15">
        <f>IF(AND(V22=1,U22=0),1,0)</f>
        <v/>
      </c>
      <c r="W23" s="15">
        <f>IF(AND(W22=1,V22=0),1,0)</f>
        <v/>
      </c>
      <c r="X23" s="15">
        <f>IF(AND(X22=1,W22=0),1,0)</f>
        <v/>
      </c>
      <c r="Y23" s="15">
        <f>IF(AND(Y22=1,X22=0),1,0)</f>
        <v/>
      </c>
      <c r="Z23" s="15">
        <f>IF(AND(Z22=1,Y22=0),1,0)</f>
        <v/>
      </c>
      <c r="AA23" s="15">
        <f>IF(AND(AA22=1,Z22=0),1,0)</f>
        <v/>
      </c>
      <c r="AB23" s="15">
        <f>IF(AND(AB22=1,AA22=0),1,0)</f>
        <v/>
      </c>
      <c r="AC23" s="15">
        <f>IF(AND(AC22=1,AB22=0),1,0)</f>
        <v/>
      </c>
      <c r="AD23" s="15">
        <f>IF(AND(AD22=1,AC22=0),1,0)</f>
        <v/>
      </c>
      <c r="AE23" s="15">
        <f>IF(AND(AE22=1,AD22=0),1,0)</f>
        <v/>
      </c>
      <c r="AF23" s="15">
        <f>IF(AND(AF22=1,AE22=0),1,0)</f>
        <v/>
      </c>
      <c r="AG23" s="15">
        <f>IF(AND(AG22=1,AF22=0),1,0)</f>
        <v/>
      </c>
      <c r="AH23" s="15">
        <f>IF(AND(AH22=1,AG22=0),1,0)</f>
        <v/>
      </c>
      <c r="AI23" s="15">
        <f>IF(AND(AI22=1,AH22=0),1,0)</f>
        <v/>
      </c>
      <c r="AJ23" s="15">
        <f>IF(AND(AJ22=1,AI22=0),1,0)</f>
        <v/>
      </c>
      <c r="AK23" s="15">
        <f>IF(AND(AK22=1,AJ22=0),1,0)</f>
        <v/>
      </c>
      <c r="AL23" s="15">
        <f>IF(AND(AL22=1,AK22=0),1,0)</f>
        <v/>
      </c>
      <c r="AM23" s="15">
        <f>IF(AND(AM22=1,AL22=0),1,0)</f>
        <v/>
      </c>
      <c r="AN23" s="15">
        <f>IF(AND(AN22=1,AM22=0),1,0)</f>
        <v/>
      </c>
      <c r="AO23" s="15">
        <f>IF(AND(AO22=1,AN22=0),1,0)</f>
        <v/>
      </c>
      <c r="AP23" s="15">
        <f>IF(AND(AP22=1,AO22=0),1,0)</f>
        <v/>
      </c>
      <c r="AQ23" s="15">
        <f>IF(AND(AQ22=1,AP22=0),1,0)</f>
        <v/>
      </c>
      <c r="AR23" s="15">
        <f>IF(AND(AR22=1,AQ22=0),1,0)</f>
        <v/>
      </c>
      <c r="AS23" s="15">
        <f>IF(AND(AS22=1,AR22=0),1,0)</f>
        <v/>
      </c>
      <c r="AT23" s="15">
        <f>IF(AND(AT22=1,AS22=0),1,0)</f>
        <v/>
      </c>
      <c r="AU23" s="15">
        <f>IF(AND(AU22=1,AT22=0),1,0)</f>
        <v/>
      </c>
      <c r="AV23" s="15">
        <f>IF(AND(AV22=1,AU22=0),1,0)</f>
        <v/>
      </c>
      <c r="AW23" s="15">
        <f>IF(AND(AW22=1,AV22=0),1,0)</f>
        <v/>
      </c>
      <c r="AX23" s="15">
        <f>IF(AND(AX22=1,AW22=0),1,0)</f>
        <v/>
      </c>
    </row>
    <row r="24">
      <c r="D24" t="inlineStr">
        <is>
          <t>Operations fraction of the period (actual days)</t>
        </is>
      </c>
      <c r="E24" t="inlineStr">
        <is>
          <t>fraction</t>
        </is>
      </c>
      <c r="J24" s="19">
        <f>MAX(0,MIN(J20,$F$17)-MAX(J19,$F$16)+1)/(J20-J19+1)</f>
        <v/>
      </c>
      <c r="K24" s="19">
        <f>MAX(0,MIN(K20,$F$17)-MAX(K19,$F$16)+1)/(K20-K19+1)</f>
        <v/>
      </c>
      <c r="L24" s="19">
        <f>MAX(0,MIN(L20,$F$17)-MAX(L19,$F$16)+1)/(L20-L19+1)</f>
        <v/>
      </c>
      <c r="M24" s="19">
        <f>MAX(0,MIN(M20,$F$17)-MAX(M19,$F$16)+1)/(M20-M19+1)</f>
        <v/>
      </c>
      <c r="N24" s="19">
        <f>MAX(0,MIN(N20,$F$17)-MAX(N19,$F$16)+1)/(N20-N19+1)</f>
        <v/>
      </c>
      <c r="O24" s="19">
        <f>MAX(0,MIN(O20,$F$17)-MAX(O19,$F$16)+1)/(O20-O19+1)</f>
        <v/>
      </c>
      <c r="P24" s="19">
        <f>MAX(0,MIN(P20,$F$17)-MAX(P19,$F$16)+1)/(P20-P19+1)</f>
        <v/>
      </c>
      <c r="Q24" s="19">
        <f>MAX(0,MIN(Q20,$F$17)-MAX(Q19,$F$16)+1)/(Q20-Q19+1)</f>
        <v/>
      </c>
      <c r="R24" s="19">
        <f>MAX(0,MIN(R20,$F$17)-MAX(R19,$F$16)+1)/(R20-R19+1)</f>
        <v/>
      </c>
      <c r="S24" s="19">
        <f>MAX(0,MIN(S20,$F$17)-MAX(S19,$F$16)+1)/(S20-S19+1)</f>
        <v/>
      </c>
      <c r="T24" s="19">
        <f>MAX(0,MIN(T20,$F$17)-MAX(T19,$F$16)+1)/(T20-T19+1)</f>
        <v/>
      </c>
      <c r="U24" s="19">
        <f>MAX(0,MIN(U20,$F$17)-MAX(U19,$F$16)+1)/(U20-U19+1)</f>
        <v/>
      </c>
      <c r="V24" s="19">
        <f>MAX(0,MIN(V20,$F$17)-MAX(V19,$F$16)+1)/(V20-V19+1)</f>
        <v/>
      </c>
      <c r="W24" s="19">
        <f>MAX(0,MIN(W20,$F$17)-MAX(W19,$F$16)+1)/(W20-W19+1)</f>
        <v/>
      </c>
      <c r="X24" s="19">
        <f>MAX(0,MIN(X20,$F$17)-MAX(X19,$F$16)+1)/(X20-X19+1)</f>
        <v/>
      </c>
      <c r="Y24" s="19">
        <f>MAX(0,MIN(Y20,$F$17)-MAX(Y19,$F$16)+1)/(Y20-Y19+1)</f>
        <v/>
      </c>
      <c r="Z24" s="19">
        <f>MAX(0,MIN(Z20,$F$17)-MAX(Z19,$F$16)+1)/(Z20-Z19+1)</f>
        <v/>
      </c>
      <c r="AA24" s="19">
        <f>MAX(0,MIN(AA20,$F$17)-MAX(AA19,$F$16)+1)/(AA20-AA19+1)</f>
        <v/>
      </c>
      <c r="AB24" s="19">
        <f>MAX(0,MIN(AB20,$F$17)-MAX(AB19,$F$16)+1)/(AB20-AB19+1)</f>
        <v/>
      </c>
      <c r="AC24" s="19">
        <f>MAX(0,MIN(AC20,$F$17)-MAX(AC19,$F$16)+1)/(AC20-AC19+1)</f>
        <v/>
      </c>
      <c r="AD24" s="19">
        <f>MAX(0,MIN(AD20,$F$17)-MAX(AD19,$F$16)+1)/(AD20-AD19+1)</f>
        <v/>
      </c>
      <c r="AE24" s="19">
        <f>MAX(0,MIN(AE20,$F$17)-MAX(AE19,$F$16)+1)/(AE20-AE19+1)</f>
        <v/>
      </c>
      <c r="AF24" s="19">
        <f>MAX(0,MIN(AF20,$F$17)-MAX(AF19,$F$16)+1)/(AF20-AF19+1)</f>
        <v/>
      </c>
      <c r="AG24" s="19">
        <f>MAX(0,MIN(AG20,$F$17)-MAX(AG19,$F$16)+1)/(AG20-AG19+1)</f>
        <v/>
      </c>
      <c r="AH24" s="19">
        <f>MAX(0,MIN(AH20,$F$17)-MAX(AH19,$F$16)+1)/(AH20-AH19+1)</f>
        <v/>
      </c>
      <c r="AI24" s="19">
        <f>MAX(0,MIN(AI20,$F$17)-MAX(AI19,$F$16)+1)/(AI20-AI19+1)</f>
        <v/>
      </c>
      <c r="AJ24" s="19">
        <f>MAX(0,MIN(AJ20,$F$17)-MAX(AJ19,$F$16)+1)/(AJ20-AJ19+1)</f>
        <v/>
      </c>
      <c r="AK24" s="19">
        <f>MAX(0,MIN(AK20,$F$17)-MAX(AK19,$F$16)+1)/(AK20-AK19+1)</f>
        <v/>
      </c>
      <c r="AL24" s="19">
        <f>MAX(0,MIN(AL20,$F$17)-MAX(AL19,$F$16)+1)/(AL20-AL19+1)</f>
        <v/>
      </c>
      <c r="AM24" s="19">
        <f>MAX(0,MIN(AM20,$F$17)-MAX(AM19,$F$16)+1)/(AM20-AM19+1)</f>
        <v/>
      </c>
      <c r="AN24" s="19">
        <f>MAX(0,MIN(AN20,$F$17)-MAX(AN19,$F$16)+1)/(AN20-AN19+1)</f>
        <v/>
      </c>
      <c r="AO24" s="19">
        <f>MAX(0,MIN(AO20,$F$17)-MAX(AO19,$F$16)+1)/(AO20-AO19+1)</f>
        <v/>
      </c>
      <c r="AP24" s="19">
        <f>MAX(0,MIN(AP20,$F$17)-MAX(AP19,$F$16)+1)/(AP20-AP19+1)</f>
        <v/>
      </c>
      <c r="AQ24" s="19">
        <f>MAX(0,MIN(AQ20,$F$17)-MAX(AQ19,$F$16)+1)/(AQ20-AQ19+1)</f>
        <v/>
      </c>
      <c r="AR24" s="19">
        <f>MAX(0,MIN(AR20,$F$17)-MAX(AR19,$F$16)+1)/(AR20-AR19+1)</f>
        <v/>
      </c>
      <c r="AS24" s="19">
        <f>MAX(0,MIN(AS20,$F$17)-MAX(AS19,$F$16)+1)/(AS20-AS19+1)</f>
        <v/>
      </c>
      <c r="AT24" s="19">
        <f>MAX(0,MIN(AT20,$F$17)-MAX(AT19,$F$16)+1)/(AT20-AT19+1)</f>
        <v/>
      </c>
      <c r="AU24" s="19">
        <f>MAX(0,MIN(AU20,$F$17)-MAX(AU19,$F$16)+1)/(AU20-AU19+1)</f>
        <v/>
      </c>
      <c r="AV24" s="19">
        <f>MAX(0,MIN(AV20,$F$17)-MAX(AV19,$F$16)+1)/(AV20-AV19+1)</f>
        <v/>
      </c>
      <c r="AW24" s="19">
        <f>MAX(0,MIN(AW20,$F$17)-MAX(AW19,$F$16)+1)/(AW20-AW19+1)</f>
        <v/>
      </c>
      <c r="AX24" s="19">
        <f>MAX(0,MIN(AX20,$F$17)-MAX(AX19,$F$16)+1)/(AX20-AX19+1)</f>
        <v/>
      </c>
    </row>
    <row r="25">
      <c r="D25" t="inlineStr">
        <is>
          <t>Operations fraction in the first operating period</t>
        </is>
      </c>
      <c r="E25" t="inlineStr">
        <is>
          <t>fraction</t>
        </is>
      </c>
      <c r="F25" s="19">
        <f>SUMPRODUCT(J23:AX23,J24:AX24)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73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0" customWidth="1" min="4" max="4"/>
    <col width="12" customWidth="1" min="5" max="5"/>
    <col width="14" customWidth="1" min="6" max="6"/>
    <col width="12" customWidth="1" min="7" max="7"/>
    <col width="4" customWidth="1" min="8" max="8"/>
    <col width="4" customWidth="1" min="9" max="9"/>
  </cols>
  <sheetData>
    <row r="1">
      <c r="A1" s="1" t="inlineStr">
        <is>
          <t>Quebracho Alto (fictional; Illustrative): Chapter 13 practice files</t>
        </is>
      </c>
    </row>
    <row r="2">
      <c r="A2" t="inlineStr">
        <is>
          <t>Calc: LD cap (Ex 13.3), revenue and NPV rows (Ex 13.5, 13.6), data table, goal seek (Ex 13.7), IDC closed form and iteration (Ex 13.8), sources and uses (Ex 13.9)</t>
        </is>
      </c>
    </row>
    <row r="3">
      <c r="A3" t="inlineStr">
        <is>
          <t>Column D label, E unit, F value or scalar, G row total; first period in column J. Inputs: blue on yellow. Links: green. Checks: 0 when passing.</t>
        </is>
      </c>
    </row>
    <row r="4">
      <c r="D4" t="inlineStr">
        <is>
          <t>Operating year counter (revenue and NPV rows, columns J to AC)</t>
        </is>
      </c>
      <c r="E4" t="inlineStr">
        <is>
          <t>index</t>
        </is>
      </c>
      <c r="J4" s="15">
        <f>I4+1</f>
        <v/>
      </c>
      <c r="K4" s="15">
        <f>J4+1</f>
        <v/>
      </c>
      <c r="L4" s="15">
        <f>K4+1</f>
        <v/>
      </c>
      <c r="M4" s="15">
        <f>L4+1</f>
        <v/>
      </c>
      <c r="N4" s="15">
        <f>M4+1</f>
        <v/>
      </c>
      <c r="O4" s="15">
        <f>N4+1</f>
        <v/>
      </c>
      <c r="P4" s="15">
        <f>O4+1</f>
        <v/>
      </c>
      <c r="Q4" s="15">
        <f>P4+1</f>
        <v/>
      </c>
      <c r="R4" s="15">
        <f>Q4+1</f>
        <v/>
      </c>
      <c r="S4" s="15">
        <f>R4+1</f>
        <v/>
      </c>
      <c r="T4" s="15">
        <f>S4+1</f>
        <v/>
      </c>
      <c r="U4" s="15">
        <f>T4+1</f>
        <v/>
      </c>
      <c r="V4" s="15">
        <f>U4+1</f>
        <v/>
      </c>
      <c r="W4" s="15">
        <f>V4+1</f>
        <v/>
      </c>
      <c r="X4" s="15">
        <f>W4+1</f>
        <v/>
      </c>
      <c r="Y4" s="15">
        <f>X4+1</f>
        <v/>
      </c>
      <c r="Z4" s="15">
        <f>Y4+1</f>
        <v/>
      </c>
      <c r="AA4" s="15">
        <f>Z4+1</f>
        <v/>
      </c>
      <c r="AB4" s="15">
        <f>AA4+1</f>
        <v/>
      </c>
      <c r="AC4" s="15">
        <f>AB4+1</f>
        <v/>
      </c>
    </row>
    <row r="6">
      <c r="B6" s="2" t="inlineStr">
        <is>
          <t>Example 13.3: delay LDs with a cumulative cap (columns J to Q = delay months 1 to 8)</t>
        </is>
      </c>
    </row>
    <row r="7">
      <c r="D7" t="inlineStr">
        <is>
          <t>Days in the delay month</t>
        </is>
      </c>
      <c r="E7" t="inlineStr">
        <is>
          <t>days</t>
        </is>
      </c>
      <c r="J7" s="20">
        <f>Inputs!J26</f>
        <v/>
      </c>
      <c r="K7" s="20">
        <f>Inputs!K26</f>
        <v/>
      </c>
      <c r="L7" s="20">
        <f>Inputs!L26</f>
        <v/>
      </c>
      <c r="M7" s="20">
        <f>Inputs!M26</f>
        <v/>
      </c>
      <c r="N7" s="20">
        <f>Inputs!N26</f>
        <v/>
      </c>
      <c r="O7" s="20">
        <f>Inputs!O26</f>
        <v/>
      </c>
      <c r="P7" s="20">
        <f>Inputs!P26</f>
        <v/>
      </c>
      <c r="Q7" s="20">
        <f>Inputs!Q26</f>
        <v/>
      </c>
    </row>
    <row r="20">
      <c r="D20" t="inlineStr">
        <is>
          <t>Delay LD rate</t>
        </is>
      </c>
      <c r="E20" t="inlineStr">
        <is>
          <t>USD/day</t>
        </is>
      </c>
      <c r="F20" s="21">
        <f>Inputs!$F$24</f>
        <v/>
      </c>
    </row>
    <row r="21">
      <c r="D21" t="inlineStr">
        <is>
          <t>Delay LD cap</t>
        </is>
      </c>
      <c r="E21" t="inlineStr">
        <is>
          <t>USD</t>
        </is>
      </c>
      <c r="F21" s="21">
        <f>Inputs!$F$25</f>
        <v/>
      </c>
    </row>
    <row r="22">
      <c r="D22" t="inlineStr">
        <is>
          <t>Delay LD accrual (capped)</t>
        </is>
      </c>
      <c r="E22" t="inlineStr">
        <is>
          <t>USD</t>
        </is>
      </c>
      <c r="G22" s="22">
        <f>SUM(J22:Q22)</f>
        <v/>
      </c>
      <c r="J22" s="22">
        <f>MAX(0,MIN($F$20*J$7,$F$21-I23))</f>
        <v/>
      </c>
      <c r="K22" s="22">
        <f>MAX(0,MIN($F$20*K$7,$F$21-J23))</f>
        <v/>
      </c>
      <c r="L22" s="22">
        <f>MAX(0,MIN($F$20*L$7,$F$21-K23))</f>
        <v/>
      </c>
      <c r="M22" s="22">
        <f>MAX(0,MIN($F$20*M$7,$F$21-L23))</f>
        <v/>
      </c>
      <c r="N22" s="22">
        <f>MAX(0,MIN($F$20*N$7,$F$21-M23))</f>
        <v/>
      </c>
      <c r="O22" s="22">
        <f>MAX(0,MIN($F$20*O$7,$F$21-N23))</f>
        <v/>
      </c>
      <c r="P22" s="22">
        <f>MAX(0,MIN($F$20*P$7,$F$21-O23))</f>
        <v/>
      </c>
      <c r="Q22" s="22">
        <f>MAX(0,MIN($F$20*Q$7,$F$21-P23))</f>
        <v/>
      </c>
    </row>
    <row r="23">
      <c r="D23" t="inlineStr">
        <is>
          <t>Delay LDs, cumulative</t>
        </is>
      </c>
      <c r="E23" t="inlineStr">
        <is>
          <t>USD</t>
        </is>
      </c>
      <c r="J23" s="22">
        <f>I23+J22</f>
        <v/>
      </c>
      <c r="K23" s="22">
        <f>J23+K22</f>
        <v/>
      </c>
      <c r="L23" s="22">
        <f>K23+L22</f>
        <v/>
      </c>
      <c r="M23" s="22">
        <f>L23+M22</f>
        <v/>
      </c>
      <c r="N23" s="22">
        <f>M23+N22</f>
        <v/>
      </c>
      <c r="O23" s="22">
        <f>N23+O22</f>
        <v/>
      </c>
      <c r="P23" s="22">
        <f>O23+P22</f>
        <v/>
      </c>
      <c r="Q23" s="22">
        <f>P23+Q22</f>
        <v/>
      </c>
    </row>
    <row r="24">
      <c r="D24" t="inlineStr">
        <is>
          <t>Days to reach the cap</t>
        </is>
      </c>
      <c r="E24" t="inlineStr">
        <is>
          <t>days</t>
        </is>
      </c>
      <c r="F24" s="12">
        <f>F21/F20</f>
        <v/>
      </c>
    </row>
    <row r="25">
      <c r="B25" s="2" t="inlineStr">
        <is>
          <t>Examples 13.5 and 13.6: 20-year revenue and NPV rows (columns J to AC = operating years 1 to 20)</t>
        </is>
      </c>
    </row>
    <row r="26">
      <c r="D26" t="inlineStr">
        <is>
          <t>Escalation factor (INDEX on the Inputs factor row; Example 13.5 replacement for OFFSET)</t>
        </is>
      </c>
      <c r="E26" t="inlineStr">
        <is>
          <t>factor</t>
        </is>
      </c>
      <c r="J26" s="23">
        <f>INDEX(Inputs!$F$10:$Y$10,J$4)</f>
        <v/>
      </c>
      <c r="K26" s="23">
        <f>INDEX(Inputs!$F$10:$Y$10,K$4)</f>
        <v/>
      </c>
      <c r="L26" s="23">
        <f>INDEX(Inputs!$F$10:$Y$10,L$4)</f>
        <v/>
      </c>
      <c r="M26" s="23">
        <f>INDEX(Inputs!$F$10:$Y$10,M$4)</f>
        <v/>
      </c>
      <c r="N26" s="23">
        <f>INDEX(Inputs!$F$10:$Y$10,N$4)</f>
        <v/>
      </c>
      <c r="O26" s="23">
        <f>INDEX(Inputs!$F$10:$Y$10,O$4)</f>
        <v/>
      </c>
      <c r="P26" s="23">
        <f>INDEX(Inputs!$F$10:$Y$10,P$4)</f>
        <v/>
      </c>
      <c r="Q26" s="23">
        <f>INDEX(Inputs!$F$10:$Y$10,Q$4)</f>
        <v/>
      </c>
      <c r="R26" s="23">
        <f>INDEX(Inputs!$F$10:$Y$10,R$4)</f>
        <v/>
      </c>
      <c r="S26" s="23">
        <f>INDEX(Inputs!$F$10:$Y$10,S$4)</f>
        <v/>
      </c>
      <c r="T26" s="23">
        <f>INDEX(Inputs!$F$10:$Y$10,T$4)</f>
        <v/>
      </c>
      <c r="U26" s="23">
        <f>INDEX(Inputs!$F$10:$Y$10,U$4)</f>
        <v/>
      </c>
      <c r="V26" s="23">
        <f>INDEX(Inputs!$F$10:$Y$10,V$4)</f>
        <v/>
      </c>
      <c r="W26" s="23">
        <f>INDEX(Inputs!$F$10:$Y$10,W$4)</f>
        <v/>
      </c>
      <c r="X26" s="23">
        <f>INDEX(Inputs!$F$10:$Y$10,X$4)</f>
        <v/>
      </c>
      <c r="Y26" s="23">
        <f>INDEX(Inputs!$F$10:$Y$10,Y$4)</f>
        <v/>
      </c>
      <c r="Z26" s="23">
        <f>INDEX(Inputs!$F$10:$Y$10,Z$4)</f>
        <v/>
      </c>
      <c r="AA26" s="23">
        <f>INDEX(Inputs!$F$10:$Y$10,AA$4)</f>
        <v/>
      </c>
      <c r="AB26" s="23">
        <f>INDEX(Inputs!$F$10:$Y$10,AB$4)</f>
        <v/>
      </c>
      <c r="AC26" s="23">
        <f>INDEX(Inputs!$F$10:$Y$10,AC$4)</f>
        <v/>
      </c>
    </row>
    <row r="27">
      <c r="D27" t="inlineStr">
        <is>
          <t>Revenue with escalation (Example 13.5)</t>
        </is>
      </c>
      <c r="E27" t="inlineStr">
        <is>
          <t>USD m</t>
        </is>
      </c>
      <c r="G27" s="24">
        <f>SUM(J27:AC27)</f>
        <v/>
      </c>
      <c r="J27" s="24">
        <f>Inputs!$F$18*Inputs!$F$19*J26/1000</f>
        <v/>
      </c>
      <c r="K27" s="24">
        <f>Inputs!$F$18*Inputs!$F$19*K26/1000</f>
        <v/>
      </c>
      <c r="L27" s="24">
        <f>Inputs!$F$18*Inputs!$F$19*L26/1000</f>
        <v/>
      </c>
      <c r="M27" s="24">
        <f>Inputs!$F$18*Inputs!$F$19*M26/1000</f>
        <v/>
      </c>
      <c r="N27" s="24">
        <f>Inputs!$F$18*Inputs!$F$19*N26/1000</f>
        <v/>
      </c>
      <c r="O27" s="24">
        <f>Inputs!$F$18*Inputs!$F$19*O26/1000</f>
        <v/>
      </c>
      <c r="P27" s="24">
        <f>Inputs!$F$18*Inputs!$F$19*P26/1000</f>
        <v/>
      </c>
      <c r="Q27" s="24">
        <f>Inputs!$F$18*Inputs!$F$19*Q26/1000</f>
        <v/>
      </c>
      <c r="R27" s="24">
        <f>Inputs!$F$18*Inputs!$F$19*R26/1000</f>
        <v/>
      </c>
      <c r="S27" s="24">
        <f>Inputs!$F$18*Inputs!$F$19*S26/1000</f>
        <v/>
      </c>
      <c r="T27" s="24">
        <f>Inputs!$F$18*Inputs!$F$19*T26/1000</f>
        <v/>
      </c>
      <c r="U27" s="24">
        <f>Inputs!$F$18*Inputs!$F$19*U26/1000</f>
        <v/>
      </c>
      <c r="V27" s="24">
        <f>Inputs!$F$18*Inputs!$F$19*V26/1000</f>
        <v/>
      </c>
      <c r="W27" s="24">
        <f>Inputs!$F$18*Inputs!$F$19*W26/1000</f>
        <v/>
      </c>
      <c r="X27" s="24">
        <f>Inputs!$F$18*Inputs!$F$19*X26/1000</f>
        <v/>
      </c>
      <c r="Y27" s="24">
        <f>Inputs!$F$18*Inputs!$F$19*Y26/1000</f>
        <v/>
      </c>
      <c r="Z27" s="24">
        <f>Inputs!$F$18*Inputs!$F$19*Z26/1000</f>
        <v/>
      </c>
      <c r="AA27" s="24">
        <f>Inputs!$F$18*Inputs!$F$19*AA26/1000</f>
        <v/>
      </c>
      <c r="AB27" s="24">
        <f>Inputs!$F$18*Inputs!$F$19*AB26/1000</f>
        <v/>
      </c>
      <c r="AC27" s="24">
        <f>Inputs!$F$18*Inputs!$F$19*AC26/1000</f>
        <v/>
      </c>
    </row>
    <row r="28">
      <c r="D28" t="inlineStr">
        <is>
          <t>Discount factor at the base rate (end of year)</t>
        </is>
      </c>
      <c r="E28" t="inlineStr">
        <is>
          <t>factor</t>
        </is>
      </c>
      <c r="J28" s="23">
        <f>1/(1+Inputs!$F$22)^J$4</f>
        <v/>
      </c>
      <c r="K28" s="23">
        <f>1/(1+Inputs!$F$22)^K$4</f>
        <v/>
      </c>
      <c r="L28" s="23">
        <f>1/(1+Inputs!$F$22)^L$4</f>
        <v/>
      </c>
      <c r="M28" s="23">
        <f>1/(1+Inputs!$F$22)^M$4</f>
        <v/>
      </c>
      <c r="N28" s="23">
        <f>1/(1+Inputs!$F$22)^N$4</f>
        <v/>
      </c>
      <c r="O28" s="23">
        <f>1/(1+Inputs!$F$22)^O$4</f>
        <v/>
      </c>
      <c r="P28" s="23">
        <f>1/(1+Inputs!$F$22)^P$4</f>
        <v/>
      </c>
      <c r="Q28" s="23">
        <f>1/(1+Inputs!$F$22)^Q$4</f>
        <v/>
      </c>
      <c r="R28" s="23">
        <f>1/(1+Inputs!$F$22)^R$4</f>
        <v/>
      </c>
      <c r="S28" s="23">
        <f>1/(1+Inputs!$F$22)^S$4</f>
        <v/>
      </c>
      <c r="T28" s="23">
        <f>1/(1+Inputs!$F$22)^T$4</f>
        <v/>
      </c>
      <c r="U28" s="23">
        <f>1/(1+Inputs!$F$22)^U$4</f>
        <v/>
      </c>
      <c r="V28" s="23">
        <f>1/(1+Inputs!$F$22)^V$4</f>
        <v/>
      </c>
      <c r="W28" s="23">
        <f>1/(1+Inputs!$F$22)^W$4</f>
        <v/>
      </c>
      <c r="X28" s="23">
        <f>1/(1+Inputs!$F$22)^X$4</f>
        <v/>
      </c>
      <c r="Y28" s="23">
        <f>1/(1+Inputs!$F$22)^Y$4</f>
        <v/>
      </c>
      <c r="Z28" s="23">
        <f>1/(1+Inputs!$F$22)^Z$4</f>
        <v/>
      </c>
      <c r="AA28" s="23">
        <f>1/(1+Inputs!$F$22)^AA$4</f>
        <v/>
      </c>
      <c r="AB28" s="23">
        <f>1/(1+Inputs!$F$22)^AB$4</f>
        <v/>
      </c>
      <c r="AC28" s="23">
        <f>1/(1+Inputs!$F$22)^AC$4</f>
        <v/>
      </c>
    </row>
    <row r="29">
      <c r="D29" t="inlineStr">
        <is>
          <t>PV of revenue with escalation at the base rate</t>
        </is>
      </c>
      <c r="E29" t="inlineStr">
        <is>
          <t>USD m</t>
        </is>
      </c>
      <c r="F29">
        <f>SUMPRODUCT(J27:AC27,J28:AC28)</f>
        <v/>
      </c>
    </row>
    <row r="30">
      <c r="D30" t="inlineStr">
        <is>
          <t>Data-table input cell: flat tariff (row input; must sit on this sheet)</t>
        </is>
      </c>
      <c r="E30" t="inlineStr">
        <is>
          <t>USD/MWh</t>
        </is>
      </c>
      <c r="F30" s="8" t="n">
        <v>62</v>
      </c>
    </row>
    <row r="31">
      <c r="D31" t="inlineStr">
        <is>
          <t>Data-table input cell: discount rate (column input; must sit on this sheet)</t>
        </is>
      </c>
      <c r="E31" t="inlineStr">
        <is>
          <t>% pa</t>
        </is>
      </c>
      <c r="F31" s="10" t="n">
        <v>0.08749999999999999</v>
      </c>
    </row>
    <row r="32">
      <c r="D32" t="inlineStr">
        <is>
          <t>Revenue at the flat tariff (Example 13.6: no escalation)</t>
        </is>
      </c>
      <c r="E32" t="inlineStr">
        <is>
          <t>USD m</t>
        </is>
      </c>
      <c r="G32" s="24">
        <f>SUM(J32:AC32)</f>
        <v/>
      </c>
      <c r="J32" s="24">
        <f>Inputs!$F$18*$F$30/1000</f>
        <v/>
      </c>
      <c r="K32" s="24">
        <f>Inputs!$F$18*$F$30/1000</f>
        <v/>
      </c>
      <c r="L32" s="24">
        <f>Inputs!$F$18*$F$30/1000</f>
        <v/>
      </c>
      <c r="M32" s="24">
        <f>Inputs!$F$18*$F$30/1000</f>
        <v/>
      </c>
      <c r="N32" s="24">
        <f>Inputs!$F$18*$F$30/1000</f>
        <v/>
      </c>
      <c r="O32" s="24">
        <f>Inputs!$F$18*$F$30/1000</f>
        <v/>
      </c>
      <c r="P32" s="24">
        <f>Inputs!$F$18*$F$30/1000</f>
        <v/>
      </c>
      <c r="Q32" s="24">
        <f>Inputs!$F$18*$F$30/1000</f>
        <v/>
      </c>
      <c r="R32" s="24">
        <f>Inputs!$F$18*$F$30/1000</f>
        <v/>
      </c>
      <c r="S32" s="24">
        <f>Inputs!$F$18*$F$30/1000</f>
        <v/>
      </c>
      <c r="T32" s="24">
        <f>Inputs!$F$18*$F$30/1000</f>
        <v/>
      </c>
      <c r="U32" s="24">
        <f>Inputs!$F$18*$F$30/1000</f>
        <v/>
      </c>
      <c r="V32" s="24">
        <f>Inputs!$F$18*$F$30/1000</f>
        <v/>
      </c>
      <c r="W32" s="24">
        <f>Inputs!$F$18*$F$30/1000</f>
        <v/>
      </c>
      <c r="X32" s="24">
        <f>Inputs!$F$18*$F$30/1000</f>
        <v/>
      </c>
      <c r="Y32" s="24">
        <f>Inputs!$F$18*$F$30/1000</f>
        <v/>
      </c>
      <c r="Z32" s="24">
        <f>Inputs!$F$18*$F$30/1000</f>
        <v/>
      </c>
      <c r="AA32" s="24">
        <f>Inputs!$F$18*$F$30/1000</f>
        <v/>
      </c>
      <c r="AB32" s="24">
        <f>Inputs!$F$18*$F$30/1000</f>
        <v/>
      </c>
      <c r="AC32" s="24">
        <f>Inputs!$F$18*$F$30/1000</f>
        <v/>
      </c>
    </row>
    <row r="33">
      <c r="D33" t="inlineStr">
        <is>
          <t>Operating cost</t>
        </is>
      </c>
      <c r="E33" t="inlineStr">
        <is>
          <t>USD m</t>
        </is>
      </c>
      <c r="G33" s="24">
        <f>SUM(J33:AC33)</f>
        <v/>
      </c>
      <c r="J33" s="25">
        <f>Inputs!$F$21</f>
        <v/>
      </c>
      <c r="K33" s="25">
        <f>Inputs!$F$21</f>
        <v/>
      </c>
      <c r="L33" s="25">
        <f>Inputs!$F$21</f>
        <v/>
      </c>
      <c r="M33" s="25">
        <f>Inputs!$F$21</f>
        <v/>
      </c>
      <c r="N33" s="25">
        <f>Inputs!$F$21</f>
        <v/>
      </c>
      <c r="O33" s="25">
        <f>Inputs!$F$21</f>
        <v/>
      </c>
      <c r="P33" s="25">
        <f>Inputs!$F$21</f>
        <v/>
      </c>
      <c r="Q33" s="25">
        <f>Inputs!$F$21</f>
        <v/>
      </c>
      <c r="R33" s="25">
        <f>Inputs!$F$21</f>
        <v/>
      </c>
      <c r="S33" s="25">
        <f>Inputs!$F$21</f>
        <v/>
      </c>
      <c r="T33" s="25">
        <f>Inputs!$F$21</f>
        <v/>
      </c>
      <c r="U33" s="25">
        <f>Inputs!$F$21</f>
        <v/>
      </c>
      <c r="V33" s="25">
        <f>Inputs!$F$21</f>
        <v/>
      </c>
      <c r="W33" s="25">
        <f>Inputs!$F$21</f>
        <v/>
      </c>
      <c r="X33" s="25">
        <f>Inputs!$F$21</f>
        <v/>
      </c>
      <c r="Y33" s="25">
        <f>Inputs!$F$21</f>
        <v/>
      </c>
      <c r="Z33" s="25">
        <f>Inputs!$F$21</f>
        <v/>
      </c>
      <c r="AA33" s="25">
        <f>Inputs!$F$21</f>
        <v/>
      </c>
      <c r="AB33" s="25">
        <f>Inputs!$F$21</f>
        <v/>
      </c>
      <c r="AC33" s="25">
        <f>Inputs!$F$21</f>
        <v/>
      </c>
    </row>
    <row r="34">
      <c r="D34" t="inlineStr">
        <is>
          <t>Net cash flow</t>
        </is>
      </c>
      <c r="E34" t="inlineStr">
        <is>
          <t>USD m</t>
        </is>
      </c>
      <c r="G34" s="24">
        <f>SUM(J34:AC34)</f>
        <v/>
      </c>
      <c r="J34" s="24">
        <f>J32-J33</f>
        <v/>
      </c>
      <c r="K34" s="24">
        <f>K32-K33</f>
        <v/>
      </c>
      <c r="L34" s="24">
        <f>L32-L33</f>
        <v/>
      </c>
      <c r="M34" s="24">
        <f>M32-M33</f>
        <v/>
      </c>
      <c r="N34" s="24">
        <f>N32-N33</f>
        <v/>
      </c>
      <c r="O34" s="24">
        <f>O32-O33</f>
        <v/>
      </c>
      <c r="P34" s="24">
        <f>P32-P33</f>
        <v/>
      </c>
      <c r="Q34" s="24">
        <f>Q32-Q33</f>
        <v/>
      </c>
      <c r="R34" s="24">
        <f>R32-R33</f>
        <v/>
      </c>
      <c r="S34" s="24">
        <f>S32-S33</f>
        <v/>
      </c>
      <c r="T34" s="24">
        <f>T32-T33</f>
        <v/>
      </c>
      <c r="U34" s="24">
        <f>U32-U33</f>
        <v/>
      </c>
      <c r="V34" s="24">
        <f>V32-V33</f>
        <v/>
      </c>
      <c r="W34" s="24">
        <f>W32-W33</f>
        <v/>
      </c>
      <c r="X34" s="24">
        <f>X32-X33</f>
        <v/>
      </c>
      <c r="Y34" s="24">
        <f>Y32-Y33</f>
        <v/>
      </c>
      <c r="Z34" s="24">
        <f>Z32-Z33</f>
        <v/>
      </c>
      <c r="AA34" s="24">
        <f>AA32-AA33</f>
        <v/>
      </c>
      <c r="AB34" s="24">
        <f>AB32-AB33</f>
        <v/>
      </c>
      <c r="AC34" s="24">
        <f>AC32-AC33</f>
        <v/>
      </c>
    </row>
    <row r="35">
      <c r="D35" t="inlineStr">
        <is>
          <t>Discount factor at the data-table rate</t>
        </is>
      </c>
      <c r="E35" t="inlineStr">
        <is>
          <t>factor</t>
        </is>
      </c>
      <c r="J35" s="23">
        <f>1/(1+$F$31)^J$4</f>
        <v/>
      </c>
      <c r="K35" s="23">
        <f>1/(1+$F$31)^K$4</f>
        <v/>
      </c>
      <c r="L35" s="23">
        <f>1/(1+$F$31)^L$4</f>
        <v/>
      </c>
      <c r="M35" s="23">
        <f>1/(1+$F$31)^M$4</f>
        <v/>
      </c>
      <c r="N35" s="23">
        <f>1/(1+$F$31)^N$4</f>
        <v/>
      </c>
      <c r="O35" s="23">
        <f>1/(1+$F$31)^O$4</f>
        <v/>
      </c>
      <c r="P35" s="23">
        <f>1/(1+$F$31)^P$4</f>
        <v/>
      </c>
      <c r="Q35" s="23">
        <f>1/(1+$F$31)^Q$4</f>
        <v/>
      </c>
      <c r="R35" s="23">
        <f>1/(1+$F$31)^R$4</f>
        <v/>
      </c>
      <c r="S35" s="23">
        <f>1/(1+$F$31)^S$4</f>
        <v/>
      </c>
      <c r="T35" s="23">
        <f>1/(1+$F$31)^T$4</f>
        <v/>
      </c>
      <c r="U35" s="23">
        <f>1/(1+$F$31)^U$4</f>
        <v/>
      </c>
      <c r="V35" s="23">
        <f>1/(1+$F$31)^V$4</f>
        <v/>
      </c>
      <c r="W35" s="23">
        <f>1/(1+$F$31)^W$4</f>
        <v/>
      </c>
      <c r="X35" s="23">
        <f>1/(1+$F$31)^X$4</f>
        <v/>
      </c>
      <c r="Y35" s="23">
        <f>1/(1+$F$31)^Y$4</f>
        <v/>
      </c>
      <c r="Z35" s="23">
        <f>1/(1+$F$31)^Z$4</f>
        <v/>
      </c>
      <c r="AA35" s="23">
        <f>1/(1+$F$31)^AA$4</f>
        <v/>
      </c>
      <c r="AB35" s="23">
        <f>1/(1+$F$31)^AB$4</f>
        <v/>
      </c>
      <c r="AC35" s="23">
        <f>1/(1+$F$31)^AC$4</f>
        <v/>
      </c>
    </row>
    <row r="36">
      <c r="D36" t="inlineStr">
        <is>
          <t>Present value of net cash flow</t>
        </is>
      </c>
      <c r="E36" t="inlineStr">
        <is>
          <t>USD m</t>
        </is>
      </c>
      <c r="G36" s="24">
        <f>SUM(J36:AC36)</f>
        <v/>
      </c>
      <c r="J36" s="24">
        <f>J34*J35</f>
        <v/>
      </c>
      <c r="K36" s="24">
        <f>K34*K35</f>
        <v/>
      </c>
      <c r="L36" s="24">
        <f>L34*L35</f>
        <v/>
      </c>
      <c r="M36" s="24">
        <f>M34*M35</f>
        <v/>
      </c>
      <c r="N36" s="24">
        <f>N34*N35</f>
        <v/>
      </c>
      <c r="O36" s="24">
        <f>O34*O35</f>
        <v/>
      </c>
      <c r="P36" s="24">
        <f>P34*P35</f>
        <v/>
      </c>
      <c r="Q36" s="24">
        <f>Q34*Q35</f>
        <v/>
      </c>
      <c r="R36" s="24">
        <f>R34*R35</f>
        <v/>
      </c>
      <c r="S36" s="24">
        <f>S34*S35</f>
        <v/>
      </c>
      <c r="T36" s="24">
        <f>T34*T35</f>
        <v/>
      </c>
      <c r="U36" s="24">
        <f>U34*U35</f>
        <v/>
      </c>
      <c r="V36" s="24">
        <f>V34*V35</f>
        <v/>
      </c>
      <c r="W36" s="24">
        <f>W34*W35</f>
        <v/>
      </c>
      <c r="X36" s="24">
        <f>X34*X35</f>
        <v/>
      </c>
      <c r="Y36" s="24">
        <f>Y34*Y35</f>
        <v/>
      </c>
      <c r="Z36" s="24">
        <f>Z34*Z35</f>
        <v/>
      </c>
      <c r="AA36" s="24">
        <f>AA34*AA35</f>
        <v/>
      </c>
      <c r="AB36" s="24">
        <f>AB34*AB35</f>
        <v/>
      </c>
      <c r="AC36" s="24">
        <f>AC34*AC35</f>
        <v/>
      </c>
    </row>
    <row r="37">
      <c r="D37" t="inlineStr">
        <is>
          <t>NPV = -capex + sum of present values (feeds the data table)</t>
        </is>
      </c>
      <c r="E37" t="inlineStr">
        <is>
          <t>USD m</t>
        </is>
      </c>
      <c r="F37">
        <f>-Inputs!$F$30+G36</f>
        <v/>
      </c>
    </row>
    <row r="38">
      <c r="D38" t="inlineStr">
        <is>
          <t>NPV, annuity form (Example 13.6 Excel form)</t>
        </is>
      </c>
      <c r="E38" t="inlineStr">
        <is>
          <t>USD m</t>
        </is>
      </c>
      <c r="F38">
        <f>-Inputs!$F$30+PV(F31,Inputs!$F$15,-(Inputs!$F$18*F30/1000-Inputs!$F$21))</f>
        <v/>
      </c>
    </row>
    <row r="39">
      <c r="B39" s="2" t="inlineStr">
        <is>
          <t>Example 13.8: IDC circularity (C, g, r_c from Inputs)</t>
        </is>
      </c>
    </row>
    <row r="40">
      <c r="D40" t="inlineStr">
        <is>
          <t>Senior debt, closed form D = gC / (1 - g r_c)</t>
        </is>
      </c>
      <c r="E40" t="inlineStr">
        <is>
          <t>USD m</t>
        </is>
      </c>
      <c r="F40" s="19">
        <f>Inputs!$F$28*Inputs!$F$30/(1-Inputs!$F$28*Inputs!$F$29)</f>
        <v/>
      </c>
    </row>
    <row r="41">
      <c r="D41" t="inlineStr">
        <is>
          <t>Pasted debt (written by the optional Converge macro; 0 = not run)</t>
        </is>
      </c>
      <c r="E41" t="inlineStr">
        <is>
          <t>USD m</t>
        </is>
      </c>
      <c r="F41" s="14" t="n">
        <v>0</v>
      </c>
    </row>
    <row r="42">
      <c r="D42" t="inlineStr">
        <is>
          <t>Debt computed from the pasted debt: g x (C + r_c x pasted)</t>
        </is>
      </c>
      <c r="E42" t="inlineStr">
        <is>
          <t>USD m</t>
        </is>
      </c>
      <c r="F42" s="19">
        <f>Inputs!$F$28*(Inputs!$F$30+Inputs!$F$29*F41)</f>
        <v/>
      </c>
    </row>
    <row r="43">
      <c r="D43" t="inlineStr">
        <is>
          <t>Convergence residual (computed less pasted)</t>
        </is>
      </c>
      <c r="E43" t="inlineStr">
        <is>
          <t>USD m</t>
        </is>
      </c>
      <c r="F43" s="19">
        <f>F42-F41</f>
        <v/>
      </c>
    </row>
    <row r="44">
      <c r="D44" t="inlineStr">
        <is>
          <t>Iteration D0 = g x C</t>
        </is>
      </c>
      <c r="E44" t="inlineStr">
        <is>
          <t>USD m</t>
        </is>
      </c>
      <c r="F44" s="19">
        <f>Inputs!$F$28*Inputs!$F$30</f>
        <v/>
      </c>
    </row>
    <row r="45">
      <c r="D45" t="inlineStr">
        <is>
          <t>Iteration D1 = g x (C + r_c x D0)</t>
        </is>
      </c>
      <c r="E45" t="inlineStr">
        <is>
          <t>USD m</t>
        </is>
      </c>
      <c r="F45" s="19">
        <f>Inputs!$F$28*(Inputs!$F$30+Inputs!$F$29*F44)</f>
        <v/>
      </c>
    </row>
    <row r="46">
      <c r="D46" t="inlineStr">
        <is>
          <t>Iteration D2 = g x (C + r_c x D1)</t>
        </is>
      </c>
      <c r="E46" t="inlineStr">
        <is>
          <t>USD m</t>
        </is>
      </c>
      <c r="F46" s="19">
        <f>Inputs!$F$28*(Inputs!$F$30+Inputs!$F$29*F45)</f>
        <v/>
      </c>
    </row>
    <row r="47">
      <c r="D47" t="inlineStr">
        <is>
          <t>Iteration D3 = g x (C + r_c x D2)</t>
        </is>
      </c>
      <c r="E47" t="inlineStr">
        <is>
          <t>USD m</t>
        </is>
      </c>
      <c r="F47" s="19">
        <f>Inputs!$F$28*(Inputs!$F$30+Inputs!$F$29*F46)</f>
        <v/>
      </c>
    </row>
    <row r="48">
      <c r="D48" t="inlineStr">
        <is>
          <t>Iteration D4 = g x (C + r_c x D3)</t>
        </is>
      </c>
      <c r="E48" t="inlineStr">
        <is>
          <t>USD m</t>
        </is>
      </c>
      <c r="F48" s="19">
        <f>Inputs!$F$28*(Inputs!$F$30+Inputs!$F$29*F47)</f>
        <v/>
      </c>
    </row>
    <row r="49">
      <c r="D49" t="inlineStr">
        <is>
          <t>Iteration D5 = g x (C + r_c x D4)</t>
        </is>
      </c>
      <c r="E49" t="inlineStr">
        <is>
          <t>USD m</t>
        </is>
      </c>
      <c r="F49" s="19">
        <f>Inputs!$F$28*(Inputs!$F$30+Inputs!$F$29*F48)</f>
        <v/>
      </c>
    </row>
    <row r="50">
      <c r="D50" t="inlineStr">
        <is>
          <t>NPV at the pasted goal-seek tariff and the base rate (Example 13.7; must be 0)</t>
        </is>
      </c>
      <c r="E50" t="inlineStr">
        <is>
          <t>USD m</t>
        </is>
      </c>
      <c r="F50" s="23">
        <f>-Inputs!$F$30+PV(Inputs!$F$22,Inputs!$F$15,-(Inputs!$F$18*Inputs!$F$34/1000-Inputs!$F$21))</f>
        <v/>
      </c>
    </row>
    <row r="51">
      <c r="D51" t="inlineStr">
        <is>
          <t>Breakeven tariff, closed form, at the low test rate</t>
        </is>
      </c>
      <c r="E51" t="inlineStr">
        <is>
          <t>USD/MWh</t>
        </is>
      </c>
      <c r="F51" s="26">
        <f>(Inputs!$F$30/PV(Inputs!$F$35,Inputs!$F$15,-1)+Inputs!$F$21)/Inputs!$F$18*1000</f>
        <v/>
      </c>
    </row>
    <row r="52">
      <c r="D52" t="inlineStr">
        <is>
          <t>Breakeven tariff, closed form, at the base rate</t>
        </is>
      </c>
      <c r="E52" t="inlineStr">
        <is>
          <t>USD/MWh</t>
        </is>
      </c>
      <c r="F52" s="26">
        <f>(Inputs!$F$30/PV(Inputs!$F$22,Inputs!$F$15,-1)+Inputs!$F$21)/Inputs!$F$18*1000</f>
        <v/>
      </c>
    </row>
    <row r="53">
      <c r="D53" t="inlineStr">
        <is>
          <t>Breakeven tariff, closed form, at the high test rate</t>
        </is>
      </c>
      <c r="E53" t="inlineStr">
        <is>
          <t>USD/MWh</t>
        </is>
      </c>
      <c r="F53" s="26">
        <f>(Inputs!$F$30/PV(Inputs!$F$36,Inputs!$F$15,-1)+Inputs!$F$21)/Inputs!$F$18*1000</f>
        <v/>
      </c>
    </row>
    <row r="54">
      <c r="D54" t="inlineStr">
        <is>
          <t>Annuity factor at the base rate</t>
        </is>
      </c>
      <c r="E54" t="inlineStr">
        <is>
          <t>factor</t>
        </is>
      </c>
      <c r="F54" s="27">
        <f>PV(Inputs!$F$22,Inputs!$F$15,-1)</f>
        <v/>
      </c>
    </row>
    <row r="55">
      <c r="D55" t="inlineStr">
        <is>
          <t>Interest during construction = r_c x D</t>
        </is>
      </c>
      <c r="E55" t="inlineStr">
        <is>
          <t>USD m</t>
        </is>
      </c>
      <c r="F55" s="19">
        <f>Inputs!$F$29*F40</f>
        <v/>
      </c>
    </row>
    <row r="56">
      <c r="D56" t="inlineStr">
        <is>
          <t>Total funding = C + IDC</t>
        </is>
      </c>
      <c r="E56" t="inlineStr">
        <is>
          <t>USD m</t>
        </is>
      </c>
      <c r="F56" s="19">
        <f>Inputs!$F$30+F55</f>
        <v/>
      </c>
    </row>
    <row r="57">
      <c r="D57" t="inlineStr">
        <is>
          <t>Equity = total funding - debt</t>
        </is>
      </c>
      <c r="E57" t="inlineStr">
        <is>
          <t>USD m</t>
        </is>
      </c>
      <c r="F57" s="19">
        <f>F56-F40</f>
        <v/>
      </c>
    </row>
    <row r="59">
      <c r="B59" s="2" t="inlineStr">
        <is>
          <t>Example 13.9: sources and uses</t>
        </is>
      </c>
    </row>
    <row r="60">
      <c r="D60" t="inlineStr">
        <is>
          <t>Sources: debt + equity</t>
        </is>
      </c>
      <c r="E60" t="inlineStr">
        <is>
          <t>USD m</t>
        </is>
      </c>
      <c r="F60" s="19">
        <f>F40+F57</f>
        <v/>
      </c>
    </row>
    <row r="61">
      <c r="D61" t="inlineStr">
        <is>
          <t>Uses: costs before financing + IDC</t>
        </is>
      </c>
      <c r="E61" t="inlineStr">
        <is>
          <t>USD m</t>
        </is>
      </c>
      <c r="F61" s="19">
        <f>Inputs!$F$30+F55</f>
        <v/>
      </c>
    </row>
    <row r="63">
      <c r="B63" s="2" t="inlineStr">
        <is>
          <t>Example 13.6: two-way data table of NPV (USD m). Corner E64 = output; tariffs across (row input F30); rates down (column input F31)</t>
        </is>
      </c>
    </row>
    <row r="64">
      <c r="D64" t="inlineStr">
        <is>
          <t>Data table (Data, What-If Analysis, Data Table; computed by Excel)</t>
        </is>
      </c>
      <c r="E64" s="26">
        <f>F37</f>
        <v/>
      </c>
      <c r="F64" s="8" t="n">
        <v>58</v>
      </c>
      <c r="G64" s="8" t="n">
        <v>62</v>
      </c>
      <c r="H64" s="8" t="n">
        <v>66</v>
      </c>
    </row>
    <row r="65">
      <c r="E65" s="10" t="n">
        <v>0.0775</v>
      </c>
      <c r="F65" s="28">
        <f t="dataTable" ref="F65:H67" dt2D="1" r1="F30" r2="F31"/>
        <v/>
      </c>
      <c r="G65" s="28" t="n"/>
      <c r="H65" s="28" t="n"/>
    </row>
    <row r="66">
      <c r="E66" s="10" t="n">
        <v>0.08749999999999999</v>
      </c>
      <c r="F66" s="28" t="n"/>
      <c r="G66" s="28" t="n"/>
      <c r="H66" s="28" t="n"/>
    </row>
    <row r="67">
      <c r="E67" s="10" t="n">
        <v>0.0975</v>
      </c>
      <c r="F67" s="28" t="n"/>
      <c r="G67" s="28" t="n"/>
      <c r="H67" s="28" t="n"/>
    </row>
    <row r="69">
      <c r="B69" s="2" t="inlineStr">
        <is>
          <t>Closed-form grid: the same NPVs computed directly (live check on the data table)</t>
        </is>
      </c>
    </row>
    <row r="70">
      <c r="D70" t="inlineStr">
        <is>
          <t>Rate \ tariff</t>
        </is>
      </c>
      <c r="F70" s="26">
        <f>F64</f>
        <v/>
      </c>
      <c r="G70" s="26">
        <f>G64</f>
        <v/>
      </c>
      <c r="H70" s="26">
        <f>H64</f>
        <v/>
      </c>
    </row>
    <row r="71">
      <c r="E71" s="29">
        <f>E65</f>
        <v/>
      </c>
      <c r="F71" s="28">
        <f>-Inputs!$F$30+PV($E71,Inputs!$F$15,-(Inputs!$F$18*F$70/1000-Inputs!$F$21))</f>
        <v/>
      </c>
      <c r="G71" s="28">
        <f>-Inputs!$F$30+PV($E71,Inputs!$F$15,-(Inputs!$F$18*G$70/1000-Inputs!$F$21))</f>
        <v/>
      </c>
      <c r="H71" s="28">
        <f>-Inputs!$F$30+PV($E71,Inputs!$F$15,-(Inputs!$F$18*H$70/1000-Inputs!$F$21))</f>
        <v/>
      </c>
    </row>
    <row r="72">
      <c r="E72" s="29">
        <f>E66</f>
        <v/>
      </c>
      <c r="F72" s="28">
        <f>-Inputs!$F$30+PV($E72,Inputs!$F$15,-(Inputs!$F$18*F$70/1000-Inputs!$F$21))</f>
        <v/>
      </c>
      <c r="G72" s="28">
        <f>-Inputs!$F$30+PV($E72,Inputs!$F$15,-(Inputs!$F$18*G$70/1000-Inputs!$F$21))</f>
        <v/>
      </c>
      <c r="H72" s="28">
        <f>-Inputs!$F$30+PV($E72,Inputs!$F$15,-(Inputs!$F$18*H$70/1000-Inputs!$F$21))</f>
        <v/>
      </c>
    </row>
    <row r="73">
      <c r="E73" s="29">
        <f>E67</f>
        <v/>
      </c>
      <c r="F73" s="28">
        <f>-Inputs!$F$30+PV($E73,Inputs!$F$15,-(Inputs!$F$18*F$70/1000-Inputs!$F$21))</f>
        <v/>
      </c>
      <c r="G73" s="28">
        <f>-Inputs!$F$30+PV($E73,Inputs!$F$15,-(Inputs!$F$18*G$70/1000-Inputs!$F$21))</f>
        <v/>
      </c>
      <c r="H73" s="28">
        <f>-Inputs!$F$30+PV($E73,Inputs!$F$15,-(Inputs!$F$18*H$70/1000-Inputs!$F$21))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0" customWidth="1" min="4" max="4"/>
    <col width="12" customWidth="1" min="5" max="5"/>
    <col width="14" customWidth="1" min="6" max="6"/>
    <col width="12" customWidth="1" min="7" max="7"/>
    <col width="4" customWidth="1" min="8" max="8"/>
    <col width="4" customWidth="1" min="9" max="9"/>
  </cols>
  <sheetData>
    <row r="1">
      <c r="A1" s="1" t="inlineStr">
        <is>
          <t>Quebracho Alto (fictional; Illustrative): Chapter 13 practice files</t>
        </is>
      </c>
    </row>
    <row r="2">
      <c r="A2" t="inlineStr">
        <is>
          <t>Checks: each check 0 when passing; master check (Example 13.9)</t>
        </is>
      </c>
    </row>
    <row r="3">
      <c r="A3" t="inlineStr">
        <is>
          <t>Column D label, E unit, F value or scalar, G row total; first period in column J. Inputs: blue on yellow. Links: green. Checks: 0 when passing.</t>
        </is>
      </c>
    </row>
    <row r="7">
      <c r="D7" t="inlineStr">
        <is>
          <t>Sources less uses (Example 13.9)</t>
        </is>
      </c>
      <c r="E7" t="inlineStr">
        <is>
          <t>check</t>
        </is>
      </c>
      <c r="F7" s="15">
        <f>--(ABS(Calc!F60-Calc!F61)&gt;Inputs!$F$6)</f>
        <v/>
      </c>
    </row>
    <row r="8">
      <c r="D8" t="inlineStr">
        <is>
          <t>Construction flags sum to the construction months</t>
        </is>
      </c>
      <c r="E8" t="inlineStr">
        <is>
          <t>check</t>
        </is>
      </c>
      <c r="F8" s="15">
        <f>--(Time!G12&lt;&gt;Inputs!$F$13)</f>
        <v/>
      </c>
    </row>
    <row r="9">
      <c r="D9" t="inlineStr">
        <is>
          <t>Operations fraction between 0 and 1 in every period</t>
        </is>
      </c>
      <c r="E9" t="inlineStr">
        <is>
          <t>check</t>
        </is>
      </c>
      <c r="F9" s="15">
        <f>--OR(MIN(Time!J24:AX24)&lt;0,MAX(Time!J24:AX24)&gt;1)</f>
        <v/>
      </c>
    </row>
    <row r="10">
      <c r="D10" t="inlineStr">
        <is>
          <t>Revenue positive in every operating period (catches the Example 13.5 OFFSET failure)</t>
        </is>
      </c>
      <c r="E10" t="inlineStr">
        <is>
          <t>check</t>
        </is>
      </c>
      <c r="F10" s="15">
        <f>--(MIN(Calc!J27:AC27)&lt;=0)</f>
        <v/>
      </c>
    </row>
    <row r="11">
      <c r="D11" t="inlineStr">
        <is>
          <t>Goal-seek tariff still gives NPV = 0 (Example 13.7)</t>
        </is>
      </c>
      <c r="E11" t="inlineStr">
        <is>
          <t>check</t>
        </is>
      </c>
      <c r="F11" s="15">
        <f>--(ABS(Calc!F50)&gt;Inputs!$F$6)</f>
        <v/>
      </c>
    </row>
    <row r="12">
      <c r="D12" t="inlineStr">
        <is>
          <t>Closed-form debt solves D = g(C + r_c D)</t>
        </is>
      </c>
      <c r="E12" t="inlineStr">
        <is>
          <t>check</t>
        </is>
      </c>
      <c r="F12" s="15">
        <f>--(ABS(Calc!F40-Inputs!$F$28*(Inputs!$F$30+Inputs!$F$29*Calc!F40))&gt;Inputs!$F$6)</f>
        <v/>
      </c>
    </row>
    <row r="13">
      <c r="D13" t="inlineStr">
        <is>
          <t>Iteration D5 within tolerance of the closed form</t>
        </is>
      </c>
      <c r="E13" t="inlineStr">
        <is>
          <t>check</t>
        </is>
      </c>
      <c r="F13" s="15">
        <f>--(ABS(Calc!F49-Calc!F40)&gt;Inputs!$F$6)</f>
        <v/>
      </c>
    </row>
    <row r="14">
      <c r="D14" t="inlineStr">
        <is>
          <t>Delay LDs never exceed the cap</t>
        </is>
      </c>
      <c r="E14" t="inlineStr">
        <is>
          <t>check</t>
        </is>
      </c>
      <c r="F14" s="15">
        <f>--(Calc!G22&gt;Calc!F21)</f>
        <v/>
      </c>
    </row>
    <row r="15">
      <c r="D15" t="inlineStr">
        <is>
          <t>NPV row equals the annuity form</t>
        </is>
      </c>
      <c r="E15" t="inlineStr">
        <is>
          <t>check</t>
        </is>
      </c>
      <c r="F15" s="15">
        <f>--(ABS(Calc!F37-Calc!F38)&gt;Inputs!$F$6)</f>
        <v/>
      </c>
    </row>
    <row r="16">
      <c r="D16" t="inlineStr">
        <is>
          <t>Data table equals the closed-form grid (Excel computes the table on open; blank table = not yet computed)</t>
        </is>
      </c>
      <c r="E16" t="inlineStr">
        <is>
          <t>check</t>
        </is>
      </c>
      <c r="F16" s="15">
        <f>IF(COUNT(Calc!F65:H67)=0,0,--(MAX(ABS(Calc!F65-Calc!F71),ABS(Calc!G65-Calc!G71),ABS(Calc!H65-Calc!H71),ABS(Calc!F66-Calc!F72),ABS(Calc!G66-Calc!G72),ABS(Calc!H66-Calc!H72),ABS(Calc!F67-Calc!F73),ABS(Calc!G67-Calc!G73),ABS(Calc!H67-Calc!H73))&gt;Inputs!$F$6))</f>
        <v/>
      </c>
    </row>
    <row r="18">
      <c r="D18" s="2" t="inlineStr">
        <is>
          <t>Master check (sum of the checks above; 0 = all pass)</t>
        </is>
      </c>
      <c r="E18" t="inlineStr">
        <is>
          <t>check</t>
        </is>
      </c>
      <c r="F18" s="15">
        <f>SUM(F7:F16)</f>
        <v/>
      </c>
    </row>
    <row r="20">
      <c r="D20" t="inlineStr">
        <is>
          <t>Stress test (Section 13.10 step 5): insert a column on Inputs and a row on Calc, change Scenario, and confirm F18 stays 0; then replace Calc row 26 with =OFFSET(Inputs!$E$10,0,J$4) and insert a column at Inputs F: F10 fires (1).</t>
        </is>
      </c>
    </row>
  </sheetData>
  <conditionalFormatting sqref="F7:F18">
    <cfRule type="cellIs" priority="1" operator="notEqual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2026-10-03T23:08:03Z</dcterms:created>
  <dcterms:modified xsi:type="dcterms:W3CDTF">2026-10-03T23:08:03Z</dcterms:modified>
</cp:coreProperties>
</file>