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" sheetId="2" state="visible" r:id="rId2"/>
    <sheet name="Che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00"/>
    <numFmt numFmtId="167" formatCode="#,##0.000"/>
  </numFmts>
  <fonts count="4">
    <font>
      <name val="Calibri"/>
      <family val="2"/>
      <color theme="1"/>
      <sz val="11"/>
      <scheme val="minor"/>
    </font>
    <font>
      <b val="1"/>
      <sz val="13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4" fontId="2" fillId="2" borderId="0" pivotButton="0" quotePrefix="0" xfId="0"/>
    <xf numFmtId="3" fontId="2" fillId="2" borderId="0" pivotButton="0" quotePrefix="0" xfId="0"/>
    <xf numFmtId="165" fontId="2" fillId="2" borderId="0" pivotButton="0" quotePrefix="0" xfId="0"/>
    <xf numFmtId="2" fontId="2" fillId="2" borderId="0" pivotButton="0" quotePrefix="0" xfId="0"/>
    <xf numFmtId="9" fontId="2" fillId="2" borderId="0" pivotButton="0" quotePrefix="0" xfId="0"/>
    <xf numFmtId="10" fontId="2" fillId="2" borderId="0" pivotButton="0" quotePrefix="0" xfId="0"/>
    <xf numFmtId="1" fontId="2" fillId="2" borderId="0" pivotButton="0" quotePrefix="0" xfId="0"/>
    <xf numFmtId="166" fontId="2" fillId="2" borderId="0" pivotButton="0" quotePrefix="0" xfId="0"/>
    <xf numFmtId="0" fontId="3" fillId="3" borderId="0" pivotButton="0" quotePrefix="0" xfId="0"/>
    <xf numFmtId="1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0" customWidth="1" min="4" max="4"/>
    <col width="12" customWidth="1" min="5" max="5"/>
    <col width="14" customWidth="1" min="6" max="6"/>
    <col width="12" customWidth="1" min="7" max="7"/>
    <col width="4" customWidth="1" min="8" max="8"/>
    <col width="4" customWidth="1" min="9" max="9"/>
  </cols>
  <sheetData>
    <row r="1">
      <c r="A1" s="1" t="inlineStr">
        <is>
          <t>Llano Pardo Solar (fictional; Illustrative): Chapter 13 practice files</t>
        </is>
      </c>
    </row>
    <row r="2">
      <c r="A2" t="inlineStr">
        <is>
          <t>Inputs: Chapter 1 Exhibits 1.4 and 1.6 (u01 Section 1.A.3 to 1.A.6); USD thousand</t>
        </is>
      </c>
    </row>
    <row r="3">
      <c r="A3" t="inlineStr">
        <is>
          <t>Column D label, E unit, F value or scalar, G row total; first period in column J. Inputs: blue on yellow. Links: green. Checks: 0 when passing.</t>
        </is>
      </c>
    </row>
    <row r="6">
      <c r="D6" t="inlineStr">
        <is>
          <t>Check tolerance</t>
        </is>
      </c>
      <c r="E6" t="inlineStr">
        <is>
          <t>USD k</t>
        </is>
      </c>
      <c r="F6" s="2" t="n">
        <v>0.5</v>
      </c>
    </row>
    <row r="7">
      <c r="D7" t="inlineStr">
        <is>
          <t>P50 energy, 2018 (operating year 1)</t>
        </is>
      </c>
      <c r="E7" t="inlineStr">
        <is>
          <t>MWh</t>
        </is>
      </c>
      <c r="F7" s="3" t="n">
        <v>134724</v>
      </c>
    </row>
    <row r="8">
      <c r="D8" t="inlineStr">
        <is>
          <t>Degradation (compounding)</t>
        </is>
      </c>
      <c r="E8" t="inlineStr">
        <is>
          <t>% pa</t>
        </is>
      </c>
      <c r="F8" s="4" t="n">
        <v>0.005</v>
      </c>
    </row>
    <row r="9">
      <c r="D9" t="inlineStr">
        <is>
          <t>PPA tariff (flat nominal)</t>
        </is>
      </c>
      <c r="E9" t="inlineStr">
        <is>
          <t>USD/MWh</t>
        </is>
      </c>
      <c r="F9" s="5" t="n">
        <v>58.2</v>
      </c>
    </row>
    <row r="10">
      <c r="D10" t="inlineStr">
        <is>
          <t>Operating costs, 2018</t>
        </is>
      </c>
      <c r="E10" t="inlineStr">
        <is>
          <t>USD k</t>
        </is>
      </c>
      <c r="F10" s="3" t="n">
        <v>1085</v>
      </c>
    </row>
    <row r="11">
      <c r="D11" t="inlineStr">
        <is>
          <t>Operating cost escalation</t>
        </is>
      </c>
      <c r="E11" t="inlineStr">
        <is>
          <t>% pa</t>
        </is>
      </c>
      <c r="F11" s="4" t="n">
        <v>0.02</v>
      </c>
    </row>
    <row r="12">
      <c r="D12" t="inlineStr">
        <is>
          <t>Tax depreciation (62,721 / 20)</t>
        </is>
      </c>
      <c r="E12" t="inlineStr">
        <is>
          <t>USD k pa</t>
        </is>
      </c>
      <c r="F12" s="3" t="n">
        <v>3136</v>
      </c>
    </row>
    <row r="13">
      <c r="D13" t="inlineStr">
        <is>
          <t>Corporate income tax</t>
        </is>
      </c>
      <c r="E13" t="inlineStr">
        <is>
          <t>%</t>
        </is>
      </c>
      <c r="F13" s="6" t="n">
        <v>0.25</v>
      </c>
    </row>
    <row r="14">
      <c r="D14" t="inlineStr">
        <is>
          <t>Senior debt at COD</t>
        </is>
      </c>
      <c r="E14" t="inlineStr">
        <is>
          <t>USD k</t>
        </is>
      </c>
      <c r="F14" s="3" t="n">
        <v>48809</v>
      </c>
    </row>
    <row r="15">
      <c r="D15" t="inlineStr">
        <is>
          <t>Interest rate (fixed all-in, on the opening balance)</t>
        </is>
      </c>
      <c r="E15" t="inlineStr">
        <is>
          <t>% pa</t>
        </is>
      </c>
      <c r="F15" s="7" t="n">
        <v>0.054</v>
      </c>
    </row>
    <row r="16">
      <c r="D16" t="inlineStr">
        <is>
          <t>First operating year</t>
        </is>
      </c>
      <c r="E16" t="inlineStr">
        <is>
          <t>year</t>
        </is>
      </c>
      <c r="F16" s="8" t="n">
        <v>2018</v>
      </c>
    </row>
    <row r="17">
      <c r="D17" t="inlineStr">
        <is>
          <t>Last repayment year</t>
        </is>
      </c>
      <c r="E17" t="inlineStr">
        <is>
          <t>year</t>
        </is>
      </c>
      <c r="F17" s="8" t="n">
        <v>2035</v>
      </c>
    </row>
    <row r="18">
      <c r="D18" t="inlineStr">
        <is>
          <t>k: CFADS / debt service, pasted from Goal Seek (closing debt 2035 = 0 by changing k)</t>
        </is>
      </c>
      <c r="E18" t="inlineStr">
        <is>
          <t>x</t>
        </is>
      </c>
      <c r="F18" s="9" t="n">
        <v>1.380739720076423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0" customWidth="1" min="4" max="4"/>
    <col width="12" customWidth="1" min="5" max="5"/>
    <col width="14" customWidth="1" min="6" max="6"/>
    <col width="12" customWidth="1" min="7" max="7"/>
    <col width="4" customWidth="1" min="8" max="8"/>
    <col width="4" customWidth="1" min="9" max="9"/>
  </cols>
  <sheetData>
    <row r="1">
      <c r="A1" s="1" t="inlineStr">
        <is>
          <t>Llano Pardo Solar (fictional; Illustrative): Chapter 13 practice files</t>
        </is>
      </c>
    </row>
    <row r="2">
      <c r="A2" t="inlineStr">
        <is>
          <t>Calc: annual projection 2018 to 2037 (columns J to AC); sculpted debt service = CFADS / k</t>
        </is>
      </c>
    </row>
    <row r="3">
      <c r="A3" t="inlineStr">
        <is>
          <t>Column D label, E unit, F value or scalar, G row total; first period in column J. Inputs: blue on yellow. Links: green. Checks: 0 when passing.</t>
        </is>
      </c>
    </row>
    <row r="5">
      <c r="J5" s="10" t="n">
        <v>2018</v>
      </c>
      <c r="K5" s="10" t="n">
        <v>2019</v>
      </c>
      <c r="L5" s="10" t="n">
        <v>2020</v>
      </c>
      <c r="M5" s="10" t="n">
        <v>2021</v>
      </c>
      <c r="N5" s="10" t="n">
        <v>2022</v>
      </c>
      <c r="O5" s="10" t="n">
        <v>2023</v>
      </c>
      <c r="P5" s="10" t="n">
        <v>2024</v>
      </c>
      <c r="Q5" s="10" t="n">
        <v>2025</v>
      </c>
      <c r="R5" s="10" t="n">
        <v>2026</v>
      </c>
      <c r="S5" s="10" t="n">
        <v>2027</v>
      </c>
      <c r="T5" s="10" t="n">
        <v>2028</v>
      </c>
      <c r="U5" s="10" t="n">
        <v>2029</v>
      </c>
      <c r="V5" s="10" t="n">
        <v>2030</v>
      </c>
      <c r="W5" s="10" t="n">
        <v>2031</v>
      </c>
      <c r="X5" s="10" t="n">
        <v>2032</v>
      </c>
      <c r="Y5" s="10" t="n">
        <v>2033</v>
      </c>
      <c r="Z5" s="10" t="n">
        <v>2034</v>
      </c>
      <c r="AA5" s="10" t="n">
        <v>2035</v>
      </c>
      <c r="AB5" s="10" t="n">
        <v>2036</v>
      </c>
      <c r="AC5" s="10" t="n">
        <v>2037</v>
      </c>
    </row>
    <row r="6">
      <c r="D6" t="inlineStr">
        <is>
          <t>Year counter</t>
        </is>
      </c>
      <c r="E6" t="inlineStr">
        <is>
          <t>index</t>
        </is>
      </c>
      <c r="J6" s="11">
        <f>I6+1</f>
        <v/>
      </c>
      <c r="K6" s="11">
        <f>J6+1</f>
        <v/>
      </c>
      <c r="L6" s="11">
        <f>K6+1</f>
        <v/>
      </c>
      <c r="M6" s="11">
        <f>L6+1</f>
        <v/>
      </c>
      <c r="N6" s="11">
        <f>M6+1</f>
        <v/>
      </c>
      <c r="O6" s="11">
        <f>N6+1</f>
        <v/>
      </c>
      <c r="P6" s="11">
        <f>O6+1</f>
        <v/>
      </c>
      <c r="Q6" s="11">
        <f>P6+1</f>
        <v/>
      </c>
      <c r="R6" s="11">
        <f>Q6+1</f>
        <v/>
      </c>
      <c r="S6" s="11">
        <f>R6+1</f>
        <v/>
      </c>
      <c r="T6" s="11">
        <f>S6+1</f>
        <v/>
      </c>
      <c r="U6" s="11">
        <f>T6+1</f>
        <v/>
      </c>
      <c r="V6" s="11">
        <f>U6+1</f>
        <v/>
      </c>
      <c r="W6" s="11">
        <f>V6+1</f>
        <v/>
      </c>
      <c r="X6" s="11">
        <f>W6+1</f>
        <v/>
      </c>
      <c r="Y6" s="11">
        <f>X6+1</f>
        <v/>
      </c>
      <c r="Z6" s="11">
        <f>Y6+1</f>
        <v/>
      </c>
      <c r="AA6" s="11">
        <f>Z6+1</f>
        <v/>
      </c>
      <c r="AB6" s="11">
        <f>AA6+1</f>
        <v/>
      </c>
      <c r="AC6" s="11">
        <f>AB6+1</f>
        <v/>
      </c>
    </row>
    <row r="7">
      <c r="D7" t="inlineStr">
        <is>
          <t>Year</t>
        </is>
      </c>
      <c r="E7" t="inlineStr">
        <is>
          <t>year</t>
        </is>
      </c>
      <c r="J7" s="11">
        <f>Inputs!$F$16+J6-1</f>
        <v/>
      </c>
      <c r="K7" s="11">
        <f>Inputs!$F$16+K6-1</f>
        <v/>
      </c>
      <c r="L7" s="11">
        <f>Inputs!$F$16+L6-1</f>
        <v/>
      </c>
      <c r="M7" s="11">
        <f>Inputs!$F$16+M6-1</f>
        <v/>
      </c>
      <c r="N7" s="11">
        <f>Inputs!$F$16+N6-1</f>
        <v/>
      </c>
      <c r="O7" s="11">
        <f>Inputs!$F$16+O6-1</f>
        <v/>
      </c>
      <c r="P7" s="11">
        <f>Inputs!$F$16+P6-1</f>
        <v/>
      </c>
      <c r="Q7" s="11">
        <f>Inputs!$F$16+Q6-1</f>
        <v/>
      </c>
      <c r="R7" s="11">
        <f>Inputs!$F$16+R6-1</f>
        <v/>
      </c>
      <c r="S7" s="11">
        <f>Inputs!$F$16+S6-1</f>
        <v/>
      </c>
      <c r="T7" s="11">
        <f>Inputs!$F$16+T6-1</f>
        <v/>
      </c>
      <c r="U7" s="11">
        <f>Inputs!$F$16+U6-1</f>
        <v/>
      </c>
      <c r="V7" s="11">
        <f>Inputs!$F$16+V6-1</f>
        <v/>
      </c>
      <c r="W7" s="11">
        <f>Inputs!$F$16+W6-1</f>
        <v/>
      </c>
      <c r="X7" s="11">
        <f>Inputs!$F$16+X6-1</f>
        <v/>
      </c>
      <c r="Y7" s="11">
        <f>Inputs!$F$16+Y6-1</f>
        <v/>
      </c>
      <c r="Z7" s="11">
        <f>Inputs!$F$16+Z6-1</f>
        <v/>
      </c>
      <c r="AA7" s="11">
        <f>Inputs!$F$16+AA6-1</f>
        <v/>
      </c>
      <c r="AB7" s="11">
        <f>Inputs!$F$16+AB6-1</f>
        <v/>
      </c>
      <c r="AC7" s="11">
        <f>Inputs!$F$16+AC6-1</f>
        <v/>
      </c>
    </row>
    <row r="8">
      <c r="D8" t="inlineStr">
        <is>
          <t>Operating year</t>
        </is>
      </c>
      <c r="E8" t="inlineStr">
        <is>
          <t>OY</t>
        </is>
      </c>
      <c r="J8" s="11">
        <f>J7-Inputs!$F$16+1</f>
        <v/>
      </c>
      <c r="K8" s="11">
        <f>K7-Inputs!$F$16+1</f>
        <v/>
      </c>
      <c r="L8" s="11">
        <f>L7-Inputs!$F$16+1</f>
        <v/>
      </c>
      <c r="M8" s="11">
        <f>M7-Inputs!$F$16+1</f>
        <v/>
      </c>
      <c r="N8" s="11">
        <f>N7-Inputs!$F$16+1</f>
        <v/>
      </c>
      <c r="O8" s="11">
        <f>O7-Inputs!$F$16+1</f>
        <v/>
      </c>
      <c r="P8" s="11">
        <f>P7-Inputs!$F$16+1</f>
        <v/>
      </c>
      <c r="Q8" s="11">
        <f>Q7-Inputs!$F$16+1</f>
        <v/>
      </c>
      <c r="R8" s="11">
        <f>R7-Inputs!$F$16+1</f>
        <v/>
      </c>
      <c r="S8" s="11">
        <f>S7-Inputs!$F$16+1</f>
        <v/>
      </c>
      <c r="T8" s="11">
        <f>T7-Inputs!$F$16+1</f>
        <v/>
      </c>
      <c r="U8" s="11">
        <f>U7-Inputs!$F$16+1</f>
        <v/>
      </c>
      <c r="V8" s="11">
        <f>V7-Inputs!$F$16+1</f>
        <v/>
      </c>
      <c r="W8" s="11">
        <f>W7-Inputs!$F$16+1</f>
        <v/>
      </c>
      <c r="X8" s="11">
        <f>X7-Inputs!$F$16+1</f>
        <v/>
      </c>
      <c r="Y8" s="11">
        <f>Y7-Inputs!$F$16+1</f>
        <v/>
      </c>
      <c r="Z8" s="11">
        <f>Z7-Inputs!$F$16+1</f>
        <v/>
      </c>
      <c r="AA8" s="11">
        <f>AA7-Inputs!$F$16+1</f>
        <v/>
      </c>
      <c r="AB8" s="11">
        <f>AB7-Inputs!$F$16+1</f>
        <v/>
      </c>
      <c r="AC8" s="11">
        <f>AC7-Inputs!$F$16+1</f>
        <v/>
      </c>
    </row>
    <row r="9">
      <c r="D9" t="inlineStr">
        <is>
          <t>Flag_Repayment (2018 to 2035)</t>
        </is>
      </c>
      <c r="E9" t="inlineStr">
        <is>
          <t>flag</t>
        </is>
      </c>
      <c r="J9" s="11">
        <f>IF(J7&lt;=Inputs!$F$17,1,0)</f>
        <v/>
      </c>
      <c r="K9" s="11">
        <f>IF(K7&lt;=Inputs!$F$17,1,0)</f>
        <v/>
      </c>
      <c r="L9" s="11">
        <f>IF(L7&lt;=Inputs!$F$17,1,0)</f>
        <v/>
      </c>
      <c r="M9" s="11">
        <f>IF(M7&lt;=Inputs!$F$17,1,0)</f>
        <v/>
      </c>
      <c r="N9" s="11">
        <f>IF(N7&lt;=Inputs!$F$17,1,0)</f>
        <v/>
      </c>
      <c r="O9" s="11">
        <f>IF(O7&lt;=Inputs!$F$17,1,0)</f>
        <v/>
      </c>
      <c r="P9" s="11">
        <f>IF(P7&lt;=Inputs!$F$17,1,0)</f>
        <v/>
      </c>
      <c r="Q9" s="11">
        <f>IF(Q7&lt;=Inputs!$F$17,1,0)</f>
        <v/>
      </c>
      <c r="R9" s="11">
        <f>IF(R7&lt;=Inputs!$F$17,1,0)</f>
        <v/>
      </c>
      <c r="S9" s="11">
        <f>IF(S7&lt;=Inputs!$F$17,1,0)</f>
        <v/>
      </c>
      <c r="T9" s="11">
        <f>IF(T7&lt;=Inputs!$F$17,1,0)</f>
        <v/>
      </c>
      <c r="U9" s="11">
        <f>IF(U7&lt;=Inputs!$F$17,1,0)</f>
        <v/>
      </c>
      <c r="V9" s="11">
        <f>IF(V7&lt;=Inputs!$F$17,1,0)</f>
        <v/>
      </c>
      <c r="W9" s="11">
        <f>IF(W7&lt;=Inputs!$F$17,1,0)</f>
        <v/>
      </c>
      <c r="X9" s="11">
        <f>IF(X7&lt;=Inputs!$F$17,1,0)</f>
        <v/>
      </c>
      <c r="Y9" s="11">
        <f>IF(Y7&lt;=Inputs!$F$17,1,0)</f>
        <v/>
      </c>
      <c r="Z9" s="11">
        <f>IF(Z7&lt;=Inputs!$F$17,1,0)</f>
        <v/>
      </c>
      <c r="AA9" s="11">
        <f>IF(AA7&lt;=Inputs!$F$17,1,0)</f>
        <v/>
      </c>
      <c r="AB9" s="11">
        <f>IF(AB7&lt;=Inputs!$F$17,1,0)</f>
        <v/>
      </c>
      <c r="AC9" s="11">
        <f>IF(AC7&lt;=Inputs!$F$17,1,0)</f>
        <v/>
      </c>
    </row>
    <row r="10">
      <c r="D10" t="inlineStr">
        <is>
          <t>Energy</t>
        </is>
      </c>
      <c r="E10" t="inlineStr">
        <is>
          <t>MWh</t>
        </is>
      </c>
      <c r="G10" s="12">
        <f>SUM(J10:AC10)</f>
        <v/>
      </c>
      <c r="J10" s="12">
        <f>Inputs!$F$7*(1-Inputs!$F$8)^(J8-1)</f>
        <v/>
      </c>
      <c r="K10" s="12">
        <f>Inputs!$F$7*(1-Inputs!$F$8)^(K8-1)</f>
        <v/>
      </c>
      <c r="L10" s="12">
        <f>Inputs!$F$7*(1-Inputs!$F$8)^(L8-1)</f>
        <v/>
      </c>
      <c r="M10" s="12">
        <f>Inputs!$F$7*(1-Inputs!$F$8)^(M8-1)</f>
        <v/>
      </c>
      <c r="N10" s="12">
        <f>Inputs!$F$7*(1-Inputs!$F$8)^(N8-1)</f>
        <v/>
      </c>
      <c r="O10" s="12">
        <f>Inputs!$F$7*(1-Inputs!$F$8)^(O8-1)</f>
        <v/>
      </c>
      <c r="P10" s="12">
        <f>Inputs!$F$7*(1-Inputs!$F$8)^(P8-1)</f>
        <v/>
      </c>
      <c r="Q10" s="12">
        <f>Inputs!$F$7*(1-Inputs!$F$8)^(Q8-1)</f>
        <v/>
      </c>
      <c r="R10" s="12">
        <f>Inputs!$F$7*(1-Inputs!$F$8)^(R8-1)</f>
        <v/>
      </c>
      <c r="S10" s="12">
        <f>Inputs!$F$7*(1-Inputs!$F$8)^(S8-1)</f>
        <v/>
      </c>
      <c r="T10" s="12">
        <f>Inputs!$F$7*(1-Inputs!$F$8)^(T8-1)</f>
        <v/>
      </c>
      <c r="U10" s="12">
        <f>Inputs!$F$7*(1-Inputs!$F$8)^(U8-1)</f>
        <v/>
      </c>
      <c r="V10" s="12">
        <f>Inputs!$F$7*(1-Inputs!$F$8)^(V8-1)</f>
        <v/>
      </c>
      <c r="W10" s="12">
        <f>Inputs!$F$7*(1-Inputs!$F$8)^(W8-1)</f>
        <v/>
      </c>
      <c r="X10" s="12">
        <f>Inputs!$F$7*(1-Inputs!$F$8)^(X8-1)</f>
        <v/>
      </c>
      <c r="Y10" s="12">
        <f>Inputs!$F$7*(1-Inputs!$F$8)^(Y8-1)</f>
        <v/>
      </c>
      <c r="Z10" s="12">
        <f>Inputs!$F$7*(1-Inputs!$F$8)^(Z8-1)</f>
        <v/>
      </c>
      <c r="AA10" s="12">
        <f>Inputs!$F$7*(1-Inputs!$F$8)^(AA8-1)</f>
        <v/>
      </c>
      <c r="AB10" s="12">
        <f>Inputs!$F$7*(1-Inputs!$F$8)^(AB8-1)</f>
        <v/>
      </c>
      <c r="AC10" s="12">
        <f>Inputs!$F$7*(1-Inputs!$F$8)^(AC8-1)</f>
        <v/>
      </c>
    </row>
    <row r="11">
      <c r="D11" t="inlineStr">
        <is>
          <t>Revenue</t>
        </is>
      </c>
      <c r="E11" t="inlineStr">
        <is>
          <t>USD k</t>
        </is>
      </c>
      <c r="G11" s="12">
        <f>SUM(J11:AC11)</f>
        <v/>
      </c>
      <c r="J11" s="12">
        <f>J10*Inputs!$F$9/1000</f>
        <v/>
      </c>
      <c r="K11" s="12">
        <f>K10*Inputs!$F$9/1000</f>
        <v/>
      </c>
      <c r="L11" s="12">
        <f>L10*Inputs!$F$9/1000</f>
        <v/>
      </c>
      <c r="M11" s="12">
        <f>M10*Inputs!$F$9/1000</f>
        <v/>
      </c>
      <c r="N11" s="12">
        <f>N10*Inputs!$F$9/1000</f>
        <v/>
      </c>
      <c r="O11" s="12">
        <f>O10*Inputs!$F$9/1000</f>
        <v/>
      </c>
      <c r="P11" s="12">
        <f>P10*Inputs!$F$9/1000</f>
        <v/>
      </c>
      <c r="Q11" s="12">
        <f>Q10*Inputs!$F$9/1000</f>
        <v/>
      </c>
      <c r="R11" s="12">
        <f>R10*Inputs!$F$9/1000</f>
        <v/>
      </c>
      <c r="S11" s="12">
        <f>S10*Inputs!$F$9/1000</f>
        <v/>
      </c>
      <c r="T11" s="12">
        <f>T10*Inputs!$F$9/1000</f>
        <v/>
      </c>
      <c r="U11" s="12">
        <f>U10*Inputs!$F$9/1000</f>
        <v/>
      </c>
      <c r="V11" s="12">
        <f>V10*Inputs!$F$9/1000</f>
        <v/>
      </c>
      <c r="W11" s="12">
        <f>W10*Inputs!$F$9/1000</f>
        <v/>
      </c>
      <c r="X11" s="12">
        <f>X10*Inputs!$F$9/1000</f>
        <v/>
      </c>
      <c r="Y11" s="12">
        <f>Y10*Inputs!$F$9/1000</f>
        <v/>
      </c>
      <c r="Z11" s="12">
        <f>Z10*Inputs!$F$9/1000</f>
        <v/>
      </c>
      <c r="AA11" s="12">
        <f>AA10*Inputs!$F$9/1000</f>
        <v/>
      </c>
      <c r="AB11" s="12">
        <f>AB10*Inputs!$F$9/1000</f>
        <v/>
      </c>
      <c r="AC11" s="12">
        <f>AC10*Inputs!$F$9/1000</f>
        <v/>
      </c>
    </row>
    <row r="12">
      <c r="D12" t="inlineStr">
        <is>
          <t>Operating costs</t>
        </is>
      </c>
      <c r="E12" t="inlineStr">
        <is>
          <t>USD k</t>
        </is>
      </c>
      <c r="G12" s="12">
        <f>SUM(J12:AC12)</f>
        <v/>
      </c>
      <c r="J12" s="12">
        <f>Inputs!$F$10*(1+Inputs!$F$11)^(J8-1)</f>
        <v/>
      </c>
      <c r="K12" s="12">
        <f>Inputs!$F$10*(1+Inputs!$F$11)^(K8-1)</f>
        <v/>
      </c>
      <c r="L12" s="12">
        <f>Inputs!$F$10*(1+Inputs!$F$11)^(L8-1)</f>
        <v/>
      </c>
      <c r="M12" s="12">
        <f>Inputs!$F$10*(1+Inputs!$F$11)^(M8-1)</f>
        <v/>
      </c>
      <c r="N12" s="12">
        <f>Inputs!$F$10*(1+Inputs!$F$11)^(N8-1)</f>
        <v/>
      </c>
      <c r="O12" s="12">
        <f>Inputs!$F$10*(1+Inputs!$F$11)^(O8-1)</f>
        <v/>
      </c>
      <c r="P12" s="12">
        <f>Inputs!$F$10*(1+Inputs!$F$11)^(P8-1)</f>
        <v/>
      </c>
      <c r="Q12" s="12">
        <f>Inputs!$F$10*(1+Inputs!$F$11)^(Q8-1)</f>
        <v/>
      </c>
      <c r="R12" s="12">
        <f>Inputs!$F$10*(1+Inputs!$F$11)^(R8-1)</f>
        <v/>
      </c>
      <c r="S12" s="12">
        <f>Inputs!$F$10*(1+Inputs!$F$11)^(S8-1)</f>
        <v/>
      </c>
      <c r="T12" s="12">
        <f>Inputs!$F$10*(1+Inputs!$F$11)^(T8-1)</f>
        <v/>
      </c>
      <c r="U12" s="12">
        <f>Inputs!$F$10*(1+Inputs!$F$11)^(U8-1)</f>
        <v/>
      </c>
      <c r="V12" s="12">
        <f>Inputs!$F$10*(1+Inputs!$F$11)^(V8-1)</f>
        <v/>
      </c>
      <c r="W12" s="12">
        <f>Inputs!$F$10*(1+Inputs!$F$11)^(W8-1)</f>
        <v/>
      </c>
      <c r="X12" s="12">
        <f>Inputs!$F$10*(1+Inputs!$F$11)^(X8-1)</f>
        <v/>
      </c>
      <c r="Y12" s="12">
        <f>Inputs!$F$10*(1+Inputs!$F$11)^(Y8-1)</f>
        <v/>
      </c>
      <c r="Z12" s="12">
        <f>Inputs!$F$10*(1+Inputs!$F$11)^(Z8-1)</f>
        <v/>
      </c>
      <c r="AA12" s="12">
        <f>Inputs!$F$10*(1+Inputs!$F$11)^(AA8-1)</f>
        <v/>
      </c>
      <c r="AB12" s="12">
        <f>Inputs!$F$10*(1+Inputs!$F$11)^(AB8-1)</f>
        <v/>
      </c>
      <c r="AC12" s="12">
        <f>Inputs!$F$10*(1+Inputs!$F$11)^(AC8-1)</f>
        <v/>
      </c>
    </row>
    <row r="13">
      <c r="D13" t="inlineStr">
        <is>
          <t>Debt, opening</t>
        </is>
      </c>
      <c r="E13" t="inlineStr">
        <is>
          <t>USD k</t>
        </is>
      </c>
      <c r="J13" s="12">
        <f>IF(J8=1,Inputs!$F$14,I21)</f>
        <v/>
      </c>
      <c r="K13" s="12">
        <f>IF(K8=1,Inputs!$F$14,J21)</f>
        <v/>
      </c>
      <c r="L13" s="12">
        <f>IF(L8=1,Inputs!$F$14,K21)</f>
        <v/>
      </c>
      <c r="M13" s="12">
        <f>IF(M8=1,Inputs!$F$14,L21)</f>
        <v/>
      </c>
      <c r="N13" s="12">
        <f>IF(N8=1,Inputs!$F$14,M21)</f>
        <v/>
      </c>
      <c r="O13" s="12">
        <f>IF(O8=1,Inputs!$F$14,N21)</f>
        <v/>
      </c>
      <c r="P13" s="12">
        <f>IF(P8=1,Inputs!$F$14,O21)</f>
        <v/>
      </c>
      <c r="Q13" s="12">
        <f>IF(Q8=1,Inputs!$F$14,P21)</f>
        <v/>
      </c>
      <c r="R13" s="12">
        <f>IF(R8=1,Inputs!$F$14,Q21)</f>
        <v/>
      </c>
      <c r="S13" s="12">
        <f>IF(S8=1,Inputs!$F$14,R21)</f>
        <v/>
      </c>
      <c r="T13" s="12">
        <f>IF(T8=1,Inputs!$F$14,S21)</f>
        <v/>
      </c>
      <c r="U13" s="12">
        <f>IF(U8=1,Inputs!$F$14,T21)</f>
        <v/>
      </c>
      <c r="V13" s="12">
        <f>IF(V8=1,Inputs!$F$14,U21)</f>
        <v/>
      </c>
      <c r="W13" s="12">
        <f>IF(W8=1,Inputs!$F$14,V21)</f>
        <v/>
      </c>
      <c r="X13" s="12">
        <f>IF(X8=1,Inputs!$F$14,W21)</f>
        <v/>
      </c>
      <c r="Y13" s="12">
        <f>IF(Y8=1,Inputs!$F$14,X21)</f>
        <v/>
      </c>
      <c r="Z13" s="12">
        <f>IF(Z8=1,Inputs!$F$14,Y21)</f>
        <v/>
      </c>
      <c r="AA13" s="12">
        <f>IF(AA8=1,Inputs!$F$14,Z21)</f>
        <v/>
      </c>
      <c r="AB13" s="12">
        <f>IF(AB8=1,Inputs!$F$14,AA21)</f>
        <v/>
      </c>
      <c r="AC13" s="12">
        <f>IF(AC8=1,Inputs!$F$14,AB21)</f>
        <v/>
      </c>
    </row>
    <row r="14">
      <c r="D14" t="inlineStr">
        <is>
          <t>Interest</t>
        </is>
      </c>
      <c r="E14" t="inlineStr">
        <is>
          <t>USD k</t>
        </is>
      </c>
      <c r="G14" s="12">
        <f>SUM(J14:AC14)</f>
        <v/>
      </c>
      <c r="J14" s="12">
        <f>J13*Inputs!$F$15</f>
        <v/>
      </c>
      <c r="K14" s="12">
        <f>K13*Inputs!$F$15</f>
        <v/>
      </c>
      <c r="L14" s="12">
        <f>L13*Inputs!$F$15</f>
        <v/>
      </c>
      <c r="M14" s="12">
        <f>M13*Inputs!$F$15</f>
        <v/>
      </c>
      <c r="N14" s="12">
        <f>N13*Inputs!$F$15</f>
        <v/>
      </c>
      <c r="O14" s="12">
        <f>O13*Inputs!$F$15</f>
        <v/>
      </c>
      <c r="P14" s="12">
        <f>P13*Inputs!$F$15</f>
        <v/>
      </c>
      <c r="Q14" s="12">
        <f>Q13*Inputs!$F$15</f>
        <v/>
      </c>
      <c r="R14" s="12">
        <f>R13*Inputs!$F$15</f>
        <v/>
      </c>
      <c r="S14" s="12">
        <f>S13*Inputs!$F$15</f>
        <v/>
      </c>
      <c r="T14" s="12">
        <f>T13*Inputs!$F$15</f>
        <v/>
      </c>
      <c r="U14" s="12">
        <f>U13*Inputs!$F$15</f>
        <v/>
      </c>
      <c r="V14" s="12">
        <f>V13*Inputs!$F$15</f>
        <v/>
      </c>
      <c r="W14" s="12">
        <f>W13*Inputs!$F$15</f>
        <v/>
      </c>
      <c r="X14" s="12">
        <f>X13*Inputs!$F$15</f>
        <v/>
      </c>
      <c r="Y14" s="12">
        <f>Y13*Inputs!$F$15</f>
        <v/>
      </c>
      <c r="Z14" s="12">
        <f>Z13*Inputs!$F$15</f>
        <v/>
      </c>
      <c r="AA14" s="12">
        <f>AA13*Inputs!$F$15</f>
        <v/>
      </c>
      <c r="AB14" s="12">
        <f>AB13*Inputs!$F$15</f>
        <v/>
      </c>
      <c r="AC14" s="12">
        <f>AC13*Inputs!$F$15</f>
        <v/>
      </c>
    </row>
    <row r="15">
      <c r="D15" t="inlineStr">
        <is>
          <t>Taxable income</t>
        </is>
      </c>
      <c r="E15" t="inlineStr">
        <is>
          <t>USD k</t>
        </is>
      </c>
      <c r="G15" s="12">
        <f>SUM(J15:AC15)</f>
        <v/>
      </c>
      <c r="J15" s="12">
        <f>J11-J12-Inputs!$F$12-J14</f>
        <v/>
      </c>
      <c r="K15" s="12">
        <f>K11-K12-Inputs!$F$12-K14</f>
        <v/>
      </c>
      <c r="L15" s="12">
        <f>L11-L12-Inputs!$F$12-L14</f>
        <v/>
      </c>
      <c r="M15" s="12">
        <f>M11-M12-Inputs!$F$12-M14</f>
        <v/>
      </c>
      <c r="N15" s="12">
        <f>N11-N12-Inputs!$F$12-N14</f>
        <v/>
      </c>
      <c r="O15" s="12">
        <f>O11-O12-Inputs!$F$12-O14</f>
        <v/>
      </c>
      <c r="P15" s="12">
        <f>P11-P12-Inputs!$F$12-P14</f>
        <v/>
      </c>
      <c r="Q15" s="12">
        <f>Q11-Q12-Inputs!$F$12-Q14</f>
        <v/>
      </c>
      <c r="R15" s="12">
        <f>R11-R12-Inputs!$F$12-R14</f>
        <v/>
      </c>
      <c r="S15" s="12">
        <f>S11-S12-Inputs!$F$12-S14</f>
        <v/>
      </c>
      <c r="T15" s="12">
        <f>T11-T12-Inputs!$F$12-T14</f>
        <v/>
      </c>
      <c r="U15" s="12">
        <f>U11-U12-Inputs!$F$12-U14</f>
        <v/>
      </c>
      <c r="V15" s="12">
        <f>V11-V12-Inputs!$F$12-V14</f>
        <v/>
      </c>
      <c r="W15" s="12">
        <f>W11-W12-Inputs!$F$12-W14</f>
        <v/>
      </c>
      <c r="X15" s="12">
        <f>X11-X12-Inputs!$F$12-X14</f>
        <v/>
      </c>
      <c r="Y15" s="12">
        <f>Y11-Y12-Inputs!$F$12-Y14</f>
        <v/>
      </c>
      <c r="Z15" s="12">
        <f>Z11-Z12-Inputs!$F$12-Z14</f>
        <v/>
      </c>
      <c r="AA15" s="12">
        <f>AA11-AA12-Inputs!$F$12-AA14</f>
        <v/>
      </c>
      <c r="AB15" s="12">
        <f>AB11-AB12-Inputs!$F$12-AB14</f>
        <v/>
      </c>
      <c r="AC15" s="12">
        <f>AC11-AC12-Inputs!$F$12-AC14</f>
        <v/>
      </c>
    </row>
    <row r="16">
      <c r="D16" t="inlineStr">
        <is>
          <t>Tax (none negative in the base case; checked)</t>
        </is>
      </c>
      <c r="E16" t="inlineStr">
        <is>
          <t>USD k</t>
        </is>
      </c>
      <c r="G16" s="12">
        <f>SUM(J16:AC16)</f>
        <v/>
      </c>
      <c r="J16" s="12">
        <f>MAX(0,J15)*Inputs!$F$13</f>
        <v/>
      </c>
      <c r="K16" s="12">
        <f>MAX(0,K15)*Inputs!$F$13</f>
        <v/>
      </c>
      <c r="L16" s="12">
        <f>MAX(0,L15)*Inputs!$F$13</f>
        <v/>
      </c>
      <c r="M16" s="12">
        <f>MAX(0,M15)*Inputs!$F$13</f>
        <v/>
      </c>
      <c r="N16" s="12">
        <f>MAX(0,N15)*Inputs!$F$13</f>
        <v/>
      </c>
      <c r="O16" s="12">
        <f>MAX(0,O15)*Inputs!$F$13</f>
        <v/>
      </c>
      <c r="P16" s="12">
        <f>MAX(0,P15)*Inputs!$F$13</f>
        <v/>
      </c>
      <c r="Q16" s="12">
        <f>MAX(0,Q15)*Inputs!$F$13</f>
        <v/>
      </c>
      <c r="R16" s="12">
        <f>MAX(0,R15)*Inputs!$F$13</f>
        <v/>
      </c>
      <c r="S16" s="12">
        <f>MAX(0,S15)*Inputs!$F$13</f>
        <v/>
      </c>
      <c r="T16" s="12">
        <f>MAX(0,T15)*Inputs!$F$13</f>
        <v/>
      </c>
      <c r="U16" s="12">
        <f>MAX(0,U15)*Inputs!$F$13</f>
        <v/>
      </c>
      <c r="V16" s="12">
        <f>MAX(0,V15)*Inputs!$F$13</f>
        <v/>
      </c>
      <c r="W16" s="12">
        <f>MAX(0,W15)*Inputs!$F$13</f>
        <v/>
      </c>
      <c r="X16" s="12">
        <f>MAX(0,X15)*Inputs!$F$13</f>
        <v/>
      </c>
      <c r="Y16" s="12">
        <f>MAX(0,Y15)*Inputs!$F$13</f>
        <v/>
      </c>
      <c r="Z16" s="12">
        <f>MAX(0,Z15)*Inputs!$F$13</f>
        <v/>
      </c>
      <c r="AA16" s="12">
        <f>MAX(0,AA15)*Inputs!$F$13</f>
        <v/>
      </c>
      <c r="AB16" s="12">
        <f>MAX(0,AB15)*Inputs!$F$13</f>
        <v/>
      </c>
      <c r="AC16" s="12">
        <f>MAX(0,AC15)*Inputs!$F$13</f>
        <v/>
      </c>
    </row>
    <row r="17">
      <c r="D17" t="inlineStr">
        <is>
          <t>CFADS</t>
        </is>
      </c>
      <c r="E17" t="inlineStr">
        <is>
          <t>USD k</t>
        </is>
      </c>
      <c r="G17" s="12">
        <f>SUM(J17:AC17)</f>
        <v/>
      </c>
      <c r="J17" s="12">
        <f>J11-J12-J16</f>
        <v/>
      </c>
      <c r="K17" s="12">
        <f>K11-K12-K16</f>
        <v/>
      </c>
      <c r="L17" s="12">
        <f>L11-L12-L16</f>
        <v/>
      </c>
      <c r="M17" s="12">
        <f>M11-M12-M16</f>
        <v/>
      </c>
      <c r="N17" s="12">
        <f>N11-N12-N16</f>
        <v/>
      </c>
      <c r="O17" s="12">
        <f>O11-O12-O16</f>
        <v/>
      </c>
      <c r="P17" s="12">
        <f>P11-P12-P16</f>
        <v/>
      </c>
      <c r="Q17" s="12">
        <f>Q11-Q12-Q16</f>
        <v/>
      </c>
      <c r="R17" s="12">
        <f>R11-R12-R16</f>
        <v/>
      </c>
      <c r="S17" s="12">
        <f>S11-S12-S16</f>
        <v/>
      </c>
      <c r="T17" s="12">
        <f>T11-T12-T16</f>
        <v/>
      </c>
      <c r="U17" s="12">
        <f>U11-U12-U16</f>
        <v/>
      </c>
      <c r="V17" s="12">
        <f>V11-V12-V16</f>
        <v/>
      </c>
      <c r="W17" s="12">
        <f>W11-W12-W16</f>
        <v/>
      </c>
      <c r="X17" s="12">
        <f>X11-X12-X16</f>
        <v/>
      </c>
      <c r="Y17" s="12">
        <f>Y11-Y12-Y16</f>
        <v/>
      </c>
      <c r="Z17" s="12">
        <f>Z11-Z12-Z16</f>
        <v/>
      </c>
      <c r="AA17" s="12">
        <f>AA11-AA12-AA16</f>
        <v/>
      </c>
      <c r="AB17" s="12">
        <f>AB11-AB12-AB16</f>
        <v/>
      </c>
      <c r="AC17" s="12">
        <f>AC11-AC12-AC16</f>
        <v/>
      </c>
    </row>
    <row r="18">
      <c r="D18" t="inlineStr">
        <is>
          <t>Debt service = CFADS / k in repayment years</t>
        </is>
      </c>
      <c r="E18" t="inlineStr">
        <is>
          <t>USD k</t>
        </is>
      </c>
      <c r="G18" s="12">
        <f>SUM(J18:AC18)</f>
        <v/>
      </c>
      <c r="J18" s="12">
        <f>J9*J17/Inputs!$F$18</f>
        <v/>
      </c>
      <c r="K18" s="12">
        <f>K9*K17/Inputs!$F$18</f>
        <v/>
      </c>
      <c r="L18" s="12">
        <f>L9*L17/Inputs!$F$18</f>
        <v/>
      </c>
      <c r="M18" s="12">
        <f>M9*M17/Inputs!$F$18</f>
        <v/>
      </c>
      <c r="N18" s="12">
        <f>N9*N17/Inputs!$F$18</f>
        <v/>
      </c>
      <c r="O18" s="12">
        <f>O9*O17/Inputs!$F$18</f>
        <v/>
      </c>
      <c r="P18" s="12">
        <f>P9*P17/Inputs!$F$18</f>
        <v/>
      </c>
      <c r="Q18" s="12">
        <f>Q9*Q17/Inputs!$F$18</f>
        <v/>
      </c>
      <c r="R18" s="12">
        <f>R9*R17/Inputs!$F$18</f>
        <v/>
      </c>
      <c r="S18" s="12">
        <f>S9*S17/Inputs!$F$18</f>
        <v/>
      </c>
      <c r="T18" s="12">
        <f>T9*T17/Inputs!$F$18</f>
        <v/>
      </c>
      <c r="U18" s="12">
        <f>U9*U17/Inputs!$F$18</f>
        <v/>
      </c>
      <c r="V18" s="12">
        <f>V9*V17/Inputs!$F$18</f>
        <v/>
      </c>
      <c r="W18" s="12">
        <f>W9*W17/Inputs!$F$18</f>
        <v/>
      </c>
      <c r="X18" s="12">
        <f>X9*X17/Inputs!$F$18</f>
        <v/>
      </c>
      <c r="Y18" s="12">
        <f>Y9*Y17/Inputs!$F$18</f>
        <v/>
      </c>
      <c r="Z18" s="12">
        <f>Z9*Z17/Inputs!$F$18</f>
        <v/>
      </c>
      <c r="AA18" s="12">
        <f>AA9*AA17/Inputs!$F$18</f>
        <v/>
      </c>
      <c r="AB18" s="12">
        <f>AB9*AB17/Inputs!$F$18</f>
        <v/>
      </c>
      <c r="AC18" s="12">
        <f>AC9*AC17/Inputs!$F$18</f>
        <v/>
      </c>
    </row>
    <row r="19">
      <c r="D19" t="inlineStr">
        <is>
          <t>Principal</t>
        </is>
      </c>
      <c r="E19" t="inlineStr">
        <is>
          <t>USD k</t>
        </is>
      </c>
      <c r="G19" s="12">
        <f>SUM(J19:AC19)</f>
        <v/>
      </c>
      <c r="J19" s="12">
        <f>J18-J14</f>
        <v/>
      </c>
      <c r="K19" s="12">
        <f>K18-K14</f>
        <v/>
      </c>
      <c r="L19" s="12">
        <f>L18-L14</f>
        <v/>
      </c>
      <c r="M19" s="12">
        <f>M18-M14</f>
        <v/>
      </c>
      <c r="N19" s="12">
        <f>N18-N14</f>
        <v/>
      </c>
      <c r="O19" s="12">
        <f>O18-O14</f>
        <v/>
      </c>
      <c r="P19" s="12">
        <f>P18-P14</f>
        <v/>
      </c>
      <c r="Q19" s="12">
        <f>Q18-Q14</f>
        <v/>
      </c>
      <c r="R19" s="12">
        <f>R18-R14</f>
        <v/>
      </c>
      <c r="S19" s="12">
        <f>S18-S14</f>
        <v/>
      </c>
      <c r="T19" s="12">
        <f>T18-T14</f>
        <v/>
      </c>
      <c r="U19" s="12">
        <f>U18-U14</f>
        <v/>
      </c>
      <c r="V19" s="12">
        <f>V18-V14</f>
        <v/>
      </c>
      <c r="W19" s="12">
        <f>W18-W14</f>
        <v/>
      </c>
      <c r="X19" s="12">
        <f>X18-X14</f>
        <v/>
      </c>
      <c r="Y19" s="12">
        <f>Y18-Y14</f>
        <v/>
      </c>
      <c r="Z19" s="12">
        <f>Z18-Z14</f>
        <v/>
      </c>
      <c r="AA19" s="12">
        <f>AA18-AA14</f>
        <v/>
      </c>
      <c r="AB19" s="12">
        <f>AB18-AB14</f>
        <v/>
      </c>
      <c r="AC19" s="12">
        <f>AC18-AC14</f>
        <v/>
      </c>
    </row>
    <row r="20">
      <c r="D20" t="inlineStr">
        <is>
          <t>DSCR</t>
        </is>
      </c>
      <c r="E20" t="inlineStr">
        <is>
          <t>x</t>
        </is>
      </c>
      <c r="J20" s="13">
        <f>IF(J18&gt;0,J17/J18,0)</f>
        <v/>
      </c>
      <c r="K20" s="13">
        <f>IF(K18&gt;0,K17/K18,0)</f>
        <v/>
      </c>
      <c r="L20" s="13">
        <f>IF(L18&gt;0,L17/L18,0)</f>
        <v/>
      </c>
      <c r="M20" s="13">
        <f>IF(M18&gt;0,M17/M18,0)</f>
        <v/>
      </c>
      <c r="N20" s="13">
        <f>IF(N18&gt;0,N17/N18,0)</f>
        <v/>
      </c>
      <c r="O20" s="13">
        <f>IF(O18&gt;0,O17/O18,0)</f>
        <v/>
      </c>
      <c r="P20" s="13">
        <f>IF(P18&gt;0,P17/P18,0)</f>
        <v/>
      </c>
      <c r="Q20" s="13">
        <f>IF(Q18&gt;0,Q17/Q18,0)</f>
        <v/>
      </c>
      <c r="R20" s="13">
        <f>IF(R18&gt;0,R17/R18,0)</f>
        <v/>
      </c>
      <c r="S20" s="13">
        <f>IF(S18&gt;0,S17/S18,0)</f>
        <v/>
      </c>
      <c r="T20" s="13">
        <f>IF(T18&gt;0,T17/T18,0)</f>
        <v/>
      </c>
      <c r="U20" s="13">
        <f>IF(U18&gt;0,U17/U18,0)</f>
        <v/>
      </c>
      <c r="V20" s="13">
        <f>IF(V18&gt;0,V17/V18,0)</f>
        <v/>
      </c>
      <c r="W20" s="13">
        <f>IF(W18&gt;0,W17/W18,0)</f>
        <v/>
      </c>
      <c r="X20" s="13">
        <f>IF(X18&gt;0,X17/X18,0)</f>
        <v/>
      </c>
      <c r="Y20" s="13">
        <f>IF(Y18&gt;0,Y17/Y18,0)</f>
        <v/>
      </c>
      <c r="Z20" s="13">
        <f>IF(Z18&gt;0,Z17/Z18,0)</f>
        <v/>
      </c>
      <c r="AA20" s="13">
        <f>IF(AA18&gt;0,AA17/AA18,0)</f>
        <v/>
      </c>
      <c r="AB20" s="13">
        <f>IF(AB18&gt;0,AB17/AB18,0)</f>
        <v/>
      </c>
      <c r="AC20" s="13">
        <f>IF(AC18&gt;0,AC17/AC18,0)</f>
        <v/>
      </c>
    </row>
    <row r="21">
      <c r="D21" t="inlineStr">
        <is>
          <t>Debt, closing</t>
        </is>
      </c>
      <c r="E21" t="inlineStr">
        <is>
          <t>USD k</t>
        </is>
      </c>
      <c r="J21" s="12">
        <f>J13-J19</f>
        <v/>
      </c>
      <c r="K21" s="12">
        <f>K13-K19</f>
        <v/>
      </c>
      <c r="L21" s="12">
        <f>L13-L19</f>
        <v/>
      </c>
      <c r="M21" s="12">
        <f>M13-M19</f>
        <v/>
      </c>
      <c r="N21" s="12">
        <f>N13-N19</f>
        <v/>
      </c>
      <c r="O21" s="12">
        <f>O13-O19</f>
        <v/>
      </c>
      <c r="P21" s="12">
        <f>P13-P19</f>
        <v/>
      </c>
      <c r="Q21" s="12">
        <f>Q13-Q19</f>
        <v/>
      </c>
      <c r="R21" s="12">
        <f>R13-R19</f>
        <v/>
      </c>
      <c r="S21" s="12">
        <f>S13-S19</f>
        <v/>
      </c>
      <c r="T21" s="12">
        <f>T13-T19</f>
        <v/>
      </c>
      <c r="U21" s="12">
        <f>U13-U19</f>
        <v/>
      </c>
      <c r="V21" s="12">
        <f>V13-V19</f>
        <v/>
      </c>
      <c r="W21" s="12">
        <f>W13-W19</f>
        <v/>
      </c>
      <c r="X21" s="12">
        <f>X13-X19</f>
        <v/>
      </c>
      <c r="Y21" s="12">
        <f>Y13-Y19</f>
        <v/>
      </c>
      <c r="Z21" s="12">
        <f>Z13-Z19</f>
        <v/>
      </c>
      <c r="AA21" s="12">
        <f>AA13-AA19</f>
        <v/>
      </c>
      <c r="AB21" s="12">
        <f>AB13-AB19</f>
        <v/>
      </c>
      <c r="AC21" s="12">
        <f>AC13-AC19</f>
        <v/>
      </c>
    </row>
    <row r="22">
      <c r="D22" t="inlineStr">
        <is>
          <t>Closing debt in the last repayment year</t>
        </is>
      </c>
      <c r="E22" t="inlineStr">
        <is>
          <t>USD k</t>
        </is>
      </c>
      <c r="F22" s="14">
        <f>INDEX(J21:AC21,1,MATCH(Inputs!$F$17,J7:AC7,0))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0" customWidth="1" min="4" max="4"/>
    <col width="12" customWidth="1" min="5" max="5"/>
    <col width="14" customWidth="1" min="6" max="6"/>
    <col width="12" customWidth="1" min="7" max="7"/>
    <col width="4" customWidth="1" min="8" max="8"/>
    <col width="4" customWidth="1" min="9" max="9"/>
  </cols>
  <sheetData>
    <row r="1">
      <c r="A1" s="1" t="inlineStr">
        <is>
          <t>Llano Pardo Solar (fictional; Illustrative): Chapter 13 practice files</t>
        </is>
      </c>
    </row>
    <row r="2">
      <c r="A2" t="inlineStr">
        <is>
          <t>Checks: 0 when passing</t>
        </is>
      </c>
    </row>
    <row r="3">
      <c r="A3" t="inlineStr">
        <is>
          <t>Column D label, E unit, F value or scalar, G row total; first period in column J. Inputs: blue on yellow. Links: green. Checks: 0 when passing.</t>
        </is>
      </c>
    </row>
    <row r="7">
      <c r="D7" t="inlineStr">
        <is>
          <t>Goal-seek k repays the debt by the last repayment year</t>
        </is>
      </c>
      <c r="E7" t="inlineStr">
        <is>
          <t>check</t>
        </is>
      </c>
      <c r="F7" s="11">
        <f>--(ABS(Calc!F22)&gt;Inputs!$F$6)</f>
        <v/>
      </c>
    </row>
    <row r="8">
      <c r="D8" t="inlineStr">
        <is>
          <t>Principal sums to the debt at COD</t>
        </is>
      </c>
      <c r="E8" t="inlineStr">
        <is>
          <t>check</t>
        </is>
      </c>
      <c r="F8" s="11">
        <f>--(ABS(Calc!G19-Inputs!$F$14)&gt;Inputs!$F$6)</f>
        <v/>
      </c>
    </row>
    <row r="9">
      <c r="D9" t="inlineStr">
        <is>
          <t>No negative taxable income (no losses to carry forward)</t>
        </is>
      </c>
      <c r="E9" t="inlineStr">
        <is>
          <t>check</t>
        </is>
      </c>
      <c r="F9" s="11">
        <f>--(MIN(Calc!J15:AC15)&lt;0)</f>
        <v/>
      </c>
    </row>
    <row r="10">
      <c r="D10" t="inlineStr">
        <is>
          <t>No debt after the last repayment year</t>
        </is>
      </c>
      <c r="E10" t="inlineStr">
        <is>
          <t>check</t>
        </is>
      </c>
      <c r="F10" s="11">
        <f>--(SUMPRODUCT((Calc!J7:AC7&gt;Inputs!$F$17)*ABS(Calc!J21:AC21))&gt;Inputs!$F$6)</f>
        <v/>
      </c>
    </row>
    <row r="12">
      <c r="D12" s="15" t="inlineStr">
        <is>
          <t>Master check (0 = all pass)</t>
        </is>
      </c>
      <c r="F12">
        <f>SUM(F7:F10)</f>
        <v/>
      </c>
    </row>
  </sheetData>
  <conditionalFormatting sqref="F7:F12">
    <cfRule type="cellIs" priority="1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2026-10-03T23:08:03Z</dcterms:created>
  <dcterms:modified xsi:type="dcterms:W3CDTF">2026-10-03T23:08:03Z</dcterms:modified>
</cp:coreProperties>
</file>