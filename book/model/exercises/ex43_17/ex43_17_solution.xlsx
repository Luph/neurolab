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Inputs" sheetId="2" state="visible" r:id="rId2"/>
    <sheet name="Construction" sheetId="3" state="visible" r:id="rId3"/>
    <sheet name="Operations" sheetId="4" state="visible" r:id="rId4"/>
    <sheet name="Tax" sheetId="5" state="visible" r:id="rId5"/>
    <sheet name="Debt" sheetId="6" state="visible" r:id="rId6"/>
    <sheet name="Waterfall" sheetId="7" state="visible" r:id="rId7"/>
    <sheet name="Returns" sheetId="8" state="visible" r:id="rId8"/>
    <sheet name="Checks" sheetId="9" state="visible" r:id="rId9"/>
  </sheets>
  <definedNames>
    <definedName name="Scenario">Inputs!$F$8</definedName>
  </definedNames>
  <calcPr calcId="124519" fullCalcOnLoad="1"/>
</workbook>
</file>

<file path=xl/styles.xml><?xml version="1.0" encoding="utf-8"?>
<styleSheet xmlns="http://schemas.openxmlformats.org/spreadsheetml/2006/main">
  <numFmts count="9">
    <numFmt numFmtId="164" formatCode="0.000"/>
    <numFmt numFmtId="165" formatCode="#,##0.000"/>
    <numFmt numFmtId="166" formatCode="0.0"/>
    <numFmt numFmtId="167" formatCode="#,##0.000000"/>
    <numFmt numFmtId="168" formatCode="yyyy-mm-dd"/>
    <numFmt numFmtId="169" formatCode="0.0E+00"/>
    <numFmt numFmtId="170" formatCode="#,##0.000;(#,##0.000);&quot;-&quot;"/>
    <numFmt numFmtId="171" formatCode="0.000000"/>
    <numFmt numFmtId="172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</font>
    <font>
      <color rgb="000000FF"/>
    </font>
    <font>
      <color rgb="00008000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2" fontId="4" fillId="0" borderId="0" pivotButton="0" quotePrefix="0" xfId="0"/>
    <xf numFmtId="164" fontId="4" fillId="0" borderId="0" pivotButton="0" quotePrefix="0" xfId="0"/>
    <xf numFmtId="1" fontId="4" fillId="0" borderId="0" pivotButton="0" quotePrefix="0" xfId="0"/>
    <xf numFmtId="165" fontId="4" fillId="0" borderId="0" pivotButton="0" quotePrefix="0" xfId="0"/>
    <xf numFmtId="166" fontId="4" fillId="0" borderId="0" pivotButton="0" quotePrefix="0" xfId="0"/>
    <xf numFmtId="1" fontId="3" fillId="3" borderId="0" pivotButton="0" quotePrefix="0" xfId="0"/>
    <xf numFmtId="164" fontId="3" fillId="3" borderId="0" pivotButton="0" quotePrefix="0" xfId="0"/>
    <xf numFmtId="164" fontId="0" fillId="0" borderId="0" pivotButton="0" quotePrefix="0" xfId="0"/>
    <xf numFmtId="165" fontId="3" fillId="3" borderId="0" pivotButton="0" quotePrefix="0" xfId="0"/>
    <xf numFmtId="166" fontId="3" fillId="3" borderId="0" pivotButton="0" quotePrefix="0" xfId="0"/>
    <xf numFmtId="167" fontId="3" fillId="3" borderId="0" pivotButton="0" quotePrefix="0" xfId="0"/>
    <xf numFmtId="168" fontId="3" fillId="3" borderId="0" pivotButton="0" quotePrefix="0" xfId="0"/>
    <xf numFmtId="169" fontId="3" fillId="3" borderId="0" pivotButton="0" quotePrefix="0" xfId="0"/>
    <xf numFmtId="0" fontId="2" fillId="2" borderId="0" pivotButton="0" quotePrefix="0" xfId="0"/>
    <xf numFmtId="1" fontId="0" fillId="0" borderId="0" pivotButton="0" quotePrefix="0" xfId="0"/>
    <xf numFmtId="168" fontId="0" fillId="0" borderId="0" pivotButton="0" quotePrefix="0" xfId="0"/>
    <xf numFmtId="170" fontId="0" fillId="0" borderId="0" pivotButton="0" quotePrefix="0" xfId="0"/>
    <xf numFmtId="171" fontId="0" fillId="0" borderId="0" pivotButton="0" quotePrefix="0" xfId="0"/>
    <xf numFmtId="165" fontId="0" fillId="0" borderId="0" pivotButton="0" quotePrefix="0" xfId="0"/>
    <xf numFmtId="2" fontId="0" fillId="0" borderId="0" pivotButton="0" quotePrefix="0" xfId="0"/>
    <xf numFmtId="170" fontId="4" fillId="0" borderId="0" pivotButton="0" quotePrefix="0" xfId="0"/>
    <xf numFmtId="172" fontId="0" fillId="0" borderId="0" pivotButton="0" quotePrefix="0" xfId="0"/>
    <xf numFmtId="168" fontId="4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999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2" customWidth="1" min="4" max="4"/>
    <col width="12" customWidth="1" min="5" max="5"/>
    <col width="14" customWidth="1" min="6" max="6"/>
    <col width="12" customWidth="1" min="7" max="7"/>
    <col width="2" customWidth="1" min="8" max="8"/>
    <col width="2" customWidth="1" min="9" max="9"/>
  </cols>
  <sheetData>
    <row r="1">
      <c r="A1" s="1" t="inlineStr">
        <is>
          <t>Cactus Ridge Solar and Storage (fictional; Illustrative): Exercise 43.17 solution</t>
        </is>
      </c>
    </row>
    <row r="2">
      <c r="A2" t="inlineStr">
        <is>
          <t>Cover: purpose, layout, method and answers</t>
        </is>
      </c>
    </row>
    <row r="3">
      <c r="A3" t="inlineStr">
        <is>
          <t>Column D label, E unit, F constant or scalar, G row total; first period in column J. Inputs: blue on yellow. Links from other sheets: green. Checks: 0 when passing.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6">
      <c r="D6" t="inlineStr">
        <is>
          <t>Solution workbook for Exercise 43.17 (Part VII capstone, guided by Exhibit 43.8). Macro-free; no circular reference; iterative calculation off.</t>
        </is>
      </c>
    </row>
    <row r="7">
      <c r="D7" t="inlineStr">
        <is>
          <t>Sheets: Cover, Inputs, Construction (monthly, January to December 2027), Operations, Tax, Debt, Waterfall (half-years 2028H1 to 2047H2), Returns, Checks.</t>
        </is>
      </c>
    </row>
    <row r="8">
      <c r="D8" t="inlineStr">
        <is>
          <t>Case selector: Inputs F8 (named Scenario): 1 base (P50), 2 sizing (one-year P90), 3 downside (P90 and opex +10%). The debt is locked at the sizing profile in every case.</t>
        </is>
      </c>
    </row>
    <row r="9">
      <c r="D9" t="inlineStr">
        <is>
          <t>Circularity: the committed debt (Inputs F33), equity (F34) and principal profile (row 57) are the converged sizing-case values (ex43_17_mirror.py, 12 passes);</t>
        </is>
      </c>
    </row>
    <row r="10">
      <c r="D10" t="inlineStr">
        <is>
          <t>Construction recomputes total funding live and Debt rows 15 to 19 recompute the sculpted profile live; Checks F9 to F11 show they are the fixed point.</t>
        </is>
      </c>
    </row>
    <row r="11">
      <c r="D11" t="inlineStr">
        <is>
          <t>Python mirror: ex43_17_mirror.py (same answers; interpretations listed there and in model/exercises/README.md).</t>
        </is>
      </c>
    </row>
    <row r="13">
      <c r="D13" s="2" t="inlineStr">
        <is>
          <t>Master check (0 = all pass)</t>
        </is>
      </c>
      <c r="F13" s="3">
        <f>Checks!$F$20</f>
        <v/>
      </c>
    </row>
    <row r="15">
      <c r="D15" s="2" t="inlineStr">
        <is>
          <t>Answers for the selected case (live; Returns sheet)</t>
        </is>
      </c>
    </row>
    <row r="16">
      <c r="D16" t="inlineStr">
        <is>
          <t>Equity IRR (XIRR)</t>
        </is>
      </c>
      <c r="E16" t="inlineStr">
        <is>
          <t>%</t>
        </is>
      </c>
      <c r="F16" s="4">
        <f>Returns!$F$10</f>
        <v/>
      </c>
    </row>
    <row r="17">
      <c r="D17" t="inlineStr">
        <is>
          <t>Minimum DSCR (repayment half-years)</t>
        </is>
      </c>
      <c r="E17" t="inlineStr">
        <is>
          <t>x</t>
        </is>
      </c>
      <c r="F17" s="5">
        <f>Returns!$F$11</f>
        <v/>
      </c>
    </row>
    <row r="18">
      <c r="D18" t="inlineStr">
        <is>
          <t>Average DSCR (CFADS / debt service over the repayment half-years)</t>
        </is>
      </c>
      <c r="E18" t="inlineStr">
        <is>
          <t>x</t>
        </is>
      </c>
      <c r="F18" s="5">
        <f>Returns!$F$12</f>
        <v/>
      </c>
    </row>
    <row r="19">
      <c r="D19" t="inlineStr">
        <is>
          <t>Number of lock-ups</t>
        </is>
      </c>
      <c r="E19" t="inlineStr">
        <is>
          <t>count</t>
        </is>
      </c>
      <c r="F19" s="6">
        <f>Returns!$F$13</f>
        <v/>
      </c>
    </row>
    <row r="20">
      <c r="D20" t="inlineStr">
        <is>
          <t>Hard costs</t>
        </is>
      </c>
      <c r="E20" t="inlineStr">
        <is>
          <t>USD m</t>
        </is>
      </c>
      <c r="F20" s="7">
        <f>Returns!$F$14</f>
        <v/>
      </c>
    </row>
    <row r="21">
      <c r="D21" t="inlineStr">
        <is>
          <t>Interest during construction</t>
        </is>
      </c>
      <c r="E21" t="inlineStr">
        <is>
          <t>USD m</t>
        </is>
      </c>
      <c r="F21" s="7">
        <f>Returns!$F$15</f>
        <v/>
      </c>
    </row>
    <row r="22">
      <c r="D22" t="inlineStr">
        <is>
          <t>Commitment fees</t>
        </is>
      </c>
      <c r="E22" t="inlineStr">
        <is>
          <t>USD m</t>
        </is>
      </c>
      <c r="F22" s="7">
        <f>Returns!$F$16</f>
        <v/>
      </c>
    </row>
    <row r="23">
      <c r="D23" t="inlineStr">
        <is>
          <t>Upfront fee</t>
        </is>
      </c>
      <c r="E23" t="inlineStr">
        <is>
          <t>USD m</t>
        </is>
      </c>
      <c r="F23" s="7">
        <f>Returns!$F$17</f>
        <v/>
      </c>
    </row>
    <row r="24">
      <c r="D24" t="inlineStr">
        <is>
          <t>DSRA initial funding</t>
        </is>
      </c>
      <c r="E24" t="inlineStr">
        <is>
          <t>USD m</t>
        </is>
      </c>
      <c r="F24" s="7">
        <f>Returns!$F$18</f>
        <v/>
      </c>
    </row>
    <row r="25">
      <c r="D25" t="inlineStr">
        <is>
          <t>Total funding requirement</t>
        </is>
      </c>
      <c r="E25" t="inlineStr">
        <is>
          <t>USD m</t>
        </is>
      </c>
      <c r="F25" s="7">
        <f>Returns!$F$19</f>
        <v/>
      </c>
    </row>
    <row r="26">
      <c r="D26" t="inlineStr">
        <is>
          <t>Senior debt</t>
        </is>
      </c>
      <c r="E26" t="inlineStr">
        <is>
          <t>USD m</t>
        </is>
      </c>
      <c r="F26" s="7">
        <f>Returns!$F$20</f>
        <v/>
      </c>
    </row>
    <row r="27">
      <c r="D27" t="inlineStr">
        <is>
          <t>Senior debt at the gearing cap</t>
        </is>
      </c>
      <c r="E27" t="inlineStr">
        <is>
          <t>USD m</t>
        </is>
      </c>
      <c r="F27" s="7">
        <f>Returns!$F$21</f>
        <v/>
      </c>
    </row>
    <row r="28">
      <c r="D28" t="inlineStr">
        <is>
          <t>Gearing</t>
        </is>
      </c>
      <c r="E28" t="inlineStr">
        <is>
          <t>%</t>
        </is>
      </c>
      <c r="F28" s="8">
        <f>Returns!$F$22</f>
        <v/>
      </c>
    </row>
    <row r="29">
      <c r="D29" t="inlineStr">
        <is>
          <t>Equity</t>
        </is>
      </c>
      <c r="E29" t="inlineStr">
        <is>
          <t>USD m</t>
        </is>
      </c>
      <c r="F29" s="7">
        <f>Returns!$F$23</f>
        <v/>
      </c>
    </row>
    <row r="30">
      <c r="D30" t="inlineStr">
        <is>
          <t>First half-year debt service</t>
        </is>
      </c>
      <c r="E30" t="inlineStr">
        <is>
          <t>USD m</t>
        </is>
      </c>
      <c r="F30" s="7">
        <f>Returns!$F$24</f>
        <v/>
      </c>
    </row>
  </sheetData>
  <conditionalFormatting sqref="F13">
    <cfRule type="cellIs" priority="1" operator="notEqual" dxfId="0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59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2" customWidth="1" min="4" max="4"/>
    <col width="12" customWidth="1" min="5" max="5"/>
    <col width="14" customWidth="1" min="6" max="6"/>
    <col width="12" customWidth="1" min="7" max="7"/>
    <col width="2" customWidth="1" min="8" max="8"/>
    <col width="2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</cols>
  <sheetData>
    <row r="1">
      <c r="A1" s="1" t="inlineStr">
        <is>
          <t>Cactus Ridge Solar and Storage (fictional; Illustrative): Exercise 43.17 solution</t>
        </is>
      </c>
    </row>
    <row r="2">
      <c r="A2" t="inlineStr">
        <is>
          <t>Inputs: case control, costs, financing, operations, tax, timing, contract terms (Exhibit 43.8)</t>
        </is>
      </c>
    </row>
    <row r="3">
      <c r="A3" t="inlineStr">
        <is>
          <t>Column D label, E unit, F constant or scalar, G row total; first period in column J. Inputs: blue on yellow. Links from other sheets: green. Checks: 0 when passing.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Case table: columns J to L = cases 1 to 3; monthly rows: J to U = Jan to Dec 2027; half-year rows: J to AW = 2028H1 to 2047H2</t>
        </is>
      </c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  <c r="AO5" s="2" t="n"/>
      <c r="AP5" s="2" t="n"/>
      <c r="AQ5" s="2" t="n"/>
      <c r="AR5" s="2" t="n"/>
      <c r="AS5" s="2" t="n"/>
      <c r="AT5" s="2" t="n"/>
      <c r="AU5" s="2" t="n"/>
      <c r="AV5" s="2" t="n"/>
      <c r="AW5" s="2" t="n"/>
    </row>
    <row r="7">
      <c r="B7" s="2" t="inlineStr">
        <is>
          <t>Case control</t>
        </is>
      </c>
    </row>
    <row r="8">
      <c r="D8" t="inlineStr">
        <is>
          <t>Scenario (1 base P50, 2 sizing one-year P90, 3 downside P90 and opex +10%)</t>
        </is>
      </c>
      <c r="E8" t="inlineStr">
        <is>
          <t>index</t>
        </is>
      </c>
      <c r="F8" s="9" t="n">
        <v>1</v>
      </c>
    </row>
    <row r="9">
      <c r="B9" s="2" t="inlineStr">
        <is>
          <t>Case table (columns J to L = cases 1 to 3) and live values (column F)</t>
        </is>
      </c>
    </row>
    <row r="10">
      <c r="D10" t="inlineStr">
        <is>
          <t>Energy factor applied to P50 [table]</t>
        </is>
      </c>
      <c r="E10" t="inlineStr">
        <is>
          <t>factor</t>
        </is>
      </c>
      <c r="J10" s="10" t="n">
        <v>1</v>
      </c>
      <c r="K10" s="10" t="n">
        <v>0.917</v>
      </c>
      <c r="L10" s="10" t="n">
        <v>0.917</v>
      </c>
    </row>
    <row r="11">
      <c r="D11" t="inlineStr">
        <is>
          <t>Operating cost factor [table]</t>
        </is>
      </c>
      <c r="E11" t="inlineStr">
        <is>
          <t>factor</t>
        </is>
      </c>
      <c r="J11" s="10" t="n">
        <v>1</v>
      </c>
      <c r="K11" s="10" t="n">
        <v>1</v>
      </c>
      <c r="L11" s="10" t="n">
        <v>1.1</v>
      </c>
    </row>
    <row r="12">
      <c r="D12" t="inlineStr">
        <is>
          <t>Energy factor (live)</t>
        </is>
      </c>
      <c r="E12" t="inlineStr">
        <is>
          <t>factor</t>
        </is>
      </c>
      <c r="F12" s="11">
        <f>INDEX($J$10:$L$10,1,Scenario)</f>
        <v/>
      </c>
    </row>
    <row r="13">
      <c r="D13" t="inlineStr">
        <is>
          <t>Operating cost factor (live)</t>
        </is>
      </c>
      <c r="E13" t="inlineStr">
        <is>
          <t>factor</t>
        </is>
      </c>
      <c r="F13" s="11">
        <f>INDEX($J$11:$L$11,1,Scenario)</f>
        <v/>
      </c>
    </row>
    <row r="14">
      <c r="B14" s="2" t="inlineStr">
        <is>
          <t>Construction costs (USD m)</t>
        </is>
      </c>
    </row>
    <row r="15">
      <c r="D15" t="inlineStr">
        <is>
          <t>PV EPC price</t>
        </is>
      </c>
      <c r="E15" t="inlineStr">
        <is>
          <t>USD m</t>
        </is>
      </c>
      <c r="F15" s="12" t="n">
        <v>168.4</v>
      </c>
    </row>
    <row r="16">
      <c r="D16" t="inlineStr">
        <is>
          <t>Battery supply price</t>
        </is>
      </c>
      <c r="E16" t="inlineStr">
        <is>
          <t>USD m</t>
        </is>
      </c>
      <c r="F16" s="12" t="n">
        <v>61.7</v>
      </c>
    </row>
    <row r="17">
      <c r="D17" t="inlineStr">
        <is>
          <t>Battery share paid at the first payment</t>
        </is>
      </c>
      <c r="E17" t="inlineStr">
        <is>
          <t>%</t>
        </is>
      </c>
      <c r="F17" s="12" t="n">
        <v>20</v>
      </c>
    </row>
    <row r="18">
      <c r="D18" t="inlineStr">
        <is>
          <t>Battery share paid at the second payment</t>
        </is>
      </c>
      <c r="E18" t="inlineStr">
        <is>
          <t>%</t>
        </is>
      </c>
      <c r="F18" s="12" t="n">
        <v>80</v>
      </c>
    </row>
    <row r="19">
      <c r="D19" t="inlineStr">
        <is>
          <t>Battery first payment month (January 2027 = 1)</t>
        </is>
      </c>
      <c r="E19" t="inlineStr">
        <is>
          <t>month</t>
        </is>
      </c>
      <c r="F19" s="12" t="n">
        <v>1</v>
      </c>
    </row>
    <row r="20">
      <c r="D20" t="inlineStr">
        <is>
          <t>Battery second payment month (October 2027)</t>
        </is>
      </c>
      <c r="E20" t="inlineStr">
        <is>
          <t>month</t>
        </is>
      </c>
      <c r="F20" s="12" t="n">
        <v>10</v>
      </c>
    </row>
    <row r="21">
      <c r="D21" t="inlineStr">
        <is>
          <t>Development and owner's costs (paid in month 1)</t>
        </is>
      </c>
      <c r="E21" t="inlineStr">
        <is>
          <t>USD m</t>
        </is>
      </c>
      <c r="F21" s="12" t="n">
        <v>12.9</v>
      </c>
    </row>
    <row r="22">
      <c r="D22" t="inlineStr">
        <is>
          <t>Contingency (pro rata with PV EPC payments, months 2 to 12)</t>
        </is>
      </c>
      <c r="E22" t="inlineStr">
        <is>
          <t>USD m</t>
        </is>
      </c>
      <c r="F22" s="12" t="n">
        <v>9.6</v>
      </c>
    </row>
    <row r="23">
      <c r="B23" s="2" t="inlineStr">
        <is>
          <t>Monthly PV EPC payment profile</t>
        </is>
      </c>
    </row>
    <row r="24">
      <c r="D24" t="inlineStr">
        <is>
          <t>PV EPC payment profile (columns J to U = January to December 2027)</t>
        </is>
      </c>
      <c r="E24" t="inlineStr">
        <is>
          <t>%</t>
        </is>
      </c>
      <c r="G24">
        <f>SUM(J24:U24)</f>
        <v/>
      </c>
      <c r="J24" s="13" t="n">
        <v>10</v>
      </c>
      <c r="K24" s="13" t="n">
        <v>4.5</v>
      </c>
      <c r="L24" s="13" t="n">
        <v>6</v>
      </c>
      <c r="M24" s="13" t="n">
        <v>8.5</v>
      </c>
      <c r="N24" s="13" t="n">
        <v>10.5</v>
      </c>
      <c r="O24" s="13" t="n">
        <v>12</v>
      </c>
      <c r="P24" s="13" t="n">
        <v>12.5</v>
      </c>
      <c r="Q24" s="13" t="n">
        <v>11</v>
      </c>
      <c r="R24" s="13" t="n">
        <v>9</v>
      </c>
      <c r="S24" s="13" t="n">
        <v>7</v>
      </c>
      <c r="T24" s="13" t="n">
        <v>5</v>
      </c>
      <c r="U24" s="13" t="n">
        <v>4</v>
      </c>
    </row>
    <row r="25">
      <c r="B25" s="2" t="inlineStr">
        <is>
          <t>Financing</t>
        </is>
      </c>
    </row>
    <row r="26">
      <c r="D26" t="inlineStr">
        <is>
          <t>Senior loan all-in fixed rate (swapped)</t>
        </is>
      </c>
      <c r="E26" t="inlineStr">
        <is>
          <t>% pa</t>
        </is>
      </c>
      <c r="F26" s="12" t="n">
        <v>7.25</v>
      </c>
    </row>
    <row r="27">
      <c r="D27" t="inlineStr">
        <is>
          <t>Months per year</t>
        </is>
      </c>
      <c r="E27" t="inlineStr">
        <is>
          <t>months</t>
        </is>
      </c>
      <c r="F27" s="12" t="n">
        <v>12</v>
      </c>
    </row>
    <row r="28">
      <c r="D28" t="inlineStr">
        <is>
          <t>Upfront fee (of the commitment, month 1)</t>
        </is>
      </c>
      <c r="E28" t="inlineStr">
        <is>
          <t>%</t>
        </is>
      </c>
      <c r="F28" s="12" t="n">
        <v>1.75</v>
      </c>
    </row>
    <row r="29">
      <c r="D29" t="inlineStr">
        <is>
          <t>Commitment fee on the undrawn commitment</t>
        </is>
      </c>
      <c r="E29" t="inlineStr">
        <is>
          <t>% pa</t>
        </is>
      </c>
      <c r="F29" s="12" t="n">
        <v>0.7</v>
      </c>
    </row>
    <row r="30">
      <c r="D30" t="inlineStr">
        <is>
          <t>Gearing cap (share of total funding requirement)</t>
        </is>
      </c>
      <c r="E30" t="inlineStr">
        <is>
          <t>%</t>
        </is>
      </c>
      <c r="F30" s="12" t="n">
        <v>75</v>
      </c>
    </row>
    <row r="31">
      <c r="D31" t="inlineStr">
        <is>
          <t>Sizing DSCR (sizing case)</t>
        </is>
      </c>
      <c r="E31" t="inlineStr">
        <is>
          <t>x</t>
        </is>
      </c>
      <c r="F31" s="12" t="n">
        <v>1.3</v>
      </c>
    </row>
    <row r="32">
      <c r="D32" t="inlineStr">
        <is>
          <t>Distribution test: historic 12-month DSCR at least</t>
        </is>
      </c>
      <c r="E32" t="inlineStr">
        <is>
          <t>x</t>
        </is>
      </c>
      <c r="F32" s="12" t="n">
        <v>1.15</v>
      </c>
    </row>
    <row r="33">
      <c r="D33" t="inlineStr">
        <is>
          <t>Senior debt commitment (contract; converged sizing)</t>
        </is>
      </c>
      <c r="E33" t="inlineStr">
        <is>
          <t>USD m</t>
        </is>
      </c>
      <c r="F33" s="14" t="n">
        <v>185.4249779831633</v>
      </c>
    </row>
    <row r="34">
      <c r="D34" t="inlineStr">
        <is>
          <t>Equity commitment (contract; converged sizing)</t>
        </is>
      </c>
      <c r="E34" t="inlineStr">
        <is>
          <t>USD m</t>
        </is>
      </c>
      <c r="F34" s="14" t="n">
        <v>87.74622858577686</v>
      </c>
    </row>
    <row r="35">
      <c r="D35" t="inlineStr">
        <is>
          <t>Number of repayment half-years (2028H1 to 2042H2)</t>
        </is>
      </c>
      <c r="E35" t="inlineStr">
        <is>
          <t>count</t>
        </is>
      </c>
      <c r="F35" s="12" t="n">
        <v>30</v>
      </c>
    </row>
    <row r="36">
      <c r="B36" s="2" t="inlineStr">
        <is>
          <t>Operations</t>
        </is>
      </c>
    </row>
    <row r="37">
      <c r="D37" t="inlineStr">
        <is>
          <t>Solar P50 energy, operating year 1</t>
        </is>
      </c>
      <c r="E37" t="inlineStr">
        <is>
          <t>GWh</t>
        </is>
      </c>
      <c r="F37" s="12" t="n">
        <v>512.8</v>
      </c>
    </row>
    <row r="38">
      <c r="D38" t="inlineStr">
        <is>
          <t>Share of annual energy in H1 (Jan-Jun)</t>
        </is>
      </c>
      <c r="E38" t="inlineStr">
        <is>
          <t>%</t>
        </is>
      </c>
      <c r="F38" s="12" t="n">
        <v>52</v>
      </c>
    </row>
    <row r="39">
      <c r="D39" t="inlineStr">
        <is>
          <t>Degradation (compounding, from operating year 2)</t>
        </is>
      </c>
      <c r="E39" t="inlineStr">
        <is>
          <t>% pa</t>
        </is>
      </c>
      <c r="F39" s="12" t="n">
        <v>0.4</v>
      </c>
    </row>
    <row r="40">
      <c r="D40" t="inlineStr">
        <is>
          <t>PPA price in the price base year</t>
        </is>
      </c>
      <c r="E40" t="inlineStr">
        <is>
          <t>USD/MWh</t>
        </is>
      </c>
      <c r="F40" s="12" t="n">
        <v>49.8</v>
      </c>
    </row>
    <row r="41">
      <c r="D41" t="inlineStr">
        <is>
          <t>Escalation of PPA price and battery payment (each January 1)</t>
        </is>
      </c>
      <c r="E41" t="inlineStr">
        <is>
          <t>% pa</t>
        </is>
      </c>
      <c r="F41" s="12" t="n">
        <v>1.5</v>
      </c>
    </row>
    <row r="42">
      <c r="D42" t="inlineStr">
        <is>
          <t>Battery contracted power</t>
        </is>
      </c>
      <c r="E42" t="inlineStr">
        <is>
          <t>MW</t>
        </is>
      </c>
      <c r="F42" s="12" t="n">
        <v>60</v>
      </c>
    </row>
    <row r="43">
      <c r="D43" t="inlineStr">
        <is>
          <t>Battery capacity payment in the price base year</t>
        </is>
      </c>
      <c r="E43" t="inlineStr">
        <is>
          <t>USD/kW-month</t>
        </is>
      </c>
      <c r="F43" s="12" t="n">
        <v>11.4</v>
      </c>
    </row>
    <row r="44">
      <c r="D44" t="inlineStr">
        <is>
          <t>Fixed operating cost in the price base year</t>
        </is>
      </c>
      <c r="E44" t="inlineStr">
        <is>
          <t>USD m pa</t>
        </is>
      </c>
      <c r="F44" s="12" t="n">
        <v>4.36</v>
      </c>
    </row>
    <row r="45">
      <c r="D45" t="inlineStr">
        <is>
          <t>Fixed operating cost escalation (each January 1)</t>
        </is>
      </c>
      <c r="E45" t="inlineStr">
        <is>
          <t>% pa</t>
        </is>
      </c>
      <c r="F45" s="12" t="n">
        <v>2.5</v>
      </c>
    </row>
    <row r="46">
      <c r="D46" t="inlineStr">
        <is>
          <t>Variable operating cost</t>
        </is>
      </c>
      <c r="E46" t="inlineStr">
        <is>
          <t>USD/MWh</t>
        </is>
      </c>
      <c r="F46" s="12" t="n">
        <v>1.12</v>
      </c>
    </row>
    <row r="47">
      <c r="D47" t="inlineStr">
        <is>
          <t>Price base year</t>
        </is>
      </c>
      <c r="E47" t="inlineStr">
        <is>
          <t>year</t>
        </is>
      </c>
      <c r="F47" s="9" t="n">
        <v>2028</v>
      </c>
    </row>
    <row r="48">
      <c r="B48" s="2" t="inlineStr">
        <is>
          <t>Tax</t>
        </is>
      </c>
    </row>
    <row r="49">
      <c r="D49" t="inlineStr">
        <is>
          <t>Corporate income tax rate</t>
        </is>
      </c>
      <c r="E49" t="inlineStr">
        <is>
          <t>%</t>
        </is>
      </c>
      <c r="F49" s="12" t="n">
        <v>30</v>
      </c>
    </row>
    <row r="50">
      <c r="D50" t="inlineStr">
        <is>
          <t>Last tax-holiday year (2028 to 2030; holiday losses are lost)</t>
        </is>
      </c>
      <c r="E50" t="inlineStr">
        <is>
          <t>year</t>
        </is>
      </c>
      <c r="F50" s="9" t="n">
        <v>2030</v>
      </c>
    </row>
    <row r="51">
      <c r="D51" t="inlineStr">
        <is>
          <t>Tax depreciation life (straight line, half-years)</t>
        </is>
      </c>
      <c r="E51" t="inlineStr">
        <is>
          <t>half-years</t>
        </is>
      </c>
      <c r="F51" s="9" t="n">
        <v>40</v>
      </c>
    </row>
    <row r="52">
      <c r="B52" s="2" t="inlineStr">
        <is>
          <t>Timing</t>
        </is>
      </c>
    </row>
    <row r="53">
      <c r="D53" t="inlineStr">
        <is>
          <t>Notice to proceed (month 1 start)</t>
        </is>
      </c>
      <c r="E53" t="inlineStr">
        <is>
          <t>date</t>
        </is>
      </c>
      <c r="F53" s="15" t="n">
        <v>46388</v>
      </c>
    </row>
    <row r="54">
      <c r="D54" t="inlineStr">
        <is>
          <t>Commercial operation date (first half-year start)</t>
        </is>
      </c>
      <c r="E54" t="inlineStr">
        <is>
          <t>date</t>
        </is>
      </c>
      <c r="F54" s="15" t="n">
        <v>46753</v>
      </c>
    </row>
    <row r="55">
      <c r="D55" t="inlineStr">
        <is>
          <t>Months per operating period</t>
        </is>
      </c>
      <c r="E55" t="inlineStr">
        <is>
          <t>months</t>
        </is>
      </c>
      <c r="F55" s="9" t="n">
        <v>6</v>
      </c>
    </row>
    <row r="56">
      <c r="B56" s="2" t="inlineStr">
        <is>
          <t>Contract repayment profile</t>
        </is>
      </c>
    </row>
    <row r="57">
      <c r="D57" t="inlineStr">
        <is>
          <t>Scheduled principal (contract; converged sizing; columns J to AW)</t>
        </is>
      </c>
      <c r="E57" t="inlineStr">
        <is>
          <t>USD m</t>
        </is>
      </c>
      <c r="G57">
        <f>SUM(J57:AW57)</f>
        <v/>
      </c>
      <c r="J57" s="12" t="n">
        <v>3.91481109531033</v>
      </c>
      <c r="K57" s="12" t="n">
        <v>3.352379416961482</v>
      </c>
      <c r="L57" s="12" t="n">
        <v>4.286996621322629</v>
      </c>
      <c r="M57" s="12" t="n">
        <v>3.730109045160061</v>
      </c>
      <c r="N57" s="12" t="n">
        <v>4.68714652397935</v>
      </c>
      <c r="O57" s="12" t="n">
        <v>4.136730780076802</v>
      </c>
      <c r="P57" s="12" t="n">
        <v>4.691903372962539</v>
      </c>
      <c r="Q57" s="12" t="n">
        <v>4.312823562822452</v>
      </c>
      <c r="R57" s="12" t="n">
        <v>5.02075241117416</v>
      </c>
      <c r="S57" s="12" t="n">
        <v>4.645096548146269</v>
      </c>
      <c r="T57" s="12" t="n">
        <v>5.368574917205871</v>
      </c>
      <c r="U57" s="12" t="n">
        <v>4.996809878985544</v>
      </c>
      <c r="V57" s="12" t="n">
        <v>5.736438972268158</v>
      </c>
      <c r="W57" s="12" t="n">
        <v>5.369060736545025</v>
      </c>
      <c r="X57" s="12" t="n">
        <v>6.125472755276772</v>
      </c>
      <c r="Y57" s="12" t="n">
        <v>5.763008068074416</v>
      </c>
      <c r="Z57" s="12" t="n">
        <v>6.536867931448315</v>
      </c>
      <c r="AA57" s="12" t="n">
        <v>6.179876069871913</v>
      </c>
      <c r="AB57" s="12" t="n">
        <v>6.971883232237006</v>
      </c>
      <c r="AC57" s="12" t="n">
        <v>6.620957866963606</v>
      </c>
      <c r="AD57" s="12" t="n">
        <v>7.431848237425161</v>
      </c>
      <c r="AE57" s="12" t="n">
        <v>7.087619400572622</v>
      </c>
      <c r="AF57" s="12" t="n">
        <v>7.918167370791201</v>
      </c>
      <c r="AG57" s="12" t="n">
        <v>7.581303535120389</v>
      </c>
      <c r="AH57" s="12" t="n">
        <v>8.432324121424553</v>
      </c>
      <c r="AI57" s="12" t="n">
        <v>8.103534397166008</v>
      </c>
      <c r="AJ57" s="12" t="n">
        <v>8.975885503439455</v>
      </c>
      <c r="AK57" s="12" t="n">
        <v>8.655921959391186</v>
      </c>
      <c r="AL57" s="12" t="n">
        <v>9.550506767560192</v>
      </c>
      <c r="AM57" s="12" t="n">
        <v>9.240166883479064</v>
      </c>
      <c r="AN57" s="12" t="n">
        <v>0</v>
      </c>
      <c r="AO57" s="12" t="n">
        <v>0</v>
      </c>
      <c r="AP57" s="12" t="n">
        <v>0</v>
      </c>
      <c r="AQ57" s="12" t="n">
        <v>0</v>
      </c>
      <c r="AR57" s="12" t="n">
        <v>0</v>
      </c>
      <c r="AS57" s="12" t="n">
        <v>0</v>
      </c>
      <c r="AT57" s="12" t="n">
        <v>0</v>
      </c>
      <c r="AU57" s="12" t="n">
        <v>0</v>
      </c>
      <c r="AV57" s="12" t="n">
        <v>0</v>
      </c>
      <c r="AW57" s="12" t="n">
        <v>0</v>
      </c>
    </row>
    <row r="58">
      <c r="D58" t="inlineStr">
        <is>
          <t>Numerical zero (debt service test)</t>
        </is>
      </c>
      <c r="E58" t="inlineStr">
        <is>
          <t>USD m</t>
        </is>
      </c>
      <c r="F58" s="16" t="n">
        <v>1e-09</v>
      </c>
    </row>
    <row r="59">
      <c r="D59" t="inlineStr">
        <is>
          <t>Check tolerance</t>
        </is>
      </c>
      <c r="E59" t="inlineStr">
        <is>
          <t>USD m</t>
        </is>
      </c>
      <c r="F59" s="16" t="n">
        <v>1e-06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2" customWidth="1" min="4" max="4"/>
    <col width="12" customWidth="1" min="5" max="5"/>
    <col width="14" customWidth="1" min="6" max="6"/>
    <col width="12" customWidth="1" min="7" max="7"/>
    <col width="2" customWidth="1" min="8" max="8"/>
    <col width="2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>
      <c r="A1" s="1" t="inlineStr">
        <is>
          <t>Cactus Ridge Solar and Storage (fictional; Illustrative): Exercise 43.17 solution</t>
        </is>
      </c>
    </row>
    <row r="2">
      <c r="A2" t="inlineStr">
        <is>
          <t>Construction: monthly uses and pro rata funding (January to December 2027)</t>
        </is>
      </c>
    </row>
    <row r="3">
      <c r="A3" t="inlineStr">
        <is>
          <t>Column D label, E unit, F constant or scalar, G row total; first period in column J. Inputs: blue on yellow. Links from other sheets: green. Checks: 0 when passing.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J5" s="17" t="inlineStr">
        <is>
          <t>2027-01</t>
        </is>
      </c>
      <c r="K5" s="17" t="inlineStr">
        <is>
          <t>2027-02</t>
        </is>
      </c>
      <c r="L5" s="17" t="inlineStr">
        <is>
          <t>2027-03</t>
        </is>
      </c>
      <c r="M5" s="17" t="inlineStr">
        <is>
          <t>2027-04</t>
        </is>
      </c>
      <c r="N5" s="17" t="inlineStr">
        <is>
          <t>2027-05</t>
        </is>
      </c>
      <c r="O5" s="17" t="inlineStr">
        <is>
          <t>2027-06</t>
        </is>
      </c>
      <c r="P5" s="17" t="inlineStr">
        <is>
          <t>2027-07</t>
        </is>
      </c>
      <c r="Q5" s="17" t="inlineStr">
        <is>
          <t>2027-08</t>
        </is>
      </c>
      <c r="R5" s="17" t="inlineStr">
        <is>
          <t>2027-09</t>
        </is>
      </c>
      <c r="S5" s="17" t="inlineStr">
        <is>
          <t>2027-10</t>
        </is>
      </c>
      <c r="T5" s="17" t="inlineStr">
        <is>
          <t>2027-11</t>
        </is>
      </c>
      <c r="U5" s="17" t="inlineStr">
        <is>
          <t>2027-12</t>
        </is>
      </c>
    </row>
    <row r="7">
      <c r="B7" s="2" t="inlineStr">
        <is>
          <t>Monthly timeline</t>
        </is>
      </c>
    </row>
    <row r="8">
      <c r="D8" t="inlineStr">
        <is>
          <t>Month number</t>
        </is>
      </c>
      <c r="E8" t="inlineStr">
        <is>
          <t>index</t>
        </is>
      </c>
      <c r="J8" s="18">
        <f>I8+1</f>
        <v/>
      </c>
      <c r="K8" s="18">
        <f>J8+1</f>
        <v/>
      </c>
      <c r="L8" s="18">
        <f>K8+1</f>
        <v/>
      </c>
      <c r="M8" s="18">
        <f>L8+1</f>
        <v/>
      </c>
      <c r="N8" s="18">
        <f>M8+1</f>
        <v/>
      </c>
      <c r="O8" s="18">
        <f>N8+1</f>
        <v/>
      </c>
      <c r="P8" s="18">
        <f>O8+1</f>
        <v/>
      </c>
      <c r="Q8" s="18">
        <f>P8+1</f>
        <v/>
      </c>
      <c r="R8" s="18">
        <f>Q8+1</f>
        <v/>
      </c>
      <c r="S8" s="18">
        <f>R8+1</f>
        <v/>
      </c>
      <c r="T8" s="18">
        <f>S8+1</f>
        <v/>
      </c>
      <c r="U8" s="18">
        <f>T8+1</f>
        <v/>
      </c>
    </row>
    <row r="9">
      <c r="D9" t="inlineStr">
        <is>
          <t>Month start</t>
        </is>
      </c>
      <c r="E9" t="inlineStr">
        <is>
          <t>date</t>
        </is>
      </c>
      <c r="J9" s="19">
        <f>IF(J8=1,Inputs!$F$53,EDATE(I9,1))</f>
        <v/>
      </c>
      <c r="K9" s="19">
        <f>IF(K8=1,Inputs!$F$53,EDATE(J9,1))</f>
        <v/>
      </c>
      <c r="L9" s="19">
        <f>IF(L8=1,Inputs!$F$53,EDATE(K9,1))</f>
        <v/>
      </c>
      <c r="M9" s="19">
        <f>IF(M8=1,Inputs!$F$53,EDATE(L9,1))</f>
        <v/>
      </c>
      <c r="N9" s="19">
        <f>IF(N8=1,Inputs!$F$53,EDATE(M9,1))</f>
        <v/>
      </c>
      <c r="O9" s="19">
        <f>IF(O8=1,Inputs!$F$53,EDATE(N9,1))</f>
        <v/>
      </c>
      <c r="P9" s="19">
        <f>IF(P8=1,Inputs!$F$53,EDATE(O9,1))</f>
        <v/>
      </c>
      <c r="Q9" s="19">
        <f>IF(Q8=1,Inputs!$F$53,EDATE(P9,1))</f>
        <v/>
      </c>
      <c r="R9" s="19">
        <f>IF(R8=1,Inputs!$F$53,EDATE(Q9,1))</f>
        <v/>
      </c>
      <c r="S9" s="19">
        <f>IF(S8=1,Inputs!$F$53,EDATE(R9,1))</f>
        <v/>
      </c>
      <c r="T9" s="19">
        <f>IF(T8=1,Inputs!$F$53,EDATE(S9,1))</f>
        <v/>
      </c>
      <c r="U9" s="19">
        <f>IF(U8=1,Inputs!$F$53,EDATE(T9,1))</f>
        <v/>
      </c>
    </row>
    <row r="10">
      <c r="D10" t="inlineStr">
        <is>
          <t>Month end (cash flow date)</t>
        </is>
      </c>
      <c r="E10" t="inlineStr">
        <is>
          <t>date</t>
        </is>
      </c>
      <c r="J10" s="19">
        <f>EOMONTH(J9,0)</f>
        <v/>
      </c>
      <c r="K10" s="19">
        <f>EOMONTH(K9,0)</f>
        <v/>
      </c>
      <c r="L10" s="19">
        <f>EOMONTH(L9,0)</f>
        <v/>
      </c>
      <c r="M10" s="19">
        <f>EOMONTH(M9,0)</f>
        <v/>
      </c>
      <c r="N10" s="19">
        <f>EOMONTH(N9,0)</f>
        <v/>
      </c>
      <c r="O10" s="19">
        <f>EOMONTH(O9,0)</f>
        <v/>
      </c>
      <c r="P10" s="19">
        <f>EOMONTH(P9,0)</f>
        <v/>
      </c>
      <c r="Q10" s="19">
        <f>EOMONTH(Q9,0)</f>
        <v/>
      </c>
      <c r="R10" s="19">
        <f>EOMONTH(R9,0)</f>
        <v/>
      </c>
      <c r="S10" s="19">
        <f>EOMONTH(S9,0)</f>
        <v/>
      </c>
      <c r="T10" s="19">
        <f>EOMONTH(T9,0)</f>
        <v/>
      </c>
      <c r="U10" s="19">
        <f>EOMONTH(U9,0)</f>
        <v/>
      </c>
    </row>
    <row r="11">
      <c r="B11" s="2" t="inlineStr">
        <is>
          <t>Uses (USD m)</t>
        </is>
      </c>
    </row>
    <row r="12">
      <c r="D12" t="inlineStr">
        <is>
          <t>PV EPC payments</t>
        </is>
      </c>
      <c r="E12" t="inlineStr">
        <is>
          <t>USD m</t>
        </is>
      </c>
      <c r="G12" s="20">
        <f>SUM(J12:U12)</f>
        <v/>
      </c>
      <c r="J12" s="20">
        <f>Inputs!$F$15*Inputs!J24/100</f>
        <v/>
      </c>
      <c r="K12" s="20">
        <f>Inputs!$F$15*Inputs!K24/100</f>
        <v/>
      </c>
      <c r="L12" s="20">
        <f>Inputs!$F$15*Inputs!L24/100</f>
        <v/>
      </c>
      <c r="M12" s="20">
        <f>Inputs!$F$15*Inputs!M24/100</f>
        <v/>
      </c>
      <c r="N12" s="20">
        <f>Inputs!$F$15*Inputs!N24/100</f>
        <v/>
      </c>
      <c r="O12" s="20">
        <f>Inputs!$F$15*Inputs!O24/100</f>
        <v/>
      </c>
      <c r="P12" s="20">
        <f>Inputs!$F$15*Inputs!P24/100</f>
        <v/>
      </c>
      <c r="Q12" s="20">
        <f>Inputs!$F$15*Inputs!Q24/100</f>
        <v/>
      </c>
      <c r="R12" s="20">
        <f>Inputs!$F$15*Inputs!R24/100</f>
        <v/>
      </c>
      <c r="S12" s="20">
        <f>Inputs!$F$15*Inputs!S24/100</f>
        <v/>
      </c>
      <c r="T12" s="20">
        <f>Inputs!$F$15*Inputs!T24/100</f>
        <v/>
      </c>
      <c r="U12" s="20">
        <f>Inputs!$F$15*Inputs!U24/100</f>
        <v/>
      </c>
    </row>
    <row r="13">
      <c r="D13" t="inlineStr">
        <is>
          <t>Battery supply payments</t>
        </is>
      </c>
      <c r="E13" t="inlineStr">
        <is>
          <t>USD m</t>
        </is>
      </c>
      <c r="G13" s="20">
        <f>SUM(J13:U13)</f>
        <v/>
      </c>
      <c r="J13" s="20">
        <f>Inputs!$F$16*(IF(J8=Inputs!$F$19,Inputs!$F$17,0)+IF(J8=Inputs!$F$20,Inputs!$F$18,0))/100</f>
        <v/>
      </c>
      <c r="K13" s="20">
        <f>Inputs!$F$16*(IF(K8=Inputs!$F$19,Inputs!$F$17,0)+IF(K8=Inputs!$F$20,Inputs!$F$18,0))/100</f>
        <v/>
      </c>
      <c r="L13" s="20">
        <f>Inputs!$F$16*(IF(L8=Inputs!$F$19,Inputs!$F$17,0)+IF(L8=Inputs!$F$20,Inputs!$F$18,0))/100</f>
        <v/>
      </c>
      <c r="M13" s="20">
        <f>Inputs!$F$16*(IF(M8=Inputs!$F$19,Inputs!$F$17,0)+IF(M8=Inputs!$F$20,Inputs!$F$18,0))/100</f>
        <v/>
      </c>
      <c r="N13" s="20">
        <f>Inputs!$F$16*(IF(N8=Inputs!$F$19,Inputs!$F$17,0)+IF(N8=Inputs!$F$20,Inputs!$F$18,0))/100</f>
        <v/>
      </c>
      <c r="O13" s="20">
        <f>Inputs!$F$16*(IF(O8=Inputs!$F$19,Inputs!$F$17,0)+IF(O8=Inputs!$F$20,Inputs!$F$18,0))/100</f>
        <v/>
      </c>
      <c r="P13" s="20">
        <f>Inputs!$F$16*(IF(P8=Inputs!$F$19,Inputs!$F$17,0)+IF(P8=Inputs!$F$20,Inputs!$F$18,0))/100</f>
        <v/>
      </c>
      <c r="Q13" s="20">
        <f>Inputs!$F$16*(IF(Q8=Inputs!$F$19,Inputs!$F$17,0)+IF(Q8=Inputs!$F$20,Inputs!$F$18,0))/100</f>
        <v/>
      </c>
      <c r="R13" s="20">
        <f>Inputs!$F$16*(IF(R8=Inputs!$F$19,Inputs!$F$17,0)+IF(R8=Inputs!$F$20,Inputs!$F$18,0))/100</f>
        <v/>
      </c>
      <c r="S13" s="20">
        <f>Inputs!$F$16*(IF(S8=Inputs!$F$19,Inputs!$F$17,0)+IF(S8=Inputs!$F$20,Inputs!$F$18,0))/100</f>
        <v/>
      </c>
      <c r="T13" s="20">
        <f>Inputs!$F$16*(IF(T8=Inputs!$F$19,Inputs!$F$17,0)+IF(T8=Inputs!$F$20,Inputs!$F$18,0))/100</f>
        <v/>
      </c>
      <c r="U13" s="20">
        <f>Inputs!$F$16*(IF(U8=Inputs!$F$19,Inputs!$F$17,0)+IF(U8=Inputs!$F$20,Inputs!$F$18,0))/100</f>
        <v/>
      </c>
    </row>
    <row r="14">
      <c r="D14" t="inlineStr">
        <is>
          <t>Development and owner's costs</t>
        </is>
      </c>
      <c r="E14" t="inlineStr">
        <is>
          <t>USD m</t>
        </is>
      </c>
      <c r="G14" s="20">
        <f>SUM(J14:U14)</f>
        <v/>
      </c>
      <c r="J14" s="20">
        <f>IF(J8=1,Inputs!$F$21,0)</f>
        <v/>
      </c>
      <c r="K14" s="20">
        <f>IF(K8=1,Inputs!$F$21,0)</f>
        <v/>
      </c>
      <c r="L14" s="20">
        <f>IF(L8=1,Inputs!$F$21,0)</f>
        <v/>
      </c>
      <c r="M14" s="20">
        <f>IF(M8=1,Inputs!$F$21,0)</f>
        <v/>
      </c>
      <c r="N14" s="20">
        <f>IF(N8=1,Inputs!$F$21,0)</f>
        <v/>
      </c>
      <c r="O14" s="20">
        <f>IF(O8=1,Inputs!$F$21,0)</f>
        <v/>
      </c>
      <c r="P14" s="20">
        <f>IF(P8=1,Inputs!$F$21,0)</f>
        <v/>
      </c>
      <c r="Q14" s="20">
        <f>IF(Q8=1,Inputs!$F$21,0)</f>
        <v/>
      </c>
      <c r="R14" s="20">
        <f>IF(R8=1,Inputs!$F$21,0)</f>
        <v/>
      </c>
      <c r="S14" s="20">
        <f>IF(S8=1,Inputs!$F$21,0)</f>
        <v/>
      </c>
      <c r="T14" s="20">
        <f>IF(T8=1,Inputs!$F$21,0)</f>
        <v/>
      </c>
      <c r="U14" s="20">
        <f>IF(U8=1,Inputs!$F$21,0)</f>
        <v/>
      </c>
    </row>
    <row r="15">
      <c r="D15" t="inlineStr">
        <is>
          <t>Contingency (pro rata with PV EPC payments, months 2 to 12)</t>
        </is>
      </c>
      <c r="E15" t="inlineStr">
        <is>
          <t>USD m</t>
        </is>
      </c>
      <c r="G15" s="20">
        <f>SUM(J15:U15)</f>
        <v/>
      </c>
      <c r="J15" s="20">
        <f>IF(J8&gt;1,Inputs!$F$22*Inputs!J24/SUMIFS(Inputs!$J$24:$U$24,$J$8:$U$8,"&gt;1"),0)</f>
        <v/>
      </c>
      <c r="K15" s="20">
        <f>IF(K8&gt;1,Inputs!$F$22*Inputs!K24/SUMIFS(Inputs!$J$24:$U$24,$J$8:$U$8,"&gt;1"),0)</f>
        <v/>
      </c>
      <c r="L15" s="20">
        <f>IF(L8&gt;1,Inputs!$F$22*Inputs!L24/SUMIFS(Inputs!$J$24:$U$24,$J$8:$U$8,"&gt;1"),0)</f>
        <v/>
      </c>
      <c r="M15" s="20">
        <f>IF(M8&gt;1,Inputs!$F$22*Inputs!M24/SUMIFS(Inputs!$J$24:$U$24,$J$8:$U$8,"&gt;1"),0)</f>
        <v/>
      </c>
      <c r="N15" s="20">
        <f>IF(N8&gt;1,Inputs!$F$22*Inputs!N24/SUMIFS(Inputs!$J$24:$U$24,$J$8:$U$8,"&gt;1"),0)</f>
        <v/>
      </c>
      <c r="O15" s="20">
        <f>IF(O8&gt;1,Inputs!$F$22*Inputs!O24/SUMIFS(Inputs!$J$24:$U$24,$J$8:$U$8,"&gt;1"),0)</f>
        <v/>
      </c>
      <c r="P15" s="20">
        <f>IF(P8&gt;1,Inputs!$F$22*Inputs!P24/SUMIFS(Inputs!$J$24:$U$24,$J$8:$U$8,"&gt;1"),0)</f>
        <v/>
      </c>
      <c r="Q15" s="20">
        <f>IF(Q8&gt;1,Inputs!$F$22*Inputs!Q24/SUMIFS(Inputs!$J$24:$U$24,$J$8:$U$8,"&gt;1"),0)</f>
        <v/>
      </c>
      <c r="R15" s="20">
        <f>IF(R8&gt;1,Inputs!$F$22*Inputs!R24/SUMIFS(Inputs!$J$24:$U$24,$J$8:$U$8,"&gt;1"),0)</f>
        <v/>
      </c>
      <c r="S15" s="20">
        <f>IF(S8&gt;1,Inputs!$F$22*Inputs!S24/SUMIFS(Inputs!$J$24:$U$24,$J$8:$U$8,"&gt;1"),0)</f>
        <v/>
      </c>
      <c r="T15" s="20">
        <f>IF(T8&gt;1,Inputs!$F$22*Inputs!T24/SUMIFS(Inputs!$J$24:$U$24,$J$8:$U$8,"&gt;1"),0)</f>
        <v/>
      </c>
      <c r="U15" s="20">
        <f>IF(U8&gt;1,Inputs!$F$22*Inputs!U24/SUMIFS(Inputs!$J$24:$U$24,$J$8:$U$8,"&gt;1"),0)</f>
        <v/>
      </c>
    </row>
    <row r="16">
      <c r="D16" t="inlineStr">
        <is>
          <t>Hard costs</t>
        </is>
      </c>
      <c r="E16" t="inlineStr">
        <is>
          <t>USD m</t>
        </is>
      </c>
      <c r="G16" s="20">
        <f>SUM(J16:U16)</f>
        <v/>
      </c>
      <c r="J16" s="20">
        <f>SUM(J12:J15)</f>
        <v/>
      </c>
      <c r="K16" s="20">
        <f>SUM(K12:K15)</f>
        <v/>
      </c>
      <c r="L16" s="20">
        <f>SUM(L12:L15)</f>
        <v/>
      </c>
      <c r="M16" s="20">
        <f>SUM(M12:M15)</f>
        <v/>
      </c>
      <c r="N16" s="20">
        <f>SUM(N12:N15)</f>
        <v/>
      </c>
      <c r="O16" s="20">
        <f>SUM(O12:O15)</f>
        <v/>
      </c>
      <c r="P16" s="20">
        <f>SUM(P12:P15)</f>
        <v/>
      </c>
      <c r="Q16" s="20">
        <f>SUM(Q12:Q15)</f>
        <v/>
      </c>
      <c r="R16" s="20">
        <f>SUM(R12:R15)</f>
        <v/>
      </c>
      <c r="S16" s="20">
        <f>SUM(S12:S15)</f>
        <v/>
      </c>
      <c r="T16" s="20">
        <f>SUM(T12:T15)</f>
        <v/>
      </c>
      <c r="U16" s="20">
        <f>SUM(U12:U15)</f>
        <v/>
      </c>
    </row>
    <row r="17">
      <c r="D17" t="inlineStr">
        <is>
          <t>Senior loan: opening balance</t>
        </is>
      </c>
      <c r="E17" t="inlineStr">
        <is>
          <t>USD m</t>
        </is>
      </c>
      <c r="J17" s="20">
        <f>I24</f>
        <v/>
      </c>
      <c r="K17" s="20">
        <f>J24</f>
        <v/>
      </c>
      <c r="L17" s="20">
        <f>K24</f>
        <v/>
      </c>
      <c r="M17" s="20">
        <f>L24</f>
        <v/>
      </c>
      <c r="N17" s="20">
        <f>M24</f>
        <v/>
      </c>
      <c r="O17" s="20">
        <f>N24</f>
        <v/>
      </c>
      <c r="P17" s="20">
        <f>O24</f>
        <v/>
      </c>
      <c r="Q17" s="20">
        <f>P24</f>
        <v/>
      </c>
      <c r="R17" s="20">
        <f>Q24</f>
        <v/>
      </c>
      <c r="S17" s="20">
        <f>R24</f>
        <v/>
      </c>
      <c r="T17" s="20">
        <f>S24</f>
        <v/>
      </c>
      <c r="U17" s="20">
        <f>T24</f>
        <v/>
      </c>
    </row>
    <row r="18">
      <c r="D18" t="inlineStr">
        <is>
          <t>Interest during construction (rate / 12 on the opening balance)</t>
        </is>
      </c>
      <c r="E18" t="inlineStr">
        <is>
          <t>USD m</t>
        </is>
      </c>
      <c r="G18" s="20">
        <f>SUM(J18:U18)</f>
        <v/>
      </c>
      <c r="J18" s="20">
        <f>J17*Inputs!$F$26/100/Inputs!$F$27</f>
        <v/>
      </c>
      <c r="K18" s="20">
        <f>K17*Inputs!$F$26/100/Inputs!$F$27</f>
        <v/>
      </c>
      <c r="L18" s="20">
        <f>L17*Inputs!$F$26/100/Inputs!$F$27</f>
        <v/>
      </c>
      <c r="M18" s="20">
        <f>M17*Inputs!$F$26/100/Inputs!$F$27</f>
        <v/>
      </c>
      <c r="N18" s="20">
        <f>N17*Inputs!$F$26/100/Inputs!$F$27</f>
        <v/>
      </c>
      <c r="O18" s="20">
        <f>O17*Inputs!$F$26/100/Inputs!$F$27</f>
        <v/>
      </c>
      <c r="P18" s="20">
        <f>P17*Inputs!$F$26/100/Inputs!$F$27</f>
        <v/>
      </c>
      <c r="Q18" s="20">
        <f>Q17*Inputs!$F$26/100/Inputs!$F$27</f>
        <v/>
      </c>
      <c r="R18" s="20">
        <f>R17*Inputs!$F$26/100/Inputs!$F$27</f>
        <v/>
      </c>
      <c r="S18" s="20">
        <f>S17*Inputs!$F$26/100/Inputs!$F$27</f>
        <v/>
      </c>
      <c r="T18" s="20">
        <f>T17*Inputs!$F$26/100/Inputs!$F$27</f>
        <v/>
      </c>
      <c r="U18" s="20">
        <f>U17*Inputs!$F$26/100/Inputs!$F$27</f>
        <v/>
      </c>
    </row>
    <row r="19">
      <c r="D19" t="inlineStr">
        <is>
          <t>Commitment fee (on the undrawn commitment at month start)</t>
        </is>
      </c>
      <c r="E19" t="inlineStr">
        <is>
          <t>USD m</t>
        </is>
      </c>
      <c r="G19" s="20">
        <f>SUM(J19:U19)</f>
        <v/>
      </c>
      <c r="J19" s="20">
        <f>(Inputs!$F$33-J17)*Inputs!$F$29/100/Inputs!$F$27</f>
        <v/>
      </c>
      <c r="K19" s="20">
        <f>(Inputs!$F$33-K17)*Inputs!$F$29/100/Inputs!$F$27</f>
        <v/>
      </c>
      <c r="L19" s="20">
        <f>(Inputs!$F$33-L17)*Inputs!$F$29/100/Inputs!$F$27</f>
        <v/>
      </c>
      <c r="M19" s="20">
        <f>(Inputs!$F$33-M17)*Inputs!$F$29/100/Inputs!$F$27</f>
        <v/>
      </c>
      <c r="N19" s="20">
        <f>(Inputs!$F$33-N17)*Inputs!$F$29/100/Inputs!$F$27</f>
        <v/>
      </c>
      <c r="O19" s="20">
        <f>(Inputs!$F$33-O17)*Inputs!$F$29/100/Inputs!$F$27</f>
        <v/>
      </c>
      <c r="P19" s="20">
        <f>(Inputs!$F$33-P17)*Inputs!$F$29/100/Inputs!$F$27</f>
        <v/>
      </c>
      <c r="Q19" s="20">
        <f>(Inputs!$F$33-Q17)*Inputs!$F$29/100/Inputs!$F$27</f>
        <v/>
      </c>
      <c r="R19" s="20">
        <f>(Inputs!$F$33-R17)*Inputs!$F$29/100/Inputs!$F$27</f>
        <v/>
      </c>
      <c r="S19" s="20">
        <f>(Inputs!$F$33-S17)*Inputs!$F$29/100/Inputs!$F$27</f>
        <v/>
      </c>
      <c r="T19" s="20">
        <f>(Inputs!$F$33-T17)*Inputs!$F$29/100/Inputs!$F$27</f>
        <v/>
      </c>
      <c r="U19" s="20">
        <f>(Inputs!$F$33-U17)*Inputs!$F$29/100/Inputs!$F$27</f>
        <v/>
      </c>
    </row>
    <row r="20">
      <c r="D20" t="inlineStr">
        <is>
          <t>Upfront fee (month 1)</t>
        </is>
      </c>
      <c r="E20" t="inlineStr">
        <is>
          <t>USD m</t>
        </is>
      </c>
      <c r="G20" s="20">
        <f>SUM(J20:U20)</f>
        <v/>
      </c>
      <c r="J20" s="20">
        <f>IF(J8=1,Inputs!$F$28/100*Inputs!$F$33,0)</f>
        <v/>
      </c>
      <c r="K20" s="20">
        <f>IF(K8=1,Inputs!$F$28/100*Inputs!$F$33,0)</f>
        <v/>
      </c>
      <c r="L20" s="20">
        <f>IF(L8=1,Inputs!$F$28/100*Inputs!$F$33,0)</f>
        <v/>
      </c>
      <c r="M20" s="20">
        <f>IF(M8=1,Inputs!$F$28/100*Inputs!$F$33,0)</f>
        <v/>
      </c>
      <c r="N20" s="20">
        <f>IF(N8=1,Inputs!$F$28/100*Inputs!$F$33,0)</f>
        <v/>
      </c>
      <c r="O20" s="20">
        <f>IF(O8=1,Inputs!$F$28/100*Inputs!$F$33,0)</f>
        <v/>
      </c>
      <c r="P20" s="20">
        <f>IF(P8=1,Inputs!$F$28/100*Inputs!$F$33,0)</f>
        <v/>
      </c>
      <c r="Q20" s="20">
        <f>IF(Q8=1,Inputs!$F$28/100*Inputs!$F$33,0)</f>
        <v/>
      </c>
      <c r="R20" s="20">
        <f>IF(R8=1,Inputs!$F$28/100*Inputs!$F$33,0)</f>
        <v/>
      </c>
      <c r="S20" s="20">
        <f>IF(S8=1,Inputs!$F$28/100*Inputs!$F$33,0)</f>
        <v/>
      </c>
      <c r="T20" s="20">
        <f>IF(T8=1,Inputs!$F$28/100*Inputs!$F$33,0)</f>
        <v/>
      </c>
      <c r="U20" s="20">
        <f>IF(U8=1,Inputs!$F$28/100*Inputs!$F$33,0)</f>
        <v/>
      </c>
    </row>
    <row r="21">
      <c r="D21" t="inlineStr">
        <is>
          <t>DSRA initial funding (first half-year debt service, month before COD)</t>
        </is>
      </c>
      <c r="E21" t="inlineStr">
        <is>
          <t>USD m</t>
        </is>
      </c>
      <c r="G21" s="20">
        <f>SUM(J21:U21)</f>
        <v/>
      </c>
      <c r="J21" s="20">
        <f>IF(J10=EOMONTH(Inputs!$F$54,-1),Debt!$F$13,0)</f>
        <v/>
      </c>
      <c r="K21" s="20">
        <f>IF(K10=EOMONTH(Inputs!$F$54,-1),Debt!$F$13,0)</f>
        <v/>
      </c>
      <c r="L21" s="20">
        <f>IF(L10=EOMONTH(Inputs!$F$54,-1),Debt!$F$13,0)</f>
        <v/>
      </c>
      <c r="M21" s="20">
        <f>IF(M10=EOMONTH(Inputs!$F$54,-1),Debt!$F$13,0)</f>
        <v/>
      </c>
      <c r="N21" s="20">
        <f>IF(N10=EOMONTH(Inputs!$F$54,-1),Debt!$F$13,0)</f>
        <v/>
      </c>
      <c r="O21" s="20">
        <f>IF(O10=EOMONTH(Inputs!$F$54,-1),Debt!$F$13,0)</f>
        <v/>
      </c>
      <c r="P21" s="20">
        <f>IF(P10=EOMONTH(Inputs!$F$54,-1),Debt!$F$13,0)</f>
        <v/>
      </c>
      <c r="Q21" s="20">
        <f>IF(Q10=EOMONTH(Inputs!$F$54,-1),Debt!$F$13,0)</f>
        <v/>
      </c>
      <c r="R21" s="20">
        <f>IF(R10=EOMONTH(Inputs!$F$54,-1),Debt!$F$13,0)</f>
        <v/>
      </c>
      <c r="S21" s="20">
        <f>IF(S10=EOMONTH(Inputs!$F$54,-1),Debt!$F$13,0)</f>
        <v/>
      </c>
      <c r="T21" s="20">
        <f>IF(T10=EOMONTH(Inputs!$F$54,-1),Debt!$F$13,0)</f>
        <v/>
      </c>
      <c r="U21" s="20">
        <f>IF(U10=EOMONTH(Inputs!$F$54,-1),Debt!$F$13,0)</f>
        <v/>
      </c>
    </row>
    <row r="22">
      <c r="D22" t="inlineStr">
        <is>
          <t>Total uses</t>
        </is>
      </c>
      <c r="E22" t="inlineStr">
        <is>
          <t>USD m</t>
        </is>
      </c>
      <c r="G22" s="20">
        <f>SUM(J22:U22)</f>
        <v/>
      </c>
      <c r="J22" s="20">
        <f>J16+J18+J19+J20+J21</f>
        <v/>
      </c>
      <c r="K22" s="20">
        <f>K16+K18+K19+K20+K21</f>
        <v/>
      </c>
      <c r="L22" s="20">
        <f>L16+L18+L19+L20+L21</f>
        <v/>
      </c>
      <c r="M22" s="20">
        <f>M16+M18+M19+M20+M21</f>
        <v/>
      </c>
      <c r="N22" s="20">
        <f>N16+N18+N19+N20+N21</f>
        <v/>
      </c>
      <c r="O22" s="20">
        <f>O16+O18+O19+O20+O21</f>
        <v/>
      </c>
      <c r="P22" s="20">
        <f>P16+P18+P19+P20+P21</f>
        <v/>
      </c>
      <c r="Q22" s="20">
        <f>Q16+Q18+Q19+Q20+Q21</f>
        <v/>
      </c>
      <c r="R22" s="20">
        <f>R16+R18+R19+R20+R21</f>
        <v/>
      </c>
      <c r="S22" s="20">
        <f>S16+S18+S19+S20+S21</f>
        <v/>
      </c>
      <c r="T22" s="20">
        <f>T16+T18+T19+T20+T21</f>
        <v/>
      </c>
      <c r="U22" s="20">
        <f>U16+U18+U19+U20+U21</f>
        <v/>
      </c>
    </row>
    <row r="23">
      <c r="D23" t="inlineStr">
        <is>
          <t>Senior loan drawdown (debt share g of uses)</t>
        </is>
      </c>
      <c r="E23" t="inlineStr">
        <is>
          <t>USD m</t>
        </is>
      </c>
      <c r="G23" s="20">
        <f>SUM(J23:U23)</f>
        <v/>
      </c>
      <c r="J23" s="20">
        <f>$F$26*J22</f>
        <v/>
      </c>
      <c r="K23" s="20">
        <f>$F$26*K22</f>
        <v/>
      </c>
      <c r="L23" s="20">
        <f>$F$26*L22</f>
        <v/>
      </c>
      <c r="M23" s="20">
        <f>$F$26*M22</f>
        <v/>
      </c>
      <c r="N23" s="20">
        <f>$F$26*N22</f>
        <v/>
      </c>
      <c r="O23" s="20">
        <f>$F$26*O22</f>
        <v/>
      </c>
      <c r="P23" s="20">
        <f>$F$26*P22</f>
        <v/>
      </c>
      <c r="Q23" s="20">
        <f>$F$26*Q22</f>
        <v/>
      </c>
      <c r="R23" s="20">
        <f>$F$26*R22</f>
        <v/>
      </c>
      <c r="S23" s="20">
        <f>$F$26*S22</f>
        <v/>
      </c>
      <c r="T23" s="20">
        <f>$F$26*T22</f>
        <v/>
      </c>
      <c r="U23" s="20">
        <f>$F$26*U22</f>
        <v/>
      </c>
    </row>
    <row r="24">
      <c r="D24" t="inlineStr">
        <is>
          <t>Senior loan: closing balance</t>
        </is>
      </c>
      <c r="E24" t="inlineStr">
        <is>
          <t>USD m</t>
        </is>
      </c>
      <c r="J24" s="20">
        <f>J17+J23</f>
        <v/>
      </c>
      <c r="K24" s="20">
        <f>K17+K23</f>
        <v/>
      </c>
      <c r="L24" s="20">
        <f>L17+L23</f>
        <v/>
      </c>
      <c r="M24" s="20">
        <f>M17+M23</f>
        <v/>
      </c>
      <c r="N24" s="20">
        <f>N17+N23</f>
        <v/>
      </c>
      <c r="O24" s="20">
        <f>O17+O23</f>
        <v/>
      </c>
      <c r="P24" s="20">
        <f>P17+P23</f>
        <v/>
      </c>
      <c r="Q24" s="20">
        <f>Q17+Q23</f>
        <v/>
      </c>
      <c r="R24" s="20">
        <f>R17+R23</f>
        <v/>
      </c>
      <c r="S24" s="20">
        <f>S17+S23</f>
        <v/>
      </c>
      <c r="T24" s="20">
        <f>T17+T23</f>
        <v/>
      </c>
      <c r="U24" s="20">
        <f>U17+U23</f>
        <v/>
      </c>
    </row>
    <row r="25">
      <c r="D25" t="inlineStr">
        <is>
          <t>Equity contribution</t>
        </is>
      </c>
      <c r="E25" t="inlineStr">
        <is>
          <t>USD m</t>
        </is>
      </c>
      <c r="G25" s="20">
        <f>SUM(J25:U25)</f>
        <v/>
      </c>
      <c r="J25" s="20">
        <f>J22-J23</f>
        <v/>
      </c>
      <c r="K25" s="20">
        <f>K22-K23</f>
        <v/>
      </c>
      <c r="L25" s="20">
        <f>L22-L23</f>
        <v/>
      </c>
      <c r="M25" s="20">
        <f>M22-M23</f>
        <v/>
      </c>
      <c r="N25" s="20">
        <f>N22-N23</f>
        <v/>
      </c>
      <c r="O25" s="20">
        <f>O22-O23</f>
        <v/>
      </c>
      <c r="P25" s="20">
        <f>P22-P23</f>
        <v/>
      </c>
      <c r="Q25" s="20">
        <f>Q22-Q23</f>
        <v/>
      </c>
      <c r="R25" s="20">
        <f>R22-R23</f>
        <v/>
      </c>
      <c r="S25" s="20">
        <f>S22-S23</f>
        <v/>
      </c>
      <c r="T25" s="20">
        <f>T22-T23</f>
        <v/>
      </c>
      <c r="U25" s="20">
        <f>U22-U23</f>
        <v/>
      </c>
    </row>
    <row r="26">
      <c r="D26" t="inlineStr">
        <is>
          <t>Debt share of funding g = D / (D + E)</t>
        </is>
      </c>
      <c r="E26" t="inlineStr">
        <is>
          <t>fraction</t>
        </is>
      </c>
      <c r="F26" s="21">
        <f>Inputs!$F$33/(Inputs!$F$33+Inputs!$F$34)</f>
        <v/>
      </c>
    </row>
    <row r="27">
      <c r="D27" t="inlineStr">
        <is>
          <t>Total funding requirement T (sum of uses)</t>
        </is>
      </c>
      <c r="E27" t="inlineStr">
        <is>
          <t>USD m</t>
        </is>
      </c>
      <c r="F27" s="22">
        <f>SUM(J22:U22)</f>
        <v/>
      </c>
    </row>
    <row r="28">
      <c r="D28" t="inlineStr">
        <is>
          <t>Capitalized cost for tax (total uses less DSRA)</t>
        </is>
      </c>
      <c r="E28" t="inlineStr">
        <is>
          <t>USD m</t>
        </is>
      </c>
      <c r="F28" s="22">
        <f>F27-SUM(J21:U21)</f>
        <v/>
      </c>
    </row>
    <row r="29">
      <c r="D29" t="inlineStr">
        <is>
          <t>Gearing (senior debt / total funding)</t>
        </is>
      </c>
      <c r="E29" t="inlineStr">
        <is>
          <t>%</t>
        </is>
      </c>
      <c r="F29" s="23">
        <f>SUM(J23:U23)/F27*100</f>
        <v/>
      </c>
    </row>
    <row r="30">
      <c r="D30" t="inlineStr">
        <is>
          <t>Senior debt at the gearing cap</t>
        </is>
      </c>
      <c r="E30" t="inlineStr">
        <is>
          <t>USD m</t>
        </is>
      </c>
      <c r="F30" s="22">
        <f>Inputs!$F$30/100*F27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26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2" customWidth="1" min="4" max="4"/>
    <col width="12" customWidth="1" min="5" max="5"/>
    <col width="14" customWidth="1" min="6" max="6"/>
    <col width="12" customWidth="1" min="7" max="7"/>
    <col width="2" customWidth="1" min="8" max="8"/>
    <col width="2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</cols>
  <sheetData>
    <row r="1">
      <c r="A1" s="1" t="inlineStr">
        <is>
          <t>Cactus Ridge Solar and Storage (fictional; Illustrative): Exercise 43.17 solution</t>
        </is>
      </c>
    </row>
    <row r="2">
      <c r="A2" t="inlineStr">
        <is>
          <t>Operations: timeline, energy, revenue, operating costs (half-years 2028H1 to 2047H2)</t>
        </is>
      </c>
    </row>
    <row r="3">
      <c r="A3" t="inlineStr">
        <is>
          <t>Column D label, E unit, F constant or scalar, G row total; first period in column J. Inputs: blue on yellow. Links from other sheets: green. Checks: 0 when passing.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J5" s="17" t="inlineStr">
        <is>
          <t>2028H1</t>
        </is>
      </c>
      <c r="K5" s="17" t="inlineStr">
        <is>
          <t>2028H2</t>
        </is>
      </c>
      <c r="L5" s="17" t="inlineStr">
        <is>
          <t>2029H1</t>
        </is>
      </c>
      <c r="M5" s="17" t="inlineStr">
        <is>
          <t>2029H2</t>
        </is>
      </c>
      <c r="N5" s="17" t="inlineStr">
        <is>
          <t>2030H1</t>
        </is>
      </c>
      <c r="O5" s="17" t="inlineStr">
        <is>
          <t>2030H2</t>
        </is>
      </c>
      <c r="P5" s="17" t="inlineStr">
        <is>
          <t>2031H1</t>
        </is>
      </c>
      <c r="Q5" s="17" t="inlineStr">
        <is>
          <t>2031H2</t>
        </is>
      </c>
      <c r="R5" s="17" t="inlineStr">
        <is>
          <t>2032H1</t>
        </is>
      </c>
      <c r="S5" s="17" t="inlineStr">
        <is>
          <t>2032H2</t>
        </is>
      </c>
      <c r="T5" s="17" t="inlineStr">
        <is>
          <t>2033H1</t>
        </is>
      </c>
      <c r="U5" s="17" t="inlineStr">
        <is>
          <t>2033H2</t>
        </is>
      </c>
      <c r="V5" s="17" t="inlineStr">
        <is>
          <t>2034H1</t>
        </is>
      </c>
      <c r="W5" s="17" t="inlineStr">
        <is>
          <t>2034H2</t>
        </is>
      </c>
      <c r="X5" s="17" t="inlineStr">
        <is>
          <t>2035H1</t>
        </is>
      </c>
      <c r="Y5" s="17" t="inlineStr">
        <is>
          <t>2035H2</t>
        </is>
      </c>
      <c r="Z5" s="17" t="inlineStr">
        <is>
          <t>2036H1</t>
        </is>
      </c>
      <c r="AA5" s="17" t="inlineStr">
        <is>
          <t>2036H2</t>
        </is>
      </c>
      <c r="AB5" s="17" t="inlineStr">
        <is>
          <t>2037H1</t>
        </is>
      </c>
      <c r="AC5" s="17" t="inlineStr">
        <is>
          <t>2037H2</t>
        </is>
      </c>
      <c r="AD5" s="17" t="inlineStr">
        <is>
          <t>2038H1</t>
        </is>
      </c>
      <c r="AE5" s="17" t="inlineStr">
        <is>
          <t>2038H2</t>
        </is>
      </c>
      <c r="AF5" s="17" t="inlineStr">
        <is>
          <t>2039H1</t>
        </is>
      </c>
      <c r="AG5" s="17" t="inlineStr">
        <is>
          <t>2039H2</t>
        </is>
      </c>
      <c r="AH5" s="17" t="inlineStr">
        <is>
          <t>2040H1</t>
        </is>
      </c>
      <c r="AI5" s="17" t="inlineStr">
        <is>
          <t>2040H2</t>
        </is>
      </c>
      <c r="AJ5" s="17" t="inlineStr">
        <is>
          <t>2041H1</t>
        </is>
      </c>
      <c r="AK5" s="17" t="inlineStr">
        <is>
          <t>2041H2</t>
        </is>
      </c>
      <c r="AL5" s="17" t="inlineStr">
        <is>
          <t>2042H1</t>
        </is>
      </c>
      <c r="AM5" s="17" t="inlineStr">
        <is>
          <t>2042H2</t>
        </is>
      </c>
      <c r="AN5" s="17" t="inlineStr">
        <is>
          <t>2043H1</t>
        </is>
      </c>
      <c r="AO5" s="17" t="inlineStr">
        <is>
          <t>2043H2</t>
        </is>
      </c>
      <c r="AP5" s="17" t="inlineStr">
        <is>
          <t>2044H1</t>
        </is>
      </c>
      <c r="AQ5" s="17" t="inlineStr">
        <is>
          <t>2044H2</t>
        </is>
      </c>
      <c r="AR5" s="17" t="inlineStr">
        <is>
          <t>2045H1</t>
        </is>
      </c>
      <c r="AS5" s="17" t="inlineStr">
        <is>
          <t>2045H2</t>
        </is>
      </c>
      <c r="AT5" s="17" t="inlineStr">
        <is>
          <t>2046H1</t>
        </is>
      </c>
      <c r="AU5" s="17" t="inlineStr">
        <is>
          <t>2046H2</t>
        </is>
      </c>
      <c r="AV5" s="17" t="inlineStr">
        <is>
          <t>2047H1</t>
        </is>
      </c>
      <c r="AW5" s="17" t="inlineStr">
        <is>
          <t>2047H2</t>
        </is>
      </c>
    </row>
    <row r="7">
      <c r="B7" s="2" t="inlineStr">
        <is>
          <t>Semiannual timeline</t>
        </is>
      </c>
    </row>
    <row r="8">
      <c r="D8" t="inlineStr">
        <is>
          <t>Period number</t>
        </is>
      </c>
      <c r="E8" t="inlineStr">
        <is>
          <t>index</t>
        </is>
      </c>
      <c r="J8" s="18">
        <f>I8+1</f>
        <v/>
      </c>
      <c r="K8" s="18">
        <f>J8+1</f>
        <v/>
      </c>
      <c r="L8" s="18">
        <f>K8+1</f>
        <v/>
      </c>
      <c r="M8" s="18">
        <f>L8+1</f>
        <v/>
      </c>
      <c r="N8" s="18">
        <f>M8+1</f>
        <v/>
      </c>
      <c r="O8" s="18">
        <f>N8+1</f>
        <v/>
      </c>
      <c r="P8" s="18">
        <f>O8+1</f>
        <v/>
      </c>
      <c r="Q8" s="18">
        <f>P8+1</f>
        <v/>
      </c>
      <c r="R8" s="18">
        <f>Q8+1</f>
        <v/>
      </c>
      <c r="S8" s="18">
        <f>R8+1</f>
        <v/>
      </c>
      <c r="T8" s="18">
        <f>S8+1</f>
        <v/>
      </c>
      <c r="U8" s="18">
        <f>T8+1</f>
        <v/>
      </c>
      <c r="V8" s="18">
        <f>U8+1</f>
        <v/>
      </c>
      <c r="W8" s="18">
        <f>V8+1</f>
        <v/>
      </c>
      <c r="X8" s="18">
        <f>W8+1</f>
        <v/>
      </c>
      <c r="Y8" s="18">
        <f>X8+1</f>
        <v/>
      </c>
      <c r="Z8" s="18">
        <f>Y8+1</f>
        <v/>
      </c>
      <c r="AA8" s="18">
        <f>Z8+1</f>
        <v/>
      </c>
      <c r="AB8" s="18">
        <f>AA8+1</f>
        <v/>
      </c>
      <c r="AC8" s="18">
        <f>AB8+1</f>
        <v/>
      </c>
      <c r="AD8" s="18">
        <f>AC8+1</f>
        <v/>
      </c>
      <c r="AE8" s="18">
        <f>AD8+1</f>
        <v/>
      </c>
      <c r="AF8" s="18">
        <f>AE8+1</f>
        <v/>
      </c>
      <c r="AG8" s="18">
        <f>AF8+1</f>
        <v/>
      </c>
      <c r="AH8" s="18">
        <f>AG8+1</f>
        <v/>
      </c>
      <c r="AI8" s="18">
        <f>AH8+1</f>
        <v/>
      </c>
      <c r="AJ8" s="18">
        <f>AI8+1</f>
        <v/>
      </c>
      <c r="AK8" s="18">
        <f>AJ8+1</f>
        <v/>
      </c>
      <c r="AL8" s="18">
        <f>AK8+1</f>
        <v/>
      </c>
      <c r="AM8" s="18">
        <f>AL8+1</f>
        <v/>
      </c>
      <c r="AN8" s="18">
        <f>AM8+1</f>
        <v/>
      </c>
      <c r="AO8" s="18">
        <f>AN8+1</f>
        <v/>
      </c>
      <c r="AP8" s="18">
        <f>AO8+1</f>
        <v/>
      </c>
      <c r="AQ8" s="18">
        <f>AP8+1</f>
        <v/>
      </c>
      <c r="AR8" s="18">
        <f>AQ8+1</f>
        <v/>
      </c>
      <c r="AS8" s="18">
        <f>AR8+1</f>
        <v/>
      </c>
      <c r="AT8" s="18">
        <f>AS8+1</f>
        <v/>
      </c>
      <c r="AU8" s="18">
        <f>AT8+1</f>
        <v/>
      </c>
      <c r="AV8" s="18">
        <f>AU8+1</f>
        <v/>
      </c>
      <c r="AW8" s="18">
        <f>AV8+1</f>
        <v/>
      </c>
    </row>
    <row r="9">
      <c r="D9" t="inlineStr">
        <is>
          <t>Period start</t>
        </is>
      </c>
      <c r="E9" t="inlineStr">
        <is>
          <t>date</t>
        </is>
      </c>
      <c r="J9" s="19">
        <f>IF(J8=1,Inputs!$F$54,EDATE(I9,Inputs!$F$55))</f>
        <v/>
      </c>
      <c r="K9" s="19">
        <f>IF(K8=1,Inputs!$F$54,EDATE(J9,Inputs!$F$55))</f>
        <v/>
      </c>
      <c r="L9" s="19">
        <f>IF(L8=1,Inputs!$F$54,EDATE(K9,Inputs!$F$55))</f>
        <v/>
      </c>
      <c r="M9" s="19">
        <f>IF(M8=1,Inputs!$F$54,EDATE(L9,Inputs!$F$55))</f>
        <v/>
      </c>
      <c r="N9" s="19">
        <f>IF(N8=1,Inputs!$F$54,EDATE(M9,Inputs!$F$55))</f>
        <v/>
      </c>
      <c r="O9" s="19">
        <f>IF(O8=1,Inputs!$F$54,EDATE(N9,Inputs!$F$55))</f>
        <v/>
      </c>
      <c r="P9" s="19">
        <f>IF(P8=1,Inputs!$F$54,EDATE(O9,Inputs!$F$55))</f>
        <v/>
      </c>
      <c r="Q9" s="19">
        <f>IF(Q8=1,Inputs!$F$54,EDATE(P9,Inputs!$F$55))</f>
        <v/>
      </c>
      <c r="R9" s="19">
        <f>IF(R8=1,Inputs!$F$54,EDATE(Q9,Inputs!$F$55))</f>
        <v/>
      </c>
      <c r="S9" s="19">
        <f>IF(S8=1,Inputs!$F$54,EDATE(R9,Inputs!$F$55))</f>
        <v/>
      </c>
      <c r="T9" s="19">
        <f>IF(T8=1,Inputs!$F$54,EDATE(S9,Inputs!$F$55))</f>
        <v/>
      </c>
      <c r="U9" s="19">
        <f>IF(U8=1,Inputs!$F$54,EDATE(T9,Inputs!$F$55))</f>
        <v/>
      </c>
      <c r="V9" s="19">
        <f>IF(V8=1,Inputs!$F$54,EDATE(U9,Inputs!$F$55))</f>
        <v/>
      </c>
      <c r="W9" s="19">
        <f>IF(W8=1,Inputs!$F$54,EDATE(V9,Inputs!$F$55))</f>
        <v/>
      </c>
      <c r="X9" s="19">
        <f>IF(X8=1,Inputs!$F$54,EDATE(W9,Inputs!$F$55))</f>
        <v/>
      </c>
      <c r="Y9" s="19">
        <f>IF(Y8=1,Inputs!$F$54,EDATE(X9,Inputs!$F$55))</f>
        <v/>
      </c>
      <c r="Z9" s="19">
        <f>IF(Z8=1,Inputs!$F$54,EDATE(Y9,Inputs!$F$55))</f>
        <v/>
      </c>
      <c r="AA9" s="19">
        <f>IF(AA8=1,Inputs!$F$54,EDATE(Z9,Inputs!$F$55))</f>
        <v/>
      </c>
      <c r="AB9" s="19">
        <f>IF(AB8=1,Inputs!$F$54,EDATE(AA9,Inputs!$F$55))</f>
        <v/>
      </c>
      <c r="AC9" s="19">
        <f>IF(AC8=1,Inputs!$F$54,EDATE(AB9,Inputs!$F$55))</f>
        <v/>
      </c>
      <c r="AD9" s="19">
        <f>IF(AD8=1,Inputs!$F$54,EDATE(AC9,Inputs!$F$55))</f>
        <v/>
      </c>
      <c r="AE9" s="19">
        <f>IF(AE8=1,Inputs!$F$54,EDATE(AD9,Inputs!$F$55))</f>
        <v/>
      </c>
      <c r="AF9" s="19">
        <f>IF(AF8=1,Inputs!$F$54,EDATE(AE9,Inputs!$F$55))</f>
        <v/>
      </c>
      <c r="AG9" s="19">
        <f>IF(AG8=1,Inputs!$F$54,EDATE(AF9,Inputs!$F$55))</f>
        <v/>
      </c>
      <c r="AH9" s="19">
        <f>IF(AH8=1,Inputs!$F$54,EDATE(AG9,Inputs!$F$55))</f>
        <v/>
      </c>
      <c r="AI9" s="19">
        <f>IF(AI8=1,Inputs!$F$54,EDATE(AH9,Inputs!$F$55))</f>
        <v/>
      </c>
      <c r="AJ9" s="19">
        <f>IF(AJ8=1,Inputs!$F$54,EDATE(AI9,Inputs!$F$55))</f>
        <v/>
      </c>
      <c r="AK9" s="19">
        <f>IF(AK8=1,Inputs!$F$54,EDATE(AJ9,Inputs!$F$55))</f>
        <v/>
      </c>
      <c r="AL9" s="19">
        <f>IF(AL8=1,Inputs!$F$54,EDATE(AK9,Inputs!$F$55))</f>
        <v/>
      </c>
      <c r="AM9" s="19">
        <f>IF(AM8=1,Inputs!$F$54,EDATE(AL9,Inputs!$F$55))</f>
        <v/>
      </c>
      <c r="AN9" s="19">
        <f>IF(AN8=1,Inputs!$F$54,EDATE(AM9,Inputs!$F$55))</f>
        <v/>
      </c>
      <c r="AO9" s="19">
        <f>IF(AO8=1,Inputs!$F$54,EDATE(AN9,Inputs!$F$55))</f>
        <v/>
      </c>
      <c r="AP9" s="19">
        <f>IF(AP8=1,Inputs!$F$54,EDATE(AO9,Inputs!$F$55))</f>
        <v/>
      </c>
      <c r="AQ9" s="19">
        <f>IF(AQ8=1,Inputs!$F$54,EDATE(AP9,Inputs!$F$55))</f>
        <v/>
      </c>
      <c r="AR9" s="19">
        <f>IF(AR8=1,Inputs!$F$54,EDATE(AQ9,Inputs!$F$55))</f>
        <v/>
      </c>
      <c r="AS9" s="19">
        <f>IF(AS8=1,Inputs!$F$54,EDATE(AR9,Inputs!$F$55))</f>
        <v/>
      </c>
      <c r="AT9" s="19">
        <f>IF(AT8=1,Inputs!$F$54,EDATE(AS9,Inputs!$F$55))</f>
        <v/>
      </c>
      <c r="AU9" s="19">
        <f>IF(AU8=1,Inputs!$F$54,EDATE(AT9,Inputs!$F$55))</f>
        <v/>
      </c>
      <c r="AV9" s="19">
        <f>IF(AV8=1,Inputs!$F$54,EDATE(AU9,Inputs!$F$55))</f>
        <v/>
      </c>
      <c r="AW9" s="19">
        <f>IF(AW8=1,Inputs!$F$54,EDATE(AV9,Inputs!$F$55))</f>
        <v/>
      </c>
    </row>
    <row r="10">
      <c r="D10" t="inlineStr">
        <is>
          <t>Period end (cash flow date)</t>
        </is>
      </c>
      <c r="E10" t="inlineStr">
        <is>
          <t>date</t>
        </is>
      </c>
      <c r="J10" s="19">
        <f>EOMONTH(J9,Inputs!$F$55-1)</f>
        <v/>
      </c>
      <c r="K10" s="19">
        <f>EOMONTH(K9,Inputs!$F$55-1)</f>
        <v/>
      </c>
      <c r="L10" s="19">
        <f>EOMONTH(L9,Inputs!$F$55-1)</f>
        <v/>
      </c>
      <c r="M10" s="19">
        <f>EOMONTH(M9,Inputs!$F$55-1)</f>
        <v/>
      </c>
      <c r="N10" s="19">
        <f>EOMONTH(N9,Inputs!$F$55-1)</f>
        <v/>
      </c>
      <c r="O10" s="19">
        <f>EOMONTH(O9,Inputs!$F$55-1)</f>
        <v/>
      </c>
      <c r="P10" s="19">
        <f>EOMONTH(P9,Inputs!$F$55-1)</f>
        <v/>
      </c>
      <c r="Q10" s="19">
        <f>EOMONTH(Q9,Inputs!$F$55-1)</f>
        <v/>
      </c>
      <c r="R10" s="19">
        <f>EOMONTH(R9,Inputs!$F$55-1)</f>
        <v/>
      </c>
      <c r="S10" s="19">
        <f>EOMONTH(S9,Inputs!$F$55-1)</f>
        <v/>
      </c>
      <c r="T10" s="19">
        <f>EOMONTH(T9,Inputs!$F$55-1)</f>
        <v/>
      </c>
      <c r="U10" s="19">
        <f>EOMONTH(U9,Inputs!$F$55-1)</f>
        <v/>
      </c>
      <c r="V10" s="19">
        <f>EOMONTH(V9,Inputs!$F$55-1)</f>
        <v/>
      </c>
      <c r="W10" s="19">
        <f>EOMONTH(W9,Inputs!$F$55-1)</f>
        <v/>
      </c>
      <c r="X10" s="19">
        <f>EOMONTH(X9,Inputs!$F$55-1)</f>
        <v/>
      </c>
      <c r="Y10" s="19">
        <f>EOMONTH(Y9,Inputs!$F$55-1)</f>
        <v/>
      </c>
      <c r="Z10" s="19">
        <f>EOMONTH(Z9,Inputs!$F$55-1)</f>
        <v/>
      </c>
      <c r="AA10" s="19">
        <f>EOMONTH(AA9,Inputs!$F$55-1)</f>
        <v/>
      </c>
      <c r="AB10" s="19">
        <f>EOMONTH(AB9,Inputs!$F$55-1)</f>
        <v/>
      </c>
      <c r="AC10" s="19">
        <f>EOMONTH(AC9,Inputs!$F$55-1)</f>
        <v/>
      </c>
      <c r="AD10" s="19">
        <f>EOMONTH(AD9,Inputs!$F$55-1)</f>
        <v/>
      </c>
      <c r="AE10" s="19">
        <f>EOMONTH(AE9,Inputs!$F$55-1)</f>
        <v/>
      </c>
      <c r="AF10" s="19">
        <f>EOMONTH(AF9,Inputs!$F$55-1)</f>
        <v/>
      </c>
      <c r="AG10" s="19">
        <f>EOMONTH(AG9,Inputs!$F$55-1)</f>
        <v/>
      </c>
      <c r="AH10" s="19">
        <f>EOMONTH(AH9,Inputs!$F$55-1)</f>
        <v/>
      </c>
      <c r="AI10" s="19">
        <f>EOMONTH(AI9,Inputs!$F$55-1)</f>
        <v/>
      </c>
      <c r="AJ10" s="19">
        <f>EOMONTH(AJ9,Inputs!$F$55-1)</f>
        <v/>
      </c>
      <c r="AK10" s="19">
        <f>EOMONTH(AK9,Inputs!$F$55-1)</f>
        <v/>
      </c>
      <c r="AL10" s="19">
        <f>EOMONTH(AL9,Inputs!$F$55-1)</f>
        <v/>
      </c>
      <c r="AM10" s="19">
        <f>EOMONTH(AM9,Inputs!$F$55-1)</f>
        <v/>
      </c>
      <c r="AN10" s="19">
        <f>EOMONTH(AN9,Inputs!$F$55-1)</f>
        <v/>
      </c>
      <c r="AO10" s="19">
        <f>EOMONTH(AO9,Inputs!$F$55-1)</f>
        <v/>
      </c>
      <c r="AP10" s="19">
        <f>EOMONTH(AP9,Inputs!$F$55-1)</f>
        <v/>
      </c>
      <c r="AQ10" s="19">
        <f>EOMONTH(AQ9,Inputs!$F$55-1)</f>
        <v/>
      </c>
      <c r="AR10" s="19">
        <f>EOMONTH(AR9,Inputs!$F$55-1)</f>
        <v/>
      </c>
      <c r="AS10" s="19">
        <f>EOMONTH(AS9,Inputs!$F$55-1)</f>
        <v/>
      </c>
      <c r="AT10" s="19">
        <f>EOMONTH(AT9,Inputs!$F$55-1)</f>
        <v/>
      </c>
      <c r="AU10" s="19">
        <f>EOMONTH(AU9,Inputs!$F$55-1)</f>
        <v/>
      </c>
      <c r="AV10" s="19">
        <f>EOMONTH(AV9,Inputs!$F$55-1)</f>
        <v/>
      </c>
      <c r="AW10" s="19">
        <f>EOMONTH(AW9,Inputs!$F$55-1)</f>
        <v/>
      </c>
    </row>
    <row r="11">
      <c r="D11" t="inlineStr">
        <is>
          <t>Calendar year</t>
        </is>
      </c>
      <c r="E11" t="inlineStr">
        <is>
          <t>year</t>
        </is>
      </c>
      <c r="J11" s="18">
        <f>YEAR(J9)</f>
        <v/>
      </c>
      <c r="K11" s="18">
        <f>YEAR(K9)</f>
        <v/>
      </c>
      <c r="L11" s="18">
        <f>YEAR(L9)</f>
        <v/>
      </c>
      <c r="M11" s="18">
        <f>YEAR(M9)</f>
        <v/>
      </c>
      <c r="N11" s="18">
        <f>YEAR(N9)</f>
        <v/>
      </c>
      <c r="O11" s="18">
        <f>YEAR(O9)</f>
        <v/>
      </c>
      <c r="P11" s="18">
        <f>YEAR(P9)</f>
        <v/>
      </c>
      <c r="Q11" s="18">
        <f>YEAR(Q9)</f>
        <v/>
      </c>
      <c r="R11" s="18">
        <f>YEAR(R9)</f>
        <v/>
      </c>
      <c r="S11" s="18">
        <f>YEAR(S9)</f>
        <v/>
      </c>
      <c r="T11" s="18">
        <f>YEAR(T9)</f>
        <v/>
      </c>
      <c r="U11" s="18">
        <f>YEAR(U9)</f>
        <v/>
      </c>
      <c r="V11" s="18">
        <f>YEAR(V9)</f>
        <v/>
      </c>
      <c r="W11" s="18">
        <f>YEAR(W9)</f>
        <v/>
      </c>
      <c r="X11" s="18">
        <f>YEAR(X9)</f>
        <v/>
      </c>
      <c r="Y11" s="18">
        <f>YEAR(Y9)</f>
        <v/>
      </c>
      <c r="Z11" s="18">
        <f>YEAR(Z9)</f>
        <v/>
      </c>
      <c r="AA11" s="18">
        <f>YEAR(AA9)</f>
        <v/>
      </c>
      <c r="AB11" s="18">
        <f>YEAR(AB9)</f>
        <v/>
      </c>
      <c r="AC11" s="18">
        <f>YEAR(AC9)</f>
        <v/>
      </c>
      <c r="AD11" s="18">
        <f>YEAR(AD9)</f>
        <v/>
      </c>
      <c r="AE11" s="18">
        <f>YEAR(AE9)</f>
        <v/>
      </c>
      <c r="AF11" s="18">
        <f>YEAR(AF9)</f>
        <v/>
      </c>
      <c r="AG11" s="18">
        <f>YEAR(AG9)</f>
        <v/>
      </c>
      <c r="AH11" s="18">
        <f>YEAR(AH9)</f>
        <v/>
      </c>
      <c r="AI11" s="18">
        <f>YEAR(AI9)</f>
        <v/>
      </c>
      <c r="AJ11" s="18">
        <f>YEAR(AJ9)</f>
        <v/>
      </c>
      <c r="AK11" s="18">
        <f>YEAR(AK9)</f>
        <v/>
      </c>
      <c r="AL11" s="18">
        <f>YEAR(AL9)</f>
        <v/>
      </c>
      <c r="AM11" s="18">
        <f>YEAR(AM9)</f>
        <v/>
      </c>
      <c r="AN11" s="18">
        <f>YEAR(AN9)</f>
        <v/>
      </c>
      <c r="AO11" s="18">
        <f>YEAR(AO9)</f>
        <v/>
      </c>
      <c r="AP11" s="18">
        <f>YEAR(AP9)</f>
        <v/>
      </c>
      <c r="AQ11" s="18">
        <f>YEAR(AQ9)</f>
        <v/>
      </c>
      <c r="AR11" s="18">
        <f>YEAR(AR9)</f>
        <v/>
      </c>
      <c r="AS11" s="18">
        <f>YEAR(AS9)</f>
        <v/>
      </c>
      <c r="AT11" s="18">
        <f>YEAR(AT9)</f>
        <v/>
      </c>
      <c r="AU11" s="18">
        <f>YEAR(AU9)</f>
        <v/>
      </c>
      <c r="AV11" s="18">
        <f>YEAR(AV9)</f>
        <v/>
      </c>
      <c r="AW11" s="18">
        <f>YEAR(AW9)</f>
        <v/>
      </c>
    </row>
    <row r="12">
      <c r="D12" t="inlineStr">
        <is>
          <t>Operating year</t>
        </is>
      </c>
      <c r="E12" t="inlineStr">
        <is>
          <t>OY</t>
        </is>
      </c>
      <c r="J12" s="18">
        <f>J11-YEAR(Inputs!$F$54)+1</f>
        <v/>
      </c>
      <c r="K12" s="18">
        <f>K11-YEAR(Inputs!$F$54)+1</f>
        <v/>
      </c>
      <c r="L12" s="18">
        <f>L11-YEAR(Inputs!$F$54)+1</f>
        <v/>
      </c>
      <c r="M12" s="18">
        <f>M11-YEAR(Inputs!$F$54)+1</f>
        <v/>
      </c>
      <c r="N12" s="18">
        <f>N11-YEAR(Inputs!$F$54)+1</f>
        <v/>
      </c>
      <c r="O12" s="18">
        <f>O11-YEAR(Inputs!$F$54)+1</f>
        <v/>
      </c>
      <c r="P12" s="18">
        <f>P11-YEAR(Inputs!$F$54)+1</f>
        <v/>
      </c>
      <c r="Q12" s="18">
        <f>Q11-YEAR(Inputs!$F$54)+1</f>
        <v/>
      </c>
      <c r="R12" s="18">
        <f>R11-YEAR(Inputs!$F$54)+1</f>
        <v/>
      </c>
      <c r="S12" s="18">
        <f>S11-YEAR(Inputs!$F$54)+1</f>
        <v/>
      </c>
      <c r="T12" s="18">
        <f>T11-YEAR(Inputs!$F$54)+1</f>
        <v/>
      </c>
      <c r="U12" s="18">
        <f>U11-YEAR(Inputs!$F$54)+1</f>
        <v/>
      </c>
      <c r="V12" s="18">
        <f>V11-YEAR(Inputs!$F$54)+1</f>
        <v/>
      </c>
      <c r="W12" s="18">
        <f>W11-YEAR(Inputs!$F$54)+1</f>
        <v/>
      </c>
      <c r="X12" s="18">
        <f>X11-YEAR(Inputs!$F$54)+1</f>
        <v/>
      </c>
      <c r="Y12" s="18">
        <f>Y11-YEAR(Inputs!$F$54)+1</f>
        <v/>
      </c>
      <c r="Z12" s="18">
        <f>Z11-YEAR(Inputs!$F$54)+1</f>
        <v/>
      </c>
      <c r="AA12" s="18">
        <f>AA11-YEAR(Inputs!$F$54)+1</f>
        <v/>
      </c>
      <c r="AB12" s="18">
        <f>AB11-YEAR(Inputs!$F$54)+1</f>
        <v/>
      </c>
      <c r="AC12" s="18">
        <f>AC11-YEAR(Inputs!$F$54)+1</f>
        <v/>
      </c>
      <c r="AD12" s="18">
        <f>AD11-YEAR(Inputs!$F$54)+1</f>
        <v/>
      </c>
      <c r="AE12" s="18">
        <f>AE11-YEAR(Inputs!$F$54)+1</f>
        <v/>
      </c>
      <c r="AF12" s="18">
        <f>AF11-YEAR(Inputs!$F$54)+1</f>
        <v/>
      </c>
      <c r="AG12" s="18">
        <f>AG11-YEAR(Inputs!$F$54)+1</f>
        <v/>
      </c>
      <c r="AH12" s="18">
        <f>AH11-YEAR(Inputs!$F$54)+1</f>
        <v/>
      </c>
      <c r="AI12" s="18">
        <f>AI11-YEAR(Inputs!$F$54)+1</f>
        <v/>
      </c>
      <c r="AJ12" s="18">
        <f>AJ11-YEAR(Inputs!$F$54)+1</f>
        <v/>
      </c>
      <c r="AK12" s="18">
        <f>AK11-YEAR(Inputs!$F$54)+1</f>
        <v/>
      </c>
      <c r="AL12" s="18">
        <f>AL11-YEAR(Inputs!$F$54)+1</f>
        <v/>
      </c>
      <c r="AM12" s="18">
        <f>AM11-YEAR(Inputs!$F$54)+1</f>
        <v/>
      </c>
      <c r="AN12" s="18">
        <f>AN11-YEAR(Inputs!$F$54)+1</f>
        <v/>
      </c>
      <c r="AO12" s="18">
        <f>AO11-YEAR(Inputs!$F$54)+1</f>
        <v/>
      </c>
      <c r="AP12" s="18">
        <f>AP11-YEAR(Inputs!$F$54)+1</f>
        <v/>
      </c>
      <c r="AQ12" s="18">
        <f>AQ11-YEAR(Inputs!$F$54)+1</f>
        <v/>
      </c>
      <c r="AR12" s="18">
        <f>AR11-YEAR(Inputs!$F$54)+1</f>
        <v/>
      </c>
      <c r="AS12" s="18">
        <f>AS11-YEAR(Inputs!$F$54)+1</f>
        <v/>
      </c>
      <c r="AT12" s="18">
        <f>AT11-YEAR(Inputs!$F$54)+1</f>
        <v/>
      </c>
      <c r="AU12" s="18">
        <f>AU11-YEAR(Inputs!$F$54)+1</f>
        <v/>
      </c>
      <c r="AV12" s="18">
        <f>AV11-YEAR(Inputs!$F$54)+1</f>
        <v/>
      </c>
      <c r="AW12" s="18">
        <f>AW11-YEAR(Inputs!$F$54)+1</f>
        <v/>
      </c>
    </row>
    <row r="13">
      <c r="D13" t="inlineStr">
        <is>
          <t>Flag_FirstHalf (Jan-Jun)</t>
        </is>
      </c>
      <c r="E13" t="inlineStr">
        <is>
          <t>flag</t>
        </is>
      </c>
      <c r="J13" s="18">
        <f>IF(MONTH(J9)=1,1,0)</f>
        <v/>
      </c>
      <c r="K13" s="18">
        <f>IF(MONTH(K9)=1,1,0)</f>
        <v/>
      </c>
      <c r="L13" s="18">
        <f>IF(MONTH(L9)=1,1,0)</f>
        <v/>
      </c>
      <c r="M13" s="18">
        <f>IF(MONTH(M9)=1,1,0)</f>
        <v/>
      </c>
      <c r="N13" s="18">
        <f>IF(MONTH(N9)=1,1,0)</f>
        <v/>
      </c>
      <c r="O13" s="18">
        <f>IF(MONTH(O9)=1,1,0)</f>
        <v/>
      </c>
      <c r="P13" s="18">
        <f>IF(MONTH(P9)=1,1,0)</f>
        <v/>
      </c>
      <c r="Q13" s="18">
        <f>IF(MONTH(Q9)=1,1,0)</f>
        <v/>
      </c>
      <c r="R13" s="18">
        <f>IF(MONTH(R9)=1,1,0)</f>
        <v/>
      </c>
      <c r="S13" s="18">
        <f>IF(MONTH(S9)=1,1,0)</f>
        <v/>
      </c>
      <c r="T13" s="18">
        <f>IF(MONTH(T9)=1,1,0)</f>
        <v/>
      </c>
      <c r="U13" s="18">
        <f>IF(MONTH(U9)=1,1,0)</f>
        <v/>
      </c>
      <c r="V13" s="18">
        <f>IF(MONTH(V9)=1,1,0)</f>
        <v/>
      </c>
      <c r="W13" s="18">
        <f>IF(MONTH(W9)=1,1,0)</f>
        <v/>
      </c>
      <c r="X13" s="18">
        <f>IF(MONTH(X9)=1,1,0)</f>
        <v/>
      </c>
      <c r="Y13" s="18">
        <f>IF(MONTH(Y9)=1,1,0)</f>
        <v/>
      </c>
      <c r="Z13" s="18">
        <f>IF(MONTH(Z9)=1,1,0)</f>
        <v/>
      </c>
      <c r="AA13" s="18">
        <f>IF(MONTH(AA9)=1,1,0)</f>
        <v/>
      </c>
      <c r="AB13" s="18">
        <f>IF(MONTH(AB9)=1,1,0)</f>
        <v/>
      </c>
      <c r="AC13" s="18">
        <f>IF(MONTH(AC9)=1,1,0)</f>
        <v/>
      </c>
      <c r="AD13" s="18">
        <f>IF(MONTH(AD9)=1,1,0)</f>
        <v/>
      </c>
      <c r="AE13" s="18">
        <f>IF(MONTH(AE9)=1,1,0)</f>
        <v/>
      </c>
      <c r="AF13" s="18">
        <f>IF(MONTH(AF9)=1,1,0)</f>
        <v/>
      </c>
      <c r="AG13" s="18">
        <f>IF(MONTH(AG9)=1,1,0)</f>
        <v/>
      </c>
      <c r="AH13" s="18">
        <f>IF(MONTH(AH9)=1,1,0)</f>
        <v/>
      </c>
      <c r="AI13" s="18">
        <f>IF(MONTH(AI9)=1,1,0)</f>
        <v/>
      </c>
      <c r="AJ13" s="18">
        <f>IF(MONTH(AJ9)=1,1,0)</f>
        <v/>
      </c>
      <c r="AK13" s="18">
        <f>IF(MONTH(AK9)=1,1,0)</f>
        <v/>
      </c>
      <c r="AL13" s="18">
        <f>IF(MONTH(AL9)=1,1,0)</f>
        <v/>
      </c>
      <c r="AM13" s="18">
        <f>IF(MONTH(AM9)=1,1,0)</f>
        <v/>
      </c>
      <c r="AN13" s="18">
        <f>IF(MONTH(AN9)=1,1,0)</f>
        <v/>
      </c>
      <c r="AO13" s="18">
        <f>IF(MONTH(AO9)=1,1,0)</f>
        <v/>
      </c>
      <c r="AP13" s="18">
        <f>IF(MONTH(AP9)=1,1,0)</f>
        <v/>
      </c>
      <c r="AQ13" s="18">
        <f>IF(MONTH(AQ9)=1,1,0)</f>
        <v/>
      </c>
      <c r="AR13" s="18">
        <f>IF(MONTH(AR9)=1,1,0)</f>
        <v/>
      </c>
      <c r="AS13" s="18">
        <f>IF(MONTH(AS9)=1,1,0)</f>
        <v/>
      </c>
      <c r="AT13" s="18">
        <f>IF(MONTH(AT9)=1,1,0)</f>
        <v/>
      </c>
      <c r="AU13" s="18">
        <f>IF(MONTH(AU9)=1,1,0)</f>
        <v/>
      </c>
      <c r="AV13" s="18">
        <f>IF(MONTH(AV9)=1,1,0)</f>
        <v/>
      </c>
      <c r="AW13" s="18">
        <f>IF(MONTH(AW9)=1,1,0)</f>
        <v/>
      </c>
    </row>
    <row r="14">
      <c r="D14" t="inlineStr">
        <is>
          <t>Flag_TaxHoliday</t>
        </is>
      </c>
      <c r="E14" t="inlineStr">
        <is>
          <t>flag</t>
        </is>
      </c>
      <c r="J14" s="18">
        <f>IF(J11&lt;=Inputs!$F$50,1,0)</f>
        <v/>
      </c>
      <c r="K14" s="18">
        <f>IF(K11&lt;=Inputs!$F$50,1,0)</f>
        <v/>
      </c>
      <c r="L14" s="18">
        <f>IF(L11&lt;=Inputs!$F$50,1,0)</f>
        <v/>
      </c>
      <c r="M14" s="18">
        <f>IF(M11&lt;=Inputs!$F$50,1,0)</f>
        <v/>
      </c>
      <c r="N14" s="18">
        <f>IF(N11&lt;=Inputs!$F$50,1,0)</f>
        <v/>
      </c>
      <c r="O14" s="18">
        <f>IF(O11&lt;=Inputs!$F$50,1,0)</f>
        <v/>
      </c>
      <c r="P14" s="18">
        <f>IF(P11&lt;=Inputs!$F$50,1,0)</f>
        <v/>
      </c>
      <c r="Q14" s="18">
        <f>IF(Q11&lt;=Inputs!$F$50,1,0)</f>
        <v/>
      </c>
      <c r="R14" s="18">
        <f>IF(R11&lt;=Inputs!$F$50,1,0)</f>
        <v/>
      </c>
      <c r="S14" s="18">
        <f>IF(S11&lt;=Inputs!$F$50,1,0)</f>
        <v/>
      </c>
      <c r="T14" s="18">
        <f>IF(T11&lt;=Inputs!$F$50,1,0)</f>
        <v/>
      </c>
      <c r="U14" s="18">
        <f>IF(U11&lt;=Inputs!$F$50,1,0)</f>
        <v/>
      </c>
      <c r="V14" s="18">
        <f>IF(V11&lt;=Inputs!$F$50,1,0)</f>
        <v/>
      </c>
      <c r="W14" s="18">
        <f>IF(W11&lt;=Inputs!$F$50,1,0)</f>
        <v/>
      </c>
      <c r="X14" s="18">
        <f>IF(X11&lt;=Inputs!$F$50,1,0)</f>
        <v/>
      </c>
      <c r="Y14" s="18">
        <f>IF(Y11&lt;=Inputs!$F$50,1,0)</f>
        <v/>
      </c>
      <c r="Z14" s="18">
        <f>IF(Z11&lt;=Inputs!$F$50,1,0)</f>
        <v/>
      </c>
      <c r="AA14" s="18">
        <f>IF(AA11&lt;=Inputs!$F$50,1,0)</f>
        <v/>
      </c>
      <c r="AB14" s="18">
        <f>IF(AB11&lt;=Inputs!$F$50,1,0)</f>
        <v/>
      </c>
      <c r="AC14" s="18">
        <f>IF(AC11&lt;=Inputs!$F$50,1,0)</f>
        <v/>
      </c>
      <c r="AD14" s="18">
        <f>IF(AD11&lt;=Inputs!$F$50,1,0)</f>
        <v/>
      </c>
      <c r="AE14" s="18">
        <f>IF(AE11&lt;=Inputs!$F$50,1,0)</f>
        <v/>
      </c>
      <c r="AF14" s="18">
        <f>IF(AF11&lt;=Inputs!$F$50,1,0)</f>
        <v/>
      </c>
      <c r="AG14" s="18">
        <f>IF(AG11&lt;=Inputs!$F$50,1,0)</f>
        <v/>
      </c>
      <c r="AH14" s="18">
        <f>IF(AH11&lt;=Inputs!$F$50,1,0)</f>
        <v/>
      </c>
      <c r="AI14" s="18">
        <f>IF(AI11&lt;=Inputs!$F$50,1,0)</f>
        <v/>
      </c>
      <c r="AJ14" s="18">
        <f>IF(AJ11&lt;=Inputs!$F$50,1,0)</f>
        <v/>
      </c>
      <c r="AK14" s="18">
        <f>IF(AK11&lt;=Inputs!$F$50,1,0)</f>
        <v/>
      </c>
      <c r="AL14" s="18">
        <f>IF(AL11&lt;=Inputs!$F$50,1,0)</f>
        <v/>
      </c>
      <c r="AM14" s="18">
        <f>IF(AM11&lt;=Inputs!$F$50,1,0)</f>
        <v/>
      </c>
      <c r="AN14" s="18">
        <f>IF(AN11&lt;=Inputs!$F$50,1,0)</f>
        <v/>
      </c>
      <c r="AO14" s="18">
        <f>IF(AO11&lt;=Inputs!$F$50,1,0)</f>
        <v/>
      </c>
      <c r="AP14" s="18">
        <f>IF(AP11&lt;=Inputs!$F$50,1,0)</f>
        <v/>
      </c>
      <c r="AQ14" s="18">
        <f>IF(AQ11&lt;=Inputs!$F$50,1,0)</f>
        <v/>
      </c>
      <c r="AR14" s="18">
        <f>IF(AR11&lt;=Inputs!$F$50,1,0)</f>
        <v/>
      </c>
      <c r="AS14" s="18">
        <f>IF(AS11&lt;=Inputs!$F$50,1,0)</f>
        <v/>
      </c>
      <c r="AT14" s="18">
        <f>IF(AT11&lt;=Inputs!$F$50,1,0)</f>
        <v/>
      </c>
      <c r="AU14" s="18">
        <f>IF(AU11&lt;=Inputs!$F$50,1,0)</f>
        <v/>
      </c>
      <c r="AV14" s="18">
        <f>IF(AV11&lt;=Inputs!$F$50,1,0)</f>
        <v/>
      </c>
      <c r="AW14" s="18">
        <f>IF(AW11&lt;=Inputs!$F$50,1,0)</f>
        <v/>
      </c>
    </row>
    <row r="15">
      <c r="D15" t="inlineStr">
        <is>
          <t>Flag_Repayment (2028H1 to 2042H2)</t>
        </is>
      </c>
      <c r="E15" t="inlineStr">
        <is>
          <t>flag</t>
        </is>
      </c>
      <c r="J15" s="18">
        <f>IF(J8&lt;=Inputs!$F$35,1,0)</f>
        <v/>
      </c>
      <c r="K15" s="18">
        <f>IF(K8&lt;=Inputs!$F$35,1,0)</f>
        <v/>
      </c>
      <c r="L15" s="18">
        <f>IF(L8&lt;=Inputs!$F$35,1,0)</f>
        <v/>
      </c>
      <c r="M15" s="18">
        <f>IF(M8&lt;=Inputs!$F$35,1,0)</f>
        <v/>
      </c>
      <c r="N15" s="18">
        <f>IF(N8&lt;=Inputs!$F$35,1,0)</f>
        <v/>
      </c>
      <c r="O15" s="18">
        <f>IF(O8&lt;=Inputs!$F$35,1,0)</f>
        <v/>
      </c>
      <c r="P15" s="18">
        <f>IF(P8&lt;=Inputs!$F$35,1,0)</f>
        <v/>
      </c>
      <c r="Q15" s="18">
        <f>IF(Q8&lt;=Inputs!$F$35,1,0)</f>
        <v/>
      </c>
      <c r="R15" s="18">
        <f>IF(R8&lt;=Inputs!$F$35,1,0)</f>
        <v/>
      </c>
      <c r="S15" s="18">
        <f>IF(S8&lt;=Inputs!$F$35,1,0)</f>
        <v/>
      </c>
      <c r="T15" s="18">
        <f>IF(T8&lt;=Inputs!$F$35,1,0)</f>
        <v/>
      </c>
      <c r="U15" s="18">
        <f>IF(U8&lt;=Inputs!$F$35,1,0)</f>
        <v/>
      </c>
      <c r="V15" s="18">
        <f>IF(V8&lt;=Inputs!$F$35,1,0)</f>
        <v/>
      </c>
      <c r="W15" s="18">
        <f>IF(W8&lt;=Inputs!$F$35,1,0)</f>
        <v/>
      </c>
      <c r="X15" s="18">
        <f>IF(X8&lt;=Inputs!$F$35,1,0)</f>
        <v/>
      </c>
      <c r="Y15" s="18">
        <f>IF(Y8&lt;=Inputs!$F$35,1,0)</f>
        <v/>
      </c>
      <c r="Z15" s="18">
        <f>IF(Z8&lt;=Inputs!$F$35,1,0)</f>
        <v/>
      </c>
      <c r="AA15" s="18">
        <f>IF(AA8&lt;=Inputs!$F$35,1,0)</f>
        <v/>
      </c>
      <c r="AB15" s="18">
        <f>IF(AB8&lt;=Inputs!$F$35,1,0)</f>
        <v/>
      </c>
      <c r="AC15" s="18">
        <f>IF(AC8&lt;=Inputs!$F$35,1,0)</f>
        <v/>
      </c>
      <c r="AD15" s="18">
        <f>IF(AD8&lt;=Inputs!$F$35,1,0)</f>
        <v/>
      </c>
      <c r="AE15" s="18">
        <f>IF(AE8&lt;=Inputs!$F$35,1,0)</f>
        <v/>
      </c>
      <c r="AF15" s="18">
        <f>IF(AF8&lt;=Inputs!$F$35,1,0)</f>
        <v/>
      </c>
      <c r="AG15" s="18">
        <f>IF(AG8&lt;=Inputs!$F$35,1,0)</f>
        <v/>
      </c>
      <c r="AH15" s="18">
        <f>IF(AH8&lt;=Inputs!$F$35,1,0)</f>
        <v/>
      </c>
      <c r="AI15" s="18">
        <f>IF(AI8&lt;=Inputs!$F$35,1,0)</f>
        <v/>
      </c>
      <c r="AJ15" s="18">
        <f>IF(AJ8&lt;=Inputs!$F$35,1,0)</f>
        <v/>
      </c>
      <c r="AK15" s="18">
        <f>IF(AK8&lt;=Inputs!$F$35,1,0)</f>
        <v/>
      </c>
      <c r="AL15" s="18">
        <f>IF(AL8&lt;=Inputs!$F$35,1,0)</f>
        <v/>
      </c>
      <c r="AM15" s="18">
        <f>IF(AM8&lt;=Inputs!$F$35,1,0)</f>
        <v/>
      </c>
      <c r="AN15" s="18">
        <f>IF(AN8&lt;=Inputs!$F$35,1,0)</f>
        <v/>
      </c>
      <c r="AO15" s="18">
        <f>IF(AO8&lt;=Inputs!$F$35,1,0)</f>
        <v/>
      </c>
      <c r="AP15" s="18">
        <f>IF(AP8&lt;=Inputs!$F$35,1,0)</f>
        <v/>
      </c>
      <c r="AQ15" s="18">
        <f>IF(AQ8&lt;=Inputs!$F$35,1,0)</f>
        <v/>
      </c>
      <c r="AR15" s="18">
        <f>IF(AR8&lt;=Inputs!$F$35,1,0)</f>
        <v/>
      </c>
      <c r="AS15" s="18">
        <f>IF(AS8&lt;=Inputs!$F$35,1,0)</f>
        <v/>
      </c>
      <c r="AT15" s="18">
        <f>IF(AT8&lt;=Inputs!$F$35,1,0)</f>
        <v/>
      </c>
      <c r="AU15" s="18">
        <f>IF(AU8&lt;=Inputs!$F$35,1,0)</f>
        <v/>
      </c>
      <c r="AV15" s="18">
        <f>IF(AV8&lt;=Inputs!$F$35,1,0)</f>
        <v/>
      </c>
      <c r="AW15" s="18">
        <f>IF(AW8&lt;=Inputs!$F$35,1,0)</f>
        <v/>
      </c>
    </row>
    <row r="16">
      <c r="B16" s="2" t="inlineStr">
        <is>
          <t>Revenue (USD m)</t>
        </is>
      </c>
    </row>
    <row r="17">
      <c r="D17" t="inlineStr">
        <is>
          <t>Solar energy (case factor applied)</t>
        </is>
      </c>
      <c r="E17" t="inlineStr">
        <is>
          <t>GWh</t>
        </is>
      </c>
      <c r="G17" s="20">
        <f>SUM(J17:AW17)</f>
        <v/>
      </c>
      <c r="J17" s="20">
        <f>Inputs!$F$37*(1-Inputs!$F$39/100)^(J12-1)*IF(J13=1,Inputs!$F$38/100,1-Inputs!$F$38/100)*Inputs!$F$12</f>
        <v/>
      </c>
      <c r="K17" s="20">
        <f>Inputs!$F$37*(1-Inputs!$F$39/100)^(K12-1)*IF(K13=1,Inputs!$F$38/100,1-Inputs!$F$38/100)*Inputs!$F$12</f>
        <v/>
      </c>
      <c r="L17" s="20">
        <f>Inputs!$F$37*(1-Inputs!$F$39/100)^(L12-1)*IF(L13=1,Inputs!$F$38/100,1-Inputs!$F$38/100)*Inputs!$F$12</f>
        <v/>
      </c>
      <c r="M17" s="20">
        <f>Inputs!$F$37*(1-Inputs!$F$39/100)^(M12-1)*IF(M13=1,Inputs!$F$38/100,1-Inputs!$F$38/100)*Inputs!$F$12</f>
        <v/>
      </c>
      <c r="N17" s="20">
        <f>Inputs!$F$37*(1-Inputs!$F$39/100)^(N12-1)*IF(N13=1,Inputs!$F$38/100,1-Inputs!$F$38/100)*Inputs!$F$12</f>
        <v/>
      </c>
      <c r="O17" s="20">
        <f>Inputs!$F$37*(1-Inputs!$F$39/100)^(O12-1)*IF(O13=1,Inputs!$F$38/100,1-Inputs!$F$38/100)*Inputs!$F$12</f>
        <v/>
      </c>
      <c r="P17" s="20">
        <f>Inputs!$F$37*(1-Inputs!$F$39/100)^(P12-1)*IF(P13=1,Inputs!$F$38/100,1-Inputs!$F$38/100)*Inputs!$F$12</f>
        <v/>
      </c>
      <c r="Q17" s="20">
        <f>Inputs!$F$37*(1-Inputs!$F$39/100)^(Q12-1)*IF(Q13=1,Inputs!$F$38/100,1-Inputs!$F$38/100)*Inputs!$F$12</f>
        <v/>
      </c>
      <c r="R17" s="20">
        <f>Inputs!$F$37*(1-Inputs!$F$39/100)^(R12-1)*IF(R13=1,Inputs!$F$38/100,1-Inputs!$F$38/100)*Inputs!$F$12</f>
        <v/>
      </c>
      <c r="S17" s="20">
        <f>Inputs!$F$37*(1-Inputs!$F$39/100)^(S12-1)*IF(S13=1,Inputs!$F$38/100,1-Inputs!$F$38/100)*Inputs!$F$12</f>
        <v/>
      </c>
      <c r="T17" s="20">
        <f>Inputs!$F$37*(1-Inputs!$F$39/100)^(T12-1)*IF(T13=1,Inputs!$F$38/100,1-Inputs!$F$38/100)*Inputs!$F$12</f>
        <v/>
      </c>
      <c r="U17" s="20">
        <f>Inputs!$F$37*(1-Inputs!$F$39/100)^(U12-1)*IF(U13=1,Inputs!$F$38/100,1-Inputs!$F$38/100)*Inputs!$F$12</f>
        <v/>
      </c>
      <c r="V17" s="20">
        <f>Inputs!$F$37*(1-Inputs!$F$39/100)^(V12-1)*IF(V13=1,Inputs!$F$38/100,1-Inputs!$F$38/100)*Inputs!$F$12</f>
        <v/>
      </c>
      <c r="W17" s="20">
        <f>Inputs!$F$37*(1-Inputs!$F$39/100)^(W12-1)*IF(W13=1,Inputs!$F$38/100,1-Inputs!$F$38/100)*Inputs!$F$12</f>
        <v/>
      </c>
      <c r="X17" s="20">
        <f>Inputs!$F$37*(1-Inputs!$F$39/100)^(X12-1)*IF(X13=1,Inputs!$F$38/100,1-Inputs!$F$38/100)*Inputs!$F$12</f>
        <v/>
      </c>
      <c r="Y17" s="20">
        <f>Inputs!$F$37*(1-Inputs!$F$39/100)^(Y12-1)*IF(Y13=1,Inputs!$F$38/100,1-Inputs!$F$38/100)*Inputs!$F$12</f>
        <v/>
      </c>
      <c r="Z17" s="20">
        <f>Inputs!$F$37*(1-Inputs!$F$39/100)^(Z12-1)*IF(Z13=1,Inputs!$F$38/100,1-Inputs!$F$38/100)*Inputs!$F$12</f>
        <v/>
      </c>
      <c r="AA17" s="20">
        <f>Inputs!$F$37*(1-Inputs!$F$39/100)^(AA12-1)*IF(AA13=1,Inputs!$F$38/100,1-Inputs!$F$38/100)*Inputs!$F$12</f>
        <v/>
      </c>
      <c r="AB17" s="20">
        <f>Inputs!$F$37*(1-Inputs!$F$39/100)^(AB12-1)*IF(AB13=1,Inputs!$F$38/100,1-Inputs!$F$38/100)*Inputs!$F$12</f>
        <v/>
      </c>
      <c r="AC17" s="20">
        <f>Inputs!$F$37*(1-Inputs!$F$39/100)^(AC12-1)*IF(AC13=1,Inputs!$F$38/100,1-Inputs!$F$38/100)*Inputs!$F$12</f>
        <v/>
      </c>
      <c r="AD17" s="20">
        <f>Inputs!$F$37*(1-Inputs!$F$39/100)^(AD12-1)*IF(AD13=1,Inputs!$F$38/100,1-Inputs!$F$38/100)*Inputs!$F$12</f>
        <v/>
      </c>
      <c r="AE17" s="20">
        <f>Inputs!$F$37*(1-Inputs!$F$39/100)^(AE12-1)*IF(AE13=1,Inputs!$F$38/100,1-Inputs!$F$38/100)*Inputs!$F$12</f>
        <v/>
      </c>
      <c r="AF17" s="20">
        <f>Inputs!$F$37*(1-Inputs!$F$39/100)^(AF12-1)*IF(AF13=1,Inputs!$F$38/100,1-Inputs!$F$38/100)*Inputs!$F$12</f>
        <v/>
      </c>
      <c r="AG17" s="20">
        <f>Inputs!$F$37*(1-Inputs!$F$39/100)^(AG12-1)*IF(AG13=1,Inputs!$F$38/100,1-Inputs!$F$38/100)*Inputs!$F$12</f>
        <v/>
      </c>
      <c r="AH17" s="20">
        <f>Inputs!$F$37*(1-Inputs!$F$39/100)^(AH12-1)*IF(AH13=1,Inputs!$F$38/100,1-Inputs!$F$38/100)*Inputs!$F$12</f>
        <v/>
      </c>
      <c r="AI17" s="20">
        <f>Inputs!$F$37*(1-Inputs!$F$39/100)^(AI12-1)*IF(AI13=1,Inputs!$F$38/100,1-Inputs!$F$38/100)*Inputs!$F$12</f>
        <v/>
      </c>
      <c r="AJ17" s="20">
        <f>Inputs!$F$37*(1-Inputs!$F$39/100)^(AJ12-1)*IF(AJ13=1,Inputs!$F$38/100,1-Inputs!$F$38/100)*Inputs!$F$12</f>
        <v/>
      </c>
      <c r="AK17" s="20">
        <f>Inputs!$F$37*(1-Inputs!$F$39/100)^(AK12-1)*IF(AK13=1,Inputs!$F$38/100,1-Inputs!$F$38/100)*Inputs!$F$12</f>
        <v/>
      </c>
      <c r="AL17" s="20">
        <f>Inputs!$F$37*(1-Inputs!$F$39/100)^(AL12-1)*IF(AL13=1,Inputs!$F$38/100,1-Inputs!$F$38/100)*Inputs!$F$12</f>
        <v/>
      </c>
      <c r="AM17" s="20">
        <f>Inputs!$F$37*(1-Inputs!$F$39/100)^(AM12-1)*IF(AM13=1,Inputs!$F$38/100,1-Inputs!$F$38/100)*Inputs!$F$12</f>
        <v/>
      </c>
      <c r="AN17" s="20">
        <f>Inputs!$F$37*(1-Inputs!$F$39/100)^(AN12-1)*IF(AN13=1,Inputs!$F$38/100,1-Inputs!$F$38/100)*Inputs!$F$12</f>
        <v/>
      </c>
      <c r="AO17" s="20">
        <f>Inputs!$F$37*(1-Inputs!$F$39/100)^(AO12-1)*IF(AO13=1,Inputs!$F$38/100,1-Inputs!$F$38/100)*Inputs!$F$12</f>
        <v/>
      </c>
      <c r="AP17" s="20">
        <f>Inputs!$F$37*(1-Inputs!$F$39/100)^(AP12-1)*IF(AP13=1,Inputs!$F$38/100,1-Inputs!$F$38/100)*Inputs!$F$12</f>
        <v/>
      </c>
      <c r="AQ17" s="20">
        <f>Inputs!$F$37*(1-Inputs!$F$39/100)^(AQ12-1)*IF(AQ13=1,Inputs!$F$38/100,1-Inputs!$F$38/100)*Inputs!$F$12</f>
        <v/>
      </c>
      <c r="AR17" s="20">
        <f>Inputs!$F$37*(1-Inputs!$F$39/100)^(AR12-1)*IF(AR13=1,Inputs!$F$38/100,1-Inputs!$F$38/100)*Inputs!$F$12</f>
        <v/>
      </c>
      <c r="AS17" s="20">
        <f>Inputs!$F$37*(1-Inputs!$F$39/100)^(AS12-1)*IF(AS13=1,Inputs!$F$38/100,1-Inputs!$F$38/100)*Inputs!$F$12</f>
        <v/>
      </c>
      <c r="AT17" s="20">
        <f>Inputs!$F$37*(1-Inputs!$F$39/100)^(AT12-1)*IF(AT13=1,Inputs!$F$38/100,1-Inputs!$F$38/100)*Inputs!$F$12</f>
        <v/>
      </c>
      <c r="AU17" s="20">
        <f>Inputs!$F$37*(1-Inputs!$F$39/100)^(AU12-1)*IF(AU13=1,Inputs!$F$38/100,1-Inputs!$F$38/100)*Inputs!$F$12</f>
        <v/>
      </c>
      <c r="AV17" s="20">
        <f>Inputs!$F$37*(1-Inputs!$F$39/100)^(AV12-1)*IF(AV13=1,Inputs!$F$38/100,1-Inputs!$F$38/100)*Inputs!$F$12</f>
        <v/>
      </c>
      <c r="AW17" s="20">
        <f>Inputs!$F$37*(1-Inputs!$F$39/100)^(AW12-1)*IF(AW13=1,Inputs!$F$38/100,1-Inputs!$F$38/100)*Inputs!$F$12</f>
        <v/>
      </c>
    </row>
    <row r="18">
      <c r="D18" t="inlineStr">
        <is>
          <t>PPA price</t>
        </is>
      </c>
      <c r="E18" t="inlineStr">
        <is>
          <t>USD/MWh</t>
        </is>
      </c>
      <c r="J18" s="20">
        <f>Inputs!$F$40*(1+Inputs!$F$41/100)^(J11-Inputs!$F$47)</f>
        <v/>
      </c>
      <c r="K18" s="20">
        <f>Inputs!$F$40*(1+Inputs!$F$41/100)^(K11-Inputs!$F$47)</f>
        <v/>
      </c>
      <c r="L18" s="20">
        <f>Inputs!$F$40*(1+Inputs!$F$41/100)^(L11-Inputs!$F$47)</f>
        <v/>
      </c>
      <c r="M18" s="20">
        <f>Inputs!$F$40*(1+Inputs!$F$41/100)^(M11-Inputs!$F$47)</f>
        <v/>
      </c>
      <c r="N18" s="20">
        <f>Inputs!$F$40*(1+Inputs!$F$41/100)^(N11-Inputs!$F$47)</f>
        <v/>
      </c>
      <c r="O18" s="20">
        <f>Inputs!$F$40*(1+Inputs!$F$41/100)^(O11-Inputs!$F$47)</f>
        <v/>
      </c>
      <c r="P18" s="20">
        <f>Inputs!$F$40*(1+Inputs!$F$41/100)^(P11-Inputs!$F$47)</f>
        <v/>
      </c>
      <c r="Q18" s="20">
        <f>Inputs!$F$40*(1+Inputs!$F$41/100)^(Q11-Inputs!$F$47)</f>
        <v/>
      </c>
      <c r="R18" s="20">
        <f>Inputs!$F$40*(1+Inputs!$F$41/100)^(R11-Inputs!$F$47)</f>
        <v/>
      </c>
      <c r="S18" s="20">
        <f>Inputs!$F$40*(1+Inputs!$F$41/100)^(S11-Inputs!$F$47)</f>
        <v/>
      </c>
      <c r="T18" s="20">
        <f>Inputs!$F$40*(1+Inputs!$F$41/100)^(T11-Inputs!$F$47)</f>
        <v/>
      </c>
      <c r="U18" s="20">
        <f>Inputs!$F$40*(1+Inputs!$F$41/100)^(U11-Inputs!$F$47)</f>
        <v/>
      </c>
      <c r="V18" s="20">
        <f>Inputs!$F$40*(1+Inputs!$F$41/100)^(V11-Inputs!$F$47)</f>
        <v/>
      </c>
      <c r="W18" s="20">
        <f>Inputs!$F$40*(1+Inputs!$F$41/100)^(W11-Inputs!$F$47)</f>
        <v/>
      </c>
      <c r="X18" s="20">
        <f>Inputs!$F$40*(1+Inputs!$F$41/100)^(X11-Inputs!$F$47)</f>
        <v/>
      </c>
      <c r="Y18" s="20">
        <f>Inputs!$F$40*(1+Inputs!$F$41/100)^(Y11-Inputs!$F$47)</f>
        <v/>
      </c>
      <c r="Z18" s="20">
        <f>Inputs!$F$40*(1+Inputs!$F$41/100)^(Z11-Inputs!$F$47)</f>
        <v/>
      </c>
      <c r="AA18" s="20">
        <f>Inputs!$F$40*(1+Inputs!$F$41/100)^(AA11-Inputs!$F$47)</f>
        <v/>
      </c>
      <c r="AB18" s="20">
        <f>Inputs!$F$40*(1+Inputs!$F$41/100)^(AB11-Inputs!$F$47)</f>
        <v/>
      </c>
      <c r="AC18" s="20">
        <f>Inputs!$F$40*(1+Inputs!$F$41/100)^(AC11-Inputs!$F$47)</f>
        <v/>
      </c>
      <c r="AD18" s="20">
        <f>Inputs!$F$40*(1+Inputs!$F$41/100)^(AD11-Inputs!$F$47)</f>
        <v/>
      </c>
      <c r="AE18" s="20">
        <f>Inputs!$F$40*(1+Inputs!$F$41/100)^(AE11-Inputs!$F$47)</f>
        <v/>
      </c>
      <c r="AF18" s="20">
        <f>Inputs!$F$40*(1+Inputs!$F$41/100)^(AF11-Inputs!$F$47)</f>
        <v/>
      </c>
      <c r="AG18" s="20">
        <f>Inputs!$F$40*(1+Inputs!$F$41/100)^(AG11-Inputs!$F$47)</f>
        <v/>
      </c>
      <c r="AH18" s="20">
        <f>Inputs!$F$40*(1+Inputs!$F$41/100)^(AH11-Inputs!$F$47)</f>
        <v/>
      </c>
      <c r="AI18" s="20">
        <f>Inputs!$F$40*(1+Inputs!$F$41/100)^(AI11-Inputs!$F$47)</f>
        <v/>
      </c>
      <c r="AJ18" s="20">
        <f>Inputs!$F$40*(1+Inputs!$F$41/100)^(AJ11-Inputs!$F$47)</f>
        <v/>
      </c>
      <c r="AK18" s="20">
        <f>Inputs!$F$40*(1+Inputs!$F$41/100)^(AK11-Inputs!$F$47)</f>
        <v/>
      </c>
      <c r="AL18" s="20">
        <f>Inputs!$F$40*(1+Inputs!$F$41/100)^(AL11-Inputs!$F$47)</f>
        <v/>
      </c>
      <c r="AM18" s="20">
        <f>Inputs!$F$40*(1+Inputs!$F$41/100)^(AM11-Inputs!$F$47)</f>
        <v/>
      </c>
      <c r="AN18" s="20">
        <f>Inputs!$F$40*(1+Inputs!$F$41/100)^(AN11-Inputs!$F$47)</f>
        <v/>
      </c>
      <c r="AO18" s="20">
        <f>Inputs!$F$40*(1+Inputs!$F$41/100)^(AO11-Inputs!$F$47)</f>
        <v/>
      </c>
      <c r="AP18" s="20">
        <f>Inputs!$F$40*(1+Inputs!$F$41/100)^(AP11-Inputs!$F$47)</f>
        <v/>
      </c>
      <c r="AQ18" s="20">
        <f>Inputs!$F$40*(1+Inputs!$F$41/100)^(AQ11-Inputs!$F$47)</f>
        <v/>
      </c>
      <c r="AR18" s="20">
        <f>Inputs!$F$40*(1+Inputs!$F$41/100)^(AR11-Inputs!$F$47)</f>
        <v/>
      </c>
      <c r="AS18" s="20">
        <f>Inputs!$F$40*(1+Inputs!$F$41/100)^(AS11-Inputs!$F$47)</f>
        <v/>
      </c>
      <c r="AT18" s="20">
        <f>Inputs!$F$40*(1+Inputs!$F$41/100)^(AT11-Inputs!$F$47)</f>
        <v/>
      </c>
      <c r="AU18" s="20">
        <f>Inputs!$F$40*(1+Inputs!$F$41/100)^(AU11-Inputs!$F$47)</f>
        <v/>
      </c>
      <c r="AV18" s="20">
        <f>Inputs!$F$40*(1+Inputs!$F$41/100)^(AV11-Inputs!$F$47)</f>
        <v/>
      </c>
      <c r="AW18" s="20">
        <f>Inputs!$F$40*(1+Inputs!$F$41/100)^(AW11-Inputs!$F$47)</f>
        <v/>
      </c>
    </row>
    <row r="19">
      <c r="D19" t="inlineStr">
        <is>
          <t>Energy revenue</t>
        </is>
      </c>
      <c r="E19" t="inlineStr">
        <is>
          <t>USD m</t>
        </is>
      </c>
      <c r="G19" s="20">
        <f>SUM(J19:AW19)</f>
        <v/>
      </c>
      <c r="J19" s="20">
        <f>J17*J18/1000</f>
        <v/>
      </c>
      <c r="K19" s="20">
        <f>K17*K18/1000</f>
        <v/>
      </c>
      <c r="L19" s="20">
        <f>L17*L18/1000</f>
        <v/>
      </c>
      <c r="M19" s="20">
        <f>M17*M18/1000</f>
        <v/>
      </c>
      <c r="N19" s="20">
        <f>N17*N18/1000</f>
        <v/>
      </c>
      <c r="O19" s="20">
        <f>O17*O18/1000</f>
        <v/>
      </c>
      <c r="P19" s="20">
        <f>P17*P18/1000</f>
        <v/>
      </c>
      <c r="Q19" s="20">
        <f>Q17*Q18/1000</f>
        <v/>
      </c>
      <c r="R19" s="20">
        <f>R17*R18/1000</f>
        <v/>
      </c>
      <c r="S19" s="20">
        <f>S17*S18/1000</f>
        <v/>
      </c>
      <c r="T19" s="20">
        <f>T17*T18/1000</f>
        <v/>
      </c>
      <c r="U19" s="20">
        <f>U17*U18/1000</f>
        <v/>
      </c>
      <c r="V19" s="20">
        <f>V17*V18/1000</f>
        <v/>
      </c>
      <c r="W19" s="20">
        <f>W17*W18/1000</f>
        <v/>
      </c>
      <c r="X19" s="20">
        <f>X17*X18/1000</f>
        <v/>
      </c>
      <c r="Y19" s="20">
        <f>Y17*Y18/1000</f>
        <v/>
      </c>
      <c r="Z19" s="20">
        <f>Z17*Z18/1000</f>
        <v/>
      </c>
      <c r="AA19" s="20">
        <f>AA17*AA18/1000</f>
        <v/>
      </c>
      <c r="AB19" s="20">
        <f>AB17*AB18/1000</f>
        <v/>
      </c>
      <c r="AC19" s="20">
        <f>AC17*AC18/1000</f>
        <v/>
      </c>
      <c r="AD19" s="20">
        <f>AD17*AD18/1000</f>
        <v/>
      </c>
      <c r="AE19" s="20">
        <f>AE17*AE18/1000</f>
        <v/>
      </c>
      <c r="AF19" s="20">
        <f>AF17*AF18/1000</f>
        <v/>
      </c>
      <c r="AG19" s="20">
        <f>AG17*AG18/1000</f>
        <v/>
      </c>
      <c r="AH19" s="20">
        <f>AH17*AH18/1000</f>
        <v/>
      </c>
      <c r="AI19" s="20">
        <f>AI17*AI18/1000</f>
        <v/>
      </c>
      <c r="AJ19" s="20">
        <f>AJ17*AJ18/1000</f>
        <v/>
      </c>
      <c r="AK19" s="20">
        <f>AK17*AK18/1000</f>
        <v/>
      </c>
      <c r="AL19" s="20">
        <f>AL17*AL18/1000</f>
        <v/>
      </c>
      <c r="AM19" s="20">
        <f>AM17*AM18/1000</f>
        <v/>
      </c>
      <c r="AN19" s="20">
        <f>AN17*AN18/1000</f>
        <v/>
      </c>
      <c r="AO19" s="20">
        <f>AO17*AO18/1000</f>
        <v/>
      </c>
      <c r="AP19" s="20">
        <f>AP17*AP18/1000</f>
        <v/>
      </c>
      <c r="AQ19" s="20">
        <f>AQ17*AQ18/1000</f>
        <v/>
      </c>
      <c r="AR19" s="20">
        <f>AR17*AR18/1000</f>
        <v/>
      </c>
      <c r="AS19" s="20">
        <f>AS17*AS18/1000</f>
        <v/>
      </c>
      <c r="AT19" s="20">
        <f>AT17*AT18/1000</f>
        <v/>
      </c>
      <c r="AU19" s="20">
        <f>AU17*AU18/1000</f>
        <v/>
      </c>
      <c r="AV19" s="20">
        <f>AV17*AV18/1000</f>
        <v/>
      </c>
      <c r="AW19" s="20">
        <f>AW17*AW18/1000</f>
        <v/>
      </c>
    </row>
    <row r="20">
      <c r="D20" t="inlineStr">
        <is>
          <t>Battery capacity payment</t>
        </is>
      </c>
      <c r="E20" t="inlineStr">
        <is>
          <t>USD m</t>
        </is>
      </c>
      <c r="G20" s="20">
        <f>SUM(J20:AW20)</f>
        <v/>
      </c>
      <c r="J20" s="20">
        <f>Inputs!$F$42*1000*Inputs!$F$43*(1+Inputs!$F$41/100)^(J11-Inputs!$F$47)*Inputs!$F$55/1000000</f>
        <v/>
      </c>
      <c r="K20" s="20">
        <f>Inputs!$F$42*1000*Inputs!$F$43*(1+Inputs!$F$41/100)^(K11-Inputs!$F$47)*Inputs!$F$55/1000000</f>
        <v/>
      </c>
      <c r="L20" s="20">
        <f>Inputs!$F$42*1000*Inputs!$F$43*(1+Inputs!$F$41/100)^(L11-Inputs!$F$47)*Inputs!$F$55/1000000</f>
        <v/>
      </c>
      <c r="M20" s="20">
        <f>Inputs!$F$42*1000*Inputs!$F$43*(1+Inputs!$F$41/100)^(M11-Inputs!$F$47)*Inputs!$F$55/1000000</f>
        <v/>
      </c>
      <c r="N20" s="20">
        <f>Inputs!$F$42*1000*Inputs!$F$43*(1+Inputs!$F$41/100)^(N11-Inputs!$F$47)*Inputs!$F$55/1000000</f>
        <v/>
      </c>
      <c r="O20" s="20">
        <f>Inputs!$F$42*1000*Inputs!$F$43*(1+Inputs!$F$41/100)^(O11-Inputs!$F$47)*Inputs!$F$55/1000000</f>
        <v/>
      </c>
      <c r="P20" s="20">
        <f>Inputs!$F$42*1000*Inputs!$F$43*(1+Inputs!$F$41/100)^(P11-Inputs!$F$47)*Inputs!$F$55/1000000</f>
        <v/>
      </c>
      <c r="Q20" s="20">
        <f>Inputs!$F$42*1000*Inputs!$F$43*(1+Inputs!$F$41/100)^(Q11-Inputs!$F$47)*Inputs!$F$55/1000000</f>
        <v/>
      </c>
      <c r="R20" s="20">
        <f>Inputs!$F$42*1000*Inputs!$F$43*(1+Inputs!$F$41/100)^(R11-Inputs!$F$47)*Inputs!$F$55/1000000</f>
        <v/>
      </c>
      <c r="S20" s="20">
        <f>Inputs!$F$42*1000*Inputs!$F$43*(1+Inputs!$F$41/100)^(S11-Inputs!$F$47)*Inputs!$F$55/1000000</f>
        <v/>
      </c>
      <c r="T20" s="20">
        <f>Inputs!$F$42*1000*Inputs!$F$43*(1+Inputs!$F$41/100)^(T11-Inputs!$F$47)*Inputs!$F$55/1000000</f>
        <v/>
      </c>
      <c r="U20" s="20">
        <f>Inputs!$F$42*1000*Inputs!$F$43*(1+Inputs!$F$41/100)^(U11-Inputs!$F$47)*Inputs!$F$55/1000000</f>
        <v/>
      </c>
      <c r="V20" s="20">
        <f>Inputs!$F$42*1000*Inputs!$F$43*(1+Inputs!$F$41/100)^(V11-Inputs!$F$47)*Inputs!$F$55/1000000</f>
        <v/>
      </c>
      <c r="W20" s="20">
        <f>Inputs!$F$42*1000*Inputs!$F$43*(1+Inputs!$F$41/100)^(W11-Inputs!$F$47)*Inputs!$F$55/1000000</f>
        <v/>
      </c>
      <c r="X20" s="20">
        <f>Inputs!$F$42*1000*Inputs!$F$43*(1+Inputs!$F$41/100)^(X11-Inputs!$F$47)*Inputs!$F$55/1000000</f>
        <v/>
      </c>
      <c r="Y20" s="20">
        <f>Inputs!$F$42*1000*Inputs!$F$43*(1+Inputs!$F$41/100)^(Y11-Inputs!$F$47)*Inputs!$F$55/1000000</f>
        <v/>
      </c>
      <c r="Z20" s="20">
        <f>Inputs!$F$42*1000*Inputs!$F$43*(1+Inputs!$F$41/100)^(Z11-Inputs!$F$47)*Inputs!$F$55/1000000</f>
        <v/>
      </c>
      <c r="AA20" s="20">
        <f>Inputs!$F$42*1000*Inputs!$F$43*(1+Inputs!$F$41/100)^(AA11-Inputs!$F$47)*Inputs!$F$55/1000000</f>
        <v/>
      </c>
      <c r="AB20" s="20">
        <f>Inputs!$F$42*1000*Inputs!$F$43*(1+Inputs!$F$41/100)^(AB11-Inputs!$F$47)*Inputs!$F$55/1000000</f>
        <v/>
      </c>
      <c r="AC20" s="20">
        <f>Inputs!$F$42*1000*Inputs!$F$43*(1+Inputs!$F$41/100)^(AC11-Inputs!$F$47)*Inputs!$F$55/1000000</f>
        <v/>
      </c>
      <c r="AD20" s="20">
        <f>Inputs!$F$42*1000*Inputs!$F$43*(1+Inputs!$F$41/100)^(AD11-Inputs!$F$47)*Inputs!$F$55/1000000</f>
        <v/>
      </c>
      <c r="AE20" s="20">
        <f>Inputs!$F$42*1000*Inputs!$F$43*(1+Inputs!$F$41/100)^(AE11-Inputs!$F$47)*Inputs!$F$55/1000000</f>
        <v/>
      </c>
      <c r="AF20" s="20">
        <f>Inputs!$F$42*1000*Inputs!$F$43*(1+Inputs!$F$41/100)^(AF11-Inputs!$F$47)*Inputs!$F$55/1000000</f>
        <v/>
      </c>
      <c r="AG20" s="20">
        <f>Inputs!$F$42*1000*Inputs!$F$43*(1+Inputs!$F$41/100)^(AG11-Inputs!$F$47)*Inputs!$F$55/1000000</f>
        <v/>
      </c>
      <c r="AH20" s="20">
        <f>Inputs!$F$42*1000*Inputs!$F$43*(1+Inputs!$F$41/100)^(AH11-Inputs!$F$47)*Inputs!$F$55/1000000</f>
        <v/>
      </c>
      <c r="AI20" s="20">
        <f>Inputs!$F$42*1000*Inputs!$F$43*(1+Inputs!$F$41/100)^(AI11-Inputs!$F$47)*Inputs!$F$55/1000000</f>
        <v/>
      </c>
      <c r="AJ20" s="20">
        <f>Inputs!$F$42*1000*Inputs!$F$43*(1+Inputs!$F$41/100)^(AJ11-Inputs!$F$47)*Inputs!$F$55/1000000</f>
        <v/>
      </c>
      <c r="AK20" s="20">
        <f>Inputs!$F$42*1000*Inputs!$F$43*(1+Inputs!$F$41/100)^(AK11-Inputs!$F$47)*Inputs!$F$55/1000000</f>
        <v/>
      </c>
      <c r="AL20" s="20">
        <f>Inputs!$F$42*1000*Inputs!$F$43*(1+Inputs!$F$41/100)^(AL11-Inputs!$F$47)*Inputs!$F$55/1000000</f>
        <v/>
      </c>
      <c r="AM20" s="20">
        <f>Inputs!$F$42*1000*Inputs!$F$43*(1+Inputs!$F$41/100)^(AM11-Inputs!$F$47)*Inputs!$F$55/1000000</f>
        <v/>
      </c>
      <c r="AN20" s="20">
        <f>Inputs!$F$42*1000*Inputs!$F$43*(1+Inputs!$F$41/100)^(AN11-Inputs!$F$47)*Inputs!$F$55/1000000</f>
        <v/>
      </c>
      <c r="AO20" s="20">
        <f>Inputs!$F$42*1000*Inputs!$F$43*(1+Inputs!$F$41/100)^(AO11-Inputs!$F$47)*Inputs!$F$55/1000000</f>
        <v/>
      </c>
      <c r="AP20" s="20">
        <f>Inputs!$F$42*1000*Inputs!$F$43*(1+Inputs!$F$41/100)^(AP11-Inputs!$F$47)*Inputs!$F$55/1000000</f>
        <v/>
      </c>
      <c r="AQ20" s="20">
        <f>Inputs!$F$42*1000*Inputs!$F$43*(1+Inputs!$F$41/100)^(AQ11-Inputs!$F$47)*Inputs!$F$55/1000000</f>
        <v/>
      </c>
      <c r="AR20" s="20">
        <f>Inputs!$F$42*1000*Inputs!$F$43*(1+Inputs!$F$41/100)^(AR11-Inputs!$F$47)*Inputs!$F$55/1000000</f>
        <v/>
      </c>
      <c r="AS20" s="20">
        <f>Inputs!$F$42*1000*Inputs!$F$43*(1+Inputs!$F$41/100)^(AS11-Inputs!$F$47)*Inputs!$F$55/1000000</f>
        <v/>
      </c>
      <c r="AT20" s="20">
        <f>Inputs!$F$42*1000*Inputs!$F$43*(1+Inputs!$F$41/100)^(AT11-Inputs!$F$47)*Inputs!$F$55/1000000</f>
        <v/>
      </c>
      <c r="AU20" s="20">
        <f>Inputs!$F$42*1000*Inputs!$F$43*(1+Inputs!$F$41/100)^(AU11-Inputs!$F$47)*Inputs!$F$55/1000000</f>
        <v/>
      </c>
      <c r="AV20" s="20">
        <f>Inputs!$F$42*1000*Inputs!$F$43*(1+Inputs!$F$41/100)^(AV11-Inputs!$F$47)*Inputs!$F$55/1000000</f>
        <v/>
      </c>
      <c r="AW20" s="20">
        <f>Inputs!$F$42*1000*Inputs!$F$43*(1+Inputs!$F$41/100)^(AW11-Inputs!$F$47)*Inputs!$F$55/1000000</f>
        <v/>
      </c>
    </row>
    <row r="21">
      <c r="D21" t="inlineStr">
        <is>
          <t>Total revenue</t>
        </is>
      </c>
      <c r="E21" t="inlineStr">
        <is>
          <t>USD m</t>
        </is>
      </c>
      <c r="G21" s="20">
        <f>SUM(J21:AW21)</f>
        <v/>
      </c>
      <c r="J21" s="20">
        <f>J19+J20</f>
        <v/>
      </c>
      <c r="K21" s="20">
        <f>K19+K20</f>
        <v/>
      </c>
      <c r="L21" s="20">
        <f>L19+L20</f>
        <v/>
      </c>
      <c r="M21" s="20">
        <f>M19+M20</f>
        <v/>
      </c>
      <c r="N21" s="20">
        <f>N19+N20</f>
        <v/>
      </c>
      <c r="O21" s="20">
        <f>O19+O20</f>
        <v/>
      </c>
      <c r="P21" s="20">
        <f>P19+P20</f>
        <v/>
      </c>
      <c r="Q21" s="20">
        <f>Q19+Q20</f>
        <v/>
      </c>
      <c r="R21" s="20">
        <f>R19+R20</f>
        <v/>
      </c>
      <c r="S21" s="20">
        <f>S19+S20</f>
        <v/>
      </c>
      <c r="T21" s="20">
        <f>T19+T20</f>
        <v/>
      </c>
      <c r="U21" s="20">
        <f>U19+U20</f>
        <v/>
      </c>
      <c r="V21" s="20">
        <f>V19+V20</f>
        <v/>
      </c>
      <c r="W21" s="20">
        <f>W19+W20</f>
        <v/>
      </c>
      <c r="X21" s="20">
        <f>X19+X20</f>
        <v/>
      </c>
      <c r="Y21" s="20">
        <f>Y19+Y20</f>
        <v/>
      </c>
      <c r="Z21" s="20">
        <f>Z19+Z20</f>
        <v/>
      </c>
      <c r="AA21" s="20">
        <f>AA19+AA20</f>
        <v/>
      </c>
      <c r="AB21" s="20">
        <f>AB19+AB20</f>
        <v/>
      </c>
      <c r="AC21" s="20">
        <f>AC19+AC20</f>
        <v/>
      </c>
      <c r="AD21" s="20">
        <f>AD19+AD20</f>
        <v/>
      </c>
      <c r="AE21" s="20">
        <f>AE19+AE20</f>
        <v/>
      </c>
      <c r="AF21" s="20">
        <f>AF19+AF20</f>
        <v/>
      </c>
      <c r="AG21" s="20">
        <f>AG19+AG20</f>
        <v/>
      </c>
      <c r="AH21" s="20">
        <f>AH19+AH20</f>
        <v/>
      </c>
      <c r="AI21" s="20">
        <f>AI19+AI20</f>
        <v/>
      </c>
      <c r="AJ21" s="20">
        <f>AJ19+AJ20</f>
        <v/>
      </c>
      <c r="AK21" s="20">
        <f>AK19+AK20</f>
        <v/>
      </c>
      <c r="AL21" s="20">
        <f>AL19+AL20</f>
        <v/>
      </c>
      <c r="AM21" s="20">
        <f>AM19+AM20</f>
        <v/>
      </c>
      <c r="AN21" s="20">
        <f>AN19+AN20</f>
        <v/>
      </c>
      <c r="AO21" s="20">
        <f>AO19+AO20</f>
        <v/>
      </c>
      <c r="AP21" s="20">
        <f>AP19+AP20</f>
        <v/>
      </c>
      <c r="AQ21" s="20">
        <f>AQ19+AQ20</f>
        <v/>
      </c>
      <c r="AR21" s="20">
        <f>AR19+AR20</f>
        <v/>
      </c>
      <c r="AS21" s="20">
        <f>AS19+AS20</f>
        <v/>
      </c>
      <c r="AT21" s="20">
        <f>AT19+AT20</f>
        <v/>
      </c>
      <c r="AU21" s="20">
        <f>AU19+AU20</f>
        <v/>
      </c>
      <c r="AV21" s="20">
        <f>AV19+AV20</f>
        <v/>
      </c>
      <c r="AW21" s="20">
        <f>AW19+AW20</f>
        <v/>
      </c>
    </row>
    <row r="22">
      <c r="B22" s="2" t="inlineStr">
        <is>
          <t>Operating costs (USD m)</t>
        </is>
      </c>
    </row>
    <row r="23">
      <c r="D23" t="inlineStr">
        <is>
          <t>Fixed operating cost (equal halves)</t>
        </is>
      </c>
      <c r="E23" t="inlineStr">
        <is>
          <t>USD m</t>
        </is>
      </c>
      <c r="G23" s="20">
        <f>SUM(J23:AW23)</f>
        <v/>
      </c>
      <c r="J23" s="20">
        <f>Inputs!$F$44*(1+Inputs!$F$45/100)^(J11-Inputs!$F$47)*Inputs!$F$55/Inputs!$F$27*Inputs!$F$13</f>
        <v/>
      </c>
      <c r="K23" s="20">
        <f>Inputs!$F$44*(1+Inputs!$F$45/100)^(K11-Inputs!$F$47)*Inputs!$F$55/Inputs!$F$27*Inputs!$F$13</f>
        <v/>
      </c>
      <c r="L23" s="20">
        <f>Inputs!$F$44*(1+Inputs!$F$45/100)^(L11-Inputs!$F$47)*Inputs!$F$55/Inputs!$F$27*Inputs!$F$13</f>
        <v/>
      </c>
      <c r="M23" s="20">
        <f>Inputs!$F$44*(1+Inputs!$F$45/100)^(M11-Inputs!$F$47)*Inputs!$F$55/Inputs!$F$27*Inputs!$F$13</f>
        <v/>
      </c>
      <c r="N23" s="20">
        <f>Inputs!$F$44*(1+Inputs!$F$45/100)^(N11-Inputs!$F$47)*Inputs!$F$55/Inputs!$F$27*Inputs!$F$13</f>
        <v/>
      </c>
      <c r="O23" s="20">
        <f>Inputs!$F$44*(1+Inputs!$F$45/100)^(O11-Inputs!$F$47)*Inputs!$F$55/Inputs!$F$27*Inputs!$F$13</f>
        <v/>
      </c>
      <c r="P23" s="20">
        <f>Inputs!$F$44*(1+Inputs!$F$45/100)^(P11-Inputs!$F$47)*Inputs!$F$55/Inputs!$F$27*Inputs!$F$13</f>
        <v/>
      </c>
      <c r="Q23" s="20">
        <f>Inputs!$F$44*(1+Inputs!$F$45/100)^(Q11-Inputs!$F$47)*Inputs!$F$55/Inputs!$F$27*Inputs!$F$13</f>
        <v/>
      </c>
      <c r="R23" s="20">
        <f>Inputs!$F$44*(1+Inputs!$F$45/100)^(R11-Inputs!$F$47)*Inputs!$F$55/Inputs!$F$27*Inputs!$F$13</f>
        <v/>
      </c>
      <c r="S23" s="20">
        <f>Inputs!$F$44*(1+Inputs!$F$45/100)^(S11-Inputs!$F$47)*Inputs!$F$55/Inputs!$F$27*Inputs!$F$13</f>
        <v/>
      </c>
      <c r="T23" s="20">
        <f>Inputs!$F$44*(1+Inputs!$F$45/100)^(T11-Inputs!$F$47)*Inputs!$F$55/Inputs!$F$27*Inputs!$F$13</f>
        <v/>
      </c>
      <c r="U23" s="20">
        <f>Inputs!$F$44*(1+Inputs!$F$45/100)^(U11-Inputs!$F$47)*Inputs!$F$55/Inputs!$F$27*Inputs!$F$13</f>
        <v/>
      </c>
      <c r="V23" s="20">
        <f>Inputs!$F$44*(1+Inputs!$F$45/100)^(V11-Inputs!$F$47)*Inputs!$F$55/Inputs!$F$27*Inputs!$F$13</f>
        <v/>
      </c>
      <c r="W23" s="20">
        <f>Inputs!$F$44*(1+Inputs!$F$45/100)^(W11-Inputs!$F$47)*Inputs!$F$55/Inputs!$F$27*Inputs!$F$13</f>
        <v/>
      </c>
      <c r="X23" s="20">
        <f>Inputs!$F$44*(1+Inputs!$F$45/100)^(X11-Inputs!$F$47)*Inputs!$F$55/Inputs!$F$27*Inputs!$F$13</f>
        <v/>
      </c>
      <c r="Y23" s="20">
        <f>Inputs!$F$44*(1+Inputs!$F$45/100)^(Y11-Inputs!$F$47)*Inputs!$F$55/Inputs!$F$27*Inputs!$F$13</f>
        <v/>
      </c>
      <c r="Z23" s="20">
        <f>Inputs!$F$44*(1+Inputs!$F$45/100)^(Z11-Inputs!$F$47)*Inputs!$F$55/Inputs!$F$27*Inputs!$F$13</f>
        <v/>
      </c>
      <c r="AA23" s="20">
        <f>Inputs!$F$44*(1+Inputs!$F$45/100)^(AA11-Inputs!$F$47)*Inputs!$F$55/Inputs!$F$27*Inputs!$F$13</f>
        <v/>
      </c>
      <c r="AB23" s="20">
        <f>Inputs!$F$44*(1+Inputs!$F$45/100)^(AB11-Inputs!$F$47)*Inputs!$F$55/Inputs!$F$27*Inputs!$F$13</f>
        <v/>
      </c>
      <c r="AC23" s="20">
        <f>Inputs!$F$44*(1+Inputs!$F$45/100)^(AC11-Inputs!$F$47)*Inputs!$F$55/Inputs!$F$27*Inputs!$F$13</f>
        <v/>
      </c>
      <c r="AD23" s="20">
        <f>Inputs!$F$44*(1+Inputs!$F$45/100)^(AD11-Inputs!$F$47)*Inputs!$F$55/Inputs!$F$27*Inputs!$F$13</f>
        <v/>
      </c>
      <c r="AE23" s="20">
        <f>Inputs!$F$44*(1+Inputs!$F$45/100)^(AE11-Inputs!$F$47)*Inputs!$F$55/Inputs!$F$27*Inputs!$F$13</f>
        <v/>
      </c>
      <c r="AF23" s="20">
        <f>Inputs!$F$44*(1+Inputs!$F$45/100)^(AF11-Inputs!$F$47)*Inputs!$F$55/Inputs!$F$27*Inputs!$F$13</f>
        <v/>
      </c>
      <c r="AG23" s="20">
        <f>Inputs!$F$44*(1+Inputs!$F$45/100)^(AG11-Inputs!$F$47)*Inputs!$F$55/Inputs!$F$27*Inputs!$F$13</f>
        <v/>
      </c>
      <c r="AH23" s="20">
        <f>Inputs!$F$44*(1+Inputs!$F$45/100)^(AH11-Inputs!$F$47)*Inputs!$F$55/Inputs!$F$27*Inputs!$F$13</f>
        <v/>
      </c>
      <c r="AI23" s="20">
        <f>Inputs!$F$44*(1+Inputs!$F$45/100)^(AI11-Inputs!$F$47)*Inputs!$F$55/Inputs!$F$27*Inputs!$F$13</f>
        <v/>
      </c>
      <c r="AJ23" s="20">
        <f>Inputs!$F$44*(1+Inputs!$F$45/100)^(AJ11-Inputs!$F$47)*Inputs!$F$55/Inputs!$F$27*Inputs!$F$13</f>
        <v/>
      </c>
      <c r="AK23" s="20">
        <f>Inputs!$F$44*(1+Inputs!$F$45/100)^(AK11-Inputs!$F$47)*Inputs!$F$55/Inputs!$F$27*Inputs!$F$13</f>
        <v/>
      </c>
      <c r="AL23" s="20">
        <f>Inputs!$F$44*(1+Inputs!$F$45/100)^(AL11-Inputs!$F$47)*Inputs!$F$55/Inputs!$F$27*Inputs!$F$13</f>
        <v/>
      </c>
      <c r="AM23" s="20">
        <f>Inputs!$F$44*(1+Inputs!$F$45/100)^(AM11-Inputs!$F$47)*Inputs!$F$55/Inputs!$F$27*Inputs!$F$13</f>
        <v/>
      </c>
      <c r="AN23" s="20">
        <f>Inputs!$F$44*(1+Inputs!$F$45/100)^(AN11-Inputs!$F$47)*Inputs!$F$55/Inputs!$F$27*Inputs!$F$13</f>
        <v/>
      </c>
      <c r="AO23" s="20">
        <f>Inputs!$F$44*(1+Inputs!$F$45/100)^(AO11-Inputs!$F$47)*Inputs!$F$55/Inputs!$F$27*Inputs!$F$13</f>
        <v/>
      </c>
      <c r="AP23" s="20">
        <f>Inputs!$F$44*(1+Inputs!$F$45/100)^(AP11-Inputs!$F$47)*Inputs!$F$55/Inputs!$F$27*Inputs!$F$13</f>
        <v/>
      </c>
      <c r="AQ23" s="20">
        <f>Inputs!$F$44*(1+Inputs!$F$45/100)^(AQ11-Inputs!$F$47)*Inputs!$F$55/Inputs!$F$27*Inputs!$F$13</f>
        <v/>
      </c>
      <c r="AR23" s="20">
        <f>Inputs!$F$44*(1+Inputs!$F$45/100)^(AR11-Inputs!$F$47)*Inputs!$F$55/Inputs!$F$27*Inputs!$F$13</f>
        <v/>
      </c>
      <c r="AS23" s="20">
        <f>Inputs!$F$44*(1+Inputs!$F$45/100)^(AS11-Inputs!$F$47)*Inputs!$F$55/Inputs!$F$27*Inputs!$F$13</f>
        <v/>
      </c>
      <c r="AT23" s="20">
        <f>Inputs!$F$44*(1+Inputs!$F$45/100)^(AT11-Inputs!$F$47)*Inputs!$F$55/Inputs!$F$27*Inputs!$F$13</f>
        <v/>
      </c>
      <c r="AU23" s="20">
        <f>Inputs!$F$44*(1+Inputs!$F$45/100)^(AU11-Inputs!$F$47)*Inputs!$F$55/Inputs!$F$27*Inputs!$F$13</f>
        <v/>
      </c>
      <c r="AV23" s="20">
        <f>Inputs!$F$44*(1+Inputs!$F$45/100)^(AV11-Inputs!$F$47)*Inputs!$F$55/Inputs!$F$27*Inputs!$F$13</f>
        <v/>
      </c>
      <c r="AW23" s="20">
        <f>Inputs!$F$44*(1+Inputs!$F$45/100)^(AW11-Inputs!$F$47)*Inputs!$F$55/Inputs!$F$27*Inputs!$F$13</f>
        <v/>
      </c>
    </row>
    <row r="24">
      <c r="D24" t="inlineStr">
        <is>
          <t>Variable operating cost</t>
        </is>
      </c>
      <c r="E24" t="inlineStr">
        <is>
          <t>USD m</t>
        </is>
      </c>
      <c r="G24" s="20">
        <f>SUM(J24:AW24)</f>
        <v/>
      </c>
      <c r="J24" s="20">
        <f>J17*Inputs!$F$46/1000*Inputs!$F$13</f>
        <v/>
      </c>
      <c r="K24" s="20">
        <f>K17*Inputs!$F$46/1000*Inputs!$F$13</f>
        <v/>
      </c>
      <c r="L24" s="20">
        <f>L17*Inputs!$F$46/1000*Inputs!$F$13</f>
        <v/>
      </c>
      <c r="M24" s="20">
        <f>M17*Inputs!$F$46/1000*Inputs!$F$13</f>
        <v/>
      </c>
      <c r="N24" s="20">
        <f>N17*Inputs!$F$46/1000*Inputs!$F$13</f>
        <v/>
      </c>
      <c r="O24" s="20">
        <f>O17*Inputs!$F$46/1000*Inputs!$F$13</f>
        <v/>
      </c>
      <c r="P24" s="20">
        <f>P17*Inputs!$F$46/1000*Inputs!$F$13</f>
        <v/>
      </c>
      <c r="Q24" s="20">
        <f>Q17*Inputs!$F$46/1000*Inputs!$F$13</f>
        <v/>
      </c>
      <c r="R24" s="20">
        <f>R17*Inputs!$F$46/1000*Inputs!$F$13</f>
        <v/>
      </c>
      <c r="S24" s="20">
        <f>S17*Inputs!$F$46/1000*Inputs!$F$13</f>
        <v/>
      </c>
      <c r="T24" s="20">
        <f>T17*Inputs!$F$46/1000*Inputs!$F$13</f>
        <v/>
      </c>
      <c r="U24" s="20">
        <f>U17*Inputs!$F$46/1000*Inputs!$F$13</f>
        <v/>
      </c>
      <c r="V24" s="20">
        <f>V17*Inputs!$F$46/1000*Inputs!$F$13</f>
        <v/>
      </c>
      <c r="W24" s="20">
        <f>W17*Inputs!$F$46/1000*Inputs!$F$13</f>
        <v/>
      </c>
      <c r="X24" s="20">
        <f>X17*Inputs!$F$46/1000*Inputs!$F$13</f>
        <v/>
      </c>
      <c r="Y24" s="20">
        <f>Y17*Inputs!$F$46/1000*Inputs!$F$13</f>
        <v/>
      </c>
      <c r="Z24" s="20">
        <f>Z17*Inputs!$F$46/1000*Inputs!$F$13</f>
        <v/>
      </c>
      <c r="AA24" s="20">
        <f>AA17*Inputs!$F$46/1000*Inputs!$F$13</f>
        <v/>
      </c>
      <c r="AB24" s="20">
        <f>AB17*Inputs!$F$46/1000*Inputs!$F$13</f>
        <v/>
      </c>
      <c r="AC24" s="20">
        <f>AC17*Inputs!$F$46/1000*Inputs!$F$13</f>
        <v/>
      </c>
      <c r="AD24" s="20">
        <f>AD17*Inputs!$F$46/1000*Inputs!$F$13</f>
        <v/>
      </c>
      <c r="AE24" s="20">
        <f>AE17*Inputs!$F$46/1000*Inputs!$F$13</f>
        <v/>
      </c>
      <c r="AF24" s="20">
        <f>AF17*Inputs!$F$46/1000*Inputs!$F$13</f>
        <v/>
      </c>
      <c r="AG24" s="20">
        <f>AG17*Inputs!$F$46/1000*Inputs!$F$13</f>
        <v/>
      </c>
      <c r="AH24" s="20">
        <f>AH17*Inputs!$F$46/1000*Inputs!$F$13</f>
        <v/>
      </c>
      <c r="AI24" s="20">
        <f>AI17*Inputs!$F$46/1000*Inputs!$F$13</f>
        <v/>
      </c>
      <c r="AJ24" s="20">
        <f>AJ17*Inputs!$F$46/1000*Inputs!$F$13</f>
        <v/>
      </c>
      <c r="AK24" s="20">
        <f>AK17*Inputs!$F$46/1000*Inputs!$F$13</f>
        <v/>
      </c>
      <c r="AL24" s="20">
        <f>AL17*Inputs!$F$46/1000*Inputs!$F$13</f>
        <v/>
      </c>
      <c r="AM24" s="20">
        <f>AM17*Inputs!$F$46/1000*Inputs!$F$13</f>
        <v/>
      </c>
      <c r="AN24" s="20">
        <f>AN17*Inputs!$F$46/1000*Inputs!$F$13</f>
        <v/>
      </c>
      <c r="AO24" s="20">
        <f>AO17*Inputs!$F$46/1000*Inputs!$F$13</f>
        <v/>
      </c>
      <c r="AP24" s="20">
        <f>AP17*Inputs!$F$46/1000*Inputs!$F$13</f>
        <v/>
      </c>
      <c r="AQ24" s="20">
        <f>AQ17*Inputs!$F$46/1000*Inputs!$F$13</f>
        <v/>
      </c>
      <c r="AR24" s="20">
        <f>AR17*Inputs!$F$46/1000*Inputs!$F$13</f>
        <v/>
      </c>
      <c r="AS24" s="20">
        <f>AS17*Inputs!$F$46/1000*Inputs!$F$13</f>
        <v/>
      </c>
      <c r="AT24" s="20">
        <f>AT17*Inputs!$F$46/1000*Inputs!$F$13</f>
        <v/>
      </c>
      <c r="AU24" s="20">
        <f>AU17*Inputs!$F$46/1000*Inputs!$F$13</f>
        <v/>
      </c>
      <c r="AV24" s="20">
        <f>AV17*Inputs!$F$46/1000*Inputs!$F$13</f>
        <v/>
      </c>
      <c r="AW24" s="20">
        <f>AW17*Inputs!$F$46/1000*Inputs!$F$13</f>
        <v/>
      </c>
    </row>
    <row r="25">
      <c r="D25" t="inlineStr">
        <is>
          <t>Total operating costs</t>
        </is>
      </c>
      <c r="E25" t="inlineStr">
        <is>
          <t>USD m</t>
        </is>
      </c>
      <c r="G25" s="20">
        <f>SUM(J25:AW25)</f>
        <v/>
      </c>
      <c r="J25" s="20">
        <f>J23+J24</f>
        <v/>
      </c>
      <c r="K25" s="20">
        <f>K23+K24</f>
        <v/>
      </c>
      <c r="L25" s="20">
        <f>L23+L24</f>
        <v/>
      </c>
      <c r="M25" s="20">
        <f>M23+M24</f>
        <v/>
      </c>
      <c r="N25" s="20">
        <f>N23+N24</f>
        <v/>
      </c>
      <c r="O25" s="20">
        <f>O23+O24</f>
        <v/>
      </c>
      <c r="P25" s="20">
        <f>P23+P24</f>
        <v/>
      </c>
      <c r="Q25" s="20">
        <f>Q23+Q24</f>
        <v/>
      </c>
      <c r="R25" s="20">
        <f>R23+R24</f>
        <v/>
      </c>
      <c r="S25" s="20">
        <f>S23+S24</f>
        <v/>
      </c>
      <c r="T25" s="20">
        <f>T23+T24</f>
        <v/>
      </c>
      <c r="U25" s="20">
        <f>U23+U24</f>
        <v/>
      </c>
      <c r="V25" s="20">
        <f>V23+V24</f>
        <v/>
      </c>
      <c r="W25" s="20">
        <f>W23+W24</f>
        <v/>
      </c>
      <c r="X25" s="20">
        <f>X23+X24</f>
        <v/>
      </c>
      <c r="Y25" s="20">
        <f>Y23+Y24</f>
        <v/>
      </c>
      <c r="Z25" s="20">
        <f>Z23+Z24</f>
        <v/>
      </c>
      <c r="AA25" s="20">
        <f>AA23+AA24</f>
        <v/>
      </c>
      <c r="AB25" s="20">
        <f>AB23+AB24</f>
        <v/>
      </c>
      <c r="AC25" s="20">
        <f>AC23+AC24</f>
        <v/>
      </c>
      <c r="AD25" s="20">
        <f>AD23+AD24</f>
        <v/>
      </c>
      <c r="AE25" s="20">
        <f>AE23+AE24</f>
        <v/>
      </c>
      <c r="AF25" s="20">
        <f>AF23+AF24</f>
        <v/>
      </c>
      <c r="AG25" s="20">
        <f>AG23+AG24</f>
        <v/>
      </c>
      <c r="AH25" s="20">
        <f>AH23+AH24</f>
        <v/>
      </c>
      <c r="AI25" s="20">
        <f>AI23+AI24</f>
        <v/>
      </c>
      <c r="AJ25" s="20">
        <f>AJ23+AJ24</f>
        <v/>
      </c>
      <c r="AK25" s="20">
        <f>AK23+AK24</f>
        <v/>
      </c>
      <c r="AL25" s="20">
        <f>AL23+AL24</f>
        <v/>
      </c>
      <c r="AM25" s="20">
        <f>AM23+AM24</f>
        <v/>
      </c>
      <c r="AN25" s="20">
        <f>AN23+AN24</f>
        <v/>
      </c>
      <c r="AO25" s="20">
        <f>AO23+AO24</f>
        <v/>
      </c>
      <c r="AP25" s="20">
        <f>AP23+AP24</f>
        <v/>
      </c>
      <c r="AQ25" s="20">
        <f>AQ23+AQ24</f>
        <v/>
      </c>
      <c r="AR25" s="20">
        <f>AR23+AR24</f>
        <v/>
      </c>
      <c r="AS25" s="20">
        <f>AS23+AS24</f>
        <v/>
      </c>
      <c r="AT25" s="20">
        <f>AT23+AT24</f>
        <v/>
      </c>
      <c r="AU25" s="20">
        <f>AU23+AU24</f>
        <v/>
      </c>
      <c r="AV25" s="20">
        <f>AV23+AV24</f>
        <v/>
      </c>
      <c r="AW25" s="20">
        <f>AW23+AW24</f>
        <v/>
      </c>
    </row>
    <row r="26">
      <c r="D26" t="inlineStr">
        <is>
          <t>EBITDA</t>
        </is>
      </c>
      <c r="E26" t="inlineStr">
        <is>
          <t>USD m</t>
        </is>
      </c>
      <c r="G26" s="20">
        <f>SUM(J26:AW26)</f>
        <v/>
      </c>
      <c r="J26" s="20">
        <f>J21-J25</f>
        <v/>
      </c>
      <c r="K26" s="20">
        <f>K21-K25</f>
        <v/>
      </c>
      <c r="L26" s="20">
        <f>L21-L25</f>
        <v/>
      </c>
      <c r="M26" s="20">
        <f>M21-M25</f>
        <v/>
      </c>
      <c r="N26" s="20">
        <f>N21-N25</f>
        <v/>
      </c>
      <c r="O26" s="20">
        <f>O21-O25</f>
        <v/>
      </c>
      <c r="P26" s="20">
        <f>P21-P25</f>
        <v/>
      </c>
      <c r="Q26" s="20">
        <f>Q21-Q25</f>
        <v/>
      </c>
      <c r="R26" s="20">
        <f>R21-R25</f>
        <v/>
      </c>
      <c r="S26" s="20">
        <f>S21-S25</f>
        <v/>
      </c>
      <c r="T26" s="20">
        <f>T21-T25</f>
        <v/>
      </c>
      <c r="U26" s="20">
        <f>U21-U25</f>
        <v/>
      </c>
      <c r="V26" s="20">
        <f>V21-V25</f>
        <v/>
      </c>
      <c r="W26" s="20">
        <f>W21-W25</f>
        <v/>
      </c>
      <c r="X26" s="20">
        <f>X21-X25</f>
        <v/>
      </c>
      <c r="Y26" s="20">
        <f>Y21-Y25</f>
        <v/>
      </c>
      <c r="Z26" s="20">
        <f>Z21-Z25</f>
        <v/>
      </c>
      <c r="AA26" s="20">
        <f>AA21-AA25</f>
        <v/>
      </c>
      <c r="AB26" s="20">
        <f>AB21-AB25</f>
        <v/>
      </c>
      <c r="AC26" s="20">
        <f>AC21-AC25</f>
        <v/>
      </c>
      <c r="AD26" s="20">
        <f>AD21-AD25</f>
        <v/>
      </c>
      <c r="AE26" s="20">
        <f>AE21-AE25</f>
        <v/>
      </c>
      <c r="AF26" s="20">
        <f>AF21-AF25</f>
        <v/>
      </c>
      <c r="AG26" s="20">
        <f>AG21-AG25</f>
        <v/>
      </c>
      <c r="AH26" s="20">
        <f>AH21-AH25</f>
        <v/>
      </c>
      <c r="AI26" s="20">
        <f>AI21-AI25</f>
        <v/>
      </c>
      <c r="AJ26" s="20">
        <f>AJ21-AJ25</f>
        <v/>
      </c>
      <c r="AK26" s="20">
        <f>AK21-AK25</f>
        <v/>
      </c>
      <c r="AL26" s="20">
        <f>AL21-AL25</f>
        <v/>
      </c>
      <c r="AM26" s="20">
        <f>AM21-AM25</f>
        <v/>
      </c>
      <c r="AN26" s="20">
        <f>AN21-AN25</f>
        <v/>
      </c>
      <c r="AO26" s="20">
        <f>AO21-AO25</f>
        <v/>
      </c>
      <c r="AP26" s="20">
        <f>AP21-AP25</f>
        <v/>
      </c>
      <c r="AQ26" s="20">
        <f>AQ21-AQ25</f>
        <v/>
      </c>
      <c r="AR26" s="20">
        <f>AR21-AR25</f>
        <v/>
      </c>
      <c r="AS26" s="20">
        <f>AS21-AS25</f>
        <v/>
      </c>
      <c r="AT26" s="20">
        <f>AT21-AT25</f>
        <v/>
      </c>
      <c r="AU26" s="20">
        <f>AU21-AU25</f>
        <v/>
      </c>
      <c r="AV26" s="20">
        <f>AV21-AV25</f>
        <v/>
      </c>
      <c r="AW26" s="20">
        <f>AW21-AW25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W14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2" customWidth="1" min="4" max="4"/>
    <col width="12" customWidth="1" min="5" max="5"/>
    <col width="14" customWidth="1" min="6" max="6"/>
    <col width="12" customWidth="1" min="7" max="7"/>
    <col width="2" customWidth="1" min="8" max="8"/>
    <col width="2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</cols>
  <sheetData>
    <row r="1">
      <c r="A1" s="1" t="inlineStr">
        <is>
          <t>Cactus Ridge Solar and Storage (fictional; Illustrative): Exercise 43.17 solution</t>
        </is>
      </c>
    </row>
    <row r="2">
      <c r="A2" t="inlineStr">
        <is>
          <t>Tax: holiday 2028 to 2030 (losses lost), straight-line depreciation, losses carried forward</t>
        </is>
      </c>
    </row>
    <row r="3">
      <c r="A3" t="inlineStr">
        <is>
          <t>Column D label, E unit, F constant or scalar, G row total; first period in column J. Inputs: blue on yellow. Links from other sheets: green. Checks: 0 when passing.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J5" s="17" t="inlineStr">
        <is>
          <t>2028H1</t>
        </is>
      </c>
      <c r="K5" s="17" t="inlineStr">
        <is>
          <t>2028H2</t>
        </is>
      </c>
      <c r="L5" s="17" t="inlineStr">
        <is>
          <t>2029H1</t>
        </is>
      </c>
      <c r="M5" s="17" t="inlineStr">
        <is>
          <t>2029H2</t>
        </is>
      </c>
      <c r="N5" s="17" t="inlineStr">
        <is>
          <t>2030H1</t>
        </is>
      </c>
      <c r="O5" s="17" t="inlineStr">
        <is>
          <t>2030H2</t>
        </is>
      </c>
      <c r="P5" s="17" t="inlineStr">
        <is>
          <t>2031H1</t>
        </is>
      </c>
      <c r="Q5" s="17" t="inlineStr">
        <is>
          <t>2031H2</t>
        </is>
      </c>
      <c r="R5" s="17" t="inlineStr">
        <is>
          <t>2032H1</t>
        </is>
      </c>
      <c r="S5" s="17" t="inlineStr">
        <is>
          <t>2032H2</t>
        </is>
      </c>
      <c r="T5" s="17" t="inlineStr">
        <is>
          <t>2033H1</t>
        </is>
      </c>
      <c r="U5" s="17" t="inlineStr">
        <is>
          <t>2033H2</t>
        </is>
      </c>
      <c r="V5" s="17" t="inlineStr">
        <is>
          <t>2034H1</t>
        </is>
      </c>
      <c r="W5" s="17" t="inlineStr">
        <is>
          <t>2034H2</t>
        </is>
      </c>
      <c r="X5" s="17" t="inlineStr">
        <is>
          <t>2035H1</t>
        </is>
      </c>
      <c r="Y5" s="17" t="inlineStr">
        <is>
          <t>2035H2</t>
        </is>
      </c>
      <c r="Z5" s="17" t="inlineStr">
        <is>
          <t>2036H1</t>
        </is>
      </c>
      <c r="AA5" s="17" t="inlineStr">
        <is>
          <t>2036H2</t>
        </is>
      </c>
      <c r="AB5" s="17" t="inlineStr">
        <is>
          <t>2037H1</t>
        </is>
      </c>
      <c r="AC5" s="17" t="inlineStr">
        <is>
          <t>2037H2</t>
        </is>
      </c>
      <c r="AD5" s="17" t="inlineStr">
        <is>
          <t>2038H1</t>
        </is>
      </c>
      <c r="AE5" s="17" t="inlineStr">
        <is>
          <t>2038H2</t>
        </is>
      </c>
      <c r="AF5" s="17" t="inlineStr">
        <is>
          <t>2039H1</t>
        </is>
      </c>
      <c r="AG5" s="17" t="inlineStr">
        <is>
          <t>2039H2</t>
        </is>
      </c>
      <c r="AH5" s="17" t="inlineStr">
        <is>
          <t>2040H1</t>
        </is>
      </c>
      <c r="AI5" s="17" t="inlineStr">
        <is>
          <t>2040H2</t>
        </is>
      </c>
      <c r="AJ5" s="17" t="inlineStr">
        <is>
          <t>2041H1</t>
        </is>
      </c>
      <c r="AK5" s="17" t="inlineStr">
        <is>
          <t>2041H2</t>
        </is>
      </c>
      <c r="AL5" s="17" t="inlineStr">
        <is>
          <t>2042H1</t>
        </is>
      </c>
      <c r="AM5" s="17" t="inlineStr">
        <is>
          <t>2042H2</t>
        </is>
      </c>
      <c r="AN5" s="17" t="inlineStr">
        <is>
          <t>2043H1</t>
        </is>
      </c>
      <c r="AO5" s="17" t="inlineStr">
        <is>
          <t>2043H2</t>
        </is>
      </c>
      <c r="AP5" s="17" t="inlineStr">
        <is>
          <t>2044H1</t>
        </is>
      </c>
      <c r="AQ5" s="17" t="inlineStr">
        <is>
          <t>2044H2</t>
        </is>
      </c>
      <c r="AR5" s="17" t="inlineStr">
        <is>
          <t>2045H1</t>
        </is>
      </c>
      <c r="AS5" s="17" t="inlineStr">
        <is>
          <t>2045H2</t>
        </is>
      </c>
      <c r="AT5" s="17" t="inlineStr">
        <is>
          <t>2046H1</t>
        </is>
      </c>
      <c r="AU5" s="17" t="inlineStr">
        <is>
          <t>2046H2</t>
        </is>
      </c>
      <c r="AV5" s="17" t="inlineStr">
        <is>
          <t>2047H1</t>
        </is>
      </c>
      <c r="AW5" s="17" t="inlineStr">
        <is>
          <t>2047H2</t>
        </is>
      </c>
    </row>
    <row r="7">
      <c r="D7" t="inlineStr">
        <is>
          <t>Depreciation (straight line over 40 half-years)</t>
        </is>
      </c>
      <c r="E7" t="inlineStr">
        <is>
          <t>USD m</t>
        </is>
      </c>
      <c r="G7" s="20">
        <f>SUM(J7:AW7)</f>
        <v/>
      </c>
      <c r="J7" s="20">
        <f>Construction!$F$28/Inputs!$F$51*IF(Operations!J8&lt;=Inputs!$F$51,1,0)</f>
        <v/>
      </c>
      <c r="K7" s="20">
        <f>Construction!$F$28/Inputs!$F$51*IF(Operations!K8&lt;=Inputs!$F$51,1,0)</f>
        <v/>
      </c>
      <c r="L7" s="20">
        <f>Construction!$F$28/Inputs!$F$51*IF(Operations!L8&lt;=Inputs!$F$51,1,0)</f>
        <v/>
      </c>
      <c r="M7" s="20">
        <f>Construction!$F$28/Inputs!$F$51*IF(Operations!M8&lt;=Inputs!$F$51,1,0)</f>
        <v/>
      </c>
      <c r="N7" s="20">
        <f>Construction!$F$28/Inputs!$F$51*IF(Operations!N8&lt;=Inputs!$F$51,1,0)</f>
        <v/>
      </c>
      <c r="O7" s="20">
        <f>Construction!$F$28/Inputs!$F$51*IF(Operations!O8&lt;=Inputs!$F$51,1,0)</f>
        <v/>
      </c>
      <c r="P7" s="20">
        <f>Construction!$F$28/Inputs!$F$51*IF(Operations!P8&lt;=Inputs!$F$51,1,0)</f>
        <v/>
      </c>
      <c r="Q7" s="20">
        <f>Construction!$F$28/Inputs!$F$51*IF(Operations!Q8&lt;=Inputs!$F$51,1,0)</f>
        <v/>
      </c>
      <c r="R7" s="20">
        <f>Construction!$F$28/Inputs!$F$51*IF(Operations!R8&lt;=Inputs!$F$51,1,0)</f>
        <v/>
      </c>
      <c r="S7" s="20">
        <f>Construction!$F$28/Inputs!$F$51*IF(Operations!S8&lt;=Inputs!$F$51,1,0)</f>
        <v/>
      </c>
      <c r="T7" s="20">
        <f>Construction!$F$28/Inputs!$F$51*IF(Operations!T8&lt;=Inputs!$F$51,1,0)</f>
        <v/>
      </c>
      <c r="U7" s="20">
        <f>Construction!$F$28/Inputs!$F$51*IF(Operations!U8&lt;=Inputs!$F$51,1,0)</f>
        <v/>
      </c>
      <c r="V7" s="20">
        <f>Construction!$F$28/Inputs!$F$51*IF(Operations!V8&lt;=Inputs!$F$51,1,0)</f>
        <v/>
      </c>
      <c r="W7" s="20">
        <f>Construction!$F$28/Inputs!$F$51*IF(Operations!W8&lt;=Inputs!$F$51,1,0)</f>
        <v/>
      </c>
      <c r="X7" s="20">
        <f>Construction!$F$28/Inputs!$F$51*IF(Operations!X8&lt;=Inputs!$F$51,1,0)</f>
        <v/>
      </c>
      <c r="Y7" s="20">
        <f>Construction!$F$28/Inputs!$F$51*IF(Operations!Y8&lt;=Inputs!$F$51,1,0)</f>
        <v/>
      </c>
      <c r="Z7" s="20">
        <f>Construction!$F$28/Inputs!$F$51*IF(Operations!Z8&lt;=Inputs!$F$51,1,0)</f>
        <v/>
      </c>
      <c r="AA7" s="20">
        <f>Construction!$F$28/Inputs!$F$51*IF(Operations!AA8&lt;=Inputs!$F$51,1,0)</f>
        <v/>
      </c>
      <c r="AB7" s="20">
        <f>Construction!$F$28/Inputs!$F$51*IF(Operations!AB8&lt;=Inputs!$F$51,1,0)</f>
        <v/>
      </c>
      <c r="AC7" s="20">
        <f>Construction!$F$28/Inputs!$F$51*IF(Operations!AC8&lt;=Inputs!$F$51,1,0)</f>
        <v/>
      </c>
      <c r="AD7" s="20">
        <f>Construction!$F$28/Inputs!$F$51*IF(Operations!AD8&lt;=Inputs!$F$51,1,0)</f>
        <v/>
      </c>
      <c r="AE7" s="20">
        <f>Construction!$F$28/Inputs!$F$51*IF(Operations!AE8&lt;=Inputs!$F$51,1,0)</f>
        <v/>
      </c>
      <c r="AF7" s="20">
        <f>Construction!$F$28/Inputs!$F$51*IF(Operations!AF8&lt;=Inputs!$F$51,1,0)</f>
        <v/>
      </c>
      <c r="AG7" s="20">
        <f>Construction!$F$28/Inputs!$F$51*IF(Operations!AG8&lt;=Inputs!$F$51,1,0)</f>
        <v/>
      </c>
      <c r="AH7" s="20">
        <f>Construction!$F$28/Inputs!$F$51*IF(Operations!AH8&lt;=Inputs!$F$51,1,0)</f>
        <v/>
      </c>
      <c r="AI7" s="20">
        <f>Construction!$F$28/Inputs!$F$51*IF(Operations!AI8&lt;=Inputs!$F$51,1,0)</f>
        <v/>
      </c>
      <c r="AJ7" s="20">
        <f>Construction!$F$28/Inputs!$F$51*IF(Operations!AJ8&lt;=Inputs!$F$51,1,0)</f>
        <v/>
      </c>
      <c r="AK7" s="20">
        <f>Construction!$F$28/Inputs!$F$51*IF(Operations!AK8&lt;=Inputs!$F$51,1,0)</f>
        <v/>
      </c>
      <c r="AL7" s="20">
        <f>Construction!$F$28/Inputs!$F$51*IF(Operations!AL8&lt;=Inputs!$F$51,1,0)</f>
        <v/>
      </c>
      <c r="AM7" s="20">
        <f>Construction!$F$28/Inputs!$F$51*IF(Operations!AM8&lt;=Inputs!$F$51,1,0)</f>
        <v/>
      </c>
      <c r="AN7" s="20">
        <f>Construction!$F$28/Inputs!$F$51*IF(Operations!AN8&lt;=Inputs!$F$51,1,0)</f>
        <v/>
      </c>
      <c r="AO7" s="20">
        <f>Construction!$F$28/Inputs!$F$51*IF(Operations!AO8&lt;=Inputs!$F$51,1,0)</f>
        <v/>
      </c>
      <c r="AP7" s="20">
        <f>Construction!$F$28/Inputs!$F$51*IF(Operations!AP8&lt;=Inputs!$F$51,1,0)</f>
        <v/>
      </c>
      <c r="AQ7" s="20">
        <f>Construction!$F$28/Inputs!$F$51*IF(Operations!AQ8&lt;=Inputs!$F$51,1,0)</f>
        <v/>
      </c>
      <c r="AR7" s="20">
        <f>Construction!$F$28/Inputs!$F$51*IF(Operations!AR8&lt;=Inputs!$F$51,1,0)</f>
        <v/>
      </c>
      <c r="AS7" s="20">
        <f>Construction!$F$28/Inputs!$F$51*IF(Operations!AS8&lt;=Inputs!$F$51,1,0)</f>
        <v/>
      </c>
      <c r="AT7" s="20">
        <f>Construction!$F$28/Inputs!$F$51*IF(Operations!AT8&lt;=Inputs!$F$51,1,0)</f>
        <v/>
      </c>
      <c r="AU7" s="20">
        <f>Construction!$F$28/Inputs!$F$51*IF(Operations!AU8&lt;=Inputs!$F$51,1,0)</f>
        <v/>
      </c>
      <c r="AV7" s="20">
        <f>Construction!$F$28/Inputs!$F$51*IF(Operations!AV8&lt;=Inputs!$F$51,1,0)</f>
        <v/>
      </c>
      <c r="AW7" s="20">
        <f>Construction!$F$28/Inputs!$F$51*IF(Operations!AW8&lt;=Inputs!$F$51,1,0)</f>
        <v/>
      </c>
    </row>
    <row r="8">
      <c r="D8" t="inlineStr">
        <is>
          <t>Senior interest (deductible)</t>
        </is>
      </c>
      <c r="E8" t="inlineStr">
        <is>
          <t>USD m</t>
        </is>
      </c>
      <c r="G8" s="20">
        <f>SUM(J8:AW8)</f>
        <v/>
      </c>
      <c r="J8" s="24">
        <f>Debt!J9</f>
        <v/>
      </c>
      <c r="K8" s="24">
        <f>Debt!K9</f>
        <v/>
      </c>
      <c r="L8" s="24">
        <f>Debt!L9</f>
        <v/>
      </c>
      <c r="M8" s="24">
        <f>Debt!M9</f>
        <v/>
      </c>
      <c r="N8" s="24">
        <f>Debt!N9</f>
        <v/>
      </c>
      <c r="O8" s="24">
        <f>Debt!O9</f>
        <v/>
      </c>
      <c r="P8" s="24">
        <f>Debt!P9</f>
        <v/>
      </c>
      <c r="Q8" s="24">
        <f>Debt!Q9</f>
        <v/>
      </c>
      <c r="R8" s="24">
        <f>Debt!R9</f>
        <v/>
      </c>
      <c r="S8" s="24">
        <f>Debt!S9</f>
        <v/>
      </c>
      <c r="T8" s="24">
        <f>Debt!T9</f>
        <v/>
      </c>
      <c r="U8" s="24">
        <f>Debt!U9</f>
        <v/>
      </c>
      <c r="V8" s="24">
        <f>Debt!V9</f>
        <v/>
      </c>
      <c r="W8" s="24">
        <f>Debt!W9</f>
        <v/>
      </c>
      <c r="X8" s="24">
        <f>Debt!X9</f>
        <v/>
      </c>
      <c r="Y8" s="24">
        <f>Debt!Y9</f>
        <v/>
      </c>
      <c r="Z8" s="24">
        <f>Debt!Z9</f>
        <v/>
      </c>
      <c r="AA8" s="24">
        <f>Debt!AA9</f>
        <v/>
      </c>
      <c r="AB8" s="24">
        <f>Debt!AB9</f>
        <v/>
      </c>
      <c r="AC8" s="24">
        <f>Debt!AC9</f>
        <v/>
      </c>
      <c r="AD8" s="24">
        <f>Debt!AD9</f>
        <v/>
      </c>
      <c r="AE8" s="24">
        <f>Debt!AE9</f>
        <v/>
      </c>
      <c r="AF8" s="24">
        <f>Debt!AF9</f>
        <v/>
      </c>
      <c r="AG8" s="24">
        <f>Debt!AG9</f>
        <v/>
      </c>
      <c r="AH8" s="24">
        <f>Debt!AH9</f>
        <v/>
      </c>
      <c r="AI8" s="24">
        <f>Debt!AI9</f>
        <v/>
      </c>
      <c r="AJ8" s="24">
        <f>Debt!AJ9</f>
        <v/>
      </c>
      <c r="AK8" s="24">
        <f>Debt!AK9</f>
        <v/>
      </c>
      <c r="AL8" s="24">
        <f>Debt!AL9</f>
        <v/>
      </c>
      <c r="AM8" s="24">
        <f>Debt!AM9</f>
        <v/>
      </c>
      <c r="AN8" s="24">
        <f>Debt!AN9</f>
        <v/>
      </c>
      <c r="AO8" s="24">
        <f>Debt!AO9</f>
        <v/>
      </c>
      <c r="AP8" s="24">
        <f>Debt!AP9</f>
        <v/>
      </c>
      <c r="AQ8" s="24">
        <f>Debt!AQ9</f>
        <v/>
      </c>
      <c r="AR8" s="24">
        <f>Debt!AR9</f>
        <v/>
      </c>
      <c r="AS8" s="24">
        <f>Debt!AS9</f>
        <v/>
      </c>
      <c r="AT8" s="24">
        <f>Debt!AT9</f>
        <v/>
      </c>
      <c r="AU8" s="24">
        <f>Debt!AU9</f>
        <v/>
      </c>
      <c r="AV8" s="24">
        <f>Debt!AV9</f>
        <v/>
      </c>
      <c r="AW8" s="24">
        <f>Debt!AW9</f>
        <v/>
      </c>
    </row>
    <row r="9">
      <c r="D9" t="inlineStr">
        <is>
          <t>Taxable income before losses</t>
        </is>
      </c>
      <c r="E9" t="inlineStr">
        <is>
          <t>USD m</t>
        </is>
      </c>
      <c r="G9" s="20">
        <f>SUM(J9:AW9)</f>
        <v/>
      </c>
      <c r="J9" s="20">
        <f>Operations!J26-J8-J7</f>
        <v/>
      </c>
      <c r="K9" s="20">
        <f>Operations!K26-K8-K7</f>
        <v/>
      </c>
      <c r="L9" s="20">
        <f>Operations!L26-L8-L7</f>
        <v/>
      </c>
      <c r="M9" s="20">
        <f>Operations!M26-M8-M7</f>
        <v/>
      </c>
      <c r="N9" s="20">
        <f>Operations!N26-N8-N7</f>
        <v/>
      </c>
      <c r="O9" s="20">
        <f>Operations!O26-O8-O7</f>
        <v/>
      </c>
      <c r="P9" s="20">
        <f>Operations!P26-P8-P7</f>
        <v/>
      </c>
      <c r="Q9" s="20">
        <f>Operations!Q26-Q8-Q7</f>
        <v/>
      </c>
      <c r="R9" s="20">
        <f>Operations!R26-R8-R7</f>
        <v/>
      </c>
      <c r="S9" s="20">
        <f>Operations!S26-S8-S7</f>
        <v/>
      </c>
      <c r="T9" s="20">
        <f>Operations!T26-T8-T7</f>
        <v/>
      </c>
      <c r="U9" s="20">
        <f>Operations!U26-U8-U7</f>
        <v/>
      </c>
      <c r="V9" s="20">
        <f>Operations!V26-V8-V7</f>
        <v/>
      </c>
      <c r="W9" s="20">
        <f>Operations!W26-W8-W7</f>
        <v/>
      </c>
      <c r="X9" s="20">
        <f>Operations!X26-X8-X7</f>
        <v/>
      </c>
      <c r="Y9" s="20">
        <f>Operations!Y26-Y8-Y7</f>
        <v/>
      </c>
      <c r="Z9" s="20">
        <f>Operations!Z26-Z8-Z7</f>
        <v/>
      </c>
      <c r="AA9" s="20">
        <f>Operations!AA26-AA8-AA7</f>
        <v/>
      </c>
      <c r="AB9" s="20">
        <f>Operations!AB26-AB8-AB7</f>
        <v/>
      </c>
      <c r="AC9" s="20">
        <f>Operations!AC26-AC8-AC7</f>
        <v/>
      </c>
      <c r="AD9" s="20">
        <f>Operations!AD26-AD8-AD7</f>
        <v/>
      </c>
      <c r="AE9" s="20">
        <f>Operations!AE26-AE8-AE7</f>
        <v/>
      </c>
      <c r="AF9" s="20">
        <f>Operations!AF26-AF8-AF7</f>
        <v/>
      </c>
      <c r="AG9" s="20">
        <f>Operations!AG26-AG8-AG7</f>
        <v/>
      </c>
      <c r="AH9" s="20">
        <f>Operations!AH26-AH8-AH7</f>
        <v/>
      </c>
      <c r="AI9" s="20">
        <f>Operations!AI26-AI8-AI7</f>
        <v/>
      </c>
      <c r="AJ9" s="20">
        <f>Operations!AJ26-AJ8-AJ7</f>
        <v/>
      </c>
      <c r="AK9" s="20">
        <f>Operations!AK26-AK8-AK7</f>
        <v/>
      </c>
      <c r="AL9" s="20">
        <f>Operations!AL26-AL8-AL7</f>
        <v/>
      </c>
      <c r="AM9" s="20">
        <f>Operations!AM26-AM8-AM7</f>
        <v/>
      </c>
      <c r="AN9" s="20">
        <f>Operations!AN26-AN8-AN7</f>
        <v/>
      </c>
      <c r="AO9" s="20">
        <f>Operations!AO26-AO8-AO7</f>
        <v/>
      </c>
      <c r="AP9" s="20">
        <f>Operations!AP26-AP8-AP7</f>
        <v/>
      </c>
      <c r="AQ9" s="20">
        <f>Operations!AQ26-AQ8-AQ7</f>
        <v/>
      </c>
      <c r="AR9" s="20">
        <f>Operations!AR26-AR8-AR7</f>
        <v/>
      </c>
      <c r="AS9" s="20">
        <f>Operations!AS26-AS8-AS7</f>
        <v/>
      </c>
      <c r="AT9" s="20">
        <f>Operations!AT26-AT8-AT7</f>
        <v/>
      </c>
      <c r="AU9" s="20">
        <f>Operations!AU26-AU8-AU7</f>
        <v/>
      </c>
      <c r="AV9" s="20">
        <f>Operations!AV26-AV8-AV7</f>
        <v/>
      </c>
      <c r="AW9" s="20">
        <f>Operations!AW26-AW8-AW7</f>
        <v/>
      </c>
    </row>
    <row r="10">
      <c r="D10" t="inlineStr">
        <is>
          <t>Tax losses used</t>
        </is>
      </c>
      <c r="E10" t="inlineStr">
        <is>
          <t>USD m</t>
        </is>
      </c>
      <c r="G10" s="20">
        <f>SUM(J10:AW10)</f>
        <v/>
      </c>
      <c r="J10" s="20">
        <f>IF(Operations!J14=1,0,MIN(I12,MAX(0,J9)))</f>
        <v/>
      </c>
      <c r="K10" s="20">
        <f>IF(Operations!K14=1,0,MIN(J12,MAX(0,K9)))</f>
        <v/>
      </c>
      <c r="L10" s="20">
        <f>IF(Operations!L14=1,0,MIN(K12,MAX(0,L9)))</f>
        <v/>
      </c>
      <c r="M10" s="20">
        <f>IF(Operations!M14=1,0,MIN(L12,MAX(0,M9)))</f>
        <v/>
      </c>
      <c r="N10" s="20">
        <f>IF(Operations!N14=1,0,MIN(M12,MAX(0,N9)))</f>
        <v/>
      </c>
      <c r="O10" s="20">
        <f>IF(Operations!O14=1,0,MIN(N12,MAX(0,O9)))</f>
        <v/>
      </c>
      <c r="P10" s="20">
        <f>IF(Operations!P14=1,0,MIN(O12,MAX(0,P9)))</f>
        <v/>
      </c>
      <c r="Q10" s="20">
        <f>IF(Operations!Q14=1,0,MIN(P12,MAX(0,Q9)))</f>
        <v/>
      </c>
      <c r="R10" s="20">
        <f>IF(Operations!R14=1,0,MIN(Q12,MAX(0,R9)))</f>
        <v/>
      </c>
      <c r="S10" s="20">
        <f>IF(Operations!S14=1,0,MIN(R12,MAX(0,S9)))</f>
        <v/>
      </c>
      <c r="T10" s="20">
        <f>IF(Operations!T14=1,0,MIN(S12,MAX(0,T9)))</f>
        <v/>
      </c>
      <c r="U10" s="20">
        <f>IF(Operations!U14=1,0,MIN(T12,MAX(0,U9)))</f>
        <v/>
      </c>
      <c r="V10" s="20">
        <f>IF(Operations!V14=1,0,MIN(U12,MAX(0,V9)))</f>
        <v/>
      </c>
      <c r="W10" s="20">
        <f>IF(Operations!W14=1,0,MIN(V12,MAX(0,W9)))</f>
        <v/>
      </c>
      <c r="X10" s="20">
        <f>IF(Operations!X14=1,0,MIN(W12,MAX(0,X9)))</f>
        <v/>
      </c>
      <c r="Y10" s="20">
        <f>IF(Operations!Y14=1,0,MIN(X12,MAX(0,Y9)))</f>
        <v/>
      </c>
      <c r="Z10" s="20">
        <f>IF(Operations!Z14=1,0,MIN(Y12,MAX(0,Z9)))</f>
        <v/>
      </c>
      <c r="AA10" s="20">
        <f>IF(Operations!AA14=1,0,MIN(Z12,MAX(0,AA9)))</f>
        <v/>
      </c>
      <c r="AB10" s="20">
        <f>IF(Operations!AB14=1,0,MIN(AA12,MAX(0,AB9)))</f>
        <v/>
      </c>
      <c r="AC10" s="20">
        <f>IF(Operations!AC14=1,0,MIN(AB12,MAX(0,AC9)))</f>
        <v/>
      </c>
      <c r="AD10" s="20">
        <f>IF(Operations!AD14=1,0,MIN(AC12,MAX(0,AD9)))</f>
        <v/>
      </c>
      <c r="AE10" s="20">
        <f>IF(Operations!AE14=1,0,MIN(AD12,MAX(0,AE9)))</f>
        <v/>
      </c>
      <c r="AF10" s="20">
        <f>IF(Operations!AF14=1,0,MIN(AE12,MAX(0,AF9)))</f>
        <v/>
      </c>
      <c r="AG10" s="20">
        <f>IF(Operations!AG14=1,0,MIN(AF12,MAX(0,AG9)))</f>
        <v/>
      </c>
      <c r="AH10" s="20">
        <f>IF(Operations!AH14=1,0,MIN(AG12,MAX(0,AH9)))</f>
        <v/>
      </c>
      <c r="AI10" s="20">
        <f>IF(Operations!AI14=1,0,MIN(AH12,MAX(0,AI9)))</f>
        <v/>
      </c>
      <c r="AJ10" s="20">
        <f>IF(Operations!AJ14=1,0,MIN(AI12,MAX(0,AJ9)))</f>
        <v/>
      </c>
      <c r="AK10" s="20">
        <f>IF(Operations!AK14=1,0,MIN(AJ12,MAX(0,AK9)))</f>
        <v/>
      </c>
      <c r="AL10" s="20">
        <f>IF(Operations!AL14=1,0,MIN(AK12,MAX(0,AL9)))</f>
        <v/>
      </c>
      <c r="AM10" s="20">
        <f>IF(Operations!AM14=1,0,MIN(AL12,MAX(0,AM9)))</f>
        <v/>
      </c>
      <c r="AN10" s="20">
        <f>IF(Operations!AN14=1,0,MIN(AM12,MAX(0,AN9)))</f>
        <v/>
      </c>
      <c r="AO10" s="20">
        <f>IF(Operations!AO14=1,0,MIN(AN12,MAX(0,AO9)))</f>
        <v/>
      </c>
      <c r="AP10" s="20">
        <f>IF(Operations!AP14=1,0,MIN(AO12,MAX(0,AP9)))</f>
        <v/>
      </c>
      <c r="AQ10" s="20">
        <f>IF(Operations!AQ14=1,0,MIN(AP12,MAX(0,AQ9)))</f>
        <v/>
      </c>
      <c r="AR10" s="20">
        <f>IF(Operations!AR14=1,0,MIN(AQ12,MAX(0,AR9)))</f>
        <v/>
      </c>
      <c r="AS10" s="20">
        <f>IF(Operations!AS14=1,0,MIN(AR12,MAX(0,AS9)))</f>
        <v/>
      </c>
      <c r="AT10" s="20">
        <f>IF(Operations!AT14=1,0,MIN(AS12,MAX(0,AT9)))</f>
        <v/>
      </c>
      <c r="AU10" s="20">
        <f>IF(Operations!AU14=1,0,MIN(AT12,MAX(0,AU9)))</f>
        <v/>
      </c>
      <c r="AV10" s="20">
        <f>IF(Operations!AV14=1,0,MIN(AU12,MAX(0,AV9)))</f>
        <v/>
      </c>
      <c r="AW10" s="20">
        <f>IF(Operations!AW14=1,0,MIN(AV12,MAX(0,AW9)))</f>
        <v/>
      </c>
    </row>
    <row r="11">
      <c r="D11" t="inlineStr">
        <is>
          <t>Tax losses arising (holiday losses lost)</t>
        </is>
      </c>
      <c r="E11" t="inlineStr">
        <is>
          <t>USD m</t>
        </is>
      </c>
      <c r="G11" s="20">
        <f>SUM(J11:AW11)</f>
        <v/>
      </c>
      <c r="J11" s="20">
        <f>IF(Operations!J14=1,0,MAX(0,-J9))</f>
        <v/>
      </c>
      <c r="K11" s="20">
        <f>IF(Operations!K14=1,0,MAX(0,-K9))</f>
        <v/>
      </c>
      <c r="L11" s="20">
        <f>IF(Operations!L14=1,0,MAX(0,-L9))</f>
        <v/>
      </c>
      <c r="M11" s="20">
        <f>IF(Operations!M14=1,0,MAX(0,-M9))</f>
        <v/>
      </c>
      <c r="N11" s="20">
        <f>IF(Operations!N14=1,0,MAX(0,-N9))</f>
        <v/>
      </c>
      <c r="O11" s="20">
        <f>IF(Operations!O14=1,0,MAX(0,-O9))</f>
        <v/>
      </c>
      <c r="P11" s="20">
        <f>IF(Operations!P14=1,0,MAX(0,-P9))</f>
        <v/>
      </c>
      <c r="Q11" s="20">
        <f>IF(Operations!Q14=1,0,MAX(0,-Q9))</f>
        <v/>
      </c>
      <c r="R11" s="20">
        <f>IF(Operations!R14=1,0,MAX(0,-R9))</f>
        <v/>
      </c>
      <c r="S11" s="20">
        <f>IF(Operations!S14=1,0,MAX(0,-S9))</f>
        <v/>
      </c>
      <c r="T11" s="20">
        <f>IF(Operations!T14=1,0,MAX(0,-T9))</f>
        <v/>
      </c>
      <c r="U11" s="20">
        <f>IF(Operations!U14=1,0,MAX(0,-U9))</f>
        <v/>
      </c>
      <c r="V11" s="20">
        <f>IF(Operations!V14=1,0,MAX(0,-V9))</f>
        <v/>
      </c>
      <c r="W11" s="20">
        <f>IF(Operations!W14=1,0,MAX(0,-W9))</f>
        <v/>
      </c>
      <c r="X11" s="20">
        <f>IF(Operations!X14=1,0,MAX(0,-X9))</f>
        <v/>
      </c>
      <c r="Y11" s="20">
        <f>IF(Operations!Y14=1,0,MAX(0,-Y9))</f>
        <v/>
      </c>
      <c r="Z11" s="20">
        <f>IF(Operations!Z14=1,0,MAX(0,-Z9))</f>
        <v/>
      </c>
      <c r="AA11" s="20">
        <f>IF(Operations!AA14=1,0,MAX(0,-AA9))</f>
        <v/>
      </c>
      <c r="AB11" s="20">
        <f>IF(Operations!AB14=1,0,MAX(0,-AB9))</f>
        <v/>
      </c>
      <c r="AC11" s="20">
        <f>IF(Operations!AC14=1,0,MAX(0,-AC9))</f>
        <v/>
      </c>
      <c r="AD11" s="20">
        <f>IF(Operations!AD14=1,0,MAX(0,-AD9))</f>
        <v/>
      </c>
      <c r="AE11" s="20">
        <f>IF(Operations!AE14=1,0,MAX(0,-AE9))</f>
        <v/>
      </c>
      <c r="AF11" s="20">
        <f>IF(Operations!AF14=1,0,MAX(0,-AF9))</f>
        <v/>
      </c>
      <c r="AG11" s="20">
        <f>IF(Operations!AG14=1,0,MAX(0,-AG9))</f>
        <v/>
      </c>
      <c r="AH11" s="20">
        <f>IF(Operations!AH14=1,0,MAX(0,-AH9))</f>
        <v/>
      </c>
      <c r="AI11" s="20">
        <f>IF(Operations!AI14=1,0,MAX(0,-AI9))</f>
        <v/>
      </c>
      <c r="AJ11" s="20">
        <f>IF(Operations!AJ14=1,0,MAX(0,-AJ9))</f>
        <v/>
      </c>
      <c r="AK11" s="20">
        <f>IF(Operations!AK14=1,0,MAX(0,-AK9))</f>
        <v/>
      </c>
      <c r="AL11" s="20">
        <f>IF(Operations!AL14=1,0,MAX(0,-AL9))</f>
        <v/>
      </c>
      <c r="AM11" s="20">
        <f>IF(Operations!AM14=1,0,MAX(0,-AM9))</f>
        <v/>
      </c>
      <c r="AN11" s="20">
        <f>IF(Operations!AN14=1,0,MAX(0,-AN9))</f>
        <v/>
      </c>
      <c r="AO11" s="20">
        <f>IF(Operations!AO14=1,0,MAX(0,-AO9))</f>
        <v/>
      </c>
      <c r="AP11" s="20">
        <f>IF(Operations!AP14=1,0,MAX(0,-AP9))</f>
        <v/>
      </c>
      <c r="AQ11" s="20">
        <f>IF(Operations!AQ14=1,0,MAX(0,-AQ9))</f>
        <v/>
      </c>
      <c r="AR11" s="20">
        <f>IF(Operations!AR14=1,0,MAX(0,-AR9))</f>
        <v/>
      </c>
      <c r="AS11" s="20">
        <f>IF(Operations!AS14=1,0,MAX(0,-AS9))</f>
        <v/>
      </c>
      <c r="AT11" s="20">
        <f>IF(Operations!AT14=1,0,MAX(0,-AT9))</f>
        <v/>
      </c>
      <c r="AU11" s="20">
        <f>IF(Operations!AU14=1,0,MAX(0,-AU9))</f>
        <v/>
      </c>
      <c r="AV11" s="20">
        <f>IF(Operations!AV14=1,0,MAX(0,-AV9))</f>
        <v/>
      </c>
      <c r="AW11" s="20">
        <f>IF(Operations!AW14=1,0,MAX(0,-AW9))</f>
        <v/>
      </c>
    </row>
    <row r="12">
      <c r="D12" t="inlineStr">
        <is>
          <t>Tax losses carried forward, closing</t>
        </is>
      </c>
      <c r="E12" t="inlineStr">
        <is>
          <t>USD m</t>
        </is>
      </c>
      <c r="J12" s="20">
        <f>I12-J10+J11</f>
        <v/>
      </c>
      <c r="K12" s="20">
        <f>J12-K10+K11</f>
        <v/>
      </c>
      <c r="L12" s="20">
        <f>K12-L10+L11</f>
        <v/>
      </c>
      <c r="M12" s="20">
        <f>L12-M10+M11</f>
        <v/>
      </c>
      <c r="N12" s="20">
        <f>M12-N10+N11</f>
        <v/>
      </c>
      <c r="O12" s="20">
        <f>N12-O10+O11</f>
        <v/>
      </c>
      <c r="P12" s="20">
        <f>O12-P10+P11</f>
        <v/>
      </c>
      <c r="Q12" s="20">
        <f>P12-Q10+Q11</f>
        <v/>
      </c>
      <c r="R12" s="20">
        <f>Q12-R10+R11</f>
        <v/>
      </c>
      <c r="S12" s="20">
        <f>R12-S10+S11</f>
        <v/>
      </c>
      <c r="T12" s="20">
        <f>S12-T10+T11</f>
        <v/>
      </c>
      <c r="U12" s="20">
        <f>T12-U10+U11</f>
        <v/>
      </c>
      <c r="V12" s="20">
        <f>U12-V10+V11</f>
        <v/>
      </c>
      <c r="W12" s="20">
        <f>V12-W10+W11</f>
        <v/>
      </c>
      <c r="X12" s="20">
        <f>W12-X10+X11</f>
        <v/>
      </c>
      <c r="Y12" s="20">
        <f>X12-Y10+Y11</f>
        <v/>
      </c>
      <c r="Z12" s="20">
        <f>Y12-Z10+Z11</f>
        <v/>
      </c>
      <c r="AA12" s="20">
        <f>Z12-AA10+AA11</f>
        <v/>
      </c>
      <c r="AB12" s="20">
        <f>AA12-AB10+AB11</f>
        <v/>
      </c>
      <c r="AC12" s="20">
        <f>AB12-AC10+AC11</f>
        <v/>
      </c>
      <c r="AD12" s="20">
        <f>AC12-AD10+AD11</f>
        <v/>
      </c>
      <c r="AE12" s="20">
        <f>AD12-AE10+AE11</f>
        <v/>
      </c>
      <c r="AF12" s="20">
        <f>AE12-AF10+AF11</f>
        <v/>
      </c>
      <c r="AG12" s="20">
        <f>AF12-AG10+AG11</f>
        <v/>
      </c>
      <c r="AH12" s="20">
        <f>AG12-AH10+AH11</f>
        <v/>
      </c>
      <c r="AI12" s="20">
        <f>AH12-AI10+AI11</f>
        <v/>
      </c>
      <c r="AJ12" s="20">
        <f>AI12-AJ10+AJ11</f>
        <v/>
      </c>
      <c r="AK12" s="20">
        <f>AJ12-AK10+AK11</f>
        <v/>
      </c>
      <c r="AL12" s="20">
        <f>AK12-AL10+AL11</f>
        <v/>
      </c>
      <c r="AM12" s="20">
        <f>AL12-AM10+AM11</f>
        <v/>
      </c>
      <c r="AN12" s="20">
        <f>AM12-AN10+AN11</f>
        <v/>
      </c>
      <c r="AO12" s="20">
        <f>AN12-AO10+AO11</f>
        <v/>
      </c>
      <c r="AP12" s="20">
        <f>AO12-AP10+AP11</f>
        <v/>
      </c>
      <c r="AQ12" s="20">
        <f>AP12-AQ10+AQ11</f>
        <v/>
      </c>
      <c r="AR12" s="20">
        <f>AQ12-AR10+AR11</f>
        <v/>
      </c>
      <c r="AS12" s="20">
        <f>AR12-AS10+AS11</f>
        <v/>
      </c>
      <c r="AT12" s="20">
        <f>AS12-AT10+AT11</f>
        <v/>
      </c>
      <c r="AU12" s="20">
        <f>AT12-AU10+AU11</f>
        <v/>
      </c>
      <c r="AV12" s="20">
        <f>AU12-AV10+AV11</f>
        <v/>
      </c>
      <c r="AW12" s="20">
        <f>AV12-AW10+AW11</f>
        <v/>
      </c>
    </row>
    <row r="13">
      <c r="D13" t="inlineStr">
        <is>
          <t>Taxable income</t>
        </is>
      </c>
      <c r="E13" t="inlineStr">
        <is>
          <t>USD m</t>
        </is>
      </c>
      <c r="G13" s="20">
        <f>SUM(J13:AW13)</f>
        <v/>
      </c>
      <c r="J13" s="20">
        <f>IF(Operations!J14=1,0,MAX(0,J9-J10))</f>
        <v/>
      </c>
      <c r="K13" s="20">
        <f>IF(Operations!K14=1,0,MAX(0,K9-K10))</f>
        <v/>
      </c>
      <c r="L13" s="20">
        <f>IF(Operations!L14=1,0,MAX(0,L9-L10))</f>
        <v/>
      </c>
      <c r="M13" s="20">
        <f>IF(Operations!M14=1,0,MAX(0,M9-M10))</f>
        <v/>
      </c>
      <c r="N13" s="20">
        <f>IF(Operations!N14=1,0,MAX(0,N9-N10))</f>
        <v/>
      </c>
      <c r="O13" s="20">
        <f>IF(Operations!O14=1,0,MAX(0,O9-O10))</f>
        <v/>
      </c>
      <c r="P13" s="20">
        <f>IF(Operations!P14=1,0,MAX(0,P9-P10))</f>
        <v/>
      </c>
      <c r="Q13" s="20">
        <f>IF(Operations!Q14=1,0,MAX(0,Q9-Q10))</f>
        <v/>
      </c>
      <c r="R13" s="20">
        <f>IF(Operations!R14=1,0,MAX(0,R9-R10))</f>
        <v/>
      </c>
      <c r="S13" s="20">
        <f>IF(Operations!S14=1,0,MAX(0,S9-S10))</f>
        <v/>
      </c>
      <c r="T13" s="20">
        <f>IF(Operations!T14=1,0,MAX(0,T9-T10))</f>
        <v/>
      </c>
      <c r="U13" s="20">
        <f>IF(Operations!U14=1,0,MAX(0,U9-U10))</f>
        <v/>
      </c>
      <c r="V13" s="20">
        <f>IF(Operations!V14=1,0,MAX(0,V9-V10))</f>
        <v/>
      </c>
      <c r="W13" s="20">
        <f>IF(Operations!W14=1,0,MAX(0,W9-W10))</f>
        <v/>
      </c>
      <c r="X13" s="20">
        <f>IF(Operations!X14=1,0,MAX(0,X9-X10))</f>
        <v/>
      </c>
      <c r="Y13" s="20">
        <f>IF(Operations!Y14=1,0,MAX(0,Y9-Y10))</f>
        <v/>
      </c>
      <c r="Z13" s="20">
        <f>IF(Operations!Z14=1,0,MAX(0,Z9-Z10))</f>
        <v/>
      </c>
      <c r="AA13" s="20">
        <f>IF(Operations!AA14=1,0,MAX(0,AA9-AA10))</f>
        <v/>
      </c>
      <c r="AB13" s="20">
        <f>IF(Operations!AB14=1,0,MAX(0,AB9-AB10))</f>
        <v/>
      </c>
      <c r="AC13" s="20">
        <f>IF(Operations!AC14=1,0,MAX(0,AC9-AC10))</f>
        <v/>
      </c>
      <c r="AD13" s="20">
        <f>IF(Operations!AD14=1,0,MAX(0,AD9-AD10))</f>
        <v/>
      </c>
      <c r="AE13" s="20">
        <f>IF(Operations!AE14=1,0,MAX(0,AE9-AE10))</f>
        <v/>
      </c>
      <c r="AF13" s="20">
        <f>IF(Operations!AF14=1,0,MAX(0,AF9-AF10))</f>
        <v/>
      </c>
      <c r="AG13" s="20">
        <f>IF(Operations!AG14=1,0,MAX(0,AG9-AG10))</f>
        <v/>
      </c>
      <c r="AH13" s="20">
        <f>IF(Operations!AH14=1,0,MAX(0,AH9-AH10))</f>
        <v/>
      </c>
      <c r="AI13" s="20">
        <f>IF(Operations!AI14=1,0,MAX(0,AI9-AI10))</f>
        <v/>
      </c>
      <c r="AJ13" s="20">
        <f>IF(Operations!AJ14=1,0,MAX(0,AJ9-AJ10))</f>
        <v/>
      </c>
      <c r="AK13" s="20">
        <f>IF(Operations!AK14=1,0,MAX(0,AK9-AK10))</f>
        <v/>
      </c>
      <c r="AL13" s="20">
        <f>IF(Operations!AL14=1,0,MAX(0,AL9-AL10))</f>
        <v/>
      </c>
      <c r="AM13" s="20">
        <f>IF(Operations!AM14=1,0,MAX(0,AM9-AM10))</f>
        <v/>
      </c>
      <c r="AN13" s="20">
        <f>IF(Operations!AN14=1,0,MAX(0,AN9-AN10))</f>
        <v/>
      </c>
      <c r="AO13" s="20">
        <f>IF(Operations!AO14=1,0,MAX(0,AO9-AO10))</f>
        <v/>
      </c>
      <c r="AP13" s="20">
        <f>IF(Operations!AP14=1,0,MAX(0,AP9-AP10))</f>
        <v/>
      </c>
      <c r="AQ13" s="20">
        <f>IF(Operations!AQ14=1,0,MAX(0,AQ9-AQ10))</f>
        <v/>
      </c>
      <c r="AR13" s="20">
        <f>IF(Operations!AR14=1,0,MAX(0,AR9-AR10))</f>
        <v/>
      </c>
      <c r="AS13" s="20">
        <f>IF(Operations!AS14=1,0,MAX(0,AS9-AS10))</f>
        <v/>
      </c>
      <c r="AT13" s="20">
        <f>IF(Operations!AT14=1,0,MAX(0,AT9-AT10))</f>
        <v/>
      </c>
      <c r="AU13" s="20">
        <f>IF(Operations!AU14=1,0,MAX(0,AU9-AU10))</f>
        <v/>
      </c>
      <c r="AV13" s="20">
        <f>IF(Operations!AV14=1,0,MAX(0,AV9-AV10))</f>
        <v/>
      </c>
      <c r="AW13" s="20">
        <f>IF(Operations!AW14=1,0,MAX(0,AW9-AW10))</f>
        <v/>
      </c>
    </row>
    <row r="14">
      <c r="D14" t="inlineStr">
        <is>
          <t>Tax paid</t>
        </is>
      </c>
      <c r="E14" t="inlineStr">
        <is>
          <t>USD m</t>
        </is>
      </c>
      <c r="G14" s="20">
        <f>SUM(J14:AW14)</f>
        <v/>
      </c>
      <c r="J14" s="20">
        <f>J13*Inputs!$F$49/100</f>
        <v/>
      </c>
      <c r="K14" s="20">
        <f>K13*Inputs!$F$49/100</f>
        <v/>
      </c>
      <c r="L14" s="20">
        <f>L13*Inputs!$F$49/100</f>
        <v/>
      </c>
      <c r="M14" s="20">
        <f>M13*Inputs!$F$49/100</f>
        <v/>
      </c>
      <c r="N14" s="20">
        <f>N13*Inputs!$F$49/100</f>
        <v/>
      </c>
      <c r="O14" s="20">
        <f>O13*Inputs!$F$49/100</f>
        <v/>
      </c>
      <c r="P14" s="20">
        <f>P13*Inputs!$F$49/100</f>
        <v/>
      </c>
      <c r="Q14" s="20">
        <f>Q13*Inputs!$F$49/100</f>
        <v/>
      </c>
      <c r="R14" s="20">
        <f>R13*Inputs!$F$49/100</f>
        <v/>
      </c>
      <c r="S14" s="20">
        <f>S13*Inputs!$F$49/100</f>
        <v/>
      </c>
      <c r="T14" s="20">
        <f>T13*Inputs!$F$49/100</f>
        <v/>
      </c>
      <c r="U14" s="20">
        <f>U13*Inputs!$F$49/100</f>
        <v/>
      </c>
      <c r="V14" s="20">
        <f>V13*Inputs!$F$49/100</f>
        <v/>
      </c>
      <c r="W14" s="20">
        <f>W13*Inputs!$F$49/100</f>
        <v/>
      </c>
      <c r="X14" s="20">
        <f>X13*Inputs!$F$49/100</f>
        <v/>
      </c>
      <c r="Y14" s="20">
        <f>Y13*Inputs!$F$49/100</f>
        <v/>
      </c>
      <c r="Z14" s="20">
        <f>Z13*Inputs!$F$49/100</f>
        <v/>
      </c>
      <c r="AA14" s="20">
        <f>AA13*Inputs!$F$49/100</f>
        <v/>
      </c>
      <c r="AB14" s="20">
        <f>AB13*Inputs!$F$49/100</f>
        <v/>
      </c>
      <c r="AC14" s="20">
        <f>AC13*Inputs!$F$49/100</f>
        <v/>
      </c>
      <c r="AD14" s="20">
        <f>AD13*Inputs!$F$49/100</f>
        <v/>
      </c>
      <c r="AE14" s="20">
        <f>AE13*Inputs!$F$49/100</f>
        <v/>
      </c>
      <c r="AF14" s="20">
        <f>AF13*Inputs!$F$49/100</f>
        <v/>
      </c>
      <c r="AG14" s="20">
        <f>AG13*Inputs!$F$49/100</f>
        <v/>
      </c>
      <c r="AH14" s="20">
        <f>AH13*Inputs!$F$49/100</f>
        <v/>
      </c>
      <c r="AI14" s="20">
        <f>AI13*Inputs!$F$49/100</f>
        <v/>
      </c>
      <c r="AJ14" s="20">
        <f>AJ13*Inputs!$F$49/100</f>
        <v/>
      </c>
      <c r="AK14" s="20">
        <f>AK13*Inputs!$F$49/100</f>
        <v/>
      </c>
      <c r="AL14" s="20">
        <f>AL13*Inputs!$F$49/100</f>
        <v/>
      </c>
      <c r="AM14" s="20">
        <f>AM13*Inputs!$F$49/100</f>
        <v/>
      </c>
      <c r="AN14" s="20">
        <f>AN13*Inputs!$F$49/100</f>
        <v/>
      </c>
      <c r="AO14" s="20">
        <f>AO13*Inputs!$F$49/100</f>
        <v/>
      </c>
      <c r="AP14" s="20">
        <f>AP13*Inputs!$F$49/100</f>
        <v/>
      </c>
      <c r="AQ14" s="20">
        <f>AQ13*Inputs!$F$49/100</f>
        <v/>
      </c>
      <c r="AR14" s="20">
        <f>AR13*Inputs!$F$49/100</f>
        <v/>
      </c>
      <c r="AS14" s="20">
        <f>AS13*Inputs!$F$49/100</f>
        <v/>
      </c>
      <c r="AT14" s="20">
        <f>AT13*Inputs!$F$49/100</f>
        <v/>
      </c>
      <c r="AU14" s="20">
        <f>AU13*Inputs!$F$49/100</f>
        <v/>
      </c>
      <c r="AV14" s="20">
        <f>AV13*Inputs!$F$49/100</f>
        <v/>
      </c>
      <c r="AW14" s="20">
        <f>AW13*Inputs!$F$49/100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W19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2" customWidth="1" min="4" max="4"/>
    <col width="12" customWidth="1" min="5" max="5"/>
    <col width="14" customWidth="1" min="6" max="6"/>
    <col width="12" customWidth="1" min="7" max="7"/>
    <col width="2" customWidth="1" min="8" max="8"/>
    <col width="2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</cols>
  <sheetData>
    <row r="1">
      <c r="A1" s="1" t="inlineStr">
        <is>
          <t>Cactus Ridge Solar and Storage (fictional; Illustrative): Exercise 43.17 solution</t>
        </is>
      </c>
    </row>
    <row r="2">
      <c r="A2" t="inlineStr">
        <is>
          <t>Debt: senior loan on the contract profile; live sculpting check (sizing case)</t>
        </is>
      </c>
    </row>
    <row r="3">
      <c r="A3" t="inlineStr">
        <is>
          <t>Column D label, E unit, F constant or scalar, G row total; first period in column J. Inputs: blue on yellow. Links from other sheets: green. Checks: 0 when passing.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J5" s="17" t="inlineStr">
        <is>
          <t>2028H1</t>
        </is>
      </c>
      <c r="K5" s="17" t="inlineStr">
        <is>
          <t>2028H2</t>
        </is>
      </c>
      <c r="L5" s="17" t="inlineStr">
        <is>
          <t>2029H1</t>
        </is>
      </c>
      <c r="M5" s="17" t="inlineStr">
        <is>
          <t>2029H2</t>
        </is>
      </c>
      <c r="N5" s="17" t="inlineStr">
        <is>
          <t>2030H1</t>
        </is>
      </c>
      <c r="O5" s="17" t="inlineStr">
        <is>
          <t>2030H2</t>
        </is>
      </c>
      <c r="P5" s="17" t="inlineStr">
        <is>
          <t>2031H1</t>
        </is>
      </c>
      <c r="Q5" s="17" t="inlineStr">
        <is>
          <t>2031H2</t>
        </is>
      </c>
      <c r="R5" s="17" t="inlineStr">
        <is>
          <t>2032H1</t>
        </is>
      </c>
      <c r="S5" s="17" t="inlineStr">
        <is>
          <t>2032H2</t>
        </is>
      </c>
      <c r="T5" s="17" t="inlineStr">
        <is>
          <t>2033H1</t>
        </is>
      </c>
      <c r="U5" s="17" t="inlineStr">
        <is>
          <t>2033H2</t>
        </is>
      </c>
      <c r="V5" s="17" t="inlineStr">
        <is>
          <t>2034H1</t>
        </is>
      </c>
      <c r="W5" s="17" t="inlineStr">
        <is>
          <t>2034H2</t>
        </is>
      </c>
      <c r="X5" s="17" t="inlineStr">
        <is>
          <t>2035H1</t>
        </is>
      </c>
      <c r="Y5" s="17" t="inlineStr">
        <is>
          <t>2035H2</t>
        </is>
      </c>
      <c r="Z5" s="17" t="inlineStr">
        <is>
          <t>2036H1</t>
        </is>
      </c>
      <c r="AA5" s="17" t="inlineStr">
        <is>
          <t>2036H2</t>
        </is>
      </c>
      <c r="AB5" s="17" t="inlineStr">
        <is>
          <t>2037H1</t>
        </is>
      </c>
      <c r="AC5" s="17" t="inlineStr">
        <is>
          <t>2037H2</t>
        </is>
      </c>
      <c r="AD5" s="17" t="inlineStr">
        <is>
          <t>2038H1</t>
        </is>
      </c>
      <c r="AE5" s="17" t="inlineStr">
        <is>
          <t>2038H2</t>
        </is>
      </c>
      <c r="AF5" s="17" t="inlineStr">
        <is>
          <t>2039H1</t>
        </is>
      </c>
      <c r="AG5" s="17" t="inlineStr">
        <is>
          <t>2039H2</t>
        </is>
      </c>
      <c r="AH5" s="17" t="inlineStr">
        <is>
          <t>2040H1</t>
        </is>
      </c>
      <c r="AI5" s="17" t="inlineStr">
        <is>
          <t>2040H2</t>
        </is>
      </c>
      <c r="AJ5" s="17" t="inlineStr">
        <is>
          <t>2041H1</t>
        </is>
      </c>
      <c r="AK5" s="17" t="inlineStr">
        <is>
          <t>2041H2</t>
        </is>
      </c>
      <c r="AL5" s="17" t="inlineStr">
        <is>
          <t>2042H1</t>
        </is>
      </c>
      <c r="AM5" s="17" t="inlineStr">
        <is>
          <t>2042H2</t>
        </is>
      </c>
      <c r="AN5" s="17" t="inlineStr">
        <is>
          <t>2043H1</t>
        </is>
      </c>
      <c r="AO5" s="17" t="inlineStr">
        <is>
          <t>2043H2</t>
        </is>
      </c>
      <c r="AP5" s="17" t="inlineStr">
        <is>
          <t>2044H1</t>
        </is>
      </c>
      <c r="AQ5" s="17" t="inlineStr">
        <is>
          <t>2044H2</t>
        </is>
      </c>
      <c r="AR5" s="17" t="inlineStr">
        <is>
          <t>2045H1</t>
        </is>
      </c>
      <c r="AS5" s="17" t="inlineStr">
        <is>
          <t>2045H2</t>
        </is>
      </c>
      <c r="AT5" s="17" t="inlineStr">
        <is>
          <t>2046H1</t>
        </is>
      </c>
      <c r="AU5" s="17" t="inlineStr">
        <is>
          <t>2046H2</t>
        </is>
      </c>
      <c r="AV5" s="17" t="inlineStr">
        <is>
          <t>2047H1</t>
        </is>
      </c>
      <c r="AW5" s="17" t="inlineStr">
        <is>
          <t>2047H2</t>
        </is>
      </c>
    </row>
    <row r="7">
      <c r="B7" s="2" t="inlineStr">
        <is>
          <t>Senior loan (USD m)</t>
        </is>
      </c>
    </row>
    <row r="8">
      <c r="D8" t="inlineStr">
        <is>
          <t>Opening balance</t>
        </is>
      </c>
      <c r="E8" t="inlineStr">
        <is>
          <t>USD m</t>
        </is>
      </c>
      <c r="J8" s="20">
        <f>IF(Operations!J8=1,Inputs!$F$33,I12)</f>
        <v/>
      </c>
      <c r="K8" s="20">
        <f>IF(Operations!K8=1,Inputs!$F$33,J12)</f>
        <v/>
      </c>
      <c r="L8" s="20">
        <f>IF(Operations!L8=1,Inputs!$F$33,K12)</f>
        <v/>
      </c>
      <c r="M8" s="20">
        <f>IF(Operations!M8=1,Inputs!$F$33,L12)</f>
        <v/>
      </c>
      <c r="N8" s="20">
        <f>IF(Operations!N8=1,Inputs!$F$33,M12)</f>
        <v/>
      </c>
      <c r="O8" s="20">
        <f>IF(Operations!O8=1,Inputs!$F$33,N12)</f>
        <v/>
      </c>
      <c r="P8" s="20">
        <f>IF(Operations!P8=1,Inputs!$F$33,O12)</f>
        <v/>
      </c>
      <c r="Q8" s="20">
        <f>IF(Operations!Q8=1,Inputs!$F$33,P12)</f>
        <v/>
      </c>
      <c r="R8" s="20">
        <f>IF(Operations!R8=1,Inputs!$F$33,Q12)</f>
        <v/>
      </c>
      <c r="S8" s="20">
        <f>IF(Operations!S8=1,Inputs!$F$33,R12)</f>
        <v/>
      </c>
      <c r="T8" s="20">
        <f>IF(Operations!T8=1,Inputs!$F$33,S12)</f>
        <v/>
      </c>
      <c r="U8" s="20">
        <f>IF(Operations!U8=1,Inputs!$F$33,T12)</f>
        <v/>
      </c>
      <c r="V8" s="20">
        <f>IF(Operations!V8=1,Inputs!$F$33,U12)</f>
        <v/>
      </c>
      <c r="W8" s="20">
        <f>IF(Operations!W8=1,Inputs!$F$33,V12)</f>
        <v/>
      </c>
      <c r="X8" s="20">
        <f>IF(Operations!X8=1,Inputs!$F$33,W12)</f>
        <v/>
      </c>
      <c r="Y8" s="20">
        <f>IF(Operations!Y8=1,Inputs!$F$33,X12)</f>
        <v/>
      </c>
      <c r="Z8" s="20">
        <f>IF(Operations!Z8=1,Inputs!$F$33,Y12)</f>
        <v/>
      </c>
      <c r="AA8" s="20">
        <f>IF(Operations!AA8=1,Inputs!$F$33,Z12)</f>
        <v/>
      </c>
      <c r="AB8" s="20">
        <f>IF(Operations!AB8=1,Inputs!$F$33,AA12)</f>
        <v/>
      </c>
      <c r="AC8" s="20">
        <f>IF(Operations!AC8=1,Inputs!$F$33,AB12)</f>
        <v/>
      </c>
      <c r="AD8" s="20">
        <f>IF(Operations!AD8=1,Inputs!$F$33,AC12)</f>
        <v/>
      </c>
      <c r="AE8" s="20">
        <f>IF(Operations!AE8=1,Inputs!$F$33,AD12)</f>
        <v/>
      </c>
      <c r="AF8" s="20">
        <f>IF(Operations!AF8=1,Inputs!$F$33,AE12)</f>
        <v/>
      </c>
      <c r="AG8" s="20">
        <f>IF(Operations!AG8=1,Inputs!$F$33,AF12)</f>
        <v/>
      </c>
      <c r="AH8" s="20">
        <f>IF(Operations!AH8=1,Inputs!$F$33,AG12)</f>
        <v/>
      </c>
      <c r="AI8" s="20">
        <f>IF(Operations!AI8=1,Inputs!$F$33,AH12)</f>
        <v/>
      </c>
      <c r="AJ8" s="20">
        <f>IF(Operations!AJ8=1,Inputs!$F$33,AI12)</f>
        <v/>
      </c>
      <c r="AK8" s="20">
        <f>IF(Operations!AK8=1,Inputs!$F$33,AJ12)</f>
        <v/>
      </c>
      <c r="AL8" s="20">
        <f>IF(Operations!AL8=1,Inputs!$F$33,AK12)</f>
        <v/>
      </c>
      <c r="AM8" s="20">
        <f>IF(Operations!AM8=1,Inputs!$F$33,AL12)</f>
        <v/>
      </c>
      <c r="AN8" s="20">
        <f>IF(Operations!AN8=1,Inputs!$F$33,AM12)</f>
        <v/>
      </c>
      <c r="AO8" s="20">
        <f>IF(Operations!AO8=1,Inputs!$F$33,AN12)</f>
        <v/>
      </c>
      <c r="AP8" s="20">
        <f>IF(Operations!AP8=1,Inputs!$F$33,AO12)</f>
        <v/>
      </c>
      <c r="AQ8" s="20">
        <f>IF(Operations!AQ8=1,Inputs!$F$33,AP12)</f>
        <v/>
      </c>
      <c r="AR8" s="20">
        <f>IF(Operations!AR8=1,Inputs!$F$33,AQ12)</f>
        <v/>
      </c>
      <c r="AS8" s="20">
        <f>IF(Operations!AS8=1,Inputs!$F$33,AR12)</f>
        <v/>
      </c>
      <c r="AT8" s="20">
        <f>IF(Operations!AT8=1,Inputs!$F$33,AS12)</f>
        <v/>
      </c>
      <c r="AU8" s="20">
        <f>IF(Operations!AU8=1,Inputs!$F$33,AT12)</f>
        <v/>
      </c>
      <c r="AV8" s="20">
        <f>IF(Operations!AV8=1,Inputs!$F$33,AU12)</f>
        <v/>
      </c>
      <c r="AW8" s="20">
        <f>IF(Operations!AW8=1,Inputs!$F$33,AV12)</f>
        <v/>
      </c>
    </row>
    <row r="9">
      <c r="D9" t="inlineStr">
        <is>
          <t>Interest (rate x months / 12 on the opening balance)</t>
        </is>
      </c>
      <c r="E9" t="inlineStr">
        <is>
          <t>USD m</t>
        </is>
      </c>
      <c r="G9" s="20">
        <f>SUM(J9:AW9)</f>
        <v/>
      </c>
      <c r="J9" s="20">
        <f>J8*Inputs!$F$26/100*Inputs!$F$55/Inputs!$F$27</f>
        <v/>
      </c>
      <c r="K9" s="20">
        <f>K8*Inputs!$F$26/100*Inputs!$F$55/Inputs!$F$27</f>
        <v/>
      </c>
      <c r="L9" s="20">
        <f>L8*Inputs!$F$26/100*Inputs!$F$55/Inputs!$F$27</f>
        <v/>
      </c>
      <c r="M9" s="20">
        <f>M8*Inputs!$F$26/100*Inputs!$F$55/Inputs!$F$27</f>
        <v/>
      </c>
      <c r="N9" s="20">
        <f>N8*Inputs!$F$26/100*Inputs!$F$55/Inputs!$F$27</f>
        <v/>
      </c>
      <c r="O9" s="20">
        <f>O8*Inputs!$F$26/100*Inputs!$F$55/Inputs!$F$27</f>
        <v/>
      </c>
      <c r="P9" s="20">
        <f>P8*Inputs!$F$26/100*Inputs!$F$55/Inputs!$F$27</f>
        <v/>
      </c>
      <c r="Q9" s="20">
        <f>Q8*Inputs!$F$26/100*Inputs!$F$55/Inputs!$F$27</f>
        <v/>
      </c>
      <c r="R9" s="20">
        <f>R8*Inputs!$F$26/100*Inputs!$F$55/Inputs!$F$27</f>
        <v/>
      </c>
      <c r="S9" s="20">
        <f>S8*Inputs!$F$26/100*Inputs!$F$55/Inputs!$F$27</f>
        <v/>
      </c>
      <c r="T9" s="20">
        <f>T8*Inputs!$F$26/100*Inputs!$F$55/Inputs!$F$27</f>
        <v/>
      </c>
      <c r="U9" s="20">
        <f>U8*Inputs!$F$26/100*Inputs!$F$55/Inputs!$F$27</f>
        <v/>
      </c>
      <c r="V9" s="20">
        <f>V8*Inputs!$F$26/100*Inputs!$F$55/Inputs!$F$27</f>
        <v/>
      </c>
      <c r="W9" s="20">
        <f>W8*Inputs!$F$26/100*Inputs!$F$55/Inputs!$F$27</f>
        <v/>
      </c>
      <c r="X9" s="20">
        <f>X8*Inputs!$F$26/100*Inputs!$F$55/Inputs!$F$27</f>
        <v/>
      </c>
      <c r="Y9" s="20">
        <f>Y8*Inputs!$F$26/100*Inputs!$F$55/Inputs!$F$27</f>
        <v/>
      </c>
      <c r="Z9" s="20">
        <f>Z8*Inputs!$F$26/100*Inputs!$F$55/Inputs!$F$27</f>
        <v/>
      </c>
      <c r="AA9" s="20">
        <f>AA8*Inputs!$F$26/100*Inputs!$F$55/Inputs!$F$27</f>
        <v/>
      </c>
      <c r="AB9" s="20">
        <f>AB8*Inputs!$F$26/100*Inputs!$F$55/Inputs!$F$27</f>
        <v/>
      </c>
      <c r="AC9" s="20">
        <f>AC8*Inputs!$F$26/100*Inputs!$F$55/Inputs!$F$27</f>
        <v/>
      </c>
      <c r="AD9" s="20">
        <f>AD8*Inputs!$F$26/100*Inputs!$F$55/Inputs!$F$27</f>
        <v/>
      </c>
      <c r="AE9" s="20">
        <f>AE8*Inputs!$F$26/100*Inputs!$F$55/Inputs!$F$27</f>
        <v/>
      </c>
      <c r="AF9" s="20">
        <f>AF8*Inputs!$F$26/100*Inputs!$F$55/Inputs!$F$27</f>
        <v/>
      </c>
      <c r="AG9" s="20">
        <f>AG8*Inputs!$F$26/100*Inputs!$F$55/Inputs!$F$27</f>
        <v/>
      </c>
      <c r="AH9" s="20">
        <f>AH8*Inputs!$F$26/100*Inputs!$F$55/Inputs!$F$27</f>
        <v/>
      </c>
      <c r="AI9" s="20">
        <f>AI8*Inputs!$F$26/100*Inputs!$F$55/Inputs!$F$27</f>
        <v/>
      </c>
      <c r="AJ9" s="20">
        <f>AJ8*Inputs!$F$26/100*Inputs!$F$55/Inputs!$F$27</f>
        <v/>
      </c>
      <c r="AK9" s="20">
        <f>AK8*Inputs!$F$26/100*Inputs!$F$55/Inputs!$F$27</f>
        <v/>
      </c>
      <c r="AL9" s="20">
        <f>AL8*Inputs!$F$26/100*Inputs!$F$55/Inputs!$F$27</f>
        <v/>
      </c>
      <c r="AM9" s="20">
        <f>AM8*Inputs!$F$26/100*Inputs!$F$55/Inputs!$F$27</f>
        <v/>
      </c>
      <c r="AN9" s="20">
        <f>AN8*Inputs!$F$26/100*Inputs!$F$55/Inputs!$F$27</f>
        <v/>
      </c>
      <c r="AO9" s="20">
        <f>AO8*Inputs!$F$26/100*Inputs!$F$55/Inputs!$F$27</f>
        <v/>
      </c>
      <c r="AP9" s="20">
        <f>AP8*Inputs!$F$26/100*Inputs!$F$55/Inputs!$F$27</f>
        <v/>
      </c>
      <c r="AQ9" s="20">
        <f>AQ8*Inputs!$F$26/100*Inputs!$F$55/Inputs!$F$27</f>
        <v/>
      </c>
      <c r="AR9" s="20">
        <f>AR8*Inputs!$F$26/100*Inputs!$F$55/Inputs!$F$27</f>
        <v/>
      </c>
      <c r="AS9" s="20">
        <f>AS8*Inputs!$F$26/100*Inputs!$F$55/Inputs!$F$27</f>
        <v/>
      </c>
      <c r="AT9" s="20">
        <f>AT8*Inputs!$F$26/100*Inputs!$F$55/Inputs!$F$27</f>
        <v/>
      </c>
      <c r="AU9" s="20">
        <f>AU8*Inputs!$F$26/100*Inputs!$F$55/Inputs!$F$27</f>
        <v/>
      </c>
      <c r="AV9" s="20">
        <f>AV8*Inputs!$F$26/100*Inputs!$F$55/Inputs!$F$27</f>
        <v/>
      </c>
      <c r="AW9" s="20">
        <f>AW8*Inputs!$F$26/100*Inputs!$F$55/Inputs!$F$27</f>
        <v/>
      </c>
    </row>
    <row r="10">
      <c r="D10" t="inlineStr">
        <is>
          <t>Principal (contract profile)</t>
        </is>
      </c>
      <c r="E10" t="inlineStr">
        <is>
          <t>USD m</t>
        </is>
      </c>
      <c r="G10" s="20">
        <f>SUM(J10:AW10)</f>
        <v/>
      </c>
      <c r="J10" s="24">
        <f>Inputs!J57</f>
        <v/>
      </c>
      <c r="K10" s="24">
        <f>Inputs!K57</f>
        <v/>
      </c>
      <c r="L10" s="24">
        <f>Inputs!L57</f>
        <v/>
      </c>
      <c r="M10" s="24">
        <f>Inputs!M57</f>
        <v/>
      </c>
      <c r="N10" s="24">
        <f>Inputs!N57</f>
        <v/>
      </c>
      <c r="O10" s="24">
        <f>Inputs!O57</f>
        <v/>
      </c>
      <c r="P10" s="24">
        <f>Inputs!P57</f>
        <v/>
      </c>
      <c r="Q10" s="24">
        <f>Inputs!Q57</f>
        <v/>
      </c>
      <c r="R10" s="24">
        <f>Inputs!R57</f>
        <v/>
      </c>
      <c r="S10" s="24">
        <f>Inputs!S57</f>
        <v/>
      </c>
      <c r="T10" s="24">
        <f>Inputs!T57</f>
        <v/>
      </c>
      <c r="U10" s="24">
        <f>Inputs!U57</f>
        <v/>
      </c>
      <c r="V10" s="24">
        <f>Inputs!V57</f>
        <v/>
      </c>
      <c r="W10" s="24">
        <f>Inputs!W57</f>
        <v/>
      </c>
      <c r="X10" s="24">
        <f>Inputs!X57</f>
        <v/>
      </c>
      <c r="Y10" s="24">
        <f>Inputs!Y57</f>
        <v/>
      </c>
      <c r="Z10" s="24">
        <f>Inputs!Z57</f>
        <v/>
      </c>
      <c r="AA10" s="24">
        <f>Inputs!AA57</f>
        <v/>
      </c>
      <c r="AB10" s="24">
        <f>Inputs!AB57</f>
        <v/>
      </c>
      <c r="AC10" s="24">
        <f>Inputs!AC57</f>
        <v/>
      </c>
      <c r="AD10" s="24">
        <f>Inputs!AD57</f>
        <v/>
      </c>
      <c r="AE10" s="24">
        <f>Inputs!AE57</f>
        <v/>
      </c>
      <c r="AF10" s="24">
        <f>Inputs!AF57</f>
        <v/>
      </c>
      <c r="AG10" s="24">
        <f>Inputs!AG57</f>
        <v/>
      </c>
      <c r="AH10" s="24">
        <f>Inputs!AH57</f>
        <v/>
      </c>
      <c r="AI10" s="24">
        <f>Inputs!AI57</f>
        <v/>
      </c>
      <c r="AJ10" s="24">
        <f>Inputs!AJ57</f>
        <v/>
      </c>
      <c r="AK10" s="24">
        <f>Inputs!AK57</f>
        <v/>
      </c>
      <c r="AL10" s="24">
        <f>Inputs!AL57</f>
        <v/>
      </c>
      <c r="AM10" s="24">
        <f>Inputs!AM57</f>
        <v/>
      </c>
      <c r="AN10" s="24">
        <f>Inputs!AN57</f>
        <v/>
      </c>
      <c r="AO10" s="24">
        <f>Inputs!AO57</f>
        <v/>
      </c>
      <c r="AP10" s="24">
        <f>Inputs!AP57</f>
        <v/>
      </c>
      <c r="AQ10" s="24">
        <f>Inputs!AQ57</f>
        <v/>
      </c>
      <c r="AR10" s="24">
        <f>Inputs!AR57</f>
        <v/>
      </c>
      <c r="AS10" s="24">
        <f>Inputs!AS57</f>
        <v/>
      </c>
      <c r="AT10" s="24">
        <f>Inputs!AT57</f>
        <v/>
      </c>
      <c r="AU10" s="24">
        <f>Inputs!AU57</f>
        <v/>
      </c>
      <c r="AV10" s="24">
        <f>Inputs!AV57</f>
        <v/>
      </c>
      <c r="AW10" s="24">
        <f>Inputs!AW57</f>
        <v/>
      </c>
    </row>
    <row r="11">
      <c r="D11" t="inlineStr">
        <is>
          <t>Debt service</t>
        </is>
      </c>
      <c r="E11" t="inlineStr">
        <is>
          <t>USD m</t>
        </is>
      </c>
      <c r="G11" s="20">
        <f>SUM(J11:AW11)</f>
        <v/>
      </c>
      <c r="J11" s="20">
        <f>J9+J10</f>
        <v/>
      </c>
      <c r="K11" s="20">
        <f>K9+K10</f>
        <v/>
      </c>
      <c r="L11" s="20">
        <f>L9+L10</f>
        <v/>
      </c>
      <c r="M11" s="20">
        <f>M9+M10</f>
        <v/>
      </c>
      <c r="N11" s="20">
        <f>N9+N10</f>
        <v/>
      </c>
      <c r="O11" s="20">
        <f>O9+O10</f>
        <v/>
      </c>
      <c r="P11" s="20">
        <f>P9+P10</f>
        <v/>
      </c>
      <c r="Q11" s="20">
        <f>Q9+Q10</f>
        <v/>
      </c>
      <c r="R11" s="20">
        <f>R9+R10</f>
        <v/>
      </c>
      <c r="S11" s="20">
        <f>S9+S10</f>
        <v/>
      </c>
      <c r="T11" s="20">
        <f>T9+T10</f>
        <v/>
      </c>
      <c r="U11" s="20">
        <f>U9+U10</f>
        <v/>
      </c>
      <c r="V11" s="20">
        <f>V9+V10</f>
        <v/>
      </c>
      <c r="W11" s="20">
        <f>W9+W10</f>
        <v/>
      </c>
      <c r="X11" s="20">
        <f>X9+X10</f>
        <v/>
      </c>
      <c r="Y11" s="20">
        <f>Y9+Y10</f>
        <v/>
      </c>
      <c r="Z11" s="20">
        <f>Z9+Z10</f>
        <v/>
      </c>
      <c r="AA11" s="20">
        <f>AA9+AA10</f>
        <v/>
      </c>
      <c r="AB11" s="20">
        <f>AB9+AB10</f>
        <v/>
      </c>
      <c r="AC11" s="20">
        <f>AC9+AC10</f>
        <v/>
      </c>
      <c r="AD11" s="20">
        <f>AD9+AD10</f>
        <v/>
      </c>
      <c r="AE11" s="20">
        <f>AE9+AE10</f>
        <v/>
      </c>
      <c r="AF11" s="20">
        <f>AF9+AF10</f>
        <v/>
      </c>
      <c r="AG11" s="20">
        <f>AG9+AG10</f>
        <v/>
      </c>
      <c r="AH11" s="20">
        <f>AH9+AH10</f>
        <v/>
      </c>
      <c r="AI11" s="20">
        <f>AI9+AI10</f>
        <v/>
      </c>
      <c r="AJ11" s="20">
        <f>AJ9+AJ10</f>
        <v/>
      </c>
      <c r="AK11" s="20">
        <f>AK9+AK10</f>
        <v/>
      </c>
      <c r="AL11" s="20">
        <f>AL9+AL10</f>
        <v/>
      </c>
      <c r="AM11" s="20">
        <f>AM9+AM10</f>
        <v/>
      </c>
      <c r="AN11" s="20">
        <f>AN9+AN10</f>
        <v/>
      </c>
      <c r="AO11" s="20">
        <f>AO9+AO10</f>
        <v/>
      </c>
      <c r="AP11" s="20">
        <f>AP9+AP10</f>
        <v/>
      </c>
      <c r="AQ11" s="20">
        <f>AQ9+AQ10</f>
        <v/>
      </c>
      <c r="AR11" s="20">
        <f>AR9+AR10</f>
        <v/>
      </c>
      <c r="AS11" s="20">
        <f>AS9+AS10</f>
        <v/>
      </c>
      <c r="AT11" s="20">
        <f>AT9+AT10</f>
        <v/>
      </c>
      <c r="AU11" s="20">
        <f>AU9+AU10</f>
        <v/>
      </c>
      <c r="AV11" s="20">
        <f>AV9+AV10</f>
        <v/>
      </c>
      <c r="AW11" s="20">
        <f>AW9+AW10</f>
        <v/>
      </c>
    </row>
    <row r="12">
      <c r="D12" t="inlineStr">
        <is>
          <t>Closing balance</t>
        </is>
      </c>
      <c r="E12" t="inlineStr">
        <is>
          <t>USD m</t>
        </is>
      </c>
      <c r="J12" s="20">
        <f>J8-J10</f>
        <v/>
      </c>
      <c r="K12" s="20">
        <f>K8-K10</f>
        <v/>
      </c>
      <c r="L12" s="20">
        <f>L8-L10</f>
        <v/>
      </c>
      <c r="M12" s="20">
        <f>M8-M10</f>
        <v/>
      </c>
      <c r="N12" s="20">
        <f>N8-N10</f>
        <v/>
      </c>
      <c r="O12" s="20">
        <f>O8-O10</f>
        <v/>
      </c>
      <c r="P12" s="20">
        <f>P8-P10</f>
        <v/>
      </c>
      <c r="Q12" s="20">
        <f>Q8-Q10</f>
        <v/>
      </c>
      <c r="R12" s="20">
        <f>R8-R10</f>
        <v/>
      </c>
      <c r="S12" s="20">
        <f>S8-S10</f>
        <v/>
      </c>
      <c r="T12" s="20">
        <f>T8-T10</f>
        <v/>
      </c>
      <c r="U12" s="20">
        <f>U8-U10</f>
        <v/>
      </c>
      <c r="V12" s="20">
        <f>V8-V10</f>
        <v/>
      </c>
      <c r="W12" s="20">
        <f>W8-W10</f>
        <v/>
      </c>
      <c r="X12" s="20">
        <f>X8-X10</f>
        <v/>
      </c>
      <c r="Y12" s="20">
        <f>Y8-Y10</f>
        <v/>
      </c>
      <c r="Z12" s="20">
        <f>Z8-Z10</f>
        <v/>
      </c>
      <c r="AA12" s="20">
        <f>AA8-AA10</f>
        <v/>
      </c>
      <c r="AB12" s="20">
        <f>AB8-AB10</f>
        <v/>
      </c>
      <c r="AC12" s="20">
        <f>AC8-AC10</f>
        <v/>
      </c>
      <c r="AD12" s="20">
        <f>AD8-AD10</f>
        <v/>
      </c>
      <c r="AE12" s="20">
        <f>AE8-AE10</f>
        <v/>
      </c>
      <c r="AF12" s="20">
        <f>AF8-AF10</f>
        <v/>
      </c>
      <c r="AG12" s="20">
        <f>AG8-AG10</f>
        <v/>
      </c>
      <c r="AH12" s="20">
        <f>AH8-AH10</f>
        <v/>
      </c>
      <c r="AI12" s="20">
        <f>AI8-AI10</f>
        <v/>
      </c>
      <c r="AJ12" s="20">
        <f>AJ8-AJ10</f>
        <v/>
      </c>
      <c r="AK12" s="20">
        <f>AK8-AK10</f>
        <v/>
      </c>
      <c r="AL12" s="20">
        <f>AL8-AL10</f>
        <v/>
      </c>
      <c r="AM12" s="20">
        <f>AM8-AM10</f>
        <v/>
      </c>
      <c r="AN12" s="20">
        <f>AN8-AN10</f>
        <v/>
      </c>
      <c r="AO12" s="20">
        <f>AO8-AO10</f>
        <v/>
      </c>
      <c r="AP12" s="20">
        <f>AP8-AP10</f>
        <v/>
      </c>
      <c r="AQ12" s="20">
        <f>AQ8-AQ10</f>
        <v/>
      </c>
      <c r="AR12" s="20">
        <f>AR8-AR10</f>
        <v/>
      </c>
      <c r="AS12" s="20">
        <f>AS8-AS10</f>
        <v/>
      </c>
      <c r="AT12" s="20">
        <f>AT8-AT10</f>
        <v/>
      </c>
      <c r="AU12" s="20">
        <f>AU8-AU10</f>
        <v/>
      </c>
      <c r="AV12" s="20">
        <f>AV8-AV10</f>
        <v/>
      </c>
      <c r="AW12" s="20">
        <f>AW8-AW10</f>
        <v/>
      </c>
    </row>
    <row r="13">
      <c r="D13" t="inlineStr">
        <is>
          <t>First half-year debt service (DSRA initial funding)</t>
        </is>
      </c>
      <c r="E13" t="inlineStr">
        <is>
          <t>USD m</t>
        </is>
      </c>
      <c r="F13" s="22">
        <f>J11</f>
        <v/>
      </c>
    </row>
    <row r="14">
      <c r="B14" s="2" t="inlineStr">
        <is>
          <t>Live sculpting check (meaningful in the sizing case, Scenario 2)</t>
        </is>
      </c>
    </row>
    <row r="15">
      <c r="D15" t="inlineStr">
        <is>
          <t>Sculpted debt service = CFADS / sizing DSCR</t>
        </is>
      </c>
      <c r="E15" t="inlineStr">
        <is>
          <t>USD m</t>
        </is>
      </c>
      <c r="G15" s="20">
        <f>SUM(J15:AW15)</f>
        <v/>
      </c>
      <c r="J15" s="20">
        <f>Operations!J15*Waterfall!J7/Inputs!$F$31</f>
        <v/>
      </c>
      <c r="K15" s="20">
        <f>Operations!K15*Waterfall!K7/Inputs!$F$31</f>
        <v/>
      </c>
      <c r="L15" s="20">
        <f>Operations!L15*Waterfall!L7/Inputs!$F$31</f>
        <v/>
      </c>
      <c r="M15" s="20">
        <f>Operations!M15*Waterfall!M7/Inputs!$F$31</f>
        <v/>
      </c>
      <c r="N15" s="20">
        <f>Operations!N15*Waterfall!N7/Inputs!$F$31</f>
        <v/>
      </c>
      <c r="O15" s="20">
        <f>Operations!O15*Waterfall!O7/Inputs!$F$31</f>
        <v/>
      </c>
      <c r="P15" s="20">
        <f>Operations!P15*Waterfall!P7/Inputs!$F$31</f>
        <v/>
      </c>
      <c r="Q15" s="20">
        <f>Operations!Q15*Waterfall!Q7/Inputs!$F$31</f>
        <v/>
      </c>
      <c r="R15" s="20">
        <f>Operations!R15*Waterfall!R7/Inputs!$F$31</f>
        <v/>
      </c>
      <c r="S15" s="20">
        <f>Operations!S15*Waterfall!S7/Inputs!$F$31</f>
        <v/>
      </c>
      <c r="T15" s="20">
        <f>Operations!T15*Waterfall!T7/Inputs!$F$31</f>
        <v/>
      </c>
      <c r="U15" s="20">
        <f>Operations!U15*Waterfall!U7/Inputs!$F$31</f>
        <v/>
      </c>
      <c r="V15" s="20">
        <f>Operations!V15*Waterfall!V7/Inputs!$F$31</f>
        <v/>
      </c>
      <c r="W15" s="20">
        <f>Operations!W15*Waterfall!W7/Inputs!$F$31</f>
        <v/>
      </c>
      <c r="X15" s="20">
        <f>Operations!X15*Waterfall!X7/Inputs!$F$31</f>
        <v/>
      </c>
      <c r="Y15" s="20">
        <f>Operations!Y15*Waterfall!Y7/Inputs!$F$31</f>
        <v/>
      </c>
      <c r="Z15" s="20">
        <f>Operations!Z15*Waterfall!Z7/Inputs!$F$31</f>
        <v/>
      </c>
      <c r="AA15" s="20">
        <f>Operations!AA15*Waterfall!AA7/Inputs!$F$31</f>
        <v/>
      </c>
      <c r="AB15" s="20">
        <f>Operations!AB15*Waterfall!AB7/Inputs!$F$31</f>
        <v/>
      </c>
      <c r="AC15" s="20">
        <f>Operations!AC15*Waterfall!AC7/Inputs!$F$31</f>
        <v/>
      </c>
      <c r="AD15" s="20">
        <f>Operations!AD15*Waterfall!AD7/Inputs!$F$31</f>
        <v/>
      </c>
      <c r="AE15" s="20">
        <f>Operations!AE15*Waterfall!AE7/Inputs!$F$31</f>
        <v/>
      </c>
      <c r="AF15" s="20">
        <f>Operations!AF15*Waterfall!AF7/Inputs!$F$31</f>
        <v/>
      </c>
      <c r="AG15" s="20">
        <f>Operations!AG15*Waterfall!AG7/Inputs!$F$31</f>
        <v/>
      </c>
      <c r="AH15" s="20">
        <f>Operations!AH15*Waterfall!AH7/Inputs!$F$31</f>
        <v/>
      </c>
      <c r="AI15" s="20">
        <f>Operations!AI15*Waterfall!AI7/Inputs!$F$31</f>
        <v/>
      </c>
      <c r="AJ15" s="20">
        <f>Operations!AJ15*Waterfall!AJ7/Inputs!$F$31</f>
        <v/>
      </c>
      <c r="AK15" s="20">
        <f>Operations!AK15*Waterfall!AK7/Inputs!$F$31</f>
        <v/>
      </c>
      <c r="AL15" s="20">
        <f>Operations!AL15*Waterfall!AL7/Inputs!$F$31</f>
        <v/>
      </c>
      <c r="AM15" s="20">
        <f>Operations!AM15*Waterfall!AM7/Inputs!$F$31</f>
        <v/>
      </c>
      <c r="AN15" s="20">
        <f>Operations!AN15*Waterfall!AN7/Inputs!$F$31</f>
        <v/>
      </c>
      <c r="AO15" s="20">
        <f>Operations!AO15*Waterfall!AO7/Inputs!$F$31</f>
        <v/>
      </c>
      <c r="AP15" s="20">
        <f>Operations!AP15*Waterfall!AP7/Inputs!$F$31</f>
        <v/>
      </c>
      <c r="AQ15" s="20">
        <f>Operations!AQ15*Waterfall!AQ7/Inputs!$F$31</f>
        <v/>
      </c>
      <c r="AR15" s="20">
        <f>Operations!AR15*Waterfall!AR7/Inputs!$F$31</f>
        <v/>
      </c>
      <c r="AS15" s="20">
        <f>Operations!AS15*Waterfall!AS7/Inputs!$F$31</f>
        <v/>
      </c>
      <c r="AT15" s="20">
        <f>Operations!AT15*Waterfall!AT7/Inputs!$F$31</f>
        <v/>
      </c>
      <c r="AU15" s="20">
        <f>Operations!AU15*Waterfall!AU7/Inputs!$F$31</f>
        <v/>
      </c>
      <c r="AV15" s="20">
        <f>Operations!AV15*Waterfall!AV7/Inputs!$F$31</f>
        <v/>
      </c>
      <c r="AW15" s="20">
        <f>Operations!AW15*Waterfall!AW7/Inputs!$F$31</f>
        <v/>
      </c>
    </row>
    <row r="16">
      <c r="D16" t="inlineStr">
        <is>
          <t>PV of sculpted debt service at the loan rate (backward recursion)</t>
        </is>
      </c>
      <c r="E16" t="inlineStr">
        <is>
          <t>USD m</t>
        </is>
      </c>
      <c r="J16" s="20">
        <f>IF(Operations!J15=1,(J15+K16)/(1+Inputs!$F$26/100*Inputs!$F$55/Inputs!$F$27),0)</f>
        <v/>
      </c>
      <c r="K16" s="20">
        <f>IF(Operations!K15=1,(K15+L16)/(1+Inputs!$F$26/100*Inputs!$F$55/Inputs!$F$27),0)</f>
        <v/>
      </c>
      <c r="L16" s="20">
        <f>IF(Operations!L15=1,(L15+M16)/(1+Inputs!$F$26/100*Inputs!$F$55/Inputs!$F$27),0)</f>
        <v/>
      </c>
      <c r="M16" s="20">
        <f>IF(Operations!M15=1,(M15+N16)/(1+Inputs!$F$26/100*Inputs!$F$55/Inputs!$F$27),0)</f>
        <v/>
      </c>
      <c r="N16" s="20">
        <f>IF(Operations!N15=1,(N15+O16)/(1+Inputs!$F$26/100*Inputs!$F$55/Inputs!$F$27),0)</f>
        <v/>
      </c>
      <c r="O16" s="20">
        <f>IF(Operations!O15=1,(O15+P16)/(1+Inputs!$F$26/100*Inputs!$F$55/Inputs!$F$27),0)</f>
        <v/>
      </c>
      <c r="P16" s="20">
        <f>IF(Operations!P15=1,(P15+Q16)/(1+Inputs!$F$26/100*Inputs!$F$55/Inputs!$F$27),0)</f>
        <v/>
      </c>
      <c r="Q16" s="20">
        <f>IF(Operations!Q15=1,(Q15+R16)/(1+Inputs!$F$26/100*Inputs!$F$55/Inputs!$F$27),0)</f>
        <v/>
      </c>
      <c r="R16" s="20">
        <f>IF(Operations!R15=1,(R15+S16)/(1+Inputs!$F$26/100*Inputs!$F$55/Inputs!$F$27),0)</f>
        <v/>
      </c>
      <c r="S16" s="20">
        <f>IF(Operations!S15=1,(S15+T16)/(1+Inputs!$F$26/100*Inputs!$F$55/Inputs!$F$27),0)</f>
        <v/>
      </c>
      <c r="T16" s="20">
        <f>IF(Operations!T15=1,(T15+U16)/(1+Inputs!$F$26/100*Inputs!$F$55/Inputs!$F$27),0)</f>
        <v/>
      </c>
      <c r="U16" s="20">
        <f>IF(Operations!U15=1,(U15+V16)/(1+Inputs!$F$26/100*Inputs!$F$55/Inputs!$F$27),0)</f>
        <v/>
      </c>
      <c r="V16" s="20">
        <f>IF(Operations!V15=1,(V15+W16)/(1+Inputs!$F$26/100*Inputs!$F$55/Inputs!$F$27),0)</f>
        <v/>
      </c>
      <c r="W16" s="20">
        <f>IF(Operations!W15=1,(W15+X16)/(1+Inputs!$F$26/100*Inputs!$F$55/Inputs!$F$27),0)</f>
        <v/>
      </c>
      <c r="X16" s="20">
        <f>IF(Operations!X15=1,(X15+Y16)/(1+Inputs!$F$26/100*Inputs!$F$55/Inputs!$F$27),0)</f>
        <v/>
      </c>
      <c r="Y16" s="20">
        <f>IF(Operations!Y15=1,(Y15+Z16)/(1+Inputs!$F$26/100*Inputs!$F$55/Inputs!$F$27),0)</f>
        <v/>
      </c>
      <c r="Z16" s="20">
        <f>IF(Operations!Z15=1,(Z15+AA16)/(1+Inputs!$F$26/100*Inputs!$F$55/Inputs!$F$27),0)</f>
        <v/>
      </c>
      <c r="AA16" s="20">
        <f>IF(Operations!AA15=1,(AA15+AB16)/(1+Inputs!$F$26/100*Inputs!$F$55/Inputs!$F$27),0)</f>
        <v/>
      </c>
      <c r="AB16" s="20">
        <f>IF(Operations!AB15=1,(AB15+AC16)/(1+Inputs!$F$26/100*Inputs!$F$55/Inputs!$F$27),0)</f>
        <v/>
      </c>
      <c r="AC16" s="20">
        <f>IF(Operations!AC15=1,(AC15+AD16)/(1+Inputs!$F$26/100*Inputs!$F$55/Inputs!$F$27),0)</f>
        <v/>
      </c>
      <c r="AD16" s="20">
        <f>IF(Operations!AD15=1,(AD15+AE16)/(1+Inputs!$F$26/100*Inputs!$F$55/Inputs!$F$27),0)</f>
        <v/>
      </c>
      <c r="AE16" s="20">
        <f>IF(Operations!AE15=1,(AE15+AF16)/(1+Inputs!$F$26/100*Inputs!$F$55/Inputs!$F$27),0)</f>
        <v/>
      </c>
      <c r="AF16" s="20">
        <f>IF(Operations!AF15=1,(AF15+AG16)/(1+Inputs!$F$26/100*Inputs!$F$55/Inputs!$F$27),0)</f>
        <v/>
      </c>
      <c r="AG16" s="20">
        <f>IF(Operations!AG15=1,(AG15+AH16)/(1+Inputs!$F$26/100*Inputs!$F$55/Inputs!$F$27),0)</f>
        <v/>
      </c>
      <c r="AH16" s="20">
        <f>IF(Operations!AH15=1,(AH15+AI16)/(1+Inputs!$F$26/100*Inputs!$F$55/Inputs!$F$27),0)</f>
        <v/>
      </c>
      <c r="AI16" s="20">
        <f>IF(Operations!AI15=1,(AI15+AJ16)/(1+Inputs!$F$26/100*Inputs!$F$55/Inputs!$F$27),0)</f>
        <v/>
      </c>
      <c r="AJ16" s="20">
        <f>IF(Operations!AJ15=1,(AJ15+AK16)/(1+Inputs!$F$26/100*Inputs!$F$55/Inputs!$F$27),0)</f>
        <v/>
      </c>
      <c r="AK16" s="20">
        <f>IF(Operations!AK15=1,(AK15+AL16)/(1+Inputs!$F$26/100*Inputs!$F$55/Inputs!$F$27),0)</f>
        <v/>
      </c>
      <c r="AL16" s="20">
        <f>IF(Operations!AL15=1,(AL15+AM16)/(1+Inputs!$F$26/100*Inputs!$F$55/Inputs!$F$27),0)</f>
        <v/>
      </c>
      <c r="AM16" s="20">
        <f>IF(Operations!AM15=1,(AM15+AN16)/(1+Inputs!$F$26/100*Inputs!$F$55/Inputs!$F$27),0)</f>
        <v/>
      </c>
      <c r="AN16" s="20">
        <f>IF(Operations!AN15=1,(AN15+AO16)/(1+Inputs!$F$26/100*Inputs!$F$55/Inputs!$F$27),0)</f>
        <v/>
      </c>
      <c r="AO16" s="20">
        <f>IF(Operations!AO15=1,(AO15+AP16)/(1+Inputs!$F$26/100*Inputs!$F$55/Inputs!$F$27),0)</f>
        <v/>
      </c>
      <c r="AP16" s="20">
        <f>IF(Operations!AP15=1,(AP15+AQ16)/(1+Inputs!$F$26/100*Inputs!$F$55/Inputs!$F$27),0)</f>
        <v/>
      </c>
      <c r="AQ16" s="20">
        <f>IF(Operations!AQ15=1,(AQ15+AR16)/(1+Inputs!$F$26/100*Inputs!$F$55/Inputs!$F$27),0)</f>
        <v/>
      </c>
      <c r="AR16" s="20">
        <f>IF(Operations!AR15=1,(AR15+AS16)/(1+Inputs!$F$26/100*Inputs!$F$55/Inputs!$F$27),0)</f>
        <v/>
      </c>
      <c r="AS16" s="20">
        <f>IF(Operations!AS15=1,(AS15+AT16)/(1+Inputs!$F$26/100*Inputs!$F$55/Inputs!$F$27),0)</f>
        <v/>
      </c>
      <c r="AT16" s="20">
        <f>IF(Operations!AT15=1,(AT15+AU16)/(1+Inputs!$F$26/100*Inputs!$F$55/Inputs!$F$27),0)</f>
        <v/>
      </c>
      <c r="AU16" s="20">
        <f>IF(Operations!AU15=1,(AU15+AV16)/(1+Inputs!$F$26/100*Inputs!$F$55/Inputs!$F$27),0)</f>
        <v/>
      </c>
      <c r="AV16" s="20">
        <f>IF(Operations!AV15=1,(AV15+AW16)/(1+Inputs!$F$26/100*Inputs!$F$55/Inputs!$F$27),0)</f>
        <v/>
      </c>
      <c r="AW16" s="20">
        <f>IF(Operations!AW15=1,(AW15+AX16)/(1+Inputs!$F$26/100*Inputs!$F$55/Inputs!$F$27),0)</f>
        <v/>
      </c>
    </row>
    <row r="17">
      <c r="D17" t="inlineStr">
        <is>
          <t>Debt capacity at the sizing DSCR</t>
        </is>
      </c>
      <c r="E17" t="inlineStr">
        <is>
          <t>USD m</t>
        </is>
      </c>
      <c r="F17" s="22">
        <f>J16</f>
        <v/>
      </c>
    </row>
    <row r="18">
      <c r="D18" t="inlineStr">
        <is>
          <t>Sculpted principal</t>
        </is>
      </c>
      <c r="E18" t="inlineStr">
        <is>
          <t>USD m</t>
        </is>
      </c>
      <c r="G18" s="20">
        <f>SUM(J18:AW18)</f>
        <v/>
      </c>
      <c r="J18" s="20">
        <f>J15-J8*Inputs!$F$26/100*Inputs!$F$55/Inputs!$F$27</f>
        <v/>
      </c>
      <c r="K18" s="20">
        <f>K15-K8*Inputs!$F$26/100*Inputs!$F$55/Inputs!$F$27</f>
        <v/>
      </c>
      <c r="L18" s="20">
        <f>L15-L8*Inputs!$F$26/100*Inputs!$F$55/Inputs!$F$27</f>
        <v/>
      </c>
      <c r="M18" s="20">
        <f>M15-M8*Inputs!$F$26/100*Inputs!$F$55/Inputs!$F$27</f>
        <v/>
      </c>
      <c r="N18" s="20">
        <f>N15-N8*Inputs!$F$26/100*Inputs!$F$55/Inputs!$F$27</f>
        <v/>
      </c>
      <c r="O18" s="20">
        <f>O15-O8*Inputs!$F$26/100*Inputs!$F$55/Inputs!$F$27</f>
        <v/>
      </c>
      <c r="P18" s="20">
        <f>P15-P8*Inputs!$F$26/100*Inputs!$F$55/Inputs!$F$27</f>
        <v/>
      </c>
      <c r="Q18" s="20">
        <f>Q15-Q8*Inputs!$F$26/100*Inputs!$F$55/Inputs!$F$27</f>
        <v/>
      </c>
      <c r="R18" s="20">
        <f>R15-R8*Inputs!$F$26/100*Inputs!$F$55/Inputs!$F$27</f>
        <v/>
      </c>
      <c r="S18" s="20">
        <f>S15-S8*Inputs!$F$26/100*Inputs!$F$55/Inputs!$F$27</f>
        <v/>
      </c>
      <c r="T18" s="20">
        <f>T15-T8*Inputs!$F$26/100*Inputs!$F$55/Inputs!$F$27</f>
        <v/>
      </c>
      <c r="U18" s="20">
        <f>U15-U8*Inputs!$F$26/100*Inputs!$F$55/Inputs!$F$27</f>
        <v/>
      </c>
      <c r="V18" s="20">
        <f>V15-V8*Inputs!$F$26/100*Inputs!$F$55/Inputs!$F$27</f>
        <v/>
      </c>
      <c r="W18" s="20">
        <f>W15-W8*Inputs!$F$26/100*Inputs!$F$55/Inputs!$F$27</f>
        <v/>
      </c>
      <c r="X18" s="20">
        <f>X15-X8*Inputs!$F$26/100*Inputs!$F$55/Inputs!$F$27</f>
        <v/>
      </c>
      <c r="Y18" s="20">
        <f>Y15-Y8*Inputs!$F$26/100*Inputs!$F$55/Inputs!$F$27</f>
        <v/>
      </c>
      <c r="Z18" s="20">
        <f>Z15-Z8*Inputs!$F$26/100*Inputs!$F$55/Inputs!$F$27</f>
        <v/>
      </c>
      <c r="AA18" s="20">
        <f>AA15-AA8*Inputs!$F$26/100*Inputs!$F$55/Inputs!$F$27</f>
        <v/>
      </c>
      <c r="AB18" s="20">
        <f>AB15-AB8*Inputs!$F$26/100*Inputs!$F$55/Inputs!$F$27</f>
        <v/>
      </c>
      <c r="AC18" s="20">
        <f>AC15-AC8*Inputs!$F$26/100*Inputs!$F$55/Inputs!$F$27</f>
        <v/>
      </c>
      <c r="AD18" s="20">
        <f>AD15-AD8*Inputs!$F$26/100*Inputs!$F$55/Inputs!$F$27</f>
        <v/>
      </c>
      <c r="AE18" s="20">
        <f>AE15-AE8*Inputs!$F$26/100*Inputs!$F$55/Inputs!$F$27</f>
        <v/>
      </c>
      <c r="AF18" s="20">
        <f>AF15-AF8*Inputs!$F$26/100*Inputs!$F$55/Inputs!$F$27</f>
        <v/>
      </c>
      <c r="AG18" s="20">
        <f>AG15-AG8*Inputs!$F$26/100*Inputs!$F$55/Inputs!$F$27</f>
        <v/>
      </c>
      <c r="AH18" s="20">
        <f>AH15-AH8*Inputs!$F$26/100*Inputs!$F$55/Inputs!$F$27</f>
        <v/>
      </c>
      <c r="AI18" s="20">
        <f>AI15-AI8*Inputs!$F$26/100*Inputs!$F$55/Inputs!$F$27</f>
        <v/>
      </c>
      <c r="AJ18" s="20">
        <f>AJ15-AJ8*Inputs!$F$26/100*Inputs!$F$55/Inputs!$F$27</f>
        <v/>
      </c>
      <c r="AK18" s="20">
        <f>AK15-AK8*Inputs!$F$26/100*Inputs!$F$55/Inputs!$F$27</f>
        <v/>
      </c>
      <c r="AL18" s="20">
        <f>AL15-AL8*Inputs!$F$26/100*Inputs!$F$55/Inputs!$F$27</f>
        <v/>
      </c>
      <c r="AM18" s="20">
        <f>AM15-AM8*Inputs!$F$26/100*Inputs!$F$55/Inputs!$F$27</f>
        <v/>
      </c>
      <c r="AN18" s="20">
        <f>AN15-AN8*Inputs!$F$26/100*Inputs!$F$55/Inputs!$F$27</f>
        <v/>
      </c>
      <c r="AO18" s="20">
        <f>AO15-AO8*Inputs!$F$26/100*Inputs!$F$55/Inputs!$F$27</f>
        <v/>
      </c>
      <c r="AP18" s="20">
        <f>AP15-AP8*Inputs!$F$26/100*Inputs!$F$55/Inputs!$F$27</f>
        <v/>
      </c>
      <c r="AQ18" s="20">
        <f>AQ15-AQ8*Inputs!$F$26/100*Inputs!$F$55/Inputs!$F$27</f>
        <v/>
      </c>
      <c r="AR18" s="20">
        <f>AR15-AR8*Inputs!$F$26/100*Inputs!$F$55/Inputs!$F$27</f>
        <v/>
      </c>
      <c r="AS18" s="20">
        <f>AS15-AS8*Inputs!$F$26/100*Inputs!$F$55/Inputs!$F$27</f>
        <v/>
      </c>
      <c r="AT18" s="20">
        <f>AT15-AT8*Inputs!$F$26/100*Inputs!$F$55/Inputs!$F$27</f>
        <v/>
      </c>
      <c r="AU18" s="20">
        <f>AU15-AU8*Inputs!$F$26/100*Inputs!$F$55/Inputs!$F$27</f>
        <v/>
      </c>
      <c r="AV18" s="20">
        <f>AV15-AV8*Inputs!$F$26/100*Inputs!$F$55/Inputs!$F$27</f>
        <v/>
      </c>
      <c r="AW18" s="20">
        <f>AW15-AW8*Inputs!$F$26/100*Inputs!$F$55/Inputs!$F$27</f>
        <v/>
      </c>
    </row>
    <row r="19">
      <c r="D19" t="inlineStr">
        <is>
          <t>Sculpted principal less contract principal</t>
        </is>
      </c>
      <c r="E19" t="inlineStr">
        <is>
          <t>USD m</t>
        </is>
      </c>
      <c r="J19" s="20">
        <f>J18-J10</f>
        <v/>
      </c>
      <c r="K19" s="20">
        <f>K18-K10</f>
        <v/>
      </c>
      <c r="L19" s="20">
        <f>L18-L10</f>
        <v/>
      </c>
      <c r="M19" s="20">
        <f>M18-M10</f>
        <v/>
      </c>
      <c r="N19" s="20">
        <f>N18-N10</f>
        <v/>
      </c>
      <c r="O19" s="20">
        <f>O18-O10</f>
        <v/>
      </c>
      <c r="P19" s="20">
        <f>P18-P10</f>
        <v/>
      </c>
      <c r="Q19" s="20">
        <f>Q18-Q10</f>
        <v/>
      </c>
      <c r="R19" s="20">
        <f>R18-R10</f>
        <v/>
      </c>
      <c r="S19" s="20">
        <f>S18-S10</f>
        <v/>
      </c>
      <c r="T19" s="20">
        <f>T18-T10</f>
        <v/>
      </c>
      <c r="U19" s="20">
        <f>U18-U10</f>
        <v/>
      </c>
      <c r="V19" s="20">
        <f>V18-V10</f>
        <v/>
      </c>
      <c r="W19" s="20">
        <f>W18-W10</f>
        <v/>
      </c>
      <c r="X19" s="20">
        <f>X18-X10</f>
        <v/>
      </c>
      <c r="Y19" s="20">
        <f>Y18-Y10</f>
        <v/>
      </c>
      <c r="Z19" s="20">
        <f>Z18-Z10</f>
        <v/>
      </c>
      <c r="AA19" s="20">
        <f>AA18-AA10</f>
        <v/>
      </c>
      <c r="AB19" s="20">
        <f>AB18-AB10</f>
        <v/>
      </c>
      <c r="AC19" s="20">
        <f>AC18-AC10</f>
        <v/>
      </c>
      <c r="AD19" s="20">
        <f>AD18-AD10</f>
        <v/>
      </c>
      <c r="AE19" s="20">
        <f>AE18-AE10</f>
        <v/>
      </c>
      <c r="AF19" s="20">
        <f>AF18-AF10</f>
        <v/>
      </c>
      <c r="AG19" s="20">
        <f>AG18-AG10</f>
        <v/>
      </c>
      <c r="AH19" s="20">
        <f>AH18-AH10</f>
        <v/>
      </c>
      <c r="AI19" s="20">
        <f>AI18-AI10</f>
        <v/>
      </c>
      <c r="AJ19" s="20">
        <f>AJ18-AJ10</f>
        <v/>
      </c>
      <c r="AK19" s="20">
        <f>AK18-AK10</f>
        <v/>
      </c>
      <c r="AL19" s="20">
        <f>AL18-AL10</f>
        <v/>
      </c>
      <c r="AM19" s="20">
        <f>AM18-AM10</f>
        <v/>
      </c>
      <c r="AN19" s="20">
        <f>AN18-AN10</f>
        <v/>
      </c>
      <c r="AO19" s="20">
        <f>AO18-AO10</f>
        <v/>
      </c>
      <c r="AP19" s="20">
        <f>AP18-AP10</f>
        <v/>
      </c>
      <c r="AQ19" s="20">
        <f>AQ18-AQ10</f>
        <v/>
      </c>
      <c r="AR19" s="20">
        <f>AR18-AR10</f>
        <v/>
      </c>
      <c r="AS19" s="20">
        <f>AS18-AS10</f>
        <v/>
      </c>
      <c r="AT19" s="20">
        <f>AT18-AT10</f>
        <v/>
      </c>
      <c r="AU19" s="20">
        <f>AU18-AU10</f>
        <v/>
      </c>
      <c r="AV19" s="20">
        <f>AV18-AV10</f>
        <v/>
      </c>
      <c r="AW19" s="20">
        <f>AW18-AW10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W19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2" customWidth="1" min="4" max="4"/>
    <col width="12" customWidth="1" min="5" max="5"/>
    <col width="14" customWidth="1" min="6" max="6"/>
    <col width="12" customWidth="1" min="7" max="7"/>
    <col width="2" customWidth="1" min="8" max="8"/>
    <col width="2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</cols>
  <sheetData>
    <row r="1">
      <c r="A1" s="1" t="inlineStr">
        <is>
          <t>Cactus Ridge Solar and Storage (fictional; Illustrative): Exercise 43.17 solution</t>
        </is>
      </c>
    </row>
    <row r="2">
      <c r="A2" t="inlineStr">
        <is>
          <t>Waterfall: CFADS, debt service, DSRA, distribution test, distributions</t>
        </is>
      </c>
    </row>
    <row r="3">
      <c r="A3" t="inlineStr">
        <is>
          <t>Column D label, E unit, F constant or scalar, G row total; first period in column J. Inputs: blue on yellow. Links from other sheets: green. Checks: 0 when passing.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J5" s="17" t="inlineStr">
        <is>
          <t>2028H1</t>
        </is>
      </c>
      <c r="K5" s="17" t="inlineStr">
        <is>
          <t>2028H2</t>
        </is>
      </c>
      <c r="L5" s="17" t="inlineStr">
        <is>
          <t>2029H1</t>
        </is>
      </c>
      <c r="M5" s="17" t="inlineStr">
        <is>
          <t>2029H2</t>
        </is>
      </c>
      <c r="N5" s="17" t="inlineStr">
        <is>
          <t>2030H1</t>
        </is>
      </c>
      <c r="O5" s="17" t="inlineStr">
        <is>
          <t>2030H2</t>
        </is>
      </c>
      <c r="P5" s="17" t="inlineStr">
        <is>
          <t>2031H1</t>
        </is>
      </c>
      <c r="Q5" s="17" t="inlineStr">
        <is>
          <t>2031H2</t>
        </is>
      </c>
      <c r="R5" s="17" t="inlineStr">
        <is>
          <t>2032H1</t>
        </is>
      </c>
      <c r="S5" s="17" t="inlineStr">
        <is>
          <t>2032H2</t>
        </is>
      </c>
      <c r="T5" s="17" t="inlineStr">
        <is>
          <t>2033H1</t>
        </is>
      </c>
      <c r="U5" s="17" t="inlineStr">
        <is>
          <t>2033H2</t>
        </is>
      </c>
      <c r="V5" s="17" t="inlineStr">
        <is>
          <t>2034H1</t>
        </is>
      </c>
      <c r="W5" s="17" t="inlineStr">
        <is>
          <t>2034H2</t>
        </is>
      </c>
      <c r="X5" s="17" t="inlineStr">
        <is>
          <t>2035H1</t>
        </is>
      </c>
      <c r="Y5" s="17" t="inlineStr">
        <is>
          <t>2035H2</t>
        </is>
      </c>
      <c r="Z5" s="17" t="inlineStr">
        <is>
          <t>2036H1</t>
        </is>
      </c>
      <c r="AA5" s="17" t="inlineStr">
        <is>
          <t>2036H2</t>
        </is>
      </c>
      <c r="AB5" s="17" t="inlineStr">
        <is>
          <t>2037H1</t>
        </is>
      </c>
      <c r="AC5" s="17" t="inlineStr">
        <is>
          <t>2037H2</t>
        </is>
      </c>
      <c r="AD5" s="17" t="inlineStr">
        <is>
          <t>2038H1</t>
        </is>
      </c>
      <c r="AE5" s="17" t="inlineStr">
        <is>
          <t>2038H2</t>
        </is>
      </c>
      <c r="AF5" s="17" t="inlineStr">
        <is>
          <t>2039H1</t>
        </is>
      </c>
      <c r="AG5" s="17" t="inlineStr">
        <is>
          <t>2039H2</t>
        </is>
      </c>
      <c r="AH5" s="17" t="inlineStr">
        <is>
          <t>2040H1</t>
        </is>
      </c>
      <c r="AI5" s="17" t="inlineStr">
        <is>
          <t>2040H2</t>
        </is>
      </c>
      <c r="AJ5" s="17" t="inlineStr">
        <is>
          <t>2041H1</t>
        </is>
      </c>
      <c r="AK5" s="17" t="inlineStr">
        <is>
          <t>2041H2</t>
        </is>
      </c>
      <c r="AL5" s="17" t="inlineStr">
        <is>
          <t>2042H1</t>
        </is>
      </c>
      <c r="AM5" s="17" t="inlineStr">
        <is>
          <t>2042H2</t>
        </is>
      </c>
      <c r="AN5" s="17" t="inlineStr">
        <is>
          <t>2043H1</t>
        </is>
      </c>
      <c r="AO5" s="17" t="inlineStr">
        <is>
          <t>2043H2</t>
        </is>
      </c>
      <c r="AP5" s="17" t="inlineStr">
        <is>
          <t>2044H1</t>
        </is>
      </c>
      <c r="AQ5" s="17" t="inlineStr">
        <is>
          <t>2044H2</t>
        </is>
      </c>
      <c r="AR5" s="17" t="inlineStr">
        <is>
          <t>2045H1</t>
        </is>
      </c>
      <c r="AS5" s="17" t="inlineStr">
        <is>
          <t>2045H2</t>
        </is>
      </c>
      <c r="AT5" s="17" t="inlineStr">
        <is>
          <t>2046H1</t>
        </is>
      </c>
      <c r="AU5" s="17" t="inlineStr">
        <is>
          <t>2046H2</t>
        </is>
      </c>
      <c r="AV5" s="17" t="inlineStr">
        <is>
          <t>2047H1</t>
        </is>
      </c>
      <c r="AW5" s="17" t="inlineStr">
        <is>
          <t>2047H2</t>
        </is>
      </c>
    </row>
    <row r="7">
      <c r="D7" t="inlineStr">
        <is>
          <t>CFADS (EBITDA less tax)</t>
        </is>
      </c>
      <c r="E7" t="inlineStr">
        <is>
          <t>USD m</t>
        </is>
      </c>
      <c r="G7" s="20">
        <f>SUM(J7:AW7)</f>
        <v/>
      </c>
      <c r="J7" s="20">
        <f>Operations!J26-Tax!J14</f>
        <v/>
      </c>
      <c r="K7" s="20">
        <f>Operations!K26-Tax!K14</f>
        <v/>
      </c>
      <c r="L7" s="20">
        <f>Operations!L26-Tax!L14</f>
        <v/>
      </c>
      <c r="M7" s="20">
        <f>Operations!M26-Tax!M14</f>
        <v/>
      </c>
      <c r="N7" s="20">
        <f>Operations!N26-Tax!N14</f>
        <v/>
      </c>
      <c r="O7" s="20">
        <f>Operations!O26-Tax!O14</f>
        <v/>
      </c>
      <c r="P7" s="20">
        <f>Operations!P26-Tax!P14</f>
        <v/>
      </c>
      <c r="Q7" s="20">
        <f>Operations!Q26-Tax!Q14</f>
        <v/>
      </c>
      <c r="R7" s="20">
        <f>Operations!R26-Tax!R14</f>
        <v/>
      </c>
      <c r="S7" s="20">
        <f>Operations!S26-Tax!S14</f>
        <v/>
      </c>
      <c r="T7" s="20">
        <f>Operations!T26-Tax!T14</f>
        <v/>
      </c>
      <c r="U7" s="20">
        <f>Operations!U26-Tax!U14</f>
        <v/>
      </c>
      <c r="V7" s="20">
        <f>Operations!V26-Tax!V14</f>
        <v/>
      </c>
      <c r="W7" s="20">
        <f>Operations!W26-Tax!W14</f>
        <v/>
      </c>
      <c r="X7" s="20">
        <f>Operations!X26-Tax!X14</f>
        <v/>
      </c>
      <c r="Y7" s="20">
        <f>Operations!Y26-Tax!Y14</f>
        <v/>
      </c>
      <c r="Z7" s="20">
        <f>Operations!Z26-Tax!Z14</f>
        <v/>
      </c>
      <c r="AA7" s="20">
        <f>Operations!AA26-Tax!AA14</f>
        <v/>
      </c>
      <c r="AB7" s="20">
        <f>Operations!AB26-Tax!AB14</f>
        <v/>
      </c>
      <c r="AC7" s="20">
        <f>Operations!AC26-Tax!AC14</f>
        <v/>
      </c>
      <c r="AD7" s="20">
        <f>Operations!AD26-Tax!AD14</f>
        <v/>
      </c>
      <c r="AE7" s="20">
        <f>Operations!AE26-Tax!AE14</f>
        <v/>
      </c>
      <c r="AF7" s="20">
        <f>Operations!AF26-Tax!AF14</f>
        <v/>
      </c>
      <c r="AG7" s="20">
        <f>Operations!AG26-Tax!AG14</f>
        <v/>
      </c>
      <c r="AH7" s="20">
        <f>Operations!AH26-Tax!AH14</f>
        <v/>
      </c>
      <c r="AI7" s="20">
        <f>Operations!AI26-Tax!AI14</f>
        <v/>
      </c>
      <c r="AJ7" s="20">
        <f>Operations!AJ26-Tax!AJ14</f>
        <v/>
      </c>
      <c r="AK7" s="20">
        <f>Operations!AK26-Tax!AK14</f>
        <v/>
      </c>
      <c r="AL7" s="20">
        <f>Operations!AL26-Tax!AL14</f>
        <v/>
      </c>
      <c r="AM7" s="20">
        <f>Operations!AM26-Tax!AM14</f>
        <v/>
      </c>
      <c r="AN7" s="20">
        <f>Operations!AN26-Tax!AN14</f>
        <v/>
      </c>
      <c r="AO7" s="20">
        <f>Operations!AO26-Tax!AO14</f>
        <v/>
      </c>
      <c r="AP7" s="20">
        <f>Operations!AP26-Tax!AP14</f>
        <v/>
      </c>
      <c r="AQ7" s="20">
        <f>Operations!AQ26-Tax!AQ14</f>
        <v/>
      </c>
      <c r="AR7" s="20">
        <f>Operations!AR26-Tax!AR14</f>
        <v/>
      </c>
      <c r="AS7" s="20">
        <f>Operations!AS26-Tax!AS14</f>
        <v/>
      </c>
      <c r="AT7" s="20">
        <f>Operations!AT26-Tax!AT14</f>
        <v/>
      </c>
      <c r="AU7" s="20">
        <f>Operations!AU26-Tax!AU14</f>
        <v/>
      </c>
      <c r="AV7" s="20">
        <f>Operations!AV26-Tax!AV14</f>
        <v/>
      </c>
      <c r="AW7" s="20">
        <f>Operations!AW26-Tax!AW14</f>
        <v/>
      </c>
    </row>
    <row r="8">
      <c r="D8" t="inlineStr">
        <is>
          <t>Senior debt service</t>
        </is>
      </c>
      <c r="E8" t="inlineStr">
        <is>
          <t>USD m</t>
        </is>
      </c>
      <c r="G8" s="20">
        <f>SUM(J8:AW8)</f>
        <v/>
      </c>
      <c r="J8" s="24">
        <f>Debt!J11</f>
        <v/>
      </c>
      <c r="K8" s="24">
        <f>Debt!K11</f>
        <v/>
      </c>
      <c r="L8" s="24">
        <f>Debt!L11</f>
        <v/>
      </c>
      <c r="M8" s="24">
        <f>Debt!M11</f>
        <v/>
      </c>
      <c r="N8" s="24">
        <f>Debt!N11</f>
        <v/>
      </c>
      <c r="O8" s="24">
        <f>Debt!O11</f>
        <v/>
      </c>
      <c r="P8" s="24">
        <f>Debt!P11</f>
        <v/>
      </c>
      <c r="Q8" s="24">
        <f>Debt!Q11</f>
        <v/>
      </c>
      <c r="R8" s="24">
        <f>Debt!R11</f>
        <v/>
      </c>
      <c r="S8" s="24">
        <f>Debt!S11</f>
        <v/>
      </c>
      <c r="T8" s="24">
        <f>Debt!T11</f>
        <v/>
      </c>
      <c r="U8" s="24">
        <f>Debt!U11</f>
        <v/>
      </c>
      <c r="V8" s="24">
        <f>Debt!V11</f>
        <v/>
      </c>
      <c r="W8" s="24">
        <f>Debt!W11</f>
        <v/>
      </c>
      <c r="X8" s="24">
        <f>Debt!X11</f>
        <v/>
      </c>
      <c r="Y8" s="24">
        <f>Debt!Y11</f>
        <v/>
      </c>
      <c r="Z8" s="24">
        <f>Debt!Z11</f>
        <v/>
      </c>
      <c r="AA8" s="24">
        <f>Debt!AA11</f>
        <v/>
      </c>
      <c r="AB8" s="24">
        <f>Debt!AB11</f>
        <v/>
      </c>
      <c r="AC8" s="24">
        <f>Debt!AC11</f>
        <v/>
      </c>
      <c r="AD8" s="24">
        <f>Debt!AD11</f>
        <v/>
      </c>
      <c r="AE8" s="24">
        <f>Debt!AE11</f>
        <v/>
      </c>
      <c r="AF8" s="24">
        <f>Debt!AF11</f>
        <v/>
      </c>
      <c r="AG8" s="24">
        <f>Debt!AG11</f>
        <v/>
      </c>
      <c r="AH8" s="24">
        <f>Debt!AH11</f>
        <v/>
      </c>
      <c r="AI8" s="24">
        <f>Debt!AI11</f>
        <v/>
      </c>
      <c r="AJ8" s="24">
        <f>Debt!AJ11</f>
        <v/>
      </c>
      <c r="AK8" s="24">
        <f>Debt!AK11</f>
        <v/>
      </c>
      <c r="AL8" s="24">
        <f>Debt!AL11</f>
        <v/>
      </c>
      <c r="AM8" s="24">
        <f>Debt!AM11</f>
        <v/>
      </c>
      <c r="AN8" s="24">
        <f>Debt!AN11</f>
        <v/>
      </c>
      <c r="AO8" s="24">
        <f>Debt!AO11</f>
        <v/>
      </c>
      <c r="AP8" s="24">
        <f>Debt!AP11</f>
        <v/>
      </c>
      <c r="AQ8" s="24">
        <f>Debt!AQ11</f>
        <v/>
      </c>
      <c r="AR8" s="24">
        <f>Debt!AR11</f>
        <v/>
      </c>
      <c r="AS8" s="24">
        <f>Debt!AS11</f>
        <v/>
      </c>
      <c r="AT8" s="24">
        <f>Debt!AT11</f>
        <v/>
      </c>
      <c r="AU8" s="24">
        <f>Debt!AU11</f>
        <v/>
      </c>
      <c r="AV8" s="24">
        <f>Debt!AV11</f>
        <v/>
      </c>
      <c r="AW8" s="24">
        <f>Debt!AW11</f>
        <v/>
      </c>
    </row>
    <row r="9">
      <c r="D9" t="inlineStr">
        <is>
          <t>DSCR, period</t>
        </is>
      </c>
      <c r="E9" t="inlineStr">
        <is>
          <t>x</t>
        </is>
      </c>
      <c r="J9" s="25">
        <f>IF(J8&gt;Inputs!$F$58,J7/J8,0)</f>
        <v/>
      </c>
      <c r="K9" s="25">
        <f>IF(K8&gt;Inputs!$F$58,K7/K8,0)</f>
        <v/>
      </c>
      <c r="L9" s="25">
        <f>IF(L8&gt;Inputs!$F$58,L7/L8,0)</f>
        <v/>
      </c>
      <c r="M9" s="25">
        <f>IF(M8&gt;Inputs!$F$58,M7/M8,0)</f>
        <v/>
      </c>
      <c r="N9" s="25">
        <f>IF(N8&gt;Inputs!$F$58,N7/N8,0)</f>
        <v/>
      </c>
      <c r="O9" s="25">
        <f>IF(O8&gt;Inputs!$F$58,O7/O8,0)</f>
        <v/>
      </c>
      <c r="P9" s="25">
        <f>IF(P8&gt;Inputs!$F$58,P7/P8,0)</f>
        <v/>
      </c>
      <c r="Q9" s="25">
        <f>IF(Q8&gt;Inputs!$F$58,Q7/Q8,0)</f>
        <v/>
      </c>
      <c r="R9" s="25">
        <f>IF(R8&gt;Inputs!$F$58,R7/R8,0)</f>
        <v/>
      </c>
      <c r="S9" s="25">
        <f>IF(S8&gt;Inputs!$F$58,S7/S8,0)</f>
        <v/>
      </c>
      <c r="T9" s="25">
        <f>IF(T8&gt;Inputs!$F$58,T7/T8,0)</f>
        <v/>
      </c>
      <c r="U9" s="25">
        <f>IF(U8&gt;Inputs!$F$58,U7/U8,0)</f>
        <v/>
      </c>
      <c r="V9" s="25">
        <f>IF(V8&gt;Inputs!$F$58,V7/V8,0)</f>
        <v/>
      </c>
      <c r="W9" s="25">
        <f>IF(W8&gt;Inputs!$F$58,W7/W8,0)</f>
        <v/>
      </c>
      <c r="X9" s="25">
        <f>IF(X8&gt;Inputs!$F$58,X7/X8,0)</f>
        <v/>
      </c>
      <c r="Y9" s="25">
        <f>IF(Y8&gt;Inputs!$F$58,Y7/Y8,0)</f>
        <v/>
      </c>
      <c r="Z9" s="25">
        <f>IF(Z8&gt;Inputs!$F$58,Z7/Z8,0)</f>
        <v/>
      </c>
      <c r="AA9" s="25">
        <f>IF(AA8&gt;Inputs!$F$58,AA7/AA8,0)</f>
        <v/>
      </c>
      <c r="AB9" s="25">
        <f>IF(AB8&gt;Inputs!$F$58,AB7/AB8,0)</f>
        <v/>
      </c>
      <c r="AC9" s="25">
        <f>IF(AC8&gt;Inputs!$F$58,AC7/AC8,0)</f>
        <v/>
      </c>
      <c r="AD9" s="25">
        <f>IF(AD8&gt;Inputs!$F$58,AD7/AD8,0)</f>
        <v/>
      </c>
      <c r="AE9" s="25">
        <f>IF(AE8&gt;Inputs!$F$58,AE7/AE8,0)</f>
        <v/>
      </c>
      <c r="AF9" s="25">
        <f>IF(AF8&gt;Inputs!$F$58,AF7/AF8,0)</f>
        <v/>
      </c>
      <c r="AG9" s="25">
        <f>IF(AG8&gt;Inputs!$F$58,AG7/AG8,0)</f>
        <v/>
      </c>
      <c r="AH9" s="25">
        <f>IF(AH8&gt;Inputs!$F$58,AH7/AH8,0)</f>
        <v/>
      </c>
      <c r="AI9" s="25">
        <f>IF(AI8&gt;Inputs!$F$58,AI7/AI8,0)</f>
        <v/>
      </c>
      <c r="AJ9" s="25">
        <f>IF(AJ8&gt;Inputs!$F$58,AJ7/AJ8,0)</f>
        <v/>
      </c>
      <c r="AK9" s="25">
        <f>IF(AK8&gt;Inputs!$F$58,AK7/AK8,0)</f>
        <v/>
      </c>
      <c r="AL9" s="25">
        <f>IF(AL8&gt;Inputs!$F$58,AL7/AL8,0)</f>
        <v/>
      </c>
      <c r="AM9" s="25">
        <f>IF(AM8&gt;Inputs!$F$58,AM7/AM8,0)</f>
        <v/>
      </c>
      <c r="AN9" s="25">
        <f>IF(AN8&gt;Inputs!$F$58,AN7/AN8,0)</f>
        <v/>
      </c>
      <c r="AO9" s="25">
        <f>IF(AO8&gt;Inputs!$F$58,AO7/AO8,0)</f>
        <v/>
      </c>
      <c r="AP9" s="25">
        <f>IF(AP8&gt;Inputs!$F$58,AP7/AP8,0)</f>
        <v/>
      </c>
      <c r="AQ9" s="25">
        <f>IF(AQ8&gt;Inputs!$F$58,AQ7/AQ8,0)</f>
        <v/>
      </c>
      <c r="AR9" s="25">
        <f>IF(AR8&gt;Inputs!$F$58,AR7/AR8,0)</f>
        <v/>
      </c>
      <c r="AS9" s="25">
        <f>IF(AS8&gt;Inputs!$F$58,AS7/AS8,0)</f>
        <v/>
      </c>
      <c r="AT9" s="25">
        <f>IF(AT8&gt;Inputs!$F$58,AT7/AT8,0)</f>
        <v/>
      </c>
      <c r="AU9" s="25">
        <f>IF(AU8&gt;Inputs!$F$58,AU7/AU8,0)</f>
        <v/>
      </c>
      <c r="AV9" s="25">
        <f>IF(AV8&gt;Inputs!$F$58,AV7/AV8,0)</f>
        <v/>
      </c>
      <c r="AW9" s="25">
        <f>IF(AW8&gt;Inputs!$F$58,AW7/AW8,0)</f>
        <v/>
      </c>
    </row>
    <row r="10">
      <c r="D10" t="inlineStr">
        <is>
          <t>DSCR, historic 12 months (this and the previous half-year)</t>
        </is>
      </c>
      <c r="E10" t="inlineStr">
        <is>
          <t>x</t>
        </is>
      </c>
      <c r="J10" s="25">
        <f>IF(J8&gt;Inputs!$F$58,(J7+I7)/(J8+I8),0)</f>
        <v/>
      </c>
      <c r="K10" s="25">
        <f>IF(K8&gt;Inputs!$F$58,(K7+J7)/(K8+J8),0)</f>
        <v/>
      </c>
      <c r="L10" s="25">
        <f>IF(L8&gt;Inputs!$F$58,(L7+K7)/(L8+K8),0)</f>
        <v/>
      </c>
      <c r="M10" s="25">
        <f>IF(M8&gt;Inputs!$F$58,(M7+L7)/(M8+L8),0)</f>
        <v/>
      </c>
      <c r="N10" s="25">
        <f>IF(N8&gt;Inputs!$F$58,(N7+M7)/(N8+M8),0)</f>
        <v/>
      </c>
      <c r="O10" s="25">
        <f>IF(O8&gt;Inputs!$F$58,(O7+N7)/(O8+N8),0)</f>
        <v/>
      </c>
      <c r="P10" s="25">
        <f>IF(P8&gt;Inputs!$F$58,(P7+O7)/(P8+O8),0)</f>
        <v/>
      </c>
      <c r="Q10" s="25">
        <f>IF(Q8&gt;Inputs!$F$58,(Q7+P7)/(Q8+P8),0)</f>
        <v/>
      </c>
      <c r="R10" s="25">
        <f>IF(R8&gt;Inputs!$F$58,(R7+Q7)/(R8+Q8),0)</f>
        <v/>
      </c>
      <c r="S10" s="25">
        <f>IF(S8&gt;Inputs!$F$58,(S7+R7)/(S8+R8),0)</f>
        <v/>
      </c>
      <c r="T10" s="25">
        <f>IF(T8&gt;Inputs!$F$58,(T7+S7)/(T8+S8),0)</f>
        <v/>
      </c>
      <c r="U10" s="25">
        <f>IF(U8&gt;Inputs!$F$58,(U7+T7)/(U8+T8),0)</f>
        <v/>
      </c>
      <c r="V10" s="25">
        <f>IF(V8&gt;Inputs!$F$58,(V7+U7)/(V8+U8),0)</f>
        <v/>
      </c>
      <c r="W10" s="25">
        <f>IF(W8&gt;Inputs!$F$58,(W7+V7)/(W8+V8),0)</f>
        <v/>
      </c>
      <c r="X10" s="25">
        <f>IF(X8&gt;Inputs!$F$58,(X7+W7)/(X8+W8),0)</f>
        <v/>
      </c>
      <c r="Y10" s="25">
        <f>IF(Y8&gt;Inputs!$F$58,(Y7+X7)/(Y8+X8),0)</f>
        <v/>
      </c>
      <c r="Z10" s="25">
        <f>IF(Z8&gt;Inputs!$F$58,(Z7+Y7)/(Z8+Y8),0)</f>
        <v/>
      </c>
      <c r="AA10" s="25">
        <f>IF(AA8&gt;Inputs!$F$58,(AA7+Z7)/(AA8+Z8),0)</f>
        <v/>
      </c>
      <c r="AB10" s="25">
        <f>IF(AB8&gt;Inputs!$F$58,(AB7+AA7)/(AB8+AA8),0)</f>
        <v/>
      </c>
      <c r="AC10" s="25">
        <f>IF(AC8&gt;Inputs!$F$58,(AC7+AB7)/(AC8+AB8),0)</f>
        <v/>
      </c>
      <c r="AD10" s="25">
        <f>IF(AD8&gt;Inputs!$F$58,(AD7+AC7)/(AD8+AC8),0)</f>
        <v/>
      </c>
      <c r="AE10" s="25">
        <f>IF(AE8&gt;Inputs!$F$58,(AE7+AD7)/(AE8+AD8),0)</f>
        <v/>
      </c>
      <c r="AF10" s="25">
        <f>IF(AF8&gt;Inputs!$F$58,(AF7+AE7)/(AF8+AE8),0)</f>
        <v/>
      </c>
      <c r="AG10" s="25">
        <f>IF(AG8&gt;Inputs!$F$58,(AG7+AF7)/(AG8+AF8),0)</f>
        <v/>
      </c>
      <c r="AH10" s="25">
        <f>IF(AH8&gt;Inputs!$F$58,(AH7+AG7)/(AH8+AG8),0)</f>
        <v/>
      </c>
      <c r="AI10" s="25">
        <f>IF(AI8&gt;Inputs!$F$58,(AI7+AH7)/(AI8+AH8),0)</f>
        <v/>
      </c>
      <c r="AJ10" s="25">
        <f>IF(AJ8&gt;Inputs!$F$58,(AJ7+AI7)/(AJ8+AI8),0)</f>
        <v/>
      </c>
      <c r="AK10" s="25">
        <f>IF(AK8&gt;Inputs!$F$58,(AK7+AJ7)/(AK8+AJ8),0)</f>
        <v/>
      </c>
      <c r="AL10" s="25">
        <f>IF(AL8&gt;Inputs!$F$58,(AL7+AK7)/(AL8+AK8),0)</f>
        <v/>
      </c>
      <c r="AM10" s="25">
        <f>IF(AM8&gt;Inputs!$F$58,(AM7+AL7)/(AM8+AL8),0)</f>
        <v/>
      </c>
      <c r="AN10" s="25">
        <f>IF(AN8&gt;Inputs!$F$58,(AN7+AM7)/(AN8+AM8),0)</f>
        <v/>
      </c>
      <c r="AO10" s="25">
        <f>IF(AO8&gt;Inputs!$F$58,(AO7+AN7)/(AO8+AN8),0)</f>
        <v/>
      </c>
      <c r="AP10" s="25">
        <f>IF(AP8&gt;Inputs!$F$58,(AP7+AO7)/(AP8+AO8),0)</f>
        <v/>
      </c>
      <c r="AQ10" s="25">
        <f>IF(AQ8&gt;Inputs!$F$58,(AQ7+AP7)/(AQ8+AP8),0)</f>
        <v/>
      </c>
      <c r="AR10" s="25">
        <f>IF(AR8&gt;Inputs!$F$58,(AR7+AQ7)/(AR8+AQ8),0)</f>
        <v/>
      </c>
      <c r="AS10" s="25">
        <f>IF(AS8&gt;Inputs!$F$58,(AS7+AR7)/(AS8+AR8),0)</f>
        <v/>
      </c>
      <c r="AT10" s="25">
        <f>IF(AT8&gt;Inputs!$F$58,(AT7+AS7)/(AT8+AS8),0)</f>
        <v/>
      </c>
      <c r="AU10" s="25">
        <f>IF(AU8&gt;Inputs!$F$58,(AU7+AT7)/(AU8+AT8),0)</f>
        <v/>
      </c>
      <c r="AV10" s="25">
        <f>IF(AV8&gt;Inputs!$F$58,(AV7+AU7)/(AV8+AU8),0)</f>
        <v/>
      </c>
      <c r="AW10" s="25">
        <f>IF(AW8&gt;Inputs!$F$58,(AW7+AV7)/(AW8+AV8),0)</f>
        <v/>
      </c>
    </row>
    <row r="11">
      <c r="D11" t="inlineStr">
        <is>
          <t>DSRA opening</t>
        </is>
      </c>
      <c r="E11" t="inlineStr">
        <is>
          <t>USD m</t>
        </is>
      </c>
      <c r="J11" s="20">
        <f>IF(Operations!J8=1,SUM(Construction!$J$21:$U$21),I14)</f>
        <v/>
      </c>
      <c r="K11" s="20">
        <f>IF(Operations!K8=1,SUM(Construction!$J$21:$U$21),J14)</f>
        <v/>
      </c>
      <c r="L11" s="20">
        <f>IF(Operations!L8=1,SUM(Construction!$J$21:$U$21),K14)</f>
        <v/>
      </c>
      <c r="M11" s="20">
        <f>IF(Operations!M8=1,SUM(Construction!$J$21:$U$21),L14)</f>
        <v/>
      </c>
      <c r="N11" s="20">
        <f>IF(Operations!N8=1,SUM(Construction!$J$21:$U$21),M14)</f>
        <v/>
      </c>
      <c r="O11" s="20">
        <f>IF(Operations!O8=1,SUM(Construction!$J$21:$U$21),N14)</f>
        <v/>
      </c>
      <c r="P11" s="20">
        <f>IF(Operations!P8=1,SUM(Construction!$J$21:$U$21),O14)</f>
        <v/>
      </c>
      <c r="Q11" s="20">
        <f>IF(Operations!Q8=1,SUM(Construction!$J$21:$U$21),P14)</f>
        <v/>
      </c>
      <c r="R11" s="20">
        <f>IF(Operations!R8=1,SUM(Construction!$J$21:$U$21),Q14)</f>
        <v/>
      </c>
      <c r="S11" s="20">
        <f>IF(Operations!S8=1,SUM(Construction!$J$21:$U$21),R14)</f>
        <v/>
      </c>
      <c r="T11" s="20">
        <f>IF(Operations!T8=1,SUM(Construction!$J$21:$U$21),S14)</f>
        <v/>
      </c>
      <c r="U11" s="20">
        <f>IF(Operations!U8=1,SUM(Construction!$J$21:$U$21),T14)</f>
        <v/>
      </c>
      <c r="V11" s="20">
        <f>IF(Operations!V8=1,SUM(Construction!$J$21:$U$21),U14)</f>
        <v/>
      </c>
      <c r="W11" s="20">
        <f>IF(Operations!W8=1,SUM(Construction!$J$21:$U$21),V14)</f>
        <v/>
      </c>
      <c r="X11" s="20">
        <f>IF(Operations!X8=1,SUM(Construction!$J$21:$U$21),W14)</f>
        <v/>
      </c>
      <c r="Y11" s="20">
        <f>IF(Operations!Y8=1,SUM(Construction!$J$21:$U$21),X14)</f>
        <v/>
      </c>
      <c r="Z11" s="20">
        <f>IF(Operations!Z8=1,SUM(Construction!$J$21:$U$21),Y14)</f>
        <v/>
      </c>
      <c r="AA11" s="20">
        <f>IF(Operations!AA8=1,SUM(Construction!$J$21:$U$21),Z14)</f>
        <v/>
      </c>
      <c r="AB11" s="20">
        <f>IF(Operations!AB8=1,SUM(Construction!$J$21:$U$21),AA14)</f>
        <v/>
      </c>
      <c r="AC11" s="20">
        <f>IF(Operations!AC8=1,SUM(Construction!$J$21:$U$21),AB14)</f>
        <v/>
      </c>
      <c r="AD11" s="20">
        <f>IF(Operations!AD8=1,SUM(Construction!$J$21:$U$21),AC14)</f>
        <v/>
      </c>
      <c r="AE11" s="20">
        <f>IF(Operations!AE8=1,SUM(Construction!$J$21:$U$21),AD14)</f>
        <v/>
      </c>
      <c r="AF11" s="20">
        <f>IF(Operations!AF8=1,SUM(Construction!$J$21:$U$21),AE14)</f>
        <v/>
      </c>
      <c r="AG11" s="20">
        <f>IF(Operations!AG8=1,SUM(Construction!$J$21:$U$21),AF14)</f>
        <v/>
      </c>
      <c r="AH11" s="20">
        <f>IF(Operations!AH8=1,SUM(Construction!$J$21:$U$21),AG14)</f>
        <v/>
      </c>
      <c r="AI11" s="20">
        <f>IF(Operations!AI8=1,SUM(Construction!$J$21:$U$21),AH14)</f>
        <v/>
      </c>
      <c r="AJ11" s="20">
        <f>IF(Operations!AJ8=1,SUM(Construction!$J$21:$U$21),AI14)</f>
        <v/>
      </c>
      <c r="AK11" s="20">
        <f>IF(Operations!AK8=1,SUM(Construction!$J$21:$U$21),AJ14)</f>
        <v/>
      </c>
      <c r="AL11" s="20">
        <f>IF(Operations!AL8=1,SUM(Construction!$J$21:$U$21),AK14)</f>
        <v/>
      </c>
      <c r="AM11" s="20">
        <f>IF(Operations!AM8=1,SUM(Construction!$J$21:$U$21),AL14)</f>
        <v/>
      </c>
      <c r="AN11" s="20">
        <f>IF(Operations!AN8=1,SUM(Construction!$J$21:$U$21),AM14)</f>
        <v/>
      </c>
      <c r="AO11" s="20">
        <f>IF(Operations!AO8=1,SUM(Construction!$J$21:$U$21),AN14)</f>
        <v/>
      </c>
      <c r="AP11" s="20">
        <f>IF(Operations!AP8=1,SUM(Construction!$J$21:$U$21),AO14)</f>
        <v/>
      </c>
      <c r="AQ11" s="20">
        <f>IF(Operations!AQ8=1,SUM(Construction!$J$21:$U$21),AP14)</f>
        <v/>
      </c>
      <c r="AR11" s="20">
        <f>IF(Operations!AR8=1,SUM(Construction!$J$21:$U$21),AQ14)</f>
        <v/>
      </c>
      <c r="AS11" s="20">
        <f>IF(Operations!AS8=1,SUM(Construction!$J$21:$U$21),AR14)</f>
        <v/>
      </c>
      <c r="AT11" s="20">
        <f>IF(Operations!AT8=1,SUM(Construction!$J$21:$U$21),AS14)</f>
        <v/>
      </c>
      <c r="AU11" s="20">
        <f>IF(Operations!AU8=1,SUM(Construction!$J$21:$U$21),AT14)</f>
        <v/>
      </c>
      <c r="AV11" s="20">
        <f>IF(Operations!AV8=1,SUM(Construction!$J$21:$U$21),AU14)</f>
        <v/>
      </c>
      <c r="AW11" s="20">
        <f>IF(Operations!AW8=1,SUM(Construction!$J$21:$U$21),AV14)</f>
        <v/>
      </c>
    </row>
    <row r="12">
      <c r="D12" t="inlineStr">
        <is>
          <t>DSRA target (next half-year debt service; nil after final maturity)</t>
        </is>
      </c>
      <c r="E12" t="inlineStr">
        <is>
          <t>USD m</t>
        </is>
      </c>
      <c r="J12" s="20">
        <f>K8</f>
        <v/>
      </c>
      <c r="K12" s="20">
        <f>L8</f>
        <v/>
      </c>
      <c r="L12" s="20">
        <f>M8</f>
        <v/>
      </c>
      <c r="M12" s="20">
        <f>N8</f>
        <v/>
      </c>
      <c r="N12" s="20">
        <f>O8</f>
        <v/>
      </c>
      <c r="O12" s="20">
        <f>P8</f>
        <v/>
      </c>
      <c r="P12" s="20">
        <f>Q8</f>
        <v/>
      </c>
      <c r="Q12" s="20">
        <f>R8</f>
        <v/>
      </c>
      <c r="R12" s="20">
        <f>S8</f>
        <v/>
      </c>
      <c r="S12" s="20">
        <f>T8</f>
        <v/>
      </c>
      <c r="T12" s="20">
        <f>U8</f>
        <v/>
      </c>
      <c r="U12" s="20">
        <f>V8</f>
        <v/>
      </c>
      <c r="V12" s="20">
        <f>W8</f>
        <v/>
      </c>
      <c r="W12" s="20">
        <f>X8</f>
        <v/>
      </c>
      <c r="X12" s="20">
        <f>Y8</f>
        <v/>
      </c>
      <c r="Y12" s="20">
        <f>Z8</f>
        <v/>
      </c>
      <c r="Z12" s="20">
        <f>AA8</f>
        <v/>
      </c>
      <c r="AA12" s="20">
        <f>AB8</f>
        <v/>
      </c>
      <c r="AB12" s="20">
        <f>AC8</f>
        <v/>
      </c>
      <c r="AC12" s="20">
        <f>AD8</f>
        <v/>
      </c>
      <c r="AD12" s="20">
        <f>AE8</f>
        <v/>
      </c>
      <c r="AE12" s="20">
        <f>AF8</f>
        <v/>
      </c>
      <c r="AF12" s="20">
        <f>AG8</f>
        <v/>
      </c>
      <c r="AG12" s="20">
        <f>AH8</f>
        <v/>
      </c>
      <c r="AH12" s="20">
        <f>AI8</f>
        <v/>
      </c>
      <c r="AI12" s="20">
        <f>AJ8</f>
        <v/>
      </c>
      <c r="AJ12" s="20">
        <f>AK8</f>
        <v/>
      </c>
      <c r="AK12" s="20">
        <f>AL8</f>
        <v/>
      </c>
      <c r="AL12" s="20">
        <f>AM8</f>
        <v/>
      </c>
      <c r="AM12" s="20">
        <f>AN8</f>
        <v/>
      </c>
      <c r="AN12" s="20">
        <f>AO8</f>
        <v/>
      </c>
      <c r="AO12" s="20">
        <f>AP8</f>
        <v/>
      </c>
      <c r="AP12" s="20">
        <f>AQ8</f>
        <v/>
      </c>
      <c r="AQ12" s="20">
        <f>AR8</f>
        <v/>
      </c>
      <c r="AR12" s="20">
        <f>AS8</f>
        <v/>
      </c>
      <c r="AS12" s="20">
        <f>AT8</f>
        <v/>
      </c>
      <c r="AT12" s="20">
        <f>AU8</f>
        <v/>
      </c>
      <c r="AU12" s="20">
        <f>AV8</f>
        <v/>
      </c>
      <c r="AV12" s="20">
        <f>AW8</f>
        <v/>
      </c>
      <c r="AW12" s="20">
        <f>AX8</f>
        <v/>
      </c>
    </row>
    <row r="13">
      <c r="D13" t="inlineStr">
        <is>
          <t>DSRA release (+) or top-up (-)</t>
        </is>
      </c>
      <c r="E13" t="inlineStr">
        <is>
          <t>USD m</t>
        </is>
      </c>
      <c r="G13" s="20">
        <f>SUM(J13:AW13)</f>
        <v/>
      </c>
      <c r="J13" s="20">
        <f>J11-J12</f>
        <v/>
      </c>
      <c r="K13" s="20">
        <f>K11-K12</f>
        <v/>
      </c>
      <c r="L13" s="20">
        <f>L11-L12</f>
        <v/>
      </c>
      <c r="M13" s="20">
        <f>M11-M12</f>
        <v/>
      </c>
      <c r="N13" s="20">
        <f>N11-N12</f>
        <v/>
      </c>
      <c r="O13" s="20">
        <f>O11-O12</f>
        <v/>
      </c>
      <c r="P13" s="20">
        <f>P11-P12</f>
        <v/>
      </c>
      <c r="Q13" s="20">
        <f>Q11-Q12</f>
        <v/>
      </c>
      <c r="R13" s="20">
        <f>R11-R12</f>
        <v/>
      </c>
      <c r="S13" s="20">
        <f>S11-S12</f>
        <v/>
      </c>
      <c r="T13" s="20">
        <f>T11-T12</f>
        <v/>
      </c>
      <c r="U13" s="20">
        <f>U11-U12</f>
        <v/>
      </c>
      <c r="V13" s="20">
        <f>V11-V12</f>
        <v/>
      </c>
      <c r="W13" s="20">
        <f>W11-W12</f>
        <v/>
      </c>
      <c r="X13" s="20">
        <f>X11-X12</f>
        <v/>
      </c>
      <c r="Y13" s="20">
        <f>Y11-Y12</f>
        <v/>
      </c>
      <c r="Z13" s="20">
        <f>Z11-Z12</f>
        <v/>
      </c>
      <c r="AA13" s="20">
        <f>AA11-AA12</f>
        <v/>
      </c>
      <c r="AB13" s="20">
        <f>AB11-AB12</f>
        <v/>
      </c>
      <c r="AC13" s="20">
        <f>AC11-AC12</f>
        <v/>
      </c>
      <c r="AD13" s="20">
        <f>AD11-AD12</f>
        <v/>
      </c>
      <c r="AE13" s="20">
        <f>AE11-AE12</f>
        <v/>
      </c>
      <c r="AF13" s="20">
        <f>AF11-AF12</f>
        <v/>
      </c>
      <c r="AG13" s="20">
        <f>AG11-AG12</f>
        <v/>
      </c>
      <c r="AH13" s="20">
        <f>AH11-AH12</f>
        <v/>
      </c>
      <c r="AI13" s="20">
        <f>AI11-AI12</f>
        <v/>
      </c>
      <c r="AJ13" s="20">
        <f>AJ11-AJ12</f>
        <v/>
      </c>
      <c r="AK13" s="20">
        <f>AK11-AK12</f>
        <v/>
      </c>
      <c r="AL13" s="20">
        <f>AL11-AL12</f>
        <v/>
      </c>
      <c r="AM13" s="20">
        <f>AM11-AM12</f>
        <v/>
      </c>
      <c r="AN13" s="20">
        <f>AN11-AN12</f>
        <v/>
      </c>
      <c r="AO13" s="20">
        <f>AO11-AO12</f>
        <v/>
      </c>
      <c r="AP13" s="20">
        <f>AP11-AP12</f>
        <v/>
      </c>
      <c r="AQ13" s="20">
        <f>AQ11-AQ12</f>
        <v/>
      </c>
      <c r="AR13" s="20">
        <f>AR11-AR12</f>
        <v/>
      </c>
      <c r="AS13" s="20">
        <f>AS11-AS12</f>
        <v/>
      </c>
      <c r="AT13" s="20">
        <f>AT11-AT12</f>
        <v/>
      </c>
      <c r="AU13" s="20">
        <f>AU11-AU12</f>
        <v/>
      </c>
      <c r="AV13" s="20">
        <f>AV11-AV12</f>
        <v/>
      </c>
      <c r="AW13" s="20">
        <f>AW11-AW12</f>
        <v/>
      </c>
    </row>
    <row r="14">
      <c r="D14" t="inlineStr">
        <is>
          <t>DSRA closing</t>
        </is>
      </c>
      <c r="E14" t="inlineStr">
        <is>
          <t>USD m</t>
        </is>
      </c>
      <c r="J14" s="20">
        <f>J12</f>
        <v/>
      </c>
      <c r="K14" s="20">
        <f>K12</f>
        <v/>
      </c>
      <c r="L14" s="20">
        <f>L12</f>
        <v/>
      </c>
      <c r="M14" s="20">
        <f>M12</f>
        <v/>
      </c>
      <c r="N14" s="20">
        <f>N12</f>
        <v/>
      </c>
      <c r="O14" s="20">
        <f>O12</f>
        <v/>
      </c>
      <c r="P14" s="20">
        <f>P12</f>
        <v/>
      </c>
      <c r="Q14" s="20">
        <f>Q12</f>
        <v/>
      </c>
      <c r="R14" s="20">
        <f>R12</f>
        <v/>
      </c>
      <c r="S14" s="20">
        <f>S12</f>
        <v/>
      </c>
      <c r="T14" s="20">
        <f>T12</f>
        <v/>
      </c>
      <c r="U14" s="20">
        <f>U12</f>
        <v/>
      </c>
      <c r="V14" s="20">
        <f>V12</f>
        <v/>
      </c>
      <c r="W14" s="20">
        <f>W12</f>
        <v/>
      </c>
      <c r="X14" s="20">
        <f>X12</f>
        <v/>
      </c>
      <c r="Y14" s="20">
        <f>Y12</f>
        <v/>
      </c>
      <c r="Z14" s="20">
        <f>Z12</f>
        <v/>
      </c>
      <c r="AA14" s="20">
        <f>AA12</f>
        <v/>
      </c>
      <c r="AB14" s="20">
        <f>AB12</f>
        <v/>
      </c>
      <c r="AC14" s="20">
        <f>AC12</f>
        <v/>
      </c>
      <c r="AD14" s="20">
        <f>AD12</f>
        <v/>
      </c>
      <c r="AE14" s="20">
        <f>AE12</f>
        <v/>
      </c>
      <c r="AF14" s="20">
        <f>AF12</f>
        <v/>
      </c>
      <c r="AG14" s="20">
        <f>AG12</f>
        <v/>
      </c>
      <c r="AH14" s="20">
        <f>AH12</f>
        <v/>
      </c>
      <c r="AI14" s="20">
        <f>AI12</f>
        <v/>
      </c>
      <c r="AJ14" s="20">
        <f>AJ12</f>
        <v/>
      </c>
      <c r="AK14" s="20">
        <f>AK12</f>
        <v/>
      </c>
      <c r="AL14" s="20">
        <f>AL12</f>
        <v/>
      </c>
      <c r="AM14" s="20">
        <f>AM12</f>
        <v/>
      </c>
      <c r="AN14" s="20">
        <f>AN12</f>
        <v/>
      </c>
      <c r="AO14" s="20">
        <f>AO12</f>
        <v/>
      </c>
      <c r="AP14" s="20">
        <f>AP12</f>
        <v/>
      </c>
      <c r="AQ14" s="20">
        <f>AQ12</f>
        <v/>
      </c>
      <c r="AR14" s="20">
        <f>AR12</f>
        <v/>
      </c>
      <c r="AS14" s="20">
        <f>AS12</f>
        <v/>
      </c>
      <c r="AT14" s="20">
        <f>AT12</f>
        <v/>
      </c>
      <c r="AU14" s="20">
        <f>AU12</f>
        <v/>
      </c>
      <c r="AV14" s="20">
        <f>AV12</f>
        <v/>
      </c>
      <c r="AW14" s="20">
        <f>AW12</f>
        <v/>
      </c>
    </row>
    <row r="15">
      <c r="D15" t="inlineStr">
        <is>
          <t>Cash available for distribution (incl. locked-up cash brought forward)</t>
        </is>
      </c>
      <c r="E15" t="inlineStr">
        <is>
          <t>USD m</t>
        </is>
      </c>
      <c r="J15" s="20">
        <f>J7-J8+J13+I18</f>
        <v/>
      </c>
      <c r="K15" s="20">
        <f>K7-K8+K13+J18</f>
        <v/>
      </c>
      <c r="L15" s="20">
        <f>L7-L8+L13+K18</f>
        <v/>
      </c>
      <c r="M15" s="20">
        <f>M7-M8+M13+L18</f>
        <v/>
      </c>
      <c r="N15" s="20">
        <f>N7-N8+N13+M18</f>
        <v/>
      </c>
      <c r="O15" s="20">
        <f>O7-O8+O13+N18</f>
        <v/>
      </c>
      <c r="P15" s="20">
        <f>P7-P8+P13+O18</f>
        <v/>
      </c>
      <c r="Q15" s="20">
        <f>Q7-Q8+Q13+P18</f>
        <v/>
      </c>
      <c r="R15" s="20">
        <f>R7-R8+R13+Q18</f>
        <v/>
      </c>
      <c r="S15" s="20">
        <f>S7-S8+S13+R18</f>
        <v/>
      </c>
      <c r="T15" s="20">
        <f>T7-T8+T13+S18</f>
        <v/>
      </c>
      <c r="U15" s="20">
        <f>U7-U8+U13+T18</f>
        <v/>
      </c>
      <c r="V15" s="20">
        <f>V7-V8+V13+U18</f>
        <v/>
      </c>
      <c r="W15" s="20">
        <f>W7-W8+W13+V18</f>
        <v/>
      </c>
      <c r="X15" s="20">
        <f>X7-X8+X13+W18</f>
        <v/>
      </c>
      <c r="Y15" s="20">
        <f>Y7-Y8+Y13+X18</f>
        <v/>
      </c>
      <c r="Z15" s="20">
        <f>Z7-Z8+Z13+Y18</f>
        <v/>
      </c>
      <c r="AA15" s="20">
        <f>AA7-AA8+AA13+Z18</f>
        <v/>
      </c>
      <c r="AB15" s="20">
        <f>AB7-AB8+AB13+AA18</f>
        <v/>
      </c>
      <c r="AC15" s="20">
        <f>AC7-AC8+AC13+AB18</f>
        <v/>
      </c>
      <c r="AD15" s="20">
        <f>AD7-AD8+AD13+AC18</f>
        <v/>
      </c>
      <c r="AE15" s="20">
        <f>AE7-AE8+AE13+AD18</f>
        <v/>
      </c>
      <c r="AF15" s="20">
        <f>AF7-AF8+AF13+AE18</f>
        <v/>
      </c>
      <c r="AG15" s="20">
        <f>AG7-AG8+AG13+AF18</f>
        <v/>
      </c>
      <c r="AH15" s="20">
        <f>AH7-AH8+AH13+AG18</f>
        <v/>
      </c>
      <c r="AI15" s="20">
        <f>AI7-AI8+AI13+AH18</f>
        <v/>
      </c>
      <c r="AJ15" s="20">
        <f>AJ7-AJ8+AJ13+AI18</f>
        <v/>
      </c>
      <c r="AK15" s="20">
        <f>AK7-AK8+AK13+AJ18</f>
        <v/>
      </c>
      <c r="AL15" s="20">
        <f>AL7-AL8+AL13+AK18</f>
        <v/>
      </c>
      <c r="AM15" s="20">
        <f>AM7-AM8+AM13+AL18</f>
        <v/>
      </c>
      <c r="AN15" s="20">
        <f>AN7-AN8+AN13+AM18</f>
        <v/>
      </c>
      <c r="AO15" s="20">
        <f>AO7-AO8+AO13+AN18</f>
        <v/>
      </c>
      <c r="AP15" s="20">
        <f>AP7-AP8+AP13+AO18</f>
        <v/>
      </c>
      <c r="AQ15" s="20">
        <f>AQ7-AQ8+AQ13+AP18</f>
        <v/>
      </c>
      <c r="AR15" s="20">
        <f>AR7-AR8+AR13+AQ18</f>
        <v/>
      </c>
      <c r="AS15" s="20">
        <f>AS7-AS8+AS13+AR18</f>
        <v/>
      </c>
      <c r="AT15" s="20">
        <f>AT7-AT8+AT13+AS18</f>
        <v/>
      </c>
      <c r="AU15" s="20">
        <f>AU7-AU8+AU13+AT18</f>
        <v/>
      </c>
      <c r="AV15" s="20">
        <f>AV7-AV8+AV13+AU18</f>
        <v/>
      </c>
      <c r="AW15" s="20">
        <f>AW7-AW8+AW13+AV18</f>
        <v/>
      </c>
    </row>
    <row r="16">
      <c r="D16" t="inlineStr">
        <is>
          <t>Distribution test passed (historic DSCR at least 1.15x, or no debt service)</t>
        </is>
      </c>
      <c r="E16" t="inlineStr">
        <is>
          <t>flag</t>
        </is>
      </c>
      <c r="J16" s="18">
        <f>IF(OR(J8&lt;=Inputs!$F$58,J10&gt;=Inputs!$F$32),1,0)</f>
        <v/>
      </c>
      <c r="K16" s="18">
        <f>IF(OR(K8&lt;=Inputs!$F$58,K10&gt;=Inputs!$F$32),1,0)</f>
        <v/>
      </c>
      <c r="L16" s="18">
        <f>IF(OR(L8&lt;=Inputs!$F$58,L10&gt;=Inputs!$F$32),1,0)</f>
        <v/>
      </c>
      <c r="M16" s="18">
        <f>IF(OR(M8&lt;=Inputs!$F$58,M10&gt;=Inputs!$F$32),1,0)</f>
        <v/>
      </c>
      <c r="N16" s="18">
        <f>IF(OR(N8&lt;=Inputs!$F$58,N10&gt;=Inputs!$F$32),1,0)</f>
        <v/>
      </c>
      <c r="O16" s="18">
        <f>IF(OR(O8&lt;=Inputs!$F$58,O10&gt;=Inputs!$F$32),1,0)</f>
        <v/>
      </c>
      <c r="P16" s="18">
        <f>IF(OR(P8&lt;=Inputs!$F$58,P10&gt;=Inputs!$F$32),1,0)</f>
        <v/>
      </c>
      <c r="Q16" s="18">
        <f>IF(OR(Q8&lt;=Inputs!$F$58,Q10&gt;=Inputs!$F$32),1,0)</f>
        <v/>
      </c>
      <c r="R16" s="18">
        <f>IF(OR(R8&lt;=Inputs!$F$58,R10&gt;=Inputs!$F$32),1,0)</f>
        <v/>
      </c>
      <c r="S16" s="18">
        <f>IF(OR(S8&lt;=Inputs!$F$58,S10&gt;=Inputs!$F$32),1,0)</f>
        <v/>
      </c>
      <c r="T16" s="18">
        <f>IF(OR(T8&lt;=Inputs!$F$58,T10&gt;=Inputs!$F$32),1,0)</f>
        <v/>
      </c>
      <c r="U16" s="18">
        <f>IF(OR(U8&lt;=Inputs!$F$58,U10&gt;=Inputs!$F$32),1,0)</f>
        <v/>
      </c>
      <c r="V16" s="18">
        <f>IF(OR(V8&lt;=Inputs!$F$58,V10&gt;=Inputs!$F$32),1,0)</f>
        <v/>
      </c>
      <c r="W16" s="18">
        <f>IF(OR(W8&lt;=Inputs!$F$58,W10&gt;=Inputs!$F$32),1,0)</f>
        <v/>
      </c>
      <c r="X16" s="18">
        <f>IF(OR(X8&lt;=Inputs!$F$58,X10&gt;=Inputs!$F$32),1,0)</f>
        <v/>
      </c>
      <c r="Y16" s="18">
        <f>IF(OR(Y8&lt;=Inputs!$F$58,Y10&gt;=Inputs!$F$32),1,0)</f>
        <v/>
      </c>
      <c r="Z16" s="18">
        <f>IF(OR(Z8&lt;=Inputs!$F$58,Z10&gt;=Inputs!$F$32),1,0)</f>
        <v/>
      </c>
      <c r="AA16" s="18">
        <f>IF(OR(AA8&lt;=Inputs!$F$58,AA10&gt;=Inputs!$F$32),1,0)</f>
        <v/>
      </c>
      <c r="AB16" s="18">
        <f>IF(OR(AB8&lt;=Inputs!$F$58,AB10&gt;=Inputs!$F$32),1,0)</f>
        <v/>
      </c>
      <c r="AC16" s="18">
        <f>IF(OR(AC8&lt;=Inputs!$F$58,AC10&gt;=Inputs!$F$32),1,0)</f>
        <v/>
      </c>
      <c r="AD16" s="18">
        <f>IF(OR(AD8&lt;=Inputs!$F$58,AD10&gt;=Inputs!$F$32),1,0)</f>
        <v/>
      </c>
      <c r="AE16" s="18">
        <f>IF(OR(AE8&lt;=Inputs!$F$58,AE10&gt;=Inputs!$F$32),1,0)</f>
        <v/>
      </c>
      <c r="AF16" s="18">
        <f>IF(OR(AF8&lt;=Inputs!$F$58,AF10&gt;=Inputs!$F$32),1,0)</f>
        <v/>
      </c>
      <c r="AG16" s="18">
        <f>IF(OR(AG8&lt;=Inputs!$F$58,AG10&gt;=Inputs!$F$32),1,0)</f>
        <v/>
      </c>
      <c r="AH16" s="18">
        <f>IF(OR(AH8&lt;=Inputs!$F$58,AH10&gt;=Inputs!$F$32),1,0)</f>
        <v/>
      </c>
      <c r="AI16" s="18">
        <f>IF(OR(AI8&lt;=Inputs!$F$58,AI10&gt;=Inputs!$F$32),1,0)</f>
        <v/>
      </c>
      <c r="AJ16" s="18">
        <f>IF(OR(AJ8&lt;=Inputs!$F$58,AJ10&gt;=Inputs!$F$32),1,0)</f>
        <v/>
      </c>
      <c r="AK16" s="18">
        <f>IF(OR(AK8&lt;=Inputs!$F$58,AK10&gt;=Inputs!$F$32),1,0)</f>
        <v/>
      </c>
      <c r="AL16" s="18">
        <f>IF(OR(AL8&lt;=Inputs!$F$58,AL10&gt;=Inputs!$F$32),1,0)</f>
        <v/>
      </c>
      <c r="AM16" s="18">
        <f>IF(OR(AM8&lt;=Inputs!$F$58,AM10&gt;=Inputs!$F$32),1,0)</f>
        <v/>
      </c>
      <c r="AN16" s="18">
        <f>IF(OR(AN8&lt;=Inputs!$F$58,AN10&gt;=Inputs!$F$32),1,0)</f>
        <v/>
      </c>
      <c r="AO16" s="18">
        <f>IF(OR(AO8&lt;=Inputs!$F$58,AO10&gt;=Inputs!$F$32),1,0)</f>
        <v/>
      </c>
      <c r="AP16" s="18">
        <f>IF(OR(AP8&lt;=Inputs!$F$58,AP10&gt;=Inputs!$F$32),1,0)</f>
        <v/>
      </c>
      <c r="AQ16" s="18">
        <f>IF(OR(AQ8&lt;=Inputs!$F$58,AQ10&gt;=Inputs!$F$32),1,0)</f>
        <v/>
      </c>
      <c r="AR16" s="18">
        <f>IF(OR(AR8&lt;=Inputs!$F$58,AR10&gt;=Inputs!$F$32),1,0)</f>
        <v/>
      </c>
      <c r="AS16" s="18">
        <f>IF(OR(AS8&lt;=Inputs!$F$58,AS10&gt;=Inputs!$F$32),1,0)</f>
        <v/>
      </c>
      <c r="AT16" s="18">
        <f>IF(OR(AT8&lt;=Inputs!$F$58,AT10&gt;=Inputs!$F$32),1,0)</f>
        <v/>
      </c>
      <c r="AU16" s="18">
        <f>IF(OR(AU8&lt;=Inputs!$F$58,AU10&gt;=Inputs!$F$32),1,0)</f>
        <v/>
      </c>
      <c r="AV16" s="18">
        <f>IF(OR(AV8&lt;=Inputs!$F$58,AV10&gt;=Inputs!$F$32),1,0)</f>
        <v/>
      </c>
      <c r="AW16" s="18">
        <f>IF(OR(AW8&lt;=Inputs!$F$58,AW10&gt;=Inputs!$F$32),1,0)</f>
        <v/>
      </c>
    </row>
    <row r="17">
      <c r="D17" t="inlineStr">
        <is>
          <t>Distributions to equity</t>
        </is>
      </c>
      <c r="E17" t="inlineStr">
        <is>
          <t>USD m</t>
        </is>
      </c>
      <c r="G17" s="20">
        <f>SUM(J17:AW17)</f>
        <v/>
      </c>
      <c r="J17" s="20">
        <f>J15*J16</f>
        <v/>
      </c>
      <c r="K17" s="20">
        <f>K15*K16</f>
        <v/>
      </c>
      <c r="L17" s="20">
        <f>L15*L16</f>
        <v/>
      </c>
      <c r="M17" s="20">
        <f>M15*M16</f>
        <v/>
      </c>
      <c r="N17" s="20">
        <f>N15*N16</f>
        <v/>
      </c>
      <c r="O17" s="20">
        <f>O15*O16</f>
        <v/>
      </c>
      <c r="P17" s="20">
        <f>P15*P16</f>
        <v/>
      </c>
      <c r="Q17" s="20">
        <f>Q15*Q16</f>
        <v/>
      </c>
      <c r="R17" s="20">
        <f>R15*R16</f>
        <v/>
      </c>
      <c r="S17" s="20">
        <f>S15*S16</f>
        <v/>
      </c>
      <c r="T17" s="20">
        <f>T15*T16</f>
        <v/>
      </c>
      <c r="U17" s="20">
        <f>U15*U16</f>
        <v/>
      </c>
      <c r="V17" s="20">
        <f>V15*V16</f>
        <v/>
      </c>
      <c r="W17" s="20">
        <f>W15*W16</f>
        <v/>
      </c>
      <c r="X17" s="20">
        <f>X15*X16</f>
        <v/>
      </c>
      <c r="Y17" s="20">
        <f>Y15*Y16</f>
        <v/>
      </c>
      <c r="Z17" s="20">
        <f>Z15*Z16</f>
        <v/>
      </c>
      <c r="AA17" s="20">
        <f>AA15*AA16</f>
        <v/>
      </c>
      <c r="AB17" s="20">
        <f>AB15*AB16</f>
        <v/>
      </c>
      <c r="AC17" s="20">
        <f>AC15*AC16</f>
        <v/>
      </c>
      <c r="AD17" s="20">
        <f>AD15*AD16</f>
        <v/>
      </c>
      <c r="AE17" s="20">
        <f>AE15*AE16</f>
        <v/>
      </c>
      <c r="AF17" s="20">
        <f>AF15*AF16</f>
        <v/>
      </c>
      <c r="AG17" s="20">
        <f>AG15*AG16</f>
        <v/>
      </c>
      <c r="AH17" s="20">
        <f>AH15*AH16</f>
        <v/>
      </c>
      <c r="AI17" s="20">
        <f>AI15*AI16</f>
        <v/>
      </c>
      <c r="AJ17" s="20">
        <f>AJ15*AJ16</f>
        <v/>
      </c>
      <c r="AK17" s="20">
        <f>AK15*AK16</f>
        <v/>
      </c>
      <c r="AL17" s="20">
        <f>AL15*AL16</f>
        <v/>
      </c>
      <c r="AM17" s="20">
        <f>AM15*AM16</f>
        <v/>
      </c>
      <c r="AN17" s="20">
        <f>AN15*AN16</f>
        <v/>
      </c>
      <c r="AO17" s="20">
        <f>AO15*AO16</f>
        <v/>
      </c>
      <c r="AP17" s="20">
        <f>AP15*AP16</f>
        <v/>
      </c>
      <c r="AQ17" s="20">
        <f>AQ15*AQ16</f>
        <v/>
      </c>
      <c r="AR17" s="20">
        <f>AR15*AR16</f>
        <v/>
      </c>
      <c r="AS17" s="20">
        <f>AS15*AS16</f>
        <v/>
      </c>
      <c r="AT17" s="20">
        <f>AT15*AT16</f>
        <v/>
      </c>
      <c r="AU17" s="20">
        <f>AU15*AU16</f>
        <v/>
      </c>
      <c r="AV17" s="20">
        <f>AV15*AV16</f>
        <v/>
      </c>
      <c r="AW17" s="20">
        <f>AW15*AW16</f>
        <v/>
      </c>
    </row>
    <row r="18">
      <c r="D18" t="inlineStr">
        <is>
          <t>Locked-up cash, closing</t>
        </is>
      </c>
      <c r="E18" t="inlineStr">
        <is>
          <t>USD m</t>
        </is>
      </c>
      <c r="J18" s="20">
        <f>J15-J17</f>
        <v/>
      </c>
      <c r="K18" s="20">
        <f>K15-K17</f>
        <v/>
      </c>
      <c r="L18" s="20">
        <f>L15-L17</f>
        <v/>
      </c>
      <c r="M18" s="20">
        <f>M15-M17</f>
        <v/>
      </c>
      <c r="N18" s="20">
        <f>N15-N17</f>
        <v/>
      </c>
      <c r="O18" s="20">
        <f>O15-O17</f>
        <v/>
      </c>
      <c r="P18" s="20">
        <f>P15-P17</f>
        <v/>
      </c>
      <c r="Q18" s="20">
        <f>Q15-Q17</f>
        <v/>
      </c>
      <c r="R18" s="20">
        <f>R15-R17</f>
        <v/>
      </c>
      <c r="S18" s="20">
        <f>S15-S17</f>
        <v/>
      </c>
      <c r="T18" s="20">
        <f>T15-T17</f>
        <v/>
      </c>
      <c r="U18" s="20">
        <f>U15-U17</f>
        <v/>
      </c>
      <c r="V18" s="20">
        <f>V15-V17</f>
        <v/>
      </c>
      <c r="W18" s="20">
        <f>W15-W17</f>
        <v/>
      </c>
      <c r="X18" s="20">
        <f>X15-X17</f>
        <v/>
      </c>
      <c r="Y18" s="20">
        <f>Y15-Y17</f>
        <v/>
      </c>
      <c r="Z18" s="20">
        <f>Z15-Z17</f>
        <v/>
      </c>
      <c r="AA18" s="20">
        <f>AA15-AA17</f>
        <v/>
      </c>
      <c r="AB18" s="20">
        <f>AB15-AB17</f>
        <v/>
      </c>
      <c r="AC18" s="20">
        <f>AC15-AC17</f>
        <v/>
      </c>
      <c r="AD18" s="20">
        <f>AD15-AD17</f>
        <v/>
      </c>
      <c r="AE18" s="20">
        <f>AE15-AE17</f>
        <v/>
      </c>
      <c r="AF18" s="20">
        <f>AF15-AF17</f>
        <v/>
      </c>
      <c r="AG18" s="20">
        <f>AG15-AG17</f>
        <v/>
      </c>
      <c r="AH18" s="20">
        <f>AH15-AH17</f>
        <v/>
      </c>
      <c r="AI18" s="20">
        <f>AI15-AI17</f>
        <v/>
      </c>
      <c r="AJ18" s="20">
        <f>AJ15-AJ17</f>
        <v/>
      </c>
      <c r="AK18" s="20">
        <f>AK15-AK17</f>
        <v/>
      </c>
      <c r="AL18" s="20">
        <f>AL15-AL17</f>
        <v/>
      </c>
      <c r="AM18" s="20">
        <f>AM15-AM17</f>
        <v/>
      </c>
      <c r="AN18" s="20">
        <f>AN15-AN17</f>
        <v/>
      </c>
      <c r="AO18" s="20">
        <f>AO15-AO17</f>
        <v/>
      </c>
      <c r="AP18" s="20">
        <f>AP15-AP17</f>
        <v/>
      </c>
      <c r="AQ18" s="20">
        <f>AQ15-AQ17</f>
        <v/>
      </c>
      <c r="AR18" s="20">
        <f>AR15-AR17</f>
        <v/>
      </c>
      <c r="AS18" s="20">
        <f>AS15-AS17</f>
        <v/>
      </c>
      <c r="AT18" s="20">
        <f>AT15-AT17</f>
        <v/>
      </c>
      <c r="AU18" s="20">
        <f>AU15-AU17</f>
        <v/>
      </c>
      <c r="AV18" s="20">
        <f>AV15-AV17</f>
        <v/>
      </c>
      <c r="AW18" s="20">
        <f>AW15-AW17</f>
        <v/>
      </c>
    </row>
    <row r="19">
      <c r="D19" t="inlineStr">
        <is>
          <t>Lock-up (1 = distribution blocked)</t>
        </is>
      </c>
      <c r="E19" t="inlineStr">
        <is>
          <t>flag</t>
        </is>
      </c>
      <c r="G19" s="18">
        <f>SUM(J19:AW19)</f>
        <v/>
      </c>
      <c r="J19" s="18">
        <f>1-J16</f>
        <v/>
      </c>
      <c r="K19" s="18">
        <f>1-K16</f>
        <v/>
      </c>
      <c r="L19" s="18">
        <f>1-L16</f>
        <v/>
      </c>
      <c r="M19" s="18">
        <f>1-M16</f>
        <v/>
      </c>
      <c r="N19" s="18">
        <f>1-N16</f>
        <v/>
      </c>
      <c r="O19" s="18">
        <f>1-O16</f>
        <v/>
      </c>
      <c r="P19" s="18">
        <f>1-P16</f>
        <v/>
      </c>
      <c r="Q19" s="18">
        <f>1-Q16</f>
        <v/>
      </c>
      <c r="R19" s="18">
        <f>1-R16</f>
        <v/>
      </c>
      <c r="S19" s="18">
        <f>1-S16</f>
        <v/>
      </c>
      <c r="T19" s="18">
        <f>1-T16</f>
        <v/>
      </c>
      <c r="U19" s="18">
        <f>1-U16</f>
        <v/>
      </c>
      <c r="V19" s="18">
        <f>1-V16</f>
        <v/>
      </c>
      <c r="W19" s="18">
        <f>1-W16</f>
        <v/>
      </c>
      <c r="X19" s="18">
        <f>1-X16</f>
        <v/>
      </c>
      <c r="Y19" s="18">
        <f>1-Y16</f>
        <v/>
      </c>
      <c r="Z19" s="18">
        <f>1-Z16</f>
        <v/>
      </c>
      <c r="AA19" s="18">
        <f>1-AA16</f>
        <v/>
      </c>
      <c r="AB19" s="18">
        <f>1-AB16</f>
        <v/>
      </c>
      <c r="AC19" s="18">
        <f>1-AC16</f>
        <v/>
      </c>
      <c r="AD19" s="18">
        <f>1-AD16</f>
        <v/>
      </c>
      <c r="AE19" s="18">
        <f>1-AE16</f>
        <v/>
      </c>
      <c r="AF19" s="18">
        <f>1-AF16</f>
        <v/>
      </c>
      <c r="AG19" s="18">
        <f>1-AG16</f>
        <v/>
      </c>
      <c r="AH19" s="18">
        <f>1-AH16</f>
        <v/>
      </c>
      <c r="AI19" s="18">
        <f>1-AI16</f>
        <v/>
      </c>
      <c r="AJ19" s="18">
        <f>1-AJ16</f>
        <v/>
      </c>
      <c r="AK19" s="18">
        <f>1-AK16</f>
        <v/>
      </c>
      <c r="AL19" s="18">
        <f>1-AL16</f>
        <v/>
      </c>
      <c r="AM19" s="18">
        <f>1-AM16</f>
        <v/>
      </c>
      <c r="AN19" s="18">
        <f>1-AN16</f>
        <v/>
      </c>
      <c r="AO19" s="18">
        <f>1-AO16</f>
        <v/>
      </c>
      <c r="AP19" s="18">
        <f>1-AP16</f>
        <v/>
      </c>
      <c r="AQ19" s="18">
        <f>1-AQ16</f>
        <v/>
      </c>
      <c r="AR19" s="18">
        <f>1-AR16</f>
        <v/>
      </c>
      <c r="AS19" s="18">
        <f>1-AS16</f>
        <v/>
      </c>
      <c r="AT19" s="18">
        <f>1-AT16</f>
        <v/>
      </c>
      <c r="AU19" s="18">
        <f>1-AU16</f>
        <v/>
      </c>
      <c r="AV19" s="18">
        <f>1-AV16</f>
        <v/>
      </c>
      <c r="AW19" s="18">
        <f>1-AW16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I24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2" customWidth="1" min="4" max="4"/>
    <col width="12" customWidth="1" min="5" max="5"/>
    <col width="14" customWidth="1" min="6" max="6"/>
    <col width="12" customWidth="1" min="7" max="7"/>
    <col width="2" customWidth="1" min="8" max="8"/>
    <col width="2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</cols>
  <sheetData>
    <row r="1">
      <c r="A1" s="1" t="inlineStr">
        <is>
          <t>Cactus Ridge Solar and Storage (fictional; Illustrative): Exercise 43.17 solution</t>
        </is>
      </c>
    </row>
    <row r="2">
      <c r="A2" t="inlineStr">
        <is>
          <t>Returns: dated equity cash flows (12 month ends, then 40 half-year ends) and summary outputs</t>
        </is>
      </c>
    </row>
    <row r="3">
      <c r="A3" t="inlineStr">
        <is>
          <t>Column D label, E unit, F constant or scalar, G row total; first period in column J. Inputs: blue on yellow. Links from other sheets: green. Checks: 0 when passing.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J5" s="17" t="inlineStr">
        <is>
          <t>2027-01</t>
        </is>
      </c>
      <c r="K5" s="17" t="inlineStr">
        <is>
          <t>2027-02</t>
        </is>
      </c>
      <c r="L5" s="17" t="inlineStr">
        <is>
          <t>2027-03</t>
        </is>
      </c>
      <c r="M5" s="17" t="inlineStr">
        <is>
          <t>2027-04</t>
        </is>
      </c>
      <c r="N5" s="17" t="inlineStr">
        <is>
          <t>2027-05</t>
        </is>
      </c>
      <c r="O5" s="17" t="inlineStr">
        <is>
          <t>2027-06</t>
        </is>
      </c>
      <c r="P5" s="17" t="inlineStr">
        <is>
          <t>2027-07</t>
        </is>
      </c>
      <c r="Q5" s="17" t="inlineStr">
        <is>
          <t>2027-08</t>
        </is>
      </c>
      <c r="R5" s="17" t="inlineStr">
        <is>
          <t>2027-09</t>
        </is>
      </c>
      <c r="S5" s="17" t="inlineStr">
        <is>
          <t>2027-10</t>
        </is>
      </c>
      <c r="T5" s="17" t="inlineStr">
        <is>
          <t>2027-11</t>
        </is>
      </c>
      <c r="U5" s="17" t="inlineStr">
        <is>
          <t>2027-12</t>
        </is>
      </c>
      <c r="V5" s="17" t="inlineStr">
        <is>
          <t>2028H1</t>
        </is>
      </c>
      <c r="W5" s="17" t="inlineStr">
        <is>
          <t>2028H2</t>
        </is>
      </c>
      <c r="X5" s="17" t="inlineStr">
        <is>
          <t>2029H1</t>
        </is>
      </c>
      <c r="Y5" s="17" t="inlineStr">
        <is>
          <t>2029H2</t>
        </is>
      </c>
      <c r="Z5" s="17" t="inlineStr">
        <is>
          <t>2030H1</t>
        </is>
      </c>
      <c r="AA5" s="17" t="inlineStr">
        <is>
          <t>2030H2</t>
        </is>
      </c>
      <c r="AB5" s="17" t="inlineStr">
        <is>
          <t>2031H1</t>
        </is>
      </c>
      <c r="AC5" s="17" t="inlineStr">
        <is>
          <t>2031H2</t>
        </is>
      </c>
      <c r="AD5" s="17" t="inlineStr">
        <is>
          <t>2032H1</t>
        </is>
      </c>
      <c r="AE5" s="17" t="inlineStr">
        <is>
          <t>2032H2</t>
        </is>
      </c>
      <c r="AF5" s="17" t="inlineStr">
        <is>
          <t>2033H1</t>
        </is>
      </c>
      <c r="AG5" s="17" t="inlineStr">
        <is>
          <t>2033H2</t>
        </is>
      </c>
      <c r="AH5" s="17" t="inlineStr">
        <is>
          <t>2034H1</t>
        </is>
      </c>
      <c r="AI5" s="17" t="inlineStr">
        <is>
          <t>2034H2</t>
        </is>
      </c>
      <c r="AJ5" s="17" t="inlineStr">
        <is>
          <t>2035H1</t>
        </is>
      </c>
      <c r="AK5" s="17" t="inlineStr">
        <is>
          <t>2035H2</t>
        </is>
      </c>
      <c r="AL5" s="17" t="inlineStr">
        <is>
          <t>2036H1</t>
        </is>
      </c>
      <c r="AM5" s="17" t="inlineStr">
        <is>
          <t>2036H2</t>
        </is>
      </c>
      <c r="AN5" s="17" t="inlineStr">
        <is>
          <t>2037H1</t>
        </is>
      </c>
      <c r="AO5" s="17" t="inlineStr">
        <is>
          <t>2037H2</t>
        </is>
      </c>
      <c r="AP5" s="17" t="inlineStr">
        <is>
          <t>2038H1</t>
        </is>
      </c>
      <c r="AQ5" s="17" t="inlineStr">
        <is>
          <t>2038H2</t>
        </is>
      </c>
      <c r="AR5" s="17" t="inlineStr">
        <is>
          <t>2039H1</t>
        </is>
      </c>
      <c r="AS5" s="17" t="inlineStr">
        <is>
          <t>2039H2</t>
        </is>
      </c>
      <c r="AT5" s="17" t="inlineStr">
        <is>
          <t>2040H1</t>
        </is>
      </c>
      <c r="AU5" s="17" t="inlineStr">
        <is>
          <t>2040H2</t>
        </is>
      </c>
      <c r="AV5" s="17" t="inlineStr">
        <is>
          <t>2041H1</t>
        </is>
      </c>
      <c r="AW5" s="17" t="inlineStr">
        <is>
          <t>2041H2</t>
        </is>
      </c>
      <c r="AX5" s="17" t="inlineStr">
        <is>
          <t>2042H1</t>
        </is>
      </c>
      <c r="AY5" s="17" t="inlineStr">
        <is>
          <t>2042H2</t>
        </is>
      </c>
      <c r="AZ5" s="17" t="inlineStr">
        <is>
          <t>2043H1</t>
        </is>
      </c>
      <c r="BA5" s="17" t="inlineStr">
        <is>
          <t>2043H2</t>
        </is>
      </c>
      <c r="BB5" s="17" t="inlineStr">
        <is>
          <t>2044H1</t>
        </is>
      </c>
      <c r="BC5" s="17" t="inlineStr">
        <is>
          <t>2044H2</t>
        </is>
      </c>
      <c r="BD5" s="17" t="inlineStr">
        <is>
          <t>2045H1</t>
        </is>
      </c>
      <c r="BE5" s="17" t="inlineStr">
        <is>
          <t>2045H2</t>
        </is>
      </c>
      <c r="BF5" s="17" t="inlineStr">
        <is>
          <t>2046H1</t>
        </is>
      </c>
      <c r="BG5" s="17" t="inlineStr">
        <is>
          <t>2046H2</t>
        </is>
      </c>
      <c r="BH5" s="17" t="inlineStr">
        <is>
          <t>2047H1</t>
        </is>
      </c>
      <c r="BI5" s="17" t="inlineStr">
        <is>
          <t>2047H2</t>
        </is>
      </c>
    </row>
    <row r="7">
      <c r="D7" t="inlineStr">
        <is>
          <t>Cash flow date</t>
        </is>
      </c>
      <c r="E7" t="inlineStr">
        <is>
          <t>date</t>
        </is>
      </c>
      <c r="J7" s="26">
        <f>Construction!J10</f>
        <v/>
      </c>
      <c r="K7" s="26">
        <f>Construction!K10</f>
        <v/>
      </c>
      <c r="L7" s="26">
        <f>Construction!L10</f>
        <v/>
      </c>
      <c r="M7" s="26">
        <f>Construction!M10</f>
        <v/>
      </c>
      <c r="N7" s="26">
        <f>Construction!N10</f>
        <v/>
      </c>
      <c r="O7" s="26">
        <f>Construction!O10</f>
        <v/>
      </c>
      <c r="P7" s="26">
        <f>Construction!P10</f>
        <v/>
      </c>
      <c r="Q7" s="26">
        <f>Construction!Q10</f>
        <v/>
      </c>
      <c r="R7" s="26">
        <f>Construction!R10</f>
        <v/>
      </c>
      <c r="S7" s="26">
        <f>Construction!S10</f>
        <v/>
      </c>
      <c r="T7" s="26">
        <f>Construction!T10</f>
        <v/>
      </c>
      <c r="U7" s="26">
        <f>Construction!U10</f>
        <v/>
      </c>
      <c r="V7" s="26">
        <f>Operations!J10</f>
        <v/>
      </c>
      <c r="W7" s="26">
        <f>Operations!K10</f>
        <v/>
      </c>
      <c r="X7" s="26">
        <f>Operations!L10</f>
        <v/>
      </c>
      <c r="Y7" s="26">
        <f>Operations!M10</f>
        <v/>
      </c>
      <c r="Z7" s="26">
        <f>Operations!N10</f>
        <v/>
      </c>
      <c r="AA7" s="26">
        <f>Operations!O10</f>
        <v/>
      </c>
      <c r="AB7" s="26">
        <f>Operations!P10</f>
        <v/>
      </c>
      <c r="AC7" s="26">
        <f>Operations!Q10</f>
        <v/>
      </c>
      <c r="AD7" s="26">
        <f>Operations!R10</f>
        <v/>
      </c>
      <c r="AE7" s="26">
        <f>Operations!S10</f>
        <v/>
      </c>
      <c r="AF7" s="26">
        <f>Operations!T10</f>
        <v/>
      </c>
      <c r="AG7" s="26">
        <f>Operations!U10</f>
        <v/>
      </c>
      <c r="AH7" s="26">
        <f>Operations!V10</f>
        <v/>
      </c>
      <c r="AI7" s="26">
        <f>Operations!W10</f>
        <v/>
      </c>
      <c r="AJ7" s="26">
        <f>Operations!X10</f>
        <v/>
      </c>
      <c r="AK7" s="26">
        <f>Operations!Y10</f>
        <v/>
      </c>
      <c r="AL7" s="26">
        <f>Operations!Z10</f>
        <v/>
      </c>
      <c r="AM7" s="26">
        <f>Operations!AA10</f>
        <v/>
      </c>
      <c r="AN7" s="26">
        <f>Operations!AB10</f>
        <v/>
      </c>
      <c r="AO7" s="26">
        <f>Operations!AC10</f>
        <v/>
      </c>
      <c r="AP7" s="26">
        <f>Operations!AD10</f>
        <v/>
      </c>
      <c r="AQ7" s="26">
        <f>Operations!AE10</f>
        <v/>
      </c>
      <c r="AR7" s="26">
        <f>Operations!AF10</f>
        <v/>
      </c>
      <c r="AS7" s="26">
        <f>Operations!AG10</f>
        <v/>
      </c>
      <c r="AT7" s="26">
        <f>Operations!AH10</f>
        <v/>
      </c>
      <c r="AU7" s="26">
        <f>Operations!AI10</f>
        <v/>
      </c>
      <c r="AV7" s="26">
        <f>Operations!AJ10</f>
        <v/>
      </c>
      <c r="AW7" s="26">
        <f>Operations!AK10</f>
        <v/>
      </c>
      <c r="AX7" s="26">
        <f>Operations!AL10</f>
        <v/>
      </c>
      <c r="AY7" s="26">
        <f>Operations!AM10</f>
        <v/>
      </c>
      <c r="AZ7" s="26">
        <f>Operations!AN10</f>
        <v/>
      </c>
      <c r="BA7" s="26">
        <f>Operations!AO10</f>
        <v/>
      </c>
      <c r="BB7" s="26">
        <f>Operations!AP10</f>
        <v/>
      </c>
      <c r="BC7" s="26">
        <f>Operations!AQ10</f>
        <v/>
      </c>
      <c r="BD7" s="26">
        <f>Operations!AR10</f>
        <v/>
      </c>
      <c r="BE7" s="26">
        <f>Operations!AS10</f>
        <v/>
      </c>
      <c r="BF7" s="26">
        <f>Operations!AT10</f>
        <v/>
      </c>
      <c r="BG7" s="26">
        <f>Operations!AU10</f>
        <v/>
      </c>
      <c r="BH7" s="26">
        <f>Operations!AV10</f>
        <v/>
      </c>
      <c r="BI7" s="26">
        <f>Operations!AW10</f>
        <v/>
      </c>
    </row>
    <row r="8">
      <c r="D8" t="inlineStr">
        <is>
          <t>Equity cash flow (contributions negative)</t>
        </is>
      </c>
      <c r="E8" t="inlineStr">
        <is>
          <t>USD m</t>
        </is>
      </c>
      <c r="G8" s="20">
        <f>SUM(J8:BI8)</f>
        <v/>
      </c>
      <c r="J8" s="20">
        <f>-Construction!J25</f>
        <v/>
      </c>
      <c r="K8" s="20">
        <f>-Construction!K25</f>
        <v/>
      </c>
      <c r="L8" s="20">
        <f>-Construction!L25</f>
        <v/>
      </c>
      <c r="M8" s="20">
        <f>-Construction!M25</f>
        <v/>
      </c>
      <c r="N8" s="20">
        <f>-Construction!N25</f>
        <v/>
      </c>
      <c r="O8" s="20">
        <f>-Construction!O25</f>
        <v/>
      </c>
      <c r="P8" s="20">
        <f>-Construction!P25</f>
        <v/>
      </c>
      <c r="Q8" s="20">
        <f>-Construction!Q25</f>
        <v/>
      </c>
      <c r="R8" s="20">
        <f>-Construction!R25</f>
        <v/>
      </c>
      <c r="S8" s="20">
        <f>-Construction!S25</f>
        <v/>
      </c>
      <c r="T8" s="20">
        <f>-Construction!T25</f>
        <v/>
      </c>
      <c r="U8" s="20">
        <f>-Construction!U25</f>
        <v/>
      </c>
      <c r="V8" s="24">
        <f>Waterfall!J17</f>
        <v/>
      </c>
      <c r="W8" s="24">
        <f>Waterfall!K17</f>
        <v/>
      </c>
      <c r="X8" s="24">
        <f>Waterfall!L17</f>
        <v/>
      </c>
      <c r="Y8" s="24">
        <f>Waterfall!M17</f>
        <v/>
      </c>
      <c r="Z8" s="24">
        <f>Waterfall!N17</f>
        <v/>
      </c>
      <c r="AA8" s="24">
        <f>Waterfall!O17</f>
        <v/>
      </c>
      <c r="AB8" s="24">
        <f>Waterfall!P17</f>
        <v/>
      </c>
      <c r="AC8" s="24">
        <f>Waterfall!Q17</f>
        <v/>
      </c>
      <c r="AD8" s="24">
        <f>Waterfall!R17</f>
        <v/>
      </c>
      <c r="AE8" s="24">
        <f>Waterfall!S17</f>
        <v/>
      </c>
      <c r="AF8" s="24">
        <f>Waterfall!T17</f>
        <v/>
      </c>
      <c r="AG8" s="24">
        <f>Waterfall!U17</f>
        <v/>
      </c>
      <c r="AH8" s="24">
        <f>Waterfall!V17</f>
        <v/>
      </c>
      <c r="AI8" s="24">
        <f>Waterfall!W17</f>
        <v/>
      </c>
      <c r="AJ8" s="24">
        <f>Waterfall!X17</f>
        <v/>
      </c>
      <c r="AK8" s="24">
        <f>Waterfall!Y17</f>
        <v/>
      </c>
      <c r="AL8" s="24">
        <f>Waterfall!Z17</f>
        <v/>
      </c>
      <c r="AM8" s="24">
        <f>Waterfall!AA17</f>
        <v/>
      </c>
      <c r="AN8" s="24">
        <f>Waterfall!AB17</f>
        <v/>
      </c>
      <c r="AO8" s="24">
        <f>Waterfall!AC17</f>
        <v/>
      </c>
      <c r="AP8" s="24">
        <f>Waterfall!AD17</f>
        <v/>
      </c>
      <c r="AQ8" s="24">
        <f>Waterfall!AE17</f>
        <v/>
      </c>
      <c r="AR8" s="24">
        <f>Waterfall!AF17</f>
        <v/>
      </c>
      <c r="AS8" s="24">
        <f>Waterfall!AG17</f>
        <v/>
      </c>
      <c r="AT8" s="24">
        <f>Waterfall!AH17</f>
        <v/>
      </c>
      <c r="AU8" s="24">
        <f>Waterfall!AI17</f>
        <v/>
      </c>
      <c r="AV8" s="24">
        <f>Waterfall!AJ17</f>
        <v/>
      </c>
      <c r="AW8" s="24">
        <f>Waterfall!AK17</f>
        <v/>
      </c>
      <c r="AX8" s="24">
        <f>Waterfall!AL17</f>
        <v/>
      </c>
      <c r="AY8" s="24">
        <f>Waterfall!AM17</f>
        <v/>
      </c>
      <c r="AZ8" s="24">
        <f>Waterfall!AN17</f>
        <v/>
      </c>
      <c r="BA8" s="24">
        <f>Waterfall!AO17</f>
        <v/>
      </c>
      <c r="BB8" s="24">
        <f>Waterfall!AP17</f>
        <v/>
      </c>
      <c r="BC8" s="24">
        <f>Waterfall!AQ17</f>
        <v/>
      </c>
      <c r="BD8" s="24">
        <f>Waterfall!AR17</f>
        <v/>
      </c>
      <c r="BE8" s="24">
        <f>Waterfall!AS17</f>
        <v/>
      </c>
      <c r="BF8" s="24">
        <f>Waterfall!AT17</f>
        <v/>
      </c>
      <c r="BG8" s="24">
        <f>Waterfall!AU17</f>
        <v/>
      </c>
      <c r="BH8" s="24">
        <f>Waterfall!AV17</f>
        <v/>
      </c>
      <c r="BI8" s="24">
        <f>Waterfall!AW17</f>
        <v/>
      </c>
    </row>
    <row r="9">
      <c r="B9" s="2" t="inlineStr">
        <is>
          <t>Summary outputs (selected case)</t>
        </is>
      </c>
    </row>
    <row r="10">
      <c r="D10" t="inlineStr">
        <is>
          <t>Equity IRR (XIRR)</t>
        </is>
      </c>
      <c r="E10" t="inlineStr">
        <is>
          <t>%</t>
        </is>
      </c>
      <c r="F10" s="23">
        <f>XIRR(J8:BI8,J7:BI7)*100</f>
        <v/>
      </c>
    </row>
    <row r="11">
      <c r="D11" t="inlineStr">
        <is>
          <t>Minimum DSCR (repayment half-years)</t>
        </is>
      </c>
      <c r="E11" t="inlineStr">
        <is>
          <t>x</t>
        </is>
      </c>
      <c r="F11" s="11">
        <f>_xlfn.MINIFS(Waterfall!J9:AW9,Waterfall!J8:AW8,"&gt;"&amp;Inputs!$F$58)</f>
        <v/>
      </c>
    </row>
    <row r="12">
      <c r="D12" t="inlineStr">
        <is>
          <t>Average DSCR (CFADS / debt service over the repayment half-years)</t>
        </is>
      </c>
      <c r="E12" t="inlineStr">
        <is>
          <t>x</t>
        </is>
      </c>
      <c r="F12" s="11">
        <f>SUMIFS(Waterfall!J7:AW7,Waterfall!J8:AW8,"&gt;"&amp;Inputs!$F$58)/SUM(Waterfall!J8:AW8)</f>
        <v/>
      </c>
    </row>
    <row r="13">
      <c r="D13" t="inlineStr">
        <is>
          <t>Number of lock-ups</t>
        </is>
      </c>
      <c r="E13" t="inlineStr">
        <is>
          <t>count</t>
        </is>
      </c>
      <c r="F13" s="18">
        <f>SUM(Waterfall!J19:AW19)</f>
        <v/>
      </c>
    </row>
    <row r="14">
      <c r="D14" t="inlineStr">
        <is>
          <t>Hard costs</t>
        </is>
      </c>
      <c r="E14" t="inlineStr">
        <is>
          <t>USD m</t>
        </is>
      </c>
      <c r="F14" s="7">
        <f>Construction!$G$16</f>
        <v/>
      </c>
    </row>
    <row r="15">
      <c r="D15" t="inlineStr">
        <is>
          <t>Interest during construction</t>
        </is>
      </c>
      <c r="E15" t="inlineStr">
        <is>
          <t>USD m</t>
        </is>
      </c>
      <c r="F15" s="7">
        <f>Construction!$G$18</f>
        <v/>
      </c>
    </row>
    <row r="16">
      <c r="D16" t="inlineStr">
        <is>
          <t>Commitment fees</t>
        </is>
      </c>
      <c r="E16" t="inlineStr">
        <is>
          <t>USD m</t>
        </is>
      </c>
      <c r="F16" s="7">
        <f>Construction!$G$19</f>
        <v/>
      </c>
    </row>
    <row r="17">
      <c r="D17" t="inlineStr">
        <is>
          <t>Upfront fee</t>
        </is>
      </c>
      <c r="E17" t="inlineStr">
        <is>
          <t>USD m</t>
        </is>
      </c>
      <c r="F17" s="7">
        <f>Construction!$G$20</f>
        <v/>
      </c>
    </row>
    <row r="18">
      <c r="D18" t="inlineStr">
        <is>
          <t>DSRA initial funding</t>
        </is>
      </c>
      <c r="E18" t="inlineStr">
        <is>
          <t>USD m</t>
        </is>
      </c>
      <c r="F18" s="7">
        <f>Construction!$G$21</f>
        <v/>
      </c>
    </row>
    <row r="19">
      <c r="D19" t="inlineStr">
        <is>
          <t>Total funding requirement</t>
        </is>
      </c>
      <c r="E19" t="inlineStr">
        <is>
          <t>USD m</t>
        </is>
      </c>
      <c r="F19" s="7">
        <f>Construction!$F$27</f>
        <v/>
      </c>
    </row>
    <row r="20">
      <c r="D20" t="inlineStr">
        <is>
          <t>Senior debt</t>
        </is>
      </c>
      <c r="E20" t="inlineStr">
        <is>
          <t>USD m</t>
        </is>
      </c>
      <c r="F20" s="7">
        <f>Construction!$G$23</f>
        <v/>
      </c>
    </row>
    <row r="21">
      <c r="D21" t="inlineStr">
        <is>
          <t>Senior debt at the gearing cap</t>
        </is>
      </c>
      <c r="E21" t="inlineStr">
        <is>
          <t>USD m</t>
        </is>
      </c>
      <c r="F21" s="7">
        <f>Construction!$F$30</f>
        <v/>
      </c>
    </row>
    <row r="22">
      <c r="D22" t="inlineStr">
        <is>
          <t>Gearing</t>
        </is>
      </c>
      <c r="E22" t="inlineStr">
        <is>
          <t>%</t>
        </is>
      </c>
      <c r="F22" s="8">
        <f>Construction!$F$29</f>
        <v/>
      </c>
    </row>
    <row r="23">
      <c r="D23" t="inlineStr">
        <is>
          <t>Equity</t>
        </is>
      </c>
      <c r="E23" t="inlineStr">
        <is>
          <t>USD m</t>
        </is>
      </c>
      <c r="F23" s="7">
        <f>Construction!$G$25</f>
        <v/>
      </c>
    </row>
    <row r="24">
      <c r="D24" t="inlineStr">
        <is>
          <t>First half-year debt service</t>
        </is>
      </c>
      <c r="E24" t="inlineStr">
        <is>
          <t>USD m</t>
        </is>
      </c>
      <c r="F24" s="7">
        <f>Debt!$F$13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2" customWidth="1" min="4" max="4"/>
    <col width="12" customWidth="1" min="5" max="5"/>
    <col width="14" customWidth="1" min="6" max="6"/>
    <col width="12" customWidth="1" min="7" max="7"/>
    <col width="2" customWidth="1" min="8" max="8"/>
    <col width="2" customWidth="1" min="9" max="9"/>
  </cols>
  <sheetData>
    <row r="1">
      <c r="A1" s="1" t="inlineStr">
        <is>
          <t>Cactus Ridge Solar and Storage (fictional; Illustrative): Exercise 43.17 solution</t>
        </is>
      </c>
    </row>
    <row r="2">
      <c r="A2" t="inlineStr">
        <is>
          <t>Checks: every check shows 0 when passing</t>
        </is>
      </c>
    </row>
    <row r="3">
      <c r="A3" t="inlineStr">
        <is>
          <t>Column D label, E unit, F constant or scalar, G row total; first period in column J. Inputs: blue on yellow. Links from other sheets: green. Checks: 0 when passing.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7">
      <c r="D7" t="inlineStr">
        <is>
          <t>Sources less uses (construction)</t>
        </is>
      </c>
      <c r="E7" t="inlineStr">
        <is>
          <t>check</t>
        </is>
      </c>
      <c r="F7" s="21">
        <f>IF(ABS(Construction!$G$23+Construction!$G$25-Construction!$F$27)&lt;=Inputs!$F$59,0,Construction!$G$23+Construction!$G$25-Construction!$F$27)</f>
        <v/>
      </c>
    </row>
    <row r="8">
      <c r="D8" t="inlineStr">
        <is>
          <t>PV EPC profile sums to 100%</t>
        </is>
      </c>
      <c r="E8" t="inlineStr">
        <is>
          <t>check</t>
        </is>
      </c>
      <c r="F8" s="21">
        <f>IF(ABS(Inputs!$G$24-100)&lt;=Inputs!$F$59,0,Inputs!$G$24-100)</f>
        <v/>
      </c>
    </row>
    <row r="9">
      <c r="D9" t="inlineStr">
        <is>
          <t>Committed debt drawn in full (debt drawn less commitment)</t>
        </is>
      </c>
      <c r="E9" t="inlineStr">
        <is>
          <t>check</t>
        </is>
      </c>
      <c r="F9" s="21">
        <f>IF(ABS(Construction!$G$23-Inputs!$F$33)&lt;=Inputs!$F$59,0,Construction!$G$23-Inputs!$F$33)</f>
        <v/>
      </c>
    </row>
    <row r="10">
      <c r="D10" t="inlineStr">
        <is>
          <t>Sizing case: live debt capacity at 1.30x equals the commitment</t>
        </is>
      </c>
      <c r="E10" t="inlineStr">
        <is>
          <t>check</t>
        </is>
      </c>
      <c r="F10" s="21">
        <f>IF(Scenario=2,IF(ABS(Debt!$F$17-Inputs!$F$33)&lt;=Inputs!$F$59,0,Debt!$F$17-Inputs!$F$33),0)</f>
        <v/>
      </c>
    </row>
    <row r="11">
      <c r="D11" t="inlineStr">
        <is>
          <t>Sizing case: live sculpted principal equals the contract profile (max abs)</t>
        </is>
      </c>
      <c r="E11" t="inlineStr">
        <is>
          <t>check</t>
        </is>
      </c>
      <c r="F11" s="21">
        <f>IF(Scenario=2,IF(MAX(MAX(Debt!J19:AW19),-MIN(Debt!J19:AW19))&lt;=Inputs!$F$59,0,MAX(MAX(Debt!J19:AW19),-MIN(Debt!J19:AW19))),0)</f>
        <v/>
      </c>
    </row>
    <row r="12">
      <c r="D12" t="inlineStr">
        <is>
          <t>Debt not above the gearing cap</t>
        </is>
      </c>
      <c r="E12" t="inlineStr">
        <is>
          <t>check</t>
        </is>
      </c>
      <c r="F12" s="21">
        <f>IF(Inputs!$F$33&lt;=Construction!$F$30,0,1)</f>
        <v/>
      </c>
    </row>
    <row r="13">
      <c r="D13" t="inlineStr">
        <is>
          <t>Debt repaid by final maturity (closing balance in the last repayment half-year)</t>
        </is>
      </c>
      <c r="E13" t="inlineStr">
        <is>
          <t>check</t>
        </is>
      </c>
      <c r="F13" s="21">
        <f>IF(ABS(INDEX(Debt!J12:AW12,1,Inputs!$F$35))&lt;=Inputs!$F$59,0,INDEX(Debt!J12:AW12,1,Inputs!$F$35))</f>
        <v/>
      </c>
    </row>
    <row r="14">
      <c r="D14" t="inlineStr">
        <is>
          <t>Contract profile sums to the commitment</t>
        </is>
      </c>
      <c r="E14" t="inlineStr">
        <is>
          <t>check</t>
        </is>
      </c>
      <c r="F14" s="21">
        <f>IF(ABS(Inputs!$G$57-Inputs!$F$33)&lt;=Inputs!$F$59,0,Inputs!$G$57-Inputs!$F$33)</f>
        <v/>
      </c>
    </row>
    <row r="15">
      <c r="D15" t="inlineStr">
        <is>
          <t>No negative cash after debt service and DSRA (min, if below 0)</t>
        </is>
      </c>
      <c r="E15" t="inlineStr">
        <is>
          <t>check</t>
        </is>
      </c>
      <c r="F15" s="21">
        <f>IF(MIN(Waterfall!J15:AW15)&gt;=-Inputs!$F$59,0,MIN(Waterfall!J15:AW15))</f>
        <v/>
      </c>
    </row>
    <row r="16">
      <c r="D16" t="inlineStr">
        <is>
          <t>DSRA released at final maturity (closing DSRA in the last repayment half-year)</t>
        </is>
      </c>
      <c r="E16" t="inlineStr">
        <is>
          <t>check</t>
        </is>
      </c>
      <c r="F16" s="21">
        <f>IF(ABS(INDEX(Waterfall!J14:AW14,1,Inputs!$F$35))&lt;=Inputs!$F$59,0,1)</f>
        <v/>
      </c>
    </row>
    <row r="17">
      <c r="D17" t="inlineStr">
        <is>
          <t>Energy shares H1 + H2 = 100% (operating year 1)</t>
        </is>
      </c>
      <c r="E17" t="inlineStr">
        <is>
          <t>check</t>
        </is>
      </c>
      <c r="F17" s="21">
        <f>IF(ABS(Operations!J17+Operations!K17-Inputs!$F$37*Inputs!$F$12)&lt;=Inputs!$F$59,0,1)</f>
        <v/>
      </c>
    </row>
    <row r="18">
      <c r="D18" t="inlineStr">
        <is>
          <t>Equity flows: contributions equal the equity commitment</t>
        </is>
      </c>
      <c r="E18" t="inlineStr">
        <is>
          <t>check</t>
        </is>
      </c>
      <c r="F18" s="21">
        <f>IF(ABS(-SUMIF(Returns!J8:BI8,"&lt;0")-Inputs!$F$34)&lt;=Inputs!$F$59,0,1)</f>
        <v/>
      </c>
    </row>
    <row r="20">
      <c r="D20" s="2" t="inlineStr">
        <is>
          <t>Sum of checks (0 = all pass)</t>
        </is>
      </c>
      <c r="E20" t="inlineStr">
        <is>
          <t>check</t>
        </is>
      </c>
      <c r="F20" s="21">
        <f>ABS(F7)+ABS(F8)+ABS(F9)+ABS(F10)+ABS(F11)+ABS(F12)+ABS(F13)+ABS(F14)+ABS(F15)+ABS(F16)+ABS(F17)+ABS(F18)</f>
        <v/>
      </c>
    </row>
  </sheetData>
  <conditionalFormatting sqref="F7:F20">
    <cfRule type="cellIs" priority="1" operator="notEqual" dxfId="0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2026-10-03T23:02:24Z</dcterms:created>
  <dcterms:modified xsi:type="dcterms:W3CDTF">2026-10-03T23:02:24Z</dcterms:modified>
</cp:coreProperties>
</file>