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n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Change in bank-case DSCR from 1.35x, by sensitivity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'Tornado'!M5</f>
            </strRef>
          </tx>
          <spPr>
            <a:ln>
              <a:prstDash val="solid"/>
            </a:ln>
          </spPr>
          <cat>
            <numRef>
              <f>'Tornado'!$K$6:$K$9</f>
            </numRef>
          </cat>
          <val>
            <numRef>
              <f>'Tornado'!$M$6:$M$9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Change in DSCR (x)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12" customWidth="1" min="4" max="4"/>
    <col width="12" customWidth="1" min="5" max="5"/>
    <col width="44" customWidth="1" min="6" max="6"/>
    <col width="10" customWidth="1" min="7" max="7"/>
    <col width="12" customWidth="1" min="8" max="8"/>
    <col width="2" customWidth="1" min="9" max="9"/>
    <col width="4" customWidth="1" min="10" max="10"/>
    <col width="44" customWidth="1" min="11" max="11"/>
    <col width="12" customWidth="1" min="12" max="12"/>
    <col width="12" customWidth="1" min="13" max="13"/>
  </cols>
  <sheetData>
    <row r="1">
      <c r="A1" s="1" t="inlineStr">
        <is>
          <t>Example 86.3: bank-case DSCR sensitivities in order of impact (Illustrative)</t>
        </is>
      </c>
    </row>
    <row r="2">
      <c r="A2" t="inlineStr">
        <is>
          <t>Inputs blue on yellow. Debt service fixed at USD 13.105 million; base bank-case DSCR 1.35x.</t>
        </is>
      </c>
    </row>
    <row r="4">
      <c r="B4" t="inlineStr">
        <is>
          <t>Base DSCR</t>
        </is>
      </c>
      <c r="C4" s="2" t="n">
        <v>1.35</v>
      </c>
    </row>
    <row r="5">
      <c r="B5" s="3" t="inlineStr">
        <is>
          <t>Sensitivity</t>
        </is>
      </c>
      <c r="C5" s="3" t="inlineStr">
        <is>
          <t>DSCR (x)</t>
        </is>
      </c>
      <c r="D5" s="3" t="inlineStr">
        <is>
          <t>Change (x)</t>
        </is>
      </c>
      <c r="E5" s="3" t="inlineStr">
        <is>
          <t>Abs change</t>
        </is>
      </c>
      <c r="F5" s="3" t="inlineStr">
        <is>
          <t>Sorted by impact (SORTBY)</t>
        </is>
      </c>
      <c r="G5" s="3" t="inlineStr">
        <is>
          <t>DSCR (x)</t>
        </is>
      </c>
      <c r="H5" s="3" t="inlineStr">
        <is>
          <t>Change (x)</t>
        </is>
      </c>
      <c r="J5" s="3" t="inlineStr">
        <is>
          <t>Rank</t>
        </is>
      </c>
      <c r="K5" s="3" t="inlineStr">
        <is>
          <t>Sensitivity (any Excel version)</t>
        </is>
      </c>
      <c r="L5" s="3" t="inlineStr">
        <is>
          <t>DSCR (x)</t>
        </is>
      </c>
      <c r="M5" s="3" t="inlineStr">
        <is>
          <t>Change (x)</t>
        </is>
      </c>
    </row>
    <row r="6">
      <c r="B6" s="4" t="inlineStr">
        <is>
          <t>Generation -10%</t>
        </is>
      </c>
      <c r="C6" s="2" t="n">
        <v>1.158</v>
      </c>
      <c r="D6" s="5">
        <f>C6-$C$4</f>
        <v/>
      </c>
      <c r="E6" s="5">
        <f>ABS(D6)</f>
        <v/>
      </c>
      <c r="F6">
        <f t="array" ref="F6:H9">_xlfn.SORTBY(B6:D9,E6:E9,-1)</f>
        <v/>
      </c>
      <c r="G6" s="5" t="n"/>
      <c r="H6" s="5" t="n"/>
      <c r="J6">
        <f>1</f>
        <v/>
      </c>
      <c r="K6">
        <f>INDEX($B$6:$B$9,MATCH(LARGE($E$6:$E$9,J6),$E$6:$E$9,0))</f>
        <v/>
      </c>
      <c r="L6" s="5">
        <f>INDEX($C$6:$C$9,MATCH(LARGE($E$6:$E$9,J6),$E$6:$E$9,0))</f>
        <v/>
      </c>
      <c r="M6" s="5">
        <f>INDEX($D$6:$D$9,MATCH(LARGE($E$6:$E$9,J6),$E$6:$E$9,0))</f>
        <v/>
      </c>
    </row>
    <row r="7">
      <c r="B7" s="4" t="inlineStr">
        <is>
          <t>Operating cost +10%</t>
        </is>
      </c>
      <c r="C7" s="2" t="n">
        <v>1.293</v>
      </c>
      <c r="D7" s="5">
        <f>C7-$C$4</f>
        <v/>
      </c>
      <c r="E7" s="5">
        <f>ABS(D7)</f>
        <v/>
      </c>
      <c r="G7" s="5" t="n"/>
      <c r="H7" s="5" t="n"/>
      <c r="J7">
        <f>J6+1</f>
        <v/>
      </c>
      <c r="K7">
        <f>INDEX($B$6:$B$9,MATCH(LARGE($E$6:$E$9,J7),$E$6:$E$9,0))</f>
        <v/>
      </c>
      <c r="L7" s="5">
        <f>INDEX($C$6:$C$9,MATCH(LARGE($E$6:$E$9,J7),$E$6:$E$9,0))</f>
        <v/>
      </c>
      <c r="M7" s="5">
        <f>INDEX($D$6:$D$9,MATCH(LARGE($E$6:$E$9,J7),$E$6:$E$9,0))</f>
        <v/>
      </c>
    </row>
    <row r="8">
      <c r="B8" s="4" t="inlineStr">
        <is>
          <t>Availability -2 points (95.0% against 97.0%)</t>
        </is>
      </c>
      <c r="C8" s="2" t="n">
        <v>1.31</v>
      </c>
      <c r="D8" s="5">
        <f>C8-$C$4</f>
        <v/>
      </c>
      <c r="E8" s="5">
        <f>ABS(D8)</f>
        <v/>
      </c>
      <c r="G8" s="5" t="n"/>
      <c r="H8" s="5" t="n"/>
      <c r="J8">
        <f>J7+1</f>
        <v/>
      </c>
      <c r="K8">
        <f>INDEX($B$6:$B$9,MATCH(LARGE($E$6:$E$9,J8),$E$6:$E$9,0))</f>
        <v/>
      </c>
      <c r="L8" s="5">
        <f>INDEX($C$6:$C$9,MATCH(LARGE($E$6:$E$9,J8),$E$6:$E$9,0))</f>
        <v/>
      </c>
      <c r="M8" s="5">
        <f>INDEX($D$6:$D$9,MATCH(LARGE($E$6:$E$9,J8),$E$6:$E$9,0))</f>
        <v/>
      </c>
    </row>
    <row r="9">
      <c r="B9" s="4" t="inlineStr">
        <is>
          <t>Interest +100 bps on the 20% unhedged share</t>
        </is>
      </c>
      <c r="C9" s="2" t="n">
        <v>1.332</v>
      </c>
      <c r="D9" s="5">
        <f>C9-$C$4</f>
        <v/>
      </c>
      <c r="E9" s="5">
        <f>ABS(D9)</f>
        <v/>
      </c>
      <c r="G9" s="5" t="n"/>
      <c r="H9" s="5" t="n"/>
      <c r="J9">
        <f>J8+1</f>
        <v/>
      </c>
      <c r="K9">
        <f>INDEX($B$6:$B$9,MATCH(LARGE($E$6:$E$9,J9),$E$6:$E$9,0))</f>
        <v/>
      </c>
      <c r="L9" s="5">
        <f>INDEX($C$6:$C$9,MATCH(LARGE($E$6:$E$9,J9),$E$6:$E$9,0))</f>
        <v/>
      </c>
      <c r="M9" s="5">
        <f>INDEX($D$6:$D$9,MATCH(LARGE($E$6:$E$9,J9),$E$6:$E$9,0))</f>
        <v/>
      </c>
    </row>
    <row r="12">
      <c r="B12" s="3" t="inlineStr">
        <is>
          <t>Checks (0 = pass)</t>
        </is>
      </c>
    </row>
    <row r="13">
      <c r="B13" t="inlineStr">
        <is>
          <t>No ties in absolute change (ordering is unique)</t>
        </is>
      </c>
      <c r="C13">
        <f>IF(SUMPRODUCT(1/COUNTIF(E6:E9,E6:E9))=COUNT(E6:E9),0,1)</f>
        <v/>
      </c>
    </row>
    <row r="14">
      <c r="B14" t="inlineStr">
        <is>
          <t>Ordered list is in descending absolute change</t>
        </is>
      </c>
      <c r="C14">
        <f>IF(AND(ABS(M6)&gt;=ABS(M7),ABS(M7)&gt;=ABS(M8),ABS(M8)&gt;=ABS(M9)),0,1)</f>
        <v/>
      </c>
    </row>
    <row r="15">
      <c r="B15" t="inlineStr">
        <is>
          <t>Ordered list keeps every sensitivity (sum of changes equal)</t>
        </is>
      </c>
      <c r="C15">
        <f>IF(ABS(SUM(M6:M9)-SUM(D6:D9))&lt;1E-9,0,1)</f>
        <v/>
      </c>
    </row>
    <row r="16">
      <c r="B16" s="3" t="inlineStr">
        <is>
          <t>Master check</t>
        </is>
      </c>
      <c r="C16">
        <f>SUM(C13:C15)</f>
        <v/>
      </c>
    </row>
  </sheetData>
  <conditionalFormatting sqref="C13:C16">
    <cfRule type="cellIs" priority="1" operator="notEqual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2026-10-03T23:09:49Z</dcterms:created>
  <dcterms:modified xsi:type="dcterms:W3CDTF">2026-10-03T23:09:49Z</dcterms:modified>
</cp:coreProperties>
</file>