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0.0000"/>
    <numFmt numFmtId="166" formatCode="0.0"/>
    <numFmt numFmtId="167" formatCode="0.0%"/>
    <numFmt numFmtId="168" formatCode="0.000"/>
    <numFmt numFmtId="169" formatCode="#,##0.0"/>
    <numFmt numFmtId="170" formatCode="0.0E+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FF"/>
    </font>
    <font>
      <i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2" fontId="3" fillId="2" borderId="0" pivotButton="0" quotePrefix="0" xfId="0"/>
    <xf numFmtId="167" fontId="3" fillId="2" borderId="0" pivotButton="0" quotePrefix="0" xfId="0"/>
    <xf numFmtId="10" fontId="3" fillId="2" borderId="0" pivotButton="0" quotePrefix="0" xfId="0"/>
    <xf numFmtId="1" fontId="3" fillId="2" borderId="0" pivotButton="0" quotePrefix="0" xfId="0"/>
    <xf numFmtId="9" fontId="3" fillId="2" borderId="0" pivotButton="0" quotePrefix="0" xfId="0"/>
    <xf numFmtId="167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3" fontId="3" fillId="2" borderId="0" pivotButton="0" quotePrefix="0" xfId="0"/>
    <xf numFmtId="166" fontId="3" fillId="2" borderId="0" pivotButton="0" quotePrefix="0" xfId="0"/>
    <xf numFmtId="168" fontId="3" fillId="2" borderId="0" pivotButton="0" quotePrefix="0" xfId="0"/>
    <xf numFmtId="169" fontId="0" fillId="0" borderId="0" pivotButton="0" quotePrefix="0" xfId="0"/>
    <xf numFmtId="49" fontId="0" fillId="0" borderId="0" pivotButton="0" quotePrefix="0" xfId="0"/>
    <xf numFmtId="170" fontId="3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4" customWidth="1" min="4" max="4"/>
    <col width="52" customWidth="1" min="5" max="5"/>
    <col width="12" customWidth="1" min="6" max="6"/>
    <col width="14" customWidth="1" min="7" max="7"/>
    <col width="4" customWidth="1" min="8" max="8"/>
    <col width="4" customWidth="1" min="9" max="9"/>
  </cols>
  <sheetData>
    <row r="1">
      <c r="A1" s="1" t="inlineStr">
        <is>
          <t>One-hour screen: debt capacity by annuity (Equation 85.1) and breakeven revenue (Equation 85.2). Illustrative.</t>
        </is>
      </c>
    </row>
    <row r="2">
      <c r="A2" t="inlineStr">
        <is>
          <t>Inputs blue on yellow; checks 0 when passing. Left: Example 85.1 (EUR m). Right: Example 85.2 (EUR m).</t>
        </is>
      </c>
    </row>
    <row r="3">
      <c r="E3" s="2" t="inlineStr">
        <is>
          <t>Revenue in the test year = AADT x days x toll</t>
        </is>
      </c>
      <c r="F3" t="inlineStr">
        <is>
          <t>EUR m</t>
        </is>
      </c>
      <c r="G3" s="3">
        <f>G18*G19*G20/1000000</f>
        <v/>
      </c>
    </row>
    <row r="4">
      <c r="A4" s="4" t="inlineStr">
        <is>
          <t>Equation 85.1: screening debt capacity (Example 85.1, Écija solar)</t>
        </is>
      </c>
      <c r="E4" s="4" t="inlineStr">
        <is>
          <t>Equation 85.2: breakeven revenue for a DSCR test (Example 85.2, toll motorway, OY3 2030)</t>
        </is>
      </c>
      <c r="F4" t="inlineStr">
        <is>
          <t>EUR m</t>
        </is>
      </c>
      <c r="G4" s="5">
        <f>G21</f>
        <v/>
      </c>
    </row>
    <row r="5">
      <c r="E5" t="inlineStr">
        <is>
          <t>DSCR test (default level)</t>
        </is>
      </c>
      <c r="F5" t="inlineStr">
        <is>
          <t>x</t>
        </is>
      </c>
      <c r="G5" s="6" t="n">
        <v>1</v>
      </c>
    </row>
    <row r="6">
      <c r="A6" t="inlineStr">
        <is>
          <t>DSCR target on P50</t>
        </is>
      </c>
      <c r="B6" t="inlineStr">
        <is>
          <t>x</t>
        </is>
      </c>
      <c r="C6" s="6" t="n">
        <v>1.3</v>
      </c>
      <c r="E6" t="inlineStr">
        <is>
          <t>Fixed operating cost</t>
        </is>
      </c>
      <c r="F6" t="inlineStr">
        <is>
          <t>EUR m pa</t>
        </is>
      </c>
      <c r="G6" s="6" t="n">
        <v>9.4</v>
      </c>
    </row>
    <row r="7">
      <c r="A7" t="inlineStr">
        <is>
          <t>DSCR target on one-year P99</t>
        </is>
      </c>
      <c r="B7" t="inlineStr">
        <is>
          <t>x</t>
        </is>
      </c>
      <c r="C7" s="6" t="n">
        <v>1</v>
      </c>
      <c r="E7" t="inlineStr">
        <is>
          <t>Variable cost as a share of revenue</t>
        </is>
      </c>
      <c r="F7" t="inlineStr">
        <is>
          <t>%</t>
        </is>
      </c>
      <c r="G7" s="7" t="n">
        <v>0.06</v>
      </c>
    </row>
    <row r="8">
      <c r="A8" t="inlineStr">
        <is>
          <t>All-in cost of debt</t>
        </is>
      </c>
      <c r="B8" t="inlineStr">
        <is>
          <t>% pa</t>
        </is>
      </c>
      <c r="C8" s="8" t="n">
        <v>0.0515</v>
      </c>
      <c r="E8" t="inlineStr">
        <is>
          <t>CFADS = revenue x (1 - v) - fixed cost</t>
        </is>
      </c>
      <c r="F8" t="inlineStr">
        <is>
          <t>EUR m</t>
        </is>
      </c>
      <c r="G8" s="3">
        <f>G3*(1-G7)-G6</f>
        <v/>
      </c>
    </row>
    <row r="9">
      <c r="A9" t="inlineStr">
        <is>
          <t>Tenor</t>
        </is>
      </c>
      <c r="B9" t="inlineStr">
        <is>
          <t>years</t>
        </is>
      </c>
      <c r="C9" s="9" t="n">
        <v>11</v>
      </c>
      <c r="E9" t="inlineStr">
        <is>
          <t>Breakeven revenue for the DSCR test =(G5*G4+G6)/(1-G7)</t>
        </is>
      </c>
      <c r="F9" t="inlineStr">
        <is>
          <t>EUR m</t>
        </is>
      </c>
      <c r="G9" s="3">
        <f>(G5*G4+G6)/(1-G7)</f>
        <v/>
      </c>
    </row>
    <row r="10">
      <c r="A10" t="inlineStr">
        <is>
          <t>Gearing cap</t>
        </is>
      </c>
      <c r="B10" t="inlineStr">
        <is>
          <t>%</t>
        </is>
      </c>
      <c r="C10" s="10" t="n">
        <v>0.8</v>
      </c>
      <c r="E10" t="inlineStr">
        <is>
          <t>Revenue (traffic) decline to the DSCR test =1-G9/G3</t>
        </is>
      </c>
      <c r="F10" t="inlineStr">
        <is>
          <t>%</t>
        </is>
      </c>
      <c r="G10" s="11">
        <f>1-G9/G3</f>
        <v/>
      </c>
    </row>
    <row r="11">
      <c r="A11" t="inlineStr">
        <is>
          <t>Total project cost = capacity x cost per MWac</t>
        </is>
      </c>
      <c r="B11" t="inlineStr">
        <is>
          <t>EUR m</t>
        </is>
      </c>
      <c r="C11" s="12">
        <f>C20*C25</f>
        <v/>
      </c>
      <c r="E11" t="inlineStr">
        <is>
          <t>AADT at the DSCR test</t>
        </is>
      </c>
      <c r="F11" t="inlineStr">
        <is>
          <t>vehicles</t>
        </is>
      </c>
      <c r="G11" s="13">
        <f>G18*(1-G10)</f>
        <v/>
      </c>
    </row>
    <row r="12">
      <c r="A12" t="inlineStr">
        <is>
          <t>CFADS, P50 = revenue P50 - opex</t>
        </is>
      </c>
      <c r="B12" t="inlineStr">
        <is>
          <t>EUR m</t>
        </is>
      </c>
      <c r="C12" s="3">
        <f>C27-C24</f>
        <v/>
      </c>
      <c r="E12" t="inlineStr">
        <is>
          <t>DSCR in the test year</t>
        </is>
      </c>
      <c r="F12" t="inlineStr">
        <is>
          <t>x</t>
        </is>
      </c>
      <c r="G12" s="14">
        <f>G8/G4</f>
        <v/>
      </c>
    </row>
    <row r="13">
      <c r="A13" t="inlineStr">
        <is>
          <t>CFADS, one-year P99 = revenue x P99 factor - opex</t>
        </is>
      </c>
      <c r="B13" t="inlineStr">
        <is>
          <t>EUR m</t>
        </is>
      </c>
      <c r="C13" s="3">
        <f>C27*C23-C24</f>
        <v/>
      </c>
      <c r="E13" t="inlineStr">
        <is>
          <t>Lock-up ratio</t>
        </is>
      </c>
      <c r="F13" t="inlineStr">
        <is>
          <t>x</t>
        </is>
      </c>
      <c r="G13" s="6" t="n">
        <v>1.2</v>
      </c>
    </row>
    <row r="14">
      <c r="A14" t="inlineStr">
        <is>
          <t>Annuity factor PV(C8, C9, -1)</t>
        </is>
      </c>
      <c r="B14" t="inlineStr">
        <is>
          <t>factor</t>
        </is>
      </c>
      <c r="C14" s="15">
        <f>PV(C8,C9,-1)</f>
        <v/>
      </c>
      <c r="E14" t="inlineStr">
        <is>
          <t>Breakeven revenue for lock-up =(G13*G4+G6)/(1-G7)</t>
        </is>
      </c>
      <c r="F14" t="inlineStr">
        <is>
          <t>EUR m</t>
        </is>
      </c>
      <c r="G14" s="3">
        <f>(G13*G4+G6)/(1-G7)</f>
        <v/>
      </c>
    </row>
    <row r="15">
      <c r="A15" t="inlineStr">
        <is>
          <t>Debt capacity before the gearing cap =MIN(C12/C6,C13/C7)*PV(C8,C9,-1)</t>
        </is>
      </c>
      <c r="B15" t="inlineStr">
        <is>
          <t>EUR m</t>
        </is>
      </c>
      <c r="C15" s="12">
        <f>MIN(C12/C6,C13/C7)*PV(C8,C9,-1)</f>
        <v/>
      </c>
      <c r="E15" t="inlineStr">
        <is>
          <t>Revenue (traffic) decline to lock-up =1-G14/G3</t>
        </is>
      </c>
      <c r="F15" t="inlineStr">
        <is>
          <t>%</t>
        </is>
      </c>
      <c r="G15" s="11">
        <f>1-G14/G3</f>
        <v/>
      </c>
    </row>
    <row r="16">
      <c r="A16" t="inlineStr">
        <is>
          <t>Debt capacity =MIN(C15,C10*C11)</t>
        </is>
      </c>
      <c r="B16" t="inlineStr">
        <is>
          <t>EUR m</t>
        </is>
      </c>
      <c r="C16" s="12">
        <f>MIN(C15,C10*C11)</f>
        <v/>
      </c>
      <c r="E16" t="inlineStr">
        <is>
          <t>AADT at lock-up</t>
        </is>
      </c>
      <c r="F16" t="inlineStr">
        <is>
          <t>vehicles</t>
        </is>
      </c>
      <c r="G16" s="13">
        <f>G18*(1-G15)</f>
        <v/>
      </c>
    </row>
    <row r="17">
      <c r="E17" s="4" t="inlineStr">
        <is>
          <t>Example 85.2 inputs</t>
        </is>
      </c>
    </row>
    <row r="18">
      <c r="A18" s="4" t="inlineStr">
        <is>
          <t>Example 85.1 inputs</t>
        </is>
      </c>
      <c r="E18" t="inlineStr">
        <is>
          <t>Forecast AADT</t>
        </is>
      </c>
      <c r="F18" t="inlineStr">
        <is>
          <t>vehicles</t>
        </is>
      </c>
      <c r="G18" s="16" t="n">
        <v>31420</v>
      </c>
    </row>
    <row r="19">
      <c r="A19" t="inlineStr">
        <is>
          <t>Hours per year</t>
        </is>
      </c>
      <c r="B19" t="inlineStr">
        <is>
          <t>h</t>
        </is>
      </c>
      <c r="C19" s="16" t="n">
        <v>8760</v>
      </c>
      <c r="E19" t="inlineStr">
        <is>
          <t>Days per year</t>
        </is>
      </c>
      <c r="F19" t="inlineStr">
        <is>
          <t>days</t>
        </is>
      </c>
      <c r="G19" s="9" t="n">
        <v>365</v>
      </c>
    </row>
    <row r="20">
      <c r="A20" t="inlineStr">
        <is>
          <t>Capacity</t>
        </is>
      </c>
      <c r="B20" t="inlineStr">
        <is>
          <t>MWac</t>
        </is>
      </c>
      <c r="C20" s="17" t="n">
        <v>148.6</v>
      </c>
      <c r="E20" t="inlineStr">
        <is>
          <t>Average toll per vehicle</t>
        </is>
      </c>
      <c r="F20" t="inlineStr">
        <is>
          <t>EUR</t>
        </is>
      </c>
      <c r="G20" s="6" t="n">
        <v>4.85</v>
      </c>
    </row>
    <row r="21">
      <c r="A21" t="inlineStr">
        <is>
          <t>P50 net capacity factor (AC)</t>
        </is>
      </c>
      <c r="B21" t="inlineStr">
        <is>
          <t>%</t>
        </is>
      </c>
      <c r="C21" s="7" t="n">
        <v>0.243</v>
      </c>
      <c r="E21" t="inlineStr">
        <is>
          <t>Scheduled debt service</t>
        </is>
      </c>
      <c r="F21" t="inlineStr">
        <is>
          <t>EUR m</t>
        </is>
      </c>
      <c r="G21" s="6" t="n">
        <v>29.65</v>
      </c>
    </row>
    <row r="22">
      <c r="A22" t="inlineStr">
        <is>
          <t>One-year P90 as a share of P50</t>
        </is>
      </c>
      <c r="B22" t="inlineStr">
        <is>
          <t>%</t>
        </is>
      </c>
      <c r="C22" s="7" t="n">
        <v>0.921</v>
      </c>
      <c r="E22" s="4" t="inlineStr">
        <is>
          <t>Verdict (Equation 85.2)</t>
        </is>
      </c>
      <c r="G22">
        <f>"Debt service is met down to a "&amp;TEXT(G10,"0.0%")&amp;" traffic fall; distributions lock up after a "&amp;TEXT(G15,"0.0%")&amp;" fall"</f>
        <v/>
      </c>
    </row>
    <row r="23">
      <c r="A23" t="inlineStr">
        <is>
          <t>One-year P99 as a share of P50</t>
        </is>
      </c>
      <c r="B23" t="inlineStr">
        <is>
          <t>%</t>
        </is>
      </c>
      <c r="C23" s="7" t="n">
        <v>0.874</v>
      </c>
    </row>
    <row r="24">
      <c r="A24" t="inlineStr">
        <is>
          <t>Operating cost (flat for the screen)</t>
        </is>
      </c>
      <c r="B24" t="inlineStr">
        <is>
          <t>EUR m pa</t>
        </is>
      </c>
      <c r="C24" s="6" t="n">
        <v>2.38</v>
      </c>
    </row>
    <row r="25">
      <c r="A25" t="inlineStr">
        <is>
          <t>Total project cost per MWac</t>
        </is>
      </c>
      <c r="B25" t="inlineStr">
        <is>
          <t>EUR m/MWac</t>
        </is>
      </c>
      <c r="C25" s="18" t="n">
        <v>0.612</v>
      </c>
    </row>
    <row r="26">
      <c r="A26" t="inlineStr">
        <is>
          <t>PPA price (12 years, flat nominal)</t>
        </is>
      </c>
      <c r="B26" t="inlineStr">
        <is>
          <t>EUR/MWh</t>
        </is>
      </c>
      <c r="C26" s="6" t="n">
        <v>41.7</v>
      </c>
    </row>
    <row r="27">
      <c r="A27" t="inlineStr">
        <is>
          <t>Revenue, P50 = MWac x hours x factor x price</t>
        </is>
      </c>
      <c r="B27" t="inlineStr">
        <is>
          <t>EUR m</t>
        </is>
      </c>
      <c r="C27" s="3">
        <f>C20*C19*C21*C26/1000000</f>
        <v/>
      </c>
    </row>
    <row r="28">
      <c r="A28" t="inlineStr">
        <is>
          <t>P50 energy</t>
        </is>
      </c>
      <c r="B28" t="inlineStr">
        <is>
          <t>MWh</t>
        </is>
      </c>
      <c r="C28" s="19">
        <f>C20*C19*C21</f>
        <v/>
      </c>
    </row>
    <row r="29">
      <c r="A29" t="inlineStr">
        <is>
          <t>CFADS, one-year P90</t>
        </is>
      </c>
      <c r="B29" t="inlineStr">
        <is>
          <t>EUR m</t>
        </is>
      </c>
      <c r="C29" s="3">
        <f>C27*C22-C24</f>
        <v/>
      </c>
    </row>
    <row r="30">
      <c r="A30" t="inlineStr">
        <is>
          <t>Annual debt service at the chosen debt</t>
        </is>
      </c>
      <c r="B30" t="inlineStr">
        <is>
          <t>EUR m</t>
        </is>
      </c>
      <c r="C30" s="3">
        <f>C16/C14</f>
        <v/>
      </c>
    </row>
    <row r="31">
      <c r="A31" t="inlineStr">
        <is>
          <t>DSCR at P50</t>
        </is>
      </c>
      <c r="B31" t="inlineStr">
        <is>
          <t>x</t>
        </is>
      </c>
      <c r="C31" s="15">
        <f>C12/C30</f>
        <v/>
      </c>
    </row>
    <row r="32">
      <c r="A32" t="inlineStr">
        <is>
          <t>DSCR at one-year P90</t>
        </is>
      </c>
      <c r="B32" t="inlineStr">
        <is>
          <t>x</t>
        </is>
      </c>
      <c r="C32" s="15">
        <f>C29/C30</f>
        <v/>
      </c>
    </row>
    <row r="33">
      <c r="A33" t="inlineStr">
        <is>
          <t>DSCR at one-year P99</t>
        </is>
      </c>
      <c r="B33" t="inlineStr">
        <is>
          <t>x</t>
        </is>
      </c>
      <c r="C33" s="15">
        <f>C13/C30</f>
        <v/>
      </c>
    </row>
    <row r="34">
      <c r="A34" t="inlineStr">
        <is>
          <t>Gearing = debt / total cost</t>
        </is>
      </c>
      <c r="B34" t="inlineStr">
        <is>
          <t>%</t>
        </is>
      </c>
      <c r="C34" s="11">
        <f>C16/C11</f>
        <v/>
      </c>
    </row>
    <row r="35">
      <c r="A35" t="inlineStr">
        <is>
          <t>Capacity allowed by the P99 test alone</t>
        </is>
      </c>
      <c r="B35" t="inlineStr">
        <is>
          <t>EUR m</t>
        </is>
      </c>
      <c r="C35" s="12">
        <f>C13/C7*C14</f>
        <v/>
      </c>
    </row>
    <row r="36">
      <c r="A36" t="inlineStr">
        <is>
          <t>Binding constraint</t>
        </is>
      </c>
      <c r="B36" t="inlineStr">
        <is>
          <t>text</t>
        </is>
      </c>
      <c r="C36" s="20">
        <f>IF(C15&gt;C10*C11,"gearing cap",IF(C12/C6&lt;=C13/C7,"P50 DSCR test","P99 DSCR test"))</f>
        <v/>
      </c>
    </row>
    <row r="38">
      <c r="A38" s="4" t="inlineStr">
        <is>
          <t>Verdict (Equation 85.1)</t>
        </is>
      </c>
      <c r="C38">
        <f>IF(AND(C31&gt;=C6-$C$40,C33&gt;=C7-$C$40,C34&lt;=C10),"Screen passes: debt EUR "&amp;TEXT(C16,"0.00")&amp;" million, gearing "&amp;TEXT(C34,"0.0%")&amp;", "&amp;C36&amp;" binds","Screen fails: revisit the debt or the structure")</f>
        <v/>
      </c>
    </row>
    <row r="40">
      <c r="A40" t="inlineStr">
        <is>
          <t>Check tolerance</t>
        </is>
      </c>
      <c r="B40" t="inlineStr">
        <is>
          <t>x or EUR m</t>
        </is>
      </c>
      <c r="C40" s="21" t="n">
        <v>1e-06</v>
      </c>
    </row>
    <row r="41">
      <c r="A41" s="4" t="inlineStr">
        <is>
          <t>Checks (0 = pass)</t>
        </is>
      </c>
    </row>
    <row r="42">
      <c r="A42" t="inlineStr">
        <is>
          <t>Debt capacity not above the gearing cap</t>
        </is>
      </c>
      <c r="B42" t="inlineStr">
        <is>
          <t>check</t>
        </is>
      </c>
      <c r="C42">
        <f>IF(C16&lt;=C10*C11+$C$40,0,1)</f>
        <v/>
      </c>
    </row>
    <row r="43">
      <c r="A43" t="inlineStr">
        <is>
          <t>P99 DSCR at the chosen debt not below its target</t>
        </is>
      </c>
      <c r="B43" t="inlineStr">
        <is>
          <t>check</t>
        </is>
      </c>
      <c r="C43">
        <f>IF(C33&gt;=C7-$C$40,0,1)</f>
        <v/>
      </c>
    </row>
    <row r="44">
      <c r="A44" t="inlineStr">
        <is>
          <t>Annuity check: debt = PV of the annual debt service at the rate</t>
        </is>
      </c>
      <c r="B44" t="inlineStr">
        <is>
          <t>check</t>
        </is>
      </c>
      <c r="C44">
        <f>IF(ABS(PV(C8,C9,-C30)-C16)&lt;=$C$40,0,1)</f>
        <v/>
      </c>
    </row>
    <row r="45">
      <c r="A45" t="inlineStr">
        <is>
          <t>Breakeven revenue reproduces the DSCR test</t>
        </is>
      </c>
      <c r="B45" t="inlineStr">
        <is>
          <t>check</t>
        </is>
      </c>
      <c r="C45">
        <f>IF(ABS((G9*(1-G7)-G6)/G4-G5)&lt;=$C$40,0,1)</f>
        <v/>
      </c>
    </row>
    <row r="46">
      <c r="A46" t="inlineStr">
        <is>
          <t>Breakeven revenue reproduces the lock-up ratio</t>
        </is>
      </c>
      <c r="B46" t="inlineStr">
        <is>
          <t>check</t>
        </is>
      </c>
      <c r="C46">
        <f>IF(ABS((G14*(1-G7)-G6)/G4-G13)&lt;=$C$40,0,1)</f>
        <v/>
      </c>
    </row>
    <row r="47">
      <c r="A47" t="inlineStr">
        <is>
          <t>Lock-up breakeven lies above the DSCR-test breakeven</t>
        </is>
      </c>
      <c r="B47" t="inlineStr">
        <is>
          <t>check</t>
        </is>
      </c>
      <c r="C47">
        <f>IF(G14&gt;G9,0,1)</f>
        <v/>
      </c>
    </row>
    <row r="48">
      <c r="A48" s="4" t="inlineStr">
        <is>
          <t>Master check</t>
        </is>
      </c>
      <c r="C48">
        <f>SUM(C42:C47)</f>
        <v/>
      </c>
    </row>
  </sheetData>
  <conditionalFormatting sqref="C42:C48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2026-10-03T23:09:17Z</dcterms:created>
  <dcterms:modified xsi:type="dcterms:W3CDTF">2026-10-03T23:09:17Z</dcterms:modified>
</cp:coreProperties>
</file>