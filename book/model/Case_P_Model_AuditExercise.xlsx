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  <sheet name="AuditKey" sheetId="16" state="visible" r:id="rId16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654.6335649688092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205.2822002103596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0.02392266780166877</v>
      </c>
      <c r="Q298" s="6" t="n">
        <v>0.02454614391592512</v>
      </c>
      <c r="R298" s="6" t="n">
        <v>0.02555674578798327</v>
      </c>
      <c r="S298" s="6" t="n">
        <v>0.02624386397929464</v>
      </c>
      <c r="T298" s="6" t="n">
        <v>0.0280198871951497</v>
      </c>
      <c r="U298" s="6" t="n">
        <v>0.02842968849865342</v>
      </c>
      <c r="V298" s="6" t="n">
        <v>0.02902462138855125</v>
      </c>
      <c r="W298" s="6" t="n">
        <v>0.03009523497947188</v>
      </c>
      <c r="X298" s="6" t="n">
        <v>0.03085090837794667</v>
      </c>
      <c r="Y298" s="6" t="n">
        <v>0.03117754709209612</v>
      </c>
      <c r="Z298" s="6" t="n">
        <v>0.03251978689750772</v>
      </c>
      <c r="AA298" s="6" t="n">
        <v>0.03351802482461583</v>
      </c>
      <c r="AB298" s="6" t="n">
        <v>0.03568353293469283</v>
      </c>
      <c r="AC298" s="6" t="n">
        <v>0.03603291784291471</v>
      </c>
      <c r="AD298" s="6" t="n">
        <v>0.03782566855372986</v>
      </c>
      <c r="AE298" s="6" t="n">
        <v>0.03930240289051411</v>
      </c>
      <c r="AF298" s="6" t="n">
        <v>0.04288940539490554</v>
      </c>
      <c r="AG298" s="6" t="n">
        <v>0.04417160329008456</v>
      </c>
      <c r="AH298" s="6" t="n">
        <v>0.04612909026893513</v>
      </c>
      <c r="AI298" s="6" t="n">
        <v>0.04759606862657972</v>
      </c>
      <c r="AJ298" s="6" t="n">
        <v>0.05044534581552167</v>
      </c>
      <c r="AK298" s="6" t="n">
        <v>0.05164454173346997</v>
      </c>
      <c r="AL298" s="6" t="n">
        <v>0.05334294141157599</v>
      </c>
      <c r="AM298" s="6" t="n">
        <v>0.05523807330280946</v>
      </c>
      <c r="AN298" s="6" t="n">
        <v>0.0568902733573489</v>
      </c>
      <c r="AO298" s="6" t="n">
        <v>0.0589030138380523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523.706851937146</v>
      </c>
      <c r="Q301" s="6" t="n">
        <v>511.178386892796</v>
      </c>
      <c r="R301" s="6" t="n">
        <v>498.3234031353907</v>
      </c>
      <c r="S301" s="6" t="n">
        <v>484.939160253008</v>
      </c>
      <c r="T301" s="6" t="n">
        <v>471.1950688657449</v>
      </c>
      <c r="U301" s="6" t="n">
        <v>456.5208619511391</v>
      </c>
      <c r="V301" s="6" t="n">
        <v>441.6320392859556</v>
      </c>
      <c r="W301" s="6" t="n">
        <v>426.4316461898899</v>
      </c>
      <c r="X301" s="6" t="n">
        <v>410.670565420482</v>
      </c>
      <c r="Y301" s="6" t="n">
        <v>394.5137333144662</v>
      </c>
      <c r="Z301" s="6" t="n">
        <v>378.1858382757424</v>
      </c>
      <c r="AA301" s="6" t="n">
        <v>361.1550030539818</v>
      </c>
      <c r="AB301" s="6" t="n">
        <v>343.601383789931</v>
      </c>
      <c r="AC301" s="6" t="n">
        <v>324.9136730907077</v>
      </c>
      <c r="AD301" s="6" t="n">
        <v>306.0429871210849</v>
      </c>
      <c r="AE301" s="6" t="n">
        <v>286.2334253203931</v>
      </c>
      <c r="AF301" s="6" t="n">
        <v>265.6504876290365</v>
      </c>
      <c r="AG301" s="6" t="n">
        <v>243.1890121482145</v>
      </c>
      <c r="AH301" s="6" t="n">
        <v>220.0560408441478</v>
      </c>
      <c r="AI301" s="6" t="n">
        <v>195.8979201966794</v>
      </c>
      <c r="AJ301" s="6" t="n">
        <v>170.9715329316689</v>
      </c>
      <c r="AK301" s="6" t="n">
        <v>144.5529596797414</v>
      </c>
      <c r="AL301" s="6" t="n">
        <v>117.5063593087692</v>
      </c>
      <c r="AM301" s="6" t="n">
        <v>89.57029538904513</v>
      </c>
      <c r="AN301" s="6" t="n">
        <v>60.64173791255745</v>
      </c>
      <c r="AO301" s="6" t="n">
        <v>30.84791194673654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73.19638124762608</v>
      </c>
      <c r="L309" s="6" t="n">
        <v>74.67946239953815</v>
      </c>
      <c r="M309" s="6" t="n">
        <v>76.57139680476166</v>
      </c>
      <c r="N309" s="6" t="n">
        <v>79.25598227449528</v>
      </c>
      <c r="O309" s="6" t="n">
        <v>83.12578691088112</v>
      </c>
      <c r="P309" s="6" t="n">
        <v>88.48835197709543</v>
      </c>
      <c r="Q309" s="6" t="n">
        <v>95.49171221284163</v>
      </c>
      <c r="R309" s="6" t="n">
        <v>104.3698997617098</v>
      </c>
      <c r="S309" s="6" t="n">
        <v>115.128048112535</v>
      </c>
      <c r="T309" s="6" t="n">
        <v>127.7934260725741</v>
      </c>
      <c r="U309" s="6" t="n">
        <v>142.2505630606629</v>
      </c>
      <c r="V309" s="6" t="n">
        <v>158.4392155208578</v>
      </c>
      <c r="W309" s="6" t="n">
        <v>176.1364752576458</v>
      </c>
      <c r="X309" s="6" t="n">
        <v>195.0939697618758</v>
      </c>
      <c r="Y309" s="6" t="n">
        <v>215.0844771618137</v>
      </c>
      <c r="Z309" s="6" t="n">
        <v>235.7735753896208</v>
      </c>
      <c r="AA309" s="6" t="n">
        <v>256.8890582614347</v>
      </c>
      <c r="AB309" s="6" t="n">
        <v>278.8136177836356</v>
      </c>
      <c r="AC309" s="6" t="n">
        <v>299.7483327392383</v>
      </c>
      <c r="AD309" s="6" t="n">
        <v>320.1711342509395</v>
      </c>
      <c r="AE309" s="6" t="n">
        <v>339.7078840383886</v>
      </c>
      <c r="AF309" s="6" t="n">
        <v>358.13553524933</v>
      </c>
      <c r="AG309" s="6" t="n">
        <v>375.161458098032</v>
      </c>
      <c r="AH309" s="6" t="n">
        <v>390.6614145507713</v>
      </c>
      <c r="AI309" s="6" t="n">
        <v>404.4469329527338</v>
      </c>
      <c r="AJ309" s="6" t="n">
        <v>416.4034690399866</v>
      </c>
      <c r="AK309" s="6" t="n">
        <v>426.5694166239568</v>
      </c>
      <c r="AL309" s="6" t="n">
        <v>434.9386061182598</v>
      </c>
      <c r="AM309" s="6" t="n">
        <v>441.6990152668543</v>
      </c>
      <c r="AN309" s="6" t="n">
        <v>447.044235304092</v>
      </c>
      <c r="AO309" s="6" t="n">
        <v>451.1534174933294</v>
      </c>
      <c r="AP309" s="6" t="n">
        <v>454.5638666665233</v>
      </c>
      <c r="AQ309" s="6" t="n">
        <v>487.2304783947756</v>
      </c>
      <c r="AR309" s="6" t="n">
        <v>521.3236020388853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1.347992316049117</v>
      </c>
      <c r="AO314" s="6" t="n">
        <v>1.348666373250509</v>
      </c>
      <c r="AP314" s="6" t="n">
        <v>0.1326511003801645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1.332320674024706</v>
      </c>
      <c r="AO315" s="6" t="n">
        <v>1.332534156573854</v>
      </c>
      <c r="AP315" s="6" t="n">
        <v>0.1299737649639728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1.346611652244882</v>
      </c>
      <c r="AO316" s="6" t="n">
        <v>1.350468128612468</v>
      </c>
      <c r="AP316" s="6" t="n">
        <v>0.1339943287829712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1.325313514438141</v>
      </c>
      <c r="AO317" s="6" t="n">
        <v>1.325570646935207</v>
      </c>
      <c r="AP317" s="6" t="n">
        <v>0.1281151038748796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1.355870531027698</v>
      </c>
      <c r="AO318" s="6" t="n">
        <v>1.355870531027698</v>
      </c>
      <c r="AP318" s="6" t="n">
        <v>0.1395581702134771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1.328499808673063</v>
      </c>
      <c r="AO319" s="6" t="n">
        <v>1.328499808673063</v>
      </c>
      <c r="AP319" s="6" t="n">
        <v>0.1316058208627126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1.347283359347321</v>
      </c>
      <c r="AO320" s="6" t="n">
        <v>1.352903453403872</v>
      </c>
      <c r="AP320" s="6" t="n">
        <v>0.1389446568870808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1.348209512750431</v>
      </c>
      <c r="AO321" s="6" t="n">
        <v>1.348807208366115</v>
      </c>
      <c r="AP321" s="6" t="n">
        <v>0.1329215983211633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1.329151432607916</v>
      </c>
      <c r="AO322" s="6" t="n">
        <v>1.331964856360063</v>
      </c>
      <c r="AP322" s="6" t="n">
        <v>0.1297117013118935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1.34855408395866</v>
      </c>
      <c r="AO323" s="6" t="n">
        <v>1.34855408395866</v>
      </c>
      <c r="AP323" s="6" t="n">
        <v>0.1342977527404504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1.349339183879664</v>
      </c>
      <c r="AO324" s="6" t="n">
        <v>1.349339183879664</v>
      </c>
      <c r="AP324" s="6" t="n">
        <v>0.1358960685211504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1.349160949432461</v>
      </c>
      <c r="AO325" s="6" t="n">
        <v>1.349160949432461</v>
      </c>
      <c r="AP325" s="6" t="n">
        <v>0.1371811807328325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1.327179834020766</v>
      </c>
      <c r="AO326" s="6" t="n">
        <v>1.327470219408293</v>
      </c>
      <c r="AP326" s="6" t="n">
        <v>0.1283072126265951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1.343834732567319</v>
      </c>
      <c r="AO327" s="6" t="n">
        <v>1.343846437592112</v>
      </c>
      <c r="AP327" s="6" t="n">
        <v>0.1317162793171253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1.340774234922304</v>
      </c>
      <c r="AO328" s="6" t="n">
        <v>1.340997422729415</v>
      </c>
      <c r="AP328" s="6" t="n">
        <v>0.1312717099941715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1.346637374056797</v>
      </c>
      <c r="AO329" s="6" t="n">
        <v>1.346637374056797</v>
      </c>
      <c r="AP329" s="6" t="n">
        <v>0.1363370743562085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1.308428752408789</v>
      </c>
      <c r="AO330" s="6" t="n">
        <v>1.313749091859662</v>
      </c>
      <c r="AP330" s="6" t="n">
        <v>0.1292564502814826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1.338521643837311</v>
      </c>
      <c r="AO331" s="6" t="n">
        <v>1.347913885628104</v>
      </c>
      <c r="AP331" s="6" t="n">
        <v>0.136478381347879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1.348220419322331</v>
      </c>
      <c r="AO332" s="6" t="n">
        <v>1.349022109958552</v>
      </c>
      <c r="AP332" s="6" t="n">
        <v>0.133899773585554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1.336733217636725</v>
      </c>
      <c r="AO333" s="6" t="n">
        <v>1.337516991476851</v>
      </c>
      <c r="AP333" s="6" t="n">
        <v>0.1311382980352465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1.354124799687046</v>
      </c>
      <c r="AO334" s="6" t="n">
        <v>1.355428354595454</v>
      </c>
      <c r="AP334" s="6" t="n">
        <v>0.1343684593526724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1.336395397740432</v>
      </c>
      <c r="AO335" s="6" t="n">
        <v>1.336923529783003</v>
      </c>
      <c r="AP335" s="6" t="n">
        <v>0.1301279442182323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1.335656858831045</v>
      </c>
      <c r="AO336" s="6" t="n">
        <v>1.335899691029721</v>
      </c>
      <c r="AP336" s="6" t="n">
        <v>0.1304109920365356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1.310190809113298</v>
      </c>
      <c r="AO337" s="6" t="n">
        <v>1.319992635680893</v>
      </c>
      <c r="AP337" s="6" t="n">
        <v>0.1297389069689168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1.361961667771789</v>
      </c>
      <c r="AO338" s="6" t="n">
        <v>1.3621917701897</v>
      </c>
      <c r="AP338" s="6" t="n">
        <v>0.1378001006667893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1.334679622543307</v>
      </c>
      <c r="AO339" s="6" t="n">
        <v>1.33476495363817</v>
      </c>
      <c r="AP339" s="6" t="n">
        <v>0.1298061459907985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1.323764667025438</v>
      </c>
      <c r="AO340" s="6" t="n">
        <v>1.335230761344793</v>
      </c>
      <c r="AP340" s="6" t="n">
        <v>0.1338262668919344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1.335232633186642</v>
      </c>
      <c r="AO341" s="6" t="n">
        <v>1.344814811577942</v>
      </c>
      <c r="AP341" s="6" t="n">
        <v>0.1359052736319525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1.345126595368013</v>
      </c>
      <c r="AO342" s="6" t="n">
        <v>1.345291311773422</v>
      </c>
      <c r="AP342" s="6" t="n">
        <v>0.1317523723200318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1.347163584152673</v>
      </c>
      <c r="AO343" s="6" t="n">
        <v>1.347730841073924</v>
      </c>
      <c r="AP343" s="6" t="n">
        <v>0.1320900535142659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1.339670350149105</v>
      </c>
      <c r="AO344" s="6" t="n">
        <v>1.340007706374176</v>
      </c>
      <c r="AP344" s="6" t="n">
        <v>0.1312064095436127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1.352138893615756</v>
      </c>
      <c r="AO345" s="6" t="n">
        <v>1.352138893615756</v>
      </c>
      <c r="AP345" s="6" t="n">
        <v>0.1337951134791006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1.347830586650964</v>
      </c>
      <c r="AO346" s="6" t="n">
        <v>1.348561724460118</v>
      </c>
      <c r="AP346" s="6" t="n">
        <v>0.1324475262041986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1.364053816647088</v>
      </c>
      <c r="AO347" s="6" t="n">
        <v>1.364297469494576</v>
      </c>
      <c r="AP347" s="6" t="n">
        <v>0.1403285333007748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1.329082868618757</v>
      </c>
      <c r="AO348" s="6" t="n">
        <v>1.329383537539586</v>
      </c>
      <c r="AP348" s="6" t="n">
        <v>0.1288537548409519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1.339288046633183</v>
      </c>
      <c r="AO349" s="6" t="n">
        <v>1.339391604413027</v>
      </c>
      <c r="AP349" s="6" t="n">
        <v>0.1307887673234324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1.325273479960302</v>
      </c>
      <c r="AO350" s="6" t="n">
        <v>1.327174514044036</v>
      </c>
      <c r="AP350" s="6" t="n">
        <v>0.1291933386039406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1.345476640763734</v>
      </c>
      <c r="AO351" s="6" t="n">
        <v>1.346325018321306</v>
      </c>
      <c r="AP351" s="6" t="n">
        <v>0.1325169126805811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1.348266583135556</v>
      </c>
      <c r="AO352" s="6" t="n">
        <v>1.34834332753983</v>
      </c>
      <c r="AP352" s="6" t="n">
        <v>0.1329994232822444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1.333416897028135</v>
      </c>
      <c r="AO353" s="6" t="n">
        <v>1.334647888542004</v>
      </c>
      <c r="AP353" s="6" t="n">
        <v>0.1294636235534793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1.343354856741211</v>
      </c>
      <c r="AO354" s="6" t="n">
        <v>1.345113906515065</v>
      </c>
      <c r="AP354" s="6" t="n">
        <v>0.1314004377282827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1.33346578486561</v>
      </c>
      <c r="AO355" s="6" t="n">
        <v>1.33421946355795</v>
      </c>
      <c r="AP355" s="6" t="n">
        <v>0.1300167910357493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1.353970578566309</v>
      </c>
      <c r="AO356" s="6" t="n">
        <v>1.357396071224834</v>
      </c>
      <c r="AP356" s="6" t="n">
        <v>0.1394926093512168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1.32567609549388</v>
      </c>
      <c r="AO357" s="6" t="n">
        <v>1.332854681580009</v>
      </c>
      <c r="AP357" s="6" t="n">
        <v>0.1313711924496158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1.344761682137422</v>
      </c>
      <c r="AO358" s="6" t="n">
        <v>1.345473047036192</v>
      </c>
      <c r="AP358" s="6" t="n">
        <v>0.1316746508240367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1.340979240813546</v>
      </c>
      <c r="AO359" s="6" t="n">
        <v>1.341559385947447</v>
      </c>
      <c r="AP359" s="6" t="n">
        <v>0.1329546681548759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1.323370161469647</v>
      </c>
      <c r="AO360" s="6" t="n">
        <v>1.325286992224907</v>
      </c>
      <c r="AP360" s="6" t="n">
        <v>0.1309509078912735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1.34839582468741</v>
      </c>
      <c r="AO361" s="6" t="n">
        <v>1.348835582058717</v>
      </c>
      <c r="AP361" s="6" t="n">
        <v>0.1325003502103162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1.339996386096022</v>
      </c>
      <c r="AO362" s="6" t="n">
        <v>1.340503724963711</v>
      </c>
      <c r="AP362" s="6" t="n">
        <v>0.1310495365983226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1.343295228838543</v>
      </c>
      <c r="AO363" s="6" t="n">
        <v>1.343652055348928</v>
      </c>
      <c r="AP363" s="6" t="n">
        <v>0.1319518654665734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1.33988298067468</v>
      </c>
      <c r="AO364" s="6" t="n">
        <v>1.341868563581241</v>
      </c>
      <c r="AP364" s="6" t="n">
        <v>0.1312566053938043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1.316369327931653</v>
      </c>
      <c r="AO365" s="6" t="n">
        <v>1.326256046609634</v>
      </c>
      <c r="AP365" s="6" t="n">
        <v>0.1312703667022808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1.343193454895607</v>
      </c>
      <c r="AO366" s="6" t="n">
        <v>1.343544254209113</v>
      </c>
      <c r="AP366" s="6" t="n">
        <v>0.1312772818976858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1.346816365727632</v>
      </c>
      <c r="AO367" s="6" t="n">
        <v>1.354687860432457</v>
      </c>
      <c r="AP367" s="6" t="n">
        <v>0.140654891183418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1.319152116428078</v>
      </c>
      <c r="AO368" s="6" t="n">
        <v>1.319952547390707</v>
      </c>
      <c r="AP368" s="6" t="n">
        <v>0.1276404587830193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1.344068057311857</v>
      </c>
      <c r="AO369" s="6" t="n">
        <v>1.344888556064535</v>
      </c>
      <c r="AP369" s="6" t="n">
        <v>0.1331617700512013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1.31002670914699</v>
      </c>
      <c r="AO370" s="6" t="n">
        <v>1.317020332537916</v>
      </c>
      <c r="AP370" s="6" t="n">
        <v>0.128187472038977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1.313210732262008</v>
      </c>
      <c r="AO371" s="6" t="n">
        <v>1.327089171482899</v>
      </c>
      <c r="AP371" s="6" t="n">
        <v>0.1335014979218601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1.346330994763459</v>
      </c>
      <c r="AO372" s="6" t="n">
        <v>1.347348464556623</v>
      </c>
      <c r="AP372" s="6" t="n">
        <v>0.1321762167039881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1.355627305864383</v>
      </c>
      <c r="AO373" s="6" t="n">
        <v>1.355722497880593</v>
      </c>
      <c r="AP373" s="6" t="n">
        <v>0.135707186314287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1.342521509523076</v>
      </c>
      <c r="AO374" s="6" t="n">
        <v>1.343772136083536</v>
      </c>
      <c r="AP374" s="6" t="n">
        <v>0.1322065748021064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1.313562001175283</v>
      </c>
      <c r="AO375" s="6" t="n">
        <v>1.313920147245646</v>
      </c>
      <c r="AP375" s="6" t="n">
        <v>0.1267728935840634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1.345131687594594</v>
      </c>
      <c r="AO376" s="6" t="n">
        <v>1.347178726231114</v>
      </c>
      <c r="AP376" s="6" t="n">
        <v>0.1323713673803672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1.331212987996515</v>
      </c>
      <c r="AO377" s="6" t="n">
        <v>1.33604959817756</v>
      </c>
      <c r="AP377" s="6" t="n">
        <v>0.1311267793305451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1.329152797453295</v>
      </c>
      <c r="AO378" s="6" t="n">
        <v>1.329206691278681</v>
      </c>
      <c r="AP378" s="6" t="n">
        <v>0.129375520803008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1.34619686915058</v>
      </c>
      <c r="AO379" s="6" t="n">
        <v>1.346442377201708</v>
      </c>
      <c r="AP379" s="6" t="n">
        <v>0.132789129964055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1.329853636054559</v>
      </c>
      <c r="AO380" s="6" t="n">
        <v>1.33852563534775</v>
      </c>
      <c r="AP380" s="6" t="n">
        <v>0.1359423052074509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1.342741491609421</v>
      </c>
      <c r="AO381" s="6" t="n">
        <v>1.342981001774084</v>
      </c>
      <c r="AP381" s="6" t="n">
        <v>0.1317050407695465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1.31872662731136</v>
      </c>
      <c r="AO382" s="6" t="n">
        <v>1.32808809592057</v>
      </c>
      <c r="AP382" s="6" t="n">
        <v>0.1307311770027964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1.319942990451024</v>
      </c>
      <c r="AO383" s="6" t="n">
        <v>1.320442806983274</v>
      </c>
      <c r="AP383" s="6" t="n">
        <v>0.1292899528333064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1.323908846177177</v>
      </c>
      <c r="AO384" s="6" t="n">
        <v>1.331440656563505</v>
      </c>
      <c r="AP384" s="6" t="n">
        <v>0.1315221832544884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1.351699328047503</v>
      </c>
      <c r="AO385" s="6" t="n">
        <v>1.352507721735576</v>
      </c>
      <c r="AP385" s="6" t="n">
        <v>0.1342497356794779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1.308844615086833</v>
      </c>
      <c r="AO386" s="6" t="n">
        <v>1.321750685822431</v>
      </c>
      <c r="AP386" s="6" t="n">
        <v>0.130994902012107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1.343316132034998</v>
      </c>
      <c r="AO387" s="6" t="n">
        <v>1.343316132034998</v>
      </c>
      <c r="AP387" s="6" t="n">
        <v>0.1335798384527483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1.356070190387924</v>
      </c>
      <c r="AO388" s="6" t="n">
        <v>1.356070190387924</v>
      </c>
      <c r="AP388" s="6" t="n">
        <v>0.1347011050033025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1.366972079014139</v>
      </c>
      <c r="AO389" s="6" t="n">
        <v>1.366972079014139</v>
      </c>
      <c r="AP389" s="6" t="n">
        <v>0.1457308415108168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1.347933884467285</v>
      </c>
      <c r="AO390" s="6" t="n">
        <v>1.348388419731927</v>
      </c>
      <c r="AP390" s="6" t="n">
        <v>0.1323345567698664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1.326743577997662</v>
      </c>
      <c r="AO391" s="6" t="n">
        <v>1.327164331879395</v>
      </c>
      <c r="AP391" s="6" t="n">
        <v>0.1293619973212152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1.345533751295686</v>
      </c>
      <c r="AO392" s="6" t="n">
        <v>1.350520778106262</v>
      </c>
      <c r="AP392" s="6" t="n">
        <v>0.1343747143468647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1.313563405027816</v>
      </c>
      <c r="AO393" s="6" t="n">
        <v>1.319855471950238</v>
      </c>
      <c r="AP393" s="6" t="n">
        <v>0.1323888918140389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1.347805145304259</v>
      </c>
      <c r="AO394" s="6" t="n">
        <v>1.352303303513569</v>
      </c>
      <c r="AP394" s="6" t="n">
        <v>0.1350049104020018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1.363537928066312</v>
      </c>
      <c r="AO395" s="6" t="n">
        <v>1.363537928066312</v>
      </c>
      <c r="AP395" s="6" t="n">
        <v>0.1425919744262435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1.340421212684096</v>
      </c>
      <c r="AO396" s="6" t="n">
        <v>1.349738183830975</v>
      </c>
      <c r="AP396" s="6" t="n">
        <v>0.1366407553313248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1.291312599474032</v>
      </c>
      <c r="AO397" s="6" t="n">
        <v>1.303043637336741</v>
      </c>
      <c r="AP397" s="6" t="n">
        <v>0.1268553366788022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1.356110046590409</v>
      </c>
      <c r="AO398" s="6" t="n">
        <v>1.356709296144805</v>
      </c>
      <c r="AP398" s="6" t="n">
        <v>0.1350623208667474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1.352769882798817</v>
      </c>
      <c r="AO399" s="6" t="n">
        <v>1.353860253594563</v>
      </c>
      <c r="AP399" s="6" t="n">
        <v>0.1364584384580813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1.334430708925548</v>
      </c>
      <c r="AO400" s="6" t="n">
        <v>1.339340058275275</v>
      </c>
      <c r="AP400" s="6" t="n">
        <v>0.1317791457991355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1.315028767350888</v>
      </c>
      <c r="AO401" s="6" t="n">
        <v>1.32099431426927</v>
      </c>
      <c r="AP401" s="6" t="n">
        <v>0.1296300207566389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1.320690920072918</v>
      </c>
      <c r="AO402" s="6" t="n">
        <v>1.329505547892359</v>
      </c>
      <c r="AP402" s="6" t="n">
        <v>0.1311944661132075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1.336025460582821</v>
      </c>
      <c r="AO403" s="6" t="n">
        <v>1.340188486107255</v>
      </c>
      <c r="AP403" s="6" t="n">
        <v>0.1320186532245602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1.339510150705941</v>
      </c>
      <c r="AO404" s="6" t="n">
        <v>1.339527819780736</v>
      </c>
      <c r="AP404" s="6" t="n">
        <v>0.1310830481849594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1.362822396479799</v>
      </c>
      <c r="AO405" s="6" t="n">
        <v>1.362822396479799</v>
      </c>
      <c r="AP405" s="6" t="n">
        <v>0.1472365406704708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1.348280543684822</v>
      </c>
      <c r="AO406" s="6" t="n">
        <v>1.348622460031624</v>
      </c>
      <c r="AP406" s="6" t="n">
        <v>0.1328426857389527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1.349075497435346</v>
      </c>
      <c r="AO407" s="6" t="n">
        <v>1.349359274738302</v>
      </c>
      <c r="AP407" s="6" t="n">
        <v>0.1331253857687537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1.351897915079683</v>
      </c>
      <c r="AO408" s="6" t="n">
        <v>1.351897915079683</v>
      </c>
      <c r="AP408" s="6" t="n">
        <v>0.1359694014614059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1.351440470214018</v>
      </c>
      <c r="AO409" s="6" t="n">
        <v>1.352808479844</v>
      </c>
      <c r="AP409" s="6" t="n">
        <v>0.1363628401178079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1.33394718217059</v>
      </c>
      <c r="AO410" s="6" t="n">
        <v>1.33835130935489</v>
      </c>
      <c r="AP410" s="6" t="n">
        <v>0.1319905302656779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1.343853395694187</v>
      </c>
      <c r="AO411" s="6" t="n">
        <v>1.346977090622186</v>
      </c>
      <c r="AP411" s="6" t="n">
        <v>0.1328437399868393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1.331291480224923</v>
      </c>
      <c r="AO412" s="6" t="n">
        <v>1.332217192170988</v>
      </c>
      <c r="AP412" s="6" t="n">
        <v>0.1293046500012114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1.356060390805957</v>
      </c>
      <c r="AO413" s="6" t="n">
        <v>1.356734352780074</v>
      </c>
      <c r="AP413" s="6" t="n">
        <v>0.1362623949915439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1.345744801897319</v>
      </c>
      <c r="AO414" s="6" t="n">
        <v>1.345744801897319</v>
      </c>
      <c r="AP414" s="6" t="n">
        <v>0.1329041734159664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1.294624250293161</v>
      </c>
      <c r="AO415" s="6" t="n">
        <v>1.305881710825839</v>
      </c>
      <c r="AP415" s="6" t="n">
        <v>0.131032366109813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1.355315058976671</v>
      </c>
      <c r="AO416" s="6" t="n">
        <v>1.355315058976671</v>
      </c>
      <c r="AP416" s="6" t="n">
        <v>0.1381864150810831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1.355704392152973</v>
      </c>
      <c r="AO417" s="6" t="n">
        <v>1.355704392152973</v>
      </c>
      <c r="AP417" s="6" t="n">
        <v>0.1389767720811752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1.342562725369109</v>
      </c>
      <c r="AO418" s="6" t="n">
        <v>1.343229326365625</v>
      </c>
      <c r="AP418" s="6" t="n">
        <v>0.13138885122435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1.344014560497179</v>
      </c>
      <c r="AO419" s="6" t="n">
        <v>1.344602880810197</v>
      </c>
      <c r="AP419" s="6" t="n">
        <v>0.1314515775252595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1.346092190492069</v>
      </c>
      <c r="AO420" s="6" t="n">
        <v>1.346092190492069</v>
      </c>
      <c r="AP420" s="6" t="n">
        <v>0.1344656996563001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1.358913047548822</v>
      </c>
      <c r="AO421" s="6" t="n">
        <v>1.358913047548822</v>
      </c>
      <c r="AP421" s="6" t="n">
        <v>0.1382165491632689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1.336367769803176</v>
      </c>
      <c r="AO422" s="6" t="n">
        <v>1.33660522302822</v>
      </c>
      <c r="AP422" s="6" t="n">
        <v>0.1302720176365269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1.331105667218702</v>
      </c>
      <c r="AO423" s="6" t="n">
        <v>1.339320903812482</v>
      </c>
      <c r="AP423" s="6" t="n">
        <v>0.1334864203297914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1.319927187692179</v>
      </c>
      <c r="AO424" s="6" t="n">
        <v>1.328798390749429</v>
      </c>
      <c r="AP424" s="6" t="n">
        <v>0.1312847228882179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1.325545006601257</v>
      </c>
      <c r="AO425" s="6" t="n">
        <v>1.330517035225678</v>
      </c>
      <c r="AP425" s="6" t="n">
        <v>0.1299934411839128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1.333280732885588</v>
      </c>
      <c r="AO426" s="6" t="n">
        <v>1.339599135234257</v>
      </c>
      <c r="AP426" s="6" t="n">
        <v>0.1328796798432293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1.3440842324228</v>
      </c>
      <c r="AO427" s="6" t="n">
        <v>1.345888616232269</v>
      </c>
      <c r="AP427" s="6" t="n">
        <v>0.1344384523193427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1.335157378926486</v>
      </c>
      <c r="AO428" s="6" t="n">
        <v>1.338061978397002</v>
      </c>
      <c r="AP428" s="6" t="n">
        <v>0.1315862848956513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1.329534663402664</v>
      </c>
      <c r="AO429" s="6" t="n">
        <v>1.330851710534926</v>
      </c>
      <c r="AP429" s="6" t="n">
        <v>0.1294527432060942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1.332755641054826</v>
      </c>
      <c r="AO430" s="6" t="n">
        <v>1.332755641054826</v>
      </c>
      <c r="AP430" s="6" t="n">
        <v>0.1295219084665047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1.334235720369447</v>
      </c>
      <c r="AO431" s="6" t="n">
        <v>1.340071729516582</v>
      </c>
      <c r="AP431" s="6" t="n">
        <v>0.1323946733428716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1.338949911697173</v>
      </c>
      <c r="AO432" s="6" t="n">
        <v>1.340114834692223</v>
      </c>
      <c r="AP432" s="6" t="n">
        <v>0.1309337758519229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1.35349062232438</v>
      </c>
      <c r="AO433" s="6" t="n">
        <v>1.35349062232438</v>
      </c>
      <c r="AP433" s="6" t="n">
        <v>0.1350378153543626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1.329113234900414</v>
      </c>
      <c r="AO434" s="6" t="n">
        <v>1.329176031507643</v>
      </c>
      <c r="AP434" s="6" t="n">
        <v>0.1292983078778176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1.337805539053616</v>
      </c>
      <c r="AO435" s="6" t="n">
        <v>1.338076811321077</v>
      </c>
      <c r="AP435" s="6" t="n">
        <v>0.1306937034467628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1.354263733025097</v>
      </c>
      <c r="AO436" s="6" t="n">
        <v>1.354263733025097</v>
      </c>
      <c r="AP436" s="6" t="n">
        <v>0.1376520899978386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1.33290332422564</v>
      </c>
      <c r="AO437" s="6" t="n">
        <v>1.333252323707693</v>
      </c>
      <c r="AP437" s="6" t="n">
        <v>0.1301620660052654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1.345775691045822</v>
      </c>
      <c r="AO438" s="6" t="n">
        <v>1.345798532179334</v>
      </c>
      <c r="AP438" s="6" t="n">
        <v>0.133098501137635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1.35072291450628</v>
      </c>
      <c r="AO439" s="6" t="n">
        <v>1.351347250649368</v>
      </c>
      <c r="AP439" s="6" t="n">
        <v>0.1331389610457461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1.321150730815118</v>
      </c>
      <c r="AO440" s="6" t="n">
        <v>1.329262184053241</v>
      </c>
      <c r="AP440" s="6" t="n">
        <v>0.1348750131173336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1.338530389234011</v>
      </c>
      <c r="AO441" s="6" t="n">
        <v>1.338785703792321</v>
      </c>
      <c r="AP441" s="6" t="n">
        <v>0.1312179257217479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1.352553804536107</v>
      </c>
      <c r="AO442" s="6" t="n">
        <v>1.353003382850092</v>
      </c>
      <c r="AP442" s="6" t="n">
        <v>0.1366353686127962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1.303049430996836</v>
      </c>
      <c r="AO443" s="6" t="n">
        <v>1.307080495875391</v>
      </c>
      <c r="AP443" s="6" t="n">
        <v>0.1331131295690399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1.344294519750952</v>
      </c>
      <c r="AO444" s="6" t="n">
        <v>1.344844018794396</v>
      </c>
      <c r="AP444" s="6" t="n">
        <v>0.1320545579424502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1.343993969025222</v>
      </c>
      <c r="AO445" s="6" t="n">
        <v>1.345954433812763</v>
      </c>
      <c r="AP445" s="6" t="n">
        <v>0.1329471586454633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1.341221386632503</v>
      </c>
      <c r="AO446" s="6" t="n">
        <v>1.342128899663746</v>
      </c>
      <c r="AP446" s="6" t="n">
        <v>0.1314597497843334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1.321208157671915</v>
      </c>
      <c r="AO447" s="6" t="n">
        <v>1.3216746725977</v>
      </c>
      <c r="AP447" s="6" t="n">
        <v>0.1273704364007094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1.346745786400711</v>
      </c>
      <c r="AO448" s="6" t="n">
        <v>1.346955432218776</v>
      </c>
      <c r="AP448" s="6" t="n">
        <v>0.1322816299038389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1.324065260801973</v>
      </c>
      <c r="AO449" s="6" t="n">
        <v>1.324214894796419</v>
      </c>
      <c r="AP449" s="6" t="n">
        <v>0.1280990844082252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1.297132844479144</v>
      </c>
      <c r="AO450" s="6" t="n">
        <v>1.306261726710766</v>
      </c>
      <c r="AP450" s="6" t="n">
        <v>0.1282070687094226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1.351699530188265</v>
      </c>
      <c r="AO451" s="6" t="n">
        <v>1.356416927917419</v>
      </c>
      <c r="AP451" s="6" t="n">
        <v>0.1367575024078432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1.336058913528058</v>
      </c>
      <c r="AO452" s="6" t="n">
        <v>1.336444462877902</v>
      </c>
      <c r="AP452" s="6" t="n">
        <v>0.1303899561239215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1.315559694817249</v>
      </c>
      <c r="AO453" s="6" t="n">
        <v>1.323398268491223</v>
      </c>
      <c r="AP453" s="6" t="n">
        <v>0.1300810991303108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1.347274906388404</v>
      </c>
      <c r="AO454" s="6" t="n">
        <v>1.349095654750791</v>
      </c>
      <c r="AP454" s="6" t="n">
        <v>0.1340740922567801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1.359563857492862</v>
      </c>
      <c r="AO455" s="6" t="n">
        <v>1.367559690734272</v>
      </c>
      <c r="AP455" s="6" t="n">
        <v>0.1448685585187502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1.328371922040477</v>
      </c>
      <c r="AO456" s="6" t="n">
        <v>1.336562487550109</v>
      </c>
      <c r="AP456" s="6" t="n">
        <v>0.132924508569803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1.344237731315175</v>
      </c>
      <c r="AO457" s="6" t="n">
        <v>1.344302534949343</v>
      </c>
      <c r="AP457" s="6" t="n">
        <v>0.1318395995573912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1.337113077993193</v>
      </c>
      <c r="AO458" s="6" t="n">
        <v>1.337279572155898</v>
      </c>
      <c r="AP458" s="6" t="n">
        <v>0.1307622057207453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1.335075177219473</v>
      </c>
      <c r="AO459" s="6" t="n">
        <v>1.335834397675152</v>
      </c>
      <c r="AP459" s="6" t="n">
        <v>0.1301017280234966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1.355707406103387</v>
      </c>
      <c r="AO460" s="6" t="n">
        <v>1.355707406103387</v>
      </c>
      <c r="AP460" s="6" t="n">
        <v>0.1359160995439443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1.342701999573267</v>
      </c>
      <c r="AO461" s="6" t="n">
        <v>1.352772962293091</v>
      </c>
      <c r="AP461" s="6" t="n">
        <v>0.1382235591771512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1.348240552578346</v>
      </c>
      <c r="AO462" s="6" t="n">
        <v>1.34844464923261</v>
      </c>
      <c r="AP462" s="6" t="n">
        <v>0.1325090859269159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1.333085208623736</v>
      </c>
      <c r="AO463" s="6" t="n">
        <v>1.333206735020591</v>
      </c>
      <c r="AP463" s="6" t="n">
        <v>0.1291983169702387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1.345329045984845</v>
      </c>
      <c r="AO464" s="6" t="n">
        <v>1.345677414427524</v>
      </c>
      <c r="AP464" s="6" t="n">
        <v>0.1333359563933808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1.360691858738891</v>
      </c>
      <c r="AO465" s="6" t="n">
        <v>1.360691858738891</v>
      </c>
      <c r="AP465" s="6" t="n">
        <v>0.1408105925253944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1.332359332408384</v>
      </c>
      <c r="AO466" s="6" t="n">
        <v>1.332791687317953</v>
      </c>
      <c r="AP466" s="6" t="n">
        <v>0.130066139354638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1.349530895208707</v>
      </c>
      <c r="AO467" s="6" t="n">
        <v>1.352842956493522</v>
      </c>
      <c r="AP467" s="6" t="n">
        <v>0.1396784714641558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1.320589832311994</v>
      </c>
      <c r="AO468" s="6" t="n">
        <v>1.327368875738476</v>
      </c>
      <c r="AP468" s="6" t="n">
        <v>0.1297406143061261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1.295166330209892</v>
      </c>
      <c r="AO469" s="6" t="n">
        <v>1.297182490227801</v>
      </c>
      <c r="AP469" s="6" t="n">
        <v>0.1315828275324898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1.320569162856765</v>
      </c>
      <c r="AO470" s="6" t="n">
        <v>1.321467814379555</v>
      </c>
      <c r="AP470" s="6" t="n">
        <v>0.127690648975211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1.354085930227932</v>
      </c>
      <c r="AO471" s="6" t="n">
        <v>1.354085930227932</v>
      </c>
      <c r="AP471" s="6" t="n">
        <v>0.1368524006518183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1.344731778121051</v>
      </c>
      <c r="AO472" s="6" t="n">
        <v>1.345432333299224</v>
      </c>
      <c r="AP472" s="6" t="n">
        <v>0.1316758292050286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1.320526762604053</v>
      </c>
      <c r="AO473" s="6" t="n">
        <v>1.320910362523348</v>
      </c>
      <c r="AP473" s="6" t="n">
        <v>0.1338457364356428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1.343747333309253</v>
      </c>
      <c r="AO474" s="6" t="n">
        <v>1.343752466968474</v>
      </c>
      <c r="AP474" s="6" t="n">
        <v>0.1318973140057696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1.305260438128592</v>
      </c>
      <c r="AO475" s="6" t="n">
        <v>1.315572909727242</v>
      </c>
      <c r="AP475" s="6" t="n">
        <v>0.1299518785227222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1.352739189866884</v>
      </c>
      <c r="AO476" s="6" t="n">
        <v>1.352739189866884</v>
      </c>
      <c r="AP476" s="6" t="n">
        <v>0.1352363624488788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1.332058726937813</v>
      </c>
      <c r="AO477" s="6" t="n">
        <v>1.332442309030641</v>
      </c>
      <c r="AP477" s="6" t="n">
        <v>0.129374899951872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1.355137875226548</v>
      </c>
      <c r="AO478" s="6" t="n">
        <v>1.356069217403115</v>
      </c>
      <c r="AP478" s="6" t="n">
        <v>0.1367860956844913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1.357169678412864</v>
      </c>
      <c r="AO479" s="6" t="n">
        <v>1.357524572574042</v>
      </c>
      <c r="AP479" s="6" t="n">
        <v>0.1367657822146277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1.349139560242249</v>
      </c>
      <c r="AO480" s="6" t="n">
        <v>1.349863198218505</v>
      </c>
      <c r="AP480" s="6" t="n">
        <v>0.1334055859641626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1.326501677301685</v>
      </c>
      <c r="AO481" s="6" t="n">
        <v>1.327567793458011</v>
      </c>
      <c r="AP481" s="6" t="n">
        <v>0.1293093439909808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1.345463659643925</v>
      </c>
      <c r="AO482" s="6" t="n">
        <v>1.345995267612242</v>
      </c>
      <c r="AP482" s="6" t="n">
        <v>0.1335552562639454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1.349005419555285</v>
      </c>
      <c r="AO483" s="6" t="n">
        <v>1.349108161212809</v>
      </c>
      <c r="AP483" s="6" t="n">
        <v>0.1342326710806934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1.359750330439812</v>
      </c>
      <c r="AO484" s="6" t="n">
        <v>1.359760818966292</v>
      </c>
      <c r="AP484" s="6" t="n">
        <v>0.1408034841343937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1.339096668609784</v>
      </c>
      <c r="AO485" s="6" t="n">
        <v>1.33911768363574</v>
      </c>
      <c r="AP485" s="6" t="n">
        <v>0.1299809463354742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1.334413783702681</v>
      </c>
      <c r="AO486" s="6" t="n">
        <v>1.341609280649012</v>
      </c>
      <c r="AP486" s="6" t="n">
        <v>0.1341880391523488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1.320220156304367</v>
      </c>
      <c r="AO487" s="6" t="n">
        <v>1.323967077745724</v>
      </c>
      <c r="AP487" s="6" t="n">
        <v>0.1305732819029588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1.332069892869842</v>
      </c>
      <c r="AO488" s="6" t="n">
        <v>1.332346203696476</v>
      </c>
      <c r="AP488" s="6" t="n">
        <v>0.1300390601260745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1.349091235910887</v>
      </c>
      <c r="AO489" s="6" t="n">
        <v>1.349402643760988</v>
      </c>
      <c r="AP489" s="6" t="n">
        <v>0.1348859516538675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1.333590215407233</v>
      </c>
      <c r="AO490" s="6" t="n">
        <v>1.34205618726451</v>
      </c>
      <c r="AP490" s="6" t="n">
        <v>0.1331549399713753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1.32564904440466</v>
      </c>
      <c r="AO491" s="6" t="n">
        <v>1.330157564339125</v>
      </c>
      <c r="AP491" s="6" t="n">
        <v>0.1299907887860007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1.339108697978101</v>
      </c>
      <c r="AO492" s="6" t="n">
        <v>1.339538546735168</v>
      </c>
      <c r="AP492" s="6" t="n">
        <v>0.1312814467981768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1.33001005446644</v>
      </c>
      <c r="AO493" s="6" t="n">
        <v>1.337177192081118</v>
      </c>
      <c r="AP493" s="6" t="n">
        <v>0.1317122262093336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1.337302557057353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1.344750731474569</v>
      </c>
      <c r="AO495" s="6" t="n">
        <v>1.34498770319075</v>
      </c>
      <c r="AP495" s="6" t="n">
        <v>0.1318007248507311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1.346024496924461</v>
      </c>
      <c r="AO496" s="6" t="n">
        <v>1.346024496924461</v>
      </c>
      <c r="AP496" s="6" t="n">
        <v>0.1338019112337922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1.322008866044951</v>
      </c>
      <c r="AO497" s="6" t="n">
        <v>1.329629785863493</v>
      </c>
      <c r="AP497" s="6" t="n">
        <v>0.1361481128828751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1.356613060999515</v>
      </c>
      <c r="AO498" s="6" t="n">
        <v>1.356613060999515</v>
      </c>
      <c r="AP498" s="6" t="n">
        <v>0.1370630446387671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1.338700846907371</v>
      </c>
      <c r="AO499" s="6" t="n">
        <v>1.339339398497831</v>
      </c>
      <c r="AP499" s="6" t="n">
        <v>0.1312410863648113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1.354676167879189</v>
      </c>
      <c r="AO500" s="6" t="n">
        <v>1.355310600983664</v>
      </c>
      <c r="AP500" s="6" t="n">
        <v>0.1377021778541761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1.347967062504281</v>
      </c>
      <c r="AO501" s="6" t="n">
        <v>1.347967062504281</v>
      </c>
      <c r="AP501" s="6" t="n">
        <v>0.1340319664966943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1.343898789119067</v>
      </c>
      <c r="AO502" s="6" t="n">
        <v>1.347556008641493</v>
      </c>
      <c r="AP502" s="6" t="n">
        <v>0.1341218005145842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1.332991577352338</v>
      </c>
      <c r="AO503" s="6" t="n">
        <v>1.338264775255675</v>
      </c>
      <c r="AP503" s="6" t="n">
        <v>0.1311583900680059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1.31950584381961</v>
      </c>
      <c r="AO505" s="6" t="n">
        <v>1.328676913956519</v>
      </c>
      <c r="AP505" s="6" t="n">
        <v>0.1311341893604441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1.342339110545492</v>
      </c>
      <c r="AO506" s="6" t="n">
        <v>1.342909316664957</v>
      </c>
      <c r="AP506" s="6" t="n">
        <v>0.1320405071131604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1.336586071590449</v>
      </c>
      <c r="AO507" s="6" t="n">
        <v>1.339438516587852</v>
      </c>
      <c r="AP507" s="6" t="n">
        <v>0.1312784614863342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1.355441341422726</v>
      </c>
      <c r="AO508" s="6" t="n">
        <v>1.356068796366994</v>
      </c>
      <c r="AP508" s="6" t="n">
        <v>0.1362263735300807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1.35217763593019</v>
      </c>
      <c r="AO509" s="6" t="n">
        <v>1.35217763593019</v>
      </c>
      <c r="AP509" s="6" t="n">
        <v>0.1340923886858084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1.338302735732471</v>
      </c>
      <c r="AO510" s="6" t="n">
        <v>1.338604297376753</v>
      </c>
      <c r="AP510" s="6" t="n">
        <v>0.1307334793099914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1.321754454293931</v>
      </c>
      <c r="AO512" s="6" t="n">
        <v>1.325449356269633</v>
      </c>
      <c r="AP512" s="6" t="n">
        <v>0.1307549765857987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1.339535148279964</v>
      </c>
      <c r="AO513" s="6" t="n">
        <v>1.340810509973349</v>
      </c>
      <c r="AP513" s="6" t="n">
        <v>0.1309281104763902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1.322226291049536</v>
      </c>
      <c r="AO514" s="6" t="n">
        <v>1.322880755731591</v>
      </c>
      <c r="AP514" s="6" t="n">
        <v>0.1277083464607122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1.348057713841283</v>
      </c>
      <c r="AO515" s="6" t="n">
        <v>1.348292390240887</v>
      </c>
      <c r="AP515" s="6" t="n">
        <v>0.1332956866756787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1.350381736957345</v>
      </c>
      <c r="AO516" s="6" t="n">
        <v>1.351159285902348</v>
      </c>
      <c r="AP516" s="6" t="n">
        <v>0.1329387421752373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1.341173251050812</v>
      </c>
      <c r="AO517" s="6" t="n">
        <v>1.342434878219562</v>
      </c>
      <c r="AP517" s="6" t="n">
        <v>0.1356346799915757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1.345614191616418</v>
      </c>
      <c r="AO518" s="6" t="n">
        <v>1.350498915525517</v>
      </c>
      <c r="AP518" s="6" t="n">
        <v>0.1353322888820744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1.352510838183645</v>
      </c>
      <c r="AO519" s="6" t="n">
        <v>1.352510838183645</v>
      </c>
      <c r="AP519" s="6" t="n">
        <v>0.1383410635025652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1.326244368355168</v>
      </c>
      <c r="AO520" s="6" t="n">
        <v>1.32659062574534</v>
      </c>
      <c r="AP520" s="6" t="n">
        <v>0.1278128657383965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1.353618612921701</v>
      </c>
      <c r="AO521" s="6" t="n">
        <v>1.353618612921701</v>
      </c>
      <c r="AP521" s="6" t="n">
        <v>0.136027549248781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1.332482662046195</v>
      </c>
      <c r="AO522" s="6" t="n">
        <v>1.33314769783736</v>
      </c>
      <c r="AP522" s="6" t="n">
        <v>0.1300886357627506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1.35631615450089</v>
      </c>
      <c r="AO523" s="6" t="n">
        <v>1.35631615450089</v>
      </c>
      <c r="AP523" s="6" t="n">
        <v>0.1349839722091195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1.354343253316189</v>
      </c>
      <c r="AO524" s="6" t="n">
        <v>1.355474139302343</v>
      </c>
      <c r="AP524" s="6" t="n">
        <v>0.1402805906051958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1.323962210189061</v>
      </c>
      <c r="AO525" s="6" t="n">
        <v>1.325402617202415</v>
      </c>
      <c r="AP525" s="6" t="n">
        <v>0.1272288710361329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1.335269655490045</v>
      </c>
      <c r="AO526" s="6" t="n">
        <v>1.335629508655528</v>
      </c>
      <c r="AP526" s="6" t="n">
        <v>0.1300679209829491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1.351858140028652</v>
      </c>
      <c r="AO527" s="6" t="n">
        <v>1.352381992352421</v>
      </c>
      <c r="AP527" s="6" t="n">
        <v>0.1348029829542457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1.340150874679725</v>
      </c>
      <c r="AO528" s="6" t="n">
        <v>1.342586936434363</v>
      </c>
      <c r="AP528" s="6" t="n">
        <v>0.132593702421044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1.34032177615245</v>
      </c>
      <c r="AO529" s="6" t="n">
        <v>1.345685170033957</v>
      </c>
      <c r="AP529" s="6" t="n">
        <v>0.1342407584630474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1.344793449538533</v>
      </c>
      <c r="AO530" s="6" t="n">
        <v>1.345466720105246</v>
      </c>
      <c r="AP530" s="6" t="n">
        <v>0.1320064573577877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1.342598672208886</v>
      </c>
      <c r="AO531" s="6" t="n">
        <v>1.351690959235459</v>
      </c>
      <c r="AP531" s="6" t="n">
        <v>0.1388523024539628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1.321681014265394</v>
      </c>
      <c r="AO532" s="6" t="n">
        <v>1.330038441422557</v>
      </c>
      <c r="AP532" s="6" t="n">
        <v>0.1310755388270773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1.340027892833462</v>
      </c>
      <c r="AO533" s="6" t="n">
        <v>1.340812077292589</v>
      </c>
      <c r="AP533" s="6" t="n">
        <v>0.1319513306855294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1.314474838780301</v>
      </c>
      <c r="AO534" s="6" t="n">
        <v>1.324768626919973</v>
      </c>
      <c r="AP534" s="6" t="n">
        <v>0.1314924084664624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1.340956128687316</v>
      </c>
      <c r="AO535" s="6" t="n">
        <v>1.34442383519922</v>
      </c>
      <c r="AP535" s="6" t="n">
        <v>0.1327455583590162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1.293413787159954</v>
      </c>
      <c r="AO536" s="6" t="n">
        <v>1.312147017830095</v>
      </c>
      <c r="AP536" s="6" t="n">
        <v>0.1315464992714317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1.328997398859429</v>
      </c>
      <c r="AO537" s="6" t="n">
        <v>1.333855795601904</v>
      </c>
      <c r="AP537" s="6" t="n">
        <v>0.1317879353793939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1.343052729012969</v>
      </c>
      <c r="AO538" s="6" t="n">
        <v>1.343406878346727</v>
      </c>
      <c r="AP538" s="6" t="n">
        <v>0.1310600072848415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1.350044851425512</v>
      </c>
      <c r="AO539" s="6" t="n">
        <v>1.350044851425512</v>
      </c>
      <c r="AP539" s="6" t="n">
        <v>0.1364268652305472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1.333588902835379</v>
      </c>
      <c r="AO540" s="6" t="n">
        <v>1.33383198154398</v>
      </c>
      <c r="AP540" s="6" t="n">
        <v>0.1301308826333712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1.346385838372757</v>
      </c>
      <c r="AO541" s="6" t="n">
        <v>1.346613822980848</v>
      </c>
      <c r="AP541" s="6" t="n">
        <v>0.1319870327058213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1.329483572805186</v>
      </c>
      <c r="AO542" s="6" t="n">
        <v>1.330812416858767</v>
      </c>
      <c r="AP542" s="6" t="n">
        <v>0.1293227820879896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1.327203756443518</v>
      </c>
      <c r="AO543" s="6" t="n">
        <v>1.33441159678561</v>
      </c>
      <c r="AP543" s="6" t="n">
        <v>0.1316850051210272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1.325486054401736</v>
      </c>
      <c r="AO544" s="6" t="n">
        <v>1.330663278487635</v>
      </c>
      <c r="AP544" s="6" t="n">
        <v>0.1298076178861497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1.33471122938404</v>
      </c>
      <c r="AO545" s="6" t="n">
        <v>1.334971253649937</v>
      </c>
      <c r="AP545" s="6" t="n">
        <v>0.1299793862032497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1.335460822672044</v>
      </c>
      <c r="AO546" s="6" t="n">
        <v>1.335496843704794</v>
      </c>
      <c r="AP546" s="6" t="n">
        <v>0.1297237420272216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1.306937361273653</v>
      </c>
      <c r="AO547" s="6" t="n">
        <v>1.307280342010805</v>
      </c>
      <c r="AP547" s="6" t="n">
        <v>0.1256277171673885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1.350574744049956</v>
      </c>
      <c r="AO548" s="6" t="n">
        <v>1.350981282854097</v>
      </c>
      <c r="AP548" s="6" t="n">
        <v>0.1355250599584253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1.349917048295577</v>
      </c>
      <c r="AO549" s="6" t="n">
        <v>1.349917048295577</v>
      </c>
      <c r="AP549" s="6" t="n">
        <v>0.1345727846236991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1.345293579991283</v>
      </c>
      <c r="AO550" s="6" t="n">
        <v>1.345525028775347</v>
      </c>
      <c r="AP550" s="6" t="n">
        <v>0.1333640339432632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1.338477953916136</v>
      </c>
      <c r="AO551" s="6" t="n">
        <v>1.338502513079295</v>
      </c>
      <c r="AP551" s="6" t="n">
        <v>0.1304832549358327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1.309014926389775</v>
      </c>
      <c r="AO552" s="6" t="n">
        <v>1.31701424795771</v>
      </c>
      <c r="AP552" s="6" t="n">
        <v>0.1293642328970509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1.329844455759267</v>
      </c>
      <c r="AO553" s="6" t="n">
        <v>1.330324521400492</v>
      </c>
      <c r="AP553" s="6" t="n">
        <v>0.1292265625248533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1.336495563547043</v>
      </c>
      <c r="AO554" s="6" t="n">
        <v>1.348678557815185</v>
      </c>
      <c r="AP554" s="6" t="n">
        <v>0.1382525525593794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1.300771927080594</v>
      </c>
      <c r="AO555" s="6" t="n">
        <v>1.312300154701379</v>
      </c>
      <c r="AP555" s="6" t="n">
        <v>0.1277442626212619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1.293102626731273</v>
      </c>
      <c r="AO556" s="6" t="n">
        <v>1.298150871913767</v>
      </c>
      <c r="AP556" s="6" t="n">
        <v>0.1310739981035126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1.349861682964181</v>
      </c>
      <c r="AO557" s="6" t="n">
        <v>1.349861682964181</v>
      </c>
      <c r="AP557" s="6" t="n">
        <v>0.1334504695487527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1.337657231858877</v>
      </c>
      <c r="AO558" s="6" t="n">
        <v>1.338203468476392</v>
      </c>
      <c r="AP558" s="6" t="n">
        <v>0.1312644601412733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1.331151137521406</v>
      </c>
      <c r="AO559" s="6" t="n">
        <v>1.331698334460689</v>
      </c>
      <c r="AP559" s="6" t="n">
        <v>0.1298191119462184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1.34336177627286</v>
      </c>
      <c r="AO560" s="6" t="n">
        <v>1.343454745895513</v>
      </c>
      <c r="AP560" s="6" t="n">
        <v>0.1327567712527925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1.348469503104014</v>
      </c>
      <c r="AO561" s="6" t="n">
        <v>1.348727860027623</v>
      </c>
      <c r="AP561" s="6" t="n">
        <v>0.1326965032868492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1.349418808382558</v>
      </c>
      <c r="AO562" s="6" t="n">
        <v>1.349418808382558</v>
      </c>
      <c r="AP562" s="6" t="n">
        <v>0.1355758717641955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1.33548287547286</v>
      </c>
      <c r="AO563" s="6" t="n">
        <v>1.343988657476938</v>
      </c>
      <c r="AP563" s="6" t="n">
        <v>0.1352530352784606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1.330480225072016</v>
      </c>
      <c r="AO564" s="6" t="n">
        <v>1.339016788873408</v>
      </c>
      <c r="AP564" s="6" t="n">
        <v>0.1339505037226589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1.348602492982002</v>
      </c>
      <c r="AO565" s="6" t="n">
        <v>1.349405738735253</v>
      </c>
      <c r="AP565" s="6" t="n">
        <v>0.133362081052271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1.316785733928053</v>
      </c>
      <c r="AO566" s="6" t="n">
        <v>1.319563503842902</v>
      </c>
      <c r="AP566" s="6" t="n">
        <v>0.1333300802763716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1.331032183759447</v>
      </c>
      <c r="AO567" s="6" t="n">
        <v>1.331499690252272</v>
      </c>
      <c r="AP567" s="6" t="n">
        <v>0.1291885395135552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1.319241170308106</v>
      </c>
      <c r="AO568" s="6" t="n">
        <v>1.328470130964456</v>
      </c>
      <c r="AP568" s="6" t="n">
        <v>0.1310016448101287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1.348783142664774</v>
      </c>
      <c r="AO569" s="6" t="n">
        <v>1.349269036777288</v>
      </c>
      <c r="AP569" s="6" t="n">
        <v>0.132620909642526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1.341916854329152</v>
      </c>
      <c r="AO570" s="6" t="n">
        <v>1.342926091194486</v>
      </c>
      <c r="AP570" s="6" t="n">
        <v>0.1317929669970461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1.324671903792391</v>
      </c>
      <c r="AO571" s="6" t="n">
        <v>1.32540246354744</v>
      </c>
      <c r="AP571" s="6" t="n">
        <v>0.1283794252296849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1.350903318430476</v>
      </c>
      <c r="AO572" s="6" t="n">
        <v>1.350903318430476</v>
      </c>
      <c r="AP572" s="6" t="n">
        <v>0.1350621805052815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1.348924994833718</v>
      </c>
      <c r="AO573" s="6" t="n">
        <v>1.349583660471195</v>
      </c>
      <c r="AP573" s="6" t="n">
        <v>0.1329709537112035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1.334473779538498</v>
      </c>
      <c r="AO574" s="6" t="n">
        <v>1.335260017159254</v>
      </c>
      <c r="AP574" s="6" t="n">
        <v>0.1301573386250532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1.345098700275009</v>
      </c>
      <c r="AO575" s="6" t="n">
        <v>1.345267969467381</v>
      </c>
      <c r="AP575" s="6" t="n">
        <v>0.1331135696380474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1.355976382317853</v>
      </c>
      <c r="AO576" s="6" t="n">
        <v>1.356505064723447</v>
      </c>
      <c r="AP576" s="6" t="n">
        <v>0.1367642445006526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1.344834179948365</v>
      </c>
      <c r="AO577" s="6" t="n">
        <v>1.345396147475819</v>
      </c>
      <c r="AP577" s="6" t="n">
        <v>0.1321026069862135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1.319081970708089</v>
      </c>
      <c r="AO578" s="6" t="n">
        <v>1.320498924115979</v>
      </c>
      <c r="AP578" s="6" t="n">
        <v>0.1266996052664332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1.343434606172063</v>
      </c>
      <c r="AO579" s="6" t="n">
        <v>1.343507470161108</v>
      </c>
      <c r="AP579" s="6" t="n">
        <v>0.1321342165479555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1.339924079558493</v>
      </c>
      <c r="AO580" s="6" t="n">
        <v>1.340007321314473</v>
      </c>
      <c r="AP580" s="6" t="n">
        <v>0.1311633523580838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1.341788436847828</v>
      </c>
      <c r="AO581" s="6" t="n">
        <v>1.341788436847828</v>
      </c>
      <c r="AP581" s="6" t="n">
        <v>0.1324869972255419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1.351735132332061</v>
      </c>
      <c r="AO582" s="6" t="n">
        <v>1.352408323665666</v>
      </c>
      <c r="AP582" s="6" t="n">
        <v>0.1339240125598677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1.335675653795816</v>
      </c>
      <c r="AO583" s="6" t="n">
        <v>1.336607042015249</v>
      </c>
      <c r="AP583" s="6" t="n">
        <v>0.1303195468006751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1.334784689916367</v>
      </c>
      <c r="AO584" s="6" t="n">
        <v>1.334916889654619</v>
      </c>
      <c r="AP584" s="6" t="n">
        <v>0.1303108792816381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1.338463283221647</v>
      </c>
      <c r="AO585" s="6" t="n">
        <v>1.344805310130911</v>
      </c>
      <c r="AP585" s="6" t="n">
        <v>0.1345103515157768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1.348635818125143</v>
      </c>
      <c r="AO586" s="6" t="n">
        <v>1.353549260016403</v>
      </c>
      <c r="AP586" s="6" t="n">
        <v>0.1379963319514469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1.35733632892702</v>
      </c>
      <c r="AO587" s="6" t="n">
        <v>1.35733632892702</v>
      </c>
      <c r="AP587" s="6" t="n">
        <v>0.1354470188809093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1.315481119781241</v>
      </c>
      <c r="AO588" s="6" t="n">
        <v>1.327666769922315</v>
      </c>
      <c r="AP588" s="6" t="n">
        <v>0.1327479406346178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1.345085730491199</v>
      </c>
      <c r="AO589" s="6" t="n">
        <v>1.345408231039193</v>
      </c>
      <c r="AP589" s="6" t="n">
        <v>0.1320577175245423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1.340090770720878</v>
      </c>
      <c r="AO590" s="6" t="n">
        <v>1.340835421681897</v>
      </c>
      <c r="AP590" s="6" t="n">
        <v>0.1311318197904078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1.347779445556534</v>
      </c>
      <c r="AO591" s="6" t="n">
        <v>1.348162978487371</v>
      </c>
      <c r="AP591" s="6" t="n">
        <v>0.132566133440689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1.346750015428315</v>
      </c>
      <c r="AO592" s="6" t="n">
        <v>1.347009230339907</v>
      </c>
      <c r="AP592" s="6" t="n">
        <v>0.1327072508749499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1.357842019991996</v>
      </c>
      <c r="AO593" s="6" t="n">
        <v>1.358691881947236</v>
      </c>
      <c r="AP593" s="6" t="n">
        <v>0.1365671620318208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1.348175942463705</v>
      </c>
      <c r="AO594" s="6" t="n">
        <v>1.348175942463705</v>
      </c>
      <c r="AP594" s="6" t="n">
        <v>0.1347207706562701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1.33009294125173</v>
      </c>
      <c r="AO595" s="6" t="n">
        <v>1.330295735324484</v>
      </c>
      <c r="AP595" s="6" t="n">
        <v>0.1297631885382186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1.360750570836391</v>
      </c>
      <c r="AO596" s="6" t="n">
        <v>1.361374582661113</v>
      </c>
      <c r="AP596" s="6" t="n">
        <v>0.1385648189036569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1.339091863288712</v>
      </c>
      <c r="AO597" s="6" t="n">
        <v>1.339581828799854</v>
      </c>
      <c r="AP597" s="6" t="n">
        <v>0.1309798225016056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1.350241919331201</v>
      </c>
      <c r="AO598" s="6" t="n">
        <v>1.350241919331201</v>
      </c>
      <c r="AP598" s="6" t="n">
        <v>0.1346483776319364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1.358151543341616</v>
      </c>
      <c r="AO599" s="6" t="n">
        <v>1.358151543341616</v>
      </c>
      <c r="AP599" s="6" t="n">
        <v>0.1372645396355362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1.326300033121725</v>
      </c>
      <c r="AO600" s="6" t="n">
        <v>1.328404890573966</v>
      </c>
      <c r="AP600" s="6" t="n">
        <v>0.1294061754164519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1.345474674287791</v>
      </c>
      <c r="AO601" s="6" t="n">
        <v>1.345547036786665</v>
      </c>
      <c r="AP601" s="6" t="n">
        <v>0.1323204006668001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1.339920717090568</v>
      </c>
      <c r="AO602" s="6" t="n">
        <v>1.346171138403407</v>
      </c>
      <c r="AP602" s="6" t="n">
        <v>0.1343191333435354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1.341573910238872</v>
      </c>
      <c r="AO603" s="6" t="n">
        <v>1.341573910238872</v>
      </c>
      <c r="AP603" s="6" t="n">
        <v>0.1322517555254037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1.341836502602515</v>
      </c>
      <c r="AO604" s="6" t="n">
        <v>1.342317645216183</v>
      </c>
      <c r="AP604" s="6" t="n">
        <v>0.1314158976305826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1.343477457190642</v>
      </c>
      <c r="AO605" s="6" t="n">
        <v>1.343477457190642</v>
      </c>
      <c r="AP605" s="6" t="n">
        <v>0.134596888694729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1.315749639433977</v>
      </c>
      <c r="AO606" s="6" t="n">
        <v>1.328360919922432</v>
      </c>
      <c r="AP606" s="6" t="n">
        <v>0.132581589368183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1.335418604810132</v>
      </c>
      <c r="AO607" s="6" t="n">
        <v>1.335597992851939</v>
      </c>
      <c r="AP607" s="6" t="n">
        <v>0.1298758061803891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1.339922119539207</v>
      </c>
      <c r="AO608" s="6" t="n">
        <v>1.340322994743133</v>
      </c>
      <c r="AP608" s="6" t="n">
        <v>0.1309382129167332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1.340787789683212</v>
      </c>
      <c r="AO609" s="6" t="n">
        <v>1.34087383052119</v>
      </c>
      <c r="AP609" s="6" t="n">
        <v>0.1313435613283338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1.330982180217791</v>
      </c>
      <c r="AO610" s="6" t="n">
        <v>1.331426842038204</v>
      </c>
      <c r="AP610" s="6" t="n">
        <v>0.1298602666513287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1.334058342841115</v>
      </c>
      <c r="AO611" s="6" t="n">
        <v>1.334067070334985</v>
      </c>
      <c r="AP611" s="6" t="n">
        <v>0.1297718829557654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1.348521061520344</v>
      </c>
      <c r="AO612" s="6" t="n">
        <v>1.349312126935811</v>
      </c>
      <c r="AP612" s="6" t="n">
        <v>0.1359154539881562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1.320231307332272</v>
      </c>
      <c r="AO613" s="6" t="n">
        <v>1.327148534956074</v>
      </c>
      <c r="AP613" s="6" t="n">
        <v>0.132420779188865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1.336378207453949</v>
      </c>
      <c r="AO614" s="6" t="n">
        <v>1.337404350578403</v>
      </c>
      <c r="AP614" s="6" t="n">
        <v>0.1304551763413593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1.340234415302435</v>
      </c>
      <c r="AO615" s="6" t="n">
        <v>1.340776354319545</v>
      </c>
      <c r="AP615" s="6" t="n">
        <v>0.1313711016790729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1.352964361290774</v>
      </c>
      <c r="AO616" s="6" t="n">
        <v>1.355448901426604</v>
      </c>
      <c r="AP616" s="6" t="n">
        <v>0.1360079704990717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1.325889024803886</v>
      </c>
      <c r="AO617" s="6" t="n">
        <v>1.338488134363902</v>
      </c>
      <c r="AP617" s="6" t="n">
        <v>0.1358633242369456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1.355375366497861</v>
      </c>
      <c r="AO618" s="6" t="n">
        <v>1.355883589192715</v>
      </c>
      <c r="AP618" s="6" t="n">
        <v>0.1383265770954875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1.333881587249585</v>
      </c>
      <c r="AO619" s="6" t="n">
        <v>1.339338100290583</v>
      </c>
      <c r="AP619" s="6" t="n">
        <v>0.1324398994263201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1.345735359129498</v>
      </c>
      <c r="AO620" s="6" t="n">
        <v>1.345955466176723</v>
      </c>
      <c r="AP620" s="6" t="n">
        <v>0.1321353312274555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1.333709368890832</v>
      </c>
      <c r="AO621" s="6" t="n">
        <v>1.333840335554946</v>
      </c>
      <c r="AP621" s="6" t="n">
        <v>0.1301956421249517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1.349630324865559</v>
      </c>
      <c r="AO622" s="6" t="n">
        <v>1.349930067021757</v>
      </c>
      <c r="AP622" s="6" t="n">
        <v>0.1330286320436043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1.333790376785833</v>
      </c>
      <c r="AO623" s="6" t="n">
        <v>1.335181417665623</v>
      </c>
      <c r="AP623" s="6" t="n">
        <v>0.1300332384043608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1.338649779938887</v>
      </c>
      <c r="AO624" s="6" t="n">
        <v>1.338885160781603</v>
      </c>
      <c r="AP624" s="6" t="n">
        <v>0.1314082224029715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1.318301951014912</v>
      </c>
      <c r="AO625" s="6" t="n">
        <v>1.319030085236746</v>
      </c>
      <c r="AP625" s="6" t="n">
        <v>0.1277296120693185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1.328312552625964</v>
      </c>
      <c r="AO626" s="6" t="n">
        <v>1.328365454061729</v>
      </c>
      <c r="AP626" s="6" t="n">
        <v>0.1294270438247803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1.314674062917681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1.339297191128751</v>
      </c>
      <c r="AO628" s="6" t="n">
        <v>1.339652618639645</v>
      </c>
      <c r="AP628" s="6" t="n">
        <v>0.1313568184360058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1.345238196754778</v>
      </c>
      <c r="AO629" s="6" t="n">
        <v>1.345680085240398</v>
      </c>
      <c r="AP629" s="6" t="n">
        <v>0.1321420819938344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1.344291777390581</v>
      </c>
      <c r="AO630" s="6" t="n">
        <v>1.345542018136303</v>
      </c>
      <c r="AP630" s="6" t="n">
        <v>0.132773956813346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1.341872062131923</v>
      </c>
      <c r="AO631" s="6" t="n">
        <v>1.345694611316977</v>
      </c>
      <c r="AP631" s="6" t="n">
        <v>0.1329567395079856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1.358555643792893</v>
      </c>
      <c r="AO632" s="6" t="n">
        <v>1.358555643792893</v>
      </c>
      <c r="AP632" s="6" t="n">
        <v>0.1412440676528943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1.353479908110842</v>
      </c>
      <c r="AO633" s="6" t="n">
        <v>1.353575754135473</v>
      </c>
      <c r="AP633" s="6" t="n">
        <v>0.1346916343939795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1.346745084804313</v>
      </c>
      <c r="AO634" s="6" t="n">
        <v>1.347174156740001</v>
      </c>
      <c r="AP634" s="6" t="n">
        <v>0.132966057358224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1.350837239712941</v>
      </c>
      <c r="AO635" s="6" t="n">
        <v>1.351261239865204</v>
      </c>
      <c r="AP635" s="6" t="n">
        <v>0.1336670304421022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1.347941712748738</v>
      </c>
      <c r="AO636" s="6" t="n">
        <v>1.348164668033991</v>
      </c>
      <c r="AP636" s="6" t="n">
        <v>0.1329476971345749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1.302481760226009</v>
      </c>
      <c r="AO637" s="6" t="n">
        <v>1.311657167913736</v>
      </c>
      <c r="AP637" s="6" t="n">
        <v>0.132143067740018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1.355959368409458</v>
      </c>
      <c r="AO638" s="6" t="n">
        <v>1.355959368409458</v>
      </c>
      <c r="AP638" s="6" t="n">
        <v>0.1418354214216159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1.352115117363429</v>
      </c>
      <c r="AO639" s="6" t="n">
        <v>1.352252946543415</v>
      </c>
      <c r="AP639" s="6" t="n">
        <v>0.1339397178592645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1.309074929343897</v>
      </c>
      <c r="AO640" s="6" t="n">
        <v>1.314721013178215</v>
      </c>
      <c r="AP640" s="6" t="n">
        <v>0.1315018068267211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1.351974445512307</v>
      </c>
      <c r="AO641" s="6" t="n">
        <v>1.352073991345347</v>
      </c>
      <c r="AP641" s="6" t="n">
        <v>0.1340676832883837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1.336669568600581</v>
      </c>
      <c r="AO642" s="6" t="n">
        <v>1.336896096865654</v>
      </c>
      <c r="AP642" s="6" t="n">
        <v>0.1307176311225333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1.348046452742097</v>
      </c>
      <c r="AO643" s="6" t="n">
        <v>1.348046452742097</v>
      </c>
      <c r="AP643" s="6" t="n">
        <v>0.1339848562317499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1.348378275366636</v>
      </c>
      <c r="AO644" s="6" t="n">
        <v>1.348689181382482</v>
      </c>
      <c r="AP644" s="6" t="n">
        <v>0.1323682374142732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1.330953183839024</v>
      </c>
      <c r="AO645" s="6" t="n">
        <v>1.331292094157671</v>
      </c>
      <c r="AP645" s="6" t="n">
        <v>0.1291057330179645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1.3379653586276</v>
      </c>
      <c r="AO646" s="6" t="n">
        <v>1.344479320054063</v>
      </c>
      <c r="AP646" s="6" t="n">
        <v>0.134525527064819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1.335515198981574</v>
      </c>
      <c r="AO647" s="6" t="n">
        <v>1.335780926857066</v>
      </c>
      <c r="AP647" s="6" t="n">
        <v>0.1302926612211113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1.32356841292581</v>
      </c>
      <c r="AO648" s="6" t="n">
        <v>1.33241193378209</v>
      </c>
      <c r="AP648" s="6" t="n">
        <v>0.1319743515002399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1.335649656088109</v>
      </c>
      <c r="AO649" s="6" t="n">
        <v>1.336567146716314</v>
      </c>
      <c r="AP649" s="6" t="n">
        <v>0.1307857480659952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1.350212817797489</v>
      </c>
      <c r="AO650" s="6" t="n">
        <v>1.350218346370553</v>
      </c>
      <c r="AP650" s="6" t="n">
        <v>0.1328724317400304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1.352719224656001</v>
      </c>
      <c r="AO651" s="6" t="n">
        <v>1.352719224656001</v>
      </c>
      <c r="AP651" s="6" t="n">
        <v>0.1336526727033069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1.350336609093016</v>
      </c>
      <c r="AO652" s="6" t="n">
        <v>1.350561138416333</v>
      </c>
      <c r="AP652" s="6" t="n">
        <v>0.132504049037194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1.318378346286246</v>
      </c>
      <c r="AO653" s="6" t="n">
        <v>1.326612459078895</v>
      </c>
      <c r="AP653" s="6" t="n">
        <v>0.1328927570587112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1.303925586162321</v>
      </c>
      <c r="AO654" s="6" t="n">
        <v>1.309757645929055</v>
      </c>
      <c r="AP654" s="6" t="n">
        <v>0.1320823775913009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1.355078006992084</v>
      </c>
      <c r="AO655" s="6" t="n">
        <v>1.355560379391307</v>
      </c>
      <c r="AP655" s="6" t="n">
        <v>0.1359659822935511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1.351165447301139</v>
      </c>
      <c r="AO656" s="6" t="n">
        <v>1.351495592342472</v>
      </c>
      <c r="AP656" s="6" t="n">
        <v>0.1345660575005297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1.321985610019313</v>
      </c>
      <c r="AO657" s="6" t="n">
        <v>1.322461025554853</v>
      </c>
      <c r="AP657" s="6" t="n">
        <v>0.1290361898590351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1.332443737784874</v>
      </c>
      <c r="AO658" s="6" t="n">
        <v>1.339199838749307</v>
      </c>
      <c r="AP658" s="6" t="n">
        <v>0.1328373941589603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1.338231672341082</v>
      </c>
      <c r="AO659" s="6" t="n">
        <v>1.338690581495549</v>
      </c>
      <c r="AP659" s="6" t="n">
        <v>0.1310929513850235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1.329117233010183</v>
      </c>
      <c r="AO660" s="6" t="n">
        <v>1.329238582492408</v>
      </c>
      <c r="AP660" s="6" t="n">
        <v>0.1291007416359156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1.328530163802858</v>
      </c>
      <c r="AO661" s="6" t="n">
        <v>1.328680804250324</v>
      </c>
      <c r="AP661" s="6" t="n">
        <v>0.1290961322742008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1.347994921337061</v>
      </c>
      <c r="AO662" s="6" t="n">
        <v>1.348741609974836</v>
      </c>
      <c r="AP662" s="6" t="n">
        <v>0.1334402405600198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1.345407613513684</v>
      </c>
      <c r="AO663" s="6" t="n">
        <v>1.346265621772625</v>
      </c>
      <c r="AP663" s="6" t="n">
        <v>0.1324844715272786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1.326287534603685</v>
      </c>
      <c r="AO664" s="6" t="n">
        <v>1.326402251517737</v>
      </c>
      <c r="AP664" s="6" t="n">
        <v>0.1289289692289442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1.335244633764912</v>
      </c>
      <c r="AO665" s="6" t="n">
        <v>1.335463591319954</v>
      </c>
      <c r="AP665" s="6" t="n">
        <v>0.1305031915430736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1.351277032312621</v>
      </c>
      <c r="AO666" s="6" t="n">
        <v>1.351277032312621</v>
      </c>
      <c r="AP666" s="6" t="n">
        <v>0.1336211742087119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1.268830354154766</v>
      </c>
      <c r="AO667" s="6" t="n">
        <v>1.273748061452747</v>
      </c>
      <c r="AP667" s="6" t="n">
        <v>0.1282026707925039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1.354866585970163</v>
      </c>
      <c r="AO668" s="6" t="n">
        <v>1.354866585970163</v>
      </c>
      <c r="AP668" s="6" t="n">
        <v>0.136967275471808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1.347045443812528</v>
      </c>
      <c r="AO669" s="6" t="n">
        <v>1.349684597791648</v>
      </c>
      <c r="AP669" s="6" t="n">
        <v>0.1342405470794837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1.340483030120468</v>
      </c>
      <c r="AO670" s="6" t="n">
        <v>1.341061008345537</v>
      </c>
      <c r="AP670" s="6" t="n">
        <v>0.1319043192251683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1.343514909391607</v>
      </c>
      <c r="AO671" s="6" t="n">
        <v>1.343514909391607</v>
      </c>
      <c r="AP671" s="6" t="n">
        <v>0.1338286231120777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1.364733200685247</v>
      </c>
      <c r="AO672" s="6" t="n">
        <v>1.364733200685247</v>
      </c>
      <c r="AP672" s="6" t="n">
        <v>0.1413385629477678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1.318485869871806</v>
      </c>
      <c r="AO673" s="6" t="n">
        <v>1.326346010731534</v>
      </c>
      <c r="AP673" s="6" t="n">
        <v>0.1327274822739333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1.354361598272162</v>
      </c>
      <c r="AO674" s="6" t="n">
        <v>1.354548345923451</v>
      </c>
      <c r="AP674" s="6" t="n">
        <v>0.1354381514053002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1.320264685463604</v>
      </c>
      <c r="AO675" s="6" t="n">
        <v>1.321744334351789</v>
      </c>
      <c r="AP675" s="6" t="n">
        <v>0.1297496360514667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1.338720998913625</v>
      </c>
      <c r="AO676" s="6" t="n">
        <v>1.345373137636296</v>
      </c>
      <c r="AP676" s="6" t="n">
        <v>0.1346124117778184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1.347943179190307</v>
      </c>
      <c r="AO677" s="6" t="n">
        <v>1.348250138706823</v>
      </c>
      <c r="AP677" s="6" t="n">
        <v>0.1329521243730883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1.353720410805123</v>
      </c>
      <c r="AO678" s="6" t="n">
        <v>1.354068234183124</v>
      </c>
      <c r="AP678" s="6" t="n">
        <v>0.1339749109568697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1.329003973797964</v>
      </c>
      <c r="AO679" s="6" t="n">
        <v>1.329887769666958</v>
      </c>
      <c r="AP679" s="6" t="n">
        <v>0.1295361004029548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1.344838999510108</v>
      </c>
      <c r="AO680" s="6" t="n">
        <v>1.346585720222931</v>
      </c>
      <c r="AP680" s="6" t="n">
        <v>0.1318569143556932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1.331924547303442</v>
      </c>
      <c r="AO681" s="6" t="n">
        <v>1.332299734965039</v>
      </c>
      <c r="AP681" s="6" t="n">
        <v>0.1297439445673463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1.352657484158499</v>
      </c>
      <c r="AO682" s="6" t="n">
        <v>1.352657484158499</v>
      </c>
      <c r="AP682" s="6" t="n">
        <v>0.1362701384738141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1.352766827299013</v>
      </c>
      <c r="AO683" s="6" t="n">
        <v>1.355167793998408</v>
      </c>
      <c r="AP683" s="6" t="n">
        <v>0.1347604963418258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1.355916341192964</v>
      </c>
      <c r="AO684" s="6" t="n">
        <v>1.355916341192964</v>
      </c>
      <c r="AP684" s="6" t="n">
        <v>0.1366210366948981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1.359207853877979</v>
      </c>
      <c r="AO685" s="6" t="n">
        <v>1.359207853877979</v>
      </c>
      <c r="AP685" s="6" t="n">
        <v>0.1433459382090393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1.333647149652958</v>
      </c>
      <c r="AO686" s="6" t="n">
        <v>1.336968069993312</v>
      </c>
      <c r="AP686" s="6" t="n">
        <v>0.1305288721904427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1.317925526932297</v>
      </c>
      <c r="AO687" s="6" t="n">
        <v>1.318799493568676</v>
      </c>
      <c r="AP687" s="6" t="n">
        <v>0.1267234383482337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1.345209492868852</v>
      </c>
      <c r="AO688" s="6" t="n">
        <v>1.345593271661102</v>
      </c>
      <c r="AP688" s="6" t="n">
        <v>0.1322449369906005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1.348448992114891</v>
      </c>
      <c r="AO689" s="6" t="n">
        <v>1.351569224912903</v>
      </c>
      <c r="AP689" s="6" t="n">
        <v>0.1340824929224264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1.338147586232654</v>
      </c>
      <c r="AO690" s="6" t="n">
        <v>1.344713457015398</v>
      </c>
      <c r="AP690" s="6" t="n">
        <v>0.1341065967946361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1.329465275600928</v>
      </c>
      <c r="AO691" s="6" t="n">
        <v>1.334782281976471</v>
      </c>
      <c r="AP691" s="6" t="n">
        <v>0.1324964305202479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1.335793965529549</v>
      </c>
      <c r="AO692" s="6" t="n">
        <v>1.337809271043372</v>
      </c>
      <c r="AP692" s="6" t="n">
        <v>0.1297303053223255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1.34763732165083</v>
      </c>
      <c r="AO693" s="6" t="n">
        <v>1.34792486761647</v>
      </c>
      <c r="AP693" s="6" t="n">
        <v>0.1321876966506276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1.330055462702555</v>
      </c>
      <c r="AO694" s="6" t="n">
        <v>1.330706631689837</v>
      </c>
      <c r="AP694" s="6" t="n">
        <v>0.1295493096285158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1.3435725978716</v>
      </c>
      <c r="AO695" s="6" t="n">
        <v>1.344003242024748</v>
      </c>
      <c r="AP695" s="6" t="n">
        <v>0.1322824394982494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1.322234655779738</v>
      </c>
      <c r="AO696" s="6" t="n">
        <v>1.324088270655559</v>
      </c>
      <c r="AP696" s="6" t="n">
        <v>0.1317749138657674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1.336709872605531</v>
      </c>
      <c r="AO697" s="6" t="n">
        <v>1.346096726898868</v>
      </c>
      <c r="AP697" s="6" t="n">
        <v>0.1347513960874359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1.324987176978598</v>
      </c>
      <c r="AO698" s="6" t="n">
        <v>1.325928721831959</v>
      </c>
      <c r="AP698" s="6" t="n">
        <v>0.128426100970719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1.329812754974888</v>
      </c>
      <c r="AO699" s="6" t="n">
        <v>1.340613741391399</v>
      </c>
      <c r="AP699" s="6" t="n">
        <v>0.1345857303558294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1.351316693235238</v>
      </c>
      <c r="AO700" s="6" t="n">
        <v>1.351316693235238</v>
      </c>
      <c r="AP700" s="6" t="n">
        <v>0.1358374061757021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1.314874675157127</v>
      </c>
      <c r="AO701" s="6" t="n">
        <v>1.322760084429406</v>
      </c>
      <c r="AP701" s="6" t="n">
        <v>0.1295532480834817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1.353249643625514</v>
      </c>
      <c r="AO702" s="6" t="n">
        <v>1.353640946713112</v>
      </c>
      <c r="AP702" s="6" t="n">
        <v>0.1349505519669411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1.336661091765522</v>
      </c>
      <c r="AO703" s="6" t="n">
        <v>1.340143754779297</v>
      </c>
      <c r="AP703" s="6" t="n">
        <v>0.1312710057188891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1.316992650019825</v>
      </c>
      <c r="AO704" s="6" t="n">
        <v>1.324487823499071</v>
      </c>
      <c r="AP704" s="6" t="n">
        <v>0.1324992523811462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1.353548923711087</v>
      </c>
      <c r="AO705" s="6" t="n">
        <v>1.35363307270903</v>
      </c>
      <c r="AP705" s="6" t="n">
        <v>0.1347325271393376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1.328269488439247</v>
      </c>
      <c r="AO706" s="6" t="n">
        <v>1.328798501022521</v>
      </c>
      <c r="AP706" s="6" t="n">
        <v>0.1288216000715476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1.345402274157879</v>
      </c>
      <c r="AO707" s="6" t="n">
        <v>1.345859055542092</v>
      </c>
      <c r="AP707" s="6" t="n">
        <v>0.1320296087158606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1.341317123359077</v>
      </c>
      <c r="AO708" s="6" t="n">
        <v>1.341536752165699</v>
      </c>
      <c r="AP708" s="6" t="n">
        <v>0.1315174407976218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1.333978935848148</v>
      </c>
      <c r="AO709" s="6" t="n">
        <v>1.333978935848148</v>
      </c>
      <c r="AP709" s="6" t="n">
        <v>0.1323955572912797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1.334854299214536</v>
      </c>
      <c r="AO710" s="6" t="n">
        <v>1.335080486005181</v>
      </c>
      <c r="AP710" s="6" t="n">
        <v>0.130550482090149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1.334483923694686</v>
      </c>
      <c r="AO711" s="6" t="n">
        <v>1.335347980962333</v>
      </c>
      <c r="AP711" s="6" t="n">
        <v>0.1305687780856247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1.335031870063265</v>
      </c>
      <c r="AO712" s="6" t="n">
        <v>1.335315228544554</v>
      </c>
      <c r="AP712" s="6" t="n">
        <v>0.1296342068152593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1.338789975898494</v>
      </c>
      <c r="AO713" s="6" t="n">
        <v>1.339956352052891</v>
      </c>
      <c r="AP713" s="6" t="n">
        <v>0.1308613745331854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1.344322560161506</v>
      </c>
      <c r="AO714" s="6" t="n">
        <v>1.344544562559259</v>
      </c>
      <c r="AP714" s="6" t="n">
        <v>0.1316488791846029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1.350336148432165</v>
      </c>
      <c r="AO715" s="6" t="n">
        <v>1.35069686888231</v>
      </c>
      <c r="AP715" s="6" t="n">
        <v>0.1333615269275712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1.318034900181592</v>
      </c>
      <c r="AO716" s="6" t="n">
        <v>1.319000360000746</v>
      </c>
      <c r="AP716" s="6" t="n">
        <v>0.1279236255197378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1.338565998128923</v>
      </c>
      <c r="AO717" s="6" t="n">
        <v>1.338860549293333</v>
      </c>
      <c r="AP717" s="6" t="n">
        <v>0.1304388314621773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1.327740021549372</v>
      </c>
      <c r="AO718" s="6" t="n">
        <v>1.327862129761057</v>
      </c>
      <c r="AP718" s="6" t="n">
        <v>0.1293529513708521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1.328562313605081</v>
      </c>
      <c r="AO719" s="6" t="n">
        <v>1.330514893690689</v>
      </c>
      <c r="AP719" s="6" t="n">
        <v>0.1333970926490939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1.328087783009051</v>
      </c>
      <c r="AO720" s="6" t="n">
        <v>1.330425603036322</v>
      </c>
      <c r="AP720" s="6" t="n">
        <v>0.129086129571663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1.29806049235414</v>
      </c>
      <c r="AO721" s="6" t="n">
        <v>1.29806049235414</v>
      </c>
      <c r="AP721" s="6" t="n">
        <v>0.1318153688212695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1.357718757346612</v>
      </c>
      <c r="AO722" s="6" t="n">
        <v>1.357718757346612</v>
      </c>
      <c r="AP722" s="6" t="n">
        <v>0.1370468189891534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1.334326877881288</v>
      </c>
      <c r="AO723" s="6" t="n">
        <v>1.334797262874231</v>
      </c>
      <c r="AP723" s="6" t="n">
        <v>0.1297945287909932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1.345583636567982</v>
      </c>
      <c r="AO724" s="6" t="n">
        <v>1.346160212886451</v>
      </c>
      <c r="AP724" s="6" t="n">
        <v>0.1312066106532782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1.325331002714004</v>
      </c>
      <c r="AO725" s="6" t="n">
        <v>1.338466432765005</v>
      </c>
      <c r="AP725" s="6" t="n">
        <v>0.1346407448505251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1.321518127618858</v>
      </c>
      <c r="AO726" s="6" t="n">
        <v>1.322427907896608</v>
      </c>
      <c r="AP726" s="6" t="n">
        <v>0.1269500640431913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1.353716552694285</v>
      </c>
      <c r="AO727" s="6" t="n">
        <v>1.353716552694285</v>
      </c>
      <c r="AP727" s="6" t="n">
        <v>0.1364647274354363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1.351175831466053</v>
      </c>
      <c r="AO728" s="6" t="n">
        <v>1.351175831466053</v>
      </c>
      <c r="AP728" s="6" t="n">
        <v>0.1361659613503237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1.344101460374004</v>
      </c>
      <c r="AO729" s="6" t="n">
        <v>1.344142002186524</v>
      </c>
      <c r="AP729" s="6" t="n">
        <v>0.1317585619791447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1.342942288315471</v>
      </c>
      <c r="AO730" s="6" t="n">
        <v>1.34411815435535</v>
      </c>
      <c r="AP730" s="6" t="n">
        <v>0.1322399615127159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1.328955376690877</v>
      </c>
      <c r="AO731" s="6" t="n">
        <v>1.338331571177782</v>
      </c>
      <c r="AP731" s="6" t="n">
        <v>0.1343008956160973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1.348204894569961</v>
      </c>
      <c r="AO732" s="6" t="n">
        <v>1.348531738503177</v>
      </c>
      <c r="AP732" s="6" t="n">
        <v>0.1332426863483905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1.348089998761441</v>
      </c>
      <c r="AO733" s="6" t="n">
        <v>1.349427519539799</v>
      </c>
      <c r="AP733" s="6" t="n">
        <v>0.1325090461874645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1.35195890513669</v>
      </c>
      <c r="AO734" s="6" t="n">
        <v>1.35195890513669</v>
      </c>
      <c r="AP734" s="6" t="n">
        <v>0.1352463058988896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1.351018934510497</v>
      </c>
      <c r="AO735" s="6" t="n">
        <v>1.351018934510497</v>
      </c>
      <c r="AP735" s="6" t="n">
        <v>0.1343842477724566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1.357111224174873</v>
      </c>
      <c r="AO736" s="6" t="n">
        <v>1.357111224174873</v>
      </c>
      <c r="AP736" s="6" t="n">
        <v>0.1384822453231644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1.32779185643907</v>
      </c>
      <c r="AO737" s="6" t="n">
        <v>1.335658400236071</v>
      </c>
      <c r="AP737" s="6" t="n">
        <v>0.1332407757364354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1.358634082795868</v>
      </c>
      <c r="AO738" s="6" t="n">
        <v>1.358634082795868</v>
      </c>
      <c r="AP738" s="6" t="n">
        <v>0.1405539139042565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1.353302236391559</v>
      </c>
      <c r="AO739" s="6" t="n">
        <v>1.354737659910416</v>
      </c>
      <c r="AP739" s="6" t="n">
        <v>0.1357079808095025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1.338877569462677</v>
      </c>
      <c r="AO740" s="6" t="n">
        <v>1.339380310496189</v>
      </c>
      <c r="AP740" s="6" t="n">
        <v>0.1306149792063806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1.34084826824807</v>
      </c>
      <c r="AO741" s="6" t="n">
        <v>1.341335718833557</v>
      </c>
      <c r="AP741" s="6" t="n">
        <v>0.1303620102383548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1.339487395826373</v>
      </c>
      <c r="AO742" s="6" t="n">
        <v>1.339542320996288</v>
      </c>
      <c r="AP742" s="6" t="n">
        <v>0.1307397668347042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1.352424837109776</v>
      </c>
      <c r="AO743" s="6" t="n">
        <v>1.353175413570325</v>
      </c>
      <c r="AP743" s="6" t="n">
        <v>0.133917140101082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1.343335295905028</v>
      </c>
      <c r="AO744" s="6" t="n">
        <v>1.343587390517508</v>
      </c>
      <c r="AP744" s="6" t="n">
        <v>0.1315575137817979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1.336393304330185</v>
      </c>
      <c r="AO745" s="6" t="n">
        <v>1.340337059089061</v>
      </c>
      <c r="AP745" s="6" t="n">
        <v>0.1318697743315746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1.331041981725337</v>
      </c>
      <c r="AO746" s="6" t="n">
        <v>1.332123648389766</v>
      </c>
      <c r="AP746" s="6" t="n">
        <v>0.1295057966773968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1.343153367860802</v>
      </c>
      <c r="AO747" s="6" t="n">
        <v>1.343433111913727</v>
      </c>
      <c r="AP747" s="6" t="n">
        <v>0.1314379879629523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1.341062061970368</v>
      </c>
      <c r="AO748" s="6" t="n">
        <v>1.341601597539348</v>
      </c>
      <c r="AP748" s="6" t="n">
        <v>0.1315859405119935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1.342922213629344</v>
      </c>
      <c r="AO749" s="6" t="n">
        <v>1.344049998466604</v>
      </c>
      <c r="AP749" s="6" t="n">
        <v>0.1322663256954287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1.347213360507386</v>
      </c>
      <c r="AO750" s="6" t="n">
        <v>1.347638325671892</v>
      </c>
      <c r="AP750" s="6" t="n">
        <v>0.1324433949028626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1.349482831539184</v>
      </c>
      <c r="AO751" s="6" t="n">
        <v>1.349482831539184</v>
      </c>
      <c r="AP751" s="6" t="n">
        <v>0.136440839930477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1.339763052775955</v>
      </c>
      <c r="AO752" s="6" t="n">
        <v>1.340557273614423</v>
      </c>
      <c r="AP752" s="6" t="n">
        <v>0.1302703642821461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1.352426311786464</v>
      </c>
      <c r="AO753" s="6" t="n">
        <v>1.35341831774012</v>
      </c>
      <c r="AP753" s="6" t="n">
        <v>0.1332583570914982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1.327700730353938</v>
      </c>
      <c r="AO754" s="6" t="n">
        <v>1.329258314258654</v>
      </c>
      <c r="AP754" s="6" t="n">
        <v>0.128347136158046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1.358467996260134</v>
      </c>
      <c r="AO755" s="6" t="n">
        <v>1.358467996260134</v>
      </c>
      <c r="AP755" s="6" t="n">
        <v>0.1430845955510065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1.352267337322357</v>
      </c>
      <c r="AO756" s="6" t="n">
        <v>1.352267337322357</v>
      </c>
      <c r="AP756" s="6" t="n">
        <v>0.1374731941890192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1.311018877582546</v>
      </c>
      <c r="AO757" s="6" t="n">
        <v>1.315511609150732</v>
      </c>
      <c r="AP757" s="6" t="n">
        <v>0.1285702031163494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1.354918372689085</v>
      </c>
      <c r="AO758" s="6" t="n">
        <v>1.356666526201833</v>
      </c>
      <c r="AP758" s="6" t="n">
        <v>0.1382861549944921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1.346011846298693</v>
      </c>
      <c r="AO759" s="6" t="n">
        <v>1.346505558039499</v>
      </c>
      <c r="AP759" s="6" t="n">
        <v>0.1327933944265212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1.344551775644703</v>
      </c>
      <c r="AO760" s="6" t="n">
        <v>1.345548104136082</v>
      </c>
      <c r="AP760" s="6" t="n">
        <v>0.1326933167653729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1.342272298878895</v>
      </c>
      <c r="AO761" s="6" t="n">
        <v>1.347308312514075</v>
      </c>
      <c r="AP761" s="6" t="n">
        <v>0.134236000138599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1.331618009673034</v>
      </c>
      <c r="AO762" s="6" t="n">
        <v>1.335512124239832</v>
      </c>
      <c r="AP762" s="6" t="n">
        <v>0.1314110357501346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1.319120928826919</v>
      </c>
      <c r="AO763" s="6" t="n">
        <v>1.329536837275342</v>
      </c>
      <c r="AP763" s="6" t="n">
        <v>0.1345326558773977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1.300608832164716</v>
      </c>
      <c r="AO764" s="6" t="n">
        <v>1.303906133868906</v>
      </c>
      <c r="AP764" s="6" t="n">
        <v>0.1285482996826346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1.315630431762473</v>
      </c>
      <c r="AO765" s="6" t="n">
        <v>1.323354702897712</v>
      </c>
      <c r="AP765" s="6" t="n">
        <v>0.1292022239831196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1.341669553083799</v>
      </c>
      <c r="AO766" s="6" t="n">
        <v>1.341886750394263</v>
      </c>
      <c r="AP766" s="6" t="n">
        <v>0.1312607336995757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1.349888764195121</v>
      </c>
      <c r="AO767" s="6" t="n">
        <v>1.349888764195121</v>
      </c>
      <c r="AP767" s="6" t="n">
        <v>0.1350310359986858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1.343283371705009</v>
      </c>
      <c r="AO768" s="6" t="n">
        <v>1.343354957089864</v>
      </c>
      <c r="AP768" s="6" t="n">
        <v>0.1313495264744716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1.331573380797362</v>
      </c>
      <c r="AO769" s="6" t="n">
        <v>1.335803751649282</v>
      </c>
      <c r="AP769" s="6" t="n">
        <v>0.131519474505381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1.349364568844389</v>
      </c>
      <c r="AO770" s="6" t="n">
        <v>1.349750409849579</v>
      </c>
      <c r="AP770" s="6" t="n">
        <v>0.133553502510675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1.344276247929732</v>
      </c>
      <c r="AO771" s="6" t="n">
        <v>1.344705259253038</v>
      </c>
      <c r="AP771" s="6" t="n">
        <v>0.1317452568580904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1.344926155148868</v>
      </c>
      <c r="AO772" s="6" t="n">
        <v>1.345248236442575</v>
      </c>
      <c r="AP772" s="6" t="n">
        <v>0.1320656757472319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1.34601989852264</v>
      </c>
      <c r="AO773" s="6" t="n">
        <v>1.346446830642984</v>
      </c>
      <c r="AP773" s="6" t="n">
        <v>0.13173542159702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1.356807548010001</v>
      </c>
      <c r="AO774" s="6" t="n">
        <v>1.357333367139212</v>
      </c>
      <c r="AP774" s="6" t="n">
        <v>0.1357031134276582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1.337149219806426</v>
      </c>
      <c r="AO775" s="6" t="n">
        <v>1.338316508835014</v>
      </c>
      <c r="AP775" s="6" t="n">
        <v>0.1308580876170441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1.356421361365562</v>
      </c>
      <c r="AO776" s="6" t="n">
        <v>1.357318741133761</v>
      </c>
      <c r="AP776" s="6" t="n">
        <v>0.1355641425201612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1.341188263281762</v>
      </c>
      <c r="AO777" s="6" t="n">
        <v>1.342923145061887</v>
      </c>
      <c r="AP777" s="6" t="n">
        <v>0.1314390001236163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1.331845894870054</v>
      </c>
      <c r="AO778" s="6" t="n">
        <v>1.332220330357379</v>
      </c>
      <c r="AP778" s="6" t="n">
        <v>0.1298813085309814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1.350889806253722</v>
      </c>
      <c r="AO779" s="6" t="n">
        <v>1.350889806253722</v>
      </c>
      <c r="AP779" s="6" t="n">
        <v>0.135087863054085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1.334729807108163</v>
      </c>
      <c r="AO780" s="6" t="n">
        <v>1.334777180549628</v>
      </c>
      <c r="AP780" s="6" t="n">
        <v>0.1307365478728911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1.294979054724623</v>
      </c>
      <c r="AO781" s="6" t="n">
        <v>1.301576593956655</v>
      </c>
      <c r="AP781" s="6" t="n">
        <v>0.1269813041745165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1.311907870601724</v>
      </c>
      <c r="AO782" s="6" t="n">
        <v>1.322824914051234</v>
      </c>
      <c r="AP782" s="6" t="n">
        <v>0.1306090035562746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1.337113707127726</v>
      </c>
      <c r="AO783" s="6" t="n">
        <v>1.337170843224478</v>
      </c>
      <c r="AP783" s="6" t="n">
        <v>0.1306207812732342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1.305285055493412</v>
      </c>
      <c r="AO784" s="6" t="n">
        <v>1.309000397408069</v>
      </c>
      <c r="AP784" s="6" t="n">
        <v>0.1309383627889755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1.332827620659884</v>
      </c>
      <c r="AO785" s="6" t="n">
        <v>1.335924056561469</v>
      </c>
      <c r="AP785" s="6" t="n">
        <v>0.1306364637458252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1.32818832526572</v>
      </c>
      <c r="AO786" s="6" t="n">
        <v>1.32838443739092</v>
      </c>
      <c r="AP786" s="6" t="n">
        <v>0.1292820362494618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1.323672447871362</v>
      </c>
      <c r="AO787" s="6" t="n">
        <v>1.324235898321664</v>
      </c>
      <c r="AP787" s="6" t="n">
        <v>0.1278543947236749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1.356047646327074</v>
      </c>
      <c r="AO788" s="6" t="n">
        <v>1.356047646327074</v>
      </c>
      <c r="AP788" s="6" t="n">
        <v>0.1378722610057563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1.344401065001425</v>
      </c>
      <c r="AO789" s="6" t="n">
        <v>1.344401065001425</v>
      </c>
      <c r="AP789" s="6" t="n">
        <v>0.1330089153272846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1.307845784879113</v>
      </c>
      <c r="AO790" s="6" t="n">
        <v>1.319558432843902</v>
      </c>
      <c r="AP790" s="6" t="n">
        <v>0.1300090824054114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1.33033316640138</v>
      </c>
      <c r="AO791" s="6" t="n">
        <v>1.331715577927669</v>
      </c>
      <c r="AP791" s="6" t="n">
        <v>0.1296472923276299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1.347032421588899</v>
      </c>
      <c r="AO792" s="6" t="n">
        <v>1.347138921361678</v>
      </c>
      <c r="AP792" s="6" t="n">
        <v>0.1319757303812782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1.336590534764283</v>
      </c>
      <c r="AO793" s="6" t="n">
        <v>1.338973468144091</v>
      </c>
      <c r="AP793" s="6" t="n">
        <v>0.1308691559396837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1.337460940360125</v>
      </c>
      <c r="AO794" s="6" t="n">
        <v>1.340542552121336</v>
      </c>
      <c r="AP794" s="6" t="n">
        <v>0.1314920319870204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1.341891518565794</v>
      </c>
      <c r="AO795" s="6" t="n">
        <v>1.342701124972288</v>
      </c>
      <c r="AP795" s="6" t="n">
        <v>0.1315607548587813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1.344389062388343</v>
      </c>
      <c r="AO796" s="6" t="n">
        <v>1.344389062388343</v>
      </c>
      <c r="AP796" s="6" t="n">
        <v>0.134386805459988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1.353628575505963</v>
      </c>
      <c r="AO797" s="6" t="n">
        <v>1.353628575505963</v>
      </c>
      <c r="AP797" s="6" t="n">
        <v>0.1363103037902798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1.324735857523199</v>
      </c>
      <c r="AO798" s="6" t="n">
        <v>1.327618541864428</v>
      </c>
      <c r="AP798" s="6" t="n">
        <v>0.1309016442833354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1.335812275795182</v>
      </c>
      <c r="AO799" s="6" t="n">
        <v>1.336160886106936</v>
      </c>
      <c r="AP799" s="6" t="n">
        <v>0.1310947598481603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1.348155847413473</v>
      </c>
      <c r="AO800" s="6" t="n">
        <v>1.351694240646136</v>
      </c>
      <c r="AP800" s="6" t="n">
        <v>0.1353553372196742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1.337617471559992</v>
      </c>
      <c r="AO801" s="6" t="n">
        <v>1.337992401910723</v>
      </c>
      <c r="AP801" s="6" t="n">
        <v>0.130416771716252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1.339017557787221</v>
      </c>
      <c r="AO802" s="6" t="n">
        <v>1.342544429526639</v>
      </c>
      <c r="AP802" s="6" t="n">
        <v>0.132803272116754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1.340163824837904</v>
      </c>
      <c r="AO803" s="6" t="n">
        <v>1.349249647576318</v>
      </c>
      <c r="AP803" s="6" t="n">
        <v>0.1368958921524429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1.331071030811042</v>
      </c>
      <c r="AO804" s="6" t="n">
        <v>1.337626564483051</v>
      </c>
      <c r="AP804" s="6" t="n">
        <v>0.1338428845293047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1.335031720522035</v>
      </c>
      <c r="AO805" s="6" t="n">
        <v>1.336227273981819</v>
      </c>
      <c r="AP805" s="6" t="n">
        <v>0.1297240548995089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1.342395475059374</v>
      </c>
      <c r="AO806" s="6" t="n">
        <v>1.342708061664355</v>
      </c>
      <c r="AP806" s="6" t="n">
        <v>0.1309880629950363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1.332339087907283</v>
      </c>
      <c r="AO807" s="6" t="n">
        <v>1.340133751135014</v>
      </c>
      <c r="AP807" s="6" t="n">
        <v>0.1352602650827642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1.348483986819447</v>
      </c>
      <c r="AO808" s="6" t="n">
        <v>1.348483986819447</v>
      </c>
      <c r="AP808" s="6" t="n">
        <v>0.1339187257247616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1.347126617913713</v>
      </c>
      <c r="AO809" s="6" t="n">
        <v>1.34915377812541</v>
      </c>
      <c r="AP809" s="6" t="n">
        <v>0.1337454954734662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1.334000261930863</v>
      </c>
      <c r="AO810" s="6" t="n">
        <v>1.334591812771126</v>
      </c>
      <c r="AP810" s="6" t="n">
        <v>0.1291347462354925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1.340207823342341</v>
      </c>
      <c r="AO811" s="6" t="n">
        <v>1.349526301580214</v>
      </c>
      <c r="AP811" s="6" t="n">
        <v>0.1371316389892114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1.327417586792394</v>
      </c>
      <c r="AO812" s="6" t="n">
        <v>1.327575732044553</v>
      </c>
      <c r="AP812" s="6" t="n">
        <v>0.1292577485390904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1.305881376364662</v>
      </c>
      <c r="AO813" s="6" t="n">
        <v>1.316263995507519</v>
      </c>
      <c r="AP813" s="6" t="n">
        <v>0.1283828728405746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1.310037288026052</v>
      </c>
      <c r="AO814" s="6" t="n">
        <v>1.318418503995916</v>
      </c>
      <c r="AP814" s="6" t="n">
        <v>0.1295132833253692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1.336051898158622</v>
      </c>
      <c r="AO815" s="6" t="n">
        <v>1.336222246544811</v>
      </c>
      <c r="AP815" s="6" t="n">
        <v>0.1303869878547745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1.344542792936473</v>
      </c>
      <c r="AO816" s="6" t="n">
        <v>1.345283544801416</v>
      </c>
      <c r="AP816" s="6" t="n">
        <v>0.1314908344192989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1.350475769107092</v>
      </c>
      <c r="AO817" s="6" t="n">
        <v>1.350874690161383</v>
      </c>
      <c r="AP817" s="6" t="n">
        <v>0.1329530547624607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1.335122478758341</v>
      </c>
      <c r="AO818" s="6" t="n">
        <v>1.343794652043134</v>
      </c>
      <c r="AP818" s="6" t="n">
        <v>0.1348612495875437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1.331014945482038</v>
      </c>
      <c r="AO819" s="6" t="n">
        <v>1.339221354248249</v>
      </c>
      <c r="AP819" s="6" t="n">
        <v>0.1339592458675594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1.353775496102761</v>
      </c>
      <c r="AO820" s="6" t="n">
        <v>1.354082853836245</v>
      </c>
      <c r="AP820" s="6" t="n">
        <v>0.1358878729982688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1.320570504913622</v>
      </c>
      <c r="AO821" s="6" t="n">
        <v>1.320759942862545</v>
      </c>
      <c r="AP821" s="6" t="n">
        <v>0.128025415379374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1.350243316543497</v>
      </c>
      <c r="AO822" s="6" t="n">
        <v>1.351176536583619</v>
      </c>
      <c r="AP822" s="6" t="n">
        <v>0.1342066464735277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1.347176738778609</v>
      </c>
      <c r="AO823" s="6" t="n">
        <v>1.351706052571869</v>
      </c>
      <c r="AP823" s="6" t="n">
        <v>0.1388699210239115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1.331657813602704</v>
      </c>
      <c r="AO824" s="6" t="n">
        <v>1.332103878414698</v>
      </c>
      <c r="AP824" s="6" t="n">
        <v>0.1290743100222675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1.311099793740104</v>
      </c>
      <c r="AO825" s="6" t="n">
        <v>1.321276135752134</v>
      </c>
      <c r="AP825" s="6" t="n">
        <v>0.1306898167847508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1.335288726481682</v>
      </c>
      <c r="AO826" s="6" t="n">
        <v>1.34452093001481</v>
      </c>
      <c r="AP826" s="6" t="n">
        <v>0.1365972111767629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1.331568058541042</v>
      </c>
      <c r="AO827" s="6" t="n">
        <v>1.335595144714125</v>
      </c>
      <c r="AP827" s="6" t="n">
        <v>0.130717523754255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1.357934379292636</v>
      </c>
      <c r="AO828" s="6" t="n">
        <v>1.357934379292636</v>
      </c>
      <c r="AP828" s="6" t="n">
        <v>0.1382336794070538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1.351073160359836</v>
      </c>
      <c r="AO829" s="6" t="n">
        <v>1.351517358547215</v>
      </c>
      <c r="AP829" s="6" t="n">
        <v>0.1331128663651326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1.314735887128072</v>
      </c>
      <c r="AO830" s="6" t="n">
        <v>1.322452228607273</v>
      </c>
      <c r="AP830" s="6" t="n">
        <v>0.1290052987633378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1.347117804749781</v>
      </c>
      <c r="AO831" s="6" t="n">
        <v>1.347485137759648</v>
      </c>
      <c r="AP831" s="6" t="n">
        <v>0.1330747024480675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1.349009629169029</v>
      </c>
      <c r="AO832" s="6" t="n">
        <v>1.350118388484895</v>
      </c>
      <c r="AP832" s="6" t="n">
        <v>0.1334260377525461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1.348634962473571</v>
      </c>
      <c r="AO833" s="6" t="n">
        <v>1.349411170298702</v>
      </c>
      <c r="AP833" s="6" t="n">
        <v>0.1330195935921079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1.33640362115409</v>
      </c>
      <c r="AO834" s="6" t="n">
        <v>1.336469971546967</v>
      </c>
      <c r="AP834" s="6" t="n">
        <v>0.1305303396023218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1.343665488781337</v>
      </c>
      <c r="AO835" s="6" t="n">
        <v>1.344035092909089</v>
      </c>
      <c r="AP835" s="6" t="n">
        <v>0.1315919407936119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1.345426532984168</v>
      </c>
      <c r="AO836" s="6" t="n">
        <v>1.345708712864862</v>
      </c>
      <c r="AP836" s="6" t="n">
        <v>0.1318305782481608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1.331195799308757</v>
      </c>
      <c r="AO837" s="6" t="n">
        <v>1.331479003373432</v>
      </c>
      <c r="AP837" s="6" t="n">
        <v>0.1292507279504424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1.339973762216147</v>
      </c>
      <c r="AO838" s="6" t="n">
        <v>1.34096429732073</v>
      </c>
      <c r="AP838" s="6" t="n">
        <v>0.1310969383289979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1.352727453636188</v>
      </c>
      <c r="AO839" s="6" t="n">
        <v>1.352727453636188</v>
      </c>
      <c r="AP839" s="6" t="n">
        <v>0.1361680657351367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1.356829368719086</v>
      </c>
      <c r="AO840" s="6" t="n">
        <v>1.357346704765282</v>
      </c>
      <c r="AP840" s="6" t="n">
        <v>0.1359786934877437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1.339245833976605</v>
      </c>
      <c r="AO841" s="6" t="n">
        <v>1.344313399797497</v>
      </c>
      <c r="AP841" s="6" t="n">
        <v>0.1334488670759114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1.345192591774276</v>
      </c>
      <c r="AO842" s="6" t="n">
        <v>1.347644267317532</v>
      </c>
      <c r="AP842" s="6" t="n">
        <v>0.1328100276996815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1.318276742988804</v>
      </c>
      <c r="AO843" s="6" t="n">
        <v>1.320311720253548</v>
      </c>
      <c r="AP843" s="6" t="n">
        <v>0.1280517159936115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1.348286961224723</v>
      </c>
      <c r="AO844" s="6" t="n">
        <v>1.349173234218734</v>
      </c>
      <c r="AP844" s="6" t="n">
        <v>0.1326919303007776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1.347490027495822</v>
      </c>
      <c r="AO845" s="6" t="n">
        <v>1.350585955224009</v>
      </c>
      <c r="AP845" s="6" t="n">
        <v>0.1365518350917605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1.326548104056211</v>
      </c>
      <c r="AO846" s="6" t="n">
        <v>1.326810774163371</v>
      </c>
      <c r="AP846" s="6" t="n">
        <v>0.1283829573188149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1.333841611242232</v>
      </c>
      <c r="AO847" s="6" t="n">
        <v>1.334189183177849</v>
      </c>
      <c r="AP847" s="6" t="n">
        <v>0.1298330934755409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1.343626116582533</v>
      </c>
      <c r="AO848" s="6" t="n">
        <v>1.345852167518034</v>
      </c>
      <c r="AP848" s="6" t="n">
        <v>0.1313600038857354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1.348878281983385</v>
      </c>
      <c r="AO849" s="6" t="n">
        <v>1.348878281983385</v>
      </c>
      <c r="AP849" s="6" t="n">
        <v>0.1377859707605754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1.350827442599959</v>
      </c>
      <c r="AO850" s="6" t="n">
        <v>1.351489785460307</v>
      </c>
      <c r="AP850" s="6" t="n">
        <v>0.1345033728549817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1.337567434386701</v>
      </c>
      <c r="AO851" s="6" t="n">
        <v>1.337892433444968</v>
      </c>
      <c r="AP851" s="6" t="n">
        <v>0.1307108294707136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1.350013884773625</v>
      </c>
      <c r="AO852" s="6" t="n">
        <v>1.350013884773625</v>
      </c>
      <c r="AP852" s="6" t="n">
        <v>0.1345085661220073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1.345111060805536</v>
      </c>
      <c r="AO853" s="6" t="n">
        <v>1.345213213773026</v>
      </c>
      <c r="AP853" s="6" t="n">
        <v>0.1325359689442582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1.331743347054632</v>
      </c>
      <c r="AO854" s="6" t="n">
        <v>1.336293786433486</v>
      </c>
      <c r="AP854" s="6" t="n">
        <v>0.1324643042531558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1.331866486300416</v>
      </c>
      <c r="AO855" s="6" t="n">
        <v>1.344197541950536</v>
      </c>
      <c r="AP855" s="6" t="n">
        <v>0.1391600687732999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1.32107906869865</v>
      </c>
      <c r="AO856" s="6" t="n">
        <v>1.326512321963481</v>
      </c>
      <c r="AP856" s="6" t="n">
        <v>0.1319219215538778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1.288289467907887</v>
      </c>
      <c r="AO857" s="6" t="n">
        <v>1.301182075911709</v>
      </c>
      <c r="AP857" s="6" t="n">
        <v>0.1297078997198476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1.356482534344893</v>
      </c>
      <c r="AO858" s="6" t="n">
        <v>1.356482534344893</v>
      </c>
      <c r="AP858" s="6" t="n">
        <v>0.138452059295131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1.33615822564752</v>
      </c>
      <c r="AO859" s="6" t="n">
        <v>1.336282177353126</v>
      </c>
      <c r="AP859" s="6" t="n">
        <v>0.1304834274936175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1.361182436390974</v>
      </c>
      <c r="AO860" s="6" t="n">
        <v>1.362573553342218</v>
      </c>
      <c r="AP860" s="6" t="n">
        <v>0.1366630831524147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1.32487503808177</v>
      </c>
      <c r="AO861" s="6" t="n">
        <v>1.331021467964837</v>
      </c>
      <c r="AP861" s="6" t="n">
        <v>0.1312283082229465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1.323492213967692</v>
      </c>
      <c r="AO862" s="6" t="n">
        <v>1.333113974054044</v>
      </c>
      <c r="AP862" s="6" t="n">
        <v>0.1327676733419244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1.34715222657065</v>
      </c>
      <c r="AO863" s="6" t="n">
        <v>1.347183463301834</v>
      </c>
      <c r="AP863" s="6" t="n">
        <v>0.1319576986771756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1.296073294229966</v>
      </c>
      <c r="AO864" s="6" t="n">
        <v>1.308102285343775</v>
      </c>
      <c r="AP864" s="6" t="n">
        <v>0.1314462308146067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1.310905557575939</v>
      </c>
      <c r="AO865" s="6" t="n">
        <v>1.31743652920459</v>
      </c>
      <c r="AP865" s="6" t="n">
        <v>0.1309059087393895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1.351036358392343</v>
      </c>
      <c r="AO866" s="6" t="n">
        <v>1.351036358392343</v>
      </c>
      <c r="AP866" s="6" t="n">
        <v>0.1379191331166036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1.326340225393865</v>
      </c>
      <c r="AO867" s="6" t="n">
        <v>1.326697630386509</v>
      </c>
      <c r="AP867" s="6" t="n">
        <v>0.1286512947965625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1.324139463071626</v>
      </c>
      <c r="AO868" s="6" t="n">
        <v>1.326233362705487</v>
      </c>
      <c r="AP868" s="6" t="n">
        <v>0.128112383646177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1.358147250084322</v>
      </c>
      <c r="AO869" s="6" t="n">
        <v>1.358147250084322</v>
      </c>
      <c r="AP869" s="6" t="n">
        <v>0.1373403417144355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1.350630545420581</v>
      </c>
      <c r="AO870" s="6" t="n">
        <v>1.350630545420581</v>
      </c>
      <c r="AP870" s="6" t="n">
        <v>0.1347623525630725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1.334407010414636</v>
      </c>
      <c r="AO871" s="6" t="n">
        <v>1.334440561911819</v>
      </c>
      <c r="AP871" s="6" t="n">
        <v>0.1301276896785973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1.346683857317752</v>
      </c>
      <c r="AO872" s="6" t="n">
        <v>1.347181428275747</v>
      </c>
      <c r="AP872" s="6" t="n">
        <v>0.1325213859107331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1.306668976755394</v>
      </c>
      <c r="AO873" s="6" t="n">
        <v>1.316004753217626</v>
      </c>
      <c r="AP873" s="6" t="n">
        <v>0.1292162758049231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1.352158884628393</v>
      </c>
      <c r="AO874" s="6" t="n">
        <v>1.352428662341806</v>
      </c>
      <c r="AP874" s="6" t="n">
        <v>0.1345372366294705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1.351378121752466</v>
      </c>
      <c r="AO875" s="6" t="n">
        <v>1.351378121752466</v>
      </c>
      <c r="AP875" s="6" t="n">
        <v>0.1372003217368293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1.332887435011752</v>
      </c>
      <c r="AO876" s="6" t="n">
        <v>1.333937331010807</v>
      </c>
      <c r="AP876" s="6" t="n">
        <v>0.130317911339513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1.353114309387416</v>
      </c>
      <c r="AO877" s="6" t="n">
        <v>1.353114309387416</v>
      </c>
      <c r="AP877" s="6" t="n">
        <v>0.1354143408131201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1.332513015273919</v>
      </c>
      <c r="AO878" s="6" t="n">
        <v>1.340443441546217</v>
      </c>
      <c r="AP878" s="6" t="n">
        <v>0.1338220119595982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1.321872306891468</v>
      </c>
      <c r="AO879" s="6" t="n">
        <v>1.324221112330413</v>
      </c>
      <c r="AP879" s="6" t="n">
        <v>0.1284180507949558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1.344831669124116</v>
      </c>
      <c r="AO880" s="6" t="n">
        <v>1.344922539168024</v>
      </c>
      <c r="AP880" s="6" t="n">
        <v>0.1314361950633087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1.298064966863172</v>
      </c>
      <c r="AO881" s="6" t="n">
        <v>1.301234488296742</v>
      </c>
      <c r="AP881" s="6" t="n">
        <v>0.1258608219837325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1.314248681094049</v>
      </c>
      <c r="AO882" s="6" t="n">
        <v>1.322164997996598</v>
      </c>
      <c r="AP882" s="6" t="n">
        <v>0.1290506055982387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1.307799736646478</v>
      </c>
      <c r="AO883" s="6" t="n">
        <v>1.309697409207047</v>
      </c>
      <c r="AP883" s="6" t="n">
        <v>0.1288106291695978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1.356543337186819</v>
      </c>
      <c r="AO884" s="6" t="n">
        <v>1.357416396438897</v>
      </c>
      <c r="AP884" s="6" t="n">
        <v>0.1358042050559659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1.331334953145584</v>
      </c>
      <c r="AO885" s="6" t="n">
        <v>1.331909280983018</v>
      </c>
      <c r="AP885" s="6" t="n">
        <v>0.1296976983061245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1.347838759589665</v>
      </c>
      <c r="AO886" s="6" t="n">
        <v>1.348774340729442</v>
      </c>
      <c r="AP886" s="6" t="n">
        <v>0.1341441318053291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1.340952633980971</v>
      </c>
      <c r="AO887" s="6" t="n">
        <v>1.346559679551817</v>
      </c>
      <c r="AP887" s="6" t="n">
        <v>0.1341461094232453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1.325708710356679</v>
      </c>
      <c r="AO888" s="6" t="n">
        <v>1.326036684535784</v>
      </c>
      <c r="AP888" s="6" t="n">
        <v>0.1289299048092004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1.349530291912963</v>
      </c>
      <c r="AO889" s="6" t="n">
        <v>1.34971086472887</v>
      </c>
      <c r="AP889" s="6" t="n">
        <v>0.1325820971239282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1.354989226023712</v>
      </c>
      <c r="AO890" s="6" t="n">
        <v>1.354989226023712</v>
      </c>
      <c r="AP890" s="6" t="n">
        <v>0.1368934109181723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1.345097020247591</v>
      </c>
      <c r="AO891" s="6" t="n">
        <v>1.352077706326323</v>
      </c>
      <c r="AP891" s="6" t="n">
        <v>0.137473338029935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1.338368569176938</v>
      </c>
      <c r="AO892" s="6" t="n">
        <v>1.338778383709189</v>
      </c>
      <c r="AP892" s="6" t="n">
        <v>0.1307371449620454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1.358222681751941</v>
      </c>
      <c r="AO893" s="6" t="n">
        <v>1.358222681751941</v>
      </c>
      <c r="AP893" s="6" t="n">
        <v>0.1372795253816114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1.295732680988042</v>
      </c>
      <c r="AO894" s="6" t="n">
        <v>1.309750472080829</v>
      </c>
      <c r="AP894" s="6" t="n">
        <v>0.1291312693924708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1.349162614361986</v>
      </c>
      <c r="AO895" s="6" t="n">
        <v>1.349382533507369</v>
      </c>
      <c r="AP895" s="6" t="n">
        <v>0.1329386131803062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1.340898295826124</v>
      </c>
      <c r="AO896" s="6" t="n">
        <v>1.341661389033036</v>
      </c>
      <c r="AP896" s="6" t="n">
        <v>0.1318277366264244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1.325059908408612</v>
      </c>
      <c r="AO897" s="6" t="n">
        <v>1.331055144401071</v>
      </c>
      <c r="AP897" s="6" t="n">
        <v>0.1305856721886766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1.358528037987651</v>
      </c>
      <c r="AO898" s="6" t="n">
        <v>1.358528037987651</v>
      </c>
      <c r="AP898" s="6" t="n">
        <v>0.1367344449248874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1.344379013261746</v>
      </c>
      <c r="AO899" s="6" t="n">
        <v>1.344379013261746</v>
      </c>
      <c r="AP899" s="6" t="n">
        <v>0.1332174864358076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1.330395220220557</v>
      </c>
      <c r="AO900" s="6" t="n">
        <v>1.331292557250296</v>
      </c>
      <c r="AP900" s="6" t="n">
        <v>0.1296173946764359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1.339073126927696</v>
      </c>
      <c r="AO901" s="6" t="n">
        <v>1.339838374465937</v>
      </c>
      <c r="AP901" s="6" t="n">
        <v>0.1310723631502517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1.345078658982724</v>
      </c>
      <c r="AO902" s="6" t="n">
        <v>1.345382067474148</v>
      </c>
      <c r="AP902" s="6" t="n">
        <v>0.1330608657013197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1.346233229655514</v>
      </c>
      <c r="AO903" s="6" t="n">
        <v>1.346713946815071</v>
      </c>
      <c r="AP903" s="6" t="n">
        <v>0.1319271429955872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1.351008220605458</v>
      </c>
      <c r="AO904" s="6" t="n">
        <v>1.352392019420779</v>
      </c>
      <c r="AP904" s="6" t="n">
        <v>0.1351360452723391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1.345906096077269</v>
      </c>
      <c r="AO905" s="6" t="n">
        <v>1.346820485819524</v>
      </c>
      <c r="AP905" s="6" t="n">
        <v>0.1328469845393498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1.326926643342392</v>
      </c>
      <c r="AO906" s="6" t="n">
        <v>1.327668126487918</v>
      </c>
      <c r="AP906" s="6" t="n">
        <v>0.1283206879662927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1.347430360721157</v>
      </c>
      <c r="AO907" s="6" t="n">
        <v>1.347672556800283</v>
      </c>
      <c r="AP907" s="6" t="n">
        <v>0.1328380893469553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1.331516739508572</v>
      </c>
      <c r="AO908" s="6" t="n">
        <v>1.332693209783252</v>
      </c>
      <c r="AP908" s="6" t="n">
        <v>0.1295895120507858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1.338247658045518</v>
      </c>
      <c r="AO909" s="6" t="n">
        <v>1.339414678526079</v>
      </c>
      <c r="AP909" s="6" t="n">
        <v>0.1312577122028299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1.352175821447706</v>
      </c>
      <c r="AO910" s="6" t="n">
        <v>1.352393357370415</v>
      </c>
      <c r="AP910" s="6" t="n">
        <v>0.1333792146520283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1.343319385385193</v>
      </c>
      <c r="AO911" s="6" t="n">
        <v>1.345527793877095</v>
      </c>
      <c r="AP911" s="6" t="n">
        <v>0.1323547686038767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1.353187572610758</v>
      </c>
      <c r="AO912" s="6" t="n">
        <v>1.353937536929841</v>
      </c>
      <c r="AP912" s="6" t="n">
        <v>0.1343513528426126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1.324297241514285</v>
      </c>
      <c r="AO913" s="6" t="n">
        <v>1.325033517037115</v>
      </c>
      <c r="AP913" s="6" t="n">
        <v>0.1280647651598114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1.353336121234036</v>
      </c>
      <c r="AO914" s="6" t="n">
        <v>1.353336121234036</v>
      </c>
      <c r="AP914" s="6" t="n">
        <v>0.1351113951828832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1.33833412934838</v>
      </c>
      <c r="AO915" s="6" t="n">
        <v>1.338591205529422</v>
      </c>
      <c r="AP915" s="6" t="n">
        <v>0.1307988170698424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1.34771379818267</v>
      </c>
      <c r="AO916" s="6" t="n">
        <v>1.34771379818267</v>
      </c>
      <c r="AP916" s="6" t="n">
        <v>0.1351443795891658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1.302542632906075</v>
      </c>
      <c r="AO917" s="6" t="n">
        <v>1.308422521913814</v>
      </c>
      <c r="AP917" s="6" t="n">
        <v>0.1355263513779443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1.339422910925938</v>
      </c>
      <c r="AO918" s="6" t="n">
        <v>1.342122711962592</v>
      </c>
      <c r="AP918" s="6" t="n">
        <v>0.1319258889832784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1.345529241368781</v>
      </c>
      <c r="AO919" s="6" t="n">
        <v>1.346417459270208</v>
      </c>
      <c r="AP919" s="6" t="n">
        <v>0.1344367793327214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1.351455134356798</v>
      </c>
      <c r="AO920" s="6" t="n">
        <v>1.352023399435437</v>
      </c>
      <c r="AP920" s="6" t="n">
        <v>0.1348071636302375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1.348979097163463</v>
      </c>
      <c r="AO921" s="6" t="n">
        <v>1.348979097163463</v>
      </c>
      <c r="AP921" s="6" t="n">
        <v>0.1366702298631995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1.337542315247745</v>
      </c>
      <c r="AO922" s="6" t="n">
        <v>1.337598585807256</v>
      </c>
      <c r="AP922" s="6" t="n">
        <v>0.1305206526163813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1.330475333092008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1.329416073462976</v>
      </c>
      <c r="AO924" s="6" t="n">
        <v>1.330927688944647</v>
      </c>
      <c r="AP924" s="6" t="n">
        <v>0.1331645665315205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1.34769762139393</v>
      </c>
      <c r="AO925" s="6" t="n">
        <v>1.347781102167326</v>
      </c>
      <c r="AP925" s="6" t="n">
        <v>0.1336413138080332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1.343103399751522</v>
      </c>
      <c r="AO926" s="6" t="n">
        <v>1.348969452965102</v>
      </c>
      <c r="AP926" s="6" t="n">
        <v>0.1360217571988727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1.347738897396508</v>
      </c>
      <c r="AO927" s="6" t="n">
        <v>1.347981890821056</v>
      </c>
      <c r="AP927" s="6" t="n">
        <v>0.132475400569029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1.357501897071045</v>
      </c>
      <c r="AO928" s="6" t="n">
        <v>1.357501897071045</v>
      </c>
      <c r="AP928" s="6" t="n">
        <v>0.1384517584730269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1.358447765833089</v>
      </c>
      <c r="AO929" s="6" t="n">
        <v>1.358948039410006</v>
      </c>
      <c r="AP929" s="6" t="n">
        <v>0.1357779347407707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1.320024831893061</v>
      </c>
      <c r="AO930" s="6" t="n">
        <v>1.321264199118505</v>
      </c>
      <c r="AP930" s="6" t="n">
        <v>0.1274116671131865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1.343070174151518</v>
      </c>
      <c r="AO931" s="6" t="n">
        <v>1.343502635721762</v>
      </c>
      <c r="AP931" s="6" t="n">
        <v>0.1320360972879195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1.350159962970809</v>
      </c>
      <c r="AO932" s="6" t="n">
        <v>1.350507659611157</v>
      </c>
      <c r="AP932" s="6" t="n">
        <v>0.1333292946050476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1.343245469762989</v>
      </c>
      <c r="AO933" s="6" t="n">
        <v>1.343841472289923</v>
      </c>
      <c r="AP933" s="6" t="n">
        <v>0.1315788625133665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1.345383981386177</v>
      </c>
      <c r="AO934" s="6" t="n">
        <v>1.34659314282609</v>
      </c>
      <c r="AP934" s="6" t="n">
        <v>0.1312833385327347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1.353376662174937</v>
      </c>
      <c r="AO935" s="6" t="n">
        <v>1.353376662174937</v>
      </c>
      <c r="AP935" s="6" t="n">
        <v>0.1341426527703658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1.327262147771457</v>
      </c>
      <c r="AO936" s="6" t="n">
        <v>1.335918321080793</v>
      </c>
      <c r="AP936" s="6" t="n">
        <v>0.1332384985060367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1.319407020589769</v>
      </c>
      <c r="AO937" s="6" t="n">
        <v>1.327335850648718</v>
      </c>
      <c r="AP937" s="6" t="n">
        <v>0.1308370034379058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1.326058974400728</v>
      </c>
      <c r="AO938" s="6" t="n">
        <v>1.332481442594144</v>
      </c>
      <c r="AP938" s="6" t="n">
        <v>0.13104066754326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1.351302450485502</v>
      </c>
      <c r="AO939" s="6" t="n">
        <v>1.351878973601757</v>
      </c>
      <c r="AP939" s="6" t="n">
        <v>0.1359914273816163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1.347459164214824</v>
      </c>
      <c r="AO940" s="6" t="n">
        <v>1.347691879526506</v>
      </c>
      <c r="AP940" s="6" t="n">
        <v>0.1330528786779447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1.350092981505014</v>
      </c>
      <c r="AO941" s="6" t="n">
        <v>1.35126293703339</v>
      </c>
      <c r="AP941" s="6" t="n">
        <v>0.1331882681970736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1.344681685257079</v>
      </c>
      <c r="AO942" s="6" t="n">
        <v>1.34553810073267</v>
      </c>
      <c r="AP942" s="6" t="n">
        <v>0.1321975572531259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1.340698551716931</v>
      </c>
      <c r="AO943" s="6" t="n">
        <v>1.340978364535217</v>
      </c>
      <c r="AP943" s="6" t="n">
        <v>0.1319512114070842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1.345469732069839</v>
      </c>
      <c r="AO944" s="6" t="n">
        <v>1.348829794473168</v>
      </c>
      <c r="AP944" s="6" t="n">
        <v>0.1332524905010896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1.34039722108773</v>
      </c>
      <c r="AO945" s="6" t="n">
        <v>1.340754791000101</v>
      </c>
      <c r="AP945" s="6" t="n">
        <v>0.131228306808249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1.338812091628452</v>
      </c>
      <c r="AO946" s="6" t="n">
        <v>1.347755185689613</v>
      </c>
      <c r="AP946" s="6" t="n">
        <v>0.1370071066998179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1.360223855138923</v>
      </c>
      <c r="AO947" s="6" t="n">
        <v>1.360223855138923</v>
      </c>
      <c r="AP947" s="6" t="n">
        <v>0.1418698942079419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1.307469464875395</v>
      </c>
      <c r="AO948" s="6" t="n">
        <v>1.313411200956926</v>
      </c>
      <c r="AP948" s="6" t="n">
        <v>0.1296284199333367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1.345274781331616</v>
      </c>
      <c r="AO949" s="6" t="n">
        <v>1.345963008923211</v>
      </c>
      <c r="AP949" s="6" t="n">
        <v>0.1331218598725168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1.351019171964661</v>
      </c>
      <c r="AO950" s="6" t="n">
        <v>1.351019171964661</v>
      </c>
      <c r="AP950" s="6" t="n">
        <v>0.1339870070520865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1.334352517323769</v>
      </c>
      <c r="AO951" s="6" t="n">
        <v>1.334714268405319</v>
      </c>
      <c r="AP951" s="6" t="n">
        <v>0.1293949500191696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1.343141079013127</v>
      </c>
      <c r="AO952" s="6" t="n">
        <v>1.343542096955871</v>
      </c>
      <c r="AP952" s="6" t="n">
        <v>0.1317702520931698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1.335241791090413</v>
      </c>
      <c r="AO953" s="6" t="n">
        <v>1.335816151911169</v>
      </c>
      <c r="AP953" s="6" t="n">
        <v>0.1304856962480461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1.295057411269785</v>
      </c>
      <c r="AO954" s="6" t="n">
        <v>1.308220631814972</v>
      </c>
      <c r="AP954" s="6" t="n">
        <v>0.132742249537694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1.332899797662836</v>
      </c>
      <c r="AO955" s="6" t="n">
        <v>1.337922127054055</v>
      </c>
      <c r="AP955" s="6" t="n">
        <v>0.1320414731099376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1.33279443060772</v>
      </c>
      <c r="AO956" s="6" t="n">
        <v>1.334171744019705</v>
      </c>
      <c r="AP956" s="6" t="n">
        <v>0.1292149748742577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1.345502687521838</v>
      </c>
      <c r="AO957" s="6" t="n">
        <v>1.348838637835615</v>
      </c>
      <c r="AP957" s="6" t="n">
        <v>0.1412384316331078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1.353051703543579</v>
      </c>
      <c r="AO958" s="6" t="n">
        <v>1.353482532806565</v>
      </c>
      <c r="AP958" s="6" t="n">
        <v>0.1341380679916454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1.283546972496417</v>
      </c>
      <c r="AO959" s="6" t="n">
        <v>1.296201353849314</v>
      </c>
      <c r="AP959" s="6" t="n">
        <v>0.1268156041785588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1.343516058685848</v>
      </c>
      <c r="AO960" s="6" t="n">
        <v>1.343618161458527</v>
      </c>
      <c r="AP960" s="6" t="n">
        <v>0.1326955202379408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1.341077512232901</v>
      </c>
      <c r="AO961" s="6" t="n">
        <v>1.341092346303851</v>
      </c>
      <c r="AP961" s="6" t="n">
        <v>0.1316119766974743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1.344670855934641</v>
      </c>
      <c r="AO962" s="6" t="n">
        <v>1.345185185719586</v>
      </c>
      <c r="AP962" s="6" t="n">
        <v>0.1308638445313176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1.335328418256568</v>
      </c>
      <c r="AO963" s="6" t="n">
        <v>1.339880500439242</v>
      </c>
      <c r="AP963" s="6" t="n">
        <v>0.1321750071899404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1.346571480055121</v>
      </c>
      <c r="AO964" s="6" t="n">
        <v>1.352828939541138</v>
      </c>
      <c r="AP964" s="6" t="n">
        <v>0.1386918966918664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1.323945941075873</v>
      </c>
      <c r="AO965" s="6" t="n">
        <v>1.33012141150735</v>
      </c>
      <c r="AP965" s="6" t="n">
        <v>0.1337336715077609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1.355324986077334</v>
      </c>
      <c r="AO966" s="6" t="n">
        <v>1.355324986077334</v>
      </c>
      <c r="AP966" s="6" t="n">
        <v>0.1362259989882102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1.31691048554061</v>
      </c>
      <c r="AO967" s="6" t="n">
        <v>1.327780843176529</v>
      </c>
      <c r="AP967" s="6" t="n">
        <v>0.1313905295554156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1.323330378643077</v>
      </c>
      <c r="AO968" s="6" t="n">
        <v>1.328795749859305</v>
      </c>
      <c r="AP968" s="6" t="n">
        <v>0.1332339554209543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1.311674317610964</v>
      </c>
      <c r="AO969" s="6" t="n">
        <v>1.328810401542577</v>
      </c>
      <c r="AP969" s="6" t="n">
        <v>0.1354087236029505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1.343371077092787</v>
      </c>
      <c r="AO970" s="6" t="n">
        <v>1.343791840301647</v>
      </c>
      <c r="AP970" s="6" t="n">
        <v>0.1320614792726432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1.31224600260586</v>
      </c>
      <c r="AO971" s="6" t="n">
        <v>1.321186544607488</v>
      </c>
      <c r="AP971" s="6" t="n">
        <v>0.1300942128733507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1.307423393432917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1.348230163717292</v>
      </c>
      <c r="AO973" s="6" t="n">
        <v>1.348903613343044</v>
      </c>
      <c r="AP973" s="6" t="n">
        <v>0.1330442755755911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1.341773351462032</v>
      </c>
      <c r="AO974" s="6" t="n">
        <v>1.341842380868</v>
      </c>
      <c r="AP974" s="6" t="n">
        <v>0.1315122705356449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1.337452607015139</v>
      </c>
      <c r="AO975" s="6" t="n">
        <v>1.340502344519088</v>
      </c>
      <c r="AP975" s="6" t="n">
        <v>0.1317625791104908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1.324431771058004</v>
      </c>
      <c r="AO976" s="6" t="n">
        <v>1.328802348954985</v>
      </c>
      <c r="AP976" s="6" t="n">
        <v>0.1316137912129417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1.325899622701937</v>
      </c>
      <c r="AO977" s="6" t="n">
        <v>1.327614834311556</v>
      </c>
      <c r="AP977" s="6" t="n">
        <v>0.1289336241076004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1.348170628455463</v>
      </c>
      <c r="AO978" s="6" t="n">
        <v>1.348406325079277</v>
      </c>
      <c r="AP978" s="6" t="n">
        <v>0.1325774473139467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1.309166704726907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1.333446539829922</v>
      </c>
      <c r="AO980" s="6" t="n">
        <v>1.338212066277951</v>
      </c>
      <c r="AP980" s="6" t="n">
        <v>0.130921223831546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1.340039781565159</v>
      </c>
      <c r="AO981" s="6" t="n">
        <v>1.344351452544644</v>
      </c>
      <c r="AP981" s="6" t="n">
        <v>0.1334294227586061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1.356735318415153</v>
      </c>
      <c r="AO982" s="6" t="n">
        <v>1.356735318415153</v>
      </c>
      <c r="AP982" s="6" t="n">
        <v>0.13649110023288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1.339747199342688</v>
      </c>
      <c r="AO983" s="6" t="n">
        <v>1.339877136400093</v>
      </c>
      <c r="AP983" s="6" t="n">
        <v>0.1308481280095942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1.340203518213036</v>
      </c>
      <c r="AO984" s="6" t="n">
        <v>1.340891836957307</v>
      </c>
      <c r="AP984" s="6" t="n">
        <v>0.1314648721825245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1.348515953176861</v>
      </c>
      <c r="AO985" s="6" t="n">
        <v>1.348964219900127</v>
      </c>
      <c r="AP985" s="6" t="n">
        <v>0.1321183159227843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1.318956013534649</v>
      </c>
      <c r="AO986" s="6" t="n">
        <v>1.319689568201418</v>
      </c>
      <c r="AP986" s="6" t="n">
        <v>0.1315673714375631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1.33275628747515</v>
      </c>
      <c r="AO987" s="6" t="n">
        <v>1.333616453636163</v>
      </c>
      <c r="AP987" s="6" t="n">
        <v>0.129234717828706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1.351770142513965</v>
      </c>
      <c r="AO988" s="6" t="n">
        <v>1.351770142513965</v>
      </c>
      <c r="AP988" s="6" t="n">
        <v>0.1353040220667209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1.34667783752169</v>
      </c>
      <c r="AO989" s="6" t="n">
        <v>1.347864068309848</v>
      </c>
      <c r="AP989" s="6" t="n">
        <v>0.1337578104600648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1.344474710597343</v>
      </c>
      <c r="AO990" s="6" t="n">
        <v>1.344756073300025</v>
      </c>
      <c r="AP990" s="6" t="n">
        <v>0.1322883954285354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1.356801732021768</v>
      </c>
      <c r="AO991" s="6" t="n">
        <v>1.357511159089025</v>
      </c>
      <c r="AP991" s="6" t="n">
        <v>0.137290384135809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1.334471274141855</v>
      </c>
      <c r="AO992" s="6" t="n">
        <v>1.339014491737107</v>
      </c>
      <c r="AP992" s="6" t="n">
        <v>0.1324498631609514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1.292919905088618</v>
      </c>
      <c r="AO993" s="6" t="n">
        <v>1.300950166465578</v>
      </c>
      <c r="AP993" s="6" t="n">
        <v>0.13030371099137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1.32061033641434</v>
      </c>
      <c r="AO994" s="6" t="n">
        <v>1.324525446209966</v>
      </c>
      <c r="AP994" s="6" t="n">
        <v>0.1279911262030443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1.344742273895112</v>
      </c>
      <c r="AO995" s="6" t="n">
        <v>1.346343146753416</v>
      </c>
      <c r="AP995" s="6" t="n">
        <v>0.1328486933740791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1.305201577452882</v>
      </c>
      <c r="AO996" s="6" t="n">
        <v>1.312995538160576</v>
      </c>
      <c r="AP996" s="6" t="n">
        <v>0.1272401212878937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1.345575262569475</v>
      </c>
      <c r="AO997" s="6" t="n">
        <v>1.345645961347488</v>
      </c>
      <c r="AP997" s="6" t="n">
        <v>0.1325367694978291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1.350208135202553</v>
      </c>
      <c r="AO998" s="6" t="n">
        <v>1.350691422415139</v>
      </c>
      <c r="AP998" s="6" t="n">
        <v>0.1356312318854778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1.347368409014547</v>
      </c>
      <c r="AO999" s="6" t="n">
        <v>1.348105452644049</v>
      </c>
      <c r="AP999" s="6" t="n">
        <v>0.1318698396657488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1.348131418733774</v>
      </c>
      <c r="AO1000" s="6" t="n">
        <v>1.348158034418466</v>
      </c>
      <c r="AP1000" s="6" t="n">
        <v>0.132747669632833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1.357427679634999</v>
      </c>
      <c r="AO1001" s="6" t="n">
        <v>1.357427679634999</v>
      </c>
      <c r="AP1001" s="6" t="n">
        <v>0.1383826488277033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1.341286776821014</v>
      </c>
      <c r="AO1002" s="6" t="n">
        <v>1.341286776821014</v>
      </c>
      <c r="AP1002" s="6" t="n">
        <v>0.1318522255950445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1.340241473880677</v>
      </c>
      <c r="AO1003" s="6" t="n">
        <v>1.340309917204075</v>
      </c>
      <c r="AP1003" s="6" t="n">
        <v>0.1308657847221541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1.34315049184061</v>
      </c>
      <c r="AO1004" s="6" t="n">
        <v>1.347221860487584</v>
      </c>
      <c r="AP1004" s="6" t="n">
        <v>0.1329756501006956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1.331697567280421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1.344810485640529</v>
      </c>
      <c r="AO1006" s="6" t="n">
        <v>1.345355293112718</v>
      </c>
      <c r="AP1006" s="6" t="n">
        <v>0.1326039771888874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1.333457801030271</v>
      </c>
      <c r="AO1007" s="6" t="n">
        <v>1.333873454736196</v>
      </c>
      <c r="AP1007" s="6" t="n">
        <v>0.1296765975645409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1.325450406966769</v>
      </c>
      <c r="AO1008" s="6" t="n">
        <v>1.330491803914774</v>
      </c>
      <c r="AP1008" s="6" t="n">
        <v>0.1334430752968472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1.351709226849586</v>
      </c>
      <c r="AO1009" s="6" t="n">
        <v>1.353328203786649</v>
      </c>
      <c r="AP1009" s="6" t="n">
        <v>0.1367742724705739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1.286901331233972</v>
      </c>
      <c r="AO1010" s="6" t="n">
        <v>1.294342541444354</v>
      </c>
      <c r="AP1010" s="6" t="n">
        <v>0.1285821258226166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1.323097986921507</v>
      </c>
      <c r="AO1011" s="6" t="n">
        <v>1.332170027913793</v>
      </c>
      <c r="AP1011" s="6" t="n">
        <v>0.1322668418487985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1.335480461122947</v>
      </c>
      <c r="AO1012" s="6" t="n">
        <v>1.337710786081823</v>
      </c>
      <c r="AP1012" s="6" t="n">
        <v>0.1310196559690463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1.329938614890228</v>
      </c>
      <c r="AO1013" s="6" t="n">
        <v>1.331294093858361</v>
      </c>
      <c r="AP1013" s="6" t="n">
        <v>0.1288902753537014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1.340518990335043</v>
      </c>
      <c r="AO1014" s="6" t="n">
        <v>1.347672486401618</v>
      </c>
      <c r="AP1014" s="6" t="n">
        <v>0.1357954421953125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1.330556569882053</v>
      </c>
      <c r="AO1015" s="6" t="n">
        <v>1.331670021163509</v>
      </c>
      <c r="AP1015" s="6" t="n">
        <v>0.1292991034395633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1.334283053318283</v>
      </c>
      <c r="AO1016" s="6" t="n">
        <v>1.334616377497136</v>
      </c>
      <c r="AP1016" s="6" t="n">
        <v>0.1295055153018518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1.352267108522079</v>
      </c>
      <c r="AO1017" s="6" t="n">
        <v>1.352436431065531</v>
      </c>
      <c r="AP1017" s="6" t="n">
        <v>0.1333415228734787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1.336095159112426</v>
      </c>
      <c r="AO1018" s="6" t="n">
        <v>1.338712887359024</v>
      </c>
      <c r="AP1018" s="6" t="n">
        <v>0.1309594000340948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1.349265866468108</v>
      </c>
      <c r="AO1019" s="6" t="n">
        <v>1.349401008772749</v>
      </c>
      <c r="AP1019" s="6" t="n">
        <v>0.1338712396302771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1.333409827610597</v>
      </c>
      <c r="AO1020" s="6" t="n">
        <v>1.333745006109972</v>
      </c>
      <c r="AP1020" s="6" t="n">
        <v>0.1295878802004012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1.350037661936115</v>
      </c>
      <c r="AO1021" s="6" t="n">
        <v>1.351000832489056</v>
      </c>
      <c r="AP1021" s="6" t="n">
        <v>0.1334835049543691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1.336427776023164</v>
      </c>
      <c r="AO1022" s="6" t="n">
        <v>1.337003812452409</v>
      </c>
      <c r="AP1022" s="6" t="n">
        <v>0.1303286258897931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1.324353086853422</v>
      </c>
      <c r="AO1023" s="6" t="n">
        <v>1.325647893610709</v>
      </c>
      <c r="AP1023" s="6" t="n">
        <v>0.1284576492532265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1.340109412059724</v>
      </c>
      <c r="AO1024" s="6" t="n">
        <v>1.342341864178819</v>
      </c>
      <c r="AP1024" s="6" t="n">
        <v>0.1315568430730732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1.32942743567108</v>
      </c>
      <c r="AO1025" s="6" t="n">
        <v>1.32942743567108</v>
      </c>
      <c r="AP1025" s="6" t="n">
        <v>0.1296807413947648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1.343363395990582</v>
      </c>
      <c r="AO1026" s="6" t="n">
        <v>1.343363395990582</v>
      </c>
      <c r="AP1026" s="6" t="n">
        <v>0.1326503198648866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1.345385900077849</v>
      </c>
      <c r="AO1027" s="6" t="n">
        <v>1.350196281639204</v>
      </c>
      <c r="AP1027" s="6" t="n">
        <v>0.1343990780461606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1.340977494864542</v>
      </c>
      <c r="AO1028" s="6" t="n">
        <v>1.341448094290187</v>
      </c>
      <c r="AP1028" s="6" t="n">
        <v>0.1310455647229286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1.344709492793017</v>
      </c>
      <c r="AO1029" s="6" t="n">
        <v>1.34501051772889</v>
      </c>
      <c r="AP1029" s="6" t="n">
        <v>0.1317319601457328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1.358819503764993</v>
      </c>
      <c r="AO1030" s="6" t="n">
        <v>1.358819503764993</v>
      </c>
      <c r="AP1030" s="6" t="n">
        <v>0.1367380121025193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1.336810886127735</v>
      </c>
      <c r="AO1031" s="6" t="n">
        <v>1.344358554128391</v>
      </c>
      <c r="AP1031" s="6" t="n">
        <v>0.135171102387096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1.352271017214421</v>
      </c>
      <c r="AO1032" s="6" t="n">
        <v>1.352429902426008</v>
      </c>
      <c r="AP1032" s="6" t="n">
        <v>0.1336359340372748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1.360760708246761</v>
      </c>
      <c r="AO1033" s="6" t="n">
        <v>1.360760708246761</v>
      </c>
      <c r="AP1033" s="6" t="n">
        <v>0.1403687852536917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1.330299281698044</v>
      </c>
      <c r="AO1034" s="6" t="n">
        <v>1.334031594019173</v>
      </c>
      <c r="AP1034" s="6" t="n">
        <v>0.1300362703644564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1.327118347830713</v>
      </c>
      <c r="AO1035" s="6" t="n">
        <v>1.332554157182055</v>
      </c>
      <c r="AP1035" s="6" t="n">
        <v>0.1308418743444886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1.320249756702711</v>
      </c>
      <c r="AO1036" s="6" t="n">
        <v>1.330497329517422</v>
      </c>
      <c r="AP1036" s="6" t="n">
        <v>0.1321431762565506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1.317965657651504</v>
      </c>
      <c r="AO1037" s="6" t="n">
        <v>1.326063005142573</v>
      </c>
      <c r="AP1037" s="6" t="n">
        <v>0.130703383300638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1.331498174310749</v>
      </c>
      <c r="AO1038" s="6" t="n">
        <v>1.332623858917944</v>
      </c>
      <c r="AP1038" s="6" t="n">
        <v>0.1290779628718083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1.346521127298186</v>
      </c>
      <c r="AO1039" s="6" t="n">
        <v>1.346521127298186</v>
      </c>
      <c r="AP1039" s="6" t="n">
        <v>0.1330879870118402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1.344996974446953</v>
      </c>
      <c r="AO1040" s="6" t="n">
        <v>1.345255780047356</v>
      </c>
      <c r="AP1040" s="6" t="n">
        <v>0.1317871123907809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1.307222653199077</v>
      </c>
      <c r="AO1041" s="6" t="n">
        <v>1.310540178413867</v>
      </c>
      <c r="AP1041" s="6" t="n">
        <v>0.1326983779424383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1.327907754876219</v>
      </c>
      <c r="AO1042" s="6" t="n">
        <v>1.333581147624919</v>
      </c>
      <c r="AP1042" s="6" t="n">
        <v>0.1335473550098466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1.354326815577082</v>
      </c>
      <c r="AO1043" s="6" t="n">
        <v>1.354326815577082</v>
      </c>
      <c r="AP1043" s="6" t="n">
        <v>0.137058999089814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1.319202677646319</v>
      </c>
      <c r="AO1044" s="6" t="n">
        <v>1.320432841258983</v>
      </c>
      <c r="AP1044" s="6" t="n">
        <v>0.1270856938267379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1.343143524713697</v>
      </c>
      <c r="AO1045" s="6" t="n">
        <v>1.343288558678226</v>
      </c>
      <c r="AP1045" s="6" t="n">
        <v>0.1309829932972397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1.353484771832429</v>
      </c>
      <c r="AO1046" s="6" t="n">
        <v>1.353484771832429</v>
      </c>
      <c r="AP1046" s="6" t="n">
        <v>0.1371978138850693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1.336703803209129</v>
      </c>
      <c r="AO1047" s="6" t="n">
        <v>1.337358561807445</v>
      </c>
      <c r="AP1047" s="6" t="n">
        <v>0.1305140463315647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1.354855309491265</v>
      </c>
      <c r="AO1048" s="6" t="n">
        <v>1.354868128987839</v>
      </c>
      <c r="AP1048" s="6" t="n">
        <v>0.1344169974865017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1.347236258896256</v>
      </c>
      <c r="AO1049" s="6" t="n">
        <v>1.347236258896256</v>
      </c>
      <c r="AP1049" s="6" t="n">
        <v>0.1344887813212093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1.309676634018591</v>
      </c>
      <c r="AO1050" s="6" t="n">
        <v>1.313671560757095</v>
      </c>
      <c r="AP1050" s="6" t="n">
        <v>0.1306178268243934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1.34036233960628</v>
      </c>
      <c r="AO1051" s="6" t="n">
        <v>1.34087075204747</v>
      </c>
      <c r="AP1051" s="6" t="n">
        <v>0.1314057815862536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1.340580158054256</v>
      </c>
      <c r="AO1052" s="6" t="n">
        <v>1.340824827297975</v>
      </c>
      <c r="AP1052" s="6" t="n">
        <v>0.1310852979206638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1.323738549676506</v>
      </c>
      <c r="AO1053" s="6" t="n">
        <v>1.324239618870516</v>
      </c>
      <c r="AP1053" s="6" t="n">
        <v>0.128152300842876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1.351244894865441</v>
      </c>
      <c r="AO1054" s="6" t="n">
        <v>1.351547947882772</v>
      </c>
      <c r="AP1054" s="6" t="n">
        <v>0.13381666789442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1.337810704139802</v>
      </c>
      <c r="AO1055" s="6" t="n">
        <v>1.338626922158968</v>
      </c>
      <c r="AP1055" s="6" t="n">
        <v>0.1309021196545095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1.344661779800303</v>
      </c>
      <c r="AO1056" s="6" t="n">
        <v>1.345155278733751</v>
      </c>
      <c r="AP1056" s="6" t="n">
        <v>0.1330169169914435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1.334263521785164</v>
      </c>
      <c r="AO1057" s="6" t="n">
        <v>1.341164304859092</v>
      </c>
      <c r="AP1057" s="6" t="n">
        <v>0.1331712332853559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1.334721229388381</v>
      </c>
      <c r="AO1058" s="6" t="n">
        <v>1.335362838025365</v>
      </c>
      <c r="AP1058" s="6" t="n">
        <v>0.1300368479129718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1.345777946894733</v>
      </c>
      <c r="AO1059" s="6" t="n">
        <v>1.346037868232295</v>
      </c>
      <c r="AP1059" s="6" t="n">
        <v>0.1321501781461902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1.334093284796171</v>
      </c>
      <c r="AO1060" s="6" t="n">
        <v>1.336153034202012</v>
      </c>
      <c r="AP1060" s="6" t="n">
        <v>0.1299761525507472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1.356355882171013</v>
      </c>
      <c r="AO1061" s="6" t="n">
        <v>1.356355882171013</v>
      </c>
      <c r="AP1061" s="6" t="n">
        <v>0.1357145249916632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1.312666437448862</v>
      </c>
      <c r="AO1062" s="6" t="n">
        <v>1.32841452318439</v>
      </c>
      <c r="AP1062" s="6" t="n">
        <v>0.1346930988926927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1.344576376678177</v>
      </c>
      <c r="AO1064" s="6" t="n">
        <v>1.344907274996612</v>
      </c>
      <c r="AP1064" s="6" t="n">
        <v>0.1327957097970628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1.340889628178317</v>
      </c>
      <c r="AO1065" s="6" t="n">
        <v>1.341263632816969</v>
      </c>
      <c r="AP1065" s="6" t="n">
        <v>0.131723316836396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1.305495167405938</v>
      </c>
      <c r="AO1066" s="6" t="n">
        <v>1.314425502111885</v>
      </c>
      <c r="AP1066" s="6" t="n">
        <v>0.1315692583474614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1.34009705369474</v>
      </c>
      <c r="AO1067" s="6" t="n">
        <v>1.34039289010628</v>
      </c>
      <c r="AP1067" s="6" t="n">
        <v>0.1306109979973714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1.341422142435122</v>
      </c>
      <c r="AO1068" s="6" t="n">
        <v>1.341470479489446</v>
      </c>
      <c r="AP1068" s="6" t="n">
        <v>0.131274691054929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1.338187486573169</v>
      </c>
      <c r="AO1069" s="6" t="n">
        <v>1.344157513832244</v>
      </c>
      <c r="AP1069" s="6" t="n">
        <v>0.1363052289792216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1.353372170223093</v>
      </c>
      <c r="AO1070" s="6" t="n">
        <v>1.353372170223093</v>
      </c>
      <c r="AP1070" s="6" t="n">
        <v>0.1363047603273731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1.353003406299691</v>
      </c>
      <c r="AO1071" s="6" t="n">
        <v>1.353389810080986</v>
      </c>
      <c r="AP1071" s="6" t="n">
        <v>0.1339768657580514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1.342477850836403</v>
      </c>
      <c r="AO1072" s="6" t="n">
        <v>1.344227103851499</v>
      </c>
      <c r="AP1072" s="6" t="n">
        <v>0.1320972177331829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1.349674876708662</v>
      </c>
      <c r="AO1073" s="6" t="n">
        <v>1.349674876708662</v>
      </c>
      <c r="AP1073" s="6" t="n">
        <v>0.1357685888893242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1.360551950811415</v>
      </c>
      <c r="AO1074" s="6" t="n">
        <v>1.360551950811415</v>
      </c>
      <c r="AP1074" s="6" t="n">
        <v>0.1386338790569044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1.34114789593502</v>
      </c>
      <c r="AO1075" s="6" t="n">
        <v>1.341215599115252</v>
      </c>
      <c r="AP1075" s="6" t="n">
        <v>0.130997645458517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1.357310932055866</v>
      </c>
      <c r="AO1076" s="6" t="n">
        <v>1.357310932055866</v>
      </c>
      <c r="AP1076" s="6" t="n">
        <v>0.1378636472764425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1.35607071584267</v>
      </c>
      <c r="AO1077" s="6" t="n">
        <v>1.35607071584267</v>
      </c>
      <c r="AP1077" s="6" t="n">
        <v>0.1365500548057453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1.336931729459976</v>
      </c>
      <c r="AO1078" s="6" t="n">
        <v>1.337195806356139</v>
      </c>
      <c r="AP1078" s="6" t="n">
        <v>0.1302567064526377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1.354411571427791</v>
      </c>
      <c r="AO1079" s="6" t="n">
        <v>1.354411571427791</v>
      </c>
      <c r="AP1079" s="6" t="n">
        <v>0.1352443017681746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1.32963465825593</v>
      </c>
      <c r="AO1080" s="6" t="n">
        <v>1.336794322354671</v>
      </c>
      <c r="AP1080" s="6" t="n">
        <v>0.1326318829381348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1.352113382294104</v>
      </c>
      <c r="AO1081" s="6" t="n">
        <v>1.352113382294104</v>
      </c>
      <c r="AP1081" s="6" t="n">
        <v>0.1348966703864325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1.335634546968169</v>
      </c>
      <c r="AO1082" s="6" t="n">
        <v>1.336107643832436</v>
      </c>
      <c r="AP1082" s="6" t="n">
        <v>0.1301427427312108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1.341697133869209</v>
      </c>
      <c r="AO1083" s="6" t="n">
        <v>1.342199906048779</v>
      </c>
      <c r="AP1083" s="6" t="n">
        <v>0.1312457109541518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1.332856648544664</v>
      </c>
      <c r="AO1084" s="6" t="n">
        <v>1.333640879580186</v>
      </c>
      <c r="AP1084" s="6" t="n">
        <v>0.1294825750180402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1.327077050503678</v>
      </c>
      <c r="AO1085" s="6" t="n">
        <v>1.327469623821203</v>
      </c>
      <c r="AP1085" s="6" t="n">
        <v>0.1288778646310747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1.312802049424643</v>
      </c>
      <c r="AO1086" s="6" t="n">
        <v>1.322058634269433</v>
      </c>
      <c r="AP1086" s="6" t="n">
        <v>0.1308736255723001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1.302623272769069</v>
      </c>
      <c r="AO1087" s="6" t="n">
        <v>1.309920074251378</v>
      </c>
      <c r="AP1087" s="6" t="n">
        <v>0.1285274207956462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1.33399418612733</v>
      </c>
      <c r="AO1088" s="6" t="n">
        <v>1.334957958918817</v>
      </c>
      <c r="AP1088" s="6" t="n">
        <v>0.130581310063142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1.350016874842329</v>
      </c>
      <c r="AO1089" s="6" t="n">
        <v>1.350016874842329</v>
      </c>
      <c r="AP1089" s="6" t="n">
        <v>0.1360039234676226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1.33359663531549</v>
      </c>
      <c r="AO1090" s="6" t="n">
        <v>1.334134839453786</v>
      </c>
      <c r="AP1090" s="6" t="n">
        <v>0.1297158164364183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1.338528763817425</v>
      </c>
      <c r="AO1091" s="6" t="n">
        <v>1.339289742199206</v>
      </c>
      <c r="AP1091" s="6" t="n">
        <v>0.1304162208838736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1.335053582212443</v>
      </c>
      <c r="AO1092" s="6" t="n">
        <v>1.335263121154478</v>
      </c>
      <c r="AP1092" s="6" t="n">
        <v>0.1300829615202255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1.335220836911128</v>
      </c>
      <c r="AO1093" s="6" t="n">
        <v>1.335771226926593</v>
      </c>
      <c r="AP1093" s="6" t="n">
        <v>0.1306459110884287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1.354317232948441</v>
      </c>
      <c r="AO1094" s="6" t="n">
        <v>1.354633888387118</v>
      </c>
      <c r="AP1094" s="6" t="n">
        <v>0.1349470446344557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1.342063181547113</v>
      </c>
      <c r="AO1095" s="6" t="n">
        <v>1.342256915157763</v>
      </c>
      <c r="AP1095" s="6" t="n">
        <v>0.1324413572552006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1.35236735525505</v>
      </c>
      <c r="AO1096" s="6" t="n">
        <v>1.35236735525505</v>
      </c>
      <c r="AP1096" s="6" t="n">
        <v>0.1364641472825151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1.301765279136968</v>
      </c>
      <c r="AO1097" s="6" t="n">
        <v>1.315244095625408</v>
      </c>
      <c r="AP1097" s="6" t="n">
        <v>0.1296215919033986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1.307051391625361</v>
      </c>
      <c r="AO1098" s="6" t="n">
        <v>1.313796345735563</v>
      </c>
      <c r="AP1098" s="6" t="n">
        <v>0.1324292159085997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1.338662964032137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1.351121888861319</v>
      </c>
      <c r="AO1100" s="6" t="n">
        <v>1.351121888861319</v>
      </c>
      <c r="AP1100" s="6" t="n">
        <v>0.1353923974156774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1.327313070045813</v>
      </c>
      <c r="AO1101" s="6" t="n">
        <v>1.33315219114603</v>
      </c>
      <c r="AP1101" s="6" t="n">
        <v>0.1310437373293911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1.344165263409294</v>
      </c>
      <c r="AO1102" s="6" t="n">
        <v>1.344313461160132</v>
      </c>
      <c r="AP1102" s="6" t="n">
        <v>0.1318372163228838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1.347357219181847</v>
      </c>
      <c r="AO1103" s="6" t="n">
        <v>1.347357219181847</v>
      </c>
      <c r="AP1103" s="6" t="n">
        <v>0.1335222671951217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1.332088847211285</v>
      </c>
      <c r="AO1104" s="6" t="n">
        <v>1.332705987897507</v>
      </c>
      <c r="AP1104" s="6" t="n">
        <v>0.1299836245610651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1.310979184688807</v>
      </c>
      <c r="AO1105" s="6" t="n">
        <v>1.320297392259164</v>
      </c>
      <c r="AP1105" s="6" t="n">
        <v>0.1292253290993448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1.349503794936526</v>
      </c>
      <c r="AO1106" s="6" t="n">
        <v>1.350432839932316</v>
      </c>
      <c r="AP1106" s="6" t="n">
        <v>0.1345852949981207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1.32874110893734</v>
      </c>
      <c r="AO1107" s="6" t="n">
        <v>1.329077671762523</v>
      </c>
      <c r="AP1107" s="6" t="n">
        <v>0.1285528637382989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1.341125859110733</v>
      </c>
      <c r="AO1108" s="6" t="n">
        <v>1.343119262071478</v>
      </c>
      <c r="AP1108" s="6" t="n">
        <v>0.1322471851672776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1.299684156785823</v>
      </c>
      <c r="AO1109" s="6" t="n">
        <v>1.311987650590795</v>
      </c>
      <c r="AP1109" s="6" t="n">
        <v>0.1291656627935622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1.326687142538749</v>
      </c>
      <c r="AO1110" s="6" t="n">
        <v>1.332018713640982</v>
      </c>
      <c r="AP1110" s="6" t="n">
        <v>0.1306275452931777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1.34724250011655</v>
      </c>
      <c r="AO1111" s="6" t="n">
        <v>1.347493509134599</v>
      </c>
      <c r="AP1111" s="6" t="n">
        <v>0.1329067575046912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1.353230485289405</v>
      </c>
      <c r="AO1112" s="6" t="n">
        <v>1.353230485289405</v>
      </c>
      <c r="AP1112" s="6" t="n">
        <v>0.1352675821849324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1.347484948331342</v>
      </c>
      <c r="AO1113" s="6" t="n">
        <v>1.353511439786986</v>
      </c>
      <c r="AP1113" s="6" t="n">
        <v>0.138060306759642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1.34743319468424</v>
      </c>
      <c r="AO1114" s="6" t="n">
        <v>1.347606140040965</v>
      </c>
      <c r="AP1114" s="6" t="n">
        <v>0.1322619672235768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1.319322887206167</v>
      </c>
      <c r="AO1115" s="6" t="n">
        <v>1.325592292396401</v>
      </c>
      <c r="AP1115" s="6" t="n">
        <v>0.1301749340971994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1.329133387541062</v>
      </c>
      <c r="AO1116" s="6" t="n">
        <v>1.333601696048876</v>
      </c>
      <c r="AP1116" s="6" t="n">
        <v>0.1306365288050322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1.351016734228761</v>
      </c>
      <c r="AO1117" s="6" t="n">
        <v>1.351016734228761</v>
      </c>
      <c r="AP1117" s="6" t="n">
        <v>0.1342443002174118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1.334676406826816</v>
      </c>
      <c r="AO1118" s="6" t="n">
        <v>1.337211299289595</v>
      </c>
      <c r="AP1118" s="6" t="n">
        <v>0.1308191348305088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1.342295895769723</v>
      </c>
      <c r="AO1119" s="6" t="n">
        <v>1.3423781521706</v>
      </c>
      <c r="AP1119" s="6" t="n">
        <v>0.1316506256115367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1.360070287744048</v>
      </c>
      <c r="AO1120" s="6" t="n">
        <v>1.362303896378114</v>
      </c>
      <c r="AP1120" s="6" t="n">
        <v>0.1405170797633081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1.297649079757087</v>
      </c>
      <c r="AO1121" s="6" t="n">
        <v>1.314031758667147</v>
      </c>
      <c r="AP1121" s="6" t="n">
        <v>0.132213309888005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1.346702976784147</v>
      </c>
      <c r="AO1122" s="6" t="n">
        <v>1.351235756217436</v>
      </c>
      <c r="AP1122" s="6" t="n">
        <v>0.13479536865986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1.353872731598938</v>
      </c>
      <c r="AO1123" s="6" t="n">
        <v>1.354190125970434</v>
      </c>
      <c r="AP1123" s="6" t="n">
        <v>0.1333125581281488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1.342055990632938</v>
      </c>
      <c r="AO1124" s="6" t="n">
        <v>1.342172614423953</v>
      </c>
      <c r="AP1124" s="6" t="n">
        <v>0.1320053663002747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1.338052025348816</v>
      </c>
      <c r="AO1125" s="6" t="n">
        <v>1.342783985553126</v>
      </c>
      <c r="AP1125" s="6" t="n">
        <v>0.1334998083875024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1.35489434693097</v>
      </c>
      <c r="AO1126" s="6" t="n">
        <v>1.35489434693097</v>
      </c>
      <c r="AP1126" s="6" t="n">
        <v>0.1346062355153906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1.324731395166283</v>
      </c>
      <c r="AO1127" s="6" t="n">
        <v>1.330371245410553</v>
      </c>
      <c r="AP1127" s="6" t="n">
        <v>0.1302895342712221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1.336073068501353</v>
      </c>
      <c r="AO1128" s="6" t="n">
        <v>1.338450840257152</v>
      </c>
      <c r="AP1128" s="6" t="n">
        <v>0.1310434793821746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1.341127277325619</v>
      </c>
      <c r="AO1129" s="6" t="n">
        <v>1.344144850510439</v>
      </c>
      <c r="AP1129" s="6" t="n">
        <v>0.1325638206411195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1.347712861454964</v>
      </c>
      <c r="AO1130" s="6" t="n">
        <v>1.348368470070529</v>
      </c>
      <c r="AP1130" s="6" t="n">
        <v>0.1324238557369084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1.327962393636335</v>
      </c>
      <c r="AO1131" s="6" t="n">
        <v>1.328104766920985</v>
      </c>
      <c r="AP1131" s="6" t="n">
        <v>0.1290752186282506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1.335000190774181</v>
      </c>
      <c r="AO1133" s="6" t="n">
        <v>1.335050539567579</v>
      </c>
      <c r="AP1133" s="6" t="n">
        <v>0.130667326032276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1.349078562890215</v>
      </c>
      <c r="AO1134" s="6" t="n">
        <v>1.349789694494172</v>
      </c>
      <c r="AP1134" s="6" t="n">
        <v>0.1326405838004622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1.317045372639612</v>
      </c>
      <c r="AO1135" s="6" t="n">
        <v>1.325580416530513</v>
      </c>
      <c r="AP1135" s="6" t="n">
        <v>0.1330005912495602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1.305435988819312</v>
      </c>
      <c r="AO1136" s="6" t="n">
        <v>1.309736260921104</v>
      </c>
      <c r="AP1136" s="6" t="n">
        <v>0.1300647442730493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1.311995126034232</v>
      </c>
      <c r="AO1137" s="6" t="n">
        <v>1.325981816655965</v>
      </c>
      <c r="AP1137" s="6" t="n">
        <v>0.1279668800998161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1.347218101196176</v>
      </c>
      <c r="AO1138" s="6" t="n">
        <v>1.347218101196176</v>
      </c>
      <c r="AP1138" s="6" t="n">
        <v>0.1341949522277797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1.341020705458954</v>
      </c>
      <c r="AO1139" s="6" t="n">
        <v>1.350574414589994</v>
      </c>
      <c r="AP1139" s="6" t="n">
        <v>0.1384068283291477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1.344418158249642</v>
      </c>
      <c r="AO1140" s="6" t="n">
        <v>1.344576595162692</v>
      </c>
      <c r="AP1140" s="6" t="n">
        <v>0.1320845781391096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1.339837212580587</v>
      </c>
      <c r="AO1141" s="6" t="n">
        <v>1.340001374217291</v>
      </c>
      <c r="AP1141" s="6" t="n">
        <v>0.1313463926602213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1.341201598779207</v>
      </c>
      <c r="AO1142" s="6" t="n">
        <v>1.341943662175351</v>
      </c>
      <c r="AP1142" s="6" t="n">
        <v>0.1310413357746156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1.327464903226913</v>
      </c>
      <c r="AO1143" s="6" t="n">
        <v>1.327467289763894</v>
      </c>
      <c r="AP1143" s="6" t="n">
        <v>0.1296039303317229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1.350249794373611</v>
      </c>
      <c r="AO1144" s="6" t="n">
        <v>1.350454369613492</v>
      </c>
      <c r="AP1144" s="6" t="n">
        <v>0.133191156462356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1.333122028315445</v>
      </c>
      <c r="AO1145" s="6" t="n">
        <v>1.336920046435646</v>
      </c>
      <c r="AP1145" s="6" t="n">
        <v>0.1311650547939426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1.327825289095358</v>
      </c>
      <c r="AO1146" s="6" t="n">
        <v>1.329371126413029</v>
      </c>
      <c r="AP1146" s="6" t="n">
        <v>0.1288051956137152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1.280272655078333</v>
      </c>
      <c r="AO1147" s="6" t="n">
        <v>1.294106311629275</v>
      </c>
      <c r="AP1147" s="6" t="n">
        <v>0.1328509342582868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1.351904454316018</v>
      </c>
      <c r="AO1148" s="6" t="n">
        <v>1.351904454316018</v>
      </c>
      <c r="AP1148" s="6" t="n">
        <v>0.1335503992905926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1.321113234623149</v>
      </c>
      <c r="AO1149" s="6" t="n">
        <v>1.331072072996458</v>
      </c>
      <c r="AP1149" s="6" t="n">
        <v>0.1320469159695088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1.348355225597916</v>
      </c>
      <c r="AO1150" s="6" t="n">
        <v>1.348539148567858</v>
      </c>
      <c r="AP1150" s="6" t="n">
        <v>0.1340337253966294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1.300647489316169</v>
      </c>
      <c r="AO1151" s="6" t="n">
        <v>1.31147486790625</v>
      </c>
      <c r="AP1151" s="6" t="n">
        <v>0.1333292650370825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1.301995540919758</v>
      </c>
      <c r="AO1152" s="6" t="n">
        <v>1.312808759677181</v>
      </c>
      <c r="AP1152" s="6" t="n">
        <v>0.129403417921919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1.339539925426447</v>
      </c>
      <c r="AO1153" s="6" t="n">
        <v>1.346069639431438</v>
      </c>
      <c r="AP1153" s="6" t="n">
        <v>0.1343704230106219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1.339105824396679</v>
      </c>
      <c r="AO1154" s="6" t="n">
        <v>1.339144099054612</v>
      </c>
      <c r="AP1154" s="6" t="n">
        <v>0.1307509446222299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1.341328518705877</v>
      </c>
      <c r="AO1155" s="6" t="n">
        <v>1.344147341183862</v>
      </c>
      <c r="AP1155" s="6" t="n">
        <v>0.1322651947859528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1.342249251320434</v>
      </c>
      <c r="AO1156" s="6" t="n">
        <v>1.342655215517763</v>
      </c>
      <c r="AP1156" s="6" t="n">
        <v>0.1320685354731691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1.3301913111694</v>
      </c>
      <c r="AO1157" s="6" t="n">
        <v>1.343529328800041</v>
      </c>
      <c r="AP1157" s="6" t="n">
        <v>0.1425220444826217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1.344321768981644</v>
      </c>
      <c r="AO1158" s="6" t="n">
        <v>1.344424245986699</v>
      </c>
      <c r="AP1158" s="6" t="n">
        <v>0.1316653555108633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1.355588397791742</v>
      </c>
      <c r="AO1159" s="6" t="n">
        <v>1.355588397791742</v>
      </c>
      <c r="AP1159" s="6" t="n">
        <v>0.1350944603754624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1.324355816823341</v>
      </c>
      <c r="AO1160" s="6" t="n">
        <v>1.324355816823341</v>
      </c>
      <c r="AP1160" s="6" t="n">
        <v>0.1330357601793598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1.340741631984236</v>
      </c>
      <c r="AO1161" s="6" t="n">
        <v>1.340745111796699</v>
      </c>
      <c r="AP1161" s="6" t="n">
        <v>0.1317663151849942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1.33389941518455</v>
      </c>
      <c r="AO1162" s="6" t="n">
        <v>1.334987965423299</v>
      </c>
      <c r="AP1162" s="6" t="n">
        <v>0.1293365805099375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1.357615826572451</v>
      </c>
      <c r="AO1163" s="6" t="n">
        <v>1.362289931445694</v>
      </c>
      <c r="AP1163" s="6" t="n">
        <v>0.1397658345698964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1.353753353978466</v>
      </c>
      <c r="AO1164" s="6" t="n">
        <v>1.354508116352031</v>
      </c>
      <c r="AP1164" s="6" t="n">
        <v>0.1343373563043158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1.337661991425413</v>
      </c>
      <c r="AO1165" s="6" t="n">
        <v>1.338495559779425</v>
      </c>
      <c r="AP1165" s="6" t="n">
        <v>0.1302547061786941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1.358160092750485</v>
      </c>
      <c r="AO1166" s="6" t="n">
        <v>1.35873725705394</v>
      </c>
      <c r="AP1166" s="6" t="n">
        <v>0.1359559328546731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1.33805770757646</v>
      </c>
      <c r="AO1167" s="6" t="n">
        <v>1.338448069198295</v>
      </c>
      <c r="AP1167" s="6" t="n">
        <v>0.1304530625357973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1.355219415607531</v>
      </c>
      <c r="AO1168" s="6" t="n">
        <v>1.355219415607531</v>
      </c>
      <c r="AP1168" s="6" t="n">
        <v>0.1373908806466314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1.340854931810439</v>
      </c>
      <c r="AO1169" s="6" t="n">
        <v>1.343723350202568</v>
      </c>
      <c r="AP1169" s="6" t="n">
        <v>0.132156355217673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1.349153849542636</v>
      </c>
      <c r="AO1170" s="6" t="n">
        <v>1.34975062623325</v>
      </c>
      <c r="AP1170" s="6" t="n">
        <v>0.1341965451738973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1.339711426058887</v>
      </c>
      <c r="AO1171" s="6" t="n">
        <v>1.339711426058887</v>
      </c>
      <c r="AP1171" s="6" t="n">
        <v>0.1319982068127141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1.341473795101597</v>
      </c>
      <c r="AO1172" s="6" t="n">
        <v>1.344540173097078</v>
      </c>
      <c r="AP1172" s="6" t="n">
        <v>0.1328011497919649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1.34941224449852</v>
      </c>
      <c r="AO1173" s="6" t="n">
        <v>1.351159862596743</v>
      </c>
      <c r="AP1173" s="6" t="n">
        <v>0.1351958208567158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1.327169936329109</v>
      </c>
      <c r="AO1174" s="6" t="n">
        <v>1.332629554864848</v>
      </c>
      <c r="AP1174" s="6" t="n">
        <v>0.1306040252838693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1.344133927572254</v>
      </c>
      <c r="AO1175" s="6" t="n">
        <v>1.344722921769277</v>
      </c>
      <c r="AP1175" s="6" t="n">
        <v>0.131741694196532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1.322319336157871</v>
      </c>
      <c r="AO1176" s="6" t="n">
        <v>1.327164147777125</v>
      </c>
      <c r="AP1176" s="6" t="n">
        <v>0.1350584491177286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1.347692780554552</v>
      </c>
      <c r="AO1177" s="6" t="n">
        <v>1.347692780554552</v>
      </c>
      <c r="AP1177" s="6" t="n">
        <v>0.1383678228655355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1.343866788828478</v>
      </c>
      <c r="AO1178" s="6" t="n">
        <v>1.346778167426283</v>
      </c>
      <c r="AP1178" s="6" t="n">
        <v>0.133431590764765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1.316694567974115</v>
      </c>
      <c r="AO1179" s="6" t="n">
        <v>1.325783563332679</v>
      </c>
      <c r="AP1179" s="6" t="n">
        <v>0.131633132231166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1.347053895833658</v>
      </c>
      <c r="AO1180" s="6" t="n">
        <v>1.347607407035576</v>
      </c>
      <c r="AP1180" s="6" t="n">
        <v>0.1329730956801035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1.332721480159727</v>
      </c>
      <c r="AO1181" s="6" t="n">
        <v>1.334063450632211</v>
      </c>
      <c r="AP1181" s="6" t="n">
        <v>0.1299612875777179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1.333637195813505</v>
      </c>
      <c r="AO1182" s="6" t="n">
        <v>1.33805042301941</v>
      </c>
      <c r="AP1182" s="6" t="n">
        <v>0.1316255954485149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1.348949362498803</v>
      </c>
      <c r="AO1183" s="6" t="n">
        <v>1.349218042933293</v>
      </c>
      <c r="AP1183" s="6" t="n">
        <v>0.1336875103550241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1.338824466961697</v>
      </c>
      <c r="AO1184" s="6" t="n">
        <v>1.33976007603763</v>
      </c>
      <c r="AP1184" s="6" t="n">
        <v>0.1314048071053466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1.332273978239239</v>
      </c>
      <c r="AO1185" s="6" t="n">
        <v>1.332284873560154</v>
      </c>
      <c r="AP1185" s="6" t="n">
        <v>0.129796729963981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1.347983569202562</v>
      </c>
      <c r="AO1186" s="6" t="n">
        <v>1.349233840634379</v>
      </c>
      <c r="AP1186" s="6" t="n">
        <v>0.1346023851591951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1.319796307586623</v>
      </c>
      <c r="AO1187" s="6" t="n">
        <v>1.327901528231175</v>
      </c>
      <c r="AP1187" s="6" t="n">
        <v>0.1306901247546641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1.332790251602873</v>
      </c>
      <c r="AO1188" s="6" t="n">
        <v>1.333449668939427</v>
      </c>
      <c r="AP1188" s="6" t="n">
        <v>0.1301515804500616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1.357322423156593</v>
      </c>
      <c r="AO1189" s="6" t="n">
        <v>1.357322423156593</v>
      </c>
      <c r="AP1189" s="6" t="n">
        <v>0.1385842981983468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1.35257975711397</v>
      </c>
      <c r="AO1190" s="6" t="n">
        <v>1.353369590089883</v>
      </c>
      <c r="AP1190" s="6" t="n">
        <v>0.1361677953965232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1.333684006637421</v>
      </c>
      <c r="AO1191" s="6" t="n">
        <v>1.340860644370108</v>
      </c>
      <c r="AP1191" s="6" t="n">
        <v>0.1366561966552193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1.343207952770791</v>
      </c>
      <c r="AO1192" s="6" t="n">
        <v>1.343359407695755</v>
      </c>
      <c r="AP1192" s="6" t="n">
        <v>0.1317305062604845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1.357909604147524</v>
      </c>
      <c r="AO1193" s="6" t="n">
        <v>1.357909604147524</v>
      </c>
      <c r="AP1193" s="6" t="n">
        <v>0.138502267856573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1.342273004432871</v>
      </c>
      <c r="AO1194" s="6" t="n">
        <v>1.343100015969163</v>
      </c>
      <c r="AP1194" s="6" t="n">
        <v>0.1318704021341105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1.34365351764047</v>
      </c>
      <c r="AO1195" s="6" t="n">
        <v>1.343664263887105</v>
      </c>
      <c r="AP1195" s="6" t="n">
        <v>0.1318686406321735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1.346698740597515</v>
      </c>
      <c r="AO1196" s="6" t="n">
        <v>1.346709599697583</v>
      </c>
      <c r="AP1196" s="6" t="n">
        <v>0.1321750672603784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1.29963031818133</v>
      </c>
      <c r="AO1197" s="6" t="n">
        <v>1.302129986284944</v>
      </c>
      <c r="AP1197" s="6" t="n">
        <v>0.1297468828469396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1.348339040275394</v>
      </c>
      <c r="AO1198" s="6" t="n">
        <v>1.349098168239831</v>
      </c>
      <c r="AP1198" s="6" t="n">
        <v>0.134863363288758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1.357976031558595</v>
      </c>
      <c r="AO1199" s="6" t="n">
        <v>1.357976031558595</v>
      </c>
      <c r="AP1199" s="6" t="n">
        <v>0.1390007601625074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1.33903296566253</v>
      </c>
      <c r="AO1200" s="6" t="n">
        <v>1.340262061300127</v>
      </c>
      <c r="AP1200" s="6" t="n">
        <v>0.1309052510943909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1.350648454720253</v>
      </c>
      <c r="AO1201" s="6" t="n">
        <v>1.350648454720253</v>
      </c>
      <c r="AP1201" s="6" t="n">
        <v>0.1372232581279666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1.322098117164091</v>
      </c>
      <c r="AO1202" s="6" t="n">
        <v>1.330405060819385</v>
      </c>
      <c r="AP1202" s="6" t="n">
        <v>0.1314900619815421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1.341039762742986</v>
      </c>
      <c r="AO1203" s="6" t="n">
        <v>1.342095526456719</v>
      </c>
      <c r="AP1203" s="6" t="n">
        <v>0.1309359438896724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1.353503061946049</v>
      </c>
      <c r="AO1204" s="6" t="n">
        <v>1.354342164702762</v>
      </c>
      <c r="AP1204" s="6" t="n">
        <v>0.1369431195417588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1.356856680132693</v>
      </c>
      <c r="AO1205" s="6" t="n">
        <v>1.356856680132693</v>
      </c>
      <c r="AP1205" s="6" t="n">
        <v>0.1367740214456928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1.355571353577791</v>
      </c>
      <c r="AO1206" s="6" t="n">
        <v>1.355571353577791</v>
      </c>
      <c r="AP1206" s="6" t="n">
        <v>0.1371916547442595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1.351852510382111</v>
      </c>
      <c r="AO1207" s="6" t="n">
        <v>1.351852510382111</v>
      </c>
      <c r="AP1207" s="6" t="n">
        <v>0.1343231406016722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1.321443655855753</v>
      </c>
      <c r="AO1208" s="6" t="n">
        <v>1.328482491846045</v>
      </c>
      <c r="AP1208" s="6" t="n">
        <v>0.1304988065363805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1.341696815567649</v>
      </c>
      <c r="AO1209" s="6" t="n">
        <v>1.344702357072173</v>
      </c>
      <c r="AP1209" s="6" t="n">
        <v>0.1320895949606727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1.332235992496216</v>
      </c>
      <c r="AO1210" s="6" t="n">
        <v>1.332582797852241</v>
      </c>
      <c r="AP1210" s="6" t="n">
        <v>0.1286760846917586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1.334917991530693</v>
      </c>
      <c r="AO1211" s="6" t="n">
        <v>1.343167640655722</v>
      </c>
      <c r="AP1211" s="6" t="n">
        <v>0.1343905102595199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1.338274309974288</v>
      </c>
      <c r="AO1212" s="6" t="n">
        <v>1.340052549181671</v>
      </c>
      <c r="AP1212" s="6" t="n">
        <v>0.1318280294235568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1.33778870353849</v>
      </c>
      <c r="AO1213" s="6" t="n">
        <v>1.337804819356101</v>
      </c>
      <c r="AP1213" s="6" t="n">
        <v>0.1306326223974823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1.346934317538815</v>
      </c>
      <c r="AO1214" s="6" t="n">
        <v>1.347482699108692</v>
      </c>
      <c r="AP1214" s="6" t="n">
        <v>0.1333780600963331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1.343627471079776</v>
      </c>
      <c r="AO1215" s="6" t="n">
        <v>1.344267419283484</v>
      </c>
      <c r="AP1215" s="6" t="n">
        <v>0.1317602163727888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1.328465663475653</v>
      </c>
      <c r="AO1216" s="6" t="n">
        <v>1.334066558051802</v>
      </c>
      <c r="AP1216" s="6" t="n">
        <v>0.1315664521709876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1.328641910188516</v>
      </c>
      <c r="AO1217" s="6" t="n">
        <v>1.336184744319344</v>
      </c>
      <c r="AP1217" s="6" t="n">
        <v>0.1327636945834895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1.31871125432872</v>
      </c>
      <c r="AO1218" s="6" t="n">
        <v>1.326101620337765</v>
      </c>
      <c r="AP1218" s="6" t="n">
        <v>0.13053623830784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1.335367158659099</v>
      </c>
      <c r="AO1219" s="6" t="n">
        <v>1.339044326538977</v>
      </c>
      <c r="AP1219" s="6" t="n">
        <v>0.1312134087829196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1.357995864765836</v>
      </c>
      <c r="AO1220" s="6" t="n">
        <v>1.357995864765836</v>
      </c>
      <c r="AP1220" s="6" t="n">
        <v>0.1385640212625963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1.35642367181831</v>
      </c>
      <c r="AO1221" s="6" t="n">
        <v>1.35642367181831</v>
      </c>
      <c r="AP1221" s="6" t="n">
        <v>0.1378623843818298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1.338540870007369</v>
      </c>
      <c r="AO1222" s="6" t="n">
        <v>1.350834385226173</v>
      </c>
      <c r="AP1222" s="6" t="n">
        <v>0.1393016553637528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1.351398422359122</v>
      </c>
      <c r="AO1223" s="6" t="n">
        <v>1.351398422359122</v>
      </c>
      <c r="AP1223" s="6" t="n">
        <v>0.134130216554657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1.303775508697748</v>
      </c>
      <c r="AO1224" s="6" t="n">
        <v>1.315597857616517</v>
      </c>
      <c r="AP1224" s="6" t="n">
        <v>0.1292783127644997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1.350935609131072</v>
      </c>
      <c r="AO1225" s="6" t="n">
        <v>1.350935609131072</v>
      </c>
      <c r="AP1225" s="6" t="n">
        <v>0.1357452731792767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1.343488897518464</v>
      </c>
      <c r="AO1226" s="6" t="n">
        <v>1.343527445896646</v>
      </c>
      <c r="AP1226" s="6" t="n">
        <v>0.1323239799729278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1.345496366677341</v>
      </c>
      <c r="AO1227" s="6" t="n">
        <v>1.345627739823115</v>
      </c>
      <c r="AP1227" s="6" t="n">
        <v>0.1321794214336144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1.320996953682958</v>
      </c>
      <c r="AO1228" s="6" t="n">
        <v>1.334526976557431</v>
      </c>
      <c r="AP1228" s="6" t="n">
        <v>0.1294277214046649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1.3535112418848</v>
      </c>
      <c r="AO1229" s="6" t="n">
        <v>1.3535112418848</v>
      </c>
      <c r="AP1229" s="6" t="n">
        <v>0.1368258155503027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1.351686395834357</v>
      </c>
      <c r="AO1230" s="6" t="n">
        <v>1.351686395834357</v>
      </c>
      <c r="AP1230" s="6" t="n">
        <v>0.136084640121374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1.343878330495279</v>
      </c>
      <c r="AO1231" s="6" t="n">
        <v>1.345132780079762</v>
      </c>
      <c r="AP1231" s="6" t="n">
        <v>0.1310824564031427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1.341111427282306</v>
      </c>
      <c r="AO1232" s="6" t="n">
        <v>1.342026328907794</v>
      </c>
      <c r="AP1232" s="6" t="n">
        <v>0.1317368604899943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1.299672608539063</v>
      </c>
      <c r="AO1233" s="6" t="n">
        <v>1.315444466694744</v>
      </c>
      <c r="AP1233" s="6" t="n">
        <v>0.1315972146036371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1.351353055006528</v>
      </c>
      <c r="AO1234" s="6" t="n">
        <v>1.351939382673989</v>
      </c>
      <c r="AP1234" s="6" t="n">
        <v>0.1334968922728147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1.344815336319865</v>
      </c>
      <c r="AO1235" s="6" t="n">
        <v>1.344815336319865</v>
      </c>
      <c r="AP1235" s="6" t="n">
        <v>0.1342463647391278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1.317592073316513</v>
      </c>
      <c r="AO1236" s="6" t="n">
        <v>1.317592073316513</v>
      </c>
      <c r="AP1236" s="6" t="n">
        <v>0.1324104997599542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1.313752008353741</v>
      </c>
      <c r="AO1237" s="6" t="n">
        <v>1.326512901969894</v>
      </c>
      <c r="AP1237" s="6" t="n">
        <v>0.132105777562198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1.324160280878497</v>
      </c>
      <c r="AO1238" s="6" t="n">
        <v>1.324908477105751</v>
      </c>
      <c r="AP1238" s="6" t="n">
        <v>0.1282677703673493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1.316305662122172</v>
      </c>
      <c r="AO1239" s="6" t="n">
        <v>1.325807138062672</v>
      </c>
      <c r="AP1239" s="6" t="n">
        <v>0.1313409198097956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1.326778090362135</v>
      </c>
      <c r="AO1240" s="6" t="n">
        <v>1.327677314294828</v>
      </c>
      <c r="AP1240" s="6" t="n">
        <v>0.1299365497153116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1.350632345953916</v>
      </c>
      <c r="AO1241" s="6" t="n">
        <v>1.351734772740316</v>
      </c>
      <c r="AP1241" s="6" t="n">
        <v>0.1341000426867137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1.343838215104049</v>
      </c>
      <c r="AO1242" s="6" t="n">
        <v>1.350071334651243</v>
      </c>
      <c r="AP1242" s="6" t="n">
        <v>0.1381687630930628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1.312227118761745</v>
      </c>
      <c r="AO1243" s="6" t="n">
        <v>1.318916486280222</v>
      </c>
      <c r="AP1243" s="6" t="n">
        <v>0.1307089789888706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1.336951204462388</v>
      </c>
      <c r="AO1244" s="6" t="n">
        <v>1.340283097051466</v>
      </c>
      <c r="AP1244" s="6" t="n">
        <v>0.1316942988862543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1.325132954437061</v>
      </c>
      <c r="AO1245" s="6" t="n">
        <v>1.325132954437061</v>
      </c>
      <c r="AP1245" s="6" t="n">
        <v>0.1294592225664495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1.347430045940623</v>
      </c>
      <c r="AO1246" s="6" t="n">
        <v>1.348857908514538</v>
      </c>
      <c r="AP1246" s="6" t="n">
        <v>0.1329031888891474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1.339434879580936</v>
      </c>
      <c r="AO1247" s="6" t="n">
        <v>1.340138881589923</v>
      </c>
      <c r="AP1247" s="6" t="n">
        <v>0.1313948588996076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1.364018969467558</v>
      </c>
      <c r="AO1248" s="6" t="n">
        <v>1.364018969467558</v>
      </c>
      <c r="AP1248" s="6" t="n">
        <v>0.1419541797297389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1.340908314793045</v>
      </c>
      <c r="AO1249" s="6" t="n">
        <v>1.341499872556089</v>
      </c>
      <c r="AP1249" s="6" t="n">
        <v>0.1319655653623705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1.339507635671619</v>
      </c>
      <c r="AO1250" s="6" t="n">
        <v>1.340167377817091</v>
      </c>
      <c r="AP1250" s="6" t="n">
        <v>0.1310812129026991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1.337797514411456</v>
      </c>
      <c r="AO1251" s="6" t="n">
        <v>1.343867425446737</v>
      </c>
      <c r="AP1251" s="6" t="n">
        <v>0.1336406779584048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1.305574791267909</v>
      </c>
      <c r="AO1252" s="6" t="n">
        <v>1.321168861178394</v>
      </c>
      <c r="AP1252" s="6" t="n">
        <v>0.1350573765302099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1.337180975549519</v>
      </c>
      <c r="AO1253" s="6" t="n">
        <v>1.338510875851156</v>
      </c>
      <c r="AP1253" s="6" t="n">
        <v>0.1307172920663081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1.352388267650857</v>
      </c>
      <c r="AO1254" s="6" t="n">
        <v>1.352592587912312</v>
      </c>
      <c r="AP1254" s="6" t="n">
        <v>0.1341169117433312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1.349219725062759</v>
      </c>
      <c r="AO1255" s="6" t="n">
        <v>1.352818863204639</v>
      </c>
      <c r="AP1255" s="6" t="n">
        <v>0.1351148912705142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1.299907261236743</v>
      </c>
      <c r="AO1256" s="6" t="n">
        <v>1.313511969271939</v>
      </c>
      <c r="AP1256" s="6" t="n">
        <v>0.1310205370529197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1.359504320497745</v>
      </c>
      <c r="AO1257" s="6" t="n">
        <v>1.36012431337959</v>
      </c>
      <c r="AP1257" s="6" t="n">
        <v>0.1357054700571783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1.338336329073865</v>
      </c>
      <c r="AO1258" s="6" t="n">
        <v>1.338684888950118</v>
      </c>
      <c r="AP1258" s="6" t="n">
        <v>0.1310047603033518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1.329873153455564</v>
      </c>
      <c r="AO1259" s="6" t="n">
        <v>1.329876926539759</v>
      </c>
      <c r="AP1259" s="6" t="n">
        <v>0.1296551852967357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1.308548053843377</v>
      </c>
      <c r="AO1260" s="6" t="n">
        <v>1.320423300924129</v>
      </c>
      <c r="AP1260" s="6" t="n">
        <v>0.1306919551845015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1.331358955711158</v>
      </c>
      <c r="AO1261" s="6" t="n">
        <v>1.331969349222699</v>
      </c>
      <c r="AP1261" s="6" t="n">
        <v>0.1293520266627801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1.351793964019236</v>
      </c>
      <c r="AO1262" s="6" t="n">
        <v>1.351793964019236</v>
      </c>
      <c r="AP1262" s="6" t="n">
        <v>0.1354792542081725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1.316467678222206</v>
      </c>
      <c r="AO1263" s="6" t="n">
        <v>1.316963474661914</v>
      </c>
      <c r="AP1263" s="6" t="n">
        <v>0.1272669239004581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1.361591753898193</v>
      </c>
      <c r="AO1264" s="6" t="n">
        <v>1.361727984506475</v>
      </c>
      <c r="AP1264" s="6" t="n">
        <v>0.1382609142241258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1.340736042409058</v>
      </c>
      <c r="AO1265" s="6" t="n">
        <v>1.343790895090631</v>
      </c>
      <c r="AP1265" s="6" t="n">
        <v>0.1321041570192032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1.303477864566732</v>
      </c>
      <c r="AO1266" s="6" t="n">
        <v>1.311124397301605</v>
      </c>
      <c r="AP1266" s="6" t="n">
        <v>0.1313086712350592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1.354267366650664</v>
      </c>
      <c r="AO1267" s="6" t="n">
        <v>1.354267366650664</v>
      </c>
      <c r="AP1267" s="6" t="n">
        <v>0.1347297253835547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1.29147012215257</v>
      </c>
      <c r="AO1268" s="6" t="n">
        <v>1.301657181212654</v>
      </c>
      <c r="AP1268" s="6" t="n">
        <v>0.1268974582590019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1.341223943518586</v>
      </c>
      <c r="AO1269" s="6" t="n">
        <v>1.341231081289912</v>
      </c>
      <c r="AP1269" s="6" t="n">
        <v>0.1313179926091703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1.355181597157298</v>
      </c>
      <c r="AO1270" s="6" t="n">
        <v>1.355181597157298</v>
      </c>
      <c r="AP1270" s="6" t="n">
        <v>0.1374050309769584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1.331306415845617</v>
      </c>
      <c r="AO1271" s="6" t="n">
        <v>1.331604735135511</v>
      </c>
      <c r="AP1271" s="6" t="n">
        <v>0.1294243224150629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1.308771886794771</v>
      </c>
      <c r="AO1272" s="6" t="n">
        <v>1.31261413443955</v>
      </c>
      <c r="AP1272" s="6" t="n">
        <v>0.1345104679957103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1.323536550446961</v>
      </c>
      <c r="AO1273" s="6" t="n">
        <v>1.32971720295187</v>
      </c>
      <c r="AP1273" s="6" t="n">
        <v>0.1306796581745214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1.345192769255595</v>
      </c>
      <c r="AO1274" s="6" t="n">
        <v>1.347253720477219</v>
      </c>
      <c r="AP1274" s="6" t="n">
        <v>0.1327199816302827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1.342450591766859</v>
      </c>
      <c r="AO1275" s="6" t="n">
        <v>1.344148308172391</v>
      </c>
      <c r="AP1275" s="6" t="n">
        <v>0.1322244636259193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1.34309480424355</v>
      </c>
      <c r="AO1276" s="6" t="n">
        <v>1.34315810015382</v>
      </c>
      <c r="AP1276" s="6" t="n">
        <v>0.1311845690190225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1.340218887497451</v>
      </c>
      <c r="AO1277" s="6" t="n">
        <v>1.34082714400216</v>
      </c>
      <c r="AP1277" s="6" t="n">
        <v>0.1313978423876408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1.329701889475432</v>
      </c>
      <c r="AO1278" s="6" t="n">
        <v>1.330209951204189</v>
      </c>
      <c r="AP1278" s="6" t="n">
        <v>0.1295493796046006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1.327260337567106</v>
      </c>
      <c r="AO1279" s="6" t="n">
        <v>1.330965547213741</v>
      </c>
      <c r="AP1279" s="6" t="n">
        <v>0.1295591361145794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1.309469779132889</v>
      </c>
      <c r="AO1280" s="6" t="n">
        <v>1.322051153081837</v>
      </c>
      <c r="AP1280" s="6" t="n">
        <v>0.1315623998281977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1.335201816820974</v>
      </c>
      <c r="AO1281" s="6" t="n">
        <v>1.335253094450112</v>
      </c>
      <c r="AP1281" s="6" t="n">
        <v>0.1304873481428991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1.312254813724519</v>
      </c>
      <c r="AO1282" s="6" t="n">
        <v>1.321937024286958</v>
      </c>
      <c r="AP1282" s="6" t="n">
        <v>0.1292615281873452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1.305919666806032</v>
      </c>
      <c r="AO1283" s="6" t="n">
        <v>1.315281018847078</v>
      </c>
      <c r="AP1283" s="6" t="n">
        <v>0.1313235303317759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1.331458377951469</v>
      </c>
      <c r="AO1284" s="6" t="n">
        <v>1.331918413540402</v>
      </c>
      <c r="AP1284" s="6" t="n">
        <v>0.1292891261504471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1.328821002293155</v>
      </c>
      <c r="AO1285" s="6" t="n">
        <v>1.333807634827618</v>
      </c>
      <c r="AP1285" s="6" t="n">
        <v>0.1304193677607609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1.357856714816705</v>
      </c>
      <c r="AO1286" s="6" t="n">
        <v>1.357856714816705</v>
      </c>
      <c r="AP1286" s="6" t="n">
        <v>0.138208106920552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1.354300243214805</v>
      </c>
      <c r="AO1287" s="6" t="n">
        <v>1.354300243214805</v>
      </c>
      <c r="AP1287" s="6" t="n">
        <v>0.134559791038328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1.331455483550728</v>
      </c>
      <c r="AO1288" s="6" t="n">
        <v>1.331954990175006</v>
      </c>
      <c r="AP1288" s="6" t="n">
        <v>0.1299820896449962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1.349780051647172</v>
      </c>
      <c r="AO1289" s="6" t="n">
        <v>1.35076752788627</v>
      </c>
      <c r="AP1289" s="6" t="n">
        <v>0.1333228360683334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1.358863927905645</v>
      </c>
      <c r="AO1290" s="6" t="n">
        <v>1.35919627098251</v>
      </c>
      <c r="AP1290" s="6" t="n">
        <v>0.1387076397929133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1.340568802057355</v>
      </c>
      <c r="AO1291" s="6" t="n">
        <v>1.342761474225479</v>
      </c>
      <c r="AP1291" s="6" t="n">
        <v>0.1315980928058882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1.318303523248799</v>
      </c>
      <c r="AO1292" s="6" t="n">
        <v>1.319945441118546</v>
      </c>
      <c r="AP1292" s="6" t="n">
        <v>0.1271620321416331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1.343390384660061</v>
      </c>
      <c r="AO1293" s="6" t="n">
        <v>1.345054666442501</v>
      </c>
      <c r="AP1293" s="6" t="n">
        <v>0.133040761993843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1.323258157613478</v>
      </c>
      <c r="AO1294" s="6" t="n">
        <v>1.324948914596189</v>
      </c>
      <c r="AP1294" s="6" t="n">
        <v>0.1280387031101596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1.35497551813374</v>
      </c>
      <c r="AO1295" s="6" t="n">
        <v>1.355004362764293</v>
      </c>
      <c r="AP1295" s="6" t="n">
        <v>0.1363146804640943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1.351055394757523</v>
      </c>
      <c r="AO1296" s="6" t="n">
        <v>1.351150292869087</v>
      </c>
      <c r="AP1296" s="6" t="n">
        <v>0.1340858937285423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1.345604769249462</v>
      </c>
      <c r="AO1297" s="6" t="n">
        <v>1.345604769249462</v>
      </c>
      <c r="AP1297" s="6" t="n">
        <v>0.1331655373129371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1.337968787470654</v>
      </c>
      <c r="AO1298" s="6" t="n">
        <v>1.33803917356002</v>
      </c>
      <c r="AP1298" s="6" t="n">
        <v>0.1308134425259522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1.341937456070171</v>
      </c>
      <c r="AO1299" s="6" t="n">
        <v>1.342334681986104</v>
      </c>
      <c r="AP1299" s="6" t="n">
        <v>0.1333791627647824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1.329693332675657</v>
      </c>
      <c r="AO1300" s="6" t="n">
        <v>1.335249898785166</v>
      </c>
      <c r="AP1300" s="6" t="n">
        <v>0.1331821567549224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1.337601844235828</v>
      </c>
      <c r="AO1301" s="6" t="n">
        <v>1.338818909280822</v>
      </c>
      <c r="AP1301" s="6" t="n">
        <v>0.1304838326504227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1.335615811516261</v>
      </c>
      <c r="AO1302" s="6" t="n">
        <v>1.336031458972816</v>
      </c>
      <c r="AP1302" s="6" t="n">
        <v>0.1299962376549997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1.342425778749707</v>
      </c>
      <c r="AO1303" s="6" t="n">
        <v>1.342562123494454</v>
      </c>
      <c r="AP1303" s="6" t="n">
        <v>0.1331721920489824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1.31845603250516</v>
      </c>
      <c r="AO1304" s="6" t="n">
        <v>1.319267619749827</v>
      </c>
      <c r="AP1304" s="6" t="n">
        <v>0.1275119565566866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1.346679261329156</v>
      </c>
      <c r="AO1305" s="6" t="n">
        <v>1.347745754651057</v>
      </c>
      <c r="AP1305" s="6" t="n">
        <v>0.1318488779790245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1.349419088852084</v>
      </c>
      <c r="AO1306" s="6" t="n">
        <v>1.349419088852084</v>
      </c>
      <c r="AP1306" s="6" t="n">
        <v>0.1349618632322078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1.350822176190328</v>
      </c>
      <c r="AO1307" s="6" t="n">
        <v>1.350822176190328</v>
      </c>
      <c r="AP1307" s="6" t="n">
        <v>0.1345198648599018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1.348152944113352</v>
      </c>
      <c r="AO1308" s="6" t="n">
        <v>1.348719051216666</v>
      </c>
      <c r="AP1308" s="6" t="n">
        <v>0.1329271571567248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1.326284175386389</v>
      </c>
      <c r="AO1309" s="6" t="n">
        <v>1.327640964264401</v>
      </c>
      <c r="AP1309" s="6" t="n">
        <v>0.1280536138368976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1.344916178945166</v>
      </c>
      <c r="AO1310" s="6" t="n">
        <v>1.348540580768816</v>
      </c>
      <c r="AP1310" s="6" t="n">
        <v>0.1340366073514098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1.266106328484886</v>
      </c>
      <c r="AO1311" s="6" t="n">
        <v>1.26964020646408</v>
      </c>
      <c r="AP1311" s="6" t="n">
        <v>0.1283226495236203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1.362398496799127</v>
      </c>
      <c r="AO1312" s="6" t="n">
        <v>1.362398496799127</v>
      </c>
      <c r="AP1312" s="6" t="n">
        <v>0.1414655800097195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J19*(1+J12/100)^(Inputs!$F$236/12)</f>
        <v/>
      </c>
      <c r="K20" s="13">
        <f>K19*(1+K12/100)^(Inputs!$F$236/12)</f>
        <v/>
      </c>
      <c r="L20" s="13">
        <f>L19*(1+L12/100)^(Inputs!$F$236/12)</f>
        <v/>
      </c>
      <c r="M20" s="13">
        <f>M19*(1+M12/100)^(Inputs!$F$236/12)</f>
        <v/>
      </c>
      <c r="N20" s="13">
        <f>N19*(1+N12/100)^(Inputs!$F$236/12)</f>
        <v/>
      </c>
      <c r="O20" s="13">
        <f>O19*(1+O12/100)^(Inputs!$F$236/12)</f>
        <v/>
      </c>
      <c r="P20" s="13">
        <f>P19*(1+P12/100)^(Inputs!$F$236/12)</f>
        <v/>
      </c>
      <c r="Q20" s="13">
        <f>Q19*(1+Q12/100)^(Inputs!$F$236/12)</f>
        <v/>
      </c>
      <c r="R20" s="13">
        <f>R19*(1+R12/100)^(Inputs!$F$236/12)</f>
        <v/>
      </c>
      <c r="S20" s="13">
        <f>S19*(1+S12/100)^(Inputs!$F$236/12)</f>
        <v/>
      </c>
      <c r="T20" s="13">
        <f>T19*(1+T12/100)^(Inputs!$F$236/12)</f>
        <v/>
      </c>
      <c r="U20" s="13">
        <f>U19*(1+U12/100)^(Inputs!$F$236/12)</f>
        <v/>
      </c>
      <c r="V20" s="13">
        <f>V19*(1+V12/100)^(Inputs!$F$236/12)</f>
        <v/>
      </c>
      <c r="W20" s="13">
        <f>W19*(1+W12/100)^(Inputs!$F$236/12)</f>
        <v/>
      </c>
      <c r="X20" s="13">
        <f>X19*(1+X12/100)^(Inputs!$F$236/12)</f>
        <v/>
      </c>
      <c r="Y20" s="13">
        <f>Y19*(1+Y12/100)^(Inputs!$F$236/12)</f>
        <v/>
      </c>
      <c r="Z20" s="13">
        <f>Z19*(1+Z12/100)^(Inputs!$F$236/12)</f>
        <v/>
      </c>
      <c r="AA20" s="13">
        <f>AA19*(1+AA12/100)^(Inputs!$F$236/12)</f>
        <v/>
      </c>
      <c r="AB20" s="13">
        <f>AB19*(1+AB12/100)^(Inputs!$F$236/12)</f>
        <v/>
      </c>
      <c r="AC20" s="13">
        <f>AC19*(1+AC12/100)^(Inputs!$F$236/12)</f>
        <v/>
      </c>
      <c r="AD20" s="13">
        <f>AD19*(1+AD12/100)^(Inputs!$F$236/12)</f>
        <v/>
      </c>
      <c r="AE20" s="13">
        <f>AE19*(1+AE12/100)^(Inputs!$F$236/12)</f>
        <v/>
      </c>
      <c r="AF20" s="13">
        <f>AF19*(1+AF12/100)^(Inputs!$F$236/12)</f>
        <v/>
      </c>
      <c r="AG20" s="13">
        <f>AG19*(1+AG12/100)^(Inputs!$F$236/12)</f>
        <v/>
      </c>
      <c r="AH20" s="13">
        <f>AH19*(1+AH12/100)^(Inputs!$F$236/12)</f>
        <v/>
      </c>
      <c r="AI20" s="13">
        <f>AI19*(1+AI12/100)^(Inputs!$F$236/12)</f>
        <v/>
      </c>
      <c r="AJ20" s="13">
        <f>AJ19*(1+AJ12/100)^(Inputs!$F$236/12)</f>
        <v/>
      </c>
      <c r="AK20" s="13">
        <f>AK19*(1+AK12/100)^(Inputs!$F$236/12)</f>
        <v/>
      </c>
      <c r="AL20" s="13">
        <f>AL19*(1+AL12/100)^(Inputs!$F$236/12)</f>
        <v/>
      </c>
      <c r="AM20" s="13">
        <f>AM19*(1+AM12/100)^(Inputs!$F$236/12)</f>
        <v/>
      </c>
      <c r="AN20" s="13">
        <f>AN19*(1+AN12/100)^(Inputs!$F$236/12)</f>
        <v/>
      </c>
      <c r="AO20" s="13">
        <f>AO19*(1+AO12/100)^(Inputs!$F$236/12)</f>
        <v/>
      </c>
      <c r="AP20" s="13">
        <f>AP19*(1+AP12/100)^(Inputs!$F$236/12)</f>
        <v/>
      </c>
      <c r="AQ20" s="13">
        <f>AQ19*(1+AQ12/100)^(Inputs!$F$236/12)</f>
        <v/>
      </c>
      <c r="AR20" s="13">
        <f>AR19*(1+AR12/100)^(Inputs!$F$236/12)</f>
        <v/>
      </c>
      <c r="AS20" s="13">
        <f>AS19*(1+AS12/100)^(Inputs!$F$236/12)</f>
        <v/>
      </c>
      <c r="AT20" s="13">
        <f>AT19*(1+AT12/100)^(Inputs!$F$236/12)</f>
        <v/>
      </c>
      <c r="AU20" s="13">
        <f>AU19*(1+AU12/100)^(Inputs!$F$236/12)</f>
        <v/>
      </c>
      <c r="AV20" s="13">
        <f>AV19*(1+AV12/100)^(Inputs!$F$236/12)</f>
        <v/>
      </c>
      <c r="AW20" s="13">
        <f>AW19*(1+AW12/100)^(Inputs!$F$236/12)</f>
        <v/>
      </c>
      <c r="AX20" s="13">
        <f>AX19*(1+AX12/100)^(Inputs!$F$236/12)</f>
        <v/>
      </c>
      <c r="AY20" s="13">
        <f>AY19*(1+AY12/100)^(Inputs!$F$236/12)</f>
        <v/>
      </c>
      <c r="AZ20" s="13">
        <f>AZ19*(1+AZ12/100)^(Inputs!$F$236/12)</f>
        <v/>
      </c>
      <c r="BA20" s="13">
        <f>BA19*(1+BA12/100)^(Inputs!$F$236/12)</f>
        <v/>
      </c>
      <c r="BB20" s="13">
        <f>BB19*(1+BB12/100)^(Inputs!$F$236/12)</f>
        <v/>
      </c>
      <c r="BC20" s="13">
        <f>BC19*(1+BC12/100)^(Inputs!$F$236/12)</f>
        <v/>
      </c>
      <c r="BD20" s="13">
        <f>BD19*(1+BD12/100)^(Inputs!$F$236/12)</f>
        <v/>
      </c>
      <c r="BE20" s="13">
        <f>BE19*(1+BE12/100)^(Inputs!$F$236/12)</f>
        <v/>
      </c>
      <c r="BF20" s="13">
        <f>BF19*(1+BF12/100)^(Inputs!$F$236/12)</f>
        <v/>
      </c>
      <c r="BG20" s="13">
        <f>BG19*(1+BG12/100)^(Inputs!$F$236/12)</f>
        <v/>
      </c>
      <c r="BH20" s="13">
        <f>BH19*(1+BH12/100)^(Inputs!$F$236/12)</f>
        <v/>
      </c>
      <c r="BI20" s="13">
        <f>BI19*(1+BI12/100)^(Inputs!$F$236/12)</f>
        <v/>
      </c>
      <c r="BJ20" s="13">
        <f>BJ19*(1+BJ12/100)^(Inputs!$F$236/12)</f>
        <v/>
      </c>
      <c r="BK20" s="13">
        <f>BK19*(1+BK12/100)^(Inputs!$F$236/12)</f>
        <v/>
      </c>
      <c r="BL20" s="13">
        <f>BL19*(1+BL12/100)^(Inputs!$F$236/12)</f>
        <v/>
      </c>
      <c r="BM20" s="13">
        <f>BM19*(1+BM12/100)^(Inputs!$F$236/12)</f>
        <v/>
      </c>
      <c r="BN20" s="13">
        <f>BN19*(1+BN12/100)^(Inputs!$F$236/12)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J25*(1+J13/100)^(Inputs!$F$236/12)</f>
        <v/>
      </c>
      <c r="K26" s="13">
        <f>K25*(1+K13/100)^(Inputs!$F$236/12)</f>
        <v/>
      </c>
      <c r="L26" s="13">
        <f>L25*(1+L13/100)^(Inputs!$F$236/12)</f>
        <v/>
      </c>
      <c r="M26" s="13">
        <f>M25*(1+M13/100)^(Inputs!$F$236/12)</f>
        <v/>
      </c>
      <c r="N26" s="13">
        <f>N25*(1+N13/100)^(Inputs!$F$236/12)</f>
        <v/>
      </c>
      <c r="O26" s="13">
        <f>O25*(1+O13/100)^(Inputs!$F$236/12)</f>
        <v/>
      </c>
      <c r="P26" s="13">
        <f>P25*(1+P13/100)^(Inputs!$F$236/12)</f>
        <v/>
      </c>
      <c r="Q26" s="13">
        <f>Q25*(1+Q13/100)^(Inputs!$F$236/12)</f>
        <v/>
      </c>
      <c r="R26" s="13">
        <f>R25*(1+R13/100)^(Inputs!$F$236/12)</f>
        <v/>
      </c>
      <c r="S26" s="13">
        <f>S25*(1+S13/100)^(Inputs!$F$236/12)</f>
        <v/>
      </c>
      <c r="T26" s="13">
        <f>T25*(1+T13/100)^(Inputs!$F$236/12)</f>
        <v/>
      </c>
      <c r="U26" s="13">
        <f>U25*(1+U13/100)^(Inputs!$F$236/12)</f>
        <v/>
      </c>
      <c r="V26" s="13">
        <f>V25*(1+V13/100)^(Inputs!$F$236/12)</f>
        <v/>
      </c>
      <c r="W26" s="13">
        <f>W25*(1+W13/100)^(Inputs!$F$236/12)</f>
        <v/>
      </c>
      <c r="X26" s="13">
        <f>X25*(1+X13/100)^(Inputs!$F$236/12)</f>
        <v/>
      </c>
      <c r="Y26" s="13">
        <f>Y25*(1+Y13/100)^(Inputs!$F$236/12)</f>
        <v/>
      </c>
      <c r="Z26" s="13">
        <f>Z25*(1+Z13/100)^(Inputs!$F$236/12)</f>
        <v/>
      </c>
      <c r="AA26" s="13">
        <f>AA25*(1+AA13/100)^(Inputs!$F$236/12)</f>
        <v/>
      </c>
      <c r="AB26" s="13">
        <f>AB25*(1+AB13/100)^(Inputs!$F$236/12)</f>
        <v/>
      </c>
      <c r="AC26" s="13">
        <f>AC25*(1+AC13/100)^(Inputs!$F$236/12)</f>
        <v/>
      </c>
      <c r="AD26" s="13">
        <f>AD25*(1+AD13/100)^(Inputs!$F$236/12)</f>
        <v/>
      </c>
      <c r="AE26" s="13">
        <f>AE25*(1+AE13/100)^(Inputs!$F$236/12)</f>
        <v/>
      </c>
      <c r="AF26" s="13">
        <f>AF25*(1+AF13/100)^(Inputs!$F$236/12)</f>
        <v/>
      </c>
      <c r="AG26" s="13">
        <f>AG25*(1+AG13/100)^(Inputs!$F$236/12)</f>
        <v/>
      </c>
      <c r="AH26" s="13">
        <f>AH25*(1+AH13/100)^(Inputs!$F$236/12)</f>
        <v/>
      </c>
      <c r="AI26" s="13">
        <f>AI25*(1+AI13/100)^(Inputs!$F$236/12)</f>
        <v/>
      </c>
      <c r="AJ26" s="13">
        <f>AJ25*(1+AJ13/100)^(Inputs!$F$236/12)</f>
        <v/>
      </c>
      <c r="AK26" s="13">
        <f>AK25*(1+AK13/100)^(Inputs!$F$236/12)</f>
        <v/>
      </c>
      <c r="AL26" s="13">
        <f>AL25*(1+AL13/100)^(Inputs!$F$236/12)</f>
        <v/>
      </c>
      <c r="AM26" s="13">
        <f>AM25*(1+AM13/100)^(Inputs!$F$236/12)</f>
        <v/>
      </c>
      <c r="AN26" s="13">
        <f>AN25*(1+AN13/100)^(Inputs!$F$236/12)</f>
        <v/>
      </c>
      <c r="AO26" s="13">
        <f>AO25*(1+AO13/100)^(Inputs!$F$236/12)</f>
        <v/>
      </c>
      <c r="AP26" s="13">
        <f>AP25*(1+AP13/100)^(Inputs!$F$236/12)</f>
        <v/>
      </c>
      <c r="AQ26" s="13">
        <f>AQ25*(1+AQ13/100)^(Inputs!$F$236/12)</f>
        <v/>
      </c>
      <c r="AR26" s="13">
        <f>AR25*(1+AR13/100)^(Inputs!$F$236/12)</f>
        <v/>
      </c>
      <c r="AS26" s="13">
        <f>AS25*(1+AS13/100)^(Inputs!$F$236/12)</f>
        <v/>
      </c>
      <c r="AT26" s="13">
        <f>AT25*(1+AT13/100)^(Inputs!$F$236/12)</f>
        <v/>
      </c>
      <c r="AU26" s="13">
        <f>AU25*(1+AU13/100)^(Inputs!$F$236/12)</f>
        <v/>
      </c>
      <c r="AV26" s="13">
        <f>AV25*(1+AV13/100)^(Inputs!$F$236/12)</f>
        <v/>
      </c>
      <c r="AW26" s="13">
        <f>AW25*(1+AW13/100)^(Inputs!$F$236/12)</f>
        <v/>
      </c>
      <c r="AX26" s="13">
        <f>AX25*(1+AX13/100)^(Inputs!$F$236/12)</f>
        <v/>
      </c>
      <c r="AY26" s="13">
        <f>AY25*(1+AY13/100)^(Inputs!$F$236/12)</f>
        <v/>
      </c>
      <c r="AZ26" s="13">
        <f>AZ25*(1+AZ13/100)^(Inputs!$F$236/12)</f>
        <v/>
      </c>
      <c r="BA26" s="13">
        <f>BA25*(1+BA13/100)^(Inputs!$F$236/12)</f>
        <v/>
      </c>
      <c r="BB26" s="13">
        <f>BB25*(1+BB13/100)^(Inputs!$F$236/12)</f>
        <v/>
      </c>
      <c r="BC26" s="13">
        <f>BC25*(1+BC13/100)^(Inputs!$F$236/12)</f>
        <v/>
      </c>
      <c r="BD26" s="13">
        <f>BD25*(1+BD13/100)^(Inputs!$F$236/12)</f>
        <v/>
      </c>
      <c r="BE26" s="13">
        <f>BE25*(1+BE13/100)^(Inputs!$F$236/12)</f>
        <v/>
      </c>
      <c r="BF26" s="13">
        <f>BF25*(1+BF13/100)^(Inputs!$F$236/12)</f>
        <v/>
      </c>
      <c r="BG26" s="13">
        <f>BG25*(1+BG13/100)^(Inputs!$F$236/12)</f>
        <v/>
      </c>
      <c r="BH26" s="13">
        <f>BH25*(1+BH13/100)^(Inputs!$F$236/12)</f>
        <v/>
      </c>
      <c r="BI26" s="13">
        <f>BI25*(1+BI13/100)^(Inputs!$F$236/12)</f>
        <v/>
      </c>
      <c r="BJ26" s="13">
        <f>BJ25*(1+BJ13/100)^(Inputs!$F$236/12)</f>
        <v/>
      </c>
      <c r="BK26" s="13">
        <f>BK25*(1+BK13/100)^(Inputs!$F$236/12)</f>
        <v/>
      </c>
      <c r="BL26" s="13">
        <f>BL25*(1+BL13/100)^(Inputs!$F$236/12)</f>
        <v/>
      </c>
      <c r="BM26" s="13">
        <f>BM25*(1+BM13/100)^(Inputs!$F$236/12)</f>
        <v/>
      </c>
      <c r="BN26" s="13">
        <f>BN25*(1+BN13/100)^(Inputs!$F$236/12)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J32/Inputs!$F$133</f>
        <v/>
      </c>
      <c r="K47" s="13">
        <f>K32/Inputs!$F$133</f>
        <v/>
      </c>
      <c r="L47" s="13">
        <f>L32/Inputs!$F$133</f>
        <v/>
      </c>
      <c r="M47" s="13">
        <f>M32/Inputs!$F$133</f>
        <v/>
      </c>
      <c r="N47" s="13">
        <f>N32/Inputs!$F$133</f>
        <v/>
      </c>
      <c r="O47" s="13">
        <f>O32/Inputs!$F$133</f>
        <v/>
      </c>
      <c r="P47" s="13">
        <f>P32/Inputs!$F$133</f>
        <v/>
      </c>
      <c r="Q47" s="13">
        <f>Q32/Inputs!$F$133</f>
        <v/>
      </c>
      <c r="R47" s="13">
        <f>R32/Inputs!$F$133</f>
        <v/>
      </c>
      <c r="S47" s="13">
        <f>S32/Inputs!$F$133</f>
        <v/>
      </c>
      <c r="T47" s="13">
        <f>T32/Inputs!$F$133</f>
        <v/>
      </c>
      <c r="U47" s="13">
        <f>U32/Inputs!$F$133</f>
        <v/>
      </c>
      <c r="V47" s="13">
        <f>V32/Inputs!$F$133</f>
        <v/>
      </c>
      <c r="W47" s="13">
        <f>W32/Inputs!$F$133</f>
        <v/>
      </c>
      <c r="X47" s="13">
        <f>X32/Inputs!$F$133</f>
        <v/>
      </c>
      <c r="Y47" s="13">
        <f>Y32/Inputs!$F$133</f>
        <v/>
      </c>
      <c r="Z47" s="13">
        <f>Z32/Inputs!$F$133</f>
        <v/>
      </c>
      <c r="AA47" s="13">
        <f>AA32/Inputs!$F$133</f>
        <v/>
      </c>
      <c r="AB47" s="13">
        <f>AB32/Inputs!$F$133</f>
        <v/>
      </c>
      <c r="AC47" s="13">
        <f>AC32/Inputs!$F$133</f>
        <v/>
      </c>
      <c r="AD47" s="13">
        <f>AD32/Inputs!$F$133</f>
        <v/>
      </c>
      <c r="AE47" s="13">
        <f>AE32/Inputs!$F$133</f>
        <v/>
      </c>
      <c r="AF47" s="13">
        <f>AF32/Inputs!$F$133</f>
        <v/>
      </c>
      <c r="AG47" s="13">
        <f>AG32/Inputs!$F$133</f>
        <v/>
      </c>
      <c r="AH47" s="13">
        <f>AH32/Inputs!$F$133</f>
        <v/>
      </c>
      <c r="AI47" s="13">
        <f>AI32/Inputs!$F$133</f>
        <v/>
      </c>
      <c r="AJ47" s="13">
        <f>AJ32/Inputs!$F$133</f>
        <v/>
      </c>
      <c r="AK47" s="13">
        <f>AK32/Inputs!$F$133</f>
        <v/>
      </c>
      <c r="AL47" s="13">
        <f>AL32/Inputs!$F$133</f>
        <v/>
      </c>
      <c r="AM47" s="13">
        <f>AM32/Inputs!$F$133</f>
        <v/>
      </c>
      <c r="AN47" s="13">
        <f>AN32/Inputs!$F$133</f>
        <v/>
      </c>
      <c r="AO47" s="13">
        <f>AO32/Inputs!$F$133</f>
        <v/>
      </c>
      <c r="AP47" s="13">
        <f>AP32/Inputs!$F$133</f>
        <v/>
      </c>
      <c r="AQ47" s="13">
        <f>AQ32/Inputs!$F$133</f>
        <v/>
      </c>
      <c r="AR47" s="13">
        <f>AR32/Inputs!$F$133</f>
        <v/>
      </c>
      <c r="AS47" s="13">
        <f>AS32/Inputs!$F$133</f>
        <v/>
      </c>
      <c r="AT47" s="13">
        <f>AT32/Inputs!$F$133</f>
        <v/>
      </c>
      <c r="AU47" s="13">
        <f>AU32/Inputs!$F$133</f>
        <v/>
      </c>
      <c r="AV47" s="13">
        <f>AV32/Inputs!$F$133</f>
        <v/>
      </c>
      <c r="AW47" s="13">
        <f>AW32/Inputs!$F$133</f>
        <v/>
      </c>
      <c r="AX47" s="13">
        <f>AX32/Inputs!$F$133</f>
        <v/>
      </c>
      <c r="AY47" s="13">
        <f>AY32/Inputs!$F$133</f>
        <v/>
      </c>
      <c r="AZ47" s="13">
        <f>AZ32/Inputs!$F$133</f>
        <v/>
      </c>
      <c r="BA47" s="13">
        <f>BA32/Inputs!$F$133</f>
        <v/>
      </c>
      <c r="BB47" s="13">
        <f>BB32/Inputs!$F$133</f>
        <v/>
      </c>
      <c r="BC47" s="13">
        <f>BC32/Inputs!$F$133</f>
        <v/>
      </c>
      <c r="BD47" s="13">
        <f>BD32/Inputs!$F$133</f>
        <v/>
      </c>
      <c r="BE47" s="13">
        <f>BE32/Inputs!$F$133</f>
        <v/>
      </c>
      <c r="BF47" s="13">
        <f>BF32/Inputs!$F$133</f>
        <v/>
      </c>
      <c r="BG47" s="13">
        <f>BG32/Inputs!$F$133</f>
        <v/>
      </c>
      <c r="BH47" s="13">
        <f>BH32/Inputs!$F$133</f>
        <v/>
      </c>
      <c r="BI47" s="13">
        <f>BI32/Inputs!$F$133</f>
        <v/>
      </c>
      <c r="BJ47" s="13">
        <f>BJ32/Inputs!$F$133</f>
        <v/>
      </c>
      <c r="BK47" s="13">
        <f>BK32/Inputs!$F$133</f>
        <v/>
      </c>
      <c r="BL47" s="13">
        <f>BL32/Inputs!$F$133</f>
        <v/>
      </c>
      <c r="BM47" s="13">
        <f>BM32/Inputs!$F$133</f>
        <v/>
      </c>
      <c r="BN47" s="13">
        <f>BN32/Inputs!$F$133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J38*J40*(1000*Inputs!$F$123/Inputs!$F$124)*J41/1000000*0.765/(Inputs!$F$38/100)</f>
        <v/>
      </c>
      <c r="K51" s="13">
        <f>K38*K40*(1000*Inputs!$F$123/Inputs!$F$124)*K41/1000000*0.765/(Inputs!$F$38/100)</f>
        <v/>
      </c>
      <c r="L51" s="13">
        <f>L38*L40*(1000*Inputs!$F$123/Inputs!$F$124)*L41/1000000*0.765/(Inputs!$F$38/100)</f>
        <v/>
      </c>
      <c r="M51" s="13">
        <f>M38*M40*(1000*Inputs!$F$123/Inputs!$F$124)*M41/1000000*0.765/(Inputs!$F$38/100)</f>
        <v/>
      </c>
      <c r="N51" s="13">
        <f>N38*N40*(1000*Inputs!$F$123/Inputs!$F$124)*N41/1000000*0.765/(Inputs!$F$38/100)</f>
        <v/>
      </c>
      <c r="O51" s="13">
        <f>O38*O40*(1000*Inputs!$F$123/Inputs!$F$124)*O41/1000000*0.765/(Inputs!$F$38/100)</f>
        <v/>
      </c>
      <c r="P51" s="13">
        <f>P38*P40*(1000*Inputs!$F$123/Inputs!$F$124)*P41/1000000*0.765/(Inputs!$F$38/100)</f>
        <v/>
      </c>
      <c r="Q51" s="13">
        <f>Q38*Q40*(1000*Inputs!$F$123/Inputs!$F$124)*Q41/1000000*0.765/(Inputs!$F$38/100)</f>
        <v/>
      </c>
      <c r="R51" s="13">
        <f>R38*R40*(1000*Inputs!$F$123/Inputs!$F$124)*R41/1000000*0.765/(Inputs!$F$38/100)</f>
        <v/>
      </c>
      <c r="S51" s="13">
        <f>S38*S40*(1000*Inputs!$F$123/Inputs!$F$124)*S41/1000000*0.765/(Inputs!$F$38/100)</f>
        <v/>
      </c>
      <c r="T51" s="13">
        <f>T38*T40*(1000*Inputs!$F$123/Inputs!$F$124)*T41/1000000*0.765/(Inputs!$F$38/100)</f>
        <v/>
      </c>
      <c r="U51" s="13">
        <f>U38*U40*(1000*Inputs!$F$123/Inputs!$F$124)*U41/1000000*0.765/(Inputs!$F$38/100)</f>
        <v/>
      </c>
      <c r="V51" s="13">
        <f>V38*V40*(1000*Inputs!$F$123/Inputs!$F$124)*V41/1000000*0.765/(Inputs!$F$38/100)</f>
        <v/>
      </c>
      <c r="W51" s="13">
        <f>W38*W40*(1000*Inputs!$F$123/Inputs!$F$124)*W41/1000000*0.765/(Inputs!$F$38/100)</f>
        <v/>
      </c>
      <c r="X51" s="13">
        <f>X38*X40*(1000*Inputs!$F$123/Inputs!$F$124)*X41/1000000*0.765/(Inputs!$F$38/100)</f>
        <v/>
      </c>
      <c r="Y51" s="13">
        <f>Y38*Y40*(1000*Inputs!$F$123/Inputs!$F$124)*Y41/1000000*0.765/(Inputs!$F$38/100)</f>
        <v/>
      </c>
      <c r="Z51" s="13">
        <f>Z38*Z40*(1000*Inputs!$F$123/Inputs!$F$124)*Z41/1000000*0.765/(Inputs!$F$38/100)</f>
        <v/>
      </c>
      <c r="AA51" s="13">
        <f>AA38*AA40*(1000*Inputs!$F$123/Inputs!$F$124)*AA41/1000000*0.765/(Inputs!$F$38/100)</f>
        <v/>
      </c>
      <c r="AB51" s="13">
        <f>AB38*AB40*(1000*Inputs!$F$123/Inputs!$F$124)*AB41/1000000*0.765/(Inputs!$F$38/100)</f>
        <v/>
      </c>
      <c r="AC51" s="13">
        <f>AC38*AC40*(1000*Inputs!$F$123/Inputs!$F$124)*AC41/1000000*0.765/(Inputs!$F$38/100)</f>
        <v/>
      </c>
      <c r="AD51" s="13">
        <f>AD38*AD40*(1000*Inputs!$F$123/Inputs!$F$124)*AD41/1000000*0.765/(Inputs!$F$38/100)</f>
        <v/>
      </c>
      <c r="AE51" s="13">
        <f>AE38*AE40*(1000*Inputs!$F$123/Inputs!$F$124)*AE41/1000000*0.765/(Inputs!$F$38/100)</f>
        <v/>
      </c>
      <c r="AF51" s="13">
        <f>AF38*AF40*(1000*Inputs!$F$123/Inputs!$F$124)*AF41/1000000*0.765/(Inputs!$F$38/100)</f>
        <v/>
      </c>
      <c r="AG51" s="13">
        <f>AG38*AG40*(1000*Inputs!$F$123/Inputs!$F$124)*AG41/1000000*0.765/(Inputs!$F$38/100)</f>
        <v/>
      </c>
      <c r="AH51" s="13">
        <f>AH38*AH40*(1000*Inputs!$F$123/Inputs!$F$124)*AH41/1000000*0.765/(Inputs!$F$38/100)</f>
        <v/>
      </c>
      <c r="AI51" s="13">
        <f>AI38*AI40*(1000*Inputs!$F$123/Inputs!$F$124)*AI41/1000000*0.765/(Inputs!$F$38/100)</f>
        <v/>
      </c>
      <c r="AJ51" s="13">
        <f>AJ38*AJ40*(1000*Inputs!$F$123/Inputs!$F$124)*AJ41/1000000*0.765/(Inputs!$F$38/100)</f>
        <v/>
      </c>
      <c r="AK51" s="13">
        <f>AK38*AK40*(1000*Inputs!$F$123/Inputs!$F$124)*AK41/1000000*0.765/(Inputs!$F$38/100)</f>
        <v/>
      </c>
      <c r="AL51" s="13">
        <f>AL38*AL40*(1000*Inputs!$F$123/Inputs!$F$124)*AL41/1000000*0.765/(Inputs!$F$38/100)</f>
        <v/>
      </c>
      <c r="AM51" s="13">
        <f>AM38*AM40*(1000*Inputs!$F$123/Inputs!$F$124)*AM41/1000000*0.765/(Inputs!$F$38/100)</f>
        <v/>
      </c>
      <c r="AN51" s="13">
        <f>AN38*AN40*(1000*Inputs!$F$123/Inputs!$F$124)*AN41/1000000*0.765/(Inputs!$F$38/100)</f>
        <v/>
      </c>
      <c r="AO51" s="13">
        <f>AO38*AO40*(1000*Inputs!$F$123/Inputs!$F$124)*AO41/1000000*0.765/(Inputs!$F$38/100)</f>
        <v/>
      </c>
      <c r="AP51" s="13">
        <f>AP38*AP40*(1000*Inputs!$F$123/Inputs!$F$124)*AP41/1000000*0.765/(Inputs!$F$38/100)</f>
        <v/>
      </c>
      <c r="AQ51" s="13">
        <f>AQ38*AQ40*(1000*Inputs!$F$123/Inputs!$F$124)*AQ41/1000000*0.765/(Inputs!$F$38/100)</f>
        <v/>
      </c>
      <c r="AR51" s="13">
        <f>AR38*AR40*(1000*Inputs!$F$123/Inputs!$F$124)*AR41/1000000*0.765/(Inputs!$F$38/100)</f>
        <v/>
      </c>
      <c r="AS51" s="13">
        <f>AS38*AS40*(1000*Inputs!$F$123/Inputs!$F$124)*AS41/1000000*0.765/(Inputs!$F$38/100)</f>
        <v/>
      </c>
      <c r="AT51" s="13">
        <f>AT38*AT40*(1000*Inputs!$F$123/Inputs!$F$124)*AT41/1000000*0.765/(Inputs!$F$38/100)</f>
        <v/>
      </c>
      <c r="AU51" s="13">
        <f>AU38*AU40*(1000*Inputs!$F$123/Inputs!$F$124)*AU41/1000000*0.765/(Inputs!$F$38/100)</f>
        <v/>
      </c>
      <c r="AV51" s="13">
        <f>AV38*AV40*(1000*Inputs!$F$123/Inputs!$F$124)*AV41/1000000*0.765/(Inputs!$F$38/100)</f>
        <v/>
      </c>
      <c r="AW51" s="13">
        <f>AW38*AW40*(1000*Inputs!$F$123/Inputs!$F$124)*AW41/1000000*0.765/(Inputs!$F$38/100)</f>
        <v/>
      </c>
      <c r="AX51" s="13">
        <f>AX38*AX40*(1000*Inputs!$F$123/Inputs!$F$124)*AX41/1000000*0.765/(Inputs!$F$38/100)</f>
        <v/>
      </c>
      <c r="AY51" s="13">
        <f>AY38*AY40*(1000*Inputs!$F$123/Inputs!$F$124)*AY41/1000000*0.765/(Inputs!$F$38/100)</f>
        <v/>
      </c>
      <c r="AZ51" s="13">
        <f>AZ38*AZ40*(1000*Inputs!$F$123/Inputs!$F$124)*AZ41/1000000*0.765/(Inputs!$F$38/100)</f>
        <v/>
      </c>
      <c r="BA51" s="13">
        <f>BA38*BA40*(1000*Inputs!$F$123/Inputs!$F$124)*BA41/1000000*0.765/(Inputs!$F$38/100)</f>
        <v/>
      </c>
      <c r="BB51" s="13">
        <f>BB38*BB40*(1000*Inputs!$F$123/Inputs!$F$124)*BB41/1000000*0.765/(Inputs!$F$38/100)</f>
        <v/>
      </c>
      <c r="BC51" s="13">
        <f>BC38*BC40*(1000*Inputs!$F$123/Inputs!$F$124)*BC41/1000000*0.765/(Inputs!$F$38/100)</f>
        <v/>
      </c>
      <c r="BD51" s="13">
        <f>BD38*BD40*(1000*Inputs!$F$123/Inputs!$F$124)*BD41/1000000*0.765/(Inputs!$F$38/100)</f>
        <v/>
      </c>
      <c r="BE51" s="13">
        <f>BE38*BE40*(1000*Inputs!$F$123/Inputs!$F$124)*BE41/1000000*0.765/(Inputs!$F$38/100)</f>
        <v/>
      </c>
      <c r="BF51" s="13">
        <f>BF38*BF40*(1000*Inputs!$F$123/Inputs!$F$124)*BF41/1000000*0.765/(Inputs!$F$38/100)</f>
        <v/>
      </c>
      <c r="BG51" s="13">
        <f>BG38*BG40*(1000*Inputs!$F$123/Inputs!$F$124)*BG41/1000000*0.765/(Inputs!$F$38/100)</f>
        <v/>
      </c>
      <c r="BH51" s="13">
        <f>BH38*BH40*(1000*Inputs!$F$123/Inputs!$F$124)*BH41/1000000*0.765/(Inputs!$F$38/100)</f>
        <v/>
      </c>
      <c r="BI51" s="13">
        <f>BI38*BI40*(1000*Inputs!$F$123/Inputs!$F$124)*BI41/1000000*0.765/(Inputs!$F$38/100)</f>
        <v/>
      </c>
      <c r="BJ51" s="13">
        <f>BJ38*BJ40*(1000*Inputs!$F$123/Inputs!$F$124)*BJ41/1000000*0.765/(Inputs!$F$38/100)</f>
        <v/>
      </c>
      <c r="BK51" s="13">
        <f>BK38*BK40*(1000*Inputs!$F$123/Inputs!$F$124)*BK41/1000000*0.765/(Inputs!$F$38/100)</f>
        <v/>
      </c>
      <c r="BL51" s="13">
        <f>BL38*BL40*(1000*Inputs!$F$123/Inputs!$F$124)*BL41/1000000*0.765/(Inputs!$F$38/100)</f>
        <v/>
      </c>
      <c r="BM51" s="13">
        <f>BM38*BM40*(1000*Inputs!$F$123/Inputs!$F$124)*BM41/1000000*0.765/(Inputs!$F$38/100)</f>
        <v/>
      </c>
      <c r="BN51" s="13">
        <f>BN38*BN40*(1000*Inputs!$F$123/Inputs!$F$124)*BN41/1000000*0.765/(Inputs!$F$38/100)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IF(J31&gt;0,1*(Inputs!$F$129*J32/J31*J37/Inputs!$F$131+Inputs!$F$130*Inputs!$F$132)*Time!J30/12,0)</f>
        <v/>
      </c>
      <c r="K63" s="15">
        <f>IF(K31&gt;0,1*(Inputs!$F$129*K32/K31*K37/Inputs!$F$131+Inputs!$F$130*Inputs!$F$132)*Time!K30/12,0)</f>
        <v/>
      </c>
      <c r="L63" s="15">
        <f>IF(L31&gt;0,1*(Inputs!$F$129*L32/L31*L37/Inputs!$F$131+Inputs!$F$130*Inputs!$F$132)*Time!L30/12,0)</f>
        <v/>
      </c>
      <c r="M63" s="15">
        <f>IF(M31&gt;0,1*(Inputs!$F$129*M32/M31*M37/Inputs!$F$131+Inputs!$F$130*Inputs!$F$132)*Time!M30/12,0)</f>
        <v/>
      </c>
      <c r="N63" s="15">
        <f>IF(N31&gt;0,1*(Inputs!$F$129*N32/N31*N37/Inputs!$F$131+Inputs!$F$130*Inputs!$F$132)*Time!N30/12,0)</f>
        <v/>
      </c>
      <c r="O63" s="15">
        <f>IF(O31&gt;0,1*(Inputs!$F$129*O32/O31*O37/Inputs!$F$131+Inputs!$F$130*Inputs!$F$132)*Time!O30/12,0)</f>
        <v/>
      </c>
      <c r="P63" s="15">
        <f>IF(P31&gt;0,1*(Inputs!$F$129*P32/P31*P37/Inputs!$F$131+Inputs!$F$130*Inputs!$F$132)*Time!P30/12,0)</f>
        <v/>
      </c>
      <c r="Q63" s="15">
        <f>IF(Q31&gt;0,1*(Inputs!$F$129*Q32/Q31*Q37/Inputs!$F$131+Inputs!$F$130*Inputs!$F$132)*Time!Q30/12,0)</f>
        <v/>
      </c>
      <c r="R63" s="15">
        <f>IF(R31&gt;0,1*(Inputs!$F$129*R32/R31*R37/Inputs!$F$131+Inputs!$F$130*Inputs!$F$132)*Time!R30/12,0)</f>
        <v/>
      </c>
      <c r="S63" s="15">
        <f>IF(S31&gt;0,1*(Inputs!$F$129*S32/S31*S37/Inputs!$F$131+Inputs!$F$130*Inputs!$F$132)*Time!S30/12,0)</f>
        <v/>
      </c>
      <c r="T63" s="15">
        <f>IF(T31&gt;0,1*(Inputs!$F$129*T32/T31*T37/Inputs!$F$131+Inputs!$F$130*Inputs!$F$132)*Time!T30/12,0)</f>
        <v/>
      </c>
      <c r="U63" s="15">
        <f>IF(U31&gt;0,1*(Inputs!$F$129*U32/U31*U37/Inputs!$F$131+Inputs!$F$130*Inputs!$F$132)*Time!U30/12,0)</f>
        <v/>
      </c>
      <c r="V63" s="15">
        <f>IF(V31&gt;0,1*(Inputs!$F$129*V32/V31*V37/Inputs!$F$131+Inputs!$F$130*Inputs!$F$132)*Time!V30/12,0)</f>
        <v/>
      </c>
      <c r="W63" s="15">
        <f>IF(W31&gt;0,1*(Inputs!$F$129*W32/W31*W37/Inputs!$F$131+Inputs!$F$130*Inputs!$F$132)*Time!W30/12,0)</f>
        <v/>
      </c>
      <c r="X63" s="15">
        <f>IF(X31&gt;0,1*(Inputs!$F$129*X32/X31*X37/Inputs!$F$131+Inputs!$F$130*Inputs!$F$132)*Time!X30/12,0)</f>
        <v/>
      </c>
      <c r="Y63" s="15">
        <f>IF(Y31&gt;0,1*(Inputs!$F$129*Y32/Y31*Y37/Inputs!$F$131+Inputs!$F$130*Inputs!$F$132)*Time!Y30/12,0)</f>
        <v/>
      </c>
      <c r="Z63" s="15">
        <f>IF(Z31&gt;0,1*(Inputs!$F$129*Z32/Z31*Z37/Inputs!$F$131+Inputs!$F$130*Inputs!$F$132)*Time!Z30/12,0)</f>
        <v/>
      </c>
      <c r="AA63" s="15">
        <f>IF(AA31&gt;0,1*(Inputs!$F$129*AA32/AA31*AA37/Inputs!$F$131+Inputs!$F$130*Inputs!$F$132)*Time!AA30/12,0)</f>
        <v/>
      </c>
      <c r="AB63" s="15">
        <f>IF(AB31&gt;0,1*(Inputs!$F$129*AB32/AB31*AB37/Inputs!$F$131+Inputs!$F$130*Inputs!$F$132)*Time!AB30/12,0)</f>
        <v/>
      </c>
      <c r="AC63" s="15">
        <f>IF(AC31&gt;0,1*(Inputs!$F$129*AC32/AC31*AC37/Inputs!$F$131+Inputs!$F$130*Inputs!$F$132)*Time!AC30/12,0)</f>
        <v/>
      </c>
      <c r="AD63" s="15">
        <f>IF(AD31&gt;0,1*(Inputs!$F$129*AD32/AD31*AD37/Inputs!$F$131+Inputs!$F$130*Inputs!$F$132)*Time!AD30/12,0)</f>
        <v/>
      </c>
      <c r="AE63" s="15">
        <f>IF(AE31&gt;0,1*(Inputs!$F$129*AE32/AE31*AE37/Inputs!$F$131+Inputs!$F$130*Inputs!$F$132)*Time!AE30/12,0)</f>
        <v/>
      </c>
      <c r="AF63" s="15">
        <f>IF(AF31&gt;0,1*(Inputs!$F$129*AF32/AF31*AF37/Inputs!$F$131+Inputs!$F$130*Inputs!$F$132)*Time!AF30/12,0)</f>
        <v/>
      </c>
      <c r="AG63" s="15">
        <f>IF(AG31&gt;0,1*(Inputs!$F$129*AG32/AG31*AG37/Inputs!$F$131+Inputs!$F$130*Inputs!$F$132)*Time!AG30/12,0)</f>
        <v/>
      </c>
      <c r="AH63" s="15">
        <f>IF(AH31&gt;0,1*(Inputs!$F$129*AH32/AH31*AH37/Inputs!$F$131+Inputs!$F$130*Inputs!$F$132)*Time!AH30/12,0)</f>
        <v/>
      </c>
      <c r="AI63" s="15">
        <f>IF(AI31&gt;0,1*(Inputs!$F$129*AI32/AI31*AI37/Inputs!$F$131+Inputs!$F$130*Inputs!$F$132)*Time!AI30/12,0)</f>
        <v/>
      </c>
      <c r="AJ63" s="15">
        <f>IF(AJ31&gt;0,1*(Inputs!$F$129*AJ32/AJ31*AJ37/Inputs!$F$131+Inputs!$F$130*Inputs!$F$132)*Time!AJ30/12,0)</f>
        <v/>
      </c>
      <c r="AK63" s="15">
        <f>IF(AK31&gt;0,1*(Inputs!$F$129*AK32/AK31*AK37/Inputs!$F$131+Inputs!$F$130*Inputs!$F$132)*Time!AK30/12,0)</f>
        <v/>
      </c>
      <c r="AL63" s="15">
        <f>IF(AL31&gt;0,1*(Inputs!$F$129*AL32/AL31*AL37/Inputs!$F$131+Inputs!$F$130*Inputs!$F$132)*Time!AL30/12,0)</f>
        <v/>
      </c>
      <c r="AM63" s="15">
        <f>IF(AM31&gt;0,1*(Inputs!$F$129*AM32/AM31*AM37/Inputs!$F$131+Inputs!$F$130*Inputs!$F$132)*Time!AM30/12,0)</f>
        <v/>
      </c>
      <c r="AN63" s="15">
        <f>IF(AN31&gt;0,1*(Inputs!$F$129*AN32/AN31*AN37/Inputs!$F$131+Inputs!$F$130*Inputs!$F$132)*Time!AN30/12,0)</f>
        <v/>
      </c>
      <c r="AO63" s="15">
        <f>IF(AO31&gt;0,1*(Inputs!$F$129*AO32/AO31*AO37/Inputs!$F$131+Inputs!$F$130*Inputs!$F$132)*Time!AO30/12,0)</f>
        <v/>
      </c>
      <c r="AP63" s="15">
        <f>IF(AP31&gt;0,1*(Inputs!$F$129*AP32/AP31*AP37/Inputs!$F$131+Inputs!$F$130*Inputs!$F$132)*Time!AP30/12,0)</f>
        <v/>
      </c>
      <c r="AQ63" s="15">
        <f>IF(AQ31&gt;0,1*(Inputs!$F$129*AQ32/AQ31*AQ37/Inputs!$F$131+Inputs!$F$130*Inputs!$F$132)*Time!AQ30/12,0)</f>
        <v/>
      </c>
      <c r="AR63" s="15">
        <f>IF(AR31&gt;0,1*(Inputs!$F$129*AR32/AR31*AR37/Inputs!$F$131+Inputs!$F$130*Inputs!$F$132)*Time!AR30/12,0)</f>
        <v/>
      </c>
      <c r="AS63" s="15">
        <f>IF(AS31&gt;0,1*(Inputs!$F$129*AS32/AS31*AS37/Inputs!$F$131+Inputs!$F$130*Inputs!$F$132)*Time!AS30/12,0)</f>
        <v/>
      </c>
      <c r="AT63" s="15">
        <f>IF(AT31&gt;0,1*(Inputs!$F$129*AT32/AT31*AT37/Inputs!$F$131+Inputs!$F$130*Inputs!$F$132)*Time!AT30/12,0)</f>
        <v/>
      </c>
      <c r="AU63" s="15">
        <f>IF(AU31&gt;0,1*(Inputs!$F$129*AU32/AU31*AU37/Inputs!$F$131+Inputs!$F$130*Inputs!$F$132)*Time!AU30/12,0)</f>
        <v/>
      </c>
      <c r="AV63" s="15">
        <f>IF(AV31&gt;0,1*(Inputs!$F$129*AV32/AV31*AV37/Inputs!$F$131+Inputs!$F$130*Inputs!$F$132)*Time!AV30/12,0)</f>
        <v/>
      </c>
      <c r="AW63" s="15">
        <f>IF(AW31&gt;0,1*(Inputs!$F$129*AW32/AW31*AW37/Inputs!$F$131+Inputs!$F$130*Inputs!$F$132)*Time!AW30/12,0)</f>
        <v/>
      </c>
      <c r="AX63" s="15">
        <f>IF(AX31&gt;0,1*(Inputs!$F$129*AX32/AX31*AX37/Inputs!$F$131+Inputs!$F$130*Inputs!$F$132)*Time!AX30/12,0)</f>
        <v/>
      </c>
      <c r="AY63" s="15">
        <f>IF(AY31&gt;0,1*(Inputs!$F$129*AY32/AY31*AY37/Inputs!$F$131+Inputs!$F$130*Inputs!$F$132)*Time!AY30/12,0)</f>
        <v/>
      </c>
      <c r="AZ63" s="15">
        <f>IF(AZ31&gt;0,1*(Inputs!$F$129*AZ32/AZ31*AZ37/Inputs!$F$131+Inputs!$F$130*Inputs!$F$132)*Time!AZ30/12,0)</f>
        <v/>
      </c>
      <c r="BA63" s="15">
        <f>IF(BA31&gt;0,1*(Inputs!$F$129*BA32/BA31*BA37/Inputs!$F$131+Inputs!$F$130*Inputs!$F$132)*Time!BA30/12,0)</f>
        <v/>
      </c>
      <c r="BB63" s="15">
        <f>IF(BB31&gt;0,1*(Inputs!$F$129*BB32/BB31*BB37/Inputs!$F$131+Inputs!$F$130*Inputs!$F$132)*Time!BB30/12,0)</f>
        <v/>
      </c>
      <c r="BC63" s="15">
        <f>IF(BC31&gt;0,1*(Inputs!$F$129*BC32/BC31*BC37/Inputs!$F$131+Inputs!$F$130*Inputs!$F$132)*Time!BC30/12,0)</f>
        <v/>
      </c>
      <c r="BD63" s="15">
        <f>IF(BD31&gt;0,1*(Inputs!$F$129*BD32/BD31*BD37/Inputs!$F$131+Inputs!$F$130*Inputs!$F$132)*Time!BD30/12,0)</f>
        <v/>
      </c>
      <c r="BE63" s="15">
        <f>IF(BE31&gt;0,1*(Inputs!$F$129*BE32/BE31*BE37/Inputs!$F$131+Inputs!$F$130*Inputs!$F$132)*Time!BE30/12,0)</f>
        <v/>
      </c>
      <c r="BF63" s="15">
        <f>IF(BF31&gt;0,1*(Inputs!$F$129*BF32/BF31*BF37/Inputs!$F$131+Inputs!$F$130*Inputs!$F$132)*Time!BF30/12,0)</f>
        <v/>
      </c>
      <c r="BG63" s="15">
        <f>IF(BG31&gt;0,1*(Inputs!$F$129*BG32/BG31*BG37/Inputs!$F$131+Inputs!$F$130*Inputs!$F$132)*Time!BG30/12,0)</f>
        <v/>
      </c>
      <c r="BH63" s="15">
        <f>IF(BH31&gt;0,1*(Inputs!$F$129*BH32/BH31*BH37/Inputs!$F$131+Inputs!$F$130*Inputs!$F$132)*Time!BH30/12,0)</f>
        <v/>
      </c>
      <c r="BI63" s="15">
        <f>IF(BI31&gt;0,1*(Inputs!$F$129*BI32/BI31*BI37/Inputs!$F$131+Inputs!$F$130*Inputs!$F$132)*Time!BI30/12,0)</f>
        <v/>
      </c>
      <c r="BJ63" s="15">
        <f>IF(BJ31&gt;0,1*(Inputs!$F$129*BJ32/BJ31*BJ37/Inputs!$F$131+Inputs!$F$130*Inputs!$F$132)*Time!BJ30/12,0)</f>
        <v/>
      </c>
      <c r="BK63" s="15">
        <f>IF(BK31&gt;0,1*(Inputs!$F$129*BK32/BK31*BK37/Inputs!$F$131+Inputs!$F$130*Inputs!$F$132)*Time!BK30/12,0)</f>
        <v/>
      </c>
      <c r="BL63" s="15">
        <f>IF(BL31&gt;0,1*(Inputs!$F$129*BL32/BL31*BL37/Inputs!$F$131+Inputs!$F$130*Inputs!$F$132)*Time!BL30/12,0)</f>
        <v/>
      </c>
      <c r="BM63" s="15">
        <f>IF(BM31&gt;0,1*(Inputs!$F$129*BM32/BM31*BM37/Inputs!$F$131+Inputs!$F$130*Inputs!$F$132)*Time!BM30/12,0)</f>
        <v/>
      </c>
      <c r="BN63" s="15">
        <f>IF(BN31&gt;0,1*(Inputs!$F$129*BN32/BN31*BN37/Inputs!$F$131+Inputs!$F$130*Inputs!$F$132)*Time!BN30/12,0)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MAX(0,MIN(Time!J33,Inputs!$F$229*12)-MIN(Time!J32,Inputs!$F$229*12))</f>
        <v/>
      </c>
      <c r="K7" s="9">
        <f>MAX(0,MIN(Time!K33,Inputs!$F$229*12)-MIN(Time!K32,Inputs!$F$229*12))</f>
        <v/>
      </c>
      <c r="L7" s="9">
        <f>MAX(0,MIN(Time!L33,Inputs!$F$229*12)-MIN(Time!L32,Inputs!$F$229*12))</f>
        <v/>
      </c>
      <c r="M7" s="9">
        <f>MAX(0,MIN(Time!M33,Inputs!$F$229*12)-MIN(Time!M32,Inputs!$F$229*12))</f>
        <v/>
      </c>
      <c r="N7" s="9">
        <f>MAX(0,MIN(Time!N33,Inputs!$F$229*12)-MIN(Time!N32,Inputs!$F$229*12))</f>
        <v/>
      </c>
      <c r="O7" s="9">
        <f>MAX(0,MIN(Time!O33,Inputs!$F$229*12)-MIN(Time!O32,Inputs!$F$229*12))</f>
        <v/>
      </c>
      <c r="P7" s="9">
        <f>MAX(0,MIN(Time!P33,Inputs!$F$229*12)-MIN(Time!P32,Inputs!$F$229*12))</f>
        <v/>
      </c>
      <c r="Q7" s="9">
        <f>MAX(0,MIN(Time!Q33,Inputs!$F$229*12)-MIN(Time!Q32,Inputs!$F$229*12))</f>
        <v/>
      </c>
      <c r="R7" s="9">
        <f>MAX(0,MIN(Time!R33,Inputs!$F$229*12)-MIN(Time!R32,Inputs!$F$229*12))</f>
        <v/>
      </c>
      <c r="S7" s="9">
        <f>MAX(0,MIN(Time!S33,Inputs!$F$229*12)-MIN(Time!S32,Inputs!$F$229*12))</f>
        <v/>
      </c>
      <c r="T7" s="9">
        <f>MAX(0,MIN(Time!T33,Inputs!$F$229*12)-MIN(Time!T32,Inputs!$F$229*12))</f>
        <v/>
      </c>
      <c r="U7" s="9">
        <f>MAX(0,MIN(Time!U33,Inputs!$F$229*12)-MIN(Time!U32,Inputs!$F$229*12))</f>
        <v/>
      </c>
      <c r="V7" s="9">
        <f>MAX(0,MIN(Time!V33,Inputs!$F$229*12)-MIN(Time!V32,Inputs!$F$229*12))</f>
        <v/>
      </c>
      <c r="W7" s="9">
        <f>MAX(0,MIN(Time!W33,Inputs!$F$229*12)-MIN(Time!W32,Inputs!$F$229*12))</f>
        <v/>
      </c>
      <c r="X7" s="9">
        <f>MAX(0,MIN(Time!X33,Inputs!$F$229*12)-MIN(Time!X32,Inputs!$F$229*12))</f>
        <v/>
      </c>
      <c r="Y7" s="9">
        <f>MAX(0,MIN(Time!Y33,Inputs!$F$229*12)-MIN(Time!Y32,Inputs!$F$229*12))</f>
        <v/>
      </c>
      <c r="Z7" s="9">
        <f>MAX(0,MIN(Time!Z33,Inputs!$F$229*12)-MIN(Time!Z32,Inputs!$F$229*12))</f>
        <v/>
      </c>
      <c r="AA7" s="9">
        <f>MAX(0,MIN(Time!AA33,Inputs!$F$229*12)-MIN(Time!AA32,Inputs!$F$229*12))</f>
        <v/>
      </c>
      <c r="AB7" s="9">
        <f>MAX(0,MIN(Time!AB33,Inputs!$F$229*12)-MIN(Time!AB32,Inputs!$F$229*12))</f>
        <v/>
      </c>
      <c r="AC7" s="9">
        <f>MAX(0,MIN(Time!AC33,Inputs!$F$229*12)-MIN(Time!AC32,Inputs!$F$229*12))</f>
        <v/>
      </c>
      <c r="AD7" s="9">
        <f>MAX(0,MIN(Time!AD33,Inputs!$F$229*12)-MIN(Time!AD32,Inputs!$F$229*12))</f>
        <v/>
      </c>
      <c r="AE7" s="9">
        <f>MAX(0,MIN(Time!AE33,Inputs!$F$229*12)-MIN(Time!AE32,Inputs!$F$229*12))</f>
        <v/>
      </c>
      <c r="AF7" s="9">
        <f>MAX(0,MIN(Time!AF33,Inputs!$F$229*12)-MIN(Time!AF32,Inputs!$F$229*12))</f>
        <v/>
      </c>
      <c r="AG7" s="9">
        <f>MAX(0,MIN(Time!AG33,Inputs!$F$229*12)-MIN(Time!AG32,Inputs!$F$229*12))</f>
        <v/>
      </c>
      <c r="AH7" s="9">
        <f>MAX(0,MIN(Time!AH33,Inputs!$F$229*12)-MIN(Time!AH32,Inputs!$F$229*12))</f>
        <v/>
      </c>
      <c r="AI7" s="9">
        <f>MAX(0,MIN(Time!AI33,Inputs!$F$229*12)-MIN(Time!AI32,Inputs!$F$229*12))</f>
        <v/>
      </c>
      <c r="AJ7" s="9">
        <f>MAX(0,MIN(Time!AJ33,Inputs!$F$229*12)-MIN(Time!AJ32,Inputs!$F$229*12))</f>
        <v/>
      </c>
      <c r="AK7" s="9">
        <f>MAX(0,MIN(Time!AK33,Inputs!$F$229*12)-MIN(Time!AK32,Inputs!$F$229*12))</f>
        <v/>
      </c>
      <c r="AL7" s="9">
        <f>MAX(0,MIN(Time!AL33,Inputs!$F$229*12)-MIN(Time!AL32,Inputs!$F$229*12))</f>
        <v/>
      </c>
      <c r="AM7" s="9">
        <f>MAX(0,MIN(Time!AM33,Inputs!$F$229*12)-MIN(Time!AM32,Inputs!$F$229*12))</f>
        <v/>
      </c>
      <c r="AN7" s="9">
        <f>MAX(0,MIN(Time!AN33,Inputs!$F$229*12)-MIN(Time!AN32,Inputs!$F$229*12))</f>
        <v/>
      </c>
      <c r="AO7" s="9">
        <f>MAX(0,MIN(Time!AO33,Inputs!$F$229*12)-MIN(Time!AO32,Inputs!$F$229*12))</f>
        <v/>
      </c>
      <c r="AP7" s="9">
        <f>MAX(0,MIN(Time!AP33,Inputs!$F$229*12)-MIN(Time!AP32,Inputs!$F$229*12))</f>
        <v/>
      </c>
      <c r="AQ7" s="9">
        <f>MAX(0,MIN(Time!AQ33,Inputs!$F$229*12)-MIN(Time!AQ32,Inputs!$F$229*12))</f>
        <v/>
      </c>
      <c r="AR7" s="9">
        <f>MAX(0,MIN(Time!AR33,Inputs!$F$229*12)-MIN(Time!AR32,Inputs!$F$229*12))</f>
        <v/>
      </c>
      <c r="AS7" s="9">
        <f>MAX(0,MIN(Time!AS33,Inputs!$F$229*12)-MIN(Time!AS32,Inputs!$F$229*12))</f>
        <v/>
      </c>
      <c r="AT7" s="9">
        <f>MAX(0,MIN(Time!AT33,Inputs!$F$229*12)-MIN(Time!AT32,Inputs!$F$229*12))</f>
        <v/>
      </c>
      <c r="AU7" s="9">
        <f>MAX(0,MIN(Time!AU33,Inputs!$F$229*12)-MIN(Time!AU32,Inputs!$F$229*12))</f>
        <v/>
      </c>
      <c r="AV7" s="9">
        <f>MAX(0,MIN(Time!AV33,Inputs!$F$229*12)-MIN(Time!AV32,Inputs!$F$229*12))</f>
        <v/>
      </c>
      <c r="AW7" s="9">
        <f>MAX(0,MIN(Time!AW33,Inputs!$F$229*12)-MIN(Time!AW32,Inputs!$F$229*12))</f>
        <v/>
      </c>
      <c r="AX7" s="9">
        <f>MAX(0,MIN(Time!AX33,Inputs!$F$229*12)-MIN(Time!AX32,Inputs!$F$229*12))</f>
        <v/>
      </c>
      <c r="AY7" s="9">
        <f>MAX(0,MIN(Time!AY33,Inputs!$F$229*12)-MIN(Time!AY32,Inputs!$F$229*12))</f>
        <v/>
      </c>
      <c r="AZ7" s="9">
        <f>MAX(0,MIN(Time!AZ33,Inputs!$F$229*12)-MIN(Time!AZ32,Inputs!$F$229*12))</f>
        <v/>
      </c>
      <c r="BA7" s="9">
        <f>MAX(0,MIN(Time!BA33,Inputs!$F$229*12)-MIN(Time!BA32,Inputs!$F$229*12))</f>
        <v/>
      </c>
      <c r="BB7" s="9">
        <f>MAX(0,MIN(Time!BB33,Inputs!$F$229*12)-MIN(Time!BB32,Inputs!$F$229*12))</f>
        <v/>
      </c>
      <c r="BC7" s="9">
        <f>MAX(0,MIN(Time!BC33,Inputs!$F$229*12)-MIN(Time!BC32,Inputs!$F$229*12))</f>
        <v/>
      </c>
      <c r="BD7" s="9">
        <f>MAX(0,MIN(Time!BD33,Inputs!$F$229*12)-MIN(Time!BD32,Inputs!$F$229*12))</f>
        <v/>
      </c>
      <c r="BE7" s="9">
        <f>MAX(0,MIN(Time!BE33,Inputs!$F$229*12)-MIN(Time!BE32,Inputs!$F$229*12))</f>
        <v/>
      </c>
      <c r="BF7" s="9">
        <f>MAX(0,MIN(Time!BF33,Inputs!$F$229*12)-MIN(Time!BF32,Inputs!$F$229*12))</f>
        <v/>
      </c>
      <c r="BG7" s="9">
        <f>MAX(0,MIN(Time!BG33,Inputs!$F$229*12)-MIN(Time!BG32,Inputs!$F$229*12))</f>
        <v/>
      </c>
      <c r="BH7" s="9">
        <f>MAX(0,MIN(Time!BH33,Inputs!$F$229*12)-MIN(Time!BH32,Inputs!$F$229*12))</f>
        <v/>
      </c>
      <c r="BI7" s="9">
        <f>MAX(0,MIN(Time!BI33,Inputs!$F$229*12)-MIN(Time!BI32,Inputs!$F$229*12))</f>
        <v/>
      </c>
      <c r="BJ7" s="9">
        <f>MAX(0,MIN(Time!BJ33,Inputs!$F$229*12)-MIN(Time!BJ32,Inputs!$F$229*12))</f>
        <v/>
      </c>
      <c r="BK7" s="9">
        <f>MAX(0,MIN(Time!BK33,Inputs!$F$229*12)-MIN(Time!BK32,Inputs!$F$229*12))</f>
        <v/>
      </c>
      <c r="BL7" s="9">
        <f>MAX(0,MIN(Time!BL33,Inputs!$F$229*12)-MIN(Time!BL32,Inputs!$F$229*12))</f>
        <v/>
      </c>
      <c r="BM7" s="9">
        <f>MAX(0,MIN(Time!BM33,Inputs!$F$229*12)-MIN(Time!BM32,Inputs!$F$229*12))</f>
        <v/>
      </c>
      <c r="BN7" s="9">
        <f>MAX(0,MIN(Time!BN33,Inputs!$F$229*12)-MIN(Time!BN32,Inputs!$F$229*12))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MAX(0,MIN(Time!J33,Inputs!$F$229*12)-MIN(MAX(Time!J32,Inputs!$F$229*12),Inputs!$F$229*12))</f>
        <v/>
      </c>
      <c r="K8" s="9">
        <f>MAX(0,MIN(Time!K33,Inputs!$F$229*12)-MIN(MAX(Time!K32,Inputs!$F$229*12),Inputs!$F$229*12))</f>
        <v/>
      </c>
      <c r="L8" s="9">
        <f>MAX(0,MIN(Time!L33,Inputs!$F$229*12)-MIN(MAX(Time!L32,Inputs!$F$229*12),Inputs!$F$229*12))</f>
        <v/>
      </c>
      <c r="M8" s="9">
        <f>MAX(0,MIN(Time!M33,Inputs!$F$229*12)-MIN(MAX(Time!M32,Inputs!$F$229*12),Inputs!$F$229*12))</f>
        <v/>
      </c>
      <c r="N8" s="9">
        <f>MAX(0,MIN(Time!N33,Inputs!$F$229*12)-MIN(MAX(Time!N32,Inputs!$F$229*12),Inputs!$F$229*12))</f>
        <v/>
      </c>
      <c r="O8" s="9">
        <f>MAX(0,MIN(Time!O33,Inputs!$F$229*12)-MIN(MAX(Time!O32,Inputs!$F$229*12),Inputs!$F$229*12))</f>
        <v/>
      </c>
      <c r="P8" s="9">
        <f>MAX(0,MIN(Time!P33,Inputs!$F$229*12)-MIN(MAX(Time!P32,Inputs!$F$229*12),Inputs!$F$229*12))</f>
        <v/>
      </c>
      <c r="Q8" s="9">
        <f>MAX(0,MIN(Time!Q33,Inputs!$F$229*12)-MIN(MAX(Time!Q32,Inputs!$F$229*12),Inputs!$F$229*12))</f>
        <v/>
      </c>
      <c r="R8" s="9">
        <f>MAX(0,MIN(Time!R33,Inputs!$F$229*12)-MIN(MAX(Time!R32,Inputs!$F$229*12),Inputs!$F$229*12))</f>
        <v/>
      </c>
      <c r="S8" s="9">
        <f>MAX(0,MIN(Time!S33,Inputs!$F$229*12)-MIN(MAX(Time!S32,Inputs!$F$229*12),Inputs!$F$229*12))</f>
        <v/>
      </c>
      <c r="T8" s="9">
        <f>MAX(0,MIN(Time!T33,Inputs!$F$229*12)-MIN(MAX(Time!T32,Inputs!$F$229*12),Inputs!$F$229*12))</f>
        <v/>
      </c>
      <c r="U8" s="9">
        <f>MAX(0,MIN(Time!U33,Inputs!$F$229*12)-MIN(MAX(Time!U32,Inputs!$F$229*12),Inputs!$F$229*12))</f>
        <v/>
      </c>
      <c r="V8" s="9">
        <f>MAX(0,MIN(Time!V33,Inputs!$F$229*12)-MIN(MAX(Time!V32,Inputs!$F$229*12),Inputs!$F$229*12))</f>
        <v/>
      </c>
      <c r="W8" s="9">
        <f>MAX(0,MIN(Time!W33,Inputs!$F$229*12)-MIN(MAX(Time!W32,Inputs!$F$229*12),Inputs!$F$229*12))</f>
        <v/>
      </c>
      <c r="X8" s="9">
        <f>MAX(0,MIN(Time!X33,Inputs!$F$229*12)-MIN(MAX(Time!X32,Inputs!$F$229*12),Inputs!$F$229*12))</f>
        <v/>
      </c>
      <c r="Y8" s="9">
        <f>MAX(0,MIN(Time!Y33,Inputs!$F$229*12)-MIN(MAX(Time!Y32,Inputs!$F$229*12),Inputs!$F$229*12))</f>
        <v/>
      </c>
      <c r="Z8" s="9">
        <f>MAX(0,MIN(Time!Z33,Inputs!$F$229*12)-MIN(MAX(Time!Z32,Inputs!$F$229*12),Inputs!$F$229*12))</f>
        <v/>
      </c>
      <c r="AA8" s="9">
        <f>MAX(0,MIN(Time!AA33,Inputs!$F$229*12)-MIN(MAX(Time!AA32,Inputs!$F$229*12),Inputs!$F$229*12))</f>
        <v/>
      </c>
      <c r="AB8" s="9">
        <f>MAX(0,MIN(Time!AB33,Inputs!$F$229*12)-MIN(MAX(Time!AB32,Inputs!$F$229*12),Inputs!$F$229*12))</f>
        <v/>
      </c>
      <c r="AC8" s="9">
        <f>MAX(0,MIN(Time!AC33,Inputs!$F$229*12)-MIN(MAX(Time!AC32,Inputs!$F$229*12),Inputs!$F$229*12))</f>
        <v/>
      </c>
      <c r="AD8" s="9">
        <f>MAX(0,MIN(Time!AD33,Inputs!$F$229*12)-MIN(MAX(Time!AD32,Inputs!$F$229*12),Inputs!$F$229*12))</f>
        <v/>
      </c>
      <c r="AE8" s="9">
        <f>MAX(0,MIN(Time!AE33,Inputs!$F$229*12)-MIN(MAX(Time!AE32,Inputs!$F$229*12),Inputs!$F$229*12))</f>
        <v/>
      </c>
      <c r="AF8" s="9">
        <f>MAX(0,MIN(Time!AF33,Inputs!$F$229*12)-MIN(MAX(Time!AF32,Inputs!$F$229*12),Inputs!$F$229*12))</f>
        <v/>
      </c>
      <c r="AG8" s="9">
        <f>MAX(0,MIN(Time!AG33,Inputs!$F$229*12)-MIN(MAX(Time!AG32,Inputs!$F$229*12),Inputs!$F$229*12))</f>
        <v/>
      </c>
      <c r="AH8" s="9">
        <f>MAX(0,MIN(Time!AH33,Inputs!$F$229*12)-MIN(MAX(Time!AH32,Inputs!$F$229*12),Inputs!$F$229*12))</f>
        <v/>
      </c>
      <c r="AI8" s="9">
        <f>MAX(0,MIN(Time!AI33,Inputs!$F$229*12)-MIN(MAX(Time!AI32,Inputs!$F$229*12),Inputs!$F$229*12))</f>
        <v/>
      </c>
      <c r="AJ8" s="9">
        <f>MAX(0,MIN(Time!AJ33,Inputs!$F$229*12)-MIN(MAX(Time!AJ32,Inputs!$F$229*12),Inputs!$F$229*12))</f>
        <v/>
      </c>
      <c r="AK8" s="9">
        <f>MAX(0,MIN(Time!AK33,Inputs!$F$229*12)-MIN(MAX(Time!AK32,Inputs!$F$229*12),Inputs!$F$229*12))</f>
        <v/>
      </c>
      <c r="AL8" s="9">
        <f>MAX(0,MIN(Time!AL33,Inputs!$F$229*12)-MIN(MAX(Time!AL32,Inputs!$F$229*12),Inputs!$F$229*12))</f>
        <v/>
      </c>
      <c r="AM8" s="9">
        <f>MAX(0,MIN(Time!AM33,Inputs!$F$229*12)-MIN(MAX(Time!AM32,Inputs!$F$229*12),Inputs!$F$229*12))</f>
        <v/>
      </c>
      <c r="AN8" s="9">
        <f>MAX(0,MIN(Time!AN33,Inputs!$F$229*12)-MIN(MAX(Time!AN32,Inputs!$F$229*12),Inputs!$F$229*12))</f>
        <v/>
      </c>
      <c r="AO8" s="9">
        <f>MAX(0,MIN(Time!AO33,Inputs!$F$229*12)-MIN(MAX(Time!AO32,Inputs!$F$229*12),Inputs!$F$229*12))</f>
        <v/>
      </c>
      <c r="AP8" s="9">
        <f>MAX(0,MIN(Time!AP33,Inputs!$F$229*12)-MIN(MAX(Time!AP32,Inputs!$F$229*12),Inputs!$F$229*12))</f>
        <v/>
      </c>
      <c r="AQ8" s="9">
        <f>MAX(0,MIN(Time!AQ33,Inputs!$F$229*12)-MIN(MAX(Time!AQ32,Inputs!$F$229*12),Inputs!$F$229*12))</f>
        <v/>
      </c>
      <c r="AR8" s="9">
        <f>MAX(0,MIN(Time!AR33,Inputs!$F$229*12)-MIN(MAX(Time!AR32,Inputs!$F$229*12),Inputs!$F$229*12))</f>
        <v/>
      </c>
      <c r="AS8" s="9">
        <f>MAX(0,MIN(Time!AS33,Inputs!$F$229*12)-MIN(MAX(Time!AS32,Inputs!$F$229*12),Inputs!$F$229*12))</f>
        <v/>
      </c>
      <c r="AT8" s="9">
        <f>MAX(0,MIN(Time!AT33,Inputs!$F$229*12)-MIN(MAX(Time!AT32,Inputs!$F$229*12),Inputs!$F$229*12))</f>
        <v/>
      </c>
      <c r="AU8" s="9">
        <f>MAX(0,MIN(Time!AU33,Inputs!$F$229*12)-MIN(MAX(Time!AU32,Inputs!$F$229*12),Inputs!$F$229*12))</f>
        <v/>
      </c>
      <c r="AV8" s="9">
        <f>MAX(0,MIN(Time!AV33,Inputs!$F$229*12)-MIN(MAX(Time!AV32,Inputs!$F$229*12),Inputs!$F$229*12))</f>
        <v/>
      </c>
      <c r="AW8" s="9">
        <f>MAX(0,MIN(Time!AW33,Inputs!$F$229*12)-MIN(MAX(Time!AW32,Inputs!$F$229*12),Inputs!$F$229*12))</f>
        <v/>
      </c>
      <c r="AX8" s="9">
        <f>MAX(0,MIN(Time!AX33,Inputs!$F$229*12)-MIN(MAX(Time!AX32,Inputs!$F$229*12),Inputs!$F$229*12))</f>
        <v/>
      </c>
      <c r="AY8" s="9">
        <f>MAX(0,MIN(Time!AY33,Inputs!$F$229*12)-MIN(MAX(Time!AY32,Inputs!$F$229*12),Inputs!$F$229*12))</f>
        <v/>
      </c>
      <c r="AZ8" s="9">
        <f>MAX(0,MIN(Time!AZ33,Inputs!$F$229*12)-MIN(MAX(Time!AZ32,Inputs!$F$229*12),Inputs!$F$229*12))</f>
        <v/>
      </c>
      <c r="BA8" s="9">
        <f>MAX(0,MIN(Time!BA33,Inputs!$F$229*12)-MIN(MAX(Time!BA32,Inputs!$F$229*12),Inputs!$F$229*12))</f>
        <v/>
      </c>
      <c r="BB8" s="9">
        <f>MAX(0,MIN(Time!BB33,Inputs!$F$229*12)-MIN(MAX(Time!BB32,Inputs!$F$229*12),Inputs!$F$229*12))</f>
        <v/>
      </c>
      <c r="BC8" s="9">
        <f>MAX(0,MIN(Time!BC33,Inputs!$F$229*12)-MIN(MAX(Time!BC32,Inputs!$F$229*12),Inputs!$F$229*12))</f>
        <v/>
      </c>
      <c r="BD8" s="9">
        <f>MAX(0,MIN(Time!BD33,Inputs!$F$229*12)-MIN(MAX(Time!BD32,Inputs!$F$229*12),Inputs!$F$229*12))</f>
        <v/>
      </c>
      <c r="BE8" s="9">
        <f>MAX(0,MIN(Time!BE33,Inputs!$F$229*12)-MIN(MAX(Time!BE32,Inputs!$F$229*12),Inputs!$F$229*12))</f>
        <v/>
      </c>
      <c r="BF8" s="9">
        <f>MAX(0,MIN(Time!BF33,Inputs!$F$229*12)-MIN(MAX(Time!BF32,Inputs!$F$229*12),Inputs!$F$229*12))</f>
        <v/>
      </c>
      <c r="BG8" s="9">
        <f>MAX(0,MIN(Time!BG33,Inputs!$F$229*12)-MIN(MAX(Time!BG32,Inputs!$F$229*12),Inputs!$F$229*12))</f>
        <v/>
      </c>
      <c r="BH8" s="9">
        <f>MAX(0,MIN(Time!BH33,Inputs!$F$229*12)-MIN(MAX(Time!BH32,Inputs!$F$229*12),Inputs!$F$229*12))</f>
        <v/>
      </c>
      <c r="BI8" s="9">
        <f>MAX(0,MIN(Time!BI33,Inputs!$F$229*12)-MIN(MAX(Time!BI32,Inputs!$F$229*12),Inputs!$F$229*12))</f>
        <v/>
      </c>
      <c r="BJ8" s="9">
        <f>MAX(0,MIN(Time!BJ33,Inputs!$F$229*12)-MIN(MAX(Time!BJ32,Inputs!$F$229*12),Inputs!$F$229*12))</f>
        <v/>
      </c>
      <c r="BK8" s="9">
        <f>MAX(0,MIN(Time!BK33,Inputs!$F$229*12)-MIN(MAX(Time!BK32,Inputs!$F$229*12),Inputs!$F$229*12))</f>
        <v/>
      </c>
      <c r="BL8" s="9">
        <f>MAX(0,MIN(Time!BL33,Inputs!$F$229*12)-MIN(MAX(Time!BL32,Inputs!$F$229*12),Inputs!$F$229*12))</f>
        <v/>
      </c>
      <c r="BM8" s="9">
        <f>MAX(0,MIN(Time!BM33,Inputs!$F$229*12)-MIN(MAX(Time!BM32,Inputs!$F$229*12),Inputs!$F$229*12))</f>
        <v/>
      </c>
      <c r="BN8" s="9">
        <f>MAX(0,MIN(Time!BN33,Inputs!$F$229*12)-MIN(MAX(Time!BN32,Inputs!$F$229*12),Inputs!$F$229*12))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(Inputs!$F$177*Funding!$F$76/Inputs!$F$178+Inputs!$F$179*Funding!$F$76/Inputs!$F$180)*J7+Inputs!$F$181*Funding!$F$76/Inputs!$F$182*MAX(0,MIN(Time!J33,MIN(Inputs!$F$182,Inputs!$F$229*12))-MIN(Time!J32,MIN(Inputs!$F$182,Inputs!$F$229*12)))</f>
        <v/>
      </c>
      <c r="K11" s="13">
        <f>(Inputs!$F$177*Funding!$F$76/Inputs!$F$178+Inputs!$F$179*Funding!$F$76/Inputs!$F$180)*K7+Inputs!$F$181*Funding!$F$76/Inputs!$F$182*MAX(0,MIN(Time!K33,MIN(Inputs!$F$182,Inputs!$F$229*12))-MIN(Time!K32,MIN(Inputs!$F$182,Inputs!$F$229*12)))</f>
        <v/>
      </c>
      <c r="L11" s="13">
        <f>(Inputs!$F$177*Funding!$F$76/Inputs!$F$178+Inputs!$F$179*Funding!$F$76/Inputs!$F$180)*L7+Inputs!$F$181*Funding!$F$76/Inputs!$F$182*MAX(0,MIN(Time!L33,MIN(Inputs!$F$182,Inputs!$F$229*12))-MIN(Time!L32,MIN(Inputs!$F$182,Inputs!$F$229*12)))</f>
        <v/>
      </c>
      <c r="M11" s="13">
        <f>(Inputs!$F$177*Funding!$F$76/Inputs!$F$178+Inputs!$F$179*Funding!$F$76/Inputs!$F$180)*M7+Inputs!$F$181*Funding!$F$76/Inputs!$F$182*MAX(0,MIN(Time!M33,MIN(Inputs!$F$182,Inputs!$F$229*12))-MIN(Time!M32,MIN(Inputs!$F$182,Inputs!$F$229*12)))</f>
        <v/>
      </c>
      <c r="N11" s="13">
        <f>(Inputs!$F$177*Funding!$F$76/Inputs!$F$178+Inputs!$F$179*Funding!$F$76/Inputs!$F$180)*N7+Inputs!$F$181*Funding!$F$76/Inputs!$F$182*MAX(0,MIN(Time!N33,MIN(Inputs!$F$182,Inputs!$F$229*12))-MIN(Time!N32,MIN(Inputs!$F$182,Inputs!$F$229*12)))</f>
        <v/>
      </c>
      <c r="O11" s="13">
        <f>(Inputs!$F$177*Funding!$F$76/Inputs!$F$178+Inputs!$F$179*Funding!$F$76/Inputs!$F$180)*O7+Inputs!$F$181*Funding!$F$76/Inputs!$F$182*MAX(0,MIN(Time!O33,MIN(Inputs!$F$182,Inputs!$F$229*12))-MIN(Time!O32,MIN(Inputs!$F$182,Inputs!$F$229*12)))</f>
        <v/>
      </c>
      <c r="P11" s="13">
        <f>(Inputs!$F$177*Funding!$F$76/Inputs!$F$178+Inputs!$F$179*Funding!$F$76/Inputs!$F$180)*P7+Inputs!$F$181*Funding!$F$76/Inputs!$F$182*MAX(0,MIN(Time!P33,MIN(Inputs!$F$182,Inputs!$F$229*12))-MIN(Time!P32,MIN(Inputs!$F$182,Inputs!$F$229*12)))</f>
        <v/>
      </c>
      <c r="Q11" s="13">
        <f>(Inputs!$F$177*Funding!$F$76/Inputs!$F$178+Inputs!$F$179*Funding!$F$76/Inputs!$F$180)*Q7+Inputs!$F$181*Funding!$F$76/Inputs!$F$182*MAX(0,MIN(Time!Q33,MIN(Inputs!$F$182,Inputs!$F$229*12))-MIN(Time!Q32,MIN(Inputs!$F$182,Inputs!$F$229*12)))</f>
        <v/>
      </c>
      <c r="R11" s="13">
        <f>(Inputs!$F$177*Funding!$F$76/Inputs!$F$178+Inputs!$F$179*Funding!$F$76/Inputs!$F$180)*R7+Inputs!$F$181*Funding!$F$76/Inputs!$F$182*MAX(0,MIN(Time!R33,MIN(Inputs!$F$182,Inputs!$F$229*12))-MIN(Time!R32,MIN(Inputs!$F$182,Inputs!$F$229*12)))</f>
        <v/>
      </c>
      <c r="S11" s="13">
        <f>(Inputs!$F$177*Funding!$F$76/Inputs!$F$178+Inputs!$F$179*Funding!$F$76/Inputs!$F$180)*S7+Inputs!$F$181*Funding!$F$76/Inputs!$F$182*MAX(0,MIN(Time!S33,MIN(Inputs!$F$182,Inputs!$F$229*12))-MIN(Time!S32,MIN(Inputs!$F$182,Inputs!$F$229*12)))</f>
        <v/>
      </c>
      <c r="T11" s="13">
        <f>(Inputs!$F$177*Funding!$F$76/Inputs!$F$178+Inputs!$F$179*Funding!$F$76/Inputs!$F$180)*T7+Inputs!$F$181*Funding!$F$76/Inputs!$F$182*MAX(0,MIN(Time!T33,MIN(Inputs!$F$182,Inputs!$F$229*12))-MIN(Time!T32,MIN(Inputs!$F$182,Inputs!$F$229*12)))</f>
        <v/>
      </c>
      <c r="U11" s="13">
        <f>(Inputs!$F$177*Funding!$F$76/Inputs!$F$178+Inputs!$F$179*Funding!$F$76/Inputs!$F$180)*U7+Inputs!$F$181*Funding!$F$76/Inputs!$F$182*MAX(0,MIN(Time!U33,MIN(Inputs!$F$182,Inputs!$F$229*12))-MIN(Time!U32,MIN(Inputs!$F$182,Inputs!$F$229*12)))</f>
        <v/>
      </c>
      <c r="V11" s="13">
        <f>(Inputs!$F$177*Funding!$F$76/Inputs!$F$178+Inputs!$F$179*Funding!$F$76/Inputs!$F$180)*V7+Inputs!$F$181*Funding!$F$76/Inputs!$F$182*MAX(0,MIN(Time!V33,MIN(Inputs!$F$182,Inputs!$F$229*12))-MIN(Time!V32,MIN(Inputs!$F$182,Inputs!$F$229*12)))</f>
        <v/>
      </c>
      <c r="W11" s="13">
        <f>(Inputs!$F$177*Funding!$F$76/Inputs!$F$178+Inputs!$F$179*Funding!$F$76/Inputs!$F$180)*W7+Inputs!$F$181*Funding!$F$76/Inputs!$F$182*MAX(0,MIN(Time!W33,MIN(Inputs!$F$182,Inputs!$F$229*12))-MIN(Time!W32,MIN(Inputs!$F$182,Inputs!$F$229*12)))</f>
        <v/>
      </c>
      <c r="X11" s="13">
        <f>(Inputs!$F$177*Funding!$F$76/Inputs!$F$178+Inputs!$F$179*Funding!$F$76/Inputs!$F$180)*X7+Inputs!$F$181*Funding!$F$76/Inputs!$F$182*MAX(0,MIN(Time!X33,MIN(Inputs!$F$182,Inputs!$F$229*12))-MIN(Time!X32,MIN(Inputs!$F$182,Inputs!$F$229*12)))</f>
        <v/>
      </c>
      <c r="Y11" s="13">
        <f>(Inputs!$F$177*Funding!$F$76/Inputs!$F$178+Inputs!$F$179*Funding!$F$76/Inputs!$F$180)*Y7+Inputs!$F$181*Funding!$F$76/Inputs!$F$182*MAX(0,MIN(Time!Y33,MIN(Inputs!$F$182,Inputs!$F$229*12))-MIN(Time!Y32,MIN(Inputs!$F$182,Inputs!$F$229*12)))</f>
        <v/>
      </c>
      <c r="Z11" s="13">
        <f>(Inputs!$F$177*Funding!$F$76/Inputs!$F$178+Inputs!$F$179*Funding!$F$76/Inputs!$F$180)*Z7+Inputs!$F$181*Funding!$F$76/Inputs!$F$182*MAX(0,MIN(Time!Z33,MIN(Inputs!$F$182,Inputs!$F$229*12))-MIN(Time!Z32,MIN(Inputs!$F$182,Inputs!$F$229*12)))</f>
        <v/>
      </c>
      <c r="AA11" s="13">
        <f>(Inputs!$F$177*Funding!$F$76/Inputs!$F$178+Inputs!$F$179*Funding!$F$76/Inputs!$F$180)*AA7+Inputs!$F$181*Funding!$F$76/Inputs!$F$182*MAX(0,MIN(Time!AA33,MIN(Inputs!$F$182,Inputs!$F$229*12))-MIN(Time!AA32,MIN(Inputs!$F$182,Inputs!$F$229*12)))</f>
        <v/>
      </c>
      <c r="AB11" s="13">
        <f>(Inputs!$F$177*Funding!$F$76/Inputs!$F$178+Inputs!$F$179*Funding!$F$76/Inputs!$F$180)*AB7+Inputs!$F$181*Funding!$F$76/Inputs!$F$182*MAX(0,MIN(Time!AB33,MIN(Inputs!$F$182,Inputs!$F$229*12))-MIN(Time!AB32,MIN(Inputs!$F$182,Inputs!$F$229*12)))</f>
        <v/>
      </c>
      <c r="AC11" s="13">
        <f>(Inputs!$F$177*Funding!$F$76/Inputs!$F$178+Inputs!$F$179*Funding!$F$76/Inputs!$F$180)*AC7+Inputs!$F$181*Funding!$F$76/Inputs!$F$182*MAX(0,MIN(Time!AC33,MIN(Inputs!$F$182,Inputs!$F$229*12))-MIN(Time!AC32,MIN(Inputs!$F$182,Inputs!$F$229*12)))</f>
        <v/>
      </c>
      <c r="AD11" s="13">
        <f>(Inputs!$F$177*Funding!$F$76/Inputs!$F$178+Inputs!$F$179*Funding!$F$76/Inputs!$F$180)*AD7+Inputs!$F$181*Funding!$F$76/Inputs!$F$182*MAX(0,MIN(Time!AD33,MIN(Inputs!$F$182,Inputs!$F$229*12))-MIN(Time!AD32,MIN(Inputs!$F$182,Inputs!$F$229*12)))</f>
        <v/>
      </c>
      <c r="AE11" s="13">
        <f>(Inputs!$F$177*Funding!$F$76/Inputs!$F$178+Inputs!$F$179*Funding!$F$76/Inputs!$F$180)*AE7+Inputs!$F$181*Funding!$F$76/Inputs!$F$182*MAX(0,MIN(Time!AE33,MIN(Inputs!$F$182,Inputs!$F$229*12))-MIN(Time!AE32,MIN(Inputs!$F$182,Inputs!$F$229*12)))</f>
        <v/>
      </c>
      <c r="AF11" s="13">
        <f>(Inputs!$F$177*Funding!$F$76/Inputs!$F$178+Inputs!$F$179*Funding!$F$76/Inputs!$F$180)*AF7+Inputs!$F$181*Funding!$F$76/Inputs!$F$182*MAX(0,MIN(Time!AF33,MIN(Inputs!$F$182,Inputs!$F$229*12))-MIN(Time!AF32,MIN(Inputs!$F$182,Inputs!$F$229*12)))</f>
        <v/>
      </c>
      <c r="AG11" s="13">
        <f>(Inputs!$F$177*Funding!$F$76/Inputs!$F$178+Inputs!$F$179*Funding!$F$76/Inputs!$F$180)*AG7+Inputs!$F$181*Funding!$F$76/Inputs!$F$182*MAX(0,MIN(Time!AG33,MIN(Inputs!$F$182,Inputs!$F$229*12))-MIN(Time!AG32,MIN(Inputs!$F$182,Inputs!$F$229*12)))</f>
        <v/>
      </c>
      <c r="AH11" s="13">
        <f>(Inputs!$F$177*Funding!$F$76/Inputs!$F$178+Inputs!$F$179*Funding!$F$76/Inputs!$F$180)*AH7+Inputs!$F$181*Funding!$F$76/Inputs!$F$182*MAX(0,MIN(Time!AH33,MIN(Inputs!$F$182,Inputs!$F$229*12))-MIN(Time!AH32,MIN(Inputs!$F$182,Inputs!$F$229*12)))</f>
        <v/>
      </c>
      <c r="AI11" s="13">
        <f>(Inputs!$F$177*Funding!$F$76/Inputs!$F$178+Inputs!$F$179*Funding!$F$76/Inputs!$F$180)*AI7+Inputs!$F$181*Funding!$F$76/Inputs!$F$182*MAX(0,MIN(Time!AI33,MIN(Inputs!$F$182,Inputs!$F$229*12))-MIN(Time!AI32,MIN(Inputs!$F$182,Inputs!$F$229*12)))</f>
        <v/>
      </c>
      <c r="AJ11" s="13">
        <f>(Inputs!$F$177*Funding!$F$76/Inputs!$F$178+Inputs!$F$179*Funding!$F$76/Inputs!$F$180)*AJ7+Inputs!$F$181*Funding!$F$76/Inputs!$F$182*MAX(0,MIN(Time!AJ33,MIN(Inputs!$F$182,Inputs!$F$229*12))-MIN(Time!AJ32,MIN(Inputs!$F$182,Inputs!$F$229*12)))</f>
        <v/>
      </c>
      <c r="AK11" s="13">
        <f>(Inputs!$F$177*Funding!$F$76/Inputs!$F$178+Inputs!$F$179*Funding!$F$76/Inputs!$F$180)*AK7+Inputs!$F$181*Funding!$F$76/Inputs!$F$182*MAX(0,MIN(Time!AK33,MIN(Inputs!$F$182,Inputs!$F$229*12))-MIN(Time!AK32,MIN(Inputs!$F$182,Inputs!$F$229*12)))</f>
        <v/>
      </c>
      <c r="AL11" s="13">
        <f>(Inputs!$F$177*Funding!$F$76/Inputs!$F$178+Inputs!$F$179*Funding!$F$76/Inputs!$F$180)*AL7+Inputs!$F$181*Funding!$F$76/Inputs!$F$182*MAX(0,MIN(Time!AL33,MIN(Inputs!$F$182,Inputs!$F$229*12))-MIN(Time!AL32,MIN(Inputs!$F$182,Inputs!$F$229*12)))</f>
        <v/>
      </c>
      <c r="AM11" s="13">
        <f>(Inputs!$F$177*Funding!$F$76/Inputs!$F$178+Inputs!$F$179*Funding!$F$76/Inputs!$F$180)*AM7+Inputs!$F$181*Funding!$F$76/Inputs!$F$182*MAX(0,MIN(Time!AM33,MIN(Inputs!$F$182,Inputs!$F$229*12))-MIN(Time!AM32,MIN(Inputs!$F$182,Inputs!$F$229*12)))</f>
        <v/>
      </c>
      <c r="AN11" s="13">
        <f>(Inputs!$F$177*Funding!$F$76/Inputs!$F$178+Inputs!$F$179*Funding!$F$76/Inputs!$F$180)*AN7+Inputs!$F$181*Funding!$F$76/Inputs!$F$182*MAX(0,MIN(Time!AN33,MIN(Inputs!$F$182,Inputs!$F$229*12))-MIN(Time!AN32,MIN(Inputs!$F$182,Inputs!$F$229*12)))</f>
        <v/>
      </c>
      <c r="AO11" s="13">
        <f>(Inputs!$F$177*Funding!$F$76/Inputs!$F$178+Inputs!$F$179*Funding!$F$76/Inputs!$F$180)*AO7+Inputs!$F$181*Funding!$F$76/Inputs!$F$182*MAX(0,MIN(Time!AO33,MIN(Inputs!$F$182,Inputs!$F$229*12))-MIN(Time!AO32,MIN(Inputs!$F$182,Inputs!$F$229*12)))</f>
        <v/>
      </c>
      <c r="AP11" s="13">
        <f>(Inputs!$F$177*Funding!$F$76/Inputs!$F$178+Inputs!$F$179*Funding!$F$76/Inputs!$F$180)*AP7+Inputs!$F$181*Funding!$F$76/Inputs!$F$182*MAX(0,MIN(Time!AP33,MIN(Inputs!$F$182,Inputs!$F$229*12))-MIN(Time!AP32,MIN(Inputs!$F$182,Inputs!$F$229*12)))</f>
        <v/>
      </c>
      <c r="AQ11" s="13">
        <f>(Inputs!$F$177*Funding!$F$76/Inputs!$F$178+Inputs!$F$179*Funding!$F$76/Inputs!$F$180)*AQ7+Inputs!$F$181*Funding!$F$76/Inputs!$F$182*MAX(0,MIN(Time!AQ33,MIN(Inputs!$F$182,Inputs!$F$229*12))-MIN(Time!AQ32,MIN(Inputs!$F$182,Inputs!$F$229*12)))</f>
        <v/>
      </c>
      <c r="AR11" s="13">
        <f>(Inputs!$F$177*Funding!$F$76/Inputs!$F$178+Inputs!$F$179*Funding!$F$76/Inputs!$F$180)*AR7+Inputs!$F$181*Funding!$F$76/Inputs!$F$182*MAX(0,MIN(Time!AR33,MIN(Inputs!$F$182,Inputs!$F$229*12))-MIN(Time!AR32,MIN(Inputs!$F$182,Inputs!$F$229*12)))</f>
        <v/>
      </c>
      <c r="AS11" s="13">
        <f>(Inputs!$F$177*Funding!$F$76/Inputs!$F$178+Inputs!$F$179*Funding!$F$76/Inputs!$F$180)*AS7+Inputs!$F$181*Funding!$F$76/Inputs!$F$182*MAX(0,MIN(Time!AS33,MIN(Inputs!$F$182,Inputs!$F$229*12))-MIN(Time!AS32,MIN(Inputs!$F$182,Inputs!$F$229*12)))</f>
        <v/>
      </c>
      <c r="AT11" s="13">
        <f>(Inputs!$F$177*Funding!$F$76/Inputs!$F$178+Inputs!$F$179*Funding!$F$76/Inputs!$F$180)*AT7+Inputs!$F$181*Funding!$F$76/Inputs!$F$182*MAX(0,MIN(Time!AT33,MIN(Inputs!$F$182,Inputs!$F$229*12))-MIN(Time!AT32,MIN(Inputs!$F$182,Inputs!$F$229*12)))</f>
        <v/>
      </c>
      <c r="AU11" s="13">
        <f>(Inputs!$F$177*Funding!$F$76/Inputs!$F$178+Inputs!$F$179*Funding!$F$76/Inputs!$F$180)*AU7+Inputs!$F$181*Funding!$F$76/Inputs!$F$182*MAX(0,MIN(Time!AU33,MIN(Inputs!$F$182,Inputs!$F$229*12))-MIN(Time!AU32,MIN(Inputs!$F$182,Inputs!$F$229*12)))</f>
        <v/>
      </c>
      <c r="AV11" s="13">
        <f>(Inputs!$F$177*Funding!$F$76/Inputs!$F$178+Inputs!$F$179*Funding!$F$76/Inputs!$F$180)*AV7+Inputs!$F$181*Funding!$F$76/Inputs!$F$182*MAX(0,MIN(Time!AV33,MIN(Inputs!$F$182,Inputs!$F$229*12))-MIN(Time!AV32,MIN(Inputs!$F$182,Inputs!$F$229*12)))</f>
        <v/>
      </c>
      <c r="AW11" s="13">
        <f>(Inputs!$F$177*Funding!$F$76/Inputs!$F$178+Inputs!$F$179*Funding!$F$76/Inputs!$F$180)*AW7+Inputs!$F$181*Funding!$F$76/Inputs!$F$182*MAX(0,MIN(Time!AW33,MIN(Inputs!$F$182,Inputs!$F$229*12))-MIN(Time!AW32,MIN(Inputs!$F$182,Inputs!$F$229*12)))</f>
        <v/>
      </c>
      <c r="AX11" s="13">
        <f>(Inputs!$F$177*Funding!$F$76/Inputs!$F$178+Inputs!$F$179*Funding!$F$76/Inputs!$F$180)*AX7+Inputs!$F$181*Funding!$F$76/Inputs!$F$182*MAX(0,MIN(Time!AX33,MIN(Inputs!$F$182,Inputs!$F$229*12))-MIN(Time!AX32,MIN(Inputs!$F$182,Inputs!$F$229*12)))</f>
        <v/>
      </c>
      <c r="AY11" s="13">
        <f>(Inputs!$F$177*Funding!$F$76/Inputs!$F$178+Inputs!$F$179*Funding!$F$76/Inputs!$F$180)*AY7+Inputs!$F$181*Funding!$F$76/Inputs!$F$182*MAX(0,MIN(Time!AY33,MIN(Inputs!$F$182,Inputs!$F$229*12))-MIN(Time!AY32,MIN(Inputs!$F$182,Inputs!$F$229*12)))</f>
        <v/>
      </c>
      <c r="AZ11" s="13">
        <f>(Inputs!$F$177*Funding!$F$76/Inputs!$F$178+Inputs!$F$179*Funding!$F$76/Inputs!$F$180)*AZ7+Inputs!$F$181*Funding!$F$76/Inputs!$F$182*MAX(0,MIN(Time!AZ33,MIN(Inputs!$F$182,Inputs!$F$229*12))-MIN(Time!AZ32,MIN(Inputs!$F$182,Inputs!$F$229*12)))</f>
        <v/>
      </c>
      <c r="BA11" s="13">
        <f>(Inputs!$F$177*Funding!$F$76/Inputs!$F$178+Inputs!$F$179*Funding!$F$76/Inputs!$F$180)*BA7+Inputs!$F$181*Funding!$F$76/Inputs!$F$182*MAX(0,MIN(Time!BA33,MIN(Inputs!$F$182,Inputs!$F$229*12))-MIN(Time!BA32,MIN(Inputs!$F$182,Inputs!$F$229*12)))</f>
        <v/>
      </c>
      <c r="BB11" s="13">
        <f>(Inputs!$F$177*Funding!$F$76/Inputs!$F$178+Inputs!$F$179*Funding!$F$76/Inputs!$F$180)*BB7+Inputs!$F$181*Funding!$F$76/Inputs!$F$182*MAX(0,MIN(Time!BB33,MIN(Inputs!$F$182,Inputs!$F$229*12))-MIN(Time!BB32,MIN(Inputs!$F$182,Inputs!$F$229*12)))</f>
        <v/>
      </c>
      <c r="BC11" s="13">
        <f>(Inputs!$F$177*Funding!$F$76/Inputs!$F$178+Inputs!$F$179*Funding!$F$76/Inputs!$F$180)*BC7+Inputs!$F$181*Funding!$F$76/Inputs!$F$182*MAX(0,MIN(Time!BC33,MIN(Inputs!$F$182,Inputs!$F$229*12))-MIN(Time!BC32,MIN(Inputs!$F$182,Inputs!$F$229*12)))</f>
        <v/>
      </c>
      <c r="BD11" s="13">
        <f>(Inputs!$F$177*Funding!$F$76/Inputs!$F$178+Inputs!$F$179*Funding!$F$76/Inputs!$F$180)*BD7+Inputs!$F$181*Funding!$F$76/Inputs!$F$182*MAX(0,MIN(Time!BD33,MIN(Inputs!$F$182,Inputs!$F$229*12))-MIN(Time!BD32,MIN(Inputs!$F$182,Inputs!$F$229*12)))</f>
        <v/>
      </c>
      <c r="BE11" s="13">
        <f>(Inputs!$F$177*Funding!$F$76/Inputs!$F$178+Inputs!$F$179*Funding!$F$76/Inputs!$F$180)*BE7+Inputs!$F$181*Funding!$F$76/Inputs!$F$182*MAX(0,MIN(Time!BE33,MIN(Inputs!$F$182,Inputs!$F$229*12))-MIN(Time!BE32,MIN(Inputs!$F$182,Inputs!$F$229*12)))</f>
        <v/>
      </c>
      <c r="BF11" s="13">
        <f>(Inputs!$F$177*Funding!$F$76/Inputs!$F$178+Inputs!$F$179*Funding!$F$76/Inputs!$F$180)*BF7+Inputs!$F$181*Funding!$F$76/Inputs!$F$182*MAX(0,MIN(Time!BF33,MIN(Inputs!$F$182,Inputs!$F$229*12))-MIN(Time!BF32,MIN(Inputs!$F$182,Inputs!$F$229*12)))</f>
        <v/>
      </c>
      <c r="BG11" s="13">
        <f>(Inputs!$F$177*Funding!$F$76/Inputs!$F$178+Inputs!$F$179*Funding!$F$76/Inputs!$F$180)*BG7+Inputs!$F$181*Funding!$F$76/Inputs!$F$182*MAX(0,MIN(Time!BG33,MIN(Inputs!$F$182,Inputs!$F$229*12))-MIN(Time!BG32,MIN(Inputs!$F$182,Inputs!$F$229*12)))</f>
        <v/>
      </c>
      <c r="BH11" s="13">
        <f>(Inputs!$F$177*Funding!$F$76/Inputs!$F$178+Inputs!$F$179*Funding!$F$76/Inputs!$F$180)*BH7+Inputs!$F$181*Funding!$F$76/Inputs!$F$182*MAX(0,MIN(Time!BH33,MIN(Inputs!$F$182,Inputs!$F$229*12))-MIN(Time!BH32,MIN(Inputs!$F$182,Inputs!$F$229*12)))</f>
        <v/>
      </c>
      <c r="BI11" s="13">
        <f>(Inputs!$F$177*Funding!$F$76/Inputs!$F$178+Inputs!$F$179*Funding!$F$76/Inputs!$F$180)*BI7+Inputs!$F$181*Funding!$F$76/Inputs!$F$182*MAX(0,MIN(Time!BI33,MIN(Inputs!$F$182,Inputs!$F$229*12))-MIN(Time!BI32,MIN(Inputs!$F$182,Inputs!$F$229*12)))</f>
        <v/>
      </c>
      <c r="BJ11" s="13">
        <f>(Inputs!$F$177*Funding!$F$76/Inputs!$F$178+Inputs!$F$179*Funding!$F$76/Inputs!$F$180)*BJ7+Inputs!$F$181*Funding!$F$76/Inputs!$F$182*MAX(0,MIN(Time!BJ33,MIN(Inputs!$F$182,Inputs!$F$229*12))-MIN(Time!BJ32,MIN(Inputs!$F$182,Inputs!$F$229*12)))</f>
        <v/>
      </c>
      <c r="BK11" s="13">
        <f>(Inputs!$F$177*Funding!$F$76/Inputs!$F$178+Inputs!$F$179*Funding!$F$76/Inputs!$F$180)*BK7+Inputs!$F$181*Funding!$F$76/Inputs!$F$182*MAX(0,MIN(Time!BK33,MIN(Inputs!$F$182,Inputs!$F$229*12))-MIN(Time!BK32,MIN(Inputs!$F$182,Inputs!$F$229*12)))</f>
        <v/>
      </c>
      <c r="BL11" s="13">
        <f>(Inputs!$F$177*Funding!$F$76/Inputs!$F$178+Inputs!$F$179*Funding!$F$76/Inputs!$F$180)*BL7+Inputs!$F$181*Funding!$F$76/Inputs!$F$182*MAX(0,MIN(Time!BL33,MIN(Inputs!$F$182,Inputs!$F$229*12))-MIN(Time!BL32,MIN(Inputs!$F$182,Inputs!$F$229*12)))</f>
        <v/>
      </c>
      <c r="BM11" s="13">
        <f>(Inputs!$F$177*Funding!$F$76/Inputs!$F$178+Inputs!$F$179*Funding!$F$76/Inputs!$F$180)*BM7+Inputs!$F$181*Funding!$F$76/Inputs!$F$182*MAX(0,MIN(Time!BM33,MIN(Inputs!$F$182,Inputs!$F$229*12))-MIN(Time!BM32,MIN(Inputs!$F$182,Inputs!$F$229*12)))</f>
        <v/>
      </c>
      <c r="BN11" s="13">
        <f>(Inputs!$F$177*Funding!$F$76/Inputs!$F$178+Inputs!$F$179*Funding!$F$76/Inputs!$F$180)*BN7+Inputs!$F$181*Funding!$F$76/Inputs!$F$182*MAX(0,MIN(Time!BN33,MIN(Inputs!$F$182,Inputs!$F$229*12))-MIN(Time!BN32,MIN(Inputs!$F$182,Inputs!$F$229*12)))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I21+0-J20</f>
        <v/>
      </c>
      <c r="K21" s="13">
        <f>J21+0-K20</f>
        <v/>
      </c>
      <c r="L21" s="13">
        <f>K21+0-L20</f>
        <v/>
      </c>
      <c r="M21" s="13">
        <f>L21+0-M20</f>
        <v/>
      </c>
      <c r="N21" s="13">
        <f>M21+0-N20</f>
        <v/>
      </c>
      <c r="O21" s="13">
        <f>N21+0-O20</f>
        <v/>
      </c>
      <c r="P21" s="13">
        <f>O21+0-P20</f>
        <v/>
      </c>
      <c r="Q21" s="13">
        <f>P21+0-Q20</f>
        <v/>
      </c>
      <c r="R21" s="13">
        <f>Q21+0-R20</f>
        <v/>
      </c>
      <c r="S21" s="13">
        <f>R21+0-S20</f>
        <v/>
      </c>
      <c r="T21" s="13">
        <f>S21+0-T20</f>
        <v/>
      </c>
      <c r="U21" s="13">
        <f>T21+0-U20</f>
        <v/>
      </c>
      <c r="V21" s="13">
        <f>U21+0-V20</f>
        <v/>
      </c>
      <c r="W21" s="13">
        <f>V21+0-W20</f>
        <v/>
      </c>
      <c r="X21" s="13">
        <f>W21+0-X20</f>
        <v/>
      </c>
      <c r="Y21" s="13">
        <f>X21+0-Y20</f>
        <v/>
      </c>
      <c r="Z21" s="13">
        <f>Y21+0-Z20</f>
        <v/>
      </c>
      <c r="AA21" s="13">
        <f>Z21+0-AA20</f>
        <v/>
      </c>
      <c r="AB21" s="13">
        <f>AA21+0-AB20</f>
        <v/>
      </c>
      <c r="AC21" s="13">
        <f>AB21+0-AC20</f>
        <v/>
      </c>
      <c r="AD21" s="13">
        <f>AC21+0-AD20</f>
        <v/>
      </c>
      <c r="AE21" s="13">
        <f>AD21+0-AE20</f>
        <v/>
      </c>
      <c r="AF21" s="13">
        <f>AE21+0-AF20</f>
        <v/>
      </c>
      <c r="AG21" s="13">
        <f>AF21+0-AG20</f>
        <v/>
      </c>
      <c r="AH21" s="13">
        <f>AG21+0-AH20</f>
        <v/>
      </c>
      <c r="AI21" s="13">
        <f>AH21+0-AI20</f>
        <v/>
      </c>
      <c r="AJ21" s="13">
        <f>AI21+0-AJ20</f>
        <v/>
      </c>
      <c r="AK21" s="13">
        <f>AJ21+0-AK20</f>
        <v/>
      </c>
      <c r="AL21" s="13">
        <f>AK21+0-AL20</f>
        <v/>
      </c>
      <c r="AM21" s="13">
        <f>AL21+0-AM20</f>
        <v/>
      </c>
      <c r="AN21" s="13">
        <f>AM21+0-AN20</f>
        <v/>
      </c>
      <c r="AO21" s="13">
        <f>AN21+0-AO20</f>
        <v/>
      </c>
      <c r="AP21" s="13">
        <f>AO21+0-AP20</f>
        <v/>
      </c>
      <c r="AQ21" s="13">
        <f>AP21+0-AQ20</f>
        <v/>
      </c>
      <c r="AR21" s="13">
        <f>AQ21+0-AR20</f>
        <v/>
      </c>
      <c r="AS21" s="13">
        <f>AR21+0-AS20</f>
        <v/>
      </c>
      <c r="AT21" s="13">
        <f>AS21+0-AT20</f>
        <v/>
      </c>
      <c r="AU21" s="13">
        <f>AT21+0-AU20</f>
        <v/>
      </c>
      <c r="AV21" s="13">
        <f>AU21+0-AV20</f>
        <v/>
      </c>
      <c r="AW21" s="13">
        <f>AV21+0-AW20</f>
        <v/>
      </c>
      <c r="AX21" s="13">
        <f>AW21+0-AX20</f>
        <v/>
      </c>
      <c r="AY21" s="13">
        <f>AX21+0-AY20</f>
        <v/>
      </c>
      <c r="AZ21" s="13">
        <f>AY21+0-AZ20</f>
        <v/>
      </c>
      <c r="BA21" s="13">
        <f>AZ21+0-BA20</f>
        <v/>
      </c>
      <c r="BB21" s="13">
        <f>BA21+0-BB20</f>
        <v/>
      </c>
      <c r="BC21" s="13">
        <f>BB21+0-BC20</f>
        <v/>
      </c>
      <c r="BD21" s="13">
        <f>BC21+0-BD20</f>
        <v/>
      </c>
      <c r="BE21" s="13">
        <f>BD21+0-BE20</f>
        <v/>
      </c>
      <c r="BF21" s="13">
        <f>BE21+0-BF20</f>
        <v/>
      </c>
      <c r="BG21" s="13">
        <f>BF21+0-BG20</f>
        <v/>
      </c>
      <c r="BH21" s="13">
        <f>BG21+0-BH20</f>
        <v/>
      </c>
      <c r="BI21" s="13">
        <f>BH21+0-BI20</f>
        <v/>
      </c>
      <c r="BJ21" s="13">
        <f>BI21+0-BJ20</f>
        <v/>
      </c>
      <c r="BK21" s="13">
        <f>BJ21+0-BK20</f>
        <v/>
      </c>
      <c r="BL21" s="13">
        <f>BK21+0-BL20</f>
        <v/>
      </c>
      <c r="BM21" s="13">
        <f>BL21+0-BM20</f>
        <v/>
      </c>
      <c r="BN21" s="13">
        <f>BM21+0-BN20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$F$11+(INDEX(Operations!$J$9:$BN$9,1,Time!$F$13)+Inputs!$F$79)/100*0.5*1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$F$11+(INDEX(Operations!$J$9:$BN$9,1,Time!$F$13)+Inputs!$F$80)/100*0.5*1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$F$11+(INDEX(Operations!$J$9:$BN$9,1,Time!$F$13)+Inputs!$F$81)/100*0.5*1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$F$11+(INDEX(Operations!$J$9:$BN$9,1,Time!$F$13)+INDEX(Debt!$J$8:$BN$8,1,Time!$F$13))/100*0.5*(1/(1-Inputs!$F$93/100))+(Inputs!$F$95/100*Inputs!$F$96/100)*INDEX(Time!$J$25:$BN$25,1,Time!$F$13)/Inputs!$F$248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-1*INDEX(Inputs!$J$301:$BN$301,1,Time!$F$13)*(Inputs!$F$97/100*INDEX(Time!$J$24:$BN$24,1,Time!$F$13)-INDEX(Operations!$J$9:$BN$9,1,Time!$F$13)/100*INDEX(Time!$J$25:$BN$25,1,Time!$F$13)/Inputs!$F$247)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(1/12)*1+Inputs!$F$76*(Construction!J17+Inputs!$F$80)/100*(1/12)*1+Inputs!$F$77*(Construction!J17+Inputs!$F$81)/100*(1/12)*1+Inputs!$F$78*(Construction!J17+Inputs!$F$82)/100*(1/12)*(1/(1-Inputs!$F$93/100))+Inputs!$F$78*(Inputs!$F$95/100*Inputs!$F$96/100)*Construction!J11/Inputs!$F$248</f>
        <v/>
      </c>
      <c r="K19" s="16">
        <f>Inputs!$F$75*(Construction!K17+Inputs!$F$79)/100*(1/12)*1+Inputs!$F$76*(Construction!K17+Inputs!$F$80)/100*(1/12)*1+Inputs!$F$77*(Construction!K17+Inputs!$F$81)/100*(1/12)*1+Inputs!$F$78*(Construction!K17+Inputs!$F$82)/100*(1/12)*(1/(1-Inputs!$F$93/100))+Inputs!$F$78*(Inputs!$F$95/100*Inputs!$F$96/100)*Construction!K11/Inputs!$F$248</f>
        <v/>
      </c>
      <c r="L19" s="16">
        <f>Inputs!$F$75*(Construction!L17+Inputs!$F$79)/100*(1/12)*1+Inputs!$F$76*(Construction!L17+Inputs!$F$80)/100*(1/12)*1+Inputs!$F$77*(Construction!L17+Inputs!$F$81)/100*(1/12)*1+Inputs!$F$78*(Construction!L17+Inputs!$F$82)/100*(1/12)*(1/(1-Inputs!$F$93/100))+Inputs!$F$78*(Inputs!$F$95/100*Inputs!$F$96/100)*Construction!L11/Inputs!$F$248</f>
        <v/>
      </c>
      <c r="M19" s="16">
        <f>Inputs!$F$75*(Construction!M17+Inputs!$F$79)/100*(1/12)*1+Inputs!$F$76*(Construction!M17+Inputs!$F$80)/100*(1/12)*1+Inputs!$F$77*(Construction!M17+Inputs!$F$81)/100*(1/12)*1+Inputs!$F$78*(Construction!M17+Inputs!$F$82)/100*(1/12)*(1/(1-Inputs!$F$93/100))+Inputs!$F$78*(Inputs!$F$95/100*Inputs!$F$96/100)*Construction!M11/Inputs!$F$248</f>
        <v/>
      </c>
      <c r="N19" s="16">
        <f>Inputs!$F$75*(Construction!N17+Inputs!$F$79)/100*(1/12)*1+Inputs!$F$76*(Construction!N17+Inputs!$F$80)/100*(1/12)*1+Inputs!$F$77*(Construction!N17+Inputs!$F$81)/100*(1/12)*1+Inputs!$F$78*(Construction!N17+Inputs!$F$82)/100*(1/12)*(1/(1-Inputs!$F$93/100))+Inputs!$F$78*(Inputs!$F$95/100*Inputs!$F$96/100)*Construction!N11/Inputs!$F$248</f>
        <v/>
      </c>
      <c r="O19" s="16">
        <f>Inputs!$F$75*(Construction!O17+Inputs!$F$79)/100*(1/12)*1+Inputs!$F$76*(Construction!O17+Inputs!$F$80)/100*(1/12)*1+Inputs!$F$77*(Construction!O17+Inputs!$F$81)/100*(1/12)*1+Inputs!$F$78*(Construction!O17+Inputs!$F$82)/100*(1/12)*(1/(1-Inputs!$F$93/100))+Inputs!$F$78*(Inputs!$F$95/100*Inputs!$F$96/100)*Construction!O11/Inputs!$F$248</f>
        <v/>
      </c>
      <c r="P19" s="16">
        <f>Inputs!$F$75*(Construction!P17+Inputs!$F$79)/100*(1/12)*1+Inputs!$F$76*(Construction!P17+Inputs!$F$80)/100*(1/12)*1+Inputs!$F$77*(Construction!P17+Inputs!$F$81)/100*(1/12)*1+Inputs!$F$78*(Construction!P17+Inputs!$F$82)/100*(1/12)*(1/(1-Inputs!$F$93/100))+Inputs!$F$78*(Inputs!$F$95/100*Inputs!$F$96/100)*Construction!P11/Inputs!$F$248</f>
        <v/>
      </c>
      <c r="Q19" s="16">
        <f>Inputs!$F$75*(Construction!Q17+Inputs!$F$79)/100*(1/12)*1+Inputs!$F$76*(Construction!Q17+Inputs!$F$80)/100*(1/12)*1+Inputs!$F$77*(Construction!Q17+Inputs!$F$81)/100*(1/12)*1+Inputs!$F$78*(Construction!Q17+Inputs!$F$82)/100*(1/12)*(1/(1-Inputs!$F$93/100))+Inputs!$F$78*(Inputs!$F$95/100*Inputs!$F$96/100)*Construction!Q11/Inputs!$F$248</f>
        <v/>
      </c>
      <c r="R19" s="16">
        <f>Inputs!$F$75*(Construction!R17+Inputs!$F$79)/100*(1/12)*1+Inputs!$F$76*(Construction!R17+Inputs!$F$80)/100*(1/12)*1+Inputs!$F$77*(Construction!R17+Inputs!$F$81)/100*(1/12)*1+Inputs!$F$78*(Construction!R17+Inputs!$F$82)/100*(1/12)*(1/(1-Inputs!$F$93/100))+Inputs!$F$78*(Inputs!$F$95/100*Inputs!$F$96/100)*Construction!R11/Inputs!$F$248</f>
        <v/>
      </c>
      <c r="S19" s="16">
        <f>Inputs!$F$75*(Construction!S17+Inputs!$F$79)/100*(1/12)*1+Inputs!$F$76*(Construction!S17+Inputs!$F$80)/100*(1/12)*1+Inputs!$F$77*(Construction!S17+Inputs!$F$81)/100*(1/12)*1+Inputs!$F$78*(Construction!S17+Inputs!$F$82)/100*(1/12)*(1/(1-Inputs!$F$93/100))+Inputs!$F$78*(Inputs!$F$95/100*Inputs!$F$96/100)*Construction!S11/Inputs!$F$248</f>
        <v/>
      </c>
      <c r="T19" s="16">
        <f>Inputs!$F$75*(Construction!T17+Inputs!$F$79)/100*(1/12)*1+Inputs!$F$76*(Construction!T17+Inputs!$F$80)/100*(1/12)*1+Inputs!$F$77*(Construction!T17+Inputs!$F$81)/100*(1/12)*1+Inputs!$F$78*(Construction!T17+Inputs!$F$82)/100*(1/12)*(1/(1-Inputs!$F$93/100))+Inputs!$F$78*(Inputs!$F$95/100*Inputs!$F$96/100)*Construction!T11/Inputs!$F$248</f>
        <v/>
      </c>
      <c r="U19" s="16">
        <f>Inputs!$F$75*(Construction!U17+Inputs!$F$79)/100*(1/12)*1+Inputs!$F$76*(Construction!U17+Inputs!$F$80)/100*(1/12)*1+Inputs!$F$77*(Construction!U17+Inputs!$F$81)/100*(1/12)*1+Inputs!$F$78*(Construction!U17+Inputs!$F$82)/100*(1/12)*(1/(1-Inputs!$F$93/100))+Inputs!$F$78*(Inputs!$F$95/100*Inputs!$F$96/100)*Construction!U11/Inputs!$F$248</f>
        <v/>
      </c>
      <c r="V19" s="16">
        <f>Inputs!$F$75*(Construction!V17+Inputs!$F$79)/100*(1/12)*1+Inputs!$F$76*(Construction!V17+Inputs!$F$80)/100*(1/12)*1+Inputs!$F$77*(Construction!V17+Inputs!$F$81)/100*(1/12)*1+Inputs!$F$78*(Construction!V17+Inputs!$F$82)/100*(1/12)*(1/(1-Inputs!$F$93/100))+Inputs!$F$78*(Inputs!$F$95/100*Inputs!$F$96/100)*Construction!V11/Inputs!$F$248</f>
        <v/>
      </c>
      <c r="W19" s="16">
        <f>Inputs!$F$75*(Construction!W17+Inputs!$F$79)/100*(1/12)*1+Inputs!$F$76*(Construction!W17+Inputs!$F$80)/100*(1/12)*1+Inputs!$F$77*(Construction!W17+Inputs!$F$81)/100*(1/12)*1+Inputs!$F$78*(Construction!W17+Inputs!$F$82)/100*(1/12)*(1/(1-Inputs!$F$93/100))+Inputs!$F$78*(Inputs!$F$95/100*Inputs!$F$96/100)*Construction!W11/Inputs!$F$248</f>
        <v/>
      </c>
      <c r="X19" s="16">
        <f>Inputs!$F$75*(Construction!X17+Inputs!$F$79)/100*(1/12)*1+Inputs!$F$76*(Construction!X17+Inputs!$F$80)/100*(1/12)*1+Inputs!$F$77*(Construction!X17+Inputs!$F$81)/100*(1/12)*1+Inputs!$F$78*(Construction!X17+Inputs!$F$82)/100*(1/12)*(1/(1-Inputs!$F$93/100))+Inputs!$F$78*(Inputs!$F$95/100*Inputs!$F$96/100)*Construction!X11/Inputs!$F$248</f>
        <v/>
      </c>
      <c r="Y19" s="16">
        <f>Inputs!$F$75*(Construction!Y17+Inputs!$F$79)/100*(1/12)*1+Inputs!$F$76*(Construction!Y17+Inputs!$F$80)/100*(1/12)*1+Inputs!$F$77*(Construction!Y17+Inputs!$F$81)/100*(1/12)*1+Inputs!$F$78*(Construction!Y17+Inputs!$F$82)/100*(1/12)*(1/(1-Inputs!$F$93/100))+Inputs!$F$78*(Inputs!$F$95/100*Inputs!$F$96/100)*Construction!Y11/Inputs!$F$248</f>
        <v/>
      </c>
      <c r="Z19" s="16">
        <f>Inputs!$F$75*(Construction!Z17+Inputs!$F$79)/100*(1/12)*1+Inputs!$F$76*(Construction!Z17+Inputs!$F$80)/100*(1/12)*1+Inputs!$F$77*(Construction!Z17+Inputs!$F$81)/100*(1/12)*1+Inputs!$F$78*(Construction!Z17+Inputs!$F$82)/100*(1/12)*(1/(1-Inputs!$F$93/100))+Inputs!$F$78*(Inputs!$F$95/100*Inputs!$F$96/100)*Construction!Z11/Inputs!$F$248</f>
        <v/>
      </c>
      <c r="AA19" s="16">
        <f>Inputs!$F$75*(Construction!AA17+Inputs!$F$79)/100*(1/12)*1+Inputs!$F$76*(Construction!AA17+Inputs!$F$80)/100*(1/12)*1+Inputs!$F$77*(Construction!AA17+Inputs!$F$81)/100*(1/12)*1+Inputs!$F$78*(Construction!AA17+Inputs!$F$82)/100*(1/12)*(1/(1-Inputs!$F$93/100))+Inputs!$F$78*(Inputs!$F$95/100*Inputs!$F$96/100)*Construction!AA11/Inputs!$F$248</f>
        <v/>
      </c>
      <c r="AB19" s="16">
        <f>Inputs!$F$75*(Construction!AB17+Inputs!$F$79)/100*(1/12)*1+Inputs!$F$76*(Construction!AB17+Inputs!$F$80)/100*(1/12)*1+Inputs!$F$77*(Construction!AB17+Inputs!$F$81)/100*(1/12)*1+Inputs!$F$78*(Construction!AB17+Inputs!$F$82)/100*(1/12)*(1/(1-Inputs!$F$93/100))+Inputs!$F$78*(Inputs!$F$95/100*Inputs!$F$96/100)*Construction!AB11/Inputs!$F$248</f>
        <v/>
      </c>
      <c r="AC19" s="16">
        <f>Inputs!$F$75*(Construction!AC17+Inputs!$F$79)/100*(1/12)*1+Inputs!$F$76*(Construction!AC17+Inputs!$F$80)/100*(1/12)*1+Inputs!$F$77*(Construction!AC17+Inputs!$F$81)/100*(1/12)*1+Inputs!$F$78*(Construction!AC17+Inputs!$F$82)/100*(1/12)*(1/(1-Inputs!$F$93/100))+Inputs!$F$78*(Inputs!$F$95/100*Inputs!$F$96/100)*Construction!AC11/Inputs!$F$248</f>
        <v/>
      </c>
      <c r="AD19" s="16">
        <f>Inputs!$F$75*(Construction!AD17+Inputs!$F$79)/100*(1/12)*1+Inputs!$F$76*(Construction!AD17+Inputs!$F$80)/100*(1/12)*1+Inputs!$F$77*(Construction!AD17+Inputs!$F$81)/100*(1/12)*1+Inputs!$F$78*(Construction!AD17+Inputs!$F$82)/100*(1/12)*(1/(1-Inputs!$F$93/100))+Inputs!$F$78*(Inputs!$F$95/100*Inputs!$F$96/100)*Construction!AD11/Inputs!$F$248</f>
        <v/>
      </c>
      <c r="AE19" s="16">
        <f>Inputs!$F$75*(Construction!AE17+Inputs!$F$79)/100*(1/12)*1+Inputs!$F$76*(Construction!AE17+Inputs!$F$80)/100*(1/12)*1+Inputs!$F$77*(Construction!AE17+Inputs!$F$81)/100*(1/12)*1+Inputs!$F$78*(Construction!AE17+Inputs!$F$82)/100*(1/12)*(1/(1-Inputs!$F$93/100))+Inputs!$F$78*(Inputs!$F$95/100*Inputs!$F$96/100)*Construction!AE11/Inputs!$F$248</f>
        <v/>
      </c>
      <c r="AF19" s="16">
        <f>Inputs!$F$75*(Construction!AF17+Inputs!$F$79)/100*(1/12)*1+Inputs!$F$76*(Construction!AF17+Inputs!$F$80)/100*(1/12)*1+Inputs!$F$77*(Construction!AF17+Inputs!$F$81)/100*(1/12)*1+Inputs!$F$78*(Construction!AF17+Inputs!$F$82)/100*(1/12)*(1/(1-Inputs!$F$93/100))+Inputs!$F$78*(Inputs!$F$95/100*Inputs!$F$96/100)*Construction!AF11/Inputs!$F$248</f>
        <v/>
      </c>
      <c r="AG19" s="16">
        <f>Inputs!$F$75*(Construction!AG17+Inputs!$F$79)/100*(1/12)*1+Inputs!$F$76*(Construction!AG17+Inputs!$F$80)/100*(1/12)*1+Inputs!$F$77*(Construction!AG17+Inputs!$F$81)/100*(1/12)*1+Inputs!$F$78*(Construction!AG17+Inputs!$F$82)/100*(1/12)*(1/(1-Inputs!$F$93/100))+Inputs!$F$78*(Inputs!$F$95/100*Inputs!$F$96/100)*Construction!AG11/Inputs!$F$248</f>
        <v/>
      </c>
      <c r="AH19" s="16">
        <f>Inputs!$F$75*(Construction!AH17+Inputs!$F$79)/100*(1/12)*1+Inputs!$F$76*(Construction!AH17+Inputs!$F$80)/100*(1/12)*1+Inputs!$F$77*(Construction!AH17+Inputs!$F$81)/100*(1/12)*1+Inputs!$F$78*(Construction!AH17+Inputs!$F$82)/100*(1/12)*(1/(1-Inputs!$F$93/100))+Inputs!$F$78*(Inputs!$F$95/100*Inputs!$F$96/100)*Construction!AH11/Inputs!$F$248</f>
        <v/>
      </c>
      <c r="AI19" s="16">
        <f>Inputs!$F$75*(Construction!AI17+Inputs!$F$79)/100*(1/12)*1+Inputs!$F$76*(Construction!AI17+Inputs!$F$80)/100*(1/12)*1+Inputs!$F$77*(Construction!AI17+Inputs!$F$81)/100*(1/12)*1+Inputs!$F$78*(Construction!AI17+Inputs!$F$82)/100*(1/12)*(1/(1-Inputs!$F$93/100))+Inputs!$F$78*(Inputs!$F$95/100*Inputs!$F$96/100)*Construction!AI11/Inputs!$F$248</f>
        <v/>
      </c>
      <c r="AJ19" s="16">
        <f>Inputs!$F$75*(Construction!AJ17+Inputs!$F$79)/100*(1/12)*1+Inputs!$F$76*(Construction!AJ17+Inputs!$F$80)/100*(1/12)*1+Inputs!$F$77*(Construction!AJ17+Inputs!$F$81)/100*(1/12)*1+Inputs!$F$78*(Construction!AJ17+Inputs!$F$82)/100*(1/12)*(1/(1-Inputs!$F$93/100))+Inputs!$F$78*(Inputs!$F$95/100*Inputs!$F$96/100)*Construction!AJ11/Inputs!$F$248</f>
        <v/>
      </c>
      <c r="AK19" s="16">
        <f>Inputs!$F$75*(Construction!AK17+Inputs!$F$79)/100*(1/12)*1+Inputs!$F$76*(Construction!AK17+Inputs!$F$80)/100*(1/12)*1+Inputs!$F$77*(Construction!AK17+Inputs!$F$81)/100*(1/12)*1+Inputs!$F$78*(Construction!AK17+Inputs!$F$82)/100*(1/12)*(1/(1-Inputs!$F$93/100))+Inputs!$F$78*(Inputs!$F$95/100*Inputs!$F$96/100)*Construction!AK11/Inputs!$F$248</f>
        <v/>
      </c>
      <c r="AL19" s="16">
        <f>Inputs!$F$75*(Construction!AL17+Inputs!$F$79)/100*(1/12)*1+Inputs!$F$76*(Construction!AL17+Inputs!$F$80)/100*(1/12)*1+Inputs!$F$77*(Construction!AL17+Inputs!$F$81)/100*(1/12)*1+Inputs!$F$78*(Construction!AL17+Inputs!$F$82)/100*(1/12)*(1/(1-Inputs!$F$93/100))+Inputs!$F$78*(Inputs!$F$95/100*Inputs!$F$96/100)*Construction!AL11/Inputs!$F$248</f>
        <v/>
      </c>
      <c r="AM19" s="16">
        <f>Inputs!$F$75*(Construction!AM17+Inputs!$F$79)/100*(1/12)*1+Inputs!$F$76*(Construction!AM17+Inputs!$F$80)/100*(1/12)*1+Inputs!$F$77*(Construction!AM17+Inputs!$F$81)/100*(1/12)*1+Inputs!$F$78*(Construction!AM17+Inputs!$F$82)/100*(1/12)*(1/(1-Inputs!$F$93/100))+Inputs!$F$78*(Inputs!$F$95/100*Inputs!$F$96/100)*Construction!AM11/Inputs!$F$248</f>
        <v/>
      </c>
      <c r="AN19" s="16">
        <f>Inputs!$F$75*(Construction!AN17+Inputs!$F$79)/100*(1/12)*1+Inputs!$F$76*(Construction!AN17+Inputs!$F$80)/100*(1/12)*1+Inputs!$F$77*(Construction!AN17+Inputs!$F$81)/100*(1/12)*1+Inputs!$F$78*(Construction!AN17+Inputs!$F$82)/100*(1/12)*(1/(1-Inputs!$F$93/100))+Inputs!$F$78*(Inputs!$F$95/100*Inputs!$F$96/100)*Construction!AN11/Inputs!$F$248</f>
        <v/>
      </c>
      <c r="AO19" s="16">
        <f>Inputs!$F$75*(Construction!AO17+Inputs!$F$79)/100*(1/12)*1+Inputs!$F$76*(Construction!AO17+Inputs!$F$80)/100*(1/12)*1+Inputs!$F$77*(Construction!AO17+Inputs!$F$81)/100*(1/12)*1+Inputs!$F$78*(Construction!AO17+Inputs!$F$82)/100*(1/12)*(1/(1-Inputs!$F$93/100))+Inputs!$F$78*(Inputs!$F$95/100*Inputs!$F$96/100)*Construction!AO11/Inputs!$F$248</f>
        <v/>
      </c>
      <c r="AP19" s="16">
        <f>Inputs!$F$75*(Construction!AP17+Inputs!$F$79)/100*(1/12)*1+Inputs!$F$76*(Construction!AP17+Inputs!$F$80)/100*(1/12)*1+Inputs!$F$77*(Construction!AP17+Inputs!$F$81)/100*(1/12)*1+Inputs!$F$78*(Construction!AP17+Inputs!$F$82)/100*(1/12)*(1/(1-Inputs!$F$93/100))+Inputs!$F$78*(Inputs!$F$95/100*Inputs!$F$96/100)*Construction!AP11/Inputs!$F$248</f>
        <v/>
      </c>
      <c r="AQ19" s="16">
        <f>Inputs!$F$75*(Construction!AQ17+Inputs!$F$79)/100*(1/12)*1+Inputs!$F$76*(Construction!AQ17+Inputs!$F$80)/100*(1/12)*1+Inputs!$F$77*(Construction!AQ17+Inputs!$F$81)/100*(1/12)*1+Inputs!$F$78*(Construction!AQ17+Inputs!$F$82)/100*(1/12)*(1/(1-Inputs!$F$93/100))+Inputs!$F$78*(Inputs!$F$95/100*Inputs!$F$96/100)*Construction!AQ11/Inputs!$F$248</f>
        <v/>
      </c>
      <c r="AR19" s="16">
        <f>Inputs!$F$75*(Construction!AR17+Inputs!$F$79)/100*(1/12)*1+Inputs!$F$76*(Construction!AR17+Inputs!$F$80)/100*(1/12)*1+Inputs!$F$77*(Construction!AR17+Inputs!$F$81)/100*(1/12)*1+Inputs!$F$78*(Construction!AR17+Inputs!$F$82)/100*(1/12)*(1/(1-Inputs!$F$93/100))+Inputs!$F$78*(Inputs!$F$95/100*Inputs!$F$96/100)*Construction!AR11/Inputs!$F$248</f>
        <v/>
      </c>
      <c r="AS19" s="16">
        <f>Inputs!$F$75*(Construction!AS17+Inputs!$F$79)/100*(1/12)*1+Inputs!$F$76*(Construction!AS17+Inputs!$F$80)/100*(1/12)*1+Inputs!$F$77*(Construction!AS17+Inputs!$F$81)/100*(1/12)*1+Inputs!$F$78*(Construction!AS17+Inputs!$F$82)/100*(1/12)*(1/(1-Inputs!$F$93/100))+Inputs!$F$78*(Inputs!$F$95/100*Inputs!$F$96/100)*Construction!AS11/Inputs!$F$248</f>
        <v/>
      </c>
      <c r="AT19" s="16">
        <f>Inputs!$F$75*(Construction!AT17+Inputs!$F$79)/100*(1/12)*1+Inputs!$F$76*(Construction!AT17+Inputs!$F$80)/100*(1/12)*1+Inputs!$F$77*(Construction!AT17+Inputs!$F$81)/100*(1/12)*1+Inputs!$F$78*(Construction!AT17+Inputs!$F$82)/100*(1/12)*(1/(1-Inputs!$F$93/100))+Inputs!$F$78*(Inputs!$F$95/100*Inputs!$F$96/100)*Construction!AT11/Inputs!$F$248</f>
        <v/>
      </c>
      <c r="AU19" s="16">
        <f>Inputs!$F$75*(Construction!AU17+Inputs!$F$79)/100*(1/12)*1+Inputs!$F$76*(Construction!AU17+Inputs!$F$80)/100*(1/12)*1+Inputs!$F$77*(Construction!AU17+Inputs!$F$81)/100*(1/12)*1+Inputs!$F$78*(Construction!AU17+Inputs!$F$82)/100*(1/12)*(1/(1-Inputs!$F$93/100))+Inputs!$F$78*(Inputs!$F$95/100*Inputs!$F$96/100)*Construction!AU11/Inputs!$F$248</f>
        <v/>
      </c>
      <c r="AV19" s="16">
        <f>Inputs!$F$75*(Construction!AV17+Inputs!$F$79)/100*(1/12)*1+Inputs!$F$76*(Construction!AV17+Inputs!$F$80)/100*(1/12)*1+Inputs!$F$77*(Construction!AV17+Inputs!$F$81)/100*(1/12)*1+Inputs!$F$78*(Construction!AV17+Inputs!$F$82)/100*(1/12)*(1/(1-Inputs!$F$93/100))+Inputs!$F$78*(Inputs!$F$95/100*Inputs!$F$96/100)*Construction!AV11/Inputs!$F$248</f>
        <v/>
      </c>
      <c r="AW19" s="16">
        <f>Inputs!$F$75*(Construction!AW17+Inputs!$F$79)/100*(1/12)*1+Inputs!$F$76*(Construction!AW17+Inputs!$F$80)/100*(1/12)*1+Inputs!$F$77*(Construction!AW17+Inputs!$F$81)/100*(1/12)*1+Inputs!$F$78*(Construction!AW17+Inputs!$F$82)/100*(1/12)*(1/(1-Inputs!$F$93/100))+Inputs!$F$78*(Inputs!$F$95/100*Inputs!$F$96/100)*Construction!AW11/Inputs!$F$248</f>
        <v/>
      </c>
      <c r="AX19" s="16">
        <f>Inputs!$F$75*(Construction!AX17+Inputs!$F$79)/100*(1/12)*1+Inputs!$F$76*(Construction!AX17+Inputs!$F$80)/100*(1/12)*1+Inputs!$F$77*(Construction!AX17+Inputs!$F$81)/100*(1/12)*1+Inputs!$F$78*(Construction!AX17+Inputs!$F$82)/100*(1/12)*(1/(1-Inputs!$F$93/100))+Inputs!$F$78*(Inputs!$F$95/100*Inputs!$F$96/100)*Construction!AX11/Inputs!$F$248</f>
        <v/>
      </c>
      <c r="AY19" s="16">
        <f>Inputs!$F$75*(Construction!AY17+Inputs!$F$79)/100*(1/12)*1+Inputs!$F$76*(Construction!AY17+Inputs!$F$80)/100*(1/12)*1+Inputs!$F$77*(Construction!AY17+Inputs!$F$81)/100*(1/12)*1+Inputs!$F$78*(Construction!AY17+Inputs!$F$82)/100*(1/12)*(1/(1-Inputs!$F$93/100))+Inputs!$F$78*(Inputs!$F$95/100*Inputs!$F$96/100)*Construction!AY11/Inputs!$F$248</f>
        <v/>
      </c>
      <c r="AZ19" s="16">
        <f>Inputs!$F$75*(Construction!AZ17+Inputs!$F$79)/100*(1/12)*1+Inputs!$F$76*(Construction!AZ17+Inputs!$F$80)/100*(1/12)*1+Inputs!$F$77*(Construction!AZ17+Inputs!$F$81)/100*(1/12)*1+Inputs!$F$78*(Construction!AZ17+Inputs!$F$82)/100*(1/12)*(1/(1-Inputs!$F$93/100))+Inputs!$F$78*(Inputs!$F$95/100*Inputs!$F$96/100)*Construction!AZ11/Inputs!$F$248</f>
        <v/>
      </c>
      <c r="BA19" s="16">
        <f>Inputs!$F$75*(Construction!BA17+Inputs!$F$79)/100*(1/12)*1+Inputs!$F$76*(Construction!BA17+Inputs!$F$80)/100*(1/12)*1+Inputs!$F$77*(Construction!BA17+Inputs!$F$81)/100*(1/12)*1+Inputs!$F$78*(Construction!BA17+Inputs!$F$82)/100*(1/12)*(1/(1-Inputs!$F$93/100))+Inputs!$F$78*(Inputs!$F$95/100*Inputs!$F$96/100)*Construction!BA11/Inputs!$F$248</f>
        <v/>
      </c>
      <c r="BB19" s="16">
        <f>Inputs!$F$75*(Construction!BB17+Inputs!$F$79)/100*(1/12)*1+Inputs!$F$76*(Construction!BB17+Inputs!$F$80)/100*(1/12)*1+Inputs!$F$77*(Construction!BB17+Inputs!$F$81)/100*(1/12)*1+Inputs!$F$78*(Construction!BB17+Inputs!$F$82)/100*(1/12)*(1/(1-Inputs!$F$93/100))+Inputs!$F$78*(Inputs!$F$95/100*Inputs!$F$96/100)*Construction!BB11/Inputs!$F$248</f>
        <v/>
      </c>
      <c r="BC19" s="16">
        <f>Inputs!$F$75*(Construction!BC17+Inputs!$F$79)/100*(1/12)*1+Inputs!$F$76*(Construction!BC17+Inputs!$F$80)/100*(1/12)*1+Inputs!$F$77*(Construction!BC17+Inputs!$F$81)/100*(1/12)*1+Inputs!$F$78*(Construction!BC17+Inputs!$F$82)/100*(1/12)*(1/(1-Inputs!$F$93/100))+Inputs!$F$78*(Inputs!$F$95/100*Inputs!$F$96/100)*Construction!BC11/Inputs!$F$248</f>
        <v/>
      </c>
      <c r="BD19" s="16">
        <f>Inputs!$F$75*(Construction!BD17+Inputs!$F$79)/100*(1/12)*1+Inputs!$F$76*(Construction!BD17+Inputs!$F$80)/100*(1/12)*1+Inputs!$F$77*(Construction!BD17+Inputs!$F$81)/100*(1/12)*1+Inputs!$F$78*(Construction!BD17+Inputs!$F$82)/100*(1/12)*(1/(1-Inputs!$F$93/100))+Inputs!$F$78*(Inputs!$F$95/100*Inputs!$F$96/100)*Construction!BD11/Inputs!$F$248</f>
        <v/>
      </c>
      <c r="BE19" s="16">
        <f>Inputs!$F$75*(Construction!BE17+Inputs!$F$79)/100*(1/12)*1+Inputs!$F$76*(Construction!BE17+Inputs!$F$80)/100*(1/12)*1+Inputs!$F$77*(Construction!BE17+Inputs!$F$81)/100*(1/12)*1+Inputs!$F$78*(Construction!BE17+Inputs!$F$82)/100*(1/12)*(1/(1-Inputs!$F$93/100))+Inputs!$F$78*(Inputs!$F$95/100*Inputs!$F$96/100)*Construction!BE11/Inputs!$F$248</f>
        <v/>
      </c>
      <c r="BF19" s="16">
        <f>Inputs!$F$75*(Construction!BF17+Inputs!$F$79)/100*(1/12)*1+Inputs!$F$76*(Construction!BF17+Inputs!$F$80)/100*(1/12)*1+Inputs!$F$77*(Construction!BF17+Inputs!$F$81)/100*(1/12)*1+Inputs!$F$78*(Construction!BF17+Inputs!$F$82)/100*(1/12)*(1/(1-Inputs!$F$93/100))+Inputs!$F$78*(Inputs!$F$95/100*Inputs!$F$96/100)*Construction!BF11/Inputs!$F$248</f>
        <v/>
      </c>
      <c r="BG19" s="16">
        <f>Inputs!$F$75*(Construction!BG17+Inputs!$F$79)/100*(1/12)*1+Inputs!$F$76*(Construction!BG17+Inputs!$F$80)/100*(1/12)*1+Inputs!$F$77*(Construction!BG17+Inputs!$F$81)/100*(1/12)*1+Inputs!$F$78*(Construction!BG17+Inputs!$F$82)/100*(1/12)*(1/(1-Inputs!$F$93/100))+Inputs!$F$78*(Inputs!$F$95/100*Inputs!$F$96/100)*Construction!BG11/Inputs!$F$248</f>
        <v/>
      </c>
      <c r="BH19" s="16">
        <f>Inputs!$F$75*(Construction!BH17+Inputs!$F$79)/100*(1/12)*1+Inputs!$F$76*(Construction!BH17+Inputs!$F$80)/100*(1/12)*1+Inputs!$F$77*(Construction!BH17+Inputs!$F$81)/100*(1/12)*1+Inputs!$F$78*(Construction!BH17+Inputs!$F$82)/100*(1/12)*(1/(1-Inputs!$F$93/100))+Inputs!$F$78*(Inputs!$F$95/100*Inputs!$F$96/100)*Construction!BH11/Inputs!$F$248</f>
        <v/>
      </c>
      <c r="BI19" s="16">
        <f>Inputs!$F$75*(Construction!BI17+Inputs!$F$79)/100*(1/12)*1+Inputs!$F$76*(Construction!BI17+Inputs!$F$80)/100*(1/12)*1+Inputs!$F$77*(Construction!BI17+Inputs!$F$81)/100*(1/12)*1+Inputs!$F$78*(Construction!BI17+Inputs!$F$82)/100*(1/12)*(1/(1-Inputs!$F$93/100))+Inputs!$F$78*(Inputs!$F$95/100*Inputs!$F$96/100)*Construction!BI11/Inputs!$F$248</f>
        <v/>
      </c>
      <c r="BJ19" s="16">
        <f>Inputs!$F$75*(Construction!BJ17+Inputs!$F$79)/100*(1/12)*1+Inputs!$F$76*(Construction!BJ17+Inputs!$F$80)/100*(1/12)*1+Inputs!$F$77*(Construction!BJ17+Inputs!$F$81)/100*(1/12)*1+Inputs!$F$78*(Construction!BJ17+Inputs!$F$82)/100*(1/12)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Construction!J14*(Construction!J32+Construction!J38+Inputs!$F$107/12+-1*Inputs!J309*(Inputs!$F$97/100/12-Construction!J17/100*Construction!J11/Inputs!$F$247)+Inputs!$F$99*Inputs!$F$100/100*Construction!J11/Inputs!$F$247+Construction!J15*$F$17)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Construction!K14*(Construction!K32+Construction!K38+Inputs!$F$107/12+-1*Inputs!K309*(Inputs!$F$97/100/12-Construction!K17/100*Construction!K11/Inputs!$F$247)+Inputs!$F$99*Inputs!$F$100/100*Construction!K11/Inputs!$F$247+Construction!K15*$F$17)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Construction!L14*(Construction!L32+Construction!L38+Inputs!$F$107/12+-1*Inputs!L309*(Inputs!$F$97/100/12-Construction!L17/100*Construction!L11/Inputs!$F$247)+Inputs!$F$99*Inputs!$F$100/100*Construction!L11/Inputs!$F$247+Construction!L15*$F$17)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Construction!M14*(Construction!M32+Construction!M38+Inputs!$F$107/12+-1*Inputs!M309*(Inputs!$F$97/100/12-Construction!M17/100*Construction!M11/Inputs!$F$247)+Inputs!$F$99*Inputs!$F$100/100*Construction!M11/Inputs!$F$247+Construction!M15*$F$17)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Construction!N14*(Construction!N32+Construction!N38+Inputs!$F$107/12+-1*Inputs!N309*(Inputs!$F$97/100/12-Construction!N17/100*Construction!N11/Inputs!$F$247)+Inputs!$F$99*Inputs!$F$100/100*Construction!N11/Inputs!$F$247+Construction!N15*$F$17)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Construction!O14*(Construction!O32+Construction!O38+Inputs!$F$107/12+-1*Inputs!O309*(Inputs!$F$97/100/12-Construction!O17/100*Construction!O11/Inputs!$F$247)+Inputs!$F$99*Inputs!$F$100/100*Construction!O11/Inputs!$F$247+Construction!O15*$F$17)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Construction!P14*(Construction!P32+Construction!P38+Inputs!$F$107/12+-1*Inputs!P309*(Inputs!$F$97/100/12-Construction!P17/100*Construction!P11/Inputs!$F$247)+Inputs!$F$99*Inputs!$F$100/100*Construction!P11/Inputs!$F$247+Construction!P15*$F$17)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Construction!Q14*(Construction!Q32+Construction!Q38+Inputs!$F$107/12+-1*Inputs!Q309*(Inputs!$F$97/100/12-Construction!Q17/100*Construction!Q11/Inputs!$F$247)+Inputs!$F$99*Inputs!$F$100/100*Construction!Q11/Inputs!$F$247+Construction!Q15*$F$17)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Construction!R14*(Construction!R32+Construction!R38+Inputs!$F$107/12+-1*Inputs!R309*(Inputs!$F$97/100/12-Construction!R17/100*Construction!R11/Inputs!$F$247)+Inputs!$F$99*Inputs!$F$100/100*Construction!R11/Inputs!$F$247+Construction!R15*$F$17)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Construction!S14*(Construction!S32+Construction!S38+Inputs!$F$107/12+-1*Inputs!S309*(Inputs!$F$97/100/12-Construction!S17/100*Construction!S11/Inputs!$F$247)+Inputs!$F$99*Inputs!$F$100/100*Construction!S11/Inputs!$F$247+Construction!S15*$F$17)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Construction!T14*(Construction!T32+Construction!T38+Inputs!$F$107/12+-1*Inputs!T309*(Inputs!$F$97/100/12-Construction!T17/100*Construction!T11/Inputs!$F$247)+Inputs!$F$99*Inputs!$F$100/100*Construction!T11/Inputs!$F$247+Construction!T15*$F$17)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Construction!U14*(Construction!U32+Construction!U38+Inputs!$F$107/12+-1*Inputs!U309*(Inputs!$F$97/100/12-Construction!U17/100*Construction!U11/Inputs!$F$247)+Inputs!$F$99*Inputs!$F$100/100*Construction!U11/Inputs!$F$247+Construction!U15*$F$17)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Construction!V14*(Construction!V32+Construction!V38+Inputs!$F$107/12+-1*Inputs!V309*(Inputs!$F$97/100/12-Construction!V17/100*Construction!V11/Inputs!$F$247)+Inputs!$F$99*Inputs!$F$100/100*Construction!V11/Inputs!$F$247+Construction!V15*$F$17)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Construction!W14*(Construction!W32+Construction!W38+Inputs!$F$107/12+-1*Inputs!W309*(Inputs!$F$97/100/12-Construction!W17/100*Construction!W11/Inputs!$F$247)+Inputs!$F$99*Inputs!$F$100/100*Construction!W11/Inputs!$F$247+Construction!W15*$F$17)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Construction!X14*(Construction!X32+Construction!X38+Inputs!$F$107/12+-1*Inputs!X309*(Inputs!$F$97/100/12-Construction!X17/100*Construction!X11/Inputs!$F$247)+Inputs!$F$99*Inputs!$F$100/100*Construction!X11/Inputs!$F$247+Construction!X15*$F$17)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Construction!Y14*(Construction!Y32+Construction!Y38+Inputs!$F$107/12+-1*Inputs!Y309*(Inputs!$F$97/100/12-Construction!Y17/100*Construction!Y11/Inputs!$F$247)+Inputs!$F$99*Inputs!$F$100/100*Construction!Y11/Inputs!$F$247+Construction!Y15*$F$17)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Construction!Z14*(Construction!Z32+Construction!Z38+Inputs!$F$107/12+-1*Inputs!Z309*(Inputs!$F$97/100/12-Construction!Z17/100*Construction!Z11/Inputs!$F$247)+Inputs!$F$99*Inputs!$F$100/100*Construction!Z11/Inputs!$F$247+Construction!Z15*$F$17)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Construction!AA14*(Construction!AA32+Construction!AA38+Inputs!$F$107/12+-1*Inputs!AA309*(Inputs!$F$97/100/12-Construction!AA17/100*Construction!AA11/Inputs!$F$247)+Inputs!$F$99*Inputs!$F$100/100*Construction!AA11/Inputs!$F$247+Construction!AA15*$F$17)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Construction!AB14*(Construction!AB32+Construction!AB38+Inputs!$F$107/12+-1*Inputs!AB309*(Inputs!$F$97/100/12-Construction!AB17/100*Construction!AB11/Inputs!$F$247)+Inputs!$F$99*Inputs!$F$100/100*Construction!AB11/Inputs!$F$247+Construction!AB15*$F$17)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Construction!AC14*(Construction!AC32+Construction!AC38+Inputs!$F$107/12+-1*Inputs!AC309*(Inputs!$F$97/100/12-Construction!AC17/100*Construction!AC11/Inputs!$F$247)+Inputs!$F$99*Inputs!$F$100/100*Construction!AC11/Inputs!$F$247+Construction!AC15*$F$17)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Construction!AD14*(Construction!AD32+Construction!AD38+Inputs!$F$107/12+-1*Inputs!AD309*(Inputs!$F$97/100/12-Construction!AD17/100*Construction!AD11/Inputs!$F$247)+Inputs!$F$99*Inputs!$F$100/100*Construction!AD11/Inputs!$F$247+Construction!AD15*$F$17)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Construction!AE14*(Construction!AE32+Construction!AE38+Inputs!$F$107/12+-1*Inputs!AE309*(Inputs!$F$97/100/12-Construction!AE17/100*Construction!AE11/Inputs!$F$247)+Inputs!$F$99*Inputs!$F$100/100*Construction!AE11/Inputs!$F$247+Construction!AE15*$F$17)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Construction!AF14*(Construction!AF32+Construction!AF38+Inputs!$F$107/12+-1*Inputs!AF309*(Inputs!$F$97/100/12-Construction!AF17/100*Construction!AF11/Inputs!$F$247)+Inputs!$F$99*Inputs!$F$100/100*Construction!AF11/Inputs!$F$247+Construction!AF15*$F$17)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Construction!AG14*(Construction!AG32+Construction!AG38+Inputs!$F$107/12+-1*Inputs!AG309*(Inputs!$F$97/100/12-Construction!AG17/100*Construction!AG11/Inputs!$F$247)+Inputs!$F$99*Inputs!$F$100/100*Construction!AG11/Inputs!$F$247+Construction!AG15*$F$17)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Construction!AH14*(Construction!AH32+Construction!AH38+Inputs!$F$107/12+-1*Inputs!AH309*(Inputs!$F$97/100/12-Construction!AH17/100*Construction!AH11/Inputs!$F$247)+Inputs!$F$99*Inputs!$F$100/100*Construction!AH11/Inputs!$F$247+Construction!AH15*$F$17)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Construction!AI14*(Construction!AI32+Construction!AI38+Inputs!$F$107/12+-1*Inputs!AI309*(Inputs!$F$97/100/12-Construction!AI17/100*Construction!AI11/Inputs!$F$247)+Inputs!$F$99*Inputs!$F$100/100*Construction!AI11/Inputs!$F$247+Construction!AI15*$F$17)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Construction!AJ14*(Construction!AJ32+Construction!AJ38+Inputs!$F$107/12+-1*Inputs!AJ309*(Inputs!$F$97/100/12-Construction!AJ17/100*Construction!AJ11/Inputs!$F$247)+Inputs!$F$99*Inputs!$F$100/100*Construction!AJ11/Inputs!$F$247+Construction!AJ15*$F$17)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Construction!AK14*(Construction!AK32+Construction!AK38+Inputs!$F$107/12+-1*Inputs!AK309*(Inputs!$F$97/100/12-Construction!AK17/100*Construction!AK11/Inputs!$F$247)+Inputs!$F$99*Inputs!$F$100/100*Construction!AK11/Inputs!$F$247+Construction!AK15*$F$17)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Construction!AL14*(Construction!AL32+Construction!AL38+Inputs!$F$107/12+-1*Inputs!AL309*(Inputs!$F$97/100/12-Construction!AL17/100*Construction!AL11/Inputs!$F$247)+Inputs!$F$99*Inputs!$F$100/100*Construction!AL11/Inputs!$F$247+Construction!AL15*$F$17)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Construction!AM14*(Construction!AM32+Construction!AM38+Inputs!$F$107/12+-1*Inputs!AM309*(Inputs!$F$97/100/12-Construction!AM17/100*Construction!AM11/Inputs!$F$247)+Inputs!$F$99*Inputs!$F$100/100*Construction!AM11/Inputs!$F$247+Construction!AM15*$F$17)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Construction!AN14*(Construction!AN32+Construction!AN38+Inputs!$F$107/12+-1*Inputs!AN309*(Inputs!$F$97/100/12-Construction!AN17/100*Construction!AN11/Inputs!$F$247)+Inputs!$F$99*Inputs!$F$100/100*Construction!AN11/Inputs!$F$247+Construction!AN15*$F$17)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Construction!AO14*(Construction!AO32+Construction!AO38+Inputs!$F$107/12+-1*Inputs!AO309*(Inputs!$F$97/100/12-Construction!AO17/100*Construction!AO11/Inputs!$F$247)+Inputs!$F$99*Inputs!$F$100/100*Construction!AO11/Inputs!$F$247+Construction!AO15*$F$17)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Construction!AP14*(Construction!AP32+Construction!AP38+Inputs!$F$107/12+-1*Inputs!AP309*(Inputs!$F$97/100/12-Construction!AP17/100*Construction!AP11/Inputs!$F$247)+Inputs!$F$99*Inputs!$F$100/100*Construction!AP11/Inputs!$F$247+Construction!AP15*$F$17)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Construction!AQ14*(Construction!AQ32+Construction!AQ38+Inputs!$F$107/12+-1*Inputs!AQ309*(Inputs!$F$97/100/12-Construction!AQ17/100*Construction!AQ11/Inputs!$F$247)+Inputs!$F$99*Inputs!$F$100/100*Construction!AQ11/Inputs!$F$247+Construction!AQ15*$F$17)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Construction!AR14*(Construction!AR32+Construction!AR38+Inputs!$F$107/12+-1*Inputs!AR309*(Inputs!$F$97/100/12-Construction!AR17/100*Construction!AR11/Inputs!$F$247)+Inputs!$F$99*Inputs!$F$100/100*Construction!AR11/Inputs!$F$247+Construction!AR15*$F$17)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Construction!AS14*(Construction!AS32+Construction!AS38+Inputs!$F$107/12+-1*Inputs!AS309*(Inputs!$F$97/100/12-Construction!AS17/100*Construction!AS11/Inputs!$F$247)+Inputs!$F$99*Inputs!$F$100/100*Construction!AS11/Inputs!$F$247+Construction!AS15*$F$17)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Construction!AT14*(Construction!AT32+Construction!AT38+Inputs!$F$107/12+-1*Inputs!AT309*(Inputs!$F$97/100/12-Construction!AT17/100*Construction!AT11/Inputs!$F$247)+Inputs!$F$99*Inputs!$F$100/100*Construction!AT11/Inputs!$F$247+Construction!AT15*$F$17)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Construction!AU14*(Construction!AU32+Construction!AU38+Inputs!$F$107/12+-1*Inputs!AU309*(Inputs!$F$97/100/12-Construction!AU17/100*Construction!AU11/Inputs!$F$247)+Inputs!$F$99*Inputs!$F$100/100*Construction!AU11/Inputs!$F$247+Construction!AU15*$F$17)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Construction!AV14*(Construction!AV32+Construction!AV38+Inputs!$F$107/12+-1*Inputs!AV309*(Inputs!$F$97/100/12-Construction!AV17/100*Construction!AV11/Inputs!$F$247)+Inputs!$F$99*Inputs!$F$100/100*Construction!AV11/Inputs!$F$247+Construction!AV15*$F$17)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Construction!AW14*(Construction!AW32+Construction!AW38+Inputs!$F$107/12+-1*Inputs!AW309*(Inputs!$F$97/100/12-Construction!AW17/100*Construction!AW11/Inputs!$F$247)+Inputs!$F$99*Inputs!$F$100/100*Construction!AW11/Inputs!$F$247+Construction!AW15*$F$17)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Construction!AX14*(Construction!AX32+Construction!AX38+Inputs!$F$107/12+-1*Inputs!AX309*(Inputs!$F$97/100/12-Construction!AX17/100*Construction!AX11/Inputs!$F$247)+Inputs!$F$99*Inputs!$F$100/100*Construction!AX11/Inputs!$F$247+Construction!AX15*$F$17)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Construction!AY14*(Construction!AY32+Construction!AY38+Inputs!$F$107/12+-1*Inputs!AY309*(Inputs!$F$97/100/12-Construction!AY17/100*Construction!AY11/Inputs!$F$247)+Inputs!$F$99*Inputs!$F$100/100*Construction!AY11/Inputs!$F$247+Construction!AY15*$F$17)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Construction!AZ14*(Construction!AZ32+Construction!AZ38+Inputs!$F$107/12+-1*Inputs!AZ309*(Inputs!$F$97/100/12-Construction!AZ17/100*Construction!AZ11/Inputs!$F$247)+Inputs!$F$99*Inputs!$F$100/100*Construction!AZ11/Inputs!$F$247+Construction!AZ15*$F$17)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Construction!BA14*(Construction!BA32+Construction!BA38+Inputs!$F$107/12+-1*Inputs!BA309*(Inputs!$F$97/100/12-Construction!BA17/100*Construction!BA11/Inputs!$F$247)+Inputs!$F$99*Inputs!$F$100/100*Construction!BA11/Inputs!$F$247+Construction!BA15*$F$17)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Construction!BB14*(Construction!BB32+Construction!BB38+Inputs!$F$107/12+-1*Inputs!BB309*(Inputs!$F$97/100/12-Construction!BB17/100*Construction!BB11/Inputs!$F$247)+Inputs!$F$99*Inputs!$F$100/100*Construction!BB11/Inputs!$F$247+Construction!BB15*$F$17)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Construction!BC14*(Construction!BC32+Construction!BC38+Inputs!$F$107/12+-1*Inputs!BC309*(Inputs!$F$97/100/12-Construction!BC17/100*Construction!BC11/Inputs!$F$247)+Inputs!$F$99*Inputs!$F$100/100*Construction!BC11/Inputs!$F$247+Construction!BC15*$F$17)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Construction!BD14*(Construction!BD32+Construction!BD38+Inputs!$F$107/12+-1*Inputs!BD309*(Inputs!$F$97/100/12-Construction!BD17/100*Construction!BD11/Inputs!$F$247)+Inputs!$F$99*Inputs!$F$100/100*Construction!BD11/Inputs!$F$247+Construction!BD15*$F$17)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Construction!BE14*(Construction!BE32+Construction!BE38+Inputs!$F$107/12+-1*Inputs!BE309*(Inputs!$F$97/100/12-Construction!BE17/100*Construction!BE11/Inputs!$F$247)+Inputs!$F$99*Inputs!$F$100/100*Construction!BE11/Inputs!$F$247+Construction!BE15*$F$17)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Construction!BF14*(Construction!BF32+Construction!BF38+Inputs!$F$107/12+-1*Inputs!BF309*(Inputs!$F$97/100/12-Construction!BF17/100*Construction!BF11/Inputs!$F$247)+Inputs!$F$99*Inputs!$F$100/100*Construction!BF11/Inputs!$F$247+Construction!BF15*$F$17)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Construction!BG14*(Construction!BG32+Construction!BG38+Inputs!$F$107/12+-1*Inputs!BG309*(Inputs!$F$97/100/12-Construction!BG17/100*Construction!BG11/Inputs!$F$247)+Inputs!$F$99*Inputs!$F$100/100*Construction!BG11/Inputs!$F$247+Construction!BG15*$F$17)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Construction!BH14*(Construction!BH32+Construction!BH38+Inputs!$F$107/12+-1*Inputs!BH309*(Inputs!$F$97/100/12-Construction!BH17/100*Construction!BH11/Inputs!$F$247)+Inputs!$F$99*Inputs!$F$100/100*Construction!BH11/Inputs!$F$247+Construction!BH15*$F$17)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Construction!BI14*(Construction!BI32+Construction!BI38+Inputs!$F$107/12+-1*Inputs!BI309*(Inputs!$F$97/100/12-Construction!BI17/100*Construction!BI11/Inputs!$F$247)+Inputs!$F$99*Inputs!$F$100/100*Construction!BI11/Inputs!$F$247+Construction!BI15*$F$17)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Construction!BJ14*(Construction!BJ32+Construction!BJ38+Inputs!$F$107/12+-1*Inputs!BJ309*(Inputs!$F$97/100/12-Construction!BJ17/100*Construction!BJ11/Inputs!$F$247)+Inputs!$F$99*Inputs!$F$100/100*Construction!BJ11/Inputs!$F$247+Construction!BJ15*$F$17)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(Inputs!$F$113-SUM($J$44:$BJ$44))/(Inputs!$F$113+Inputs!$F$114-SUM($J$44:$BJ$44))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Construction!J14*J28*(Construction!J17+Inputs!$F$79)/100*(1/12)*1</f>
        <v/>
      </c>
      <c r="K33" s="13">
        <f>Construction!K14*K28*(Construction!K17+Inputs!$F$79)/100*(1/12)*1</f>
        <v/>
      </c>
      <c r="L33" s="13">
        <f>Construction!L14*L28*(Construction!L17+Inputs!$F$79)/100*(1/12)*1</f>
        <v/>
      </c>
      <c r="M33" s="13">
        <f>Construction!M14*M28*(Construction!M17+Inputs!$F$79)/100*(1/12)*1</f>
        <v/>
      </c>
      <c r="N33" s="13">
        <f>Construction!N14*N28*(Construction!N17+Inputs!$F$79)/100*(1/12)*1</f>
        <v/>
      </c>
      <c r="O33" s="13">
        <f>Construction!O14*O28*(Construction!O17+Inputs!$F$79)/100*(1/12)*1</f>
        <v/>
      </c>
      <c r="P33" s="13">
        <f>Construction!P14*P28*(Construction!P17+Inputs!$F$79)/100*(1/12)*1</f>
        <v/>
      </c>
      <c r="Q33" s="13">
        <f>Construction!Q14*Q28*(Construction!Q17+Inputs!$F$79)/100*(1/12)*1</f>
        <v/>
      </c>
      <c r="R33" s="13">
        <f>Construction!R14*R28*(Construction!R17+Inputs!$F$79)/100*(1/12)*1</f>
        <v/>
      </c>
      <c r="S33" s="13">
        <f>Construction!S14*S28*(Construction!S17+Inputs!$F$79)/100*(1/12)*1</f>
        <v/>
      </c>
      <c r="T33" s="13">
        <f>Construction!T14*T28*(Construction!T17+Inputs!$F$79)/100*(1/12)*1</f>
        <v/>
      </c>
      <c r="U33" s="13">
        <f>Construction!U14*U28*(Construction!U17+Inputs!$F$79)/100*(1/12)*1</f>
        <v/>
      </c>
      <c r="V33" s="13">
        <f>Construction!V14*V28*(Construction!V17+Inputs!$F$79)/100*(1/12)*1</f>
        <v/>
      </c>
      <c r="W33" s="13">
        <f>Construction!W14*W28*(Construction!W17+Inputs!$F$79)/100*(1/12)*1</f>
        <v/>
      </c>
      <c r="X33" s="13">
        <f>Construction!X14*X28*(Construction!X17+Inputs!$F$79)/100*(1/12)*1</f>
        <v/>
      </c>
      <c r="Y33" s="13">
        <f>Construction!Y14*Y28*(Construction!Y17+Inputs!$F$79)/100*(1/12)*1</f>
        <v/>
      </c>
      <c r="Z33" s="13">
        <f>Construction!Z14*Z28*(Construction!Z17+Inputs!$F$79)/100*(1/12)*1</f>
        <v/>
      </c>
      <c r="AA33" s="13">
        <f>Construction!AA14*AA28*(Construction!AA17+Inputs!$F$79)/100*(1/12)*1</f>
        <v/>
      </c>
      <c r="AB33" s="13">
        <f>Construction!AB14*AB28*(Construction!AB17+Inputs!$F$79)/100*(1/12)*1</f>
        <v/>
      </c>
      <c r="AC33" s="13">
        <f>Construction!AC14*AC28*(Construction!AC17+Inputs!$F$79)/100*(1/12)*1</f>
        <v/>
      </c>
      <c r="AD33" s="13">
        <f>Construction!AD14*AD28*(Construction!AD17+Inputs!$F$79)/100*(1/12)*1</f>
        <v/>
      </c>
      <c r="AE33" s="13">
        <f>Construction!AE14*AE28*(Construction!AE17+Inputs!$F$79)/100*(1/12)*1</f>
        <v/>
      </c>
      <c r="AF33" s="13">
        <f>Construction!AF14*AF28*(Construction!AF17+Inputs!$F$79)/100*(1/12)*1</f>
        <v/>
      </c>
      <c r="AG33" s="13">
        <f>Construction!AG14*AG28*(Construction!AG17+Inputs!$F$79)/100*(1/12)*1</f>
        <v/>
      </c>
      <c r="AH33" s="13">
        <f>Construction!AH14*AH28*(Construction!AH17+Inputs!$F$79)/100*(1/12)*1</f>
        <v/>
      </c>
      <c r="AI33" s="13">
        <f>Construction!AI14*AI28*(Construction!AI17+Inputs!$F$79)/100*(1/12)*1</f>
        <v/>
      </c>
      <c r="AJ33" s="13">
        <f>Construction!AJ14*AJ28*(Construction!AJ17+Inputs!$F$79)/100*(1/12)*1</f>
        <v/>
      </c>
      <c r="AK33" s="13">
        <f>Construction!AK14*AK28*(Construction!AK17+Inputs!$F$79)/100*(1/12)*1</f>
        <v/>
      </c>
      <c r="AL33" s="13">
        <f>Construction!AL14*AL28*(Construction!AL17+Inputs!$F$79)/100*(1/12)*1</f>
        <v/>
      </c>
      <c r="AM33" s="13">
        <f>Construction!AM14*AM28*(Construction!AM17+Inputs!$F$79)/100*(1/12)*1</f>
        <v/>
      </c>
      <c r="AN33" s="13">
        <f>Construction!AN14*AN28*(Construction!AN17+Inputs!$F$79)/100*(1/12)*1</f>
        <v/>
      </c>
      <c r="AO33" s="13">
        <f>Construction!AO14*AO28*(Construction!AO17+Inputs!$F$79)/100*(1/12)*1</f>
        <v/>
      </c>
      <c r="AP33" s="13">
        <f>Construction!AP14*AP28*(Construction!AP17+Inputs!$F$79)/100*(1/12)*1</f>
        <v/>
      </c>
      <c r="AQ33" s="13">
        <f>Construction!AQ14*AQ28*(Construction!AQ17+Inputs!$F$79)/100*(1/12)*1</f>
        <v/>
      </c>
      <c r="AR33" s="13">
        <f>Construction!AR14*AR28*(Construction!AR17+Inputs!$F$79)/100*(1/12)*1</f>
        <v/>
      </c>
      <c r="AS33" s="13">
        <f>Construction!AS14*AS28*(Construction!AS17+Inputs!$F$79)/100*(1/12)*1</f>
        <v/>
      </c>
      <c r="AT33" s="13">
        <f>Construction!AT14*AT28*(Construction!AT17+Inputs!$F$79)/100*(1/12)*1</f>
        <v/>
      </c>
      <c r="AU33" s="13">
        <f>Construction!AU14*AU28*(Construction!AU17+Inputs!$F$79)/100*(1/12)*1</f>
        <v/>
      </c>
      <c r="AV33" s="13">
        <f>Construction!AV14*AV28*(Construction!AV17+Inputs!$F$79)/100*(1/12)*1</f>
        <v/>
      </c>
      <c r="AW33" s="13">
        <f>Construction!AW14*AW28*(Construction!AW17+Inputs!$F$79)/100*(1/12)*1</f>
        <v/>
      </c>
      <c r="AX33" s="13">
        <f>Construction!AX14*AX28*(Construction!AX17+Inputs!$F$79)/100*(1/12)*1</f>
        <v/>
      </c>
      <c r="AY33" s="13">
        <f>Construction!AY14*AY28*(Construction!AY17+Inputs!$F$79)/100*(1/12)*1</f>
        <v/>
      </c>
      <c r="AZ33" s="13">
        <f>Construction!AZ14*AZ28*(Construction!AZ17+Inputs!$F$79)/100*(1/12)*1</f>
        <v/>
      </c>
      <c r="BA33" s="13">
        <f>Construction!BA14*BA28*(Construction!BA17+Inputs!$F$79)/100*(1/12)*1</f>
        <v/>
      </c>
      <c r="BB33" s="13">
        <f>Construction!BB14*BB28*(Construction!BB17+Inputs!$F$79)/100*(1/12)*1</f>
        <v/>
      </c>
      <c r="BC33" s="13">
        <f>Construction!BC14*BC28*(Construction!BC17+Inputs!$F$79)/100*(1/12)*1</f>
        <v/>
      </c>
      <c r="BD33" s="13">
        <f>Construction!BD14*BD28*(Construction!BD17+Inputs!$F$79)/100*(1/12)*1</f>
        <v/>
      </c>
      <c r="BE33" s="13">
        <f>Construction!BE14*BE28*(Construction!BE17+Inputs!$F$79)/100*(1/12)*1</f>
        <v/>
      </c>
      <c r="BF33" s="13">
        <f>Construction!BF14*BF28*(Construction!BF17+Inputs!$F$79)/100*(1/12)*1</f>
        <v/>
      </c>
      <c r="BG33" s="13">
        <f>Construction!BG14*BG28*(Construction!BG17+Inputs!$F$79)/100*(1/12)*1</f>
        <v/>
      </c>
      <c r="BH33" s="13">
        <f>Construction!BH14*BH28*(Construction!BH17+Inputs!$F$79)/100*(1/12)*1</f>
        <v/>
      </c>
      <c r="BI33" s="13">
        <f>Construction!BI14*BI28*(Construction!BI17+Inputs!$F$79)/100*(1/12)*1</f>
        <v/>
      </c>
      <c r="BJ33" s="13">
        <f>Construction!BJ14*BJ28*(Construction!BJ17+Inputs!$F$79)/100*(1/12)*1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Construction!J14*J29*(Construction!J17+Inputs!$F$80)/100*(1/12)*1</f>
        <v/>
      </c>
      <c r="K34" s="13">
        <f>Construction!K14*K29*(Construction!K17+Inputs!$F$80)/100*(1/12)*1</f>
        <v/>
      </c>
      <c r="L34" s="13">
        <f>Construction!L14*L29*(Construction!L17+Inputs!$F$80)/100*(1/12)*1</f>
        <v/>
      </c>
      <c r="M34" s="13">
        <f>Construction!M14*M29*(Construction!M17+Inputs!$F$80)/100*(1/12)*1</f>
        <v/>
      </c>
      <c r="N34" s="13">
        <f>Construction!N14*N29*(Construction!N17+Inputs!$F$80)/100*(1/12)*1</f>
        <v/>
      </c>
      <c r="O34" s="13">
        <f>Construction!O14*O29*(Construction!O17+Inputs!$F$80)/100*(1/12)*1</f>
        <v/>
      </c>
      <c r="P34" s="13">
        <f>Construction!P14*P29*(Construction!P17+Inputs!$F$80)/100*(1/12)*1</f>
        <v/>
      </c>
      <c r="Q34" s="13">
        <f>Construction!Q14*Q29*(Construction!Q17+Inputs!$F$80)/100*(1/12)*1</f>
        <v/>
      </c>
      <c r="R34" s="13">
        <f>Construction!R14*R29*(Construction!R17+Inputs!$F$80)/100*(1/12)*1</f>
        <v/>
      </c>
      <c r="S34" s="13">
        <f>Construction!S14*S29*(Construction!S17+Inputs!$F$80)/100*(1/12)*1</f>
        <v/>
      </c>
      <c r="T34" s="13">
        <f>Construction!T14*T29*(Construction!T17+Inputs!$F$80)/100*(1/12)*1</f>
        <v/>
      </c>
      <c r="U34" s="13">
        <f>Construction!U14*U29*(Construction!U17+Inputs!$F$80)/100*(1/12)*1</f>
        <v/>
      </c>
      <c r="V34" s="13">
        <f>Construction!V14*V29*(Construction!V17+Inputs!$F$80)/100*(1/12)*1</f>
        <v/>
      </c>
      <c r="W34" s="13">
        <f>Construction!W14*W29*(Construction!W17+Inputs!$F$80)/100*(1/12)*1</f>
        <v/>
      </c>
      <c r="X34" s="13">
        <f>Construction!X14*X29*(Construction!X17+Inputs!$F$80)/100*(1/12)*1</f>
        <v/>
      </c>
      <c r="Y34" s="13">
        <f>Construction!Y14*Y29*(Construction!Y17+Inputs!$F$80)/100*(1/12)*1</f>
        <v/>
      </c>
      <c r="Z34" s="13">
        <f>Construction!Z14*Z29*(Construction!Z17+Inputs!$F$80)/100*(1/12)*1</f>
        <v/>
      </c>
      <c r="AA34" s="13">
        <f>Construction!AA14*AA29*(Construction!AA17+Inputs!$F$80)/100*(1/12)*1</f>
        <v/>
      </c>
      <c r="AB34" s="13">
        <f>Construction!AB14*AB29*(Construction!AB17+Inputs!$F$80)/100*(1/12)*1</f>
        <v/>
      </c>
      <c r="AC34" s="13">
        <f>Construction!AC14*AC29*(Construction!AC17+Inputs!$F$80)/100*(1/12)*1</f>
        <v/>
      </c>
      <c r="AD34" s="13">
        <f>Construction!AD14*AD29*(Construction!AD17+Inputs!$F$80)/100*(1/12)*1</f>
        <v/>
      </c>
      <c r="AE34" s="13">
        <f>Construction!AE14*AE29*(Construction!AE17+Inputs!$F$80)/100*(1/12)*1</f>
        <v/>
      </c>
      <c r="AF34" s="13">
        <f>Construction!AF14*AF29*(Construction!AF17+Inputs!$F$80)/100*(1/12)*1</f>
        <v/>
      </c>
      <c r="AG34" s="13">
        <f>Construction!AG14*AG29*(Construction!AG17+Inputs!$F$80)/100*(1/12)*1</f>
        <v/>
      </c>
      <c r="AH34" s="13">
        <f>Construction!AH14*AH29*(Construction!AH17+Inputs!$F$80)/100*(1/12)*1</f>
        <v/>
      </c>
      <c r="AI34" s="13">
        <f>Construction!AI14*AI29*(Construction!AI17+Inputs!$F$80)/100*(1/12)*1</f>
        <v/>
      </c>
      <c r="AJ34" s="13">
        <f>Construction!AJ14*AJ29*(Construction!AJ17+Inputs!$F$80)/100*(1/12)*1</f>
        <v/>
      </c>
      <c r="AK34" s="13">
        <f>Construction!AK14*AK29*(Construction!AK17+Inputs!$F$80)/100*(1/12)*1</f>
        <v/>
      </c>
      <c r="AL34" s="13">
        <f>Construction!AL14*AL29*(Construction!AL17+Inputs!$F$80)/100*(1/12)*1</f>
        <v/>
      </c>
      <c r="AM34" s="13">
        <f>Construction!AM14*AM29*(Construction!AM17+Inputs!$F$80)/100*(1/12)*1</f>
        <v/>
      </c>
      <c r="AN34" s="13">
        <f>Construction!AN14*AN29*(Construction!AN17+Inputs!$F$80)/100*(1/12)*1</f>
        <v/>
      </c>
      <c r="AO34" s="13">
        <f>Construction!AO14*AO29*(Construction!AO17+Inputs!$F$80)/100*(1/12)*1</f>
        <v/>
      </c>
      <c r="AP34" s="13">
        <f>Construction!AP14*AP29*(Construction!AP17+Inputs!$F$80)/100*(1/12)*1</f>
        <v/>
      </c>
      <c r="AQ34" s="13">
        <f>Construction!AQ14*AQ29*(Construction!AQ17+Inputs!$F$80)/100*(1/12)*1</f>
        <v/>
      </c>
      <c r="AR34" s="13">
        <f>Construction!AR14*AR29*(Construction!AR17+Inputs!$F$80)/100*(1/12)*1</f>
        <v/>
      </c>
      <c r="AS34" s="13">
        <f>Construction!AS14*AS29*(Construction!AS17+Inputs!$F$80)/100*(1/12)*1</f>
        <v/>
      </c>
      <c r="AT34" s="13">
        <f>Construction!AT14*AT29*(Construction!AT17+Inputs!$F$80)/100*(1/12)*1</f>
        <v/>
      </c>
      <c r="AU34" s="13">
        <f>Construction!AU14*AU29*(Construction!AU17+Inputs!$F$80)/100*(1/12)*1</f>
        <v/>
      </c>
      <c r="AV34" s="13">
        <f>Construction!AV14*AV29*(Construction!AV17+Inputs!$F$80)/100*(1/12)*1</f>
        <v/>
      </c>
      <c r="AW34" s="13">
        <f>Construction!AW14*AW29*(Construction!AW17+Inputs!$F$80)/100*(1/12)*1</f>
        <v/>
      </c>
      <c r="AX34" s="13">
        <f>Construction!AX14*AX29*(Construction!AX17+Inputs!$F$80)/100*(1/12)*1</f>
        <v/>
      </c>
      <c r="AY34" s="13">
        <f>Construction!AY14*AY29*(Construction!AY17+Inputs!$F$80)/100*(1/12)*1</f>
        <v/>
      </c>
      <c r="AZ34" s="13">
        <f>Construction!AZ14*AZ29*(Construction!AZ17+Inputs!$F$80)/100*(1/12)*1</f>
        <v/>
      </c>
      <c r="BA34" s="13">
        <f>Construction!BA14*BA29*(Construction!BA17+Inputs!$F$80)/100*(1/12)*1</f>
        <v/>
      </c>
      <c r="BB34" s="13">
        <f>Construction!BB14*BB29*(Construction!BB17+Inputs!$F$80)/100*(1/12)*1</f>
        <v/>
      </c>
      <c r="BC34" s="13">
        <f>Construction!BC14*BC29*(Construction!BC17+Inputs!$F$80)/100*(1/12)*1</f>
        <v/>
      </c>
      <c r="BD34" s="13">
        <f>Construction!BD14*BD29*(Construction!BD17+Inputs!$F$80)/100*(1/12)*1</f>
        <v/>
      </c>
      <c r="BE34" s="13">
        <f>Construction!BE14*BE29*(Construction!BE17+Inputs!$F$80)/100*(1/12)*1</f>
        <v/>
      </c>
      <c r="BF34" s="13">
        <f>Construction!BF14*BF29*(Construction!BF17+Inputs!$F$80)/100*(1/12)*1</f>
        <v/>
      </c>
      <c r="BG34" s="13">
        <f>Construction!BG14*BG29*(Construction!BG17+Inputs!$F$80)/100*(1/12)*1</f>
        <v/>
      </c>
      <c r="BH34" s="13">
        <f>Construction!BH14*BH29*(Construction!BH17+Inputs!$F$80)/100*(1/12)*1</f>
        <v/>
      </c>
      <c r="BI34" s="13">
        <f>Construction!BI14*BI29*(Construction!BI17+Inputs!$F$80)/100*(1/12)*1</f>
        <v/>
      </c>
      <c r="BJ34" s="13">
        <f>Construction!BJ14*BJ29*(Construction!BJ17+Inputs!$F$80)/100*(1/12)*1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Construction!J14*J30*(Construction!J17+Inputs!$F$81)/100*(1/12)*1</f>
        <v/>
      </c>
      <c r="K35" s="13">
        <f>Construction!K14*K30*(Construction!K17+Inputs!$F$81)/100*(1/12)*1</f>
        <v/>
      </c>
      <c r="L35" s="13">
        <f>Construction!L14*L30*(Construction!L17+Inputs!$F$81)/100*(1/12)*1</f>
        <v/>
      </c>
      <c r="M35" s="13">
        <f>Construction!M14*M30*(Construction!M17+Inputs!$F$81)/100*(1/12)*1</f>
        <v/>
      </c>
      <c r="N35" s="13">
        <f>Construction!N14*N30*(Construction!N17+Inputs!$F$81)/100*(1/12)*1</f>
        <v/>
      </c>
      <c r="O35" s="13">
        <f>Construction!O14*O30*(Construction!O17+Inputs!$F$81)/100*(1/12)*1</f>
        <v/>
      </c>
      <c r="P35" s="13">
        <f>Construction!P14*P30*(Construction!P17+Inputs!$F$81)/100*(1/12)*1</f>
        <v/>
      </c>
      <c r="Q35" s="13">
        <f>Construction!Q14*Q30*(Construction!Q17+Inputs!$F$81)/100*(1/12)*1</f>
        <v/>
      </c>
      <c r="R35" s="13">
        <f>Construction!R14*R30*(Construction!R17+Inputs!$F$81)/100*(1/12)*1</f>
        <v/>
      </c>
      <c r="S35" s="13">
        <f>Construction!S14*S30*(Construction!S17+Inputs!$F$81)/100*(1/12)*1</f>
        <v/>
      </c>
      <c r="T35" s="13">
        <f>Construction!T14*T30*(Construction!T17+Inputs!$F$81)/100*(1/12)*1</f>
        <v/>
      </c>
      <c r="U35" s="13">
        <f>Construction!U14*U30*(Construction!U17+Inputs!$F$81)/100*(1/12)*1</f>
        <v/>
      </c>
      <c r="V35" s="13">
        <f>Construction!V14*V30*(Construction!V17+Inputs!$F$81)/100*(1/12)*1</f>
        <v/>
      </c>
      <c r="W35" s="13">
        <f>Construction!W14*W30*(Construction!W17+Inputs!$F$81)/100*(1/12)*1</f>
        <v/>
      </c>
      <c r="X35" s="13">
        <f>Construction!X14*X30*(Construction!X17+Inputs!$F$81)/100*(1/12)*1</f>
        <v/>
      </c>
      <c r="Y35" s="13">
        <f>Construction!Y14*Y30*(Construction!Y17+Inputs!$F$81)/100*(1/12)*1</f>
        <v/>
      </c>
      <c r="Z35" s="13">
        <f>Construction!Z14*Z30*(Construction!Z17+Inputs!$F$81)/100*(1/12)*1</f>
        <v/>
      </c>
      <c r="AA35" s="13">
        <f>Construction!AA14*AA30*(Construction!AA17+Inputs!$F$81)/100*(1/12)*1</f>
        <v/>
      </c>
      <c r="AB35" s="13">
        <f>Construction!AB14*AB30*(Construction!AB17+Inputs!$F$81)/100*(1/12)*1</f>
        <v/>
      </c>
      <c r="AC35" s="13">
        <f>Construction!AC14*AC30*(Construction!AC17+Inputs!$F$81)/100*(1/12)*1</f>
        <v/>
      </c>
      <c r="AD35" s="13">
        <f>Construction!AD14*AD30*(Construction!AD17+Inputs!$F$81)/100*(1/12)*1</f>
        <v/>
      </c>
      <c r="AE35" s="13">
        <f>Construction!AE14*AE30*(Construction!AE17+Inputs!$F$81)/100*(1/12)*1</f>
        <v/>
      </c>
      <c r="AF35" s="13">
        <f>Construction!AF14*AF30*(Construction!AF17+Inputs!$F$81)/100*(1/12)*1</f>
        <v/>
      </c>
      <c r="AG35" s="13">
        <f>Construction!AG14*AG30*(Construction!AG17+Inputs!$F$81)/100*(1/12)*1</f>
        <v/>
      </c>
      <c r="AH35" s="13">
        <f>Construction!AH14*AH30*(Construction!AH17+Inputs!$F$81)/100*(1/12)*1</f>
        <v/>
      </c>
      <c r="AI35" s="13">
        <f>Construction!AI14*AI30*(Construction!AI17+Inputs!$F$81)/100*(1/12)*1</f>
        <v/>
      </c>
      <c r="AJ35" s="13">
        <f>Construction!AJ14*AJ30*(Construction!AJ17+Inputs!$F$81)/100*(1/12)*1</f>
        <v/>
      </c>
      <c r="AK35" s="13">
        <f>Construction!AK14*AK30*(Construction!AK17+Inputs!$F$81)/100*(1/12)*1</f>
        <v/>
      </c>
      <c r="AL35" s="13">
        <f>Construction!AL14*AL30*(Construction!AL17+Inputs!$F$81)/100*(1/12)*1</f>
        <v/>
      </c>
      <c r="AM35" s="13">
        <f>Construction!AM14*AM30*(Construction!AM17+Inputs!$F$81)/100*(1/12)*1</f>
        <v/>
      </c>
      <c r="AN35" s="13">
        <f>Construction!AN14*AN30*(Construction!AN17+Inputs!$F$81)/100*(1/12)*1</f>
        <v/>
      </c>
      <c r="AO35" s="13">
        <f>Construction!AO14*AO30*(Construction!AO17+Inputs!$F$81)/100*(1/12)*1</f>
        <v/>
      </c>
      <c r="AP35" s="13">
        <f>Construction!AP14*AP30*(Construction!AP17+Inputs!$F$81)/100*(1/12)*1</f>
        <v/>
      </c>
      <c r="AQ35" s="13">
        <f>Construction!AQ14*AQ30*(Construction!AQ17+Inputs!$F$81)/100*(1/12)*1</f>
        <v/>
      </c>
      <c r="AR35" s="13">
        <f>Construction!AR14*AR30*(Construction!AR17+Inputs!$F$81)/100*(1/12)*1</f>
        <v/>
      </c>
      <c r="AS35" s="13">
        <f>Construction!AS14*AS30*(Construction!AS17+Inputs!$F$81)/100*(1/12)*1</f>
        <v/>
      </c>
      <c r="AT35" s="13">
        <f>Construction!AT14*AT30*(Construction!AT17+Inputs!$F$81)/100*(1/12)*1</f>
        <v/>
      </c>
      <c r="AU35" s="13">
        <f>Construction!AU14*AU30*(Construction!AU17+Inputs!$F$81)/100*(1/12)*1</f>
        <v/>
      </c>
      <c r="AV35" s="13">
        <f>Construction!AV14*AV30*(Construction!AV17+Inputs!$F$81)/100*(1/12)*1</f>
        <v/>
      </c>
      <c r="AW35" s="13">
        <f>Construction!AW14*AW30*(Construction!AW17+Inputs!$F$81)/100*(1/12)*1</f>
        <v/>
      </c>
      <c r="AX35" s="13">
        <f>Construction!AX14*AX30*(Construction!AX17+Inputs!$F$81)/100*(1/12)*1</f>
        <v/>
      </c>
      <c r="AY35" s="13">
        <f>Construction!AY14*AY30*(Construction!AY17+Inputs!$F$81)/100*(1/12)*1</f>
        <v/>
      </c>
      <c r="AZ35" s="13">
        <f>Construction!AZ14*AZ30*(Construction!AZ17+Inputs!$F$81)/100*(1/12)*1</f>
        <v/>
      </c>
      <c r="BA35" s="13">
        <f>Construction!BA14*BA30*(Construction!BA17+Inputs!$F$81)/100*(1/12)*1</f>
        <v/>
      </c>
      <c r="BB35" s="13">
        <f>Construction!BB14*BB30*(Construction!BB17+Inputs!$F$81)/100*(1/12)*1</f>
        <v/>
      </c>
      <c r="BC35" s="13">
        <f>Construction!BC14*BC30*(Construction!BC17+Inputs!$F$81)/100*(1/12)*1</f>
        <v/>
      </c>
      <c r="BD35" s="13">
        <f>Construction!BD14*BD30*(Construction!BD17+Inputs!$F$81)/100*(1/12)*1</f>
        <v/>
      </c>
      <c r="BE35" s="13">
        <f>Construction!BE14*BE30*(Construction!BE17+Inputs!$F$81)/100*(1/12)*1</f>
        <v/>
      </c>
      <c r="BF35" s="13">
        <f>Construction!BF14*BF30*(Construction!BF17+Inputs!$F$81)/100*(1/12)*1</f>
        <v/>
      </c>
      <c r="BG35" s="13">
        <f>Construction!BG14*BG30*(Construction!BG17+Inputs!$F$81)/100*(1/12)*1</f>
        <v/>
      </c>
      <c r="BH35" s="13">
        <f>Construction!BH14*BH30*(Construction!BH17+Inputs!$F$81)/100*(1/12)*1</f>
        <v/>
      </c>
      <c r="BI35" s="13">
        <f>Construction!BI14*BI30*(Construction!BI17+Inputs!$F$81)/100*(1/12)*1</f>
        <v/>
      </c>
      <c r="BJ35" s="13">
        <f>Construction!BJ14*BJ30*(Construction!BJ17+Inputs!$F$81)/100*(1/12)*1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Construction!J14*J31*(Construction!J17+Inputs!$F$82)/100*(1/12)*(1/(1-Inputs!$F$93/100))</f>
        <v/>
      </c>
      <c r="K36" s="13">
        <f>Construction!K14*K31*(Construction!K17+Inputs!$F$82)/100*(1/12)*(1/(1-Inputs!$F$93/100))</f>
        <v/>
      </c>
      <c r="L36" s="13">
        <f>Construction!L14*L31*(Construction!L17+Inputs!$F$82)/100*(1/12)*(1/(1-Inputs!$F$93/100))</f>
        <v/>
      </c>
      <c r="M36" s="13">
        <f>Construction!M14*M31*(Construction!M17+Inputs!$F$82)/100*(1/12)*(1/(1-Inputs!$F$93/100))</f>
        <v/>
      </c>
      <c r="N36" s="13">
        <f>Construction!N14*N31*(Construction!N17+Inputs!$F$82)/100*(1/12)*(1/(1-Inputs!$F$93/100))</f>
        <v/>
      </c>
      <c r="O36" s="13">
        <f>Construction!O14*O31*(Construction!O17+Inputs!$F$82)/100*(1/12)*(1/(1-Inputs!$F$93/100))</f>
        <v/>
      </c>
      <c r="P36" s="13">
        <f>Construction!P14*P31*(Construction!P17+Inputs!$F$82)/100*(1/12)*(1/(1-Inputs!$F$93/100))</f>
        <v/>
      </c>
      <c r="Q36" s="13">
        <f>Construction!Q14*Q31*(Construction!Q17+Inputs!$F$82)/100*(1/12)*(1/(1-Inputs!$F$93/100))</f>
        <v/>
      </c>
      <c r="R36" s="13">
        <f>Construction!R14*R31*(Construction!R17+Inputs!$F$82)/100*(1/12)*(1/(1-Inputs!$F$93/100))</f>
        <v/>
      </c>
      <c r="S36" s="13">
        <f>Construction!S14*S31*(Construction!S17+Inputs!$F$82)/100*(1/12)*(1/(1-Inputs!$F$93/100))</f>
        <v/>
      </c>
      <c r="T36" s="13">
        <f>Construction!T14*T31*(Construction!T17+Inputs!$F$82)/100*(1/12)*(1/(1-Inputs!$F$93/100))</f>
        <v/>
      </c>
      <c r="U36" s="13">
        <f>Construction!U14*U31*(Construction!U17+Inputs!$F$82)/100*(1/12)*(1/(1-Inputs!$F$93/100))</f>
        <v/>
      </c>
      <c r="V36" s="13">
        <f>Construction!V14*V31*(Construction!V17+Inputs!$F$82)/100*(1/12)*(1/(1-Inputs!$F$93/100))</f>
        <v/>
      </c>
      <c r="W36" s="13">
        <f>Construction!W14*W31*(Construction!W17+Inputs!$F$82)/100*(1/12)*(1/(1-Inputs!$F$93/100))</f>
        <v/>
      </c>
      <c r="X36" s="13">
        <f>Construction!X14*X31*(Construction!X17+Inputs!$F$82)/100*(1/12)*(1/(1-Inputs!$F$93/100))</f>
        <v/>
      </c>
      <c r="Y36" s="13">
        <f>Construction!Y14*Y31*(Construction!Y17+Inputs!$F$82)/100*(1/12)*(1/(1-Inputs!$F$93/100))</f>
        <v/>
      </c>
      <c r="Z36" s="13">
        <f>Construction!Z14*Z31*(Construction!Z17+Inputs!$F$82)/100*(1/12)*(1/(1-Inputs!$F$93/100))</f>
        <v/>
      </c>
      <c r="AA36" s="13">
        <f>Construction!AA14*AA31*(Construction!AA17+Inputs!$F$82)/100*(1/12)*(1/(1-Inputs!$F$93/100))</f>
        <v/>
      </c>
      <c r="AB36" s="13">
        <f>Construction!AB14*AB31*(Construction!AB17+Inputs!$F$82)/100*(1/12)*(1/(1-Inputs!$F$93/100))</f>
        <v/>
      </c>
      <c r="AC36" s="13">
        <f>Construction!AC14*AC31*(Construction!AC17+Inputs!$F$82)/100*(1/12)*(1/(1-Inputs!$F$93/100))</f>
        <v/>
      </c>
      <c r="AD36" s="13">
        <f>Construction!AD14*AD31*(Construction!AD17+Inputs!$F$82)/100*(1/12)*(1/(1-Inputs!$F$93/100))</f>
        <v/>
      </c>
      <c r="AE36" s="13">
        <f>Construction!AE14*AE31*(Construction!AE17+Inputs!$F$82)/100*(1/12)*(1/(1-Inputs!$F$93/100))</f>
        <v/>
      </c>
      <c r="AF36" s="13">
        <f>Construction!AF14*AF31*(Construction!AF17+Inputs!$F$82)/100*(1/12)*(1/(1-Inputs!$F$93/100))</f>
        <v/>
      </c>
      <c r="AG36" s="13">
        <f>Construction!AG14*AG31*(Construction!AG17+Inputs!$F$82)/100*(1/12)*(1/(1-Inputs!$F$93/100))</f>
        <v/>
      </c>
      <c r="AH36" s="13">
        <f>Construction!AH14*AH31*(Construction!AH17+Inputs!$F$82)/100*(1/12)*(1/(1-Inputs!$F$93/100))</f>
        <v/>
      </c>
      <c r="AI36" s="13">
        <f>Construction!AI14*AI31*(Construction!AI17+Inputs!$F$82)/100*(1/12)*(1/(1-Inputs!$F$93/100))</f>
        <v/>
      </c>
      <c r="AJ36" s="13">
        <f>Construction!AJ14*AJ31*(Construction!AJ17+Inputs!$F$82)/100*(1/12)*(1/(1-Inputs!$F$93/100))</f>
        <v/>
      </c>
      <c r="AK36" s="13">
        <f>Construction!AK14*AK31*(Construction!AK17+Inputs!$F$82)/100*(1/12)*(1/(1-Inputs!$F$93/100))</f>
        <v/>
      </c>
      <c r="AL36" s="13">
        <f>Construction!AL14*AL31*(Construction!AL17+Inputs!$F$82)/100*(1/12)*(1/(1-Inputs!$F$93/100))</f>
        <v/>
      </c>
      <c r="AM36" s="13">
        <f>Construction!AM14*AM31*(Construction!AM17+Inputs!$F$82)/100*(1/12)*(1/(1-Inputs!$F$93/100))</f>
        <v/>
      </c>
      <c r="AN36" s="13">
        <f>Construction!AN14*AN31*(Construction!AN17+Inputs!$F$82)/100*(1/12)*(1/(1-Inputs!$F$93/100))</f>
        <v/>
      </c>
      <c r="AO36" s="13">
        <f>Construction!AO14*AO31*(Construction!AO17+Inputs!$F$82)/100*(1/12)*(1/(1-Inputs!$F$93/100))</f>
        <v/>
      </c>
      <c r="AP36" s="13">
        <f>Construction!AP14*AP31*(Construction!AP17+Inputs!$F$82)/100*(1/12)*(1/(1-Inputs!$F$93/100))</f>
        <v/>
      </c>
      <c r="AQ36" s="13">
        <f>Construction!AQ14*AQ31*(Construction!AQ17+Inputs!$F$82)/100*(1/12)*(1/(1-Inputs!$F$93/100))</f>
        <v/>
      </c>
      <c r="AR36" s="13">
        <f>Construction!AR14*AR31*(Construction!AR17+Inputs!$F$82)/100*(1/12)*(1/(1-Inputs!$F$93/100))</f>
        <v/>
      </c>
      <c r="AS36" s="13">
        <f>Construction!AS14*AS31*(Construction!AS17+Inputs!$F$82)/100*(1/12)*(1/(1-Inputs!$F$93/100))</f>
        <v/>
      </c>
      <c r="AT36" s="13">
        <f>Construction!AT14*AT31*(Construction!AT17+Inputs!$F$82)/100*(1/12)*(1/(1-Inputs!$F$93/100))</f>
        <v/>
      </c>
      <c r="AU36" s="13">
        <f>Construction!AU14*AU31*(Construction!AU17+Inputs!$F$82)/100*(1/12)*(1/(1-Inputs!$F$93/100))</f>
        <v/>
      </c>
      <c r="AV36" s="13">
        <f>Construction!AV14*AV31*(Construction!AV17+Inputs!$F$82)/100*(1/12)*(1/(1-Inputs!$F$93/100))</f>
        <v/>
      </c>
      <c r="AW36" s="13">
        <f>Construction!AW14*AW31*(Construction!AW17+Inputs!$F$82)/100*(1/12)*(1/(1-Inputs!$F$93/100))</f>
        <v/>
      </c>
      <c r="AX36" s="13">
        <f>Construction!AX14*AX31*(Construction!AX17+Inputs!$F$82)/100*(1/12)*(1/(1-Inputs!$F$93/100))</f>
        <v/>
      </c>
      <c r="AY36" s="13">
        <f>Construction!AY14*AY31*(Construction!AY17+Inputs!$F$82)/100*(1/12)*(1/(1-Inputs!$F$93/100))</f>
        <v/>
      </c>
      <c r="AZ36" s="13">
        <f>Construction!AZ14*AZ31*(Construction!AZ17+Inputs!$F$82)/100*(1/12)*(1/(1-Inputs!$F$93/100))</f>
        <v/>
      </c>
      <c r="BA36" s="13">
        <f>Construction!BA14*BA31*(Construction!BA17+Inputs!$F$82)/100*(1/12)*(1/(1-Inputs!$F$93/100))</f>
        <v/>
      </c>
      <c r="BB36" s="13">
        <f>Construction!BB14*BB31*(Construction!BB17+Inputs!$F$82)/100*(1/12)*(1/(1-Inputs!$F$93/100))</f>
        <v/>
      </c>
      <c r="BC36" s="13">
        <f>Construction!BC14*BC31*(Construction!BC17+Inputs!$F$82)/100*(1/12)*(1/(1-Inputs!$F$93/100))</f>
        <v/>
      </c>
      <c r="BD36" s="13">
        <f>Construction!BD14*BD31*(Construction!BD17+Inputs!$F$82)/100*(1/12)*(1/(1-Inputs!$F$93/100))</f>
        <v/>
      </c>
      <c r="BE36" s="13">
        <f>Construction!BE14*BE31*(Construction!BE17+Inputs!$F$82)/100*(1/12)*(1/(1-Inputs!$F$93/100))</f>
        <v/>
      </c>
      <c r="BF36" s="13">
        <f>Construction!BF14*BF31*(Construction!BF17+Inputs!$F$82)/100*(1/12)*(1/(1-Inputs!$F$93/100))</f>
        <v/>
      </c>
      <c r="BG36" s="13">
        <f>Construction!BG14*BG31*(Construction!BG17+Inputs!$F$82)/100*(1/12)*(1/(1-Inputs!$F$93/100))</f>
        <v/>
      </c>
      <c r="BH36" s="13">
        <f>Construction!BH14*BH31*(Construction!BH17+Inputs!$F$82)/100*(1/12)*(1/(1-Inputs!$F$93/100))</f>
        <v/>
      </c>
      <c r="BI36" s="13">
        <f>Construction!BI14*BI31*(Construction!BI17+Inputs!$F$82)/100*(1/12)*(1/(1-Inputs!$F$93/100))</f>
        <v/>
      </c>
      <c r="BJ36" s="13">
        <f>Construction!BJ14*BJ31*(Construction!BJ17+Inputs!$F$82)/100*(1/12)*(1/(1-Inputs!$F$93/100))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-1*Construction!J14*Inputs!J309*(Inputs!$F$97/100/12-Construction!J17/100*Construction!J11/Inputs!$F$247)</f>
        <v/>
      </c>
      <c r="K39" s="13">
        <f>-1*Construction!K14*Inputs!K309*(Inputs!$F$97/100/12-Construction!K17/100*Construction!K11/Inputs!$F$247)</f>
        <v/>
      </c>
      <c r="L39" s="13">
        <f>-1*Construction!L14*Inputs!L309*(Inputs!$F$97/100/12-Construction!L17/100*Construction!L11/Inputs!$F$247)</f>
        <v/>
      </c>
      <c r="M39" s="13">
        <f>-1*Construction!M14*Inputs!M309*(Inputs!$F$97/100/12-Construction!M17/100*Construction!M11/Inputs!$F$247)</f>
        <v/>
      </c>
      <c r="N39" s="13">
        <f>-1*Construction!N14*Inputs!N309*(Inputs!$F$97/100/12-Construction!N17/100*Construction!N11/Inputs!$F$247)</f>
        <v/>
      </c>
      <c r="O39" s="13">
        <f>-1*Construction!O14*Inputs!O309*(Inputs!$F$97/100/12-Construction!O17/100*Construction!O11/Inputs!$F$247)</f>
        <v/>
      </c>
      <c r="P39" s="13">
        <f>-1*Construction!P14*Inputs!P309*(Inputs!$F$97/100/12-Construction!P17/100*Construction!P11/Inputs!$F$247)</f>
        <v/>
      </c>
      <c r="Q39" s="13">
        <f>-1*Construction!Q14*Inputs!Q309*(Inputs!$F$97/100/12-Construction!Q17/100*Construction!Q11/Inputs!$F$247)</f>
        <v/>
      </c>
      <c r="R39" s="13">
        <f>-1*Construction!R14*Inputs!R309*(Inputs!$F$97/100/12-Construction!R17/100*Construction!R11/Inputs!$F$247)</f>
        <v/>
      </c>
      <c r="S39" s="13">
        <f>-1*Construction!S14*Inputs!S309*(Inputs!$F$97/100/12-Construction!S17/100*Construction!S11/Inputs!$F$247)</f>
        <v/>
      </c>
      <c r="T39" s="13">
        <f>-1*Construction!T14*Inputs!T309*(Inputs!$F$97/100/12-Construction!T17/100*Construction!T11/Inputs!$F$247)</f>
        <v/>
      </c>
      <c r="U39" s="13">
        <f>-1*Construction!U14*Inputs!U309*(Inputs!$F$97/100/12-Construction!U17/100*Construction!U11/Inputs!$F$247)</f>
        <v/>
      </c>
      <c r="V39" s="13">
        <f>-1*Construction!V14*Inputs!V309*(Inputs!$F$97/100/12-Construction!V17/100*Construction!V11/Inputs!$F$247)</f>
        <v/>
      </c>
      <c r="W39" s="13">
        <f>-1*Construction!W14*Inputs!W309*(Inputs!$F$97/100/12-Construction!W17/100*Construction!W11/Inputs!$F$247)</f>
        <v/>
      </c>
      <c r="X39" s="13">
        <f>-1*Construction!X14*Inputs!X309*(Inputs!$F$97/100/12-Construction!X17/100*Construction!X11/Inputs!$F$247)</f>
        <v/>
      </c>
      <c r="Y39" s="13">
        <f>-1*Construction!Y14*Inputs!Y309*(Inputs!$F$97/100/12-Construction!Y17/100*Construction!Y11/Inputs!$F$247)</f>
        <v/>
      </c>
      <c r="Z39" s="13">
        <f>-1*Construction!Z14*Inputs!Z309*(Inputs!$F$97/100/12-Construction!Z17/100*Construction!Z11/Inputs!$F$247)</f>
        <v/>
      </c>
      <c r="AA39" s="13">
        <f>-1*Construction!AA14*Inputs!AA309*(Inputs!$F$97/100/12-Construction!AA17/100*Construction!AA11/Inputs!$F$247)</f>
        <v/>
      </c>
      <c r="AB39" s="13">
        <f>-1*Construction!AB14*Inputs!AB309*(Inputs!$F$97/100/12-Construction!AB17/100*Construction!AB11/Inputs!$F$247)</f>
        <v/>
      </c>
      <c r="AC39" s="13">
        <f>-1*Construction!AC14*Inputs!AC309*(Inputs!$F$97/100/12-Construction!AC17/100*Construction!AC11/Inputs!$F$247)</f>
        <v/>
      </c>
      <c r="AD39" s="13">
        <f>-1*Construction!AD14*Inputs!AD309*(Inputs!$F$97/100/12-Construction!AD17/100*Construction!AD11/Inputs!$F$247)</f>
        <v/>
      </c>
      <c r="AE39" s="13">
        <f>-1*Construction!AE14*Inputs!AE309*(Inputs!$F$97/100/12-Construction!AE17/100*Construction!AE11/Inputs!$F$247)</f>
        <v/>
      </c>
      <c r="AF39" s="13">
        <f>-1*Construction!AF14*Inputs!AF309*(Inputs!$F$97/100/12-Construction!AF17/100*Construction!AF11/Inputs!$F$247)</f>
        <v/>
      </c>
      <c r="AG39" s="13">
        <f>-1*Construction!AG14*Inputs!AG309*(Inputs!$F$97/100/12-Construction!AG17/100*Construction!AG11/Inputs!$F$247)</f>
        <v/>
      </c>
      <c r="AH39" s="13">
        <f>-1*Construction!AH14*Inputs!AH309*(Inputs!$F$97/100/12-Construction!AH17/100*Construction!AH11/Inputs!$F$247)</f>
        <v/>
      </c>
      <c r="AI39" s="13">
        <f>-1*Construction!AI14*Inputs!AI309*(Inputs!$F$97/100/12-Construction!AI17/100*Construction!AI11/Inputs!$F$247)</f>
        <v/>
      </c>
      <c r="AJ39" s="13">
        <f>-1*Construction!AJ14*Inputs!AJ309*(Inputs!$F$97/100/12-Construction!AJ17/100*Construction!AJ11/Inputs!$F$247)</f>
        <v/>
      </c>
      <c r="AK39" s="13">
        <f>-1*Construction!AK14*Inputs!AK309*(Inputs!$F$97/100/12-Construction!AK17/100*Construction!AK11/Inputs!$F$247)</f>
        <v/>
      </c>
      <c r="AL39" s="13">
        <f>-1*Construction!AL14*Inputs!AL309*(Inputs!$F$97/100/12-Construction!AL17/100*Construction!AL11/Inputs!$F$247)</f>
        <v/>
      </c>
      <c r="AM39" s="13">
        <f>-1*Construction!AM14*Inputs!AM309*(Inputs!$F$97/100/12-Construction!AM17/100*Construction!AM11/Inputs!$F$247)</f>
        <v/>
      </c>
      <c r="AN39" s="13">
        <f>-1*Construction!AN14*Inputs!AN309*(Inputs!$F$97/100/12-Construction!AN17/100*Construction!AN11/Inputs!$F$247)</f>
        <v/>
      </c>
      <c r="AO39" s="13">
        <f>-1*Construction!AO14*Inputs!AO309*(Inputs!$F$97/100/12-Construction!AO17/100*Construction!AO11/Inputs!$F$247)</f>
        <v/>
      </c>
      <c r="AP39" s="13">
        <f>-1*Construction!AP14*Inputs!AP309*(Inputs!$F$97/100/12-Construction!AP17/100*Construction!AP11/Inputs!$F$247)</f>
        <v/>
      </c>
      <c r="AQ39" s="13">
        <f>-1*Construction!AQ14*Inputs!AQ309*(Inputs!$F$97/100/12-Construction!AQ17/100*Construction!AQ11/Inputs!$F$247)</f>
        <v/>
      </c>
      <c r="AR39" s="13">
        <f>-1*Construction!AR14*Inputs!AR309*(Inputs!$F$97/100/12-Construction!AR17/100*Construction!AR11/Inputs!$F$247)</f>
        <v/>
      </c>
      <c r="AS39" s="13">
        <f>-1*Construction!AS14*Inputs!AS309*(Inputs!$F$97/100/12-Construction!AS17/100*Construction!AS11/Inputs!$F$247)</f>
        <v/>
      </c>
      <c r="AT39" s="13">
        <f>-1*Construction!AT14*Inputs!AT309*(Inputs!$F$97/100/12-Construction!AT17/100*Construction!AT11/Inputs!$F$247)</f>
        <v/>
      </c>
      <c r="AU39" s="13">
        <f>-1*Construction!AU14*Inputs!AU309*(Inputs!$F$97/100/12-Construction!AU17/100*Construction!AU11/Inputs!$F$247)</f>
        <v/>
      </c>
      <c r="AV39" s="13">
        <f>-1*Construction!AV14*Inputs!AV309*(Inputs!$F$97/100/12-Construction!AV17/100*Construction!AV11/Inputs!$F$247)</f>
        <v/>
      </c>
      <c r="AW39" s="13">
        <f>-1*Construction!AW14*Inputs!AW309*(Inputs!$F$97/100/12-Construction!AW17/100*Construction!AW11/Inputs!$F$247)</f>
        <v/>
      </c>
      <c r="AX39" s="13">
        <f>-1*Construction!AX14*Inputs!AX309*(Inputs!$F$97/100/12-Construction!AX17/100*Construction!AX11/Inputs!$F$247)</f>
        <v/>
      </c>
      <c r="AY39" s="13">
        <f>-1*Construction!AY14*Inputs!AY309*(Inputs!$F$97/100/12-Construction!AY17/100*Construction!AY11/Inputs!$F$247)</f>
        <v/>
      </c>
      <c r="AZ39" s="13">
        <f>-1*Construction!AZ14*Inputs!AZ309*(Inputs!$F$97/100/12-Construction!AZ17/100*Construction!AZ11/Inputs!$F$247)</f>
        <v/>
      </c>
      <c r="BA39" s="13">
        <f>-1*Construction!BA14*Inputs!BA309*(Inputs!$F$97/100/12-Construction!BA17/100*Construction!BA11/Inputs!$F$247)</f>
        <v/>
      </c>
      <c r="BB39" s="13">
        <f>-1*Construction!BB14*Inputs!BB309*(Inputs!$F$97/100/12-Construction!BB17/100*Construction!BB11/Inputs!$F$247)</f>
        <v/>
      </c>
      <c r="BC39" s="13">
        <f>-1*Construction!BC14*Inputs!BC309*(Inputs!$F$97/100/12-Construction!BC17/100*Construction!BC11/Inputs!$F$247)</f>
        <v/>
      </c>
      <c r="BD39" s="13">
        <f>-1*Construction!BD14*Inputs!BD309*(Inputs!$F$97/100/12-Construction!BD17/100*Construction!BD11/Inputs!$F$247)</f>
        <v/>
      </c>
      <c r="BE39" s="13">
        <f>-1*Construction!BE14*Inputs!BE309*(Inputs!$F$97/100/12-Construction!BE17/100*Construction!BE11/Inputs!$F$247)</f>
        <v/>
      </c>
      <c r="BF39" s="13">
        <f>-1*Construction!BF14*Inputs!BF309*(Inputs!$F$97/100/12-Construction!BF17/100*Construction!BF11/Inputs!$F$247)</f>
        <v/>
      </c>
      <c r="BG39" s="13">
        <f>-1*Construction!BG14*Inputs!BG309*(Inputs!$F$97/100/12-Construction!BG17/100*Construction!BG11/Inputs!$F$247)</f>
        <v/>
      </c>
      <c r="BH39" s="13">
        <f>-1*Construction!BH14*Inputs!BH309*(Inputs!$F$97/100/12-Construction!BH17/100*Construction!BH11/Inputs!$F$247)</f>
        <v/>
      </c>
      <c r="BI39" s="13">
        <f>-1*Construction!BI14*Inputs!BI309*(Inputs!$F$97/100/12-Construction!BI17/100*Construction!BI11/Inputs!$F$247)</f>
        <v/>
      </c>
      <c r="BJ39" s="13">
        <f>-1*Construction!BJ14*Inputs!BJ309*(Inputs!$F$97/100/12-Construction!BJ17/100*Construction!BJ11/Inputs!$F$247)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MIN(($F$26*(J45-J44)+J44)/(1-Inputs!$F$94/100*Inputs!$F$75*$F$26),J46)</f>
        <v/>
      </c>
      <c r="K47" s="13">
        <f>MIN(($F$26*(K45-K44)+K44)/(1-Inputs!$F$94/100*Inputs!$F$75*$F$26),K46)</f>
        <v/>
      </c>
      <c r="L47" s="13">
        <f>MIN(($F$26*(L45-L44)+L44)/(1-Inputs!$F$94/100*Inputs!$F$75*$F$26),L46)</f>
        <v/>
      </c>
      <c r="M47" s="13">
        <f>MIN(($F$26*(M45-M44)+M44)/(1-Inputs!$F$94/100*Inputs!$F$75*$F$26),M46)</f>
        <v/>
      </c>
      <c r="N47" s="13">
        <f>MIN(($F$26*(N45-N44)+N44)/(1-Inputs!$F$94/100*Inputs!$F$75*$F$26),N46)</f>
        <v/>
      </c>
      <c r="O47" s="13">
        <f>MIN(($F$26*(O45-O44)+O44)/(1-Inputs!$F$94/100*Inputs!$F$75*$F$26),O46)</f>
        <v/>
      </c>
      <c r="P47" s="13">
        <f>MIN(($F$26*(P45-P44)+P44)/(1-Inputs!$F$94/100*Inputs!$F$75*$F$26),P46)</f>
        <v/>
      </c>
      <c r="Q47" s="13">
        <f>MIN(($F$26*(Q45-Q44)+Q44)/(1-Inputs!$F$94/100*Inputs!$F$75*$F$26),Q46)</f>
        <v/>
      </c>
      <c r="R47" s="13">
        <f>MIN(($F$26*(R45-R44)+R44)/(1-Inputs!$F$94/100*Inputs!$F$75*$F$26),R46)</f>
        <v/>
      </c>
      <c r="S47" s="13">
        <f>MIN(($F$26*(S45-S44)+S44)/(1-Inputs!$F$94/100*Inputs!$F$75*$F$26),S46)</f>
        <v/>
      </c>
      <c r="T47" s="13">
        <f>MIN(($F$26*(T45-T44)+T44)/(1-Inputs!$F$94/100*Inputs!$F$75*$F$26),T46)</f>
        <v/>
      </c>
      <c r="U47" s="13">
        <f>MIN(($F$26*(U45-U44)+U44)/(1-Inputs!$F$94/100*Inputs!$F$75*$F$26),U46)</f>
        <v/>
      </c>
      <c r="V47" s="13">
        <f>MIN(($F$26*(V45-V44)+V44)/(1-Inputs!$F$94/100*Inputs!$F$75*$F$26),V46)</f>
        <v/>
      </c>
      <c r="W47" s="13">
        <f>MIN(($F$26*(W45-W44)+W44)/(1-Inputs!$F$94/100*Inputs!$F$75*$F$26),W46)</f>
        <v/>
      </c>
      <c r="X47" s="13">
        <f>MIN(($F$26*(X45-X44)+X44)/(1-Inputs!$F$94/100*Inputs!$F$75*$F$26),X46)</f>
        <v/>
      </c>
      <c r="Y47" s="13">
        <f>MIN(($F$26*(Y45-Y44)+Y44)/(1-Inputs!$F$94/100*Inputs!$F$75*$F$26),Y46)</f>
        <v/>
      </c>
      <c r="Z47" s="13">
        <f>MIN(($F$26*(Z45-Z44)+Z44)/(1-Inputs!$F$94/100*Inputs!$F$75*$F$26),Z46)</f>
        <v/>
      </c>
      <c r="AA47" s="13">
        <f>MIN(($F$26*(AA45-AA44)+AA44)/(1-Inputs!$F$94/100*Inputs!$F$75*$F$26),AA46)</f>
        <v/>
      </c>
      <c r="AB47" s="13">
        <f>MIN(($F$26*(AB45-AB44)+AB44)/(1-Inputs!$F$94/100*Inputs!$F$75*$F$26),AB46)</f>
        <v/>
      </c>
      <c r="AC47" s="13">
        <f>MIN(($F$26*(AC45-AC44)+AC44)/(1-Inputs!$F$94/100*Inputs!$F$75*$F$26),AC46)</f>
        <v/>
      </c>
      <c r="AD47" s="13">
        <f>MIN(($F$26*(AD45-AD44)+AD44)/(1-Inputs!$F$94/100*Inputs!$F$75*$F$26),AD46)</f>
        <v/>
      </c>
      <c r="AE47" s="13">
        <f>MIN(($F$26*(AE45-AE44)+AE44)/(1-Inputs!$F$94/100*Inputs!$F$75*$F$26),AE46)</f>
        <v/>
      </c>
      <c r="AF47" s="13">
        <f>MIN(($F$26*(AF45-AF44)+AF44)/(1-Inputs!$F$94/100*Inputs!$F$75*$F$26),AF46)</f>
        <v/>
      </c>
      <c r="AG47" s="13">
        <f>MIN(($F$26*(AG45-AG44)+AG44)/(1-Inputs!$F$94/100*Inputs!$F$75*$F$26),AG46)</f>
        <v/>
      </c>
      <c r="AH47" s="13">
        <f>MIN(($F$26*(AH45-AH44)+AH44)/(1-Inputs!$F$94/100*Inputs!$F$75*$F$26),AH46)</f>
        <v/>
      </c>
      <c r="AI47" s="13">
        <f>MIN(($F$26*(AI45-AI44)+AI44)/(1-Inputs!$F$94/100*Inputs!$F$75*$F$26),AI46)</f>
        <v/>
      </c>
      <c r="AJ47" s="13">
        <f>MIN(($F$26*(AJ45-AJ44)+AJ44)/(1-Inputs!$F$94/100*Inputs!$F$75*$F$26),AJ46)</f>
        <v/>
      </c>
      <c r="AK47" s="13">
        <f>MIN(($F$26*(AK45-AK44)+AK44)/(1-Inputs!$F$94/100*Inputs!$F$75*$F$26),AK46)</f>
        <v/>
      </c>
      <c r="AL47" s="13">
        <f>MIN(($F$26*(AL45-AL44)+AL44)/(1-Inputs!$F$94/100*Inputs!$F$75*$F$26),AL46)</f>
        <v/>
      </c>
      <c r="AM47" s="13">
        <f>MIN(($F$26*(AM45-AM44)+AM44)/(1-Inputs!$F$94/100*Inputs!$F$75*$F$26),AM46)</f>
        <v/>
      </c>
      <c r="AN47" s="13">
        <f>MIN(($F$26*(AN45-AN44)+AN44)/(1-Inputs!$F$94/100*Inputs!$F$75*$F$26),AN46)</f>
        <v/>
      </c>
      <c r="AO47" s="13">
        <f>MIN(($F$26*(AO45-AO44)+AO44)/(1-Inputs!$F$94/100*Inputs!$F$75*$F$26),AO46)</f>
        <v/>
      </c>
      <c r="AP47" s="13">
        <f>MIN(($F$26*(AP45-AP44)+AP44)/(1-Inputs!$F$94/100*Inputs!$F$75*$F$26),AP46)</f>
        <v/>
      </c>
      <c r="AQ47" s="13">
        <f>MIN(($F$26*(AQ45-AQ44)+AQ44)/(1-Inputs!$F$94/100*Inputs!$F$75*$F$26),AQ46)</f>
        <v/>
      </c>
      <c r="AR47" s="13">
        <f>MIN(($F$26*(AR45-AR44)+AR44)/(1-Inputs!$F$94/100*Inputs!$F$75*$F$26),AR46)</f>
        <v/>
      </c>
      <c r="AS47" s="13">
        <f>MIN(($F$26*(AS45-AS44)+AS44)/(1-Inputs!$F$94/100*Inputs!$F$75*$F$26),AS46)</f>
        <v/>
      </c>
      <c r="AT47" s="13">
        <f>MIN(($F$26*(AT45-AT44)+AT44)/(1-Inputs!$F$94/100*Inputs!$F$75*$F$26),AT46)</f>
        <v/>
      </c>
      <c r="AU47" s="13">
        <f>MIN(($F$26*(AU45-AU44)+AU44)/(1-Inputs!$F$94/100*Inputs!$F$75*$F$26),AU46)</f>
        <v/>
      </c>
      <c r="AV47" s="13">
        <f>MIN(($F$26*(AV45-AV44)+AV44)/(1-Inputs!$F$94/100*Inputs!$F$75*$F$26),AV46)</f>
        <v/>
      </c>
      <c r="AW47" s="13">
        <f>MIN(($F$26*(AW45-AW44)+AW44)/(1-Inputs!$F$94/100*Inputs!$F$75*$F$26),AW46)</f>
        <v/>
      </c>
      <c r="AX47" s="13">
        <f>MIN(($F$26*(AX45-AX44)+AX44)/(1-Inputs!$F$94/100*Inputs!$F$75*$F$26),AX46)</f>
        <v/>
      </c>
      <c r="AY47" s="13">
        <f>MIN(($F$26*(AY45-AY44)+AY44)/(1-Inputs!$F$94/100*Inputs!$F$75*$F$26),AY46)</f>
        <v/>
      </c>
      <c r="AZ47" s="13">
        <f>MIN(($F$26*(AZ45-AZ44)+AZ44)/(1-Inputs!$F$94/100*Inputs!$F$75*$F$26),AZ46)</f>
        <v/>
      </c>
      <c r="BA47" s="13">
        <f>MIN(($F$26*(BA45-BA44)+BA44)/(1-Inputs!$F$94/100*Inputs!$F$75*$F$26),BA46)</f>
        <v/>
      </c>
      <c r="BB47" s="13">
        <f>MIN(($F$26*(BB45-BB44)+BB44)/(1-Inputs!$F$94/100*Inputs!$F$75*$F$26),BB46)</f>
        <v/>
      </c>
      <c r="BC47" s="13">
        <f>MIN(($F$26*(BC45-BC44)+BC44)/(1-Inputs!$F$94/100*Inputs!$F$75*$F$26),BC46)</f>
        <v/>
      </c>
      <c r="BD47" s="13">
        <f>MIN(($F$26*(BD45-BD44)+BD44)/(1-Inputs!$F$94/100*Inputs!$F$75*$F$26),BD46)</f>
        <v/>
      </c>
      <c r="BE47" s="13">
        <f>MIN(($F$26*(BE45-BE44)+BE44)/(1-Inputs!$F$94/100*Inputs!$F$75*$F$26),BE46)</f>
        <v/>
      </c>
      <c r="BF47" s="13">
        <f>MIN(($F$26*(BF45-BF44)+BF44)/(1-Inputs!$F$94/100*Inputs!$F$75*$F$26),BF46)</f>
        <v/>
      </c>
      <c r="BG47" s="13">
        <f>MIN(($F$26*(BG45-BG44)+BG44)/(1-Inputs!$F$94/100*Inputs!$F$75*$F$26),BG46)</f>
        <v/>
      </c>
      <c r="BH47" s="13">
        <f>MIN(($F$26*(BH45-BH44)+BH44)/(1-Inputs!$F$94/100*Inputs!$F$75*$F$26),BH46)</f>
        <v/>
      </c>
      <c r="BI47" s="13">
        <f>MIN(($F$26*(BI45-BI44)+BI44)/(1-Inputs!$F$94/100*Inputs!$F$75*$F$26),BI46)</f>
        <v/>
      </c>
      <c r="BJ47" s="13">
        <f>MIN(($F$26*(BJ45-BJ44)+BJ44)/(1-Inputs!$F$94/100*Inputs!$F$75*$F$26),BJ46)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J49</f>
        <v/>
      </c>
      <c r="K50" s="13">
        <f>K49</f>
        <v/>
      </c>
      <c r="L50" s="13">
        <f>L49</f>
        <v/>
      </c>
      <c r="M50" s="13">
        <f>M49</f>
        <v/>
      </c>
      <c r="N50" s="13">
        <f>N49</f>
        <v/>
      </c>
      <c r="O50" s="13">
        <f>O49</f>
        <v/>
      </c>
      <c r="P50" s="13">
        <f>P49</f>
        <v/>
      </c>
      <c r="Q50" s="13">
        <f>Q49</f>
        <v/>
      </c>
      <c r="R50" s="13">
        <f>R49</f>
        <v/>
      </c>
      <c r="S50" s="13">
        <f>S49</f>
        <v/>
      </c>
      <c r="T50" s="13">
        <f>T49</f>
        <v/>
      </c>
      <c r="U50" s="13">
        <f>U49</f>
        <v/>
      </c>
      <c r="V50" s="13">
        <f>V49</f>
        <v/>
      </c>
      <c r="W50" s="13">
        <f>W49</f>
        <v/>
      </c>
      <c r="X50" s="13">
        <f>X49</f>
        <v/>
      </c>
      <c r="Y50" s="13">
        <f>Y49</f>
        <v/>
      </c>
      <c r="Z50" s="13">
        <f>Z49</f>
        <v/>
      </c>
      <c r="AA50" s="13">
        <f>AA49</f>
        <v/>
      </c>
      <c r="AB50" s="13">
        <f>AB49</f>
        <v/>
      </c>
      <c r="AC50" s="13">
        <f>AC49</f>
        <v/>
      </c>
      <c r="AD50" s="13">
        <f>AD49</f>
        <v/>
      </c>
      <c r="AE50" s="13">
        <f>AE49</f>
        <v/>
      </c>
      <c r="AF50" s="13">
        <f>AF49</f>
        <v/>
      </c>
      <c r="AG50" s="13">
        <f>AG49</f>
        <v/>
      </c>
      <c r="AH50" s="13">
        <f>AH49</f>
        <v/>
      </c>
      <c r="AI50" s="13">
        <f>AI49</f>
        <v/>
      </c>
      <c r="AJ50" s="13">
        <f>AJ49</f>
        <v/>
      </c>
      <c r="AK50" s="13">
        <f>AK49</f>
        <v/>
      </c>
      <c r="AL50" s="13">
        <f>AL49</f>
        <v/>
      </c>
      <c r="AM50" s="13">
        <f>AM49</f>
        <v/>
      </c>
      <c r="AN50" s="13">
        <f>AN49</f>
        <v/>
      </c>
      <c r="AO50" s="13">
        <f>AO49</f>
        <v/>
      </c>
      <c r="AP50" s="13">
        <f>AP49</f>
        <v/>
      </c>
      <c r="AQ50" s="13">
        <f>AQ49</f>
        <v/>
      </c>
      <c r="AR50" s="13">
        <f>AR49</f>
        <v/>
      </c>
      <c r="AS50" s="13">
        <f>AS49</f>
        <v/>
      </c>
      <c r="AT50" s="13">
        <f>AT49</f>
        <v/>
      </c>
      <c r="AU50" s="13">
        <f>AU49</f>
        <v/>
      </c>
      <c r="AV50" s="13">
        <f>AV49</f>
        <v/>
      </c>
      <c r="AW50" s="13">
        <f>AW49</f>
        <v/>
      </c>
      <c r="AX50" s="13">
        <f>AX49</f>
        <v/>
      </c>
      <c r="AY50" s="13">
        <f>AY49</f>
        <v/>
      </c>
      <c r="AZ50" s="13">
        <f>AZ49</f>
        <v/>
      </c>
      <c r="BA50" s="13">
        <f>BA49</f>
        <v/>
      </c>
      <c r="BB50" s="13">
        <f>BB49</f>
        <v/>
      </c>
      <c r="BC50" s="13">
        <f>BC49</f>
        <v/>
      </c>
      <c r="BD50" s="13">
        <f>BD49</f>
        <v/>
      </c>
      <c r="BE50" s="13">
        <f>BE49</f>
        <v/>
      </c>
      <c r="BF50" s="13">
        <f>BF49</f>
        <v/>
      </c>
      <c r="BG50" s="13">
        <f>BG49</f>
        <v/>
      </c>
      <c r="BH50" s="13">
        <f>BH49</f>
        <v/>
      </c>
      <c r="BI50" s="13">
        <f>BI49</f>
        <v/>
      </c>
      <c r="BJ50" s="13">
        <f>BJ49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(Operations!J9+Inputs!$F$79+J9)/100*0.5</f>
        <v/>
      </c>
      <c r="K10" s="16">
        <f>(Operations!K9+Inputs!$F$79+K9)/100*0.5</f>
        <v/>
      </c>
      <c r="L10" s="16">
        <f>(Operations!L9+Inputs!$F$79+L9)/100*0.5</f>
        <v/>
      </c>
      <c r="M10" s="16">
        <f>(Operations!M9+Inputs!$F$79+M9)/100*0.5</f>
        <v/>
      </c>
      <c r="N10" s="16">
        <f>(Operations!N9+Inputs!$F$79+N9)/100*0.5</f>
        <v/>
      </c>
      <c r="O10" s="16">
        <f>(Operations!O9+Inputs!$F$79+O9)/100*0.5</f>
        <v/>
      </c>
      <c r="P10" s="16">
        <f>(Operations!P9+Inputs!$F$79+P9)/100*0.5</f>
        <v/>
      </c>
      <c r="Q10" s="16">
        <f>(Operations!Q9+Inputs!$F$79+Q9)/100*0.5</f>
        <v/>
      </c>
      <c r="R10" s="16">
        <f>(Operations!R9+Inputs!$F$79+R9)/100*0.5</f>
        <v/>
      </c>
      <c r="S10" s="16">
        <f>(Operations!S9+Inputs!$F$79+S9)/100*0.5</f>
        <v/>
      </c>
      <c r="T10" s="16">
        <f>(Operations!T9+Inputs!$F$79+T9)/100*0.5</f>
        <v/>
      </c>
      <c r="U10" s="16">
        <f>(Operations!U9+Inputs!$F$79+U9)/100*0.5</f>
        <v/>
      </c>
      <c r="V10" s="16">
        <f>(Operations!V9+Inputs!$F$79+V9)/100*0.5</f>
        <v/>
      </c>
      <c r="W10" s="16">
        <f>(Operations!W9+Inputs!$F$79+W9)/100*0.5</f>
        <v/>
      </c>
      <c r="X10" s="16">
        <f>(Operations!X9+Inputs!$F$79+X9)/100*0.5</f>
        <v/>
      </c>
      <c r="Y10" s="16">
        <f>(Operations!Y9+Inputs!$F$79+Y9)/100*0.5</f>
        <v/>
      </c>
      <c r="Z10" s="16">
        <f>(Operations!Z9+Inputs!$F$79+Z9)/100*0.5</f>
        <v/>
      </c>
      <c r="AA10" s="16">
        <f>(Operations!AA9+Inputs!$F$79+AA9)/100*0.5</f>
        <v/>
      </c>
      <c r="AB10" s="16">
        <f>(Operations!AB9+Inputs!$F$79+AB9)/100*0.5</f>
        <v/>
      </c>
      <c r="AC10" s="16">
        <f>(Operations!AC9+Inputs!$F$79+AC9)/100*0.5</f>
        <v/>
      </c>
      <c r="AD10" s="16">
        <f>(Operations!AD9+Inputs!$F$79+AD9)/100*0.5</f>
        <v/>
      </c>
      <c r="AE10" s="16">
        <f>(Operations!AE9+Inputs!$F$79+AE9)/100*0.5</f>
        <v/>
      </c>
      <c r="AF10" s="16">
        <f>(Operations!AF9+Inputs!$F$79+AF9)/100*0.5</f>
        <v/>
      </c>
      <c r="AG10" s="16">
        <f>(Operations!AG9+Inputs!$F$79+AG9)/100*0.5</f>
        <v/>
      </c>
      <c r="AH10" s="16">
        <f>(Operations!AH9+Inputs!$F$79+AH9)/100*0.5</f>
        <v/>
      </c>
      <c r="AI10" s="16">
        <f>(Operations!AI9+Inputs!$F$79+AI9)/100*0.5</f>
        <v/>
      </c>
      <c r="AJ10" s="16">
        <f>(Operations!AJ9+Inputs!$F$79+AJ9)/100*0.5</f>
        <v/>
      </c>
      <c r="AK10" s="16">
        <f>(Operations!AK9+Inputs!$F$79+AK9)/100*0.5</f>
        <v/>
      </c>
      <c r="AL10" s="16">
        <f>(Operations!AL9+Inputs!$F$79+AL9)/100*0.5</f>
        <v/>
      </c>
      <c r="AM10" s="16">
        <f>(Operations!AM9+Inputs!$F$79+AM9)/100*0.5</f>
        <v/>
      </c>
      <c r="AN10" s="16">
        <f>(Operations!AN9+Inputs!$F$79+AN9)/100*0.5</f>
        <v/>
      </c>
      <c r="AO10" s="16">
        <f>(Operations!AO9+Inputs!$F$79+AO9)/100*0.5</f>
        <v/>
      </c>
      <c r="AP10" s="16">
        <f>(Operations!AP9+Inputs!$F$79+AP9)/100*0.5</f>
        <v/>
      </c>
      <c r="AQ10" s="16">
        <f>(Operations!AQ9+Inputs!$F$79+AQ9)/100*0.5</f>
        <v/>
      </c>
      <c r="AR10" s="16">
        <f>(Operations!AR9+Inputs!$F$79+AR9)/100*0.5</f>
        <v/>
      </c>
      <c r="AS10" s="16">
        <f>(Operations!AS9+Inputs!$F$79+AS9)/100*0.5</f>
        <v/>
      </c>
      <c r="AT10" s="16">
        <f>(Operations!AT9+Inputs!$F$79+AT9)/100*0.5</f>
        <v/>
      </c>
      <c r="AU10" s="16">
        <f>(Operations!AU9+Inputs!$F$79+AU9)/100*0.5</f>
        <v/>
      </c>
      <c r="AV10" s="16">
        <f>(Operations!AV9+Inputs!$F$79+AV9)/100*0.5</f>
        <v/>
      </c>
      <c r="AW10" s="16">
        <f>(Operations!AW9+Inputs!$F$79+AW9)/100*0.5</f>
        <v/>
      </c>
      <c r="AX10" s="16">
        <f>(Operations!AX9+Inputs!$F$79+AX9)/100*0.5</f>
        <v/>
      </c>
      <c r="AY10" s="16">
        <f>(Operations!AY9+Inputs!$F$79+AY9)/100*0.5</f>
        <v/>
      </c>
      <c r="AZ10" s="16">
        <f>(Operations!AZ9+Inputs!$F$79+AZ9)/100*0.5</f>
        <v/>
      </c>
      <c r="BA10" s="16">
        <f>(Operations!BA9+Inputs!$F$79+BA9)/100*0.5</f>
        <v/>
      </c>
      <c r="BB10" s="16">
        <f>(Operations!BB9+Inputs!$F$79+BB9)/100*0.5</f>
        <v/>
      </c>
      <c r="BC10" s="16">
        <f>(Operations!BC9+Inputs!$F$79+BC9)/100*0.5</f>
        <v/>
      </c>
      <c r="BD10" s="16">
        <f>(Operations!BD9+Inputs!$F$79+BD9)/100*0.5</f>
        <v/>
      </c>
      <c r="BE10" s="16">
        <f>(Operations!BE9+Inputs!$F$79+BE9)/100*0.5</f>
        <v/>
      </c>
      <c r="BF10" s="16">
        <f>(Operations!BF9+Inputs!$F$79+BF9)/100*0.5</f>
        <v/>
      </c>
      <c r="BG10" s="16">
        <f>(Operations!BG9+Inputs!$F$79+BG9)/100*0.5</f>
        <v/>
      </c>
      <c r="BH10" s="16">
        <f>(Operations!BH9+Inputs!$F$79+BH9)/100*0.5</f>
        <v/>
      </c>
      <c r="BI10" s="16">
        <f>(Operations!BI9+Inputs!$F$79+BI9)/100*0.5</f>
        <v/>
      </c>
      <c r="BJ10" s="16">
        <f>(Operations!BJ9+Inputs!$F$79+BJ9)/100*0.5</f>
        <v/>
      </c>
      <c r="BK10" s="16">
        <f>(Operations!BK9+Inputs!$F$79+BK9)/100*0.5</f>
        <v/>
      </c>
      <c r="BL10" s="16">
        <f>(Operations!BL9+Inputs!$F$79+BL9)/100*0.5</f>
        <v/>
      </c>
      <c r="BM10" s="16">
        <f>(Operations!BM9+Inputs!$F$79+BM9)/100*0.5</f>
        <v/>
      </c>
      <c r="BN10" s="16">
        <f>(Operations!BN9+Inputs!$F$79+BN9)/100*0.5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(Operations!J9+Inputs!$F$80+J9)/100*0.5</f>
        <v/>
      </c>
      <c r="K11" s="16">
        <f>(Operations!K9+Inputs!$F$80+K9)/100*0.5</f>
        <v/>
      </c>
      <c r="L11" s="16">
        <f>(Operations!L9+Inputs!$F$80+L9)/100*0.5</f>
        <v/>
      </c>
      <c r="M11" s="16">
        <f>(Operations!M9+Inputs!$F$80+M9)/100*0.5</f>
        <v/>
      </c>
      <c r="N11" s="16">
        <f>(Operations!N9+Inputs!$F$80+N9)/100*0.5</f>
        <v/>
      </c>
      <c r="O11" s="16">
        <f>(Operations!O9+Inputs!$F$80+O9)/100*0.5</f>
        <v/>
      </c>
      <c r="P11" s="16">
        <f>(Operations!P9+Inputs!$F$80+P9)/100*0.5</f>
        <v/>
      </c>
      <c r="Q11" s="16">
        <f>(Operations!Q9+Inputs!$F$80+Q9)/100*0.5</f>
        <v/>
      </c>
      <c r="R11" s="16">
        <f>(Operations!R9+Inputs!$F$80+R9)/100*0.5</f>
        <v/>
      </c>
      <c r="S11" s="16">
        <f>(Operations!S9+Inputs!$F$80+S9)/100*0.5</f>
        <v/>
      </c>
      <c r="T11" s="16">
        <f>(Operations!T9+Inputs!$F$80+T9)/100*0.5</f>
        <v/>
      </c>
      <c r="U11" s="16">
        <f>(Operations!U9+Inputs!$F$80+U9)/100*0.5</f>
        <v/>
      </c>
      <c r="V11" s="16">
        <f>(Operations!V9+Inputs!$F$80+V9)/100*0.5</f>
        <v/>
      </c>
      <c r="W11" s="16">
        <f>(Operations!W9+Inputs!$F$80+W9)/100*0.5</f>
        <v/>
      </c>
      <c r="X11" s="16">
        <f>(Operations!X9+Inputs!$F$80+X9)/100*0.5</f>
        <v/>
      </c>
      <c r="Y11" s="16">
        <f>(Operations!Y9+Inputs!$F$80+Y9)/100*0.5</f>
        <v/>
      </c>
      <c r="Z11" s="16">
        <f>(Operations!Z9+Inputs!$F$80+Z9)/100*0.5</f>
        <v/>
      </c>
      <c r="AA11" s="16">
        <f>(Operations!AA9+Inputs!$F$80+AA9)/100*0.5</f>
        <v/>
      </c>
      <c r="AB11" s="16">
        <f>(Operations!AB9+Inputs!$F$80+AB9)/100*0.5</f>
        <v/>
      </c>
      <c r="AC11" s="16">
        <f>(Operations!AC9+Inputs!$F$80+AC9)/100*0.5</f>
        <v/>
      </c>
      <c r="AD11" s="16">
        <f>(Operations!AD9+Inputs!$F$80+AD9)/100*0.5</f>
        <v/>
      </c>
      <c r="AE11" s="16">
        <f>(Operations!AE9+Inputs!$F$80+AE9)/100*0.5</f>
        <v/>
      </c>
      <c r="AF11" s="16">
        <f>(Operations!AF9+Inputs!$F$80+AF9)/100*0.5</f>
        <v/>
      </c>
      <c r="AG11" s="16">
        <f>(Operations!AG9+Inputs!$F$80+AG9)/100*0.5</f>
        <v/>
      </c>
      <c r="AH11" s="16">
        <f>(Operations!AH9+Inputs!$F$80+AH9)/100*0.5</f>
        <v/>
      </c>
      <c r="AI11" s="16">
        <f>(Operations!AI9+Inputs!$F$80+AI9)/100*0.5</f>
        <v/>
      </c>
      <c r="AJ11" s="16">
        <f>(Operations!AJ9+Inputs!$F$80+AJ9)/100*0.5</f>
        <v/>
      </c>
      <c r="AK11" s="16">
        <f>(Operations!AK9+Inputs!$F$80+AK9)/100*0.5</f>
        <v/>
      </c>
      <c r="AL11" s="16">
        <f>(Operations!AL9+Inputs!$F$80+AL9)/100*0.5</f>
        <v/>
      </c>
      <c r="AM11" s="16">
        <f>(Operations!AM9+Inputs!$F$80+AM9)/100*0.5</f>
        <v/>
      </c>
      <c r="AN11" s="16">
        <f>(Operations!AN9+Inputs!$F$80+AN9)/100*0.5</f>
        <v/>
      </c>
      <c r="AO11" s="16">
        <f>(Operations!AO9+Inputs!$F$80+AO9)/100*0.5</f>
        <v/>
      </c>
      <c r="AP11" s="16">
        <f>(Operations!AP9+Inputs!$F$80+AP9)/100*0.5</f>
        <v/>
      </c>
      <c r="AQ11" s="16">
        <f>(Operations!AQ9+Inputs!$F$80+AQ9)/100*0.5</f>
        <v/>
      </c>
      <c r="AR11" s="16">
        <f>(Operations!AR9+Inputs!$F$80+AR9)/100*0.5</f>
        <v/>
      </c>
      <c r="AS11" s="16">
        <f>(Operations!AS9+Inputs!$F$80+AS9)/100*0.5</f>
        <v/>
      </c>
      <c r="AT11" s="16">
        <f>(Operations!AT9+Inputs!$F$80+AT9)/100*0.5</f>
        <v/>
      </c>
      <c r="AU11" s="16">
        <f>(Operations!AU9+Inputs!$F$80+AU9)/100*0.5</f>
        <v/>
      </c>
      <c r="AV11" s="16">
        <f>(Operations!AV9+Inputs!$F$80+AV9)/100*0.5</f>
        <v/>
      </c>
      <c r="AW11" s="16">
        <f>(Operations!AW9+Inputs!$F$80+AW9)/100*0.5</f>
        <v/>
      </c>
      <c r="AX11" s="16">
        <f>(Operations!AX9+Inputs!$F$80+AX9)/100*0.5</f>
        <v/>
      </c>
      <c r="AY11" s="16">
        <f>(Operations!AY9+Inputs!$F$80+AY9)/100*0.5</f>
        <v/>
      </c>
      <c r="AZ11" s="16">
        <f>(Operations!AZ9+Inputs!$F$80+AZ9)/100*0.5</f>
        <v/>
      </c>
      <c r="BA11" s="16">
        <f>(Operations!BA9+Inputs!$F$80+BA9)/100*0.5</f>
        <v/>
      </c>
      <c r="BB11" s="16">
        <f>(Operations!BB9+Inputs!$F$80+BB9)/100*0.5</f>
        <v/>
      </c>
      <c r="BC11" s="16">
        <f>(Operations!BC9+Inputs!$F$80+BC9)/100*0.5</f>
        <v/>
      </c>
      <c r="BD11" s="16">
        <f>(Operations!BD9+Inputs!$F$80+BD9)/100*0.5</f>
        <v/>
      </c>
      <c r="BE11" s="16">
        <f>(Operations!BE9+Inputs!$F$80+BE9)/100*0.5</f>
        <v/>
      </c>
      <c r="BF11" s="16">
        <f>(Operations!BF9+Inputs!$F$80+BF9)/100*0.5</f>
        <v/>
      </c>
      <c r="BG11" s="16">
        <f>(Operations!BG9+Inputs!$F$80+BG9)/100*0.5</f>
        <v/>
      </c>
      <c r="BH11" s="16">
        <f>(Operations!BH9+Inputs!$F$80+BH9)/100*0.5</f>
        <v/>
      </c>
      <c r="BI11" s="16">
        <f>(Operations!BI9+Inputs!$F$80+BI9)/100*0.5</f>
        <v/>
      </c>
      <c r="BJ11" s="16">
        <f>(Operations!BJ9+Inputs!$F$80+BJ9)/100*0.5</f>
        <v/>
      </c>
      <c r="BK11" s="16">
        <f>(Operations!BK9+Inputs!$F$80+BK9)/100*0.5</f>
        <v/>
      </c>
      <c r="BL11" s="16">
        <f>(Operations!BL9+Inputs!$F$80+BL9)/100*0.5</f>
        <v/>
      </c>
      <c r="BM11" s="16">
        <f>(Operations!BM9+Inputs!$F$80+BM9)/100*0.5</f>
        <v/>
      </c>
      <c r="BN11" s="16">
        <f>(Operations!BN9+Inputs!$F$80+BN9)/100*0.5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(Operations!J9+Inputs!$F$81+J9)/100*0.5</f>
        <v/>
      </c>
      <c r="K12" s="16">
        <f>(Operations!K9+Inputs!$F$81+K9)/100*0.5</f>
        <v/>
      </c>
      <c r="L12" s="16">
        <f>(Operations!L9+Inputs!$F$81+L9)/100*0.5</f>
        <v/>
      </c>
      <c r="M12" s="16">
        <f>(Operations!M9+Inputs!$F$81+M9)/100*0.5</f>
        <v/>
      </c>
      <c r="N12" s="16">
        <f>(Operations!N9+Inputs!$F$81+N9)/100*0.5</f>
        <v/>
      </c>
      <c r="O12" s="16">
        <f>(Operations!O9+Inputs!$F$81+O9)/100*0.5</f>
        <v/>
      </c>
      <c r="P12" s="16">
        <f>(Operations!P9+Inputs!$F$81+P9)/100*0.5</f>
        <v/>
      </c>
      <c r="Q12" s="16">
        <f>(Operations!Q9+Inputs!$F$81+Q9)/100*0.5</f>
        <v/>
      </c>
      <c r="R12" s="16">
        <f>(Operations!R9+Inputs!$F$81+R9)/100*0.5</f>
        <v/>
      </c>
      <c r="S12" s="16">
        <f>(Operations!S9+Inputs!$F$81+S9)/100*0.5</f>
        <v/>
      </c>
      <c r="T12" s="16">
        <f>(Operations!T9+Inputs!$F$81+T9)/100*0.5</f>
        <v/>
      </c>
      <c r="U12" s="16">
        <f>(Operations!U9+Inputs!$F$81+U9)/100*0.5</f>
        <v/>
      </c>
      <c r="V12" s="16">
        <f>(Operations!V9+Inputs!$F$81+V9)/100*0.5</f>
        <v/>
      </c>
      <c r="W12" s="16">
        <f>(Operations!W9+Inputs!$F$81+W9)/100*0.5</f>
        <v/>
      </c>
      <c r="X12" s="16">
        <f>(Operations!X9+Inputs!$F$81+X9)/100*0.5</f>
        <v/>
      </c>
      <c r="Y12" s="16">
        <f>(Operations!Y9+Inputs!$F$81+Y9)/100*0.5</f>
        <v/>
      </c>
      <c r="Z12" s="16">
        <f>(Operations!Z9+Inputs!$F$81+Z9)/100*0.5</f>
        <v/>
      </c>
      <c r="AA12" s="16">
        <f>(Operations!AA9+Inputs!$F$81+AA9)/100*0.5</f>
        <v/>
      </c>
      <c r="AB12" s="16">
        <f>(Operations!AB9+Inputs!$F$81+AB9)/100*0.5</f>
        <v/>
      </c>
      <c r="AC12" s="16">
        <f>(Operations!AC9+Inputs!$F$81+AC9)/100*0.5</f>
        <v/>
      </c>
      <c r="AD12" s="16">
        <f>(Operations!AD9+Inputs!$F$81+AD9)/100*0.5</f>
        <v/>
      </c>
      <c r="AE12" s="16">
        <f>(Operations!AE9+Inputs!$F$81+AE9)/100*0.5</f>
        <v/>
      </c>
      <c r="AF12" s="16">
        <f>(Operations!AF9+Inputs!$F$81+AF9)/100*0.5</f>
        <v/>
      </c>
      <c r="AG12" s="16">
        <f>(Operations!AG9+Inputs!$F$81+AG9)/100*0.5</f>
        <v/>
      </c>
      <c r="AH12" s="16">
        <f>(Operations!AH9+Inputs!$F$81+AH9)/100*0.5</f>
        <v/>
      </c>
      <c r="AI12" s="16">
        <f>(Operations!AI9+Inputs!$F$81+AI9)/100*0.5</f>
        <v/>
      </c>
      <c r="AJ12" s="16">
        <f>(Operations!AJ9+Inputs!$F$81+AJ9)/100*0.5</f>
        <v/>
      </c>
      <c r="AK12" s="16">
        <f>(Operations!AK9+Inputs!$F$81+AK9)/100*0.5</f>
        <v/>
      </c>
      <c r="AL12" s="16">
        <f>(Operations!AL9+Inputs!$F$81+AL9)/100*0.5</f>
        <v/>
      </c>
      <c r="AM12" s="16">
        <f>(Operations!AM9+Inputs!$F$81+AM9)/100*0.5</f>
        <v/>
      </c>
      <c r="AN12" s="16">
        <f>(Operations!AN9+Inputs!$F$81+AN9)/100*0.5</f>
        <v/>
      </c>
      <c r="AO12" s="16">
        <f>(Operations!AO9+Inputs!$F$81+AO9)/100*0.5</f>
        <v/>
      </c>
      <c r="AP12" s="16">
        <f>(Operations!AP9+Inputs!$F$81+AP9)/100*0.5</f>
        <v/>
      </c>
      <c r="AQ12" s="16">
        <f>(Operations!AQ9+Inputs!$F$81+AQ9)/100*0.5</f>
        <v/>
      </c>
      <c r="AR12" s="16">
        <f>(Operations!AR9+Inputs!$F$81+AR9)/100*0.5</f>
        <v/>
      </c>
      <c r="AS12" s="16">
        <f>(Operations!AS9+Inputs!$F$81+AS9)/100*0.5</f>
        <v/>
      </c>
      <c r="AT12" s="16">
        <f>(Operations!AT9+Inputs!$F$81+AT9)/100*0.5</f>
        <v/>
      </c>
      <c r="AU12" s="16">
        <f>(Operations!AU9+Inputs!$F$81+AU9)/100*0.5</f>
        <v/>
      </c>
      <c r="AV12" s="16">
        <f>(Operations!AV9+Inputs!$F$81+AV9)/100*0.5</f>
        <v/>
      </c>
      <c r="AW12" s="16">
        <f>(Operations!AW9+Inputs!$F$81+AW9)/100*0.5</f>
        <v/>
      </c>
      <c r="AX12" s="16">
        <f>(Operations!AX9+Inputs!$F$81+AX9)/100*0.5</f>
        <v/>
      </c>
      <c r="AY12" s="16">
        <f>(Operations!AY9+Inputs!$F$81+AY9)/100*0.5</f>
        <v/>
      </c>
      <c r="AZ12" s="16">
        <f>(Operations!AZ9+Inputs!$F$81+AZ9)/100*0.5</f>
        <v/>
      </c>
      <c r="BA12" s="16">
        <f>(Operations!BA9+Inputs!$F$81+BA9)/100*0.5</f>
        <v/>
      </c>
      <c r="BB12" s="16">
        <f>(Operations!BB9+Inputs!$F$81+BB9)/100*0.5</f>
        <v/>
      </c>
      <c r="BC12" s="16">
        <f>(Operations!BC9+Inputs!$F$81+BC9)/100*0.5</f>
        <v/>
      </c>
      <c r="BD12" s="16">
        <f>(Operations!BD9+Inputs!$F$81+BD9)/100*0.5</f>
        <v/>
      </c>
      <c r="BE12" s="16">
        <f>(Operations!BE9+Inputs!$F$81+BE9)/100*0.5</f>
        <v/>
      </c>
      <c r="BF12" s="16">
        <f>(Operations!BF9+Inputs!$F$81+BF9)/100*0.5</f>
        <v/>
      </c>
      <c r="BG12" s="16">
        <f>(Operations!BG9+Inputs!$F$81+BG9)/100*0.5</f>
        <v/>
      </c>
      <c r="BH12" s="16">
        <f>(Operations!BH9+Inputs!$F$81+BH9)/100*0.5</f>
        <v/>
      </c>
      <c r="BI12" s="16">
        <f>(Operations!BI9+Inputs!$F$81+BI9)/100*0.5</f>
        <v/>
      </c>
      <c r="BJ12" s="16">
        <f>(Operations!BJ9+Inputs!$F$81+BJ9)/100*0.5</f>
        <v/>
      </c>
      <c r="BK12" s="16">
        <f>(Operations!BK9+Inputs!$F$81+BK9)/100*0.5</f>
        <v/>
      </c>
      <c r="BL12" s="16">
        <f>(Operations!BL9+Inputs!$F$81+BL9)/100*0.5</f>
        <v/>
      </c>
      <c r="BM12" s="16">
        <f>(Operations!BM9+Inputs!$F$81+BM9)/100*0.5</f>
        <v/>
      </c>
      <c r="BN12" s="16">
        <f>(Operations!BN9+Inputs!$F$81+BN9)/100*0.5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(Operations!J9+J8+J9)/100*0.5/(1-Inputs!$F$93/100)</f>
        <v/>
      </c>
      <c r="K13" s="16">
        <f>(Operations!K9+K8+K9)/100*0.5/(1-Inputs!$F$93/100)</f>
        <v/>
      </c>
      <c r="L13" s="16">
        <f>(Operations!L9+L8+L9)/100*0.5/(1-Inputs!$F$93/100)</f>
        <v/>
      </c>
      <c r="M13" s="16">
        <f>(Operations!M9+M8+M9)/100*0.5/(1-Inputs!$F$93/100)</f>
        <v/>
      </c>
      <c r="N13" s="16">
        <f>(Operations!N9+N8+N9)/100*0.5/(1-Inputs!$F$93/100)</f>
        <v/>
      </c>
      <c r="O13" s="16">
        <f>(Operations!O9+O8+O9)/100*0.5/(1-Inputs!$F$93/100)</f>
        <v/>
      </c>
      <c r="P13" s="16">
        <f>(Operations!P9+P8+P9)/100*0.5/(1-Inputs!$F$93/100)</f>
        <v/>
      </c>
      <c r="Q13" s="16">
        <f>(Operations!Q9+Q8+Q9)/100*0.5/(1-Inputs!$F$93/100)</f>
        <v/>
      </c>
      <c r="R13" s="16">
        <f>(Operations!R9+R8+R9)/100*0.5/(1-Inputs!$F$93/100)</f>
        <v/>
      </c>
      <c r="S13" s="16">
        <f>(Operations!S9+S8+S9)/100*0.5/(1-Inputs!$F$93/100)</f>
        <v/>
      </c>
      <c r="T13" s="16">
        <f>(Operations!T9+T8+T9)/100*0.5/(1-Inputs!$F$93/100)</f>
        <v/>
      </c>
      <c r="U13" s="16">
        <f>(Operations!U9+U8+U9)/100*0.5/(1-Inputs!$F$93/100)</f>
        <v/>
      </c>
      <c r="V13" s="16">
        <f>(Operations!V9+V8+V9)/100*0.5/(1-Inputs!$F$93/100)</f>
        <v/>
      </c>
      <c r="W13" s="16">
        <f>(Operations!W9+W8+W9)/100*0.5/(1-Inputs!$F$93/100)</f>
        <v/>
      </c>
      <c r="X13" s="16">
        <f>(Operations!X9+X8+X9)/100*0.5/(1-Inputs!$F$93/100)</f>
        <v/>
      </c>
      <c r="Y13" s="16">
        <f>(Operations!Y9+Y8+Y9)/100*0.5/(1-Inputs!$F$93/100)</f>
        <v/>
      </c>
      <c r="Z13" s="16">
        <f>(Operations!Z9+Z8+Z9)/100*0.5/(1-Inputs!$F$93/100)</f>
        <v/>
      </c>
      <c r="AA13" s="16">
        <f>(Operations!AA9+AA8+AA9)/100*0.5/(1-Inputs!$F$93/100)</f>
        <v/>
      </c>
      <c r="AB13" s="16">
        <f>(Operations!AB9+AB8+AB9)/100*0.5/(1-Inputs!$F$93/100)</f>
        <v/>
      </c>
      <c r="AC13" s="16">
        <f>(Operations!AC9+AC8+AC9)/100*0.5/(1-Inputs!$F$93/100)</f>
        <v/>
      </c>
      <c r="AD13" s="16">
        <f>(Operations!AD9+AD8+AD9)/100*0.5/(1-Inputs!$F$93/100)</f>
        <v/>
      </c>
      <c r="AE13" s="16">
        <f>(Operations!AE9+AE8+AE9)/100*0.5/(1-Inputs!$F$93/100)</f>
        <v/>
      </c>
      <c r="AF13" s="16">
        <f>(Operations!AF9+AF8+AF9)/100*0.5/(1-Inputs!$F$93/100)</f>
        <v/>
      </c>
      <c r="AG13" s="16">
        <f>(Operations!AG9+AG8+AG9)/100*0.5/(1-Inputs!$F$93/100)</f>
        <v/>
      </c>
      <c r="AH13" s="16">
        <f>(Operations!AH9+AH8+AH9)/100*0.5/(1-Inputs!$F$93/100)</f>
        <v/>
      </c>
      <c r="AI13" s="16">
        <f>(Operations!AI9+AI8+AI9)/100*0.5/(1-Inputs!$F$93/100)</f>
        <v/>
      </c>
      <c r="AJ13" s="16">
        <f>(Operations!AJ9+AJ8+AJ9)/100*0.5/(1-Inputs!$F$93/100)</f>
        <v/>
      </c>
      <c r="AK13" s="16">
        <f>(Operations!AK9+AK8+AK9)/100*0.5/(1-Inputs!$F$93/100)</f>
        <v/>
      </c>
      <c r="AL13" s="16">
        <f>(Operations!AL9+AL8+AL9)/100*0.5/(1-Inputs!$F$93/100)</f>
        <v/>
      </c>
      <c r="AM13" s="16">
        <f>(Operations!AM9+AM8+AM9)/100*0.5/(1-Inputs!$F$93/100)</f>
        <v/>
      </c>
      <c r="AN13" s="16">
        <f>(Operations!AN9+AN8+AN9)/100*0.5/(1-Inputs!$F$93/100)</f>
        <v/>
      </c>
      <c r="AO13" s="16">
        <f>(Operations!AO9+AO8+AO9)/100*0.5/(1-Inputs!$F$93/100)</f>
        <v/>
      </c>
      <c r="AP13" s="16">
        <f>(Operations!AP9+AP8+AP9)/100*0.5/(1-Inputs!$F$93/100)</f>
        <v/>
      </c>
      <c r="AQ13" s="16">
        <f>(Operations!AQ9+AQ8+AQ9)/100*0.5/(1-Inputs!$F$93/100)</f>
        <v/>
      </c>
      <c r="AR13" s="16">
        <f>(Operations!AR9+AR8+AR9)/100*0.5/(1-Inputs!$F$93/100)</f>
        <v/>
      </c>
      <c r="AS13" s="16">
        <f>(Operations!AS9+AS8+AS9)/100*0.5/(1-Inputs!$F$93/100)</f>
        <v/>
      </c>
      <c r="AT13" s="16">
        <f>(Operations!AT9+AT8+AT9)/100*0.5/(1-Inputs!$F$93/100)</f>
        <v/>
      </c>
      <c r="AU13" s="16">
        <f>(Operations!AU9+AU8+AU9)/100*0.5/(1-Inputs!$F$93/100)</f>
        <v/>
      </c>
      <c r="AV13" s="16">
        <f>(Operations!AV9+AV8+AV9)/100*0.5/(1-Inputs!$F$93/100)</f>
        <v/>
      </c>
      <c r="AW13" s="16">
        <f>(Operations!AW9+AW8+AW9)/100*0.5/(1-Inputs!$F$93/100)</f>
        <v/>
      </c>
      <c r="AX13" s="16">
        <f>(Operations!AX9+AX8+AX9)/100*0.5/(1-Inputs!$F$93/100)</f>
        <v/>
      </c>
      <c r="AY13" s="16">
        <f>(Operations!AY9+AY8+AY9)/100*0.5/(1-Inputs!$F$93/100)</f>
        <v/>
      </c>
      <c r="AZ13" s="16">
        <f>(Operations!AZ9+AZ8+AZ9)/100*0.5/(1-Inputs!$F$93/100)</f>
        <v/>
      </c>
      <c r="BA13" s="16">
        <f>(Operations!BA9+BA8+BA9)/100*0.5/(1-Inputs!$F$93/100)</f>
        <v/>
      </c>
      <c r="BB13" s="16">
        <f>(Operations!BB9+BB8+BB9)/100*0.5/(1-Inputs!$F$93/100)</f>
        <v/>
      </c>
      <c r="BC13" s="16">
        <f>(Operations!BC9+BC8+BC9)/100*0.5/(1-Inputs!$F$93/100)</f>
        <v/>
      </c>
      <c r="BD13" s="16">
        <f>(Operations!BD9+BD8+BD9)/100*0.5/(1-Inputs!$F$93/100)</f>
        <v/>
      </c>
      <c r="BE13" s="16">
        <f>(Operations!BE9+BE8+BE9)/100*0.5/(1-Inputs!$F$93/100)</f>
        <v/>
      </c>
      <c r="BF13" s="16">
        <f>(Operations!BF9+BF8+BF9)/100*0.5/(1-Inputs!$F$93/100)</f>
        <v/>
      </c>
      <c r="BG13" s="16">
        <f>(Operations!BG9+BG8+BG9)/100*0.5/(1-Inputs!$F$93/100)</f>
        <v/>
      </c>
      <c r="BH13" s="16">
        <f>(Operations!BH9+BH8+BH9)/100*0.5/(1-Inputs!$F$93/100)</f>
        <v/>
      </c>
      <c r="BI13" s="16">
        <f>(Operations!BI9+BI8+BI9)/100*0.5/(1-Inputs!$F$93/100)</f>
        <v/>
      </c>
      <c r="BJ13" s="16">
        <f>(Operations!BJ9+BJ8+BJ9)/100*0.5/(1-Inputs!$F$93/100)</f>
        <v/>
      </c>
      <c r="BK13" s="16">
        <f>(Operations!BK9+BK8+BK9)/100*0.5/(1-Inputs!$F$93/100)</f>
        <v/>
      </c>
      <c r="BL13" s="16">
        <f>(Operations!BL9+BL8+BL9)/100*0.5/(1-Inputs!$F$93/100)</f>
        <v/>
      </c>
      <c r="BM13" s="16">
        <f>(Operations!BM9+BM8+BM9)/100*0.5/(1-Inputs!$F$93/100)</f>
        <v/>
      </c>
      <c r="BN13" s="16">
        <f>(Operations!BN9+BN8+BN9)/100*0.5/(1-Inputs!$F$93/100)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-1*Time!J35*Inputs!J301*J106*(Inputs!$F$97/100*Time!J24-Operations!J9/100*Time!J25/Inputs!$F$247)</f>
        <v/>
      </c>
      <c r="K107" s="13">
        <f>-1*Time!K35*Inputs!K301*K106*(Inputs!$F$97/100*Time!K24-Operations!K9/100*Time!K25/Inputs!$F$247)</f>
        <v/>
      </c>
      <c r="L107" s="13">
        <f>-1*Time!L35*Inputs!L301*L106*(Inputs!$F$97/100*Time!L24-Operations!L9/100*Time!L25/Inputs!$F$247)</f>
        <v/>
      </c>
      <c r="M107" s="13">
        <f>-1*Time!M35*Inputs!M301*M106*(Inputs!$F$97/100*Time!M24-Operations!M9/100*Time!M25/Inputs!$F$247)</f>
        <v/>
      </c>
      <c r="N107" s="13">
        <f>-1*Time!N35*Inputs!N301*N106*(Inputs!$F$97/100*Time!N24-Operations!N9/100*Time!N25/Inputs!$F$247)</f>
        <v/>
      </c>
      <c r="O107" s="13">
        <f>-1*Time!O35*Inputs!O301*O106*(Inputs!$F$97/100*Time!O24-Operations!O9/100*Time!O25/Inputs!$F$247)</f>
        <v/>
      </c>
      <c r="P107" s="13">
        <f>-1*Time!P35*Inputs!P301*P106*(Inputs!$F$97/100*Time!P24-Operations!P9/100*Time!P25/Inputs!$F$247)</f>
        <v/>
      </c>
      <c r="Q107" s="13">
        <f>-1*Time!Q35*Inputs!Q301*Q106*(Inputs!$F$97/100*Time!Q24-Operations!Q9/100*Time!Q25/Inputs!$F$247)</f>
        <v/>
      </c>
      <c r="R107" s="13">
        <f>-1*Time!R35*Inputs!R301*R106*(Inputs!$F$97/100*Time!R24-Operations!R9/100*Time!R25/Inputs!$F$247)</f>
        <v/>
      </c>
      <c r="S107" s="13">
        <f>-1*Time!S35*Inputs!S301*S106*(Inputs!$F$97/100*Time!S24-Operations!S9/100*Time!S25/Inputs!$F$247)</f>
        <v/>
      </c>
      <c r="T107" s="13">
        <f>-1*Time!T35*Inputs!T301*T106*(Inputs!$F$97/100*Time!T24-Operations!T9/100*Time!T25/Inputs!$F$247)</f>
        <v/>
      </c>
      <c r="U107" s="13">
        <f>-1*Time!U35*Inputs!U301*U106*(Inputs!$F$97/100*Time!U24-Operations!U9/100*Time!U25/Inputs!$F$247)</f>
        <v/>
      </c>
      <c r="V107" s="13">
        <f>-1*Time!V35*Inputs!V301*V106*(Inputs!$F$97/100*Time!V24-Operations!V9/100*Time!V25/Inputs!$F$247)</f>
        <v/>
      </c>
      <c r="W107" s="13">
        <f>-1*Time!W35*Inputs!W301*W106*(Inputs!$F$97/100*Time!W24-Operations!W9/100*Time!W25/Inputs!$F$247)</f>
        <v/>
      </c>
      <c r="X107" s="13">
        <f>-1*Time!X35*Inputs!X301*X106*(Inputs!$F$97/100*Time!X24-Operations!X9/100*Time!X25/Inputs!$F$247)</f>
        <v/>
      </c>
      <c r="Y107" s="13">
        <f>-1*Time!Y35*Inputs!Y301*Y106*(Inputs!$F$97/100*Time!Y24-Operations!Y9/100*Time!Y25/Inputs!$F$247)</f>
        <v/>
      </c>
      <c r="Z107" s="13">
        <f>-1*Time!Z35*Inputs!Z301*Z106*(Inputs!$F$97/100*Time!Z24-Operations!Z9/100*Time!Z25/Inputs!$F$247)</f>
        <v/>
      </c>
      <c r="AA107" s="13">
        <f>-1*Time!AA35*Inputs!AA301*AA106*(Inputs!$F$97/100*Time!AA24-Operations!AA9/100*Time!AA25/Inputs!$F$247)</f>
        <v/>
      </c>
      <c r="AB107" s="13">
        <f>-1*Time!AB35*Inputs!AB301*AB106*(Inputs!$F$97/100*Time!AB24-Operations!AB9/100*Time!AB25/Inputs!$F$247)</f>
        <v/>
      </c>
      <c r="AC107" s="13">
        <f>-1*Time!AC35*Inputs!AC301*AC106*(Inputs!$F$97/100*Time!AC24-Operations!AC9/100*Time!AC25/Inputs!$F$247)</f>
        <v/>
      </c>
      <c r="AD107" s="13">
        <f>-1*Time!AD35*Inputs!AD301*AD106*(Inputs!$F$97/100*Time!AD24-Operations!AD9/100*Time!AD25/Inputs!$F$247)</f>
        <v/>
      </c>
      <c r="AE107" s="13">
        <f>-1*Time!AE35*Inputs!AE301*AE106*(Inputs!$F$97/100*Time!AE24-Operations!AE9/100*Time!AE25/Inputs!$F$247)</f>
        <v/>
      </c>
      <c r="AF107" s="13">
        <f>-1*Time!AF35*Inputs!AF301*AF106*(Inputs!$F$97/100*Time!AF24-Operations!AF9/100*Time!AF25/Inputs!$F$247)</f>
        <v/>
      </c>
      <c r="AG107" s="13">
        <f>-1*Time!AG35*Inputs!AG301*AG106*(Inputs!$F$97/100*Time!AG24-Operations!AG9/100*Time!AG25/Inputs!$F$247)</f>
        <v/>
      </c>
      <c r="AH107" s="13">
        <f>-1*Time!AH35*Inputs!AH301*AH106*(Inputs!$F$97/100*Time!AH24-Operations!AH9/100*Time!AH25/Inputs!$F$247)</f>
        <v/>
      </c>
      <c r="AI107" s="13">
        <f>-1*Time!AI35*Inputs!AI301*AI106*(Inputs!$F$97/100*Time!AI24-Operations!AI9/100*Time!AI25/Inputs!$F$247)</f>
        <v/>
      </c>
      <c r="AJ107" s="13">
        <f>-1*Time!AJ35*Inputs!AJ301*AJ106*(Inputs!$F$97/100*Time!AJ24-Operations!AJ9/100*Time!AJ25/Inputs!$F$247)</f>
        <v/>
      </c>
      <c r="AK107" s="13">
        <f>-1*Time!AK35*Inputs!AK301*AK106*(Inputs!$F$97/100*Time!AK24-Operations!AK9/100*Time!AK25/Inputs!$F$247)</f>
        <v/>
      </c>
      <c r="AL107" s="13">
        <f>-1*Time!AL35*Inputs!AL301*AL106*(Inputs!$F$97/100*Time!AL24-Operations!AL9/100*Time!AL25/Inputs!$F$247)</f>
        <v/>
      </c>
      <c r="AM107" s="13">
        <f>-1*Time!AM35*Inputs!AM301*AM106*(Inputs!$F$97/100*Time!AM24-Operations!AM9/100*Time!AM25/Inputs!$F$247)</f>
        <v/>
      </c>
      <c r="AN107" s="13">
        <f>-1*Time!AN35*Inputs!AN301*AN106*(Inputs!$F$97/100*Time!AN24-Operations!AN9/100*Time!AN25/Inputs!$F$247)</f>
        <v/>
      </c>
      <c r="AO107" s="13">
        <f>-1*Time!AO35*Inputs!AO301*AO106*(Inputs!$F$97/100*Time!AO24-Operations!AO9/100*Time!AO25/Inputs!$F$247)</f>
        <v/>
      </c>
      <c r="AP107" s="13">
        <f>-1*Time!AP35*Inputs!AP301*AP106*(Inputs!$F$97/100*Time!AP24-Operations!AP9/100*Time!AP25/Inputs!$F$247)</f>
        <v/>
      </c>
      <c r="AQ107" s="13">
        <f>-1*Time!AQ35*Inputs!AQ301*AQ106*(Inputs!$F$97/100*Time!AQ24-Operations!AQ9/100*Time!AQ25/Inputs!$F$247)</f>
        <v/>
      </c>
      <c r="AR107" s="13">
        <f>-1*Time!AR35*Inputs!AR301*AR106*(Inputs!$F$97/100*Time!AR24-Operations!AR9/100*Time!AR25/Inputs!$F$247)</f>
        <v/>
      </c>
      <c r="AS107" s="13">
        <f>-1*Time!AS35*Inputs!AS301*AS106*(Inputs!$F$97/100*Time!AS24-Operations!AS9/100*Time!AS25/Inputs!$F$247)</f>
        <v/>
      </c>
      <c r="AT107" s="13">
        <f>-1*Time!AT35*Inputs!AT301*AT106*(Inputs!$F$97/100*Time!AT24-Operations!AT9/100*Time!AT25/Inputs!$F$247)</f>
        <v/>
      </c>
      <c r="AU107" s="13">
        <f>-1*Time!AU35*Inputs!AU301*AU106*(Inputs!$F$97/100*Time!AU24-Operations!AU9/100*Time!AU25/Inputs!$F$247)</f>
        <v/>
      </c>
      <c r="AV107" s="13">
        <f>-1*Time!AV35*Inputs!AV301*AV106*(Inputs!$F$97/100*Time!AV24-Operations!AV9/100*Time!AV25/Inputs!$F$247)</f>
        <v/>
      </c>
      <c r="AW107" s="13">
        <f>-1*Time!AW35*Inputs!AW301*AW106*(Inputs!$F$97/100*Time!AW24-Operations!AW9/100*Time!AW25/Inputs!$F$247)</f>
        <v/>
      </c>
      <c r="AX107" s="13">
        <f>-1*Time!AX35*Inputs!AX301*AX106*(Inputs!$F$97/100*Time!AX24-Operations!AX9/100*Time!AX25/Inputs!$F$247)</f>
        <v/>
      </c>
      <c r="AY107" s="13">
        <f>-1*Time!AY35*Inputs!AY301*AY106*(Inputs!$F$97/100*Time!AY24-Operations!AY9/100*Time!AY25/Inputs!$F$247)</f>
        <v/>
      </c>
      <c r="AZ107" s="13">
        <f>-1*Time!AZ35*Inputs!AZ301*AZ106*(Inputs!$F$97/100*Time!AZ24-Operations!AZ9/100*Time!AZ25/Inputs!$F$247)</f>
        <v/>
      </c>
      <c r="BA107" s="13">
        <f>-1*Time!BA35*Inputs!BA301*BA106*(Inputs!$F$97/100*Time!BA24-Operations!BA9/100*Time!BA25/Inputs!$F$247)</f>
        <v/>
      </c>
      <c r="BB107" s="13">
        <f>-1*Time!BB35*Inputs!BB301*BB106*(Inputs!$F$97/100*Time!BB24-Operations!BB9/100*Time!BB25/Inputs!$F$247)</f>
        <v/>
      </c>
      <c r="BC107" s="13">
        <f>-1*Time!BC35*Inputs!BC301*BC106*(Inputs!$F$97/100*Time!BC24-Operations!BC9/100*Time!BC25/Inputs!$F$247)</f>
        <v/>
      </c>
      <c r="BD107" s="13">
        <f>-1*Time!BD35*Inputs!BD301*BD106*(Inputs!$F$97/100*Time!BD24-Operations!BD9/100*Time!BD25/Inputs!$F$247)</f>
        <v/>
      </c>
      <c r="BE107" s="13">
        <f>-1*Time!BE35*Inputs!BE301*BE106*(Inputs!$F$97/100*Time!BE24-Operations!BE9/100*Time!BE25/Inputs!$F$247)</f>
        <v/>
      </c>
      <c r="BF107" s="13">
        <f>-1*Time!BF35*Inputs!BF301*BF106*(Inputs!$F$97/100*Time!BF24-Operations!BF9/100*Time!BF25/Inputs!$F$247)</f>
        <v/>
      </c>
      <c r="BG107" s="13">
        <f>-1*Time!BG35*Inputs!BG301*BG106*(Inputs!$F$97/100*Time!BG24-Operations!BG9/100*Time!BG25/Inputs!$F$247)</f>
        <v/>
      </c>
      <c r="BH107" s="13">
        <f>-1*Time!BH35*Inputs!BH301*BH106*(Inputs!$F$97/100*Time!BH24-Operations!BH9/100*Time!BH25/Inputs!$F$247)</f>
        <v/>
      </c>
      <c r="BI107" s="13">
        <f>-1*Time!BI35*Inputs!BI301*BI106*(Inputs!$F$97/100*Time!BI24-Operations!BI9/100*Time!BI25/Inputs!$F$247)</f>
        <v/>
      </c>
      <c r="BJ107" s="13">
        <f>-1*Time!BJ35*Inputs!BJ301*BJ106*(Inputs!$F$97/100*Time!BJ24-Operations!BJ9/100*Time!BJ25/Inputs!$F$247)</f>
        <v/>
      </c>
      <c r="BK107" s="13">
        <f>-1*Time!BK35*Inputs!BK301*BK106*(Inputs!$F$97/100*Time!BK24-Operations!BK9/100*Time!BK25/Inputs!$F$247)</f>
        <v/>
      </c>
      <c r="BL107" s="13">
        <f>-1*Time!BL35*Inputs!BL301*BL106*(Inputs!$F$97/100*Time!BL24-Operations!BL9/100*Time!BL25/Inputs!$F$247)</f>
        <v/>
      </c>
      <c r="BM107" s="13">
        <f>-1*Time!BM35*Inputs!BM301*BM106*(Inputs!$F$97/100*Time!BM24-Operations!BM9/100*Time!BM25/Inputs!$F$247)</f>
        <v/>
      </c>
      <c r="BN107" s="13">
        <f>-1*Time!BN35*Inputs!BN301*BN106*(Inputs!$F$97/100*Time!BN24-Operations!BN9/100*Time!BN25/Inputs!$F$247)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IF(AND(Time!J20&gt;=Time!$F$12,Time!K20&gt;0),J119+J120+J121+J122+J123+J124+-1*Inputs!K301*K106*(Inputs!$F$97/100*Time!K24-Operations!K9/100*Time!K25/Inputs!$F$247)+(Inputs!$F$95/100*Inputs!$F$96/100)*J118*Time!K25/Inputs!$F$248,0)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IF(AND(Time!K20&gt;=Time!$F$12,Time!L20&gt;0),K119+K120+K121+K122+K123+K124+-1*Inputs!L301*L106*(Inputs!$F$97/100*Time!L24-Operations!L9/100*Time!L25/Inputs!$F$247)+(Inputs!$F$95/100*Inputs!$F$96/100)*K118*Time!L25/Inputs!$F$248,0)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IF(AND(Time!L20&gt;=Time!$F$12,Time!M20&gt;0),L119+L120+L121+L122+L123+L124+-1*Inputs!M301*M106*(Inputs!$F$97/100*Time!M24-Operations!M9/100*Time!M25/Inputs!$F$247)+(Inputs!$F$95/100*Inputs!$F$96/100)*L118*Time!M25/Inputs!$F$248,0)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IF(AND(Time!M20&gt;=Time!$F$12,Time!N20&gt;0),M119+M120+M121+M122+M123+M124+-1*Inputs!N301*N106*(Inputs!$F$97/100*Time!N24-Operations!N9/100*Time!N25/Inputs!$F$247)+(Inputs!$F$95/100*Inputs!$F$96/100)*M118*Time!N25/Inputs!$F$248,0)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IF(AND(Time!N20&gt;=Time!$F$12,Time!O20&gt;0),N119+N120+N121+N122+N123+N124+-1*Inputs!O301*O106*(Inputs!$F$97/100*Time!O24-Operations!O9/100*Time!O25/Inputs!$F$247)+(Inputs!$F$95/100*Inputs!$F$96/100)*N118*Time!O25/Inputs!$F$248,0)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IF(AND(Time!O20&gt;=Time!$F$12,Time!P20&gt;0),O119+O120+O121+O122+O123+O124+-1*Inputs!P301*P106*(Inputs!$F$97/100*Time!P24-Operations!P9/100*Time!P25/Inputs!$F$247)+(Inputs!$F$95/100*Inputs!$F$96/100)*O118*Time!P25/Inputs!$F$248,0)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IF(AND(Time!P20&gt;=Time!$F$12,Time!Q20&gt;0),P119+P120+P121+P122+P123+P124+-1*Inputs!Q301*Q106*(Inputs!$F$97/100*Time!Q24-Operations!Q9/100*Time!Q25/Inputs!$F$247)+(Inputs!$F$95/100*Inputs!$F$96/100)*P118*Time!Q25/Inputs!$F$248,0)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IF(AND(Time!Q20&gt;=Time!$F$12,Time!R20&gt;0),Q119+Q120+Q121+Q122+Q123+Q124+-1*Inputs!R301*R106*(Inputs!$F$97/100*Time!R24-Operations!R9/100*Time!R25/Inputs!$F$247)+(Inputs!$F$95/100*Inputs!$F$96/100)*Q118*Time!R25/Inputs!$F$248,0)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IF(AND(Time!R20&gt;=Time!$F$12,Time!S20&gt;0),R119+R120+R121+R122+R123+R124+-1*Inputs!S301*S106*(Inputs!$F$97/100*Time!S24-Operations!S9/100*Time!S25/Inputs!$F$247)+(Inputs!$F$95/100*Inputs!$F$96/100)*R118*Time!S25/Inputs!$F$248,0)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IF(AND(Time!S20&gt;=Time!$F$12,Time!T20&gt;0),S119+S120+S121+S122+S123+S124+-1*Inputs!T301*T106*(Inputs!$F$97/100*Time!T24-Operations!T9/100*Time!T25/Inputs!$F$247)+(Inputs!$F$95/100*Inputs!$F$96/100)*S118*Time!T25/Inputs!$F$248,0)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IF(AND(Time!T20&gt;=Time!$F$12,Time!U20&gt;0),T119+T120+T121+T122+T123+T124+-1*Inputs!U301*U106*(Inputs!$F$97/100*Time!U24-Operations!U9/100*Time!U25/Inputs!$F$247)+(Inputs!$F$95/100*Inputs!$F$96/100)*T118*Time!U25/Inputs!$F$248,0)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IF(AND(Time!U20&gt;=Time!$F$12,Time!V20&gt;0),U119+U120+U121+U122+U123+U124+-1*Inputs!V301*V106*(Inputs!$F$97/100*Time!V24-Operations!V9/100*Time!V25/Inputs!$F$247)+(Inputs!$F$95/100*Inputs!$F$96/100)*U118*Time!V25/Inputs!$F$248,0)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IF(AND(Time!V20&gt;=Time!$F$12,Time!W20&gt;0),V119+V120+V121+V122+V123+V124+-1*Inputs!W301*W106*(Inputs!$F$97/100*Time!W24-Operations!W9/100*Time!W25/Inputs!$F$247)+(Inputs!$F$95/100*Inputs!$F$96/100)*V118*Time!W25/Inputs!$F$248,0)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IF(AND(Time!W20&gt;=Time!$F$12,Time!X20&gt;0),W119+W120+W121+W122+W123+W124+-1*Inputs!X301*X106*(Inputs!$F$97/100*Time!X24-Operations!X9/100*Time!X25/Inputs!$F$247)+(Inputs!$F$95/100*Inputs!$F$96/100)*W118*Time!X25/Inputs!$F$248,0)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IF(AND(Time!X20&gt;=Time!$F$12,Time!Y20&gt;0),X119+X120+X121+X122+X123+X124+-1*Inputs!Y301*Y106*(Inputs!$F$97/100*Time!Y24-Operations!Y9/100*Time!Y25/Inputs!$F$247)+(Inputs!$F$95/100*Inputs!$F$96/100)*X118*Time!Y25/Inputs!$F$248,0)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IF(AND(Time!Y20&gt;=Time!$F$12,Time!Z20&gt;0),Y119+Y120+Y121+Y122+Y123+Y124+-1*Inputs!Z301*Z106*(Inputs!$F$97/100*Time!Z24-Operations!Z9/100*Time!Z25/Inputs!$F$247)+(Inputs!$F$95/100*Inputs!$F$96/100)*Y118*Time!Z25/Inputs!$F$248,0)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IF(AND(Time!Z20&gt;=Time!$F$12,Time!AA20&gt;0),Z119+Z120+Z121+Z122+Z123+Z124+-1*Inputs!AA301*AA106*(Inputs!$F$97/100*Time!AA24-Operations!AA9/100*Time!AA25/Inputs!$F$247)+(Inputs!$F$95/100*Inputs!$F$96/100)*Z118*Time!AA25/Inputs!$F$248,0)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IF(AND(Time!AA20&gt;=Time!$F$12,Time!AB20&gt;0),AA119+AA120+AA121+AA122+AA123+AA124+-1*Inputs!AB301*AB106*(Inputs!$F$97/100*Time!AB24-Operations!AB9/100*Time!AB25/Inputs!$F$247)+(Inputs!$F$95/100*Inputs!$F$96/100)*AA118*Time!AB25/Inputs!$F$248,0)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IF(AND(Time!AB20&gt;=Time!$F$12,Time!AC20&gt;0),AB119+AB120+AB121+AB122+AB123+AB124+-1*Inputs!AC301*AC106*(Inputs!$F$97/100*Time!AC24-Operations!AC9/100*Time!AC25/Inputs!$F$247)+(Inputs!$F$95/100*Inputs!$F$96/100)*AB118*Time!AC25/Inputs!$F$248,0)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IF(AND(Time!AC20&gt;=Time!$F$12,Time!AD20&gt;0),AC119+AC120+AC121+AC122+AC123+AC124+-1*Inputs!AD301*AD106*(Inputs!$F$97/100*Time!AD24-Operations!AD9/100*Time!AD25/Inputs!$F$247)+(Inputs!$F$95/100*Inputs!$F$96/100)*AC118*Time!AD25/Inputs!$F$248,0)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IF(AND(Time!AD20&gt;=Time!$F$12,Time!AE20&gt;0),AD119+AD120+AD121+AD122+AD123+AD124+-1*Inputs!AE301*AE106*(Inputs!$F$97/100*Time!AE24-Operations!AE9/100*Time!AE25/Inputs!$F$247)+(Inputs!$F$95/100*Inputs!$F$96/100)*AD118*Time!AE25/Inputs!$F$248,0)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IF(AND(Time!AE20&gt;=Time!$F$12,Time!AF20&gt;0),AE119+AE120+AE121+AE122+AE123+AE124+-1*Inputs!AF301*AF106*(Inputs!$F$97/100*Time!AF24-Operations!AF9/100*Time!AF25/Inputs!$F$247)+(Inputs!$F$95/100*Inputs!$F$96/100)*AE118*Time!AF25/Inputs!$F$248,0)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IF(AND(Time!AF20&gt;=Time!$F$12,Time!AG20&gt;0),AF119+AF120+AF121+AF122+AF123+AF124+-1*Inputs!AG301*AG106*(Inputs!$F$97/100*Time!AG24-Operations!AG9/100*Time!AG25/Inputs!$F$247)+(Inputs!$F$95/100*Inputs!$F$96/100)*AF118*Time!AG25/Inputs!$F$248,0)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IF(AND(Time!AG20&gt;=Time!$F$12,Time!AH20&gt;0),AG119+AG120+AG121+AG122+AG123+AG124+-1*Inputs!AH301*AH106*(Inputs!$F$97/100*Time!AH24-Operations!AH9/100*Time!AH25/Inputs!$F$247)+(Inputs!$F$95/100*Inputs!$F$96/100)*AG118*Time!AH25/Inputs!$F$248,0)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IF(AND(Time!AH20&gt;=Time!$F$12,Time!AI20&gt;0),AH119+AH120+AH121+AH122+AH123+AH124+-1*Inputs!AI301*AI106*(Inputs!$F$97/100*Time!AI24-Operations!AI9/100*Time!AI25/Inputs!$F$247)+(Inputs!$F$95/100*Inputs!$F$96/100)*AH118*Time!AI25/Inputs!$F$248,0)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IF(AND(Time!AI20&gt;=Time!$F$12,Time!AJ20&gt;0),AI119+AI120+AI121+AI122+AI123+AI124+-1*Inputs!AJ301*AJ106*(Inputs!$F$97/100*Time!AJ24-Operations!AJ9/100*Time!AJ25/Inputs!$F$247)+(Inputs!$F$95/100*Inputs!$F$96/100)*AI118*Time!AJ25/Inputs!$F$248,0)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IF(AND(Time!AJ20&gt;=Time!$F$12,Time!AK20&gt;0),AJ119+AJ120+AJ121+AJ122+AJ123+AJ124+-1*Inputs!AK301*AK106*(Inputs!$F$97/100*Time!AK24-Operations!AK9/100*Time!AK25/Inputs!$F$247)+(Inputs!$F$95/100*Inputs!$F$96/100)*AJ118*Time!AK25/Inputs!$F$248,0)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IF(AND(Time!AK20&gt;=Time!$F$12,Time!AL20&gt;0),AK119+AK120+AK121+AK122+AK123+AK124+-1*Inputs!AL301*AL106*(Inputs!$F$97/100*Time!AL24-Operations!AL9/100*Time!AL25/Inputs!$F$247)+(Inputs!$F$95/100*Inputs!$F$96/100)*AK118*Time!AL25/Inputs!$F$248,0)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IF(AND(Time!AL20&gt;=Time!$F$12,Time!AM20&gt;0),AL119+AL120+AL121+AL122+AL123+AL124+-1*Inputs!AM301*AM106*(Inputs!$F$97/100*Time!AM24-Operations!AM9/100*Time!AM25/Inputs!$F$247)+(Inputs!$F$95/100*Inputs!$F$96/100)*AL118*Time!AM25/Inputs!$F$248,0)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IF(AND(Time!AM20&gt;=Time!$F$12,Time!AN20&gt;0),AM119+AM120+AM121+AM122+AM123+AM124+-1*Inputs!AN301*AN106*(Inputs!$F$97/100*Time!AN24-Operations!AN9/100*Time!AN25/Inputs!$F$247)+(Inputs!$F$95/100*Inputs!$F$96/100)*AM118*Time!AN25/Inputs!$F$248,0)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IF(AND(Time!AN20&gt;=Time!$F$12,Time!AO20&gt;0),AN119+AN120+AN121+AN122+AN123+AN124+-1*Inputs!AO301*AO106*(Inputs!$F$97/100*Time!AO24-Operations!AO9/100*Time!AO25/Inputs!$F$247)+(Inputs!$F$95/100*Inputs!$F$96/100)*AN118*Time!AO25/Inputs!$F$248,0)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IF(AND(Time!AO20&gt;=Time!$F$12,Time!AP20&gt;0),AO119+AO120+AO121+AO122+AO123+AO124+-1*Inputs!AP301*AP106*(Inputs!$F$97/100*Time!AP24-Operations!AP9/100*Time!AP25/Inputs!$F$247)+(Inputs!$F$95/100*Inputs!$F$96/100)*AO118*Time!AP25/Inputs!$F$248,0)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IF(AND(Time!AP20&gt;=Time!$F$12,Time!AQ20&gt;0),AP119+AP120+AP121+AP122+AP123+AP124+-1*Inputs!AQ301*AQ106*(Inputs!$F$97/100*Time!AQ24-Operations!AQ9/100*Time!AQ25/Inputs!$F$247)+(Inputs!$F$95/100*Inputs!$F$96/100)*AP118*Time!AQ25/Inputs!$F$248,0)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IF(AND(Time!AQ20&gt;=Time!$F$12,Time!AR20&gt;0),AQ119+AQ120+AQ121+AQ122+AQ123+AQ124+-1*Inputs!AR301*AR106*(Inputs!$F$97/100*Time!AR24-Operations!AR9/100*Time!AR25/Inputs!$F$247)+(Inputs!$F$95/100*Inputs!$F$96/100)*AQ118*Time!AR25/Inputs!$F$248,0)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IF(AND(Time!AR20&gt;=Time!$F$12,Time!AS20&gt;0),AR119+AR120+AR121+AR122+AR123+AR124+-1*Inputs!AS301*AS106*(Inputs!$F$97/100*Time!AS24-Operations!AS9/100*Time!AS25/Inputs!$F$247)+(Inputs!$F$95/100*Inputs!$F$96/100)*AR118*Time!AS25/Inputs!$F$248,0)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IF(AND(Time!AS20&gt;=Time!$F$12,Time!AT20&gt;0),AS119+AS120+AS121+AS122+AS123+AS124+-1*Inputs!AT301*AT106*(Inputs!$F$97/100*Time!AT24-Operations!AT9/100*Time!AT25/Inputs!$F$247)+(Inputs!$F$95/100*Inputs!$F$96/100)*AS118*Time!AT25/Inputs!$F$248,0)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IF(AND(Time!AT20&gt;=Time!$F$12,Time!AU20&gt;0),AT119+AT120+AT121+AT122+AT123+AT124+-1*Inputs!AU301*AU106*(Inputs!$F$97/100*Time!AU24-Operations!AU9/100*Time!AU25/Inputs!$F$247)+(Inputs!$F$95/100*Inputs!$F$96/100)*AT118*Time!AU25/Inputs!$F$248,0)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IF(AND(Time!AU20&gt;=Time!$F$12,Time!AV20&gt;0),AU119+AU120+AU121+AU122+AU123+AU124+-1*Inputs!AV301*AV106*(Inputs!$F$97/100*Time!AV24-Operations!AV9/100*Time!AV25/Inputs!$F$247)+(Inputs!$F$95/100*Inputs!$F$96/100)*AU118*Time!AV25/Inputs!$F$248,0)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IF(AND(Time!AV20&gt;=Time!$F$12,Time!AW20&gt;0),AV119+AV120+AV121+AV122+AV123+AV124+-1*Inputs!AW301*AW106*(Inputs!$F$97/100*Time!AW24-Operations!AW9/100*Time!AW25/Inputs!$F$247)+(Inputs!$F$95/100*Inputs!$F$96/100)*AV118*Time!AW25/Inputs!$F$248,0)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IF(AND(Time!AW20&gt;=Time!$F$12,Time!AX20&gt;0),AW119+AW120+AW121+AW122+AW123+AW124+-1*Inputs!AX301*AX106*(Inputs!$F$97/100*Time!AX24-Operations!AX9/100*Time!AX25/Inputs!$F$247)+(Inputs!$F$95/100*Inputs!$F$96/100)*AW118*Time!AX25/Inputs!$F$248,0)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IF(AND(Time!AX20&gt;=Time!$F$12,Time!AY20&gt;0),AX119+AX120+AX121+AX122+AX123+AX124+-1*Inputs!AY301*AY106*(Inputs!$F$97/100*Time!AY24-Operations!AY9/100*Time!AY25/Inputs!$F$247)+(Inputs!$F$95/100*Inputs!$F$96/100)*AX118*Time!AY25/Inputs!$F$248,0)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IF(AND(Time!AY20&gt;=Time!$F$12,Time!AZ20&gt;0),AY119+AY120+AY121+AY122+AY123+AY124+-1*Inputs!AZ301*AZ106*(Inputs!$F$97/100*Time!AZ24-Operations!AZ9/100*Time!AZ25/Inputs!$F$247)+(Inputs!$F$95/100*Inputs!$F$96/100)*AY118*Time!AZ25/Inputs!$F$248,0)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IF(AND(Time!AZ20&gt;=Time!$F$12,Time!BA20&gt;0),AZ119+AZ120+AZ121+AZ122+AZ123+AZ124+-1*Inputs!BA301*BA106*(Inputs!$F$97/100*Time!BA24-Operations!BA9/100*Time!BA25/Inputs!$F$247)+(Inputs!$F$95/100*Inputs!$F$96/100)*AZ118*Time!BA25/Inputs!$F$248,0)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IF(AND(Time!BA20&gt;=Time!$F$12,Time!BB20&gt;0),BA119+BA120+BA121+BA122+BA123+BA124+-1*Inputs!BB301*BB106*(Inputs!$F$97/100*Time!BB24-Operations!BB9/100*Time!BB25/Inputs!$F$247)+(Inputs!$F$95/100*Inputs!$F$96/100)*BA118*Time!BB25/Inputs!$F$248,0)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IF(AND(Time!BB20&gt;=Time!$F$12,Time!BC20&gt;0),BB119+BB120+BB121+BB122+BB123+BB124+-1*Inputs!BC301*BC106*(Inputs!$F$97/100*Time!BC24-Operations!BC9/100*Time!BC25/Inputs!$F$247)+(Inputs!$F$95/100*Inputs!$F$96/100)*BB118*Time!BC25/Inputs!$F$248,0)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IF(AND(Time!BC20&gt;=Time!$F$12,Time!BD20&gt;0),BC119+BC120+BC121+BC122+BC123+BC124+-1*Inputs!BD301*BD106*(Inputs!$F$97/100*Time!BD24-Operations!BD9/100*Time!BD25/Inputs!$F$247)+(Inputs!$F$95/100*Inputs!$F$96/100)*BC118*Time!BD25/Inputs!$F$248,0)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IF(AND(Time!BD20&gt;=Time!$F$12,Time!BE20&gt;0),BD119+BD120+BD121+BD122+BD123+BD124+-1*Inputs!BE301*BE106*(Inputs!$F$97/100*Time!BE24-Operations!BE9/100*Time!BE25/Inputs!$F$247)+(Inputs!$F$95/100*Inputs!$F$96/100)*BD118*Time!BE25/Inputs!$F$248,0)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IF(AND(Time!BE20&gt;=Time!$F$12,Time!BF20&gt;0),BE119+BE120+BE121+BE122+BE123+BE124+-1*Inputs!BF301*BF106*(Inputs!$F$97/100*Time!BF24-Operations!BF9/100*Time!BF25/Inputs!$F$247)+(Inputs!$F$95/100*Inputs!$F$96/100)*BE118*Time!BF25/Inputs!$F$248,0)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IF(AND(Time!BF20&gt;=Time!$F$12,Time!BG20&gt;0),BF119+BF120+BF121+BF122+BF123+BF124+-1*Inputs!BG301*BG106*(Inputs!$F$97/100*Time!BG24-Operations!BG9/100*Time!BG25/Inputs!$F$247)+(Inputs!$F$95/100*Inputs!$F$96/100)*BF118*Time!BG25/Inputs!$F$248,0)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IF(AND(Time!BG20&gt;=Time!$F$12,Time!BH20&gt;0),BG119+BG120+BG121+BG122+BG123+BG124+-1*Inputs!BH301*BH106*(Inputs!$F$97/100*Time!BH24-Operations!BH9/100*Time!BH25/Inputs!$F$247)+(Inputs!$F$95/100*Inputs!$F$96/100)*BG118*Time!BH25/Inputs!$F$248,0)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IF(AND(Time!BH20&gt;=Time!$F$12,Time!BI20&gt;0),BH119+BH120+BH121+BH122+BH123+BH124+-1*Inputs!BI301*BI106*(Inputs!$F$97/100*Time!BI24-Operations!BI9/100*Time!BI25/Inputs!$F$247)+(Inputs!$F$95/100*Inputs!$F$96/100)*BH118*Time!BI25/Inputs!$F$248,0)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IF(AND(Time!BI20&gt;=Time!$F$12,Time!BJ20&gt;0),BI119+BI120+BI121+BI122+BI123+BI124+-1*Inputs!BJ301*BJ106*(Inputs!$F$97/100*Time!BJ24-Operations!BJ9/100*Time!BJ25/Inputs!$F$247)+(Inputs!$F$95/100*Inputs!$F$96/100)*BI118*Time!BJ25/Inputs!$F$248,0)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IF(AND(Time!BJ20&gt;=Time!$F$12,Time!BK20&gt;0),BJ119+BJ120+BJ121+BJ122+BJ123+BJ124+-1*Inputs!BK301*BK106*(Inputs!$F$97/100*Time!BK24-Operations!BK9/100*Time!BK25/Inputs!$F$247)+(Inputs!$F$95/100*Inputs!$F$96/100)*BJ118*Time!BK25/Inputs!$F$248,0)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IF(AND(Time!BK20&gt;=Time!$F$12,Time!BL20&gt;0),BK119+BK120+BK121+BK122+BK123+BK124+-1*Inputs!BL301*BL106*(Inputs!$F$97/100*Time!BL24-Operations!BL9/100*Time!BL25/Inputs!$F$247)+(Inputs!$F$95/100*Inputs!$F$96/100)*BK118*Time!BL25/Inputs!$F$248,0)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IF(AND(Time!BL20&gt;=Time!$F$12,Time!BM20&gt;0),BL119+BL120+BL121+BL122+BL123+BL124+-1*Inputs!BM301*BM106*(Inputs!$F$97/100*Time!BM24-Operations!BM9/100*Time!BM25/Inputs!$F$247)+(Inputs!$F$95/100*Inputs!$F$96/100)*BL118*Time!BM25/Inputs!$F$248,0)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IF(AND(Time!BM20&gt;=Time!$F$12,Time!BN20&gt;0),BM119+BM120+BM121+BM122+BM123+BM124+-1*Inputs!BN301*BN106*(Inputs!$F$97/100*Time!BN24-Operations!BN9/100*Time!BN25/Inputs!$F$247)+(Inputs!$F$95/100*Inputs!$F$96/100)*BM118*Time!BN25/Inputs!$F$248,0)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IF(AND(Time!BN20&gt;=Time!$F$12,Time!BO20&gt;0),BN119+BN120+BN121+BN122+BN123+BN124+-1*Inputs!BO301*BO106*(Inputs!$F$97/100*Time!BO24-Operations!BO9/100*Time!BO25/Inputs!$F$247)+(Inputs!$F$95/100*Inputs!$F$96/100)*BN118*Time!BO25/Inputs!$F$248,0)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IF(Time!J53=1,Inputs!$F$75*J10+Inputs!$F$76*J11+Inputs!$F$77*J12+Inputs!$F$78*(J13+(Inputs!$F$95/100*Inputs!$F$96/100)*Time!J25/Inputs!$F$248)+-1*Inputs!J301/(Funding!$F$25*J18)*(Inputs!$F$97/100*Time!J24-Operations!J9/100*Time!J25/Inputs!$F$247),0)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IF(Time!K53=1,Inputs!$F$75*K10+Inputs!$F$76*K11+Inputs!$F$77*K12+Inputs!$F$78*(K13+(Inputs!$F$95/100*Inputs!$F$96/100)*Time!K25/Inputs!$F$248)+-1*Inputs!K301/(Funding!$F$25*K18)*(Inputs!$F$97/100*Time!K24-Operations!K9/100*Time!K25/Inputs!$F$247),0)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IF(Time!L53=1,Inputs!$F$75*L10+Inputs!$F$76*L11+Inputs!$F$77*L12+Inputs!$F$78*(L13+(Inputs!$F$95/100*Inputs!$F$96/100)*Time!L25/Inputs!$F$248)+-1*Inputs!L301/(Funding!$F$25*L18)*(Inputs!$F$97/100*Time!L24-Operations!L9/100*Time!L25/Inputs!$F$247),0)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IF(Time!M53=1,Inputs!$F$75*M10+Inputs!$F$76*M11+Inputs!$F$77*M12+Inputs!$F$78*(M13+(Inputs!$F$95/100*Inputs!$F$96/100)*Time!M25/Inputs!$F$248)+-1*Inputs!M301/(Funding!$F$25*M18)*(Inputs!$F$97/100*Time!M24-Operations!M9/100*Time!M25/Inputs!$F$247),0)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IF(Time!N53=1,Inputs!$F$75*N10+Inputs!$F$76*N11+Inputs!$F$77*N12+Inputs!$F$78*(N13+(Inputs!$F$95/100*Inputs!$F$96/100)*Time!N25/Inputs!$F$248)+-1*Inputs!N301/(Funding!$F$25*N18)*(Inputs!$F$97/100*Time!N24-Operations!N9/100*Time!N25/Inputs!$F$247),0)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IF(Time!O53=1,Inputs!$F$75*O10+Inputs!$F$76*O11+Inputs!$F$77*O12+Inputs!$F$78*(O13+(Inputs!$F$95/100*Inputs!$F$96/100)*Time!O25/Inputs!$F$248)+-1*Inputs!O301/(Funding!$F$25*O18)*(Inputs!$F$97/100*Time!O24-Operations!O9/100*Time!O25/Inputs!$F$247),0)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IF(Time!P53=1,Inputs!$F$75*P10+Inputs!$F$76*P11+Inputs!$F$77*P12+Inputs!$F$78*(P13+(Inputs!$F$95/100*Inputs!$F$96/100)*Time!P25/Inputs!$F$248)+-1*Inputs!P301/(Funding!$F$25*P18)*(Inputs!$F$97/100*Time!P24-Operations!P9/100*Time!P25/Inputs!$F$247),0)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IF(Time!Q53=1,Inputs!$F$75*Q10+Inputs!$F$76*Q11+Inputs!$F$77*Q12+Inputs!$F$78*(Q13+(Inputs!$F$95/100*Inputs!$F$96/100)*Time!Q25/Inputs!$F$248)+-1*Inputs!Q301/(Funding!$F$25*Q18)*(Inputs!$F$97/100*Time!Q24-Operations!Q9/100*Time!Q25/Inputs!$F$247),0)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IF(Time!R53=1,Inputs!$F$75*R10+Inputs!$F$76*R11+Inputs!$F$77*R12+Inputs!$F$78*(R13+(Inputs!$F$95/100*Inputs!$F$96/100)*Time!R25/Inputs!$F$248)+-1*Inputs!R301/(Funding!$F$25*R18)*(Inputs!$F$97/100*Time!R24-Operations!R9/100*Time!R25/Inputs!$F$247),0)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IF(Time!S53=1,Inputs!$F$75*S10+Inputs!$F$76*S11+Inputs!$F$77*S12+Inputs!$F$78*(S13+(Inputs!$F$95/100*Inputs!$F$96/100)*Time!S25/Inputs!$F$248)+-1*Inputs!S301/(Funding!$F$25*S18)*(Inputs!$F$97/100*Time!S24-Operations!S9/100*Time!S25/Inputs!$F$247),0)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IF(Time!T53=1,Inputs!$F$75*T10+Inputs!$F$76*T11+Inputs!$F$77*T12+Inputs!$F$78*(T13+(Inputs!$F$95/100*Inputs!$F$96/100)*Time!T25/Inputs!$F$248)+-1*Inputs!T301/(Funding!$F$25*T18)*(Inputs!$F$97/100*Time!T24-Operations!T9/100*Time!T25/Inputs!$F$247),0)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IF(Time!U53=1,Inputs!$F$75*U10+Inputs!$F$76*U11+Inputs!$F$77*U12+Inputs!$F$78*(U13+(Inputs!$F$95/100*Inputs!$F$96/100)*Time!U25/Inputs!$F$248)+-1*Inputs!U301/(Funding!$F$25*U18)*(Inputs!$F$97/100*Time!U24-Operations!U9/100*Time!U25/Inputs!$F$247),0)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IF(Time!V53=1,Inputs!$F$75*V10+Inputs!$F$76*V11+Inputs!$F$77*V12+Inputs!$F$78*(V13+(Inputs!$F$95/100*Inputs!$F$96/100)*Time!V25/Inputs!$F$248)+-1*Inputs!V301/(Funding!$F$25*V18)*(Inputs!$F$97/100*Time!V24-Operations!V9/100*Time!V25/Inputs!$F$247),0)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IF(Time!W53=1,Inputs!$F$75*W10+Inputs!$F$76*W11+Inputs!$F$77*W12+Inputs!$F$78*(W13+(Inputs!$F$95/100*Inputs!$F$96/100)*Time!W25/Inputs!$F$248)+-1*Inputs!W301/(Funding!$F$25*W18)*(Inputs!$F$97/100*Time!W24-Operations!W9/100*Time!W25/Inputs!$F$247),0)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IF(Time!X53=1,Inputs!$F$75*X10+Inputs!$F$76*X11+Inputs!$F$77*X12+Inputs!$F$78*(X13+(Inputs!$F$95/100*Inputs!$F$96/100)*Time!X25/Inputs!$F$248)+-1*Inputs!X301/(Funding!$F$25*X18)*(Inputs!$F$97/100*Time!X24-Operations!X9/100*Time!X25/Inputs!$F$247),0)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IF(Time!Y53=1,Inputs!$F$75*Y10+Inputs!$F$76*Y11+Inputs!$F$77*Y12+Inputs!$F$78*(Y13+(Inputs!$F$95/100*Inputs!$F$96/100)*Time!Y25/Inputs!$F$248)+-1*Inputs!Y301/(Funding!$F$25*Y18)*(Inputs!$F$97/100*Time!Y24-Operations!Y9/100*Time!Y25/Inputs!$F$247),0)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IF(Time!Z53=1,Inputs!$F$75*Z10+Inputs!$F$76*Z11+Inputs!$F$77*Z12+Inputs!$F$78*(Z13+(Inputs!$F$95/100*Inputs!$F$96/100)*Time!Z25/Inputs!$F$248)+-1*Inputs!Z301/(Funding!$F$25*Z18)*(Inputs!$F$97/100*Time!Z24-Operations!Z9/100*Time!Z25/Inputs!$F$247),0)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IF(Time!AA53=1,Inputs!$F$75*AA10+Inputs!$F$76*AA11+Inputs!$F$77*AA12+Inputs!$F$78*(AA13+(Inputs!$F$95/100*Inputs!$F$96/100)*Time!AA25/Inputs!$F$248)+-1*Inputs!AA301/(Funding!$F$25*AA18)*(Inputs!$F$97/100*Time!AA24-Operations!AA9/100*Time!AA25/Inputs!$F$247),0)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IF(Time!AB53=1,Inputs!$F$75*AB10+Inputs!$F$76*AB11+Inputs!$F$77*AB12+Inputs!$F$78*(AB13+(Inputs!$F$95/100*Inputs!$F$96/100)*Time!AB25/Inputs!$F$248)+-1*Inputs!AB301/(Funding!$F$25*AB18)*(Inputs!$F$97/100*Time!AB24-Operations!AB9/100*Time!AB25/Inputs!$F$247),0)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IF(Time!AC53=1,Inputs!$F$75*AC10+Inputs!$F$76*AC11+Inputs!$F$77*AC12+Inputs!$F$78*(AC13+(Inputs!$F$95/100*Inputs!$F$96/100)*Time!AC25/Inputs!$F$248)+-1*Inputs!AC301/(Funding!$F$25*AC18)*(Inputs!$F$97/100*Time!AC24-Operations!AC9/100*Time!AC25/Inputs!$F$247),0)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IF(Time!AD53=1,Inputs!$F$75*AD10+Inputs!$F$76*AD11+Inputs!$F$77*AD12+Inputs!$F$78*(AD13+(Inputs!$F$95/100*Inputs!$F$96/100)*Time!AD25/Inputs!$F$248)+-1*Inputs!AD301/(Funding!$F$25*AD18)*(Inputs!$F$97/100*Time!AD24-Operations!AD9/100*Time!AD25/Inputs!$F$247),0)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IF(Time!AE53=1,Inputs!$F$75*AE10+Inputs!$F$76*AE11+Inputs!$F$77*AE12+Inputs!$F$78*(AE13+(Inputs!$F$95/100*Inputs!$F$96/100)*Time!AE25/Inputs!$F$248)+-1*Inputs!AE301/(Funding!$F$25*AE18)*(Inputs!$F$97/100*Time!AE24-Operations!AE9/100*Time!AE25/Inputs!$F$247),0)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IF(Time!AF53=1,Inputs!$F$75*AF10+Inputs!$F$76*AF11+Inputs!$F$77*AF12+Inputs!$F$78*(AF13+(Inputs!$F$95/100*Inputs!$F$96/100)*Time!AF25/Inputs!$F$248)+-1*Inputs!AF301/(Funding!$F$25*AF18)*(Inputs!$F$97/100*Time!AF24-Operations!AF9/100*Time!AF25/Inputs!$F$247),0)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IF(Time!AG53=1,Inputs!$F$75*AG10+Inputs!$F$76*AG11+Inputs!$F$77*AG12+Inputs!$F$78*(AG13+(Inputs!$F$95/100*Inputs!$F$96/100)*Time!AG25/Inputs!$F$248)+-1*Inputs!AG301/(Funding!$F$25*AG18)*(Inputs!$F$97/100*Time!AG24-Operations!AG9/100*Time!AG25/Inputs!$F$247),0)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IF(Time!AH53=1,Inputs!$F$75*AH10+Inputs!$F$76*AH11+Inputs!$F$77*AH12+Inputs!$F$78*(AH13+(Inputs!$F$95/100*Inputs!$F$96/100)*Time!AH25/Inputs!$F$248)+-1*Inputs!AH301/(Funding!$F$25*AH18)*(Inputs!$F$97/100*Time!AH24-Operations!AH9/100*Time!AH25/Inputs!$F$247),0)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IF(Time!AI53=1,Inputs!$F$75*AI10+Inputs!$F$76*AI11+Inputs!$F$77*AI12+Inputs!$F$78*(AI13+(Inputs!$F$95/100*Inputs!$F$96/100)*Time!AI25/Inputs!$F$248)+-1*Inputs!AI301/(Funding!$F$25*AI18)*(Inputs!$F$97/100*Time!AI24-Operations!AI9/100*Time!AI25/Inputs!$F$247),0)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IF(Time!AJ53=1,Inputs!$F$75*AJ10+Inputs!$F$76*AJ11+Inputs!$F$77*AJ12+Inputs!$F$78*(AJ13+(Inputs!$F$95/100*Inputs!$F$96/100)*Time!AJ25/Inputs!$F$248)+-1*Inputs!AJ301/(Funding!$F$25*AJ18)*(Inputs!$F$97/100*Time!AJ24-Operations!AJ9/100*Time!AJ25/Inputs!$F$247),0)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IF(Time!AK53=1,Inputs!$F$75*AK10+Inputs!$F$76*AK11+Inputs!$F$77*AK12+Inputs!$F$78*(AK13+(Inputs!$F$95/100*Inputs!$F$96/100)*Time!AK25/Inputs!$F$248)+-1*Inputs!AK301/(Funding!$F$25*AK18)*(Inputs!$F$97/100*Time!AK24-Operations!AK9/100*Time!AK25/Inputs!$F$247),0)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IF(Time!AL53=1,Inputs!$F$75*AL10+Inputs!$F$76*AL11+Inputs!$F$77*AL12+Inputs!$F$78*(AL13+(Inputs!$F$95/100*Inputs!$F$96/100)*Time!AL25/Inputs!$F$248)+-1*Inputs!AL301/(Funding!$F$25*AL18)*(Inputs!$F$97/100*Time!AL24-Operations!AL9/100*Time!AL25/Inputs!$F$247),0)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IF(Time!AM53=1,Inputs!$F$75*AM10+Inputs!$F$76*AM11+Inputs!$F$77*AM12+Inputs!$F$78*(AM13+(Inputs!$F$95/100*Inputs!$F$96/100)*Time!AM25/Inputs!$F$248)+-1*Inputs!AM301/(Funding!$F$25*AM18)*(Inputs!$F$97/100*Time!AM24-Operations!AM9/100*Time!AM25/Inputs!$F$247),0)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IF(Time!AN53=1,Inputs!$F$75*AN10+Inputs!$F$76*AN11+Inputs!$F$77*AN12+Inputs!$F$78*(AN13+(Inputs!$F$95/100*Inputs!$F$96/100)*Time!AN25/Inputs!$F$248)+-1*Inputs!AN301/(Funding!$F$25*AN18)*(Inputs!$F$97/100*Time!AN24-Operations!AN9/100*Time!AN25/Inputs!$F$247),0)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IF(Time!AO53=1,Inputs!$F$75*AO10+Inputs!$F$76*AO11+Inputs!$F$77*AO12+Inputs!$F$78*(AO13+(Inputs!$F$95/100*Inputs!$F$96/100)*Time!AO25/Inputs!$F$248)+-1*Inputs!AO301/(Funding!$F$25*AO18)*(Inputs!$F$97/100*Time!AO24-Operations!AO9/100*Time!AO25/Inputs!$F$247),0)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IF(Time!AP53=1,Inputs!$F$75*AP10+Inputs!$F$76*AP11+Inputs!$F$77*AP12+Inputs!$F$78*(AP13+(Inputs!$F$95/100*Inputs!$F$96/100)*Time!AP25/Inputs!$F$248)+-1*Inputs!AP301/(Funding!$F$25*AP18)*(Inputs!$F$97/100*Time!AP24-Operations!AP9/100*Time!AP25/Inputs!$F$247),0)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IF(Time!AQ53=1,Inputs!$F$75*AQ10+Inputs!$F$76*AQ11+Inputs!$F$77*AQ12+Inputs!$F$78*(AQ13+(Inputs!$F$95/100*Inputs!$F$96/100)*Time!AQ25/Inputs!$F$248)+-1*Inputs!AQ301/(Funding!$F$25*AQ18)*(Inputs!$F$97/100*Time!AQ24-Operations!AQ9/100*Time!AQ25/Inputs!$F$247),0)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IF(Time!AR53=1,Inputs!$F$75*AR10+Inputs!$F$76*AR11+Inputs!$F$77*AR12+Inputs!$F$78*(AR13+(Inputs!$F$95/100*Inputs!$F$96/100)*Time!AR25/Inputs!$F$248)+-1*Inputs!AR301/(Funding!$F$25*AR18)*(Inputs!$F$97/100*Time!AR24-Operations!AR9/100*Time!AR25/Inputs!$F$247),0)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IF(Time!AS53=1,Inputs!$F$75*AS10+Inputs!$F$76*AS11+Inputs!$F$77*AS12+Inputs!$F$78*(AS13+(Inputs!$F$95/100*Inputs!$F$96/100)*Time!AS25/Inputs!$F$248)+-1*Inputs!AS301/(Funding!$F$25*AS18)*(Inputs!$F$97/100*Time!AS24-Operations!AS9/100*Time!AS25/Inputs!$F$247),0)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IF(Time!AT53=1,Inputs!$F$75*AT10+Inputs!$F$76*AT11+Inputs!$F$77*AT12+Inputs!$F$78*(AT13+(Inputs!$F$95/100*Inputs!$F$96/100)*Time!AT25/Inputs!$F$248)+-1*Inputs!AT301/(Funding!$F$25*AT18)*(Inputs!$F$97/100*Time!AT24-Operations!AT9/100*Time!AT25/Inputs!$F$247),0)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IF(Time!AU53=1,Inputs!$F$75*AU10+Inputs!$F$76*AU11+Inputs!$F$77*AU12+Inputs!$F$78*(AU13+(Inputs!$F$95/100*Inputs!$F$96/100)*Time!AU25/Inputs!$F$248)+-1*Inputs!AU301/(Funding!$F$25*AU18)*(Inputs!$F$97/100*Time!AU24-Operations!AU9/100*Time!AU25/Inputs!$F$247),0)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IF(Time!AV53=1,Inputs!$F$75*AV10+Inputs!$F$76*AV11+Inputs!$F$77*AV12+Inputs!$F$78*(AV13+(Inputs!$F$95/100*Inputs!$F$96/100)*Time!AV25/Inputs!$F$248)+-1*Inputs!AV301/(Funding!$F$25*AV18)*(Inputs!$F$97/100*Time!AV24-Operations!AV9/100*Time!AV25/Inputs!$F$247),0)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IF(Time!AW53=1,Inputs!$F$75*AW10+Inputs!$F$76*AW11+Inputs!$F$77*AW12+Inputs!$F$78*(AW13+(Inputs!$F$95/100*Inputs!$F$96/100)*Time!AW25/Inputs!$F$248)+-1*Inputs!AW301/(Funding!$F$25*AW18)*(Inputs!$F$97/100*Time!AW24-Operations!AW9/100*Time!AW25/Inputs!$F$247),0)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IF(Time!AX53=1,Inputs!$F$75*AX10+Inputs!$F$76*AX11+Inputs!$F$77*AX12+Inputs!$F$78*(AX13+(Inputs!$F$95/100*Inputs!$F$96/100)*Time!AX25/Inputs!$F$248)+-1*Inputs!AX301/(Funding!$F$25*AX18)*(Inputs!$F$97/100*Time!AX24-Operations!AX9/100*Time!AX25/Inputs!$F$247),0)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IF(Time!AY53=1,Inputs!$F$75*AY10+Inputs!$F$76*AY11+Inputs!$F$77*AY12+Inputs!$F$78*(AY13+(Inputs!$F$95/100*Inputs!$F$96/100)*Time!AY25/Inputs!$F$248)+-1*Inputs!AY301/(Funding!$F$25*AY18)*(Inputs!$F$97/100*Time!AY24-Operations!AY9/100*Time!AY25/Inputs!$F$247),0)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IF(Time!AZ53=1,Inputs!$F$75*AZ10+Inputs!$F$76*AZ11+Inputs!$F$77*AZ12+Inputs!$F$78*(AZ13+(Inputs!$F$95/100*Inputs!$F$96/100)*Time!AZ25/Inputs!$F$248)+-1*Inputs!AZ301/(Funding!$F$25*AZ18)*(Inputs!$F$97/100*Time!AZ24-Operations!AZ9/100*Time!AZ25/Inputs!$F$247),0)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IF(Time!BA53=1,Inputs!$F$75*BA10+Inputs!$F$76*BA11+Inputs!$F$77*BA12+Inputs!$F$78*(BA13+(Inputs!$F$95/100*Inputs!$F$96/100)*Time!BA25/Inputs!$F$248)+-1*Inputs!BA301/(Funding!$F$25*BA18)*(Inputs!$F$97/100*Time!BA24-Operations!BA9/100*Time!BA25/Inputs!$F$247),0)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IF(Time!BB53=1,Inputs!$F$75*BB10+Inputs!$F$76*BB11+Inputs!$F$77*BB12+Inputs!$F$78*(BB13+(Inputs!$F$95/100*Inputs!$F$96/100)*Time!BB25/Inputs!$F$248)+-1*Inputs!BB301/(Funding!$F$25*BB18)*(Inputs!$F$97/100*Time!BB24-Operations!BB9/100*Time!BB25/Inputs!$F$247),0)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IF(Time!BC53=1,Inputs!$F$75*BC10+Inputs!$F$76*BC11+Inputs!$F$77*BC12+Inputs!$F$78*(BC13+(Inputs!$F$95/100*Inputs!$F$96/100)*Time!BC25/Inputs!$F$248)+-1*Inputs!BC301/(Funding!$F$25*BC18)*(Inputs!$F$97/100*Time!BC24-Operations!BC9/100*Time!BC25/Inputs!$F$247),0)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IF(Time!BD53=1,Inputs!$F$75*BD10+Inputs!$F$76*BD11+Inputs!$F$77*BD12+Inputs!$F$78*(BD13+(Inputs!$F$95/100*Inputs!$F$96/100)*Time!BD25/Inputs!$F$248)+-1*Inputs!BD301/(Funding!$F$25*BD18)*(Inputs!$F$97/100*Time!BD24-Operations!BD9/100*Time!BD25/Inputs!$F$247),0)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IF(Time!BE53=1,Inputs!$F$75*BE10+Inputs!$F$76*BE11+Inputs!$F$77*BE12+Inputs!$F$78*(BE13+(Inputs!$F$95/100*Inputs!$F$96/100)*Time!BE25/Inputs!$F$248)+-1*Inputs!BE301/(Funding!$F$25*BE18)*(Inputs!$F$97/100*Time!BE24-Operations!BE9/100*Time!BE25/Inputs!$F$247),0)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IF(Time!BF53=1,Inputs!$F$75*BF10+Inputs!$F$76*BF11+Inputs!$F$77*BF12+Inputs!$F$78*(BF13+(Inputs!$F$95/100*Inputs!$F$96/100)*Time!BF25/Inputs!$F$248)+-1*Inputs!BF301/(Funding!$F$25*BF18)*(Inputs!$F$97/100*Time!BF24-Operations!BF9/100*Time!BF25/Inputs!$F$247),0)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IF(Time!BG53=1,Inputs!$F$75*BG10+Inputs!$F$76*BG11+Inputs!$F$77*BG12+Inputs!$F$78*(BG13+(Inputs!$F$95/100*Inputs!$F$96/100)*Time!BG25/Inputs!$F$248)+-1*Inputs!BG301/(Funding!$F$25*BG18)*(Inputs!$F$97/100*Time!BG24-Operations!BG9/100*Time!BG25/Inputs!$F$247),0)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IF(Time!BH53=1,Inputs!$F$75*BH10+Inputs!$F$76*BH11+Inputs!$F$77*BH12+Inputs!$F$78*(BH13+(Inputs!$F$95/100*Inputs!$F$96/100)*Time!BH25/Inputs!$F$248)+-1*Inputs!BH301/(Funding!$F$25*BH18)*(Inputs!$F$97/100*Time!BH24-Operations!BH9/100*Time!BH25/Inputs!$F$247),0)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IF(Time!BI53=1,Inputs!$F$75*BI10+Inputs!$F$76*BI11+Inputs!$F$77*BI12+Inputs!$F$78*(BI13+(Inputs!$F$95/100*Inputs!$F$96/100)*Time!BI25/Inputs!$F$248)+-1*Inputs!BI301/(Funding!$F$25*BI18)*(Inputs!$F$97/100*Time!BI24-Operations!BI9/100*Time!BI25/Inputs!$F$247),0)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IF(Time!BJ53=1,Inputs!$F$75*BJ10+Inputs!$F$76*BJ11+Inputs!$F$77*BJ12+Inputs!$F$78*(BJ13+(Inputs!$F$95/100*Inputs!$F$96/100)*Time!BJ25/Inputs!$F$248)+-1*Inputs!BJ301/(Funding!$F$25*BJ18)*(Inputs!$F$97/100*Time!BJ24-Operations!BJ9/100*Time!BJ25/Inputs!$F$247),0)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IF(Time!BK53=1,Inputs!$F$75*BK10+Inputs!$F$76*BK11+Inputs!$F$77*BK12+Inputs!$F$78*(BK13+(Inputs!$F$95/100*Inputs!$F$96/100)*Time!BK25/Inputs!$F$248)+-1*Inputs!BK301/(Funding!$F$25*BK18)*(Inputs!$F$97/100*Time!BK24-Operations!BK9/100*Time!BK25/Inputs!$F$247),0)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IF(Time!BL53=1,Inputs!$F$75*BL10+Inputs!$F$76*BL11+Inputs!$F$77*BL12+Inputs!$F$78*(BL13+(Inputs!$F$95/100*Inputs!$F$96/100)*Time!BL25/Inputs!$F$248)+-1*Inputs!BL301/(Funding!$F$25*BL18)*(Inputs!$F$97/100*Time!BL24-Operations!BL9/100*Time!BL25/Inputs!$F$247),0)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IF(Time!BM53=1,Inputs!$F$75*BM10+Inputs!$F$76*BM11+Inputs!$F$77*BM12+Inputs!$F$78*(BM13+(Inputs!$F$95/100*Inputs!$F$96/100)*Time!BM25/Inputs!$F$248)+-1*Inputs!BM301/(Funding!$F$25*BM18)*(Inputs!$F$97/100*Time!BM24-Operations!BM9/100*Time!BM25/Inputs!$F$247),0)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IF(Time!BN53=1,Inputs!$F$75*BN10+Inputs!$F$76*BN11+Inputs!$F$77*BN12+Inputs!$F$78*(BN13+(Inputs!$F$95/100*Inputs!$F$96/100)*Time!BN25/Inputs!$F$248)+-1*Inputs!BN301/(Funding!$F$25*BN18)*(Inputs!$F$97/100*Time!BN24-Operations!BN9/100*Time!BN25/Inputs!$F$247),0)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IF(Time!J53=1,(Waterfall!J7+Tax!J27+K128)/(1+J127),0)</f>
        <v/>
      </c>
      <c r="K128" s="13">
        <f>IF(Time!K53=1,(Waterfall!K7+Tax!K27+L128)/(1+K127),0)</f>
        <v/>
      </c>
      <c r="L128" s="13">
        <f>IF(Time!L53=1,(Waterfall!L7+Tax!L27+M128)/(1+L127),0)</f>
        <v/>
      </c>
      <c r="M128" s="13">
        <f>IF(Time!M53=1,(Waterfall!M7+Tax!M27+N128)/(1+M127),0)</f>
        <v/>
      </c>
      <c r="N128" s="13">
        <f>IF(Time!N53=1,(Waterfall!N7+Tax!N27+O128)/(1+N127),0)</f>
        <v/>
      </c>
      <c r="O128" s="13">
        <f>IF(Time!O53=1,(Waterfall!O7+Tax!O27+P128)/(1+O127),0)</f>
        <v/>
      </c>
      <c r="P128" s="13">
        <f>IF(Time!P53=1,(Waterfall!P7+Tax!P27+Q128)/(1+P127),0)</f>
        <v/>
      </c>
      <c r="Q128" s="13">
        <f>IF(Time!Q53=1,(Waterfall!Q7+Tax!Q27+R128)/(1+Q127),0)</f>
        <v/>
      </c>
      <c r="R128" s="13">
        <f>IF(Time!R53=1,(Waterfall!R7+Tax!R27+S128)/(1+R127),0)</f>
        <v/>
      </c>
      <c r="S128" s="13">
        <f>IF(Time!S53=1,(Waterfall!S7+Tax!S27+T128)/(1+S127),0)</f>
        <v/>
      </c>
      <c r="T128" s="13">
        <f>IF(Time!T53=1,(Waterfall!T7+Tax!T27+U128)/(1+T127),0)</f>
        <v/>
      </c>
      <c r="U128" s="13">
        <f>IF(Time!U53=1,(Waterfall!U7+Tax!U27+V128)/(1+U127),0)</f>
        <v/>
      </c>
      <c r="V128" s="13">
        <f>IF(Time!V53=1,(Waterfall!V7+Tax!V27+W128)/(1+V127),0)</f>
        <v/>
      </c>
      <c r="W128" s="13">
        <f>IF(Time!W53=1,(Waterfall!W7+Tax!W27+X128)/(1+W127),0)</f>
        <v/>
      </c>
      <c r="X128" s="13">
        <f>IF(Time!X53=1,(Waterfall!X7+Tax!X27+Y128)/(1+X127),0)</f>
        <v/>
      </c>
      <c r="Y128" s="13">
        <f>IF(Time!Y53=1,(Waterfall!Y7+Tax!Y27+Z128)/(1+Y127),0)</f>
        <v/>
      </c>
      <c r="Z128" s="13">
        <f>IF(Time!Z53=1,(Waterfall!Z7+Tax!Z27+AA128)/(1+Z127),0)</f>
        <v/>
      </c>
      <c r="AA128" s="13">
        <f>IF(Time!AA53=1,(Waterfall!AA7+Tax!AA27+AB128)/(1+AA127),0)</f>
        <v/>
      </c>
      <c r="AB128" s="13">
        <f>IF(Time!AB53=1,(Waterfall!AB7+Tax!AB27+AC128)/(1+AB127),0)</f>
        <v/>
      </c>
      <c r="AC128" s="13">
        <f>IF(Time!AC53=1,(Waterfall!AC7+Tax!AC27+AD128)/(1+AC127),0)</f>
        <v/>
      </c>
      <c r="AD128" s="13">
        <f>IF(Time!AD53=1,(Waterfall!AD7+Tax!AD27+AE128)/(1+AD127),0)</f>
        <v/>
      </c>
      <c r="AE128" s="13">
        <f>IF(Time!AE53=1,(Waterfall!AE7+Tax!AE27+AF128)/(1+AE127),0)</f>
        <v/>
      </c>
      <c r="AF128" s="13">
        <f>IF(Time!AF53=1,(Waterfall!AF7+Tax!AF27+AG128)/(1+AF127),0)</f>
        <v/>
      </c>
      <c r="AG128" s="13">
        <f>IF(Time!AG53=1,(Waterfall!AG7+Tax!AG27+AH128)/(1+AG127),0)</f>
        <v/>
      </c>
      <c r="AH128" s="13">
        <f>IF(Time!AH53=1,(Waterfall!AH7+Tax!AH27+AI128)/(1+AH127),0)</f>
        <v/>
      </c>
      <c r="AI128" s="13">
        <f>IF(Time!AI53=1,(Waterfall!AI7+Tax!AI27+AJ128)/(1+AI127),0)</f>
        <v/>
      </c>
      <c r="AJ128" s="13">
        <f>IF(Time!AJ53=1,(Waterfall!AJ7+Tax!AJ27+AK128)/(1+AJ127),0)</f>
        <v/>
      </c>
      <c r="AK128" s="13">
        <f>IF(Time!AK53=1,(Waterfall!AK7+Tax!AK27+AL128)/(1+AK127),0)</f>
        <v/>
      </c>
      <c r="AL128" s="13">
        <f>IF(Time!AL53=1,(Waterfall!AL7+Tax!AL27+AM128)/(1+AL127),0)</f>
        <v/>
      </c>
      <c r="AM128" s="13">
        <f>IF(Time!AM53=1,(Waterfall!AM7+Tax!AM27+AN128)/(1+AM127),0)</f>
        <v/>
      </c>
      <c r="AN128" s="13">
        <f>IF(Time!AN53=1,(Waterfall!AN7+Tax!AN27+AO128)/(1+AN127),0)</f>
        <v/>
      </c>
      <c r="AO128" s="13">
        <f>IF(Time!AO53=1,(Waterfall!AO7+Tax!AO27+AP128)/(1+AO127),0)</f>
        <v/>
      </c>
      <c r="AP128" s="13">
        <f>IF(Time!AP53=1,(Waterfall!AP7+Tax!AP27+AQ128)/(1+AP127),0)</f>
        <v/>
      </c>
      <c r="AQ128" s="13">
        <f>IF(Time!AQ53=1,(Waterfall!AQ7+Tax!AQ27+AR128)/(1+AQ127),0)</f>
        <v/>
      </c>
      <c r="AR128" s="13">
        <f>IF(Time!AR53=1,(Waterfall!AR7+Tax!AR27+AS128)/(1+AR127),0)</f>
        <v/>
      </c>
      <c r="AS128" s="13">
        <f>IF(Time!AS53=1,(Waterfall!AS7+Tax!AS27+AT128)/(1+AS127),0)</f>
        <v/>
      </c>
      <c r="AT128" s="13">
        <f>IF(Time!AT53=1,(Waterfall!AT7+Tax!AT27+AU128)/(1+AT127),0)</f>
        <v/>
      </c>
      <c r="AU128" s="13">
        <f>IF(Time!AU53=1,(Waterfall!AU7+Tax!AU27+AV128)/(1+AU127),0)</f>
        <v/>
      </c>
      <c r="AV128" s="13">
        <f>IF(Time!AV53=1,(Waterfall!AV7+Tax!AV27+AW128)/(1+AV127),0)</f>
        <v/>
      </c>
      <c r="AW128" s="13">
        <f>IF(Time!AW53=1,(Waterfall!AW7+Tax!AW27+AX128)/(1+AW127),0)</f>
        <v/>
      </c>
      <c r="AX128" s="13">
        <f>IF(Time!AX53=1,(Waterfall!AX7+Tax!AX27+AY128)/(1+AX127),0)</f>
        <v/>
      </c>
      <c r="AY128" s="13">
        <f>IF(Time!AY53=1,(Waterfall!AY7+Tax!AY27+AZ128)/(1+AY127),0)</f>
        <v/>
      </c>
      <c r="AZ128" s="13">
        <f>IF(Time!AZ53=1,(Waterfall!AZ7+Tax!AZ27+BA128)/(1+AZ127),0)</f>
        <v/>
      </c>
      <c r="BA128" s="13">
        <f>IF(Time!BA53=1,(Waterfall!BA7+Tax!BA27+BB128)/(1+BA127),0)</f>
        <v/>
      </c>
      <c r="BB128" s="13">
        <f>IF(Time!BB53=1,(Waterfall!BB7+Tax!BB27+BC128)/(1+BB127),0)</f>
        <v/>
      </c>
      <c r="BC128" s="13">
        <f>IF(Time!BC53=1,(Waterfall!BC7+Tax!BC27+BD128)/(1+BC127),0)</f>
        <v/>
      </c>
      <c r="BD128" s="13">
        <f>IF(Time!BD53=1,(Waterfall!BD7+Tax!BD27+BE128)/(1+BD127),0)</f>
        <v/>
      </c>
      <c r="BE128" s="13">
        <f>IF(Time!BE53=1,(Waterfall!BE7+Tax!BE27+BF128)/(1+BE127),0)</f>
        <v/>
      </c>
      <c r="BF128" s="13">
        <f>IF(Time!BF53=1,(Waterfall!BF7+Tax!BF27+BG128)/(1+BF127),0)</f>
        <v/>
      </c>
      <c r="BG128" s="13">
        <f>IF(Time!BG53=1,(Waterfall!BG7+Tax!BG27+BH128)/(1+BG127),0)</f>
        <v/>
      </c>
      <c r="BH128" s="13">
        <f>IF(Time!BH53=1,(Waterfall!BH7+Tax!BH27+BI128)/(1+BH127),0)</f>
        <v/>
      </c>
      <c r="BI128" s="13">
        <f>IF(Time!BI53=1,(Waterfall!BI7+Tax!BI27+BJ128)/(1+BI127),0)</f>
        <v/>
      </c>
      <c r="BJ128" s="13">
        <f>IF(Time!BJ53=1,(Waterfall!BJ7+Tax!BJ27+BK128)/(1+BJ127),0)</f>
        <v/>
      </c>
      <c r="BK128" s="13">
        <f>IF(Time!BK53=1,(Waterfall!BK7+Tax!BK27+BL128)/(1+BK127),0)</f>
        <v/>
      </c>
      <c r="BL128" s="13">
        <f>IF(Time!BL53=1,(Waterfall!BL7+Tax!BL27+BM128)/(1+BL127),0)</f>
        <v/>
      </c>
      <c r="BM128" s="13">
        <f>IF(Time!BM53=1,(Waterfall!BM7+Tax!BM27+BN128)/(1+BM127),0)</f>
        <v/>
      </c>
      <c r="BN128" s="13">
        <f>IF(Time!BN53=1,(Waterfall!BN7+Tax!BN27+BO128)/(1+BN127),0)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IF(Time!J53=1,(Waterfall!J7+Tax!J27)/$F$129,0)</f>
        <v/>
      </c>
      <c r="K132" s="13">
        <f>IF(Time!K53=1,(Waterfall!K7+Tax!K27)/$F$129,0)</f>
        <v/>
      </c>
      <c r="L132" s="13">
        <f>IF(Time!L53=1,(Waterfall!L7+Tax!L27)/$F$129,0)</f>
        <v/>
      </c>
      <c r="M132" s="13">
        <f>IF(Time!M53=1,(Waterfall!M7+Tax!M27)/$F$129,0)</f>
        <v/>
      </c>
      <c r="N132" s="13">
        <f>IF(Time!N53=1,(Waterfall!N7+Tax!N27)/$F$129,0)</f>
        <v/>
      </c>
      <c r="O132" s="13">
        <f>IF(Time!O53=1,(Waterfall!O7+Tax!O27)/$F$129,0)</f>
        <v/>
      </c>
      <c r="P132" s="13">
        <f>IF(Time!P53=1,(Waterfall!P7+Tax!P27)/$F$129,0)</f>
        <v/>
      </c>
      <c r="Q132" s="13">
        <f>IF(Time!Q53=1,(Waterfall!Q7+Tax!Q27)/$F$129,0)</f>
        <v/>
      </c>
      <c r="R132" s="13">
        <f>IF(Time!R53=1,(Waterfall!R7+Tax!R27)/$F$129,0)</f>
        <v/>
      </c>
      <c r="S132" s="13">
        <f>IF(Time!S53=1,(Waterfall!S7+Tax!S27)/$F$129,0)</f>
        <v/>
      </c>
      <c r="T132" s="13">
        <f>IF(Time!T53=1,(Waterfall!T7+Tax!T27)/$F$129,0)</f>
        <v/>
      </c>
      <c r="U132" s="13">
        <f>IF(Time!U53=1,(Waterfall!U7+Tax!U27)/$F$129,0)</f>
        <v/>
      </c>
      <c r="V132" s="13">
        <f>IF(Time!V53=1,(Waterfall!V7+Tax!V27)/$F$129,0)</f>
        <v/>
      </c>
      <c r="W132" s="13">
        <f>IF(Time!W53=1,(Waterfall!W7+Tax!W27)/$F$129,0)</f>
        <v/>
      </c>
      <c r="X132" s="13">
        <f>IF(Time!X53=1,(Waterfall!X7+Tax!X27)/$F$129,0)</f>
        <v/>
      </c>
      <c r="Y132" s="13">
        <f>IF(Time!Y53=1,(Waterfall!Y7+Tax!Y27)/$F$129,0)</f>
        <v/>
      </c>
      <c r="Z132" s="13">
        <f>IF(Time!Z53=1,(Waterfall!Z7+Tax!Z27)/$F$129,0)</f>
        <v/>
      </c>
      <c r="AA132" s="13">
        <f>IF(Time!AA53=1,(Waterfall!AA7+Tax!AA27)/$F$129,0)</f>
        <v/>
      </c>
      <c r="AB132" s="13">
        <f>IF(Time!AB53=1,(Waterfall!AB7+Tax!AB27)/$F$129,0)</f>
        <v/>
      </c>
      <c r="AC132" s="13">
        <f>IF(Time!AC53=1,(Waterfall!AC7+Tax!AC27)/$F$129,0)</f>
        <v/>
      </c>
      <c r="AD132" s="13">
        <f>IF(Time!AD53=1,(Waterfall!AD7+Tax!AD27)/$F$129,0)</f>
        <v/>
      </c>
      <c r="AE132" s="13">
        <f>IF(Time!AE53=1,(Waterfall!AE7+Tax!AE27)/$F$129,0)</f>
        <v/>
      </c>
      <c r="AF132" s="13">
        <f>IF(Time!AF53=1,(Waterfall!AF7+Tax!AF27)/$F$129,0)</f>
        <v/>
      </c>
      <c r="AG132" s="13">
        <f>IF(Time!AG53=1,(Waterfall!AG7+Tax!AG27)/$F$129,0)</f>
        <v/>
      </c>
      <c r="AH132" s="13">
        <f>IF(Time!AH53=1,(Waterfall!AH7+Tax!AH27)/$F$129,0)</f>
        <v/>
      </c>
      <c r="AI132" s="13">
        <f>IF(Time!AI53=1,(Waterfall!AI7+Tax!AI27)/$F$129,0)</f>
        <v/>
      </c>
      <c r="AJ132" s="13">
        <f>IF(Time!AJ53=1,(Waterfall!AJ7+Tax!AJ27)/$F$129,0)</f>
        <v/>
      </c>
      <c r="AK132" s="13">
        <f>IF(Time!AK53=1,(Waterfall!AK7+Tax!AK27)/$F$129,0)</f>
        <v/>
      </c>
      <c r="AL132" s="13">
        <f>IF(Time!AL53=1,(Waterfall!AL7+Tax!AL27)/$F$129,0)</f>
        <v/>
      </c>
      <c r="AM132" s="13">
        <f>IF(Time!AM53=1,(Waterfall!AM7+Tax!AM27)/$F$129,0)</f>
        <v/>
      </c>
      <c r="AN132" s="13">
        <f>IF(Time!AN53=1,(Waterfall!AN7+Tax!AN27)/$F$129,0)</f>
        <v/>
      </c>
      <c r="AO132" s="13">
        <f>IF(Time!AO53=1,(Waterfall!AO7+Tax!AO27)/$F$129,0)</f>
        <v/>
      </c>
      <c r="AP132" s="13">
        <f>IF(Time!AP53=1,(Waterfall!AP7+Tax!AP27)/$F$129,0)</f>
        <v/>
      </c>
      <c r="AQ132" s="13">
        <f>IF(Time!AQ53=1,(Waterfall!AQ7+Tax!AQ27)/$F$129,0)</f>
        <v/>
      </c>
      <c r="AR132" s="13">
        <f>IF(Time!AR53=1,(Waterfall!AR7+Tax!AR27)/$F$129,0)</f>
        <v/>
      </c>
      <c r="AS132" s="13">
        <f>IF(Time!AS53=1,(Waterfall!AS7+Tax!AS27)/$F$129,0)</f>
        <v/>
      </c>
      <c r="AT132" s="13">
        <f>IF(Time!AT53=1,(Waterfall!AT7+Tax!AT27)/$F$129,0)</f>
        <v/>
      </c>
      <c r="AU132" s="13">
        <f>IF(Time!AU53=1,(Waterfall!AU7+Tax!AU27)/$F$129,0)</f>
        <v/>
      </c>
      <c r="AV132" s="13">
        <f>IF(Time!AV53=1,(Waterfall!AV7+Tax!AV27)/$F$129,0)</f>
        <v/>
      </c>
      <c r="AW132" s="13">
        <f>IF(Time!AW53=1,(Waterfall!AW7+Tax!AW27)/$F$129,0)</f>
        <v/>
      </c>
      <c r="AX132" s="13">
        <f>IF(Time!AX53=1,(Waterfall!AX7+Tax!AX27)/$F$129,0)</f>
        <v/>
      </c>
      <c r="AY132" s="13">
        <f>IF(Time!AY53=1,(Waterfall!AY7+Tax!AY27)/$F$129,0)</f>
        <v/>
      </c>
      <c r="AZ132" s="13">
        <f>IF(Time!AZ53=1,(Waterfall!AZ7+Tax!AZ27)/$F$129,0)</f>
        <v/>
      </c>
      <c r="BA132" s="13">
        <f>IF(Time!BA53=1,(Waterfall!BA7+Tax!BA27)/$F$129,0)</f>
        <v/>
      </c>
      <c r="BB132" s="13">
        <f>IF(Time!BB53=1,(Waterfall!BB7+Tax!BB27)/$F$129,0)</f>
        <v/>
      </c>
      <c r="BC132" s="13">
        <f>IF(Time!BC53=1,(Waterfall!BC7+Tax!BC27)/$F$129,0)</f>
        <v/>
      </c>
      <c r="BD132" s="13">
        <f>IF(Time!BD53=1,(Waterfall!BD7+Tax!BD27)/$F$129,0)</f>
        <v/>
      </c>
      <c r="BE132" s="13">
        <f>IF(Time!BE53=1,(Waterfall!BE7+Tax!BE27)/$F$129,0)</f>
        <v/>
      </c>
      <c r="BF132" s="13">
        <f>IF(Time!BF53=1,(Waterfall!BF7+Tax!BF27)/$F$129,0)</f>
        <v/>
      </c>
      <c r="BG132" s="13">
        <f>IF(Time!BG53=1,(Waterfall!BG7+Tax!BG27)/$F$129,0)</f>
        <v/>
      </c>
      <c r="BH132" s="13">
        <f>IF(Time!BH53=1,(Waterfall!BH7+Tax!BH27)/$F$129,0)</f>
        <v/>
      </c>
      <c r="BI132" s="13">
        <f>IF(Time!BI53=1,(Waterfall!BI7+Tax!BI27)/$F$129,0)</f>
        <v/>
      </c>
      <c r="BJ132" s="13">
        <f>IF(Time!BJ53=1,(Waterfall!BJ7+Tax!BJ27)/$F$129,0)</f>
        <v/>
      </c>
      <c r="BK132" s="13">
        <f>IF(Time!BK53=1,(Waterfall!BK7+Tax!BK27)/$F$129,0)</f>
        <v/>
      </c>
      <c r="BL132" s="13">
        <f>IF(Time!BL53=1,(Waterfall!BL7+Tax!BL27)/$F$129,0)</f>
        <v/>
      </c>
      <c r="BM132" s="13">
        <f>IF(Time!BM53=1,(Waterfall!BM7+Tax!BM27)/$F$129,0)</f>
        <v/>
      </c>
      <c r="BN132" s="13">
        <f>IF(Time!BN53=1,(Waterfall!BN7+Tax!BN27)/$F$129,0)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base (Scenario 1; number of failed tests)</t>
        </is>
      </c>
      <c r="E23" t="inlineStr">
        <is>
          <t>check</t>
        </is>
      </c>
      <c r="F23" s="3">
        <f>IF(AND(Inputs!$F$8=1,Inputs!$F$312=0),(Debt!$F$140&gt;Inputs!$F$1315)+(Debt!$F$138&gt;Inputs!$F$1316)+(Debt!$F$139&gt;Inputs!$F$1317/100)+(Debt!$F$141&gt;Inputs!$F$1318)+(Debt!$F$142&lt;Inputs!$F$1319/100),0)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859.9157651791288</v>
      </c>
      <c r="K28" s="23" t="n">
        <v>654.6335649688092</v>
      </c>
      <c r="L28" s="23" t="n">
        <v>205.2822002103496</v>
      </c>
      <c r="M28" s="24" t="n">
        <v>0.761276384824056</v>
      </c>
      <c r="N28" s="23" t="n">
        <v>65.66592429782797</v>
      </c>
      <c r="O28" s="23" t="n">
        <v>21.64108407075162</v>
      </c>
      <c r="P28" s="23" t="n">
        <v>21.30832253973376</v>
      </c>
      <c r="Q28" s="23" t="n">
        <v>38.78696433895405</v>
      </c>
      <c r="R28" s="23" t="n">
        <v>0</v>
      </c>
      <c r="S28" s="23" t="n">
        <v>0</v>
      </c>
      <c r="T28" s="23" t="n">
        <v>1.436080176389749</v>
      </c>
      <c r="U28" s="23" t="n">
        <v>1.529571692711584</v>
      </c>
      <c r="V28" s="23" t="n">
        <v>1.432329667942195</v>
      </c>
      <c r="W28" s="23" t="n">
        <v>1.873041484367959</v>
      </c>
      <c r="X28" s="24" t="n">
        <v>0.1522021241602415</v>
      </c>
      <c r="Y28" s="24" t="n">
        <v>0.1182974458890152</v>
      </c>
      <c r="Z28" s="23" t="n">
        <v>-11.5028033441364</v>
      </c>
    </row>
    <row r="29">
      <c r="D29" t="inlineStr">
        <is>
          <t>2: FC banking</t>
        </is>
      </c>
      <c r="J29" s="23" t="n">
        <v>859.9157651791288</v>
      </c>
      <c r="K29" s="23" t="n">
        <v>654.6335649688092</v>
      </c>
      <c r="L29" s="23" t="n">
        <v>205.2822002103496</v>
      </c>
      <c r="M29" s="24" t="n">
        <v>0.761276384824056</v>
      </c>
      <c r="N29" s="23" t="n">
        <v>65.66592429782797</v>
      </c>
      <c r="O29" s="23" t="n">
        <v>21.64108407075162</v>
      </c>
      <c r="P29" s="23" t="n">
        <v>21.30832253973376</v>
      </c>
      <c r="Q29" s="23" t="n">
        <v>38.78696433895405</v>
      </c>
      <c r="R29" s="23" t="n">
        <v>0</v>
      </c>
      <c r="S29" s="23" t="n">
        <v>0</v>
      </c>
      <c r="T29" s="23" t="n">
        <v>1.547878622967198</v>
      </c>
      <c r="U29" s="23" t="n">
        <v>1.681004857973692</v>
      </c>
      <c r="V29" s="23" t="n">
        <v>1.542292961308823</v>
      </c>
      <c r="W29" s="23" t="n">
        <v>2.034003303154754</v>
      </c>
      <c r="X29" s="24" t="n">
        <v>0.1757177861356726</v>
      </c>
      <c r="Y29" s="24" t="n">
        <v>0.1283414248509357</v>
      </c>
      <c r="Z29" s="23" t="n">
        <v>23.33032087183385</v>
      </c>
    </row>
    <row r="30">
      <c r="D30" t="inlineStr">
        <is>
          <t>3: FC downside</t>
        </is>
      </c>
      <c r="J30" s="23" t="n">
        <v>859.9157651791288</v>
      </c>
      <c r="K30" s="23" t="n">
        <v>654.6335649688092</v>
      </c>
      <c r="L30" s="23" t="n">
        <v>205.2822002103496</v>
      </c>
      <c r="M30" s="24" t="n">
        <v>0.761276384824056</v>
      </c>
      <c r="N30" s="23" t="n">
        <v>65.66592429782797</v>
      </c>
      <c r="O30" s="23" t="n">
        <v>21.64108407075162</v>
      </c>
      <c r="P30" s="23" t="n">
        <v>21.30832253973376</v>
      </c>
      <c r="Q30" s="23" t="n">
        <v>38.78696433895405</v>
      </c>
      <c r="R30" s="23" t="n">
        <v>0</v>
      </c>
      <c r="S30" s="23" t="n">
        <v>0</v>
      </c>
      <c r="T30" s="23" t="n">
        <v>1.262498296223135</v>
      </c>
      <c r="U30" s="23" t="n">
        <v>1.341012940620131</v>
      </c>
      <c r="V30" s="23" t="n">
        <v>1.293238659958465</v>
      </c>
      <c r="W30" s="23" t="n">
        <v>1.670613385533821</v>
      </c>
      <c r="X30" s="24" t="n">
        <v>0.1214987722491939</v>
      </c>
      <c r="Y30" s="24" t="n">
        <v>0.1048510978689257</v>
      </c>
      <c r="Z30" s="23" t="n">
        <v>-57.19129192356737</v>
      </c>
    </row>
    <row r="31">
      <c r="D31" t="inlineStr">
        <is>
          <t>4: Sens: availability -3 points</t>
        </is>
      </c>
      <c r="J31" s="23" t="n">
        <v>859.9157651791288</v>
      </c>
      <c r="K31" s="23" t="n">
        <v>654.6335649688092</v>
      </c>
      <c r="L31" s="23" t="n">
        <v>205.2822002103496</v>
      </c>
      <c r="M31" s="24" t="n">
        <v>0.761276384824056</v>
      </c>
      <c r="N31" s="23" t="n">
        <v>65.66592429782797</v>
      </c>
      <c r="O31" s="23" t="n">
        <v>21.64108407075162</v>
      </c>
      <c r="P31" s="23" t="n">
        <v>21.30832253973376</v>
      </c>
      <c r="Q31" s="23" t="n">
        <v>38.78696433895405</v>
      </c>
      <c r="R31" s="23" t="n">
        <v>0</v>
      </c>
      <c r="S31" s="23" t="n">
        <v>0</v>
      </c>
      <c r="T31" s="23" t="n">
        <v>1.384832926127392</v>
      </c>
      <c r="U31" s="23" t="n">
        <v>1.474691202093671</v>
      </c>
      <c r="V31" s="23" t="n">
        <v>1.391549484468431</v>
      </c>
      <c r="W31" s="23" t="n">
        <v>1.814592870889771</v>
      </c>
      <c r="X31" s="24" t="n">
        <v>0.1432591488756877</v>
      </c>
      <c r="Y31" s="24" t="n">
        <v>0.114458907829196</v>
      </c>
      <c r="Z31" s="23" t="n">
        <v>-24.73869160347048</v>
      </c>
    </row>
    <row r="32">
      <c r="D32" t="inlineStr">
        <is>
          <t>5: Sens: heat rate +2%</t>
        </is>
      </c>
      <c r="J32" s="23" t="n">
        <v>859.9157651791288</v>
      </c>
      <c r="K32" s="23" t="n">
        <v>654.6335649688092</v>
      </c>
      <c r="L32" s="23" t="n">
        <v>205.2822002103496</v>
      </c>
      <c r="M32" s="24" t="n">
        <v>0.761276384824056</v>
      </c>
      <c r="N32" s="23" t="n">
        <v>65.66592429782797</v>
      </c>
      <c r="O32" s="23" t="n">
        <v>21.64108407075162</v>
      </c>
      <c r="P32" s="23" t="n">
        <v>21.30832253973376</v>
      </c>
      <c r="Q32" s="23" t="n">
        <v>38.78696433895405</v>
      </c>
      <c r="R32" s="23" t="n">
        <v>0</v>
      </c>
      <c r="S32" s="23" t="n">
        <v>0</v>
      </c>
      <c r="T32" s="23" t="n">
        <v>1.391582543237112</v>
      </c>
      <c r="U32" s="23" t="n">
        <v>1.480157020551438</v>
      </c>
      <c r="V32" s="23" t="n">
        <v>1.395972473998044</v>
      </c>
      <c r="W32" s="23" t="n">
        <v>1.818633001931246</v>
      </c>
      <c r="X32" s="24" t="n">
        <v>0.1441245189731189</v>
      </c>
      <c r="Y32" s="24" t="n">
        <v>0.1147962611885914</v>
      </c>
      <c r="Z32" s="23" t="n">
        <v>-23.39903603323113</v>
      </c>
    </row>
    <row r="33">
      <c r="D33" t="inlineStr">
        <is>
          <t>6: Sens: fixed opex +10%</t>
        </is>
      </c>
      <c r="J33" s="23" t="n">
        <v>859.9157651791288</v>
      </c>
      <c r="K33" s="23" t="n">
        <v>654.6335649688092</v>
      </c>
      <c r="L33" s="23" t="n">
        <v>205.2822002103496</v>
      </c>
      <c r="M33" s="24" t="n">
        <v>0.761276384824056</v>
      </c>
      <c r="N33" s="23" t="n">
        <v>65.66592429782797</v>
      </c>
      <c r="O33" s="23" t="n">
        <v>21.64108407075162</v>
      </c>
      <c r="P33" s="23" t="n">
        <v>21.30832253973376</v>
      </c>
      <c r="Q33" s="23" t="n">
        <v>38.78696433895405</v>
      </c>
      <c r="R33" s="23" t="n">
        <v>0</v>
      </c>
      <c r="S33" s="23" t="n">
        <v>0</v>
      </c>
      <c r="T33" s="23" t="n">
        <v>1.406591929813284</v>
      </c>
      <c r="U33" s="23" t="n">
        <v>1.496699933595691</v>
      </c>
      <c r="V33" s="23" t="n">
        <v>1.407987866845456</v>
      </c>
      <c r="W33" s="23" t="n">
        <v>1.836438379456822</v>
      </c>
      <c r="X33" s="24" t="n">
        <v>0.1467686035838852</v>
      </c>
      <c r="Y33" s="24" t="n">
        <v>0.1159411623979583</v>
      </c>
      <c r="Z33" s="23" t="n">
        <v>-19.5010097722822</v>
      </c>
    </row>
    <row r="34">
      <c r="D34" t="inlineStr">
        <is>
          <t>7: Sens: capex +10% funded pro rata</t>
        </is>
      </c>
    </row>
    <row r="35">
      <c r="D35" t="inlineStr">
        <is>
          <t>8: Sens: COD delay 6 months, no LDs</t>
        </is>
      </c>
    </row>
    <row r="36">
      <c r="D36" t="inlineStr">
        <is>
          <t>9: Sens: base rate +200 bps (unhedged)</t>
        </is>
      </c>
      <c r="J36" s="23" t="n">
        <v>859.9157651791288</v>
      </c>
      <c r="K36" s="23" t="n">
        <v>654.6335649688092</v>
      </c>
      <c r="L36" s="23" t="n">
        <v>205.2822002103496</v>
      </c>
      <c r="M36" s="24" t="n">
        <v>0.761276384824056</v>
      </c>
      <c r="N36" s="23" t="n">
        <v>65.66592429782797</v>
      </c>
      <c r="O36" s="23" t="n">
        <v>21.64108407075162</v>
      </c>
      <c r="P36" s="23" t="n">
        <v>21.30832253973376</v>
      </c>
      <c r="Q36" s="23" t="n">
        <v>38.78696433895405</v>
      </c>
      <c r="R36" s="23" t="n">
        <v>0</v>
      </c>
      <c r="S36" s="23" t="n">
        <v>0</v>
      </c>
      <c r="T36" s="23" t="n">
        <v>1.099912144644166</v>
      </c>
      <c r="U36" s="23" t="n">
        <v>1.382417349427416</v>
      </c>
      <c r="V36" s="23" t="n">
        <v>1.226936919013069</v>
      </c>
      <c r="W36" s="23" t="n">
        <v>1.411240169640272</v>
      </c>
      <c r="X36" s="24" t="n">
        <v>0.119494279056258</v>
      </c>
      <c r="Y36" s="24" t="n">
        <v>0.1203322953492714</v>
      </c>
      <c r="Z36" s="23" t="n">
        <v>-68.90748642732383</v>
      </c>
    </row>
    <row r="37">
      <c r="D37" t="inlineStr">
        <is>
          <t>10: Sens: KCR devaluation 40%, 90-day lag</t>
        </is>
      </c>
      <c r="J37" s="23" t="n">
        <v>859.9157651791288</v>
      </c>
      <c r="K37" s="23" t="n">
        <v>654.6335649688092</v>
      </c>
      <c r="L37" s="23" t="n">
        <v>205.2822002103496</v>
      </c>
      <c r="M37" s="24" t="n">
        <v>0.761276384824056</v>
      </c>
      <c r="N37" s="23" t="n">
        <v>65.66592429782797</v>
      </c>
      <c r="O37" s="23" t="n">
        <v>21.64108407075162</v>
      </c>
      <c r="P37" s="23" t="n">
        <v>21.30832253973376</v>
      </c>
      <c r="Q37" s="23" t="n">
        <v>38.78696433895405</v>
      </c>
      <c r="R37" s="23" t="n">
        <v>0</v>
      </c>
      <c r="S37" s="23" t="n">
        <v>0</v>
      </c>
      <c r="T37" s="23" t="n">
        <v>0.5303800683203485</v>
      </c>
      <c r="U37" s="23" t="n">
        <v>1.499834822262688</v>
      </c>
      <c r="V37" s="23" t="n">
        <v>1.4077583454036</v>
      </c>
      <c r="W37" s="23" t="n">
        <v>1.836819694069927</v>
      </c>
      <c r="X37" s="24" t="n">
        <v>0.1464841866991513</v>
      </c>
      <c r="Y37" s="24" t="n">
        <v>0.1157882366625316</v>
      </c>
      <c r="Z37" s="23" t="n">
        <v>-20.10230549271821</v>
      </c>
    </row>
    <row r="38">
      <c r="D38" t="inlineStr">
        <is>
          <t>11: Sens: SEKA pays 120 days late for 12 months</t>
        </is>
      </c>
      <c r="J38" s="23" t="n">
        <v>859.9157651791288</v>
      </c>
      <c r="K38" s="23" t="n">
        <v>654.6335649688092</v>
      </c>
      <c r="L38" s="23" t="n">
        <v>205.2822002103496</v>
      </c>
      <c r="M38" s="24" t="n">
        <v>0.761276384824056</v>
      </c>
      <c r="N38" s="23" t="n">
        <v>65.66592429782797</v>
      </c>
      <c r="O38" s="23" t="n">
        <v>21.64108407075162</v>
      </c>
      <c r="P38" s="23" t="n">
        <v>21.30832253973376</v>
      </c>
      <c r="Q38" s="23" t="n">
        <v>38.78696433895405</v>
      </c>
      <c r="R38" s="23" t="n">
        <v>0</v>
      </c>
      <c r="S38" s="23" t="n">
        <v>0</v>
      </c>
      <c r="T38" s="23" t="n">
        <v>0.2099737925901093</v>
      </c>
      <c r="U38" s="23" t="n">
        <v>1.53021032231938</v>
      </c>
      <c r="V38" s="23" t="n">
        <v>1.428160896331157</v>
      </c>
      <c r="W38" s="23" t="n">
        <v>1.868902015132677</v>
      </c>
      <c r="X38" s="24" t="n">
        <v>0.1510665287021444</v>
      </c>
      <c r="Y38" s="24" t="n">
        <v>0.1176694953059988</v>
      </c>
      <c r="Z38" s="23" t="n">
        <v>-13.34163717641519</v>
      </c>
    </row>
    <row r="39">
      <c r="D39" t="inlineStr">
        <is>
          <t>12: Sens: dispatch 50%</t>
        </is>
      </c>
      <c r="J39" s="23" t="n">
        <v>859.9157651791288</v>
      </c>
      <c r="K39" s="23" t="n">
        <v>654.6335649688092</v>
      </c>
      <c r="L39" s="23" t="n">
        <v>205.2822002103496</v>
      </c>
      <c r="M39" s="24" t="n">
        <v>0.761276384824056</v>
      </c>
      <c r="N39" s="23" t="n">
        <v>65.66592429782797</v>
      </c>
      <c r="O39" s="23" t="n">
        <v>21.64108407075162</v>
      </c>
      <c r="P39" s="23" t="n">
        <v>21.30832253973376</v>
      </c>
      <c r="Q39" s="23" t="n">
        <v>38.78696433895405</v>
      </c>
      <c r="R39" s="23" t="n">
        <v>0</v>
      </c>
      <c r="S39" s="23" t="n">
        <v>0</v>
      </c>
      <c r="T39" s="23" t="n">
        <v>2.094448806180913</v>
      </c>
      <c r="U39" s="23" t="n">
        <v>2.405612955504073</v>
      </c>
      <c r="V39" s="23" t="n">
        <v>2.091851865344346</v>
      </c>
      <c r="W39" s="23" t="n">
        <v>2.828217234641016</v>
      </c>
      <c r="X39" s="24" t="n">
        <v>0.2862483121078772</v>
      </c>
      <c r="Y39" s="24" t="n">
        <v>0.1736412654001008</v>
      </c>
      <c r="Z39" s="23" t="n">
        <v>196.5443386460137</v>
      </c>
    </row>
    <row r="40">
      <c r="D40" t="inlineStr">
        <is>
          <t>13: Sens: gas price +30%</t>
        </is>
      </c>
      <c r="J40" s="23" t="n">
        <v>859.9157651791288</v>
      </c>
      <c r="K40" s="23" t="n">
        <v>654.6335649688092</v>
      </c>
      <c r="L40" s="23" t="n">
        <v>205.2822002103496</v>
      </c>
      <c r="M40" s="24" t="n">
        <v>0.761276384824056</v>
      </c>
      <c r="N40" s="23" t="n">
        <v>65.66592429782797</v>
      </c>
      <c r="O40" s="23" t="n">
        <v>21.64108407075162</v>
      </c>
      <c r="P40" s="23" t="n">
        <v>21.30832253973376</v>
      </c>
      <c r="Q40" s="23" t="n">
        <v>38.78696433895405</v>
      </c>
      <c r="R40" s="23" t="n">
        <v>0</v>
      </c>
      <c r="S40" s="23" t="n">
        <v>0</v>
      </c>
      <c r="T40" s="23" t="n">
        <v>1.436570131193144</v>
      </c>
      <c r="U40" s="23" t="n">
        <v>1.529977789420781</v>
      </c>
      <c r="V40" s="23" t="n">
        <v>1.432770711751233</v>
      </c>
      <c r="W40" s="23" t="n">
        <v>1.873057949092107</v>
      </c>
      <c r="X40" s="24" t="n">
        <v>0.1522821099979922</v>
      </c>
      <c r="Y40" s="24" t="n">
        <v>0.1183208747048872</v>
      </c>
      <c r="Z40" s="23" t="n">
        <v>-11.3774260337567</v>
      </c>
    </row>
    <row r="41">
      <c r="D41" t="inlineStr">
        <is>
          <t>14: COD re-forecast (2021 lenders case)</t>
        </is>
      </c>
      <c r="J41" s="23" t="n">
        <v>893.0688711885529</v>
      </c>
      <c r="K41" s="23" t="n">
        <v>654.6335649688092</v>
      </c>
      <c r="L41" s="23" t="n">
        <v>209.2655517127056</v>
      </c>
      <c r="M41" s="24" t="n">
        <v>0.7463966564960609</v>
      </c>
      <c r="N41" s="23" t="n">
        <v>64.534767334013</v>
      </c>
      <c r="O41" s="23" t="n">
        <v>23.8049660414879</v>
      </c>
      <c r="P41" s="23" t="n">
        <v>21.30832253973474</v>
      </c>
      <c r="Q41" s="23" t="n">
        <v>39.01902799013646</v>
      </c>
      <c r="R41" s="23" t="n">
        <v>11.95005450703798</v>
      </c>
      <c r="S41" s="23" t="n">
        <v>3.983351502345994</v>
      </c>
      <c r="T41" s="23" t="n">
        <v>1.353439731833688</v>
      </c>
      <c r="U41" s="23" t="n">
        <v>1.512216842185324</v>
      </c>
      <c r="V41" s="23" t="n">
        <v>1.358244082025121</v>
      </c>
      <c r="W41" s="23" t="n">
        <v>1.825352487301976</v>
      </c>
      <c r="X41" s="24" t="n">
        <v>0.1419195338469136</v>
      </c>
      <c r="Y41" s="24" t="n">
        <v>0.1089269650932658</v>
      </c>
      <c r="Z41" s="23" t="n">
        <v>-27.16041388796975</v>
      </c>
    </row>
    <row r="42">
      <c r="D42" t="inlineStr">
        <is>
          <t>15: Actual history</t>
        </is>
      </c>
      <c r="J42" s="23" t="n">
        <v>876.5912924046045</v>
      </c>
      <c r="K42" s="23" t="n">
        <v>654.6335649688092</v>
      </c>
      <c r="L42" s="23" t="n">
        <v>205.2822002103596</v>
      </c>
      <c r="M42" s="24" t="n">
        <v>0.7467945103276851</v>
      </c>
      <c r="N42" s="23" t="n">
        <v>64.534767334013</v>
      </c>
      <c r="O42" s="23" t="n">
        <v>23.8049660414879</v>
      </c>
      <c r="P42" s="23" t="n">
        <v>21.30832253973474</v>
      </c>
      <c r="Q42" s="23" t="n">
        <v>22.54144920618804</v>
      </c>
      <c r="R42" s="23" t="n">
        <v>1.298960938811433e-14</v>
      </c>
      <c r="S42" s="23" t="n">
        <v>4.329869796038111e-15</v>
      </c>
      <c r="T42" s="23" t="n">
        <v>0.8299839908603198</v>
      </c>
      <c r="U42" s="23" t="n">
        <v>1.487526088151491</v>
      </c>
      <c r="V42" s="23" t="n">
        <v>1.426351658730717</v>
      </c>
      <c r="W42" s="23" t="n">
        <v>1.666225292305598</v>
      </c>
      <c r="X42" s="24" t="n">
        <v>0.135029846264012</v>
      </c>
      <c r="Y42" s="24" t="n">
        <v>0.1115972393795046</v>
      </c>
      <c r="Z42" s="23" t="n">
        <v>-38.34716603135769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70" customWidth="1" min="2" max="2"/>
    <col width="60" customWidth="1" min="3" max="3"/>
  </cols>
  <sheetData>
    <row r="1">
      <c r="A1" s="2" t="inlineStr">
        <is>
          <t>Audit exercise key (Chapter 44): sponsor model version 0.9 with ten seeded errors. Do not distribute with the exercise.</t>
        </is>
      </c>
    </row>
    <row r="2">
      <c r="A2" t="inlineStr">
        <is>
          <t>Contract terms on the Inputs sheet come from sizing this erroneous model. Effects (P-F17) are from case_p.py: each error alone, re-sized.</t>
        </is>
      </c>
    </row>
    <row r="4">
      <c r="A4" s="2" t="inlineStr">
        <is>
          <t>ID</t>
        </is>
      </c>
      <c r="B4" s="2" t="inlineStr">
        <is>
          <t>Seeded error</t>
        </is>
      </c>
      <c r="C4" s="2" t="inlineStr">
        <is>
          <t>Cells (sheet, row)</t>
        </is>
      </c>
      <c r="D4" s="2" t="inlineStr">
        <is>
          <t>Senior debt (USD m)</t>
        </is>
      </c>
      <c r="E4" s="2" t="inlineStr">
        <is>
          <t>Change vs correct</t>
        </is>
      </c>
      <c r="F4" s="2" t="inlineStr">
        <is>
          <t>Min DSCR base</t>
        </is>
      </c>
      <c r="G4" s="2" t="inlineStr">
        <is>
          <t>Min DSCR downside</t>
        </is>
      </c>
      <c r="H4" s="2" t="inlineStr">
        <is>
          <t>Equity IRR</t>
        </is>
      </c>
      <c r="I4" s="2" t="inlineStr">
        <is>
          <t>Binding</t>
        </is>
      </c>
    </row>
    <row r="5">
      <c r="A5" t="inlineStr">
        <is>
          <t>correct</t>
        </is>
      </c>
      <c r="B5" t="inlineStr">
        <is>
          <t>correct model</t>
        </is>
      </c>
      <c r="C5" t="inlineStr"/>
      <c r="D5" t="n">
        <v>633.26</v>
      </c>
      <c r="E5" t="n">
        <v>0</v>
      </c>
      <c r="F5" t="n">
        <v>1.35</v>
      </c>
      <c r="G5" t="n">
        <v>1.2</v>
      </c>
      <c r="H5" t="n">
        <v>13.27</v>
      </c>
      <c r="I5" t="inlineStr">
        <is>
          <t>DSCR</t>
        </is>
      </c>
    </row>
    <row r="6">
      <c r="A6" t="inlineStr">
        <is>
          <t>E1</t>
        </is>
      </c>
      <c r="B6" t="inlineStr">
        <is>
          <t>Capacity payment without the availability cap (A/90% not capped at 1)</t>
        </is>
      </c>
      <c r="C6" t="inlineStr">
        <is>
          <t>Operations row 47</t>
        </is>
      </c>
      <c r="D6" t="n">
        <v>641.91</v>
      </c>
      <c r="E6" t="n">
        <v>8.66</v>
      </c>
      <c r="F6" t="n">
        <v>1.37</v>
      </c>
      <c r="G6" t="n">
        <v>1.2</v>
      </c>
      <c r="H6" t="n">
        <v>14.13</v>
      </c>
      <c r="I6" t="inlineStr">
        <is>
          <t>downside</t>
        </is>
      </c>
    </row>
    <row r="7">
      <c r="A7" t="inlineStr">
        <is>
          <t>E2</t>
        </is>
      </c>
      <c r="B7" t="inlineStr">
        <is>
          <t>LTSA variable fee on one gas turbine instead of two</t>
        </is>
      </c>
      <c r="C7" t="inlineStr">
        <is>
          <t>Operations row 63</t>
        </is>
      </c>
      <c r="D7" t="n">
        <v>643.12</v>
      </c>
      <c r="E7" t="n">
        <v>9.859999999999999</v>
      </c>
      <c r="F7" t="n">
        <v>1.378</v>
      </c>
      <c r="G7" t="n">
        <v>1.228</v>
      </c>
      <c r="H7" t="n">
        <v>14.39</v>
      </c>
      <c r="I7" t="inlineStr">
        <is>
          <t>gearing</t>
        </is>
      </c>
    </row>
    <row r="8">
      <c r="A8" t="inlineStr">
        <is>
          <t>E3</t>
        </is>
      </c>
      <c r="B8" t="inlineStr">
        <is>
          <t>Tariff indexation reads the index at period end instead of the lagged (Sep/Mar) reading</t>
        </is>
      </c>
      <c r="C8" t="inlineStr">
        <is>
          <t>Operations row 20; Operations row 26</t>
        </is>
      </c>
      <c r="D8" t="n">
        <v>640.09</v>
      </c>
      <c r="E8" t="n">
        <v>6.83</v>
      </c>
      <c r="F8" t="n">
        <v>1.35</v>
      </c>
      <c r="G8" t="n">
        <v>1.201</v>
      </c>
      <c r="H8" t="n">
        <v>13.63</v>
      </c>
      <c r="I8" t="inlineStr">
        <is>
          <t>DSCR</t>
        </is>
      </c>
    </row>
    <row r="9">
      <c r="A9" t="inlineStr">
        <is>
          <t>E4</t>
        </is>
      </c>
      <c r="B9" t="inlineStr">
        <is>
          <t>Senior loan interest on 30/360 instead of ACT/360</t>
        </is>
      </c>
      <c r="C9" t="inlineStr">
        <is>
          <t>Funding row 19; Funding row 33; Funding row 34; Funding row 35; Funding row 36; Funding row 12 (col F); Funding row 13 (col F); Funding row 14 (col F); Funding row 15 (col F); Debt row 10; Debt row 11; Debt row 12; Debt row 13</t>
        </is>
      </c>
      <c r="D9" t="n">
        <v>636.01</v>
      </c>
      <c r="E9" t="n">
        <v>2.75</v>
      </c>
      <c r="F9" t="n">
        <v>1.35</v>
      </c>
      <c r="G9" t="n">
        <v>1.2</v>
      </c>
      <c r="H9" t="n">
        <v>13.39</v>
      </c>
      <c r="I9" t="inlineStr">
        <is>
          <t>DSCR</t>
        </is>
      </c>
    </row>
    <row r="10">
      <c r="A10" t="inlineStr">
        <is>
          <t>E5</t>
        </is>
      </c>
      <c r="B10" t="inlineStr">
        <is>
          <t>Full tax exemption applied to OY1-OY8 (15% band ignored)</t>
        </is>
      </c>
      <c r="C10" t="inlineStr">
        <is>
          <t>Tax row 7; Tax row 8; Tax row 11</t>
        </is>
      </c>
      <c r="D10" t="n">
        <v>639.86</v>
      </c>
      <c r="E10" t="n">
        <v>6.6</v>
      </c>
      <c r="F10" t="n">
        <v>1.35</v>
      </c>
      <c r="G10" t="n">
        <v>1.2</v>
      </c>
      <c r="H10" t="n">
        <v>13.73</v>
      </c>
      <c r="I10" t="inlineStr">
        <is>
          <t>DSCR</t>
        </is>
      </c>
    </row>
    <row r="11">
      <c r="A11" t="inlineStr">
        <is>
          <t>E6</t>
        </is>
      </c>
      <c r="B11" t="inlineStr">
        <is>
          <t>Deferred holiday depreciation lost (pool never credited)</t>
        </is>
      </c>
      <c r="C11" t="inlineStr">
        <is>
          <t>Tax row 21</t>
        </is>
      </c>
      <c r="D11" t="n">
        <v>614.1799999999999</v>
      </c>
      <c r="E11" t="n">
        <v>-19.08</v>
      </c>
      <c r="F11" t="n">
        <v>1.35</v>
      </c>
      <c r="G11" t="n">
        <v>1.2</v>
      </c>
      <c r="H11" t="n">
        <v>12.51</v>
      </c>
      <c r="I11" t="inlineStr">
        <is>
          <t>DSCR</t>
        </is>
      </c>
    </row>
    <row r="12">
      <c r="A12" t="inlineStr">
        <is>
          <t>E7</t>
        </is>
      </c>
      <c r="B12" t="inlineStr">
        <is>
          <t>DSRA initial funding drawn 100% from senior debt instead of pro rata</t>
        </is>
      </c>
      <c r="C12" t="inlineStr">
        <is>
          <t>Funding row 26 (col F); Funding row 47; Funding row 50</t>
        </is>
      </c>
      <c r="D12" t="n">
        <v>633.33</v>
      </c>
      <c r="E12" t="n">
        <v>0.07000000000000001</v>
      </c>
      <c r="F12" t="n">
        <v>1.35</v>
      </c>
      <c r="G12" t="n">
        <v>1.2</v>
      </c>
      <c r="H12" t="n">
        <v>13.23</v>
      </c>
      <c r="I12" t="inlineStr">
        <is>
          <t>DSCR</t>
        </is>
      </c>
    </row>
    <row r="13">
      <c r="A13" t="inlineStr">
        <is>
          <t>E8</t>
        </is>
      </c>
      <c r="B13" t="inlineStr">
        <is>
          <t>Sculpting on CFADS before tax</t>
        </is>
      </c>
      <c r="C13" t="inlineStr">
        <is>
          <t>Debt row 128; Debt row 132</t>
        </is>
      </c>
      <c r="D13" t="n">
        <v>641.24</v>
      </c>
      <c r="E13" t="n">
        <v>7.98</v>
      </c>
      <c r="F13" t="n">
        <v>1.34</v>
      </c>
      <c r="G13" t="n">
        <v>1.2</v>
      </c>
      <c r="H13" t="n">
        <v>13.4</v>
      </c>
      <c r="I13" t="inlineStr">
        <is>
          <t>DSCR</t>
        </is>
      </c>
    </row>
    <row r="14">
      <c r="A14" t="inlineStr">
        <is>
          <t>E9</t>
        </is>
      </c>
      <c r="B14" t="inlineStr">
        <is>
          <t>Fuel-charge revenue uses a typed 76.5% dispatch instead of the live dispatch</t>
        </is>
      </c>
      <c r="C14" t="inlineStr">
        <is>
          <t>Operations row 51</t>
        </is>
      </c>
      <c r="D14" t="n">
        <v>633.26</v>
      </c>
      <c r="E14" t="n">
        <v>0</v>
      </c>
      <c r="F14" t="n">
        <v>1.35</v>
      </c>
      <c r="G14" t="n">
        <v>1.2</v>
      </c>
      <c r="H14" t="n">
        <v>13.27</v>
      </c>
      <c r="I14" t="inlineStr">
        <is>
          <t>DSCR</t>
        </is>
      </c>
    </row>
    <row r="15">
      <c r="A15" t="inlineStr">
        <is>
          <t>E10</t>
        </is>
      </c>
      <c r="B15" t="inlineStr">
        <is>
          <t>Swap net settlement with legs reversed</t>
        </is>
      </c>
      <c r="C15" t="inlineStr">
        <is>
          <t>Funding row 21; Funding row 39; Funding row 17 (col F); Debt row 107; Debt row 125; Debt row 127</t>
        </is>
      </c>
      <c r="D15" t="n">
        <v>623.39</v>
      </c>
      <c r="E15" t="n">
        <v>-9.859999999999999</v>
      </c>
      <c r="F15" t="n">
        <v>1.35</v>
      </c>
      <c r="G15" t="n">
        <v>1.2</v>
      </c>
      <c r="H15" t="n">
        <v>12.88</v>
      </c>
      <c r="I15" t="inlineStr">
        <is>
          <t>DSCR</t>
        </is>
      </c>
    </row>
    <row r="16">
      <c r="A16" t="inlineStr">
        <is>
          <t>ALL</t>
        </is>
      </c>
      <c r="B16" t="inlineStr">
        <is>
          <t>all ten errors together</t>
        </is>
      </c>
      <c r="C16" t="inlineStr">
        <is>
          <t>all of the above</t>
        </is>
      </c>
      <c r="D16" t="n">
        <v>654.63</v>
      </c>
      <c r="E16" t="n">
        <v>21.38</v>
      </c>
      <c r="F16" t="n">
        <v>1.436</v>
      </c>
      <c r="G16" t="n">
        <v>1.262</v>
      </c>
      <c r="H16" t="n">
        <v>15.22</v>
      </c>
      <c r="I16" t="inlineStr">
        <is>
          <t>gearing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2026-10-03T22:42:14Z</dcterms:created>
  <dcterms:modified xsi:type="dcterms:W3CDTF">2026-10-03T22:42:16Z</dcterms:modified>
</cp:coreProperties>
</file>