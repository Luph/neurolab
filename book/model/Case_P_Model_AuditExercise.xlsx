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654.9505640983427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205.2890913117617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0.01829709861392811</v>
      </c>
      <c r="Q298" s="6" t="n">
        <v>0.0191004482956148</v>
      </c>
      <c r="R298" s="6" t="n">
        <v>0.02046430333321454</v>
      </c>
      <c r="S298" s="6" t="n">
        <v>0.02136357654163223</v>
      </c>
      <c r="T298" s="6" t="n">
        <v>0.02383383953954502</v>
      </c>
      <c r="U298" s="6" t="n">
        <v>0.02434556882457986</v>
      </c>
      <c r="V298" s="6" t="n">
        <v>0.02512549709660238</v>
      </c>
      <c r="W298" s="6" t="n">
        <v>0.02658927263591271</v>
      </c>
      <c r="X298" s="6" t="n">
        <v>0.02760689494454755</v>
      </c>
      <c r="Y298" s="6" t="n">
        <v>0.02795641067734752</v>
      </c>
      <c r="Z298" s="6" t="n">
        <v>0.02981277452621092</v>
      </c>
      <c r="AA298" s="6" t="n">
        <v>0.03118143122759967</v>
      </c>
      <c r="AB298" s="6" t="n">
        <v>0.03423503945916054</v>
      </c>
      <c r="AC298" s="6" t="n">
        <v>0.03469098666333849</v>
      </c>
      <c r="AD298" s="6" t="n">
        <v>0.03722403309874917</v>
      </c>
      <c r="AE298" s="6" t="n">
        <v>0.03931620225905238</v>
      </c>
      <c r="AF298" s="6" t="n">
        <v>0.04445382849269445</v>
      </c>
      <c r="AG298" s="6" t="n">
        <v>0.04623521303206557</v>
      </c>
      <c r="AH298" s="6" t="n">
        <v>0.04906705988656183</v>
      </c>
      <c r="AI298" s="6" t="n">
        <v>0.05121345190912223</v>
      </c>
      <c r="AJ298" s="6" t="n">
        <v>0.05536090160276694</v>
      </c>
      <c r="AK298" s="6" t="n">
        <v>0.05716357793025072</v>
      </c>
      <c r="AL298" s="6" t="n">
        <v>0.05969702237571265</v>
      </c>
      <c r="AM298" s="6" t="n">
        <v>0.06253418362057679</v>
      </c>
      <c r="AN298" s="6" t="n">
        <v>0.06504172858866321</v>
      </c>
      <c r="AO298" s="6" t="n">
        <v>0.06808965482454984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523.9604512430997</v>
      </c>
      <c r="Q301" s="6" t="n">
        <v>511.2038844964209</v>
      </c>
      <c r="R301" s="6" t="n">
        <v>498.1526713265364</v>
      </c>
      <c r="S301" s="6" t="n">
        <v>484.6012338860003</v>
      </c>
      <c r="T301" s="6" t="n">
        <v>470.7199679282128</v>
      </c>
      <c r="U301" s="6" t="n">
        <v>455.9326778898724</v>
      </c>
      <c r="V301" s="6" t="n">
        <v>440.957699716561</v>
      </c>
      <c r="W301" s="6" t="n">
        <v>425.6966654447075</v>
      </c>
      <c r="X301" s="6" t="n">
        <v>409.898758828387</v>
      </c>
      <c r="Y301" s="6" t="n">
        <v>393.7276165212473</v>
      </c>
      <c r="Z301" s="6" t="n">
        <v>377.4282815193556</v>
      </c>
      <c r="AA301" s="6" t="n">
        <v>360.4480836495187</v>
      </c>
      <c r="AB301" s="6" t="n">
        <v>342.965900391682</v>
      </c>
      <c r="AC301" s="6" t="n">
        <v>324.3637381709956</v>
      </c>
      <c r="AD301" s="6" t="n">
        <v>305.5943471383183</v>
      </c>
      <c r="AE301" s="6" t="n">
        <v>285.8959047983187</v>
      </c>
      <c r="AF301" s="6" t="n">
        <v>265.4301127302027</v>
      </c>
      <c r="AG301" s="6" t="n">
        <v>243.0799815902983</v>
      </c>
      <c r="AH301" s="6" t="n">
        <v>220.0764879174335</v>
      </c>
      <c r="AI301" s="6" t="n">
        <v>196.0343512155555</v>
      </c>
      <c r="AJ301" s="6" t="n">
        <v>171.2049773407977</v>
      </c>
      <c r="AK301" s="6" t="n">
        <v>144.8544337369468</v>
      </c>
      <c r="AL301" s="6" t="n">
        <v>117.8427183617003</v>
      </c>
      <c r="AM301" s="6" t="n">
        <v>89.90180570006342</v>
      </c>
      <c r="AN301" s="6" t="n">
        <v>60.92030083815058</v>
      </c>
      <c r="AO301" s="6" t="n">
        <v>31.01909790114408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73.19961525966697</v>
      </c>
      <c r="L309" s="6" t="n">
        <v>74.68287045193699</v>
      </c>
      <c r="M309" s="6" t="n">
        <v>76.5749850102281</v>
      </c>
      <c r="N309" s="6" t="n">
        <v>79.25974564207883</v>
      </c>
      <c r="O309" s="6" t="n">
        <v>83.12973156743429</v>
      </c>
      <c r="P309" s="6" t="n">
        <v>88.49247977735547</v>
      </c>
      <c r="Q309" s="6" t="n">
        <v>95.49600699549696</v>
      </c>
      <c r="R309" s="6" t="n">
        <v>104.3743789205693</v>
      </c>
      <c r="S309" s="6" t="n">
        <v>115.1327066825364</v>
      </c>
      <c r="T309" s="6" t="n">
        <v>127.7982702993666</v>
      </c>
      <c r="U309" s="6" t="n">
        <v>142.2555879711274</v>
      </c>
      <c r="V309" s="6" t="n">
        <v>158.4444282801254</v>
      </c>
      <c r="W309" s="6" t="n">
        <v>176.1418765607092</v>
      </c>
      <c r="X309" s="6" t="n">
        <v>195.0995546466251</v>
      </c>
      <c r="Y309" s="6" t="n">
        <v>215.0902519671285</v>
      </c>
      <c r="Z309" s="6" t="n">
        <v>235.7795351446726</v>
      </c>
      <c r="AA309" s="6" t="n">
        <v>256.8952093239765</v>
      </c>
      <c r="AB309" s="6" t="n">
        <v>278.8199614506225</v>
      </c>
      <c r="AC309" s="6" t="n">
        <v>299.7548583353208</v>
      </c>
      <c r="AD309" s="6" t="n">
        <v>320.1778538730197</v>
      </c>
      <c r="AE309" s="6" t="n">
        <v>339.7147927052882</v>
      </c>
      <c r="AF309" s="6" t="n">
        <v>358.1426393961835</v>
      </c>
      <c r="AG309" s="6" t="n">
        <v>375.1687527344344</v>
      </c>
      <c r="AH309" s="6" t="n">
        <v>390.6689064814359</v>
      </c>
      <c r="AI309" s="6" t="n">
        <v>404.4546229359455</v>
      </c>
      <c r="AJ309" s="6" t="n">
        <v>416.4113520768696</v>
      </c>
      <c r="AK309" s="6" t="n">
        <v>426.577499216572</v>
      </c>
      <c r="AL309" s="6" t="n">
        <v>434.9468832581854</v>
      </c>
      <c r="AM309" s="6" t="n">
        <v>441.7074934772156</v>
      </c>
      <c r="AN309" s="6" t="n">
        <v>447.0529156622121</v>
      </c>
      <c r="AO309" s="6" t="n">
        <v>451.1622833738738</v>
      </c>
      <c r="AP309" s="6" t="n">
        <v>454.5729361987302</v>
      </c>
      <c r="AQ309" s="6" t="n">
        <v>487.2397465501116</v>
      </c>
      <c r="AR309" s="6" t="n">
        <v>521.5760681287344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IF(Time!J53=1,-1*Inputs!J301/(Funding!$F$25*(Inputs!$F$75*J146+(1-Inputs!$F$75)*J18))*(Inputs!$F$97/100*Time!J24-Operations!J9/100*Time!J25/Inputs!$F$247),0)</f>
        <v/>
      </c>
      <c r="K148" s="16">
        <f>IF(Time!K53=1,-1*Inputs!K301/(Funding!$F$25*(Inputs!$F$75*K146+(1-Inputs!$F$75)*K18))*(Inputs!$F$97/100*Time!K24-Operations!K9/100*Time!K25/Inputs!$F$247),0)</f>
        <v/>
      </c>
      <c r="L148" s="16">
        <f>IF(Time!L53=1,-1*Inputs!L301/(Funding!$F$25*(Inputs!$F$75*L146+(1-Inputs!$F$75)*L18))*(Inputs!$F$97/100*Time!L24-Operations!L9/100*Time!L25/Inputs!$F$247),0)</f>
        <v/>
      </c>
      <c r="M148" s="16">
        <f>IF(Time!M53=1,-1*Inputs!M301/(Funding!$F$25*(Inputs!$F$75*M146+(1-Inputs!$F$75)*M18))*(Inputs!$F$97/100*Time!M24-Operations!M9/100*Time!M25/Inputs!$F$247),0)</f>
        <v/>
      </c>
      <c r="N148" s="16">
        <f>IF(Time!N53=1,-1*Inputs!N301/(Funding!$F$25*(Inputs!$F$75*N146+(1-Inputs!$F$75)*N18))*(Inputs!$F$97/100*Time!N24-Operations!N9/100*Time!N25/Inputs!$F$247),0)</f>
        <v/>
      </c>
      <c r="O148" s="16">
        <f>IF(Time!O53=1,-1*Inputs!O301/(Funding!$F$25*(Inputs!$F$75*O146+(1-Inputs!$F$75)*O18))*(Inputs!$F$97/100*Time!O24-Operations!O9/100*Time!O25/Inputs!$F$247),0)</f>
        <v/>
      </c>
      <c r="P148" s="16">
        <f>IF(Time!P53=1,-1*Inputs!P301/(Funding!$F$25*(Inputs!$F$75*P146+(1-Inputs!$F$75)*P18))*(Inputs!$F$97/100*Time!P24-Operations!P9/100*Time!P25/Inputs!$F$247),0)</f>
        <v/>
      </c>
      <c r="Q148" s="16">
        <f>IF(Time!Q53=1,-1*Inputs!Q301/(Funding!$F$25*(Inputs!$F$75*Q146+(1-Inputs!$F$75)*Q18))*(Inputs!$F$97/100*Time!Q24-Operations!Q9/100*Time!Q25/Inputs!$F$247),0)</f>
        <v/>
      </c>
      <c r="R148" s="16">
        <f>IF(Time!R53=1,-1*Inputs!R301/(Funding!$F$25*(Inputs!$F$75*R146+(1-Inputs!$F$75)*R18))*(Inputs!$F$97/100*Time!R24-Operations!R9/100*Time!R25/Inputs!$F$247),0)</f>
        <v/>
      </c>
      <c r="S148" s="16">
        <f>IF(Time!S53=1,-1*Inputs!S301/(Funding!$F$25*(Inputs!$F$75*S146+(1-Inputs!$F$75)*S18))*(Inputs!$F$97/100*Time!S24-Operations!S9/100*Time!S25/Inputs!$F$247),0)</f>
        <v/>
      </c>
      <c r="T148" s="16">
        <f>IF(Time!T53=1,-1*Inputs!T301/(Funding!$F$25*(Inputs!$F$75*T146+(1-Inputs!$F$75)*T18))*(Inputs!$F$97/100*Time!T24-Operations!T9/100*Time!T25/Inputs!$F$247),0)</f>
        <v/>
      </c>
      <c r="U148" s="16">
        <f>IF(Time!U53=1,-1*Inputs!U301/(Funding!$F$25*(Inputs!$F$75*U146+(1-Inputs!$F$75)*U18))*(Inputs!$F$97/100*Time!U24-Operations!U9/100*Time!U25/Inputs!$F$247),0)</f>
        <v/>
      </c>
      <c r="V148" s="16">
        <f>IF(Time!V53=1,-1*Inputs!V301/(Funding!$F$25*(Inputs!$F$75*V146+(1-Inputs!$F$75)*V18))*(Inputs!$F$97/100*Time!V24-Operations!V9/100*Time!V25/Inputs!$F$247),0)</f>
        <v/>
      </c>
      <c r="W148" s="16">
        <f>IF(Time!W53=1,-1*Inputs!W301/(Funding!$F$25*(Inputs!$F$75*W146+(1-Inputs!$F$75)*W18))*(Inputs!$F$97/100*Time!W24-Operations!W9/100*Time!W25/Inputs!$F$247),0)</f>
        <v/>
      </c>
      <c r="X148" s="16">
        <f>IF(Time!X53=1,-1*Inputs!X301/(Funding!$F$25*(Inputs!$F$75*X146+(1-Inputs!$F$75)*X18))*(Inputs!$F$97/100*Time!X24-Operations!X9/100*Time!X25/Inputs!$F$247),0)</f>
        <v/>
      </c>
      <c r="Y148" s="16">
        <f>IF(Time!Y53=1,-1*Inputs!Y301/(Funding!$F$25*(Inputs!$F$75*Y146+(1-Inputs!$F$75)*Y18))*(Inputs!$F$97/100*Time!Y24-Operations!Y9/100*Time!Y25/Inputs!$F$247),0)</f>
        <v/>
      </c>
      <c r="Z148" s="16">
        <f>IF(Time!Z53=1,-1*Inputs!Z301/(Funding!$F$25*(Inputs!$F$75*Z146+(1-Inputs!$F$75)*Z18))*(Inputs!$F$97/100*Time!Z24-Operations!Z9/100*Time!Z25/Inputs!$F$247),0)</f>
        <v/>
      </c>
      <c r="AA148" s="16">
        <f>IF(Time!AA53=1,-1*Inputs!AA301/(Funding!$F$25*(Inputs!$F$75*AA146+(1-Inputs!$F$75)*AA18))*(Inputs!$F$97/100*Time!AA24-Operations!AA9/100*Time!AA25/Inputs!$F$247),0)</f>
        <v/>
      </c>
      <c r="AB148" s="16">
        <f>IF(Time!AB53=1,-1*Inputs!AB301/(Funding!$F$25*(Inputs!$F$75*AB146+(1-Inputs!$F$75)*AB18))*(Inputs!$F$97/100*Time!AB24-Operations!AB9/100*Time!AB25/Inputs!$F$247),0)</f>
        <v/>
      </c>
      <c r="AC148" s="16">
        <f>IF(Time!AC53=1,-1*Inputs!AC301/(Funding!$F$25*(Inputs!$F$75*AC146+(1-Inputs!$F$75)*AC18))*(Inputs!$F$97/100*Time!AC24-Operations!AC9/100*Time!AC25/Inputs!$F$247),0)</f>
        <v/>
      </c>
      <c r="AD148" s="16">
        <f>IF(Time!AD53=1,-1*Inputs!AD301/(Funding!$F$25*(Inputs!$F$75*AD146+(1-Inputs!$F$75)*AD18))*(Inputs!$F$97/100*Time!AD24-Operations!AD9/100*Time!AD25/Inputs!$F$247),0)</f>
        <v/>
      </c>
      <c r="AE148" s="16">
        <f>IF(Time!AE53=1,-1*Inputs!AE301/(Funding!$F$25*(Inputs!$F$75*AE146+(1-Inputs!$F$75)*AE18))*(Inputs!$F$97/100*Time!AE24-Operations!AE9/100*Time!AE25/Inputs!$F$247),0)</f>
        <v/>
      </c>
      <c r="AF148" s="16">
        <f>IF(Time!AF53=1,-1*Inputs!AF301/(Funding!$F$25*(Inputs!$F$75*AF146+(1-Inputs!$F$75)*AF18))*(Inputs!$F$97/100*Time!AF24-Operations!AF9/100*Time!AF25/Inputs!$F$247),0)</f>
        <v/>
      </c>
      <c r="AG148" s="16">
        <f>IF(Time!AG53=1,-1*Inputs!AG301/(Funding!$F$25*(Inputs!$F$75*AG146+(1-Inputs!$F$75)*AG18))*(Inputs!$F$97/100*Time!AG24-Operations!AG9/100*Time!AG25/Inputs!$F$247),0)</f>
        <v/>
      </c>
      <c r="AH148" s="16">
        <f>IF(Time!AH53=1,-1*Inputs!AH301/(Funding!$F$25*(Inputs!$F$75*AH146+(1-Inputs!$F$75)*AH18))*(Inputs!$F$97/100*Time!AH24-Operations!AH9/100*Time!AH25/Inputs!$F$247),0)</f>
        <v/>
      </c>
      <c r="AI148" s="16">
        <f>IF(Time!AI53=1,-1*Inputs!AI301/(Funding!$F$25*(Inputs!$F$75*AI146+(1-Inputs!$F$75)*AI18))*(Inputs!$F$97/100*Time!AI24-Operations!AI9/100*Time!AI25/Inputs!$F$247),0)</f>
        <v/>
      </c>
      <c r="AJ148" s="16">
        <f>IF(Time!AJ53=1,-1*Inputs!AJ301/(Funding!$F$25*(Inputs!$F$75*AJ146+(1-Inputs!$F$75)*AJ18))*(Inputs!$F$97/100*Time!AJ24-Operations!AJ9/100*Time!AJ25/Inputs!$F$247),0)</f>
        <v/>
      </c>
      <c r="AK148" s="16">
        <f>IF(Time!AK53=1,-1*Inputs!AK301/(Funding!$F$25*(Inputs!$F$75*AK146+(1-Inputs!$F$75)*AK18))*(Inputs!$F$97/100*Time!AK24-Operations!AK9/100*Time!AK25/Inputs!$F$247),0)</f>
        <v/>
      </c>
      <c r="AL148" s="16">
        <f>IF(Time!AL53=1,-1*Inputs!AL301/(Funding!$F$25*(Inputs!$F$75*AL146+(1-Inputs!$F$75)*AL18))*(Inputs!$F$97/100*Time!AL24-Operations!AL9/100*Time!AL25/Inputs!$F$247),0)</f>
        <v/>
      </c>
      <c r="AM148" s="16">
        <f>IF(Time!AM53=1,-1*Inputs!AM301/(Funding!$F$25*(Inputs!$F$75*AM146+(1-Inputs!$F$75)*AM18))*(Inputs!$F$97/100*Time!AM24-Operations!AM9/100*Time!AM25/Inputs!$F$247),0)</f>
        <v/>
      </c>
      <c r="AN148" s="16">
        <f>IF(Time!AN53=1,-1*Inputs!AN301/(Funding!$F$25*(Inputs!$F$75*AN146+(1-Inputs!$F$75)*AN18))*(Inputs!$F$97/100*Time!AN24-Operations!AN9/100*Time!AN25/Inputs!$F$247),0)</f>
        <v/>
      </c>
      <c r="AO148" s="16">
        <f>IF(Time!AO53=1,-1*Inputs!AO301/(Funding!$F$25*(Inputs!$F$75*AO146+(1-Inputs!$F$75)*AO18))*(Inputs!$F$97/100*Time!AO24-Operations!AO9/100*Time!AO25/Inputs!$F$247),0)</f>
        <v/>
      </c>
      <c r="AP148" s="16">
        <f>IF(Time!AP53=1,-1*Inputs!AP301/(Funding!$F$25*(Inputs!$F$75*AP146+(1-Inputs!$F$75)*AP18))*(Inputs!$F$97/100*Time!AP24-Operations!AP9/100*Time!AP25/Inputs!$F$247),0)</f>
        <v/>
      </c>
      <c r="AQ148" s="16">
        <f>IF(Time!AQ53=1,-1*Inputs!AQ301/(Funding!$F$25*(Inputs!$F$75*AQ146+(1-Inputs!$F$75)*AQ18))*(Inputs!$F$97/100*Time!AQ24-Operations!AQ9/100*Time!AQ25/Inputs!$F$247),0)</f>
        <v/>
      </c>
      <c r="AR148" s="16">
        <f>IF(Time!AR53=1,-1*Inputs!AR301/(Funding!$F$25*(Inputs!$F$75*AR146+(1-Inputs!$F$75)*AR18))*(Inputs!$F$97/100*Time!AR24-Operations!AR9/100*Time!AR25/Inputs!$F$247),0)</f>
        <v/>
      </c>
      <c r="AS148" s="16">
        <f>IF(Time!AS53=1,-1*Inputs!AS301/(Funding!$F$25*(Inputs!$F$75*AS146+(1-Inputs!$F$75)*AS18))*(Inputs!$F$97/100*Time!AS24-Operations!AS9/100*Time!AS25/Inputs!$F$247),0)</f>
        <v/>
      </c>
      <c r="AT148" s="16">
        <f>IF(Time!AT53=1,-1*Inputs!AT301/(Funding!$F$25*(Inputs!$F$75*AT146+(1-Inputs!$F$75)*AT18))*(Inputs!$F$97/100*Time!AT24-Operations!AT9/100*Time!AT25/Inputs!$F$247),0)</f>
        <v/>
      </c>
      <c r="AU148" s="16">
        <f>IF(Time!AU53=1,-1*Inputs!AU301/(Funding!$F$25*(Inputs!$F$75*AU146+(1-Inputs!$F$75)*AU18))*(Inputs!$F$97/100*Time!AU24-Operations!AU9/100*Time!AU25/Inputs!$F$247),0)</f>
        <v/>
      </c>
      <c r="AV148" s="16">
        <f>IF(Time!AV53=1,-1*Inputs!AV301/(Funding!$F$25*(Inputs!$F$75*AV146+(1-Inputs!$F$75)*AV18))*(Inputs!$F$97/100*Time!AV24-Operations!AV9/100*Time!AV25/Inputs!$F$247),0)</f>
        <v/>
      </c>
      <c r="AW148" s="16">
        <f>IF(Time!AW53=1,-1*Inputs!AW301/(Funding!$F$25*(Inputs!$F$75*AW146+(1-Inputs!$F$75)*AW18))*(Inputs!$F$97/100*Time!AW24-Operations!AW9/100*Time!AW25/Inputs!$F$247),0)</f>
        <v/>
      </c>
      <c r="AX148" s="16">
        <f>IF(Time!AX53=1,-1*Inputs!AX301/(Funding!$F$25*(Inputs!$F$75*AX146+(1-Inputs!$F$75)*AX18))*(Inputs!$F$97/100*Time!AX24-Operations!AX9/100*Time!AX25/Inputs!$F$247),0)</f>
        <v/>
      </c>
      <c r="AY148" s="16">
        <f>IF(Time!AY53=1,-1*Inputs!AY301/(Funding!$F$25*(Inputs!$F$75*AY146+(1-Inputs!$F$75)*AY18))*(Inputs!$F$97/100*Time!AY24-Operations!AY9/100*Time!AY25/Inputs!$F$247),0)</f>
        <v/>
      </c>
      <c r="AZ148" s="16">
        <f>IF(Time!AZ53=1,-1*Inputs!AZ301/(Funding!$F$25*(Inputs!$F$75*AZ146+(1-Inputs!$F$75)*AZ18))*(Inputs!$F$97/100*Time!AZ24-Operations!AZ9/100*Time!AZ25/Inputs!$F$247),0)</f>
        <v/>
      </c>
      <c r="BA148" s="16">
        <f>IF(Time!BA53=1,-1*Inputs!BA301/(Funding!$F$25*(Inputs!$F$75*BA146+(1-Inputs!$F$75)*BA18))*(Inputs!$F$97/100*Time!BA24-Operations!BA9/100*Time!BA25/Inputs!$F$247),0)</f>
        <v/>
      </c>
      <c r="BB148" s="16">
        <f>IF(Time!BB53=1,-1*Inputs!BB301/(Funding!$F$25*(Inputs!$F$75*BB146+(1-Inputs!$F$75)*BB18))*(Inputs!$F$97/100*Time!BB24-Operations!BB9/100*Time!BB25/Inputs!$F$247),0)</f>
        <v/>
      </c>
      <c r="BC148" s="16">
        <f>IF(Time!BC53=1,-1*Inputs!BC301/(Funding!$F$25*(Inputs!$F$75*BC146+(1-Inputs!$F$75)*BC18))*(Inputs!$F$97/100*Time!BC24-Operations!BC9/100*Time!BC25/Inputs!$F$247),0)</f>
        <v/>
      </c>
      <c r="BD148" s="16">
        <f>IF(Time!BD53=1,-1*Inputs!BD301/(Funding!$F$25*(Inputs!$F$75*BD146+(1-Inputs!$F$75)*BD18))*(Inputs!$F$97/100*Time!BD24-Operations!BD9/100*Time!BD25/Inputs!$F$247),0)</f>
        <v/>
      </c>
      <c r="BE148" s="16">
        <f>IF(Time!BE53=1,-1*Inputs!BE301/(Funding!$F$25*(Inputs!$F$75*BE146+(1-Inputs!$F$75)*BE18))*(Inputs!$F$97/100*Time!BE24-Operations!BE9/100*Time!BE25/Inputs!$F$247),0)</f>
        <v/>
      </c>
      <c r="BF148" s="16">
        <f>IF(Time!BF53=1,-1*Inputs!BF301/(Funding!$F$25*(Inputs!$F$75*BF146+(1-Inputs!$F$75)*BF18))*(Inputs!$F$97/100*Time!BF24-Operations!BF9/100*Time!BF25/Inputs!$F$247),0)</f>
        <v/>
      </c>
      <c r="BG148" s="16">
        <f>IF(Time!BG53=1,-1*Inputs!BG301/(Funding!$F$25*(Inputs!$F$75*BG146+(1-Inputs!$F$75)*BG18))*(Inputs!$F$97/100*Time!BG24-Operations!BG9/100*Time!BG25/Inputs!$F$247),0)</f>
        <v/>
      </c>
      <c r="BH148" s="16">
        <f>IF(Time!BH53=1,-1*Inputs!BH301/(Funding!$F$25*(Inputs!$F$75*BH146+(1-Inputs!$F$75)*BH18))*(Inputs!$F$97/100*Time!BH24-Operations!BH9/100*Time!BH25/Inputs!$F$247),0)</f>
        <v/>
      </c>
      <c r="BI148" s="16">
        <f>IF(Time!BI53=1,-1*Inputs!BI301/(Funding!$F$25*(Inputs!$F$75*BI146+(1-Inputs!$F$75)*BI18))*(Inputs!$F$97/100*Time!BI24-Operations!BI9/100*Time!BI25/Inputs!$F$247),0)</f>
        <v/>
      </c>
      <c r="BJ148" s="16">
        <f>IF(Time!BJ53=1,-1*Inputs!BJ301/(Funding!$F$25*(Inputs!$F$75*BJ146+(1-Inputs!$F$75)*BJ18))*(Inputs!$F$97/100*Time!BJ24-Operations!BJ9/100*Time!BJ25/Inputs!$F$247),0)</f>
        <v/>
      </c>
      <c r="BK148" s="16">
        <f>IF(Time!BK53=1,-1*Inputs!BK301/(Funding!$F$25*(Inputs!$F$75*BK146+(1-Inputs!$F$75)*BK18))*(Inputs!$F$97/100*Time!BK24-Operations!BK9/100*Time!BK25/Inputs!$F$247),0)</f>
        <v/>
      </c>
      <c r="BL148" s="16">
        <f>IF(Time!BL53=1,-1*Inputs!BL301/(Funding!$F$25*(Inputs!$F$75*BL146+(1-Inputs!$F$75)*BL18))*(Inputs!$F$97/100*Time!BL24-Operations!BL9/100*Time!BL25/Inputs!$F$247),0)</f>
        <v/>
      </c>
      <c r="BM148" s="16">
        <f>IF(Time!BM53=1,-1*Inputs!BM301/(Funding!$F$25*(Inputs!$F$75*BM146+(1-Inputs!$F$75)*BM18))*(Inputs!$F$97/100*Time!BM24-Operations!BM9/100*Time!BM25/Inputs!$F$247),0)</f>
        <v/>
      </c>
      <c r="BN148" s="16">
        <f>IF(Time!BN53=1,-1*Inputs!BN301/(Funding!$F$25*(Inputs!$F$75*BN146+(1-Inputs!$F$75)*BN18))*(Inputs!$F$97/100*Time!BN24-Operations!BN9/100*Time!BN25/Inputs!$F$247),0)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860.239655410062</v>
      </c>
      <c r="K28" s="23" t="n">
        <v>654.9505640983427</v>
      </c>
      <c r="L28" s="23" t="n">
        <v>205.2890913117511</v>
      </c>
      <c r="M28" s="24" t="n">
        <v>0.7613582563641603</v>
      </c>
      <c r="N28" s="23" t="n">
        <v>65.66921493938359</v>
      </c>
      <c r="O28" s="23" t="n">
        <v>21.65503951306517</v>
      </c>
      <c r="P28" s="23" t="n">
        <v>21.31864086140002</v>
      </c>
      <c r="Q28" s="23" t="n">
        <v>39.0832901643519</v>
      </c>
      <c r="R28" s="23" t="n">
        <v>0</v>
      </c>
      <c r="S28" s="23" t="n">
        <v>0</v>
      </c>
      <c r="T28" s="23" t="n">
        <v>1.420083844198607</v>
      </c>
      <c r="U28" s="23" t="n">
        <v>1.52701687981106</v>
      </c>
      <c r="V28" s="23" t="n">
        <v>1.423468753790251</v>
      </c>
      <c r="W28" s="23" t="n">
        <v>1.840655904834143</v>
      </c>
      <c r="X28" s="24" t="n">
        <v>0.1509540350205055</v>
      </c>
      <c r="Y28" s="24" t="n">
        <v>0.1183766211130257</v>
      </c>
      <c r="Z28" s="23" t="n">
        <v>-13.37747042575127</v>
      </c>
    </row>
    <row r="29">
      <c r="D29" t="inlineStr">
        <is>
          <t>2: FC banking</t>
        </is>
      </c>
      <c r="J29" s="23" t="n">
        <v>860.239655410062</v>
      </c>
      <c r="K29" s="23" t="n">
        <v>654.9505640983427</v>
      </c>
      <c r="L29" s="23" t="n">
        <v>205.2890913117511</v>
      </c>
      <c r="M29" s="24" t="n">
        <v>0.7613582563641603</v>
      </c>
      <c r="N29" s="23" t="n">
        <v>65.66921493938359</v>
      </c>
      <c r="O29" s="23" t="n">
        <v>21.65503951306517</v>
      </c>
      <c r="P29" s="23" t="n">
        <v>21.31864086140002</v>
      </c>
      <c r="Q29" s="23" t="n">
        <v>39.0832901643519</v>
      </c>
      <c r="R29" s="23" t="n">
        <v>0</v>
      </c>
      <c r="S29" s="23" t="n">
        <v>0</v>
      </c>
      <c r="T29" s="23" t="n">
        <v>1.536142753017727</v>
      </c>
      <c r="U29" s="23" t="n">
        <v>1.681563721918946</v>
      </c>
      <c r="V29" s="23" t="n">
        <v>1.531947144492903</v>
      </c>
      <c r="W29" s="23" t="n">
        <v>1.998283665571928</v>
      </c>
      <c r="X29" s="24" t="n">
        <v>0.1743208723029425</v>
      </c>
      <c r="Y29" s="24" t="n">
        <v>0.1283742545015996</v>
      </c>
      <c r="Z29" s="23" t="n">
        <v>21.30323104526242</v>
      </c>
    </row>
    <row r="30">
      <c r="D30" t="inlineStr">
        <is>
          <t>3: FC downside</t>
        </is>
      </c>
      <c r="J30" s="23" t="n">
        <v>860.239655410062</v>
      </c>
      <c r="K30" s="23" t="n">
        <v>654.9505640983427</v>
      </c>
      <c r="L30" s="23" t="n">
        <v>205.2890913117511</v>
      </c>
      <c r="M30" s="24" t="n">
        <v>0.7613582563641603</v>
      </c>
      <c r="N30" s="23" t="n">
        <v>65.66921493938359</v>
      </c>
      <c r="O30" s="23" t="n">
        <v>21.65503951306517</v>
      </c>
      <c r="P30" s="23" t="n">
        <v>21.31864086140002</v>
      </c>
      <c r="Q30" s="23" t="n">
        <v>39.0832901643519</v>
      </c>
      <c r="R30" s="23" t="n">
        <v>0</v>
      </c>
      <c r="S30" s="23" t="n">
        <v>0</v>
      </c>
      <c r="T30" s="23" t="n">
        <v>1.252926153035614</v>
      </c>
      <c r="U30" s="23" t="n">
        <v>1.335667093922695</v>
      </c>
      <c r="V30" s="23" t="n">
        <v>1.285783171014478</v>
      </c>
      <c r="W30" s="23" t="n">
        <v>1.642790837133894</v>
      </c>
      <c r="X30" s="24" t="n">
        <v>0.1204556743720005</v>
      </c>
      <c r="Y30" s="24" t="n">
        <v>0.1049909036764434</v>
      </c>
      <c r="Z30" s="23" t="n">
        <v>-58.92237976121717</v>
      </c>
    </row>
    <row r="31">
      <c r="D31" t="inlineStr">
        <is>
          <t>4: Sens: availability -3 points</t>
        </is>
      </c>
      <c r="J31" s="23" t="n">
        <v>860.239655410062</v>
      </c>
      <c r="K31" s="23" t="n">
        <v>654.9505640983427</v>
      </c>
      <c r="L31" s="23" t="n">
        <v>205.2890913117511</v>
      </c>
      <c r="M31" s="24" t="n">
        <v>0.7613582563641603</v>
      </c>
      <c r="N31" s="23" t="n">
        <v>65.66921493938359</v>
      </c>
      <c r="O31" s="23" t="n">
        <v>21.65503951306517</v>
      </c>
      <c r="P31" s="23" t="n">
        <v>21.31864086140002</v>
      </c>
      <c r="Q31" s="23" t="n">
        <v>39.0832901643519</v>
      </c>
      <c r="R31" s="23" t="n">
        <v>0</v>
      </c>
      <c r="S31" s="23" t="n">
        <v>0</v>
      </c>
      <c r="T31" s="23" t="n">
        <v>1.374333253296672</v>
      </c>
      <c r="U31" s="23" t="n">
        <v>1.471376119265788</v>
      </c>
      <c r="V31" s="23" t="n">
        <v>1.383314642382303</v>
      </c>
      <c r="W31" s="23" t="n">
        <v>1.783518903147389</v>
      </c>
      <c r="X31" s="24" t="n">
        <v>0.1420838297489443</v>
      </c>
      <c r="Y31" s="24" t="n">
        <v>0.114561715130917</v>
      </c>
      <c r="Z31" s="23" t="n">
        <v>-26.54763741359281</v>
      </c>
    </row>
    <row r="32">
      <c r="D32" t="inlineStr">
        <is>
          <t>5: Sens: heat rate +2%</t>
        </is>
      </c>
      <c r="J32" s="23" t="n">
        <v>860.239655410062</v>
      </c>
      <c r="K32" s="23" t="n">
        <v>654.9505640983427</v>
      </c>
      <c r="L32" s="23" t="n">
        <v>205.2890913117511</v>
      </c>
      <c r="M32" s="24" t="n">
        <v>0.7613582563641603</v>
      </c>
      <c r="N32" s="23" t="n">
        <v>65.66921493938359</v>
      </c>
      <c r="O32" s="23" t="n">
        <v>21.65503951306517</v>
      </c>
      <c r="P32" s="23" t="n">
        <v>21.31864086140002</v>
      </c>
      <c r="Q32" s="23" t="n">
        <v>39.0832901643519</v>
      </c>
      <c r="R32" s="23" t="n">
        <v>0</v>
      </c>
      <c r="S32" s="23" t="n">
        <v>0</v>
      </c>
      <c r="T32" s="23" t="n">
        <v>1.378770135428424</v>
      </c>
      <c r="U32" s="23" t="n">
        <v>1.47678779924783</v>
      </c>
      <c r="V32" s="23" t="n">
        <v>1.387711661516811</v>
      </c>
      <c r="W32" s="23" t="n">
        <v>1.787532654299061</v>
      </c>
      <c r="X32" s="24" t="n">
        <v>0.1429429326744244</v>
      </c>
      <c r="Y32" s="24" t="n">
        <v>0.1148988387995494</v>
      </c>
      <c r="Z32" s="23" t="n">
        <v>-25.20869810841103</v>
      </c>
    </row>
    <row r="33">
      <c r="D33" t="inlineStr">
        <is>
          <t>6: Sens: fixed opex +10%</t>
        </is>
      </c>
      <c r="J33" s="23" t="n">
        <v>860.239655410062</v>
      </c>
      <c r="K33" s="23" t="n">
        <v>654.9505640983427</v>
      </c>
      <c r="L33" s="23" t="n">
        <v>205.2890913117511</v>
      </c>
      <c r="M33" s="24" t="n">
        <v>0.7613582563641603</v>
      </c>
      <c r="N33" s="23" t="n">
        <v>65.66921493938359</v>
      </c>
      <c r="O33" s="23" t="n">
        <v>21.65503951306517</v>
      </c>
      <c r="P33" s="23" t="n">
        <v>21.31864086140002</v>
      </c>
      <c r="Q33" s="23" t="n">
        <v>39.0832901643519</v>
      </c>
      <c r="R33" s="23" t="n">
        <v>0</v>
      </c>
      <c r="S33" s="23" t="n">
        <v>0</v>
      </c>
      <c r="T33" s="23" t="n">
        <v>1.392086754218538</v>
      </c>
      <c r="U33" s="23" t="n">
        <v>1.493059400615235</v>
      </c>
      <c r="V33" s="23" t="n">
        <v>1.399506604623792</v>
      </c>
      <c r="W33" s="23" t="n">
        <v>1.804779750574473</v>
      </c>
      <c r="X33" s="24" t="n">
        <v>0.1455653798434627</v>
      </c>
      <c r="Y33" s="24" t="n">
        <v>0.1160362322577497</v>
      </c>
      <c r="Z33" s="23" t="n">
        <v>-21.33001262368998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860.239655410062</v>
      </c>
      <c r="K36" s="23" t="n">
        <v>654.9505640983427</v>
      </c>
      <c r="L36" s="23" t="n">
        <v>205.2890913117511</v>
      </c>
      <c r="M36" s="24" t="n">
        <v>0.7613582563641603</v>
      </c>
      <c r="N36" s="23" t="n">
        <v>65.66921493938359</v>
      </c>
      <c r="O36" s="23" t="n">
        <v>21.65503951306517</v>
      </c>
      <c r="P36" s="23" t="n">
        <v>21.31864086140002</v>
      </c>
      <c r="Q36" s="23" t="n">
        <v>39.0832901643519</v>
      </c>
      <c r="R36" s="23" t="n">
        <v>0</v>
      </c>
      <c r="S36" s="23" t="n">
        <v>0</v>
      </c>
      <c r="T36" s="23" t="n">
        <v>1.093464741339197</v>
      </c>
      <c r="U36" s="23" t="n">
        <v>1.400617836359727</v>
      </c>
      <c r="V36" s="23" t="n">
        <v>1.217731639896745</v>
      </c>
      <c r="W36" s="23" t="n">
        <v>1.385706904046508</v>
      </c>
      <c r="X36" s="24" t="n">
        <v>0.1183528161752372</v>
      </c>
      <c r="Y36" s="24" t="n">
        <v>0.1203030739484437</v>
      </c>
      <c r="Z36" s="23" t="n">
        <v>-71.43024883430584</v>
      </c>
    </row>
    <row r="37">
      <c r="D37" t="inlineStr">
        <is>
          <t>10: Sens: KCR devaluation 40%, 90-day lag</t>
        </is>
      </c>
      <c r="J37" s="23" t="n">
        <v>860.239655410062</v>
      </c>
      <c r="K37" s="23" t="n">
        <v>654.9505640983427</v>
      </c>
      <c r="L37" s="23" t="n">
        <v>205.2890913117511</v>
      </c>
      <c r="M37" s="24" t="n">
        <v>0.7613582563641603</v>
      </c>
      <c r="N37" s="23" t="n">
        <v>65.66921493938359</v>
      </c>
      <c r="O37" s="23" t="n">
        <v>21.65503951306517</v>
      </c>
      <c r="P37" s="23" t="n">
        <v>21.31864086140002</v>
      </c>
      <c r="Q37" s="23" t="n">
        <v>39.0832901643519</v>
      </c>
      <c r="R37" s="23" t="n">
        <v>0</v>
      </c>
      <c r="S37" s="23" t="n">
        <v>0</v>
      </c>
      <c r="T37" s="23" t="n">
        <v>0.5263587765893802</v>
      </c>
      <c r="U37" s="23" t="n">
        <v>1.49626817042801</v>
      </c>
      <c r="V37" s="23" t="n">
        <v>1.399245226501004</v>
      </c>
      <c r="W37" s="23" t="n">
        <v>1.805115054996103</v>
      </c>
      <c r="X37" s="24" t="n">
        <v>0.1453105107193927</v>
      </c>
      <c r="Y37" s="24" t="n">
        <v>0.1158824058867284</v>
      </c>
      <c r="Z37" s="23" t="n">
        <v>-21.89952325923137</v>
      </c>
    </row>
    <row r="38">
      <c r="D38" t="inlineStr">
        <is>
          <t>11: Sens: SEKA pays 120 days late for 12 months</t>
        </is>
      </c>
      <c r="J38" s="23" t="n">
        <v>860.239655410062</v>
      </c>
      <c r="K38" s="23" t="n">
        <v>654.9505640983427</v>
      </c>
      <c r="L38" s="23" t="n">
        <v>205.2890913117511</v>
      </c>
      <c r="M38" s="24" t="n">
        <v>0.7613582563641603</v>
      </c>
      <c r="N38" s="23" t="n">
        <v>65.66921493938359</v>
      </c>
      <c r="O38" s="23" t="n">
        <v>21.65503951306517</v>
      </c>
      <c r="P38" s="23" t="n">
        <v>21.31864086140002</v>
      </c>
      <c r="Q38" s="23" t="n">
        <v>39.0832901643519</v>
      </c>
      <c r="R38" s="23" t="n">
        <v>0</v>
      </c>
      <c r="S38" s="23" t="n">
        <v>0</v>
      </c>
      <c r="T38" s="23" t="n">
        <v>0.2083817910683767</v>
      </c>
      <c r="U38" s="23" t="n">
        <v>1.5278134325277</v>
      </c>
      <c r="V38" s="23" t="n">
        <v>1.419320138250828</v>
      </c>
      <c r="W38" s="23" t="n">
        <v>1.836550483468131</v>
      </c>
      <c r="X38" s="24" t="n">
        <v>0.1498617280443511</v>
      </c>
      <c r="Y38" s="24" t="n">
        <v>0.1177508239038409</v>
      </c>
      <c r="Z38" s="23" t="n">
        <v>-15.17565232827065</v>
      </c>
    </row>
    <row r="39">
      <c r="D39" t="inlineStr">
        <is>
          <t>12: Sens: dispatch 50%</t>
        </is>
      </c>
      <c r="J39" s="23" t="n">
        <v>860.239655410062</v>
      </c>
      <c r="K39" s="23" t="n">
        <v>654.9505640983427</v>
      </c>
      <c r="L39" s="23" t="n">
        <v>205.2890913117511</v>
      </c>
      <c r="M39" s="24" t="n">
        <v>0.7613582563641603</v>
      </c>
      <c r="N39" s="23" t="n">
        <v>65.66921493938359</v>
      </c>
      <c r="O39" s="23" t="n">
        <v>21.65503951306517</v>
      </c>
      <c r="P39" s="23" t="n">
        <v>21.31864086140002</v>
      </c>
      <c r="Q39" s="23" t="n">
        <v>39.0832901643519</v>
      </c>
      <c r="R39" s="23" t="n">
        <v>0</v>
      </c>
      <c r="S39" s="23" t="n">
        <v>0</v>
      </c>
      <c r="T39" s="23" t="n">
        <v>2.078568892574996</v>
      </c>
      <c r="U39" s="23" t="n">
        <v>2.423742966586207</v>
      </c>
      <c r="V39" s="23" t="n">
        <v>2.07762843951438</v>
      </c>
      <c r="W39" s="23" t="n">
        <v>2.779836562278482</v>
      </c>
      <c r="X39" s="24" t="n">
        <v>0.2846342815292638</v>
      </c>
      <c r="Y39" s="24" t="n">
        <v>0.1736408885665205</v>
      </c>
      <c r="Z39" s="23" t="n">
        <v>194.2839362478159</v>
      </c>
    </row>
    <row r="40">
      <c r="D40" t="inlineStr">
        <is>
          <t>13: Sens: gas price +30%</t>
        </is>
      </c>
      <c r="J40" s="23" t="n">
        <v>860.239655410062</v>
      </c>
      <c r="K40" s="23" t="n">
        <v>654.9505640983427</v>
      </c>
      <c r="L40" s="23" t="n">
        <v>205.2890913117511</v>
      </c>
      <c r="M40" s="24" t="n">
        <v>0.7613582563641603</v>
      </c>
      <c r="N40" s="23" t="n">
        <v>65.66921493938359</v>
      </c>
      <c r="O40" s="23" t="n">
        <v>21.65503951306517</v>
      </c>
      <c r="P40" s="23" t="n">
        <v>21.31864086140002</v>
      </c>
      <c r="Q40" s="23" t="n">
        <v>39.0832901643519</v>
      </c>
      <c r="R40" s="23" t="n">
        <v>0</v>
      </c>
      <c r="S40" s="23" t="n">
        <v>0</v>
      </c>
      <c r="T40" s="23" t="n">
        <v>1.42012181540671</v>
      </c>
      <c r="U40" s="23" t="n">
        <v>1.527406585940186</v>
      </c>
      <c r="V40" s="23" t="n">
        <v>1.423901806380229</v>
      </c>
      <c r="W40" s="23" t="n">
        <v>1.840685304023814</v>
      </c>
      <c r="X40" s="24" t="n">
        <v>0.1510320062433641</v>
      </c>
      <c r="Y40" s="24" t="n">
        <v>0.1183995946043463</v>
      </c>
      <c r="Z40" s="23" t="n">
        <v>-13.25346953862114</v>
      </c>
    </row>
    <row r="41">
      <c r="D41" t="inlineStr">
        <is>
          <t>14: COD re-forecast (2021 lenders case)</t>
        </is>
      </c>
      <c r="J41" s="23" t="n">
        <v>893.4294815546166</v>
      </c>
      <c r="K41" s="23" t="n">
        <v>654.9505640983427</v>
      </c>
      <c r="L41" s="23" t="n">
        <v>209.2816228478897</v>
      </c>
      <c r="M41" s="24" t="n">
        <v>0.7464810289741448</v>
      </c>
      <c r="N41" s="23" t="n">
        <v>64.54280438240993</v>
      </c>
      <c r="O41" s="23" t="n">
        <v>23.8194550387156</v>
      </c>
      <c r="P41" s="23" t="n">
        <v>21.31864086140105</v>
      </c>
      <c r="Q41" s="23" t="n">
        <v>39.34679398890925</v>
      </c>
      <c r="R41" s="23" t="n">
        <v>11.97759460838421</v>
      </c>
      <c r="S41" s="23" t="n">
        <v>3.992531536128071</v>
      </c>
      <c r="T41" s="23" t="n">
        <v>1.344307256042116</v>
      </c>
      <c r="U41" s="23" t="n">
        <v>1.511920691887096</v>
      </c>
      <c r="V41" s="23" t="n">
        <v>1.350835744883528</v>
      </c>
      <c r="W41" s="23" t="n">
        <v>1.795998016828046</v>
      </c>
      <c r="X41" s="24" t="n">
        <v>0.1409596910626101</v>
      </c>
      <c r="Y41" s="24" t="n">
        <v>0.1090073719275361</v>
      </c>
      <c r="Z41" s="23" t="n">
        <v>-28.66761425313645</v>
      </c>
    </row>
    <row r="42">
      <c r="D42" t="inlineStr">
        <is>
          <t>15: Actual history</t>
        </is>
      </c>
      <c r="J42" s="23" t="n">
        <v>876.9502673186362</v>
      </c>
      <c r="K42" s="23" t="n">
        <v>654.9505640983427</v>
      </c>
      <c r="L42" s="23" t="n">
        <v>205.2890913117616</v>
      </c>
      <c r="M42" s="24" t="n">
        <v>0.7468502930056913</v>
      </c>
      <c r="N42" s="23" t="n">
        <v>64.54280438240993</v>
      </c>
      <c r="O42" s="23" t="n">
        <v>23.8194550387156</v>
      </c>
      <c r="P42" s="23" t="n">
        <v>21.31864086140105</v>
      </c>
      <c r="Q42" s="23" t="n">
        <v>22.86757975292883</v>
      </c>
      <c r="R42" s="23" t="n">
        <v>1.06581410364015e-14</v>
      </c>
      <c r="S42" s="23" t="n">
        <v>3.552713678800501e-15</v>
      </c>
      <c r="T42" s="23" t="n">
        <v>0.8248384548111508</v>
      </c>
      <c r="U42" s="23" t="n">
        <v>1.481705652325141</v>
      </c>
      <c r="V42" s="23" t="n">
        <v>1.420456333775717</v>
      </c>
      <c r="W42" s="23" t="n">
        <v>1.656965016937511</v>
      </c>
      <c r="X42" s="24" t="n">
        <v>0.1344267550725351</v>
      </c>
      <c r="Y42" s="24" t="n">
        <v>0.1116452495331943</v>
      </c>
      <c r="Z42" s="23" t="n">
        <v>-39.2999446812348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629.95</v>
      </c>
      <c r="E5" t="n">
        <v>0</v>
      </c>
      <c r="F5" t="n">
        <v>1.35</v>
      </c>
      <c r="G5" t="n">
        <v>1.2</v>
      </c>
      <c r="H5" t="n">
        <v>13.15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639</v>
      </c>
      <c r="E6" t="n">
        <v>9.050000000000001</v>
      </c>
      <c r="F6" t="n">
        <v>1.37</v>
      </c>
      <c r="G6" t="n">
        <v>1.2</v>
      </c>
      <c r="H6" t="n">
        <v>14.02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643.26</v>
      </c>
      <c r="E7" t="n">
        <v>13.31</v>
      </c>
      <c r="F7" t="n">
        <v>1.371</v>
      </c>
      <c r="G7" t="n">
        <v>1.222</v>
      </c>
      <c r="H7" t="n">
        <v>14.31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636.98</v>
      </c>
      <c r="E8" t="n">
        <v>7.03</v>
      </c>
      <c r="F8" t="n">
        <v>1.35</v>
      </c>
      <c r="G8" t="n">
        <v>1.201</v>
      </c>
      <c r="H8" t="n">
        <v>13.52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632.9299999999999</v>
      </c>
      <c r="E9" t="n">
        <v>2.98</v>
      </c>
      <c r="F9" t="n">
        <v>1.35</v>
      </c>
      <c r="G9" t="n">
        <v>1.2</v>
      </c>
      <c r="H9" t="n">
        <v>13.29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635.4299999999999</v>
      </c>
      <c r="E10" t="n">
        <v>5.48</v>
      </c>
      <c r="F10" t="n">
        <v>1.35</v>
      </c>
      <c r="G10" t="n">
        <v>1.2</v>
      </c>
      <c r="H10" t="n">
        <v>13.57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611.72</v>
      </c>
      <c r="E11" t="n">
        <v>-18.23</v>
      </c>
      <c r="F11" t="n">
        <v>1.35</v>
      </c>
      <c r="G11" t="n">
        <v>1.2</v>
      </c>
      <c r="H11" t="n">
        <v>12.43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630.02</v>
      </c>
      <c r="E12" t="n">
        <v>0.07000000000000001</v>
      </c>
      <c r="F12" t="n">
        <v>1.35</v>
      </c>
      <c r="G12" t="n">
        <v>1.2</v>
      </c>
      <c r="H12" t="n">
        <v>13.12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636.73</v>
      </c>
      <c r="E13" t="n">
        <v>6.78</v>
      </c>
      <c r="F13" t="n">
        <v>1.34</v>
      </c>
      <c r="G13" t="n">
        <v>1.2</v>
      </c>
      <c r="H13" t="n">
        <v>13.25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629.95</v>
      </c>
      <c r="E14" t="n">
        <v>0</v>
      </c>
      <c r="F14" t="n">
        <v>1.35</v>
      </c>
      <c r="G14" t="n">
        <v>1.2</v>
      </c>
      <c r="H14" t="n">
        <v>13.15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619.9400000000001</v>
      </c>
      <c r="E15" t="n">
        <v>-10.01</v>
      </c>
      <c r="F15" t="n">
        <v>1.35</v>
      </c>
      <c r="G15" t="n">
        <v>1.2</v>
      </c>
      <c r="H15" t="n">
        <v>12.77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654.95</v>
      </c>
      <c r="E16" t="n">
        <v>25</v>
      </c>
      <c r="F16" t="n">
        <v>1.42</v>
      </c>
      <c r="G16" t="n">
        <v>1.253</v>
      </c>
      <c r="H16" t="n">
        <v>15.1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2026-10-03T23:18:34Z</dcterms:created>
  <dcterms:modified xsi:type="dcterms:W3CDTF">2026-10-03T23:18:36Z</dcterms:modified>
</cp:coreProperties>
</file>