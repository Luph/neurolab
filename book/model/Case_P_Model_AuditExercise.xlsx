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Sculpting convergence tolerance (USD 1,000)</t>
        </is>
      </c>
      <c r="E259" t="inlineStr">
        <is>
          <t>USD m</t>
        </is>
      </c>
      <c r="F259" s="7" t="n">
        <v>0.001</v>
      </c>
    </row>
    <row r="260">
      <c r="B260" s="2" t="inlineStr">
        <is>
          <t>Events (actual history)</t>
        </is>
      </c>
    </row>
    <row r="261">
      <c r="D261" t="inlineStr">
        <is>
          <t>Share of SEKA arrears matched by deferred SNHK/GCK payables (calibration)</t>
        </is>
      </c>
      <c r="E261" t="inlineStr">
        <is>
          <t>fraction</t>
        </is>
      </c>
      <c r="F261" s="7" t="n">
        <v>0.8</v>
      </c>
    </row>
    <row r="262">
      <c r="D262" t="inlineStr">
        <is>
          <t>Late payment interest spread</t>
        </is>
      </c>
      <c r="E262" t="inlineStr">
        <is>
          <t>%</t>
        </is>
      </c>
      <c r="F262" s="7" t="n">
        <v>2</v>
      </c>
    </row>
    <row r="263">
      <c r="D263" t="inlineStr">
        <is>
          <t>Late payment interest received (1 - waived)</t>
        </is>
      </c>
      <c r="E263" t="inlineStr">
        <is>
          <t>fraction</t>
        </is>
      </c>
      <c r="F263" s="7" t="n">
        <v>0.6</v>
      </c>
    </row>
    <row r="264">
      <c r="D264" t="inlineStr">
        <is>
          <t>EPC delay LDs received Nov 2021</t>
        </is>
      </c>
      <c r="E264" t="inlineStr">
        <is>
          <t>USD m</t>
        </is>
      </c>
      <c r="F264" s="7" t="n">
        <v>10.1393</v>
      </c>
    </row>
    <row r="265">
      <c r="D265" t="inlineStr">
        <is>
          <t>DSU insurance proceeds Nov 2021</t>
        </is>
      </c>
      <c r="E265" t="inlineStr">
        <is>
          <t>USD m</t>
        </is>
      </c>
      <c r="F265" s="7" t="n">
        <v>7.0804</v>
      </c>
    </row>
    <row r="266">
      <c r="D266" t="inlineStr">
        <is>
          <t>Performance LDs (prepay June 2022)</t>
        </is>
      </c>
      <c r="E266" t="inlineStr">
        <is>
          <t>USD m</t>
        </is>
      </c>
      <c r="F266" s="7" t="n">
        <v>18.485</v>
      </c>
    </row>
    <row r="267">
      <c r="D267" t="inlineStr">
        <is>
          <t>Waiver fee</t>
        </is>
      </c>
      <c r="E267" t="inlineStr">
        <is>
          <t>% of senior debt</t>
        </is>
      </c>
      <c r="F267" s="7" t="n">
        <v>0.25</v>
      </c>
    </row>
    <row r="268">
      <c r="D268" t="inlineStr">
        <is>
          <t>Margin uplift 2023H2-2024H2</t>
        </is>
      </c>
      <c r="E268" t="inlineStr">
        <is>
          <t>%</t>
        </is>
      </c>
      <c r="F268" s="7" t="n">
        <v>0.5</v>
      </c>
    </row>
    <row r="269">
      <c r="D269" t="inlineStr">
        <is>
          <t>Deferred share of 2023-12-31 principal</t>
        </is>
      </c>
      <c r="E269" t="inlineStr">
        <is>
          <t>fraction</t>
        </is>
      </c>
      <c r="F269" s="7" t="n">
        <v>0.6</v>
      </c>
    </row>
    <row r="270">
      <c r="D270" t="inlineStr">
        <is>
          <t>Bond coupon</t>
        </is>
      </c>
      <c r="E270" t="inlineStr">
        <is>
          <t>%</t>
        </is>
      </c>
      <c r="F270" s="7" t="n">
        <v>7.875</v>
      </c>
    </row>
    <row r="271">
      <c r="D271" t="inlineStr">
        <is>
          <t>Bond issue price</t>
        </is>
      </c>
      <c r="E271" t="inlineStr">
        <is>
          <t>fraction</t>
        </is>
      </c>
      <c r="F271" s="7" t="n">
        <v>0.99512</v>
      </c>
    </row>
    <row r="272">
      <c r="D272" t="inlineStr">
        <is>
          <t>Underwriting fee</t>
        </is>
      </c>
      <c r="E272" t="inlineStr">
        <is>
          <t>fraction</t>
        </is>
      </c>
      <c r="F272" s="7" t="n">
        <v>0.01</v>
      </c>
    </row>
    <row r="273">
      <c r="D273" t="inlineStr">
        <is>
          <t>Other transaction costs</t>
        </is>
      </c>
      <c r="E273" t="inlineStr">
        <is>
          <t>USD m</t>
        </is>
      </c>
      <c r="F273" s="7" t="n">
        <v>3.1</v>
      </c>
    </row>
    <row r="274">
      <c r="D274" t="inlineStr">
        <is>
          <t>ABDB partial credit guarantee</t>
        </is>
      </c>
      <c r="E274" t="inlineStr">
        <is>
          <t>USD m</t>
        </is>
      </c>
      <c r="F274" s="7" t="n">
        <v>95</v>
      </c>
    </row>
    <row r="275">
      <c r="D275" t="inlineStr">
        <is>
          <t>PCG fee</t>
        </is>
      </c>
      <c r="E275" t="inlineStr">
        <is>
          <t>% pa</t>
        </is>
      </c>
      <c r="F275" s="7" t="n">
        <v>1.1</v>
      </c>
    </row>
    <row r="276">
      <c r="D276" t="inlineStr">
        <is>
          <t>PCG upfront fee</t>
        </is>
      </c>
      <c r="E276" t="inlineStr">
        <is>
          <t>%</t>
        </is>
      </c>
      <c r="F276" s="7" t="n">
        <v>0.75</v>
      </c>
    </row>
    <row r="277">
      <c r="D277" t="inlineStr">
        <is>
          <t>Flat swap rate for unwind</t>
        </is>
      </c>
      <c r="E277" t="inlineStr">
        <is>
          <t>%</t>
        </is>
      </c>
      <c r="F277" s="7" t="n">
        <v>3.68</v>
      </c>
    </row>
    <row r="278">
      <c r="D278" t="inlineStr">
        <is>
          <t>Share of swap terminated</t>
        </is>
      </c>
      <c r="E278" t="inlineStr">
        <is>
          <t>fraction</t>
        </is>
      </c>
      <c r="F278" s="7" t="n">
        <v>0.48</v>
      </c>
    </row>
    <row r="279">
      <c r="D279" t="inlineStr">
        <is>
          <t>Share of swap remaining after refi</t>
        </is>
      </c>
      <c r="E279" t="inlineStr">
        <is>
          <t>fraction</t>
        </is>
      </c>
      <c r="F279" s="7" t="n">
        <v>0.52</v>
      </c>
    </row>
    <row r="280">
      <c r="B280" s="2" t="inlineStr">
        <is>
          <t>Annual tables (columns J = 2015 ... ): CPI annual average change (%), policy rate (%)</t>
        </is>
      </c>
    </row>
    <row r="281">
      <c r="D281" t="inlineStr">
        <is>
          <t>Calendar year</t>
        </is>
      </c>
      <c r="E281" t="inlineStr">
        <is>
          <t>year</t>
        </is>
      </c>
      <c r="J281" s="5" t="n">
        <v>2015</v>
      </c>
      <c r="K281" s="5" t="n">
        <v>2016</v>
      </c>
      <c r="L281" s="5" t="n">
        <v>2017</v>
      </c>
      <c r="M281" s="5" t="n">
        <v>2018</v>
      </c>
      <c r="N281" s="5" t="n">
        <v>2019</v>
      </c>
      <c r="O281" s="5" t="n">
        <v>2020</v>
      </c>
      <c r="P281" s="5" t="n">
        <v>2021</v>
      </c>
      <c r="Q281" s="5" t="n">
        <v>2022</v>
      </c>
      <c r="R281" s="5" t="n">
        <v>2023</v>
      </c>
      <c r="S281" s="5" t="n">
        <v>2024</v>
      </c>
      <c r="T281" s="5" t="n">
        <v>2025</v>
      </c>
      <c r="U281" s="5" t="n">
        <v>2026</v>
      </c>
      <c r="V281" s="5" t="n">
        <v>2027</v>
      </c>
      <c r="W281" s="5" t="n">
        <v>2028</v>
      </c>
      <c r="X281" s="5" t="n">
        <v>2029</v>
      </c>
      <c r="Y281" s="5" t="n">
        <v>2030</v>
      </c>
      <c r="Z281" s="5" t="n">
        <v>2031</v>
      </c>
      <c r="AA281" s="5" t="n">
        <v>2032</v>
      </c>
      <c r="AB281" s="5" t="n">
        <v>2033</v>
      </c>
      <c r="AC281" s="5" t="n">
        <v>2034</v>
      </c>
      <c r="AD281" s="5" t="n">
        <v>2035</v>
      </c>
      <c r="AE281" s="5" t="n">
        <v>2036</v>
      </c>
      <c r="AF281" s="5" t="n">
        <v>2037</v>
      </c>
      <c r="AG281" s="5" t="n">
        <v>2038</v>
      </c>
      <c r="AH281" s="5" t="n">
        <v>2039</v>
      </c>
      <c r="AI281" s="5" t="n">
        <v>2040</v>
      </c>
      <c r="AJ281" s="5" t="n">
        <v>2041</v>
      </c>
      <c r="AK281" s="5" t="n">
        <v>2042</v>
      </c>
      <c r="AL281" s="5" t="n">
        <v>2043</v>
      </c>
      <c r="AM281" s="5" t="n">
        <v>2044</v>
      </c>
      <c r="AN281" s="5" t="n">
        <v>2045</v>
      </c>
      <c r="AO281" s="5" t="n">
        <v>2046</v>
      </c>
      <c r="AP281" s="5" t="n">
        <v>2047</v>
      </c>
      <c r="AQ281" s="5" t="n">
        <v>2048</v>
      </c>
      <c r="AR281" s="5" t="n">
        <v>2049</v>
      </c>
    </row>
    <row r="282">
      <c r="D282" t="inlineStr">
        <is>
          <t>US CPI, FC expectation</t>
        </is>
      </c>
      <c r="E282" t="inlineStr">
        <is>
          <t>%</t>
        </is>
      </c>
      <c r="J282" s="5" t="n">
        <v>0.1</v>
      </c>
      <c r="K282" s="5" t="n">
        <v>1.3</v>
      </c>
      <c r="L282" s="5" t="n">
        <v>2.1</v>
      </c>
      <c r="M282" s="5" t="n">
        <v>2.2</v>
      </c>
      <c r="N282" s="5" t="n">
        <v>2.2</v>
      </c>
      <c r="O282" s="5" t="n">
        <v>2.2</v>
      </c>
      <c r="P282" s="5" t="n">
        <v>2.2</v>
      </c>
      <c r="Q282" s="5" t="n">
        <v>2.2</v>
      </c>
      <c r="R282" s="5" t="n">
        <v>2.2</v>
      </c>
      <c r="S282" s="5" t="n">
        <v>2.2</v>
      </c>
      <c r="T282" s="5" t="n">
        <v>2.2</v>
      </c>
      <c r="U282" s="5" t="n">
        <v>2.2</v>
      </c>
      <c r="V282" s="5" t="n">
        <v>2.2</v>
      </c>
      <c r="W282" s="5" t="n">
        <v>2.2</v>
      </c>
      <c r="X282" s="5" t="n">
        <v>2.2</v>
      </c>
      <c r="Y282" s="5" t="n">
        <v>2.2</v>
      </c>
      <c r="Z282" s="5" t="n">
        <v>2.2</v>
      </c>
      <c r="AA282" s="5" t="n">
        <v>2.2</v>
      </c>
      <c r="AB282" s="5" t="n">
        <v>2.2</v>
      </c>
      <c r="AC282" s="5" t="n">
        <v>2.2</v>
      </c>
      <c r="AD282" s="5" t="n">
        <v>2.2</v>
      </c>
      <c r="AE282" s="5" t="n">
        <v>2.2</v>
      </c>
      <c r="AF282" s="5" t="n">
        <v>2.2</v>
      </c>
      <c r="AG282" s="5" t="n">
        <v>2.2</v>
      </c>
      <c r="AH282" s="5" t="n">
        <v>2.2</v>
      </c>
      <c r="AI282" s="5" t="n">
        <v>2.2</v>
      </c>
      <c r="AJ282" s="5" t="n">
        <v>2.2</v>
      </c>
      <c r="AK282" s="5" t="n">
        <v>2.2</v>
      </c>
      <c r="AL282" s="5" t="n">
        <v>2.2</v>
      </c>
      <c r="AM282" s="5" t="n">
        <v>2.2</v>
      </c>
      <c r="AN282" s="5" t="n">
        <v>2.2</v>
      </c>
      <c r="AO282" s="5" t="n">
        <v>2.2</v>
      </c>
      <c r="AP282" s="5" t="n">
        <v>2.2</v>
      </c>
      <c r="AQ282" s="5" t="n">
        <v>2.2</v>
      </c>
      <c r="AR282" s="5" t="n">
        <v>2.2</v>
      </c>
    </row>
    <row r="283">
      <c r="D283" t="inlineStr">
        <is>
          <t>Kessara CPI, FC expectation</t>
        </is>
      </c>
      <c r="E283" t="inlineStr">
        <is>
          <t>%</t>
        </is>
      </c>
      <c r="J283" s="5" t="n">
        <v>8.699999999999999</v>
      </c>
      <c r="K283" s="5" t="n">
        <v>9.4</v>
      </c>
      <c r="L283" s="5" t="n">
        <v>8.1</v>
      </c>
      <c r="M283" s="5" t="n">
        <v>7.5</v>
      </c>
      <c r="N283" s="5" t="n">
        <v>7.5</v>
      </c>
      <c r="O283" s="5" t="n">
        <v>7.5</v>
      </c>
      <c r="P283" s="5" t="n">
        <v>7.5</v>
      </c>
      <c r="Q283" s="5" t="n">
        <v>7.5</v>
      </c>
      <c r="R283" s="5" t="n">
        <v>7.5</v>
      </c>
      <c r="S283" s="5" t="n">
        <v>7.5</v>
      </c>
      <c r="T283" s="5" t="n">
        <v>7.5</v>
      </c>
      <c r="U283" s="5" t="n">
        <v>7.5</v>
      </c>
      <c r="V283" s="5" t="n">
        <v>7.5</v>
      </c>
      <c r="W283" s="5" t="n">
        <v>7.5</v>
      </c>
      <c r="X283" s="5" t="n">
        <v>7.5</v>
      </c>
      <c r="Y283" s="5" t="n">
        <v>7.5</v>
      </c>
      <c r="Z283" s="5" t="n">
        <v>7.5</v>
      </c>
      <c r="AA283" s="5" t="n">
        <v>7.5</v>
      </c>
      <c r="AB283" s="5" t="n">
        <v>7.5</v>
      </c>
      <c r="AC283" s="5" t="n">
        <v>7.5</v>
      </c>
      <c r="AD283" s="5" t="n">
        <v>7.5</v>
      </c>
      <c r="AE283" s="5" t="n">
        <v>7.5</v>
      </c>
      <c r="AF283" s="5" t="n">
        <v>7.5</v>
      </c>
      <c r="AG283" s="5" t="n">
        <v>7.5</v>
      </c>
      <c r="AH283" s="5" t="n">
        <v>7.5</v>
      </c>
      <c r="AI283" s="5" t="n">
        <v>7.5</v>
      </c>
      <c r="AJ283" s="5" t="n">
        <v>7.5</v>
      </c>
      <c r="AK283" s="5" t="n">
        <v>7.5</v>
      </c>
      <c r="AL283" s="5" t="n">
        <v>7.5</v>
      </c>
      <c r="AM283" s="5" t="n">
        <v>7.5</v>
      </c>
      <c r="AN283" s="5" t="n">
        <v>7.5</v>
      </c>
      <c r="AO283" s="5" t="n">
        <v>7.5</v>
      </c>
      <c r="AP283" s="5" t="n">
        <v>7.5</v>
      </c>
      <c r="AQ283" s="5" t="n">
        <v>7.5</v>
      </c>
      <c r="AR283" s="5" t="n">
        <v>7.5</v>
      </c>
    </row>
    <row r="284">
      <c r="D284" t="inlineStr">
        <is>
          <t>US CPI, actual history + assumptions</t>
        </is>
      </c>
      <c r="E284" t="inlineStr">
        <is>
          <t>%</t>
        </is>
      </c>
      <c r="J284" s="5" t="n">
        <v>0.1</v>
      </c>
      <c r="K284" s="5" t="n">
        <v>1.3</v>
      </c>
      <c r="L284" s="5" t="n">
        <v>2.1</v>
      </c>
      <c r="M284" s="5" t="n">
        <v>2.4</v>
      </c>
      <c r="N284" s="5" t="n">
        <v>1.8</v>
      </c>
      <c r="O284" s="5" t="n">
        <v>1.2</v>
      </c>
      <c r="P284" s="5" t="n">
        <v>4.7</v>
      </c>
      <c r="Q284" s="5" t="n">
        <v>8</v>
      </c>
      <c r="R284" s="5" t="n">
        <v>4.1</v>
      </c>
      <c r="S284" s="5" t="n">
        <v>2.9</v>
      </c>
      <c r="T284" s="5" t="n">
        <v>2.7</v>
      </c>
      <c r="U284" s="5" t="n">
        <v>2.6</v>
      </c>
      <c r="V284" s="5" t="n">
        <v>2.3</v>
      </c>
      <c r="W284" s="5" t="n">
        <v>2.3</v>
      </c>
      <c r="X284" s="5" t="n">
        <v>2.3</v>
      </c>
      <c r="Y284" s="5" t="n">
        <v>2.3</v>
      </c>
      <c r="Z284" s="5" t="n">
        <v>2.3</v>
      </c>
      <c r="AA284" s="5" t="n">
        <v>2.3</v>
      </c>
      <c r="AB284" s="5" t="n">
        <v>2.3</v>
      </c>
      <c r="AC284" s="5" t="n">
        <v>2.3</v>
      </c>
      <c r="AD284" s="5" t="n">
        <v>2.3</v>
      </c>
      <c r="AE284" s="5" t="n">
        <v>2.3</v>
      </c>
      <c r="AF284" s="5" t="n">
        <v>2.3</v>
      </c>
      <c r="AG284" s="5" t="n">
        <v>2.3</v>
      </c>
      <c r="AH284" s="5" t="n">
        <v>2.3</v>
      </c>
      <c r="AI284" s="5" t="n">
        <v>2.3</v>
      </c>
      <c r="AJ284" s="5" t="n">
        <v>2.3</v>
      </c>
      <c r="AK284" s="5" t="n">
        <v>2.3</v>
      </c>
      <c r="AL284" s="5" t="n">
        <v>2.3</v>
      </c>
      <c r="AM284" s="5" t="n">
        <v>2.3</v>
      </c>
      <c r="AN284" s="5" t="n">
        <v>2.3</v>
      </c>
      <c r="AO284" s="5" t="n">
        <v>2.3</v>
      </c>
      <c r="AP284" s="5" t="n">
        <v>2.3</v>
      </c>
      <c r="AQ284" s="5" t="n">
        <v>2.3</v>
      </c>
      <c r="AR284" s="5" t="n">
        <v>2.3</v>
      </c>
    </row>
    <row r="285">
      <c r="D285" t="inlineStr">
        <is>
          <t>Kessara CPI, actual history + assumptions</t>
        </is>
      </c>
      <c r="E285" t="inlineStr">
        <is>
          <t>%</t>
        </is>
      </c>
      <c r="J285" s="5" t="n">
        <v>8.699999999999999</v>
      </c>
      <c r="K285" s="5" t="n">
        <v>9.4</v>
      </c>
      <c r="L285" s="5" t="n">
        <v>8.1</v>
      </c>
      <c r="M285" s="5" t="n">
        <v>7.6</v>
      </c>
      <c r="N285" s="5" t="n">
        <v>7.9</v>
      </c>
      <c r="O285" s="5" t="n">
        <v>9.800000000000001</v>
      </c>
      <c r="P285" s="5" t="n">
        <v>10.6</v>
      </c>
      <c r="Q285" s="5" t="n">
        <v>26.3</v>
      </c>
      <c r="R285" s="5" t="n">
        <v>34.8</v>
      </c>
      <c r="S285" s="5" t="n">
        <v>19.2</v>
      </c>
      <c r="T285" s="5" t="n">
        <v>12.4</v>
      </c>
      <c r="U285" s="5" t="n">
        <v>9.6</v>
      </c>
      <c r="V285" s="5" t="n">
        <v>8</v>
      </c>
      <c r="W285" s="5" t="n">
        <v>7</v>
      </c>
      <c r="X285" s="5" t="n">
        <v>7</v>
      </c>
      <c r="Y285" s="5" t="n">
        <v>7</v>
      </c>
      <c r="Z285" s="5" t="n">
        <v>7</v>
      </c>
      <c r="AA285" s="5" t="n">
        <v>7</v>
      </c>
      <c r="AB285" s="5" t="n">
        <v>7</v>
      </c>
      <c r="AC285" s="5" t="n">
        <v>7</v>
      </c>
      <c r="AD285" s="5" t="n">
        <v>7</v>
      </c>
      <c r="AE285" s="5" t="n">
        <v>7</v>
      </c>
      <c r="AF285" s="5" t="n">
        <v>7</v>
      </c>
      <c r="AG285" s="5" t="n">
        <v>7</v>
      </c>
      <c r="AH285" s="5" t="n">
        <v>7</v>
      </c>
      <c r="AI285" s="5" t="n">
        <v>7</v>
      </c>
      <c r="AJ285" s="5" t="n">
        <v>7</v>
      </c>
      <c r="AK285" s="5" t="n">
        <v>7</v>
      </c>
      <c r="AL285" s="5" t="n">
        <v>7</v>
      </c>
      <c r="AM285" s="5" t="n">
        <v>7</v>
      </c>
      <c r="AN285" s="5" t="n">
        <v>7</v>
      </c>
      <c r="AO285" s="5" t="n">
        <v>7</v>
      </c>
      <c r="AP285" s="5" t="n">
        <v>7</v>
      </c>
      <c r="AQ285" s="5" t="n">
        <v>7</v>
      </c>
      <c r="AR285" s="5" t="n">
        <v>7</v>
      </c>
    </row>
    <row r="286">
      <c r="D286" t="inlineStr">
        <is>
          <t>US CPI, COD re-forecast</t>
        </is>
      </c>
      <c r="E286" t="inlineStr">
        <is>
          <t>%</t>
        </is>
      </c>
      <c r="J286" s="5" t="n">
        <v>0.1</v>
      </c>
      <c r="K286" s="5" t="n">
        <v>1.3</v>
      </c>
      <c r="L286" s="5" t="n">
        <v>2.1</v>
      </c>
      <c r="M286" s="5" t="n">
        <v>2.4</v>
      </c>
      <c r="N286" s="5" t="n">
        <v>1.8</v>
      </c>
      <c r="O286" s="5" t="n">
        <v>1.2</v>
      </c>
      <c r="P286" s="5" t="n">
        <v>4.7</v>
      </c>
      <c r="Q286" s="5" t="n">
        <v>2.2</v>
      </c>
      <c r="R286" s="5" t="n">
        <v>2.2</v>
      </c>
      <c r="S286" s="5" t="n">
        <v>2.2</v>
      </c>
      <c r="T286" s="5" t="n">
        <v>2.2</v>
      </c>
      <c r="U286" s="5" t="n">
        <v>2.2</v>
      </c>
      <c r="V286" s="5" t="n">
        <v>2.2</v>
      </c>
      <c r="W286" s="5" t="n">
        <v>2.2</v>
      </c>
      <c r="X286" s="5" t="n">
        <v>2.2</v>
      </c>
      <c r="Y286" s="5" t="n">
        <v>2.2</v>
      </c>
      <c r="Z286" s="5" t="n">
        <v>2.2</v>
      </c>
      <c r="AA286" s="5" t="n">
        <v>2.2</v>
      </c>
      <c r="AB286" s="5" t="n">
        <v>2.2</v>
      </c>
      <c r="AC286" s="5" t="n">
        <v>2.2</v>
      </c>
      <c r="AD286" s="5" t="n">
        <v>2.2</v>
      </c>
      <c r="AE286" s="5" t="n">
        <v>2.2</v>
      </c>
      <c r="AF286" s="5" t="n">
        <v>2.2</v>
      </c>
      <c r="AG286" s="5" t="n">
        <v>2.2</v>
      </c>
      <c r="AH286" s="5" t="n">
        <v>2.2</v>
      </c>
      <c r="AI286" s="5" t="n">
        <v>2.2</v>
      </c>
      <c r="AJ286" s="5" t="n">
        <v>2.2</v>
      </c>
      <c r="AK286" s="5" t="n">
        <v>2.2</v>
      </c>
      <c r="AL286" s="5" t="n">
        <v>2.2</v>
      </c>
      <c r="AM286" s="5" t="n">
        <v>2.2</v>
      </c>
      <c r="AN286" s="5" t="n">
        <v>2.2</v>
      </c>
      <c r="AO286" s="5" t="n">
        <v>2.2</v>
      </c>
      <c r="AP286" s="5" t="n">
        <v>2.2</v>
      </c>
      <c r="AQ286" s="5" t="n">
        <v>2.2</v>
      </c>
      <c r="AR286" s="5" t="n">
        <v>2.2</v>
      </c>
    </row>
    <row r="287">
      <c r="D287" t="inlineStr">
        <is>
          <t>Kessara CPI, COD re-forecast</t>
        </is>
      </c>
      <c r="E287" t="inlineStr">
        <is>
          <t>%</t>
        </is>
      </c>
      <c r="J287" s="5" t="n">
        <v>8.699999999999999</v>
      </c>
      <c r="K287" s="5" t="n">
        <v>9.4</v>
      </c>
      <c r="L287" s="5" t="n">
        <v>8.1</v>
      </c>
      <c r="M287" s="5" t="n">
        <v>7.6</v>
      </c>
      <c r="N287" s="5" t="n">
        <v>7.9</v>
      </c>
      <c r="O287" s="5" t="n">
        <v>9.800000000000001</v>
      </c>
      <c r="P287" s="5" t="n">
        <v>10.6</v>
      </c>
      <c r="Q287" s="5" t="n">
        <v>7.5</v>
      </c>
      <c r="R287" s="5" t="n">
        <v>7.5</v>
      </c>
      <c r="S287" s="5" t="n">
        <v>7.5</v>
      </c>
      <c r="T287" s="5" t="n">
        <v>7.5</v>
      </c>
      <c r="U287" s="5" t="n">
        <v>7.5</v>
      </c>
      <c r="V287" s="5" t="n">
        <v>7.5</v>
      </c>
      <c r="W287" s="5" t="n">
        <v>7.5</v>
      </c>
      <c r="X287" s="5" t="n">
        <v>7.5</v>
      </c>
      <c r="Y287" s="5" t="n">
        <v>7.5</v>
      </c>
      <c r="Z287" s="5" t="n">
        <v>7.5</v>
      </c>
      <c r="AA287" s="5" t="n">
        <v>7.5</v>
      </c>
      <c r="AB287" s="5" t="n">
        <v>7.5</v>
      </c>
      <c r="AC287" s="5" t="n">
        <v>7.5</v>
      </c>
      <c r="AD287" s="5" t="n">
        <v>7.5</v>
      </c>
      <c r="AE287" s="5" t="n">
        <v>7.5</v>
      </c>
      <c r="AF287" s="5" t="n">
        <v>7.5</v>
      </c>
      <c r="AG287" s="5" t="n">
        <v>7.5</v>
      </c>
      <c r="AH287" s="5" t="n">
        <v>7.5</v>
      </c>
      <c r="AI287" s="5" t="n">
        <v>7.5</v>
      </c>
      <c r="AJ287" s="5" t="n">
        <v>7.5</v>
      </c>
      <c r="AK287" s="5" t="n">
        <v>7.5</v>
      </c>
      <c r="AL287" s="5" t="n">
        <v>7.5</v>
      </c>
      <c r="AM287" s="5" t="n">
        <v>7.5</v>
      </c>
      <c r="AN287" s="5" t="n">
        <v>7.5</v>
      </c>
      <c r="AO287" s="5" t="n">
        <v>7.5</v>
      </c>
      <c r="AP287" s="5" t="n">
        <v>7.5</v>
      </c>
      <c r="AQ287" s="5" t="n">
        <v>7.5</v>
      </c>
      <c r="AR287" s="5" t="n">
        <v>7.5</v>
      </c>
    </row>
    <row r="288">
      <c r="D288" t="inlineStr">
        <is>
          <t>Kessara policy rate (actual)</t>
        </is>
      </c>
      <c r="E288" t="inlineStr">
        <is>
          <t>%</t>
        </is>
      </c>
      <c r="J288" s="5" t="n">
        <v>15.5</v>
      </c>
      <c r="K288" s="5" t="n">
        <v>15.5</v>
      </c>
      <c r="L288" s="5" t="n">
        <v>15.5</v>
      </c>
      <c r="M288" s="5" t="n">
        <v>13.5</v>
      </c>
      <c r="N288" s="5" t="n">
        <v>13.5</v>
      </c>
      <c r="O288" s="5" t="n">
        <v>13.5</v>
      </c>
      <c r="P288" s="5" t="n">
        <v>13.5</v>
      </c>
      <c r="Q288" s="5" t="n">
        <v>19</v>
      </c>
      <c r="R288" s="5" t="n">
        <v>27</v>
      </c>
      <c r="S288" s="5" t="n">
        <v>24.5</v>
      </c>
      <c r="T288" s="5" t="n">
        <v>18</v>
      </c>
      <c r="U288" s="5" t="n">
        <v>15.5</v>
      </c>
      <c r="V288" s="5" t="n">
        <v>15.5</v>
      </c>
      <c r="W288" s="5" t="n">
        <v>15.5</v>
      </c>
      <c r="X288" s="5" t="n">
        <v>15.5</v>
      </c>
      <c r="Y288" s="5" t="n">
        <v>15.5</v>
      </c>
      <c r="Z288" s="5" t="n">
        <v>15.5</v>
      </c>
      <c r="AA288" s="5" t="n">
        <v>15.5</v>
      </c>
      <c r="AB288" s="5" t="n">
        <v>15.5</v>
      </c>
      <c r="AC288" s="5" t="n">
        <v>15.5</v>
      </c>
      <c r="AD288" s="5" t="n">
        <v>15.5</v>
      </c>
      <c r="AE288" s="5" t="n">
        <v>15.5</v>
      </c>
      <c r="AF288" s="5" t="n">
        <v>15.5</v>
      </c>
      <c r="AG288" s="5" t="n">
        <v>15.5</v>
      </c>
      <c r="AH288" s="5" t="n">
        <v>15.5</v>
      </c>
      <c r="AI288" s="5" t="n">
        <v>15.5</v>
      </c>
      <c r="AJ288" s="5" t="n">
        <v>15.5</v>
      </c>
      <c r="AK288" s="5" t="n">
        <v>15.5</v>
      </c>
      <c r="AL288" s="5" t="n">
        <v>15.5</v>
      </c>
      <c r="AM288" s="5" t="n">
        <v>15.5</v>
      </c>
      <c r="AN288" s="5" t="n">
        <v>15.5</v>
      </c>
      <c r="AO288" s="5" t="n">
        <v>15.5</v>
      </c>
      <c r="AP288" s="5" t="n">
        <v>15.5</v>
      </c>
      <c r="AQ288" s="5" t="n">
        <v>15.5</v>
      </c>
      <c r="AR288" s="5" t="n">
        <v>15.5</v>
      </c>
    </row>
    <row r="289">
      <c r="B289" s="2" t="inlineStr">
        <is>
          <t>Semiannual inputs (column J = 2018H2 ... BN = 2046H2)</t>
        </is>
      </c>
    </row>
    <row r="290">
      <c r="D290" t="inlineStr">
        <is>
          <t>6M LIBOR forward curve at FC</t>
        </is>
      </c>
      <c r="E290" t="inlineStr">
        <is>
          <t>%</t>
        </is>
      </c>
      <c r="J290" s="5" t="n">
        <v>2.52</v>
      </c>
      <c r="K290" s="5" t="n">
        <v>2.79</v>
      </c>
      <c r="L290" s="5" t="n">
        <v>2.94</v>
      </c>
      <c r="M290" s="5" t="n">
        <v>3.02</v>
      </c>
      <c r="N290" s="5" t="n">
        <v>3.06</v>
      </c>
      <c r="O290" s="5" t="n">
        <v>3.09</v>
      </c>
      <c r="P290" s="5" t="n">
        <v>3.09</v>
      </c>
      <c r="Q290" s="5" t="n">
        <v>3.11</v>
      </c>
      <c r="R290" s="5" t="n">
        <v>3.11</v>
      </c>
      <c r="S290" s="5" t="n">
        <v>3.12</v>
      </c>
      <c r="T290" s="5" t="n">
        <v>3.12</v>
      </c>
      <c r="U290" s="5" t="n">
        <v>3.12</v>
      </c>
      <c r="V290" s="5" t="n">
        <v>3.12</v>
      </c>
      <c r="W290" s="5" t="n">
        <v>3.12</v>
      </c>
      <c r="X290" s="5" t="n">
        <v>3.12</v>
      </c>
      <c r="Y290" s="5" t="n">
        <v>3.12</v>
      </c>
      <c r="Z290" s="5" t="n">
        <v>3.12</v>
      </c>
      <c r="AA290" s="5" t="n">
        <v>3.12</v>
      </c>
      <c r="AB290" s="5" t="n">
        <v>3.12</v>
      </c>
      <c r="AC290" s="5" t="n">
        <v>3.12</v>
      </c>
      <c r="AD290" s="5" t="n">
        <v>3.12</v>
      </c>
      <c r="AE290" s="5" t="n">
        <v>3.12</v>
      </c>
      <c r="AF290" s="5" t="n">
        <v>3.12</v>
      </c>
      <c r="AG290" s="5" t="n">
        <v>3.12</v>
      </c>
      <c r="AH290" s="5" t="n">
        <v>3.12</v>
      </c>
      <c r="AI290" s="5" t="n">
        <v>3.12</v>
      </c>
      <c r="AJ290" s="5" t="n">
        <v>3.12</v>
      </c>
      <c r="AK290" s="5" t="n">
        <v>3.12</v>
      </c>
      <c r="AL290" s="5" t="n">
        <v>3.12</v>
      </c>
      <c r="AM290" s="5" t="n">
        <v>3.12</v>
      </c>
      <c r="AN290" s="5" t="n">
        <v>3.12</v>
      </c>
      <c r="AO290" s="5" t="n">
        <v>3.12</v>
      </c>
      <c r="AP290" s="5" t="n">
        <v>3.12</v>
      </c>
      <c r="AQ290" s="5" t="n">
        <v>3.12</v>
      </c>
      <c r="AR290" s="5" t="n">
        <v>3.12</v>
      </c>
      <c r="AS290" s="5" t="n">
        <v>3.12</v>
      </c>
      <c r="AT290" s="5" t="n">
        <v>3.12</v>
      </c>
      <c r="AU290" s="5" t="n">
        <v>3.12</v>
      </c>
      <c r="AV290" s="5" t="n">
        <v>3.12</v>
      </c>
      <c r="AW290" s="5" t="n">
        <v>3.12</v>
      </c>
      <c r="AX290" s="5" t="n">
        <v>3.12</v>
      </c>
      <c r="AY290" s="5" t="n">
        <v>3.12</v>
      </c>
      <c r="AZ290" s="5" t="n">
        <v>3.12</v>
      </c>
      <c r="BA290" s="5" t="n">
        <v>3.12</v>
      </c>
      <c r="BB290" s="5" t="n">
        <v>3.12</v>
      </c>
      <c r="BC290" s="5" t="n">
        <v>3.12</v>
      </c>
      <c r="BD290" s="5" t="n">
        <v>3.12</v>
      </c>
      <c r="BE290" s="5" t="n">
        <v>3.12</v>
      </c>
      <c r="BF290" s="5" t="n">
        <v>3.12</v>
      </c>
      <c r="BG290" s="5" t="n">
        <v>3.12</v>
      </c>
      <c r="BH290" s="5" t="n">
        <v>3.12</v>
      </c>
      <c r="BI290" s="5" t="n">
        <v>3.12</v>
      </c>
      <c r="BJ290" s="5" t="n">
        <v>3.12</v>
      </c>
      <c r="BK290" s="5" t="n">
        <v>3.12</v>
      </c>
      <c r="BL290" s="5" t="n">
        <v>3.12</v>
      </c>
      <c r="BM290" s="5" t="n">
        <v>3.12</v>
      </c>
      <c r="BN290" s="5" t="n">
        <v>3.12</v>
      </c>
    </row>
    <row r="291">
      <c r="D291" t="inlineStr">
        <is>
          <t>6M LIBOR to 2022H2; 6M Term SOFR + CAS from 2023H1 (actual)</t>
        </is>
      </c>
      <c r="E291" t="inlineStr">
        <is>
          <t>%</t>
        </is>
      </c>
      <c r="J291" s="5" t="n">
        <v>2.52</v>
      </c>
      <c r="K291" s="5" t="n">
        <v>2.87</v>
      </c>
      <c r="L291" s="5" t="n">
        <v>2.2</v>
      </c>
      <c r="M291" s="5" t="n">
        <v>1.91</v>
      </c>
      <c r="N291" s="5" t="n">
        <v>0.37</v>
      </c>
      <c r="O291" s="5" t="n">
        <v>0.25</v>
      </c>
      <c r="P291" s="5" t="n">
        <v>0.16</v>
      </c>
      <c r="Q291" s="5" t="n">
        <v>0.34</v>
      </c>
      <c r="R291" s="5" t="n">
        <v>2.94</v>
      </c>
      <c r="S291" s="5" t="n">
        <v>5.28826</v>
      </c>
      <c r="T291" s="5" t="n">
        <v>5.89826</v>
      </c>
      <c r="U291" s="5" t="n">
        <v>5.58826</v>
      </c>
      <c r="V291" s="5" t="n">
        <v>5.64826</v>
      </c>
      <c r="W291" s="5" t="n">
        <v>4.67826</v>
      </c>
      <c r="X291" s="5" t="n">
        <v>4.59826</v>
      </c>
      <c r="Y291" s="5" t="n">
        <v>4.04826</v>
      </c>
      <c r="Z291" s="5" t="n">
        <v>4.00826</v>
      </c>
      <c r="AA291" s="5" t="n">
        <v>3.87826</v>
      </c>
      <c r="AB291" s="5" t="n">
        <v>3.87826</v>
      </c>
      <c r="AC291" s="5" t="n">
        <v>3.92826</v>
      </c>
      <c r="AD291" s="5" t="n">
        <v>3.92826</v>
      </c>
      <c r="AE291" s="5" t="n">
        <v>3.92826</v>
      </c>
      <c r="AF291" s="5" t="n">
        <v>3.92826</v>
      </c>
      <c r="AG291" s="5" t="n">
        <v>3.92826</v>
      </c>
      <c r="AH291" s="5" t="n">
        <v>3.92826</v>
      </c>
      <c r="AI291" s="5" t="n">
        <v>3.92826</v>
      </c>
      <c r="AJ291" s="5" t="n">
        <v>3.92826</v>
      </c>
      <c r="AK291" s="5" t="n">
        <v>3.92826</v>
      </c>
      <c r="AL291" s="5" t="n">
        <v>3.92826</v>
      </c>
      <c r="AM291" s="5" t="n">
        <v>3.92826</v>
      </c>
      <c r="AN291" s="5" t="n">
        <v>3.92826</v>
      </c>
      <c r="AO291" s="5" t="n">
        <v>3.92826</v>
      </c>
      <c r="AP291" s="5" t="n">
        <v>3.92826</v>
      </c>
      <c r="AQ291" s="5" t="n">
        <v>3.92826</v>
      </c>
      <c r="AR291" s="5" t="n">
        <v>3.92826</v>
      </c>
      <c r="AS291" s="5" t="n">
        <v>3.92826</v>
      </c>
      <c r="AT291" s="5" t="n">
        <v>3.92826</v>
      </c>
      <c r="AU291" s="5" t="n">
        <v>3.92826</v>
      </c>
      <c r="AV291" s="5" t="n">
        <v>3.92826</v>
      </c>
      <c r="AW291" s="5" t="n">
        <v>3.92826</v>
      </c>
      <c r="AX291" s="5" t="n">
        <v>3.92826</v>
      </c>
      <c r="AY291" s="5" t="n">
        <v>3.92826</v>
      </c>
      <c r="AZ291" s="5" t="n">
        <v>3.92826</v>
      </c>
      <c r="BA291" s="5" t="n">
        <v>3.92826</v>
      </c>
      <c r="BB291" s="5" t="n">
        <v>3.92826</v>
      </c>
      <c r="BC291" s="5" t="n">
        <v>3.92826</v>
      </c>
      <c r="BD291" s="5" t="n">
        <v>3.92826</v>
      </c>
      <c r="BE291" s="5" t="n">
        <v>3.92826</v>
      </c>
      <c r="BF291" s="5" t="n">
        <v>3.92826</v>
      </c>
      <c r="BG291" s="5" t="n">
        <v>3.92826</v>
      </c>
      <c r="BH291" s="5" t="n">
        <v>3.92826</v>
      </c>
      <c r="BI291" s="5" t="n">
        <v>3.92826</v>
      </c>
      <c r="BJ291" s="5" t="n">
        <v>3.92826</v>
      </c>
      <c r="BK291" s="5" t="n">
        <v>3.92826</v>
      </c>
      <c r="BL291" s="5" t="n">
        <v>3.92826</v>
      </c>
      <c r="BM291" s="5" t="n">
        <v>3.92826</v>
      </c>
      <c r="BN291" s="5" t="n">
        <v>3.92826</v>
      </c>
    </row>
    <row r="292">
      <c r="D292" t="inlineStr">
        <is>
          <t>Base rate, COD re-forecast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3.11</v>
      </c>
      <c r="R292" s="5" t="n">
        <v>3.11</v>
      </c>
      <c r="S292" s="5" t="n">
        <v>3.12</v>
      </c>
      <c r="T292" s="5" t="n">
        <v>3.12</v>
      </c>
      <c r="U292" s="5" t="n">
        <v>3.12</v>
      </c>
      <c r="V292" s="5" t="n">
        <v>3.12</v>
      </c>
      <c r="W292" s="5" t="n">
        <v>3.12</v>
      </c>
      <c r="X292" s="5" t="n">
        <v>3.12</v>
      </c>
      <c r="Y292" s="5" t="n">
        <v>3.12</v>
      </c>
      <c r="Z292" s="5" t="n">
        <v>3.12</v>
      </c>
      <c r="AA292" s="5" t="n">
        <v>3.12</v>
      </c>
      <c r="AB292" s="5" t="n">
        <v>3.12</v>
      </c>
      <c r="AC292" s="5" t="n">
        <v>3.12</v>
      </c>
      <c r="AD292" s="5" t="n">
        <v>3.12</v>
      </c>
      <c r="AE292" s="5" t="n">
        <v>3.12</v>
      </c>
      <c r="AF292" s="5" t="n">
        <v>3.12</v>
      </c>
      <c r="AG292" s="5" t="n">
        <v>3.12</v>
      </c>
      <c r="AH292" s="5" t="n">
        <v>3.12</v>
      </c>
      <c r="AI292" s="5" t="n">
        <v>3.12</v>
      </c>
      <c r="AJ292" s="5" t="n">
        <v>3.12</v>
      </c>
      <c r="AK292" s="5" t="n">
        <v>3.12</v>
      </c>
      <c r="AL292" s="5" t="n">
        <v>3.12</v>
      </c>
      <c r="AM292" s="5" t="n">
        <v>3.12</v>
      </c>
      <c r="AN292" s="5" t="n">
        <v>3.12</v>
      </c>
      <c r="AO292" s="5" t="n">
        <v>3.12</v>
      </c>
      <c r="AP292" s="5" t="n">
        <v>3.12</v>
      </c>
      <c r="AQ292" s="5" t="n">
        <v>3.12</v>
      </c>
      <c r="AR292" s="5" t="n">
        <v>3.12</v>
      </c>
      <c r="AS292" s="5" t="n">
        <v>3.12</v>
      </c>
      <c r="AT292" s="5" t="n">
        <v>3.12</v>
      </c>
      <c r="AU292" s="5" t="n">
        <v>3.12</v>
      </c>
      <c r="AV292" s="5" t="n">
        <v>3.12</v>
      </c>
      <c r="AW292" s="5" t="n">
        <v>3.12</v>
      </c>
      <c r="AX292" s="5" t="n">
        <v>3.12</v>
      </c>
      <c r="AY292" s="5" t="n">
        <v>3.12</v>
      </c>
      <c r="AZ292" s="5" t="n">
        <v>3.12</v>
      </c>
      <c r="BA292" s="5" t="n">
        <v>3.12</v>
      </c>
      <c r="BB292" s="5" t="n">
        <v>3.12</v>
      </c>
      <c r="BC292" s="5" t="n">
        <v>3.12</v>
      </c>
      <c r="BD292" s="5" t="n">
        <v>3.12</v>
      </c>
      <c r="BE292" s="5" t="n">
        <v>3.12</v>
      </c>
      <c r="BF292" s="5" t="n">
        <v>3.12</v>
      </c>
      <c r="BG292" s="5" t="n">
        <v>3.12</v>
      </c>
      <c r="BH292" s="5" t="n">
        <v>3.12</v>
      </c>
      <c r="BI292" s="5" t="n">
        <v>3.12</v>
      </c>
      <c r="BJ292" s="5" t="n">
        <v>3.12</v>
      </c>
      <c r="BK292" s="5" t="n">
        <v>3.12</v>
      </c>
      <c r="BL292" s="5" t="n">
        <v>3.12</v>
      </c>
      <c r="BM292" s="5" t="n">
        <v>3.12</v>
      </c>
      <c r="BN292" s="5" t="n">
        <v>3.12</v>
      </c>
    </row>
    <row r="293">
      <c r="D293" t="inlineStr">
        <is>
          <t>KCR per USD, semiannual average (actual to 2026H2)</t>
        </is>
      </c>
      <c r="E293" t="inlineStr">
        <is>
          <t>KCR/USD</t>
        </is>
      </c>
      <c r="J293" s="5" t="n">
        <v>524.6</v>
      </c>
      <c r="K293" s="5" t="n">
        <v>539.1</v>
      </c>
      <c r="L293" s="5" t="n">
        <v>551.3</v>
      </c>
      <c r="M293" s="5" t="n">
        <v>566</v>
      </c>
      <c r="N293" s="5" t="n">
        <v>579.8</v>
      </c>
      <c r="O293" s="5" t="n">
        <v>597.4</v>
      </c>
      <c r="P293" s="5" t="n">
        <v>609.6</v>
      </c>
      <c r="Q293" s="5" t="n">
        <v>654.9</v>
      </c>
      <c r="R293" s="5" t="n">
        <v>830.3</v>
      </c>
      <c r="S293" s="5" t="n">
        <v>1052.8</v>
      </c>
      <c r="T293" s="5" t="n">
        <v>1043.8</v>
      </c>
      <c r="U293" s="5" t="n">
        <v>1093.1</v>
      </c>
      <c r="V293" s="5" t="n">
        <v>1050.7</v>
      </c>
      <c r="W293" s="5" t="n">
        <v>1035.6</v>
      </c>
      <c r="X293" s="5" t="n">
        <v>1023.8</v>
      </c>
      <c r="Y293" s="5" t="n">
        <v>1028.9</v>
      </c>
      <c r="Z293" s="5" t="n">
        <v>1043.9</v>
      </c>
    </row>
    <row r="294">
      <c r="D294" t="inlineStr">
        <is>
          <t>SEKA overdue receivables at period end (actual)</t>
        </is>
      </c>
      <c r="E294" t="inlineStr">
        <is>
          <t>USD m</t>
        </is>
      </c>
      <c r="J294" s="5" t="n">
        <v>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5" t="n">
        <v>18.4</v>
      </c>
      <c r="R294" s="5" t="n">
        <v>68.90000000000001</v>
      </c>
      <c r="S294" s="5" t="n">
        <v>112.6</v>
      </c>
      <c r="T294" s="5" t="n">
        <v>71.8</v>
      </c>
      <c r="U294" s="5" t="n">
        <v>34.6</v>
      </c>
      <c r="V294" s="5" t="n">
        <v>12.3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0</v>
      </c>
      <c r="AB294" s="5" t="n">
        <v>0</v>
      </c>
      <c r="AC294" s="5" t="n">
        <v>0</v>
      </c>
      <c r="AD294" s="5" t="n">
        <v>0</v>
      </c>
      <c r="AE294" s="5" t="n">
        <v>0</v>
      </c>
      <c r="AF294" s="5" t="n">
        <v>0</v>
      </c>
      <c r="AG294" s="5" t="n">
        <v>0</v>
      </c>
      <c r="AH294" s="5" t="n">
        <v>0</v>
      </c>
      <c r="AI294" s="5" t="n">
        <v>0</v>
      </c>
      <c r="AJ294" s="5" t="n">
        <v>0</v>
      </c>
      <c r="AK294" s="5" t="n">
        <v>0</v>
      </c>
      <c r="AL294" s="5" t="n">
        <v>0</v>
      </c>
      <c r="AM294" s="5" t="n">
        <v>0</v>
      </c>
      <c r="AN294" s="5" t="n">
        <v>0</v>
      </c>
      <c r="AO294" s="5" t="n">
        <v>0</v>
      </c>
      <c r="AP294" s="5" t="n">
        <v>0</v>
      </c>
      <c r="AQ294" s="5" t="n">
        <v>0</v>
      </c>
      <c r="AR294" s="5" t="n">
        <v>0</v>
      </c>
      <c r="AS294" s="5" t="n">
        <v>0</v>
      </c>
      <c r="AT294" s="5" t="n">
        <v>0</v>
      </c>
      <c r="AU294" s="5" t="n">
        <v>0</v>
      </c>
      <c r="AV294" s="5" t="n">
        <v>0</v>
      </c>
      <c r="AW294" s="5" t="n">
        <v>0</v>
      </c>
      <c r="AX294" s="5" t="n">
        <v>0</v>
      </c>
      <c r="AY294" s="5" t="n">
        <v>0</v>
      </c>
      <c r="AZ294" s="5" t="n">
        <v>0</v>
      </c>
      <c r="BA294" s="5" t="n">
        <v>0</v>
      </c>
      <c r="BB294" s="5" t="n">
        <v>0</v>
      </c>
      <c r="BC294" s="5" t="n">
        <v>0</v>
      </c>
      <c r="BD294" s="5" t="n">
        <v>0</v>
      </c>
      <c r="BE294" s="5" t="n">
        <v>0</v>
      </c>
      <c r="BF294" s="5" t="n">
        <v>0</v>
      </c>
      <c r="BG294" s="5" t="n">
        <v>0</v>
      </c>
      <c r="BH294" s="5" t="n">
        <v>0</v>
      </c>
      <c r="BI294" s="5" t="n">
        <v>0</v>
      </c>
      <c r="BJ294" s="5" t="n">
        <v>0</v>
      </c>
      <c r="BK294" s="5" t="n">
        <v>0</v>
      </c>
      <c r="BL294" s="5" t="n">
        <v>0</v>
      </c>
      <c r="BM294" s="5" t="n">
        <v>0</v>
      </c>
      <c r="BN294" s="5" t="n">
        <v>0</v>
      </c>
    </row>
    <row r="295">
      <c r="D295" t="inlineStr">
        <is>
          <t>FX conversion losses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0</v>
      </c>
      <c r="R295" s="5" t="n">
        <v>1.27</v>
      </c>
      <c r="S295" s="5" t="n">
        <v>3.84</v>
      </c>
      <c r="T295" s="5" t="n">
        <v>1.12</v>
      </c>
      <c r="U295" s="5" t="n">
        <v>0.31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Settlement installment share of late payment interest</t>
        </is>
      </c>
      <c r="E296" t="inlineStr">
        <is>
          <t>fraction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0.2</v>
      </c>
      <c r="V296" s="5" t="n">
        <v>0.4</v>
      </c>
      <c r="W296" s="5" t="n">
        <v>0.4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Contract repayment profile at FC (share of debt)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0.02392266780166877</v>
      </c>
      <c r="Q297" s="5" t="n">
        <v>0.02454614391592512</v>
      </c>
      <c r="R297" s="5" t="n">
        <v>0.02555674578798327</v>
      </c>
      <c r="S297" s="5" t="n">
        <v>0.02624386397929464</v>
      </c>
      <c r="T297" s="5" t="n">
        <v>0.0280198871951497</v>
      </c>
      <c r="U297" s="5" t="n">
        <v>0.02842968849865342</v>
      </c>
      <c r="V297" s="5" t="n">
        <v>0.02902462138855125</v>
      </c>
      <c r="W297" s="5" t="n">
        <v>0.03009523497947188</v>
      </c>
      <c r="X297" s="5" t="n">
        <v>0.03085090837794667</v>
      </c>
      <c r="Y297" s="5" t="n">
        <v>0.03117754709209612</v>
      </c>
      <c r="Z297" s="5" t="n">
        <v>0.03251978689750772</v>
      </c>
      <c r="AA297" s="5" t="n">
        <v>0.03351802482461583</v>
      </c>
      <c r="AB297" s="5" t="n">
        <v>0.03568353293469283</v>
      </c>
      <c r="AC297" s="5" t="n">
        <v>0.03603291784291471</v>
      </c>
      <c r="AD297" s="5" t="n">
        <v>0.03782566855372986</v>
      </c>
      <c r="AE297" s="5" t="n">
        <v>0.03930240289051411</v>
      </c>
      <c r="AF297" s="5" t="n">
        <v>0.04288940539490554</v>
      </c>
      <c r="AG297" s="5" t="n">
        <v>0.04417160329008456</v>
      </c>
      <c r="AH297" s="5" t="n">
        <v>0.04612909026893513</v>
      </c>
      <c r="AI297" s="5" t="n">
        <v>0.04759606862657972</v>
      </c>
      <c r="AJ297" s="5" t="n">
        <v>0.05044534581552167</v>
      </c>
      <c r="AK297" s="5" t="n">
        <v>0.05164454173346997</v>
      </c>
      <c r="AL297" s="5" t="n">
        <v>0.05334294141157599</v>
      </c>
      <c r="AM297" s="5" t="n">
        <v>0.05523807330280946</v>
      </c>
      <c r="AN297" s="5" t="n">
        <v>0.0568902733573489</v>
      </c>
      <c r="AO297" s="5" t="n">
        <v>0.0589030138380523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COD re-sculpted repayment profile (share of debt at COD)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5" t="n">
        <v>0.02492180127235631</v>
      </c>
      <c r="R298" s="5" t="n">
        <v>0.02664723131074229</v>
      </c>
      <c r="S298" s="5" t="n">
        <v>0.02759656000142383</v>
      </c>
      <c r="T298" s="5" t="n">
        <v>0.02888881231475186</v>
      </c>
      <c r="U298" s="5" t="n">
        <v>0.02969917521791237</v>
      </c>
      <c r="V298" s="5" t="n">
        <v>0.03105932637262589</v>
      </c>
      <c r="W298" s="5" t="n">
        <v>0.03277738552059202</v>
      </c>
      <c r="X298" s="5" t="n">
        <v>0.03427989589454501</v>
      </c>
      <c r="Y298" s="5" t="n">
        <v>0.03185397705797972</v>
      </c>
      <c r="Z298" s="5" t="n">
        <v>0.03335190736060626</v>
      </c>
      <c r="AA298" s="5" t="n">
        <v>0.03404916834576255</v>
      </c>
      <c r="AB298" s="5" t="n">
        <v>0.03570603156482777</v>
      </c>
      <c r="AC298" s="5" t="n">
        <v>0.03672113351087015</v>
      </c>
      <c r="AD298" s="5" t="n">
        <v>0.03846912422753929</v>
      </c>
      <c r="AE298" s="5" t="n">
        <v>0.04158437454943353</v>
      </c>
      <c r="AF298" s="5" t="n">
        <v>0.04382234111671362</v>
      </c>
      <c r="AG298" s="5" t="n">
        <v>0.04413940193854386</v>
      </c>
      <c r="AH298" s="5" t="n">
        <v>0.04642070027239118</v>
      </c>
      <c r="AI298" s="5" t="n">
        <v>0.04787198376671142</v>
      </c>
      <c r="AJ298" s="5" t="n">
        <v>0.05021911563698009</v>
      </c>
      <c r="AK298" s="5" t="n">
        <v>0.0517083076993738</v>
      </c>
      <c r="AL298" s="5" t="n">
        <v>0.0541374426543207</v>
      </c>
      <c r="AM298" s="5" t="n">
        <v>0.05666052811768939</v>
      </c>
      <c r="AN298" s="5" t="n">
        <v>0.0593998960677209</v>
      </c>
      <c r="AO298" s="5" t="n">
        <v>0.05801437820758617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Bond amortization profile (share of face)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</v>
      </c>
      <c r="R299" s="5" t="n">
        <v>0</v>
      </c>
      <c r="S299" s="5" t="n">
        <v>0</v>
      </c>
      <c r="T299" s="5" t="n">
        <v>0</v>
      </c>
      <c r="U299" s="5" t="n">
        <v>0</v>
      </c>
      <c r="V299" s="5" t="n">
        <v>0</v>
      </c>
      <c r="W299" s="5" t="n">
        <v>0</v>
      </c>
      <c r="X299" s="5" t="n">
        <v>0.01109110396732437</v>
      </c>
      <c r="Y299" s="5" t="n">
        <v>0.01611603783240715</v>
      </c>
      <c r="Z299" s="5" t="n">
        <v>0.01762065940187577</v>
      </c>
      <c r="AA299" s="5" t="n">
        <v>0.01756549775251288</v>
      </c>
      <c r="AB299" s="5" t="n">
        <v>0.01888550721752469</v>
      </c>
      <c r="AC299" s="5" t="n">
        <v>0.01891312025784027</v>
      </c>
      <c r="AD299" s="5" t="n">
        <v>0.02002916507983767</v>
      </c>
      <c r="AE299" s="5" t="n">
        <v>0.02204770655598296</v>
      </c>
      <c r="AF299" s="5" t="n">
        <v>0.02354165935395289</v>
      </c>
      <c r="AG299" s="5" t="n">
        <v>0.02376758108816842</v>
      </c>
      <c r="AH299" s="5" t="n">
        <v>0.02514970953423845</v>
      </c>
      <c r="AI299" s="5" t="n">
        <v>0.02523304380800204</v>
      </c>
      <c r="AJ299" s="5" t="n">
        <v>0.02650199361825312</v>
      </c>
      <c r="AK299" s="5" t="n">
        <v>0.02661752681097157</v>
      </c>
      <c r="AL299" s="5" t="n">
        <v>0.02773988545598146</v>
      </c>
      <c r="AM299" s="5" t="n">
        <v>0.02874606115824707</v>
      </c>
      <c r="AN299" s="5" t="n">
        <v>0.03000329110742422</v>
      </c>
      <c r="AO299" s="5" t="n">
        <v>0.02697386852648947</v>
      </c>
      <c r="AP299" s="5" t="n">
        <v>0.093363350565177</v>
      </c>
      <c r="AQ299" s="5" t="n">
        <v>0.08900140211371109</v>
      </c>
      <c r="AR299" s="5" t="n">
        <v>0.09365654755653363</v>
      </c>
      <c r="AS299" s="5" t="n">
        <v>0.09580692646254967</v>
      </c>
      <c r="AT299" s="5" t="n">
        <v>0.1003909943122134</v>
      </c>
      <c r="AU299" s="5" t="n">
        <v>0.1212373604627858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Swap notional schedule, semiannual (contract)</t>
        </is>
      </c>
      <c r="E300" t="inlineStr">
        <is>
          <t>USD m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523.706851937146</v>
      </c>
      <c r="Q300" s="5" t="n">
        <v>511.178386892796</v>
      </c>
      <c r="R300" s="5" t="n">
        <v>498.3234031353907</v>
      </c>
      <c r="S300" s="5" t="n">
        <v>484.939160253008</v>
      </c>
      <c r="T300" s="5" t="n">
        <v>471.1950688657449</v>
      </c>
      <c r="U300" s="5" t="n">
        <v>456.5208619511391</v>
      </c>
      <c r="V300" s="5" t="n">
        <v>441.6320392859556</v>
      </c>
      <c r="W300" s="5" t="n">
        <v>426.4316461898899</v>
      </c>
      <c r="X300" s="5" t="n">
        <v>410.670565420482</v>
      </c>
      <c r="Y300" s="5" t="n">
        <v>394.5137333144662</v>
      </c>
      <c r="Z300" s="5" t="n">
        <v>378.1858382757424</v>
      </c>
      <c r="AA300" s="5" t="n">
        <v>361.1550030539818</v>
      </c>
      <c r="AB300" s="5" t="n">
        <v>343.601383789931</v>
      </c>
      <c r="AC300" s="5" t="n">
        <v>324.9136730907077</v>
      </c>
      <c r="AD300" s="5" t="n">
        <v>306.0429871210849</v>
      </c>
      <c r="AE300" s="5" t="n">
        <v>286.2334253203931</v>
      </c>
      <c r="AF300" s="5" t="n">
        <v>265.6504876290365</v>
      </c>
      <c r="AG300" s="5" t="n">
        <v>243.1890121482145</v>
      </c>
      <c r="AH300" s="5" t="n">
        <v>220.0560408441478</v>
      </c>
      <c r="AI300" s="5" t="n">
        <v>195.8979201966794</v>
      </c>
      <c r="AJ300" s="5" t="n">
        <v>170.9715329316689</v>
      </c>
      <c r="AK300" s="5" t="n">
        <v>144.5529596797414</v>
      </c>
      <c r="AL300" s="5" t="n">
        <v>117.5063593087692</v>
      </c>
      <c r="AM300" s="5" t="n">
        <v>89.57029538904513</v>
      </c>
      <c r="AN300" s="5" t="n">
        <v>60.64173791255745</v>
      </c>
      <c r="AO300" s="5" t="n">
        <v>30.84791194673654</v>
      </c>
      <c r="AP300" s="5" t="n">
        <v>0</v>
      </c>
      <c r="AQ300" s="5" t="n">
        <v>0</v>
      </c>
      <c r="AR300" s="5" t="n">
        <v>0</v>
      </c>
      <c r="AS300" s="5" t="n">
        <v>0</v>
      </c>
      <c r="AT300" s="5" t="n">
        <v>0</v>
      </c>
      <c r="AU300" s="5" t="n">
        <v>0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Availability profile by OY (8-year cycle, cols J-Q)</t>
        </is>
      </c>
      <c r="E301" t="inlineStr">
        <is>
          <t>%</t>
        </is>
      </c>
      <c r="J301" s="5" t="n">
        <v>93.8</v>
      </c>
      <c r="K301" s="5" t="n">
        <v>92.90000000000001</v>
      </c>
      <c r="L301" s="5" t="n">
        <v>93.8</v>
      </c>
      <c r="M301" s="5" t="n">
        <v>90.59999999999999</v>
      </c>
      <c r="N301" s="5" t="n">
        <v>93.8</v>
      </c>
      <c r="O301" s="5" t="n">
        <v>92.90000000000001</v>
      </c>
      <c r="P301" s="5" t="n">
        <v>93.8</v>
      </c>
      <c r="Q301" s="5" t="n">
        <v>88.7</v>
      </c>
    </row>
    <row r="302">
      <c r="D302" t="inlineStr">
        <is>
          <t>Actual dispatch when available, 2022 drought (annex 4.11)</t>
        </is>
      </c>
      <c r="E302" t="inlineStr">
        <is>
          <t>%</t>
        </is>
      </c>
      <c r="J302" s="5" t="n">
        <v>0</v>
      </c>
      <c r="K302" s="5" t="n">
        <v>0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5" t="n">
        <v>84</v>
      </c>
      <c r="R302" s="5" t="n">
        <v>81.5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 t="n">
        <v>0</v>
      </c>
      <c r="AC302" s="5" t="n">
        <v>0</v>
      </c>
      <c r="AD302" s="5" t="n">
        <v>0</v>
      </c>
      <c r="AE302" s="5" t="n">
        <v>0</v>
      </c>
      <c r="AF302" s="5" t="n">
        <v>0</v>
      </c>
      <c r="AG302" s="5" t="n">
        <v>0</v>
      </c>
      <c r="AH302" s="5" t="n">
        <v>0</v>
      </c>
      <c r="AI302" s="5" t="n">
        <v>0</v>
      </c>
      <c r="AJ302" s="5" t="n">
        <v>0</v>
      </c>
      <c r="AK302" s="5" t="n">
        <v>0</v>
      </c>
      <c r="AL302" s="5" t="n">
        <v>0</v>
      </c>
      <c r="AM302" s="5" t="n">
        <v>0</v>
      </c>
      <c r="AN302" s="5" t="n">
        <v>0</v>
      </c>
      <c r="AO302" s="5" t="n">
        <v>0</v>
      </c>
      <c r="AP302" s="5" t="n">
        <v>0</v>
      </c>
      <c r="AQ302" s="5" t="n">
        <v>0</v>
      </c>
      <c r="AR302" s="5" t="n">
        <v>0</v>
      </c>
      <c r="AS302" s="5" t="n">
        <v>0</v>
      </c>
      <c r="AT302" s="5" t="n">
        <v>0</v>
      </c>
      <c r="AU302" s="5" t="n">
        <v>0</v>
      </c>
      <c r="AV302" s="5" t="n">
        <v>0</v>
      </c>
      <c r="AW302" s="5" t="n">
        <v>0</v>
      </c>
      <c r="AX302" s="5" t="n">
        <v>0</v>
      </c>
      <c r="AY302" s="5" t="n">
        <v>0</v>
      </c>
      <c r="AZ302" s="5" t="n">
        <v>0</v>
      </c>
      <c r="BA302" s="5" t="n">
        <v>0</v>
      </c>
      <c r="BB302" s="5" t="n">
        <v>0</v>
      </c>
      <c r="BC302" s="5" t="n">
        <v>0</v>
      </c>
      <c r="BD302" s="5" t="n">
        <v>0</v>
      </c>
      <c r="BE302" s="5" t="n">
        <v>0</v>
      </c>
      <c r="BF302" s="5" t="n">
        <v>0</v>
      </c>
      <c r="BG302" s="5" t="n">
        <v>0</v>
      </c>
      <c r="BH302" s="5" t="n">
        <v>0</v>
      </c>
      <c r="BI302" s="5" t="n">
        <v>0</v>
      </c>
      <c r="BJ302" s="5" t="n">
        <v>0</v>
      </c>
      <c r="BK302" s="5" t="n">
        <v>0</v>
      </c>
      <c r="BL302" s="5" t="n">
        <v>0</v>
      </c>
      <c r="BM302" s="5" t="n">
        <v>0</v>
      </c>
      <c r="BN302" s="5" t="n">
        <v>0</v>
      </c>
    </row>
    <row r="303">
      <c r="B303" s="2" t="inlineStr">
        <is>
          <t>Monthly inputs (column J = Aug 2018 ... BJ = Dec 2022)</t>
        </is>
      </c>
    </row>
    <row r="304">
      <c r="D304" t="inlineStr">
        <is>
          <t>EPC payment profile, FC (33 months)</t>
        </is>
      </c>
      <c r="E304" t="inlineStr">
        <is>
          <t>%</t>
        </is>
      </c>
      <c r="J304" s="5" t="n">
        <v>10</v>
      </c>
      <c r="K304" s="5" t="n">
        <v>0.0108</v>
      </c>
      <c r="L304" s="5" t="n">
        <v>0.1133</v>
      </c>
      <c r="M304" s="5" t="n">
        <v>0.3239</v>
      </c>
      <c r="N304" s="5" t="n">
        <v>0.6294</v>
      </c>
      <c r="O304" s="5" t="n">
        <v>1.0114</v>
      </c>
      <c r="P304" s="5" t="n">
        <v>1.4496</v>
      </c>
      <c r="Q304" s="5" t="n">
        <v>1.9236</v>
      </c>
      <c r="R304" s="5" t="n">
        <v>2.4133</v>
      </c>
      <c r="S304" s="5" t="n">
        <v>2.8999</v>
      </c>
      <c r="T304" s="5" t="n">
        <v>3.3659</v>
      </c>
      <c r="U304" s="5" t="n">
        <v>3.7957</v>
      </c>
      <c r="V304" s="5" t="n">
        <v>4.1755</v>
      </c>
      <c r="W304" s="5" t="n">
        <v>4.4935</v>
      </c>
      <c r="X304" s="5" t="n">
        <v>4.7405</v>
      </c>
      <c r="Y304" s="5" t="n">
        <v>4.9091</v>
      </c>
      <c r="Z304" s="5" t="n">
        <v>4.9946</v>
      </c>
      <c r="AA304" s="5" t="n">
        <v>4.9946</v>
      </c>
      <c r="AB304" s="5" t="n">
        <v>4.9091</v>
      </c>
      <c r="AC304" s="5" t="n">
        <v>4.7405</v>
      </c>
      <c r="AD304" s="5" t="n">
        <v>4.4935</v>
      </c>
      <c r="AE304" s="5" t="n">
        <v>4.1755</v>
      </c>
      <c r="AF304" s="5" t="n">
        <v>3.7957</v>
      </c>
      <c r="AG304" s="5" t="n">
        <v>3.3659</v>
      </c>
      <c r="AH304" s="5" t="n">
        <v>2.8999</v>
      </c>
      <c r="AI304" s="5" t="n">
        <v>2.4133</v>
      </c>
      <c r="AJ304" s="5" t="n">
        <v>1.9236</v>
      </c>
      <c r="AK304" s="5" t="n">
        <v>1.4496</v>
      </c>
      <c r="AL304" s="5" t="n">
        <v>1.0114</v>
      </c>
      <c r="AM304" s="5" t="n">
        <v>0.6294</v>
      </c>
      <c r="AN304" s="5" t="n">
        <v>0.3239</v>
      </c>
      <c r="AO304" s="5" t="n">
        <v>0.1133</v>
      </c>
      <c r="AP304" s="5" t="n">
        <v>7.5108</v>
      </c>
    </row>
    <row r="305">
      <c r="D305" t="inlineStr">
        <is>
          <t>EPC payment profile, actual (40 months)</t>
        </is>
      </c>
      <c r="E305" t="inlineStr">
        <is>
          <t>%</t>
        </is>
      </c>
      <c r="J305" s="5" t="n">
        <v>10</v>
      </c>
      <c r="K305" s="5" t="n">
        <v>0.0102</v>
      </c>
      <c r="L305" s="5" t="n">
        <v>0.0868</v>
      </c>
      <c r="M305" s="5" t="n">
        <v>0.2284</v>
      </c>
      <c r="N305" s="5" t="n">
        <v>0.4235</v>
      </c>
      <c r="O305" s="5" t="n">
        <v>0.6612</v>
      </c>
      <c r="P305" s="5" t="n">
        <v>0.9313</v>
      </c>
      <c r="Q305" s="5" t="n">
        <v>1.2242</v>
      </c>
      <c r="R305" s="5" t="n">
        <v>1.5311</v>
      </c>
      <c r="S305" s="5" t="n">
        <v>1.8437</v>
      </c>
      <c r="T305" s="5" t="n">
        <v>2.1545</v>
      </c>
      <c r="U305" s="5" t="n">
        <v>2.4565</v>
      </c>
      <c r="V305" s="5" t="n">
        <v>2.7436</v>
      </c>
      <c r="W305" s="5" t="n">
        <v>3.01</v>
      </c>
      <c r="X305" s="5" t="n">
        <v>3.2509</v>
      </c>
      <c r="Y305" s="5" t="n">
        <v>3.4619</v>
      </c>
      <c r="Z305" s="5" t="n">
        <v>3.6396</v>
      </c>
      <c r="AA305" s="5" t="n">
        <v>3.7808</v>
      </c>
      <c r="AB305" s="5" t="n">
        <v>3.8833</v>
      </c>
      <c r="AC305" s="5" t="n">
        <v>3.9455</v>
      </c>
      <c r="AD305" s="5" t="n">
        <v>3.966</v>
      </c>
      <c r="AE305" s="5" t="n">
        <v>3.9455</v>
      </c>
      <c r="AF305" s="5" t="n">
        <v>3.8833</v>
      </c>
      <c r="AG305" s="5" t="n">
        <v>3.7808</v>
      </c>
      <c r="AH305" s="5" t="n">
        <v>3.6396</v>
      </c>
      <c r="AI305" s="5" t="n">
        <v>3.4619</v>
      </c>
      <c r="AJ305" s="5" t="n">
        <v>3.2509</v>
      </c>
      <c r="AK305" s="5" t="n">
        <v>3.01</v>
      </c>
      <c r="AL305" s="5" t="n">
        <v>2.7436</v>
      </c>
      <c r="AM305" s="5" t="n">
        <v>2.4565</v>
      </c>
      <c r="AN305" s="5" t="n">
        <v>2.1545</v>
      </c>
      <c r="AO305" s="5" t="n">
        <v>1.8437</v>
      </c>
      <c r="AP305" s="5" t="n">
        <v>1.5311</v>
      </c>
      <c r="AQ305" s="5" t="n">
        <v>1.2242</v>
      </c>
      <c r="AR305" s="5" t="n">
        <v>0.9313</v>
      </c>
      <c r="AS305" s="5" t="n">
        <v>0.6612</v>
      </c>
      <c r="AT305" s="5" t="n">
        <v>0.4235</v>
      </c>
      <c r="AU305" s="5" t="n">
        <v>0.2284</v>
      </c>
      <c r="AV305" s="5" t="n">
        <v>0.0868</v>
      </c>
      <c r="AW305" s="5" t="n">
        <v>7.5102</v>
      </c>
    </row>
    <row r="306">
      <c r="D306" t="inlineStr">
        <is>
          <t>Owner's cost profile, FC</t>
        </is>
      </c>
      <c r="E306" t="inlineStr">
        <is>
          <t>%</t>
        </is>
      </c>
      <c r="J306" s="5" t="n">
        <v>12</v>
      </c>
      <c r="K306" s="5" t="n">
        <v>2.75</v>
      </c>
      <c r="L306" s="5" t="n">
        <v>2.75</v>
      </c>
      <c r="M306" s="5" t="n">
        <v>2.75</v>
      </c>
      <c r="N306" s="5" t="n">
        <v>2.75</v>
      </c>
      <c r="O306" s="5" t="n">
        <v>2.75</v>
      </c>
      <c r="P306" s="5" t="n">
        <v>2.75</v>
      </c>
      <c r="Q306" s="5" t="n">
        <v>2.75</v>
      </c>
      <c r="R306" s="5" t="n">
        <v>2.75</v>
      </c>
      <c r="S306" s="5" t="n">
        <v>2.75</v>
      </c>
      <c r="T306" s="5" t="n">
        <v>2.75</v>
      </c>
      <c r="U306" s="5" t="n">
        <v>2.75</v>
      </c>
      <c r="V306" s="5" t="n">
        <v>2.75</v>
      </c>
      <c r="W306" s="5" t="n">
        <v>2.75</v>
      </c>
      <c r="X306" s="5" t="n">
        <v>2.75</v>
      </c>
      <c r="Y306" s="5" t="n">
        <v>2.75</v>
      </c>
      <c r="Z306" s="5" t="n">
        <v>2.75</v>
      </c>
      <c r="AA306" s="5" t="n">
        <v>2.75</v>
      </c>
      <c r="AB306" s="5" t="n">
        <v>2.75</v>
      </c>
      <c r="AC306" s="5" t="n">
        <v>2.75</v>
      </c>
      <c r="AD306" s="5" t="n">
        <v>2.75</v>
      </c>
      <c r="AE306" s="5" t="n">
        <v>2.75</v>
      </c>
      <c r="AF306" s="5" t="n">
        <v>2.75</v>
      </c>
      <c r="AG306" s="5" t="n">
        <v>2.75</v>
      </c>
      <c r="AH306" s="5" t="n">
        <v>2.75</v>
      </c>
      <c r="AI306" s="5" t="n">
        <v>2.75</v>
      </c>
      <c r="AJ306" s="5" t="n">
        <v>2.75</v>
      </c>
      <c r="AK306" s="5" t="n">
        <v>2.75</v>
      </c>
      <c r="AL306" s="5" t="n">
        <v>2.75</v>
      </c>
      <c r="AM306" s="5" t="n">
        <v>2.75</v>
      </c>
      <c r="AN306" s="5" t="n">
        <v>2.75</v>
      </c>
      <c r="AO306" s="5" t="n">
        <v>2.75</v>
      </c>
      <c r="AP306" s="5" t="n">
        <v>2.75</v>
      </c>
    </row>
    <row r="307">
      <c r="D307" t="inlineStr">
        <is>
          <t>Overrun items, actual (excl. extended owners)</t>
        </is>
      </c>
      <c r="E307" t="inlineStr">
        <is>
          <t>USD m</t>
        </is>
      </c>
      <c r="J307" s="5" t="n">
        <v>0</v>
      </c>
      <c r="K307" s="5" t="n">
        <v>0</v>
      </c>
      <c r="L307" s="5" t="n">
        <v>0</v>
      </c>
      <c r="M307" s="5" t="n">
        <v>0</v>
      </c>
      <c r="N307" s="5" t="n">
        <v>0</v>
      </c>
      <c r="O307" s="5" t="n">
        <v>0</v>
      </c>
      <c r="P307" s="5" t="n">
        <v>0</v>
      </c>
      <c r="Q307" s="5" t="n">
        <v>0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 t="n">
        <v>0</v>
      </c>
      <c r="AC307" s="5" t="n">
        <v>0</v>
      </c>
      <c r="AD307" s="5" t="n">
        <v>0.3425</v>
      </c>
      <c r="AE307" s="5" t="n">
        <v>0.3425</v>
      </c>
      <c r="AF307" s="5" t="n">
        <v>0.3425</v>
      </c>
      <c r="AG307" s="5" t="n">
        <v>0.3425</v>
      </c>
      <c r="AH307" s="5" t="n">
        <v>0.3425</v>
      </c>
      <c r="AI307" s="5" t="n">
        <v>0.3425</v>
      </c>
      <c r="AJ307" s="5" t="n">
        <v>1.909166666666667</v>
      </c>
      <c r="AK307" s="5" t="n">
        <v>1.909166666666667</v>
      </c>
      <c r="AL307" s="5" t="n">
        <v>1.909166666666667</v>
      </c>
      <c r="AM307" s="5" t="n">
        <v>2.454166666666667</v>
      </c>
      <c r="AN307" s="5" t="n">
        <v>2.454166666666667</v>
      </c>
      <c r="AO307" s="5" t="n">
        <v>2.454166666666667</v>
      </c>
      <c r="AP307" s="5" t="n">
        <v>0.545</v>
      </c>
      <c r="AQ307" s="5" t="n">
        <v>7.420714285714285</v>
      </c>
      <c r="AR307" s="5" t="n">
        <v>6.000714285714285</v>
      </c>
      <c r="AS307" s="5" t="n">
        <v>6.455714285714286</v>
      </c>
      <c r="AT307" s="5" t="n">
        <v>5.455714285714286</v>
      </c>
      <c r="AU307" s="5" t="n">
        <v>8.095714285714285</v>
      </c>
      <c r="AV307" s="5" t="n">
        <v>6.140714285714286</v>
      </c>
      <c r="AW307" s="5" t="n">
        <v>14.41071428571428</v>
      </c>
      <c r="AX307" s="5" t="n">
        <v>0</v>
      </c>
      <c r="AY307" s="5" t="n">
        <v>0</v>
      </c>
      <c r="AZ307" s="5" t="n">
        <v>0</v>
      </c>
      <c r="BA307" s="5" t="n">
        <v>0</v>
      </c>
      <c r="BB307" s="5" t="n">
        <v>0</v>
      </c>
      <c r="BC307" s="5" t="n">
        <v>0</v>
      </c>
      <c r="BD307" s="5" t="n">
        <v>0</v>
      </c>
      <c r="BE307" s="5" t="n">
        <v>0</v>
      </c>
      <c r="BF307" s="5" t="n">
        <v>0</v>
      </c>
      <c r="BG307" s="5" t="n">
        <v>0</v>
      </c>
      <c r="BH307" s="5" t="n">
        <v>0</v>
      </c>
      <c r="BI307" s="5" t="n">
        <v>0</v>
      </c>
      <c r="BJ307" s="5" t="n">
        <v>0</v>
      </c>
    </row>
    <row r="308">
      <c r="D308" t="inlineStr">
        <is>
          <t>Swap notional schedule, monthly (contract)</t>
        </is>
      </c>
      <c r="E308" t="inlineStr">
        <is>
          <t>USD m</t>
        </is>
      </c>
      <c r="J308" s="5" t="n">
        <v>0</v>
      </c>
      <c r="K308" s="5" t="n">
        <v>73.19638124762608</v>
      </c>
      <c r="L308" s="5" t="n">
        <v>74.67946239953815</v>
      </c>
      <c r="M308" s="5" t="n">
        <v>76.57139680476166</v>
      </c>
      <c r="N308" s="5" t="n">
        <v>79.25598227449528</v>
      </c>
      <c r="O308" s="5" t="n">
        <v>83.12578691088112</v>
      </c>
      <c r="P308" s="5" t="n">
        <v>88.48835197709543</v>
      </c>
      <c r="Q308" s="5" t="n">
        <v>95.49171221284163</v>
      </c>
      <c r="R308" s="5" t="n">
        <v>104.3698997617098</v>
      </c>
      <c r="S308" s="5" t="n">
        <v>115.128048112535</v>
      </c>
      <c r="T308" s="5" t="n">
        <v>127.7934260725741</v>
      </c>
      <c r="U308" s="5" t="n">
        <v>142.2505630606629</v>
      </c>
      <c r="V308" s="5" t="n">
        <v>158.4392155208578</v>
      </c>
      <c r="W308" s="5" t="n">
        <v>176.1364752576458</v>
      </c>
      <c r="X308" s="5" t="n">
        <v>195.0939697618758</v>
      </c>
      <c r="Y308" s="5" t="n">
        <v>215.0844771618137</v>
      </c>
      <c r="Z308" s="5" t="n">
        <v>235.7735753896208</v>
      </c>
      <c r="AA308" s="5" t="n">
        <v>256.8890582614347</v>
      </c>
      <c r="AB308" s="5" t="n">
        <v>278.8136177836356</v>
      </c>
      <c r="AC308" s="5" t="n">
        <v>299.7483327392383</v>
      </c>
      <c r="AD308" s="5" t="n">
        <v>320.1711342509395</v>
      </c>
      <c r="AE308" s="5" t="n">
        <v>339.7078840383886</v>
      </c>
      <c r="AF308" s="5" t="n">
        <v>358.13553524933</v>
      </c>
      <c r="AG308" s="5" t="n">
        <v>375.161458098032</v>
      </c>
      <c r="AH308" s="5" t="n">
        <v>390.6614145507713</v>
      </c>
      <c r="AI308" s="5" t="n">
        <v>404.4469329527338</v>
      </c>
      <c r="AJ308" s="5" t="n">
        <v>416.4034690399866</v>
      </c>
      <c r="AK308" s="5" t="n">
        <v>426.5694166239568</v>
      </c>
      <c r="AL308" s="5" t="n">
        <v>434.9386061182598</v>
      </c>
      <c r="AM308" s="5" t="n">
        <v>441.6990152668543</v>
      </c>
      <c r="AN308" s="5" t="n">
        <v>447.044235304092</v>
      </c>
      <c r="AO308" s="5" t="n">
        <v>451.1534174933294</v>
      </c>
      <c r="AP308" s="5" t="n">
        <v>454.5638666665233</v>
      </c>
      <c r="AQ308" s="5" t="n">
        <v>487.2304783947756</v>
      </c>
      <c r="AR308" s="5" t="n">
        <v>521.3236020388853</v>
      </c>
      <c r="AS308" s="5" t="n">
        <v>0</v>
      </c>
      <c r="AT308" s="5" t="n">
        <v>0</v>
      </c>
      <c r="AU308" s="5" t="n">
        <v>0</v>
      </c>
      <c r="AV308" s="5" t="n">
        <v>0</v>
      </c>
      <c r="AW308" s="5" t="n">
        <v>0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IF(Inputs!$F$33=1,Inputs!$F$73,INDEX(Inputs!$J$288:$AR$288,1,MATCH(YEAR(J9),Inputs!$J$281:$AR$281,0)))</f>
        <v/>
      </c>
      <c r="K18" s="13">
        <f>IF(Inputs!$F$33=1,Inputs!$F$73,INDEX(Inputs!$J$288:$AR$288,1,MATCH(YEAR(K9),Inputs!$J$281:$AR$281,0)))</f>
        <v/>
      </c>
      <c r="L18" s="13">
        <f>IF(Inputs!$F$33=1,Inputs!$F$73,INDEX(Inputs!$J$288:$AR$288,1,MATCH(YEAR(L9),Inputs!$J$281:$AR$281,0)))</f>
        <v/>
      </c>
      <c r="M18" s="13">
        <f>IF(Inputs!$F$33=1,Inputs!$F$73,INDEX(Inputs!$J$288:$AR$288,1,MATCH(YEAR(M9),Inputs!$J$281:$AR$281,0)))</f>
        <v/>
      </c>
      <c r="N18" s="13">
        <f>IF(Inputs!$F$33=1,Inputs!$F$73,INDEX(Inputs!$J$288:$AR$288,1,MATCH(YEAR(N9),Inputs!$J$281:$AR$281,0)))</f>
        <v/>
      </c>
      <c r="O18" s="13">
        <f>IF(Inputs!$F$33=1,Inputs!$F$73,INDEX(Inputs!$J$288:$AR$288,1,MATCH(YEAR(O9),Inputs!$J$281:$AR$281,0)))</f>
        <v/>
      </c>
      <c r="P18" s="13">
        <f>IF(Inputs!$F$33=1,Inputs!$F$73,INDEX(Inputs!$J$288:$AR$288,1,MATCH(YEAR(P9),Inputs!$J$281:$AR$281,0)))</f>
        <v/>
      </c>
      <c r="Q18" s="13">
        <f>IF(Inputs!$F$33=1,Inputs!$F$73,INDEX(Inputs!$J$288:$AR$288,1,MATCH(YEAR(Q9),Inputs!$J$281:$AR$281,0)))</f>
        <v/>
      </c>
      <c r="R18" s="13">
        <f>IF(Inputs!$F$33=1,Inputs!$F$73,INDEX(Inputs!$J$288:$AR$288,1,MATCH(YEAR(R9),Inputs!$J$281:$AR$281,0)))</f>
        <v/>
      </c>
      <c r="S18" s="13">
        <f>IF(Inputs!$F$33=1,Inputs!$F$73,INDEX(Inputs!$J$288:$AR$288,1,MATCH(YEAR(S9),Inputs!$J$281:$AR$281,0)))</f>
        <v/>
      </c>
      <c r="T18" s="13">
        <f>IF(Inputs!$F$33=1,Inputs!$F$73,INDEX(Inputs!$J$288:$AR$288,1,MATCH(YEAR(T9),Inputs!$J$281:$AR$281,0)))</f>
        <v/>
      </c>
      <c r="U18" s="13">
        <f>IF(Inputs!$F$33=1,Inputs!$F$73,INDEX(Inputs!$J$288:$AR$288,1,MATCH(YEAR(U9),Inputs!$J$281:$AR$281,0)))</f>
        <v/>
      </c>
      <c r="V18" s="13">
        <f>IF(Inputs!$F$33=1,Inputs!$F$73,INDEX(Inputs!$J$288:$AR$288,1,MATCH(YEAR(V9),Inputs!$J$281:$AR$281,0)))</f>
        <v/>
      </c>
      <c r="W18" s="13">
        <f>IF(Inputs!$F$33=1,Inputs!$F$73,INDEX(Inputs!$J$288:$AR$288,1,MATCH(YEAR(W9),Inputs!$J$281:$AR$281,0)))</f>
        <v/>
      </c>
      <c r="X18" s="13">
        <f>IF(Inputs!$F$33=1,Inputs!$F$73,INDEX(Inputs!$J$288:$AR$288,1,MATCH(YEAR(X9),Inputs!$J$281:$AR$281,0)))</f>
        <v/>
      </c>
      <c r="Y18" s="13">
        <f>IF(Inputs!$F$33=1,Inputs!$F$73,INDEX(Inputs!$J$288:$AR$288,1,MATCH(YEAR(Y9),Inputs!$J$281:$AR$281,0)))</f>
        <v/>
      </c>
      <c r="Z18" s="13">
        <f>IF(Inputs!$F$33=1,Inputs!$F$73,INDEX(Inputs!$J$288:$AR$288,1,MATCH(YEAR(Z9),Inputs!$J$281:$AR$281,0)))</f>
        <v/>
      </c>
      <c r="AA18" s="13">
        <f>IF(Inputs!$F$33=1,Inputs!$F$73,INDEX(Inputs!$J$288:$AR$288,1,MATCH(YEAR(AA9),Inputs!$J$281:$AR$281,0)))</f>
        <v/>
      </c>
      <c r="AB18" s="13">
        <f>IF(Inputs!$F$33=1,Inputs!$F$73,INDEX(Inputs!$J$288:$AR$288,1,MATCH(YEAR(AB9),Inputs!$J$281:$AR$281,0)))</f>
        <v/>
      </c>
      <c r="AC18" s="13">
        <f>IF(Inputs!$F$33=1,Inputs!$F$73,INDEX(Inputs!$J$288:$AR$288,1,MATCH(YEAR(AC9),Inputs!$J$281:$AR$281,0)))</f>
        <v/>
      </c>
      <c r="AD18" s="13">
        <f>IF(Inputs!$F$33=1,Inputs!$F$73,INDEX(Inputs!$J$288:$AR$288,1,MATCH(YEAR(AD9),Inputs!$J$281:$AR$281,0)))</f>
        <v/>
      </c>
      <c r="AE18" s="13">
        <f>IF(Inputs!$F$33=1,Inputs!$F$73,INDEX(Inputs!$J$288:$AR$288,1,MATCH(YEAR(AE9),Inputs!$J$281:$AR$281,0)))</f>
        <v/>
      </c>
      <c r="AF18" s="13">
        <f>IF(Inputs!$F$33=1,Inputs!$F$73,INDEX(Inputs!$J$288:$AR$288,1,MATCH(YEAR(AF9),Inputs!$J$281:$AR$281,0)))</f>
        <v/>
      </c>
      <c r="AG18" s="13">
        <f>IF(Inputs!$F$33=1,Inputs!$F$73,INDEX(Inputs!$J$288:$AR$288,1,MATCH(YEAR(AG9),Inputs!$J$281:$AR$281,0)))</f>
        <v/>
      </c>
      <c r="AH18" s="13">
        <f>IF(Inputs!$F$33=1,Inputs!$F$73,INDEX(Inputs!$J$288:$AR$288,1,MATCH(YEAR(AH9),Inputs!$J$281:$AR$281,0)))</f>
        <v/>
      </c>
      <c r="AI18" s="13">
        <f>IF(Inputs!$F$33=1,Inputs!$F$73,INDEX(Inputs!$J$288:$AR$288,1,MATCH(YEAR(AI9),Inputs!$J$281:$AR$281,0)))</f>
        <v/>
      </c>
      <c r="AJ18" s="13">
        <f>IF(Inputs!$F$33=1,Inputs!$F$73,INDEX(Inputs!$J$288:$AR$288,1,MATCH(YEAR(AJ9),Inputs!$J$281:$AR$281,0)))</f>
        <v/>
      </c>
      <c r="AK18" s="13">
        <f>IF(Inputs!$F$33=1,Inputs!$F$73,INDEX(Inputs!$J$288:$AR$288,1,MATCH(YEAR(AK9),Inputs!$J$281:$AR$281,0)))</f>
        <v/>
      </c>
      <c r="AL18" s="13">
        <f>IF(Inputs!$F$33=1,Inputs!$F$73,INDEX(Inputs!$J$288:$AR$288,1,MATCH(YEAR(AL9),Inputs!$J$281:$AR$281,0)))</f>
        <v/>
      </c>
      <c r="AM18" s="13">
        <f>IF(Inputs!$F$33=1,Inputs!$F$73,INDEX(Inputs!$J$288:$AR$288,1,MATCH(YEAR(AM9),Inputs!$J$281:$AR$281,0)))</f>
        <v/>
      </c>
      <c r="AN18" s="13">
        <f>IF(Inputs!$F$33=1,Inputs!$F$73,INDEX(Inputs!$J$288:$AR$288,1,MATCH(YEAR(AN9),Inputs!$J$281:$AR$281,0)))</f>
        <v/>
      </c>
      <c r="AO18" s="13">
        <f>IF(Inputs!$F$33=1,Inputs!$F$73,INDEX(Inputs!$J$288:$AR$288,1,MATCH(YEAR(AO9),Inputs!$J$281:$AR$281,0)))</f>
        <v/>
      </c>
      <c r="AP18" s="13">
        <f>IF(Inputs!$F$33=1,Inputs!$F$73,INDEX(Inputs!$J$288:$AR$288,1,MATCH(YEAR(AP9),Inputs!$J$281:$AR$281,0)))</f>
        <v/>
      </c>
      <c r="AQ18" s="13">
        <f>IF(Inputs!$F$33=1,Inputs!$F$73,INDEX(Inputs!$J$288:$AR$288,1,MATCH(YEAR(AQ9),Inputs!$J$281:$AR$281,0)))</f>
        <v/>
      </c>
      <c r="AR18" s="13">
        <f>IF(Inputs!$F$33=1,Inputs!$F$73,INDEX(Inputs!$J$288:$AR$288,1,MATCH(YEAR(AR9),Inputs!$J$281:$AR$281,0)))</f>
        <v/>
      </c>
      <c r="AS18" s="13">
        <f>IF(Inputs!$F$33=1,Inputs!$F$73,INDEX(Inputs!$J$288:$AR$288,1,MATCH(YEAR(AS9),Inputs!$J$281:$AR$281,0)))</f>
        <v/>
      </c>
      <c r="AT18" s="13">
        <f>IF(Inputs!$F$33=1,Inputs!$F$73,INDEX(Inputs!$J$288:$AR$288,1,MATCH(YEAR(AT9),Inputs!$J$281:$AR$281,0)))</f>
        <v/>
      </c>
      <c r="AU18" s="13">
        <f>IF(Inputs!$F$33=1,Inputs!$F$73,INDEX(Inputs!$J$288:$AR$288,1,MATCH(YEAR(AU9),Inputs!$J$281:$AR$281,0)))</f>
        <v/>
      </c>
      <c r="AV18" s="13">
        <f>IF(Inputs!$F$33=1,Inputs!$F$73,INDEX(Inputs!$J$288:$AR$288,1,MATCH(YEAR(AV9),Inputs!$J$281:$AR$281,0)))</f>
        <v/>
      </c>
      <c r="AW18" s="13">
        <f>IF(Inputs!$F$33=1,Inputs!$F$73,INDEX(Inputs!$J$288:$AR$288,1,MATCH(YEAR(AW9),Inputs!$J$281:$AR$281,0)))</f>
        <v/>
      </c>
      <c r="AX18" s="13">
        <f>IF(Inputs!$F$33=1,Inputs!$F$73,INDEX(Inputs!$J$288:$AR$288,1,MATCH(YEAR(AX9),Inputs!$J$281:$AR$281,0)))</f>
        <v/>
      </c>
      <c r="AY18" s="13">
        <f>IF(Inputs!$F$33=1,Inputs!$F$73,INDEX(Inputs!$J$288:$AR$288,1,MATCH(YEAR(AY9),Inputs!$J$281:$AR$281,0)))</f>
        <v/>
      </c>
      <c r="AZ18" s="13">
        <f>IF(Inputs!$F$33=1,Inputs!$F$73,INDEX(Inputs!$J$288:$AR$288,1,MATCH(YEAR(AZ9),Inputs!$J$281:$AR$281,0)))</f>
        <v/>
      </c>
      <c r="BA18" s="13">
        <f>IF(Inputs!$F$33=1,Inputs!$F$73,INDEX(Inputs!$J$288:$AR$288,1,MATCH(YEAR(BA9),Inputs!$J$281:$AR$281,0)))</f>
        <v/>
      </c>
      <c r="BB18" s="13">
        <f>IF(Inputs!$F$33=1,Inputs!$F$73,INDEX(Inputs!$J$288:$AR$288,1,MATCH(YEAR(BB9),Inputs!$J$281:$AR$281,0)))</f>
        <v/>
      </c>
      <c r="BC18" s="13">
        <f>IF(Inputs!$F$33=1,Inputs!$F$73,INDEX(Inputs!$J$288:$AR$288,1,MATCH(YEAR(BC9),Inputs!$J$281:$AR$281,0)))</f>
        <v/>
      </c>
      <c r="BD18" s="13">
        <f>IF(Inputs!$F$33=1,Inputs!$F$73,INDEX(Inputs!$J$288:$AR$288,1,MATCH(YEAR(BD9),Inputs!$J$281:$AR$281,0)))</f>
        <v/>
      </c>
      <c r="BE18" s="13">
        <f>IF(Inputs!$F$33=1,Inputs!$F$73,INDEX(Inputs!$J$288:$AR$288,1,MATCH(YEAR(BE9),Inputs!$J$281:$AR$281,0)))</f>
        <v/>
      </c>
      <c r="BF18" s="13">
        <f>IF(Inputs!$F$33=1,Inputs!$F$73,INDEX(Inputs!$J$288:$AR$288,1,MATCH(YEAR(BF9),Inputs!$J$281:$AR$281,0)))</f>
        <v/>
      </c>
      <c r="BG18" s="13">
        <f>IF(Inputs!$F$33=1,Inputs!$F$73,INDEX(Inputs!$J$288:$AR$288,1,MATCH(YEAR(BG9),Inputs!$J$281:$AR$281,0)))</f>
        <v/>
      </c>
      <c r="BH18" s="13">
        <f>IF(Inputs!$F$33=1,Inputs!$F$73,INDEX(Inputs!$J$288:$AR$288,1,MATCH(YEAR(BH9),Inputs!$J$281:$AR$281,0)))</f>
        <v/>
      </c>
      <c r="BI18" s="13">
        <f>IF(Inputs!$F$33=1,Inputs!$F$73,INDEX(Inputs!$J$288:$AR$288,1,MATCH(YEAR(BI9),Inputs!$J$281:$AR$281,0)))</f>
        <v/>
      </c>
      <c r="BJ18" s="13">
        <f>IF(Inputs!$F$33=1,Inputs!$F$73,INDEX(Inputs!$J$288:$AR$288,1,MATCH(YEAR(BJ9),Inputs!$J$281:$AR$281,0)))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IF(Inputs!$F$34&lt;&gt;1,Inputs!J305,Inputs!J304+IF(Inputs!$F$35&gt;0,IF(J8=Inputs!$F$237,-Inputs!$F$238,0)+IF(J8=Inputs!$F$237+Inputs!$F$35,Inputs!$F$238,0),0))</f>
        <v/>
      </c>
      <c r="K20" s="13">
        <f>IF(Inputs!$F$34&lt;&gt;1,Inputs!K305,Inputs!K304+IF(Inputs!$F$35&gt;0,IF(K8=Inputs!$F$237,-Inputs!$F$238,0)+IF(K8=Inputs!$F$237+Inputs!$F$35,Inputs!$F$238,0),0))</f>
        <v/>
      </c>
      <c r="L20" s="13">
        <f>IF(Inputs!$F$34&lt;&gt;1,Inputs!L305,Inputs!L304+IF(Inputs!$F$35&gt;0,IF(L8=Inputs!$F$237,-Inputs!$F$238,0)+IF(L8=Inputs!$F$237+Inputs!$F$35,Inputs!$F$238,0),0))</f>
        <v/>
      </c>
      <c r="M20" s="13">
        <f>IF(Inputs!$F$34&lt;&gt;1,Inputs!M305,Inputs!M304+IF(Inputs!$F$35&gt;0,IF(M8=Inputs!$F$237,-Inputs!$F$238,0)+IF(M8=Inputs!$F$237+Inputs!$F$35,Inputs!$F$238,0),0))</f>
        <v/>
      </c>
      <c r="N20" s="13">
        <f>IF(Inputs!$F$34&lt;&gt;1,Inputs!N305,Inputs!N304+IF(Inputs!$F$35&gt;0,IF(N8=Inputs!$F$237,-Inputs!$F$238,0)+IF(N8=Inputs!$F$237+Inputs!$F$35,Inputs!$F$238,0),0))</f>
        <v/>
      </c>
      <c r="O20" s="13">
        <f>IF(Inputs!$F$34&lt;&gt;1,Inputs!O305,Inputs!O304+IF(Inputs!$F$35&gt;0,IF(O8=Inputs!$F$237,-Inputs!$F$238,0)+IF(O8=Inputs!$F$237+Inputs!$F$35,Inputs!$F$238,0),0))</f>
        <v/>
      </c>
      <c r="P20" s="13">
        <f>IF(Inputs!$F$34&lt;&gt;1,Inputs!P305,Inputs!P304+IF(Inputs!$F$35&gt;0,IF(P8=Inputs!$F$237,-Inputs!$F$238,0)+IF(P8=Inputs!$F$237+Inputs!$F$35,Inputs!$F$238,0),0))</f>
        <v/>
      </c>
      <c r="Q20" s="13">
        <f>IF(Inputs!$F$34&lt;&gt;1,Inputs!Q305,Inputs!Q304+IF(Inputs!$F$35&gt;0,IF(Q8=Inputs!$F$237,-Inputs!$F$238,0)+IF(Q8=Inputs!$F$237+Inputs!$F$35,Inputs!$F$238,0),0))</f>
        <v/>
      </c>
      <c r="R20" s="13">
        <f>IF(Inputs!$F$34&lt;&gt;1,Inputs!R305,Inputs!R304+IF(Inputs!$F$35&gt;0,IF(R8=Inputs!$F$237,-Inputs!$F$238,0)+IF(R8=Inputs!$F$237+Inputs!$F$35,Inputs!$F$238,0),0))</f>
        <v/>
      </c>
      <c r="S20" s="13">
        <f>IF(Inputs!$F$34&lt;&gt;1,Inputs!S305,Inputs!S304+IF(Inputs!$F$35&gt;0,IF(S8=Inputs!$F$237,-Inputs!$F$238,0)+IF(S8=Inputs!$F$237+Inputs!$F$35,Inputs!$F$238,0),0))</f>
        <v/>
      </c>
      <c r="T20" s="13">
        <f>IF(Inputs!$F$34&lt;&gt;1,Inputs!T305,Inputs!T304+IF(Inputs!$F$35&gt;0,IF(T8=Inputs!$F$237,-Inputs!$F$238,0)+IF(T8=Inputs!$F$237+Inputs!$F$35,Inputs!$F$238,0),0))</f>
        <v/>
      </c>
      <c r="U20" s="13">
        <f>IF(Inputs!$F$34&lt;&gt;1,Inputs!U305,Inputs!U304+IF(Inputs!$F$35&gt;0,IF(U8=Inputs!$F$237,-Inputs!$F$238,0)+IF(U8=Inputs!$F$237+Inputs!$F$35,Inputs!$F$238,0),0))</f>
        <v/>
      </c>
      <c r="V20" s="13">
        <f>IF(Inputs!$F$34&lt;&gt;1,Inputs!V305,Inputs!V304+IF(Inputs!$F$35&gt;0,IF(V8=Inputs!$F$237,-Inputs!$F$238,0)+IF(V8=Inputs!$F$237+Inputs!$F$35,Inputs!$F$238,0),0))</f>
        <v/>
      </c>
      <c r="W20" s="13">
        <f>IF(Inputs!$F$34&lt;&gt;1,Inputs!W305,Inputs!W304+IF(Inputs!$F$35&gt;0,IF(W8=Inputs!$F$237,-Inputs!$F$238,0)+IF(W8=Inputs!$F$237+Inputs!$F$35,Inputs!$F$238,0),0))</f>
        <v/>
      </c>
      <c r="X20" s="13">
        <f>IF(Inputs!$F$34&lt;&gt;1,Inputs!X305,Inputs!X304+IF(Inputs!$F$35&gt;0,IF(X8=Inputs!$F$237,-Inputs!$F$238,0)+IF(X8=Inputs!$F$237+Inputs!$F$35,Inputs!$F$238,0),0))</f>
        <v/>
      </c>
      <c r="Y20" s="13">
        <f>IF(Inputs!$F$34&lt;&gt;1,Inputs!Y305,Inputs!Y304+IF(Inputs!$F$35&gt;0,IF(Y8=Inputs!$F$237,-Inputs!$F$238,0)+IF(Y8=Inputs!$F$237+Inputs!$F$35,Inputs!$F$238,0),0))</f>
        <v/>
      </c>
      <c r="Z20" s="13">
        <f>IF(Inputs!$F$34&lt;&gt;1,Inputs!Z305,Inputs!Z304+IF(Inputs!$F$35&gt;0,IF(Z8=Inputs!$F$237,-Inputs!$F$238,0)+IF(Z8=Inputs!$F$237+Inputs!$F$35,Inputs!$F$238,0),0))</f>
        <v/>
      </c>
      <c r="AA20" s="13">
        <f>IF(Inputs!$F$34&lt;&gt;1,Inputs!AA305,Inputs!AA304+IF(Inputs!$F$35&gt;0,IF(AA8=Inputs!$F$237,-Inputs!$F$238,0)+IF(AA8=Inputs!$F$237+Inputs!$F$35,Inputs!$F$238,0),0))</f>
        <v/>
      </c>
      <c r="AB20" s="13">
        <f>IF(Inputs!$F$34&lt;&gt;1,Inputs!AB305,Inputs!AB304+IF(Inputs!$F$35&gt;0,IF(AB8=Inputs!$F$237,-Inputs!$F$238,0)+IF(AB8=Inputs!$F$237+Inputs!$F$35,Inputs!$F$238,0),0))</f>
        <v/>
      </c>
      <c r="AC20" s="13">
        <f>IF(Inputs!$F$34&lt;&gt;1,Inputs!AC305,Inputs!AC304+IF(Inputs!$F$35&gt;0,IF(AC8=Inputs!$F$237,-Inputs!$F$238,0)+IF(AC8=Inputs!$F$237+Inputs!$F$35,Inputs!$F$238,0),0))</f>
        <v/>
      </c>
      <c r="AD20" s="13">
        <f>IF(Inputs!$F$34&lt;&gt;1,Inputs!AD305,Inputs!AD304+IF(Inputs!$F$35&gt;0,IF(AD8=Inputs!$F$237,-Inputs!$F$238,0)+IF(AD8=Inputs!$F$237+Inputs!$F$35,Inputs!$F$238,0),0))</f>
        <v/>
      </c>
      <c r="AE20" s="13">
        <f>IF(Inputs!$F$34&lt;&gt;1,Inputs!AE305,Inputs!AE304+IF(Inputs!$F$35&gt;0,IF(AE8=Inputs!$F$237,-Inputs!$F$238,0)+IF(AE8=Inputs!$F$237+Inputs!$F$35,Inputs!$F$238,0),0))</f>
        <v/>
      </c>
      <c r="AF20" s="13">
        <f>IF(Inputs!$F$34&lt;&gt;1,Inputs!AF305,Inputs!AF304+IF(Inputs!$F$35&gt;0,IF(AF8=Inputs!$F$237,-Inputs!$F$238,0)+IF(AF8=Inputs!$F$237+Inputs!$F$35,Inputs!$F$238,0),0))</f>
        <v/>
      </c>
      <c r="AG20" s="13">
        <f>IF(Inputs!$F$34&lt;&gt;1,Inputs!AG305,Inputs!AG304+IF(Inputs!$F$35&gt;0,IF(AG8=Inputs!$F$237,-Inputs!$F$238,0)+IF(AG8=Inputs!$F$237+Inputs!$F$35,Inputs!$F$238,0),0))</f>
        <v/>
      </c>
      <c r="AH20" s="13">
        <f>IF(Inputs!$F$34&lt;&gt;1,Inputs!AH305,Inputs!AH304+IF(Inputs!$F$35&gt;0,IF(AH8=Inputs!$F$237,-Inputs!$F$238,0)+IF(AH8=Inputs!$F$237+Inputs!$F$35,Inputs!$F$238,0),0))</f>
        <v/>
      </c>
      <c r="AI20" s="13">
        <f>IF(Inputs!$F$34&lt;&gt;1,Inputs!AI305,Inputs!AI304+IF(Inputs!$F$35&gt;0,IF(AI8=Inputs!$F$237,-Inputs!$F$238,0)+IF(AI8=Inputs!$F$237+Inputs!$F$35,Inputs!$F$238,0),0))</f>
        <v/>
      </c>
      <c r="AJ20" s="13">
        <f>IF(Inputs!$F$34&lt;&gt;1,Inputs!AJ305,Inputs!AJ304+IF(Inputs!$F$35&gt;0,IF(AJ8=Inputs!$F$237,-Inputs!$F$238,0)+IF(AJ8=Inputs!$F$237+Inputs!$F$35,Inputs!$F$238,0),0))</f>
        <v/>
      </c>
      <c r="AK20" s="13">
        <f>IF(Inputs!$F$34&lt;&gt;1,Inputs!AK305,Inputs!AK304+IF(Inputs!$F$35&gt;0,IF(AK8=Inputs!$F$237,-Inputs!$F$238,0)+IF(AK8=Inputs!$F$237+Inputs!$F$35,Inputs!$F$238,0),0))</f>
        <v/>
      </c>
      <c r="AL20" s="13">
        <f>IF(Inputs!$F$34&lt;&gt;1,Inputs!AL305,Inputs!AL304+IF(Inputs!$F$35&gt;0,IF(AL8=Inputs!$F$237,-Inputs!$F$238,0)+IF(AL8=Inputs!$F$237+Inputs!$F$35,Inputs!$F$238,0),0))</f>
        <v/>
      </c>
      <c r="AM20" s="13">
        <f>IF(Inputs!$F$34&lt;&gt;1,Inputs!AM305,Inputs!AM304+IF(Inputs!$F$35&gt;0,IF(AM8=Inputs!$F$237,-Inputs!$F$238,0)+IF(AM8=Inputs!$F$237+Inputs!$F$35,Inputs!$F$238,0),0))</f>
        <v/>
      </c>
      <c r="AN20" s="13">
        <f>IF(Inputs!$F$34&lt;&gt;1,Inputs!AN305,Inputs!AN304+IF(Inputs!$F$35&gt;0,IF(AN8=Inputs!$F$237,-Inputs!$F$238,0)+IF(AN8=Inputs!$F$237+Inputs!$F$35,Inputs!$F$238,0),0))</f>
        <v/>
      </c>
      <c r="AO20" s="13">
        <f>IF(Inputs!$F$34&lt;&gt;1,Inputs!AO305,Inputs!AO304+IF(Inputs!$F$35&gt;0,IF(AO8=Inputs!$F$237,-Inputs!$F$238,0)+IF(AO8=Inputs!$F$237+Inputs!$F$35,Inputs!$F$238,0),0))</f>
        <v/>
      </c>
      <c r="AP20" s="13">
        <f>IF(Inputs!$F$34&lt;&gt;1,Inputs!AP305,Inputs!AP304+IF(Inputs!$F$35&gt;0,IF(AP8=Inputs!$F$237,-Inputs!$F$238,0)+IF(AP8=Inputs!$F$237+Inputs!$F$35,Inputs!$F$238,0),0))</f>
        <v/>
      </c>
      <c r="AQ20" s="13">
        <f>IF(Inputs!$F$34&lt;&gt;1,Inputs!AQ305,Inputs!AQ304+IF(Inputs!$F$35&gt;0,IF(AQ8=Inputs!$F$237,-Inputs!$F$238,0)+IF(AQ8=Inputs!$F$237+Inputs!$F$35,Inputs!$F$238,0),0))</f>
        <v/>
      </c>
      <c r="AR20" s="13">
        <f>IF(Inputs!$F$34&lt;&gt;1,Inputs!AR305,Inputs!AR304+IF(Inputs!$F$35&gt;0,IF(AR8=Inputs!$F$237,-Inputs!$F$238,0)+IF(AR8=Inputs!$F$237+Inputs!$F$35,Inputs!$F$238,0),0))</f>
        <v/>
      </c>
      <c r="AS20" s="13">
        <f>IF(Inputs!$F$34&lt;&gt;1,Inputs!AS305,Inputs!AS304+IF(Inputs!$F$35&gt;0,IF(AS8=Inputs!$F$237,-Inputs!$F$238,0)+IF(AS8=Inputs!$F$237+Inputs!$F$35,Inputs!$F$238,0),0))</f>
        <v/>
      </c>
      <c r="AT20" s="13">
        <f>IF(Inputs!$F$34&lt;&gt;1,Inputs!AT305,Inputs!AT304+IF(Inputs!$F$35&gt;0,IF(AT8=Inputs!$F$237,-Inputs!$F$238,0)+IF(AT8=Inputs!$F$237+Inputs!$F$35,Inputs!$F$238,0),0))</f>
        <v/>
      </c>
      <c r="AU20" s="13">
        <f>IF(Inputs!$F$34&lt;&gt;1,Inputs!AU305,Inputs!AU304+IF(Inputs!$F$35&gt;0,IF(AU8=Inputs!$F$237,-Inputs!$F$238,0)+IF(AU8=Inputs!$F$237+Inputs!$F$35,Inputs!$F$238,0),0))</f>
        <v/>
      </c>
      <c r="AV20" s="13">
        <f>IF(Inputs!$F$34&lt;&gt;1,Inputs!AV305,Inputs!AV304+IF(Inputs!$F$35&gt;0,IF(AV8=Inputs!$F$237,-Inputs!$F$238,0)+IF(AV8=Inputs!$F$237+Inputs!$F$35,Inputs!$F$238,0),0))</f>
        <v/>
      </c>
      <c r="AW20" s="13">
        <f>IF(Inputs!$F$34&lt;&gt;1,Inputs!AW305,Inputs!AW304+IF(Inputs!$F$35&gt;0,IF(AW8=Inputs!$F$237,-Inputs!$F$238,0)+IF(AW8=Inputs!$F$237+Inputs!$F$35,Inputs!$F$238,0),0))</f>
        <v/>
      </c>
      <c r="AX20" s="13">
        <f>IF(Inputs!$F$34&lt;&gt;1,Inputs!AX305,Inputs!AX304+IF(Inputs!$F$35&gt;0,IF(AX8=Inputs!$F$237,-Inputs!$F$238,0)+IF(AX8=Inputs!$F$237+Inputs!$F$35,Inputs!$F$238,0),0))</f>
        <v/>
      </c>
      <c r="AY20" s="13">
        <f>IF(Inputs!$F$34&lt;&gt;1,Inputs!AY305,Inputs!AY304+IF(Inputs!$F$35&gt;0,IF(AY8=Inputs!$F$237,-Inputs!$F$238,0)+IF(AY8=Inputs!$F$237+Inputs!$F$35,Inputs!$F$238,0),0))</f>
        <v/>
      </c>
      <c r="AZ20" s="13">
        <f>IF(Inputs!$F$34&lt;&gt;1,Inputs!AZ305,Inputs!AZ304+IF(Inputs!$F$35&gt;0,IF(AZ8=Inputs!$F$237,-Inputs!$F$238,0)+IF(AZ8=Inputs!$F$237+Inputs!$F$35,Inputs!$F$238,0),0))</f>
        <v/>
      </c>
      <c r="BA20" s="13">
        <f>IF(Inputs!$F$34&lt;&gt;1,Inputs!BA305,Inputs!BA304+IF(Inputs!$F$35&gt;0,IF(BA8=Inputs!$F$237,-Inputs!$F$238,0)+IF(BA8=Inputs!$F$237+Inputs!$F$35,Inputs!$F$238,0),0))</f>
        <v/>
      </c>
      <c r="BB20" s="13">
        <f>IF(Inputs!$F$34&lt;&gt;1,Inputs!BB305,Inputs!BB304+IF(Inputs!$F$35&gt;0,IF(BB8=Inputs!$F$237,-Inputs!$F$238,0)+IF(BB8=Inputs!$F$237+Inputs!$F$35,Inputs!$F$238,0),0))</f>
        <v/>
      </c>
      <c r="BC20" s="13">
        <f>IF(Inputs!$F$34&lt;&gt;1,Inputs!BC305,Inputs!BC304+IF(Inputs!$F$35&gt;0,IF(BC8=Inputs!$F$237,-Inputs!$F$238,0)+IF(BC8=Inputs!$F$237+Inputs!$F$35,Inputs!$F$238,0),0))</f>
        <v/>
      </c>
      <c r="BD20" s="13">
        <f>IF(Inputs!$F$34&lt;&gt;1,Inputs!BD305,Inputs!BD304+IF(Inputs!$F$35&gt;0,IF(BD8=Inputs!$F$237,-Inputs!$F$238,0)+IF(BD8=Inputs!$F$237+Inputs!$F$35,Inputs!$F$238,0),0))</f>
        <v/>
      </c>
      <c r="BE20" s="13">
        <f>IF(Inputs!$F$34&lt;&gt;1,Inputs!BE305,Inputs!BE304+IF(Inputs!$F$35&gt;0,IF(BE8=Inputs!$F$237,-Inputs!$F$238,0)+IF(BE8=Inputs!$F$237+Inputs!$F$35,Inputs!$F$238,0),0))</f>
        <v/>
      </c>
      <c r="BF20" s="13">
        <f>IF(Inputs!$F$34&lt;&gt;1,Inputs!BF305,Inputs!BF304+IF(Inputs!$F$35&gt;0,IF(BF8=Inputs!$F$237,-Inputs!$F$238,0)+IF(BF8=Inputs!$F$237+Inputs!$F$35,Inputs!$F$238,0),0))</f>
        <v/>
      </c>
      <c r="BG20" s="13">
        <f>IF(Inputs!$F$34&lt;&gt;1,Inputs!BG305,Inputs!BG304+IF(Inputs!$F$35&gt;0,IF(BG8=Inputs!$F$237,-Inputs!$F$238,0)+IF(BG8=Inputs!$F$237+Inputs!$F$35,Inputs!$F$238,0),0))</f>
        <v/>
      </c>
      <c r="BH20" s="13">
        <f>IF(Inputs!$F$34&lt;&gt;1,Inputs!BH305,Inputs!BH304+IF(Inputs!$F$35&gt;0,IF(BH8=Inputs!$F$237,-Inputs!$F$238,0)+IF(BH8=Inputs!$F$237+Inputs!$F$35,Inputs!$F$238,0),0))</f>
        <v/>
      </c>
      <c r="BI20" s="13">
        <f>IF(Inputs!$F$34&lt;&gt;1,Inputs!BI305,Inputs!BI304+IF(Inputs!$F$35&gt;0,IF(BI8=Inputs!$F$237,-Inputs!$F$238,0)+IF(BI8=Inputs!$F$237+Inputs!$F$35,Inputs!$F$238,0),0))</f>
        <v/>
      </c>
      <c r="BJ20" s="13">
        <f>IF(Inputs!$F$34&lt;&gt;1,Inputs!BJ305,Inputs!BJ304+IF(Inputs!$F$35&gt;0,IF(BJ8=Inputs!$F$237,-Inputs!$F$238,0)+IF(BJ8=Inputs!$F$237+Inputs!$F$35,Inputs!$F$238,0),0))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Inputs!$F$61*IF(Inputs!$F$34=1,Inputs!$F$36,1)*(Inputs!J306+IF(AND(Inputs!$F$34=1,J8&gt;Inputs!$F$237,J8&lt;=Time!$F$11),Inputs!$F$239,0))/100+IF(AND(Inputs!$F$34&lt;&gt;1,J8&gt;=Inputs!$F$240,J8&lt;=Inputs!$F$241),Inputs!$F$69/(Inputs!$F$241-Inputs!$F$240+1),0)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Inputs!$F$61*IF(Inputs!$F$34=1,Inputs!$F$36,1)*(Inputs!K306+IF(AND(Inputs!$F$34=1,K8&gt;Inputs!$F$237,K8&lt;=Time!$F$11),Inputs!$F$239,0))/100+IF(AND(Inputs!$F$34&lt;&gt;1,K8&gt;=Inputs!$F$240,K8&lt;=Inputs!$F$241),Inputs!$F$69/(Inputs!$F$241-Inputs!$F$240+1),0)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Inputs!$F$61*IF(Inputs!$F$34=1,Inputs!$F$36,1)*(Inputs!L306+IF(AND(Inputs!$F$34=1,L8&gt;Inputs!$F$237,L8&lt;=Time!$F$11),Inputs!$F$239,0))/100+IF(AND(Inputs!$F$34&lt;&gt;1,L8&gt;=Inputs!$F$240,L8&lt;=Inputs!$F$241),Inputs!$F$69/(Inputs!$F$241-Inputs!$F$240+1),0)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Inputs!$F$61*IF(Inputs!$F$34=1,Inputs!$F$36,1)*(Inputs!M306+IF(AND(Inputs!$F$34=1,M8&gt;Inputs!$F$237,M8&lt;=Time!$F$11),Inputs!$F$239,0))/100+IF(AND(Inputs!$F$34&lt;&gt;1,M8&gt;=Inputs!$F$240,M8&lt;=Inputs!$F$241),Inputs!$F$69/(Inputs!$F$241-Inputs!$F$240+1),0)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Inputs!$F$61*IF(Inputs!$F$34=1,Inputs!$F$36,1)*(Inputs!N306+IF(AND(Inputs!$F$34=1,N8&gt;Inputs!$F$237,N8&lt;=Time!$F$11),Inputs!$F$239,0))/100+IF(AND(Inputs!$F$34&lt;&gt;1,N8&gt;=Inputs!$F$240,N8&lt;=Inputs!$F$241),Inputs!$F$69/(Inputs!$F$241-Inputs!$F$240+1),0)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Inputs!$F$61*IF(Inputs!$F$34=1,Inputs!$F$36,1)*(Inputs!O306+IF(AND(Inputs!$F$34=1,O8&gt;Inputs!$F$237,O8&lt;=Time!$F$11),Inputs!$F$239,0))/100+IF(AND(Inputs!$F$34&lt;&gt;1,O8&gt;=Inputs!$F$240,O8&lt;=Inputs!$F$241),Inputs!$F$69/(Inputs!$F$241-Inputs!$F$240+1),0)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Inputs!$F$61*IF(Inputs!$F$34=1,Inputs!$F$36,1)*(Inputs!P306+IF(AND(Inputs!$F$34=1,P8&gt;Inputs!$F$237,P8&lt;=Time!$F$11),Inputs!$F$239,0))/100+IF(AND(Inputs!$F$34&lt;&gt;1,P8&gt;=Inputs!$F$240,P8&lt;=Inputs!$F$241),Inputs!$F$69/(Inputs!$F$241-Inputs!$F$240+1),0)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Inputs!$F$61*IF(Inputs!$F$34=1,Inputs!$F$36,1)*(Inputs!Q306+IF(AND(Inputs!$F$34=1,Q8&gt;Inputs!$F$237,Q8&lt;=Time!$F$11),Inputs!$F$239,0))/100+IF(AND(Inputs!$F$34&lt;&gt;1,Q8&gt;=Inputs!$F$240,Q8&lt;=Inputs!$F$241),Inputs!$F$69/(Inputs!$F$241-Inputs!$F$240+1),0)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Inputs!$F$61*IF(Inputs!$F$34=1,Inputs!$F$36,1)*(Inputs!R306+IF(AND(Inputs!$F$34=1,R8&gt;Inputs!$F$237,R8&lt;=Time!$F$11),Inputs!$F$239,0))/100+IF(AND(Inputs!$F$34&lt;&gt;1,R8&gt;=Inputs!$F$240,R8&lt;=Inputs!$F$241),Inputs!$F$69/(Inputs!$F$241-Inputs!$F$240+1),0)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Inputs!$F$61*IF(Inputs!$F$34=1,Inputs!$F$36,1)*(Inputs!S306+IF(AND(Inputs!$F$34=1,S8&gt;Inputs!$F$237,S8&lt;=Time!$F$11),Inputs!$F$239,0))/100+IF(AND(Inputs!$F$34&lt;&gt;1,S8&gt;=Inputs!$F$240,S8&lt;=Inputs!$F$241),Inputs!$F$69/(Inputs!$F$241-Inputs!$F$240+1),0)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Inputs!$F$61*IF(Inputs!$F$34=1,Inputs!$F$36,1)*(Inputs!T306+IF(AND(Inputs!$F$34=1,T8&gt;Inputs!$F$237,T8&lt;=Time!$F$11),Inputs!$F$239,0))/100+IF(AND(Inputs!$F$34&lt;&gt;1,T8&gt;=Inputs!$F$240,T8&lt;=Inputs!$F$241),Inputs!$F$69/(Inputs!$F$241-Inputs!$F$240+1),0)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Inputs!$F$61*IF(Inputs!$F$34=1,Inputs!$F$36,1)*(Inputs!U306+IF(AND(Inputs!$F$34=1,U8&gt;Inputs!$F$237,U8&lt;=Time!$F$11),Inputs!$F$239,0))/100+IF(AND(Inputs!$F$34&lt;&gt;1,U8&gt;=Inputs!$F$240,U8&lt;=Inputs!$F$241),Inputs!$F$69/(Inputs!$F$241-Inputs!$F$240+1),0)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Inputs!$F$61*IF(Inputs!$F$34=1,Inputs!$F$36,1)*(Inputs!V306+IF(AND(Inputs!$F$34=1,V8&gt;Inputs!$F$237,V8&lt;=Time!$F$11),Inputs!$F$239,0))/100+IF(AND(Inputs!$F$34&lt;&gt;1,V8&gt;=Inputs!$F$240,V8&lt;=Inputs!$F$241),Inputs!$F$69/(Inputs!$F$241-Inputs!$F$240+1),0)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Inputs!$F$61*IF(Inputs!$F$34=1,Inputs!$F$36,1)*(Inputs!W306+IF(AND(Inputs!$F$34=1,W8&gt;Inputs!$F$237,W8&lt;=Time!$F$11),Inputs!$F$239,0))/100+IF(AND(Inputs!$F$34&lt;&gt;1,W8&gt;=Inputs!$F$240,W8&lt;=Inputs!$F$241),Inputs!$F$69/(Inputs!$F$241-Inputs!$F$240+1),0)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Inputs!$F$61*IF(Inputs!$F$34=1,Inputs!$F$36,1)*(Inputs!X306+IF(AND(Inputs!$F$34=1,X8&gt;Inputs!$F$237,X8&lt;=Time!$F$11),Inputs!$F$239,0))/100+IF(AND(Inputs!$F$34&lt;&gt;1,X8&gt;=Inputs!$F$240,X8&lt;=Inputs!$F$241),Inputs!$F$69/(Inputs!$F$241-Inputs!$F$240+1),0)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Inputs!$F$61*IF(Inputs!$F$34=1,Inputs!$F$36,1)*(Inputs!Y306+IF(AND(Inputs!$F$34=1,Y8&gt;Inputs!$F$237,Y8&lt;=Time!$F$11),Inputs!$F$239,0))/100+IF(AND(Inputs!$F$34&lt;&gt;1,Y8&gt;=Inputs!$F$240,Y8&lt;=Inputs!$F$241),Inputs!$F$69/(Inputs!$F$241-Inputs!$F$240+1),0)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Inputs!$F$61*IF(Inputs!$F$34=1,Inputs!$F$36,1)*(Inputs!Z306+IF(AND(Inputs!$F$34=1,Z8&gt;Inputs!$F$237,Z8&lt;=Time!$F$11),Inputs!$F$239,0))/100+IF(AND(Inputs!$F$34&lt;&gt;1,Z8&gt;=Inputs!$F$240,Z8&lt;=Inputs!$F$241),Inputs!$F$69/(Inputs!$F$241-Inputs!$F$240+1),0)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Inputs!$F$61*IF(Inputs!$F$34=1,Inputs!$F$36,1)*(Inputs!AA306+IF(AND(Inputs!$F$34=1,AA8&gt;Inputs!$F$237,AA8&lt;=Time!$F$11),Inputs!$F$239,0))/100+IF(AND(Inputs!$F$34&lt;&gt;1,AA8&gt;=Inputs!$F$240,AA8&lt;=Inputs!$F$241),Inputs!$F$69/(Inputs!$F$241-Inputs!$F$240+1),0)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Inputs!$F$61*IF(Inputs!$F$34=1,Inputs!$F$36,1)*(Inputs!AB306+IF(AND(Inputs!$F$34=1,AB8&gt;Inputs!$F$237,AB8&lt;=Time!$F$11),Inputs!$F$239,0))/100+IF(AND(Inputs!$F$34&lt;&gt;1,AB8&gt;=Inputs!$F$240,AB8&lt;=Inputs!$F$241),Inputs!$F$69/(Inputs!$F$241-Inputs!$F$240+1),0)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Inputs!$F$61*IF(Inputs!$F$34=1,Inputs!$F$36,1)*(Inputs!AC306+IF(AND(Inputs!$F$34=1,AC8&gt;Inputs!$F$237,AC8&lt;=Time!$F$11),Inputs!$F$239,0))/100+IF(AND(Inputs!$F$34&lt;&gt;1,AC8&gt;=Inputs!$F$240,AC8&lt;=Inputs!$F$241),Inputs!$F$69/(Inputs!$F$241-Inputs!$F$240+1),0)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Inputs!$F$61*IF(Inputs!$F$34=1,Inputs!$F$36,1)*(Inputs!AD306+IF(AND(Inputs!$F$34=1,AD8&gt;Inputs!$F$237,AD8&lt;=Time!$F$11),Inputs!$F$239,0))/100+IF(AND(Inputs!$F$34&lt;&gt;1,AD8&gt;=Inputs!$F$240,AD8&lt;=Inputs!$F$241),Inputs!$F$69/(Inputs!$F$241-Inputs!$F$240+1),0)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Inputs!$F$61*IF(Inputs!$F$34=1,Inputs!$F$36,1)*(Inputs!AE306+IF(AND(Inputs!$F$34=1,AE8&gt;Inputs!$F$237,AE8&lt;=Time!$F$11),Inputs!$F$239,0))/100+IF(AND(Inputs!$F$34&lt;&gt;1,AE8&gt;=Inputs!$F$240,AE8&lt;=Inputs!$F$241),Inputs!$F$69/(Inputs!$F$241-Inputs!$F$240+1),0)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Inputs!$F$61*IF(Inputs!$F$34=1,Inputs!$F$36,1)*(Inputs!AF306+IF(AND(Inputs!$F$34=1,AF8&gt;Inputs!$F$237,AF8&lt;=Time!$F$11),Inputs!$F$239,0))/100+IF(AND(Inputs!$F$34&lt;&gt;1,AF8&gt;=Inputs!$F$240,AF8&lt;=Inputs!$F$241),Inputs!$F$69/(Inputs!$F$241-Inputs!$F$240+1),0)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Inputs!$F$61*IF(Inputs!$F$34=1,Inputs!$F$36,1)*(Inputs!AG306+IF(AND(Inputs!$F$34=1,AG8&gt;Inputs!$F$237,AG8&lt;=Time!$F$11),Inputs!$F$239,0))/100+IF(AND(Inputs!$F$34&lt;&gt;1,AG8&gt;=Inputs!$F$240,AG8&lt;=Inputs!$F$241),Inputs!$F$69/(Inputs!$F$241-Inputs!$F$240+1),0)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Inputs!$F$61*IF(Inputs!$F$34=1,Inputs!$F$36,1)*(Inputs!AH306+IF(AND(Inputs!$F$34=1,AH8&gt;Inputs!$F$237,AH8&lt;=Time!$F$11),Inputs!$F$239,0))/100+IF(AND(Inputs!$F$34&lt;&gt;1,AH8&gt;=Inputs!$F$240,AH8&lt;=Inputs!$F$241),Inputs!$F$69/(Inputs!$F$241-Inputs!$F$240+1),0)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Inputs!$F$61*IF(Inputs!$F$34=1,Inputs!$F$36,1)*(Inputs!AI306+IF(AND(Inputs!$F$34=1,AI8&gt;Inputs!$F$237,AI8&lt;=Time!$F$11),Inputs!$F$239,0))/100+IF(AND(Inputs!$F$34&lt;&gt;1,AI8&gt;=Inputs!$F$240,AI8&lt;=Inputs!$F$241),Inputs!$F$69/(Inputs!$F$241-Inputs!$F$240+1),0)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Inputs!$F$61*IF(Inputs!$F$34=1,Inputs!$F$36,1)*(Inputs!AJ306+IF(AND(Inputs!$F$34=1,AJ8&gt;Inputs!$F$237,AJ8&lt;=Time!$F$11),Inputs!$F$239,0))/100+IF(AND(Inputs!$F$34&lt;&gt;1,AJ8&gt;=Inputs!$F$240,AJ8&lt;=Inputs!$F$241),Inputs!$F$69/(Inputs!$F$241-Inputs!$F$240+1),0)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Inputs!$F$61*IF(Inputs!$F$34=1,Inputs!$F$36,1)*(Inputs!AK306+IF(AND(Inputs!$F$34=1,AK8&gt;Inputs!$F$237,AK8&lt;=Time!$F$11),Inputs!$F$239,0))/100+IF(AND(Inputs!$F$34&lt;&gt;1,AK8&gt;=Inputs!$F$240,AK8&lt;=Inputs!$F$241),Inputs!$F$69/(Inputs!$F$241-Inputs!$F$240+1),0)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Inputs!$F$61*IF(Inputs!$F$34=1,Inputs!$F$36,1)*(Inputs!AL306+IF(AND(Inputs!$F$34=1,AL8&gt;Inputs!$F$237,AL8&lt;=Time!$F$11),Inputs!$F$239,0))/100+IF(AND(Inputs!$F$34&lt;&gt;1,AL8&gt;=Inputs!$F$240,AL8&lt;=Inputs!$F$241),Inputs!$F$69/(Inputs!$F$241-Inputs!$F$240+1),0)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Inputs!$F$61*IF(Inputs!$F$34=1,Inputs!$F$36,1)*(Inputs!AM306+IF(AND(Inputs!$F$34=1,AM8&gt;Inputs!$F$237,AM8&lt;=Time!$F$11),Inputs!$F$239,0))/100+IF(AND(Inputs!$F$34&lt;&gt;1,AM8&gt;=Inputs!$F$240,AM8&lt;=Inputs!$F$241),Inputs!$F$69/(Inputs!$F$241-Inputs!$F$240+1),0)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Inputs!$F$61*IF(Inputs!$F$34=1,Inputs!$F$36,1)*(Inputs!AN306+IF(AND(Inputs!$F$34=1,AN8&gt;Inputs!$F$237,AN8&lt;=Time!$F$11),Inputs!$F$239,0))/100+IF(AND(Inputs!$F$34&lt;&gt;1,AN8&gt;=Inputs!$F$240,AN8&lt;=Inputs!$F$241),Inputs!$F$69/(Inputs!$F$241-Inputs!$F$240+1),0)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Inputs!$F$61*IF(Inputs!$F$34=1,Inputs!$F$36,1)*(Inputs!AO306+IF(AND(Inputs!$F$34=1,AO8&gt;Inputs!$F$237,AO8&lt;=Time!$F$11),Inputs!$F$239,0))/100+IF(AND(Inputs!$F$34&lt;&gt;1,AO8&gt;=Inputs!$F$240,AO8&lt;=Inputs!$F$241),Inputs!$F$69/(Inputs!$F$241-Inputs!$F$240+1),0)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Inputs!$F$61*IF(Inputs!$F$34=1,Inputs!$F$36,1)*(Inputs!AP306+IF(AND(Inputs!$F$34=1,AP8&gt;Inputs!$F$237,AP8&lt;=Time!$F$11),Inputs!$F$239,0))/100+IF(AND(Inputs!$F$34&lt;&gt;1,AP8&gt;=Inputs!$F$240,AP8&lt;=Inputs!$F$241),Inputs!$F$69/(Inputs!$F$241-Inputs!$F$240+1),0)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Inputs!$F$61*IF(Inputs!$F$34=1,Inputs!$F$36,1)*(Inputs!AQ306+IF(AND(Inputs!$F$34=1,AQ8&gt;Inputs!$F$237,AQ8&lt;=Time!$F$11),Inputs!$F$239,0))/100+IF(AND(Inputs!$F$34&lt;&gt;1,AQ8&gt;=Inputs!$F$240,AQ8&lt;=Inputs!$F$241),Inputs!$F$69/(Inputs!$F$241-Inputs!$F$240+1),0)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Inputs!$F$61*IF(Inputs!$F$34=1,Inputs!$F$36,1)*(Inputs!AR306+IF(AND(Inputs!$F$34=1,AR8&gt;Inputs!$F$237,AR8&lt;=Time!$F$11),Inputs!$F$239,0))/100+IF(AND(Inputs!$F$34&lt;&gt;1,AR8&gt;=Inputs!$F$240,AR8&lt;=Inputs!$F$241),Inputs!$F$69/(Inputs!$F$241-Inputs!$F$240+1),0)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Inputs!$F$61*IF(Inputs!$F$34=1,Inputs!$F$36,1)*(Inputs!AS306+IF(AND(Inputs!$F$34=1,AS8&gt;Inputs!$F$237,AS8&lt;=Time!$F$11),Inputs!$F$239,0))/100+IF(AND(Inputs!$F$34&lt;&gt;1,AS8&gt;=Inputs!$F$240,AS8&lt;=Inputs!$F$241),Inputs!$F$69/(Inputs!$F$241-Inputs!$F$240+1),0)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Inputs!$F$61*IF(Inputs!$F$34=1,Inputs!$F$36,1)*(Inputs!AT306+IF(AND(Inputs!$F$34=1,AT8&gt;Inputs!$F$237,AT8&lt;=Time!$F$11),Inputs!$F$239,0))/100+IF(AND(Inputs!$F$34&lt;&gt;1,AT8&gt;=Inputs!$F$240,AT8&lt;=Inputs!$F$241),Inputs!$F$69/(Inputs!$F$241-Inputs!$F$240+1),0)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Inputs!$F$61*IF(Inputs!$F$34=1,Inputs!$F$36,1)*(Inputs!AU306+IF(AND(Inputs!$F$34=1,AU8&gt;Inputs!$F$237,AU8&lt;=Time!$F$11),Inputs!$F$239,0))/100+IF(AND(Inputs!$F$34&lt;&gt;1,AU8&gt;=Inputs!$F$240,AU8&lt;=Inputs!$F$241),Inputs!$F$69/(Inputs!$F$241-Inputs!$F$240+1),0)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Inputs!$F$61*IF(Inputs!$F$34=1,Inputs!$F$36,1)*(Inputs!AV306+IF(AND(Inputs!$F$34=1,AV8&gt;Inputs!$F$237,AV8&lt;=Time!$F$11),Inputs!$F$239,0))/100+IF(AND(Inputs!$F$34&lt;&gt;1,AV8&gt;=Inputs!$F$240,AV8&lt;=Inputs!$F$241),Inputs!$F$69/(Inputs!$F$241-Inputs!$F$240+1),0)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Inputs!$F$61*IF(Inputs!$F$34=1,Inputs!$F$36,1)*(Inputs!AW306+IF(AND(Inputs!$F$34=1,AW8&gt;Inputs!$F$237,AW8&lt;=Time!$F$11),Inputs!$F$239,0))/100+IF(AND(Inputs!$F$34&lt;&gt;1,AW8&gt;=Inputs!$F$240,AW8&lt;=Inputs!$F$241),Inputs!$F$69/(Inputs!$F$241-Inputs!$F$240+1),0)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Inputs!$F$61*IF(Inputs!$F$34=1,Inputs!$F$36,1)*(Inputs!AX306+IF(AND(Inputs!$F$34=1,AX8&gt;Inputs!$F$237,AX8&lt;=Time!$F$11),Inputs!$F$239,0))/100+IF(AND(Inputs!$F$34&lt;&gt;1,AX8&gt;=Inputs!$F$240,AX8&lt;=Inputs!$F$241),Inputs!$F$69/(Inputs!$F$241-Inputs!$F$240+1),0)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Inputs!$F$61*IF(Inputs!$F$34=1,Inputs!$F$36,1)*(Inputs!AY306+IF(AND(Inputs!$F$34=1,AY8&gt;Inputs!$F$237,AY8&lt;=Time!$F$11),Inputs!$F$239,0))/100+IF(AND(Inputs!$F$34&lt;&gt;1,AY8&gt;=Inputs!$F$240,AY8&lt;=Inputs!$F$241),Inputs!$F$69/(Inputs!$F$241-Inputs!$F$240+1),0)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Inputs!$F$61*IF(Inputs!$F$34=1,Inputs!$F$36,1)*(Inputs!AZ306+IF(AND(Inputs!$F$34=1,AZ8&gt;Inputs!$F$237,AZ8&lt;=Time!$F$11),Inputs!$F$239,0))/100+IF(AND(Inputs!$F$34&lt;&gt;1,AZ8&gt;=Inputs!$F$240,AZ8&lt;=Inputs!$F$241),Inputs!$F$69/(Inputs!$F$241-Inputs!$F$240+1),0)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Inputs!$F$61*IF(Inputs!$F$34=1,Inputs!$F$36,1)*(Inputs!BA306+IF(AND(Inputs!$F$34=1,BA8&gt;Inputs!$F$237,BA8&lt;=Time!$F$11),Inputs!$F$239,0))/100+IF(AND(Inputs!$F$34&lt;&gt;1,BA8&gt;=Inputs!$F$240,BA8&lt;=Inputs!$F$241),Inputs!$F$69/(Inputs!$F$241-Inputs!$F$240+1),0)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Inputs!$F$61*IF(Inputs!$F$34=1,Inputs!$F$36,1)*(Inputs!BB306+IF(AND(Inputs!$F$34=1,BB8&gt;Inputs!$F$237,BB8&lt;=Time!$F$11),Inputs!$F$239,0))/100+IF(AND(Inputs!$F$34&lt;&gt;1,BB8&gt;=Inputs!$F$240,BB8&lt;=Inputs!$F$241),Inputs!$F$69/(Inputs!$F$241-Inputs!$F$240+1),0)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Inputs!$F$61*IF(Inputs!$F$34=1,Inputs!$F$36,1)*(Inputs!BC306+IF(AND(Inputs!$F$34=1,BC8&gt;Inputs!$F$237,BC8&lt;=Time!$F$11),Inputs!$F$239,0))/100+IF(AND(Inputs!$F$34&lt;&gt;1,BC8&gt;=Inputs!$F$240,BC8&lt;=Inputs!$F$241),Inputs!$F$69/(Inputs!$F$241-Inputs!$F$240+1),0)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Inputs!$F$61*IF(Inputs!$F$34=1,Inputs!$F$36,1)*(Inputs!BD306+IF(AND(Inputs!$F$34=1,BD8&gt;Inputs!$F$237,BD8&lt;=Time!$F$11),Inputs!$F$239,0))/100+IF(AND(Inputs!$F$34&lt;&gt;1,BD8&gt;=Inputs!$F$240,BD8&lt;=Inputs!$F$241),Inputs!$F$69/(Inputs!$F$241-Inputs!$F$240+1),0)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Inputs!$F$61*IF(Inputs!$F$34=1,Inputs!$F$36,1)*(Inputs!BE306+IF(AND(Inputs!$F$34=1,BE8&gt;Inputs!$F$237,BE8&lt;=Time!$F$11),Inputs!$F$239,0))/100+IF(AND(Inputs!$F$34&lt;&gt;1,BE8&gt;=Inputs!$F$240,BE8&lt;=Inputs!$F$241),Inputs!$F$69/(Inputs!$F$241-Inputs!$F$240+1),0)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Inputs!$F$61*IF(Inputs!$F$34=1,Inputs!$F$36,1)*(Inputs!BF306+IF(AND(Inputs!$F$34=1,BF8&gt;Inputs!$F$237,BF8&lt;=Time!$F$11),Inputs!$F$239,0))/100+IF(AND(Inputs!$F$34&lt;&gt;1,BF8&gt;=Inputs!$F$240,BF8&lt;=Inputs!$F$241),Inputs!$F$69/(Inputs!$F$241-Inputs!$F$240+1),0)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Inputs!$F$61*IF(Inputs!$F$34=1,Inputs!$F$36,1)*(Inputs!BG306+IF(AND(Inputs!$F$34=1,BG8&gt;Inputs!$F$237,BG8&lt;=Time!$F$11),Inputs!$F$239,0))/100+IF(AND(Inputs!$F$34&lt;&gt;1,BG8&gt;=Inputs!$F$240,BG8&lt;=Inputs!$F$241),Inputs!$F$69/(Inputs!$F$241-Inputs!$F$240+1),0)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Inputs!$F$61*IF(Inputs!$F$34=1,Inputs!$F$36,1)*(Inputs!BH306+IF(AND(Inputs!$F$34=1,BH8&gt;Inputs!$F$237,BH8&lt;=Time!$F$11),Inputs!$F$239,0))/100+IF(AND(Inputs!$F$34&lt;&gt;1,BH8&gt;=Inputs!$F$240,BH8&lt;=Inputs!$F$241),Inputs!$F$69/(Inputs!$F$241-Inputs!$F$240+1),0)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Inputs!$F$61*IF(Inputs!$F$34=1,Inputs!$F$36,1)*(Inputs!BI306+IF(AND(Inputs!$F$34=1,BI8&gt;Inputs!$F$237,BI8&lt;=Time!$F$11),Inputs!$F$239,0))/100+IF(AND(Inputs!$F$34&lt;&gt;1,BI8&gt;=Inputs!$F$240,BI8&lt;=Inputs!$F$241),Inputs!$F$69/(Inputs!$F$241-Inputs!$F$240+1),0)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Inputs!$F$61*IF(Inputs!$F$34=1,Inputs!$F$36,1)*(Inputs!BJ306+IF(AND(Inputs!$F$34=1,BJ8&gt;Inputs!$F$237,BJ8&lt;=Time!$F$11),Inputs!$F$239,0))/100+IF(AND(Inputs!$F$34&lt;&gt;1,BJ8&gt;=Inputs!$F$240,BJ8&lt;=Inputs!$F$241),Inputs!$F$69/(Inputs!$F$241-Inputs!$F$240+1),0)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IF(Inputs!$F$34&lt;&gt;1,Inputs!J307,0)</f>
        <v/>
      </c>
      <c r="K29" s="13">
        <f>IF(Inputs!$F$34&lt;&gt;1,Inputs!K307,0)</f>
        <v/>
      </c>
      <c r="L29" s="13">
        <f>IF(Inputs!$F$34&lt;&gt;1,Inputs!L307,0)</f>
        <v/>
      </c>
      <c r="M29" s="13">
        <f>IF(Inputs!$F$34&lt;&gt;1,Inputs!M307,0)</f>
        <v/>
      </c>
      <c r="N29" s="13">
        <f>IF(Inputs!$F$34&lt;&gt;1,Inputs!N307,0)</f>
        <v/>
      </c>
      <c r="O29" s="13">
        <f>IF(Inputs!$F$34&lt;&gt;1,Inputs!O307,0)</f>
        <v/>
      </c>
      <c r="P29" s="13">
        <f>IF(Inputs!$F$34&lt;&gt;1,Inputs!P307,0)</f>
        <v/>
      </c>
      <c r="Q29" s="13">
        <f>IF(Inputs!$F$34&lt;&gt;1,Inputs!Q307,0)</f>
        <v/>
      </c>
      <c r="R29" s="13">
        <f>IF(Inputs!$F$34&lt;&gt;1,Inputs!R307,0)</f>
        <v/>
      </c>
      <c r="S29" s="13">
        <f>IF(Inputs!$F$34&lt;&gt;1,Inputs!S307,0)</f>
        <v/>
      </c>
      <c r="T29" s="13">
        <f>IF(Inputs!$F$34&lt;&gt;1,Inputs!T307,0)</f>
        <v/>
      </c>
      <c r="U29" s="13">
        <f>IF(Inputs!$F$34&lt;&gt;1,Inputs!U307,0)</f>
        <v/>
      </c>
      <c r="V29" s="13">
        <f>IF(Inputs!$F$34&lt;&gt;1,Inputs!V307,0)</f>
        <v/>
      </c>
      <c r="W29" s="13">
        <f>IF(Inputs!$F$34&lt;&gt;1,Inputs!W307,0)</f>
        <v/>
      </c>
      <c r="X29" s="13">
        <f>IF(Inputs!$F$34&lt;&gt;1,Inputs!X307,0)</f>
        <v/>
      </c>
      <c r="Y29" s="13">
        <f>IF(Inputs!$F$34&lt;&gt;1,Inputs!Y307,0)</f>
        <v/>
      </c>
      <c r="Z29" s="13">
        <f>IF(Inputs!$F$34&lt;&gt;1,Inputs!Z307,0)</f>
        <v/>
      </c>
      <c r="AA29" s="13">
        <f>IF(Inputs!$F$34&lt;&gt;1,Inputs!AA307,0)</f>
        <v/>
      </c>
      <c r="AB29" s="13">
        <f>IF(Inputs!$F$34&lt;&gt;1,Inputs!AB307,0)</f>
        <v/>
      </c>
      <c r="AC29" s="13">
        <f>IF(Inputs!$F$34&lt;&gt;1,Inputs!AC307,0)</f>
        <v/>
      </c>
      <c r="AD29" s="13">
        <f>IF(Inputs!$F$34&lt;&gt;1,Inputs!AD307,0)</f>
        <v/>
      </c>
      <c r="AE29" s="13">
        <f>IF(Inputs!$F$34&lt;&gt;1,Inputs!AE307,0)</f>
        <v/>
      </c>
      <c r="AF29" s="13">
        <f>IF(Inputs!$F$34&lt;&gt;1,Inputs!AF307,0)</f>
        <v/>
      </c>
      <c r="AG29" s="13">
        <f>IF(Inputs!$F$34&lt;&gt;1,Inputs!AG307,0)</f>
        <v/>
      </c>
      <c r="AH29" s="13">
        <f>IF(Inputs!$F$34&lt;&gt;1,Inputs!AH307,0)</f>
        <v/>
      </c>
      <c r="AI29" s="13">
        <f>IF(Inputs!$F$34&lt;&gt;1,Inputs!AI307,0)</f>
        <v/>
      </c>
      <c r="AJ29" s="13">
        <f>IF(Inputs!$F$34&lt;&gt;1,Inputs!AJ307,0)</f>
        <v/>
      </c>
      <c r="AK29" s="13">
        <f>IF(Inputs!$F$34&lt;&gt;1,Inputs!AK307,0)</f>
        <v/>
      </c>
      <c r="AL29" s="13">
        <f>IF(Inputs!$F$34&lt;&gt;1,Inputs!AL307,0)</f>
        <v/>
      </c>
      <c r="AM29" s="13">
        <f>IF(Inputs!$F$34&lt;&gt;1,Inputs!AM307,0)</f>
        <v/>
      </c>
      <c r="AN29" s="13">
        <f>IF(Inputs!$F$34&lt;&gt;1,Inputs!AN307,0)</f>
        <v/>
      </c>
      <c r="AO29" s="13">
        <f>IF(Inputs!$F$34&lt;&gt;1,Inputs!AO307,0)</f>
        <v/>
      </c>
      <c r="AP29" s="13">
        <f>IF(Inputs!$F$34&lt;&gt;1,Inputs!AP307,0)</f>
        <v/>
      </c>
      <c r="AQ29" s="13">
        <f>IF(Inputs!$F$34&lt;&gt;1,Inputs!AQ307,0)</f>
        <v/>
      </c>
      <c r="AR29" s="13">
        <f>IF(Inputs!$F$34&lt;&gt;1,Inputs!AR307,0)</f>
        <v/>
      </c>
      <c r="AS29" s="13">
        <f>IF(Inputs!$F$34&lt;&gt;1,Inputs!AS307,0)</f>
        <v/>
      </c>
      <c r="AT29" s="13">
        <f>IF(Inputs!$F$34&lt;&gt;1,Inputs!AT307,0)</f>
        <v/>
      </c>
      <c r="AU29" s="13">
        <f>IF(Inputs!$F$34&lt;&gt;1,Inputs!AU307,0)</f>
        <v/>
      </c>
      <c r="AV29" s="13">
        <f>IF(Inputs!$F$34&lt;&gt;1,Inputs!AV307,0)</f>
        <v/>
      </c>
      <c r="AW29" s="13">
        <f>IF(Inputs!$F$34&lt;&gt;1,Inputs!AW307,0)</f>
        <v/>
      </c>
      <c r="AX29" s="13">
        <f>IF(Inputs!$F$34&lt;&gt;1,Inputs!AX307,0)</f>
        <v/>
      </c>
      <c r="AY29" s="13">
        <f>IF(Inputs!$F$34&lt;&gt;1,Inputs!AY307,0)</f>
        <v/>
      </c>
      <c r="AZ29" s="13">
        <f>IF(Inputs!$F$34&lt;&gt;1,Inputs!AZ307,0)</f>
        <v/>
      </c>
      <c r="BA29" s="13">
        <f>IF(Inputs!$F$34&lt;&gt;1,Inputs!BA307,0)</f>
        <v/>
      </c>
      <c r="BB29" s="13">
        <f>IF(Inputs!$F$34&lt;&gt;1,Inputs!BB307,0)</f>
        <v/>
      </c>
      <c r="BC29" s="13">
        <f>IF(Inputs!$F$34&lt;&gt;1,Inputs!BC307,0)</f>
        <v/>
      </c>
      <c r="BD29" s="13">
        <f>IF(Inputs!$F$34&lt;&gt;1,Inputs!BD307,0)</f>
        <v/>
      </c>
      <c r="BE29" s="13">
        <f>IF(Inputs!$F$34&lt;&gt;1,Inputs!BE307,0)</f>
        <v/>
      </c>
      <c r="BF29" s="13">
        <f>IF(Inputs!$F$34&lt;&gt;1,Inputs!BF307,0)</f>
        <v/>
      </c>
      <c r="BG29" s="13">
        <f>IF(Inputs!$F$34&lt;&gt;1,Inputs!BG307,0)</f>
        <v/>
      </c>
      <c r="BH29" s="13">
        <f>IF(Inputs!$F$34&lt;&gt;1,Inputs!BH307,0)</f>
        <v/>
      </c>
      <c r="BI29" s="13">
        <f>IF(Inputs!$F$34&lt;&gt;1,Inputs!BI307,0)</f>
        <v/>
      </c>
      <c r="BJ29" s="13">
        <f>IF(Inputs!$F$34&lt;&gt;1,Inputs!BJ307,0)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3">
        <f>SUM(J30:BJ30)</f>
        <v/>
      </c>
      <c r="J30" s="13">
        <f>J22+J23+J24+J25+J26+J27+J28+J29</f>
        <v/>
      </c>
      <c r="K30" s="13">
        <f>K22+K23+K24+K25+K26+K27+K28+K29</f>
        <v/>
      </c>
      <c r="L30" s="13">
        <f>L22+L23+L24+L25+L26+L27+L28+L29</f>
        <v/>
      </c>
      <c r="M30" s="13">
        <f>M22+M23+M24+M25+M26+M27+M28+M29</f>
        <v/>
      </c>
      <c r="N30" s="13">
        <f>N22+N23+N24+N25+N26+N27+N28+N29</f>
        <v/>
      </c>
      <c r="O30" s="13">
        <f>O22+O23+O24+O25+O26+O27+O28+O29</f>
        <v/>
      </c>
      <c r="P30" s="13">
        <f>P22+P23+P24+P25+P26+P27+P28+P29</f>
        <v/>
      </c>
      <c r="Q30" s="13">
        <f>Q22+Q23+Q24+Q25+Q26+Q27+Q28+Q29</f>
        <v/>
      </c>
      <c r="R30" s="13">
        <f>R22+R23+R24+R25+R26+R27+R28+R29</f>
        <v/>
      </c>
      <c r="S30" s="13">
        <f>S22+S23+S24+S25+S26+S27+S28+S29</f>
        <v/>
      </c>
      <c r="T30" s="13">
        <f>T22+T23+T24+T25+T26+T27+T28+T29</f>
        <v/>
      </c>
      <c r="U30" s="13">
        <f>U22+U23+U24+U25+U26+U27+U28+U29</f>
        <v/>
      </c>
      <c r="V30" s="13">
        <f>V22+V23+V24+V25+V26+V27+V28+V29</f>
        <v/>
      </c>
      <c r="W30" s="13">
        <f>W22+W23+W24+W25+W26+W27+W28+W29</f>
        <v/>
      </c>
      <c r="X30" s="13">
        <f>X22+X23+X24+X25+X26+X27+X28+X29</f>
        <v/>
      </c>
      <c r="Y30" s="13">
        <f>Y22+Y23+Y24+Y25+Y26+Y27+Y28+Y29</f>
        <v/>
      </c>
      <c r="Z30" s="13">
        <f>Z22+Z23+Z24+Z25+Z26+Z27+Z28+Z29</f>
        <v/>
      </c>
      <c r="AA30" s="13">
        <f>AA22+AA23+AA24+AA25+AA26+AA27+AA28+AA29</f>
        <v/>
      </c>
      <c r="AB30" s="13">
        <f>AB22+AB23+AB24+AB25+AB26+AB27+AB28+AB29</f>
        <v/>
      </c>
      <c r="AC30" s="13">
        <f>AC22+AC23+AC24+AC25+AC26+AC27+AC28+AC29</f>
        <v/>
      </c>
      <c r="AD30" s="13">
        <f>AD22+AD23+AD24+AD25+AD26+AD27+AD28+AD29</f>
        <v/>
      </c>
      <c r="AE30" s="13">
        <f>AE22+AE23+AE24+AE25+AE26+AE27+AE28+AE29</f>
        <v/>
      </c>
      <c r="AF30" s="13">
        <f>AF22+AF23+AF24+AF25+AF26+AF27+AF28+AF29</f>
        <v/>
      </c>
      <c r="AG30" s="13">
        <f>AG22+AG23+AG24+AG25+AG26+AG27+AG28+AG29</f>
        <v/>
      </c>
      <c r="AH30" s="13">
        <f>AH22+AH23+AH24+AH25+AH26+AH27+AH28+AH29</f>
        <v/>
      </c>
      <c r="AI30" s="13">
        <f>AI22+AI23+AI24+AI25+AI26+AI27+AI28+AI29</f>
        <v/>
      </c>
      <c r="AJ30" s="13">
        <f>AJ22+AJ23+AJ24+AJ25+AJ26+AJ27+AJ28+AJ29</f>
        <v/>
      </c>
      <c r="AK30" s="13">
        <f>AK22+AK23+AK24+AK25+AK26+AK27+AK28+AK29</f>
        <v/>
      </c>
      <c r="AL30" s="13">
        <f>AL22+AL23+AL24+AL25+AL26+AL27+AL28+AL29</f>
        <v/>
      </c>
      <c r="AM30" s="13">
        <f>AM22+AM23+AM24+AM25+AM26+AM27+AM28+AM29</f>
        <v/>
      </c>
      <c r="AN30" s="13">
        <f>AN22+AN23+AN24+AN25+AN26+AN27+AN28+AN29</f>
        <v/>
      </c>
      <c r="AO30" s="13">
        <f>AO22+AO23+AO24+AO25+AO26+AO27+AO28+AO29</f>
        <v/>
      </c>
      <c r="AP30" s="13">
        <f>AP22+AP23+AP24+AP25+AP26+AP27+AP28+AP29</f>
        <v/>
      </c>
      <c r="AQ30" s="13">
        <f>AQ22+AQ23+AQ24+AQ25+AQ26+AQ27+AQ28+AQ29</f>
        <v/>
      </c>
      <c r="AR30" s="13">
        <f>AR22+AR23+AR24+AR25+AR26+AR27+AR28+AR29</f>
        <v/>
      </c>
      <c r="AS30" s="13">
        <f>AS22+AS23+AS24+AS25+AS26+AS27+AS28+AS29</f>
        <v/>
      </c>
      <c r="AT30" s="13">
        <f>AT22+AT23+AT24+AT25+AT26+AT27+AT28+AT29</f>
        <v/>
      </c>
      <c r="AU30" s="13">
        <f>AU22+AU23+AU24+AU25+AU26+AU27+AU28+AU29</f>
        <v/>
      </c>
      <c r="AV30" s="13">
        <f>AV22+AV23+AV24+AV25+AV26+AV27+AV28+AV29</f>
        <v/>
      </c>
      <c r="AW30" s="13">
        <f>AW22+AW23+AW24+AW25+AW26+AW27+AW28+AW29</f>
        <v/>
      </c>
      <c r="AX30" s="13">
        <f>AX22+AX23+AX24+AX25+AX26+AX27+AX28+AX29</f>
        <v/>
      </c>
      <c r="AY30" s="13">
        <f>AY22+AY23+AY24+AY25+AY26+AY27+AY28+AY29</f>
        <v/>
      </c>
      <c r="AZ30" s="13">
        <f>AZ22+AZ23+AZ24+AZ25+AZ26+AZ27+AZ28+AZ29</f>
        <v/>
      </c>
      <c r="BA30" s="13">
        <f>BA22+BA23+BA24+BA25+BA26+BA27+BA28+BA29</f>
        <v/>
      </c>
      <c r="BB30" s="13">
        <f>BB22+BB23+BB24+BB25+BB26+BB27+BB28+BB29</f>
        <v/>
      </c>
      <c r="BC30" s="13">
        <f>BC22+BC23+BC24+BC25+BC26+BC27+BC28+BC29</f>
        <v/>
      </c>
      <c r="BD30" s="13">
        <f>BD22+BD23+BD24+BD25+BD26+BD27+BD28+BD29</f>
        <v/>
      </c>
      <c r="BE30" s="13">
        <f>BE22+BE23+BE24+BE25+BE26+BE27+BE28+BE29</f>
        <v/>
      </c>
      <c r="BF30" s="13">
        <f>BF22+BF23+BF24+BF25+BF26+BF27+BF28+BF29</f>
        <v/>
      </c>
      <c r="BG30" s="13">
        <f>BG22+BG23+BG24+BG25+BG26+BG27+BG28+BG29</f>
        <v/>
      </c>
      <c r="BH30" s="13">
        <f>BH22+BH23+BH24+BH25+BH26+BH27+BH28+BH29</f>
        <v/>
      </c>
      <c r="BI30" s="13">
        <f>BI22+BI23+BI24+BI25+BI26+BI27+BI28+BI29</f>
        <v/>
      </c>
      <c r="BJ30" s="13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3">
        <f>SUM(J32:BJ32)</f>
        <v/>
      </c>
      <c r="J32" s="13">
        <f>J20/100*Inputs!$F$59*Inputs!$F$60*Inputs!$F$36</f>
        <v/>
      </c>
      <c r="K32" s="13">
        <f>K20/100*Inputs!$F$59*Inputs!$F$60*Inputs!$F$36</f>
        <v/>
      </c>
      <c r="L32" s="13">
        <f>L20/100*Inputs!$F$59*Inputs!$F$60*Inputs!$F$36</f>
        <v/>
      </c>
      <c r="M32" s="13">
        <f>M20/100*Inputs!$F$59*Inputs!$F$60*Inputs!$F$36</f>
        <v/>
      </c>
      <c r="N32" s="13">
        <f>N20/100*Inputs!$F$59*Inputs!$F$60*Inputs!$F$36</f>
        <v/>
      </c>
      <c r="O32" s="13">
        <f>O20/100*Inputs!$F$59*Inputs!$F$60*Inputs!$F$36</f>
        <v/>
      </c>
      <c r="P32" s="13">
        <f>P20/100*Inputs!$F$59*Inputs!$F$60*Inputs!$F$36</f>
        <v/>
      </c>
      <c r="Q32" s="13">
        <f>Q20/100*Inputs!$F$59*Inputs!$F$60*Inputs!$F$36</f>
        <v/>
      </c>
      <c r="R32" s="13">
        <f>R20/100*Inputs!$F$59*Inputs!$F$60*Inputs!$F$36</f>
        <v/>
      </c>
      <c r="S32" s="13">
        <f>S20/100*Inputs!$F$59*Inputs!$F$60*Inputs!$F$36</f>
        <v/>
      </c>
      <c r="T32" s="13">
        <f>T20/100*Inputs!$F$59*Inputs!$F$60*Inputs!$F$36</f>
        <v/>
      </c>
      <c r="U32" s="13">
        <f>U20/100*Inputs!$F$59*Inputs!$F$60*Inputs!$F$36</f>
        <v/>
      </c>
      <c r="V32" s="13">
        <f>V20/100*Inputs!$F$59*Inputs!$F$60*Inputs!$F$36</f>
        <v/>
      </c>
      <c r="W32" s="13">
        <f>W20/100*Inputs!$F$59*Inputs!$F$60*Inputs!$F$36</f>
        <v/>
      </c>
      <c r="X32" s="13">
        <f>X20/100*Inputs!$F$59*Inputs!$F$60*Inputs!$F$36</f>
        <v/>
      </c>
      <c r="Y32" s="13">
        <f>Y20/100*Inputs!$F$59*Inputs!$F$60*Inputs!$F$36</f>
        <v/>
      </c>
      <c r="Z32" s="13">
        <f>Z20/100*Inputs!$F$59*Inputs!$F$60*Inputs!$F$36</f>
        <v/>
      </c>
      <c r="AA32" s="13">
        <f>AA20/100*Inputs!$F$59*Inputs!$F$60*Inputs!$F$36</f>
        <v/>
      </c>
      <c r="AB32" s="13">
        <f>AB20/100*Inputs!$F$59*Inputs!$F$60*Inputs!$F$36</f>
        <v/>
      </c>
      <c r="AC32" s="13">
        <f>AC20/100*Inputs!$F$59*Inputs!$F$60*Inputs!$F$36</f>
        <v/>
      </c>
      <c r="AD32" s="13">
        <f>AD20/100*Inputs!$F$59*Inputs!$F$60*Inputs!$F$36</f>
        <v/>
      </c>
      <c r="AE32" s="13">
        <f>AE20/100*Inputs!$F$59*Inputs!$F$60*Inputs!$F$36</f>
        <v/>
      </c>
      <c r="AF32" s="13">
        <f>AF20/100*Inputs!$F$59*Inputs!$F$60*Inputs!$F$36</f>
        <v/>
      </c>
      <c r="AG32" s="13">
        <f>AG20/100*Inputs!$F$59*Inputs!$F$60*Inputs!$F$36</f>
        <v/>
      </c>
      <c r="AH32" s="13">
        <f>AH20/100*Inputs!$F$59*Inputs!$F$60*Inputs!$F$36</f>
        <v/>
      </c>
      <c r="AI32" s="13">
        <f>AI20/100*Inputs!$F$59*Inputs!$F$60*Inputs!$F$36</f>
        <v/>
      </c>
      <c r="AJ32" s="13">
        <f>AJ20/100*Inputs!$F$59*Inputs!$F$60*Inputs!$F$36</f>
        <v/>
      </c>
      <c r="AK32" s="13">
        <f>AK20/100*Inputs!$F$59*Inputs!$F$60*Inputs!$F$36</f>
        <v/>
      </c>
      <c r="AL32" s="13">
        <f>AL20/100*Inputs!$F$59*Inputs!$F$60*Inputs!$F$36</f>
        <v/>
      </c>
      <c r="AM32" s="13">
        <f>AM20/100*Inputs!$F$59*Inputs!$F$60*Inputs!$F$36</f>
        <v/>
      </c>
      <c r="AN32" s="13">
        <f>AN20/100*Inputs!$F$59*Inputs!$F$60*Inputs!$F$36</f>
        <v/>
      </c>
      <c r="AO32" s="13">
        <f>AO20/100*Inputs!$F$59*Inputs!$F$60*Inputs!$F$36</f>
        <v/>
      </c>
      <c r="AP32" s="13">
        <f>AP20/100*Inputs!$F$59*Inputs!$F$60*Inputs!$F$36</f>
        <v/>
      </c>
      <c r="AQ32" s="13">
        <f>AQ20/100*Inputs!$F$59*Inputs!$F$60*Inputs!$F$36</f>
        <v/>
      </c>
      <c r="AR32" s="13">
        <f>AR20/100*Inputs!$F$59*Inputs!$F$60*Inputs!$F$36</f>
        <v/>
      </c>
      <c r="AS32" s="13">
        <f>AS20/100*Inputs!$F$59*Inputs!$F$60*Inputs!$F$36</f>
        <v/>
      </c>
      <c r="AT32" s="13">
        <f>AT20/100*Inputs!$F$59*Inputs!$F$60*Inputs!$F$36</f>
        <v/>
      </c>
      <c r="AU32" s="13">
        <f>AU20/100*Inputs!$F$59*Inputs!$F$60*Inputs!$F$36</f>
        <v/>
      </c>
      <c r="AV32" s="13">
        <f>AV20/100*Inputs!$F$59*Inputs!$F$60*Inputs!$F$36</f>
        <v/>
      </c>
      <c r="AW32" s="13">
        <f>AW20/100*Inputs!$F$59*Inputs!$F$60*Inputs!$F$36</f>
        <v/>
      </c>
      <c r="AX32" s="13">
        <f>AX20/100*Inputs!$F$59*Inputs!$F$60*Inputs!$F$36</f>
        <v/>
      </c>
      <c r="AY32" s="13">
        <f>AY20/100*Inputs!$F$59*Inputs!$F$60*Inputs!$F$36</f>
        <v/>
      </c>
      <c r="AZ32" s="13">
        <f>AZ20/100*Inputs!$F$59*Inputs!$F$60*Inputs!$F$36</f>
        <v/>
      </c>
      <c r="BA32" s="13">
        <f>BA20/100*Inputs!$F$59*Inputs!$F$60*Inputs!$F$36</f>
        <v/>
      </c>
      <c r="BB32" s="13">
        <f>BB20/100*Inputs!$F$59*Inputs!$F$60*Inputs!$F$36</f>
        <v/>
      </c>
      <c r="BC32" s="13">
        <f>BC20/100*Inputs!$F$59*Inputs!$F$60*Inputs!$F$36</f>
        <v/>
      </c>
      <c r="BD32" s="13">
        <f>BD20/100*Inputs!$F$59*Inputs!$F$60*Inputs!$F$36</f>
        <v/>
      </c>
      <c r="BE32" s="13">
        <f>BE20/100*Inputs!$F$59*Inputs!$F$60*Inputs!$F$36</f>
        <v/>
      </c>
      <c r="BF32" s="13">
        <f>BF20/100*Inputs!$F$59*Inputs!$F$60*Inputs!$F$36</f>
        <v/>
      </c>
      <c r="BG32" s="13">
        <f>BG20/100*Inputs!$F$59*Inputs!$F$60*Inputs!$F$36</f>
        <v/>
      </c>
      <c r="BH32" s="13">
        <f>BH20/100*Inputs!$F$59*Inputs!$F$60*Inputs!$F$36</f>
        <v/>
      </c>
      <c r="BI32" s="13">
        <f>BI20/100*Inputs!$F$59*Inputs!$F$60*Inputs!$F$36</f>
        <v/>
      </c>
      <c r="BJ32" s="13">
        <f>BJ20/100*Inputs!$F$59*Inputs!$F$60*Inputs!$F$36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3">
        <f>SUM(J33:BJ33)</f>
        <v/>
      </c>
      <c r="J33" s="13">
        <f>Inputs!$F$70/100*J32</f>
        <v/>
      </c>
      <c r="K33" s="13">
        <f>Inputs!$F$70/100*K32</f>
        <v/>
      </c>
      <c r="L33" s="13">
        <f>Inputs!$F$70/100*L32</f>
        <v/>
      </c>
      <c r="M33" s="13">
        <f>Inputs!$F$70/100*M32</f>
        <v/>
      </c>
      <c r="N33" s="13">
        <f>Inputs!$F$70/100*N32</f>
        <v/>
      </c>
      <c r="O33" s="13">
        <f>Inputs!$F$70/100*O32</f>
        <v/>
      </c>
      <c r="P33" s="13">
        <f>Inputs!$F$70/100*P32</f>
        <v/>
      </c>
      <c r="Q33" s="13">
        <f>Inputs!$F$70/100*Q32</f>
        <v/>
      </c>
      <c r="R33" s="13">
        <f>Inputs!$F$70/100*R32</f>
        <v/>
      </c>
      <c r="S33" s="13">
        <f>Inputs!$F$70/100*S32</f>
        <v/>
      </c>
      <c r="T33" s="13">
        <f>Inputs!$F$70/100*T32</f>
        <v/>
      </c>
      <c r="U33" s="13">
        <f>Inputs!$F$70/100*U32</f>
        <v/>
      </c>
      <c r="V33" s="13">
        <f>Inputs!$F$70/100*V32</f>
        <v/>
      </c>
      <c r="W33" s="13">
        <f>Inputs!$F$70/100*W32</f>
        <v/>
      </c>
      <c r="X33" s="13">
        <f>Inputs!$F$70/100*X32</f>
        <v/>
      </c>
      <c r="Y33" s="13">
        <f>Inputs!$F$70/100*Y32</f>
        <v/>
      </c>
      <c r="Z33" s="13">
        <f>Inputs!$F$70/100*Z32</f>
        <v/>
      </c>
      <c r="AA33" s="13">
        <f>Inputs!$F$70/100*AA32</f>
        <v/>
      </c>
      <c r="AB33" s="13">
        <f>Inputs!$F$70/100*AB32</f>
        <v/>
      </c>
      <c r="AC33" s="13">
        <f>Inputs!$F$70/100*AC32</f>
        <v/>
      </c>
      <c r="AD33" s="13">
        <f>Inputs!$F$70/100*AD32</f>
        <v/>
      </c>
      <c r="AE33" s="13">
        <f>Inputs!$F$70/100*AE32</f>
        <v/>
      </c>
      <c r="AF33" s="13">
        <f>Inputs!$F$70/100*AF32</f>
        <v/>
      </c>
      <c r="AG33" s="13">
        <f>Inputs!$F$70/100*AG32</f>
        <v/>
      </c>
      <c r="AH33" s="13">
        <f>Inputs!$F$70/100*AH32</f>
        <v/>
      </c>
      <c r="AI33" s="13">
        <f>Inputs!$F$70/100*AI32</f>
        <v/>
      </c>
      <c r="AJ33" s="13">
        <f>Inputs!$F$70/100*AJ32</f>
        <v/>
      </c>
      <c r="AK33" s="13">
        <f>Inputs!$F$70/100*AK32</f>
        <v/>
      </c>
      <c r="AL33" s="13">
        <f>Inputs!$F$70/100*AL32</f>
        <v/>
      </c>
      <c r="AM33" s="13">
        <f>Inputs!$F$70/100*AM32</f>
        <v/>
      </c>
      <c r="AN33" s="13">
        <f>Inputs!$F$70/100*AN32</f>
        <v/>
      </c>
      <c r="AO33" s="13">
        <f>Inputs!$F$70/100*AO32</f>
        <v/>
      </c>
      <c r="AP33" s="13">
        <f>Inputs!$F$70/100*AP32</f>
        <v/>
      </c>
      <c r="AQ33" s="13">
        <f>Inputs!$F$70/100*AQ32</f>
        <v/>
      </c>
      <c r="AR33" s="13">
        <f>Inputs!$F$70/100*AR32</f>
        <v/>
      </c>
      <c r="AS33" s="13">
        <f>Inputs!$F$70/100*AS32</f>
        <v/>
      </c>
      <c r="AT33" s="13">
        <f>Inputs!$F$70/100*AT32</f>
        <v/>
      </c>
      <c r="AU33" s="13">
        <f>Inputs!$F$70/100*AU32</f>
        <v/>
      </c>
      <c r="AV33" s="13">
        <f>Inputs!$F$70/100*AV32</f>
        <v/>
      </c>
      <c r="AW33" s="13">
        <f>Inputs!$F$70/100*AW32</f>
        <v/>
      </c>
      <c r="AX33" s="13">
        <f>Inputs!$F$70/100*AX32</f>
        <v/>
      </c>
      <c r="AY33" s="13">
        <f>Inputs!$F$70/100*AY32</f>
        <v/>
      </c>
      <c r="AZ33" s="13">
        <f>Inputs!$F$70/100*AZ32</f>
        <v/>
      </c>
      <c r="BA33" s="13">
        <f>Inputs!$F$70/100*BA32</f>
        <v/>
      </c>
      <c r="BB33" s="13">
        <f>Inputs!$F$70/100*BB32</f>
        <v/>
      </c>
      <c r="BC33" s="13">
        <f>Inputs!$F$70/100*BC32</f>
        <v/>
      </c>
      <c r="BD33" s="13">
        <f>Inputs!$F$70/100*BD32</f>
        <v/>
      </c>
      <c r="BE33" s="13">
        <f>Inputs!$F$70/100*BE32</f>
        <v/>
      </c>
      <c r="BF33" s="13">
        <f>Inputs!$F$70/100*BF32</f>
        <v/>
      </c>
      <c r="BG33" s="13">
        <f>Inputs!$F$70/100*BG32</f>
        <v/>
      </c>
      <c r="BH33" s="13">
        <f>Inputs!$F$70/100*BH32</f>
        <v/>
      </c>
      <c r="BI33" s="13">
        <f>Inputs!$F$70/100*BI32</f>
        <v/>
      </c>
      <c r="BJ33" s="13">
        <f>Inputs!$F$70/100*BJ32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3">
        <f>SUM(J34:BJ34)</f>
        <v/>
      </c>
      <c r="J34" s="13">
        <f>SUMIFS($J$33:$BJ$33,$J$8:$BJ$8,J8-Inputs!$F$246)</f>
        <v/>
      </c>
      <c r="K34" s="13">
        <f>SUMIFS($J$33:$BJ$33,$J$8:$BJ$8,K8-Inputs!$F$246)</f>
        <v/>
      </c>
      <c r="L34" s="13">
        <f>SUMIFS($J$33:$BJ$33,$J$8:$BJ$8,L8-Inputs!$F$246)</f>
        <v/>
      </c>
      <c r="M34" s="13">
        <f>SUMIFS($J$33:$BJ$33,$J$8:$BJ$8,M8-Inputs!$F$246)</f>
        <v/>
      </c>
      <c r="N34" s="13">
        <f>SUMIFS($J$33:$BJ$33,$J$8:$BJ$8,N8-Inputs!$F$246)</f>
        <v/>
      </c>
      <c r="O34" s="13">
        <f>SUMIFS($J$33:$BJ$33,$J$8:$BJ$8,O8-Inputs!$F$246)</f>
        <v/>
      </c>
      <c r="P34" s="13">
        <f>SUMIFS($J$33:$BJ$33,$J$8:$BJ$8,P8-Inputs!$F$246)</f>
        <v/>
      </c>
      <c r="Q34" s="13">
        <f>SUMIFS($J$33:$BJ$33,$J$8:$BJ$8,Q8-Inputs!$F$246)</f>
        <v/>
      </c>
      <c r="R34" s="13">
        <f>SUMIFS($J$33:$BJ$33,$J$8:$BJ$8,R8-Inputs!$F$246)</f>
        <v/>
      </c>
      <c r="S34" s="13">
        <f>SUMIFS($J$33:$BJ$33,$J$8:$BJ$8,S8-Inputs!$F$246)</f>
        <v/>
      </c>
      <c r="T34" s="13">
        <f>SUMIFS($J$33:$BJ$33,$J$8:$BJ$8,T8-Inputs!$F$246)</f>
        <v/>
      </c>
      <c r="U34" s="13">
        <f>SUMIFS($J$33:$BJ$33,$J$8:$BJ$8,U8-Inputs!$F$246)</f>
        <v/>
      </c>
      <c r="V34" s="13">
        <f>SUMIFS($J$33:$BJ$33,$J$8:$BJ$8,V8-Inputs!$F$246)</f>
        <v/>
      </c>
      <c r="W34" s="13">
        <f>SUMIFS($J$33:$BJ$33,$J$8:$BJ$8,W8-Inputs!$F$246)</f>
        <v/>
      </c>
      <c r="X34" s="13">
        <f>SUMIFS($J$33:$BJ$33,$J$8:$BJ$8,X8-Inputs!$F$246)</f>
        <v/>
      </c>
      <c r="Y34" s="13">
        <f>SUMIFS($J$33:$BJ$33,$J$8:$BJ$8,Y8-Inputs!$F$246)</f>
        <v/>
      </c>
      <c r="Z34" s="13">
        <f>SUMIFS($J$33:$BJ$33,$J$8:$BJ$8,Z8-Inputs!$F$246)</f>
        <v/>
      </c>
      <c r="AA34" s="13">
        <f>SUMIFS($J$33:$BJ$33,$J$8:$BJ$8,AA8-Inputs!$F$246)</f>
        <v/>
      </c>
      <c r="AB34" s="13">
        <f>SUMIFS($J$33:$BJ$33,$J$8:$BJ$8,AB8-Inputs!$F$246)</f>
        <v/>
      </c>
      <c r="AC34" s="13">
        <f>SUMIFS($J$33:$BJ$33,$J$8:$BJ$8,AC8-Inputs!$F$246)</f>
        <v/>
      </c>
      <c r="AD34" s="13">
        <f>SUMIFS($J$33:$BJ$33,$J$8:$BJ$8,AD8-Inputs!$F$246)</f>
        <v/>
      </c>
      <c r="AE34" s="13">
        <f>SUMIFS($J$33:$BJ$33,$J$8:$BJ$8,AE8-Inputs!$F$246)</f>
        <v/>
      </c>
      <c r="AF34" s="13">
        <f>SUMIFS($J$33:$BJ$33,$J$8:$BJ$8,AF8-Inputs!$F$246)</f>
        <v/>
      </c>
      <c r="AG34" s="13">
        <f>SUMIFS($J$33:$BJ$33,$J$8:$BJ$8,AG8-Inputs!$F$246)</f>
        <v/>
      </c>
      <c r="AH34" s="13">
        <f>SUMIFS($J$33:$BJ$33,$J$8:$BJ$8,AH8-Inputs!$F$246)</f>
        <v/>
      </c>
      <c r="AI34" s="13">
        <f>SUMIFS($J$33:$BJ$33,$J$8:$BJ$8,AI8-Inputs!$F$246)</f>
        <v/>
      </c>
      <c r="AJ34" s="13">
        <f>SUMIFS($J$33:$BJ$33,$J$8:$BJ$8,AJ8-Inputs!$F$246)</f>
        <v/>
      </c>
      <c r="AK34" s="13">
        <f>SUMIFS($J$33:$BJ$33,$J$8:$BJ$8,AK8-Inputs!$F$246)</f>
        <v/>
      </c>
      <c r="AL34" s="13">
        <f>SUMIFS($J$33:$BJ$33,$J$8:$BJ$8,AL8-Inputs!$F$246)</f>
        <v/>
      </c>
      <c r="AM34" s="13">
        <f>SUMIFS($J$33:$BJ$33,$J$8:$BJ$8,AM8-Inputs!$F$246)</f>
        <v/>
      </c>
      <c r="AN34" s="13">
        <f>SUMIFS($J$33:$BJ$33,$J$8:$BJ$8,AN8-Inputs!$F$246)</f>
        <v/>
      </c>
      <c r="AO34" s="13">
        <f>SUMIFS($J$33:$BJ$33,$J$8:$BJ$8,AO8-Inputs!$F$246)</f>
        <v/>
      </c>
      <c r="AP34" s="13">
        <f>SUMIFS($J$33:$BJ$33,$J$8:$BJ$8,AP8-Inputs!$F$246)</f>
        <v/>
      </c>
      <c r="AQ34" s="13">
        <f>SUMIFS($J$33:$BJ$33,$J$8:$BJ$8,AQ8-Inputs!$F$246)</f>
        <v/>
      </c>
      <c r="AR34" s="13">
        <f>SUMIFS($J$33:$BJ$33,$J$8:$BJ$8,AR8-Inputs!$F$246)</f>
        <v/>
      </c>
      <c r="AS34" s="13">
        <f>SUMIFS($J$33:$BJ$33,$J$8:$BJ$8,AS8-Inputs!$F$246)</f>
        <v/>
      </c>
      <c r="AT34" s="13">
        <f>SUMIFS($J$33:$BJ$33,$J$8:$BJ$8,AT8-Inputs!$F$246)</f>
        <v/>
      </c>
      <c r="AU34" s="13">
        <f>SUMIFS($J$33:$BJ$33,$J$8:$BJ$8,AU8-Inputs!$F$246)</f>
        <v/>
      </c>
      <c r="AV34" s="13">
        <f>SUMIFS($J$33:$BJ$33,$J$8:$BJ$8,AV8-Inputs!$F$246)</f>
        <v/>
      </c>
      <c r="AW34" s="13">
        <f>SUMIFS($J$33:$BJ$33,$J$8:$BJ$8,AW8-Inputs!$F$246)</f>
        <v/>
      </c>
      <c r="AX34" s="13">
        <f>SUMIFS($J$33:$BJ$33,$J$8:$BJ$8,AX8-Inputs!$F$246)</f>
        <v/>
      </c>
      <c r="AY34" s="13">
        <f>SUMIFS($J$33:$BJ$33,$J$8:$BJ$8,AY8-Inputs!$F$246)</f>
        <v/>
      </c>
      <c r="AZ34" s="13">
        <f>SUMIFS($J$33:$BJ$33,$J$8:$BJ$8,AZ8-Inputs!$F$246)</f>
        <v/>
      </c>
      <c r="BA34" s="13">
        <f>SUMIFS($J$33:$BJ$33,$J$8:$BJ$8,BA8-Inputs!$F$246)</f>
        <v/>
      </c>
      <c r="BB34" s="13">
        <f>SUMIFS($J$33:$BJ$33,$J$8:$BJ$8,BB8-Inputs!$F$246)</f>
        <v/>
      </c>
      <c r="BC34" s="13">
        <f>SUMIFS($J$33:$BJ$33,$J$8:$BJ$8,BC8-Inputs!$F$246)</f>
        <v/>
      </c>
      <c r="BD34" s="13">
        <f>SUMIFS($J$33:$BJ$33,$J$8:$BJ$8,BD8-Inputs!$F$246)</f>
        <v/>
      </c>
      <c r="BE34" s="13">
        <f>SUMIFS($J$33:$BJ$33,$J$8:$BJ$8,BE8-Inputs!$F$246)</f>
        <v/>
      </c>
      <c r="BF34" s="13">
        <f>SUMIFS($J$33:$BJ$33,$J$8:$BJ$8,BF8-Inputs!$F$246)</f>
        <v/>
      </c>
      <c r="BG34" s="13">
        <f>SUMIFS($J$33:$BJ$33,$J$8:$BJ$8,BG8-Inputs!$F$246)</f>
        <v/>
      </c>
      <c r="BH34" s="13">
        <f>SUMIFS($J$33:$BJ$33,$J$8:$BJ$8,BH8-Inputs!$F$246)</f>
        <v/>
      </c>
      <c r="BI34" s="13">
        <f>SUMIFS($J$33:$BJ$33,$J$8:$BJ$8,BI8-Inputs!$F$246)</f>
        <v/>
      </c>
      <c r="BJ34" s="13">
        <f>SUMIFS($J$33:$BJ$33,$J$8:$BJ$8,BJ8-Inputs!$F$246)</f>
        <v/>
      </c>
    </row>
    <row r="35">
      <c r="D35" t="inlineStr">
        <is>
          <t>VAT facility balance</t>
        </is>
      </c>
      <c r="E35" t="inlineStr">
        <is>
          <t>KCR m</t>
        </is>
      </c>
      <c r="J35" s="13">
        <f>I35+J33-J34</f>
        <v/>
      </c>
      <c r="K35" s="13">
        <f>J35+K33-K34</f>
        <v/>
      </c>
      <c r="L35" s="13">
        <f>K35+L33-L34</f>
        <v/>
      </c>
      <c r="M35" s="13">
        <f>L35+M33-M34</f>
        <v/>
      </c>
      <c r="N35" s="13">
        <f>M35+N33-N34</f>
        <v/>
      </c>
      <c r="O35" s="13">
        <f>N35+O33-O34</f>
        <v/>
      </c>
      <c r="P35" s="13">
        <f>O35+P33-P34</f>
        <v/>
      </c>
      <c r="Q35" s="13">
        <f>P35+Q33-Q34</f>
        <v/>
      </c>
      <c r="R35" s="13">
        <f>Q35+R33-R34</f>
        <v/>
      </c>
      <c r="S35" s="13">
        <f>R35+S33-S34</f>
        <v/>
      </c>
      <c r="T35" s="13">
        <f>S35+T33-T34</f>
        <v/>
      </c>
      <c r="U35" s="13">
        <f>T35+U33-U34</f>
        <v/>
      </c>
      <c r="V35" s="13">
        <f>U35+V33-V34</f>
        <v/>
      </c>
      <c r="W35" s="13">
        <f>V35+W33-W34</f>
        <v/>
      </c>
      <c r="X35" s="13">
        <f>W35+X33-X34</f>
        <v/>
      </c>
      <c r="Y35" s="13">
        <f>X35+Y33-Y34</f>
        <v/>
      </c>
      <c r="Z35" s="13">
        <f>Y35+Z33-Z34</f>
        <v/>
      </c>
      <c r="AA35" s="13">
        <f>Z35+AA33-AA34</f>
        <v/>
      </c>
      <c r="AB35" s="13">
        <f>AA35+AB33-AB34</f>
        <v/>
      </c>
      <c r="AC35" s="13">
        <f>AB35+AC33-AC34</f>
        <v/>
      </c>
      <c r="AD35" s="13">
        <f>AC35+AD33-AD34</f>
        <v/>
      </c>
      <c r="AE35" s="13">
        <f>AD35+AE33-AE34</f>
        <v/>
      </c>
      <c r="AF35" s="13">
        <f>AE35+AF33-AF34</f>
        <v/>
      </c>
      <c r="AG35" s="13">
        <f>AF35+AG33-AG34</f>
        <v/>
      </c>
      <c r="AH35" s="13">
        <f>AG35+AH33-AH34</f>
        <v/>
      </c>
      <c r="AI35" s="13">
        <f>AH35+AI33-AI34</f>
        <v/>
      </c>
      <c r="AJ35" s="13">
        <f>AI35+AJ33-AJ34</f>
        <v/>
      </c>
      <c r="AK35" s="13">
        <f>AJ35+AK33-AK34</f>
        <v/>
      </c>
      <c r="AL35" s="13">
        <f>AK35+AL33-AL34</f>
        <v/>
      </c>
      <c r="AM35" s="13">
        <f>AL35+AM33-AM34</f>
        <v/>
      </c>
      <c r="AN35" s="13">
        <f>AM35+AN33-AN34</f>
        <v/>
      </c>
      <c r="AO35" s="13">
        <f>AN35+AO33-AO34</f>
        <v/>
      </c>
      <c r="AP35" s="13">
        <f>AO35+AP33-AP34</f>
        <v/>
      </c>
      <c r="AQ35" s="13">
        <f>AP35+AQ33-AQ34</f>
        <v/>
      </c>
      <c r="AR35" s="13">
        <f>AQ35+AR33-AR34</f>
        <v/>
      </c>
      <c r="AS35" s="13">
        <f>AR35+AS33-AS34</f>
        <v/>
      </c>
      <c r="AT35" s="13">
        <f>AS35+AT33-AT34</f>
        <v/>
      </c>
      <c r="AU35" s="13">
        <f>AT35+AU33-AU34</f>
        <v/>
      </c>
      <c r="AV35" s="13">
        <f>AU35+AV33-AV34</f>
        <v/>
      </c>
      <c r="AW35" s="13">
        <f>AV35+AW33-AW34</f>
        <v/>
      </c>
      <c r="AX35" s="13">
        <f>AW35+AX33-AX34</f>
        <v/>
      </c>
      <c r="AY35" s="13">
        <f>AX35+AY33-AY34</f>
        <v/>
      </c>
      <c r="AZ35" s="13">
        <f>AY35+AZ33-AZ34</f>
        <v/>
      </c>
      <c r="BA35" s="13">
        <f>AZ35+BA33-BA34</f>
        <v/>
      </c>
      <c r="BB35" s="13">
        <f>BA35+BB33-BB34</f>
        <v/>
      </c>
      <c r="BC35" s="13">
        <f>BB35+BC33-BC34</f>
        <v/>
      </c>
      <c r="BD35" s="13">
        <f>BC35+BD33-BD34</f>
        <v/>
      </c>
      <c r="BE35" s="13">
        <f>BD35+BE33-BE34</f>
        <v/>
      </c>
      <c r="BF35" s="13">
        <f>BE35+BF33-BF34</f>
        <v/>
      </c>
      <c r="BG35" s="13">
        <f>BF35+BG33-BG34</f>
        <v/>
      </c>
      <c r="BH35" s="13">
        <f>BG35+BH33-BH34</f>
        <v/>
      </c>
      <c r="BI35" s="13">
        <f>BH35+BI33-BI34</f>
        <v/>
      </c>
      <c r="BJ35" s="13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3">
        <f>SUM(J36:BJ36)</f>
        <v/>
      </c>
      <c r="J36" s="13">
        <f>I35*(J18+Inputs!$F$71)/100*J11/Inputs!$F$248/J16</f>
        <v/>
      </c>
      <c r="K36" s="13">
        <f>J35*(K18+Inputs!$F$71)/100*K11/Inputs!$F$248/K16</f>
        <v/>
      </c>
      <c r="L36" s="13">
        <f>K35*(L18+Inputs!$F$71)/100*L11/Inputs!$F$248/L16</f>
        <v/>
      </c>
      <c r="M36" s="13">
        <f>L35*(M18+Inputs!$F$71)/100*M11/Inputs!$F$248/M16</f>
        <v/>
      </c>
      <c r="N36" s="13">
        <f>M35*(N18+Inputs!$F$71)/100*N11/Inputs!$F$248/N16</f>
        <v/>
      </c>
      <c r="O36" s="13">
        <f>N35*(O18+Inputs!$F$71)/100*O11/Inputs!$F$248/O16</f>
        <v/>
      </c>
      <c r="P36" s="13">
        <f>O35*(P18+Inputs!$F$71)/100*P11/Inputs!$F$248/P16</f>
        <v/>
      </c>
      <c r="Q36" s="13">
        <f>P35*(Q18+Inputs!$F$71)/100*Q11/Inputs!$F$248/Q16</f>
        <v/>
      </c>
      <c r="R36" s="13">
        <f>Q35*(R18+Inputs!$F$71)/100*R11/Inputs!$F$248/R16</f>
        <v/>
      </c>
      <c r="S36" s="13">
        <f>R35*(S18+Inputs!$F$71)/100*S11/Inputs!$F$248/S16</f>
        <v/>
      </c>
      <c r="T36" s="13">
        <f>S35*(T18+Inputs!$F$71)/100*T11/Inputs!$F$248/T16</f>
        <v/>
      </c>
      <c r="U36" s="13">
        <f>T35*(U18+Inputs!$F$71)/100*U11/Inputs!$F$248/U16</f>
        <v/>
      </c>
      <c r="V36" s="13">
        <f>U35*(V18+Inputs!$F$71)/100*V11/Inputs!$F$248/V16</f>
        <v/>
      </c>
      <c r="W36" s="13">
        <f>V35*(W18+Inputs!$F$71)/100*W11/Inputs!$F$248/W16</f>
        <v/>
      </c>
      <c r="X36" s="13">
        <f>W35*(X18+Inputs!$F$71)/100*X11/Inputs!$F$248/X16</f>
        <v/>
      </c>
      <c r="Y36" s="13">
        <f>X35*(Y18+Inputs!$F$71)/100*Y11/Inputs!$F$248/Y16</f>
        <v/>
      </c>
      <c r="Z36" s="13">
        <f>Y35*(Z18+Inputs!$F$71)/100*Z11/Inputs!$F$248/Z16</f>
        <v/>
      </c>
      <c r="AA36" s="13">
        <f>Z35*(AA18+Inputs!$F$71)/100*AA11/Inputs!$F$248/AA16</f>
        <v/>
      </c>
      <c r="AB36" s="13">
        <f>AA35*(AB18+Inputs!$F$71)/100*AB11/Inputs!$F$248/AB16</f>
        <v/>
      </c>
      <c r="AC36" s="13">
        <f>AB35*(AC18+Inputs!$F$71)/100*AC11/Inputs!$F$248/AC16</f>
        <v/>
      </c>
      <c r="AD36" s="13">
        <f>AC35*(AD18+Inputs!$F$71)/100*AD11/Inputs!$F$248/AD16</f>
        <v/>
      </c>
      <c r="AE36" s="13">
        <f>AD35*(AE18+Inputs!$F$71)/100*AE11/Inputs!$F$248/AE16</f>
        <v/>
      </c>
      <c r="AF36" s="13">
        <f>AE35*(AF18+Inputs!$F$71)/100*AF11/Inputs!$F$248/AF16</f>
        <v/>
      </c>
      <c r="AG36" s="13">
        <f>AF35*(AG18+Inputs!$F$71)/100*AG11/Inputs!$F$248/AG16</f>
        <v/>
      </c>
      <c r="AH36" s="13">
        <f>AG35*(AH18+Inputs!$F$71)/100*AH11/Inputs!$F$248/AH16</f>
        <v/>
      </c>
      <c r="AI36" s="13">
        <f>AH35*(AI18+Inputs!$F$71)/100*AI11/Inputs!$F$248/AI16</f>
        <v/>
      </c>
      <c r="AJ36" s="13">
        <f>AI35*(AJ18+Inputs!$F$71)/100*AJ11/Inputs!$F$248/AJ16</f>
        <v/>
      </c>
      <c r="AK36" s="13">
        <f>AJ35*(AK18+Inputs!$F$71)/100*AK11/Inputs!$F$248/AK16</f>
        <v/>
      </c>
      <c r="AL36" s="13">
        <f>AK35*(AL18+Inputs!$F$71)/100*AL11/Inputs!$F$248/AL16</f>
        <v/>
      </c>
      <c r="AM36" s="13">
        <f>AL35*(AM18+Inputs!$F$71)/100*AM11/Inputs!$F$248/AM16</f>
        <v/>
      </c>
      <c r="AN36" s="13">
        <f>AM35*(AN18+Inputs!$F$71)/100*AN11/Inputs!$F$248/AN16</f>
        <v/>
      </c>
      <c r="AO36" s="13">
        <f>AN35*(AO18+Inputs!$F$71)/100*AO11/Inputs!$F$248/AO16</f>
        <v/>
      </c>
      <c r="AP36" s="13">
        <f>AO35*(AP18+Inputs!$F$71)/100*AP11/Inputs!$F$248/AP16</f>
        <v/>
      </c>
      <c r="AQ36" s="13">
        <f>AP35*(AQ18+Inputs!$F$71)/100*AQ11/Inputs!$F$248/AQ16</f>
        <v/>
      </c>
      <c r="AR36" s="13">
        <f>AQ35*(AR18+Inputs!$F$71)/100*AR11/Inputs!$F$248/AR16</f>
        <v/>
      </c>
      <c r="AS36" s="13">
        <f>AR35*(AS18+Inputs!$F$71)/100*AS11/Inputs!$F$248/AS16</f>
        <v/>
      </c>
      <c r="AT36" s="13">
        <f>AS35*(AT18+Inputs!$F$71)/100*AT11/Inputs!$F$248/AT16</f>
        <v/>
      </c>
      <c r="AU36" s="13">
        <f>AT35*(AU18+Inputs!$F$71)/100*AU11/Inputs!$F$248/AU16</f>
        <v/>
      </c>
      <c r="AV36" s="13">
        <f>AU35*(AV18+Inputs!$F$71)/100*AV11/Inputs!$F$248/AV16</f>
        <v/>
      </c>
      <c r="AW36" s="13">
        <f>AV35*(AW18+Inputs!$F$71)/100*AW11/Inputs!$F$248/AW16</f>
        <v/>
      </c>
      <c r="AX36" s="13">
        <f>AW35*(AX18+Inputs!$F$71)/100*AX11/Inputs!$F$248/AX16</f>
        <v/>
      </c>
      <c r="AY36" s="13">
        <f>AX35*(AY18+Inputs!$F$71)/100*AY11/Inputs!$F$248/AY16</f>
        <v/>
      </c>
      <c r="AZ36" s="13">
        <f>AY35*(AZ18+Inputs!$F$71)/100*AZ11/Inputs!$F$248/AZ16</f>
        <v/>
      </c>
      <c r="BA36" s="13">
        <f>AZ35*(BA18+Inputs!$F$71)/100*BA11/Inputs!$F$248/BA16</f>
        <v/>
      </c>
      <c r="BB36" s="13">
        <f>BA35*(BB18+Inputs!$F$71)/100*BB11/Inputs!$F$248/BB16</f>
        <v/>
      </c>
      <c r="BC36" s="13">
        <f>BB35*(BC18+Inputs!$F$71)/100*BC11/Inputs!$F$248/BC16</f>
        <v/>
      </c>
      <c r="BD36" s="13">
        <f>BC35*(BD18+Inputs!$F$71)/100*BD11/Inputs!$F$248/BD16</f>
        <v/>
      </c>
      <c r="BE36" s="13">
        <f>BD35*(BE18+Inputs!$F$71)/100*BE11/Inputs!$F$248/BE16</f>
        <v/>
      </c>
      <c r="BF36" s="13">
        <f>BE35*(BF18+Inputs!$F$71)/100*BF11/Inputs!$F$248/BF16</f>
        <v/>
      </c>
      <c r="BG36" s="13">
        <f>BF35*(BG18+Inputs!$F$71)/100*BG11/Inputs!$F$248/BG16</f>
        <v/>
      </c>
      <c r="BH36" s="13">
        <f>BG35*(BH18+Inputs!$F$71)/100*BH11/Inputs!$F$248/BH16</f>
        <v/>
      </c>
      <c r="BI36" s="13">
        <f>BH35*(BI18+Inputs!$F$71)/100*BI11/Inputs!$F$248/BI16</f>
        <v/>
      </c>
      <c r="BJ36" s="13">
        <f>BI35*(BJ18+Inputs!$F$71)/100*BJ11/Inputs!$F$248/BJ16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CHOOSE(Inputs!$F$33,Inputs!J290,Inputs!J291,Inputs!J292)</f>
        <v/>
      </c>
      <c r="K8" s="13">
        <f>CHOOSE(Inputs!$F$33,Inputs!K290,Inputs!K291,Inputs!K292)</f>
        <v/>
      </c>
      <c r="L8" s="13">
        <f>CHOOSE(Inputs!$F$33,Inputs!L290,Inputs!L291,Inputs!L292)</f>
        <v/>
      </c>
      <c r="M8" s="13">
        <f>CHOOSE(Inputs!$F$33,Inputs!M290,Inputs!M291,Inputs!M292)</f>
        <v/>
      </c>
      <c r="N8" s="13">
        <f>CHOOSE(Inputs!$F$33,Inputs!N290,Inputs!N291,Inputs!N292)</f>
        <v/>
      </c>
      <c r="O8" s="13">
        <f>CHOOSE(Inputs!$F$33,Inputs!O290,Inputs!O291,Inputs!O292)</f>
        <v/>
      </c>
      <c r="P8" s="13">
        <f>CHOOSE(Inputs!$F$33,Inputs!P290,Inputs!P291,Inputs!P292)</f>
        <v/>
      </c>
      <c r="Q8" s="13">
        <f>CHOOSE(Inputs!$F$33,Inputs!Q290,Inputs!Q291,Inputs!Q292)</f>
        <v/>
      </c>
      <c r="R8" s="13">
        <f>CHOOSE(Inputs!$F$33,Inputs!R290,Inputs!R291,Inputs!R292)</f>
        <v/>
      </c>
      <c r="S8" s="13">
        <f>CHOOSE(Inputs!$F$33,Inputs!S290,Inputs!S291,Inputs!S292)</f>
        <v/>
      </c>
      <c r="T8" s="13">
        <f>CHOOSE(Inputs!$F$33,Inputs!T290,Inputs!T291,Inputs!T292)</f>
        <v/>
      </c>
      <c r="U8" s="13">
        <f>CHOOSE(Inputs!$F$33,Inputs!U290,Inputs!U291,Inputs!U292)</f>
        <v/>
      </c>
      <c r="V8" s="13">
        <f>CHOOSE(Inputs!$F$33,Inputs!V290,Inputs!V291,Inputs!V292)</f>
        <v/>
      </c>
      <c r="W8" s="13">
        <f>CHOOSE(Inputs!$F$33,Inputs!W290,Inputs!W291,Inputs!W292)</f>
        <v/>
      </c>
      <c r="X8" s="13">
        <f>CHOOSE(Inputs!$F$33,Inputs!X290,Inputs!X291,Inputs!X292)</f>
        <v/>
      </c>
      <c r="Y8" s="13">
        <f>CHOOSE(Inputs!$F$33,Inputs!Y290,Inputs!Y291,Inputs!Y292)</f>
        <v/>
      </c>
      <c r="Z8" s="13">
        <f>CHOOSE(Inputs!$F$33,Inputs!Z290,Inputs!Z291,Inputs!Z292)</f>
        <v/>
      </c>
      <c r="AA8" s="13">
        <f>CHOOSE(Inputs!$F$33,Inputs!AA290,Inputs!AA291,Inputs!AA292)</f>
        <v/>
      </c>
      <c r="AB8" s="13">
        <f>CHOOSE(Inputs!$F$33,Inputs!AB290,Inputs!AB291,Inputs!AB292)</f>
        <v/>
      </c>
      <c r="AC8" s="13">
        <f>CHOOSE(Inputs!$F$33,Inputs!AC290,Inputs!AC291,Inputs!AC292)</f>
        <v/>
      </c>
      <c r="AD8" s="13">
        <f>CHOOSE(Inputs!$F$33,Inputs!AD290,Inputs!AD291,Inputs!AD292)</f>
        <v/>
      </c>
      <c r="AE8" s="13">
        <f>CHOOSE(Inputs!$F$33,Inputs!AE290,Inputs!AE291,Inputs!AE292)</f>
        <v/>
      </c>
      <c r="AF8" s="13">
        <f>CHOOSE(Inputs!$F$33,Inputs!AF290,Inputs!AF291,Inputs!AF292)</f>
        <v/>
      </c>
      <c r="AG8" s="13">
        <f>CHOOSE(Inputs!$F$33,Inputs!AG290,Inputs!AG291,Inputs!AG292)</f>
        <v/>
      </c>
      <c r="AH8" s="13">
        <f>CHOOSE(Inputs!$F$33,Inputs!AH290,Inputs!AH291,Inputs!AH292)</f>
        <v/>
      </c>
      <c r="AI8" s="13">
        <f>CHOOSE(Inputs!$F$33,Inputs!AI290,Inputs!AI291,Inputs!AI292)</f>
        <v/>
      </c>
      <c r="AJ8" s="13">
        <f>CHOOSE(Inputs!$F$33,Inputs!AJ290,Inputs!AJ291,Inputs!AJ292)</f>
        <v/>
      </c>
      <c r="AK8" s="13">
        <f>CHOOSE(Inputs!$F$33,Inputs!AK290,Inputs!AK291,Inputs!AK292)</f>
        <v/>
      </c>
      <c r="AL8" s="13">
        <f>CHOOSE(Inputs!$F$33,Inputs!AL290,Inputs!AL291,Inputs!AL292)</f>
        <v/>
      </c>
      <c r="AM8" s="13">
        <f>CHOOSE(Inputs!$F$33,Inputs!AM290,Inputs!AM291,Inputs!AM292)</f>
        <v/>
      </c>
      <c r="AN8" s="13">
        <f>CHOOSE(Inputs!$F$33,Inputs!AN290,Inputs!AN291,Inputs!AN292)</f>
        <v/>
      </c>
      <c r="AO8" s="13">
        <f>CHOOSE(Inputs!$F$33,Inputs!AO290,Inputs!AO291,Inputs!AO292)</f>
        <v/>
      </c>
      <c r="AP8" s="13">
        <f>CHOOSE(Inputs!$F$33,Inputs!AP290,Inputs!AP291,Inputs!AP292)</f>
        <v/>
      </c>
      <c r="AQ8" s="13">
        <f>CHOOSE(Inputs!$F$33,Inputs!AQ290,Inputs!AQ291,Inputs!AQ292)</f>
        <v/>
      </c>
      <c r="AR8" s="13">
        <f>CHOOSE(Inputs!$F$33,Inputs!AR290,Inputs!AR291,Inputs!AR292)</f>
        <v/>
      </c>
      <c r="AS8" s="13">
        <f>CHOOSE(Inputs!$F$33,Inputs!AS290,Inputs!AS291,Inputs!AS292)</f>
        <v/>
      </c>
      <c r="AT8" s="13">
        <f>CHOOSE(Inputs!$F$33,Inputs!AT290,Inputs!AT291,Inputs!AT292)</f>
        <v/>
      </c>
      <c r="AU8" s="13">
        <f>CHOOSE(Inputs!$F$33,Inputs!AU290,Inputs!AU291,Inputs!AU292)</f>
        <v/>
      </c>
      <c r="AV8" s="13">
        <f>CHOOSE(Inputs!$F$33,Inputs!AV290,Inputs!AV291,Inputs!AV292)</f>
        <v/>
      </c>
      <c r="AW8" s="13">
        <f>CHOOSE(Inputs!$F$33,Inputs!AW290,Inputs!AW291,Inputs!AW292)</f>
        <v/>
      </c>
      <c r="AX8" s="13">
        <f>CHOOSE(Inputs!$F$33,Inputs!AX290,Inputs!AX291,Inputs!AX292)</f>
        <v/>
      </c>
      <c r="AY8" s="13">
        <f>CHOOSE(Inputs!$F$33,Inputs!AY290,Inputs!AY291,Inputs!AY292)</f>
        <v/>
      </c>
      <c r="AZ8" s="13">
        <f>CHOOSE(Inputs!$F$33,Inputs!AZ290,Inputs!AZ291,Inputs!AZ292)</f>
        <v/>
      </c>
      <c r="BA8" s="13">
        <f>CHOOSE(Inputs!$F$33,Inputs!BA290,Inputs!BA291,Inputs!BA292)</f>
        <v/>
      </c>
      <c r="BB8" s="13">
        <f>CHOOSE(Inputs!$F$33,Inputs!BB290,Inputs!BB291,Inputs!BB292)</f>
        <v/>
      </c>
      <c r="BC8" s="13">
        <f>CHOOSE(Inputs!$F$33,Inputs!BC290,Inputs!BC291,Inputs!BC292)</f>
        <v/>
      </c>
      <c r="BD8" s="13">
        <f>CHOOSE(Inputs!$F$33,Inputs!BD290,Inputs!BD291,Inputs!BD292)</f>
        <v/>
      </c>
      <c r="BE8" s="13">
        <f>CHOOSE(Inputs!$F$33,Inputs!BE290,Inputs!BE291,Inputs!BE292)</f>
        <v/>
      </c>
      <c r="BF8" s="13">
        <f>CHOOSE(Inputs!$F$33,Inputs!BF290,Inputs!BF291,Inputs!BF292)</f>
        <v/>
      </c>
      <c r="BG8" s="13">
        <f>CHOOSE(Inputs!$F$33,Inputs!BG290,Inputs!BG291,Inputs!BG292)</f>
        <v/>
      </c>
      <c r="BH8" s="13">
        <f>CHOOSE(Inputs!$F$33,Inputs!BH290,Inputs!BH291,Inputs!BH292)</f>
        <v/>
      </c>
      <c r="BI8" s="13">
        <f>CHOOSE(Inputs!$F$33,Inputs!BI290,Inputs!BI291,Inputs!BI292)</f>
        <v/>
      </c>
      <c r="BJ8" s="13">
        <f>CHOOSE(Inputs!$F$33,Inputs!BJ290,Inputs!BJ291,Inputs!BJ292)</f>
        <v/>
      </c>
      <c r="BK8" s="13">
        <f>CHOOSE(Inputs!$F$33,Inputs!BK290,Inputs!BK291,Inputs!BK292)</f>
        <v/>
      </c>
      <c r="BL8" s="13">
        <f>CHOOSE(Inputs!$F$33,Inputs!BL290,Inputs!BL291,Inputs!BL292)</f>
        <v/>
      </c>
      <c r="BM8" s="13">
        <f>CHOOSE(Inputs!$F$33,Inputs!BM290,Inputs!BM291,Inputs!BM292)</f>
        <v/>
      </c>
      <c r="BN8" s="13">
        <f>CHOOSE(Inputs!$F$33,Inputs!BN290,Inputs!BN291,Inputs!BN292)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CHOOSE(Inputs!$F$33,Inputs!$F$60*Time!$F$16^((Time!J20-Inputs!$F$212)*Time!J24),IF(Inputs!J293&gt;0,Inputs!J293,I10*((1+J13/100)/(1+J12/100))^Time!J24),IF(Time!J54=0,Inputs!J293,I10*Time!$F$16^Time!J24))</f>
        <v/>
      </c>
      <c r="K10" s="13">
        <f>CHOOSE(Inputs!$F$33,Inputs!$F$60*Time!$F$16^((Time!K20-Inputs!$F$212)*Time!K24),IF(Inputs!K293&gt;0,Inputs!K293,J10*((1+K13/100)/(1+K12/100))^Time!K24),IF(Time!K54=0,Inputs!K293,J10*Time!$F$16^Time!K24))</f>
        <v/>
      </c>
      <c r="L10" s="13">
        <f>CHOOSE(Inputs!$F$33,Inputs!$F$60*Time!$F$16^((Time!L20-Inputs!$F$212)*Time!L24),IF(Inputs!L293&gt;0,Inputs!L293,K10*((1+L13/100)/(1+L12/100))^Time!L24),IF(Time!L54=0,Inputs!L293,K10*Time!$F$16^Time!L24))</f>
        <v/>
      </c>
      <c r="M10" s="13">
        <f>CHOOSE(Inputs!$F$33,Inputs!$F$60*Time!$F$16^((Time!M20-Inputs!$F$212)*Time!M24),IF(Inputs!M293&gt;0,Inputs!M293,L10*((1+M13/100)/(1+M12/100))^Time!M24),IF(Time!M54=0,Inputs!M293,L10*Time!$F$16^Time!M24))</f>
        <v/>
      </c>
      <c r="N10" s="13">
        <f>CHOOSE(Inputs!$F$33,Inputs!$F$60*Time!$F$16^((Time!N20-Inputs!$F$212)*Time!N24),IF(Inputs!N293&gt;0,Inputs!N293,M10*((1+N13/100)/(1+N12/100))^Time!N24),IF(Time!N54=0,Inputs!N293,M10*Time!$F$16^Time!N24))</f>
        <v/>
      </c>
      <c r="O10" s="13">
        <f>CHOOSE(Inputs!$F$33,Inputs!$F$60*Time!$F$16^((Time!O20-Inputs!$F$212)*Time!O24),IF(Inputs!O293&gt;0,Inputs!O293,N10*((1+O13/100)/(1+O12/100))^Time!O24),IF(Time!O54=0,Inputs!O293,N10*Time!$F$16^Time!O24))</f>
        <v/>
      </c>
      <c r="P10" s="13">
        <f>CHOOSE(Inputs!$F$33,Inputs!$F$60*Time!$F$16^((Time!P20-Inputs!$F$212)*Time!P24),IF(Inputs!P293&gt;0,Inputs!P293,O10*((1+P13/100)/(1+P12/100))^Time!P24),IF(Time!P54=0,Inputs!P293,O10*Time!$F$16^Time!P24))</f>
        <v/>
      </c>
      <c r="Q10" s="13">
        <f>CHOOSE(Inputs!$F$33,Inputs!$F$60*Time!$F$16^((Time!Q20-Inputs!$F$212)*Time!Q24),IF(Inputs!Q293&gt;0,Inputs!Q293,P10*((1+Q13/100)/(1+Q12/100))^Time!Q24),IF(Time!Q54=0,Inputs!Q293,P10*Time!$F$16^Time!Q24))</f>
        <v/>
      </c>
      <c r="R10" s="13">
        <f>CHOOSE(Inputs!$F$33,Inputs!$F$60*Time!$F$16^((Time!R20-Inputs!$F$212)*Time!R24),IF(Inputs!R293&gt;0,Inputs!R293,Q10*((1+R13/100)/(1+R12/100))^Time!R24),IF(Time!R54=0,Inputs!R293,Q10*Time!$F$16^Time!R24))</f>
        <v/>
      </c>
      <c r="S10" s="13">
        <f>CHOOSE(Inputs!$F$33,Inputs!$F$60*Time!$F$16^((Time!S20-Inputs!$F$212)*Time!S24),IF(Inputs!S293&gt;0,Inputs!S293,R10*((1+S13/100)/(1+S12/100))^Time!S24),IF(Time!S54=0,Inputs!S293,R10*Time!$F$16^Time!S24))</f>
        <v/>
      </c>
      <c r="T10" s="13">
        <f>CHOOSE(Inputs!$F$33,Inputs!$F$60*Time!$F$16^((Time!T20-Inputs!$F$212)*Time!T24),IF(Inputs!T293&gt;0,Inputs!T293,S10*((1+T13/100)/(1+T12/100))^Time!T24),IF(Time!T54=0,Inputs!T293,S10*Time!$F$16^Time!T24))</f>
        <v/>
      </c>
      <c r="U10" s="13">
        <f>CHOOSE(Inputs!$F$33,Inputs!$F$60*Time!$F$16^((Time!U20-Inputs!$F$212)*Time!U24),IF(Inputs!U293&gt;0,Inputs!U293,T10*((1+U13/100)/(1+U12/100))^Time!U24),IF(Time!U54=0,Inputs!U293,T10*Time!$F$16^Time!U24))</f>
        <v/>
      </c>
      <c r="V10" s="13">
        <f>CHOOSE(Inputs!$F$33,Inputs!$F$60*Time!$F$16^((Time!V20-Inputs!$F$212)*Time!V24),IF(Inputs!V293&gt;0,Inputs!V293,U10*((1+V13/100)/(1+V12/100))^Time!V24),IF(Time!V54=0,Inputs!V293,U10*Time!$F$16^Time!V24))</f>
        <v/>
      </c>
      <c r="W10" s="13">
        <f>CHOOSE(Inputs!$F$33,Inputs!$F$60*Time!$F$16^((Time!W20-Inputs!$F$212)*Time!W24),IF(Inputs!W293&gt;0,Inputs!W293,V10*((1+W13/100)/(1+W12/100))^Time!W24),IF(Time!W54=0,Inputs!W293,V10*Time!$F$16^Time!W24))</f>
        <v/>
      </c>
      <c r="X10" s="13">
        <f>CHOOSE(Inputs!$F$33,Inputs!$F$60*Time!$F$16^((Time!X20-Inputs!$F$212)*Time!X24),IF(Inputs!X293&gt;0,Inputs!X293,W10*((1+X13/100)/(1+X12/100))^Time!X24),IF(Time!X54=0,Inputs!X293,W10*Time!$F$16^Time!X24))</f>
        <v/>
      </c>
      <c r="Y10" s="13">
        <f>CHOOSE(Inputs!$F$33,Inputs!$F$60*Time!$F$16^((Time!Y20-Inputs!$F$212)*Time!Y24),IF(Inputs!Y293&gt;0,Inputs!Y293,X10*((1+Y13/100)/(1+Y12/100))^Time!Y24),IF(Time!Y54=0,Inputs!Y293,X10*Time!$F$16^Time!Y24))</f>
        <v/>
      </c>
      <c r="Z10" s="13">
        <f>CHOOSE(Inputs!$F$33,Inputs!$F$60*Time!$F$16^((Time!Z20-Inputs!$F$212)*Time!Z24),IF(Inputs!Z293&gt;0,Inputs!Z293,Y10*((1+Z13/100)/(1+Z12/100))^Time!Z24),IF(Time!Z54=0,Inputs!Z293,Y10*Time!$F$16^Time!Z24))</f>
        <v/>
      </c>
      <c r="AA10" s="13">
        <f>CHOOSE(Inputs!$F$33,Inputs!$F$60*Time!$F$16^((Time!AA20-Inputs!$F$212)*Time!AA24),IF(Inputs!AA293&gt;0,Inputs!AA293,Z10*((1+AA13/100)/(1+AA12/100))^Time!AA24),IF(Time!AA54=0,Inputs!AA293,Z10*Time!$F$16^Time!AA24))</f>
        <v/>
      </c>
      <c r="AB10" s="13">
        <f>CHOOSE(Inputs!$F$33,Inputs!$F$60*Time!$F$16^((Time!AB20-Inputs!$F$212)*Time!AB24),IF(Inputs!AB293&gt;0,Inputs!AB293,AA10*((1+AB13/100)/(1+AB12/100))^Time!AB24),IF(Time!AB54=0,Inputs!AB293,AA10*Time!$F$16^Time!AB24))</f>
        <v/>
      </c>
      <c r="AC10" s="13">
        <f>CHOOSE(Inputs!$F$33,Inputs!$F$60*Time!$F$16^((Time!AC20-Inputs!$F$212)*Time!AC24),IF(Inputs!AC293&gt;0,Inputs!AC293,AB10*((1+AC13/100)/(1+AC12/100))^Time!AC24),IF(Time!AC54=0,Inputs!AC293,AB10*Time!$F$16^Time!AC24))</f>
        <v/>
      </c>
      <c r="AD10" s="13">
        <f>CHOOSE(Inputs!$F$33,Inputs!$F$60*Time!$F$16^((Time!AD20-Inputs!$F$212)*Time!AD24),IF(Inputs!AD293&gt;0,Inputs!AD293,AC10*((1+AD13/100)/(1+AD12/100))^Time!AD24),IF(Time!AD54=0,Inputs!AD293,AC10*Time!$F$16^Time!AD24))</f>
        <v/>
      </c>
      <c r="AE10" s="13">
        <f>CHOOSE(Inputs!$F$33,Inputs!$F$60*Time!$F$16^((Time!AE20-Inputs!$F$212)*Time!AE24),IF(Inputs!AE293&gt;0,Inputs!AE293,AD10*((1+AE13/100)/(1+AE12/100))^Time!AE24),IF(Time!AE54=0,Inputs!AE293,AD10*Time!$F$16^Time!AE24))</f>
        <v/>
      </c>
      <c r="AF10" s="13">
        <f>CHOOSE(Inputs!$F$33,Inputs!$F$60*Time!$F$16^((Time!AF20-Inputs!$F$212)*Time!AF24),IF(Inputs!AF293&gt;0,Inputs!AF293,AE10*((1+AF13/100)/(1+AF12/100))^Time!AF24),IF(Time!AF54=0,Inputs!AF293,AE10*Time!$F$16^Time!AF24))</f>
        <v/>
      </c>
      <c r="AG10" s="13">
        <f>CHOOSE(Inputs!$F$33,Inputs!$F$60*Time!$F$16^((Time!AG20-Inputs!$F$212)*Time!AG24),IF(Inputs!AG293&gt;0,Inputs!AG293,AF10*((1+AG13/100)/(1+AG12/100))^Time!AG24),IF(Time!AG54=0,Inputs!AG293,AF10*Time!$F$16^Time!AG24))</f>
        <v/>
      </c>
      <c r="AH10" s="13">
        <f>CHOOSE(Inputs!$F$33,Inputs!$F$60*Time!$F$16^((Time!AH20-Inputs!$F$212)*Time!AH24),IF(Inputs!AH293&gt;0,Inputs!AH293,AG10*((1+AH13/100)/(1+AH12/100))^Time!AH24),IF(Time!AH54=0,Inputs!AH293,AG10*Time!$F$16^Time!AH24))</f>
        <v/>
      </c>
      <c r="AI10" s="13">
        <f>CHOOSE(Inputs!$F$33,Inputs!$F$60*Time!$F$16^((Time!AI20-Inputs!$F$212)*Time!AI24),IF(Inputs!AI293&gt;0,Inputs!AI293,AH10*((1+AI13/100)/(1+AI12/100))^Time!AI24),IF(Time!AI54=0,Inputs!AI293,AH10*Time!$F$16^Time!AI24))</f>
        <v/>
      </c>
      <c r="AJ10" s="13">
        <f>CHOOSE(Inputs!$F$33,Inputs!$F$60*Time!$F$16^((Time!AJ20-Inputs!$F$212)*Time!AJ24),IF(Inputs!AJ293&gt;0,Inputs!AJ293,AI10*((1+AJ13/100)/(1+AJ12/100))^Time!AJ24),IF(Time!AJ54=0,Inputs!AJ293,AI10*Time!$F$16^Time!AJ24))</f>
        <v/>
      </c>
      <c r="AK10" s="13">
        <f>CHOOSE(Inputs!$F$33,Inputs!$F$60*Time!$F$16^((Time!AK20-Inputs!$F$212)*Time!AK24),IF(Inputs!AK293&gt;0,Inputs!AK293,AJ10*((1+AK13/100)/(1+AK12/100))^Time!AK24),IF(Time!AK54=0,Inputs!AK293,AJ10*Time!$F$16^Time!AK24))</f>
        <v/>
      </c>
      <c r="AL10" s="13">
        <f>CHOOSE(Inputs!$F$33,Inputs!$F$60*Time!$F$16^((Time!AL20-Inputs!$F$212)*Time!AL24),IF(Inputs!AL293&gt;0,Inputs!AL293,AK10*((1+AL13/100)/(1+AL12/100))^Time!AL24),IF(Time!AL54=0,Inputs!AL293,AK10*Time!$F$16^Time!AL24))</f>
        <v/>
      </c>
      <c r="AM10" s="13">
        <f>CHOOSE(Inputs!$F$33,Inputs!$F$60*Time!$F$16^((Time!AM20-Inputs!$F$212)*Time!AM24),IF(Inputs!AM293&gt;0,Inputs!AM293,AL10*((1+AM13/100)/(1+AM12/100))^Time!AM24),IF(Time!AM54=0,Inputs!AM293,AL10*Time!$F$16^Time!AM24))</f>
        <v/>
      </c>
      <c r="AN10" s="13">
        <f>CHOOSE(Inputs!$F$33,Inputs!$F$60*Time!$F$16^((Time!AN20-Inputs!$F$212)*Time!AN24),IF(Inputs!AN293&gt;0,Inputs!AN293,AM10*((1+AN13/100)/(1+AN12/100))^Time!AN24),IF(Time!AN54=0,Inputs!AN293,AM10*Time!$F$16^Time!AN24))</f>
        <v/>
      </c>
      <c r="AO10" s="13">
        <f>CHOOSE(Inputs!$F$33,Inputs!$F$60*Time!$F$16^((Time!AO20-Inputs!$F$212)*Time!AO24),IF(Inputs!AO293&gt;0,Inputs!AO293,AN10*((1+AO13/100)/(1+AO12/100))^Time!AO24),IF(Time!AO54=0,Inputs!AO293,AN10*Time!$F$16^Time!AO24))</f>
        <v/>
      </c>
      <c r="AP10" s="13">
        <f>CHOOSE(Inputs!$F$33,Inputs!$F$60*Time!$F$16^((Time!AP20-Inputs!$F$212)*Time!AP24),IF(Inputs!AP293&gt;0,Inputs!AP293,AO10*((1+AP13/100)/(1+AP12/100))^Time!AP24),IF(Time!AP54=0,Inputs!AP293,AO10*Time!$F$16^Time!AP24))</f>
        <v/>
      </c>
      <c r="AQ10" s="13">
        <f>CHOOSE(Inputs!$F$33,Inputs!$F$60*Time!$F$16^((Time!AQ20-Inputs!$F$212)*Time!AQ24),IF(Inputs!AQ293&gt;0,Inputs!AQ293,AP10*((1+AQ13/100)/(1+AQ12/100))^Time!AQ24),IF(Time!AQ54=0,Inputs!AQ293,AP10*Time!$F$16^Time!AQ24))</f>
        <v/>
      </c>
      <c r="AR10" s="13">
        <f>CHOOSE(Inputs!$F$33,Inputs!$F$60*Time!$F$16^((Time!AR20-Inputs!$F$212)*Time!AR24),IF(Inputs!AR293&gt;0,Inputs!AR293,AQ10*((1+AR13/100)/(1+AR12/100))^Time!AR24),IF(Time!AR54=0,Inputs!AR293,AQ10*Time!$F$16^Time!AR24))</f>
        <v/>
      </c>
      <c r="AS10" s="13">
        <f>CHOOSE(Inputs!$F$33,Inputs!$F$60*Time!$F$16^((Time!AS20-Inputs!$F$212)*Time!AS24),IF(Inputs!AS293&gt;0,Inputs!AS293,AR10*((1+AS13/100)/(1+AS12/100))^Time!AS24),IF(Time!AS54=0,Inputs!AS293,AR10*Time!$F$16^Time!AS24))</f>
        <v/>
      </c>
      <c r="AT10" s="13">
        <f>CHOOSE(Inputs!$F$33,Inputs!$F$60*Time!$F$16^((Time!AT20-Inputs!$F$212)*Time!AT24),IF(Inputs!AT293&gt;0,Inputs!AT293,AS10*((1+AT13/100)/(1+AT12/100))^Time!AT24),IF(Time!AT54=0,Inputs!AT293,AS10*Time!$F$16^Time!AT24))</f>
        <v/>
      </c>
      <c r="AU10" s="13">
        <f>CHOOSE(Inputs!$F$33,Inputs!$F$60*Time!$F$16^((Time!AU20-Inputs!$F$212)*Time!AU24),IF(Inputs!AU293&gt;0,Inputs!AU293,AT10*((1+AU13/100)/(1+AU12/100))^Time!AU24),IF(Time!AU54=0,Inputs!AU293,AT10*Time!$F$16^Time!AU24))</f>
        <v/>
      </c>
      <c r="AV10" s="13">
        <f>CHOOSE(Inputs!$F$33,Inputs!$F$60*Time!$F$16^((Time!AV20-Inputs!$F$212)*Time!AV24),IF(Inputs!AV293&gt;0,Inputs!AV293,AU10*((1+AV13/100)/(1+AV12/100))^Time!AV24),IF(Time!AV54=0,Inputs!AV293,AU10*Time!$F$16^Time!AV24))</f>
        <v/>
      </c>
      <c r="AW10" s="13">
        <f>CHOOSE(Inputs!$F$33,Inputs!$F$60*Time!$F$16^((Time!AW20-Inputs!$F$212)*Time!AW24),IF(Inputs!AW293&gt;0,Inputs!AW293,AV10*((1+AW13/100)/(1+AW12/100))^Time!AW24),IF(Time!AW54=0,Inputs!AW293,AV10*Time!$F$16^Time!AW24))</f>
        <v/>
      </c>
      <c r="AX10" s="13">
        <f>CHOOSE(Inputs!$F$33,Inputs!$F$60*Time!$F$16^((Time!AX20-Inputs!$F$212)*Time!AX24),IF(Inputs!AX293&gt;0,Inputs!AX293,AW10*((1+AX13/100)/(1+AX12/100))^Time!AX24),IF(Time!AX54=0,Inputs!AX293,AW10*Time!$F$16^Time!AX24))</f>
        <v/>
      </c>
      <c r="AY10" s="13">
        <f>CHOOSE(Inputs!$F$33,Inputs!$F$60*Time!$F$16^((Time!AY20-Inputs!$F$212)*Time!AY24),IF(Inputs!AY293&gt;0,Inputs!AY293,AX10*((1+AY13/100)/(1+AY12/100))^Time!AY24),IF(Time!AY54=0,Inputs!AY293,AX10*Time!$F$16^Time!AY24))</f>
        <v/>
      </c>
      <c r="AZ10" s="13">
        <f>CHOOSE(Inputs!$F$33,Inputs!$F$60*Time!$F$16^((Time!AZ20-Inputs!$F$212)*Time!AZ24),IF(Inputs!AZ293&gt;0,Inputs!AZ293,AY10*((1+AZ13/100)/(1+AZ12/100))^Time!AZ24),IF(Time!AZ54=0,Inputs!AZ293,AY10*Time!$F$16^Time!AZ24))</f>
        <v/>
      </c>
      <c r="BA10" s="13">
        <f>CHOOSE(Inputs!$F$33,Inputs!$F$60*Time!$F$16^((Time!BA20-Inputs!$F$212)*Time!BA24),IF(Inputs!BA293&gt;0,Inputs!BA293,AZ10*((1+BA13/100)/(1+BA12/100))^Time!BA24),IF(Time!BA54=0,Inputs!BA293,AZ10*Time!$F$16^Time!BA24))</f>
        <v/>
      </c>
      <c r="BB10" s="13">
        <f>CHOOSE(Inputs!$F$33,Inputs!$F$60*Time!$F$16^((Time!BB20-Inputs!$F$212)*Time!BB24),IF(Inputs!BB293&gt;0,Inputs!BB293,BA10*((1+BB13/100)/(1+BB12/100))^Time!BB24),IF(Time!BB54=0,Inputs!BB293,BA10*Time!$F$16^Time!BB24))</f>
        <v/>
      </c>
      <c r="BC10" s="13">
        <f>CHOOSE(Inputs!$F$33,Inputs!$F$60*Time!$F$16^((Time!BC20-Inputs!$F$212)*Time!BC24),IF(Inputs!BC293&gt;0,Inputs!BC293,BB10*((1+BC13/100)/(1+BC12/100))^Time!BC24),IF(Time!BC54=0,Inputs!BC293,BB10*Time!$F$16^Time!BC24))</f>
        <v/>
      </c>
      <c r="BD10" s="13">
        <f>CHOOSE(Inputs!$F$33,Inputs!$F$60*Time!$F$16^((Time!BD20-Inputs!$F$212)*Time!BD24),IF(Inputs!BD293&gt;0,Inputs!BD293,BC10*((1+BD13/100)/(1+BD12/100))^Time!BD24),IF(Time!BD54=0,Inputs!BD293,BC10*Time!$F$16^Time!BD24))</f>
        <v/>
      </c>
      <c r="BE10" s="13">
        <f>CHOOSE(Inputs!$F$33,Inputs!$F$60*Time!$F$16^((Time!BE20-Inputs!$F$212)*Time!BE24),IF(Inputs!BE293&gt;0,Inputs!BE293,BD10*((1+BE13/100)/(1+BE12/100))^Time!BE24),IF(Time!BE54=0,Inputs!BE293,BD10*Time!$F$16^Time!BE24))</f>
        <v/>
      </c>
      <c r="BF10" s="13">
        <f>CHOOSE(Inputs!$F$33,Inputs!$F$60*Time!$F$16^((Time!BF20-Inputs!$F$212)*Time!BF24),IF(Inputs!BF293&gt;0,Inputs!BF293,BE10*((1+BF13/100)/(1+BF12/100))^Time!BF24),IF(Time!BF54=0,Inputs!BF293,BE10*Time!$F$16^Time!BF24))</f>
        <v/>
      </c>
      <c r="BG10" s="13">
        <f>CHOOSE(Inputs!$F$33,Inputs!$F$60*Time!$F$16^((Time!BG20-Inputs!$F$212)*Time!BG24),IF(Inputs!BG293&gt;0,Inputs!BG293,BF10*((1+BG13/100)/(1+BG12/100))^Time!BG24),IF(Time!BG54=0,Inputs!BG293,BF10*Time!$F$16^Time!BG24))</f>
        <v/>
      </c>
      <c r="BH10" s="13">
        <f>CHOOSE(Inputs!$F$33,Inputs!$F$60*Time!$F$16^((Time!BH20-Inputs!$F$212)*Time!BH24),IF(Inputs!BH293&gt;0,Inputs!BH293,BG10*((1+BH13/100)/(1+BH12/100))^Time!BH24),IF(Time!BH54=0,Inputs!BH293,BG10*Time!$F$16^Time!BH24))</f>
        <v/>
      </c>
      <c r="BI10" s="13">
        <f>CHOOSE(Inputs!$F$33,Inputs!$F$60*Time!$F$16^((Time!BI20-Inputs!$F$212)*Time!BI24),IF(Inputs!BI293&gt;0,Inputs!BI293,BH10*((1+BI13/100)/(1+BI12/100))^Time!BI24),IF(Time!BI54=0,Inputs!BI293,BH10*Time!$F$16^Time!BI24))</f>
        <v/>
      </c>
      <c r="BJ10" s="13">
        <f>CHOOSE(Inputs!$F$33,Inputs!$F$60*Time!$F$16^((Time!BJ20-Inputs!$F$212)*Time!BJ24),IF(Inputs!BJ293&gt;0,Inputs!BJ293,BI10*((1+BJ13/100)/(1+BJ12/100))^Time!BJ24),IF(Time!BJ54=0,Inputs!BJ293,BI10*Time!$F$16^Time!BJ24))</f>
        <v/>
      </c>
      <c r="BK10" s="13">
        <f>CHOOSE(Inputs!$F$33,Inputs!$F$60*Time!$F$16^((Time!BK20-Inputs!$F$212)*Time!BK24),IF(Inputs!BK293&gt;0,Inputs!BK293,BJ10*((1+BK13/100)/(1+BK12/100))^Time!BK24),IF(Time!BK54=0,Inputs!BK293,BJ10*Time!$F$16^Time!BK24))</f>
        <v/>
      </c>
      <c r="BL10" s="13">
        <f>CHOOSE(Inputs!$F$33,Inputs!$F$60*Time!$F$16^((Time!BL20-Inputs!$F$212)*Time!BL24),IF(Inputs!BL293&gt;0,Inputs!BL293,BK10*((1+BL13/100)/(1+BL12/100))^Time!BL24),IF(Time!BL54=0,Inputs!BL293,BK10*Time!$F$16^Time!BL24))</f>
        <v/>
      </c>
      <c r="BM10" s="13">
        <f>CHOOSE(Inputs!$F$33,Inputs!$F$60*Time!$F$16^((Time!BM20-Inputs!$F$212)*Time!BM24),IF(Inputs!BM293&gt;0,Inputs!BM293,BL10*((1+BM13/100)/(1+BM12/100))^Time!BM24),IF(Time!BM54=0,Inputs!BM293,BL10*Time!$F$16^Time!BM24))</f>
        <v/>
      </c>
      <c r="BN10" s="13">
        <f>CHOOSE(Inputs!$F$33,Inputs!$F$60*Time!$F$16^((Time!BN20-Inputs!$F$212)*Time!BN24),IF(Inputs!BN293&gt;0,Inputs!BN293,BM10*((1+BN13/100)/(1+BN12/100))^Time!BN24),IF(Time!BN54=0,Inputs!BN293,BM10*Time!$F$16^Time!BN24))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CHOOSE(Inputs!$F$33,INDEX(Inputs!$J$282:$AR$282,1,MATCH((Time!J26-0),Inputs!$J$281:$AR$281,0)),INDEX(Inputs!$J$284:$AR$284,1,MATCH((Time!J26-0),Inputs!$J$281:$AR$281,0)),INDEX(Inputs!$J$286:$AR$286,1,MATCH((Time!J26-0),Inputs!$J$281:$AR$281,0)))</f>
        <v/>
      </c>
      <c r="K12" s="13">
        <f>CHOOSE(Inputs!$F$33,INDEX(Inputs!$J$282:$AR$282,1,MATCH((Time!K26-0),Inputs!$J$281:$AR$281,0)),INDEX(Inputs!$J$284:$AR$284,1,MATCH((Time!K26-0),Inputs!$J$281:$AR$281,0)),INDEX(Inputs!$J$286:$AR$286,1,MATCH((Time!K26-0),Inputs!$J$281:$AR$281,0)))</f>
        <v/>
      </c>
      <c r="L12" s="13">
        <f>CHOOSE(Inputs!$F$33,INDEX(Inputs!$J$282:$AR$282,1,MATCH((Time!L26-0),Inputs!$J$281:$AR$281,0)),INDEX(Inputs!$J$284:$AR$284,1,MATCH((Time!L26-0),Inputs!$J$281:$AR$281,0)),INDEX(Inputs!$J$286:$AR$286,1,MATCH((Time!L26-0),Inputs!$J$281:$AR$281,0)))</f>
        <v/>
      </c>
      <c r="M12" s="13">
        <f>CHOOSE(Inputs!$F$33,INDEX(Inputs!$J$282:$AR$282,1,MATCH((Time!M26-0),Inputs!$J$281:$AR$281,0)),INDEX(Inputs!$J$284:$AR$284,1,MATCH((Time!M26-0),Inputs!$J$281:$AR$281,0)),INDEX(Inputs!$J$286:$AR$286,1,MATCH((Time!M26-0),Inputs!$J$281:$AR$281,0)))</f>
        <v/>
      </c>
      <c r="N12" s="13">
        <f>CHOOSE(Inputs!$F$33,INDEX(Inputs!$J$282:$AR$282,1,MATCH((Time!N26-0),Inputs!$J$281:$AR$281,0)),INDEX(Inputs!$J$284:$AR$284,1,MATCH((Time!N26-0),Inputs!$J$281:$AR$281,0)),INDEX(Inputs!$J$286:$AR$286,1,MATCH((Time!N26-0),Inputs!$J$281:$AR$281,0)))</f>
        <v/>
      </c>
      <c r="O12" s="13">
        <f>CHOOSE(Inputs!$F$33,INDEX(Inputs!$J$282:$AR$282,1,MATCH((Time!O26-0),Inputs!$J$281:$AR$281,0)),INDEX(Inputs!$J$284:$AR$284,1,MATCH((Time!O26-0),Inputs!$J$281:$AR$281,0)),INDEX(Inputs!$J$286:$AR$286,1,MATCH((Time!O26-0),Inputs!$J$281:$AR$281,0)))</f>
        <v/>
      </c>
      <c r="P12" s="13">
        <f>CHOOSE(Inputs!$F$33,INDEX(Inputs!$J$282:$AR$282,1,MATCH((Time!P26-0),Inputs!$J$281:$AR$281,0)),INDEX(Inputs!$J$284:$AR$284,1,MATCH((Time!P26-0),Inputs!$J$281:$AR$281,0)),INDEX(Inputs!$J$286:$AR$286,1,MATCH((Time!P26-0),Inputs!$J$281:$AR$281,0)))</f>
        <v/>
      </c>
      <c r="Q12" s="13">
        <f>CHOOSE(Inputs!$F$33,INDEX(Inputs!$J$282:$AR$282,1,MATCH((Time!Q26-0),Inputs!$J$281:$AR$281,0)),INDEX(Inputs!$J$284:$AR$284,1,MATCH((Time!Q26-0),Inputs!$J$281:$AR$281,0)),INDEX(Inputs!$J$286:$AR$286,1,MATCH((Time!Q26-0),Inputs!$J$281:$AR$281,0)))</f>
        <v/>
      </c>
      <c r="R12" s="13">
        <f>CHOOSE(Inputs!$F$33,INDEX(Inputs!$J$282:$AR$282,1,MATCH((Time!R26-0),Inputs!$J$281:$AR$281,0)),INDEX(Inputs!$J$284:$AR$284,1,MATCH((Time!R26-0),Inputs!$J$281:$AR$281,0)),INDEX(Inputs!$J$286:$AR$286,1,MATCH((Time!R26-0),Inputs!$J$281:$AR$281,0)))</f>
        <v/>
      </c>
      <c r="S12" s="13">
        <f>CHOOSE(Inputs!$F$33,INDEX(Inputs!$J$282:$AR$282,1,MATCH((Time!S26-0),Inputs!$J$281:$AR$281,0)),INDEX(Inputs!$J$284:$AR$284,1,MATCH((Time!S26-0),Inputs!$J$281:$AR$281,0)),INDEX(Inputs!$J$286:$AR$286,1,MATCH((Time!S26-0),Inputs!$J$281:$AR$281,0)))</f>
        <v/>
      </c>
      <c r="T12" s="13">
        <f>CHOOSE(Inputs!$F$33,INDEX(Inputs!$J$282:$AR$282,1,MATCH((Time!T26-0),Inputs!$J$281:$AR$281,0)),INDEX(Inputs!$J$284:$AR$284,1,MATCH((Time!T26-0),Inputs!$J$281:$AR$281,0)),INDEX(Inputs!$J$286:$AR$286,1,MATCH((Time!T26-0),Inputs!$J$281:$AR$281,0)))</f>
        <v/>
      </c>
      <c r="U12" s="13">
        <f>CHOOSE(Inputs!$F$33,INDEX(Inputs!$J$282:$AR$282,1,MATCH((Time!U26-0),Inputs!$J$281:$AR$281,0)),INDEX(Inputs!$J$284:$AR$284,1,MATCH((Time!U26-0),Inputs!$J$281:$AR$281,0)),INDEX(Inputs!$J$286:$AR$286,1,MATCH((Time!U26-0),Inputs!$J$281:$AR$281,0)))</f>
        <v/>
      </c>
      <c r="V12" s="13">
        <f>CHOOSE(Inputs!$F$33,INDEX(Inputs!$J$282:$AR$282,1,MATCH((Time!V26-0),Inputs!$J$281:$AR$281,0)),INDEX(Inputs!$J$284:$AR$284,1,MATCH((Time!V26-0),Inputs!$J$281:$AR$281,0)),INDEX(Inputs!$J$286:$AR$286,1,MATCH((Time!V26-0),Inputs!$J$281:$AR$281,0)))</f>
        <v/>
      </c>
      <c r="W12" s="13">
        <f>CHOOSE(Inputs!$F$33,INDEX(Inputs!$J$282:$AR$282,1,MATCH((Time!W26-0),Inputs!$J$281:$AR$281,0)),INDEX(Inputs!$J$284:$AR$284,1,MATCH((Time!W26-0),Inputs!$J$281:$AR$281,0)),INDEX(Inputs!$J$286:$AR$286,1,MATCH((Time!W26-0),Inputs!$J$281:$AR$281,0)))</f>
        <v/>
      </c>
      <c r="X12" s="13">
        <f>CHOOSE(Inputs!$F$33,INDEX(Inputs!$J$282:$AR$282,1,MATCH((Time!X26-0),Inputs!$J$281:$AR$281,0)),INDEX(Inputs!$J$284:$AR$284,1,MATCH((Time!X26-0),Inputs!$J$281:$AR$281,0)),INDEX(Inputs!$J$286:$AR$286,1,MATCH((Time!X26-0),Inputs!$J$281:$AR$281,0)))</f>
        <v/>
      </c>
      <c r="Y12" s="13">
        <f>CHOOSE(Inputs!$F$33,INDEX(Inputs!$J$282:$AR$282,1,MATCH((Time!Y26-0),Inputs!$J$281:$AR$281,0)),INDEX(Inputs!$J$284:$AR$284,1,MATCH((Time!Y26-0),Inputs!$J$281:$AR$281,0)),INDEX(Inputs!$J$286:$AR$286,1,MATCH((Time!Y26-0),Inputs!$J$281:$AR$281,0)))</f>
        <v/>
      </c>
      <c r="Z12" s="13">
        <f>CHOOSE(Inputs!$F$33,INDEX(Inputs!$J$282:$AR$282,1,MATCH((Time!Z26-0),Inputs!$J$281:$AR$281,0)),INDEX(Inputs!$J$284:$AR$284,1,MATCH((Time!Z26-0),Inputs!$J$281:$AR$281,0)),INDEX(Inputs!$J$286:$AR$286,1,MATCH((Time!Z26-0),Inputs!$J$281:$AR$281,0)))</f>
        <v/>
      </c>
      <c r="AA12" s="13">
        <f>CHOOSE(Inputs!$F$33,INDEX(Inputs!$J$282:$AR$282,1,MATCH((Time!AA26-0),Inputs!$J$281:$AR$281,0)),INDEX(Inputs!$J$284:$AR$284,1,MATCH((Time!AA26-0),Inputs!$J$281:$AR$281,0)),INDEX(Inputs!$J$286:$AR$286,1,MATCH((Time!AA26-0),Inputs!$J$281:$AR$281,0)))</f>
        <v/>
      </c>
      <c r="AB12" s="13">
        <f>CHOOSE(Inputs!$F$33,INDEX(Inputs!$J$282:$AR$282,1,MATCH((Time!AB26-0),Inputs!$J$281:$AR$281,0)),INDEX(Inputs!$J$284:$AR$284,1,MATCH((Time!AB26-0),Inputs!$J$281:$AR$281,0)),INDEX(Inputs!$J$286:$AR$286,1,MATCH((Time!AB26-0),Inputs!$J$281:$AR$281,0)))</f>
        <v/>
      </c>
      <c r="AC12" s="13">
        <f>CHOOSE(Inputs!$F$33,INDEX(Inputs!$J$282:$AR$282,1,MATCH((Time!AC26-0),Inputs!$J$281:$AR$281,0)),INDEX(Inputs!$J$284:$AR$284,1,MATCH((Time!AC26-0),Inputs!$J$281:$AR$281,0)),INDEX(Inputs!$J$286:$AR$286,1,MATCH((Time!AC26-0),Inputs!$J$281:$AR$281,0)))</f>
        <v/>
      </c>
      <c r="AD12" s="13">
        <f>CHOOSE(Inputs!$F$33,INDEX(Inputs!$J$282:$AR$282,1,MATCH((Time!AD26-0),Inputs!$J$281:$AR$281,0)),INDEX(Inputs!$J$284:$AR$284,1,MATCH((Time!AD26-0),Inputs!$J$281:$AR$281,0)),INDEX(Inputs!$J$286:$AR$286,1,MATCH((Time!AD26-0),Inputs!$J$281:$AR$281,0)))</f>
        <v/>
      </c>
      <c r="AE12" s="13">
        <f>CHOOSE(Inputs!$F$33,INDEX(Inputs!$J$282:$AR$282,1,MATCH((Time!AE26-0),Inputs!$J$281:$AR$281,0)),INDEX(Inputs!$J$284:$AR$284,1,MATCH((Time!AE26-0),Inputs!$J$281:$AR$281,0)),INDEX(Inputs!$J$286:$AR$286,1,MATCH((Time!AE26-0),Inputs!$J$281:$AR$281,0)))</f>
        <v/>
      </c>
      <c r="AF12" s="13">
        <f>CHOOSE(Inputs!$F$33,INDEX(Inputs!$J$282:$AR$282,1,MATCH((Time!AF26-0),Inputs!$J$281:$AR$281,0)),INDEX(Inputs!$J$284:$AR$284,1,MATCH((Time!AF26-0),Inputs!$J$281:$AR$281,0)),INDEX(Inputs!$J$286:$AR$286,1,MATCH((Time!AF26-0),Inputs!$J$281:$AR$281,0)))</f>
        <v/>
      </c>
      <c r="AG12" s="13">
        <f>CHOOSE(Inputs!$F$33,INDEX(Inputs!$J$282:$AR$282,1,MATCH((Time!AG26-0),Inputs!$J$281:$AR$281,0)),INDEX(Inputs!$J$284:$AR$284,1,MATCH((Time!AG26-0),Inputs!$J$281:$AR$281,0)),INDEX(Inputs!$J$286:$AR$286,1,MATCH((Time!AG26-0),Inputs!$J$281:$AR$281,0)))</f>
        <v/>
      </c>
      <c r="AH12" s="13">
        <f>CHOOSE(Inputs!$F$33,INDEX(Inputs!$J$282:$AR$282,1,MATCH((Time!AH26-0),Inputs!$J$281:$AR$281,0)),INDEX(Inputs!$J$284:$AR$284,1,MATCH((Time!AH26-0),Inputs!$J$281:$AR$281,0)),INDEX(Inputs!$J$286:$AR$286,1,MATCH((Time!AH26-0),Inputs!$J$281:$AR$281,0)))</f>
        <v/>
      </c>
      <c r="AI12" s="13">
        <f>CHOOSE(Inputs!$F$33,INDEX(Inputs!$J$282:$AR$282,1,MATCH((Time!AI26-0),Inputs!$J$281:$AR$281,0)),INDEX(Inputs!$J$284:$AR$284,1,MATCH((Time!AI26-0),Inputs!$J$281:$AR$281,0)),INDEX(Inputs!$J$286:$AR$286,1,MATCH((Time!AI26-0),Inputs!$J$281:$AR$281,0)))</f>
        <v/>
      </c>
      <c r="AJ12" s="13">
        <f>CHOOSE(Inputs!$F$33,INDEX(Inputs!$J$282:$AR$282,1,MATCH((Time!AJ26-0),Inputs!$J$281:$AR$281,0)),INDEX(Inputs!$J$284:$AR$284,1,MATCH((Time!AJ26-0),Inputs!$J$281:$AR$281,0)),INDEX(Inputs!$J$286:$AR$286,1,MATCH((Time!AJ26-0),Inputs!$J$281:$AR$281,0)))</f>
        <v/>
      </c>
      <c r="AK12" s="13">
        <f>CHOOSE(Inputs!$F$33,INDEX(Inputs!$J$282:$AR$282,1,MATCH((Time!AK26-0),Inputs!$J$281:$AR$281,0)),INDEX(Inputs!$J$284:$AR$284,1,MATCH((Time!AK26-0),Inputs!$J$281:$AR$281,0)),INDEX(Inputs!$J$286:$AR$286,1,MATCH((Time!AK26-0),Inputs!$J$281:$AR$281,0)))</f>
        <v/>
      </c>
      <c r="AL12" s="13">
        <f>CHOOSE(Inputs!$F$33,INDEX(Inputs!$J$282:$AR$282,1,MATCH((Time!AL26-0),Inputs!$J$281:$AR$281,0)),INDEX(Inputs!$J$284:$AR$284,1,MATCH((Time!AL26-0),Inputs!$J$281:$AR$281,0)),INDEX(Inputs!$J$286:$AR$286,1,MATCH((Time!AL26-0),Inputs!$J$281:$AR$281,0)))</f>
        <v/>
      </c>
      <c r="AM12" s="13">
        <f>CHOOSE(Inputs!$F$33,INDEX(Inputs!$J$282:$AR$282,1,MATCH((Time!AM26-0),Inputs!$J$281:$AR$281,0)),INDEX(Inputs!$J$284:$AR$284,1,MATCH((Time!AM26-0),Inputs!$J$281:$AR$281,0)),INDEX(Inputs!$J$286:$AR$286,1,MATCH((Time!AM26-0),Inputs!$J$281:$AR$281,0)))</f>
        <v/>
      </c>
      <c r="AN12" s="13">
        <f>CHOOSE(Inputs!$F$33,INDEX(Inputs!$J$282:$AR$282,1,MATCH((Time!AN26-0),Inputs!$J$281:$AR$281,0)),INDEX(Inputs!$J$284:$AR$284,1,MATCH((Time!AN26-0),Inputs!$J$281:$AR$281,0)),INDEX(Inputs!$J$286:$AR$286,1,MATCH((Time!AN26-0),Inputs!$J$281:$AR$281,0)))</f>
        <v/>
      </c>
      <c r="AO12" s="13">
        <f>CHOOSE(Inputs!$F$33,INDEX(Inputs!$J$282:$AR$282,1,MATCH((Time!AO26-0),Inputs!$J$281:$AR$281,0)),INDEX(Inputs!$J$284:$AR$284,1,MATCH((Time!AO26-0),Inputs!$J$281:$AR$281,0)),INDEX(Inputs!$J$286:$AR$286,1,MATCH((Time!AO26-0),Inputs!$J$281:$AR$281,0)))</f>
        <v/>
      </c>
      <c r="AP12" s="13">
        <f>CHOOSE(Inputs!$F$33,INDEX(Inputs!$J$282:$AR$282,1,MATCH((Time!AP26-0),Inputs!$J$281:$AR$281,0)),INDEX(Inputs!$J$284:$AR$284,1,MATCH((Time!AP26-0),Inputs!$J$281:$AR$281,0)),INDEX(Inputs!$J$286:$AR$286,1,MATCH((Time!AP26-0),Inputs!$J$281:$AR$281,0)))</f>
        <v/>
      </c>
      <c r="AQ12" s="13">
        <f>CHOOSE(Inputs!$F$33,INDEX(Inputs!$J$282:$AR$282,1,MATCH((Time!AQ26-0),Inputs!$J$281:$AR$281,0)),INDEX(Inputs!$J$284:$AR$284,1,MATCH((Time!AQ26-0),Inputs!$J$281:$AR$281,0)),INDEX(Inputs!$J$286:$AR$286,1,MATCH((Time!AQ26-0),Inputs!$J$281:$AR$281,0)))</f>
        <v/>
      </c>
      <c r="AR12" s="13">
        <f>CHOOSE(Inputs!$F$33,INDEX(Inputs!$J$282:$AR$282,1,MATCH((Time!AR26-0),Inputs!$J$281:$AR$281,0)),INDEX(Inputs!$J$284:$AR$284,1,MATCH((Time!AR26-0),Inputs!$J$281:$AR$281,0)),INDEX(Inputs!$J$286:$AR$286,1,MATCH((Time!AR26-0),Inputs!$J$281:$AR$281,0)))</f>
        <v/>
      </c>
      <c r="AS12" s="13">
        <f>CHOOSE(Inputs!$F$33,INDEX(Inputs!$J$282:$AR$282,1,MATCH((Time!AS26-0),Inputs!$J$281:$AR$281,0)),INDEX(Inputs!$J$284:$AR$284,1,MATCH((Time!AS26-0),Inputs!$J$281:$AR$281,0)),INDEX(Inputs!$J$286:$AR$286,1,MATCH((Time!AS26-0),Inputs!$J$281:$AR$281,0)))</f>
        <v/>
      </c>
      <c r="AT12" s="13">
        <f>CHOOSE(Inputs!$F$33,INDEX(Inputs!$J$282:$AR$282,1,MATCH((Time!AT26-0),Inputs!$J$281:$AR$281,0)),INDEX(Inputs!$J$284:$AR$284,1,MATCH((Time!AT26-0),Inputs!$J$281:$AR$281,0)),INDEX(Inputs!$J$286:$AR$286,1,MATCH((Time!AT26-0),Inputs!$J$281:$AR$281,0)))</f>
        <v/>
      </c>
      <c r="AU12" s="13">
        <f>CHOOSE(Inputs!$F$33,INDEX(Inputs!$J$282:$AR$282,1,MATCH((Time!AU26-0),Inputs!$J$281:$AR$281,0)),INDEX(Inputs!$J$284:$AR$284,1,MATCH((Time!AU26-0),Inputs!$J$281:$AR$281,0)),INDEX(Inputs!$J$286:$AR$286,1,MATCH((Time!AU26-0),Inputs!$J$281:$AR$281,0)))</f>
        <v/>
      </c>
      <c r="AV12" s="13">
        <f>CHOOSE(Inputs!$F$33,INDEX(Inputs!$J$282:$AR$282,1,MATCH((Time!AV26-0),Inputs!$J$281:$AR$281,0)),INDEX(Inputs!$J$284:$AR$284,1,MATCH((Time!AV26-0),Inputs!$J$281:$AR$281,0)),INDEX(Inputs!$J$286:$AR$286,1,MATCH((Time!AV26-0),Inputs!$J$281:$AR$281,0)))</f>
        <v/>
      </c>
      <c r="AW12" s="13">
        <f>CHOOSE(Inputs!$F$33,INDEX(Inputs!$J$282:$AR$282,1,MATCH((Time!AW26-0),Inputs!$J$281:$AR$281,0)),INDEX(Inputs!$J$284:$AR$284,1,MATCH((Time!AW26-0),Inputs!$J$281:$AR$281,0)),INDEX(Inputs!$J$286:$AR$286,1,MATCH((Time!AW26-0),Inputs!$J$281:$AR$281,0)))</f>
        <v/>
      </c>
      <c r="AX12" s="13">
        <f>CHOOSE(Inputs!$F$33,INDEX(Inputs!$J$282:$AR$282,1,MATCH((Time!AX26-0),Inputs!$J$281:$AR$281,0)),INDEX(Inputs!$J$284:$AR$284,1,MATCH((Time!AX26-0),Inputs!$J$281:$AR$281,0)),INDEX(Inputs!$J$286:$AR$286,1,MATCH((Time!AX26-0),Inputs!$J$281:$AR$281,0)))</f>
        <v/>
      </c>
      <c r="AY12" s="13">
        <f>CHOOSE(Inputs!$F$33,INDEX(Inputs!$J$282:$AR$282,1,MATCH((Time!AY26-0),Inputs!$J$281:$AR$281,0)),INDEX(Inputs!$J$284:$AR$284,1,MATCH((Time!AY26-0),Inputs!$J$281:$AR$281,0)),INDEX(Inputs!$J$286:$AR$286,1,MATCH((Time!AY26-0),Inputs!$J$281:$AR$281,0)))</f>
        <v/>
      </c>
      <c r="AZ12" s="13">
        <f>CHOOSE(Inputs!$F$33,INDEX(Inputs!$J$282:$AR$282,1,MATCH((Time!AZ26-0),Inputs!$J$281:$AR$281,0)),INDEX(Inputs!$J$284:$AR$284,1,MATCH((Time!AZ26-0),Inputs!$J$281:$AR$281,0)),INDEX(Inputs!$J$286:$AR$286,1,MATCH((Time!AZ26-0),Inputs!$J$281:$AR$281,0)))</f>
        <v/>
      </c>
      <c r="BA12" s="13">
        <f>CHOOSE(Inputs!$F$33,INDEX(Inputs!$J$282:$AR$282,1,MATCH((Time!BA26-0),Inputs!$J$281:$AR$281,0)),INDEX(Inputs!$J$284:$AR$284,1,MATCH((Time!BA26-0),Inputs!$J$281:$AR$281,0)),INDEX(Inputs!$J$286:$AR$286,1,MATCH((Time!BA26-0),Inputs!$J$281:$AR$281,0)))</f>
        <v/>
      </c>
      <c r="BB12" s="13">
        <f>CHOOSE(Inputs!$F$33,INDEX(Inputs!$J$282:$AR$282,1,MATCH((Time!BB26-0),Inputs!$J$281:$AR$281,0)),INDEX(Inputs!$J$284:$AR$284,1,MATCH((Time!BB26-0),Inputs!$J$281:$AR$281,0)),INDEX(Inputs!$J$286:$AR$286,1,MATCH((Time!BB26-0),Inputs!$J$281:$AR$281,0)))</f>
        <v/>
      </c>
      <c r="BC12" s="13">
        <f>CHOOSE(Inputs!$F$33,INDEX(Inputs!$J$282:$AR$282,1,MATCH((Time!BC26-0),Inputs!$J$281:$AR$281,0)),INDEX(Inputs!$J$284:$AR$284,1,MATCH((Time!BC26-0),Inputs!$J$281:$AR$281,0)),INDEX(Inputs!$J$286:$AR$286,1,MATCH((Time!BC26-0),Inputs!$J$281:$AR$281,0)))</f>
        <v/>
      </c>
      <c r="BD12" s="13">
        <f>CHOOSE(Inputs!$F$33,INDEX(Inputs!$J$282:$AR$282,1,MATCH((Time!BD26-0),Inputs!$J$281:$AR$281,0)),INDEX(Inputs!$J$284:$AR$284,1,MATCH((Time!BD26-0),Inputs!$J$281:$AR$281,0)),INDEX(Inputs!$J$286:$AR$286,1,MATCH((Time!BD26-0),Inputs!$J$281:$AR$281,0)))</f>
        <v/>
      </c>
      <c r="BE12" s="13">
        <f>CHOOSE(Inputs!$F$33,INDEX(Inputs!$J$282:$AR$282,1,MATCH((Time!BE26-0),Inputs!$J$281:$AR$281,0)),INDEX(Inputs!$J$284:$AR$284,1,MATCH((Time!BE26-0),Inputs!$J$281:$AR$281,0)),INDEX(Inputs!$J$286:$AR$286,1,MATCH((Time!BE26-0),Inputs!$J$281:$AR$281,0)))</f>
        <v/>
      </c>
      <c r="BF12" s="13">
        <f>CHOOSE(Inputs!$F$33,INDEX(Inputs!$J$282:$AR$282,1,MATCH((Time!BF26-0),Inputs!$J$281:$AR$281,0)),INDEX(Inputs!$J$284:$AR$284,1,MATCH((Time!BF26-0),Inputs!$J$281:$AR$281,0)),INDEX(Inputs!$J$286:$AR$286,1,MATCH((Time!BF26-0),Inputs!$J$281:$AR$281,0)))</f>
        <v/>
      </c>
      <c r="BG12" s="13">
        <f>CHOOSE(Inputs!$F$33,INDEX(Inputs!$J$282:$AR$282,1,MATCH((Time!BG26-0),Inputs!$J$281:$AR$281,0)),INDEX(Inputs!$J$284:$AR$284,1,MATCH((Time!BG26-0),Inputs!$J$281:$AR$281,0)),INDEX(Inputs!$J$286:$AR$286,1,MATCH((Time!BG26-0),Inputs!$J$281:$AR$281,0)))</f>
        <v/>
      </c>
      <c r="BH12" s="13">
        <f>CHOOSE(Inputs!$F$33,INDEX(Inputs!$J$282:$AR$282,1,MATCH((Time!BH26-0),Inputs!$J$281:$AR$281,0)),INDEX(Inputs!$J$284:$AR$284,1,MATCH((Time!BH26-0),Inputs!$J$281:$AR$281,0)),INDEX(Inputs!$J$286:$AR$286,1,MATCH((Time!BH26-0),Inputs!$J$281:$AR$281,0)))</f>
        <v/>
      </c>
      <c r="BI12" s="13">
        <f>CHOOSE(Inputs!$F$33,INDEX(Inputs!$J$282:$AR$282,1,MATCH((Time!BI26-0),Inputs!$J$281:$AR$281,0)),INDEX(Inputs!$J$284:$AR$284,1,MATCH((Time!BI26-0),Inputs!$J$281:$AR$281,0)),INDEX(Inputs!$J$286:$AR$286,1,MATCH((Time!BI26-0),Inputs!$J$281:$AR$281,0)))</f>
        <v/>
      </c>
      <c r="BJ12" s="13">
        <f>CHOOSE(Inputs!$F$33,INDEX(Inputs!$J$282:$AR$282,1,MATCH((Time!BJ26-0),Inputs!$J$281:$AR$281,0)),INDEX(Inputs!$J$284:$AR$284,1,MATCH((Time!BJ26-0),Inputs!$J$281:$AR$281,0)),INDEX(Inputs!$J$286:$AR$286,1,MATCH((Time!BJ26-0),Inputs!$J$281:$AR$281,0)))</f>
        <v/>
      </c>
      <c r="BK12" s="13">
        <f>CHOOSE(Inputs!$F$33,INDEX(Inputs!$J$282:$AR$282,1,MATCH((Time!BK26-0),Inputs!$J$281:$AR$281,0)),INDEX(Inputs!$J$284:$AR$284,1,MATCH((Time!BK26-0),Inputs!$J$281:$AR$281,0)),INDEX(Inputs!$J$286:$AR$286,1,MATCH((Time!BK26-0),Inputs!$J$281:$AR$281,0)))</f>
        <v/>
      </c>
      <c r="BL12" s="13">
        <f>CHOOSE(Inputs!$F$33,INDEX(Inputs!$J$282:$AR$282,1,MATCH((Time!BL26-0),Inputs!$J$281:$AR$281,0)),INDEX(Inputs!$J$284:$AR$284,1,MATCH((Time!BL26-0),Inputs!$J$281:$AR$281,0)),INDEX(Inputs!$J$286:$AR$286,1,MATCH((Time!BL26-0),Inputs!$J$281:$AR$281,0)))</f>
        <v/>
      </c>
      <c r="BM12" s="13">
        <f>CHOOSE(Inputs!$F$33,INDEX(Inputs!$J$282:$AR$282,1,MATCH((Time!BM26-0),Inputs!$J$281:$AR$281,0)),INDEX(Inputs!$J$284:$AR$284,1,MATCH((Time!BM26-0),Inputs!$J$281:$AR$281,0)),INDEX(Inputs!$J$286:$AR$286,1,MATCH((Time!BM26-0),Inputs!$J$281:$AR$281,0)))</f>
        <v/>
      </c>
      <c r="BN12" s="13">
        <f>CHOOSE(Inputs!$F$33,INDEX(Inputs!$J$282:$AR$282,1,MATCH((Time!BN26-0),Inputs!$J$281:$AR$281,0)),INDEX(Inputs!$J$284:$AR$284,1,MATCH((Time!BN26-0),Inputs!$J$281:$AR$281,0)),INDEX(Inputs!$J$286:$AR$286,1,MATCH((Time!BN26-0),Inputs!$J$281:$AR$281,0)))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CHOOSE(Inputs!$F$33,INDEX(Inputs!$J$283:$AR$283,1,MATCH((Time!J26-0),Inputs!$J$281:$AR$281,0)),INDEX(Inputs!$J$285:$AR$285,1,MATCH((Time!J26-0),Inputs!$J$281:$AR$281,0)),INDEX(Inputs!$J$287:$AR$287,1,MATCH((Time!J26-0),Inputs!$J$281:$AR$281,0)))</f>
        <v/>
      </c>
      <c r="K13" s="13">
        <f>CHOOSE(Inputs!$F$33,INDEX(Inputs!$J$283:$AR$283,1,MATCH((Time!K26-0),Inputs!$J$281:$AR$281,0)),INDEX(Inputs!$J$285:$AR$285,1,MATCH((Time!K26-0),Inputs!$J$281:$AR$281,0)),INDEX(Inputs!$J$287:$AR$287,1,MATCH((Time!K26-0),Inputs!$J$281:$AR$281,0)))</f>
        <v/>
      </c>
      <c r="L13" s="13">
        <f>CHOOSE(Inputs!$F$33,INDEX(Inputs!$J$283:$AR$283,1,MATCH((Time!L26-0),Inputs!$J$281:$AR$281,0)),INDEX(Inputs!$J$285:$AR$285,1,MATCH((Time!L26-0),Inputs!$J$281:$AR$281,0)),INDEX(Inputs!$J$287:$AR$287,1,MATCH((Time!L26-0),Inputs!$J$281:$AR$281,0)))</f>
        <v/>
      </c>
      <c r="M13" s="13">
        <f>CHOOSE(Inputs!$F$33,INDEX(Inputs!$J$283:$AR$283,1,MATCH((Time!M26-0),Inputs!$J$281:$AR$281,0)),INDEX(Inputs!$J$285:$AR$285,1,MATCH((Time!M26-0),Inputs!$J$281:$AR$281,0)),INDEX(Inputs!$J$287:$AR$287,1,MATCH((Time!M26-0),Inputs!$J$281:$AR$281,0)))</f>
        <v/>
      </c>
      <c r="N13" s="13">
        <f>CHOOSE(Inputs!$F$33,INDEX(Inputs!$J$283:$AR$283,1,MATCH((Time!N26-0),Inputs!$J$281:$AR$281,0)),INDEX(Inputs!$J$285:$AR$285,1,MATCH((Time!N26-0),Inputs!$J$281:$AR$281,0)),INDEX(Inputs!$J$287:$AR$287,1,MATCH((Time!N26-0),Inputs!$J$281:$AR$281,0)))</f>
        <v/>
      </c>
      <c r="O13" s="13">
        <f>CHOOSE(Inputs!$F$33,INDEX(Inputs!$J$283:$AR$283,1,MATCH((Time!O26-0),Inputs!$J$281:$AR$281,0)),INDEX(Inputs!$J$285:$AR$285,1,MATCH((Time!O26-0),Inputs!$J$281:$AR$281,0)),INDEX(Inputs!$J$287:$AR$287,1,MATCH((Time!O26-0),Inputs!$J$281:$AR$281,0)))</f>
        <v/>
      </c>
      <c r="P13" s="13">
        <f>CHOOSE(Inputs!$F$33,INDEX(Inputs!$J$283:$AR$283,1,MATCH((Time!P26-0),Inputs!$J$281:$AR$281,0)),INDEX(Inputs!$J$285:$AR$285,1,MATCH((Time!P26-0),Inputs!$J$281:$AR$281,0)),INDEX(Inputs!$J$287:$AR$287,1,MATCH((Time!P26-0),Inputs!$J$281:$AR$281,0)))</f>
        <v/>
      </c>
      <c r="Q13" s="13">
        <f>CHOOSE(Inputs!$F$33,INDEX(Inputs!$J$283:$AR$283,1,MATCH((Time!Q26-0),Inputs!$J$281:$AR$281,0)),INDEX(Inputs!$J$285:$AR$285,1,MATCH((Time!Q26-0),Inputs!$J$281:$AR$281,0)),INDEX(Inputs!$J$287:$AR$287,1,MATCH((Time!Q26-0),Inputs!$J$281:$AR$281,0)))</f>
        <v/>
      </c>
      <c r="R13" s="13">
        <f>CHOOSE(Inputs!$F$33,INDEX(Inputs!$J$283:$AR$283,1,MATCH((Time!R26-0),Inputs!$J$281:$AR$281,0)),INDEX(Inputs!$J$285:$AR$285,1,MATCH((Time!R26-0),Inputs!$J$281:$AR$281,0)),INDEX(Inputs!$J$287:$AR$287,1,MATCH((Time!R26-0),Inputs!$J$281:$AR$281,0)))</f>
        <v/>
      </c>
      <c r="S13" s="13">
        <f>CHOOSE(Inputs!$F$33,INDEX(Inputs!$J$283:$AR$283,1,MATCH((Time!S26-0),Inputs!$J$281:$AR$281,0)),INDEX(Inputs!$J$285:$AR$285,1,MATCH((Time!S26-0),Inputs!$J$281:$AR$281,0)),INDEX(Inputs!$J$287:$AR$287,1,MATCH((Time!S26-0),Inputs!$J$281:$AR$281,0)))</f>
        <v/>
      </c>
      <c r="T13" s="13">
        <f>CHOOSE(Inputs!$F$33,INDEX(Inputs!$J$283:$AR$283,1,MATCH((Time!T26-0),Inputs!$J$281:$AR$281,0)),INDEX(Inputs!$J$285:$AR$285,1,MATCH((Time!T26-0),Inputs!$J$281:$AR$281,0)),INDEX(Inputs!$J$287:$AR$287,1,MATCH((Time!T26-0),Inputs!$J$281:$AR$281,0)))</f>
        <v/>
      </c>
      <c r="U13" s="13">
        <f>CHOOSE(Inputs!$F$33,INDEX(Inputs!$J$283:$AR$283,1,MATCH((Time!U26-0),Inputs!$J$281:$AR$281,0)),INDEX(Inputs!$J$285:$AR$285,1,MATCH((Time!U26-0),Inputs!$J$281:$AR$281,0)),INDEX(Inputs!$J$287:$AR$287,1,MATCH((Time!U26-0),Inputs!$J$281:$AR$281,0)))</f>
        <v/>
      </c>
      <c r="V13" s="13">
        <f>CHOOSE(Inputs!$F$33,INDEX(Inputs!$J$283:$AR$283,1,MATCH((Time!V26-0),Inputs!$J$281:$AR$281,0)),INDEX(Inputs!$J$285:$AR$285,1,MATCH((Time!V26-0),Inputs!$J$281:$AR$281,0)),INDEX(Inputs!$J$287:$AR$287,1,MATCH((Time!V26-0),Inputs!$J$281:$AR$281,0)))</f>
        <v/>
      </c>
      <c r="W13" s="13">
        <f>CHOOSE(Inputs!$F$33,INDEX(Inputs!$J$283:$AR$283,1,MATCH((Time!W26-0),Inputs!$J$281:$AR$281,0)),INDEX(Inputs!$J$285:$AR$285,1,MATCH((Time!W26-0),Inputs!$J$281:$AR$281,0)),INDEX(Inputs!$J$287:$AR$287,1,MATCH((Time!W26-0),Inputs!$J$281:$AR$281,0)))</f>
        <v/>
      </c>
      <c r="X13" s="13">
        <f>CHOOSE(Inputs!$F$33,INDEX(Inputs!$J$283:$AR$283,1,MATCH((Time!X26-0),Inputs!$J$281:$AR$281,0)),INDEX(Inputs!$J$285:$AR$285,1,MATCH((Time!X26-0),Inputs!$J$281:$AR$281,0)),INDEX(Inputs!$J$287:$AR$287,1,MATCH((Time!X26-0),Inputs!$J$281:$AR$281,0)))</f>
        <v/>
      </c>
      <c r="Y13" s="13">
        <f>CHOOSE(Inputs!$F$33,INDEX(Inputs!$J$283:$AR$283,1,MATCH((Time!Y26-0),Inputs!$J$281:$AR$281,0)),INDEX(Inputs!$J$285:$AR$285,1,MATCH((Time!Y26-0),Inputs!$J$281:$AR$281,0)),INDEX(Inputs!$J$287:$AR$287,1,MATCH((Time!Y26-0),Inputs!$J$281:$AR$281,0)))</f>
        <v/>
      </c>
      <c r="Z13" s="13">
        <f>CHOOSE(Inputs!$F$33,INDEX(Inputs!$J$283:$AR$283,1,MATCH((Time!Z26-0),Inputs!$J$281:$AR$281,0)),INDEX(Inputs!$J$285:$AR$285,1,MATCH((Time!Z26-0),Inputs!$J$281:$AR$281,0)),INDEX(Inputs!$J$287:$AR$287,1,MATCH((Time!Z26-0),Inputs!$J$281:$AR$281,0)))</f>
        <v/>
      </c>
      <c r="AA13" s="13">
        <f>CHOOSE(Inputs!$F$33,INDEX(Inputs!$J$283:$AR$283,1,MATCH((Time!AA26-0),Inputs!$J$281:$AR$281,0)),INDEX(Inputs!$J$285:$AR$285,1,MATCH((Time!AA26-0),Inputs!$J$281:$AR$281,0)),INDEX(Inputs!$J$287:$AR$287,1,MATCH((Time!AA26-0),Inputs!$J$281:$AR$281,0)))</f>
        <v/>
      </c>
      <c r="AB13" s="13">
        <f>CHOOSE(Inputs!$F$33,INDEX(Inputs!$J$283:$AR$283,1,MATCH((Time!AB26-0),Inputs!$J$281:$AR$281,0)),INDEX(Inputs!$J$285:$AR$285,1,MATCH((Time!AB26-0),Inputs!$J$281:$AR$281,0)),INDEX(Inputs!$J$287:$AR$287,1,MATCH((Time!AB26-0),Inputs!$J$281:$AR$281,0)))</f>
        <v/>
      </c>
      <c r="AC13" s="13">
        <f>CHOOSE(Inputs!$F$33,INDEX(Inputs!$J$283:$AR$283,1,MATCH((Time!AC26-0),Inputs!$J$281:$AR$281,0)),INDEX(Inputs!$J$285:$AR$285,1,MATCH((Time!AC26-0),Inputs!$J$281:$AR$281,0)),INDEX(Inputs!$J$287:$AR$287,1,MATCH((Time!AC26-0),Inputs!$J$281:$AR$281,0)))</f>
        <v/>
      </c>
      <c r="AD13" s="13">
        <f>CHOOSE(Inputs!$F$33,INDEX(Inputs!$J$283:$AR$283,1,MATCH((Time!AD26-0),Inputs!$J$281:$AR$281,0)),INDEX(Inputs!$J$285:$AR$285,1,MATCH((Time!AD26-0),Inputs!$J$281:$AR$281,0)),INDEX(Inputs!$J$287:$AR$287,1,MATCH((Time!AD26-0),Inputs!$J$281:$AR$281,0)))</f>
        <v/>
      </c>
      <c r="AE13" s="13">
        <f>CHOOSE(Inputs!$F$33,INDEX(Inputs!$J$283:$AR$283,1,MATCH((Time!AE26-0),Inputs!$J$281:$AR$281,0)),INDEX(Inputs!$J$285:$AR$285,1,MATCH((Time!AE26-0),Inputs!$J$281:$AR$281,0)),INDEX(Inputs!$J$287:$AR$287,1,MATCH((Time!AE26-0),Inputs!$J$281:$AR$281,0)))</f>
        <v/>
      </c>
      <c r="AF13" s="13">
        <f>CHOOSE(Inputs!$F$33,INDEX(Inputs!$J$283:$AR$283,1,MATCH((Time!AF26-0),Inputs!$J$281:$AR$281,0)),INDEX(Inputs!$J$285:$AR$285,1,MATCH((Time!AF26-0),Inputs!$J$281:$AR$281,0)),INDEX(Inputs!$J$287:$AR$287,1,MATCH((Time!AF26-0),Inputs!$J$281:$AR$281,0)))</f>
        <v/>
      </c>
      <c r="AG13" s="13">
        <f>CHOOSE(Inputs!$F$33,INDEX(Inputs!$J$283:$AR$283,1,MATCH((Time!AG26-0),Inputs!$J$281:$AR$281,0)),INDEX(Inputs!$J$285:$AR$285,1,MATCH((Time!AG26-0),Inputs!$J$281:$AR$281,0)),INDEX(Inputs!$J$287:$AR$287,1,MATCH((Time!AG26-0),Inputs!$J$281:$AR$281,0)))</f>
        <v/>
      </c>
      <c r="AH13" s="13">
        <f>CHOOSE(Inputs!$F$33,INDEX(Inputs!$J$283:$AR$283,1,MATCH((Time!AH26-0),Inputs!$J$281:$AR$281,0)),INDEX(Inputs!$J$285:$AR$285,1,MATCH((Time!AH26-0),Inputs!$J$281:$AR$281,0)),INDEX(Inputs!$J$287:$AR$287,1,MATCH((Time!AH26-0),Inputs!$J$281:$AR$281,0)))</f>
        <v/>
      </c>
      <c r="AI13" s="13">
        <f>CHOOSE(Inputs!$F$33,INDEX(Inputs!$J$283:$AR$283,1,MATCH((Time!AI26-0),Inputs!$J$281:$AR$281,0)),INDEX(Inputs!$J$285:$AR$285,1,MATCH((Time!AI26-0),Inputs!$J$281:$AR$281,0)),INDEX(Inputs!$J$287:$AR$287,1,MATCH((Time!AI26-0),Inputs!$J$281:$AR$281,0)))</f>
        <v/>
      </c>
      <c r="AJ13" s="13">
        <f>CHOOSE(Inputs!$F$33,INDEX(Inputs!$J$283:$AR$283,1,MATCH((Time!AJ26-0),Inputs!$J$281:$AR$281,0)),INDEX(Inputs!$J$285:$AR$285,1,MATCH((Time!AJ26-0),Inputs!$J$281:$AR$281,0)),INDEX(Inputs!$J$287:$AR$287,1,MATCH((Time!AJ26-0),Inputs!$J$281:$AR$281,0)))</f>
        <v/>
      </c>
      <c r="AK13" s="13">
        <f>CHOOSE(Inputs!$F$33,INDEX(Inputs!$J$283:$AR$283,1,MATCH((Time!AK26-0),Inputs!$J$281:$AR$281,0)),INDEX(Inputs!$J$285:$AR$285,1,MATCH((Time!AK26-0),Inputs!$J$281:$AR$281,0)),INDEX(Inputs!$J$287:$AR$287,1,MATCH((Time!AK26-0),Inputs!$J$281:$AR$281,0)))</f>
        <v/>
      </c>
      <c r="AL13" s="13">
        <f>CHOOSE(Inputs!$F$33,INDEX(Inputs!$J$283:$AR$283,1,MATCH((Time!AL26-0),Inputs!$J$281:$AR$281,0)),INDEX(Inputs!$J$285:$AR$285,1,MATCH((Time!AL26-0),Inputs!$J$281:$AR$281,0)),INDEX(Inputs!$J$287:$AR$287,1,MATCH((Time!AL26-0),Inputs!$J$281:$AR$281,0)))</f>
        <v/>
      </c>
      <c r="AM13" s="13">
        <f>CHOOSE(Inputs!$F$33,INDEX(Inputs!$J$283:$AR$283,1,MATCH((Time!AM26-0),Inputs!$J$281:$AR$281,0)),INDEX(Inputs!$J$285:$AR$285,1,MATCH((Time!AM26-0),Inputs!$J$281:$AR$281,0)),INDEX(Inputs!$J$287:$AR$287,1,MATCH((Time!AM26-0),Inputs!$J$281:$AR$281,0)))</f>
        <v/>
      </c>
      <c r="AN13" s="13">
        <f>CHOOSE(Inputs!$F$33,INDEX(Inputs!$J$283:$AR$283,1,MATCH((Time!AN26-0),Inputs!$J$281:$AR$281,0)),INDEX(Inputs!$J$285:$AR$285,1,MATCH((Time!AN26-0),Inputs!$J$281:$AR$281,0)),INDEX(Inputs!$J$287:$AR$287,1,MATCH((Time!AN26-0),Inputs!$J$281:$AR$281,0)))</f>
        <v/>
      </c>
      <c r="AO13" s="13">
        <f>CHOOSE(Inputs!$F$33,INDEX(Inputs!$J$283:$AR$283,1,MATCH((Time!AO26-0),Inputs!$J$281:$AR$281,0)),INDEX(Inputs!$J$285:$AR$285,1,MATCH((Time!AO26-0),Inputs!$J$281:$AR$281,0)),INDEX(Inputs!$J$287:$AR$287,1,MATCH((Time!AO26-0),Inputs!$J$281:$AR$281,0)))</f>
        <v/>
      </c>
      <c r="AP13" s="13">
        <f>CHOOSE(Inputs!$F$33,INDEX(Inputs!$J$283:$AR$283,1,MATCH((Time!AP26-0),Inputs!$J$281:$AR$281,0)),INDEX(Inputs!$J$285:$AR$285,1,MATCH((Time!AP26-0),Inputs!$J$281:$AR$281,0)),INDEX(Inputs!$J$287:$AR$287,1,MATCH((Time!AP26-0),Inputs!$J$281:$AR$281,0)))</f>
        <v/>
      </c>
      <c r="AQ13" s="13">
        <f>CHOOSE(Inputs!$F$33,INDEX(Inputs!$J$283:$AR$283,1,MATCH((Time!AQ26-0),Inputs!$J$281:$AR$281,0)),INDEX(Inputs!$J$285:$AR$285,1,MATCH((Time!AQ26-0),Inputs!$J$281:$AR$281,0)),INDEX(Inputs!$J$287:$AR$287,1,MATCH((Time!AQ26-0),Inputs!$J$281:$AR$281,0)))</f>
        <v/>
      </c>
      <c r="AR13" s="13">
        <f>CHOOSE(Inputs!$F$33,INDEX(Inputs!$J$283:$AR$283,1,MATCH((Time!AR26-0),Inputs!$J$281:$AR$281,0)),INDEX(Inputs!$J$285:$AR$285,1,MATCH((Time!AR26-0),Inputs!$J$281:$AR$281,0)),INDEX(Inputs!$J$287:$AR$287,1,MATCH((Time!AR26-0),Inputs!$J$281:$AR$281,0)))</f>
        <v/>
      </c>
      <c r="AS13" s="13">
        <f>CHOOSE(Inputs!$F$33,INDEX(Inputs!$J$283:$AR$283,1,MATCH((Time!AS26-0),Inputs!$J$281:$AR$281,0)),INDEX(Inputs!$J$285:$AR$285,1,MATCH((Time!AS26-0),Inputs!$J$281:$AR$281,0)),INDEX(Inputs!$J$287:$AR$287,1,MATCH((Time!AS26-0),Inputs!$J$281:$AR$281,0)))</f>
        <v/>
      </c>
      <c r="AT13" s="13">
        <f>CHOOSE(Inputs!$F$33,INDEX(Inputs!$J$283:$AR$283,1,MATCH((Time!AT26-0),Inputs!$J$281:$AR$281,0)),INDEX(Inputs!$J$285:$AR$285,1,MATCH((Time!AT26-0),Inputs!$J$281:$AR$281,0)),INDEX(Inputs!$J$287:$AR$287,1,MATCH((Time!AT26-0),Inputs!$J$281:$AR$281,0)))</f>
        <v/>
      </c>
      <c r="AU13" s="13">
        <f>CHOOSE(Inputs!$F$33,INDEX(Inputs!$J$283:$AR$283,1,MATCH((Time!AU26-0),Inputs!$J$281:$AR$281,0)),INDEX(Inputs!$J$285:$AR$285,1,MATCH((Time!AU26-0),Inputs!$J$281:$AR$281,0)),INDEX(Inputs!$J$287:$AR$287,1,MATCH((Time!AU26-0),Inputs!$J$281:$AR$281,0)))</f>
        <v/>
      </c>
      <c r="AV13" s="13">
        <f>CHOOSE(Inputs!$F$33,INDEX(Inputs!$J$283:$AR$283,1,MATCH((Time!AV26-0),Inputs!$J$281:$AR$281,0)),INDEX(Inputs!$J$285:$AR$285,1,MATCH((Time!AV26-0),Inputs!$J$281:$AR$281,0)),INDEX(Inputs!$J$287:$AR$287,1,MATCH((Time!AV26-0),Inputs!$J$281:$AR$281,0)))</f>
        <v/>
      </c>
      <c r="AW13" s="13">
        <f>CHOOSE(Inputs!$F$33,INDEX(Inputs!$J$283:$AR$283,1,MATCH((Time!AW26-0),Inputs!$J$281:$AR$281,0)),INDEX(Inputs!$J$285:$AR$285,1,MATCH((Time!AW26-0),Inputs!$J$281:$AR$281,0)),INDEX(Inputs!$J$287:$AR$287,1,MATCH((Time!AW26-0),Inputs!$J$281:$AR$281,0)))</f>
        <v/>
      </c>
      <c r="AX13" s="13">
        <f>CHOOSE(Inputs!$F$33,INDEX(Inputs!$J$283:$AR$283,1,MATCH((Time!AX26-0),Inputs!$J$281:$AR$281,0)),INDEX(Inputs!$J$285:$AR$285,1,MATCH((Time!AX26-0),Inputs!$J$281:$AR$281,0)),INDEX(Inputs!$J$287:$AR$287,1,MATCH((Time!AX26-0),Inputs!$J$281:$AR$281,0)))</f>
        <v/>
      </c>
      <c r="AY13" s="13">
        <f>CHOOSE(Inputs!$F$33,INDEX(Inputs!$J$283:$AR$283,1,MATCH((Time!AY26-0),Inputs!$J$281:$AR$281,0)),INDEX(Inputs!$J$285:$AR$285,1,MATCH((Time!AY26-0),Inputs!$J$281:$AR$281,0)),INDEX(Inputs!$J$287:$AR$287,1,MATCH((Time!AY26-0),Inputs!$J$281:$AR$281,0)))</f>
        <v/>
      </c>
      <c r="AZ13" s="13">
        <f>CHOOSE(Inputs!$F$33,INDEX(Inputs!$J$283:$AR$283,1,MATCH((Time!AZ26-0),Inputs!$J$281:$AR$281,0)),INDEX(Inputs!$J$285:$AR$285,1,MATCH((Time!AZ26-0),Inputs!$J$281:$AR$281,0)),INDEX(Inputs!$J$287:$AR$287,1,MATCH((Time!AZ26-0),Inputs!$J$281:$AR$281,0)))</f>
        <v/>
      </c>
      <c r="BA13" s="13">
        <f>CHOOSE(Inputs!$F$33,INDEX(Inputs!$J$283:$AR$283,1,MATCH((Time!BA26-0),Inputs!$J$281:$AR$281,0)),INDEX(Inputs!$J$285:$AR$285,1,MATCH((Time!BA26-0),Inputs!$J$281:$AR$281,0)),INDEX(Inputs!$J$287:$AR$287,1,MATCH((Time!BA26-0),Inputs!$J$281:$AR$281,0)))</f>
        <v/>
      </c>
      <c r="BB13" s="13">
        <f>CHOOSE(Inputs!$F$33,INDEX(Inputs!$J$283:$AR$283,1,MATCH((Time!BB26-0),Inputs!$J$281:$AR$281,0)),INDEX(Inputs!$J$285:$AR$285,1,MATCH((Time!BB26-0),Inputs!$J$281:$AR$281,0)),INDEX(Inputs!$J$287:$AR$287,1,MATCH((Time!BB26-0),Inputs!$J$281:$AR$281,0)))</f>
        <v/>
      </c>
      <c r="BC13" s="13">
        <f>CHOOSE(Inputs!$F$33,INDEX(Inputs!$J$283:$AR$283,1,MATCH((Time!BC26-0),Inputs!$J$281:$AR$281,0)),INDEX(Inputs!$J$285:$AR$285,1,MATCH((Time!BC26-0),Inputs!$J$281:$AR$281,0)),INDEX(Inputs!$J$287:$AR$287,1,MATCH((Time!BC26-0),Inputs!$J$281:$AR$281,0)))</f>
        <v/>
      </c>
      <c r="BD13" s="13">
        <f>CHOOSE(Inputs!$F$33,INDEX(Inputs!$J$283:$AR$283,1,MATCH((Time!BD26-0),Inputs!$J$281:$AR$281,0)),INDEX(Inputs!$J$285:$AR$285,1,MATCH((Time!BD26-0),Inputs!$J$281:$AR$281,0)),INDEX(Inputs!$J$287:$AR$287,1,MATCH((Time!BD26-0),Inputs!$J$281:$AR$281,0)))</f>
        <v/>
      </c>
      <c r="BE13" s="13">
        <f>CHOOSE(Inputs!$F$33,INDEX(Inputs!$J$283:$AR$283,1,MATCH((Time!BE26-0),Inputs!$J$281:$AR$281,0)),INDEX(Inputs!$J$285:$AR$285,1,MATCH((Time!BE26-0),Inputs!$J$281:$AR$281,0)),INDEX(Inputs!$J$287:$AR$287,1,MATCH((Time!BE26-0),Inputs!$J$281:$AR$281,0)))</f>
        <v/>
      </c>
      <c r="BF13" s="13">
        <f>CHOOSE(Inputs!$F$33,INDEX(Inputs!$J$283:$AR$283,1,MATCH((Time!BF26-0),Inputs!$J$281:$AR$281,0)),INDEX(Inputs!$J$285:$AR$285,1,MATCH((Time!BF26-0),Inputs!$J$281:$AR$281,0)),INDEX(Inputs!$J$287:$AR$287,1,MATCH((Time!BF26-0),Inputs!$J$281:$AR$281,0)))</f>
        <v/>
      </c>
      <c r="BG13" s="13">
        <f>CHOOSE(Inputs!$F$33,INDEX(Inputs!$J$283:$AR$283,1,MATCH((Time!BG26-0),Inputs!$J$281:$AR$281,0)),INDEX(Inputs!$J$285:$AR$285,1,MATCH((Time!BG26-0),Inputs!$J$281:$AR$281,0)),INDEX(Inputs!$J$287:$AR$287,1,MATCH((Time!BG26-0),Inputs!$J$281:$AR$281,0)))</f>
        <v/>
      </c>
      <c r="BH13" s="13">
        <f>CHOOSE(Inputs!$F$33,INDEX(Inputs!$J$283:$AR$283,1,MATCH((Time!BH26-0),Inputs!$J$281:$AR$281,0)),INDEX(Inputs!$J$285:$AR$285,1,MATCH((Time!BH26-0),Inputs!$J$281:$AR$281,0)),INDEX(Inputs!$J$287:$AR$287,1,MATCH((Time!BH26-0),Inputs!$J$281:$AR$281,0)))</f>
        <v/>
      </c>
      <c r="BI13" s="13">
        <f>CHOOSE(Inputs!$F$33,INDEX(Inputs!$J$283:$AR$283,1,MATCH((Time!BI26-0),Inputs!$J$281:$AR$281,0)),INDEX(Inputs!$J$285:$AR$285,1,MATCH((Time!BI26-0),Inputs!$J$281:$AR$281,0)),INDEX(Inputs!$J$287:$AR$287,1,MATCH((Time!BI26-0),Inputs!$J$281:$AR$281,0)))</f>
        <v/>
      </c>
      <c r="BJ13" s="13">
        <f>CHOOSE(Inputs!$F$33,INDEX(Inputs!$J$283:$AR$283,1,MATCH((Time!BJ26-0),Inputs!$J$281:$AR$281,0)),INDEX(Inputs!$J$285:$AR$285,1,MATCH((Time!BJ26-0),Inputs!$J$281:$AR$281,0)),INDEX(Inputs!$J$287:$AR$287,1,MATCH((Time!BJ26-0),Inputs!$J$281:$AR$281,0)))</f>
        <v/>
      </c>
      <c r="BK13" s="13">
        <f>CHOOSE(Inputs!$F$33,INDEX(Inputs!$J$283:$AR$283,1,MATCH((Time!BK26-0),Inputs!$J$281:$AR$281,0)),INDEX(Inputs!$J$285:$AR$285,1,MATCH((Time!BK26-0),Inputs!$J$281:$AR$281,0)),INDEX(Inputs!$J$287:$AR$287,1,MATCH((Time!BK26-0),Inputs!$J$281:$AR$281,0)))</f>
        <v/>
      </c>
      <c r="BL13" s="13">
        <f>CHOOSE(Inputs!$F$33,INDEX(Inputs!$J$283:$AR$283,1,MATCH((Time!BL26-0),Inputs!$J$281:$AR$281,0)),INDEX(Inputs!$J$285:$AR$285,1,MATCH((Time!BL26-0),Inputs!$J$281:$AR$281,0)),INDEX(Inputs!$J$287:$AR$287,1,MATCH((Time!BL26-0),Inputs!$J$281:$AR$281,0)))</f>
        <v/>
      </c>
      <c r="BM13" s="13">
        <f>CHOOSE(Inputs!$F$33,INDEX(Inputs!$J$283:$AR$283,1,MATCH((Time!BM26-0),Inputs!$J$281:$AR$281,0)),INDEX(Inputs!$J$285:$AR$285,1,MATCH((Time!BM26-0),Inputs!$J$281:$AR$281,0)),INDEX(Inputs!$J$287:$AR$287,1,MATCH((Time!BM26-0),Inputs!$J$281:$AR$281,0)))</f>
        <v/>
      </c>
      <c r="BN13" s="13">
        <f>CHOOSE(Inputs!$F$33,INDEX(Inputs!$J$283:$AR$283,1,MATCH((Time!BN26-0),Inputs!$J$281:$AR$281,0)),INDEX(Inputs!$J$285:$AR$285,1,MATCH((Time!BN26-0),Inputs!$J$281:$AR$281,0)),INDEX(Inputs!$J$287:$AR$287,1,MATCH((Time!BN26-0),Inputs!$J$281:$AR$281,0)))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CHOOSE(Inputs!$F$33,INDEX(Inputs!$J$282:$AR$282,1,MATCH((Time!J26-1),Inputs!$J$281:$AR$281,0)),INDEX(Inputs!$J$284:$AR$284,1,MATCH((Time!J26-1),Inputs!$J$281:$AR$281,0)),INDEX(Inputs!$J$286:$AR$286,1,MATCH((Time!J26-1),Inputs!$J$281:$AR$281,0)))</f>
        <v/>
      </c>
      <c r="K14" s="13">
        <f>CHOOSE(Inputs!$F$33,INDEX(Inputs!$J$282:$AR$282,1,MATCH((Time!K26-1),Inputs!$J$281:$AR$281,0)),INDEX(Inputs!$J$284:$AR$284,1,MATCH((Time!K26-1),Inputs!$J$281:$AR$281,0)),INDEX(Inputs!$J$286:$AR$286,1,MATCH((Time!K26-1),Inputs!$J$281:$AR$281,0)))</f>
        <v/>
      </c>
      <c r="L14" s="13">
        <f>CHOOSE(Inputs!$F$33,INDEX(Inputs!$J$282:$AR$282,1,MATCH((Time!L26-1),Inputs!$J$281:$AR$281,0)),INDEX(Inputs!$J$284:$AR$284,1,MATCH((Time!L26-1),Inputs!$J$281:$AR$281,0)),INDEX(Inputs!$J$286:$AR$286,1,MATCH((Time!L26-1),Inputs!$J$281:$AR$281,0)))</f>
        <v/>
      </c>
      <c r="M14" s="13">
        <f>CHOOSE(Inputs!$F$33,INDEX(Inputs!$J$282:$AR$282,1,MATCH((Time!M26-1),Inputs!$J$281:$AR$281,0)),INDEX(Inputs!$J$284:$AR$284,1,MATCH((Time!M26-1),Inputs!$J$281:$AR$281,0)),INDEX(Inputs!$J$286:$AR$286,1,MATCH((Time!M26-1),Inputs!$J$281:$AR$281,0)))</f>
        <v/>
      </c>
      <c r="N14" s="13">
        <f>CHOOSE(Inputs!$F$33,INDEX(Inputs!$J$282:$AR$282,1,MATCH((Time!N26-1),Inputs!$J$281:$AR$281,0)),INDEX(Inputs!$J$284:$AR$284,1,MATCH((Time!N26-1),Inputs!$J$281:$AR$281,0)),INDEX(Inputs!$J$286:$AR$286,1,MATCH((Time!N26-1),Inputs!$J$281:$AR$281,0)))</f>
        <v/>
      </c>
      <c r="O14" s="13">
        <f>CHOOSE(Inputs!$F$33,INDEX(Inputs!$J$282:$AR$282,1,MATCH((Time!O26-1),Inputs!$J$281:$AR$281,0)),INDEX(Inputs!$J$284:$AR$284,1,MATCH((Time!O26-1),Inputs!$J$281:$AR$281,0)),INDEX(Inputs!$J$286:$AR$286,1,MATCH((Time!O26-1),Inputs!$J$281:$AR$281,0)))</f>
        <v/>
      </c>
      <c r="P14" s="13">
        <f>CHOOSE(Inputs!$F$33,INDEX(Inputs!$J$282:$AR$282,1,MATCH((Time!P26-1),Inputs!$J$281:$AR$281,0)),INDEX(Inputs!$J$284:$AR$284,1,MATCH((Time!P26-1),Inputs!$J$281:$AR$281,0)),INDEX(Inputs!$J$286:$AR$286,1,MATCH((Time!P26-1),Inputs!$J$281:$AR$281,0)))</f>
        <v/>
      </c>
      <c r="Q14" s="13">
        <f>CHOOSE(Inputs!$F$33,INDEX(Inputs!$J$282:$AR$282,1,MATCH((Time!Q26-1),Inputs!$J$281:$AR$281,0)),INDEX(Inputs!$J$284:$AR$284,1,MATCH((Time!Q26-1),Inputs!$J$281:$AR$281,0)),INDEX(Inputs!$J$286:$AR$286,1,MATCH((Time!Q26-1),Inputs!$J$281:$AR$281,0)))</f>
        <v/>
      </c>
      <c r="R14" s="13">
        <f>CHOOSE(Inputs!$F$33,INDEX(Inputs!$J$282:$AR$282,1,MATCH((Time!R26-1),Inputs!$J$281:$AR$281,0)),INDEX(Inputs!$J$284:$AR$284,1,MATCH((Time!R26-1),Inputs!$J$281:$AR$281,0)),INDEX(Inputs!$J$286:$AR$286,1,MATCH((Time!R26-1),Inputs!$J$281:$AR$281,0)))</f>
        <v/>
      </c>
      <c r="S14" s="13">
        <f>CHOOSE(Inputs!$F$33,INDEX(Inputs!$J$282:$AR$282,1,MATCH((Time!S26-1),Inputs!$J$281:$AR$281,0)),INDEX(Inputs!$J$284:$AR$284,1,MATCH((Time!S26-1),Inputs!$J$281:$AR$281,0)),INDEX(Inputs!$J$286:$AR$286,1,MATCH((Time!S26-1),Inputs!$J$281:$AR$281,0)))</f>
        <v/>
      </c>
      <c r="T14" s="13">
        <f>CHOOSE(Inputs!$F$33,INDEX(Inputs!$J$282:$AR$282,1,MATCH((Time!T26-1),Inputs!$J$281:$AR$281,0)),INDEX(Inputs!$J$284:$AR$284,1,MATCH((Time!T26-1),Inputs!$J$281:$AR$281,0)),INDEX(Inputs!$J$286:$AR$286,1,MATCH((Time!T26-1),Inputs!$J$281:$AR$281,0)))</f>
        <v/>
      </c>
      <c r="U14" s="13">
        <f>CHOOSE(Inputs!$F$33,INDEX(Inputs!$J$282:$AR$282,1,MATCH((Time!U26-1),Inputs!$J$281:$AR$281,0)),INDEX(Inputs!$J$284:$AR$284,1,MATCH((Time!U26-1),Inputs!$J$281:$AR$281,0)),INDEX(Inputs!$J$286:$AR$286,1,MATCH((Time!U26-1),Inputs!$J$281:$AR$281,0)))</f>
        <v/>
      </c>
      <c r="V14" s="13">
        <f>CHOOSE(Inputs!$F$33,INDEX(Inputs!$J$282:$AR$282,1,MATCH((Time!V26-1),Inputs!$J$281:$AR$281,0)),INDEX(Inputs!$J$284:$AR$284,1,MATCH((Time!V26-1),Inputs!$J$281:$AR$281,0)),INDEX(Inputs!$J$286:$AR$286,1,MATCH((Time!V26-1),Inputs!$J$281:$AR$281,0)))</f>
        <v/>
      </c>
      <c r="W14" s="13">
        <f>CHOOSE(Inputs!$F$33,INDEX(Inputs!$J$282:$AR$282,1,MATCH((Time!W26-1),Inputs!$J$281:$AR$281,0)),INDEX(Inputs!$J$284:$AR$284,1,MATCH((Time!W26-1),Inputs!$J$281:$AR$281,0)),INDEX(Inputs!$J$286:$AR$286,1,MATCH((Time!W26-1),Inputs!$J$281:$AR$281,0)))</f>
        <v/>
      </c>
      <c r="X14" s="13">
        <f>CHOOSE(Inputs!$F$33,INDEX(Inputs!$J$282:$AR$282,1,MATCH((Time!X26-1),Inputs!$J$281:$AR$281,0)),INDEX(Inputs!$J$284:$AR$284,1,MATCH((Time!X26-1),Inputs!$J$281:$AR$281,0)),INDEX(Inputs!$J$286:$AR$286,1,MATCH((Time!X26-1),Inputs!$J$281:$AR$281,0)))</f>
        <v/>
      </c>
      <c r="Y14" s="13">
        <f>CHOOSE(Inputs!$F$33,INDEX(Inputs!$J$282:$AR$282,1,MATCH((Time!Y26-1),Inputs!$J$281:$AR$281,0)),INDEX(Inputs!$J$284:$AR$284,1,MATCH((Time!Y26-1),Inputs!$J$281:$AR$281,0)),INDEX(Inputs!$J$286:$AR$286,1,MATCH((Time!Y26-1),Inputs!$J$281:$AR$281,0)))</f>
        <v/>
      </c>
      <c r="Z14" s="13">
        <f>CHOOSE(Inputs!$F$33,INDEX(Inputs!$J$282:$AR$282,1,MATCH((Time!Z26-1),Inputs!$J$281:$AR$281,0)),INDEX(Inputs!$J$284:$AR$284,1,MATCH((Time!Z26-1),Inputs!$J$281:$AR$281,0)),INDEX(Inputs!$J$286:$AR$286,1,MATCH((Time!Z26-1),Inputs!$J$281:$AR$281,0)))</f>
        <v/>
      </c>
      <c r="AA14" s="13">
        <f>CHOOSE(Inputs!$F$33,INDEX(Inputs!$J$282:$AR$282,1,MATCH((Time!AA26-1),Inputs!$J$281:$AR$281,0)),INDEX(Inputs!$J$284:$AR$284,1,MATCH((Time!AA26-1),Inputs!$J$281:$AR$281,0)),INDEX(Inputs!$J$286:$AR$286,1,MATCH((Time!AA26-1),Inputs!$J$281:$AR$281,0)))</f>
        <v/>
      </c>
      <c r="AB14" s="13">
        <f>CHOOSE(Inputs!$F$33,INDEX(Inputs!$J$282:$AR$282,1,MATCH((Time!AB26-1),Inputs!$J$281:$AR$281,0)),INDEX(Inputs!$J$284:$AR$284,1,MATCH((Time!AB26-1),Inputs!$J$281:$AR$281,0)),INDEX(Inputs!$J$286:$AR$286,1,MATCH((Time!AB26-1),Inputs!$J$281:$AR$281,0)))</f>
        <v/>
      </c>
      <c r="AC14" s="13">
        <f>CHOOSE(Inputs!$F$33,INDEX(Inputs!$J$282:$AR$282,1,MATCH((Time!AC26-1),Inputs!$J$281:$AR$281,0)),INDEX(Inputs!$J$284:$AR$284,1,MATCH((Time!AC26-1),Inputs!$J$281:$AR$281,0)),INDEX(Inputs!$J$286:$AR$286,1,MATCH((Time!AC26-1),Inputs!$J$281:$AR$281,0)))</f>
        <v/>
      </c>
      <c r="AD14" s="13">
        <f>CHOOSE(Inputs!$F$33,INDEX(Inputs!$J$282:$AR$282,1,MATCH((Time!AD26-1),Inputs!$J$281:$AR$281,0)),INDEX(Inputs!$J$284:$AR$284,1,MATCH((Time!AD26-1),Inputs!$J$281:$AR$281,0)),INDEX(Inputs!$J$286:$AR$286,1,MATCH((Time!AD26-1),Inputs!$J$281:$AR$281,0)))</f>
        <v/>
      </c>
      <c r="AE14" s="13">
        <f>CHOOSE(Inputs!$F$33,INDEX(Inputs!$J$282:$AR$282,1,MATCH((Time!AE26-1),Inputs!$J$281:$AR$281,0)),INDEX(Inputs!$J$284:$AR$284,1,MATCH((Time!AE26-1),Inputs!$J$281:$AR$281,0)),INDEX(Inputs!$J$286:$AR$286,1,MATCH((Time!AE26-1),Inputs!$J$281:$AR$281,0)))</f>
        <v/>
      </c>
      <c r="AF14" s="13">
        <f>CHOOSE(Inputs!$F$33,INDEX(Inputs!$J$282:$AR$282,1,MATCH((Time!AF26-1),Inputs!$J$281:$AR$281,0)),INDEX(Inputs!$J$284:$AR$284,1,MATCH((Time!AF26-1),Inputs!$J$281:$AR$281,0)),INDEX(Inputs!$J$286:$AR$286,1,MATCH((Time!AF26-1),Inputs!$J$281:$AR$281,0)))</f>
        <v/>
      </c>
      <c r="AG14" s="13">
        <f>CHOOSE(Inputs!$F$33,INDEX(Inputs!$J$282:$AR$282,1,MATCH((Time!AG26-1),Inputs!$J$281:$AR$281,0)),INDEX(Inputs!$J$284:$AR$284,1,MATCH((Time!AG26-1),Inputs!$J$281:$AR$281,0)),INDEX(Inputs!$J$286:$AR$286,1,MATCH((Time!AG26-1),Inputs!$J$281:$AR$281,0)))</f>
        <v/>
      </c>
      <c r="AH14" s="13">
        <f>CHOOSE(Inputs!$F$33,INDEX(Inputs!$J$282:$AR$282,1,MATCH((Time!AH26-1),Inputs!$J$281:$AR$281,0)),INDEX(Inputs!$J$284:$AR$284,1,MATCH((Time!AH26-1),Inputs!$J$281:$AR$281,0)),INDEX(Inputs!$J$286:$AR$286,1,MATCH((Time!AH26-1),Inputs!$J$281:$AR$281,0)))</f>
        <v/>
      </c>
      <c r="AI14" s="13">
        <f>CHOOSE(Inputs!$F$33,INDEX(Inputs!$J$282:$AR$282,1,MATCH((Time!AI26-1),Inputs!$J$281:$AR$281,0)),INDEX(Inputs!$J$284:$AR$284,1,MATCH((Time!AI26-1),Inputs!$J$281:$AR$281,0)),INDEX(Inputs!$J$286:$AR$286,1,MATCH((Time!AI26-1),Inputs!$J$281:$AR$281,0)))</f>
        <v/>
      </c>
      <c r="AJ14" s="13">
        <f>CHOOSE(Inputs!$F$33,INDEX(Inputs!$J$282:$AR$282,1,MATCH((Time!AJ26-1),Inputs!$J$281:$AR$281,0)),INDEX(Inputs!$J$284:$AR$284,1,MATCH((Time!AJ26-1),Inputs!$J$281:$AR$281,0)),INDEX(Inputs!$J$286:$AR$286,1,MATCH((Time!AJ26-1),Inputs!$J$281:$AR$281,0)))</f>
        <v/>
      </c>
      <c r="AK14" s="13">
        <f>CHOOSE(Inputs!$F$33,INDEX(Inputs!$J$282:$AR$282,1,MATCH((Time!AK26-1),Inputs!$J$281:$AR$281,0)),INDEX(Inputs!$J$284:$AR$284,1,MATCH((Time!AK26-1),Inputs!$J$281:$AR$281,0)),INDEX(Inputs!$J$286:$AR$286,1,MATCH((Time!AK26-1),Inputs!$J$281:$AR$281,0)))</f>
        <v/>
      </c>
      <c r="AL14" s="13">
        <f>CHOOSE(Inputs!$F$33,INDEX(Inputs!$J$282:$AR$282,1,MATCH((Time!AL26-1),Inputs!$J$281:$AR$281,0)),INDEX(Inputs!$J$284:$AR$284,1,MATCH((Time!AL26-1),Inputs!$J$281:$AR$281,0)),INDEX(Inputs!$J$286:$AR$286,1,MATCH((Time!AL26-1),Inputs!$J$281:$AR$281,0)))</f>
        <v/>
      </c>
      <c r="AM14" s="13">
        <f>CHOOSE(Inputs!$F$33,INDEX(Inputs!$J$282:$AR$282,1,MATCH((Time!AM26-1),Inputs!$J$281:$AR$281,0)),INDEX(Inputs!$J$284:$AR$284,1,MATCH((Time!AM26-1),Inputs!$J$281:$AR$281,0)),INDEX(Inputs!$J$286:$AR$286,1,MATCH((Time!AM26-1),Inputs!$J$281:$AR$281,0)))</f>
        <v/>
      </c>
      <c r="AN14" s="13">
        <f>CHOOSE(Inputs!$F$33,INDEX(Inputs!$J$282:$AR$282,1,MATCH((Time!AN26-1),Inputs!$J$281:$AR$281,0)),INDEX(Inputs!$J$284:$AR$284,1,MATCH((Time!AN26-1),Inputs!$J$281:$AR$281,0)),INDEX(Inputs!$J$286:$AR$286,1,MATCH((Time!AN26-1),Inputs!$J$281:$AR$281,0)))</f>
        <v/>
      </c>
      <c r="AO14" s="13">
        <f>CHOOSE(Inputs!$F$33,INDEX(Inputs!$J$282:$AR$282,1,MATCH((Time!AO26-1),Inputs!$J$281:$AR$281,0)),INDEX(Inputs!$J$284:$AR$284,1,MATCH((Time!AO26-1),Inputs!$J$281:$AR$281,0)),INDEX(Inputs!$J$286:$AR$286,1,MATCH((Time!AO26-1),Inputs!$J$281:$AR$281,0)))</f>
        <v/>
      </c>
      <c r="AP14" s="13">
        <f>CHOOSE(Inputs!$F$33,INDEX(Inputs!$J$282:$AR$282,1,MATCH((Time!AP26-1),Inputs!$J$281:$AR$281,0)),INDEX(Inputs!$J$284:$AR$284,1,MATCH((Time!AP26-1),Inputs!$J$281:$AR$281,0)),INDEX(Inputs!$J$286:$AR$286,1,MATCH((Time!AP26-1),Inputs!$J$281:$AR$281,0)))</f>
        <v/>
      </c>
      <c r="AQ14" s="13">
        <f>CHOOSE(Inputs!$F$33,INDEX(Inputs!$J$282:$AR$282,1,MATCH((Time!AQ26-1),Inputs!$J$281:$AR$281,0)),INDEX(Inputs!$J$284:$AR$284,1,MATCH((Time!AQ26-1),Inputs!$J$281:$AR$281,0)),INDEX(Inputs!$J$286:$AR$286,1,MATCH((Time!AQ26-1),Inputs!$J$281:$AR$281,0)))</f>
        <v/>
      </c>
      <c r="AR14" s="13">
        <f>CHOOSE(Inputs!$F$33,INDEX(Inputs!$J$282:$AR$282,1,MATCH((Time!AR26-1),Inputs!$J$281:$AR$281,0)),INDEX(Inputs!$J$284:$AR$284,1,MATCH((Time!AR26-1),Inputs!$J$281:$AR$281,0)),INDEX(Inputs!$J$286:$AR$286,1,MATCH((Time!AR26-1),Inputs!$J$281:$AR$281,0)))</f>
        <v/>
      </c>
      <c r="AS14" s="13">
        <f>CHOOSE(Inputs!$F$33,INDEX(Inputs!$J$282:$AR$282,1,MATCH((Time!AS26-1),Inputs!$J$281:$AR$281,0)),INDEX(Inputs!$J$284:$AR$284,1,MATCH((Time!AS26-1),Inputs!$J$281:$AR$281,0)),INDEX(Inputs!$J$286:$AR$286,1,MATCH((Time!AS26-1),Inputs!$J$281:$AR$281,0)))</f>
        <v/>
      </c>
      <c r="AT14" s="13">
        <f>CHOOSE(Inputs!$F$33,INDEX(Inputs!$J$282:$AR$282,1,MATCH((Time!AT26-1),Inputs!$J$281:$AR$281,0)),INDEX(Inputs!$J$284:$AR$284,1,MATCH((Time!AT26-1),Inputs!$J$281:$AR$281,0)),INDEX(Inputs!$J$286:$AR$286,1,MATCH((Time!AT26-1),Inputs!$J$281:$AR$281,0)))</f>
        <v/>
      </c>
      <c r="AU14" s="13">
        <f>CHOOSE(Inputs!$F$33,INDEX(Inputs!$J$282:$AR$282,1,MATCH((Time!AU26-1),Inputs!$J$281:$AR$281,0)),INDEX(Inputs!$J$284:$AR$284,1,MATCH((Time!AU26-1),Inputs!$J$281:$AR$281,0)),INDEX(Inputs!$J$286:$AR$286,1,MATCH((Time!AU26-1),Inputs!$J$281:$AR$281,0)))</f>
        <v/>
      </c>
      <c r="AV14" s="13">
        <f>CHOOSE(Inputs!$F$33,INDEX(Inputs!$J$282:$AR$282,1,MATCH((Time!AV26-1),Inputs!$J$281:$AR$281,0)),INDEX(Inputs!$J$284:$AR$284,1,MATCH((Time!AV26-1),Inputs!$J$281:$AR$281,0)),INDEX(Inputs!$J$286:$AR$286,1,MATCH((Time!AV26-1),Inputs!$J$281:$AR$281,0)))</f>
        <v/>
      </c>
      <c r="AW14" s="13">
        <f>CHOOSE(Inputs!$F$33,INDEX(Inputs!$J$282:$AR$282,1,MATCH((Time!AW26-1),Inputs!$J$281:$AR$281,0)),INDEX(Inputs!$J$284:$AR$284,1,MATCH((Time!AW26-1),Inputs!$J$281:$AR$281,0)),INDEX(Inputs!$J$286:$AR$286,1,MATCH((Time!AW26-1),Inputs!$J$281:$AR$281,0)))</f>
        <v/>
      </c>
      <c r="AX14" s="13">
        <f>CHOOSE(Inputs!$F$33,INDEX(Inputs!$J$282:$AR$282,1,MATCH((Time!AX26-1),Inputs!$J$281:$AR$281,0)),INDEX(Inputs!$J$284:$AR$284,1,MATCH((Time!AX26-1),Inputs!$J$281:$AR$281,0)),INDEX(Inputs!$J$286:$AR$286,1,MATCH((Time!AX26-1),Inputs!$J$281:$AR$281,0)))</f>
        <v/>
      </c>
      <c r="AY14" s="13">
        <f>CHOOSE(Inputs!$F$33,INDEX(Inputs!$J$282:$AR$282,1,MATCH((Time!AY26-1),Inputs!$J$281:$AR$281,0)),INDEX(Inputs!$J$284:$AR$284,1,MATCH((Time!AY26-1),Inputs!$J$281:$AR$281,0)),INDEX(Inputs!$J$286:$AR$286,1,MATCH((Time!AY26-1),Inputs!$J$281:$AR$281,0)))</f>
        <v/>
      </c>
      <c r="AZ14" s="13">
        <f>CHOOSE(Inputs!$F$33,INDEX(Inputs!$J$282:$AR$282,1,MATCH((Time!AZ26-1),Inputs!$J$281:$AR$281,0)),INDEX(Inputs!$J$284:$AR$284,1,MATCH((Time!AZ26-1),Inputs!$J$281:$AR$281,0)),INDEX(Inputs!$J$286:$AR$286,1,MATCH((Time!AZ26-1),Inputs!$J$281:$AR$281,0)))</f>
        <v/>
      </c>
      <c r="BA14" s="13">
        <f>CHOOSE(Inputs!$F$33,INDEX(Inputs!$J$282:$AR$282,1,MATCH((Time!BA26-1),Inputs!$J$281:$AR$281,0)),INDEX(Inputs!$J$284:$AR$284,1,MATCH((Time!BA26-1),Inputs!$J$281:$AR$281,0)),INDEX(Inputs!$J$286:$AR$286,1,MATCH((Time!BA26-1),Inputs!$J$281:$AR$281,0)))</f>
        <v/>
      </c>
      <c r="BB14" s="13">
        <f>CHOOSE(Inputs!$F$33,INDEX(Inputs!$J$282:$AR$282,1,MATCH((Time!BB26-1),Inputs!$J$281:$AR$281,0)),INDEX(Inputs!$J$284:$AR$284,1,MATCH((Time!BB26-1),Inputs!$J$281:$AR$281,0)),INDEX(Inputs!$J$286:$AR$286,1,MATCH((Time!BB26-1),Inputs!$J$281:$AR$281,0)))</f>
        <v/>
      </c>
      <c r="BC14" s="13">
        <f>CHOOSE(Inputs!$F$33,INDEX(Inputs!$J$282:$AR$282,1,MATCH((Time!BC26-1),Inputs!$J$281:$AR$281,0)),INDEX(Inputs!$J$284:$AR$284,1,MATCH((Time!BC26-1),Inputs!$J$281:$AR$281,0)),INDEX(Inputs!$J$286:$AR$286,1,MATCH((Time!BC26-1),Inputs!$J$281:$AR$281,0)))</f>
        <v/>
      </c>
      <c r="BD14" s="13">
        <f>CHOOSE(Inputs!$F$33,INDEX(Inputs!$J$282:$AR$282,1,MATCH((Time!BD26-1),Inputs!$J$281:$AR$281,0)),INDEX(Inputs!$J$284:$AR$284,1,MATCH((Time!BD26-1),Inputs!$J$281:$AR$281,0)),INDEX(Inputs!$J$286:$AR$286,1,MATCH((Time!BD26-1),Inputs!$J$281:$AR$281,0)))</f>
        <v/>
      </c>
      <c r="BE14" s="13">
        <f>CHOOSE(Inputs!$F$33,INDEX(Inputs!$J$282:$AR$282,1,MATCH((Time!BE26-1),Inputs!$J$281:$AR$281,0)),INDEX(Inputs!$J$284:$AR$284,1,MATCH((Time!BE26-1),Inputs!$J$281:$AR$281,0)),INDEX(Inputs!$J$286:$AR$286,1,MATCH((Time!BE26-1),Inputs!$J$281:$AR$281,0)))</f>
        <v/>
      </c>
      <c r="BF14" s="13">
        <f>CHOOSE(Inputs!$F$33,INDEX(Inputs!$J$282:$AR$282,1,MATCH((Time!BF26-1),Inputs!$J$281:$AR$281,0)),INDEX(Inputs!$J$284:$AR$284,1,MATCH((Time!BF26-1),Inputs!$J$281:$AR$281,0)),INDEX(Inputs!$J$286:$AR$286,1,MATCH((Time!BF26-1),Inputs!$J$281:$AR$281,0)))</f>
        <v/>
      </c>
      <c r="BG14" s="13">
        <f>CHOOSE(Inputs!$F$33,INDEX(Inputs!$J$282:$AR$282,1,MATCH((Time!BG26-1),Inputs!$J$281:$AR$281,0)),INDEX(Inputs!$J$284:$AR$284,1,MATCH((Time!BG26-1),Inputs!$J$281:$AR$281,0)),INDEX(Inputs!$J$286:$AR$286,1,MATCH((Time!BG26-1),Inputs!$J$281:$AR$281,0)))</f>
        <v/>
      </c>
      <c r="BH14" s="13">
        <f>CHOOSE(Inputs!$F$33,INDEX(Inputs!$J$282:$AR$282,1,MATCH((Time!BH26-1),Inputs!$J$281:$AR$281,0)),INDEX(Inputs!$J$284:$AR$284,1,MATCH((Time!BH26-1),Inputs!$J$281:$AR$281,0)),INDEX(Inputs!$J$286:$AR$286,1,MATCH((Time!BH26-1),Inputs!$J$281:$AR$281,0)))</f>
        <v/>
      </c>
      <c r="BI14" s="13">
        <f>CHOOSE(Inputs!$F$33,INDEX(Inputs!$J$282:$AR$282,1,MATCH((Time!BI26-1),Inputs!$J$281:$AR$281,0)),INDEX(Inputs!$J$284:$AR$284,1,MATCH((Time!BI26-1),Inputs!$J$281:$AR$281,0)),INDEX(Inputs!$J$286:$AR$286,1,MATCH((Time!BI26-1),Inputs!$J$281:$AR$281,0)))</f>
        <v/>
      </c>
      <c r="BJ14" s="13">
        <f>CHOOSE(Inputs!$F$33,INDEX(Inputs!$J$282:$AR$282,1,MATCH((Time!BJ26-1),Inputs!$J$281:$AR$281,0)),INDEX(Inputs!$J$284:$AR$284,1,MATCH((Time!BJ26-1),Inputs!$J$281:$AR$281,0)),INDEX(Inputs!$J$286:$AR$286,1,MATCH((Time!BJ26-1),Inputs!$J$281:$AR$281,0)))</f>
        <v/>
      </c>
      <c r="BK14" s="13">
        <f>CHOOSE(Inputs!$F$33,INDEX(Inputs!$J$282:$AR$282,1,MATCH((Time!BK26-1),Inputs!$J$281:$AR$281,0)),INDEX(Inputs!$J$284:$AR$284,1,MATCH((Time!BK26-1),Inputs!$J$281:$AR$281,0)),INDEX(Inputs!$J$286:$AR$286,1,MATCH((Time!BK26-1),Inputs!$J$281:$AR$281,0)))</f>
        <v/>
      </c>
      <c r="BL14" s="13">
        <f>CHOOSE(Inputs!$F$33,INDEX(Inputs!$J$282:$AR$282,1,MATCH((Time!BL26-1),Inputs!$J$281:$AR$281,0)),INDEX(Inputs!$J$284:$AR$284,1,MATCH((Time!BL26-1),Inputs!$J$281:$AR$281,0)),INDEX(Inputs!$J$286:$AR$286,1,MATCH((Time!BL26-1),Inputs!$J$281:$AR$281,0)))</f>
        <v/>
      </c>
      <c r="BM14" s="13">
        <f>CHOOSE(Inputs!$F$33,INDEX(Inputs!$J$282:$AR$282,1,MATCH((Time!BM26-1),Inputs!$J$281:$AR$281,0)),INDEX(Inputs!$J$284:$AR$284,1,MATCH((Time!BM26-1),Inputs!$J$281:$AR$281,0)),INDEX(Inputs!$J$286:$AR$286,1,MATCH((Time!BM26-1),Inputs!$J$281:$AR$281,0)))</f>
        <v/>
      </c>
      <c r="BN14" s="13">
        <f>CHOOSE(Inputs!$F$33,INDEX(Inputs!$J$282:$AR$282,1,MATCH((Time!BN26-1),Inputs!$J$281:$AR$281,0)),INDEX(Inputs!$J$284:$AR$284,1,MATCH((Time!BN26-1),Inputs!$J$281:$AR$281,0)),INDEX(Inputs!$J$286:$AR$286,1,MATCH((Time!BN26-1),Inputs!$J$281:$AR$281,0)))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CHOOSE(Inputs!$F$33,INDEX(Inputs!$J$283:$AR$283,1,MATCH((Time!J26-1),Inputs!$J$281:$AR$281,0)),INDEX(Inputs!$J$285:$AR$285,1,MATCH((Time!J26-1),Inputs!$J$281:$AR$281,0)),INDEX(Inputs!$J$287:$AR$287,1,MATCH((Time!J26-1),Inputs!$J$281:$AR$281,0)))</f>
        <v/>
      </c>
      <c r="K15" s="13">
        <f>CHOOSE(Inputs!$F$33,INDEX(Inputs!$J$283:$AR$283,1,MATCH((Time!K26-1),Inputs!$J$281:$AR$281,0)),INDEX(Inputs!$J$285:$AR$285,1,MATCH((Time!K26-1),Inputs!$J$281:$AR$281,0)),INDEX(Inputs!$J$287:$AR$287,1,MATCH((Time!K26-1),Inputs!$J$281:$AR$281,0)))</f>
        <v/>
      </c>
      <c r="L15" s="13">
        <f>CHOOSE(Inputs!$F$33,INDEX(Inputs!$J$283:$AR$283,1,MATCH((Time!L26-1),Inputs!$J$281:$AR$281,0)),INDEX(Inputs!$J$285:$AR$285,1,MATCH((Time!L26-1),Inputs!$J$281:$AR$281,0)),INDEX(Inputs!$J$287:$AR$287,1,MATCH((Time!L26-1),Inputs!$J$281:$AR$281,0)))</f>
        <v/>
      </c>
      <c r="M15" s="13">
        <f>CHOOSE(Inputs!$F$33,INDEX(Inputs!$J$283:$AR$283,1,MATCH((Time!M26-1),Inputs!$J$281:$AR$281,0)),INDEX(Inputs!$J$285:$AR$285,1,MATCH((Time!M26-1),Inputs!$J$281:$AR$281,0)),INDEX(Inputs!$J$287:$AR$287,1,MATCH((Time!M26-1),Inputs!$J$281:$AR$281,0)))</f>
        <v/>
      </c>
      <c r="N15" s="13">
        <f>CHOOSE(Inputs!$F$33,INDEX(Inputs!$J$283:$AR$283,1,MATCH((Time!N26-1),Inputs!$J$281:$AR$281,0)),INDEX(Inputs!$J$285:$AR$285,1,MATCH((Time!N26-1),Inputs!$J$281:$AR$281,0)),INDEX(Inputs!$J$287:$AR$287,1,MATCH((Time!N26-1),Inputs!$J$281:$AR$281,0)))</f>
        <v/>
      </c>
      <c r="O15" s="13">
        <f>CHOOSE(Inputs!$F$33,INDEX(Inputs!$J$283:$AR$283,1,MATCH((Time!O26-1),Inputs!$J$281:$AR$281,0)),INDEX(Inputs!$J$285:$AR$285,1,MATCH((Time!O26-1),Inputs!$J$281:$AR$281,0)),INDEX(Inputs!$J$287:$AR$287,1,MATCH((Time!O26-1),Inputs!$J$281:$AR$281,0)))</f>
        <v/>
      </c>
      <c r="P15" s="13">
        <f>CHOOSE(Inputs!$F$33,INDEX(Inputs!$J$283:$AR$283,1,MATCH((Time!P26-1),Inputs!$J$281:$AR$281,0)),INDEX(Inputs!$J$285:$AR$285,1,MATCH((Time!P26-1),Inputs!$J$281:$AR$281,0)),INDEX(Inputs!$J$287:$AR$287,1,MATCH((Time!P26-1),Inputs!$J$281:$AR$281,0)))</f>
        <v/>
      </c>
      <c r="Q15" s="13">
        <f>CHOOSE(Inputs!$F$33,INDEX(Inputs!$J$283:$AR$283,1,MATCH((Time!Q26-1),Inputs!$J$281:$AR$281,0)),INDEX(Inputs!$J$285:$AR$285,1,MATCH((Time!Q26-1),Inputs!$J$281:$AR$281,0)),INDEX(Inputs!$J$287:$AR$287,1,MATCH((Time!Q26-1),Inputs!$J$281:$AR$281,0)))</f>
        <v/>
      </c>
      <c r="R15" s="13">
        <f>CHOOSE(Inputs!$F$33,INDEX(Inputs!$J$283:$AR$283,1,MATCH((Time!R26-1),Inputs!$J$281:$AR$281,0)),INDEX(Inputs!$J$285:$AR$285,1,MATCH((Time!R26-1),Inputs!$J$281:$AR$281,0)),INDEX(Inputs!$J$287:$AR$287,1,MATCH((Time!R26-1),Inputs!$J$281:$AR$281,0)))</f>
        <v/>
      </c>
      <c r="S15" s="13">
        <f>CHOOSE(Inputs!$F$33,INDEX(Inputs!$J$283:$AR$283,1,MATCH((Time!S26-1),Inputs!$J$281:$AR$281,0)),INDEX(Inputs!$J$285:$AR$285,1,MATCH((Time!S26-1),Inputs!$J$281:$AR$281,0)),INDEX(Inputs!$J$287:$AR$287,1,MATCH((Time!S26-1),Inputs!$J$281:$AR$281,0)))</f>
        <v/>
      </c>
      <c r="T15" s="13">
        <f>CHOOSE(Inputs!$F$33,INDEX(Inputs!$J$283:$AR$283,1,MATCH((Time!T26-1),Inputs!$J$281:$AR$281,0)),INDEX(Inputs!$J$285:$AR$285,1,MATCH((Time!T26-1),Inputs!$J$281:$AR$281,0)),INDEX(Inputs!$J$287:$AR$287,1,MATCH((Time!T26-1),Inputs!$J$281:$AR$281,0)))</f>
        <v/>
      </c>
      <c r="U15" s="13">
        <f>CHOOSE(Inputs!$F$33,INDEX(Inputs!$J$283:$AR$283,1,MATCH((Time!U26-1),Inputs!$J$281:$AR$281,0)),INDEX(Inputs!$J$285:$AR$285,1,MATCH((Time!U26-1),Inputs!$J$281:$AR$281,0)),INDEX(Inputs!$J$287:$AR$287,1,MATCH((Time!U26-1),Inputs!$J$281:$AR$281,0)))</f>
        <v/>
      </c>
      <c r="V15" s="13">
        <f>CHOOSE(Inputs!$F$33,INDEX(Inputs!$J$283:$AR$283,1,MATCH((Time!V26-1),Inputs!$J$281:$AR$281,0)),INDEX(Inputs!$J$285:$AR$285,1,MATCH((Time!V26-1),Inputs!$J$281:$AR$281,0)),INDEX(Inputs!$J$287:$AR$287,1,MATCH((Time!V26-1),Inputs!$J$281:$AR$281,0)))</f>
        <v/>
      </c>
      <c r="W15" s="13">
        <f>CHOOSE(Inputs!$F$33,INDEX(Inputs!$J$283:$AR$283,1,MATCH((Time!W26-1),Inputs!$J$281:$AR$281,0)),INDEX(Inputs!$J$285:$AR$285,1,MATCH((Time!W26-1),Inputs!$J$281:$AR$281,0)),INDEX(Inputs!$J$287:$AR$287,1,MATCH((Time!W26-1),Inputs!$J$281:$AR$281,0)))</f>
        <v/>
      </c>
      <c r="X15" s="13">
        <f>CHOOSE(Inputs!$F$33,INDEX(Inputs!$J$283:$AR$283,1,MATCH((Time!X26-1),Inputs!$J$281:$AR$281,0)),INDEX(Inputs!$J$285:$AR$285,1,MATCH((Time!X26-1),Inputs!$J$281:$AR$281,0)),INDEX(Inputs!$J$287:$AR$287,1,MATCH((Time!X26-1),Inputs!$J$281:$AR$281,0)))</f>
        <v/>
      </c>
      <c r="Y15" s="13">
        <f>CHOOSE(Inputs!$F$33,INDEX(Inputs!$J$283:$AR$283,1,MATCH((Time!Y26-1),Inputs!$J$281:$AR$281,0)),INDEX(Inputs!$J$285:$AR$285,1,MATCH((Time!Y26-1),Inputs!$J$281:$AR$281,0)),INDEX(Inputs!$J$287:$AR$287,1,MATCH((Time!Y26-1),Inputs!$J$281:$AR$281,0)))</f>
        <v/>
      </c>
      <c r="Z15" s="13">
        <f>CHOOSE(Inputs!$F$33,INDEX(Inputs!$J$283:$AR$283,1,MATCH((Time!Z26-1),Inputs!$J$281:$AR$281,0)),INDEX(Inputs!$J$285:$AR$285,1,MATCH((Time!Z26-1),Inputs!$J$281:$AR$281,0)),INDEX(Inputs!$J$287:$AR$287,1,MATCH((Time!Z26-1),Inputs!$J$281:$AR$281,0)))</f>
        <v/>
      </c>
      <c r="AA15" s="13">
        <f>CHOOSE(Inputs!$F$33,INDEX(Inputs!$J$283:$AR$283,1,MATCH((Time!AA26-1),Inputs!$J$281:$AR$281,0)),INDEX(Inputs!$J$285:$AR$285,1,MATCH((Time!AA26-1),Inputs!$J$281:$AR$281,0)),INDEX(Inputs!$J$287:$AR$287,1,MATCH((Time!AA26-1),Inputs!$J$281:$AR$281,0)))</f>
        <v/>
      </c>
      <c r="AB15" s="13">
        <f>CHOOSE(Inputs!$F$33,INDEX(Inputs!$J$283:$AR$283,1,MATCH((Time!AB26-1),Inputs!$J$281:$AR$281,0)),INDEX(Inputs!$J$285:$AR$285,1,MATCH((Time!AB26-1),Inputs!$J$281:$AR$281,0)),INDEX(Inputs!$J$287:$AR$287,1,MATCH((Time!AB26-1),Inputs!$J$281:$AR$281,0)))</f>
        <v/>
      </c>
      <c r="AC15" s="13">
        <f>CHOOSE(Inputs!$F$33,INDEX(Inputs!$J$283:$AR$283,1,MATCH((Time!AC26-1),Inputs!$J$281:$AR$281,0)),INDEX(Inputs!$J$285:$AR$285,1,MATCH((Time!AC26-1),Inputs!$J$281:$AR$281,0)),INDEX(Inputs!$J$287:$AR$287,1,MATCH((Time!AC26-1),Inputs!$J$281:$AR$281,0)))</f>
        <v/>
      </c>
      <c r="AD15" s="13">
        <f>CHOOSE(Inputs!$F$33,INDEX(Inputs!$J$283:$AR$283,1,MATCH((Time!AD26-1),Inputs!$J$281:$AR$281,0)),INDEX(Inputs!$J$285:$AR$285,1,MATCH((Time!AD26-1),Inputs!$J$281:$AR$281,0)),INDEX(Inputs!$J$287:$AR$287,1,MATCH((Time!AD26-1),Inputs!$J$281:$AR$281,0)))</f>
        <v/>
      </c>
      <c r="AE15" s="13">
        <f>CHOOSE(Inputs!$F$33,INDEX(Inputs!$J$283:$AR$283,1,MATCH((Time!AE26-1),Inputs!$J$281:$AR$281,0)),INDEX(Inputs!$J$285:$AR$285,1,MATCH((Time!AE26-1),Inputs!$J$281:$AR$281,0)),INDEX(Inputs!$J$287:$AR$287,1,MATCH((Time!AE26-1),Inputs!$J$281:$AR$281,0)))</f>
        <v/>
      </c>
      <c r="AF15" s="13">
        <f>CHOOSE(Inputs!$F$33,INDEX(Inputs!$J$283:$AR$283,1,MATCH((Time!AF26-1),Inputs!$J$281:$AR$281,0)),INDEX(Inputs!$J$285:$AR$285,1,MATCH((Time!AF26-1),Inputs!$J$281:$AR$281,0)),INDEX(Inputs!$J$287:$AR$287,1,MATCH((Time!AF26-1),Inputs!$J$281:$AR$281,0)))</f>
        <v/>
      </c>
      <c r="AG15" s="13">
        <f>CHOOSE(Inputs!$F$33,INDEX(Inputs!$J$283:$AR$283,1,MATCH((Time!AG26-1),Inputs!$J$281:$AR$281,0)),INDEX(Inputs!$J$285:$AR$285,1,MATCH((Time!AG26-1),Inputs!$J$281:$AR$281,0)),INDEX(Inputs!$J$287:$AR$287,1,MATCH((Time!AG26-1),Inputs!$J$281:$AR$281,0)))</f>
        <v/>
      </c>
      <c r="AH15" s="13">
        <f>CHOOSE(Inputs!$F$33,INDEX(Inputs!$J$283:$AR$283,1,MATCH((Time!AH26-1),Inputs!$J$281:$AR$281,0)),INDEX(Inputs!$J$285:$AR$285,1,MATCH((Time!AH26-1),Inputs!$J$281:$AR$281,0)),INDEX(Inputs!$J$287:$AR$287,1,MATCH((Time!AH26-1),Inputs!$J$281:$AR$281,0)))</f>
        <v/>
      </c>
      <c r="AI15" s="13">
        <f>CHOOSE(Inputs!$F$33,INDEX(Inputs!$J$283:$AR$283,1,MATCH((Time!AI26-1),Inputs!$J$281:$AR$281,0)),INDEX(Inputs!$J$285:$AR$285,1,MATCH((Time!AI26-1),Inputs!$J$281:$AR$281,0)),INDEX(Inputs!$J$287:$AR$287,1,MATCH((Time!AI26-1),Inputs!$J$281:$AR$281,0)))</f>
        <v/>
      </c>
      <c r="AJ15" s="13">
        <f>CHOOSE(Inputs!$F$33,INDEX(Inputs!$J$283:$AR$283,1,MATCH((Time!AJ26-1),Inputs!$J$281:$AR$281,0)),INDEX(Inputs!$J$285:$AR$285,1,MATCH((Time!AJ26-1),Inputs!$J$281:$AR$281,0)),INDEX(Inputs!$J$287:$AR$287,1,MATCH((Time!AJ26-1),Inputs!$J$281:$AR$281,0)))</f>
        <v/>
      </c>
      <c r="AK15" s="13">
        <f>CHOOSE(Inputs!$F$33,INDEX(Inputs!$J$283:$AR$283,1,MATCH((Time!AK26-1),Inputs!$J$281:$AR$281,0)),INDEX(Inputs!$J$285:$AR$285,1,MATCH((Time!AK26-1),Inputs!$J$281:$AR$281,0)),INDEX(Inputs!$J$287:$AR$287,1,MATCH((Time!AK26-1),Inputs!$J$281:$AR$281,0)))</f>
        <v/>
      </c>
      <c r="AL15" s="13">
        <f>CHOOSE(Inputs!$F$33,INDEX(Inputs!$J$283:$AR$283,1,MATCH((Time!AL26-1),Inputs!$J$281:$AR$281,0)),INDEX(Inputs!$J$285:$AR$285,1,MATCH((Time!AL26-1),Inputs!$J$281:$AR$281,0)),INDEX(Inputs!$J$287:$AR$287,1,MATCH((Time!AL26-1),Inputs!$J$281:$AR$281,0)))</f>
        <v/>
      </c>
      <c r="AM15" s="13">
        <f>CHOOSE(Inputs!$F$33,INDEX(Inputs!$J$283:$AR$283,1,MATCH((Time!AM26-1),Inputs!$J$281:$AR$281,0)),INDEX(Inputs!$J$285:$AR$285,1,MATCH((Time!AM26-1),Inputs!$J$281:$AR$281,0)),INDEX(Inputs!$J$287:$AR$287,1,MATCH((Time!AM26-1),Inputs!$J$281:$AR$281,0)))</f>
        <v/>
      </c>
      <c r="AN15" s="13">
        <f>CHOOSE(Inputs!$F$33,INDEX(Inputs!$J$283:$AR$283,1,MATCH((Time!AN26-1),Inputs!$J$281:$AR$281,0)),INDEX(Inputs!$J$285:$AR$285,1,MATCH((Time!AN26-1),Inputs!$J$281:$AR$281,0)),INDEX(Inputs!$J$287:$AR$287,1,MATCH((Time!AN26-1),Inputs!$J$281:$AR$281,0)))</f>
        <v/>
      </c>
      <c r="AO15" s="13">
        <f>CHOOSE(Inputs!$F$33,INDEX(Inputs!$J$283:$AR$283,1,MATCH((Time!AO26-1),Inputs!$J$281:$AR$281,0)),INDEX(Inputs!$J$285:$AR$285,1,MATCH((Time!AO26-1),Inputs!$J$281:$AR$281,0)),INDEX(Inputs!$J$287:$AR$287,1,MATCH((Time!AO26-1),Inputs!$J$281:$AR$281,0)))</f>
        <v/>
      </c>
      <c r="AP15" s="13">
        <f>CHOOSE(Inputs!$F$33,INDEX(Inputs!$J$283:$AR$283,1,MATCH((Time!AP26-1),Inputs!$J$281:$AR$281,0)),INDEX(Inputs!$J$285:$AR$285,1,MATCH((Time!AP26-1),Inputs!$J$281:$AR$281,0)),INDEX(Inputs!$J$287:$AR$287,1,MATCH((Time!AP26-1),Inputs!$J$281:$AR$281,0)))</f>
        <v/>
      </c>
      <c r="AQ15" s="13">
        <f>CHOOSE(Inputs!$F$33,INDEX(Inputs!$J$283:$AR$283,1,MATCH((Time!AQ26-1),Inputs!$J$281:$AR$281,0)),INDEX(Inputs!$J$285:$AR$285,1,MATCH((Time!AQ26-1),Inputs!$J$281:$AR$281,0)),INDEX(Inputs!$J$287:$AR$287,1,MATCH((Time!AQ26-1),Inputs!$J$281:$AR$281,0)))</f>
        <v/>
      </c>
      <c r="AR15" s="13">
        <f>CHOOSE(Inputs!$F$33,INDEX(Inputs!$J$283:$AR$283,1,MATCH((Time!AR26-1),Inputs!$J$281:$AR$281,0)),INDEX(Inputs!$J$285:$AR$285,1,MATCH((Time!AR26-1),Inputs!$J$281:$AR$281,0)),INDEX(Inputs!$J$287:$AR$287,1,MATCH((Time!AR26-1),Inputs!$J$281:$AR$281,0)))</f>
        <v/>
      </c>
      <c r="AS15" s="13">
        <f>CHOOSE(Inputs!$F$33,INDEX(Inputs!$J$283:$AR$283,1,MATCH((Time!AS26-1),Inputs!$J$281:$AR$281,0)),INDEX(Inputs!$J$285:$AR$285,1,MATCH((Time!AS26-1),Inputs!$J$281:$AR$281,0)),INDEX(Inputs!$J$287:$AR$287,1,MATCH((Time!AS26-1),Inputs!$J$281:$AR$281,0)))</f>
        <v/>
      </c>
      <c r="AT15" s="13">
        <f>CHOOSE(Inputs!$F$33,INDEX(Inputs!$J$283:$AR$283,1,MATCH((Time!AT26-1),Inputs!$J$281:$AR$281,0)),INDEX(Inputs!$J$285:$AR$285,1,MATCH((Time!AT26-1),Inputs!$J$281:$AR$281,0)),INDEX(Inputs!$J$287:$AR$287,1,MATCH((Time!AT26-1),Inputs!$J$281:$AR$281,0)))</f>
        <v/>
      </c>
      <c r="AU15" s="13">
        <f>CHOOSE(Inputs!$F$33,INDEX(Inputs!$J$283:$AR$283,1,MATCH((Time!AU26-1),Inputs!$J$281:$AR$281,0)),INDEX(Inputs!$J$285:$AR$285,1,MATCH((Time!AU26-1),Inputs!$J$281:$AR$281,0)),INDEX(Inputs!$J$287:$AR$287,1,MATCH((Time!AU26-1),Inputs!$J$281:$AR$281,0)))</f>
        <v/>
      </c>
      <c r="AV15" s="13">
        <f>CHOOSE(Inputs!$F$33,INDEX(Inputs!$J$283:$AR$283,1,MATCH((Time!AV26-1),Inputs!$J$281:$AR$281,0)),INDEX(Inputs!$J$285:$AR$285,1,MATCH((Time!AV26-1),Inputs!$J$281:$AR$281,0)),INDEX(Inputs!$J$287:$AR$287,1,MATCH((Time!AV26-1),Inputs!$J$281:$AR$281,0)))</f>
        <v/>
      </c>
      <c r="AW15" s="13">
        <f>CHOOSE(Inputs!$F$33,INDEX(Inputs!$J$283:$AR$283,1,MATCH((Time!AW26-1),Inputs!$J$281:$AR$281,0)),INDEX(Inputs!$J$285:$AR$285,1,MATCH((Time!AW26-1),Inputs!$J$281:$AR$281,0)),INDEX(Inputs!$J$287:$AR$287,1,MATCH((Time!AW26-1),Inputs!$J$281:$AR$281,0)))</f>
        <v/>
      </c>
      <c r="AX15" s="13">
        <f>CHOOSE(Inputs!$F$33,INDEX(Inputs!$J$283:$AR$283,1,MATCH((Time!AX26-1),Inputs!$J$281:$AR$281,0)),INDEX(Inputs!$J$285:$AR$285,1,MATCH((Time!AX26-1),Inputs!$J$281:$AR$281,0)),INDEX(Inputs!$J$287:$AR$287,1,MATCH((Time!AX26-1),Inputs!$J$281:$AR$281,0)))</f>
        <v/>
      </c>
      <c r="AY15" s="13">
        <f>CHOOSE(Inputs!$F$33,INDEX(Inputs!$J$283:$AR$283,1,MATCH((Time!AY26-1),Inputs!$J$281:$AR$281,0)),INDEX(Inputs!$J$285:$AR$285,1,MATCH((Time!AY26-1),Inputs!$J$281:$AR$281,0)),INDEX(Inputs!$J$287:$AR$287,1,MATCH((Time!AY26-1),Inputs!$J$281:$AR$281,0)))</f>
        <v/>
      </c>
      <c r="AZ15" s="13">
        <f>CHOOSE(Inputs!$F$33,INDEX(Inputs!$J$283:$AR$283,1,MATCH((Time!AZ26-1),Inputs!$J$281:$AR$281,0)),INDEX(Inputs!$J$285:$AR$285,1,MATCH((Time!AZ26-1),Inputs!$J$281:$AR$281,0)),INDEX(Inputs!$J$287:$AR$287,1,MATCH((Time!AZ26-1),Inputs!$J$281:$AR$281,0)))</f>
        <v/>
      </c>
      <c r="BA15" s="13">
        <f>CHOOSE(Inputs!$F$33,INDEX(Inputs!$J$283:$AR$283,1,MATCH((Time!BA26-1),Inputs!$J$281:$AR$281,0)),INDEX(Inputs!$J$285:$AR$285,1,MATCH((Time!BA26-1),Inputs!$J$281:$AR$281,0)),INDEX(Inputs!$J$287:$AR$287,1,MATCH((Time!BA26-1),Inputs!$J$281:$AR$281,0)))</f>
        <v/>
      </c>
      <c r="BB15" s="13">
        <f>CHOOSE(Inputs!$F$33,INDEX(Inputs!$J$283:$AR$283,1,MATCH((Time!BB26-1),Inputs!$J$281:$AR$281,0)),INDEX(Inputs!$J$285:$AR$285,1,MATCH((Time!BB26-1),Inputs!$J$281:$AR$281,0)),INDEX(Inputs!$J$287:$AR$287,1,MATCH((Time!BB26-1),Inputs!$J$281:$AR$281,0)))</f>
        <v/>
      </c>
      <c r="BC15" s="13">
        <f>CHOOSE(Inputs!$F$33,INDEX(Inputs!$J$283:$AR$283,1,MATCH((Time!BC26-1),Inputs!$J$281:$AR$281,0)),INDEX(Inputs!$J$285:$AR$285,1,MATCH((Time!BC26-1),Inputs!$J$281:$AR$281,0)),INDEX(Inputs!$J$287:$AR$287,1,MATCH((Time!BC26-1),Inputs!$J$281:$AR$281,0)))</f>
        <v/>
      </c>
      <c r="BD15" s="13">
        <f>CHOOSE(Inputs!$F$33,INDEX(Inputs!$J$283:$AR$283,1,MATCH((Time!BD26-1),Inputs!$J$281:$AR$281,0)),INDEX(Inputs!$J$285:$AR$285,1,MATCH((Time!BD26-1),Inputs!$J$281:$AR$281,0)),INDEX(Inputs!$J$287:$AR$287,1,MATCH((Time!BD26-1),Inputs!$J$281:$AR$281,0)))</f>
        <v/>
      </c>
      <c r="BE15" s="13">
        <f>CHOOSE(Inputs!$F$33,INDEX(Inputs!$J$283:$AR$283,1,MATCH((Time!BE26-1),Inputs!$J$281:$AR$281,0)),INDEX(Inputs!$J$285:$AR$285,1,MATCH((Time!BE26-1),Inputs!$J$281:$AR$281,0)),INDEX(Inputs!$J$287:$AR$287,1,MATCH((Time!BE26-1),Inputs!$J$281:$AR$281,0)))</f>
        <v/>
      </c>
      <c r="BF15" s="13">
        <f>CHOOSE(Inputs!$F$33,INDEX(Inputs!$J$283:$AR$283,1,MATCH((Time!BF26-1),Inputs!$J$281:$AR$281,0)),INDEX(Inputs!$J$285:$AR$285,1,MATCH((Time!BF26-1),Inputs!$J$281:$AR$281,0)),INDEX(Inputs!$J$287:$AR$287,1,MATCH((Time!BF26-1),Inputs!$J$281:$AR$281,0)))</f>
        <v/>
      </c>
      <c r="BG15" s="13">
        <f>CHOOSE(Inputs!$F$33,INDEX(Inputs!$J$283:$AR$283,1,MATCH((Time!BG26-1),Inputs!$J$281:$AR$281,0)),INDEX(Inputs!$J$285:$AR$285,1,MATCH((Time!BG26-1),Inputs!$J$281:$AR$281,0)),INDEX(Inputs!$J$287:$AR$287,1,MATCH((Time!BG26-1),Inputs!$J$281:$AR$281,0)))</f>
        <v/>
      </c>
      <c r="BH15" s="13">
        <f>CHOOSE(Inputs!$F$33,INDEX(Inputs!$J$283:$AR$283,1,MATCH((Time!BH26-1),Inputs!$J$281:$AR$281,0)),INDEX(Inputs!$J$285:$AR$285,1,MATCH((Time!BH26-1),Inputs!$J$281:$AR$281,0)),INDEX(Inputs!$J$287:$AR$287,1,MATCH((Time!BH26-1),Inputs!$J$281:$AR$281,0)))</f>
        <v/>
      </c>
      <c r="BI15" s="13">
        <f>CHOOSE(Inputs!$F$33,INDEX(Inputs!$J$283:$AR$283,1,MATCH((Time!BI26-1),Inputs!$J$281:$AR$281,0)),INDEX(Inputs!$J$285:$AR$285,1,MATCH((Time!BI26-1),Inputs!$J$281:$AR$281,0)),INDEX(Inputs!$J$287:$AR$287,1,MATCH((Time!BI26-1),Inputs!$J$281:$AR$281,0)))</f>
        <v/>
      </c>
      <c r="BJ15" s="13">
        <f>CHOOSE(Inputs!$F$33,INDEX(Inputs!$J$283:$AR$283,1,MATCH((Time!BJ26-1),Inputs!$J$281:$AR$281,0)),INDEX(Inputs!$J$285:$AR$285,1,MATCH((Time!BJ26-1),Inputs!$J$281:$AR$281,0)),INDEX(Inputs!$J$287:$AR$287,1,MATCH((Time!BJ26-1),Inputs!$J$281:$AR$281,0)))</f>
        <v/>
      </c>
      <c r="BK15" s="13">
        <f>CHOOSE(Inputs!$F$33,INDEX(Inputs!$J$283:$AR$283,1,MATCH((Time!BK26-1),Inputs!$J$281:$AR$281,0)),INDEX(Inputs!$J$285:$AR$285,1,MATCH((Time!BK26-1),Inputs!$J$281:$AR$281,0)),INDEX(Inputs!$J$287:$AR$287,1,MATCH((Time!BK26-1),Inputs!$J$281:$AR$281,0)))</f>
        <v/>
      </c>
      <c r="BL15" s="13">
        <f>CHOOSE(Inputs!$F$33,INDEX(Inputs!$J$283:$AR$283,1,MATCH((Time!BL26-1),Inputs!$J$281:$AR$281,0)),INDEX(Inputs!$J$285:$AR$285,1,MATCH((Time!BL26-1),Inputs!$J$281:$AR$281,0)),INDEX(Inputs!$J$287:$AR$287,1,MATCH((Time!BL26-1),Inputs!$J$281:$AR$281,0)))</f>
        <v/>
      </c>
      <c r="BM15" s="13">
        <f>CHOOSE(Inputs!$F$33,INDEX(Inputs!$J$283:$AR$283,1,MATCH((Time!BM26-1),Inputs!$J$281:$AR$281,0)),INDEX(Inputs!$J$285:$AR$285,1,MATCH((Time!BM26-1),Inputs!$J$281:$AR$281,0)),INDEX(Inputs!$J$287:$AR$287,1,MATCH((Time!BM26-1),Inputs!$J$281:$AR$281,0)))</f>
        <v/>
      </c>
      <c r="BN15" s="13">
        <f>CHOOSE(Inputs!$F$33,INDEX(Inputs!$J$283:$AR$283,1,MATCH((Time!BN26-1),Inputs!$J$281:$AR$281,0)),INDEX(Inputs!$J$285:$AR$285,1,MATCH((Time!BN26-1),Inputs!$J$281:$AR$281,0)),INDEX(Inputs!$J$287:$AR$287,1,MATCH((Time!BN26-1),Inputs!$J$281:$AR$281,0)))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$282:$AR$282,1,MATCH(Inputs!$F$230,Inputs!$J$281:$AR$281,0)),INDEX(Inputs!$J$284:$AR$284,1,MATCH(Inputs!$F$230,Inputs!$J$281:$AR$281,0)),INDEX(Inputs!$J$286:$AR$286,1,MATCH(Inputs!$F$230,Inputs!$J$281:$AR$281,0)))/100)^((12-Inputs!$F$231)/12)*(1+CHOOSE(Inputs!$F$33,INDEX(Inputs!$J$282:$AR$282,1,MATCH(Inputs!$F$230+1,Inputs!$J$281:$AR$281,0)),INDEX(Inputs!$J$284:$AR$284,1,MATCH(Inputs!$F$230+1,Inputs!$J$281:$AR$281,0)),INDEX(Inputs!$J$286:$AR$286,1,MATCH(Inputs!$F$230+1,Inputs!$J$281:$AR$281,0)))/100)*(1+CHOOSE(Inputs!$F$33,INDEX(Inputs!$J$282:$AR$282,1,MATCH(YEAR(Inputs!$F$189),Inputs!$J$281:$AR$281,0)),INDEX(Inputs!$J$284:$AR$284,1,MATCH(YEAR(Inputs!$F$189),Inputs!$J$281:$AR$281,0)),INDEX(Inputs!$J$286:$AR$286,1,MATCH(YEAR(Inputs!$F$189),Inputs!$J$281:$AR$281,0)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$282:$AR$282,1,MATCH(Inputs!$F$230,Inputs!$J$281:$AR$281,0)),INDEX(Inputs!$J$284:$AR$284,1,MATCH(Inputs!$F$230,Inputs!$J$281:$AR$281,0)),INDEX(Inputs!$J$286:$AR$286,1,MATCH(Inputs!$F$230,Inputs!$J$281:$AR$281,0)))/100)^((12-Inputs!$F$231)/12)*(1+CHOOSE(Inputs!$F$33,INDEX(Inputs!$J$282:$AR$282,1,MATCH(Inputs!$F$230+1,Inputs!$J$281:$AR$281,0)),INDEX(Inputs!$J$284:$AR$284,1,MATCH(Inputs!$F$230+1,Inputs!$J$281:$AR$281,0)),INDEX(Inputs!$J$286:$AR$286,1,MATCH(Inputs!$F$230+1,Inputs!$J$281:$AR$281,0)))/100)*(1+CHOOSE(Inputs!$F$33,INDEX(Inputs!$J$282:$AR$282,1,MATCH(YEAR(Inputs!$F$189),Inputs!$J$281:$AR$281,0)),INDEX(Inputs!$J$284:$AR$284,1,MATCH(YEAR(Inputs!$F$189),Inputs!$J$281:$AR$281,0)),INDEX(Inputs!$J$286:$AR$286,1,MATCH(YEAR(Inputs!$F$189),Inputs!$J$281:$AR$281,0)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$282:$AR$282,1,MATCH(Inputs!$F$230,Inputs!$J$281:$AR$281,0)),INDEX(Inputs!$J$284:$AR$284,1,MATCH(Inputs!$F$230,Inputs!$J$281:$AR$281,0)),INDEX(Inputs!$J$286:$AR$286,1,MATCH(Inputs!$F$230,Inputs!$J$281:$AR$281,0)))/100)^((12-Inputs!$F$231)/12)*(1+CHOOSE(Inputs!$F$33,INDEX(Inputs!$J$282:$AR$282,1,MATCH(Inputs!$F$230+1,Inputs!$J$281:$AR$281,0)),INDEX(Inputs!$J$284:$AR$284,1,MATCH(Inputs!$F$230+1,Inputs!$J$281:$AR$281,0)),INDEX(Inputs!$J$286:$AR$286,1,MATCH(Inputs!$F$230+1,Inputs!$J$281:$AR$281,0)))/100)*(1+CHOOSE(Inputs!$F$33,INDEX(Inputs!$J$282:$AR$282,1,MATCH(YEAR(Inputs!$F$189),Inputs!$J$281:$AR$281,0)),INDEX(Inputs!$J$284:$AR$284,1,MATCH(YEAR(Inputs!$F$189),Inputs!$J$281:$AR$281,0)),INDEX(Inputs!$J$286:$AR$286,1,MATCH(YEAR(Inputs!$F$189),Inputs!$J$281:$AR$281,0)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$283:$AR$283,1,MATCH(Inputs!$F$230,Inputs!$J$281:$AR$281,0)),INDEX(Inputs!$J$285:$AR$285,1,MATCH(Inputs!$F$230,Inputs!$J$281:$AR$281,0)),INDEX(Inputs!$J$287:$AR$287,1,MATCH(Inputs!$F$230,Inputs!$J$281:$AR$281,0)))/100)^((12-Inputs!$F$231)/12)*(1+CHOOSE(Inputs!$F$33,INDEX(Inputs!$J$283:$AR$283,1,MATCH(Inputs!$F$230+1,Inputs!$J$281:$AR$281,0)),INDEX(Inputs!$J$285:$AR$285,1,MATCH(Inputs!$F$230+1,Inputs!$J$281:$AR$281,0)),INDEX(Inputs!$J$287:$AR$287,1,MATCH(Inputs!$F$230+1,Inputs!$J$281:$AR$281,0)))/100)*(1+CHOOSE(Inputs!$F$33,INDEX(Inputs!$J$283:$AR$283,1,MATCH(YEAR(Inputs!$F$189),Inputs!$J$281:$AR$281,0)),INDEX(Inputs!$J$285:$AR$285,1,MATCH(YEAR(Inputs!$F$189),Inputs!$J$281:$AR$281,0)),INDEX(Inputs!$J$287:$AR$287,1,MATCH(YEAR(Inputs!$F$189),Inputs!$J$281:$AR$281,0)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$283:$AR$283,1,MATCH(Inputs!$F$230,Inputs!$J$281:$AR$281,0)),INDEX(Inputs!$J$285:$AR$285,1,MATCH(Inputs!$F$230,Inputs!$J$281:$AR$281,0)),INDEX(Inputs!$J$287:$AR$287,1,MATCH(Inputs!$F$230,Inputs!$J$281:$AR$281,0)))/100)^((12-Inputs!$F$231)/12)*(1+CHOOSE(Inputs!$F$33,INDEX(Inputs!$J$283:$AR$283,1,MATCH(Inputs!$F$230+1,Inputs!$J$281:$AR$281,0)),INDEX(Inputs!$J$285:$AR$285,1,MATCH(Inputs!$F$230+1,Inputs!$J$281:$AR$281,0)),INDEX(Inputs!$J$287:$AR$287,1,MATCH(Inputs!$F$230+1,Inputs!$J$281:$AR$281,0)))/100)*(1+CHOOSE(Inputs!$F$33,INDEX(Inputs!$J$283:$AR$283,1,MATCH(YEAR(Inputs!$F$189),Inputs!$J$281:$AR$281,0)),INDEX(Inputs!$J$285:$AR$285,1,MATCH(YEAR(Inputs!$F$189),Inputs!$J$281:$AR$281,0)),INDEX(Inputs!$J$287:$AR$287,1,MATCH(YEAR(Inputs!$F$189),Inputs!$J$281:$AR$281,0)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$283:$AR$283,1,MATCH(Inputs!$F$230,Inputs!$J$281:$AR$281,0)),INDEX(Inputs!$J$285:$AR$285,1,MATCH(Inputs!$F$230,Inputs!$J$281:$AR$281,0)),INDEX(Inputs!$J$287:$AR$287,1,MATCH(Inputs!$F$230,Inputs!$J$281:$AR$281,0)))/100)^((12-Inputs!$F$231)/12)*(1+CHOOSE(Inputs!$F$33,INDEX(Inputs!$J$283:$AR$283,1,MATCH(Inputs!$F$230+1,Inputs!$J$281:$AR$281,0)),INDEX(Inputs!$J$285:$AR$285,1,MATCH(Inputs!$F$230+1,Inputs!$J$281:$AR$281,0)),INDEX(Inputs!$J$287:$AR$287,1,MATCH(Inputs!$F$230+1,Inputs!$J$281:$AR$281,0)))/100)*(1+CHOOSE(Inputs!$F$33,INDEX(Inputs!$J$283:$AR$283,1,MATCH(YEAR(Inputs!$F$189),Inputs!$J$281:$AR$281,0)),INDEX(Inputs!$J$285:$AR$285,1,MATCH(YEAR(Inputs!$F$189),Inputs!$J$281:$AR$281,0)),INDEX(Inputs!$J$287:$AR$287,1,MATCH(YEAR(Inputs!$F$189),Inputs!$J$281:$AR$281,0)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IF(Time!J30&gt;0,(J30*INDEX(Inputs!$J$301:$Q$301,1,MOD(J29-1,Inputs!$F$220)+1)+(Time!J30-J30)*INDEX(Inputs!$J$301:$Q$301,1,MOD(J29,Inputs!$F$220)+1))/Time!J30,0)</f>
        <v/>
      </c>
      <c r="K31" s="13">
        <f>IF(Time!K30&gt;0,(K30*INDEX(Inputs!$J$301:$Q$301,1,MOD(K29-1,Inputs!$F$220)+1)+(Time!K30-K30)*INDEX(Inputs!$J$301:$Q$301,1,MOD(K29,Inputs!$F$220)+1))/Time!K30,0)</f>
        <v/>
      </c>
      <c r="L31" s="13">
        <f>IF(Time!L30&gt;0,(L30*INDEX(Inputs!$J$301:$Q$301,1,MOD(L29-1,Inputs!$F$220)+1)+(Time!L30-L30)*INDEX(Inputs!$J$301:$Q$301,1,MOD(L29,Inputs!$F$220)+1))/Time!L30,0)</f>
        <v/>
      </c>
      <c r="M31" s="13">
        <f>IF(Time!M30&gt;0,(M30*INDEX(Inputs!$J$301:$Q$301,1,MOD(M29-1,Inputs!$F$220)+1)+(Time!M30-M30)*INDEX(Inputs!$J$301:$Q$301,1,MOD(M29,Inputs!$F$220)+1))/Time!M30,0)</f>
        <v/>
      </c>
      <c r="N31" s="13">
        <f>IF(Time!N30&gt;0,(N30*INDEX(Inputs!$J$301:$Q$301,1,MOD(N29-1,Inputs!$F$220)+1)+(Time!N30-N30)*INDEX(Inputs!$J$301:$Q$301,1,MOD(N29,Inputs!$F$220)+1))/Time!N30,0)</f>
        <v/>
      </c>
      <c r="O31" s="13">
        <f>IF(Time!O30&gt;0,(O30*INDEX(Inputs!$J$301:$Q$301,1,MOD(O29-1,Inputs!$F$220)+1)+(Time!O30-O30)*INDEX(Inputs!$J$301:$Q$301,1,MOD(O29,Inputs!$F$220)+1))/Time!O30,0)</f>
        <v/>
      </c>
      <c r="P31" s="13">
        <f>IF(Time!P30&gt;0,(P30*INDEX(Inputs!$J$301:$Q$301,1,MOD(P29-1,Inputs!$F$220)+1)+(Time!P30-P30)*INDEX(Inputs!$J$301:$Q$301,1,MOD(P29,Inputs!$F$220)+1))/Time!P30,0)</f>
        <v/>
      </c>
      <c r="Q31" s="13">
        <f>IF(Time!Q30&gt;0,(Q30*INDEX(Inputs!$J$301:$Q$301,1,MOD(Q29-1,Inputs!$F$220)+1)+(Time!Q30-Q30)*INDEX(Inputs!$J$301:$Q$301,1,MOD(Q29,Inputs!$F$220)+1))/Time!Q30,0)</f>
        <v/>
      </c>
      <c r="R31" s="13">
        <f>IF(Time!R30&gt;0,(R30*INDEX(Inputs!$J$301:$Q$301,1,MOD(R29-1,Inputs!$F$220)+1)+(Time!R30-R30)*INDEX(Inputs!$J$301:$Q$301,1,MOD(R29,Inputs!$F$220)+1))/Time!R30,0)</f>
        <v/>
      </c>
      <c r="S31" s="13">
        <f>IF(Time!S30&gt;0,(S30*INDEX(Inputs!$J$301:$Q$301,1,MOD(S29-1,Inputs!$F$220)+1)+(Time!S30-S30)*INDEX(Inputs!$J$301:$Q$301,1,MOD(S29,Inputs!$F$220)+1))/Time!S30,0)</f>
        <v/>
      </c>
      <c r="T31" s="13">
        <f>IF(Time!T30&gt;0,(T30*INDEX(Inputs!$J$301:$Q$301,1,MOD(T29-1,Inputs!$F$220)+1)+(Time!T30-T30)*INDEX(Inputs!$J$301:$Q$301,1,MOD(T29,Inputs!$F$220)+1))/Time!T30,0)</f>
        <v/>
      </c>
      <c r="U31" s="13">
        <f>IF(Time!U30&gt;0,(U30*INDEX(Inputs!$J$301:$Q$301,1,MOD(U29-1,Inputs!$F$220)+1)+(Time!U30-U30)*INDEX(Inputs!$J$301:$Q$301,1,MOD(U29,Inputs!$F$220)+1))/Time!U30,0)</f>
        <v/>
      </c>
      <c r="V31" s="13">
        <f>IF(Time!V30&gt;0,(V30*INDEX(Inputs!$J$301:$Q$301,1,MOD(V29-1,Inputs!$F$220)+1)+(Time!V30-V30)*INDEX(Inputs!$J$301:$Q$301,1,MOD(V29,Inputs!$F$220)+1))/Time!V30,0)</f>
        <v/>
      </c>
      <c r="W31" s="13">
        <f>IF(Time!W30&gt;0,(W30*INDEX(Inputs!$J$301:$Q$301,1,MOD(W29-1,Inputs!$F$220)+1)+(Time!W30-W30)*INDEX(Inputs!$J$301:$Q$301,1,MOD(W29,Inputs!$F$220)+1))/Time!W30,0)</f>
        <v/>
      </c>
      <c r="X31" s="13">
        <f>IF(Time!X30&gt;0,(X30*INDEX(Inputs!$J$301:$Q$301,1,MOD(X29-1,Inputs!$F$220)+1)+(Time!X30-X30)*INDEX(Inputs!$J$301:$Q$301,1,MOD(X29,Inputs!$F$220)+1))/Time!X30,0)</f>
        <v/>
      </c>
      <c r="Y31" s="13">
        <f>IF(Time!Y30&gt;0,(Y30*INDEX(Inputs!$J$301:$Q$301,1,MOD(Y29-1,Inputs!$F$220)+1)+(Time!Y30-Y30)*INDEX(Inputs!$J$301:$Q$301,1,MOD(Y29,Inputs!$F$220)+1))/Time!Y30,0)</f>
        <v/>
      </c>
      <c r="Z31" s="13">
        <f>IF(Time!Z30&gt;0,(Z30*INDEX(Inputs!$J$301:$Q$301,1,MOD(Z29-1,Inputs!$F$220)+1)+(Time!Z30-Z30)*INDEX(Inputs!$J$301:$Q$301,1,MOD(Z29,Inputs!$F$220)+1))/Time!Z30,0)</f>
        <v/>
      </c>
      <c r="AA31" s="13">
        <f>IF(Time!AA30&gt;0,(AA30*INDEX(Inputs!$J$301:$Q$301,1,MOD(AA29-1,Inputs!$F$220)+1)+(Time!AA30-AA30)*INDEX(Inputs!$J$301:$Q$301,1,MOD(AA29,Inputs!$F$220)+1))/Time!AA30,0)</f>
        <v/>
      </c>
      <c r="AB31" s="13">
        <f>IF(Time!AB30&gt;0,(AB30*INDEX(Inputs!$J$301:$Q$301,1,MOD(AB29-1,Inputs!$F$220)+1)+(Time!AB30-AB30)*INDEX(Inputs!$J$301:$Q$301,1,MOD(AB29,Inputs!$F$220)+1))/Time!AB30,0)</f>
        <v/>
      </c>
      <c r="AC31" s="13">
        <f>IF(Time!AC30&gt;0,(AC30*INDEX(Inputs!$J$301:$Q$301,1,MOD(AC29-1,Inputs!$F$220)+1)+(Time!AC30-AC30)*INDEX(Inputs!$J$301:$Q$301,1,MOD(AC29,Inputs!$F$220)+1))/Time!AC30,0)</f>
        <v/>
      </c>
      <c r="AD31" s="13">
        <f>IF(Time!AD30&gt;0,(AD30*INDEX(Inputs!$J$301:$Q$301,1,MOD(AD29-1,Inputs!$F$220)+1)+(Time!AD30-AD30)*INDEX(Inputs!$J$301:$Q$301,1,MOD(AD29,Inputs!$F$220)+1))/Time!AD30,0)</f>
        <v/>
      </c>
      <c r="AE31" s="13">
        <f>IF(Time!AE30&gt;0,(AE30*INDEX(Inputs!$J$301:$Q$301,1,MOD(AE29-1,Inputs!$F$220)+1)+(Time!AE30-AE30)*INDEX(Inputs!$J$301:$Q$301,1,MOD(AE29,Inputs!$F$220)+1))/Time!AE30,0)</f>
        <v/>
      </c>
      <c r="AF31" s="13">
        <f>IF(Time!AF30&gt;0,(AF30*INDEX(Inputs!$J$301:$Q$301,1,MOD(AF29-1,Inputs!$F$220)+1)+(Time!AF30-AF30)*INDEX(Inputs!$J$301:$Q$301,1,MOD(AF29,Inputs!$F$220)+1))/Time!AF30,0)</f>
        <v/>
      </c>
      <c r="AG31" s="13">
        <f>IF(Time!AG30&gt;0,(AG30*INDEX(Inputs!$J$301:$Q$301,1,MOD(AG29-1,Inputs!$F$220)+1)+(Time!AG30-AG30)*INDEX(Inputs!$J$301:$Q$301,1,MOD(AG29,Inputs!$F$220)+1))/Time!AG30,0)</f>
        <v/>
      </c>
      <c r="AH31" s="13">
        <f>IF(Time!AH30&gt;0,(AH30*INDEX(Inputs!$J$301:$Q$301,1,MOD(AH29-1,Inputs!$F$220)+1)+(Time!AH30-AH30)*INDEX(Inputs!$J$301:$Q$301,1,MOD(AH29,Inputs!$F$220)+1))/Time!AH30,0)</f>
        <v/>
      </c>
      <c r="AI31" s="13">
        <f>IF(Time!AI30&gt;0,(AI30*INDEX(Inputs!$J$301:$Q$301,1,MOD(AI29-1,Inputs!$F$220)+1)+(Time!AI30-AI30)*INDEX(Inputs!$J$301:$Q$301,1,MOD(AI29,Inputs!$F$220)+1))/Time!AI30,0)</f>
        <v/>
      </c>
      <c r="AJ31" s="13">
        <f>IF(Time!AJ30&gt;0,(AJ30*INDEX(Inputs!$J$301:$Q$301,1,MOD(AJ29-1,Inputs!$F$220)+1)+(Time!AJ30-AJ30)*INDEX(Inputs!$J$301:$Q$301,1,MOD(AJ29,Inputs!$F$220)+1))/Time!AJ30,0)</f>
        <v/>
      </c>
      <c r="AK31" s="13">
        <f>IF(Time!AK30&gt;0,(AK30*INDEX(Inputs!$J$301:$Q$301,1,MOD(AK29-1,Inputs!$F$220)+1)+(Time!AK30-AK30)*INDEX(Inputs!$J$301:$Q$301,1,MOD(AK29,Inputs!$F$220)+1))/Time!AK30,0)</f>
        <v/>
      </c>
      <c r="AL31" s="13">
        <f>IF(Time!AL30&gt;0,(AL30*INDEX(Inputs!$J$301:$Q$301,1,MOD(AL29-1,Inputs!$F$220)+1)+(Time!AL30-AL30)*INDEX(Inputs!$J$301:$Q$301,1,MOD(AL29,Inputs!$F$220)+1))/Time!AL30,0)</f>
        <v/>
      </c>
      <c r="AM31" s="13">
        <f>IF(Time!AM30&gt;0,(AM30*INDEX(Inputs!$J$301:$Q$301,1,MOD(AM29-1,Inputs!$F$220)+1)+(Time!AM30-AM30)*INDEX(Inputs!$J$301:$Q$301,1,MOD(AM29,Inputs!$F$220)+1))/Time!AM30,0)</f>
        <v/>
      </c>
      <c r="AN31" s="13">
        <f>IF(Time!AN30&gt;0,(AN30*INDEX(Inputs!$J$301:$Q$301,1,MOD(AN29-1,Inputs!$F$220)+1)+(Time!AN30-AN30)*INDEX(Inputs!$J$301:$Q$301,1,MOD(AN29,Inputs!$F$220)+1))/Time!AN30,0)</f>
        <v/>
      </c>
      <c r="AO31" s="13">
        <f>IF(Time!AO30&gt;0,(AO30*INDEX(Inputs!$J$301:$Q$301,1,MOD(AO29-1,Inputs!$F$220)+1)+(Time!AO30-AO30)*INDEX(Inputs!$J$301:$Q$301,1,MOD(AO29,Inputs!$F$220)+1))/Time!AO30,0)</f>
        <v/>
      </c>
      <c r="AP31" s="13">
        <f>IF(Time!AP30&gt;0,(AP30*INDEX(Inputs!$J$301:$Q$301,1,MOD(AP29-1,Inputs!$F$220)+1)+(Time!AP30-AP30)*INDEX(Inputs!$J$301:$Q$301,1,MOD(AP29,Inputs!$F$220)+1))/Time!AP30,0)</f>
        <v/>
      </c>
      <c r="AQ31" s="13">
        <f>IF(Time!AQ30&gt;0,(AQ30*INDEX(Inputs!$J$301:$Q$301,1,MOD(AQ29-1,Inputs!$F$220)+1)+(Time!AQ30-AQ30)*INDEX(Inputs!$J$301:$Q$301,1,MOD(AQ29,Inputs!$F$220)+1))/Time!AQ30,0)</f>
        <v/>
      </c>
      <c r="AR31" s="13">
        <f>IF(Time!AR30&gt;0,(AR30*INDEX(Inputs!$J$301:$Q$301,1,MOD(AR29-1,Inputs!$F$220)+1)+(Time!AR30-AR30)*INDEX(Inputs!$J$301:$Q$301,1,MOD(AR29,Inputs!$F$220)+1))/Time!AR30,0)</f>
        <v/>
      </c>
      <c r="AS31" s="13">
        <f>IF(Time!AS30&gt;0,(AS30*INDEX(Inputs!$J$301:$Q$301,1,MOD(AS29-1,Inputs!$F$220)+1)+(Time!AS30-AS30)*INDEX(Inputs!$J$301:$Q$301,1,MOD(AS29,Inputs!$F$220)+1))/Time!AS30,0)</f>
        <v/>
      </c>
      <c r="AT31" s="13">
        <f>IF(Time!AT30&gt;0,(AT30*INDEX(Inputs!$J$301:$Q$301,1,MOD(AT29-1,Inputs!$F$220)+1)+(Time!AT30-AT30)*INDEX(Inputs!$J$301:$Q$301,1,MOD(AT29,Inputs!$F$220)+1))/Time!AT30,0)</f>
        <v/>
      </c>
      <c r="AU31" s="13">
        <f>IF(Time!AU30&gt;0,(AU30*INDEX(Inputs!$J$301:$Q$301,1,MOD(AU29-1,Inputs!$F$220)+1)+(Time!AU30-AU30)*INDEX(Inputs!$J$301:$Q$301,1,MOD(AU29,Inputs!$F$220)+1))/Time!AU30,0)</f>
        <v/>
      </c>
      <c r="AV31" s="13">
        <f>IF(Time!AV30&gt;0,(AV30*INDEX(Inputs!$J$301:$Q$301,1,MOD(AV29-1,Inputs!$F$220)+1)+(Time!AV30-AV30)*INDEX(Inputs!$J$301:$Q$301,1,MOD(AV29,Inputs!$F$220)+1))/Time!AV30,0)</f>
        <v/>
      </c>
      <c r="AW31" s="13">
        <f>IF(Time!AW30&gt;0,(AW30*INDEX(Inputs!$J$301:$Q$301,1,MOD(AW29-1,Inputs!$F$220)+1)+(Time!AW30-AW30)*INDEX(Inputs!$J$301:$Q$301,1,MOD(AW29,Inputs!$F$220)+1))/Time!AW30,0)</f>
        <v/>
      </c>
      <c r="AX31" s="13">
        <f>IF(Time!AX30&gt;0,(AX30*INDEX(Inputs!$J$301:$Q$301,1,MOD(AX29-1,Inputs!$F$220)+1)+(Time!AX30-AX30)*INDEX(Inputs!$J$301:$Q$301,1,MOD(AX29,Inputs!$F$220)+1))/Time!AX30,0)</f>
        <v/>
      </c>
      <c r="AY31" s="13">
        <f>IF(Time!AY30&gt;0,(AY30*INDEX(Inputs!$J$301:$Q$301,1,MOD(AY29-1,Inputs!$F$220)+1)+(Time!AY30-AY30)*INDEX(Inputs!$J$301:$Q$301,1,MOD(AY29,Inputs!$F$220)+1))/Time!AY30,0)</f>
        <v/>
      </c>
      <c r="AZ31" s="13">
        <f>IF(Time!AZ30&gt;0,(AZ30*INDEX(Inputs!$J$301:$Q$301,1,MOD(AZ29-1,Inputs!$F$220)+1)+(Time!AZ30-AZ30)*INDEX(Inputs!$J$301:$Q$301,1,MOD(AZ29,Inputs!$F$220)+1))/Time!AZ30,0)</f>
        <v/>
      </c>
      <c r="BA31" s="13">
        <f>IF(Time!BA30&gt;0,(BA30*INDEX(Inputs!$J$301:$Q$301,1,MOD(BA29-1,Inputs!$F$220)+1)+(Time!BA30-BA30)*INDEX(Inputs!$J$301:$Q$301,1,MOD(BA29,Inputs!$F$220)+1))/Time!BA30,0)</f>
        <v/>
      </c>
      <c r="BB31" s="13">
        <f>IF(Time!BB30&gt;0,(BB30*INDEX(Inputs!$J$301:$Q$301,1,MOD(BB29-1,Inputs!$F$220)+1)+(Time!BB30-BB30)*INDEX(Inputs!$J$301:$Q$301,1,MOD(BB29,Inputs!$F$220)+1))/Time!BB30,0)</f>
        <v/>
      </c>
      <c r="BC31" s="13">
        <f>IF(Time!BC30&gt;0,(BC30*INDEX(Inputs!$J$301:$Q$301,1,MOD(BC29-1,Inputs!$F$220)+1)+(Time!BC30-BC30)*INDEX(Inputs!$J$301:$Q$301,1,MOD(BC29,Inputs!$F$220)+1))/Time!BC30,0)</f>
        <v/>
      </c>
      <c r="BD31" s="13">
        <f>IF(Time!BD30&gt;0,(BD30*INDEX(Inputs!$J$301:$Q$301,1,MOD(BD29-1,Inputs!$F$220)+1)+(Time!BD30-BD30)*INDEX(Inputs!$J$301:$Q$301,1,MOD(BD29,Inputs!$F$220)+1))/Time!BD30,0)</f>
        <v/>
      </c>
      <c r="BE31" s="13">
        <f>IF(Time!BE30&gt;0,(BE30*INDEX(Inputs!$J$301:$Q$301,1,MOD(BE29-1,Inputs!$F$220)+1)+(Time!BE30-BE30)*INDEX(Inputs!$J$301:$Q$301,1,MOD(BE29,Inputs!$F$220)+1))/Time!BE30,0)</f>
        <v/>
      </c>
      <c r="BF31" s="13">
        <f>IF(Time!BF30&gt;0,(BF30*INDEX(Inputs!$J$301:$Q$301,1,MOD(BF29-1,Inputs!$F$220)+1)+(Time!BF30-BF30)*INDEX(Inputs!$J$301:$Q$301,1,MOD(BF29,Inputs!$F$220)+1))/Time!BF30,0)</f>
        <v/>
      </c>
      <c r="BG31" s="13">
        <f>IF(Time!BG30&gt;0,(BG30*INDEX(Inputs!$J$301:$Q$301,1,MOD(BG29-1,Inputs!$F$220)+1)+(Time!BG30-BG30)*INDEX(Inputs!$J$301:$Q$301,1,MOD(BG29,Inputs!$F$220)+1))/Time!BG30,0)</f>
        <v/>
      </c>
      <c r="BH31" s="13">
        <f>IF(Time!BH30&gt;0,(BH30*INDEX(Inputs!$J$301:$Q$301,1,MOD(BH29-1,Inputs!$F$220)+1)+(Time!BH30-BH30)*INDEX(Inputs!$J$301:$Q$301,1,MOD(BH29,Inputs!$F$220)+1))/Time!BH30,0)</f>
        <v/>
      </c>
      <c r="BI31" s="13">
        <f>IF(Time!BI30&gt;0,(BI30*INDEX(Inputs!$J$301:$Q$301,1,MOD(BI29-1,Inputs!$F$220)+1)+(Time!BI30-BI30)*INDEX(Inputs!$J$301:$Q$301,1,MOD(BI29,Inputs!$F$220)+1))/Time!BI30,0)</f>
        <v/>
      </c>
      <c r="BJ31" s="13">
        <f>IF(Time!BJ30&gt;0,(BJ30*INDEX(Inputs!$J$301:$Q$301,1,MOD(BJ29-1,Inputs!$F$220)+1)+(Time!BJ30-BJ30)*INDEX(Inputs!$J$301:$Q$301,1,MOD(BJ29,Inputs!$F$220)+1))/Time!BJ30,0)</f>
        <v/>
      </c>
      <c r="BK31" s="13">
        <f>IF(Time!BK30&gt;0,(BK30*INDEX(Inputs!$J$301:$Q$301,1,MOD(BK29-1,Inputs!$F$220)+1)+(Time!BK30-BK30)*INDEX(Inputs!$J$301:$Q$301,1,MOD(BK29,Inputs!$F$220)+1))/Time!BK30,0)</f>
        <v/>
      </c>
      <c r="BL31" s="13">
        <f>IF(Time!BL30&gt;0,(BL30*INDEX(Inputs!$J$301:$Q$301,1,MOD(BL29-1,Inputs!$F$220)+1)+(Time!BL30-BL30)*INDEX(Inputs!$J$301:$Q$301,1,MOD(BL29,Inputs!$F$220)+1))/Time!BL30,0)</f>
        <v/>
      </c>
      <c r="BM31" s="13">
        <f>IF(Time!BM30&gt;0,(BM30*INDEX(Inputs!$J$301:$Q$301,1,MOD(BM29-1,Inputs!$F$220)+1)+(Time!BM30-BM30)*INDEX(Inputs!$J$301:$Q$301,1,MOD(BM29,Inputs!$F$220)+1))/Time!BM30,0)</f>
        <v/>
      </c>
      <c r="BN31" s="13">
        <f>IF(Time!BN30&gt;0,(BN30*INDEX(Inputs!$J$301:$Q$301,1,MOD(BN29-1,Inputs!$F$220)+1)+(Time!BN30-BN30)*INDEX(Inputs!$J$301:$Q$301,1,MOD(BN29,Inputs!$F$220)+1))/Time!BN30,0)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IF(AND(Inputs!$F$55=1,Inputs!J302&gt;0),Inputs!J302,Inputs!$F$38)</f>
        <v/>
      </c>
      <c r="K37" s="13">
        <f>IF(AND(Inputs!$F$55=1,Inputs!K302&gt;0),Inputs!K302,Inputs!$F$38)</f>
        <v/>
      </c>
      <c r="L37" s="13">
        <f>IF(AND(Inputs!$F$55=1,Inputs!L302&gt;0),Inputs!L302,Inputs!$F$38)</f>
        <v/>
      </c>
      <c r="M37" s="13">
        <f>IF(AND(Inputs!$F$55=1,Inputs!M302&gt;0),Inputs!M302,Inputs!$F$38)</f>
        <v/>
      </c>
      <c r="N37" s="13">
        <f>IF(AND(Inputs!$F$55=1,Inputs!N302&gt;0),Inputs!N302,Inputs!$F$38)</f>
        <v/>
      </c>
      <c r="O37" s="13">
        <f>IF(AND(Inputs!$F$55=1,Inputs!O302&gt;0),Inputs!O302,Inputs!$F$38)</f>
        <v/>
      </c>
      <c r="P37" s="13">
        <f>IF(AND(Inputs!$F$55=1,Inputs!P302&gt;0),Inputs!P302,Inputs!$F$38)</f>
        <v/>
      </c>
      <c r="Q37" s="13">
        <f>IF(AND(Inputs!$F$55=1,Inputs!Q302&gt;0),Inputs!Q302,Inputs!$F$38)</f>
        <v/>
      </c>
      <c r="R37" s="13">
        <f>IF(AND(Inputs!$F$55=1,Inputs!R302&gt;0),Inputs!R302,Inputs!$F$38)</f>
        <v/>
      </c>
      <c r="S37" s="13">
        <f>IF(AND(Inputs!$F$55=1,Inputs!S302&gt;0),Inputs!S302,Inputs!$F$38)</f>
        <v/>
      </c>
      <c r="T37" s="13">
        <f>IF(AND(Inputs!$F$55=1,Inputs!T302&gt;0),Inputs!T302,Inputs!$F$38)</f>
        <v/>
      </c>
      <c r="U37" s="13">
        <f>IF(AND(Inputs!$F$55=1,Inputs!U302&gt;0),Inputs!U302,Inputs!$F$38)</f>
        <v/>
      </c>
      <c r="V37" s="13">
        <f>IF(AND(Inputs!$F$55=1,Inputs!V302&gt;0),Inputs!V302,Inputs!$F$38)</f>
        <v/>
      </c>
      <c r="W37" s="13">
        <f>IF(AND(Inputs!$F$55=1,Inputs!W302&gt;0),Inputs!W302,Inputs!$F$38)</f>
        <v/>
      </c>
      <c r="X37" s="13">
        <f>IF(AND(Inputs!$F$55=1,Inputs!X302&gt;0),Inputs!X302,Inputs!$F$38)</f>
        <v/>
      </c>
      <c r="Y37" s="13">
        <f>IF(AND(Inputs!$F$55=1,Inputs!Y302&gt;0),Inputs!Y302,Inputs!$F$38)</f>
        <v/>
      </c>
      <c r="Z37" s="13">
        <f>IF(AND(Inputs!$F$55=1,Inputs!Z302&gt;0),Inputs!Z302,Inputs!$F$38)</f>
        <v/>
      </c>
      <c r="AA37" s="13">
        <f>IF(AND(Inputs!$F$55=1,Inputs!AA302&gt;0),Inputs!AA302,Inputs!$F$38)</f>
        <v/>
      </c>
      <c r="AB37" s="13">
        <f>IF(AND(Inputs!$F$55=1,Inputs!AB302&gt;0),Inputs!AB302,Inputs!$F$38)</f>
        <v/>
      </c>
      <c r="AC37" s="13">
        <f>IF(AND(Inputs!$F$55=1,Inputs!AC302&gt;0),Inputs!AC302,Inputs!$F$38)</f>
        <v/>
      </c>
      <c r="AD37" s="13">
        <f>IF(AND(Inputs!$F$55=1,Inputs!AD302&gt;0),Inputs!AD302,Inputs!$F$38)</f>
        <v/>
      </c>
      <c r="AE37" s="13">
        <f>IF(AND(Inputs!$F$55=1,Inputs!AE302&gt;0),Inputs!AE302,Inputs!$F$38)</f>
        <v/>
      </c>
      <c r="AF37" s="13">
        <f>IF(AND(Inputs!$F$55=1,Inputs!AF302&gt;0),Inputs!AF302,Inputs!$F$38)</f>
        <v/>
      </c>
      <c r="AG37" s="13">
        <f>IF(AND(Inputs!$F$55=1,Inputs!AG302&gt;0),Inputs!AG302,Inputs!$F$38)</f>
        <v/>
      </c>
      <c r="AH37" s="13">
        <f>IF(AND(Inputs!$F$55=1,Inputs!AH302&gt;0),Inputs!AH302,Inputs!$F$38)</f>
        <v/>
      </c>
      <c r="AI37" s="13">
        <f>IF(AND(Inputs!$F$55=1,Inputs!AI302&gt;0),Inputs!AI302,Inputs!$F$38)</f>
        <v/>
      </c>
      <c r="AJ37" s="13">
        <f>IF(AND(Inputs!$F$55=1,Inputs!AJ302&gt;0),Inputs!AJ302,Inputs!$F$38)</f>
        <v/>
      </c>
      <c r="AK37" s="13">
        <f>IF(AND(Inputs!$F$55=1,Inputs!AK302&gt;0),Inputs!AK302,Inputs!$F$38)</f>
        <v/>
      </c>
      <c r="AL37" s="13">
        <f>IF(AND(Inputs!$F$55=1,Inputs!AL302&gt;0),Inputs!AL302,Inputs!$F$38)</f>
        <v/>
      </c>
      <c r="AM37" s="13">
        <f>IF(AND(Inputs!$F$55=1,Inputs!AM302&gt;0),Inputs!AM302,Inputs!$F$38)</f>
        <v/>
      </c>
      <c r="AN37" s="13">
        <f>IF(AND(Inputs!$F$55=1,Inputs!AN302&gt;0),Inputs!AN302,Inputs!$F$38)</f>
        <v/>
      </c>
      <c r="AO37" s="13">
        <f>IF(AND(Inputs!$F$55=1,Inputs!AO302&gt;0),Inputs!AO302,Inputs!$F$38)</f>
        <v/>
      </c>
      <c r="AP37" s="13">
        <f>IF(AND(Inputs!$F$55=1,Inputs!AP302&gt;0),Inputs!AP302,Inputs!$F$38)</f>
        <v/>
      </c>
      <c r="AQ37" s="13">
        <f>IF(AND(Inputs!$F$55=1,Inputs!AQ302&gt;0),Inputs!AQ302,Inputs!$F$38)</f>
        <v/>
      </c>
      <c r="AR37" s="13">
        <f>IF(AND(Inputs!$F$55=1,Inputs!AR302&gt;0),Inputs!AR302,Inputs!$F$38)</f>
        <v/>
      </c>
      <c r="AS37" s="13">
        <f>IF(AND(Inputs!$F$55=1,Inputs!AS302&gt;0),Inputs!AS302,Inputs!$F$38)</f>
        <v/>
      </c>
      <c r="AT37" s="13">
        <f>IF(AND(Inputs!$F$55=1,Inputs!AT302&gt;0),Inputs!AT302,Inputs!$F$38)</f>
        <v/>
      </c>
      <c r="AU37" s="13">
        <f>IF(AND(Inputs!$F$55=1,Inputs!AU302&gt;0),Inputs!AU302,Inputs!$F$38)</f>
        <v/>
      </c>
      <c r="AV37" s="13">
        <f>IF(AND(Inputs!$F$55=1,Inputs!AV302&gt;0),Inputs!AV302,Inputs!$F$38)</f>
        <v/>
      </c>
      <c r="AW37" s="13">
        <f>IF(AND(Inputs!$F$55=1,Inputs!AW302&gt;0),Inputs!AW302,Inputs!$F$38)</f>
        <v/>
      </c>
      <c r="AX37" s="13">
        <f>IF(AND(Inputs!$F$55=1,Inputs!AX302&gt;0),Inputs!AX302,Inputs!$F$38)</f>
        <v/>
      </c>
      <c r="AY37" s="13">
        <f>IF(AND(Inputs!$F$55=1,Inputs!AY302&gt;0),Inputs!AY302,Inputs!$F$38)</f>
        <v/>
      </c>
      <c r="AZ37" s="13">
        <f>IF(AND(Inputs!$F$55=1,Inputs!AZ302&gt;0),Inputs!AZ302,Inputs!$F$38)</f>
        <v/>
      </c>
      <c r="BA37" s="13">
        <f>IF(AND(Inputs!$F$55=1,Inputs!BA302&gt;0),Inputs!BA302,Inputs!$F$38)</f>
        <v/>
      </c>
      <c r="BB37" s="13">
        <f>IF(AND(Inputs!$F$55=1,Inputs!BB302&gt;0),Inputs!BB302,Inputs!$F$38)</f>
        <v/>
      </c>
      <c r="BC37" s="13">
        <f>IF(AND(Inputs!$F$55=1,Inputs!BC302&gt;0),Inputs!BC302,Inputs!$F$38)</f>
        <v/>
      </c>
      <c r="BD37" s="13">
        <f>IF(AND(Inputs!$F$55=1,Inputs!BD302&gt;0),Inputs!BD302,Inputs!$F$38)</f>
        <v/>
      </c>
      <c r="BE37" s="13">
        <f>IF(AND(Inputs!$F$55=1,Inputs!BE302&gt;0),Inputs!BE302,Inputs!$F$38)</f>
        <v/>
      </c>
      <c r="BF37" s="13">
        <f>IF(AND(Inputs!$F$55=1,Inputs!BF302&gt;0),Inputs!BF302,Inputs!$F$38)</f>
        <v/>
      </c>
      <c r="BG37" s="13">
        <f>IF(AND(Inputs!$F$55=1,Inputs!BG302&gt;0),Inputs!BG302,Inputs!$F$38)</f>
        <v/>
      </c>
      <c r="BH37" s="13">
        <f>IF(AND(Inputs!$F$55=1,Inputs!BH302&gt;0),Inputs!BH302,Inputs!$F$38)</f>
        <v/>
      </c>
      <c r="BI37" s="13">
        <f>IF(AND(Inputs!$F$55=1,Inputs!BI302&gt;0),Inputs!BI302,Inputs!$F$38)</f>
        <v/>
      </c>
      <c r="BJ37" s="13">
        <f>IF(AND(Inputs!$F$55=1,Inputs!BJ302&gt;0),Inputs!BJ302,Inputs!$F$38)</f>
        <v/>
      </c>
      <c r="BK37" s="13">
        <f>IF(AND(Inputs!$F$55=1,Inputs!BK302&gt;0),Inputs!BK302,Inputs!$F$38)</f>
        <v/>
      </c>
      <c r="BL37" s="13">
        <f>IF(AND(Inputs!$F$55=1,Inputs!BL302&gt;0),Inputs!BL302,Inputs!$F$38)</f>
        <v/>
      </c>
      <c r="BM37" s="13">
        <f>IF(AND(Inputs!$F$55=1,Inputs!BM302&gt;0),Inputs!BM302,Inputs!$F$38)</f>
        <v/>
      </c>
      <c r="BN37" s="13">
        <f>IF(AND(Inputs!$F$55=1,Inputs!BN302&gt;0),Inputs!BN302,Inputs!$F$38)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IF(Inputs!$F$45=1,AVERAGE(I89,J89)*(J9-Time!J40*Inputs!$F$98+Inputs!$F$262)/100*Time!J55/Inputs!$F$247,0)</f>
        <v/>
      </c>
      <c r="K57" s="13">
        <f>IF(Inputs!$F$45=1,AVERAGE(J89,K89)*(K9-Time!K40*Inputs!$F$98+Inputs!$F$262)/100*Time!K55/Inputs!$F$247,0)</f>
        <v/>
      </c>
      <c r="L57" s="13">
        <f>IF(Inputs!$F$45=1,AVERAGE(K89,L89)*(L9-Time!L40*Inputs!$F$98+Inputs!$F$262)/100*Time!L55/Inputs!$F$247,0)</f>
        <v/>
      </c>
      <c r="M57" s="13">
        <f>IF(Inputs!$F$45=1,AVERAGE(L89,M89)*(M9-Time!M40*Inputs!$F$98+Inputs!$F$262)/100*Time!M55/Inputs!$F$247,0)</f>
        <v/>
      </c>
      <c r="N57" s="13">
        <f>IF(Inputs!$F$45=1,AVERAGE(M89,N89)*(N9-Time!N40*Inputs!$F$98+Inputs!$F$262)/100*Time!N55/Inputs!$F$247,0)</f>
        <v/>
      </c>
      <c r="O57" s="13">
        <f>IF(Inputs!$F$45=1,AVERAGE(N89,O89)*(O9-Time!O40*Inputs!$F$98+Inputs!$F$262)/100*Time!O55/Inputs!$F$247,0)</f>
        <v/>
      </c>
      <c r="P57" s="13">
        <f>IF(Inputs!$F$45=1,AVERAGE(O89,P89)*(P9-Time!P40*Inputs!$F$98+Inputs!$F$262)/100*Time!P55/Inputs!$F$247,0)</f>
        <v/>
      </c>
      <c r="Q57" s="13">
        <f>IF(Inputs!$F$45=1,AVERAGE(P89,Q89)*(Q9-Time!Q40*Inputs!$F$98+Inputs!$F$262)/100*Time!Q55/Inputs!$F$247,0)</f>
        <v/>
      </c>
      <c r="R57" s="13">
        <f>IF(Inputs!$F$45=1,AVERAGE(Q89,R89)*(R9-Time!R40*Inputs!$F$98+Inputs!$F$262)/100*Time!R55/Inputs!$F$247,0)</f>
        <v/>
      </c>
      <c r="S57" s="13">
        <f>IF(Inputs!$F$45=1,AVERAGE(R89,S89)*(S9-Time!S40*Inputs!$F$98+Inputs!$F$262)/100*Time!S55/Inputs!$F$247,0)</f>
        <v/>
      </c>
      <c r="T57" s="13">
        <f>IF(Inputs!$F$45=1,AVERAGE(S89,T89)*(T9-Time!T40*Inputs!$F$98+Inputs!$F$262)/100*Time!T55/Inputs!$F$247,0)</f>
        <v/>
      </c>
      <c r="U57" s="13">
        <f>IF(Inputs!$F$45=1,AVERAGE(T89,U89)*(U9-Time!U40*Inputs!$F$98+Inputs!$F$262)/100*Time!U55/Inputs!$F$247,0)</f>
        <v/>
      </c>
      <c r="V57" s="13">
        <f>IF(Inputs!$F$45=1,AVERAGE(U89,V89)*(V9-Time!V40*Inputs!$F$98+Inputs!$F$262)/100*Time!V55/Inputs!$F$247,0)</f>
        <v/>
      </c>
      <c r="W57" s="13">
        <f>IF(Inputs!$F$45=1,AVERAGE(V89,W89)*(W9-Time!W40*Inputs!$F$98+Inputs!$F$262)/100*Time!W55/Inputs!$F$247,0)</f>
        <v/>
      </c>
      <c r="X57" s="13">
        <f>IF(Inputs!$F$45=1,AVERAGE(W89,X89)*(X9-Time!X40*Inputs!$F$98+Inputs!$F$262)/100*Time!X55/Inputs!$F$247,0)</f>
        <v/>
      </c>
      <c r="Y57" s="13">
        <f>IF(Inputs!$F$45=1,AVERAGE(X89,Y89)*(Y9-Time!Y40*Inputs!$F$98+Inputs!$F$262)/100*Time!Y55/Inputs!$F$247,0)</f>
        <v/>
      </c>
      <c r="Z57" s="13">
        <f>IF(Inputs!$F$45=1,AVERAGE(Y89,Z89)*(Z9-Time!Z40*Inputs!$F$98+Inputs!$F$262)/100*Time!Z55/Inputs!$F$247,0)</f>
        <v/>
      </c>
      <c r="AA57" s="13">
        <f>IF(Inputs!$F$45=1,AVERAGE(Z89,AA89)*(AA9-Time!AA40*Inputs!$F$98+Inputs!$F$262)/100*Time!AA55/Inputs!$F$247,0)</f>
        <v/>
      </c>
      <c r="AB57" s="13">
        <f>IF(Inputs!$F$45=1,AVERAGE(AA89,AB89)*(AB9-Time!AB40*Inputs!$F$98+Inputs!$F$262)/100*Time!AB55/Inputs!$F$247,0)</f>
        <v/>
      </c>
      <c r="AC57" s="13">
        <f>IF(Inputs!$F$45=1,AVERAGE(AB89,AC89)*(AC9-Time!AC40*Inputs!$F$98+Inputs!$F$262)/100*Time!AC55/Inputs!$F$247,0)</f>
        <v/>
      </c>
      <c r="AD57" s="13">
        <f>IF(Inputs!$F$45=1,AVERAGE(AC89,AD89)*(AD9-Time!AD40*Inputs!$F$98+Inputs!$F$262)/100*Time!AD55/Inputs!$F$247,0)</f>
        <v/>
      </c>
      <c r="AE57" s="13">
        <f>IF(Inputs!$F$45=1,AVERAGE(AD89,AE89)*(AE9-Time!AE40*Inputs!$F$98+Inputs!$F$262)/100*Time!AE55/Inputs!$F$247,0)</f>
        <v/>
      </c>
      <c r="AF57" s="13">
        <f>IF(Inputs!$F$45=1,AVERAGE(AE89,AF89)*(AF9-Time!AF40*Inputs!$F$98+Inputs!$F$262)/100*Time!AF55/Inputs!$F$247,0)</f>
        <v/>
      </c>
      <c r="AG57" s="13">
        <f>IF(Inputs!$F$45=1,AVERAGE(AF89,AG89)*(AG9-Time!AG40*Inputs!$F$98+Inputs!$F$262)/100*Time!AG55/Inputs!$F$247,0)</f>
        <v/>
      </c>
      <c r="AH57" s="13">
        <f>IF(Inputs!$F$45=1,AVERAGE(AG89,AH89)*(AH9-Time!AH40*Inputs!$F$98+Inputs!$F$262)/100*Time!AH55/Inputs!$F$247,0)</f>
        <v/>
      </c>
      <c r="AI57" s="13">
        <f>IF(Inputs!$F$45=1,AVERAGE(AH89,AI89)*(AI9-Time!AI40*Inputs!$F$98+Inputs!$F$262)/100*Time!AI55/Inputs!$F$247,0)</f>
        <v/>
      </c>
      <c r="AJ57" s="13">
        <f>IF(Inputs!$F$45=1,AVERAGE(AI89,AJ89)*(AJ9-Time!AJ40*Inputs!$F$98+Inputs!$F$262)/100*Time!AJ55/Inputs!$F$247,0)</f>
        <v/>
      </c>
      <c r="AK57" s="13">
        <f>IF(Inputs!$F$45=1,AVERAGE(AJ89,AK89)*(AK9-Time!AK40*Inputs!$F$98+Inputs!$F$262)/100*Time!AK55/Inputs!$F$247,0)</f>
        <v/>
      </c>
      <c r="AL57" s="13">
        <f>IF(Inputs!$F$45=1,AVERAGE(AK89,AL89)*(AL9-Time!AL40*Inputs!$F$98+Inputs!$F$262)/100*Time!AL55/Inputs!$F$247,0)</f>
        <v/>
      </c>
      <c r="AM57" s="13">
        <f>IF(Inputs!$F$45=1,AVERAGE(AL89,AM89)*(AM9-Time!AM40*Inputs!$F$98+Inputs!$F$262)/100*Time!AM55/Inputs!$F$247,0)</f>
        <v/>
      </c>
      <c r="AN57" s="13">
        <f>IF(Inputs!$F$45=1,AVERAGE(AM89,AN89)*(AN9-Time!AN40*Inputs!$F$98+Inputs!$F$262)/100*Time!AN55/Inputs!$F$247,0)</f>
        <v/>
      </c>
      <c r="AO57" s="13">
        <f>IF(Inputs!$F$45=1,AVERAGE(AN89,AO89)*(AO9-Time!AO40*Inputs!$F$98+Inputs!$F$262)/100*Time!AO55/Inputs!$F$247,0)</f>
        <v/>
      </c>
      <c r="AP57" s="13">
        <f>IF(Inputs!$F$45=1,AVERAGE(AO89,AP89)*(AP9-Time!AP40*Inputs!$F$98+Inputs!$F$262)/100*Time!AP55/Inputs!$F$247,0)</f>
        <v/>
      </c>
      <c r="AQ57" s="13">
        <f>IF(Inputs!$F$45=1,AVERAGE(AP89,AQ89)*(AQ9-Time!AQ40*Inputs!$F$98+Inputs!$F$262)/100*Time!AQ55/Inputs!$F$247,0)</f>
        <v/>
      </c>
      <c r="AR57" s="13">
        <f>IF(Inputs!$F$45=1,AVERAGE(AQ89,AR89)*(AR9-Time!AR40*Inputs!$F$98+Inputs!$F$262)/100*Time!AR55/Inputs!$F$247,0)</f>
        <v/>
      </c>
      <c r="AS57" s="13">
        <f>IF(Inputs!$F$45=1,AVERAGE(AR89,AS89)*(AS9-Time!AS40*Inputs!$F$98+Inputs!$F$262)/100*Time!AS55/Inputs!$F$247,0)</f>
        <v/>
      </c>
      <c r="AT57" s="13">
        <f>IF(Inputs!$F$45=1,AVERAGE(AS89,AT89)*(AT9-Time!AT40*Inputs!$F$98+Inputs!$F$262)/100*Time!AT55/Inputs!$F$247,0)</f>
        <v/>
      </c>
      <c r="AU57" s="13">
        <f>IF(Inputs!$F$45=1,AVERAGE(AT89,AU89)*(AU9-Time!AU40*Inputs!$F$98+Inputs!$F$262)/100*Time!AU55/Inputs!$F$247,0)</f>
        <v/>
      </c>
      <c r="AV57" s="13">
        <f>IF(Inputs!$F$45=1,AVERAGE(AU89,AV89)*(AV9-Time!AV40*Inputs!$F$98+Inputs!$F$262)/100*Time!AV55/Inputs!$F$247,0)</f>
        <v/>
      </c>
      <c r="AW57" s="13">
        <f>IF(Inputs!$F$45=1,AVERAGE(AV89,AW89)*(AW9-Time!AW40*Inputs!$F$98+Inputs!$F$262)/100*Time!AW55/Inputs!$F$247,0)</f>
        <v/>
      </c>
      <c r="AX57" s="13">
        <f>IF(Inputs!$F$45=1,AVERAGE(AW89,AX89)*(AX9-Time!AX40*Inputs!$F$98+Inputs!$F$262)/100*Time!AX55/Inputs!$F$247,0)</f>
        <v/>
      </c>
      <c r="AY57" s="13">
        <f>IF(Inputs!$F$45=1,AVERAGE(AX89,AY89)*(AY9-Time!AY40*Inputs!$F$98+Inputs!$F$262)/100*Time!AY55/Inputs!$F$247,0)</f>
        <v/>
      </c>
      <c r="AZ57" s="13">
        <f>IF(Inputs!$F$45=1,AVERAGE(AY89,AZ89)*(AZ9-Time!AZ40*Inputs!$F$98+Inputs!$F$262)/100*Time!AZ55/Inputs!$F$247,0)</f>
        <v/>
      </c>
      <c r="BA57" s="13">
        <f>IF(Inputs!$F$45=1,AVERAGE(AZ89,BA89)*(BA9-Time!BA40*Inputs!$F$98+Inputs!$F$262)/100*Time!BA55/Inputs!$F$247,0)</f>
        <v/>
      </c>
      <c r="BB57" s="13">
        <f>IF(Inputs!$F$45=1,AVERAGE(BA89,BB89)*(BB9-Time!BB40*Inputs!$F$98+Inputs!$F$262)/100*Time!BB55/Inputs!$F$247,0)</f>
        <v/>
      </c>
      <c r="BC57" s="13">
        <f>IF(Inputs!$F$45=1,AVERAGE(BB89,BC89)*(BC9-Time!BC40*Inputs!$F$98+Inputs!$F$262)/100*Time!BC55/Inputs!$F$247,0)</f>
        <v/>
      </c>
      <c r="BD57" s="13">
        <f>IF(Inputs!$F$45=1,AVERAGE(BC89,BD89)*(BD9-Time!BD40*Inputs!$F$98+Inputs!$F$262)/100*Time!BD55/Inputs!$F$247,0)</f>
        <v/>
      </c>
      <c r="BE57" s="13">
        <f>IF(Inputs!$F$45=1,AVERAGE(BD89,BE89)*(BE9-Time!BE40*Inputs!$F$98+Inputs!$F$262)/100*Time!BE55/Inputs!$F$247,0)</f>
        <v/>
      </c>
      <c r="BF57" s="13">
        <f>IF(Inputs!$F$45=1,AVERAGE(BE89,BF89)*(BF9-Time!BF40*Inputs!$F$98+Inputs!$F$262)/100*Time!BF55/Inputs!$F$247,0)</f>
        <v/>
      </c>
      <c r="BG57" s="13">
        <f>IF(Inputs!$F$45=1,AVERAGE(BF89,BG89)*(BG9-Time!BG40*Inputs!$F$98+Inputs!$F$262)/100*Time!BG55/Inputs!$F$247,0)</f>
        <v/>
      </c>
      <c r="BH57" s="13">
        <f>IF(Inputs!$F$45=1,AVERAGE(BG89,BH89)*(BH9-Time!BH40*Inputs!$F$98+Inputs!$F$262)/100*Time!BH55/Inputs!$F$247,0)</f>
        <v/>
      </c>
      <c r="BI57" s="13">
        <f>IF(Inputs!$F$45=1,AVERAGE(BH89,BI89)*(BI9-Time!BI40*Inputs!$F$98+Inputs!$F$262)/100*Time!BI55/Inputs!$F$247,0)</f>
        <v/>
      </c>
      <c r="BJ57" s="13">
        <f>IF(Inputs!$F$45=1,AVERAGE(BI89,BJ89)*(BJ9-Time!BJ40*Inputs!$F$98+Inputs!$F$262)/100*Time!BJ55/Inputs!$F$247,0)</f>
        <v/>
      </c>
      <c r="BK57" s="13">
        <f>IF(Inputs!$F$45=1,AVERAGE(BJ89,BK89)*(BK9-Time!BK40*Inputs!$F$98+Inputs!$F$262)/100*Time!BK55/Inputs!$F$247,0)</f>
        <v/>
      </c>
      <c r="BL57" s="13">
        <f>IF(Inputs!$F$45=1,AVERAGE(BK89,BL89)*(BL9-Time!BL40*Inputs!$F$98+Inputs!$F$262)/100*Time!BL55/Inputs!$F$247,0)</f>
        <v/>
      </c>
      <c r="BM57" s="13">
        <f>IF(Inputs!$F$45=1,AVERAGE(BL89,BM89)*(BM9-Time!BM40*Inputs!$F$98+Inputs!$F$262)/100*Time!BM55/Inputs!$F$247,0)</f>
        <v/>
      </c>
      <c r="BN57" s="13">
        <f>IF(Inputs!$F$45=1,AVERAGE(BM89,BN89)*(BN9-Time!BN40*Inputs!$F$98+Inputs!$F$262)/100*Time!BN55/Inputs!$F$247,0)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Inputs!$F$263*SUM($J$57:$BN$57)*Inputs!J296</f>
        <v/>
      </c>
      <c r="K58" s="13">
        <f>Inputs!$F$263*SUM($J$57:$BN$57)*Inputs!K296</f>
        <v/>
      </c>
      <c r="L58" s="13">
        <f>Inputs!$F$263*SUM($J$57:$BN$57)*Inputs!L296</f>
        <v/>
      </c>
      <c r="M58" s="13">
        <f>Inputs!$F$263*SUM($J$57:$BN$57)*Inputs!M296</f>
        <v/>
      </c>
      <c r="N58" s="13">
        <f>Inputs!$F$263*SUM($J$57:$BN$57)*Inputs!N296</f>
        <v/>
      </c>
      <c r="O58" s="13">
        <f>Inputs!$F$263*SUM($J$57:$BN$57)*Inputs!O296</f>
        <v/>
      </c>
      <c r="P58" s="13">
        <f>Inputs!$F$263*SUM($J$57:$BN$57)*Inputs!P296</f>
        <v/>
      </c>
      <c r="Q58" s="13">
        <f>Inputs!$F$263*SUM($J$57:$BN$57)*Inputs!Q296</f>
        <v/>
      </c>
      <c r="R58" s="13">
        <f>Inputs!$F$263*SUM($J$57:$BN$57)*Inputs!R296</f>
        <v/>
      </c>
      <c r="S58" s="13">
        <f>Inputs!$F$263*SUM($J$57:$BN$57)*Inputs!S296</f>
        <v/>
      </c>
      <c r="T58" s="13">
        <f>Inputs!$F$263*SUM($J$57:$BN$57)*Inputs!T296</f>
        <v/>
      </c>
      <c r="U58" s="13">
        <f>Inputs!$F$263*SUM($J$57:$BN$57)*Inputs!U296</f>
        <v/>
      </c>
      <c r="V58" s="13">
        <f>Inputs!$F$263*SUM($J$57:$BN$57)*Inputs!V296</f>
        <v/>
      </c>
      <c r="W58" s="13">
        <f>Inputs!$F$263*SUM($J$57:$BN$57)*Inputs!W296</f>
        <v/>
      </c>
      <c r="X58" s="13">
        <f>Inputs!$F$263*SUM($J$57:$BN$57)*Inputs!X296</f>
        <v/>
      </c>
      <c r="Y58" s="13">
        <f>Inputs!$F$263*SUM($J$57:$BN$57)*Inputs!Y296</f>
        <v/>
      </c>
      <c r="Z58" s="13">
        <f>Inputs!$F$263*SUM($J$57:$BN$57)*Inputs!Z296</f>
        <v/>
      </c>
      <c r="AA58" s="13">
        <f>Inputs!$F$263*SUM($J$57:$BN$57)*Inputs!AA296</f>
        <v/>
      </c>
      <c r="AB58" s="13">
        <f>Inputs!$F$263*SUM($J$57:$BN$57)*Inputs!AB296</f>
        <v/>
      </c>
      <c r="AC58" s="13">
        <f>Inputs!$F$263*SUM($J$57:$BN$57)*Inputs!AC296</f>
        <v/>
      </c>
      <c r="AD58" s="13">
        <f>Inputs!$F$263*SUM($J$57:$BN$57)*Inputs!AD296</f>
        <v/>
      </c>
      <c r="AE58" s="13">
        <f>Inputs!$F$263*SUM($J$57:$BN$57)*Inputs!AE296</f>
        <v/>
      </c>
      <c r="AF58" s="13">
        <f>Inputs!$F$263*SUM($J$57:$BN$57)*Inputs!AF296</f>
        <v/>
      </c>
      <c r="AG58" s="13">
        <f>Inputs!$F$263*SUM($J$57:$BN$57)*Inputs!AG296</f>
        <v/>
      </c>
      <c r="AH58" s="13">
        <f>Inputs!$F$263*SUM($J$57:$BN$57)*Inputs!AH296</f>
        <v/>
      </c>
      <c r="AI58" s="13">
        <f>Inputs!$F$263*SUM($J$57:$BN$57)*Inputs!AI296</f>
        <v/>
      </c>
      <c r="AJ58" s="13">
        <f>Inputs!$F$263*SUM($J$57:$BN$57)*Inputs!AJ296</f>
        <v/>
      </c>
      <c r="AK58" s="13">
        <f>Inputs!$F$263*SUM($J$57:$BN$57)*Inputs!AK296</f>
        <v/>
      </c>
      <c r="AL58" s="13">
        <f>Inputs!$F$263*SUM($J$57:$BN$57)*Inputs!AL296</f>
        <v/>
      </c>
      <c r="AM58" s="13">
        <f>Inputs!$F$263*SUM($J$57:$BN$57)*Inputs!AM296</f>
        <v/>
      </c>
      <c r="AN58" s="13">
        <f>Inputs!$F$263*SUM($J$57:$BN$57)*Inputs!AN296</f>
        <v/>
      </c>
      <c r="AO58" s="13">
        <f>Inputs!$F$263*SUM($J$57:$BN$57)*Inputs!AO296</f>
        <v/>
      </c>
      <c r="AP58" s="13">
        <f>Inputs!$F$263*SUM($J$57:$BN$57)*Inputs!AP296</f>
        <v/>
      </c>
      <c r="AQ58" s="13">
        <f>Inputs!$F$263*SUM($J$57:$BN$57)*Inputs!AQ296</f>
        <v/>
      </c>
      <c r="AR58" s="13">
        <f>Inputs!$F$263*SUM($J$57:$BN$57)*Inputs!AR296</f>
        <v/>
      </c>
      <c r="AS58" s="13">
        <f>Inputs!$F$263*SUM($J$57:$BN$57)*Inputs!AS296</f>
        <v/>
      </c>
      <c r="AT58" s="13">
        <f>Inputs!$F$263*SUM($J$57:$BN$57)*Inputs!AT296</f>
        <v/>
      </c>
      <c r="AU58" s="13">
        <f>Inputs!$F$263*SUM($J$57:$BN$57)*Inputs!AU296</f>
        <v/>
      </c>
      <c r="AV58" s="13">
        <f>Inputs!$F$263*SUM($J$57:$BN$57)*Inputs!AV296</f>
        <v/>
      </c>
      <c r="AW58" s="13">
        <f>Inputs!$F$263*SUM($J$57:$BN$57)*Inputs!AW296</f>
        <v/>
      </c>
      <c r="AX58" s="13">
        <f>Inputs!$F$263*SUM($J$57:$BN$57)*Inputs!AX296</f>
        <v/>
      </c>
      <c r="AY58" s="13">
        <f>Inputs!$F$263*SUM($J$57:$BN$57)*Inputs!AY296</f>
        <v/>
      </c>
      <c r="AZ58" s="13">
        <f>Inputs!$F$263*SUM($J$57:$BN$57)*Inputs!AZ296</f>
        <v/>
      </c>
      <c r="BA58" s="13">
        <f>Inputs!$F$263*SUM($J$57:$BN$57)*Inputs!BA296</f>
        <v/>
      </c>
      <c r="BB58" s="13">
        <f>Inputs!$F$263*SUM($J$57:$BN$57)*Inputs!BB296</f>
        <v/>
      </c>
      <c r="BC58" s="13">
        <f>Inputs!$F$263*SUM($J$57:$BN$57)*Inputs!BC296</f>
        <v/>
      </c>
      <c r="BD58" s="13">
        <f>Inputs!$F$263*SUM($J$57:$BN$57)*Inputs!BD296</f>
        <v/>
      </c>
      <c r="BE58" s="13">
        <f>Inputs!$F$263*SUM($J$57:$BN$57)*Inputs!BE296</f>
        <v/>
      </c>
      <c r="BF58" s="13">
        <f>Inputs!$F$263*SUM($J$57:$BN$57)*Inputs!BF296</f>
        <v/>
      </c>
      <c r="BG58" s="13">
        <f>Inputs!$F$263*SUM($J$57:$BN$57)*Inputs!BG296</f>
        <v/>
      </c>
      <c r="BH58" s="13">
        <f>Inputs!$F$263*SUM($J$57:$BN$57)*Inputs!BH296</f>
        <v/>
      </c>
      <c r="BI58" s="13">
        <f>Inputs!$F$263*SUM($J$57:$BN$57)*Inputs!BI296</f>
        <v/>
      </c>
      <c r="BJ58" s="13">
        <f>Inputs!$F$263*SUM($J$57:$BN$57)*Inputs!BJ296</f>
        <v/>
      </c>
      <c r="BK58" s="13">
        <f>Inputs!$F$263*SUM($J$57:$BN$57)*Inputs!BK296</f>
        <v/>
      </c>
      <c r="BL58" s="13">
        <f>Inputs!$F$263*SUM($J$57:$BN$57)*Inputs!BL296</f>
        <v/>
      </c>
      <c r="BM58" s="13">
        <f>Inputs!$F$263*SUM($J$57:$BN$57)*Inputs!BM296</f>
        <v/>
      </c>
      <c r="BN58" s="13">
        <f>Inputs!$F$263*SUM($J$57:$BN$57)*Inputs!BN296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SUMIFS(Construction!$J$36:$BJ$36,Construction!$J$12:$BJ$12,Time!J20,Construction!$J$8:$BJ$8,"&gt;"&amp;Time!$F$14)</f>
        <v/>
      </c>
      <c r="K75" s="13">
        <f>SUMIFS(Construction!$J$36:$BJ$36,Construction!$J$12:$BJ$12,Time!K20,Construction!$J$8:$BJ$8,"&gt;"&amp;Time!$F$14)</f>
        <v/>
      </c>
      <c r="L75" s="13">
        <f>SUMIFS(Construction!$J$36:$BJ$36,Construction!$J$12:$BJ$12,Time!L20,Construction!$J$8:$BJ$8,"&gt;"&amp;Time!$F$14)</f>
        <v/>
      </c>
      <c r="M75" s="13">
        <f>SUMIFS(Construction!$J$36:$BJ$36,Construction!$J$12:$BJ$12,Time!M20,Construction!$J$8:$BJ$8,"&gt;"&amp;Time!$F$14)</f>
        <v/>
      </c>
      <c r="N75" s="13">
        <f>SUMIFS(Construction!$J$36:$BJ$36,Construction!$J$12:$BJ$12,Time!N20,Construction!$J$8:$BJ$8,"&gt;"&amp;Time!$F$14)</f>
        <v/>
      </c>
      <c r="O75" s="13">
        <f>SUMIFS(Construction!$J$36:$BJ$36,Construction!$J$12:$BJ$12,Time!O20,Construction!$J$8:$BJ$8,"&gt;"&amp;Time!$F$14)</f>
        <v/>
      </c>
      <c r="P75" s="13">
        <f>SUMIFS(Construction!$J$36:$BJ$36,Construction!$J$12:$BJ$12,Time!P20,Construction!$J$8:$BJ$8,"&gt;"&amp;Time!$F$14)</f>
        <v/>
      </c>
      <c r="Q75" s="13">
        <f>SUMIFS(Construction!$J$36:$BJ$36,Construction!$J$12:$BJ$12,Time!Q20,Construction!$J$8:$BJ$8,"&gt;"&amp;Time!$F$14)</f>
        <v/>
      </c>
      <c r="R75" s="13">
        <f>SUMIFS(Construction!$J$36:$BJ$36,Construction!$J$12:$BJ$12,Time!R20,Construction!$J$8:$BJ$8,"&gt;"&amp;Time!$F$14)</f>
        <v/>
      </c>
      <c r="S75" s="13">
        <f>SUMIFS(Construction!$J$36:$BJ$36,Construction!$J$12:$BJ$12,Time!S20,Construction!$J$8:$BJ$8,"&gt;"&amp;Time!$F$14)</f>
        <v/>
      </c>
      <c r="T75" s="13">
        <f>SUMIFS(Construction!$J$36:$BJ$36,Construction!$J$12:$BJ$12,Time!T20,Construction!$J$8:$BJ$8,"&gt;"&amp;Time!$F$14)</f>
        <v/>
      </c>
      <c r="U75" s="13">
        <f>SUMIFS(Construction!$J$36:$BJ$36,Construction!$J$12:$BJ$12,Time!U20,Construction!$J$8:$BJ$8,"&gt;"&amp;Time!$F$14)</f>
        <v/>
      </c>
      <c r="V75" s="13">
        <f>SUMIFS(Construction!$J$36:$BJ$36,Construction!$J$12:$BJ$12,Time!V20,Construction!$J$8:$BJ$8,"&gt;"&amp;Time!$F$14)</f>
        <v/>
      </c>
      <c r="W75" s="13">
        <f>SUMIFS(Construction!$J$36:$BJ$36,Construction!$J$12:$BJ$12,Time!W20,Construction!$J$8:$BJ$8,"&gt;"&amp;Time!$F$14)</f>
        <v/>
      </c>
      <c r="X75" s="13">
        <f>SUMIFS(Construction!$J$36:$BJ$36,Construction!$J$12:$BJ$12,Time!X20,Construction!$J$8:$BJ$8,"&gt;"&amp;Time!$F$14)</f>
        <v/>
      </c>
      <c r="Y75" s="13">
        <f>SUMIFS(Construction!$J$36:$BJ$36,Construction!$J$12:$BJ$12,Time!Y20,Construction!$J$8:$BJ$8,"&gt;"&amp;Time!$F$14)</f>
        <v/>
      </c>
      <c r="Z75" s="13">
        <f>SUMIFS(Construction!$J$36:$BJ$36,Construction!$J$12:$BJ$12,Time!Z20,Construction!$J$8:$BJ$8,"&gt;"&amp;Time!$F$14)</f>
        <v/>
      </c>
      <c r="AA75" s="13">
        <f>SUMIFS(Construction!$J$36:$BJ$36,Construction!$J$12:$BJ$12,Time!AA20,Construction!$J$8:$BJ$8,"&gt;"&amp;Time!$F$14)</f>
        <v/>
      </c>
      <c r="AB75" s="13">
        <f>SUMIFS(Construction!$J$36:$BJ$36,Construction!$J$12:$BJ$12,Time!AB20,Construction!$J$8:$BJ$8,"&gt;"&amp;Time!$F$14)</f>
        <v/>
      </c>
      <c r="AC75" s="13">
        <f>SUMIFS(Construction!$J$36:$BJ$36,Construction!$J$12:$BJ$12,Time!AC20,Construction!$J$8:$BJ$8,"&gt;"&amp;Time!$F$14)</f>
        <v/>
      </c>
      <c r="AD75" s="13">
        <f>SUMIFS(Construction!$J$36:$BJ$36,Construction!$J$12:$BJ$12,Time!AD20,Construction!$J$8:$BJ$8,"&gt;"&amp;Time!$F$14)</f>
        <v/>
      </c>
      <c r="AE75" s="13">
        <f>SUMIFS(Construction!$J$36:$BJ$36,Construction!$J$12:$BJ$12,Time!AE20,Construction!$J$8:$BJ$8,"&gt;"&amp;Time!$F$14)</f>
        <v/>
      </c>
      <c r="AF75" s="13">
        <f>SUMIFS(Construction!$J$36:$BJ$36,Construction!$J$12:$BJ$12,Time!AF20,Construction!$J$8:$BJ$8,"&gt;"&amp;Time!$F$14)</f>
        <v/>
      </c>
      <c r="AG75" s="13">
        <f>SUMIFS(Construction!$J$36:$BJ$36,Construction!$J$12:$BJ$12,Time!AG20,Construction!$J$8:$BJ$8,"&gt;"&amp;Time!$F$14)</f>
        <v/>
      </c>
      <c r="AH75" s="13">
        <f>SUMIFS(Construction!$J$36:$BJ$36,Construction!$J$12:$BJ$12,Time!AH20,Construction!$J$8:$BJ$8,"&gt;"&amp;Time!$F$14)</f>
        <v/>
      </c>
      <c r="AI75" s="13">
        <f>SUMIFS(Construction!$J$36:$BJ$36,Construction!$J$12:$BJ$12,Time!AI20,Construction!$J$8:$BJ$8,"&gt;"&amp;Time!$F$14)</f>
        <v/>
      </c>
      <c r="AJ75" s="13">
        <f>SUMIFS(Construction!$J$36:$BJ$36,Construction!$J$12:$BJ$12,Time!AJ20,Construction!$J$8:$BJ$8,"&gt;"&amp;Time!$F$14)</f>
        <v/>
      </c>
      <c r="AK75" s="13">
        <f>SUMIFS(Construction!$J$36:$BJ$36,Construction!$J$12:$BJ$12,Time!AK20,Construction!$J$8:$BJ$8,"&gt;"&amp;Time!$F$14)</f>
        <v/>
      </c>
      <c r="AL75" s="13">
        <f>SUMIFS(Construction!$J$36:$BJ$36,Construction!$J$12:$BJ$12,Time!AL20,Construction!$J$8:$BJ$8,"&gt;"&amp;Time!$F$14)</f>
        <v/>
      </c>
      <c r="AM75" s="13">
        <f>SUMIFS(Construction!$J$36:$BJ$36,Construction!$J$12:$BJ$12,Time!AM20,Construction!$J$8:$BJ$8,"&gt;"&amp;Time!$F$14)</f>
        <v/>
      </c>
      <c r="AN75" s="13">
        <f>SUMIFS(Construction!$J$36:$BJ$36,Construction!$J$12:$BJ$12,Time!AN20,Construction!$J$8:$BJ$8,"&gt;"&amp;Time!$F$14)</f>
        <v/>
      </c>
      <c r="AO75" s="13">
        <f>SUMIFS(Construction!$J$36:$BJ$36,Construction!$J$12:$BJ$12,Time!AO20,Construction!$J$8:$BJ$8,"&gt;"&amp;Time!$F$14)</f>
        <v/>
      </c>
      <c r="AP75" s="13">
        <f>SUMIFS(Construction!$J$36:$BJ$36,Construction!$J$12:$BJ$12,Time!AP20,Construction!$J$8:$BJ$8,"&gt;"&amp;Time!$F$14)</f>
        <v/>
      </c>
      <c r="AQ75" s="13">
        <f>SUMIFS(Construction!$J$36:$BJ$36,Construction!$J$12:$BJ$12,Time!AQ20,Construction!$J$8:$BJ$8,"&gt;"&amp;Time!$F$14)</f>
        <v/>
      </c>
      <c r="AR75" s="13">
        <f>SUMIFS(Construction!$J$36:$BJ$36,Construction!$J$12:$BJ$12,Time!AR20,Construction!$J$8:$BJ$8,"&gt;"&amp;Time!$F$14)</f>
        <v/>
      </c>
      <c r="AS75" s="13">
        <f>SUMIFS(Construction!$J$36:$BJ$36,Construction!$J$12:$BJ$12,Time!AS20,Construction!$J$8:$BJ$8,"&gt;"&amp;Time!$F$14)</f>
        <v/>
      </c>
      <c r="AT75" s="13">
        <f>SUMIFS(Construction!$J$36:$BJ$36,Construction!$J$12:$BJ$12,Time!AT20,Construction!$J$8:$BJ$8,"&gt;"&amp;Time!$F$14)</f>
        <v/>
      </c>
      <c r="AU75" s="13">
        <f>SUMIFS(Construction!$J$36:$BJ$36,Construction!$J$12:$BJ$12,Time!AU20,Construction!$J$8:$BJ$8,"&gt;"&amp;Time!$F$14)</f>
        <v/>
      </c>
      <c r="AV75" s="13">
        <f>SUMIFS(Construction!$J$36:$BJ$36,Construction!$J$12:$BJ$12,Time!AV20,Construction!$J$8:$BJ$8,"&gt;"&amp;Time!$F$14)</f>
        <v/>
      </c>
      <c r="AW75" s="13">
        <f>SUMIFS(Construction!$J$36:$BJ$36,Construction!$J$12:$BJ$12,Time!AW20,Construction!$J$8:$BJ$8,"&gt;"&amp;Time!$F$14)</f>
        <v/>
      </c>
      <c r="AX75" s="13">
        <f>SUMIFS(Construction!$J$36:$BJ$36,Construction!$J$12:$BJ$12,Time!AX20,Construction!$J$8:$BJ$8,"&gt;"&amp;Time!$F$14)</f>
        <v/>
      </c>
      <c r="AY75" s="13">
        <f>SUMIFS(Construction!$J$36:$BJ$36,Construction!$J$12:$BJ$12,Time!AY20,Construction!$J$8:$BJ$8,"&gt;"&amp;Time!$F$14)</f>
        <v/>
      </c>
      <c r="AZ75" s="13">
        <f>SUMIFS(Construction!$J$36:$BJ$36,Construction!$J$12:$BJ$12,Time!AZ20,Construction!$J$8:$BJ$8,"&gt;"&amp;Time!$F$14)</f>
        <v/>
      </c>
      <c r="BA75" s="13">
        <f>SUMIFS(Construction!$J$36:$BJ$36,Construction!$J$12:$BJ$12,Time!BA20,Construction!$J$8:$BJ$8,"&gt;"&amp;Time!$F$14)</f>
        <v/>
      </c>
      <c r="BB75" s="13">
        <f>SUMIFS(Construction!$J$36:$BJ$36,Construction!$J$12:$BJ$12,Time!BB20,Construction!$J$8:$BJ$8,"&gt;"&amp;Time!$F$14)</f>
        <v/>
      </c>
      <c r="BC75" s="13">
        <f>SUMIFS(Construction!$J$36:$BJ$36,Construction!$J$12:$BJ$12,Time!BC20,Construction!$J$8:$BJ$8,"&gt;"&amp;Time!$F$14)</f>
        <v/>
      </c>
      <c r="BD75" s="13">
        <f>SUMIFS(Construction!$J$36:$BJ$36,Construction!$J$12:$BJ$12,Time!BD20,Construction!$J$8:$BJ$8,"&gt;"&amp;Time!$F$14)</f>
        <v/>
      </c>
      <c r="BE75" s="13">
        <f>SUMIFS(Construction!$J$36:$BJ$36,Construction!$J$12:$BJ$12,Time!BE20,Construction!$J$8:$BJ$8,"&gt;"&amp;Time!$F$14)</f>
        <v/>
      </c>
      <c r="BF75" s="13">
        <f>SUMIFS(Construction!$J$36:$BJ$36,Construction!$J$12:$BJ$12,Time!BF20,Construction!$J$8:$BJ$8,"&gt;"&amp;Time!$F$14)</f>
        <v/>
      </c>
      <c r="BG75" s="13">
        <f>SUMIFS(Construction!$J$36:$BJ$36,Construction!$J$12:$BJ$12,Time!BG20,Construction!$J$8:$BJ$8,"&gt;"&amp;Time!$F$14)</f>
        <v/>
      </c>
      <c r="BH75" s="13">
        <f>SUMIFS(Construction!$J$36:$BJ$36,Construction!$J$12:$BJ$12,Time!BH20,Construction!$J$8:$BJ$8,"&gt;"&amp;Time!$F$14)</f>
        <v/>
      </c>
      <c r="BI75" s="13">
        <f>SUMIFS(Construction!$J$36:$BJ$36,Construction!$J$12:$BJ$12,Time!BI20,Construction!$J$8:$BJ$8,"&gt;"&amp;Time!$F$14)</f>
        <v/>
      </c>
      <c r="BJ75" s="13">
        <f>SUMIFS(Construction!$J$36:$BJ$36,Construction!$J$12:$BJ$12,Time!BJ20,Construction!$J$8:$BJ$8,"&gt;"&amp;Time!$F$14)</f>
        <v/>
      </c>
      <c r="BK75" s="13">
        <f>SUMIFS(Construction!$J$36:$BJ$36,Construction!$J$12:$BJ$12,Time!BK20,Construction!$J$8:$BJ$8,"&gt;"&amp;Time!$F$14)</f>
        <v/>
      </c>
      <c r="BL75" s="13">
        <f>SUMIFS(Construction!$J$36:$BJ$36,Construction!$J$12:$BJ$12,Time!BL20,Construction!$J$8:$BJ$8,"&gt;"&amp;Time!$F$14)</f>
        <v/>
      </c>
      <c r="BM75" s="13">
        <f>SUMIFS(Construction!$J$36:$BJ$36,Construction!$J$12:$BJ$12,Time!BM20,Construction!$J$8:$BJ$8,"&gt;"&amp;Time!$F$14)</f>
        <v/>
      </c>
      <c r="BN75" s="13">
        <f>SUMIFS(Construction!$J$36:$BJ$36,Construction!$J$12:$BJ$12,Time!BN20,Construction!$J$8:$BJ$8,"&gt;"&amp;Time!$F$14)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Inputs!$F$45*Inputs!J295</f>
        <v/>
      </c>
      <c r="K76" s="13">
        <f>Inputs!$F$45*Inputs!K295</f>
        <v/>
      </c>
      <c r="L76" s="13">
        <f>Inputs!$F$45*Inputs!L295</f>
        <v/>
      </c>
      <c r="M76" s="13">
        <f>Inputs!$F$45*Inputs!M295</f>
        <v/>
      </c>
      <c r="N76" s="13">
        <f>Inputs!$F$45*Inputs!N295</f>
        <v/>
      </c>
      <c r="O76" s="13">
        <f>Inputs!$F$45*Inputs!O295</f>
        <v/>
      </c>
      <c r="P76" s="13">
        <f>Inputs!$F$45*Inputs!P295</f>
        <v/>
      </c>
      <c r="Q76" s="13">
        <f>Inputs!$F$45*Inputs!Q295</f>
        <v/>
      </c>
      <c r="R76" s="13">
        <f>Inputs!$F$45*Inputs!R295</f>
        <v/>
      </c>
      <c r="S76" s="13">
        <f>Inputs!$F$45*Inputs!S295</f>
        <v/>
      </c>
      <c r="T76" s="13">
        <f>Inputs!$F$45*Inputs!T295</f>
        <v/>
      </c>
      <c r="U76" s="13">
        <f>Inputs!$F$45*Inputs!U295</f>
        <v/>
      </c>
      <c r="V76" s="13">
        <f>Inputs!$F$45*Inputs!V295</f>
        <v/>
      </c>
      <c r="W76" s="13">
        <f>Inputs!$F$45*Inputs!W295</f>
        <v/>
      </c>
      <c r="X76" s="13">
        <f>Inputs!$F$45*Inputs!X295</f>
        <v/>
      </c>
      <c r="Y76" s="13">
        <f>Inputs!$F$45*Inputs!Y295</f>
        <v/>
      </c>
      <c r="Z76" s="13">
        <f>Inputs!$F$45*Inputs!Z295</f>
        <v/>
      </c>
      <c r="AA76" s="13">
        <f>Inputs!$F$45*Inputs!AA295</f>
        <v/>
      </c>
      <c r="AB76" s="13">
        <f>Inputs!$F$45*Inputs!AB295</f>
        <v/>
      </c>
      <c r="AC76" s="13">
        <f>Inputs!$F$45*Inputs!AC295</f>
        <v/>
      </c>
      <c r="AD76" s="13">
        <f>Inputs!$F$45*Inputs!AD295</f>
        <v/>
      </c>
      <c r="AE76" s="13">
        <f>Inputs!$F$45*Inputs!AE295</f>
        <v/>
      </c>
      <c r="AF76" s="13">
        <f>Inputs!$F$45*Inputs!AF295</f>
        <v/>
      </c>
      <c r="AG76" s="13">
        <f>Inputs!$F$45*Inputs!AG295</f>
        <v/>
      </c>
      <c r="AH76" s="13">
        <f>Inputs!$F$45*Inputs!AH295</f>
        <v/>
      </c>
      <c r="AI76" s="13">
        <f>Inputs!$F$45*Inputs!AI295</f>
        <v/>
      </c>
      <c r="AJ76" s="13">
        <f>Inputs!$F$45*Inputs!AJ295</f>
        <v/>
      </c>
      <c r="AK76" s="13">
        <f>Inputs!$F$45*Inputs!AK295</f>
        <v/>
      </c>
      <c r="AL76" s="13">
        <f>Inputs!$F$45*Inputs!AL295</f>
        <v/>
      </c>
      <c r="AM76" s="13">
        <f>Inputs!$F$45*Inputs!AM295</f>
        <v/>
      </c>
      <c r="AN76" s="13">
        <f>Inputs!$F$45*Inputs!AN295</f>
        <v/>
      </c>
      <c r="AO76" s="13">
        <f>Inputs!$F$45*Inputs!AO295</f>
        <v/>
      </c>
      <c r="AP76" s="13">
        <f>Inputs!$F$45*Inputs!AP295</f>
        <v/>
      </c>
      <c r="AQ76" s="13">
        <f>Inputs!$F$45*Inputs!AQ295</f>
        <v/>
      </c>
      <c r="AR76" s="13">
        <f>Inputs!$F$45*Inputs!AR295</f>
        <v/>
      </c>
      <c r="AS76" s="13">
        <f>Inputs!$F$45*Inputs!AS295</f>
        <v/>
      </c>
      <c r="AT76" s="13">
        <f>Inputs!$F$45*Inputs!AT295</f>
        <v/>
      </c>
      <c r="AU76" s="13">
        <f>Inputs!$F$45*Inputs!AU295</f>
        <v/>
      </c>
      <c r="AV76" s="13">
        <f>Inputs!$F$45*Inputs!AV295</f>
        <v/>
      </c>
      <c r="AW76" s="13">
        <f>Inputs!$F$45*Inputs!AW295</f>
        <v/>
      </c>
      <c r="AX76" s="13">
        <f>Inputs!$F$45*Inputs!AX295</f>
        <v/>
      </c>
      <c r="AY76" s="13">
        <f>Inputs!$F$45*Inputs!AY295</f>
        <v/>
      </c>
      <c r="AZ76" s="13">
        <f>Inputs!$F$45*Inputs!AZ295</f>
        <v/>
      </c>
      <c r="BA76" s="13">
        <f>Inputs!$F$45*Inputs!BA295</f>
        <v/>
      </c>
      <c r="BB76" s="13">
        <f>Inputs!$F$45*Inputs!BB295</f>
        <v/>
      </c>
      <c r="BC76" s="13">
        <f>Inputs!$F$45*Inputs!BC295</f>
        <v/>
      </c>
      <c r="BD76" s="13">
        <f>Inputs!$F$45*Inputs!BD295</f>
        <v/>
      </c>
      <c r="BE76" s="13">
        <f>Inputs!$F$45*Inputs!BE295</f>
        <v/>
      </c>
      <c r="BF76" s="13">
        <f>Inputs!$F$45*Inputs!BF295</f>
        <v/>
      </c>
      <c r="BG76" s="13">
        <f>Inputs!$F$45*Inputs!BG295</f>
        <v/>
      </c>
      <c r="BH76" s="13">
        <f>Inputs!$F$45*Inputs!BH295</f>
        <v/>
      </c>
      <c r="BI76" s="13">
        <f>Inputs!$F$45*Inputs!BI295</f>
        <v/>
      </c>
      <c r="BJ76" s="13">
        <f>Inputs!$F$45*Inputs!BJ295</f>
        <v/>
      </c>
      <c r="BK76" s="13">
        <f>Inputs!$F$45*Inputs!BK295</f>
        <v/>
      </c>
      <c r="BL76" s="13">
        <f>Inputs!$F$45*Inputs!BL295</f>
        <v/>
      </c>
      <c r="BM76" s="13">
        <f>Inputs!$F$45*Inputs!BM295</f>
        <v/>
      </c>
      <c r="BN76" s="13">
        <f>Inputs!$F$45*Inputs!BN295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Inputs!$F$45*Inputs!J294</f>
        <v/>
      </c>
      <c r="K89" s="13">
        <f>Inputs!$F$45*Inputs!K294</f>
        <v/>
      </c>
      <c r="L89" s="13">
        <f>Inputs!$F$45*Inputs!L294</f>
        <v/>
      </c>
      <c r="M89" s="13">
        <f>Inputs!$F$45*Inputs!M294</f>
        <v/>
      </c>
      <c r="N89" s="13">
        <f>Inputs!$F$45*Inputs!N294</f>
        <v/>
      </c>
      <c r="O89" s="13">
        <f>Inputs!$F$45*Inputs!O294</f>
        <v/>
      </c>
      <c r="P89" s="13">
        <f>Inputs!$F$45*Inputs!P294</f>
        <v/>
      </c>
      <c r="Q89" s="13">
        <f>Inputs!$F$45*Inputs!Q294</f>
        <v/>
      </c>
      <c r="R89" s="13">
        <f>Inputs!$F$45*Inputs!R294</f>
        <v/>
      </c>
      <c r="S89" s="13">
        <f>Inputs!$F$45*Inputs!S294</f>
        <v/>
      </c>
      <c r="T89" s="13">
        <f>Inputs!$F$45*Inputs!T294</f>
        <v/>
      </c>
      <c r="U89" s="13">
        <f>Inputs!$F$45*Inputs!U294</f>
        <v/>
      </c>
      <c r="V89" s="13">
        <f>Inputs!$F$45*Inputs!V294</f>
        <v/>
      </c>
      <c r="W89" s="13">
        <f>Inputs!$F$45*Inputs!W294</f>
        <v/>
      </c>
      <c r="X89" s="13">
        <f>Inputs!$F$45*Inputs!X294</f>
        <v/>
      </c>
      <c r="Y89" s="13">
        <f>Inputs!$F$45*Inputs!Y294</f>
        <v/>
      </c>
      <c r="Z89" s="13">
        <f>Inputs!$F$45*Inputs!Z294</f>
        <v/>
      </c>
      <c r="AA89" s="13">
        <f>Inputs!$F$45*Inputs!AA294</f>
        <v/>
      </c>
      <c r="AB89" s="13">
        <f>Inputs!$F$45*Inputs!AB294</f>
        <v/>
      </c>
      <c r="AC89" s="13">
        <f>Inputs!$F$45*Inputs!AC294</f>
        <v/>
      </c>
      <c r="AD89" s="13">
        <f>Inputs!$F$45*Inputs!AD294</f>
        <v/>
      </c>
      <c r="AE89" s="13">
        <f>Inputs!$F$45*Inputs!AE294</f>
        <v/>
      </c>
      <c r="AF89" s="13">
        <f>Inputs!$F$45*Inputs!AF294</f>
        <v/>
      </c>
      <c r="AG89" s="13">
        <f>Inputs!$F$45*Inputs!AG294</f>
        <v/>
      </c>
      <c r="AH89" s="13">
        <f>Inputs!$F$45*Inputs!AH294</f>
        <v/>
      </c>
      <c r="AI89" s="13">
        <f>Inputs!$F$45*Inputs!AI294</f>
        <v/>
      </c>
      <c r="AJ89" s="13">
        <f>Inputs!$F$45*Inputs!AJ294</f>
        <v/>
      </c>
      <c r="AK89" s="13">
        <f>Inputs!$F$45*Inputs!AK294</f>
        <v/>
      </c>
      <c r="AL89" s="13">
        <f>Inputs!$F$45*Inputs!AL294</f>
        <v/>
      </c>
      <c r="AM89" s="13">
        <f>Inputs!$F$45*Inputs!AM294</f>
        <v/>
      </c>
      <c r="AN89" s="13">
        <f>Inputs!$F$45*Inputs!AN294</f>
        <v/>
      </c>
      <c r="AO89" s="13">
        <f>Inputs!$F$45*Inputs!AO294</f>
        <v/>
      </c>
      <c r="AP89" s="13">
        <f>Inputs!$F$45*Inputs!AP294</f>
        <v/>
      </c>
      <c r="AQ89" s="13">
        <f>Inputs!$F$45*Inputs!AQ294</f>
        <v/>
      </c>
      <c r="AR89" s="13">
        <f>Inputs!$F$45*Inputs!AR294</f>
        <v/>
      </c>
      <c r="AS89" s="13">
        <f>Inputs!$F$45*Inputs!AS294</f>
        <v/>
      </c>
      <c r="AT89" s="13">
        <f>Inputs!$F$45*Inputs!AT294</f>
        <v/>
      </c>
      <c r="AU89" s="13">
        <f>Inputs!$F$45*Inputs!AU294</f>
        <v/>
      </c>
      <c r="AV89" s="13">
        <f>Inputs!$F$45*Inputs!AV294</f>
        <v/>
      </c>
      <c r="AW89" s="13">
        <f>Inputs!$F$45*Inputs!AW294</f>
        <v/>
      </c>
      <c r="AX89" s="13">
        <f>Inputs!$F$45*Inputs!AX294</f>
        <v/>
      </c>
      <c r="AY89" s="13">
        <f>Inputs!$F$45*Inputs!AY294</f>
        <v/>
      </c>
      <c r="AZ89" s="13">
        <f>Inputs!$F$45*Inputs!AZ294</f>
        <v/>
      </c>
      <c r="BA89" s="13">
        <f>Inputs!$F$45*Inputs!BA294</f>
        <v/>
      </c>
      <c r="BB89" s="13">
        <f>Inputs!$F$45*Inputs!BB294</f>
        <v/>
      </c>
      <c r="BC89" s="13">
        <f>Inputs!$F$45*Inputs!BC294</f>
        <v/>
      </c>
      <c r="BD89" s="13">
        <f>Inputs!$F$45*Inputs!BD294</f>
        <v/>
      </c>
      <c r="BE89" s="13">
        <f>Inputs!$F$45*Inputs!BE294</f>
        <v/>
      </c>
      <c r="BF89" s="13">
        <f>Inputs!$F$45*Inputs!BF294</f>
        <v/>
      </c>
      <c r="BG89" s="13">
        <f>Inputs!$F$45*Inputs!BG294</f>
        <v/>
      </c>
      <c r="BH89" s="13">
        <f>Inputs!$F$45*Inputs!BH294</f>
        <v/>
      </c>
      <c r="BI89" s="13">
        <f>Inputs!$F$45*Inputs!BI294</f>
        <v/>
      </c>
      <c r="BJ89" s="13">
        <f>Inputs!$F$45*Inputs!BJ294</f>
        <v/>
      </c>
      <c r="BK89" s="13">
        <f>Inputs!$F$45*Inputs!BK294</f>
        <v/>
      </c>
      <c r="BL89" s="13">
        <f>Inputs!$F$45*Inputs!BL294</f>
        <v/>
      </c>
      <c r="BM89" s="13">
        <f>Inputs!$F$45*Inputs!BM294</f>
        <v/>
      </c>
      <c r="BN89" s="13">
        <f>Inputs!$F$45*Inputs!BN294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Inputs!$F$261*J89</f>
        <v/>
      </c>
      <c r="K94" s="13">
        <f>Inputs!$F$261*K89</f>
        <v/>
      </c>
      <c r="L94" s="13">
        <f>Inputs!$F$261*L89</f>
        <v/>
      </c>
      <c r="M94" s="13">
        <f>Inputs!$F$261*M89</f>
        <v/>
      </c>
      <c r="N94" s="13">
        <f>Inputs!$F$261*N89</f>
        <v/>
      </c>
      <c r="O94" s="13">
        <f>Inputs!$F$261*O89</f>
        <v/>
      </c>
      <c r="P94" s="13">
        <f>Inputs!$F$261*P89</f>
        <v/>
      </c>
      <c r="Q94" s="13">
        <f>Inputs!$F$261*Q89</f>
        <v/>
      </c>
      <c r="R94" s="13">
        <f>Inputs!$F$261*R89</f>
        <v/>
      </c>
      <c r="S94" s="13">
        <f>Inputs!$F$261*S89</f>
        <v/>
      </c>
      <c r="T94" s="13">
        <f>Inputs!$F$261*T89</f>
        <v/>
      </c>
      <c r="U94" s="13">
        <f>Inputs!$F$261*U89</f>
        <v/>
      </c>
      <c r="V94" s="13">
        <f>Inputs!$F$261*V89</f>
        <v/>
      </c>
      <c r="W94" s="13">
        <f>Inputs!$F$261*W89</f>
        <v/>
      </c>
      <c r="X94" s="13">
        <f>Inputs!$F$261*X89</f>
        <v/>
      </c>
      <c r="Y94" s="13">
        <f>Inputs!$F$261*Y89</f>
        <v/>
      </c>
      <c r="Z94" s="13">
        <f>Inputs!$F$261*Z89</f>
        <v/>
      </c>
      <c r="AA94" s="13">
        <f>Inputs!$F$261*AA89</f>
        <v/>
      </c>
      <c r="AB94" s="13">
        <f>Inputs!$F$261*AB89</f>
        <v/>
      </c>
      <c r="AC94" s="13">
        <f>Inputs!$F$261*AC89</f>
        <v/>
      </c>
      <c r="AD94" s="13">
        <f>Inputs!$F$261*AD89</f>
        <v/>
      </c>
      <c r="AE94" s="13">
        <f>Inputs!$F$261*AE89</f>
        <v/>
      </c>
      <c r="AF94" s="13">
        <f>Inputs!$F$261*AF89</f>
        <v/>
      </c>
      <c r="AG94" s="13">
        <f>Inputs!$F$261*AG89</f>
        <v/>
      </c>
      <c r="AH94" s="13">
        <f>Inputs!$F$261*AH89</f>
        <v/>
      </c>
      <c r="AI94" s="13">
        <f>Inputs!$F$261*AI89</f>
        <v/>
      </c>
      <c r="AJ94" s="13">
        <f>Inputs!$F$261*AJ89</f>
        <v/>
      </c>
      <c r="AK94" s="13">
        <f>Inputs!$F$261*AK89</f>
        <v/>
      </c>
      <c r="AL94" s="13">
        <f>Inputs!$F$261*AL89</f>
        <v/>
      </c>
      <c r="AM94" s="13">
        <f>Inputs!$F$261*AM89</f>
        <v/>
      </c>
      <c r="AN94" s="13">
        <f>Inputs!$F$261*AN89</f>
        <v/>
      </c>
      <c r="AO94" s="13">
        <f>Inputs!$F$261*AO89</f>
        <v/>
      </c>
      <c r="AP94" s="13">
        <f>Inputs!$F$261*AP89</f>
        <v/>
      </c>
      <c r="AQ94" s="13">
        <f>Inputs!$F$261*AQ89</f>
        <v/>
      </c>
      <c r="AR94" s="13">
        <f>Inputs!$F$261*AR89</f>
        <v/>
      </c>
      <c r="AS94" s="13">
        <f>Inputs!$F$261*AS89</f>
        <v/>
      </c>
      <c r="AT94" s="13">
        <f>Inputs!$F$261*AT89</f>
        <v/>
      </c>
      <c r="AU94" s="13">
        <f>Inputs!$F$261*AU89</f>
        <v/>
      </c>
      <c r="AV94" s="13">
        <f>Inputs!$F$261*AV89</f>
        <v/>
      </c>
      <c r="AW94" s="13">
        <f>Inputs!$F$261*AW89</f>
        <v/>
      </c>
      <c r="AX94" s="13">
        <f>Inputs!$F$261*AX89</f>
        <v/>
      </c>
      <c r="AY94" s="13">
        <f>Inputs!$F$261*AY89</f>
        <v/>
      </c>
      <c r="AZ94" s="13">
        <f>Inputs!$F$261*AZ89</f>
        <v/>
      </c>
      <c r="BA94" s="13">
        <f>Inputs!$F$261*BA89</f>
        <v/>
      </c>
      <c r="BB94" s="13">
        <f>Inputs!$F$261*BB89</f>
        <v/>
      </c>
      <c r="BC94" s="13">
        <f>Inputs!$F$261*BC89</f>
        <v/>
      </c>
      <c r="BD94" s="13">
        <f>Inputs!$F$261*BD89</f>
        <v/>
      </c>
      <c r="BE94" s="13">
        <f>Inputs!$F$261*BE89</f>
        <v/>
      </c>
      <c r="BF94" s="13">
        <f>Inputs!$F$261*BF89</f>
        <v/>
      </c>
      <c r="BG94" s="13">
        <f>Inputs!$F$261*BG89</f>
        <v/>
      </c>
      <c r="BH94" s="13">
        <f>Inputs!$F$261*BH89</f>
        <v/>
      </c>
      <c r="BI94" s="13">
        <f>Inputs!$F$261*BI89</f>
        <v/>
      </c>
      <c r="BJ94" s="13">
        <f>Inputs!$F$261*BJ89</f>
        <v/>
      </c>
      <c r="BK94" s="13">
        <f>Inputs!$F$261*BK89</f>
        <v/>
      </c>
      <c r="BL94" s="13">
        <f>Inputs!$F$261*BL89</f>
        <v/>
      </c>
      <c r="BM94" s="13">
        <f>Inputs!$F$261*BM89</f>
        <v/>
      </c>
      <c r="BN94" s="13">
        <f>Inputs!$F$261*BN89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MAX(0,MIN(Time!J33,Inputs!$F$229*12)-MIN(Time!J32,Inputs!$F$229*12))</f>
        <v/>
      </c>
      <c r="K7" s="10">
        <f>MAX(0,MIN(Time!K33,Inputs!$F$229*12)-MIN(Time!K32,Inputs!$F$229*12))</f>
        <v/>
      </c>
      <c r="L7" s="10">
        <f>MAX(0,MIN(Time!L33,Inputs!$F$229*12)-MIN(Time!L32,Inputs!$F$229*12))</f>
        <v/>
      </c>
      <c r="M7" s="10">
        <f>MAX(0,MIN(Time!M33,Inputs!$F$229*12)-MIN(Time!M32,Inputs!$F$229*12))</f>
        <v/>
      </c>
      <c r="N7" s="10">
        <f>MAX(0,MIN(Time!N33,Inputs!$F$229*12)-MIN(Time!N32,Inputs!$F$229*12))</f>
        <v/>
      </c>
      <c r="O7" s="10">
        <f>MAX(0,MIN(Time!O33,Inputs!$F$229*12)-MIN(Time!O32,Inputs!$F$229*12))</f>
        <v/>
      </c>
      <c r="P7" s="10">
        <f>MAX(0,MIN(Time!P33,Inputs!$F$229*12)-MIN(Time!P32,Inputs!$F$229*12))</f>
        <v/>
      </c>
      <c r="Q7" s="10">
        <f>MAX(0,MIN(Time!Q33,Inputs!$F$229*12)-MIN(Time!Q32,Inputs!$F$229*12))</f>
        <v/>
      </c>
      <c r="R7" s="10">
        <f>MAX(0,MIN(Time!R33,Inputs!$F$229*12)-MIN(Time!R32,Inputs!$F$229*12))</f>
        <v/>
      </c>
      <c r="S7" s="10">
        <f>MAX(0,MIN(Time!S33,Inputs!$F$229*12)-MIN(Time!S32,Inputs!$F$229*12))</f>
        <v/>
      </c>
      <c r="T7" s="10">
        <f>MAX(0,MIN(Time!T33,Inputs!$F$229*12)-MIN(Time!T32,Inputs!$F$229*12))</f>
        <v/>
      </c>
      <c r="U7" s="10">
        <f>MAX(0,MIN(Time!U33,Inputs!$F$229*12)-MIN(Time!U32,Inputs!$F$229*12))</f>
        <v/>
      </c>
      <c r="V7" s="10">
        <f>MAX(0,MIN(Time!V33,Inputs!$F$229*12)-MIN(Time!V32,Inputs!$F$229*12))</f>
        <v/>
      </c>
      <c r="W7" s="10">
        <f>MAX(0,MIN(Time!W33,Inputs!$F$229*12)-MIN(Time!W32,Inputs!$F$229*12))</f>
        <v/>
      </c>
      <c r="X7" s="10">
        <f>MAX(0,MIN(Time!X33,Inputs!$F$229*12)-MIN(Time!X32,Inputs!$F$229*12))</f>
        <v/>
      </c>
      <c r="Y7" s="10">
        <f>MAX(0,MIN(Time!Y33,Inputs!$F$229*12)-MIN(Time!Y32,Inputs!$F$229*12))</f>
        <v/>
      </c>
      <c r="Z7" s="10">
        <f>MAX(0,MIN(Time!Z33,Inputs!$F$229*12)-MIN(Time!Z32,Inputs!$F$229*12))</f>
        <v/>
      </c>
      <c r="AA7" s="10">
        <f>MAX(0,MIN(Time!AA33,Inputs!$F$229*12)-MIN(Time!AA32,Inputs!$F$229*12))</f>
        <v/>
      </c>
      <c r="AB7" s="10">
        <f>MAX(0,MIN(Time!AB33,Inputs!$F$229*12)-MIN(Time!AB32,Inputs!$F$229*12))</f>
        <v/>
      </c>
      <c r="AC7" s="10">
        <f>MAX(0,MIN(Time!AC33,Inputs!$F$229*12)-MIN(Time!AC32,Inputs!$F$229*12))</f>
        <v/>
      </c>
      <c r="AD7" s="10">
        <f>MAX(0,MIN(Time!AD33,Inputs!$F$229*12)-MIN(Time!AD32,Inputs!$F$229*12))</f>
        <v/>
      </c>
      <c r="AE7" s="10">
        <f>MAX(0,MIN(Time!AE33,Inputs!$F$229*12)-MIN(Time!AE32,Inputs!$F$229*12))</f>
        <v/>
      </c>
      <c r="AF7" s="10">
        <f>MAX(0,MIN(Time!AF33,Inputs!$F$229*12)-MIN(Time!AF32,Inputs!$F$229*12))</f>
        <v/>
      </c>
      <c r="AG7" s="10">
        <f>MAX(0,MIN(Time!AG33,Inputs!$F$229*12)-MIN(Time!AG32,Inputs!$F$229*12))</f>
        <v/>
      </c>
      <c r="AH7" s="10">
        <f>MAX(0,MIN(Time!AH33,Inputs!$F$229*12)-MIN(Time!AH32,Inputs!$F$229*12))</f>
        <v/>
      </c>
      <c r="AI7" s="10">
        <f>MAX(0,MIN(Time!AI33,Inputs!$F$229*12)-MIN(Time!AI32,Inputs!$F$229*12))</f>
        <v/>
      </c>
      <c r="AJ7" s="10">
        <f>MAX(0,MIN(Time!AJ33,Inputs!$F$229*12)-MIN(Time!AJ32,Inputs!$F$229*12))</f>
        <v/>
      </c>
      <c r="AK7" s="10">
        <f>MAX(0,MIN(Time!AK33,Inputs!$F$229*12)-MIN(Time!AK32,Inputs!$F$229*12))</f>
        <v/>
      </c>
      <c r="AL7" s="10">
        <f>MAX(0,MIN(Time!AL33,Inputs!$F$229*12)-MIN(Time!AL32,Inputs!$F$229*12))</f>
        <v/>
      </c>
      <c r="AM7" s="10">
        <f>MAX(0,MIN(Time!AM33,Inputs!$F$229*12)-MIN(Time!AM32,Inputs!$F$229*12))</f>
        <v/>
      </c>
      <c r="AN7" s="10">
        <f>MAX(0,MIN(Time!AN33,Inputs!$F$229*12)-MIN(Time!AN32,Inputs!$F$229*12))</f>
        <v/>
      </c>
      <c r="AO7" s="10">
        <f>MAX(0,MIN(Time!AO33,Inputs!$F$229*12)-MIN(Time!AO32,Inputs!$F$229*12))</f>
        <v/>
      </c>
      <c r="AP7" s="10">
        <f>MAX(0,MIN(Time!AP33,Inputs!$F$229*12)-MIN(Time!AP32,Inputs!$F$229*12))</f>
        <v/>
      </c>
      <c r="AQ7" s="10">
        <f>MAX(0,MIN(Time!AQ33,Inputs!$F$229*12)-MIN(Time!AQ32,Inputs!$F$229*12))</f>
        <v/>
      </c>
      <c r="AR7" s="10">
        <f>MAX(0,MIN(Time!AR33,Inputs!$F$229*12)-MIN(Time!AR32,Inputs!$F$229*12))</f>
        <v/>
      </c>
      <c r="AS7" s="10">
        <f>MAX(0,MIN(Time!AS33,Inputs!$F$229*12)-MIN(Time!AS32,Inputs!$F$229*12))</f>
        <v/>
      </c>
      <c r="AT7" s="10">
        <f>MAX(0,MIN(Time!AT33,Inputs!$F$229*12)-MIN(Time!AT32,Inputs!$F$229*12))</f>
        <v/>
      </c>
      <c r="AU7" s="10">
        <f>MAX(0,MIN(Time!AU33,Inputs!$F$229*12)-MIN(Time!AU32,Inputs!$F$229*12))</f>
        <v/>
      </c>
      <c r="AV7" s="10">
        <f>MAX(0,MIN(Time!AV33,Inputs!$F$229*12)-MIN(Time!AV32,Inputs!$F$229*12))</f>
        <v/>
      </c>
      <c r="AW7" s="10">
        <f>MAX(0,MIN(Time!AW33,Inputs!$F$229*12)-MIN(Time!AW32,Inputs!$F$229*12))</f>
        <v/>
      </c>
      <c r="AX7" s="10">
        <f>MAX(0,MIN(Time!AX33,Inputs!$F$229*12)-MIN(Time!AX32,Inputs!$F$229*12))</f>
        <v/>
      </c>
      <c r="AY7" s="10">
        <f>MAX(0,MIN(Time!AY33,Inputs!$F$229*12)-MIN(Time!AY32,Inputs!$F$229*12))</f>
        <v/>
      </c>
      <c r="AZ7" s="10">
        <f>MAX(0,MIN(Time!AZ33,Inputs!$F$229*12)-MIN(Time!AZ32,Inputs!$F$229*12))</f>
        <v/>
      </c>
      <c r="BA7" s="10">
        <f>MAX(0,MIN(Time!BA33,Inputs!$F$229*12)-MIN(Time!BA32,Inputs!$F$229*12))</f>
        <v/>
      </c>
      <c r="BB7" s="10">
        <f>MAX(0,MIN(Time!BB33,Inputs!$F$229*12)-MIN(Time!BB32,Inputs!$F$229*12))</f>
        <v/>
      </c>
      <c r="BC7" s="10">
        <f>MAX(0,MIN(Time!BC33,Inputs!$F$229*12)-MIN(Time!BC32,Inputs!$F$229*12))</f>
        <v/>
      </c>
      <c r="BD7" s="10">
        <f>MAX(0,MIN(Time!BD33,Inputs!$F$229*12)-MIN(Time!BD32,Inputs!$F$229*12))</f>
        <v/>
      </c>
      <c r="BE7" s="10">
        <f>MAX(0,MIN(Time!BE33,Inputs!$F$229*12)-MIN(Time!BE32,Inputs!$F$229*12))</f>
        <v/>
      </c>
      <c r="BF7" s="10">
        <f>MAX(0,MIN(Time!BF33,Inputs!$F$229*12)-MIN(Time!BF32,Inputs!$F$229*12))</f>
        <v/>
      </c>
      <c r="BG7" s="10">
        <f>MAX(0,MIN(Time!BG33,Inputs!$F$229*12)-MIN(Time!BG32,Inputs!$F$229*12))</f>
        <v/>
      </c>
      <c r="BH7" s="10">
        <f>MAX(0,MIN(Time!BH33,Inputs!$F$229*12)-MIN(Time!BH32,Inputs!$F$229*12))</f>
        <v/>
      </c>
      <c r="BI7" s="10">
        <f>MAX(0,MIN(Time!BI33,Inputs!$F$229*12)-MIN(Time!BI32,Inputs!$F$229*12))</f>
        <v/>
      </c>
      <c r="BJ7" s="10">
        <f>MAX(0,MIN(Time!BJ33,Inputs!$F$229*12)-MIN(Time!BJ32,Inputs!$F$229*12))</f>
        <v/>
      </c>
      <c r="BK7" s="10">
        <f>MAX(0,MIN(Time!BK33,Inputs!$F$229*12)-MIN(Time!BK32,Inputs!$F$229*12))</f>
        <v/>
      </c>
      <c r="BL7" s="10">
        <f>MAX(0,MIN(Time!BL33,Inputs!$F$229*12)-MIN(Time!BL32,Inputs!$F$229*12))</f>
        <v/>
      </c>
      <c r="BM7" s="10">
        <f>MAX(0,MIN(Time!BM33,Inputs!$F$229*12)-MIN(Time!BM32,Inputs!$F$229*12))</f>
        <v/>
      </c>
      <c r="BN7" s="10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MAX(0,MIN(Time!J33,Inputs!$F$229*12)-MIN(MAX(Time!J32,Inputs!$F$229*12),Inputs!$F$229*12))</f>
        <v/>
      </c>
      <c r="K8" s="10">
        <f>MAX(0,MIN(Time!K33,Inputs!$F$229*12)-MIN(MAX(Time!K32,Inputs!$F$229*12),Inputs!$F$229*12))</f>
        <v/>
      </c>
      <c r="L8" s="10">
        <f>MAX(0,MIN(Time!L33,Inputs!$F$229*12)-MIN(MAX(Time!L32,Inputs!$F$229*12),Inputs!$F$229*12))</f>
        <v/>
      </c>
      <c r="M8" s="10">
        <f>MAX(0,MIN(Time!M33,Inputs!$F$229*12)-MIN(MAX(Time!M32,Inputs!$F$229*12),Inputs!$F$229*12))</f>
        <v/>
      </c>
      <c r="N8" s="10">
        <f>MAX(0,MIN(Time!N33,Inputs!$F$229*12)-MIN(MAX(Time!N32,Inputs!$F$229*12),Inputs!$F$229*12))</f>
        <v/>
      </c>
      <c r="O8" s="10">
        <f>MAX(0,MIN(Time!O33,Inputs!$F$229*12)-MIN(MAX(Time!O32,Inputs!$F$229*12),Inputs!$F$229*12))</f>
        <v/>
      </c>
      <c r="P8" s="10">
        <f>MAX(0,MIN(Time!P33,Inputs!$F$229*12)-MIN(MAX(Time!P32,Inputs!$F$229*12),Inputs!$F$229*12))</f>
        <v/>
      </c>
      <c r="Q8" s="10">
        <f>MAX(0,MIN(Time!Q33,Inputs!$F$229*12)-MIN(MAX(Time!Q32,Inputs!$F$229*12),Inputs!$F$229*12))</f>
        <v/>
      </c>
      <c r="R8" s="10">
        <f>MAX(0,MIN(Time!R33,Inputs!$F$229*12)-MIN(MAX(Time!R32,Inputs!$F$229*12),Inputs!$F$229*12))</f>
        <v/>
      </c>
      <c r="S8" s="10">
        <f>MAX(0,MIN(Time!S33,Inputs!$F$229*12)-MIN(MAX(Time!S32,Inputs!$F$229*12),Inputs!$F$229*12))</f>
        <v/>
      </c>
      <c r="T8" s="10">
        <f>MAX(0,MIN(Time!T33,Inputs!$F$229*12)-MIN(MAX(Time!T32,Inputs!$F$229*12),Inputs!$F$229*12))</f>
        <v/>
      </c>
      <c r="U8" s="10">
        <f>MAX(0,MIN(Time!U33,Inputs!$F$229*12)-MIN(MAX(Time!U32,Inputs!$F$229*12),Inputs!$F$229*12))</f>
        <v/>
      </c>
      <c r="V8" s="10">
        <f>MAX(0,MIN(Time!V33,Inputs!$F$229*12)-MIN(MAX(Time!V32,Inputs!$F$229*12),Inputs!$F$229*12))</f>
        <v/>
      </c>
      <c r="W8" s="10">
        <f>MAX(0,MIN(Time!W33,Inputs!$F$229*12)-MIN(MAX(Time!W32,Inputs!$F$229*12),Inputs!$F$229*12))</f>
        <v/>
      </c>
      <c r="X8" s="10">
        <f>MAX(0,MIN(Time!X33,Inputs!$F$229*12)-MIN(MAX(Time!X32,Inputs!$F$229*12),Inputs!$F$229*12))</f>
        <v/>
      </c>
      <c r="Y8" s="10">
        <f>MAX(0,MIN(Time!Y33,Inputs!$F$229*12)-MIN(MAX(Time!Y32,Inputs!$F$229*12),Inputs!$F$229*12))</f>
        <v/>
      </c>
      <c r="Z8" s="10">
        <f>MAX(0,MIN(Time!Z33,Inputs!$F$229*12)-MIN(MAX(Time!Z32,Inputs!$F$229*12),Inputs!$F$229*12))</f>
        <v/>
      </c>
      <c r="AA8" s="10">
        <f>MAX(0,MIN(Time!AA33,Inputs!$F$229*12)-MIN(MAX(Time!AA32,Inputs!$F$229*12),Inputs!$F$229*12))</f>
        <v/>
      </c>
      <c r="AB8" s="10">
        <f>MAX(0,MIN(Time!AB33,Inputs!$F$229*12)-MIN(MAX(Time!AB32,Inputs!$F$229*12),Inputs!$F$229*12))</f>
        <v/>
      </c>
      <c r="AC8" s="10">
        <f>MAX(0,MIN(Time!AC33,Inputs!$F$229*12)-MIN(MAX(Time!AC32,Inputs!$F$229*12),Inputs!$F$229*12))</f>
        <v/>
      </c>
      <c r="AD8" s="10">
        <f>MAX(0,MIN(Time!AD33,Inputs!$F$229*12)-MIN(MAX(Time!AD32,Inputs!$F$229*12),Inputs!$F$229*12))</f>
        <v/>
      </c>
      <c r="AE8" s="10">
        <f>MAX(0,MIN(Time!AE33,Inputs!$F$229*12)-MIN(MAX(Time!AE32,Inputs!$F$229*12),Inputs!$F$229*12))</f>
        <v/>
      </c>
      <c r="AF8" s="10">
        <f>MAX(0,MIN(Time!AF33,Inputs!$F$229*12)-MIN(MAX(Time!AF32,Inputs!$F$229*12),Inputs!$F$229*12))</f>
        <v/>
      </c>
      <c r="AG8" s="10">
        <f>MAX(0,MIN(Time!AG33,Inputs!$F$229*12)-MIN(MAX(Time!AG32,Inputs!$F$229*12),Inputs!$F$229*12))</f>
        <v/>
      </c>
      <c r="AH8" s="10">
        <f>MAX(0,MIN(Time!AH33,Inputs!$F$229*12)-MIN(MAX(Time!AH32,Inputs!$F$229*12),Inputs!$F$229*12))</f>
        <v/>
      </c>
      <c r="AI8" s="10">
        <f>MAX(0,MIN(Time!AI33,Inputs!$F$229*12)-MIN(MAX(Time!AI32,Inputs!$F$229*12),Inputs!$F$229*12))</f>
        <v/>
      </c>
      <c r="AJ8" s="10">
        <f>MAX(0,MIN(Time!AJ33,Inputs!$F$229*12)-MIN(MAX(Time!AJ32,Inputs!$F$229*12),Inputs!$F$229*12))</f>
        <v/>
      </c>
      <c r="AK8" s="10">
        <f>MAX(0,MIN(Time!AK33,Inputs!$F$229*12)-MIN(MAX(Time!AK32,Inputs!$F$229*12),Inputs!$F$229*12))</f>
        <v/>
      </c>
      <c r="AL8" s="10">
        <f>MAX(0,MIN(Time!AL33,Inputs!$F$229*12)-MIN(MAX(Time!AL32,Inputs!$F$229*12),Inputs!$F$229*12))</f>
        <v/>
      </c>
      <c r="AM8" s="10">
        <f>MAX(0,MIN(Time!AM33,Inputs!$F$229*12)-MIN(MAX(Time!AM32,Inputs!$F$229*12),Inputs!$F$229*12))</f>
        <v/>
      </c>
      <c r="AN8" s="10">
        <f>MAX(0,MIN(Time!AN33,Inputs!$F$229*12)-MIN(MAX(Time!AN32,Inputs!$F$229*12),Inputs!$F$229*12))</f>
        <v/>
      </c>
      <c r="AO8" s="10">
        <f>MAX(0,MIN(Time!AO33,Inputs!$F$229*12)-MIN(MAX(Time!AO32,Inputs!$F$229*12),Inputs!$F$229*12))</f>
        <v/>
      </c>
      <c r="AP8" s="10">
        <f>MAX(0,MIN(Time!AP33,Inputs!$F$229*12)-MIN(MAX(Time!AP32,Inputs!$F$229*12),Inputs!$F$229*12))</f>
        <v/>
      </c>
      <c r="AQ8" s="10">
        <f>MAX(0,MIN(Time!AQ33,Inputs!$F$229*12)-MIN(MAX(Time!AQ32,Inputs!$F$229*12),Inputs!$F$229*12))</f>
        <v/>
      </c>
      <c r="AR8" s="10">
        <f>MAX(0,MIN(Time!AR33,Inputs!$F$229*12)-MIN(MAX(Time!AR32,Inputs!$F$229*12),Inputs!$F$229*12))</f>
        <v/>
      </c>
      <c r="AS8" s="10">
        <f>MAX(0,MIN(Time!AS33,Inputs!$F$229*12)-MIN(MAX(Time!AS32,Inputs!$F$229*12),Inputs!$F$229*12))</f>
        <v/>
      </c>
      <c r="AT8" s="10">
        <f>MAX(0,MIN(Time!AT33,Inputs!$F$229*12)-MIN(MAX(Time!AT32,Inputs!$F$229*12),Inputs!$F$229*12))</f>
        <v/>
      </c>
      <c r="AU8" s="10">
        <f>MAX(0,MIN(Time!AU33,Inputs!$F$229*12)-MIN(MAX(Time!AU32,Inputs!$F$229*12),Inputs!$F$229*12))</f>
        <v/>
      </c>
      <c r="AV8" s="10">
        <f>MAX(0,MIN(Time!AV33,Inputs!$F$229*12)-MIN(MAX(Time!AV32,Inputs!$F$229*12),Inputs!$F$229*12))</f>
        <v/>
      </c>
      <c r="AW8" s="10">
        <f>MAX(0,MIN(Time!AW33,Inputs!$F$229*12)-MIN(MAX(Time!AW32,Inputs!$F$229*12),Inputs!$F$229*12))</f>
        <v/>
      </c>
      <c r="AX8" s="10">
        <f>MAX(0,MIN(Time!AX33,Inputs!$F$229*12)-MIN(MAX(Time!AX32,Inputs!$F$229*12),Inputs!$F$229*12))</f>
        <v/>
      </c>
      <c r="AY8" s="10">
        <f>MAX(0,MIN(Time!AY33,Inputs!$F$229*12)-MIN(MAX(Time!AY32,Inputs!$F$229*12),Inputs!$F$229*12))</f>
        <v/>
      </c>
      <c r="AZ8" s="10">
        <f>MAX(0,MIN(Time!AZ33,Inputs!$F$229*12)-MIN(MAX(Time!AZ32,Inputs!$F$229*12),Inputs!$F$229*12))</f>
        <v/>
      </c>
      <c r="BA8" s="10">
        <f>MAX(0,MIN(Time!BA33,Inputs!$F$229*12)-MIN(MAX(Time!BA32,Inputs!$F$229*12),Inputs!$F$229*12))</f>
        <v/>
      </c>
      <c r="BB8" s="10">
        <f>MAX(0,MIN(Time!BB33,Inputs!$F$229*12)-MIN(MAX(Time!BB32,Inputs!$F$229*12),Inputs!$F$229*12))</f>
        <v/>
      </c>
      <c r="BC8" s="10">
        <f>MAX(0,MIN(Time!BC33,Inputs!$F$229*12)-MIN(MAX(Time!BC32,Inputs!$F$229*12),Inputs!$F$229*12))</f>
        <v/>
      </c>
      <c r="BD8" s="10">
        <f>MAX(0,MIN(Time!BD33,Inputs!$F$229*12)-MIN(MAX(Time!BD32,Inputs!$F$229*12),Inputs!$F$229*12))</f>
        <v/>
      </c>
      <c r="BE8" s="10">
        <f>MAX(0,MIN(Time!BE33,Inputs!$F$229*12)-MIN(MAX(Time!BE32,Inputs!$F$229*12),Inputs!$F$229*12))</f>
        <v/>
      </c>
      <c r="BF8" s="10">
        <f>MAX(0,MIN(Time!BF33,Inputs!$F$229*12)-MIN(MAX(Time!BF32,Inputs!$F$229*12),Inputs!$F$229*12))</f>
        <v/>
      </c>
      <c r="BG8" s="10">
        <f>MAX(0,MIN(Time!BG33,Inputs!$F$229*12)-MIN(MAX(Time!BG32,Inputs!$F$229*12),Inputs!$F$229*12))</f>
        <v/>
      </c>
      <c r="BH8" s="10">
        <f>MAX(0,MIN(Time!BH33,Inputs!$F$229*12)-MIN(MAX(Time!BH32,Inputs!$F$229*12),Inputs!$F$229*12))</f>
        <v/>
      </c>
      <c r="BI8" s="10">
        <f>MAX(0,MIN(Time!BI33,Inputs!$F$229*12)-MIN(MAX(Time!BI32,Inputs!$F$229*12),Inputs!$F$229*12))</f>
        <v/>
      </c>
      <c r="BJ8" s="10">
        <f>MAX(0,MIN(Time!BJ33,Inputs!$F$229*12)-MIN(MAX(Time!BJ32,Inputs!$F$229*12),Inputs!$F$229*12))</f>
        <v/>
      </c>
      <c r="BK8" s="10">
        <f>MAX(0,MIN(Time!BK33,Inputs!$F$229*12)-MIN(MAX(Time!BK32,Inputs!$F$229*12),Inputs!$F$229*12))</f>
        <v/>
      </c>
      <c r="BL8" s="10">
        <f>MAX(0,MIN(Time!BL33,Inputs!$F$229*12)-MIN(MAX(Time!BL32,Inputs!$F$229*12),Inputs!$F$229*12))</f>
        <v/>
      </c>
      <c r="BM8" s="10">
        <f>MAX(0,MIN(Time!BM33,Inputs!$F$229*12)-MIN(MAX(Time!BM32,Inputs!$F$229*12),Inputs!$F$229*12))</f>
        <v/>
      </c>
      <c r="BN8" s="10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-1*INDEX(Inputs!$J$300:$BN$300,1,Time!$F$13)*(Inputs!$F$97/100*INDEX(Time!$J$24:$BN$24,1,Time!$F$13)-INDEX(Operations!$J$9:$BN$9,1,Time!$F$13)/100*INDEX(Time!$J$25:$BN$25,1,Time!$F$13)/Inputs!$F$247)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Construction!J14*(Construction!J30+Construction!J36+Inputs!$F$107/12+-1*Inputs!J308*(Inputs!$F$97/100/12-Construction!J17/100*Construction!J11/Inputs!$F$247)+Inputs!$F$99*Inputs!$F$100/100*Construction!J11/Inputs!$F$247+Construction!J15*$F$17)</f>
        <v/>
      </c>
      <c r="K21" s="13">
        <f>Construction!K14*(Construction!K30+Construction!K36+Inputs!$F$107/12+-1*Inputs!K308*(Inputs!$F$97/100/12-Construction!K17/100*Construction!K11/Inputs!$F$247)+Inputs!$F$99*Inputs!$F$100/100*Construction!K11/Inputs!$F$247+Construction!K15*$F$17)</f>
        <v/>
      </c>
      <c r="L21" s="13">
        <f>Construction!L14*(Construction!L30+Construction!L36+Inputs!$F$107/12+-1*Inputs!L308*(Inputs!$F$97/100/12-Construction!L17/100*Construction!L11/Inputs!$F$247)+Inputs!$F$99*Inputs!$F$100/100*Construction!L11/Inputs!$F$247+Construction!L15*$F$17)</f>
        <v/>
      </c>
      <c r="M21" s="13">
        <f>Construction!M14*(Construction!M30+Construction!M36+Inputs!$F$107/12+-1*Inputs!M308*(Inputs!$F$97/100/12-Construction!M17/100*Construction!M11/Inputs!$F$247)+Inputs!$F$99*Inputs!$F$100/100*Construction!M11/Inputs!$F$247+Construction!M15*$F$17)</f>
        <v/>
      </c>
      <c r="N21" s="13">
        <f>Construction!N14*(Construction!N30+Construction!N36+Inputs!$F$107/12+-1*Inputs!N308*(Inputs!$F$97/100/12-Construction!N17/100*Construction!N11/Inputs!$F$247)+Inputs!$F$99*Inputs!$F$100/100*Construction!N11/Inputs!$F$247+Construction!N15*$F$17)</f>
        <v/>
      </c>
      <c r="O21" s="13">
        <f>Construction!O14*(Construction!O30+Construction!O36+Inputs!$F$107/12+-1*Inputs!O308*(Inputs!$F$97/100/12-Construction!O17/100*Construction!O11/Inputs!$F$247)+Inputs!$F$99*Inputs!$F$100/100*Construction!O11/Inputs!$F$247+Construction!O15*$F$17)</f>
        <v/>
      </c>
      <c r="P21" s="13">
        <f>Construction!P14*(Construction!P30+Construction!P36+Inputs!$F$107/12+-1*Inputs!P308*(Inputs!$F$97/100/12-Construction!P17/100*Construction!P11/Inputs!$F$247)+Inputs!$F$99*Inputs!$F$100/100*Construction!P11/Inputs!$F$247+Construction!P15*$F$17)</f>
        <v/>
      </c>
      <c r="Q21" s="13">
        <f>Construction!Q14*(Construction!Q30+Construction!Q36+Inputs!$F$107/12+-1*Inputs!Q308*(Inputs!$F$97/100/12-Construction!Q17/100*Construction!Q11/Inputs!$F$247)+Inputs!$F$99*Inputs!$F$100/100*Construction!Q11/Inputs!$F$247+Construction!Q15*$F$17)</f>
        <v/>
      </c>
      <c r="R21" s="13">
        <f>Construction!R14*(Construction!R30+Construction!R36+Inputs!$F$107/12+-1*Inputs!R308*(Inputs!$F$97/100/12-Construction!R17/100*Construction!R11/Inputs!$F$247)+Inputs!$F$99*Inputs!$F$100/100*Construction!R11/Inputs!$F$247+Construction!R15*$F$17)</f>
        <v/>
      </c>
      <c r="S21" s="13">
        <f>Construction!S14*(Construction!S30+Construction!S36+Inputs!$F$107/12+-1*Inputs!S308*(Inputs!$F$97/100/12-Construction!S17/100*Construction!S11/Inputs!$F$247)+Inputs!$F$99*Inputs!$F$100/100*Construction!S11/Inputs!$F$247+Construction!S15*$F$17)</f>
        <v/>
      </c>
      <c r="T21" s="13">
        <f>Construction!T14*(Construction!T30+Construction!T36+Inputs!$F$107/12+-1*Inputs!T308*(Inputs!$F$97/100/12-Construction!T17/100*Construction!T11/Inputs!$F$247)+Inputs!$F$99*Inputs!$F$100/100*Construction!T11/Inputs!$F$247+Construction!T15*$F$17)</f>
        <v/>
      </c>
      <c r="U21" s="13">
        <f>Construction!U14*(Construction!U30+Construction!U36+Inputs!$F$107/12+-1*Inputs!U308*(Inputs!$F$97/100/12-Construction!U17/100*Construction!U11/Inputs!$F$247)+Inputs!$F$99*Inputs!$F$100/100*Construction!U11/Inputs!$F$247+Construction!U15*$F$17)</f>
        <v/>
      </c>
      <c r="V21" s="13">
        <f>Construction!V14*(Construction!V30+Construction!V36+Inputs!$F$107/12+-1*Inputs!V308*(Inputs!$F$97/100/12-Construction!V17/100*Construction!V11/Inputs!$F$247)+Inputs!$F$99*Inputs!$F$100/100*Construction!V11/Inputs!$F$247+Construction!V15*$F$17)</f>
        <v/>
      </c>
      <c r="W21" s="13">
        <f>Construction!W14*(Construction!W30+Construction!W36+Inputs!$F$107/12+-1*Inputs!W308*(Inputs!$F$97/100/12-Construction!W17/100*Construction!W11/Inputs!$F$247)+Inputs!$F$99*Inputs!$F$100/100*Construction!W11/Inputs!$F$247+Construction!W15*$F$17)</f>
        <v/>
      </c>
      <c r="X21" s="13">
        <f>Construction!X14*(Construction!X30+Construction!X36+Inputs!$F$107/12+-1*Inputs!X308*(Inputs!$F$97/100/12-Construction!X17/100*Construction!X11/Inputs!$F$247)+Inputs!$F$99*Inputs!$F$100/100*Construction!X11/Inputs!$F$247+Construction!X15*$F$17)</f>
        <v/>
      </c>
      <c r="Y21" s="13">
        <f>Construction!Y14*(Construction!Y30+Construction!Y36+Inputs!$F$107/12+-1*Inputs!Y308*(Inputs!$F$97/100/12-Construction!Y17/100*Construction!Y11/Inputs!$F$247)+Inputs!$F$99*Inputs!$F$100/100*Construction!Y11/Inputs!$F$247+Construction!Y15*$F$17)</f>
        <v/>
      </c>
      <c r="Z21" s="13">
        <f>Construction!Z14*(Construction!Z30+Construction!Z36+Inputs!$F$107/12+-1*Inputs!Z308*(Inputs!$F$97/100/12-Construction!Z17/100*Construction!Z11/Inputs!$F$247)+Inputs!$F$99*Inputs!$F$100/100*Construction!Z11/Inputs!$F$247+Construction!Z15*$F$17)</f>
        <v/>
      </c>
      <c r="AA21" s="13">
        <f>Construction!AA14*(Construction!AA30+Construction!AA36+Inputs!$F$107/12+-1*Inputs!AA308*(Inputs!$F$97/100/12-Construction!AA17/100*Construction!AA11/Inputs!$F$247)+Inputs!$F$99*Inputs!$F$100/100*Construction!AA11/Inputs!$F$247+Construction!AA15*$F$17)</f>
        <v/>
      </c>
      <c r="AB21" s="13">
        <f>Construction!AB14*(Construction!AB30+Construction!AB36+Inputs!$F$107/12+-1*Inputs!AB308*(Inputs!$F$97/100/12-Construction!AB17/100*Construction!AB11/Inputs!$F$247)+Inputs!$F$99*Inputs!$F$100/100*Construction!AB11/Inputs!$F$247+Construction!AB15*$F$17)</f>
        <v/>
      </c>
      <c r="AC21" s="13">
        <f>Construction!AC14*(Construction!AC30+Construction!AC36+Inputs!$F$107/12+-1*Inputs!AC308*(Inputs!$F$97/100/12-Construction!AC17/100*Construction!AC11/Inputs!$F$247)+Inputs!$F$99*Inputs!$F$100/100*Construction!AC11/Inputs!$F$247+Construction!AC15*$F$17)</f>
        <v/>
      </c>
      <c r="AD21" s="13">
        <f>Construction!AD14*(Construction!AD30+Construction!AD36+Inputs!$F$107/12+-1*Inputs!AD308*(Inputs!$F$97/100/12-Construction!AD17/100*Construction!AD11/Inputs!$F$247)+Inputs!$F$99*Inputs!$F$100/100*Construction!AD11/Inputs!$F$247+Construction!AD15*$F$17)</f>
        <v/>
      </c>
      <c r="AE21" s="13">
        <f>Construction!AE14*(Construction!AE30+Construction!AE36+Inputs!$F$107/12+-1*Inputs!AE308*(Inputs!$F$97/100/12-Construction!AE17/100*Construction!AE11/Inputs!$F$247)+Inputs!$F$99*Inputs!$F$100/100*Construction!AE11/Inputs!$F$247+Construction!AE15*$F$17)</f>
        <v/>
      </c>
      <c r="AF21" s="13">
        <f>Construction!AF14*(Construction!AF30+Construction!AF36+Inputs!$F$107/12+-1*Inputs!AF308*(Inputs!$F$97/100/12-Construction!AF17/100*Construction!AF11/Inputs!$F$247)+Inputs!$F$99*Inputs!$F$100/100*Construction!AF11/Inputs!$F$247+Construction!AF15*$F$17)</f>
        <v/>
      </c>
      <c r="AG21" s="13">
        <f>Construction!AG14*(Construction!AG30+Construction!AG36+Inputs!$F$107/12+-1*Inputs!AG308*(Inputs!$F$97/100/12-Construction!AG17/100*Construction!AG11/Inputs!$F$247)+Inputs!$F$99*Inputs!$F$100/100*Construction!AG11/Inputs!$F$247+Construction!AG15*$F$17)</f>
        <v/>
      </c>
      <c r="AH21" s="13">
        <f>Construction!AH14*(Construction!AH30+Construction!AH36+Inputs!$F$107/12+-1*Inputs!AH308*(Inputs!$F$97/100/12-Construction!AH17/100*Construction!AH11/Inputs!$F$247)+Inputs!$F$99*Inputs!$F$100/100*Construction!AH11/Inputs!$F$247+Construction!AH15*$F$17)</f>
        <v/>
      </c>
      <c r="AI21" s="13">
        <f>Construction!AI14*(Construction!AI30+Construction!AI36+Inputs!$F$107/12+-1*Inputs!AI308*(Inputs!$F$97/100/12-Construction!AI17/100*Construction!AI11/Inputs!$F$247)+Inputs!$F$99*Inputs!$F$100/100*Construction!AI11/Inputs!$F$247+Construction!AI15*$F$17)</f>
        <v/>
      </c>
      <c r="AJ21" s="13">
        <f>Construction!AJ14*(Construction!AJ30+Construction!AJ36+Inputs!$F$107/12+-1*Inputs!AJ308*(Inputs!$F$97/100/12-Construction!AJ17/100*Construction!AJ11/Inputs!$F$247)+Inputs!$F$99*Inputs!$F$100/100*Construction!AJ11/Inputs!$F$247+Construction!AJ15*$F$17)</f>
        <v/>
      </c>
      <c r="AK21" s="13">
        <f>Construction!AK14*(Construction!AK30+Construction!AK36+Inputs!$F$107/12+-1*Inputs!AK308*(Inputs!$F$97/100/12-Construction!AK17/100*Construction!AK11/Inputs!$F$247)+Inputs!$F$99*Inputs!$F$100/100*Construction!AK11/Inputs!$F$247+Construction!AK15*$F$17)</f>
        <v/>
      </c>
      <c r="AL21" s="13">
        <f>Construction!AL14*(Construction!AL30+Construction!AL36+Inputs!$F$107/12+-1*Inputs!AL308*(Inputs!$F$97/100/12-Construction!AL17/100*Construction!AL11/Inputs!$F$247)+Inputs!$F$99*Inputs!$F$100/100*Construction!AL11/Inputs!$F$247+Construction!AL15*$F$17)</f>
        <v/>
      </c>
      <c r="AM21" s="13">
        <f>Construction!AM14*(Construction!AM30+Construction!AM36+Inputs!$F$107/12+-1*Inputs!AM308*(Inputs!$F$97/100/12-Construction!AM17/100*Construction!AM11/Inputs!$F$247)+Inputs!$F$99*Inputs!$F$100/100*Construction!AM11/Inputs!$F$247+Construction!AM15*$F$17)</f>
        <v/>
      </c>
      <c r="AN21" s="13">
        <f>Construction!AN14*(Construction!AN30+Construction!AN36+Inputs!$F$107/12+-1*Inputs!AN308*(Inputs!$F$97/100/12-Construction!AN17/100*Construction!AN11/Inputs!$F$247)+Inputs!$F$99*Inputs!$F$100/100*Construction!AN11/Inputs!$F$247+Construction!AN15*$F$17)</f>
        <v/>
      </c>
      <c r="AO21" s="13">
        <f>Construction!AO14*(Construction!AO30+Construction!AO36+Inputs!$F$107/12+-1*Inputs!AO308*(Inputs!$F$97/100/12-Construction!AO17/100*Construction!AO11/Inputs!$F$247)+Inputs!$F$99*Inputs!$F$100/100*Construction!AO11/Inputs!$F$247+Construction!AO15*$F$17)</f>
        <v/>
      </c>
      <c r="AP21" s="13">
        <f>Construction!AP14*(Construction!AP30+Construction!AP36+Inputs!$F$107/12+-1*Inputs!AP308*(Inputs!$F$97/100/12-Construction!AP17/100*Construction!AP11/Inputs!$F$247)+Inputs!$F$99*Inputs!$F$100/100*Construction!AP11/Inputs!$F$247+Construction!AP15*$F$17)</f>
        <v/>
      </c>
      <c r="AQ21" s="13">
        <f>Construction!AQ14*(Construction!AQ30+Construction!AQ36+Inputs!$F$107/12+-1*Inputs!AQ308*(Inputs!$F$97/100/12-Construction!AQ17/100*Construction!AQ11/Inputs!$F$247)+Inputs!$F$99*Inputs!$F$100/100*Construction!AQ11/Inputs!$F$247+Construction!AQ15*$F$17)</f>
        <v/>
      </c>
      <c r="AR21" s="13">
        <f>Construction!AR14*(Construction!AR30+Construction!AR36+Inputs!$F$107/12+-1*Inputs!AR308*(Inputs!$F$97/100/12-Construction!AR17/100*Construction!AR11/Inputs!$F$247)+Inputs!$F$99*Inputs!$F$100/100*Construction!AR11/Inputs!$F$247+Construction!AR15*$F$17)</f>
        <v/>
      </c>
      <c r="AS21" s="13">
        <f>Construction!AS14*(Construction!AS30+Construction!AS36+Inputs!$F$107/12+-1*Inputs!AS308*(Inputs!$F$97/100/12-Construction!AS17/100*Construction!AS11/Inputs!$F$247)+Inputs!$F$99*Inputs!$F$100/100*Construction!AS11/Inputs!$F$247+Construction!AS15*$F$17)</f>
        <v/>
      </c>
      <c r="AT21" s="13">
        <f>Construction!AT14*(Construction!AT30+Construction!AT36+Inputs!$F$107/12+-1*Inputs!AT308*(Inputs!$F$97/100/12-Construction!AT17/100*Construction!AT11/Inputs!$F$247)+Inputs!$F$99*Inputs!$F$100/100*Construction!AT11/Inputs!$F$247+Construction!AT15*$F$17)</f>
        <v/>
      </c>
      <c r="AU21" s="13">
        <f>Construction!AU14*(Construction!AU30+Construction!AU36+Inputs!$F$107/12+-1*Inputs!AU308*(Inputs!$F$97/100/12-Construction!AU17/100*Construction!AU11/Inputs!$F$247)+Inputs!$F$99*Inputs!$F$100/100*Construction!AU11/Inputs!$F$247+Construction!AU15*$F$17)</f>
        <v/>
      </c>
      <c r="AV21" s="13">
        <f>Construction!AV14*(Construction!AV30+Construction!AV36+Inputs!$F$107/12+-1*Inputs!AV308*(Inputs!$F$97/100/12-Construction!AV17/100*Construction!AV11/Inputs!$F$247)+Inputs!$F$99*Inputs!$F$100/100*Construction!AV11/Inputs!$F$247+Construction!AV15*$F$17)</f>
        <v/>
      </c>
      <c r="AW21" s="13">
        <f>Construction!AW14*(Construction!AW30+Construction!AW36+Inputs!$F$107/12+-1*Inputs!AW308*(Inputs!$F$97/100/12-Construction!AW17/100*Construction!AW11/Inputs!$F$247)+Inputs!$F$99*Inputs!$F$100/100*Construction!AW11/Inputs!$F$247+Construction!AW15*$F$17)</f>
        <v/>
      </c>
      <c r="AX21" s="13">
        <f>Construction!AX14*(Construction!AX30+Construction!AX36+Inputs!$F$107/12+-1*Inputs!AX308*(Inputs!$F$97/100/12-Construction!AX17/100*Construction!AX11/Inputs!$F$247)+Inputs!$F$99*Inputs!$F$100/100*Construction!AX11/Inputs!$F$247+Construction!AX15*$F$17)</f>
        <v/>
      </c>
      <c r="AY21" s="13">
        <f>Construction!AY14*(Construction!AY30+Construction!AY36+Inputs!$F$107/12+-1*Inputs!AY308*(Inputs!$F$97/100/12-Construction!AY17/100*Construction!AY11/Inputs!$F$247)+Inputs!$F$99*Inputs!$F$100/100*Construction!AY11/Inputs!$F$247+Construction!AY15*$F$17)</f>
        <v/>
      </c>
      <c r="AZ21" s="13">
        <f>Construction!AZ14*(Construction!AZ30+Construction!AZ36+Inputs!$F$107/12+-1*Inputs!AZ308*(Inputs!$F$97/100/12-Construction!AZ17/100*Construction!AZ11/Inputs!$F$247)+Inputs!$F$99*Inputs!$F$100/100*Construction!AZ11/Inputs!$F$247+Construction!AZ15*$F$17)</f>
        <v/>
      </c>
      <c r="BA21" s="13">
        <f>Construction!BA14*(Construction!BA30+Construction!BA36+Inputs!$F$107/12+-1*Inputs!BA308*(Inputs!$F$97/100/12-Construction!BA17/100*Construction!BA11/Inputs!$F$247)+Inputs!$F$99*Inputs!$F$100/100*Construction!BA11/Inputs!$F$247+Construction!BA15*$F$17)</f>
        <v/>
      </c>
      <c r="BB21" s="13">
        <f>Construction!BB14*(Construction!BB30+Construction!BB36+Inputs!$F$107/12+-1*Inputs!BB308*(Inputs!$F$97/100/12-Construction!BB17/100*Construction!BB11/Inputs!$F$247)+Inputs!$F$99*Inputs!$F$100/100*Construction!BB11/Inputs!$F$247+Construction!BB15*$F$17)</f>
        <v/>
      </c>
      <c r="BC21" s="13">
        <f>Construction!BC14*(Construction!BC30+Construction!BC36+Inputs!$F$107/12+-1*Inputs!BC308*(Inputs!$F$97/100/12-Construction!BC17/100*Construction!BC11/Inputs!$F$247)+Inputs!$F$99*Inputs!$F$100/100*Construction!BC11/Inputs!$F$247+Construction!BC15*$F$17)</f>
        <v/>
      </c>
      <c r="BD21" s="13">
        <f>Construction!BD14*(Construction!BD30+Construction!BD36+Inputs!$F$107/12+-1*Inputs!BD308*(Inputs!$F$97/100/12-Construction!BD17/100*Construction!BD11/Inputs!$F$247)+Inputs!$F$99*Inputs!$F$100/100*Construction!BD11/Inputs!$F$247+Construction!BD15*$F$17)</f>
        <v/>
      </c>
      <c r="BE21" s="13">
        <f>Construction!BE14*(Construction!BE30+Construction!BE36+Inputs!$F$107/12+-1*Inputs!BE308*(Inputs!$F$97/100/12-Construction!BE17/100*Construction!BE11/Inputs!$F$247)+Inputs!$F$99*Inputs!$F$100/100*Construction!BE11/Inputs!$F$247+Construction!BE15*$F$17)</f>
        <v/>
      </c>
      <c r="BF21" s="13">
        <f>Construction!BF14*(Construction!BF30+Construction!BF36+Inputs!$F$107/12+-1*Inputs!BF308*(Inputs!$F$97/100/12-Construction!BF17/100*Construction!BF11/Inputs!$F$247)+Inputs!$F$99*Inputs!$F$100/100*Construction!BF11/Inputs!$F$247+Construction!BF15*$F$17)</f>
        <v/>
      </c>
      <c r="BG21" s="13">
        <f>Construction!BG14*(Construction!BG30+Construction!BG36+Inputs!$F$107/12+-1*Inputs!BG308*(Inputs!$F$97/100/12-Construction!BG17/100*Construction!BG11/Inputs!$F$247)+Inputs!$F$99*Inputs!$F$100/100*Construction!BG11/Inputs!$F$247+Construction!BG15*$F$17)</f>
        <v/>
      </c>
      <c r="BH21" s="13">
        <f>Construction!BH14*(Construction!BH30+Construction!BH36+Inputs!$F$107/12+-1*Inputs!BH308*(Inputs!$F$97/100/12-Construction!BH17/100*Construction!BH11/Inputs!$F$247)+Inputs!$F$99*Inputs!$F$100/100*Construction!BH11/Inputs!$F$247+Construction!BH15*$F$17)</f>
        <v/>
      </c>
      <c r="BI21" s="13">
        <f>Construction!BI14*(Construction!BI30+Construction!BI36+Inputs!$F$107/12+-1*Inputs!BI308*(Inputs!$F$97/100/12-Construction!BI17/100*Construction!BI11/Inputs!$F$247)+Inputs!$F$99*Inputs!$F$100/100*Construction!BI11/Inputs!$F$247+Construction!BI15*$F$17)</f>
        <v/>
      </c>
      <c r="BJ21" s="13">
        <f>Construction!BJ14*(Construction!BJ30+Construction!BJ36+Inputs!$F$107/12+-1*Inputs!BJ308*(Inputs!$F$97/100/12-Construction!BJ17/100*Construction!BJ11/Inputs!$F$247)+Inputs!$F$99*Inputs!$F$100/100*Construction!BJ11/Inputs!$F$247+Construction!BJ15*$F$17)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-1*Construction!J14*Inputs!J308*(Inputs!$F$97/100/12-Construction!J17/100*Construction!J11/Inputs!$F$247)</f>
        <v/>
      </c>
      <c r="K39" s="13">
        <f>-1*Construction!K14*Inputs!K308*(Inputs!$F$97/100/12-Construction!K17/100*Construction!K11/Inputs!$F$247)</f>
        <v/>
      </c>
      <c r="L39" s="13">
        <f>-1*Construction!L14*Inputs!L308*(Inputs!$F$97/100/12-Construction!L17/100*Construction!L11/Inputs!$F$247)</f>
        <v/>
      </c>
      <c r="M39" s="13">
        <f>-1*Construction!M14*Inputs!M308*(Inputs!$F$97/100/12-Construction!M17/100*Construction!M11/Inputs!$F$247)</f>
        <v/>
      </c>
      <c r="N39" s="13">
        <f>-1*Construction!N14*Inputs!N308*(Inputs!$F$97/100/12-Construction!N17/100*Construction!N11/Inputs!$F$247)</f>
        <v/>
      </c>
      <c r="O39" s="13">
        <f>-1*Construction!O14*Inputs!O308*(Inputs!$F$97/100/12-Construction!O17/100*Construction!O11/Inputs!$F$247)</f>
        <v/>
      </c>
      <c r="P39" s="13">
        <f>-1*Construction!P14*Inputs!P308*(Inputs!$F$97/100/12-Construction!P17/100*Construction!P11/Inputs!$F$247)</f>
        <v/>
      </c>
      <c r="Q39" s="13">
        <f>-1*Construction!Q14*Inputs!Q308*(Inputs!$F$97/100/12-Construction!Q17/100*Construction!Q11/Inputs!$F$247)</f>
        <v/>
      </c>
      <c r="R39" s="13">
        <f>-1*Construction!R14*Inputs!R308*(Inputs!$F$97/100/12-Construction!R17/100*Construction!R11/Inputs!$F$247)</f>
        <v/>
      </c>
      <c r="S39" s="13">
        <f>-1*Construction!S14*Inputs!S308*(Inputs!$F$97/100/12-Construction!S17/100*Construction!S11/Inputs!$F$247)</f>
        <v/>
      </c>
      <c r="T39" s="13">
        <f>-1*Construction!T14*Inputs!T308*(Inputs!$F$97/100/12-Construction!T17/100*Construction!T11/Inputs!$F$247)</f>
        <v/>
      </c>
      <c r="U39" s="13">
        <f>-1*Construction!U14*Inputs!U308*(Inputs!$F$97/100/12-Construction!U17/100*Construction!U11/Inputs!$F$247)</f>
        <v/>
      </c>
      <c r="V39" s="13">
        <f>-1*Construction!V14*Inputs!V308*(Inputs!$F$97/100/12-Construction!V17/100*Construction!V11/Inputs!$F$247)</f>
        <v/>
      </c>
      <c r="W39" s="13">
        <f>-1*Construction!W14*Inputs!W308*(Inputs!$F$97/100/12-Construction!W17/100*Construction!W11/Inputs!$F$247)</f>
        <v/>
      </c>
      <c r="X39" s="13">
        <f>-1*Construction!X14*Inputs!X308*(Inputs!$F$97/100/12-Construction!X17/100*Construction!X11/Inputs!$F$247)</f>
        <v/>
      </c>
      <c r="Y39" s="13">
        <f>-1*Construction!Y14*Inputs!Y308*(Inputs!$F$97/100/12-Construction!Y17/100*Construction!Y11/Inputs!$F$247)</f>
        <v/>
      </c>
      <c r="Z39" s="13">
        <f>-1*Construction!Z14*Inputs!Z308*(Inputs!$F$97/100/12-Construction!Z17/100*Construction!Z11/Inputs!$F$247)</f>
        <v/>
      </c>
      <c r="AA39" s="13">
        <f>-1*Construction!AA14*Inputs!AA308*(Inputs!$F$97/100/12-Construction!AA17/100*Construction!AA11/Inputs!$F$247)</f>
        <v/>
      </c>
      <c r="AB39" s="13">
        <f>-1*Construction!AB14*Inputs!AB308*(Inputs!$F$97/100/12-Construction!AB17/100*Construction!AB11/Inputs!$F$247)</f>
        <v/>
      </c>
      <c r="AC39" s="13">
        <f>-1*Construction!AC14*Inputs!AC308*(Inputs!$F$97/100/12-Construction!AC17/100*Construction!AC11/Inputs!$F$247)</f>
        <v/>
      </c>
      <c r="AD39" s="13">
        <f>-1*Construction!AD14*Inputs!AD308*(Inputs!$F$97/100/12-Construction!AD17/100*Construction!AD11/Inputs!$F$247)</f>
        <v/>
      </c>
      <c r="AE39" s="13">
        <f>-1*Construction!AE14*Inputs!AE308*(Inputs!$F$97/100/12-Construction!AE17/100*Construction!AE11/Inputs!$F$247)</f>
        <v/>
      </c>
      <c r="AF39" s="13">
        <f>-1*Construction!AF14*Inputs!AF308*(Inputs!$F$97/100/12-Construction!AF17/100*Construction!AF11/Inputs!$F$247)</f>
        <v/>
      </c>
      <c r="AG39" s="13">
        <f>-1*Construction!AG14*Inputs!AG308*(Inputs!$F$97/100/12-Construction!AG17/100*Construction!AG11/Inputs!$F$247)</f>
        <v/>
      </c>
      <c r="AH39" s="13">
        <f>-1*Construction!AH14*Inputs!AH308*(Inputs!$F$97/100/12-Construction!AH17/100*Construction!AH11/Inputs!$F$247)</f>
        <v/>
      </c>
      <c r="AI39" s="13">
        <f>-1*Construction!AI14*Inputs!AI308*(Inputs!$F$97/100/12-Construction!AI17/100*Construction!AI11/Inputs!$F$247)</f>
        <v/>
      </c>
      <c r="AJ39" s="13">
        <f>-1*Construction!AJ14*Inputs!AJ308*(Inputs!$F$97/100/12-Construction!AJ17/100*Construction!AJ11/Inputs!$F$247)</f>
        <v/>
      </c>
      <c r="AK39" s="13">
        <f>-1*Construction!AK14*Inputs!AK308*(Inputs!$F$97/100/12-Construction!AK17/100*Construction!AK11/Inputs!$F$247)</f>
        <v/>
      </c>
      <c r="AL39" s="13">
        <f>-1*Construction!AL14*Inputs!AL308*(Inputs!$F$97/100/12-Construction!AL17/100*Construction!AL11/Inputs!$F$247)</f>
        <v/>
      </c>
      <c r="AM39" s="13">
        <f>-1*Construction!AM14*Inputs!AM308*(Inputs!$F$97/100/12-Construction!AM17/100*Construction!AM11/Inputs!$F$247)</f>
        <v/>
      </c>
      <c r="AN39" s="13">
        <f>-1*Construction!AN14*Inputs!AN308*(Inputs!$F$97/100/12-Construction!AN17/100*Construction!AN11/Inputs!$F$247)</f>
        <v/>
      </c>
      <c r="AO39" s="13">
        <f>-1*Construction!AO14*Inputs!AO308*(Inputs!$F$97/100/12-Construction!AO17/100*Construction!AO11/Inputs!$F$247)</f>
        <v/>
      </c>
      <c r="AP39" s="13">
        <f>-1*Construction!AP14*Inputs!AP308*(Inputs!$F$97/100/12-Construction!AP17/100*Construction!AP11/Inputs!$F$247)</f>
        <v/>
      </c>
      <c r="AQ39" s="13">
        <f>-1*Construction!AQ14*Inputs!AQ308*(Inputs!$F$97/100/12-Construction!AQ17/100*Construction!AQ11/Inputs!$F$247)</f>
        <v/>
      </c>
      <c r="AR39" s="13">
        <f>-1*Construction!AR14*Inputs!AR308*(Inputs!$F$97/100/12-Construction!AR17/100*Construction!AR11/Inputs!$F$247)</f>
        <v/>
      </c>
      <c r="AS39" s="13">
        <f>-1*Construction!AS14*Inputs!AS308*(Inputs!$F$97/100/12-Construction!AS17/100*Construction!AS11/Inputs!$F$247)</f>
        <v/>
      </c>
      <c r="AT39" s="13">
        <f>-1*Construction!AT14*Inputs!AT308*(Inputs!$F$97/100/12-Construction!AT17/100*Construction!AT11/Inputs!$F$247)</f>
        <v/>
      </c>
      <c r="AU39" s="13">
        <f>-1*Construction!AU14*Inputs!AU308*(Inputs!$F$97/100/12-Construction!AU17/100*Construction!AU11/Inputs!$F$247)</f>
        <v/>
      </c>
      <c r="AV39" s="13">
        <f>-1*Construction!AV14*Inputs!AV308*(Inputs!$F$97/100/12-Construction!AV17/100*Construction!AV11/Inputs!$F$247)</f>
        <v/>
      </c>
      <c r="AW39" s="13">
        <f>-1*Construction!AW14*Inputs!AW308*(Inputs!$F$97/100/12-Construction!AW17/100*Construction!AW11/Inputs!$F$247)</f>
        <v/>
      </c>
      <c r="AX39" s="13">
        <f>-1*Construction!AX14*Inputs!AX308*(Inputs!$F$97/100/12-Construction!AX17/100*Construction!AX11/Inputs!$F$247)</f>
        <v/>
      </c>
      <c r="AY39" s="13">
        <f>-1*Construction!AY14*Inputs!AY308*(Inputs!$F$97/100/12-Construction!AY17/100*Construction!AY11/Inputs!$F$247)</f>
        <v/>
      </c>
      <c r="AZ39" s="13">
        <f>-1*Construction!AZ14*Inputs!AZ308*(Inputs!$F$97/100/12-Construction!AZ17/100*Construction!AZ11/Inputs!$F$247)</f>
        <v/>
      </c>
      <c r="BA39" s="13">
        <f>-1*Construction!BA14*Inputs!BA308*(Inputs!$F$97/100/12-Construction!BA17/100*Construction!BA11/Inputs!$F$247)</f>
        <v/>
      </c>
      <c r="BB39" s="13">
        <f>-1*Construction!BB14*Inputs!BB308*(Inputs!$F$97/100/12-Construction!BB17/100*Construction!BB11/Inputs!$F$247)</f>
        <v/>
      </c>
      <c r="BC39" s="13">
        <f>-1*Construction!BC14*Inputs!BC308*(Inputs!$F$97/100/12-Construction!BC17/100*Construction!BC11/Inputs!$F$247)</f>
        <v/>
      </c>
      <c r="BD39" s="13">
        <f>-1*Construction!BD14*Inputs!BD308*(Inputs!$F$97/100/12-Construction!BD17/100*Construction!BD11/Inputs!$F$247)</f>
        <v/>
      </c>
      <c r="BE39" s="13">
        <f>-1*Construction!BE14*Inputs!BE308*(Inputs!$F$97/100/12-Construction!BE17/100*Construction!BE11/Inputs!$F$247)</f>
        <v/>
      </c>
      <c r="BF39" s="13">
        <f>-1*Construction!BF14*Inputs!BF308*(Inputs!$F$97/100/12-Construction!BF17/100*Construction!BF11/Inputs!$F$247)</f>
        <v/>
      </c>
      <c r="BG39" s="13">
        <f>-1*Construction!BG14*Inputs!BG308*(Inputs!$F$97/100/12-Construction!BG17/100*Construction!BG11/Inputs!$F$247)</f>
        <v/>
      </c>
      <c r="BH39" s="13">
        <f>-1*Construction!BH14*Inputs!BH308*(Inputs!$F$97/100/12-Construction!BH17/100*Construction!BH11/Inputs!$F$247)</f>
        <v/>
      </c>
      <c r="BI39" s="13">
        <f>-1*Construction!BI14*Inputs!BI308*(Inputs!$F$97/100/12-Construction!BI17/100*Construction!BI11/Inputs!$F$247)</f>
        <v/>
      </c>
      <c r="BJ39" s="13">
        <f>-1*Construction!BJ14*Inputs!BJ308*(Inputs!$F$97/100/12-Construction!BJ17/100*Construction!BJ11/Inputs!$F$247)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Construction!J14*(Construction!J30+Construction!J36)+J33+J34+J35+J36+J37+J38+J39+J40+J41+J42+J43+J44</f>
        <v/>
      </c>
      <c r="K45" s="13">
        <f>Construction!K14*(Construction!K30+Construction!K36)+K33+K34+K35+K36+K37+K38+K39+K40+K41+K42+K43+K44</f>
        <v/>
      </c>
      <c r="L45" s="13">
        <f>Construction!L14*(Construction!L30+Construction!L36)+L33+L34+L35+L36+L37+L38+L39+L40+L41+L42+L43+L44</f>
        <v/>
      </c>
      <c r="M45" s="13">
        <f>Construction!M14*(Construction!M30+Construction!M36)+M33+M34+M35+M36+M37+M38+M39+M40+M41+M42+M43+M44</f>
        <v/>
      </c>
      <c r="N45" s="13">
        <f>Construction!N14*(Construction!N30+Construction!N36)+N33+N34+N35+N36+N37+N38+N39+N40+N41+N42+N43+N44</f>
        <v/>
      </c>
      <c r="O45" s="13">
        <f>Construction!O14*(Construction!O30+Construction!O36)+O33+O34+O35+O36+O37+O38+O39+O40+O41+O42+O43+O44</f>
        <v/>
      </c>
      <c r="P45" s="13">
        <f>Construction!P14*(Construction!P30+Construction!P36)+P33+P34+P35+P36+P37+P38+P39+P40+P41+P42+P43+P44</f>
        <v/>
      </c>
      <c r="Q45" s="13">
        <f>Construction!Q14*(Construction!Q30+Construction!Q36)+Q33+Q34+Q35+Q36+Q37+Q38+Q39+Q40+Q41+Q42+Q43+Q44</f>
        <v/>
      </c>
      <c r="R45" s="13">
        <f>Construction!R14*(Construction!R30+Construction!R36)+R33+R34+R35+R36+R37+R38+R39+R40+R41+R42+R43+R44</f>
        <v/>
      </c>
      <c r="S45" s="13">
        <f>Construction!S14*(Construction!S30+Construction!S36)+S33+S34+S35+S36+S37+S38+S39+S40+S41+S42+S43+S44</f>
        <v/>
      </c>
      <c r="T45" s="13">
        <f>Construction!T14*(Construction!T30+Construction!T36)+T33+T34+T35+T36+T37+T38+T39+T40+T41+T42+T43+T44</f>
        <v/>
      </c>
      <c r="U45" s="13">
        <f>Construction!U14*(Construction!U30+Construction!U36)+U33+U34+U35+U36+U37+U38+U39+U40+U41+U42+U43+U44</f>
        <v/>
      </c>
      <c r="V45" s="13">
        <f>Construction!V14*(Construction!V30+Construction!V36)+V33+V34+V35+V36+V37+V38+V39+V40+V41+V42+V43+V44</f>
        <v/>
      </c>
      <c r="W45" s="13">
        <f>Construction!W14*(Construction!W30+Construction!W36)+W33+W34+W35+W36+W37+W38+W39+W40+W41+W42+W43+W44</f>
        <v/>
      </c>
      <c r="X45" s="13">
        <f>Construction!X14*(Construction!X30+Construction!X36)+X33+X34+X35+X36+X37+X38+X39+X40+X41+X42+X43+X44</f>
        <v/>
      </c>
      <c r="Y45" s="13">
        <f>Construction!Y14*(Construction!Y30+Construction!Y36)+Y33+Y34+Y35+Y36+Y37+Y38+Y39+Y40+Y41+Y42+Y43+Y44</f>
        <v/>
      </c>
      <c r="Z45" s="13">
        <f>Construction!Z14*(Construction!Z30+Construction!Z36)+Z33+Z34+Z35+Z36+Z37+Z38+Z39+Z40+Z41+Z42+Z43+Z44</f>
        <v/>
      </c>
      <c r="AA45" s="13">
        <f>Construction!AA14*(Construction!AA30+Construction!AA36)+AA33+AA34+AA35+AA36+AA37+AA38+AA39+AA40+AA41+AA42+AA43+AA44</f>
        <v/>
      </c>
      <c r="AB45" s="13">
        <f>Construction!AB14*(Construction!AB30+Construction!AB36)+AB33+AB34+AB35+AB36+AB37+AB38+AB39+AB40+AB41+AB42+AB43+AB44</f>
        <v/>
      </c>
      <c r="AC45" s="13">
        <f>Construction!AC14*(Construction!AC30+Construction!AC36)+AC33+AC34+AC35+AC36+AC37+AC38+AC39+AC40+AC41+AC42+AC43+AC44</f>
        <v/>
      </c>
      <c r="AD45" s="13">
        <f>Construction!AD14*(Construction!AD30+Construction!AD36)+AD33+AD34+AD35+AD36+AD37+AD38+AD39+AD40+AD41+AD42+AD43+AD44</f>
        <v/>
      </c>
      <c r="AE45" s="13">
        <f>Construction!AE14*(Construction!AE30+Construction!AE36)+AE33+AE34+AE35+AE36+AE37+AE38+AE39+AE40+AE41+AE42+AE43+AE44</f>
        <v/>
      </c>
      <c r="AF45" s="13">
        <f>Construction!AF14*(Construction!AF30+Construction!AF36)+AF33+AF34+AF35+AF36+AF37+AF38+AF39+AF40+AF41+AF42+AF43+AF44</f>
        <v/>
      </c>
      <c r="AG45" s="13">
        <f>Construction!AG14*(Construction!AG30+Construction!AG36)+AG33+AG34+AG35+AG36+AG37+AG38+AG39+AG40+AG41+AG42+AG43+AG44</f>
        <v/>
      </c>
      <c r="AH45" s="13">
        <f>Construction!AH14*(Construction!AH30+Construction!AH36)+AH33+AH34+AH35+AH36+AH37+AH38+AH39+AH40+AH41+AH42+AH43+AH44</f>
        <v/>
      </c>
      <c r="AI45" s="13">
        <f>Construction!AI14*(Construction!AI30+Construction!AI36)+AI33+AI34+AI35+AI36+AI37+AI38+AI39+AI40+AI41+AI42+AI43+AI44</f>
        <v/>
      </c>
      <c r="AJ45" s="13">
        <f>Construction!AJ14*(Construction!AJ30+Construction!AJ36)+AJ33+AJ34+AJ35+AJ36+AJ37+AJ38+AJ39+AJ40+AJ41+AJ42+AJ43+AJ44</f>
        <v/>
      </c>
      <c r="AK45" s="13">
        <f>Construction!AK14*(Construction!AK30+Construction!AK36)+AK33+AK34+AK35+AK36+AK37+AK38+AK39+AK40+AK41+AK42+AK43+AK44</f>
        <v/>
      </c>
      <c r="AL45" s="13">
        <f>Construction!AL14*(Construction!AL30+Construction!AL36)+AL33+AL34+AL35+AL36+AL37+AL38+AL39+AL40+AL41+AL42+AL43+AL44</f>
        <v/>
      </c>
      <c r="AM45" s="13">
        <f>Construction!AM14*(Construction!AM30+Construction!AM36)+AM33+AM34+AM35+AM36+AM37+AM38+AM39+AM40+AM41+AM42+AM43+AM44</f>
        <v/>
      </c>
      <c r="AN45" s="13">
        <f>Construction!AN14*(Construction!AN30+Construction!AN36)+AN33+AN34+AN35+AN36+AN37+AN38+AN39+AN40+AN41+AN42+AN43+AN44</f>
        <v/>
      </c>
      <c r="AO45" s="13">
        <f>Construction!AO14*(Construction!AO30+Construction!AO36)+AO33+AO34+AO35+AO36+AO37+AO38+AO39+AO40+AO41+AO42+AO43+AO44</f>
        <v/>
      </c>
      <c r="AP45" s="13">
        <f>Construction!AP14*(Construction!AP30+Construction!AP36)+AP33+AP34+AP35+AP36+AP37+AP38+AP39+AP40+AP41+AP42+AP43+AP44</f>
        <v/>
      </c>
      <c r="AQ45" s="13">
        <f>Construction!AQ14*(Construction!AQ30+Construction!AQ36)+AQ33+AQ34+AQ35+AQ36+AQ37+AQ38+AQ39+AQ40+AQ41+AQ42+AQ43+AQ44</f>
        <v/>
      </c>
      <c r="AR45" s="13">
        <f>Construction!AR14*(Construction!AR30+Construction!AR36)+AR33+AR34+AR35+AR36+AR37+AR38+AR39+AR40+AR41+AR42+AR43+AR44</f>
        <v/>
      </c>
      <c r="AS45" s="13">
        <f>Construction!AS14*(Construction!AS30+Construction!AS36)+AS33+AS34+AS35+AS36+AS37+AS38+AS39+AS40+AS41+AS42+AS43+AS44</f>
        <v/>
      </c>
      <c r="AT45" s="13">
        <f>Construction!AT14*(Construction!AT30+Construction!AT36)+AT33+AT34+AT35+AT36+AT37+AT38+AT39+AT40+AT41+AT42+AT43+AT44</f>
        <v/>
      </c>
      <c r="AU45" s="13">
        <f>Construction!AU14*(Construction!AU30+Construction!AU36)+AU33+AU34+AU35+AU36+AU37+AU38+AU39+AU40+AU41+AU42+AU43+AU44</f>
        <v/>
      </c>
      <c r="AV45" s="13">
        <f>Construction!AV14*(Construction!AV30+Construction!AV36)+AV33+AV34+AV35+AV36+AV37+AV38+AV39+AV40+AV41+AV42+AV43+AV44</f>
        <v/>
      </c>
      <c r="AW45" s="13">
        <f>Construction!AW14*(Construction!AW30+Construction!AW36)+AW33+AW34+AW35+AW36+AW37+AW38+AW39+AW40+AW41+AW42+AW43+AW44</f>
        <v/>
      </c>
      <c r="AX45" s="13">
        <f>Construction!AX14*(Construction!AX30+Construction!AX36)+AX33+AX34+AX35+AX36+AX37+AX38+AX39+AX40+AX41+AX42+AX43+AX44</f>
        <v/>
      </c>
      <c r="AY45" s="13">
        <f>Construction!AY14*(Construction!AY30+Construction!AY36)+AY33+AY34+AY35+AY36+AY37+AY38+AY39+AY40+AY41+AY42+AY43+AY44</f>
        <v/>
      </c>
      <c r="AZ45" s="13">
        <f>Construction!AZ14*(Construction!AZ30+Construction!AZ36)+AZ33+AZ34+AZ35+AZ36+AZ37+AZ38+AZ39+AZ40+AZ41+AZ42+AZ43+AZ44</f>
        <v/>
      </c>
      <c r="BA45" s="13">
        <f>Construction!BA14*(Construction!BA30+Construction!BA36)+BA33+BA34+BA35+BA36+BA37+BA38+BA39+BA40+BA41+BA42+BA43+BA44</f>
        <v/>
      </c>
      <c r="BB45" s="13">
        <f>Construction!BB14*(Construction!BB30+Construction!BB36)+BB33+BB34+BB35+BB36+BB37+BB38+BB39+BB40+BB41+BB42+BB43+BB44</f>
        <v/>
      </c>
      <c r="BC45" s="13">
        <f>Construction!BC14*(Construction!BC30+Construction!BC36)+BC33+BC34+BC35+BC36+BC37+BC38+BC39+BC40+BC41+BC42+BC43+BC44</f>
        <v/>
      </c>
      <c r="BD45" s="13">
        <f>Construction!BD14*(Construction!BD30+Construction!BD36)+BD33+BD34+BD35+BD36+BD37+BD38+BD39+BD40+BD41+BD42+BD43+BD44</f>
        <v/>
      </c>
      <c r="BE45" s="13">
        <f>Construction!BE14*(Construction!BE30+Construction!BE36)+BE33+BE34+BE35+BE36+BE37+BE38+BE39+BE40+BE41+BE42+BE43+BE44</f>
        <v/>
      </c>
      <c r="BF45" s="13">
        <f>Construction!BF14*(Construction!BF30+Construction!BF36)+BF33+BF34+BF35+BF36+BF37+BF38+BF39+BF40+BF41+BF42+BF43+BF44</f>
        <v/>
      </c>
      <c r="BG45" s="13">
        <f>Construction!BG14*(Construction!BG30+Construction!BG36)+BG33+BG34+BG35+BG36+BG37+BG38+BG39+BG40+BG41+BG42+BG43+BG44</f>
        <v/>
      </c>
      <c r="BH45" s="13">
        <f>Construction!BH14*(Construction!BH30+Construction!BH36)+BH33+BH34+BH35+BH36+BH37+BH38+BH39+BH40+BH41+BH42+BH43+BH44</f>
        <v/>
      </c>
      <c r="BI45" s="13">
        <f>Construction!BI14*(Construction!BI30+Construction!BI36)+BI33+BI34+BI35+BI36+BI37+BI38+BI39+BI40+BI41+BI42+BI43+BI44</f>
        <v/>
      </c>
      <c r="BJ45" s="13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IF(AND(Inputs!$F$34&lt;&gt;1,Construction!J8=Inputs!$F$245),Inputs!$F$264+Inputs!$F$265,0)</f>
        <v/>
      </c>
      <c r="K52" s="13">
        <f>IF(AND(Inputs!$F$34&lt;&gt;1,Construction!K8=Inputs!$F$245),Inputs!$F$264+Inputs!$F$265,0)</f>
        <v/>
      </c>
      <c r="L52" s="13">
        <f>IF(AND(Inputs!$F$34&lt;&gt;1,Construction!L8=Inputs!$F$245),Inputs!$F$264+Inputs!$F$265,0)</f>
        <v/>
      </c>
      <c r="M52" s="13">
        <f>IF(AND(Inputs!$F$34&lt;&gt;1,Construction!M8=Inputs!$F$245),Inputs!$F$264+Inputs!$F$265,0)</f>
        <v/>
      </c>
      <c r="N52" s="13">
        <f>IF(AND(Inputs!$F$34&lt;&gt;1,Construction!N8=Inputs!$F$245),Inputs!$F$264+Inputs!$F$265,0)</f>
        <v/>
      </c>
      <c r="O52" s="13">
        <f>IF(AND(Inputs!$F$34&lt;&gt;1,Construction!O8=Inputs!$F$245),Inputs!$F$264+Inputs!$F$265,0)</f>
        <v/>
      </c>
      <c r="P52" s="13">
        <f>IF(AND(Inputs!$F$34&lt;&gt;1,Construction!P8=Inputs!$F$245),Inputs!$F$264+Inputs!$F$265,0)</f>
        <v/>
      </c>
      <c r="Q52" s="13">
        <f>IF(AND(Inputs!$F$34&lt;&gt;1,Construction!Q8=Inputs!$F$245),Inputs!$F$264+Inputs!$F$265,0)</f>
        <v/>
      </c>
      <c r="R52" s="13">
        <f>IF(AND(Inputs!$F$34&lt;&gt;1,Construction!R8=Inputs!$F$245),Inputs!$F$264+Inputs!$F$265,0)</f>
        <v/>
      </c>
      <c r="S52" s="13">
        <f>IF(AND(Inputs!$F$34&lt;&gt;1,Construction!S8=Inputs!$F$245),Inputs!$F$264+Inputs!$F$265,0)</f>
        <v/>
      </c>
      <c r="T52" s="13">
        <f>IF(AND(Inputs!$F$34&lt;&gt;1,Construction!T8=Inputs!$F$245),Inputs!$F$264+Inputs!$F$265,0)</f>
        <v/>
      </c>
      <c r="U52" s="13">
        <f>IF(AND(Inputs!$F$34&lt;&gt;1,Construction!U8=Inputs!$F$245),Inputs!$F$264+Inputs!$F$265,0)</f>
        <v/>
      </c>
      <c r="V52" s="13">
        <f>IF(AND(Inputs!$F$34&lt;&gt;1,Construction!V8=Inputs!$F$245),Inputs!$F$264+Inputs!$F$265,0)</f>
        <v/>
      </c>
      <c r="W52" s="13">
        <f>IF(AND(Inputs!$F$34&lt;&gt;1,Construction!W8=Inputs!$F$245),Inputs!$F$264+Inputs!$F$265,0)</f>
        <v/>
      </c>
      <c r="X52" s="13">
        <f>IF(AND(Inputs!$F$34&lt;&gt;1,Construction!X8=Inputs!$F$245),Inputs!$F$264+Inputs!$F$265,0)</f>
        <v/>
      </c>
      <c r="Y52" s="13">
        <f>IF(AND(Inputs!$F$34&lt;&gt;1,Construction!Y8=Inputs!$F$245),Inputs!$F$264+Inputs!$F$265,0)</f>
        <v/>
      </c>
      <c r="Z52" s="13">
        <f>IF(AND(Inputs!$F$34&lt;&gt;1,Construction!Z8=Inputs!$F$245),Inputs!$F$264+Inputs!$F$265,0)</f>
        <v/>
      </c>
      <c r="AA52" s="13">
        <f>IF(AND(Inputs!$F$34&lt;&gt;1,Construction!AA8=Inputs!$F$245),Inputs!$F$264+Inputs!$F$265,0)</f>
        <v/>
      </c>
      <c r="AB52" s="13">
        <f>IF(AND(Inputs!$F$34&lt;&gt;1,Construction!AB8=Inputs!$F$245),Inputs!$F$264+Inputs!$F$265,0)</f>
        <v/>
      </c>
      <c r="AC52" s="13">
        <f>IF(AND(Inputs!$F$34&lt;&gt;1,Construction!AC8=Inputs!$F$245),Inputs!$F$264+Inputs!$F$265,0)</f>
        <v/>
      </c>
      <c r="AD52" s="13">
        <f>IF(AND(Inputs!$F$34&lt;&gt;1,Construction!AD8=Inputs!$F$245),Inputs!$F$264+Inputs!$F$265,0)</f>
        <v/>
      </c>
      <c r="AE52" s="13">
        <f>IF(AND(Inputs!$F$34&lt;&gt;1,Construction!AE8=Inputs!$F$245),Inputs!$F$264+Inputs!$F$265,0)</f>
        <v/>
      </c>
      <c r="AF52" s="13">
        <f>IF(AND(Inputs!$F$34&lt;&gt;1,Construction!AF8=Inputs!$F$245),Inputs!$F$264+Inputs!$F$265,0)</f>
        <v/>
      </c>
      <c r="AG52" s="13">
        <f>IF(AND(Inputs!$F$34&lt;&gt;1,Construction!AG8=Inputs!$F$245),Inputs!$F$264+Inputs!$F$265,0)</f>
        <v/>
      </c>
      <c r="AH52" s="13">
        <f>IF(AND(Inputs!$F$34&lt;&gt;1,Construction!AH8=Inputs!$F$245),Inputs!$F$264+Inputs!$F$265,0)</f>
        <v/>
      </c>
      <c r="AI52" s="13">
        <f>IF(AND(Inputs!$F$34&lt;&gt;1,Construction!AI8=Inputs!$F$245),Inputs!$F$264+Inputs!$F$265,0)</f>
        <v/>
      </c>
      <c r="AJ52" s="13">
        <f>IF(AND(Inputs!$F$34&lt;&gt;1,Construction!AJ8=Inputs!$F$245),Inputs!$F$264+Inputs!$F$265,0)</f>
        <v/>
      </c>
      <c r="AK52" s="13">
        <f>IF(AND(Inputs!$F$34&lt;&gt;1,Construction!AK8=Inputs!$F$245),Inputs!$F$264+Inputs!$F$265,0)</f>
        <v/>
      </c>
      <c r="AL52" s="13">
        <f>IF(AND(Inputs!$F$34&lt;&gt;1,Construction!AL8=Inputs!$F$245),Inputs!$F$264+Inputs!$F$265,0)</f>
        <v/>
      </c>
      <c r="AM52" s="13">
        <f>IF(AND(Inputs!$F$34&lt;&gt;1,Construction!AM8=Inputs!$F$245),Inputs!$F$264+Inputs!$F$265,0)</f>
        <v/>
      </c>
      <c r="AN52" s="13">
        <f>IF(AND(Inputs!$F$34&lt;&gt;1,Construction!AN8=Inputs!$F$245),Inputs!$F$264+Inputs!$F$265,0)</f>
        <v/>
      </c>
      <c r="AO52" s="13">
        <f>IF(AND(Inputs!$F$34&lt;&gt;1,Construction!AO8=Inputs!$F$245),Inputs!$F$264+Inputs!$F$265,0)</f>
        <v/>
      </c>
      <c r="AP52" s="13">
        <f>IF(AND(Inputs!$F$34&lt;&gt;1,Construction!AP8=Inputs!$F$245),Inputs!$F$264+Inputs!$F$265,0)</f>
        <v/>
      </c>
      <c r="AQ52" s="13">
        <f>IF(AND(Inputs!$F$34&lt;&gt;1,Construction!AQ8=Inputs!$F$245),Inputs!$F$264+Inputs!$F$265,0)</f>
        <v/>
      </c>
      <c r="AR52" s="13">
        <f>IF(AND(Inputs!$F$34&lt;&gt;1,Construction!AR8=Inputs!$F$245),Inputs!$F$264+Inputs!$F$265,0)</f>
        <v/>
      </c>
      <c r="AS52" s="13">
        <f>IF(AND(Inputs!$F$34&lt;&gt;1,Construction!AS8=Inputs!$F$245),Inputs!$F$264+Inputs!$F$265,0)</f>
        <v/>
      </c>
      <c r="AT52" s="13">
        <f>IF(AND(Inputs!$F$34&lt;&gt;1,Construction!AT8=Inputs!$F$245),Inputs!$F$264+Inputs!$F$265,0)</f>
        <v/>
      </c>
      <c r="AU52" s="13">
        <f>IF(AND(Inputs!$F$34&lt;&gt;1,Construction!AU8=Inputs!$F$245),Inputs!$F$264+Inputs!$F$265,0)</f>
        <v/>
      </c>
      <c r="AV52" s="13">
        <f>IF(AND(Inputs!$F$34&lt;&gt;1,Construction!AV8=Inputs!$F$245),Inputs!$F$264+Inputs!$F$265,0)</f>
        <v/>
      </c>
      <c r="AW52" s="13">
        <f>IF(AND(Inputs!$F$34&lt;&gt;1,Construction!AW8=Inputs!$F$245),Inputs!$F$264+Inputs!$F$265,0)</f>
        <v/>
      </c>
      <c r="AX52" s="13">
        <f>IF(AND(Inputs!$F$34&lt;&gt;1,Construction!AX8=Inputs!$F$245),Inputs!$F$264+Inputs!$F$265,0)</f>
        <v/>
      </c>
      <c r="AY52" s="13">
        <f>IF(AND(Inputs!$F$34&lt;&gt;1,Construction!AY8=Inputs!$F$245),Inputs!$F$264+Inputs!$F$265,0)</f>
        <v/>
      </c>
      <c r="AZ52" s="13">
        <f>IF(AND(Inputs!$F$34&lt;&gt;1,Construction!AZ8=Inputs!$F$245),Inputs!$F$264+Inputs!$F$265,0)</f>
        <v/>
      </c>
      <c r="BA52" s="13">
        <f>IF(AND(Inputs!$F$34&lt;&gt;1,Construction!BA8=Inputs!$F$245),Inputs!$F$264+Inputs!$F$265,0)</f>
        <v/>
      </c>
      <c r="BB52" s="13">
        <f>IF(AND(Inputs!$F$34&lt;&gt;1,Construction!BB8=Inputs!$F$245),Inputs!$F$264+Inputs!$F$265,0)</f>
        <v/>
      </c>
      <c r="BC52" s="13">
        <f>IF(AND(Inputs!$F$34&lt;&gt;1,Construction!BC8=Inputs!$F$245),Inputs!$F$264+Inputs!$F$265,0)</f>
        <v/>
      </c>
      <c r="BD52" s="13">
        <f>IF(AND(Inputs!$F$34&lt;&gt;1,Construction!BD8=Inputs!$F$245),Inputs!$F$264+Inputs!$F$265,0)</f>
        <v/>
      </c>
      <c r="BE52" s="13">
        <f>IF(AND(Inputs!$F$34&lt;&gt;1,Construction!BE8=Inputs!$F$245),Inputs!$F$264+Inputs!$F$265,0)</f>
        <v/>
      </c>
      <c r="BF52" s="13">
        <f>IF(AND(Inputs!$F$34&lt;&gt;1,Construction!BF8=Inputs!$F$245),Inputs!$F$264+Inputs!$F$265,0)</f>
        <v/>
      </c>
      <c r="BG52" s="13">
        <f>IF(AND(Inputs!$F$34&lt;&gt;1,Construction!BG8=Inputs!$F$245),Inputs!$F$264+Inputs!$F$265,0)</f>
        <v/>
      </c>
      <c r="BH52" s="13">
        <f>IF(AND(Inputs!$F$34&lt;&gt;1,Construction!BH8=Inputs!$F$245),Inputs!$F$264+Inputs!$F$265,0)</f>
        <v/>
      </c>
      <c r="BI52" s="13">
        <f>IF(AND(Inputs!$F$34&lt;&gt;1,Construction!BI8=Inputs!$F$245),Inputs!$F$264+Inputs!$F$265,0)</f>
        <v/>
      </c>
      <c r="BJ52" s="13">
        <f>IF(AND(Inputs!$F$34&lt;&gt;1,Construction!BJ8=Inputs!$F$245),Inputs!$F$264+Inputs!$F$265,0)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J33+J34+J35+J36+J37+J38+J39+J40+J41+J42+J43+J48+Construction!J14*Construction!J36</f>
        <v/>
      </c>
      <c r="K74" s="13">
        <f>K33+K34+K35+K36+K37+K38+K39+K40+K41+K42+K43+K48+Construction!K14*Construction!K36</f>
        <v/>
      </c>
      <c r="L74" s="13">
        <f>L33+L34+L35+L36+L37+L38+L39+L40+L41+L42+L43+L48+Construction!L14*Construction!L36</f>
        <v/>
      </c>
      <c r="M74" s="13">
        <f>M33+M34+M35+M36+M37+M38+M39+M40+M41+M42+M43+M48+Construction!M14*Construction!M36</f>
        <v/>
      </c>
      <c r="N74" s="13">
        <f>N33+N34+N35+N36+N37+N38+N39+N40+N41+N42+N43+N48+Construction!N14*Construction!N36</f>
        <v/>
      </c>
      <c r="O74" s="13">
        <f>O33+O34+O35+O36+O37+O38+O39+O40+O41+O42+O43+O48+Construction!O14*Construction!O36</f>
        <v/>
      </c>
      <c r="P74" s="13">
        <f>P33+P34+P35+P36+P37+P38+P39+P40+P41+P42+P43+P48+Construction!P14*Construction!P36</f>
        <v/>
      </c>
      <c r="Q74" s="13">
        <f>Q33+Q34+Q35+Q36+Q37+Q38+Q39+Q40+Q41+Q42+Q43+Q48+Construction!Q14*Construction!Q36</f>
        <v/>
      </c>
      <c r="R74" s="13">
        <f>R33+R34+R35+R36+R37+R38+R39+R40+R41+R42+R43+R48+Construction!R14*Construction!R36</f>
        <v/>
      </c>
      <c r="S74" s="13">
        <f>S33+S34+S35+S36+S37+S38+S39+S40+S41+S42+S43+S48+Construction!S14*Construction!S36</f>
        <v/>
      </c>
      <c r="T74" s="13">
        <f>T33+T34+T35+T36+T37+T38+T39+T40+T41+T42+T43+T48+Construction!T14*Construction!T36</f>
        <v/>
      </c>
      <c r="U74" s="13">
        <f>U33+U34+U35+U36+U37+U38+U39+U40+U41+U42+U43+U48+Construction!U14*Construction!U36</f>
        <v/>
      </c>
      <c r="V74" s="13">
        <f>V33+V34+V35+V36+V37+V38+V39+V40+V41+V42+V43+V48+Construction!V14*Construction!V36</f>
        <v/>
      </c>
      <c r="W74" s="13">
        <f>W33+W34+W35+W36+W37+W38+W39+W40+W41+W42+W43+W48+Construction!W14*Construction!W36</f>
        <v/>
      </c>
      <c r="X74" s="13">
        <f>X33+X34+X35+X36+X37+X38+X39+X40+X41+X42+X43+X48+Construction!X14*Construction!X36</f>
        <v/>
      </c>
      <c r="Y74" s="13">
        <f>Y33+Y34+Y35+Y36+Y37+Y38+Y39+Y40+Y41+Y42+Y43+Y48+Construction!Y14*Construction!Y36</f>
        <v/>
      </c>
      <c r="Z74" s="13">
        <f>Z33+Z34+Z35+Z36+Z37+Z38+Z39+Z40+Z41+Z42+Z43+Z48+Construction!Z14*Construction!Z36</f>
        <v/>
      </c>
      <c r="AA74" s="13">
        <f>AA33+AA34+AA35+AA36+AA37+AA38+AA39+AA40+AA41+AA42+AA43+AA48+Construction!AA14*Construction!AA36</f>
        <v/>
      </c>
      <c r="AB74" s="13">
        <f>AB33+AB34+AB35+AB36+AB37+AB38+AB39+AB40+AB41+AB42+AB43+AB48+Construction!AB14*Construction!AB36</f>
        <v/>
      </c>
      <c r="AC74" s="13">
        <f>AC33+AC34+AC35+AC36+AC37+AC38+AC39+AC40+AC41+AC42+AC43+AC48+Construction!AC14*Construction!AC36</f>
        <v/>
      </c>
      <c r="AD74" s="13">
        <f>AD33+AD34+AD35+AD36+AD37+AD38+AD39+AD40+AD41+AD42+AD43+AD48+Construction!AD14*Construction!AD36</f>
        <v/>
      </c>
      <c r="AE74" s="13">
        <f>AE33+AE34+AE35+AE36+AE37+AE38+AE39+AE40+AE41+AE42+AE43+AE48+Construction!AE14*Construction!AE36</f>
        <v/>
      </c>
      <c r="AF74" s="13">
        <f>AF33+AF34+AF35+AF36+AF37+AF38+AF39+AF40+AF41+AF42+AF43+AF48+Construction!AF14*Construction!AF36</f>
        <v/>
      </c>
      <c r="AG74" s="13">
        <f>AG33+AG34+AG35+AG36+AG37+AG38+AG39+AG40+AG41+AG42+AG43+AG48+Construction!AG14*Construction!AG36</f>
        <v/>
      </c>
      <c r="AH74" s="13">
        <f>AH33+AH34+AH35+AH36+AH37+AH38+AH39+AH40+AH41+AH42+AH43+AH48+Construction!AH14*Construction!AH36</f>
        <v/>
      </c>
      <c r="AI74" s="13">
        <f>AI33+AI34+AI35+AI36+AI37+AI38+AI39+AI40+AI41+AI42+AI43+AI48+Construction!AI14*Construction!AI36</f>
        <v/>
      </c>
      <c r="AJ74" s="13">
        <f>AJ33+AJ34+AJ35+AJ36+AJ37+AJ38+AJ39+AJ40+AJ41+AJ42+AJ43+AJ48+Construction!AJ14*Construction!AJ36</f>
        <v/>
      </c>
      <c r="AK74" s="13">
        <f>AK33+AK34+AK35+AK36+AK37+AK38+AK39+AK40+AK41+AK42+AK43+AK48+Construction!AK14*Construction!AK36</f>
        <v/>
      </c>
      <c r="AL74" s="13">
        <f>AL33+AL34+AL35+AL36+AL37+AL38+AL39+AL40+AL41+AL42+AL43+AL48+Construction!AL14*Construction!AL36</f>
        <v/>
      </c>
      <c r="AM74" s="13">
        <f>AM33+AM34+AM35+AM36+AM37+AM38+AM39+AM40+AM41+AM42+AM43+AM48+Construction!AM14*Construction!AM36</f>
        <v/>
      </c>
      <c r="AN74" s="13">
        <f>AN33+AN34+AN35+AN36+AN37+AN38+AN39+AN40+AN41+AN42+AN43+AN48+Construction!AN14*Construction!AN36</f>
        <v/>
      </c>
      <c r="AO74" s="13">
        <f>AO33+AO34+AO35+AO36+AO37+AO38+AO39+AO40+AO41+AO42+AO43+AO48+Construction!AO14*Construction!AO36</f>
        <v/>
      </c>
      <c r="AP74" s="13">
        <f>AP33+AP34+AP35+AP36+AP37+AP38+AP39+AP40+AP41+AP42+AP43+AP48+Construction!AP14*Construction!AP36</f>
        <v/>
      </c>
      <c r="AQ74" s="13">
        <f>AQ33+AQ34+AQ35+AQ36+AQ37+AQ38+AQ39+AQ40+AQ41+AQ42+AQ43+AQ48+Construction!AQ14*Construction!AQ36</f>
        <v/>
      </c>
      <c r="AR74" s="13">
        <f>AR33+AR34+AR35+AR36+AR37+AR38+AR39+AR40+AR41+AR42+AR43+AR48+Construction!AR14*Construction!AR36</f>
        <v/>
      </c>
      <c r="AS74" s="13">
        <f>AS33+AS34+AS35+AS36+AS37+AS38+AS39+AS40+AS41+AS42+AS43+AS48+Construction!AS14*Construction!AS36</f>
        <v/>
      </c>
      <c r="AT74" s="13">
        <f>AT33+AT34+AT35+AT36+AT37+AT38+AT39+AT40+AT41+AT42+AT43+AT48+Construction!AT14*Construction!AT36</f>
        <v/>
      </c>
      <c r="AU74" s="13">
        <f>AU33+AU34+AU35+AU36+AU37+AU38+AU39+AU40+AU41+AU42+AU43+AU48+Construction!AU14*Construction!AU36</f>
        <v/>
      </c>
      <c r="AV74" s="13">
        <f>AV33+AV34+AV35+AV36+AV37+AV38+AV39+AV40+AV41+AV42+AV43+AV48+Construction!AV14*Construction!AV36</f>
        <v/>
      </c>
      <c r="AW74" s="13">
        <f>AW33+AW34+AW35+AW36+AW37+AW38+AW39+AW40+AW41+AW42+AW43+AW48+Construction!AW14*Construction!AW36</f>
        <v/>
      </c>
      <c r="AX74" s="13">
        <f>AX33+AX34+AX35+AX36+AX37+AX38+AX39+AX40+AX41+AX42+AX43+AX48+Construction!AX14*Construction!AX36</f>
        <v/>
      </c>
      <c r="AY74" s="13">
        <f>AY33+AY34+AY35+AY36+AY37+AY38+AY39+AY40+AY41+AY42+AY43+AY48+Construction!AY14*Construction!AY36</f>
        <v/>
      </c>
      <c r="AZ74" s="13">
        <f>AZ33+AZ34+AZ35+AZ36+AZ37+AZ38+AZ39+AZ40+AZ41+AZ42+AZ43+AZ48+Construction!AZ14*Construction!AZ36</f>
        <v/>
      </c>
      <c r="BA74" s="13">
        <f>BA33+BA34+BA35+BA36+BA37+BA38+BA39+BA40+BA41+BA42+BA43+BA48+Construction!BA14*Construction!BA36</f>
        <v/>
      </c>
      <c r="BB74" s="13">
        <f>BB33+BB34+BB35+BB36+BB37+BB38+BB39+BB40+BB41+BB42+BB43+BB48+Construction!BB14*Construction!BB36</f>
        <v/>
      </c>
      <c r="BC74" s="13">
        <f>BC33+BC34+BC35+BC36+BC37+BC38+BC39+BC40+BC41+BC42+BC43+BC48+Construction!BC14*Construction!BC36</f>
        <v/>
      </c>
      <c r="BD74" s="13">
        <f>BD33+BD34+BD35+BD36+BD37+BD38+BD39+BD40+BD41+BD42+BD43+BD48+Construction!BD14*Construction!BD36</f>
        <v/>
      </c>
      <c r="BE74" s="13">
        <f>BE33+BE34+BE35+BE36+BE37+BE38+BE39+BE40+BE41+BE42+BE43+BE48+Construction!BE14*Construction!BE36</f>
        <v/>
      </c>
      <c r="BF74" s="13">
        <f>BF33+BF34+BF35+BF36+BF37+BF38+BF39+BF40+BF41+BF42+BF43+BF48+Construction!BF14*Construction!BF36</f>
        <v/>
      </c>
      <c r="BG74" s="13">
        <f>BG33+BG34+BG35+BG36+BG37+BG38+BG39+BG40+BG41+BG42+BG43+BG48+Construction!BG14*Construction!BG36</f>
        <v/>
      </c>
      <c r="BH74" s="13">
        <f>BH33+BH34+BH35+BH36+BH37+BH38+BH39+BH40+BH41+BH42+BH43+BH48+Construction!BH14*Construction!BH36</f>
        <v/>
      </c>
      <c r="BI74" s="13">
        <f>BI33+BI34+BI35+BI36+BI37+BI38+BI39+BI40+BI41+BI42+BI43+BI48+Construction!BI14*Construction!BI36</f>
        <v/>
      </c>
      <c r="BJ74" s="13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Time!J44*Inputs!$F$268</f>
        <v/>
      </c>
      <c r="K9" s="13">
        <f>Time!K44*Inputs!$F$268</f>
        <v/>
      </c>
      <c r="L9" s="13">
        <f>Time!L44*Inputs!$F$268</f>
        <v/>
      </c>
      <c r="M9" s="13">
        <f>Time!M44*Inputs!$F$268</f>
        <v/>
      </c>
      <c r="N9" s="13">
        <f>Time!N44*Inputs!$F$268</f>
        <v/>
      </c>
      <c r="O9" s="13">
        <f>Time!O44*Inputs!$F$268</f>
        <v/>
      </c>
      <c r="P9" s="13">
        <f>Time!P44*Inputs!$F$268</f>
        <v/>
      </c>
      <c r="Q9" s="13">
        <f>Time!Q44*Inputs!$F$268</f>
        <v/>
      </c>
      <c r="R9" s="13">
        <f>Time!R44*Inputs!$F$268</f>
        <v/>
      </c>
      <c r="S9" s="13">
        <f>Time!S44*Inputs!$F$268</f>
        <v/>
      </c>
      <c r="T9" s="13">
        <f>Time!T44*Inputs!$F$268</f>
        <v/>
      </c>
      <c r="U9" s="13">
        <f>Time!U44*Inputs!$F$268</f>
        <v/>
      </c>
      <c r="V9" s="13">
        <f>Time!V44*Inputs!$F$268</f>
        <v/>
      </c>
      <c r="W9" s="13">
        <f>Time!W44*Inputs!$F$268</f>
        <v/>
      </c>
      <c r="X9" s="13">
        <f>Time!X44*Inputs!$F$268</f>
        <v/>
      </c>
      <c r="Y9" s="13">
        <f>Time!Y44*Inputs!$F$268</f>
        <v/>
      </c>
      <c r="Z9" s="13">
        <f>Time!Z44*Inputs!$F$268</f>
        <v/>
      </c>
      <c r="AA9" s="13">
        <f>Time!AA44*Inputs!$F$268</f>
        <v/>
      </c>
      <c r="AB9" s="13">
        <f>Time!AB44*Inputs!$F$268</f>
        <v/>
      </c>
      <c r="AC9" s="13">
        <f>Time!AC44*Inputs!$F$268</f>
        <v/>
      </c>
      <c r="AD9" s="13">
        <f>Time!AD44*Inputs!$F$268</f>
        <v/>
      </c>
      <c r="AE9" s="13">
        <f>Time!AE44*Inputs!$F$268</f>
        <v/>
      </c>
      <c r="AF9" s="13">
        <f>Time!AF44*Inputs!$F$268</f>
        <v/>
      </c>
      <c r="AG9" s="13">
        <f>Time!AG44*Inputs!$F$268</f>
        <v/>
      </c>
      <c r="AH9" s="13">
        <f>Time!AH44*Inputs!$F$268</f>
        <v/>
      </c>
      <c r="AI9" s="13">
        <f>Time!AI44*Inputs!$F$268</f>
        <v/>
      </c>
      <c r="AJ9" s="13">
        <f>Time!AJ44*Inputs!$F$268</f>
        <v/>
      </c>
      <c r="AK9" s="13">
        <f>Time!AK44*Inputs!$F$268</f>
        <v/>
      </c>
      <c r="AL9" s="13">
        <f>Time!AL44*Inputs!$F$268</f>
        <v/>
      </c>
      <c r="AM9" s="13">
        <f>Time!AM44*Inputs!$F$268</f>
        <v/>
      </c>
      <c r="AN9" s="13">
        <f>Time!AN44*Inputs!$F$268</f>
        <v/>
      </c>
      <c r="AO9" s="13">
        <f>Time!AO44*Inputs!$F$268</f>
        <v/>
      </c>
      <c r="AP9" s="13">
        <f>Time!AP44*Inputs!$F$268</f>
        <v/>
      </c>
      <c r="AQ9" s="13">
        <f>Time!AQ44*Inputs!$F$268</f>
        <v/>
      </c>
      <c r="AR9" s="13">
        <f>Time!AR44*Inputs!$F$268</f>
        <v/>
      </c>
      <c r="AS9" s="13">
        <f>Time!AS44*Inputs!$F$268</f>
        <v/>
      </c>
      <c r="AT9" s="13">
        <f>Time!AT44*Inputs!$F$268</f>
        <v/>
      </c>
      <c r="AU9" s="13">
        <f>Time!AU44*Inputs!$F$268</f>
        <v/>
      </c>
      <c r="AV9" s="13">
        <f>Time!AV44*Inputs!$F$268</f>
        <v/>
      </c>
      <c r="AW9" s="13">
        <f>Time!AW44*Inputs!$F$268</f>
        <v/>
      </c>
      <c r="AX9" s="13">
        <f>Time!AX44*Inputs!$F$268</f>
        <v/>
      </c>
      <c r="AY9" s="13">
        <f>Time!AY44*Inputs!$F$268</f>
        <v/>
      </c>
      <c r="AZ9" s="13">
        <f>Time!AZ44*Inputs!$F$268</f>
        <v/>
      </c>
      <c r="BA9" s="13">
        <f>Time!BA44*Inputs!$F$268</f>
        <v/>
      </c>
      <c r="BB9" s="13">
        <f>Time!BB44*Inputs!$F$268</f>
        <v/>
      </c>
      <c r="BC9" s="13">
        <f>Time!BC44*Inputs!$F$268</f>
        <v/>
      </c>
      <c r="BD9" s="13">
        <f>Time!BD44*Inputs!$F$268</f>
        <v/>
      </c>
      <c r="BE9" s="13">
        <f>Time!BE44*Inputs!$F$268</f>
        <v/>
      </c>
      <c r="BF9" s="13">
        <f>Time!BF44*Inputs!$F$268</f>
        <v/>
      </c>
      <c r="BG9" s="13">
        <f>Time!BG44*Inputs!$F$268</f>
        <v/>
      </c>
      <c r="BH9" s="13">
        <f>Time!BH44*Inputs!$F$268</f>
        <v/>
      </c>
      <c r="BI9" s="13">
        <f>Time!BI44*Inputs!$F$268</f>
        <v/>
      </c>
      <c r="BJ9" s="13">
        <f>Time!BJ44*Inputs!$F$268</f>
        <v/>
      </c>
      <c r="BK9" s="13">
        <f>Time!BK44*Inputs!$F$268</f>
        <v/>
      </c>
      <c r="BL9" s="13">
        <f>Time!BL44*Inputs!$F$268</f>
        <v/>
      </c>
      <c r="BM9" s="13">
        <f>Time!BM44*Inputs!$F$268</f>
        <v/>
      </c>
      <c r="BN9" s="13">
        <f>Time!BN44*Inputs!$F$268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Inputs!$F$270/100*Time!J24</f>
        <v/>
      </c>
      <c r="K15" s="16">
        <f>Inputs!$F$270/100*Time!K24</f>
        <v/>
      </c>
      <c r="L15" s="16">
        <f>Inputs!$F$270/100*Time!L24</f>
        <v/>
      </c>
      <c r="M15" s="16">
        <f>Inputs!$F$270/100*Time!M24</f>
        <v/>
      </c>
      <c r="N15" s="16">
        <f>Inputs!$F$270/100*Time!N24</f>
        <v/>
      </c>
      <c r="O15" s="16">
        <f>Inputs!$F$270/100*Time!O24</f>
        <v/>
      </c>
      <c r="P15" s="16">
        <f>Inputs!$F$270/100*Time!P24</f>
        <v/>
      </c>
      <c r="Q15" s="16">
        <f>Inputs!$F$270/100*Time!Q24</f>
        <v/>
      </c>
      <c r="R15" s="16">
        <f>Inputs!$F$270/100*Time!R24</f>
        <v/>
      </c>
      <c r="S15" s="16">
        <f>Inputs!$F$270/100*Time!S24</f>
        <v/>
      </c>
      <c r="T15" s="16">
        <f>Inputs!$F$270/100*Time!T24</f>
        <v/>
      </c>
      <c r="U15" s="16">
        <f>Inputs!$F$270/100*Time!U24</f>
        <v/>
      </c>
      <c r="V15" s="16">
        <f>Inputs!$F$270/100*Time!V24</f>
        <v/>
      </c>
      <c r="W15" s="16">
        <f>Inputs!$F$270/100*Time!W24</f>
        <v/>
      </c>
      <c r="X15" s="16">
        <f>Inputs!$F$270/100*Time!X24</f>
        <v/>
      </c>
      <c r="Y15" s="16">
        <f>Inputs!$F$270/100*Time!Y24</f>
        <v/>
      </c>
      <c r="Z15" s="16">
        <f>Inputs!$F$270/100*Time!Z24</f>
        <v/>
      </c>
      <c r="AA15" s="16">
        <f>Inputs!$F$270/100*Time!AA24</f>
        <v/>
      </c>
      <c r="AB15" s="16">
        <f>Inputs!$F$270/100*Time!AB24</f>
        <v/>
      </c>
      <c r="AC15" s="16">
        <f>Inputs!$F$270/100*Time!AC24</f>
        <v/>
      </c>
      <c r="AD15" s="16">
        <f>Inputs!$F$270/100*Time!AD24</f>
        <v/>
      </c>
      <c r="AE15" s="16">
        <f>Inputs!$F$270/100*Time!AE24</f>
        <v/>
      </c>
      <c r="AF15" s="16">
        <f>Inputs!$F$270/100*Time!AF24</f>
        <v/>
      </c>
      <c r="AG15" s="16">
        <f>Inputs!$F$270/100*Time!AG24</f>
        <v/>
      </c>
      <c r="AH15" s="16">
        <f>Inputs!$F$270/100*Time!AH24</f>
        <v/>
      </c>
      <c r="AI15" s="16">
        <f>Inputs!$F$270/100*Time!AI24</f>
        <v/>
      </c>
      <c r="AJ15" s="16">
        <f>Inputs!$F$270/100*Time!AJ24</f>
        <v/>
      </c>
      <c r="AK15" s="16">
        <f>Inputs!$F$270/100*Time!AK24</f>
        <v/>
      </c>
      <c r="AL15" s="16">
        <f>Inputs!$F$270/100*Time!AL24</f>
        <v/>
      </c>
      <c r="AM15" s="16">
        <f>Inputs!$F$270/100*Time!AM24</f>
        <v/>
      </c>
      <c r="AN15" s="16">
        <f>Inputs!$F$270/100*Time!AN24</f>
        <v/>
      </c>
      <c r="AO15" s="16">
        <f>Inputs!$F$270/100*Time!AO24</f>
        <v/>
      </c>
      <c r="AP15" s="16">
        <f>Inputs!$F$270/100*Time!AP24</f>
        <v/>
      </c>
      <c r="AQ15" s="16">
        <f>Inputs!$F$270/100*Time!AQ24</f>
        <v/>
      </c>
      <c r="AR15" s="16">
        <f>Inputs!$F$270/100*Time!AR24</f>
        <v/>
      </c>
      <c r="AS15" s="16">
        <f>Inputs!$F$270/100*Time!AS24</f>
        <v/>
      </c>
      <c r="AT15" s="16">
        <f>Inputs!$F$270/100*Time!AT24</f>
        <v/>
      </c>
      <c r="AU15" s="16">
        <f>Inputs!$F$270/100*Time!AU24</f>
        <v/>
      </c>
      <c r="AV15" s="16">
        <f>Inputs!$F$270/100*Time!AV24</f>
        <v/>
      </c>
      <c r="AW15" s="16">
        <f>Inputs!$F$270/100*Time!AW24</f>
        <v/>
      </c>
      <c r="AX15" s="16">
        <f>Inputs!$F$270/100*Time!AX24</f>
        <v/>
      </c>
      <c r="AY15" s="16">
        <f>Inputs!$F$270/100*Time!AY24</f>
        <v/>
      </c>
      <c r="AZ15" s="16">
        <f>Inputs!$F$270/100*Time!AZ24</f>
        <v/>
      </c>
      <c r="BA15" s="16">
        <f>Inputs!$F$270/100*Time!BA24</f>
        <v/>
      </c>
      <c r="BB15" s="16">
        <f>Inputs!$F$270/100*Time!BB24</f>
        <v/>
      </c>
      <c r="BC15" s="16">
        <f>Inputs!$F$270/100*Time!BC24</f>
        <v/>
      </c>
      <c r="BD15" s="16">
        <f>Inputs!$F$270/100*Time!BD24</f>
        <v/>
      </c>
      <c r="BE15" s="16">
        <f>Inputs!$F$270/100*Time!BE24</f>
        <v/>
      </c>
      <c r="BF15" s="16">
        <f>Inputs!$F$270/100*Time!BF24</f>
        <v/>
      </c>
      <c r="BG15" s="16">
        <f>Inputs!$F$270/100*Time!BG24</f>
        <v/>
      </c>
      <c r="BH15" s="16">
        <f>Inputs!$F$270/100*Time!BH24</f>
        <v/>
      </c>
      <c r="BI15" s="16">
        <f>Inputs!$F$270/100*Time!BI24</f>
        <v/>
      </c>
      <c r="BJ15" s="16">
        <f>Inputs!$F$270/100*Time!BJ24</f>
        <v/>
      </c>
      <c r="BK15" s="16">
        <f>Inputs!$F$270/100*Time!BK24</f>
        <v/>
      </c>
      <c r="BL15" s="16">
        <f>Inputs!$F$270/100*Time!BL24</f>
        <v/>
      </c>
      <c r="BM15" s="16">
        <f>Inputs!$F$270/100*Time!BM24</f>
        <v/>
      </c>
      <c r="BN15" s="16">
        <f>Inputs!$F$270/100*Time!BN24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IF(Inputs!$F$47=1,Inputs!J297,Inputs!J298)</f>
        <v/>
      </c>
      <c r="K17" s="11">
        <f>IF(Inputs!$F$47=1,Inputs!K297,Inputs!K298)</f>
        <v/>
      </c>
      <c r="L17" s="11">
        <f>IF(Inputs!$F$47=1,Inputs!L297,Inputs!L298)</f>
        <v/>
      </c>
      <c r="M17" s="11">
        <f>IF(Inputs!$F$47=1,Inputs!M297,Inputs!M298)</f>
        <v/>
      </c>
      <c r="N17" s="11">
        <f>IF(Inputs!$F$47=1,Inputs!N297,Inputs!N298)</f>
        <v/>
      </c>
      <c r="O17" s="11">
        <f>IF(Inputs!$F$47=1,Inputs!O297,Inputs!O298)</f>
        <v/>
      </c>
      <c r="P17" s="11">
        <f>IF(Inputs!$F$47=1,Inputs!P297,Inputs!P298)</f>
        <v/>
      </c>
      <c r="Q17" s="11">
        <f>IF(Inputs!$F$47=1,Inputs!Q297,Inputs!Q298)</f>
        <v/>
      </c>
      <c r="R17" s="11">
        <f>IF(Inputs!$F$47=1,Inputs!R297,Inputs!R298)</f>
        <v/>
      </c>
      <c r="S17" s="11">
        <f>IF(Inputs!$F$47=1,Inputs!S297,Inputs!S298)</f>
        <v/>
      </c>
      <c r="T17" s="11">
        <f>IF(Inputs!$F$47=1,Inputs!T297,Inputs!T298)</f>
        <v/>
      </c>
      <c r="U17" s="11">
        <f>IF(Inputs!$F$47=1,Inputs!U297,Inputs!U298)</f>
        <v/>
      </c>
      <c r="V17" s="11">
        <f>IF(Inputs!$F$47=1,Inputs!V297,Inputs!V298)</f>
        <v/>
      </c>
      <c r="W17" s="11">
        <f>IF(Inputs!$F$47=1,Inputs!W297,Inputs!W298)</f>
        <v/>
      </c>
      <c r="X17" s="11">
        <f>IF(Inputs!$F$47=1,Inputs!X297,Inputs!X298)</f>
        <v/>
      </c>
      <c r="Y17" s="11">
        <f>IF(Inputs!$F$47=1,Inputs!Y297,Inputs!Y298)</f>
        <v/>
      </c>
      <c r="Z17" s="11">
        <f>IF(Inputs!$F$47=1,Inputs!Z297,Inputs!Z298)</f>
        <v/>
      </c>
      <c r="AA17" s="11">
        <f>IF(Inputs!$F$47=1,Inputs!AA297,Inputs!AA298)</f>
        <v/>
      </c>
      <c r="AB17" s="11">
        <f>IF(Inputs!$F$47=1,Inputs!AB297,Inputs!AB298)</f>
        <v/>
      </c>
      <c r="AC17" s="11">
        <f>IF(Inputs!$F$47=1,Inputs!AC297,Inputs!AC298)</f>
        <v/>
      </c>
      <c r="AD17" s="11">
        <f>IF(Inputs!$F$47=1,Inputs!AD297,Inputs!AD298)</f>
        <v/>
      </c>
      <c r="AE17" s="11">
        <f>IF(Inputs!$F$47=1,Inputs!AE297,Inputs!AE298)</f>
        <v/>
      </c>
      <c r="AF17" s="11">
        <f>IF(Inputs!$F$47=1,Inputs!AF297,Inputs!AF298)</f>
        <v/>
      </c>
      <c r="AG17" s="11">
        <f>IF(Inputs!$F$47=1,Inputs!AG297,Inputs!AG298)</f>
        <v/>
      </c>
      <c r="AH17" s="11">
        <f>IF(Inputs!$F$47=1,Inputs!AH297,Inputs!AH298)</f>
        <v/>
      </c>
      <c r="AI17" s="11">
        <f>IF(Inputs!$F$47=1,Inputs!AI297,Inputs!AI298)</f>
        <v/>
      </c>
      <c r="AJ17" s="11">
        <f>IF(Inputs!$F$47=1,Inputs!AJ297,Inputs!AJ298)</f>
        <v/>
      </c>
      <c r="AK17" s="11">
        <f>IF(Inputs!$F$47=1,Inputs!AK297,Inputs!AK298)</f>
        <v/>
      </c>
      <c r="AL17" s="11">
        <f>IF(Inputs!$F$47=1,Inputs!AL297,Inputs!AL298)</f>
        <v/>
      </c>
      <c r="AM17" s="11">
        <f>IF(Inputs!$F$47=1,Inputs!AM297,Inputs!AM298)</f>
        <v/>
      </c>
      <c r="AN17" s="11">
        <f>IF(Inputs!$F$47=1,Inputs!AN297,Inputs!AN298)</f>
        <v/>
      </c>
      <c r="AO17" s="11">
        <f>IF(Inputs!$F$47=1,Inputs!AO297,Inputs!AO298)</f>
        <v/>
      </c>
      <c r="AP17" s="11">
        <f>IF(Inputs!$F$47=1,Inputs!AP297,Inputs!AP298)</f>
        <v/>
      </c>
      <c r="AQ17" s="11">
        <f>IF(Inputs!$F$47=1,Inputs!AQ297,Inputs!AQ298)</f>
        <v/>
      </c>
      <c r="AR17" s="11">
        <f>IF(Inputs!$F$47=1,Inputs!AR297,Inputs!AR298)</f>
        <v/>
      </c>
      <c r="AS17" s="11">
        <f>IF(Inputs!$F$47=1,Inputs!AS297,Inputs!AS298)</f>
        <v/>
      </c>
      <c r="AT17" s="11">
        <f>IF(Inputs!$F$47=1,Inputs!AT297,Inputs!AT298)</f>
        <v/>
      </c>
      <c r="AU17" s="11">
        <f>IF(Inputs!$F$47=1,Inputs!AU297,Inputs!AU298)</f>
        <v/>
      </c>
      <c r="AV17" s="11">
        <f>IF(Inputs!$F$47=1,Inputs!AV297,Inputs!AV298)</f>
        <v/>
      </c>
      <c r="AW17" s="11">
        <f>IF(Inputs!$F$47=1,Inputs!AW297,Inputs!AW298)</f>
        <v/>
      </c>
      <c r="AX17" s="11">
        <f>IF(Inputs!$F$47=1,Inputs!AX297,Inputs!AX298)</f>
        <v/>
      </c>
      <c r="AY17" s="11">
        <f>IF(Inputs!$F$47=1,Inputs!AY297,Inputs!AY298)</f>
        <v/>
      </c>
      <c r="AZ17" s="11">
        <f>IF(Inputs!$F$47=1,Inputs!AZ297,Inputs!AZ298)</f>
        <v/>
      </c>
      <c r="BA17" s="11">
        <f>IF(Inputs!$F$47=1,Inputs!BA297,Inputs!BA298)</f>
        <v/>
      </c>
      <c r="BB17" s="11">
        <f>IF(Inputs!$F$47=1,Inputs!BB297,Inputs!BB298)</f>
        <v/>
      </c>
      <c r="BC17" s="11">
        <f>IF(Inputs!$F$47=1,Inputs!BC297,Inputs!BC298)</f>
        <v/>
      </c>
      <c r="BD17" s="11">
        <f>IF(Inputs!$F$47=1,Inputs!BD297,Inputs!BD298)</f>
        <v/>
      </c>
      <c r="BE17" s="11">
        <f>IF(Inputs!$F$47=1,Inputs!BE297,Inputs!BE298)</f>
        <v/>
      </c>
      <c r="BF17" s="11">
        <f>IF(Inputs!$F$47=1,Inputs!BF297,Inputs!BF298)</f>
        <v/>
      </c>
      <c r="BG17" s="11">
        <f>IF(Inputs!$F$47=1,Inputs!BG297,Inputs!BG298)</f>
        <v/>
      </c>
      <c r="BH17" s="11">
        <f>IF(Inputs!$F$47=1,Inputs!BH297,Inputs!BH298)</f>
        <v/>
      </c>
      <c r="BI17" s="11">
        <f>IF(Inputs!$F$47=1,Inputs!BI297,Inputs!BI298)</f>
        <v/>
      </c>
      <c r="BJ17" s="11">
        <f>IF(Inputs!$F$47=1,Inputs!BJ297,Inputs!BJ298)</f>
        <v/>
      </c>
      <c r="BK17" s="11">
        <f>IF(Inputs!$F$47=1,Inputs!BK297,Inputs!BK298)</f>
        <v/>
      </c>
      <c r="BL17" s="11">
        <f>IF(Inputs!$F$47=1,Inputs!BL297,Inputs!BL298)</f>
        <v/>
      </c>
      <c r="BM17" s="11">
        <f>IF(Inputs!$F$47=1,Inputs!BM297,Inputs!BM298)</f>
        <v/>
      </c>
      <c r="BN17" s="11">
        <f>IF(Inputs!$F$47=1,Inputs!BN297,Inputs!BN298)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Time!J43*Inputs!$F$269*J24</f>
        <v/>
      </c>
      <c r="K25" s="13">
        <f>Time!K43*Inputs!$F$269*K24</f>
        <v/>
      </c>
      <c r="L25" s="13">
        <f>Time!L43*Inputs!$F$269*L24</f>
        <v/>
      </c>
      <c r="M25" s="13">
        <f>Time!M43*Inputs!$F$269*M24</f>
        <v/>
      </c>
      <c r="N25" s="13">
        <f>Time!N43*Inputs!$F$269*N24</f>
        <v/>
      </c>
      <c r="O25" s="13">
        <f>Time!O43*Inputs!$F$269*O24</f>
        <v/>
      </c>
      <c r="P25" s="13">
        <f>Time!P43*Inputs!$F$269*P24</f>
        <v/>
      </c>
      <c r="Q25" s="13">
        <f>Time!Q43*Inputs!$F$269*Q24</f>
        <v/>
      </c>
      <c r="R25" s="13">
        <f>Time!R43*Inputs!$F$269*R24</f>
        <v/>
      </c>
      <c r="S25" s="13">
        <f>Time!S43*Inputs!$F$269*S24</f>
        <v/>
      </c>
      <c r="T25" s="13">
        <f>Time!T43*Inputs!$F$269*T24</f>
        <v/>
      </c>
      <c r="U25" s="13">
        <f>Time!U43*Inputs!$F$269*U24</f>
        <v/>
      </c>
      <c r="V25" s="13">
        <f>Time!V43*Inputs!$F$269*V24</f>
        <v/>
      </c>
      <c r="W25" s="13">
        <f>Time!W43*Inputs!$F$269*W24</f>
        <v/>
      </c>
      <c r="X25" s="13">
        <f>Time!X43*Inputs!$F$269*X24</f>
        <v/>
      </c>
      <c r="Y25" s="13">
        <f>Time!Y43*Inputs!$F$269*Y24</f>
        <v/>
      </c>
      <c r="Z25" s="13">
        <f>Time!Z43*Inputs!$F$269*Z24</f>
        <v/>
      </c>
      <c r="AA25" s="13">
        <f>Time!AA43*Inputs!$F$269*AA24</f>
        <v/>
      </c>
      <c r="AB25" s="13">
        <f>Time!AB43*Inputs!$F$269*AB24</f>
        <v/>
      </c>
      <c r="AC25" s="13">
        <f>Time!AC43*Inputs!$F$269*AC24</f>
        <v/>
      </c>
      <c r="AD25" s="13">
        <f>Time!AD43*Inputs!$F$269*AD24</f>
        <v/>
      </c>
      <c r="AE25" s="13">
        <f>Time!AE43*Inputs!$F$269*AE24</f>
        <v/>
      </c>
      <c r="AF25" s="13">
        <f>Time!AF43*Inputs!$F$269*AF24</f>
        <v/>
      </c>
      <c r="AG25" s="13">
        <f>Time!AG43*Inputs!$F$269*AG24</f>
        <v/>
      </c>
      <c r="AH25" s="13">
        <f>Time!AH43*Inputs!$F$269*AH24</f>
        <v/>
      </c>
      <c r="AI25" s="13">
        <f>Time!AI43*Inputs!$F$269*AI24</f>
        <v/>
      </c>
      <c r="AJ25" s="13">
        <f>Time!AJ43*Inputs!$F$269*AJ24</f>
        <v/>
      </c>
      <c r="AK25" s="13">
        <f>Time!AK43*Inputs!$F$269*AK24</f>
        <v/>
      </c>
      <c r="AL25" s="13">
        <f>Time!AL43*Inputs!$F$269*AL24</f>
        <v/>
      </c>
      <c r="AM25" s="13">
        <f>Time!AM43*Inputs!$F$269*AM24</f>
        <v/>
      </c>
      <c r="AN25" s="13">
        <f>Time!AN43*Inputs!$F$269*AN24</f>
        <v/>
      </c>
      <c r="AO25" s="13">
        <f>Time!AO43*Inputs!$F$269*AO24</f>
        <v/>
      </c>
      <c r="AP25" s="13">
        <f>Time!AP43*Inputs!$F$269*AP24</f>
        <v/>
      </c>
      <c r="AQ25" s="13">
        <f>Time!AQ43*Inputs!$F$269*AQ24</f>
        <v/>
      </c>
      <c r="AR25" s="13">
        <f>Time!AR43*Inputs!$F$269*AR24</f>
        <v/>
      </c>
      <c r="AS25" s="13">
        <f>Time!AS43*Inputs!$F$269*AS24</f>
        <v/>
      </c>
      <c r="AT25" s="13">
        <f>Time!AT43*Inputs!$F$269*AT24</f>
        <v/>
      </c>
      <c r="AU25" s="13">
        <f>Time!AU43*Inputs!$F$269*AU24</f>
        <v/>
      </c>
      <c r="AV25" s="13">
        <f>Time!AV43*Inputs!$F$269*AV24</f>
        <v/>
      </c>
      <c r="AW25" s="13">
        <f>Time!AW43*Inputs!$F$269*AW24</f>
        <v/>
      </c>
      <c r="AX25" s="13">
        <f>Time!AX43*Inputs!$F$269*AX24</f>
        <v/>
      </c>
      <c r="AY25" s="13">
        <f>Time!AY43*Inputs!$F$269*AY24</f>
        <v/>
      </c>
      <c r="AZ25" s="13">
        <f>Time!AZ43*Inputs!$F$269*AZ24</f>
        <v/>
      </c>
      <c r="BA25" s="13">
        <f>Time!BA43*Inputs!$F$269*BA24</f>
        <v/>
      </c>
      <c r="BB25" s="13">
        <f>Time!BB43*Inputs!$F$269*BB24</f>
        <v/>
      </c>
      <c r="BC25" s="13">
        <f>Time!BC43*Inputs!$F$269*BC24</f>
        <v/>
      </c>
      <c r="BD25" s="13">
        <f>Time!BD43*Inputs!$F$269*BD24</f>
        <v/>
      </c>
      <c r="BE25" s="13">
        <f>Time!BE43*Inputs!$F$269*BE24</f>
        <v/>
      </c>
      <c r="BF25" s="13">
        <f>Time!BF43*Inputs!$F$269*BF24</f>
        <v/>
      </c>
      <c r="BG25" s="13">
        <f>Time!BG43*Inputs!$F$269*BG24</f>
        <v/>
      </c>
      <c r="BH25" s="13">
        <f>Time!BH43*Inputs!$F$269*BH24</f>
        <v/>
      </c>
      <c r="BI25" s="13">
        <f>Time!BI43*Inputs!$F$269*BI24</f>
        <v/>
      </c>
      <c r="BJ25" s="13">
        <f>Time!BJ43*Inputs!$F$269*BJ24</f>
        <v/>
      </c>
      <c r="BK25" s="13">
        <f>Time!BK43*Inputs!$F$269*BK24</f>
        <v/>
      </c>
      <c r="BL25" s="13">
        <f>Time!BL43*Inputs!$F$269*BL24</f>
        <v/>
      </c>
      <c r="BM25" s="13">
        <f>Time!BM43*Inputs!$F$269*BM24</f>
        <v/>
      </c>
      <c r="BN25" s="13">
        <f>Time!BN43*Inputs!$F$269*BN24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Time!J42*Inputs!$F$266*(J21-J27)/(J21-J27+J35-J41+J49-J55+J63-J69+J77-J83+Inputs!$F$253)</f>
        <v/>
      </c>
      <c r="K28" s="13">
        <f>Time!K42*Inputs!$F$266*(K21-K27)/(K21-K27+K35-K41+K49-K55+K63-K69+K77-K83+Inputs!$F$253)</f>
        <v/>
      </c>
      <c r="L28" s="13">
        <f>Time!L42*Inputs!$F$266*(L21-L27)/(L21-L27+L35-L41+L49-L55+L63-L69+L77-L83+Inputs!$F$253)</f>
        <v/>
      </c>
      <c r="M28" s="13">
        <f>Time!M42*Inputs!$F$266*(M21-M27)/(M21-M27+M35-M41+M49-M55+M63-M69+M77-M83+Inputs!$F$253)</f>
        <v/>
      </c>
      <c r="N28" s="13">
        <f>Time!N42*Inputs!$F$266*(N21-N27)/(N21-N27+N35-N41+N49-N55+N63-N69+N77-N83+Inputs!$F$253)</f>
        <v/>
      </c>
      <c r="O28" s="13">
        <f>Time!O42*Inputs!$F$266*(O21-O27)/(O21-O27+O35-O41+O49-O55+O63-O69+O77-O83+Inputs!$F$253)</f>
        <v/>
      </c>
      <c r="P28" s="13">
        <f>Time!P42*Inputs!$F$266*(P21-P27)/(P21-P27+P35-P41+P49-P55+P63-P69+P77-P83+Inputs!$F$253)</f>
        <v/>
      </c>
      <c r="Q28" s="13">
        <f>Time!Q42*Inputs!$F$266*(Q21-Q27)/(Q21-Q27+Q35-Q41+Q49-Q55+Q63-Q69+Q77-Q83+Inputs!$F$253)</f>
        <v/>
      </c>
      <c r="R28" s="13">
        <f>Time!R42*Inputs!$F$266*(R21-R27)/(R21-R27+R35-R41+R49-R55+R63-R69+R77-R83+Inputs!$F$253)</f>
        <v/>
      </c>
      <c r="S28" s="13">
        <f>Time!S42*Inputs!$F$266*(S21-S27)/(S21-S27+S35-S41+S49-S55+S63-S69+S77-S83+Inputs!$F$253)</f>
        <v/>
      </c>
      <c r="T28" s="13">
        <f>Time!T42*Inputs!$F$266*(T21-T27)/(T21-T27+T35-T41+T49-T55+T63-T69+T77-T83+Inputs!$F$253)</f>
        <v/>
      </c>
      <c r="U28" s="13">
        <f>Time!U42*Inputs!$F$266*(U21-U27)/(U21-U27+U35-U41+U49-U55+U63-U69+U77-U83+Inputs!$F$253)</f>
        <v/>
      </c>
      <c r="V28" s="13">
        <f>Time!V42*Inputs!$F$266*(V21-V27)/(V21-V27+V35-V41+V49-V55+V63-V69+V77-V83+Inputs!$F$253)</f>
        <v/>
      </c>
      <c r="W28" s="13">
        <f>Time!W42*Inputs!$F$266*(W21-W27)/(W21-W27+W35-W41+W49-W55+W63-W69+W77-W83+Inputs!$F$253)</f>
        <v/>
      </c>
      <c r="X28" s="13">
        <f>Time!X42*Inputs!$F$266*(X21-X27)/(X21-X27+X35-X41+X49-X55+X63-X69+X77-X83+Inputs!$F$253)</f>
        <v/>
      </c>
      <c r="Y28" s="13">
        <f>Time!Y42*Inputs!$F$266*(Y21-Y27)/(Y21-Y27+Y35-Y41+Y49-Y55+Y63-Y69+Y77-Y83+Inputs!$F$253)</f>
        <v/>
      </c>
      <c r="Z28" s="13">
        <f>Time!Z42*Inputs!$F$266*(Z21-Z27)/(Z21-Z27+Z35-Z41+Z49-Z55+Z63-Z69+Z77-Z83+Inputs!$F$253)</f>
        <v/>
      </c>
      <c r="AA28" s="13">
        <f>Time!AA42*Inputs!$F$266*(AA21-AA27)/(AA21-AA27+AA35-AA41+AA49-AA55+AA63-AA69+AA77-AA83+Inputs!$F$253)</f>
        <v/>
      </c>
      <c r="AB28" s="13">
        <f>Time!AB42*Inputs!$F$266*(AB21-AB27)/(AB21-AB27+AB35-AB41+AB49-AB55+AB63-AB69+AB77-AB83+Inputs!$F$253)</f>
        <v/>
      </c>
      <c r="AC28" s="13">
        <f>Time!AC42*Inputs!$F$266*(AC21-AC27)/(AC21-AC27+AC35-AC41+AC49-AC55+AC63-AC69+AC77-AC83+Inputs!$F$253)</f>
        <v/>
      </c>
      <c r="AD28" s="13">
        <f>Time!AD42*Inputs!$F$266*(AD21-AD27)/(AD21-AD27+AD35-AD41+AD49-AD55+AD63-AD69+AD77-AD83+Inputs!$F$253)</f>
        <v/>
      </c>
      <c r="AE28" s="13">
        <f>Time!AE42*Inputs!$F$266*(AE21-AE27)/(AE21-AE27+AE35-AE41+AE49-AE55+AE63-AE69+AE77-AE83+Inputs!$F$253)</f>
        <v/>
      </c>
      <c r="AF28" s="13">
        <f>Time!AF42*Inputs!$F$266*(AF21-AF27)/(AF21-AF27+AF35-AF41+AF49-AF55+AF63-AF69+AF77-AF83+Inputs!$F$253)</f>
        <v/>
      </c>
      <c r="AG28" s="13">
        <f>Time!AG42*Inputs!$F$266*(AG21-AG27)/(AG21-AG27+AG35-AG41+AG49-AG55+AG63-AG69+AG77-AG83+Inputs!$F$253)</f>
        <v/>
      </c>
      <c r="AH28" s="13">
        <f>Time!AH42*Inputs!$F$266*(AH21-AH27)/(AH21-AH27+AH35-AH41+AH49-AH55+AH63-AH69+AH77-AH83+Inputs!$F$253)</f>
        <v/>
      </c>
      <c r="AI28" s="13">
        <f>Time!AI42*Inputs!$F$266*(AI21-AI27)/(AI21-AI27+AI35-AI41+AI49-AI55+AI63-AI69+AI77-AI83+Inputs!$F$253)</f>
        <v/>
      </c>
      <c r="AJ28" s="13">
        <f>Time!AJ42*Inputs!$F$266*(AJ21-AJ27)/(AJ21-AJ27+AJ35-AJ41+AJ49-AJ55+AJ63-AJ69+AJ77-AJ83+Inputs!$F$253)</f>
        <v/>
      </c>
      <c r="AK28" s="13">
        <f>Time!AK42*Inputs!$F$266*(AK21-AK27)/(AK21-AK27+AK35-AK41+AK49-AK55+AK63-AK69+AK77-AK83+Inputs!$F$253)</f>
        <v/>
      </c>
      <c r="AL28" s="13">
        <f>Time!AL42*Inputs!$F$266*(AL21-AL27)/(AL21-AL27+AL35-AL41+AL49-AL55+AL63-AL69+AL77-AL83+Inputs!$F$253)</f>
        <v/>
      </c>
      <c r="AM28" s="13">
        <f>Time!AM42*Inputs!$F$266*(AM21-AM27)/(AM21-AM27+AM35-AM41+AM49-AM55+AM63-AM69+AM77-AM83+Inputs!$F$253)</f>
        <v/>
      </c>
      <c r="AN28" s="13">
        <f>Time!AN42*Inputs!$F$266*(AN21-AN27)/(AN21-AN27+AN35-AN41+AN49-AN55+AN63-AN69+AN77-AN83+Inputs!$F$253)</f>
        <v/>
      </c>
      <c r="AO28" s="13">
        <f>Time!AO42*Inputs!$F$266*(AO21-AO27)/(AO21-AO27+AO35-AO41+AO49-AO55+AO63-AO69+AO77-AO83+Inputs!$F$253)</f>
        <v/>
      </c>
      <c r="AP28" s="13">
        <f>Time!AP42*Inputs!$F$266*(AP21-AP27)/(AP21-AP27+AP35-AP41+AP49-AP55+AP63-AP69+AP77-AP83+Inputs!$F$253)</f>
        <v/>
      </c>
      <c r="AQ28" s="13">
        <f>Time!AQ42*Inputs!$F$266*(AQ21-AQ27)/(AQ21-AQ27+AQ35-AQ41+AQ49-AQ55+AQ63-AQ69+AQ77-AQ83+Inputs!$F$253)</f>
        <v/>
      </c>
      <c r="AR28" s="13">
        <f>Time!AR42*Inputs!$F$266*(AR21-AR27)/(AR21-AR27+AR35-AR41+AR49-AR55+AR63-AR69+AR77-AR83+Inputs!$F$253)</f>
        <v/>
      </c>
      <c r="AS28" s="13">
        <f>Time!AS42*Inputs!$F$266*(AS21-AS27)/(AS21-AS27+AS35-AS41+AS49-AS55+AS63-AS69+AS77-AS83+Inputs!$F$253)</f>
        <v/>
      </c>
      <c r="AT28" s="13">
        <f>Time!AT42*Inputs!$F$266*(AT21-AT27)/(AT21-AT27+AT35-AT41+AT49-AT55+AT63-AT69+AT77-AT83+Inputs!$F$253)</f>
        <v/>
      </c>
      <c r="AU28" s="13">
        <f>Time!AU42*Inputs!$F$266*(AU21-AU27)/(AU21-AU27+AU35-AU41+AU49-AU55+AU63-AU69+AU77-AU83+Inputs!$F$253)</f>
        <v/>
      </c>
      <c r="AV28" s="13">
        <f>Time!AV42*Inputs!$F$266*(AV21-AV27)/(AV21-AV27+AV35-AV41+AV49-AV55+AV63-AV69+AV77-AV83+Inputs!$F$253)</f>
        <v/>
      </c>
      <c r="AW28" s="13">
        <f>Time!AW42*Inputs!$F$266*(AW21-AW27)/(AW21-AW27+AW35-AW41+AW49-AW55+AW63-AW69+AW77-AW83+Inputs!$F$253)</f>
        <v/>
      </c>
      <c r="AX28" s="13">
        <f>Time!AX42*Inputs!$F$266*(AX21-AX27)/(AX21-AX27+AX35-AX41+AX49-AX55+AX63-AX69+AX77-AX83+Inputs!$F$253)</f>
        <v/>
      </c>
      <c r="AY28" s="13">
        <f>Time!AY42*Inputs!$F$266*(AY21-AY27)/(AY21-AY27+AY35-AY41+AY49-AY55+AY63-AY69+AY77-AY83+Inputs!$F$253)</f>
        <v/>
      </c>
      <c r="AZ28" s="13">
        <f>Time!AZ42*Inputs!$F$266*(AZ21-AZ27)/(AZ21-AZ27+AZ35-AZ41+AZ49-AZ55+AZ63-AZ69+AZ77-AZ83+Inputs!$F$253)</f>
        <v/>
      </c>
      <c r="BA28" s="13">
        <f>Time!BA42*Inputs!$F$266*(BA21-BA27)/(BA21-BA27+BA35-BA41+BA49-BA55+BA63-BA69+BA77-BA83+Inputs!$F$253)</f>
        <v/>
      </c>
      <c r="BB28" s="13">
        <f>Time!BB42*Inputs!$F$266*(BB21-BB27)/(BB21-BB27+BB35-BB41+BB49-BB55+BB63-BB69+BB77-BB83+Inputs!$F$253)</f>
        <v/>
      </c>
      <c r="BC28" s="13">
        <f>Time!BC42*Inputs!$F$266*(BC21-BC27)/(BC21-BC27+BC35-BC41+BC49-BC55+BC63-BC69+BC77-BC83+Inputs!$F$253)</f>
        <v/>
      </c>
      <c r="BD28" s="13">
        <f>Time!BD42*Inputs!$F$266*(BD21-BD27)/(BD21-BD27+BD35-BD41+BD49-BD55+BD63-BD69+BD77-BD83+Inputs!$F$253)</f>
        <v/>
      </c>
      <c r="BE28" s="13">
        <f>Time!BE42*Inputs!$F$266*(BE21-BE27)/(BE21-BE27+BE35-BE41+BE49-BE55+BE63-BE69+BE77-BE83+Inputs!$F$253)</f>
        <v/>
      </c>
      <c r="BF28" s="13">
        <f>Time!BF42*Inputs!$F$266*(BF21-BF27)/(BF21-BF27+BF35-BF41+BF49-BF55+BF63-BF69+BF77-BF83+Inputs!$F$253)</f>
        <v/>
      </c>
      <c r="BG28" s="13">
        <f>Time!BG42*Inputs!$F$266*(BG21-BG27)/(BG21-BG27+BG35-BG41+BG49-BG55+BG63-BG69+BG77-BG83+Inputs!$F$253)</f>
        <v/>
      </c>
      <c r="BH28" s="13">
        <f>Time!BH42*Inputs!$F$266*(BH21-BH27)/(BH21-BH27+BH35-BH41+BH49-BH55+BH63-BH69+BH77-BH83+Inputs!$F$253)</f>
        <v/>
      </c>
      <c r="BI28" s="13">
        <f>Time!BI42*Inputs!$F$266*(BI21-BI27)/(BI21-BI27+BI35-BI41+BI49-BI55+BI63-BI69+BI77-BI83+Inputs!$F$253)</f>
        <v/>
      </c>
      <c r="BJ28" s="13">
        <f>Time!BJ42*Inputs!$F$266*(BJ21-BJ27)/(BJ21-BJ27+BJ35-BJ41+BJ49-BJ55+BJ63-BJ69+BJ77-BJ83+Inputs!$F$253)</f>
        <v/>
      </c>
      <c r="BK28" s="13">
        <f>Time!BK42*Inputs!$F$266*(BK21-BK27)/(BK21-BK27+BK35-BK41+BK49-BK55+BK63-BK69+BK77-BK83+Inputs!$F$253)</f>
        <v/>
      </c>
      <c r="BL28" s="13">
        <f>Time!BL42*Inputs!$F$266*(BL21-BL27)/(BL21-BL27+BL35-BL41+BL49-BL55+BL63-BL69+BL77-BL83+Inputs!$F$253)</f>
        <v/>
      </c>
      <c r="BM28" s="13">
        <f>Time!BM42*Inputs!$F$266*(BM21-BM27)/(BM21-BM27+BM35-BM41+BM49-BM55+BM63-BM69+BM77-BM83+Inputs!$F$253)</f>
        <v/>
      </c>
      <c r="BN28" s="13">
        <f>Time!BN42*Inputs!$F$266*(BN21-BN27)/(BN21-BN27+BN35-BN41+BN49-BN55+BN63-BN69+BN77-BN83+Inputs!$F$253)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Time!J43*Inputs!$F$269*J38</f>
        <v/>
      </c>
      <c r="K39" s="13">
        <f>Time!K43*Inputs!$F$269*K38</f>
        <v/>
      </c>
      <c r="L39" s="13">
        <f>Time!L43*Inputs!$F$269*L38</f>
        <v/>
      </c>
      <c r="M39" s="13">
        <f>Time!M43*Inputs!$F$269*M38</f>
        <v/>
      </c>
      <c r="N39" s="13">
        <f>Time!N43*Inputs!$F$269*N38</f>
        <v/>
      </c>
      <c r="O39" s="13">
        <f>Time!O43*Inputs!$F$269*O38</f>
        <v/>
      </c>
      <c r="P39" s="13">
        <f>Time!P43*Inputs!$F$269*P38</f>
        <v/>
      </c>
      <c r="Q39" s="13">
        <f>Time!Q43*Inputs!$F$269*Q38</f>
        <v/>
      </c>
      <c r="R39" s="13">
        <f>Time!R43*Inputs!$F$269*R38</f>
        <v/>
      </c>
      <c r="S39" s="13">
        <f>Time!S43*Inputs!$F$269*S38</f>
        <v/>
      </c>
      <c r="T39" s="13">
        <f>Time!T43*Inputs!$F$269*T38</f>
        <v/>
      </c>
      <c r="U39" s="13">
        <f>Time!U43*Inputs!$F$269*U38</f>
        <v/>
      </c>
      <c r="V39" s="13">
        <f>Time!V43*Inputs!$F$269*V38</f>
        <v/>
      </c>
      <c r="W39" s="13">
        <f>Time!W43*Inputs!$F$269*W38</f>
        <v/>
      </c>
      <c r="X39" s="13">
        <f>Time!X43*Inputs!$F$269*X38</f>
        <v/>
      </c>
      <c r="Y39" s="13">
        <f>Time!Y43*Inputs!$F$269*Y38</f>
        <v/>
      </c>
      <c r="Z39" s="13">
        <f>Time!Z43*Inputs!$F$269*Z38</f>
        <v/>
      </c>
      <c r="AA39" s="13">
        <f>Time!AA43*Inputs!$F$269*AA38</f>
        <v/>
      </c>
      <c r="AB39" s="13">
        <f>Time!AB43*Inputs!$F$269*AB38</f>
        <v/>
      </c>
      <c r="AC39" s="13">
        <f>Time!AC43*Inputs!$F$269*AC38</f>
        <v/>
      </c>
      <c r="AD39" s="13">
        <f>Time!AD43*Inputs!$F$269*AD38</f>
        <v/>
      </c>
      <c r="AE39" s="13">
        <f>Time!AE43*Inputs!$F$269*AE38</f>
        <v/>
      </c>
      <c r="AF39" s="13">
        <f>Time!AF43*Inputs!$F$269*AF38</f>
        <v/>
      </c>
      <c r="AG39" s="13">
        <f>Time!AG43*Inputs!$F$269*AG38</f>
        <v/>
      </c>
      <c r="AH39" s="13">
        <f>Time!AH43*Inputs!$F$269*AH38</f>
        <v/>
      </c>
      <c r="AI39" s="13">
        <f>Time!AI43*Inputs!$F$269*AI38</f>
        <v/>
      </c>
      <c r="AJ39" s="13">
        <f>Time!AJ43*Inputs!$F$269*AJ38</f>
        <v/>
      </c>
      <c r="AK39" s="13">
        <f>Time!AK43*Inputs!$F$269*AK38</f>
        <v/>
      </c>
      <c r="AL39" s="13">
        <f>Time!AL43*Inputs!$F$269*AL38</f>
        <v/>
      </c>
      <c r="AM39" s="13">
        <f>Time!AM43*Inputs!$F$269*AM38</f>
        <v/>
      </c>
      <c r="AN39" s="13">
        <f>Time!AN43*Inputs!$F$269*AN38</f>
        <v/>
      </c>
      <c r="AO39" s="13">
        <f>Time!AO43*Inputs!$F$269*AO38</f>
        <v/>
      </c>
      <c r="AP39" s="13">
        <f>Time!AP43*Inputs!$F$269*AP38</f>
        <v/>
      </c>
      <c r="AQ39" s="13">
        <f>Time!AQ43*Inputs!$F$269*AQ38</f>
        <v/>
      </c>
      <c r="AR39" s="13">
        <f>Time!AR43*Inputs!$F$269*AR38</f>
        <v/>
      </c>
      <c r="AS39" s="13">
        <f>Time!AS43*Inputs!$F$269*AS38</f>
        <v/>
      </c>
      <c r="AT39" s="13">
        <f>Time!AT43*Inputs!$F$269*AT38</f>
        <v/>
      </c>
      <c r="AU39" s="13">
        <f>Time!AU43*Inputs!$F$269*AU38</f>
        <v/>
      </c>
      <c r="AV39" s="13">
        <f>Time!AV43*Inputs!$F$269*AV38</f>
        <v/>
      </c>
      <c r="AW39" s="13">
        <f>Time!AW43*Inputs!$F$269*AW38</f>
        <v/>
      </c>
      <c r="AX39" s="13">
        <f>Time!AX43*Inputs!$F$269*AX38</f>
        <v/>
      </c>
      <c r="AY39" s="13">
        <f>Time!AY43*Inputs!$F$269*AY38</f>
        <v/>
      </c>
      <c r="AZ39" s="13">
        <f>Time!AZ43*Inputs!$F$269*AZ38</f>
        <v/>
      </c>
      <c r="BA39" s="13">
        <f>Time!BA43*Inputs!$F$269*BA38</f>
        <v/>
      </c>
      <c r="BB39" s="13">
        <f>Time!BB43*Inputs!$F$269*BB38</f>
        <v/>
      </c>
      <c r="BC39" s="13">
        <f>Time!BC43*Inputs!$F$269*BC38</f>
        <v/>
      </c>
      <c r="BD39" s="13">
        <f>Time!BD43*Inputs!$F$269*BD38</f>
        <v/>
      </c>
      <c r="BE39" s="13">
        <f>Time!BE43*Inputs!$F$269*BE38</f>
        <v/>
      </c>
      <c r="BF39" s="13">
        <f>Time!BF43*Inputs!$F$269*BF38</f>
        <v/>
      </c>
      <c r="BG39" s="13">
        <f>Time!BG43*Inputs!$F$269*BG38</f>
        <v/>
      </c>
      <c r="BH39" s="13">
        <f>Time!BH43*Inputs!$F$269*BH38</f>
        <v/>
      </c>
      <c r="BI39" s="13">
        <f>Time!BI43*Inputs!$F$269*BI38</f>
        <v/>
      </c>
      <c r="BJ39" s="13">
        <f>Time!BJ43*Inputs!$F$269*BJ38</f>
        <v/>
      </c>
      <c r="BK39" s="13">
        <f>Time!BK43*Inputs!$F$269*BK38</f>
        <v/>
      </c>
      <c r="BL39" s="13">
        <f>Time!BL43*Inputs!$F$269*BL38</f>
        <v/>
      </c>
      <c r="BM39" s="13">
        <f>Time!BM43*Inputs!$F$269*BM38</f>
        <v/>
      </c>
      <c r="BN39" s="13">
        <f>Time!BN43*Inputs!$F$269*BN38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Time!J42*Inputs!$F$266*(J35-J41)/(J21-J27+J35-J41+J49-J55+J63-J69+J77-J83+Inputs!$F$253)</f>
        <v/>
      </c>
      <c r="K42" s="13">
        <f>Time!K42*Inputs!$F$266*(K35-K41)/(K21-K27+K35-K41+K49-K55+K63-K69+K77-K83+Inputs!$F$253)</f>
        <v/>
      </c>
      <c r="L42" s="13">
        <f>Time!L42*Inputs!$F$266*(L35-L41)/(L21-L27+L35-L41+L49-L55+L63-L69+L77-L83+Inputs!$F$253)</f>
        <v/>
      </c>
      <c r="M42" s="13">
        <f>Time!M42*Inputs!$F$266*(M35-M41)/(M21-M27+M35-M41+M49-M55+M63-M69+M77-M83+Inputs!$F$253)</f>
        <v/>
      </c>
      <c r="N42" s="13">
        <f>Time!N42*Inputs!$F$266*(N35-N41)/(N21-N27+N35-N41+N49-N55+N63-N69+N77-N83+Inputs!$F$253)</f>
        <v/>
      </c>
      <c r="O42" s="13">
        <f>Time!O42*Inputs!$F$266*(O35-O41)/(O21-O27+O35-O41+O49-O55+O63-O69+O77-O83+Inputs!$F$253)</f>
        <v/>
      </c>
      <c r="P42" s="13">
        <f>Time!P42*Inputs!$F$266*(P35-P41)/(P21-P27+P35-P41+P49-P55+P63-P69+P77-P83+Inputs!$F$253)</f>
        <v/>
      </c>
      <c r="Q42" s="13">
        <f>Time!Q42*Inputs!$F$266*(Q35-Q41)/(Q21-Q27+Q35-Q41+Q49-Q55+Q63-Q69+Q77-Q83+Inputs!$F$253)</f>
        <v/>
      </c>
      <c r="R42" s="13">
        <f>Time!R42*Inputs!$F$266*(R35-R41)/(R21-R27+R35-R41+R49-R55+R63-R69+R77-R83+Inputs!$F$253)</f>
        <v/>
      </c>
      <c r="S42" s="13">
        <f>Time!S42*Inputs!$F$266*(S35-S41)/(S21-S27+S35-S41+S49-S55+S63-S69+S77-S83+Inputs!$F$253)</f>
        <v/>
      </c>
      <c r="T42" s="13">
        <f>Time!T42*Inputs!$F$266*(T35-T41)/(T21-T27+T35-T41+T49-T55+T63-T69+T77-T83+Inputs!$F$253)</f>
        <v/>
      </c>
      <c r="U42" s="13">
        <f>Time!U42*Inputs!$F$266*(U35-U41)/(U21-U27+U35-U41+U49-U55+U63-U69+U77-U83+Inputs!$F$253)</f>
        <v/>
      </c>
      <c r="V42" s="13">
        <f>Time!V42*Inputs!$F$266*(V35-V41)/(V21-V27+V35-V41+V49-V55+V63-V69+V77-V83+Inputs!$F$253)</f>
        <v/>
      </c>
      <c r="W42" s="13">
        <f>Time!W42*Inputs!$F$266*(W35-W41)/(W21-W27+W35-W41+W49-W55+W63-W69+W77-W83+Inputs!$F$253)</f>
        <v/>
      </c>
      <c r="X42" s="13">
        <f>Time!X42*Inputs!$F$266*(X35-X41)/(X21-X27+X35-X41+X49-X55+X63-X69+X77-X83+Inputs!$F$253)</f>
        <v/>
      </c>
      <c r="Y42" s="13">
        <f>Time!Y42*Inputs!$F$266*(Y35-Y41)/(Y21-Y27+Y35-Y41+Y49-Y55+Y63-Y69+Y77-Y83+Inputs!$F$253)</f>
        <v/>
      </c>
      <c r="Z42" s="13">
        <f>Time!Z42*Inputs!$F$266*(Z35-Z41)/(Z21-Z27+Z35-Z41+Z49-Z55+Z63-Z69+Z77-Z83+Inputs!$F$253)</f>
        <v/>
      </c>
      <c r="AA42" s="13">
        <f>Time!AA42*Inputs!$F$266*(AA35-AA41)/(AA21-AA27+AA35-AA41+AA49-AA55+AA63-AA69+AA77-AA83+Inputs!$F$253)</f>
        <v/>
      </c>
      <c r="AB42" s="13">
        <f>Time!AB42*Inputs!$F$266*(AB35-AB41)/(AB21-AB27+AB35-AB41+AB49-AB55+AB63-AB69+AB77-AB83+Inputs!$F$253)</f>
        <v/>
      </c>
      <c r="AC42" s="13">
        <f>Time!AC42*Inputs!$F$266*(AC35-AC41)/(AC21-AC27+AC35-AC41+AC49-AC55+AC63-AC69+AC77-AC83+Inputs!$F$253)</f>
        <v/>
      </c>
      <c r="AD42" s="13">
        <f>Time!AD42*Inputs!$F$266*(AD35-AD41)/(AD21-AD27+AD35-AD41+AD49-AD55+AD63-AD69+AD77-AD83+Inputs!$F$253)</f>
        <v/>
      </c>
      <c r="AE42" s="13">
        <f>Time!AE42*Inputs!$F$266*(AE35-AE41)/(AE21-AE27+AE35-AE41+AE49-AE55+AE63-AE69+AE77-AE83+Inputs!$F$253)</f>
        <v/>
      </c>
      <c r="AF42" s="13">
        <f>Time!AF42*Inputs!$F$266*(AF35-AF41)/(AF21-AF27+AF35-AF41+AF49-AF55+AF63-AF69+AF77-AF83+Inputs!$F$253)</f>
        <v/>
      </c>
      <c r="AG42" s="13">
        <f>Time!AG42*Inputs!$F$266*(AG35-AG41)/(AG21-AG27+AG35-AG41+AG49-AG55+AG63-AG69+AG77-AG83+Inputs!$F$253)</f>
        <v/>
      </c>
      <c r="AH42" s="13">
        <f>Time!AH42*Inputs!$F$266*(AH35-AH41)/(AH21-AH27+AH35-AH41+AH49-AH55+AH63-AH69+AH77-AH83+Inputs!$F$253)</f>
        <v/>
      </c>
      <c r="AI42" s="13">
        <f>Time!AI42*Inputs!$F$266*(AI35-AI41)/(AI21-AI27+AI35-AI41+AI49-AI55+AI63-AI69+AI77-AI83+Inputs!$F$253)</f>
        <v/>
      </c>
      <c r="AJ42" s="13">
        <f>Time!AJ42*Inputs!$F$266*(AJ35-AJ41)/(AJ21-AJ27+AJ35-AJ41+AJ49-AJ55+AJ63-AJ69+AJ77-AJ83+Inputs!$F$253)</f>
        <v/>
      </c>
      <c r="AK42" s="13">
        <f>Time!AK42*Inputs!$F$266*(AK35-AK41)/(AK21-AK27+AK35-AK41+AK49-AK55+AK63-AK69+AK77-AK83+Inputs!$F$253)</f>
        <v/>
      </c>
      <c r="AL42" s="13">
        <f>Time!AL42*Inputs!$F$266*(AL35-AL41)/(AL21-AL27+AL35-AL41+AL49-AL55+AL63-AL69+AL77-AL83+Inputs!$F$253)</f>
        <v/>
      </c>
      <c r="AM42" s="13">
        <f>Time!AM42*Inputs!$F$266*(AM35-AM41)/(AM21-AM27+AM35-AM41+AM49-AM55+AM63-AM69+AM77-AM83+Inputs!$F$253)</f>
        <v/>
      </c>
      <c r="AN42" s="13">
        <f>Time!AN42*Inputs!$F$266*(AN35-AN41)/(AN21-AN27+AN35-AN41+AN49-AN55+AN63-AN69+AN77-AN83+Inputs!$F$253)</f>
        <v/>
      </c>
      <c r="AO42" s="13">
        <f>Time!AO42*Inputs!$F$266*(AO35-AO41)/(AO21-AO27+AO35-AO41+AO49-AO55+AO63-AO69+AO77-AO83+Inputs!$F$253)</f>
        <v/>
      </c>
      <c r="AP42" s="13">
        <f>Time!AP42*Inputs!$F$266*(AP35-AP41)/(AP21-AP27+AP35-AP41+AP49-AP55+AP63-AP69+AP77-AP83+Inputs!$F$253)</f>
        <v/>
      </c>
      <c r="AQ42" s="13">
        <f>Time!AQ42*Inputs!$F$266*(AQ35-AQ41)/(AQ21-AQ27+AQ35-AQ41+AQ49-AQ55+AQ63-AQ69+AQ77-AQ83+Inputs!$F$253)</f>
        <v/>
      </c>
      <c r="AR42" s="13">
        <f>Time!AR42*Inputs!$F$266*(AR35-AR41)/(AR21-AR27+AR35-AR41+AR49-AR55+AR63-AR69+AR77-AR83+Inputs!$F$253)</f>
        <v/>
      </c>
      <c r="AS42" s="13">
        <f>Time!AS42*Inputs!$F$266*(AS35-AS41)/(AS21-AS27+AS35-AS41+AS49-AS55+AS63-AS69+AS77-AS83+Inputs!$F$253)</f>
        <v/>
      </c>
      <c r="AT42" s="13">
        <f>Time!AT42*Inputs!$F$266*(AT35-AT41)/(AT21-AT27+AT35-AT41+AT49-AT55+AT63-AT69+AT77-AT83+Inputs!$F$253)</f>
        <v/>
      </c>
      <c r="AU42" s="13">
        <f>Time!AU42*Inputs!$F$266*(AU35-AU41)/(AU21-AU27+AU35-AU41+AU49-AU55+AU63-AU69+AU77-AU83+Inputs!$F$253)</f>
        <v/>
      </c>
      <c r="AV42" s="13">
        <f>Time!AV42*Inputs!$F$266*(AV35-AV41)/(AV21-AV27+AV35-AV41+AV49-AV55+AV63-AV69+AV77-AV83+Inputs!$F$253)</f>
        <v/>
      </c>
      <c r="AW42" s="13">
        <f>Time!AW42*Inputs!$F$266*(AW35-AW41)/(AW21-AW27+AW35-AW41+AW49-AW55+AW63-AW69+AW77-AW83+Inputs!$F$253)</f>
        <v/>
      </c>
      <c r="AX42" s="13">
        <f>Time!AX42*Inputs!$F$266*(AX35-AX41)/(AX21-AX27+AX35-AX41+AX49-AX55+AX63-AX69+AX77-AX83+Inputs!$F$253)</f>
        <v/>
      </c>
      <c r="AY42" s="13">
        <f>Time!AY42*Inputs!$F$266*(AY35-AY41)/(AY21-AY27+AY35-AY41+AY49-AY55+AY63-AY69+AY77-AY83+Inputs!$F$253)</f>
        <v/>
      </c>
      <c r="AZ42" s="13">
        <f>Time!AZ42*Inputs!$F$266*(AZ35-AZ41)/(AZ21-AZ27+AZ35-AZ41+AZ49-AZ55+AZ63-AZ69+AZ77-AZ83+Inputs!$F$253)</f>
        <v/>
      </c>
      <c r="BA42" s="13">
        <f>Time!BA42*Inputs!$F$266*(BA35-BA41)/(BA21-BA27+BA35-BA41+BA49-BA55+BA63-BA69+BA77-BA83+Inputs!$F$253)</f>
        <v/>
      </c>
      <c r="BB42" s="13">
        <f>Time!BB42*Inputs!$F$266*(BB35-BB41)/(BB21-BB27+BB35-BB41+BB49-BB55+BB63-BB69+BB77-BB83+Inputs!$F$253)</f>
        <v/>
      </c>
      <c r="BC42" s="13">
        <f>Time!BC42*Inputs!$F$266*(BC35-BC41)/(BC21-BC27+BC35-BC41+BC49-BC55+BC63-BC69+BC77-BC83+Inputs!$F$253)</f>
        <v/>
      </c>
      <c r="BD42" s="13">
        <f>Time!BD42*Inputs!$F$266*(BD35-BD41)/(BD21-BD27+BD35-BD41+BD49-BD55+BD63-BD69+BD77-BD83+Inputs!$F$253)</f>
        <v/>
      </c>
      <c r="BE42" s="13">
        <f>Time!BE42*Inputs!$F$266*(BE35-BE41)/(BE21-BE27+BE35-BE41+BE49-BE55+BE63-BE69+BE77-BE83+Inputs!$F$253)</f>
        <v/>
      </c>
      <c r="BF42" s="13">
        <f>Time!BF42*Inputs!$F$266*(BF35-BF41)/(BF21-BF27+BF35-BF41+BF49-BF55+BF63-BF69+BF77-BF83+Inputs!$F$253)</f>
        <v/>
      </c>
      <c r="BG42" s="13">
        <f>Time!BG42*Inputs!$F$266*(BG35-BG41)/(BG21-BG27+BG35-BG41+BG49-BG55+BG63-BG69+BG77-BG83+Inputs!$F$253)</f>
        <v/>
      </c>
      <c r="BH42" s="13">
        <f>Time!BH42*Inputs!$F$266*(BH35-BH41)/(BH21-BH27+BH35-BH41+BH49-BH55+BH63-BH69+BH77-BH83+Inputs!$F$253)</f>
        <v/>
      </c>
      <c r="BI42" s="13">
        <f>Time!BI42*Inputs!$F$266*(BI35-BI41)/(BI21-BI27+BI35-BI41+BI49-BI55+BI63-BI69+BI77-BI83+Inputs!$F$253)</f>
        <v/>
      </c>
      <c r="BJ42" s="13">
        <f>Time!BJ42*Inputs!$F$266*(BJ35-BJ41)/(BJ21-BJ27+BJ35-BJ41+BJ49-BJ55+BJ63-BJ69+BJ77-BJ83+Inputs!$F$253)</f>
        <v/>
      </c>
      <c r="BK42" s="13">
        <f>Time!BK42*Inputs!$F$266*(BK35-BK41)/(BK21-BK27+BK35-BK41+BK49-BK55+BK63-BK69+BK77-BK83+Inputs!$F$253)</f>
        <v/>
      </c>
      <c r="BL42" s="13">
        <f>Time!BL42*Inputs!$F$266*(BL35-BL41)/(BL21-BL27+BL35-BL41+BL49-BL55+BL63-BL69+BL77-BL83+Inputs!$F$253)</f>
        <v/>
      </c>
      <c r="BM42" s="13">
        <f>Time!BM42*Inputs!$F$266*(BM35-BM41)/(BM21-BM27+BM35-BM41+BM49-BM55+BM63-BM69+BM77-BM83+Inputs!$F$253)</f>
        <v/>
      </c>
      <c r="BN42" s="13">
        <f>Time!BN42*Inputs!$F$266*(BN35-BN41)/(BN21-BN27+BN35-BN41+BN49-BN55+BN63-BN69+BN77-BN83+Inputs!$F$253)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Time!J43*Inputs!$F$269*J52</f>
        <v/>
      </c>
      <c r="K53" s="13">
        <f>Time!K43*Inputs!$F$269*K52</f>
        <v/>
      </c>
      <c r="L53" s="13">
        <f>Time!L43*Inputs!$F$269*L52</f>
        <v/>
      </c>
      <c r="M53" s="13">
        <f>Time!M43*Inputs!$F$269*M52</f>
        <v/>
      </c>
      <c r="N53" s="13">
        <f>Time!N43*Inputs!$F$269*N52</f>
        <v/>
      </c>
      <c r="O53" s="13">
        <f>Time!O43*Inputs!$F$269*O52</f>
        <v/>
      </c>
      <c r="P53" s="13">
        <f>Time!P43*Inputs!$F$269*P52</f>
        <v/>
      </c>
      <c r="Q53" s="13">
        <f>Time!Q43*Inputs!$F$269*Q52</f>
        <v/>
      </c>
      <c r="R53" s="13">
        <f>Time!R43*Inputs!$F$269*R52</f>
        <v/>
      </c>
      <c r="S53" s="13">
        <f>Time!S43*Inputs!$F$269*S52</f>
        <v/>
      </c>
      <c r="T53" s="13">
        <f>Time!T43*Inputs!$F$269*T52</f>
        <v/>
      </c>
      <c r="U53" s="13">
        <f>Time!U43*Inputs!$F$269*U52</f>
        <v/>
      </c>
      <c r="V53" s="13">
        <f>Time!V43*Inputs!$F$269*V52</f>
        <v/>
      </c>
      <c r="W53" s="13">
        <f>Time!W43*Inputs!$F$269*W52</f>
        <v/>
      </c>
      <c r="X53" s="13">
        <f>Time!X43*Inputs!$F$269*X52</f>
        <v/>
      </c>
      <c r="Y53" s="13">
        <f>Time!Y43*Inputs!$F$269*Y52</f>
        <v/>
      </c>
      <c r="Z53" s="13">
        <f>Time!Z43*Inputs!$F$269*Z52</f>
        <v/>
      </c>
      <c r="AA53" s="13">
        <f>Time!AA43*Inputs!$F$269*AA52</f>
        <v/>
      </c>
      <c r="AB53" s="13">
        <f>Time!AB43*Inputs!$F$269*AB52</f>
        <v/>
      </c>
      <c r="AC53" s="13">
        <f>Time!AC43*Inputs!$F$269*AC52</f>
        <v/>
      </c>
      <c r="AD53" s="13">
        <f>Time!AD43*Inputs!$F$269*AD52</f>
        <v/>
      </c>
      <c r="AE53" s="13">
        <f>Time!AE43*Inputs!$F$269*AE52</f>
        <v/>
      </c>
      <c r="AF53" s="13">
        <f>Time!AF43*Inputs!$F$269*AF52</f>
        <v/>
      </c>
      <c r="AG53" s="13">
        <f>Time!AG43*Inputs!$F$269*AG52</f>
        <v/>
      </c>
      <c r="AH53" s="13">
        <f>Time!AH43*Inputs!$F$269*AH52</f>
        <v/>
      </c>
      <c r="AI53" s="13">
        <f>Time!AI43*Inputs!$F$269*AI52</f>
        <v/>
      </c>
      <c r="AJ53" s="13">
        <f>Time!AJ43*Inputs!$F$269*AJ52</f>
        <v/>
      </c>
      <c r="AK53" s="13">
        <f>Time!AK43*Inputs!$F$269*AK52</f>
        <v/>
      </c>
      <c r="AL53" s="13">
        <f>Time!AL43*Inputs!$F$269*AL52</f>
        <v/>
      </c>
      <c r="AM53" s="13">
        <f>Time!AM43*Inputs!$F$269*AM52</f>
        <v/>
      </c>
      <c r="AN53" s="13">
        <f>Time!AN43*Inputs!$F$269*AN52</f>
        <v/>
      </c>
      <c r="AO53" s="13">
        <f>Time!AO43*Inputs!$F$269*AO52</f>
        <v/>
      </c>
      <c r="AP53" s="13">
        <f>Time!AP43*Inputs!$F$269*AP52</f>
        <v/>
      </c>
      <c r="AQ53" s="13">
        <f>Time!AQ43*Inputs!$F$269*AQ52</f>
        <v/>
      </c>
      <c r="AR53" s="13">
        <f>Time!AR43*Inputs!$F$269*AR52</f>
        <v/>
      </c>
      <c r="AS53" s="13">
        <f>Time!AS43*Inputs!$F$269*AS52</f>
        <v/>
      </c>
      <c r="AT53" s="13">
        <f>Time!AT43*Inputs!$F$269*AT52</f>
        <v/>
      </c>
      <c r="AU53" s="13">
        <f>Time!AU43*Inputs!$F$269*AU52</f>
        <v/>
      </c>
      <c r="AV53" s="13">
        <f>Time!AV43*Inputs!$F$269*AV52</f>
        <v/>
      </c>
      <c r="AW53" s="13">
        <f>Time!AW43*Inputs!$F$269*AW52</f>
        <v/>
      </c>
      <c r="AX53" s="13">
        <f>Time!AX43*Inputs!$F$269*AX52</f>
        <v/>
      </c>
      <c r="AY53" s="13">
        <f>Time!AY43*Inputs!$F$269*AY52</f>
        <v/>
      </c>
      <c r="AZ53" s="13">
        <f>Time!AZ43*Inputs!$F$269*AZ52</f>
        <v/>
      </c>
      <c r="BA53" s="13">
        <f>Time!BA43*Inputs!$F$269*BA52</f>
        <v/>
      </c>
      <c r="BB53" s="13">
        <f>Time!BB43*Inputs!$F$269*BB52</f>
        <v/>
      </c>
      <c r="BC53" s="13">
        <f>Time!BC43*Inputs!$F$269*BC52</f>
        <v/>
      </c>
      <c r="BD53" s="13">
        <f>Time!BD43*Inputs!$F$269*BD52</f>
        <v/>
      </c>
      <c r="BE53" s="13">
        <f>Time!BE43*Inputs!$F$269*BE52</f>
        <v/>
      </c>
      <c r="BF53" s="13">
        <f>Time!BF43*Inputs!$F$269*BF52</f>
        <v/>
      </c>
      <c r="BG53" s="13">
        <f>Time!BG43*Inputs!$F$269*BG52</f>
        <v/>
      </c>
      <c r="BH53" s="13">
        <f>Time!BH43*Inputs!$F$269*BH52</f>
        <v/>
      </c>
      <c r="BI53" s="13">
        <f>Time!BI43*Inputs!$F$269*BI52</f>
        <v/>
      </c>
      <c r="BJ53" s="13">
        <f>Time!BJ43*Inputs!$F$269*BJ52</f>
        <v/>
      </c>
      <c r="BK53" s="13">
        <f>Time!BK43*Inputs!$F$269*BK52</f>
        <v/>
      </c>
      <c r="BL53" s="13">
        <f>Time!BL43*Inputs!$F$269*BL52</f>
        <v/>
      </c>
      <c r="BM53" s="13">
        <f>Time!BM43*Inputs!$F$269*BM52</f>
        <v/>
      </c>
      <c r="BN53" s="13">
        <f>Time!BN43*Inputs!$F$269*BN52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Time!J42*Inputs!$F$266*(J49-J55)/(J21-J27+J35-J41+J49-J55+J63-J69+J77-J83+Inputs!$F$253)</f>
        <v/>
      </c>
      <c r="K56" s="13">
        <f>Time!K42*Inputs!$F$266*(K49-K55)/(K21-K27+K35-K41+K49-K55+K63-K69+K77-K83+Inputs!$F$253)</f>
        <v/>
      </c>
      <c r="L56" s="13">
        <f>Time!L42*Inputs!$F$266*(L49-L55)/(L21-L27+L35-L41+L49-L55+L63-L69+L77-L83+Inputs!$F$253)</f>
        <v/>
      </c>
      <c r="M56" s="13">
        <f>Time!M42*Inputs!$F$266*(M49-M55)/(M21-M27+M35-M41+M49-M55+M63-M69+M77-M83+Inputs!$F$253)</f>
        <v/>
      </c>
      <c r="N56" s="13">
        <f>Time!N42*Inputs!$F$266*(N49-N55)/(N21-N27+N35-N41+N49-N55+N63-N69+N77-N83+Inputs!$F$253)</f>
        <v/>
      </c>
      <c r="O56" s="13">
        <f>Time!O42*Inputs!$F$266*(O49-O55)/(O21-O27+O35-O41+O49-O55+O63-O69+O77-O83+Inputs!$F$253)</f>
        <v/>
      </c>
      <c r="P56" s="13">
        <f>Time!P42*Inputs!$F$266*(P49-P55)/(P21-P27+P35-P41+P49-P55+P63-P69+P77-P83+Inputs!$F$253)</f>
        <v/>
      </c>
      <c r="Q56" s="13">
        <f>Time!Q42*Inputs!$F$266*(Q49-Q55)/(Q21-Q27+Q35-Q41+Q49-Q55+Q63-Q69+Q77-Q83+Inputs!$F$253)</f>
        <v/>
      </c>
      <c r="R56" s="13">
        <f>Time!R42*Inputs!$F$266*(R49-R55)/(R21-R27+R35-R41+R49-R55+R63-R69+R77-R83+Inputs!$F$253)</f>
        <v/>
      </c>
      <c r="S56" s="13">
        <f>Time!S42*Inputs!$F$266*(S49-S55)/(S21-S27+S35-S41+S49-S55+S63-S69+S77-S83+Inputs!$F$253)</f>
        <v/>
      </c>
      <c r="T56" s="13">
        <f>Time!T42*Inputs!$F$266*(T49-T55)/(T21-T27+T35-T41+T49-T55+T63-T69+T77-T83+Inputs!$F$253)</f>
        <v/>
      </c>
      <c r="U56" s="13">
        <f>Time!U42*Inputs!$F$266*(U49-U55)/(U21-U27+U35-U41+U49-U55+U63-U69+U77-U83+Inputs!$F$253)</f>
        <v/>
      </c>
      <c r="V56" s="13">
        <f>Time!V42*Inputs!$F$266*(V49-V55)/(V21-V27+V35-V41+V49-V55+V63-V69+V77-V83+Inputs!$F$253)</f>
        <v/>
      </c>
      <c r="W56" s="13">
        <f>Time!W42*Inputs!$F$266*(W49-W55)/(W21-W27+W35-W41+W49-W55+W63-W69+W77-W83+Inputs!$F$253)</f>
        <v/>
      </c>
      <c r="X56" s="13">
        <f>Time!X42*Inputs!$F$266*(X49-X55)/(X21-X27+X35-X41+X49-X55+X63-X69+X77-X83+Inputs!$F$253)</f>
        <v/>
      </c>
      <c r="Y56" s="13">
        <f>Time!Y42*Inputs!$F$266*(Y49-Y55)/(Y21-Y27+Y35-Y41+Y49-Y55+Y63-Y69+Y77-Y83+Inputs!$F$253)</f>
        <v/>
      </c>
      <c r="Z56" s="13">
        <f>Time!Z42*Inputs!$F$266*(Z49-Z55)/(Z21-Z27+Z35-Z41+Z49-Z55+Z63-Z69+Z77-Z83+Inputs!$F$253)</f>
        <v/>
      </c>
      <c r="AA56" s="13">
        <f>Time!AA42*Inputs!$F$266*(AA49-AA55)/(AA21-AA27+AA35-AA41+AA49-AA55+AA63-AA69+AA77-AA83+Inputs!$F$253)</f>
        <v/>
      </c>
      <c r="AB56" s="13">
        <f>Time!AB42*Inputs!$F$266*(AB49-AB55)/(AB21-AB27+AB35-AB41+AB49-AB55+AB63-AB69+AB77-AB83+Inputs!$F$253)</f>
        <v/>
      </c>
      <c r="AC56" s="13">
        <f>Time!AC42*Inputs!$F$266*(AC49-AC55)/(AC21-AC27+AC35-AC41+AC49-AC55+AC63-AC69+AC77-AC83+Inputs!$F$253)</f>
        <v/>
      </c>
      <c r="AD56" s="13">
        <f>Time!AD42*Inputs!$F$266*(AD49-AD55)/(AD21-AD27+AD35-AD41+AD49-AD55+AD63-AD69+AD77-AD83+Inputs!$F$253)</f>
        <v/>
      </c>
      <c r="AE56" s="13">
        <f>Time!AE42*Inputs!$F$266*(AE49-AE55)/(AE21-AE27+AE35-AE41+AE49-AE55+AE63-AE69+AE77-AE83+Inputs!$F$253)</f>
        <v/>
      </c>
      <c r="AF56" s="13">
        <f>Time!AF42*Inputs!$F$266*(AF49-AF55)/(AF21-AF27+AF35-AF41+AF49-AF55+AF63-AF69+AF77-AF83+Inputs!$F$253)</f>
        <v/>
      </c>
      <c r="AG56" s="13">
        <f>Time!AG42*Inputs!$F$266*(AG49-AG55)/(AG21-AG27+AG35-AG41+AG49-AG55+AG63-AG69+AG77-AG83+Inputs!$F$253)</f>
        <v/>
      </c>
      <c r="AH56" s="13">
        <f>Time!AH42*Inputs!$F$266*(AH49-AH55)/(AH21-AH27+AH35-AH41+AH49-AH55+AH63-AH69+AH77-AH83+Inputs!$F$253)</f>
        <v/>
      </c>
      <c r="AI56" s="13">
        <f>Time!AI42*Inputs!$F$266*(AI49-AI55)/(AI21-AI27+AI35-AI41+AI49-AI55+AI63-AI69+AI77-AI83+Inputs!$F$253)</f>
        <v/>
      </c>
      <c r="AJ56" s="13">
        <f>Time!AJ42*Inputs!$F$266*(AJ49-AJ55)/(AJ21-AJ27+AJ35-AJ41+AJ49-AJ55+AJ63-AJ69+AJ77-AJ83+Inputs!$F$253)</f>
        <v/>
      </c>
      <c r="AK56" s="13">
        <f>Time!AK42*Inputs!$F$266*(AK49-AK55)/(AK21-AK27+AK35-AK41+AK49-AK55+AK63-AK69+AK77-AK83+Inputs!$F$253)</f>
        <v/>
      </c>
      <c r="AL56" s="13">
        <f>Time!AL42*Inputs!$F$266*(AL49-AL55)/(AL21-AL27+AL35-AL41+AL49-AL55+AL63-AL69+AL77-AL83+Inputs!$F$253)</f>
        <v/>
      </c>
      <c r="AM56" s="13">
        <f>Time!AM42*Inputs!$F$266*(AM49-AM55)/(AM21-AM27+AM35-AM41+AM49-AM55+AM63-AM69+AM77-AM83+Inputs!$F$253)</f>
        <v/>
      </c>
      <c r="AN56" s="13">
        <f>Time!AN42*Inputs!$F$266*(AN49-AN55)/(AN21-AN27+AN35-AN41+AN49-AN55+AN63-AN69+AN77-AN83+Inputs!$F$253)</f>
        <v/>
      </c>
      <c r="AO56" s="13">
        <f>Time!AO42*Inputs!$F$266*(AO49-AO55)/(AO21-AO27+AO35-AO41+AO49-AO55+AO63-AO69+AO77-AO83+Inputs!$F$253)</f>
        <v/>
      </c>
      <c r="AP56" s="13">
        <f>Time!AP42*Inputs!$F$266*(AP49-AP55)/(AP21-AP27+AP35-AP41+AP49-AP55+AP63-AP69+AP77-AP83+Inputs!$F$253)</f>
        <v/>
      </c>
      <c r="AQ56" s="13">
        <f>Time!AQ42*Inputs!$F$266*(AQ49-AQ55)/(AQ21-AQ27+AQ35-AQ41+AQ49-AQ55+AQ63-AQ69+AQ77-AQ83+Inputs!$F$253)</f>
        <v/>
      </c>
      <c r="AR56" s="13">
        <f>Time!AR42*Inputs!$F$266*(AR49-AR55)/(AR21-AR27+AR35-AR41+AR49-AR55+AR63-AR69+AR77-AR83+Inputs!$F$253)</f>
        <v/>
      </c>
      <c r="AS56" s="13">
        <f>Time!AS42*Inputs!$F$266*(AS49-AS55)/(AS21-AS27+AS35-AS41+AS49-AS55+AS63-AS69+AS77-AS83+Inputs!$F$253)</f>
        <v/>
      </c>
      <c r="AT56" s="13">
        <f>Time!AT42*Inputs!$F$266*(AT49-AT55)/(AT21-AT27+AT35-AT41+AT49-AT55+AT63-AT69+AT77-AT83+Inputs!$F$253)</f>
        <v/>
      </c>
      <c r="AU56" s="13">
        <f>Time!AU42*Inputs!$F$266*(AU49-AU55)/(AU21-AU27+AU35-AU41+AU49-AU55+AU63-AU69+AU77-AU83+Inputs!$F$253)</f>
        <v/>
      </c>
      <c r="AV56" s="13">
        <f>Time!AV42*Inputs!$F$266*(AV49-AV55)/(AV21-AV27+AV35-AV41+AV49-AV55+AV63-AV69+AV77-AV83+Inputs!$F$253)</f>
        <v/>
      </c>
      <c r="AW56" s="13">
        <f>Time!AW42*Inputs!$F$266*(AW49-AW55)/(AW21-AW27+AW35-AW41+AW49-AW55+AW63-AW69+AW77-AW83+Inputs!$F$253)</f>
        <v/>
      </c>
      <c r="AX56" s="13">
        <f>Time!AX42*Inputs!$F$266*(AX49-AX55)/(AX21-AX27+AX35-AX41+AX49-AX55+AX63-AX69+AX77-AX83+Inputs!$F$253)</f>
        <v/>
      </c>
      <c r="AY56" s="13">
        <f>Time!AY42*Inputs!$F$266*(AY49-AY55)/(AY21-AY27+AY35-AY41+AY49-AY55+AY63-AY69+AY77-AY83+Inputs!$F$253)</f>
        <v/>
      </c>
      <c r="AZ56" s="13">
        <f>Time!AZ42*Inputs!$F$266*(AZ49-AZ55)/(AZ21-AZ27+AZ35-AZ41+AZ49-AZ55+AZ63-AZ69+AZ77-AZ83+Inputs!$F$253)</f>
        <v/>
      </c>
      <c r="BA56" s="13">
        <f>Time!BA42*Inputs!$F$266*(BA49-BA55)/(BA21-BA27+BA35-BA41+BA49-BA55+BA63-BA69+BA77-BA83+Inputs!$F$253)</f>
        <v/>
      </c>
      <c r="BB56" s="13">
        <f>Time!BB42*Inputs!$F$266*(BB49-BB55)/(BB21-BB27+BB35-BB41+BB49-BB55+BB63-BB69+BB77-BB83+Inputs!$F$253)</f>
        <v/>
      </c>
      <c r="BC56" s="13">
        <f>Time!BC42*Inputs!$F$266*(BC49-BC55)/(BC21-BC27+BC35-BC41+BC49-BC55+BC63-BC69+BC77-BC83+Inputs!$F$253)</f>
        <v/>
      </c>
      <c r="BD56" s="13">
        <f>Time!BD42*Inputs!$F$266*(BD49-BD55)/(BD21-BD27+BD35-BD41+BD49-BD55+BD63-BD69+BD77-BD83+Inputs!$F$253)</f>
        <v/>
      </c>
      <c r="BE56" s="13">
        <f>Time!BE42*Inputs!$F$266*(BE49-BE55)/(BE21-BE27+BE35-BE41+BE49-BE55+BE63-BE69+BE77-BE83+Inputs!$F$253)</f>
        <v/>
      </c>
      <c r="BF56" s="13">
        <f>Time!BF42*Inputs!$F$266*(BF49-BF55)/(BF21-BF27+BF35-BF41+BF49-BF55+BF63-BF69+BF77-BF83+Inputs!$F$253)</f>
        <v/>
      </c>
      <c r="BG56" s="13">
        <f>Time!BG42*Inputs!$F$266*(BG49-BG55)/(BG21-BG27+BG35-BG41+BG49-BG55+BG63-BG69+BG77-BG83+Inputs!$F$253)</f>
        <v/>
      </c>
      <c r="BH56" s="13">
        <f>Time!BH42*Inputs!$F$266*(BH49-BH55)/(BH21-BH27+BH35-BH41+BH49-BH55+BH63-BH69+BH77-BH83+Inputs!$F$253)</f>
        <v/>
      </c>
      <c r="BI56" s="13">
        <f>Time!BI42*Inputs!$F$266*(BI49-BI55)/(BI21-BI27+BI35-BI41+BI49-BI55+BI63-BI69+BI77-BI83+Inputs!$F$253)</f>
        <v/>
      </c>
      <c r="BJ56" s="13">
        <f>Time!BJ42*Inputs!$F$266*(BJ49-BJ55)/(BJ21-BJ27+BJ35-BJ41+BJ49-BJ55+BJ63-BJ69+BJ77-BJ83+Inputs!$F$253)</f>
        <v/>
      </c>
      <c r="BK56" s="13">
        <f>Time!BK42*Inputs!$F$266*(BK49-BK55)/(BK21-BK27+BK35-BK41+BK49-BK55+BK63-BK69+BK77-BK83+Inputs!$F$253)</f>
        <v/>
      </c>
      <c r="BL56" s="13">
        <f>Time!BL42*Inputs!$F$266*(BL49-BL55)/(BL21-BL27+BL35-BL41+BL49-BL55+BL63-BL69+BL77-BL83+Inputs!$F$253)</f>
        <v/>
      </c>
      <c r="BM56" s="13">
        <f>Time!BM42*Inputs!$F$266*(BM49-BM55)/(BM21-BM27+BM35-BM41+BM49-BM55+BM63-BM69+BM77-BM83+Inputs!$F$253)</f>
        <v/>
      </c>
      <c r="BN56" s="13">
        <f>Time!BN42*Inputs!$F$266*(BN49-BN55)/(BN21-BN27+BN35-BN41+BN49-BN55+BN63-BN69+BN77-BN83+Inputs!$F$253)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Time!J43*Inputs!$F$269*J66</f>
        <v/>
      </c>
      <c r="K67" s="13">
        <f>Time!K43*Inputs!$F$269*K66</f>
        <v/>
      </c>
      <c r="L67" s="13">
        <f>Time!L43*Inputs!$F$269*L66</f>
        <v/>
      </c>
      <c r="M67" s="13">
        <f>Time!M43*Inputs!$F$269*M66</f>
        <v/>
      </c>
      <c r="N67" s="13">
        <f>Time!N43*Inputs!$F$269*N66</f>
        <v/>
      </c>
      <c r="O67" s="13">
        <f>Time!O43*Inputs!$F$269*O66</f>
        <v/>
      </c>
      <c r="P67" s="13">
        <f>Time!P43*Inputs!$F$269*P66</f>
        <v/>
      </c>
      <c r="Q67" s="13">
        <f>Time!Q43*Inputs!$F$269*Q66</f>
        <v/>
      </c>
      <c r="R67" s="13">
        <f>Time!R43*Inputs!$F$269*R66</f>
        <v/>
      </c>
      <c r="S67" s="13">
        <f>Time!S43*Inputs!$F$269*S66</f>
        <v/>
      </c>
      <c r="T67" s="13">
        <f>Time!T43*Inputs!$F$269*T66</f>
        <v/>
      </c>
      <c r="U67" s="13">
        <f>Time!U43*Inputs!$F$269*U66</f>
        <v/>
      </c>
      <c r="V67" s="13">
        <f>Time!V43*Inputs!$F$269*V66</f>
        <v/>
      </c>
      <c r="W67" s="13">
        <f>Time!W43*Inputs!$F$269*W66</f>
        <v/>
      </c>
      <c r="X67" s="13">
        <f>Time!X43*Inputs!$F$269*X66</f>
        <v/>
      </c>
      <c r="Y67" s="13">
        <f>Time!Y43*Inputs!$F$269*Y66</f>
        <v/>
      </c>
      <c r="Z67" s="13">
        <f>Time!Z43*Inputs!$F$269*Z66</f>
        <v/>
      </c>
      <c r="AA67" s="13">
        <f>Time!AA43*Inputs!$F$269*AA66</f>
        <v/>
      </c>
      <c r="AB67" s="13">
        <f>Time!AB43*Inputs!$F$269*AB66</f>
        <v/>
      </c>
      <c r="AC67" s="13">
        <f>Time!AC43*Inputs!$F$269*AC66</f>
        <v/>
      </c>
      <c r="AD67" s="13">
        <f>Time!AD43*Inputs!$F$269*AD66</f>
        <v/>
      </c>
      <c r="AE67" s="13">
        <f>Time!AE43*Inputs!$F$269*AE66</f>
        <v/>
      </c>
      <c r="AF67" s="13">
        <f>Time!AF43*Inputs!$F$269*AF66</f>
        <v/>
      </c>
      <c r="AG67" s="13">
        <f>Time!AG43*Inputs!$F$269*AG66</f>
        <v/>
      </c>
      <c r="AH67" s="13">
        <f>Time!AH43*Inputs!$F$269*AH66</f>
        <v/>
      </c>
      <c r="AI67" s="13">
        <f>Time!AI43*Inputs!$F$269*AI66</f>
        <v/>
      </c>
      <c r="AJ67" s="13">
        <f>Time!AJ43*Inputs!$F$269*AJ66</f>
        <v/>
      </c>
      <c r="AK67" s="13">
        <f>Time!AK43*Inputs!$F$269*AK66</f>
        <v/>
      </c>
      <c r="AL67" s="13">
        <f>Time!AL43*Inputs!$F$269*AL66</f>
        <v/>
      </c>
      <c r="AM67" s="13">
        <f>Time!AM43*Inputs!$F$269*AM66</f>
        <v/>
      </c>
      <c r="AN67" s="13">
        <f>Time!AN43*Inputs!$F$269*AN66</f>
        <v/>
      </c>
      <c r="AO67" s="13">
        <f>Time!AO43*Inputs!$F$269*AO66</f>
        <v/>
      </c>
      <c r="AP67" s="13">
        <f>Time!AP43*Inputs!$F$269*AP66</f>
        <v/>
      </c>
      <c r="AQ67" s="13">
        <f>Time!AQ43*Inputs!$F$269*AQ66</f>
        <v/>
      </c>
      <c r="AR67" s="13">
        <f>Time!AR43*Inputs!$F$269*AR66</f>
        <v/>
      </c>
      <c r="AS67" s="13">
        <f>Time!AS43*Inputs!$F$269*AS66</f>
        <v/>
      </c>
      <c r="AT67" s="13">
        <f>Time!AT43*Inputs!$F$269*AT66</f>
        <v/>
      </c>
      <c r="AU67" s="13">
        <f>Time!AU43*Inputs!$F$269*AU66</f>
        <v/>
      </c>
      <c r="AV67" s="13">
        <f>Time!AV43*Inputs!$F$269*AV66</f>
        <v/>
      </c>
      <c r="AW67" s="13">
        <f>Time!AW43*Inputs!$F$269*AW66</f>
        <v/>
      </c>
      <c r="AX67" s="13">
        <f>Time!AX43*Inputs!$F$269*AX66</f>
        <v/>
      </c>
      <c r="AY67" s="13">
        <f>Time!AY43*Inputs!$F$269*AY66</f>
        <v/>
      </c>
      <c r="AZ67" s="13">
        <f>Time!AZ43*Inputs!$F$269*AZ66</f>
        <v/>
      </c>
      <c r="BA67" s="13">
        <f>Time!BA43*Inputs!$F$269*BA66</f>
        <v/>
      </c>
      <c r="BB67" s="13">
        <f>Time!BB43*Inputs!$F$269*BB66</f>
        <v/>
      </c>
      <c r="BC67" s="13">
        <f>Time!BC43*Inputs!$F$269*BC66</f>
        <v/>
      </c>
      <c r="BD67" s="13">
        <f>Time!BD43*Inputs!$F$269*BD66</f>
        <v/>
      </c>
      <c r="BE67" s="13">
        <f>Time!BE43*Inputs!$F$269*BE66</f>
        <v/>
      </c>
      <c r="BF67" s="13">
        <f>Time!BF43*Inputs!$F$269*BF66</f>
        <v/>
      </c>
      <c r="BG67" s="13">
        <f>Time!BG43*Inputs!$F$269*BG66</f>
        <v/>
      </c>
      <c r="BH67" s="13">
        <f>Time!BH43*Inputs!$F$269*BH66</f>
        <v/>
      </c>
      <c r="BI67" s="13">
        <f>Time!BI43*Inputs!$F$269*BI66</f>
        <v/>
      </c>
      <c r="BJ67" s="13">
        <f>Time!BJ43*Inputs!$F$269*BJ66</f>
        <v/>
      </c>
      <c r="BK67" s="13">
        <f>Time!BK43*Inputs!$F$269*BK66</f>
        <v/>
      </c>
      <c r="BL67" s="13">
        <f>Time!BL43*Inputs!$F$269*BL66</f>
        <v/>
      </c>
      <c r="BM67" s="13">
        <f>Time!BM43*Inputs!$F$269*BM66</f>
        <v/>
      </c>
      <c r="BN67" s="13">
        <f>Time!BN43*Inputs!$F$269*BN66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Time!J42*Inputs!$F$266*(J63-J69)/(J21-J27+J35-J41+J49-J55+J63-J69+J77-J83+Inputs!$F$253)</f>
        <v/>
      </c>
      <c r="K70" s="13">
        <f>Time!K42*Inputs!$F$266*(K63-K69)/(K21-K27+K35-K41+K49-K55+K63-K69+K77-K83+Inputs!$F$253)</f>
        <v/>
      </c>
      <c r="L70" s="13">
        <f>Time!L42*Inputs!$F$266*(L63-L69)/(L21-L27+L35-L41+L49-L55+L63-L69+L77-L83+Inputs!$F$253)</f>
        <v/>
      </c>
      <c r="M70" s="13">
        <f>Time!M42*Inputs!$F$266*(M63-M69)/(M21-M27+M35-M41+M49-M55+M63-M69+M77-M83+Inputs!$F$253)</f>
        <v/>
      </c>
      <c r="N70" s="13">
        <f>Time!N42*Inputs!$F$266*(N63-N69)/(N21-N27+N35-N41+N49-N55+N63-N69+N77-N83+Inputs!$F$253)</f>
        <v/>
      </c>
      <c r="O70" s="13">
        <f>Time!O42*Inputs!$F$266*(O63-O69)/(O21-O27+O35-O41+O49-O55+O63-O69+O77-O83+Inputs!$F$253)</f>
        <v/>
      </c>
      <c r="P70" s="13">
        <f>Time!P42*Inputs!$F$266*(P63-P69)/(P21-P27+P35-P41+P49-P55+P63-P69+P77-P83+Inputs!$F$253)</f>
        <v/>
      </c>
      <c r="Q70" s="13">
        <f>Time!Q42*Inputs!$F$266*(Q63-Q69)/(Q21-Q27+Q35-Q41+Q49-Q55+Q63-Q69+Q77-Q83+Inputs!$F$253)</f>
        <v/>
      </c>
      <c r="R70" s="13">
        <f>Time!R42*Inputs!$F$266*(R63-R69)/(R21-R27+R35-R41+R49-R55+R63-R69+R77-R83+Inputs!$F$253)</f>
        <v/>
      </c>
      <c r="S70" s="13">
        <f>Time!S42*Inputs!$F$266*(S63-S69)/(S21-S27+S35-S41+S49-S55+S63-S69+S77-S83+Inputs!$F$253)</f>
        <v/>
      </c>
      <c r="T70" s="13">
        <f>Time!T42*Inputs!$F$266*(T63-T69)/(T21-T27+T35-T41+T49-T55+T63-T69+T77-T83+Inputs!$F$253)</f>
        <v/>
      </c>
      <c r="U70" s="13">
        <f>Time!U42*Inputs!$F$266*(U63-U69)/(U21-U27+U35-U41+U49-U55+U63-U69+U77-U83+Inputs!$F$253)</f>
        <v/>
      </c>
      <c r="V70" s="13">
        <f>Time!V42*Inputs!$F$266*(V63-V69)/(V21-V27+V35-V41+V49-V55+V63-V69+V77-V83+Inputs!$F$253)</f>
        <v/>
      </c>
      <c r="W70" s="13">
        <f>Time!W42*Inputs!$F$266*(W63-W69)/(W21-W27+W35-W41+W49-W55+W63-W69+W77-W83+Inputs!$F$253)</f>
        <v/>
      </c>
      <c r="X70" s="13">
        <f>Time!X42*Inputs!$F$266*(X63-X69)/(X21-X27+X35-X41+X49-X55+X63-X69+X77-X83+Inputs!$F$253)</f>
        <v/>
      </c>
      <c r="Y70" s="13">
        <f>Time!Y42*Inputs!$F$266*(Y63-Y69)/(Y21-Y27+Y35-Y41+Y49-Y55+Y63-Y69+Y77-Y83+Inputs!$F$253)</f>
        <v/>
      </c>
      <c r="Z70" s="13">
        <f>Time!Z42*Inputs!$F$266*(Z63-Z69)/(Z21-Z27+Z35-Z41+Z49-Z55+Z63-Z69+Z77-Z83+Inputs!$F$253)</f>
        <v/>
      </c>
      <c r="AA70" s="13">
        <f>Time!AA42*Inputs!$F$266*(AA63-AA69)/(AA21-AA27+AA35-AA41+AA49-AA55+AA63-AA69+AA77-AA83+Inputs!$F$253)</f>
        <v/>
      </c>
      <c r="AB70" s="13">
        <f>Time!AB42*Inputs!$F$266*(AB63-AB69)/(AB21-AB27+AB35-AB41+AB49-AB55+AB63-AB69+AB77-AB83+Inputs!$F$253)</f>
        <v/>
      </c>
      <c r="AC70" s="13">
        <f>Time!AC42*Inputs!$F$266*(AC63-AC69)/(AC21-AC27+AC35-AC41+AC49-AC55+AC63-AC69+AC77-AC83+Inputs!$F$253)</f>
        <v/>
      </c>
      <c r="AD70" s="13">
        <f>Time!AD42*Inputs!$F$266*(AD63-AD69)/(AD21-AD27+AD35-AD41+AD49-AD55+AD63-AD69+AD77-AD83+Inputs!$F$253)</f>
        <v/>
      </c>
      <c r="AE70" s="13">
        <f>Time!AE42*Inputs!$F$266*(AE63-AE69)/(AE21-AE27+AE35-AE41+AE49-AE55+AE63-AE69+AE77-AE83+Inputs!$F$253)</f>
        <v/>
      </c>
      <c r="AF70" s="13">
        <f>Time!AF42*Inputs!$F$266*(AF63-AF69)/(AF21-AF27+AF35-AF41+AF49-AF55+AF63-AF69+AF77-AF83+Inputs!$F$253)</f>
        <v/>
      </c>
      <c r="AG70" s="13">
        <f>Time!AG42*Inputs!$F$266*(AG63-AG69)/(AG21-AG27+AG35-AG41+AG49-AG55+AG63-AG69+AG77-AG83+Inputs!$F$253)</f>
        <v/>
      </c>
      <c r="AH70" s="13">
        <f>Time!AH42*Inputs!$F$266*(AH63-AH69)/(AH21-AH27+AH35-AH41+AH49-AH55+AH63-AH69+AH77-AH83+Inputs!$F$253)</f>
        <v/>
      </c>
      <c r="AI70" s="13">
        <f>Time!AI42*Inputs!$F$266*(AI63-AI69)/(AI21-AI27+AI35-AI41+AI49-AI55+AI63-AI69+AI77-AI83+Inputs!$F$253)</f>
        <v/>
      </c>
      <c r="AJ70" s="13">
        <f>Time!AJ42*Inputs!$F$266*(AJ63-AJ69)/(AJ21-AJ27+AJ35-AJ41+AJ49-AJ55+AJ63-AJ69+AJ77-AJ83+Inputs!$F$253)</f>
        <v/>
      </c>
      <c r="AK70" s="13">
        <f>Time!AK42*Inputs!$F$266*(AK63-AK69)/(AK21-AK27+AK35-AK41+AK49-AK55+AK63-AK69+AK77-AK83+Inputs!$F$253)</f>
        <v/>
      </c>
      <c r="AL70" s="13">
        <f>Time!AL42*Inputs!$F$266*(AL63-AL69)/(AL21-AL27+AL35-AL41+AL49-AL55+AL63-AL69+AL77-AL83+Inputs!$F$253)</f>
        <v/>
      </c>
      <c r="AM70" s="13">
        <f>Time!AM42*Inputs!$F$266*(AM63-AM69)/(AM21-AM27+AM35-AM41+AM49-AM55+AM63-AM69+AM77-AM83+Inputs!$F$253)</f>
        <v/>
      </c>
      <c r="AN70" s="13">
        <f>Time!AN42*Inputs!$F$266*(AN63-AN69)/(AN21-AN27+AN35-AN41+AN49-AN55+AN63-AN69+AN77-AN83+Inputs!$F$253)</f>
        <v/>
      </c>
      <c r="AO70" s="13">
        <f>Time!AO42*Inputs!$F$266*(AO63-AO69)/(AO21-AO27+AO35-AO41+AO49-AO55+AO63-AO69+AO77-AO83+Inputs!$F$253)</f>
        <v/>
      </c>
      <c r="AP70" s="13">
        <f>Time!AP42*Inputs!$F$266*(AP63-AP69)/(AP21-AP27+AP35-AP41+AP49-AP55+AP63-AP69+AP77-AP83+Inputs!$F$253)</f>
        <v/>
      </c>
      <c r="AQ70" s="13">
        <f>Time!AQ42*Inputs!$F$266*(AQ63-AQ69)/(AQ21-AQ27+AQ35-AQ41+AQ49-AQ55+AQ63-AQ69+AQ77-AQ83+Inputs!$F$253)</f>
        <v/>
      </c>
      <c r="AR70" s="13">
        <f>Time!AR42*Inputs!$F$266*(AR63-AR69)/(AR21-AR27+AR35-AR41+AR49-AR55+AR63-AR69+AR77-AR83+Inputs!$F$253)</f>
        <v/>
      </c>
      <c r="AS70" s="13">
        <f>Time!AS42*Inputs!$F$266*(AS63-AS69)/(AS21-AS27+AS35-AS41+AS49-AS55+AS63-AS69+AS77-AS83+Inputs!$F$253)</f>
        <v/>
      </c>
      <c r="AT70" s="13">
        <f>Time!AT42*Inputs!$F$266*(AT63-AT69)/(AT21-AT27+AT35-AT41+AT49-AT55+AT63-AT69+AT77-AT83+Inputs!$F$253)</f>
        <v/>
      </c>
      <c r="AU70" s="13">
        <f>Time!AU42*Inputs!$F$266*(AU63-AU69)/(AU21-AU27+AU35-AU41+AU49-AU55+AU63-AU69+AU77-AU83+Inputs!$F$253)</f>
        <v/>
      </c>
      <c r="AV70" s="13">
        <f>Time!AV42*Inputs!$F$266*(AV63-AV69)/(AV21-AV27+AV35-AV41+AV49-AV55+AV63-AV69+AV77-AV83+Inputs!$F$253)</f>
        <v/>
      </c>
      <c r="AW70" s="13">
        <f>Time!AW42*Inputs!$F$266*(AW63-AW69)/(AW21-AW27+AW35-AW41+AW49-AW55+AW63-AW69+AW77-AW83+Inputs!$F$253)</f>
        <v/>
      </c>
      <c r="AX70" s="13">
        <f>Time!AX42*Inputs!$F$266*(AX63-AX69)/(AX21-AX27+AX35-AX41+AX49-AX55+AX63-AX69+AX77-AX83+Inputs!$F$253)</f>
        <v/>
      </c>
      <c r="AY70" s="13">
        <f>Time!AY42*Inputs!$F$266*(AY63-AY69)/(AY21-AY27+AY35-AY41+AY49-AY55+AY63-AY69+AY77-AY83+Inputs!$F$253)</f>
        <v/>
      </c>
      <c r="AZ70" s="13">
        <f>Time!AZ42*Inputs!$F$266*(AZ63-AZ69)/(AZ21-AZ27+AZ35-AZ41+AZ49-AZ55+AZ63-AZ69+AZ77-AZ83+Inputs!$F$253)</f>
        <v/>
      </c>
      <c r="BA70" s="13">
        <f>Time!BA42*Inputs!$F$266*(BA63-BA69)/(BA21-BA27+BA35-BA41+BA49-BA55+BA63-BA69+BA77-BA83+Inputs!$F$253)</f>
        <v/>
      </c>
      <c r="BB70" s="13">
        <f>Time!BB42*Inputs!$F$266*(BB63-BB69)/(BB21-BB27+BB35-BB41+BB49-BB55+BB63-BB69+BB77-BB83+Inputs!$F$253)</f>
        <v/>
      </c>
      <c r="BC70" s="13">
        <f>Time!BC42*Inputs!$F$266*(BC63-BC69)/(BC21-BC27+BC35-BC41+BC49-BC55+BC63-BC69+BC77-BC83+Inputs!$F$253)</f>
        <v/>
      </c>
      <c r="BD70" s="13">
        <f>Time!BD42*Inputs!$F$266*(BD63-BD69)/(BD21-BD27+BD35-BD41+BD49-BD55+BD63-BD69+BD77-BD83+Inputs!$F$253)</f>
        <v/>
      </c>
      <c r="BE70" s="13">
        <f>Time!BE42*Inputs!$F$266*(BE63-BE69)/(BE21-BE27+BE35-BE41+BE49-BE55+BE63-BE69+BE77-BE83+Inputs!$F$253)</f>
        <v/>
      </c>
      <c r="BF70" s="13">
        <f>Time!BF42*Inputs!$F$266*(BF63-BF69)/(BF21-BF27+BF35-BF41+BF49-BF55+BF63-BF69+BF77-BF83+Inputs!$F$253)</f>
        <v/>
      </c>
      <c r="BG70" s="13">
        <f>Time!BG42*Inputs!$F$266*(BG63-BG69)/(BG21-BG27+BG35-BG41+BG49-BG55+BG63-BG69+BG77-BG83+Inputs!$F$253)</f>
        <v/>
      </c>
      <c r="BH70" s="13">
        <f>Time!BH42*Inputs!$F$266*(BH63-BH69)/(BH21-BH27+BH35-BH41+BH49-BH55+BH63-BH69+BH77-BH83+Inputs!$F$253)</f>
        <v/>
      </c>
      <c r="BI70" s="13">
        <f>Time!BI42*Inputs!$F$266*(BI63-BI69)/(BI21-BI27+BI35-BI41+BI49-BI55+BI63-BI69+BI77-BI83+Inputs!$F$253)</f>
        <v/>
      </c>
      <c r="BJ70" s="13">
        <f>Time!BJ42*Inputs!$F$266*(BJ63-BJ69)/(BJ21-BJ27+BJ35-BJ41+BJ49-BJ55+BJ63-BJ69+BJ77-BJ83+Inputs!$F$253)</f>
        <v/>
      </c>
      <c r="BK70" s="13">
        <f>Time!BK42*Inputs!$F$266*(BK63-BK69)/(BK21-BK27+BK35-BK41+BK49-BK55+BK63-BK69+BK77-BK83+Inputs!$F$253)</f>
        <v/>
      </c>
      <c r="BL70" s="13">
        <f>Time!BL42*Inputs!$F$266*(BL63-BL69)/(BL21-BL27+BL35-BL41+BL49-BL55+BL63-BL69+BL77-BL83+Inputs!$F$253)</f>
        <v/>
      </c>
      <c r="BM70" s="13">
        <f>Time!BM42*Inputs!$F$266*(BM63-BM69)/(BM21-BM27+BM35-BM41+BM49-BM55+BM63-BM69+BM77-BM83+Inputs!$F$253)</f>
        <v/>
      </c>
      <c r="BN70" s="13">
        <f>Time!BN42*Inputs!$F$266*(BN63-BN69)/(BN21-BN27+BN35-BN41+BN49-BN55+BN63-BN69+BN77-BN83+Inputs!$F$253)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Time!J43*Inputs!$F$269*J80</f>
        <v/>
      </c>
      <c r="K81" s="13">
        <f>Time!K43*Inputs!$F$269*K80</f>
        <v/>
      </c>
      <c r="L81" s="13">
        <f>Time!L43*Inputs!$F$269*L80</f>
        <v/>
      </c>
      <c r="M81" s="13">
        <f>Time!M43*Inputs!$F$269*M80</f>
        <v/>
      </c>
      <c r="N81" s="13">
        <f>Time!N43*Inputs!$F$269*N80</f>
        <v/>
      </c>
      <c r="O81" s="13">
        <f>Time!O43*Inputs!$F$269*O80</f>
        <v/>
      </c>
      <c r="P81" s="13">
        <f>Time!P43*Inputs!$F$269*P80</f>
        <v/>
      </c>
      <c r="Q81" s="13">
        <f>Time!Q43*Inputs!$F$269*Q80</f>
        <v/>
      </c>
      <c r="R81" s="13">
        <f>Time!R43*Inputs!$F$269*R80</f>
        <v/>
      </c>
      <c r="S81" s="13">
        <f>Time!S43*Inputs!$F$269*S80</f>
        <v/>
      </c>
      <c r="T81" s="13">
        <f>Time!T43*Inputs!$F$269*T80</f>
        <v/>
      </c>
      <c r="U81" s="13">
        <f>Time!U43*Inputs!$F$269*U80</f>
        <v/>
      </c>
      <c r="V81" s="13">
        <f>Time!V43*Inputs!$F$269*V80</f>
        <v/>
      </c>
      <c r="W81" s="13">
        <f>Time!W43*Inputs!$F$269*W80</f>
        <v/>
      </c>
      <c r="X81" s="13">
        <f>Time!X43*Inputs!$F$269*X80</f>
        <v/>
      </c>
      <c r="Y81" s="13">
        <f>Time!Y43*Inputs!$F$269*Y80</f>
        <v/>
      </c>
      <c r="Z81" s="13">
        <f>Time!Z43*Inputs!$F$269*Z80</f>
        <v/>
      </c>
      <c r="AA81" s="13">
        <f>Time!AA43*Inputs!$F$269*AA80</f>
        <v/>
      </c>
      <c r="AB81" s="13">
        <f>Time!AB43*Inputs!$F$269*AB80</f>
        <v/>
      </c>
      <c r="AC81" s="13">
        <f>Time!AC43*Inputs!$F$269*AC80</f>
        <v/>
      </c>
      <c r="AD81" s="13">
        <f>Time!AD43*Inputs!$F$269*AD80</f>
        <v/>
      </c>
      <c r="AE81" s="13">
        <f>Time!AE43*Inputs!$F$269*AE80</f>
        <v/>
      </c>
      <c r="AF81" s="13">
        <f>Time!AF43*Inputs!$F$269*AF80</f>
        <v/>
      </c>
      <c r="AG81" s="13">
        <f>Time!AG43*Inputs!$F$269*AG80</f>
        <v/>
      </c>
      <c r="AH81" s="13">
        <f>Time!AH43*Inputs!$F$269*AH80</f>
        <v/>
      </c>
      <c r="AI81" s="13">
        <f>Time!AI43*Inputs!$F$269*AI80</f>
        <v/>
      </c>
      <c r="AJ81" s="13">
        <f>Time!AJ43*Inputs!$F$269*AJ80</f>
        <v/>
      </c>
      <c r="AK81" s="13">
        <f>Time!AK43*Inputs!$F$269*AK80</f>
        <v/>
      </c>
      <c r="AL81" s="13">
        <f>Time!AL43*Inputs!$F$269*AL80</f>
        <v/>
      </c>
      <c r="AM81" s="13">
        <f>Time!AM43*Inputs!$F$269*AM80</f>
        <v/>
      </c>
      <c r="AN81" s="13">
        <f>Time!AN43*Inputs!$F$269*AN80</f>
        <v/>
      </c>
      <c r="AO81" s="13">
        <f>Time!AO43*Inputs!$F$269*AO80</f>
        <v/>
      </c>
      <c r="AP81" s="13">
        <f>Time!AP43*Inputs!$F$269*AP80</f>
        <v/>
      </c>
      <c r="AQ81" s="13">
        <f>Time!AQ43*Inputs!$F$269*AQ80</f>
        <v/>
      </c>
      <c r="AR81" s="13">
        <f>Time!AR43*Inputs!$F$269*AR80</f>
        <v/>
      </c>
      <c r="AS81" s="13">
        <f>Time!AS43*Inputs!$F$269*AS80</f>
        <v/>
      </c>
      <c r="AT81" s="13">
        <f>Time!AT43*Inputs!$F$269*AT80</f>
        <v/>
      </c>
      <c r="AU81" s="13">
        <f>Time!AU43*Inputs!$F$269*AU80</f>
        <v/>
      </c>
      <c r="AV81" s="13">
        <f>Time!AV43*Inputs!$F$269*AV80</f>
        <v/>
      </c>
      <c r="AW81" s="13">
        <f>Time!AW43*Inputs!$F$269*AW80</f>
        <v/>
      </c>
      <c r="AX81" s="13">
        <f>Time!AX43*Inputs!$F$269*AX80</f>
        <v/>
      </c>
      <c r="AY81" s="13">
        <f>Time!AY43*Inputs!$F$269*AY80</f>
        <v/>
      </c>
      <c r="AZ81" s="13">
        <f>Time!AZ43*Inputs!$F$269*AZ80</f>
        <v/>
      </c>
      <c r="BA81" s="13">
        <f>Time!BA43*Inputs!$F$269*BA80</f>
        <v/>
      </c>
      <c r="BB81" s="13">
        <f>Time!BB43*Inputs!$F$269*BB80</f>
        <v/>
      </c>
      <c r="BC81" s="13">
        <f>Time!BC43*Inputs!$F$269*BC80</f>
        <v/>
      </c>
      <c r="BD81" s="13">
        <f>Time!BD43*Inputs!$F$269*BD80</f>
        <v/>
      </c>
      <c r="BE81" s="13">
        <f>Time!BE43*Inputs!$F$269*BE80</f>
        <v/>
      </c>
      <c r="BF81" s="13">
        <f>Time!BF43*Inputs!$F$269*BF80</f>
        <v/>
      </c>
      <c r="BG81" s="13">
        <f>Time!BG43*Inputs!$F$269*BG80</f>
        <v/>
      </c>
      <c r="BH81" s="13">
        <f>Time!BH43*Inputs!$F$269*BH80</f>
        <v/>
      </c>
      <c r="BI81" s="13">
        <f>Time!BI43*Inputs!$F$269*BI80</f>
        <v/>
      </c>
      <c r="BJ81" s="13">
        <f>Time!BJ43*Inputs!$F$269*BJ80</f>
        <v/>
      </c>
      <c r="BK81" s="13">
        <f>Time!BK43*Inputs!$F$269*BK80</f>
        <v/>
      </c>
      <c r="BL81" s="13">
        <f>Time!BL43*Inputs!$F$269*BL80</f>
        <v/>
      </c>
      <c r="BM81" s="13">
        <f>Time!BM43*Inputs!$F$269*BM80</f>
        <v/>
      </c>
      <c r="BN81" s="13">
        <f>Time!BN43*Inputs!$F$269*BN80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Time!J42*Inputs!$F$266*(J77-J83)/(J21-J27+J35-J41+J49-J55+J63-J69+J77-J83+Inputs!$F$253)</f>
        <v/>
      </c>
      <c r="K84" s="13">
        <f>Time!K42*Inputs!$F$266*(K77-K83)/(K21-K27+K35-K41+K49-K55+K63-K69+K77-K83+Inputs!$F$253)</f>
        <v/>
      </c>
      <c r="L84" s="13">
        <f>Time!L42*Inputs!$F$266*(L77-L83)/(L21-L27+L35-L41+L49-L55+L63-L69+L77-L83+Inputs!$F$253)</f>
        <v/>
      </c>
      <c r="M84" s="13">
        <f>Time!M42*Inputs!$F$266*(M77-M83)/(M21-M27+M35-M41+M49-M55+M63-M69+M77-M83+Inputs!$F$253)</f>
        <v/>
      </c>
      <c r="N84" s="13">
        <f>Time!N42*Inputs!$F$266*(N77-N83)/(N21-N27+N35-N41+N49-N55+N63-N69+N77-N83+Inputs!$F$253)</f>
        <v/>
      </c>
      <c r="O84" s="13">
        <f>Time!O42*Inputs!$F$266*(O77-O83)/(O21-O27+O35-O41+O49-O55+O63-O69+O77-O83+Inputs!$F$253)</f>
        <v/>
      </c>
      <c r="P84" s="13">
        <f>Time!P42*Inputs!$F$266*(P77-P83)/(P21-P27+P35-P41+P49-P55+P63-P69+P77-P83+Inputs!$F$253)</f>
        <v/>
      </c>
      <c r="Q84" s="13">
        <f>Time!Q42*Inputs!$F$266*(Q77-Q83)/(Q21-Q27+Q35-Q41+Q49-Q55+Q63-Q69+Q77-Q83+Inputs!$F$253)</f>
        <v/>
      </c>
      <c r="R84" s="13">
        <f>Time!R42*Inputs!$F$266*(R77-R83)/(R21-R27+R35-R41+R49-R55+R63-R69+R77-R83+Inputs!$F$253)</f>
        <v/>
      </c>
      <c r="S84" s="13">
        <f>Time!S42*Inputs!$F$266*(S77-S83)/(S21-S27+S35-S41+S49-S55+S63-S69+S77-S83+Inputs!$F$253)</f>
        <v/>
      </c>
      <c r="T84" s="13">
        <f>Time!T42*Inputs!$F$266*(T77-T83)/(T21-T27+T35-T41+T49-T55+T63-T69+T77-T83+Inputs!$F$253)</f>
        <v/>
      </c>
      <c r="U84" s="13">
        <f>Time!U42*Inputs!$F$266*(U77-U83)/(U21-U27+U35-U41+U49-U55+U63-U69+U77-U83+Inputs!$F$253)</f>
        <v/>
      </c>
      <c r="V84" s="13">
        <f>Time!V42*Inputs!$F$266*(V77-V83)/(V21-V27+V35-V41+V49-V55+V63-V69+V77-V83+Inputs!$F$253)</f>
        <v/>
      </c>
      <c r="W84" s="13">
        <f>Time!W42*Inputs!$F$266*(W77-W83)/(W21-W27+W35-W41+W49-W55+W63-W69+W77-W83+Inputs!$F$253)</f>
        <v/>
      </c>
      <c r="X84" s="13">
        <f>Time!X42*Inputs!$F$266*(X77-X83)/(X21-X27+X35-X41+X49-X55+X63-X69+X77-X83+Inputs!$F$253)</f>
        <v/>
      </c>
      <c r="Y84" s="13">
        <f>Time!Y42*Inputs!$F$266*(Y77-Y83)/(Y21-Y27+Y35-Y41+Y49-Y55+Y63-Y69+Y77-Y83+Inputs!$F$253)</f>
        <v/>
      </c>
      <c r="Z84" s="13">
        <f>Time!Z42*Inputs!$F$266*(Z77-Z83)/(Z21-Z27+Z35-Z41+Z49-Z55+Z63-Z69+Z77-Z83+Inputs!$F$253)</f>
        <v/>
      </c>
      <c r="AA84" s="13">
        <f>Time!AA42*Inputs!$F$266*(AA77-AA83)/(AA21-AA27+AA35-AA41+AA49-AA55+AA63-AA69+AA77-AA83+Inputs!$F$253)</f>
        <v/>
      </c>
      <c r="AB84" s="13">
        <f>Time!AB42*Inputs!$F$266*(AB77-AB83)/(AB21-AB27+AB35-AB41+AB49-AB55+AB63-AB69+AB77-AB83+Inputs!$F$253)</f>
        <v/>
      </c>
      <c r="AC84" s="13">
        <f>Time!AC42*Inputs!$F$266*(AC77-AC83)/(AC21-AC27+AC35-AC41+AC49-AC55+AC63-AC69+AC77-AC83+Inputs!$F$253)</f>
        <v/>
      </c>
      <c r="AD84" s="13">
        <f>Time!AD42*Inputs!$F$266*(AD77-AD83)/(AD21-AD27+AD35-AD41+AD49-AD55+AD63-AD69+AD77-AD83+Inputs!$F$253)</f>
        <v/>
      </c>
      <c r="AE84" s="13">
        <f>Time!AE42*Inputs!$F$266*(AE77-AE83)/(AE21-AE27+AE35-AE41+AE49-AE55+AE63-AE69+AE77-AE83+Inputs!$F$253)</f>
        <v/>
      </c>
      <c r="AF84" s="13">
        <f>Time!AF42*Inputs!$F$266*(AF77-AF83)/(AF21-AF27+AF35-AF41+AF49-AF55+AF63-AF69+AF77-AF83+Inputs!$F$253)</f>
        <v/>
      </c>
      <c r="AG84" s="13">
        <f>Time!AG42*Inputs!$F$266*(AG77-AG83)/(AG21-AG27+AG35-AG41+AG49-AG55+AG63-AG69+AG77-AG83+Inputs!$F$253)</f>
        <v/>
      </c>
      <c r="AH84" s="13">
        <f>Time!AH42*Inputs!$F$266*(AH77-AH83)/(AH21-AH27+AH35-AH41+AH49-AH55+AH63-AH69+AH77-AH83+Inputs!$F$253)</f>
        <v/>
      </c>
      <c r="AI84" s="13">
        <f>Time!AI42*Inputs!$F$266*(AI77-AI83)/(AI21-AI27+AI35-AI41+AI49-AI55+AI63-AI69+AI77-AI83+Inputs!$F$253)</f>
        <v/>
      </c>
      <c r="AJ84" s="13">
        <f>Time!AJ42*Inputs!$F$266*(AJ77-AJ83)/(AJ21-AJ27+AJ35-AJ41+AJ49-AJ55+AJ63-AJ69+AJ77-AJ83+Inputs!$F$253)</f>
        <v/>
      </c>
      <c r="AK84" s="13">
        <f>Time!AK42*Inputs!$F$266*(AK77-AK83)/(AK21-AK27+AK35-AK41+AK49-AK55+AK63-AK69+AK77-AK83+Inputs!$F$253)</f>
        <v/>
      </c>
      <c r="AL84" s="13">
        <f>Time!AL42*Inputs!$F$266*(AL77-AL83)/(AL21-AL27+AL35-AL41+AL49-AL55+AL63-AL69+AL77-AL83+Inputs!$F$253)</f>
        <v/>
      </c>
      <c r="AM84" s="13">
        <f>Time!AM42*Inputs!$F$266*(AM77-AM83)/(AM21-AM27+AM35-AM41+AM49-AM55+AM63-AM69+AM77-AM83+Inputs!$F$253)</f>
        <v/>
      </c>
      <c r="AN84" s="13">
        <f>Time!AN42*Inputs!$F$266*(AN77-AN83)/(AN21-AN27+AN35-AN41+AN49-AN55+AN63-AN69+AN77-AN83+Inputs!$F$253)</f>
        <v/>
      </c>
      <c r="AO84" s="13">
        <f>Time!AO42*Inputs!$F$266*(AO77-AO83)/(AO21-AO27+AO35-AO41+AO49-AO55+AO63-AO69+AO77-AO83+Inputs!$F$253)</f>
        <v/>
      </c>
      <c r="AP84" s="13">
        <f>Time!AP42*Inputs!$F$266*(AP77-AP83)/(AP21-AP27+AP35-AP41+AP49-AP55+AP63-AP69+AP77-AP83+Inputs!$F$253)</f>
        <v/>
      </c>
      <c r="AQ84" s="13">
        <f>Time!AQ42*Inputs!$F$266*(AQ77-AQ83)/(AQ21-AQ27+AQ35-AQ41+AQ49-AQ55+AQ63-AQ69+AQ77-AQ83+Inputs!$F$253)</f>
        <v/>
      </c>
      <c r="AR84" s="13">
        <f>Time!AR42*Inputs!$F$266*(AR77-AR83)/(AR21-AR27+AR35-AR41+AR49-AR55+AR63-AR69+AR77-AR83+Inputs!$F$253)</f>
        <v/>
      </c>
      <c r="AS84" s="13">
        <f>Time!AS42*Inputs!$F$266*(AS77-AS83)/(AS21-AS27+AS35-AS41+AS49-AS55+AS63-AS69+AS77-AS83+Inputs!$F$253)</f>
        <v/>
      </c>
      <c r="AT84" s="13">
        <f>Time!AT42*Inputs!$F$266*(AT77-AT83)/(AT21-AT27+AT35-AT41+AT49-AT55+AT63-AT69+AT77-AT83+Inputs!$F$253)</f>
        <v/>
      </c>
      <c r="AU84" s="13">
        <f>Time!AU42*Inputs!$F$266*(AU77-AU83)/(AU21-AU27+AU35-AU41+AU49-AU55+AU63-AU69+AU77-AU83+Inputs!$F$253)</f>
        <v/>
      </c>
      <c r="AV84" s="13">
        <f>Time!AV42*Inputs!$F$266*(AV77-AV83)/(AV21-AV27+AV35-AV41+AV49-AV55+AV63-AV69+AV77-AV83+Inputs!$F$253)</f>
        <v/>
      </c>
      <c r="AW84" s="13">
        <f>Time!AW42*Inputs!$F$266*(AW77-AW83)/(AW21-AW27+AW35-AW41+AW49-AW55+AW63-AW69+AW77-AW83+Inputs!$F$253)</f>
        <v/>
      </c>
      <c r="AX84" s="13">
        <f>Time!AX42*Inputs!$F$266*(AX77-AX83)/(AX21-AX27+AX35-AX41+AX49-AX55+AX63-AX69+AX77-AX83+Inputs!$F$253)</f>
        <v/>
      </c>
      <c r="AY84" s="13">
        <f>Time!AY42*Inputs!$F$266*(AY77-AY83)/(AY21-AY27+AY35-AY41+AY49-AY55+AY63-AY69+AY77-AY83+Inputs!$F$253)</f>
        <v/>
      </c>
      <c r="AZ84" s="13">
        <f>Time!AZ42*Inputs!$F$266*(AZ77-AZ83)/(AZ21-AZ27+AZ35-AZ41+AZ49-AZ55+AZ63-AZ69+AZ77-AZ83+Inputs!$F$253)</f>
        <v/>
      </c>
      <c r="BA84" s="13">
        <f>Time!BA42*Inputs!$F$266*(BA77-BA83)/(BA21-BA27+BA35-BA41+BA49-BA55+BA63-BA69+BA77-BA83+Inputs!$F$253)</f>
        <v/>
      </c>
      <c r="BB84" s="13">
        <f>Time!BB42*Inputs!$F$266*(BB77-BB83)/(BB21-BB27+BB35-BB41+BB49-BB55+BB63-BB69+BB77-BB83+Inputs!$F$253)</f>
        <v/>
      </c>
      <c r="BC84" s="13">
        <f>Time!BC42*Inputs!$F$266*(BC77-BC83)/(BC21-BC27+BC35-BC41+BC49-BC55+BC63-BC69+BC77-BC83+Inputs!$F$253)</f>
        <v/>
      </c>
      <c r="BD84" s="13">
        <f>Time!BD42*Inputs!$F$266*(BD77-BD83)/(BD21-BD27+BD35-BD41+BD49-BD55+BD63-BD69+BD77-BD83+Inputs!$F$253)</f>
        <v/>
      </c>
      <c r="BE84" s="13">
        <f>Time!BE42*Inputs!$F$266*(BE77-BE83)/(BE21-BE27+BE35-BE41+BE49-BE55+BE63-BE69+BE77-BE83+Inputs!$F$253)</f>
        <v/>
      </c>
      <c r="BF84" s="13">
        <f>Time!BF42*Inputs!$F$266*(BF77-BF83)/(BF21-BF27+BF35-BF41+BF49-BF55+BF63-BF69+BF77-BF83+Inputs!$F$253)</f>
        <v/>
      </c>
      <c r="BG84" s="13">
        <f>Time!BG42*Inputs!$F$266*(BG77-BG83)/(BG21-BG27+BG35-BG41+BG49-BG55+BG63-BG69+BG77-BG83+Inputs!$F$253)</f>
        <v/>
      </c>
      <c r="BH84" s="13">
        <f>Time!BH42*Inputs!$F$266*(BH77-BH83)/(BH21-BH27+BH35-BH41+BH49-BH55+BH63-BH69+BH77-BH83+Inputs!$F$253)</f>
        <v/>
      </c>
      <c r="BI84" s="13">
        <f>Time!BI42*Inputs!$F$266*(BI77-BI83)/(BI21-BI27+BI35-BI41+BI49-BI55+BI63-BI69+BI77-BI83+Inputs!$F$253)</f>
        <v/>
      </c>
      <c r="BJ84" s="13">
        <f>Time!BJ42*Inputs!$F$266*(BJ77-BJ83)/(BJ21-BJ27+BJ35-BJ41+BJ49-BJ55+BJ63-BJ69+BJ77-BJ83+Inputs!$F$253)</f>
        <v/>
      </c>
      <c r="BK84" s="13">
        <f>Time!BK42*Inputs!$F$266*(BK77-BK83)/(BK21-BK27+BK35-BK41+BK49-BK55+BK63-BK69+BK77-BK83+Inputs!$F$253)</f>
        <v/>
      </c>
      <c r="BL84" s="13">
        <f>Time!BL42*Inputs!$F$266*(BL77-BL83)/(BL21-BL27+BL35-BL41+BL49-BL55+BL63-BL69+BL77-BL83+Inputs!$F$253)</f>
        <v/>
      </c>
      <c r="BM84" s="13">
        <f>Time!BM42*Inputs!$F$266*(BM77-BM83)/(BM21-BM27+BM35-BM41+BM49-BM55+BM63-BM69+BM77-BM83+Inputs!$F$253)</f>
        <v/>
      </c>
      <c r="BN84" s="13">
        <f>Time!BN42*Inputs!$F$266*(BN77-BN83)/(BN21-BN27+BN35-BN41+BN49-BN55+BN63-BN69+BN77-BN83+Inputs!$F$253)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IF(J91&gt;0,MIN(I101*Inputs!J299,J91),0)</f>
        <v/>
      </c>
      <c r="K93" s="13">
        <f>IF(K91&gt;0,MIN(J101*Inputs!K299,K91),0)</f>
        <v/>
      </c>
      <c r="L93" s="13">
        <f>IF(L91&gt;0,MIN(K101*Inputs!L299,L91),0)</f>
        <v/>
      </c>
      <c r="M93" s="13">
        <f>IF(M91&gt;0,MIN(L101*Inputs!M299,M91),0)</f>
        <v/>
      </c>
      <c r="N93" s="13">
        <f>IF(N91&gt;0,MIN(M101*Inputs!N299,N91),0)</f>
        <v/>
      </c>
      <c r="O93" s="13">
        <f>IF(O91&gt;0,MIN(N101*Inputs!O299,O91),0)</f>
        <v/>
      </c>
      <c r="P93" s="13">
        <f>IF(P91&gt;0,MIN(O101*Inputs!P299,P91),0)</f>
        <v/>
      </c>
      <c r="Q93" s="13">
        <f>IF(Q91&gt;0,MIN(P101*Inputs!Q299,Q91),0)</f>
        <v/>
      </c>
      <c r="R93" s="13">
        <f>IF(R91&gt;0,MIN(Q101*Inputs!R299,R91),0)</f>
        <v/>
      </c>
      <c r="S93" s="13">
        <f>IF(S91&gt;0,MIN(R101*Inputs!S299,S91),0)</f>
        <v/>
      </c>
      <c r="T93" s="13">
        <f>IF(T91&gt;0,MIN(S101*Inputs!T299,T91),0)</f>
        <v/>
      </c>
      <c r="U93" s="13">
        <f>IF(U91&gt;0,MIN(T101*Inputs!U299,U91),0)</f>
        <v/>
      </c>
      <c r="V93" s="13">
        <f>IF(V91&gt;0,MIN(U101*Inputs!V299,V91),0)</f>
        <v/>
      </c>
      <c r="W93" s="13">
        <f>IF(W91&gt;0,MIN(V101*Inputs!W299,W91),0)</f>
        <v/>
      </c>
      <c r="X93" s="13">
        <f>IF(X91&gt;0,MIN(W101*Inputs!X299,X91),0)</f>
        <v/>
      </c>
      <c r="Y93" s="13">
        <f>IF(Y91&gt;0,MIN(X101*Inputs!Y299,Y91),0)</f>
        <v/>
      </c>
      <c r="Z93" s="13">
        <f>IF(Z91&gt;0,MIN(Y101*Inputs!Z299,Z91),0)</f>
        <v/>
      </c>
      <c r="AA93" s="13">
        <f>IF(AA91&gt;0,MIN(Z101*Inputs!AA299,AA91),0)</f>
        <v/>
      </c>
      <c r="AB93" s="13">
        <f>IF(AB91&gt;0,MIN(AA101*Inputs!AB299,AB91),0)</f>
        <v/>
      </c>
      <c r="AC93" s="13">
        <f>IF(AC91&gt;0,MIN(AB101*Inputs!AC299,AC91),0)</f>
        <v/>
      </c>
      <c r="AD93" s="13">
        <f>IF(AD91&gt;0,MIN(AC101*Inputs!AD299,AD91),0)</f>
        <v/>
      </c>
      <c r="AE93" s="13">
        <f>IF(AE91&gt;0,MIN(AD101*Inputs!AE299,AE91),0)</f>
        <v/>
      </c>
      <c r="AF93" s="13">
        <f>IF(AF91&gt;0,MIN(AE101*Inputs!AF299,AF91),0)</f>
        <v/>
      </c>
      <c r="AG93" s="13">
        <f>IF(AG91&gt;0,MIN(AF101*Inputs!AG299,AG91),0)</f>
        <v/>
      </c>
      <c r="AH93" s="13">
        <f>IF(AH91&gt;0,MIN(AG101*Inputs!AH299,AH91),0)</f>
        <v/>
      </c>
      <c r="AI93" s="13">
        <f>IF(AI91&gt;0,MIN(AH101*Inputs!AI299,AI91),0)</f>
        <v/>
      </c>
      <c r="AJ93" s="13">
        <f>IF(AJ91&gt;0,MIN(AI101*Inputs!AJ299,AJ91),0)</f>
        <v/>
      </c>
      <c r="AK93" s="13">
        <f>IF(AK91&gt;0,MIN(AJ101*Inputs!AK299,AK91),0)</f>
        <v/>
      </c>
      <c r="AL93" s="13">
        <f>IF(AL91&gt;0,MIN(AK101*Inputs!AL299,AL91),0)</f>
        <v/>
      </c>
      <c r="AM93" s="13">
        <f>IF(AM91&gt;0,MIN(AL101*Inputs!AM299,AM91),0)</f>
        <v/>
      </c>
      <c r="AN93" s="13">
        <f>IF(AN91&gt;0,MIN(AM101*Inputs!AN299,AN91),0)</f>
        <v/>
      </c>
      <c r="AO93" s="13">
        <f>IF(AO91&gt;0,MIN(AN101*Inputs!AO299,AO91),0)</f>
        <v/>
      </c>
      <c r="AP93" s="13">
        <f>IF(AP91&gt;0,MIN(AO101*Inputs!AP299,AP91),0)</f>
        <v/>
      </c>
      <c r="AQ93" s="13">
        <f>IF(AQ91&gt;0,MIN(AP101*Inputs!AQ299,AQ91),0)</f>
        <v/>
      </c>
      <c r="AR93" s="13">
        <f>IF(AR91&gt;0,MIN(AQ101*Inputs!AR299,AR91),0)</f>
        <v/>
      </c>
      <c r="AS93" s="13">
        <f>IF(AS91&gt;0,MIN(AR101*Inputs!AS299,AS91),0)</f>
        <v/>
      </c>
      <c r="AT93" s="13">
        <f>IF(AT91&gt;0,MIN(AS101*Inputs!AT299,AT91),0)</f>
        <v/>
      </c>
      <c r="AU93" s="13">
        <f>IF(AU91&gt;0,MIN(AT101*Inputs!AU299,AU91),0)</f>
        <v/>
      </c>
      <c r="AV93" s="13">
        <f>IF(AV91&gt;0,MIN(AU101*Inputs!AV299,AV91),0)</f>
        <v/>
      </c>
      <c r="AW93" s="13">
        <f>IF(AW91&gt;0,MIN(AV101*Inputs!AW299,AW91),0)</f>
        <v/>
      </c>
      <c r="AX93" s="13">
        <f>IF(AX91&gt;0,MIN(AW101*Inputs!AX299,AX91),0)</f>
        <v/>
      </c>
      <c r="AY93" s="13">
        <f>IF(AY91&gt;0,MIN(AX101*Inputs!AY299,AY91),0)</f>
        <v/>
      </c>
      <c r="AZ93" s="13">
        <f>IF(AZ91&gt;0,MIN(AY101*Inputs!AZ299,AZ91),0)</f>
        <v/>
      </c>
      <c r="BA93" s="13">
        <f>IF(BA91&gt;0,MIN(AZ101*Inputs!BA299,BA91),0)</f>
        <v/>
      </c>
      <c r="BB93" s="13">
        <f>IF(BB91&gt;0,MIN(BA101*Inputs!BB299,BB91),0)</f>
        <v/>
      </c>
      <c r="BC93" s="13">
        <f>IF(BC91&gt;0,MIN(BB101*Inputs!BC299,BC91),0)</f>
        <v/>
      </c>
      <c r="BD93" s="13">
        <f>IF(BD91&gt;0,MIN(BC101*Inputs!BD299,BD91),0)</f>
        <v/>
      </c>
      <c r="BE93" s="13">
        <f>IF(BE91&gt;0,MIN(BD101*Inputs!BE299,BE91),0)</f>
        <v/>
      </c>
      <c r="BF93" s="13">
        <f>IF(BF91&gt;0,MIN(BE101*Inputs!BF299,BF91),0)</f>
        <v/>
      </c>
      <c r="BG93" s="13">
        <f>IF(BG91&gt;0,MIN(BF101*Inputs!BG299,BG91),0)</f>
        <v/>
      </c>
      <c r="BH93" s="13">
        <f>IF(BH91&gt;0,MIN(BG101*Inputs!BH299,BH91),0)</f>
        <v/>
      </c>
      <c r="BI93" s="13">
        <f>IF(BI91&gt;0,MIN(BH101*Inputs!BI299,BI91),0)</f>
        <v/>
      </c>
      <c r="BJ93" s="13">
        <f>IF(BJ91&gt;0,MIN(BI101*Inputs!BJ299,BJ91),0)</f>
        <v/>
      </c>
      <c r="BK93" s="13">
        <f>IF(BK91&gt;0,MIN(BJ101*Inputs!BK299,BK91),0)</f>
        <v/>
      </c>
      <c r="BL93" s="13">
        <f>IF(BL91&gt;0,MIN(BK101*Inputs!BL299,BL91),0)</f>
        <v/>
      </c>
      <c r="BM93" s="13">
        <f>IF(BM91&gt;0,MIN(BL101*Inputs!BM299,BM91),0)</f>
        <v/>
      </c>
      <c r="BN93" s="13">
        <f>IF(BN91&gt;0,MIN(BM101*Inputs!BN299,BN91),0)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IF(Time!J23&gt;Inputs!$F$205,(1+Inputs!$F$277/100*Time!J24)^-(Time!J20-Time!$F$17),0)</f>
        <v/>
      </c>
      <c r="K97" s="11">
        <f>IF(Time!K23&gt;Inputs!$F$205,(1+Inputs!$F$277/100*Time!K24)^-(Time!K20-Time!$F$17),0)</f>
        <v/>
      </c>
      <c r="L97" s="11">
        <f>IF(Time!L23&gt;Inputs!$F$205,(1+Inputs!$F$277/100*Time!L24)^-(Time!L20-Time!$F$17),0)</f>
        <v/>
      </c>
      <c r="M97" s="11">
        <f>IF(Time!M23&gt;Inputs!$F$205,(1+Inputs!$F$277/100*Time!M24)^-(Time!M20-Time!$F$17),0)</f>
        <v/>
      </c>
      <c r="N97" s="11">
        <f>IF(Time!N23&gt;Inputs!$F$205,(1+Inputs!$F$277/100*Time!N24)^-(Time!N20-Time!$F$17),0)</f>
        <v/>
      </c>
      <c r="O97" s="11">
        <f>IF(Time!O23&gt;Inputs!$F$205,(1+Inputs!$F$277/100*Time!O24)^-(Time!O20-Time!$F$17),0)</f>
        <v/>
      </c>
      <c r="P97" s="11">
        <f>IF(Time!P23&gt;Inputs!$F$205,(1+Inputs!$F$277/100*Time!P24)^-(Time!P20-Time!$F$17),0)</f>
        <v/>
      </c>
      <c r="Q97" s="11">
        <f>IF(Time!Q23&gt;Inputs!$F$205,(1+Inputs!$F$277/100*Time!Q24)^-(Time!Q20-Time!$F$17),0)</f>
        <v/>
      </c>
      <c r="R97" s="11">
        <f>IF(Time!R23&gt;Inputs!$F$205,(1+Inputs!$F$277/100*Time!R24)^-(Time!R20-Time!$F$17),0)</f>
        <v/>
      </c>
      <c r="S97" s="11">
        <f>IF(Time!S23&gt;Inputs!$F$205,(1+Inputs!$F$277/100*Time!S24)^-(Time!S20-Time!$F$17),0)</f>
        <v/>
      </c>
      <c r="T97" s="11">
        <f>IF(Time!T23&gt;Inputs!$F$205,(1+Inputs!$F$277/100*Time!T24)^-(Time!T20-Time!$F$17),0)</f>
        <v/>
      </c>
      <c r="U97" s="11">
        <f>IF(Time!U23&gt;Inputs!$F$205,(1+Inputs!$F$277/100*Time!U24)^-(Time!U20-Time!$F$17),0)</f>
        <v/>
      </c>
      <c r="V97" s="11">
        <f>IF(Time!V23&gt;Inputs!$F$205,(1+Inputs!$F$277/100*Time!V24)^-(Time!V20-Time!$F$17),0)</f>
        <v/>
      </c>
      <c r="W97" s="11">
        <f>IF(Time!W23&gt;Inputs!$F$205,(1+Inputs!$F$277/100*Time!W24)^-(Time!W20-Time!$F$17),0)</f>
        <v/>
      </c>
      <c r="X97" s="11">
        <f>IF(Time!X23&gt;Inputs!$F$205,(1+Inputs!$F$277/100*Time!X24)^-(Time!X20-Time!$F$17),0)</f>
        <v/>
      </c>
      <c r="Y97" s="11">
        <f>IF(Time!Y23&gt;Inputs!$F$205,(1+Inputs!$F$277/100*Time!Y24)^-(Time!Y20-Time!$F$17),0)</f>
        <v/>
      </c>
      <c r="Z97" s="11">
        <f>IF(Time!Z23&gt;Inputs!$F$205,(1+Inputs!$F$277/100*Time!Z24)^-(Time!Z20-Time!$F$17),0)</f>
        <v/>
      </c>
      <c r="AA97" s="11">
        <f>IF(Time!AA23&gt;Inputs!$F$205,(1+Inputs!$F$277/100*Time!AA24)^-(Time!AA20-Time!$F$17),0)</f>
        <v/>
      </c>
      <c r="AB97" s="11">
        <f>IF(Time!AB23&gt;Inputs!$F$205,(1+Inputs!$F$277/100*Time!AB24)^-(Time!AB20-Time!$F$17),0)</f>
        <v/>
      </c>
      <c r="AC97" s="11">
        <f>IF(Time!AC23&gt;Inputs!$F$205,(1+Inputs!$F$277/100*Time!AC24)^-(Time!AC20-Time!$F$17),0)</f>
        <v/>
      </c>
      <c r="AD97" s="11">
        <f>IF(Time!AD23&gt;Inputs!$F$205,(1+Inputs!$F$277/100*Time!AD24)^-(Time!AD20-Time!$F$17),0)</f>
        <v/>
      </c>
      <c r="AE97" s="11">
        <f>IF(Time!AE23&gt;Inputs!$F$205,(1+Inputs!$F$277/100*Time!AE24)^-(Time!AE20-Time!$F$17),0)</f>
        <v/>
      </c>
      <c r="AF97" s="11">
        <f>IF(Time!AF23&gt;Inputs!$F$205,(1+Inputs!$F$277/100*Time!AF24)^-(Time!AF20-Time!$F$17),0)</f>
        <v/>
      </c>
      <c r="AG97" s="11">
        <f>IF(Time!AG23&gt;Inputs!$F$205,(1+Inputs!$F$277/100*Time!AG24)^-(Time!AG20-Time!$F$17),0)</f>
        <v/>
      </c>
      <c r="AH97" s="11">
        <f>IF(Time!AH23&gt;Inputs!$F$205,(1+Inputs!$F$277/100*Time!AH24)^-(Time!AH20-Time!$F$17),0)</f>
        <v/>
      </c>
      <c r="AI97" s="11">
        <f>IF(Time!AI23&gt;Inputs!$F$205,(1+Inputs!$F$277/100*Time!AI24)^-(Time!AI20-Time!$F$17),0)</f>
        <v/>
      </c>
      <c r="AJ97" s="11">
        <f>IF(Time!AJ23&gt;Inputs!$F$205,(1+Inputs!$F$277/100*Time!AJ24)^-(Time!AJ20-Time!$F$17),0)</f>
        <v/>
      </c>
      <c r="AK97" s="11">
        <f>IF(Time!AK23&gt;Inputs!$F$205,(1+Inputs!$F$277/100*Time!AK24)^-(Time!AK20-Time!$F$17),0)</f>
        <v/>
      </c>
      <c r="AL97" s="11">
        <f>IF(Time!AL23&gt;Inputs!$F$205,(1+Inputs!$F$277/100*Time!AL24)^-(Time!AL20-Time!$F$17),0)</f>
        <v/>
      </c>
      <c r="AM97" s="11">
        <f>IF(Time!AM23&gt;Inputs!$F$205,(1+Inputs!$F$277/100*Time!AM24)^-(Time!AM20-Time!$F$17),0)</f>
        <v/>
      </c>
      <c r="AN97" s="11">
        <f>IF(Time!AN23&gt;Inputs!$F$205,(1+Inputs!$F$277/100*Time!AN24)^-(Time!AN20-Time!$F$17),0)</f>
        <v/>
      </c>
      <c r="AO97" s="11">
        <f>IF(Time!AO23&gt;Inputs!$F$205,(1+Inputs!$F$277/100*Time!AO24)^-(Time!AO20-Time!$F$17),0)</f>
        <v/>
      </c>
      <c r="AP97" s="11">
        <f>IF(Time!AP23&gt;Inputs!$F$205,(1+Inputs!$F$277/100*Time!AP24)^-(Time!AP20-Time!$F$17),0)</f>
        <v/>
      </c>
      <c r="AQ97" s="11">
        <f>IF(Time!AQ23&gt;Inputs!$F$205,(1+Inputs!$F$277/100*Time!AQ24)^-(Time!AQ20-Time!$F$17),0)</f>
        <v/>
      </c>
      <c r="AR97" s="11">
        <f>IF(Time!AR23&gt;Inputs!$F$205,(1+Inputs!$F$277/100*Time!AR24)^-(Time!AR20-Time!$F$17),0)</f>
        <v/>
      </c>
      <c r="AS97" s="11">
        <f>IF(Time!AS23&gt;Inputs!$F$205,(1+Inputs!$F$277/100*Time!AS24)^-(Time!AS20-Time!$F$17),0)</f>
        <v/>
      </c>
      <c r="AT97" s="11">
        <f>IF(Time!AT23&gt;Inputs!$F$205,(1+Inputs!$F$277/100*Time!AT24)^-(Time!AT20-Time!$F$17),0)</f>
        <v/>
      </c>
      <c r="AU97" s="11">
        <f>IF(Time!AU23&gt;Inputs!$F$205,(1+Inputs!$F$277/100*Time!AU24)^-(Time!AU20-Time!$F$17),0)</f>
        <v/>
      </c>
      <c r="AV97" s="11">
        <f>IF(Time!AV23&gt;Inputs!$F$205,(1+Inputs!$F$277/100*Time!AV24)^-(Time!AV20-Time!$F$17),0)</f>
        <v/>
      </c>
      <c r="AW97" s="11">
        <f>IF(Time!AW23&gt;Inputs!$F$205,(1+Inputs!$F$277/100*Time!AW24)^-(Time!AW20-Time!$F$17),0)</f>
        <v/>
      </c>
      <c r="AX97" s="11">
        <f>IF(Time!AX23&gt;Inputs!$F$205,(1+Inputs!$F$277/100*Time!AX24)^-(Time!AX20-Time!$F$17),0)</f>
        <v/>
      </c>
      <c r="AY97" s="11">
        <f>IF(Time!AY23&gt;Inputs!$F$205,(1+Inputs!$F$277/100*Time!AY24)^-(Time!AY20-Time!$F$17),0)</f>
        <v/>
      </c>
      <c r="AZ97" s="11">
        <f>IF(Time!AZ23&gt;Inputs!$F$205,(1+Inputs!$F$277/100*Time!AZ24)^-(Time!AZ20-Time!$F$17),0)</f>
        <v/>
      </c>
      <c r="BA97" s="11">
        <f>IF(Time!BA23&gt;Inputs!$F$205,(1+Inputs!$F$277/100*Time!BA24)^-(Time!BA20-Time!$F$17),0)</f>
        <v/>
      </c>
      <c r="BB97" s="11">
        <f>IF(Time!BB23&gt;Inputs!$F$205,(1+Inputs!$F$277/100*Time!BB24)^-(Time!BB20-Time!$F$17),0)</f>
        <v/>
      </c>
      <c r="BC97" s="11">
        <f>IF(Time!BC23&gt;Inputs!$F$205,(1+Inputs!$F$277/100*Time!BC24)^-(Time!BC20-Time!$F$17),0)</f>
        <v/>
      </c>
      <c r="BD97" s="11">
        <f>IF(Time!BD23&gt;Inputs!$F$205,(1+Inputs!$F$277/100*Time!BD24)^-(Time!BD20-Time!$F$17),0)</f>
        <v/>
      </c>
      <c r="BE97" s="11">
        <f>IF(Time!BE23&gt;Inputs!$F$205,(1+Inputs!$F$277/100*Time!BE24)^-(Time!BE20-Time!$F$17),0)</f>
        <v/>
      </c>
      <c r="BF97" s="11">
        <f>IF(Time!BF23&gt;Inputs!$F$205,(1+Inputs!$F$277/100*Time!BF24)^-(Time!BF20-Time!$F$17),0)</f>
        <v/>
      </c>
      <c r="BG97" s="11">
        <f>IF(Time!BG23&gt;Inputs!$F$205,(1+Inputs!$F$277/100*Time!BG24)^-(Time!BG20-Time!$F$17),0)</f>
        <v/>
      </c>
      <c r="BH97" s="11">
        <f>IF(Time!BH23&gt;Inputs!$F$205,(1+Inputs!$F$277/100*Time!BH24)^-(Time!BH20-Time!$F$17),0)</f>
        <v/>
      </c>
      <c r="BI97" s="11">
        <f>IF(Time!BI23&gt;Inputs!$F$205,(1+Inputs!$F$277/100*Time!BI24)^-(Time!BI20-Time!$F$17),0)</f>
        <v/>
      </c>
      <c r="BJ97" s="11">
        <f>IF(Time!BJ23&gt;Inputs!$F$205,(1+Inputs!$F$277/100*Time!BJ24)^-(Time!BJ20-Time!$F$17),0)</f>
        <v/>
      </c>
      <c r="BK97" s="11">
        <f>IF(Time!BK23&gt;Inputs!$F$205,(1+Inputs!$F$277/100*Time!BK24)^-(Time!BK20-Time!$F$17),0)</f>
        <v/>
      </c>
      <c r="BL97" s="11">
        <f>IF(Time!BL23&gt;Inputs!$F$205,(1+Inputs!$F$277/100*Time!BL24)^-(Time!BL20-Time!$F$17),0)</f>
        <v/>
      </c>
      <c r="BM97" s="11">
        <f>IF(Time!BM23&gt;Inputs!$F$205,(1+Inputs!$F$277/100*Time!BM24)^-(Time!BM20-Time!$F$17),0)</f>
        <v/>
      </c>
      <c r="BN97" s="11">
        <f>IF(Time!BN23&gt;Inputs!$F$205,(1+Inputs!$F$277/100*Time!BN24)^-(Time!BN20-Time!$F$17),0)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Inputs!$F$50*Inputs!$F$278*(Inputs!$F$277-Inputs!$F$97)/100*SUMPRODUCT(Inputs!$J$300:$BN$300,$J$97:$BN$97,Time!$J$24:$BN$24)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Time!J47*(J99+Inputs!$F$273+Inputs!$F$276/100*Inputs!$F$274-$F$98)/(Inputs!$F$271-Inputs!$F$272)</f>
        <v/>
      </c>
      <c r="K100" s="13">
        <f>Time!K47*(K99+Inputs!$F$273+Inputs!$F$276/100*Inputs!$F$274-$F$98)/(Inputs!$F$271-Inputs!$F$272)</f>
        <v/>
      </c>
      <c r="L100" s="13">
        <f>Time!L47*(L99+Inputs!$F$273+Inputs!$F$276/100*Inputs!$F$274-$F$98)/(Inputs!$F$271-Inputs!$F$272)</f>
        <v/>
      </c>
      <c r="M100" s="13">
        <f>Time!M47*(M99+Inputs!$F$273+Inputs!$F$276/100*Inputs!$F$274-$F$98)/(Inputs!$F$271-Inputs!$F$272)</f>
        <v/>
      </c>
      <c r="N100" s="13">
        <f>Time!N47*(N99+Inputs!$F$273+Inputs!$F$276/100*Inputs!$F$274-$F$98)/(Inputs!$F$271-Inputs!$F$272)</f>
        <v/>
      </c>
      <c r="O100" s="13">
        <f>Time!O47*(O99+Inputs!$F$273+Inputs!$F$276/100*Inputs!$F$274-$F$98)/(Inputs!$F$271-Inputs!$F$272)</f>
        <v/>
      </c>
      <c r="P100" s="13">
        <f>Time!P47*(P99+Inputs!$F$273+Inputs!$F$276/100*Inputs!$F$274-$F$98)/(Inputs!$F$271-Inputs!$F$272)</f>
        <v/>
      </c>
      <c r="Q100" s="13">
        <f>Time!Q47*(Q99+Inputs!$F$273+Inputs!$F$276/100*Inputs!$F$274-$F$98)/(Inputs!$F$271-Inputs!$F$272)</f>
        <v/>
      </c>
      <c r="R100" s="13">
        <f>Time!R47*(R99+Inputs!$F$273+Inputs!$F$276/100*Inputs!$F$274-$F$98)/(Inputs!$F$271-Inputs!$F$272)</f>
        <v/>
      </c>
      <c r="S100" s="13">
        <f>Time!S47*(S99+Inputs!$F$273+Inputs!$F$276/100*Inputs!$F$274-$F$98)/(Inputs!$F$271-Inputs!$F$272)</f>
        <v/>
      </c>
      <c r="T100" s="13">
        <f>Time!T47*(T99+Inputs!$F$273+Inputs!$F$276/100*Inputs!$F$274-$F$98)/(Inputs!$F$271-Inputs!$F$272)</f>
        <v/>
      </c>
      <c r="U100" s="13">
        <f>Time!U47*(U99+Inputs!$F$273+Inputs!$F$276/100*Inputs!$F$274-$F$98)/(Inputs!$F$271-Inputs!$F$272)</f>
        <v/>
      </c>
      <c r="V100" s="13">
        <f>Time!V47*(V99+Inputs!$F$273+Inputs!$F$276/100*Inputs!$F$274-$F$98)/(Inputs!$F$271-Inputs!$F$272)</f>
        <v/>
      </c>
      <c r="W100" s="13">
        <f>Time!W47*(W99+Inputs!$F$273+Inputs!$F$276/100*Inputs!$F$274-$F$98)/(Inputs!$F$271-Inputs!$F$272)</f>
        <v/>
      </c>
      <c r="X100" s="13">
        <f>Time!X47*(X99+Inputs!$F$273+Inputs!$F$276/100*Inputs!$F$274-$F$98)/(Inputs!$F$271-Inputs!$F$272)</f>
        <v/>
      </c>
      <c r="Y100" s="13">
        <f>Time!Y47*(Y99+Inputs!$F$273+Inputs!$F$276/100*Inputs!$F$274-$F$98)/(Inputs!$F$271-Inputs!$F$272)</f>
        <v/>
      </c>
      <c r="Z100" s="13">
        <f>Time!Z47*(Z99+Inputs!$F$273+Inputs!$F$276/100*Inputs!$F$274-$F$98)/(Inputs!$F$271-Inputs!$F$272)</f>
        <v/>
      </c>
      <c r="AA100" s="13">
        <f>Time!AA47*(AA99+Inputs!$F$273+Inputs!$F$276/100*Inputs!$F$274-$F$98)/(Inputs!$F$271-Inputs!$F$272)</f>
        <v/>
      </c>
      <c r="AB100" s="13">
        <f>Time!AB47*(AB99+Inputs!$F$273+Inputs!$F$276/100*Inputs!$F$274-$F$98)/(Inputs!$F$271-Inputs!$F$272)</f>
        <v/>
      </c>
      <c r="AC100" s="13">
        <f>Time!AC47*(AC99+Inputs!$F$273+Inputs!$F$276/100*Inputs!$F$274-$F$98)/(Inputs!$F$271-Inputs!$F$272)</f>
        <v/>
      </c>
      <c r="AD100" s="13">
        <f>Time!AD47*(AD99+Inputs!$F$273+Inputs!$F$276/100*Inputs!$F$274-$F$98)/(Inputs!$F$271-Inputs!$F$272)</f>
        <v/>
      </c>
      <c r="AE100" s="13">
        <f>Time!AE47*(AE99+Inputs!$F$273+Inputs!$F$276/100*Inputs!$F$274-$F$98)/(Inputs!$F$271-Inputs!$F$272)</f>
        <v/>
      </c>
      <c r="AF100" s="13">
        <f>Time!AF47*(AF99+Inputs!$F$273+Inputs!$F$276/100*Inputs!$F$274-$F$98)/(Inputs!$F$271-Inputs!$F$272)</f>
        <v/>
      </c>
      <c r="AG100" s="13">
        <f>Time!AG47*(AG99+Inputs!$F$273+Inputs!$F$276/100*Inputs!$F$274-$F$98)/(Inputs!$F$271-Inputs!$F$272)</f>
        <v/>
      </c>
      <c r="AH100" s="13">
        <f>Time!AH47*(AH99+Inputs!$F$273+Inputs!$F$276/100*Inputs!$F$274-$F$98)/(Inputs!$F$271-Inputs!$F$272)</f>
        <v/>
      </c>
      <c r="AI100" s="13">
        <f>Time!AI47*(AI99+Inputs!$F$273+Inputs!$F$276/100*Inputs!$F$274-$F$98)/(Inputs!$F$271-Inputs!$F$272)</f>
        <v/>
      </c>
      <c r="AJ100" s="13">
        <f>Time!AJ47*(AJ99+Inputs!$F$273+Inputs!$F$276/100*Inputs!$F$274-$F$98)/(Inputs!$F$271-Inputs!$F$272)</f>
        <v/>
      </c>
      <c r="AK100" s="13">
        <f>Time!AK47*(AK99+Inputs!$F$273+Inputs!$F$276/100*Inputs!$F$274-$F$98)/(Inputs!$F$271-Inputs!$F$272)</f>
        <v/>
      </c>
      <c r="AL100" s="13">
        <f>Time!AL47*(AL99+Inputs!$F$273+Inputs!$F$276/100*Inputs!$F$274-$F$98)/(Inputs!$F$271-Inputs!$F$272)</f>
        <v/>
      </c>
      <c r="AM100" s="13">
        <f>Time!AM47*(AM99+Inputs!$F$273+Inputs!$F$276/100*Inputs!$F$274-$F$98)/(Inputs!$F$271-Inputs!$F$272)</f>
        <v/>
      </c>
      <c r="AN100" s="13">
        <f>Time!AN47*(AN99+Inputs!$F$273+Inputs!$F$276/100*Inputs!$F$274-$F$98)/(Inputs!$F$271-Inputs!$F$272)</f>
        <v/>
      </c>
      <c r="AO100" s="13">
        <f>Time!AO47*(AO99+Inputs!$F$273+Inputs!$F$276/100*Inputs!$F$274-$F$98)/(Inputs!$F$271-Inputs!$F$272)</f>
        <v/>
      </c>
      <c r="AP100" s="13">
        <f>Time!AP47*(AP99+Inputs!$F$273+Inputs!$F$276/100*Inputs!$F$274-$F$98)/(Inputs!$F$271-Inputs!$F$272)</f>
        <v/>
      </c>
      <c r="AQ100" s="13">
        <f>Time!AQ47*(AQ99+Inputs!$F$273+Inputs!$F$276/100*Inputs!$F$274-$F$98)/(Inputs!$F$271-Inputs!$F$272)</f>
        <v/>
      </c>
      <c r="AR100" s="13">
        <f>Time!AR47*(AR99+Inputs!$F$273+Inputs!$F$276/100*Inputs!$F$274-$F$98)/(Inputs!$F$271-Inputs!$F$272)</f>
        <v/>
      </c>
      <c r="AS100" s="13">
        <f>Time!AS47*(AS99+Inputs!$F$273+Inputs!$F$276/100*Inputs!$F$274-$F$98)/(Inputs!$F$271-Inputs!$F$272)</f>
        <v/>
      </c>
      <c r="AT100" s="13">
        <f>Time!AT47*(AT99+Inputs!$F$273+Inputs!$F$276/100*Inputs!$F$274-$F$98)/(Inputs!$F$271-Inputs!$F$272)</f>
        <v/>
      </c>
      <c r="AU100" s="13">
        <f>Time!AU47*(AU99+Inputs!$F$273+Inputs!$F$276/100*Inputs!$F$274-$F$98)/(Inputs!$F$271-Inputs!$F$272)</f>
        <v/>
      </c>
      <c r="AV100" s="13">
        <f>Time!AV47*(AV99+Inputs!$F$273+Inputs!$F$276/100*Inputs!$F$274-$F$98)/(Inputs!$F$271-Inputs!$F$272)</f>
        <v/>
      </c>
      <c r="AW100" s="13">
        <f>Time!AW47*(AW99+Inputs!$F$273+Inputs!$F$276/100*Inputs!$F$274-$F$98)/(Inputs!$F$271-Inputs!$F$272)</f>
        <v/>
      </c>
      <c r="AX100" s="13">
        <f>Time!AX47*(AX99+Inputs!$F$273+Inputs!$F$276/100*Inputs!$F$274-$F$98)/(Inputs!$F$271-Inputs!$F$272)</f>
        <v/>
      </c>
      <c r="AY100" s="13">
        <f>Time!AY47*(AY99+Inputs!$F$273+Inputs!$F$276/100*Inputs!$F$274-$F$98)/(Inputs!$F$271-Inputs!$F$272)</f>
        <v/>
      </c>
      <c r="AZ100" s="13">
        <f>Time!AZ47*(AZ99+Inputs!$F$273+Inputs!$F$276/100*Inputs!$F$274-$F$98)/(Inputs!$F$271-Inputs!$F$272)</f>
        <v/>
      </c>
      <c r="BA100" s="13">
        <f>Time!BA47*(BA99+Inputs!$F$273+Inputs!$F$276/100*Inputs!$F$274-$F$98)/(Inputs!$F$271-Inputs!$F$272)</f>
        <v/>
      </c>
      <c r="BB100" s="13">
        <f>Time!BB47*(BB99+Inputs!$F$273+Inputs!$F$276/100*Inputs!$F$274-$F$98)/(Inputs!$F$271-Inputs!$F$272)</f>
        <v/>
      </c>
      <c r="BC100" s="13">
        <f>Time!BC47*(BC99+Inputs!$F$273+Inputs!$F$276/100*Inputs!$F$274-$F$98)/(Inputs!$F$271-Inputs!$F$272)</f>
        <v/>
      </c>
      <c r="BD100" s="13">
        <f>Time!BD47*(BD99+Inputs!$F$273+Inputs!$F$276/100*Inputs!$F$274-$F$98)/(Inputs!$F$271-Inputs!$F$272)</f>
        <v/>
      </c>
      <c r="BE100" s="13">
        <f>Time!BE47*(BE99+Inputs!$F$273+Inputs!$F$276/100*Inputs!$F$274-$F$98)/(Inputs!$F$271-Inputs!$F$272)</f>
        <v/>
      </c>
      <c r="BF100" s="13">
        <f>Time!BF47*(BF99+Inputs!$F$273+Inputs!$F$276/100*Inputs!$F$274-$F$98)/(Inputs!$F$271-Inputs!$F$272)</f>
        <v/>
      </c>
      <c r="BG100" s="13">
        <f>Time!BG47*(BG99+Inputs!$F$273+Inputs!$F$276/100*Inputs!$F$274-$F$98)/(Inputs!$F$271-Inputs!$F$272)</f>
        <v/>
      </c>
      <c r="BH100" s="13">
        <f>Time!BH47*(BH99+Inputs!$F$273+Inputs!$F$276/100*Inputs!$F$274-$F$98)/(Inputs!$F$271-Inputs!$F$272)</f>
        <v/>
      </c>
      <c r="BI100" s="13">
        <f>Time!BI47*(BI99+Inputs!$F$273+Inputs!$F$276/100*Inputs!$F$274-$F$98)/(Inputs!$F$271-Inputs!$F$272)</f>
        <v/>
      </c>
      <c r="BJ100" s="13">
        <f>Time!BJ47*(BJ99+Inputs!$F$273+Inputs!$F$276/100*Inputs!$F$274-$F$98)/(Inputs!$F$271-Inputs!$F$272)</f>
        <v/>
      </c>
      <c r="BK100" s="13">
        <f>Time!BK47*(BK99+Inputs!$F$273+Inputs!$F$276/100*Inputs!$F$274-$F$98)/(Inputs!$F$271-Inputs!$F$272)</f>
        <v/>
      </c>
      <c r="BL100" s="13">
        <f>Time!BL47*(BL99+Inputs!$F$273+Inputs!$F$276/100*Inputs!$F$274-$F$98)/(Inputs!$F$271-Inputs!$F$272)</f>
        <v/>
      </c>
      <c r="BM100" s="13">
        <f>Time!BM47*(BM99+Inputs!$F$273+Inputs!$F$276/100*Inputs!$F$274-$F$98)/(Inputs!$F$271-Inputs!$F$272)</f>
        <v/>
      </c>
      <c r="BN100" s="13">
        <f>Time!BN47*(BN99+Inputs!$F$273+Inputs!$F$276/100*Inputs!$F$274-$F$98)/(Inputs!$F$271-Inputs!$F$272)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J100*(1-Inputs!$F$271)+Inputs!$F$272*J100+Time!J47*(Inputs!$F$273+Inputs!$F$276/100*Inputs!$F$274)</f>
        <v/>
      </c>
      <c r="K104" s="13">
        <f>K100*(1-Inputs!$F$271)+Inputs!$F$272*K100+Time!K47*(Inputs!$F$273+Inputs!$F$276/100*Inputs!$F$274)</f>
        <v/>
      </c>
      <c r="L104" s="13">
        <f>L100*(1-Inputs!$F$271)+Inputs!$F$272*L100+Time!L47*(Inputs!$F$273+Inputs!$F$276/100*Inputs!$F$274)</f>
        <v/>
      </c>
      <c r="M104" s="13">
        <f>M100*(1-Inputs!$F$271)+Inputs!$F$272*M100+Time!M47*(Inputs!$F$273+Inputs!$F$276/100*Inputs!$F$274)</f>
        <v/>
      </c>
      <c r="N104" s="13">
        <f>N100*(1-Inputs!$F$271)+Inputs!$F$272*N100+Time!N47*(Inputs!$F$273+Inputs!$F$276/100*Inputs!$F$274)</f>
        <v/>
      </c>
      <c r="O104" s="13">
        <f>O100*(1-Inputs!$F$271)+Inputs!$F$272*O100+Time!O47*(Inputs!$F$273+Inputs!$F$276/100*Inputs!$F$274)</f>
        <v/>
      </c>
      <c r="P104" s="13">
        <f>P100*(1-Inputs!$F$271)+Inputs!$F$272*P100+Time!P47*(Inputs!$F$273+Inputs!$F$276/100*Inputs!$F$274)</f>
        <v/>
      </c>
      <c r="Q104" s="13">
        <f>Q100*(1-Inputs!$F$271)+Inputs!$F$272*Q100+Time!Q47*(Inputs!$F$273+Inputs!$F$276/100*Inputs!$F$274)</f>
        <v/>
      </c>
      <c r="R104" s="13">
        <f>R100*(1-Inputs!$F$271)+Inputs!$F$272*R100+Time!R47*(Inputs!$F$273+Inputs!$F$276/100*Inputs!$F$274)</f>
        <v/>
      </c>
      <c r="S104" s="13">
        <f>S100*(1-Inputs!$F$271)+Inputs!$F$272*S100+Time!S47*(Inputs!$F$273+Inputs!$F$276/100*Inputs!$F$274)</f>
        <v/>
      </c>
      <c r="T104" s="13">
        <f>T100*(1-Inputs!$F$271)+Inputs!$F$272*T100+Time!T47*(Inputs!$F$273+Inputs!$F$276/100*Inputs!$F$274)</f>
        <v/>
      </c>
      <c r="U104" s="13">
        <f>U100*(1-Inputs!$F$271)+Inputs!$F$272*U100+Time!U47*(Inputs!$F$273+Inputs!$F$276/100*Inputs!$F$274)</f>
        <v/>
      </c>
      <c r="V104" s="13">
        <f>V100*(1-Inputs!$F$271)+Inputs!$F$272*V100+Time!V47*(Inputs!$F$273+Inputs!$F$276/100*Inputs!$F$274)</f>
        <v/>
      </c>
      <c r="W104" s="13">
        <f>W100*(1-Inputs!$F$271)+Inputs!$F$272*W100+Time!W47*(Inputs!$F$273+Inputs!$F$276/100*Inputs!$F$274)</f>
        <v/>
      </c>
      <c r="X104" s="13">
        <f>X100*(1-Inputs!$F$271)+Inputs!$F$272*X100+Time!X47*(Inputs!$F$273+Inputs!$F$276/100*Inputs!$F$274)</f>
        <v/>
      </c>
      <c r="Y104" s="13">
        <f>Y100*(1-Inputs!$F$271)+Inputs!$F$272*Y100+Time!Y47*(Inputs!$F$273+Inputs!$F$276/100*Inputs!$F$274)</f>
        <v/>
      </c>
      <c r="Z104" s="13">
        <f>Z100*(1-Inputs!$F$271)+Inputs!$F$272*Z100+Time!Z47*(Inputs!$F$273+Inputs!$F$276/100*Inputs!$F$274)</f>
        <v/>
      </c>
      <c r="AA104" s="13">
        <f>AA100*(1-Inputs!$F$271)+Inputs!$F$272*AA100+Time!AA47*(Inputs!$F$273+Inputs!$F$276/100*Inputs!$F$274)</f>
        <v/>
      </c>
      <c r="AB104" s="13">
        <f>AB100*(1-Inputs!$F$271)+Inputs!$F$272*AB100+Time!AB47*(Inputs!$F$273+Inputs!$F$276/100*Inputs!$F$274)</f>
        <v/>
      </c>
      <c r="AC104" s="13">
        <f>AC100*(1-Inputs!$F$271)+Inputs!$F$272*AC100+Time!AC47*(Inputs!$F$273+Inputs!$F$276/100*Inputs!$F$274)</f>
        <v/>
      </c>
      <c r="AD104" s="13">
        <f>AD100*(1-Inputs!$F$271)+Inputs!$F$272*AD100+Time!AD47*(Inputs!$F$273+Inputs!$F$276/100*Inputs!$F$274)</f>
        <v/>
      </c>
      <c r="AE104" s="13">
        <f>AE100*(1-Inputs!$F$271)+Inputs!$F$272*AE100+Time!AE47*(Inputs!$F$273+Inputs!$F$276/100*Inputs!$F$274)</f>
        <v/>
      </c>
      <c r="AF104" s="13">
        <f>AF100*(1-Inputs!$F$271)+Inputs!$F$272*AF100+Time!AF47*(Inputs!$F$273+Inputs!$F$276/100*Inputs!$F$274)</f>
        <v/>
      </c>
      <c r="AG104" s="13">
        <f>AG100*(1-Inputs!$F$271)+Inputs!$F$272*AG100+Time!AG47*(Inputs!$F$273+Inputs!$F$276/100*Inputs!$F$274)</f>
        <v/>
      </c>
      <c r="AH104" s="13">
        <f>AH100*(1-Inputs!$F$271)+Inputs!$F$272*AH100+Time!AH47*(Inputs!$F$273+Inputs!$F$276/100*Inputs!$F$274)</f>
        <v/>
      </c>
      <c r="AI104" s="13">
        <f>AI100*(1-Inputs!$F$271)+Inputs!$F$272*AI100+Time!AI47*(Inputs!$F$273+Inputs!$F$276/100*Inputs!$F$274)</f>
        <v/>
      </c>
      <c r="AJ104" s="13">
        <f>AJ100*(1-Inputs!$F$271)+Inputs!$F$272*AJ100+Time!AJ47*(Inputs!$F$273+Inputs!$F$276/100*Inputs!$F$274)</f>
        <v/>
      </c>
      <c r="AK104" s="13">
        <f>AK100*(1-Inputs!$F$271)+Inputs!$F$272*AK100+Time!AK47*(Inputs!$F$273+Inputs!$F$276/100*Inputs!$F$274)</f>
        <v/>
      </c>
      <c r="AL104" s="13">
        <f>AL100*(1-Inputs!$F$271)+Inputs!$F$272*AL100+Time!AL47*(Inputs!$F$273+Inputs!$F$276/100*Inputs!$F$274)</f>
        <v/>
      </c>
      <c r="AM104" s="13">
        <f>AM100*(1-Inputs!$F$271)+Inputs!$F$272*AM100+Time!AM47*(Inputs!$F$273+Inputs!$F$276/100*Inputs!$F$274)</f>
        <v/>
      </c>
      <c r="AN104" s="13">
        <f>AN100*(1-Inputs!$F$271)+Inputs!$F$272*AN100+Time!AN47*(Inputs!$F$273+Inputs!$F$276/100*Inputs!$F$274)</f>
        <v/>
      </c>
      <c r="AO104" s="13">
        <f>AO100*(1-Inputs!$F$271)+Inputs!$F$272*AO100+Time!AO47*(Inputs!$F$273+Inputs!$F$276/100*Inputs!$F$274)</f>
        <v/>
      </c>
      <c r="AP104" s="13">
        <f>AP100*(1-Inputs!$F$271)+Inputs!$F$272*AP100+Time!AP47*(Inputs!$F$273+Inputs!$F$276/100*Inputs!$F$274)</f>
        <v/>
      </c>
      <c r="AQ104" s="13">
        <f>AQ100*(1-Inputs!$F$271)+Inputs!$F$272*AQ100+Time!AQ47*(Inputs!$F$273+Inputs!$F$276/100*Inputs!$F$274)</f>
        <v/>
      </c>
      <c r="AR104" s="13">
        <f>AR100*(1-Inputs!$F$271)+Inputs!$F$272*AR100+Time!AR47*(Inputs!$F$273+Inputs!$F$276/100*Inputs!$F$274)</f>
        <v/>
      </c>
      <c r="AS104" s="13">
        <f>AS100*(1-Inputs!$F$271)+Inputs!$F$272*AS100+Time!AS47*(Inputs!$F$273+Inputs!$F$276/100*Inputs!$F$274)</f>
        <v/>
      </c>
      <c r="AT104" s="13">
        <f>AT100*(1-Inputs!$F$271)+Inputs!$F$272*AT100+Time!AT47*(Inputs!$F$273+Inputs!$F$276/100*Inputs!$F$274)</f>
        <v/>
      </c>
      <c r="AU104" s="13">
        <f>AU100*(1-Inputs!$F$271)+Inputs!$F$272*AU100+Time!AU47*(Inputs!$F$273+Inputs!$F$276/100*Inputs!$F$274)</f>
        <v/>
      </c>
      <c r="AV104" s="13">
        <f>AV100*(1-Inputs!$F$271)+Inputs!$F$272*AV100+Time!AV47*(Inputs!$F$273+Inputs!$F$276/100*Inputs!$F$274)</f>
        <v/>
      </c>
      <c r="AW104" s="13">
        <f>AW100*(1-Inputs!$F$271)+Inputs!$F$272*AW100+Time!AW47*(Inputs!$F$273+Inputs!$F$276/100*Inputs!$F$274)</f>
        <v/>
      </c>
      <c r="AX104" s="13">
        <f>AX100*(1-Inputs!$F$271)+Inputs!$F$272*AX100+Time!AX47*(Inputs!$F$273+Inputs!$F$276/100*Inputs!$F$274)</f>
        <v/>
      </c>
      <c r="AY104" s="13">
        <f>AY100*(1-Inputs!$F$271)+Inputs!$F$272*AY100+Time!AY47*(Inputs!$F$273+Inputs!$F$276/100*Inputs!$F$274)</f>
        <v/>
      </c>
      <c r="AZ104" s="13">
        <f>AZ100*(1-Inputs!$F$271)+Inputs!$F$272*AZ100+Time!AZ47*(Inputs!$F$273+Inputs!$F$276/100*Inputs!$F$274)</f>
        <v/>
      </c>
      <c r="BA104" s="13">
        <f>BA100*(1-Inputs!$F$271)+Inputs!$F$272*BA100+Time!BA47*(Inputs!$F$273+Inputs!$F$276/100*Inputs!$F$274)</f>
        <v/>
      </c>
      <c r="BB104" s="13">
        <f>BB100*(1-Inputs!$F$271)+Inputs!$F$272*BB100+Time!BB47*(Inputs!$F$273+Inputs!$F$276/100*Inputs!$F$274)</f>
        <v/>
      </c>
      <c r="BC104" s="13">
        <f>BC100*(1-Inputs!$F$271)+Inputs!$F$272*BC100+Time!BC47*(Inputs!$F$273+Inputs!$F$276/100*Inputs!$F$274)</f>
        <v/>
      </c>
      <c r="BD104" s="13">
        <f>BD100*(1-Inputs!$F$271)+Inputs!$F$272*BD100+Time!BD47*(Inputs!$F$273+Inputs!$F$276/100*Inputs!$F$274)</f>
        <v/>
      </c>
      <c r="BE104" s="13">
        <f>BE100*(1-Inputs!$F$271)+Inputs!$F$272*BE100+Time!BE47*(Inputs!$F$273+Inputs!$F$276/100*Inputs!$F$274)</f>
        <v/>
      </c>
      <c r="BF104" s="13">
        <f>BF100*(1-Inputs!$F$271)+Inputs!$F$272*BF100+Time!BF47*(Inputs!$F$273+Inputs!$F$276/100*Inputs!$F$274)</f>
        <v/>
      </c>
      <c r="BG104" s="13">
        <f>BG100*(1-Inputs!$F$271)+Inputs!$F$272*BG100+Time!BG47*(Inputs!$F$273+Inputs!$F$276/100*Inputs!$F$274)</f>
        <v/>
      </c>
      <c r="BH104" s="13">
        <f>BH100*(1-Inputs!$F$271)+Inputs!$F$272*BH100+Time!BH47*(Inputs!$F$273+Inputs!$F$276/100*Inputs!$F$274)</f>
        <v/>
      </c>
      <c r="BI104" s="13">
        <f>BI100*(1-Inputs!$F$271)+Inputs!$F$272*BI100+Time!BI47*(Inputs!$F$273+Inputs!$F$276/100*Inputs!$F$274)</f>
        <v/>
      </c>
      <c r="BJ104" s="13">
        <f>BJ100*(1-Inputs!$F$271)+Inputs!$F$272*BJ100+Time!BJ47*(Inputs!$F$273+Inputs!$F$276/100*Inputs!$F$274)</f>
        <v/>
      </c>
      <c r="BK104" s="13">
        <f>BK100*(1-Inputs!$F$271)+Inputs!$F$272*BK100+Time!BK47*(Inputs!$F$273+Inputs!$F$276/100*Inputs!$F$274)</f>
        <v/>
      </c>
      <c r="BL104" s="13">
        <f>BL100*(1-Inputs!$F$271)+Inputs!$F$272*BL100+Time!BL47*(Inputs!$F$273+Inputs!$F$276/100*Inputs!$F$274)</f>
        <v/>
      </c>
      <c r="BM104" s="13">
        <f>BM100*(1-Inputs!$F$271)+Inputs!$F$272*BM100+Time!BM47*(Inputs!$F$273+Inputs!$F$276/100*Inputs!$F$274)</f>
        <v/>
      </c>
      <c r="BN104" s="13">
        <f>BN100*(1-Inputs!$F$271)+Inputs!$F$272*BN100+Time!BN47*(Inputs!$F$273+Inputs!$F$276/100*Inputs!$F$274)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IF(Time!J48=1,Inputs!$F$279,1)</f>
        <v/>
      </c>
      <c r="K106" s="13">
        <f>IF(Time!K48=1,Inputs!$F$279,1)</f>
        <v/>
      </c>
      <c r="L106" s="13">
        <f>IF(Time!L48=1,Inputs!$F$279,1)</f>
        <v/>
      </c>
      <c r="M106" s="13">
        <f>IF(Time!M48=1,Inputs!$F$279,1)</f>
        <v/>
      </c>
      <c r="N106" s="13">
        <f>IF(Time!N48=1,Inputs!$F$279,1)</f>
        <v/>
      </c>
      <c r="O106" s="13">
        <f>IF(Time!O48=1,Inputs!$F$279,1)</f>
        <v/>
      </c>
      <c r="P106" s="13">
        <f>IF(Time!P48=1,Inputs!$F$279,1)</f>
        <v/>
      </c>
      <c r="Q106" s="13">
        <f>IF(Time!Q48=1,Inputs!$F$279,1)</f>
        <v/>
      </c>
      <c r="R106" s="13">
        <f>IF(Time!R48=1,Inputs!$F$279,1)</f>
        <v/>
      </c>
      <c r="S106" s="13">
        <f>IF(Time!S48=1,Inputs!$F$279,1)</f>
        <v/>
      </c>
      <c r="T106" s="13">
        <f>IF(Time!T48=1,Inputs!$F$279,1)</f>
        <v/>
      </c>
      <c r="U106" s="13">
        <f>IF(Time!U48=1,Inputs!$F$279,1)</f>
        <v/>
      </c>
      <c r="V106" s="13">
        <f>IF(Time!V48=1,Inputs!$F$279,1)</f>
        <v/>
      </c>
      <c r="W106" s="13">
        <f>IF(Time!W48=1,Inputs!$F$279,1)</f>
        <v/>
      </c>
      <c r="X106" s="13">
        <f>IF(Time!X48=1,Inputs!$F$279,1)</f>
        <v/>
      </c>
      <c r="Y106" s="13">
        <f>IF(Time!Y48=1,Inputs!$F$279,1)</f>
        <v/>
      </c>
      <c r="Z106" s="13">
        <f>IF(Time!Z48=1,Inputs!$F$279,1)</f>
        <v/>
      </c>
      <c r="AA106" s="13">
        <f>IF(Time!AA48=1,Inputs!$F$279,1)</f>
        <v/>
      </c>
      <c r="AB106" s="13">
        <f>IF(Time!AB48=1,Inputs!$F$279,1)</f>
        <v/>
      </c>
      <c r="AC106" s="13">
        <f>IF(Time!AC48=1,Inputs!$F$279,1)</f>
        <v/>
      </c>
      <c r="AD106" s="13">
        <f>IF(Time!AD48=1,Inputs!$F$279,1)</f>
        <v/>
      </c>
      <c r="AE106" s="13">
        <f>IF(Time!AE48=1,Inputs!$F$279,1)</f>
        <v/>
      </c>
      <c r="AF106" s="13">
        <f>IF(Time!AF48=1,Inputs!$F$279,1)</f>
        <v/>
      </c>
      <c r="AG106" s="13">
        <f>IF(Time!AG48=1,Inputs!$F$279,1)</f>
        <v/>
      </c>
      <c r="AH106" s="13">
        <f>IF(Time!AH48=1,Inputs!$F$279,1)</f>
        <v/>
      </c>
      <c r="AI106" s="13">
        <f>IF(Time!AI48=1,Inputs!$F$279,1)</f>
        <v/>
      </c>
      <c r="AJ106" s="13">
        <f>IF(Time!AJ48=1,Inputs!$F$279,1)</f>
        <v/>
      </c>
      <c r="AK106" s="13">
        <f>IF(Time!AK48=1,Inputs!$F$279,1)</f>
        <v/>
      </c>
      <c r="AL106" s="13">
        <f>IF(Time!AL48=1,Inputs!$F$279,1)</f>
        <v/>
      </c>
      <c r="AM106" s="13">
        <f>IF(Time!AM48=1,Inputs!$F$279,1)</f>
        <v/>
      </c>
      <c r="AN106" s="13">
        <f>IF(Time!AN48=1,Inputs!$F$279,1)</f>
        <v/>
      </c>
      <c r="AO106" s="13">
        <f>IF(Time!AO48=1,Inputs!$F$279,1)</f>
        <v/>
      </c>
      <c r="AP106" s="13">
        <f>IF(Time!AP48=1,Inputs!$F$279,1)</f>
        <v/>
      </c>
      <c r="AQ106" s="13">
        <f>IF(Time!AQ48=1,Inputs!$F$279,1)</f>
        <v/>
      </c>
      <c r="AR106" s="13">
        <f>IF(Time!AR48=1,Inputs!$F$279,1)</f>
        <v/>
      </c>
      <c r="AS106" s="13">
        <f>IF(Time!AS48=1,Inputs!$F$279,1)</f>
        <v/>
      </c>
      <c r="AT106" s="13">
        <f>IF(Time!AT48=1,Inputs!$F$279,1)</f>
        <v/>
      </c>
      <c r="AU106" s="13">
        <f>IF(Time!AU48=1,Inputs!$F$279,1)</f>
        <v/>
      </c>
      <c r="AV106" s="13">
        <f>IF(Time!AV48=1,Inputs!$F$279,1)</f>
        <v/>
      </c>
      <c r="AW106" s="13">
        <f>IF(Time!AW48=1,Inputs!$F$279,1)</f>
        <v/>
      </c>
      <c r="AX106" s="13">
        <f>IF(Time!AX48=1,Inputs!$F$279,1)</f>
        <v/>
      </c>
      <c r="AY106" s="13">
        <f>IF(Time!AY48=1,Inputs!$F$279,1)</f>
        <v/>
      </c>
      <c r="AZ106" s="13">
        <f>IF(Time!AZ48=1,Inputs!$F$279,1)</f>
        <v/>
      </c>
      <c r="BA106" s="13">
        <f>IF(Time!BA48=1,Inputs!$F$279,1)</f>
        <v/>
      </c>
      <c r="BB106" s="13">
        <f>IF(Time!BB48=1,Inputs!$F$279,1)</f>
        <v/>
      </c>
      <c r="BC106" s="13">
        <f>IF(Time!BC48=1,Inputs!$F$279,1)</f>
        <v/>
      </c>
      <c r="BD106" s="13">
        <f>IF(Time!BD48=1,Inputs!$F$279,1)</f>
        <v/>
      </c>
      <c r="BE106" s="13">
        <f>IF(Time!BE48=1,Inputs!$F$279,1)</f>
        <v/>
      </c>
      <c r="BF106" s="13">
        <f>IF(Time!BF48=1,Inputs!$F$279,1)</f>
        <v/>
      </c>
      <c r="BG106" s="13">
        <f>IF(Time!BG48=1,Inputs!$F$279,1)</f>
        <v/>
      </c>
      <c r="BH106" s="13">
        <f>IF(Time!BH48=1,Inputs!$F$279,1)</f>
        <v/>
      </c>
      <c r="BI106" s="13">
        <f>IF(Time!BI48=1,Inputs!$F$279,1)</f>
        <v/>
      </c>
      <c r="BJ106" s="13">
        <f>IF(Time!BJ48=1,Inputs!$F$279,1)</f>
        <v/>
      </c>
      <c r="BK106" s="13">
        <f>IF(Time!BK48=1,Inputs!$F$279,1)</f>
        <v/>
      </c>
      <c r="BL106" s="13">
        <f>IF(Time!BL48=1,Inputs!$F$279,1)</f>
        <v/>
      </c>
      <c r="BM106" s="13">
        <f>IF(Time!BM48=1,Inputs!$F$279,1)</f>
        <v/>
      </c>
      <c r="BN106" s="13">
        <f>IF(Time!BN48=1,Inputs!$F$279,1)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-1*Time!J35*Inputs!J300*J106*(Inputs!$F$97/100*Time!J24-Operations!J9/100*Time!J25/Inputs!$F$247)</f>
        <v/>
      </c>
      <c r="K107" s="13">
        <f>-1*Time!K35*Inputs!K300*K106*(Inputs!$F$97/100*Time!K24-Operations!K9/100*Time!K25/Inputs!$F$247)</f>
        <v/>
      </c>
      <c r="L107" s="13">
        <f>-1*Time!L35*Inputs!L300*L106*(Inputs!$F$97/100*Time!L24-Operations!L9/100*Time!L25/Inputs!$F$247)</f>
        <v/>
      </c>
      <c r="M107" s="13">
        <f>-1*Time!M35*Inputs!M300*M106*(Inputs!$F$97/100*Time!M24-Operations!M9/100*Time!M25/Inputs!$F$247)</f>
        <v/>
      </c>
      <c r="N107" s="13">
        <f>-1*Time!N35*Inputs!N300*N106*(Inputs!$F$97/100*Time!N24-Operations!N9/100*Time!N25/Inputs!$F$247)</f>
        <v/>
      </c>
      <c r="O107" s="13">
        <f>-1*Time!O35*Inputs!O300*O106*(Inputs!$F$97/100*Time!O24-Operations!O9/100*Time!O25/Inputs!$F$247)</f>
        <v/>
      </c>
      <c r="P107" s="13">
        <f>-1*Time!P35*Inputs!P300*P106*(Inputs!$F$97/100*Time!P24-Operations!P9/100*Time!P25/Inputs!$F$247)</f>
        <v/>
      </c>
      <c r="Q107" s="13">
        <f>-1*Time!Q35*Inputs!Q300*Q106*(Inputs!$F$97/100*Time!Q24-Operations!Q9/100*Time!Q25/Inputs!$F$247)</f>
        <v/>
      </c>
      <c r="R107" s="13">
        <f>-1*Time!R35*Inputs!R300*R106*(Inputs!$F$97/100*Time!R24-Operations!R9/100*Time!R25/Inputs!$F$247)</f>
        <v/>
      </c>
      <c r="S107" s="13">
        <f>-1*Time!S35*Inputs!S300*S106*(Inputs!$F$97/100*Time!S24-Operations!S9/100*Time!S25/Inputs!$F$247)</f>
        <v/>
      </c>
      <c r="T107" s="13">
        <f>-1*Time!T35*Inputs!T300*T106*(Inputs!$F$97/100*Time!T24-Operations!T9/100*Time!T25/Inputs!$F$247)</f>
        <v/>
      </c>
      <c r="U107" s="13">
        <f>-1*Time!U35*Inputs!U300*U106*(Inputs!$F$97/100*Time!U24-Operations!U9/100*Time!U25/Inputs!$F$247)</f>
        <v/>
      </c>
      <c r="V107" s="13">
        <f>-1*Time!V35*Inputs!V300*V106*(Inputs!$F$97/100*Time!V24-Operations!V9/100*Time!V25/Inputs!$F$247)</f>
        <v/>
      </c>
      <c r="W107" s="13">
        <f>-1*Time!W35*Inputs!W300*W106*(Inputs!$F$97/100*Time!W24-Operations!W9/100*Time!W25/Inputs!$F$247)</f>
        <v/>
      </c>
      <c r="X107" s="13">
        <f>-1*Time!X35*Inputs!X300*X106*(Inputs!$F$97/100*Time!X24-Operations!X9/100*Time!X25/Inputs!$F$247)</f>
        <v/>
      </c>
      <c r="Y107" s="13">
        <f>-1*Time!Y35*Inputs!Y300*Y106*(Inputs!$F$97/100*Time!Y24-Operations!Y9/100*Time!Y25/Inputs!$F$247)</f>
        <v/>
      </c>
      <c r="Z107" s="13">
        <f>-1*Time!Z35*Inputs!Z300*Z106*(Inputs!$F$97/100*Time!Z24-Operations!Z9/100*Time!Z25/Inputs!$F$247)</f>
        <v/>
      </c>
      <c r="AA107" s="13">
        <f>-1*Time!AA35*Inputs!AA300*AA106*(Inputs!$F$97/100*Time!AA24-Operations!AA9/100*Time!AA25/Inputs!$F$247)</f>
        <v/>
      </c>
      <c r="AB107" s="13">
        <f>-1*Time!AB35*Inputs!AB300*AB106*(Inputs!$F$97/100*Time!AB24-Operations!AB9/100*Time!AB25/Inputs!$F$247)</f>
        <v/>
      </c>
      <c r="AC107" s="13">
        <f>-1*Time!AC35*Inputs!AC300*AC106*(Inputs!$F$97/100*Time!AC24-Operations!AC9/100*Time!AC25/Inputs!$F$247)</f>
        <v/>
      </c>
      <c r="AD107" s="13">
        <f>-1*Time!AD35*Inputs!AD300*AD106*(Inputs!$F$97/100*Time!AD24-Operations!AD9/100*Time!AD25/Inputs!$F$247)</f>
        <v/>
      </c>
      <c r="AE107" s="13">
        <f>-1*Time!AE35*Inputs!AE300*AE106*(Inputs!$F$97/100*Time!AE24-Operations!AE9/100*Time!AE25/Inputs!$F$247)</f>
        <v/>
      </c>
      <c r="AF107" s="13">
        <f>-1*Time!AF35*Inputs!AF300*AF106*(Inputs!$F$97/100*Time!AF24-Operations!AF9/100*Time!AF25/Inputs!$F$247)</f>
        <v/>
      </c>
      <c r="AG107" s="13">
        <f>-1*Time!AG35*Inputs!AG300*AG106*(Inputs!$F$97/100*Time!AG24-Operations!AG9/100*Time!AG25/Inputs!$F$247)</f>
        <v/>
      </c>
      <c r="AH107" s="13">
        <f>-1*Time!AH35*Inputs!AH300*AH106*(Inputs!$F$97/100*Time!AH24-Operations!AH9/100*Time!AH25/Inputs!$F$247)</f>
        <v/>
      </c>
      <c r="AI107" s="13">
        <f>-1*Time!AI35*Inputs!AI300*AI106*(Inputs!$F$97/100*Time!AI24-Operations!AI9/100*Time!AI25/Inputs!$F$247)</f>
        <v/>
      </c>
      <c r="AJ107" s="13">
        <f>-1*Time!AJ35*Inputs!AJ300*AJ106*(Inputs!$F$97/100*Time!AJ24-Operations!AJ9/100*Time!AJ25/Inputs!$F$247)</f>
        <v/>
      </c>
      <c r="AK107" s="13">
        <f>-1*Time!AK35*Inputs!AK300*AK106*(Inputs!$F$97/100*Time!AK24-Operations!AK9/100*Time!AK25/Inputs!$F$247)</f>
        <v/>
      </c>
      <c r="AL107" s="13">
        <f>-1*Time!AL35*Inputs!AL300*AL106*(Inputs!$F$97/100*Time!AL24-Operations!AL9/100*Time!AL25/Inputs!$F$247)</f>
        <v/>
      </c>
      <c r="AM107" s="13">
        <f>-1*Time!AM35*Inputs!AM300*AM106*(Inputs!$F$97/100*Time!AM24-Operations!AM9/100*Time!AM25/Inputs!$F$247)</f>
        <v/>
      </c>
      <c r="AN107" s="13">
        <f>-1*Time!AN35*Inputs!AN300*AN106*(Inputs!$F$97/100*Time!AN24-Operations!AN9/100*Time!AN25/Inputs!$F$247)</f>
        <v/>
      </c>
      <c r="AO107" s="13">
        <f>-1*Time!AO35*Inputs!AO300*AO106*(Inputs!$F$97/100*Time!AO24-Operations!AO9/100*Time!AO25/Inputs!$F$247)</f>
        <v/>
      </c>
      <c r="AP107" s="13">
        <f>-1*Time!AP35*Inputs!AP300*AP106*(Inputs!$F$97/100*Time!AP24-Operations!AP9/100*Time!AP25/Inputs!$F$247)</f>
        <v/>
      </c>
      <c r="AQ107" s="13">
        <f>-1*Time!AQ35*Inputs!AQ300*AQ106*(Inputs!$F$97/100*Time!AQ24-Operations!AQ9/100*Time!AQ25/Inputs!$F$247)</f>
        <v/>
      </c>
      <c r="AR107" s="13">
        <f>-1*Time!AR35*Inputs!AR300*AR106*(Inputs!$F$97/100*Time!AR24-Operations!AR9/100*Time!AR25/Inputs!$F$247)</f>
        <v/>
      </c>
      <c r="AS107" s="13">
        <f>-1*Time!AS35*Inputs!AS300*AS106*(Inputs!$F$97/100*Time!AS24-Operations!AS9/100*Time!AS25/Inputs!$F$247)</f>
        <v/>
      </c>
      <c r="AT107" s="13">
        <f>-1*Time!AT35*Inputs!AT300*AT106*(Inputs!$F$97/100*Time!AT24-Operations!AT9/100*Time!AT25/Inputs!$F$247)</f>
        <v/>
      </c>
      <c r="AU107" s="13">
        <f>-1*Time!AU35*Inputs!AU300*AU106*(Inputs!$F$97/100*Time!AU24-Operations!AU9/100*Time!AU25/Inputs!$F$247)</f>
        <v/>
      </c>
      <c r="AV107" s="13">
        <f>-1*Time!AV35*Inputs!AV300*AV106*(Inputs!$F$97/100*Time!AV24-Operations!AV9/100*Time!AV25/Inputs!$F$247)</f>
        <v/>
      </c>
      <c r="AW107" s="13">
        <f>-1*Time!AW35*Inputs!AW300*AW106*(Inputs!$F$97/100*Time!AW24-Operations!AW9/100*Time!AW25/Inputs!$F$247)</f>
        <v/>
      </c>
      <c r="AX107" s="13">
        <f>-1*Time!AX35*Inputs!AX300*AX106*(Inputs!$F$97/100*Time!AX24-Operations!AX9/100*Time!AX25/Inputs!$F$247)</f>
        <v/>
      </c>
      <c r="AY107" s="13">
        <f>-1*Time!AY35*Inputs!AY300*AY106*(Inputs!$F$97/100*Time!AY24-Operations!AY9/100*Time!AY25/Inputs!$F$247)</f>
        <v/>
      </c>
      <c r="AZ107" s="13">
        <f>-1*Time!AZ35*Inputs!AZ300*AZ106*(Inputs!$F$97/100*Time!AZ24-Operations!AZ9/100*Time!AZ25/Inputs!$F$247)</f>
        <v/>
      </c>
      <c r="BA107" s="13">
        <f>-1*Time!BA35*Inputs!BA300*BA106*(Inputs!$F$97/100*Time!BA24-Operations!BA9/100*Time!BA25/Inputs!$F$247)</f>
        <v/>
      </c>
      <c r="BB107" s="13">
        <f>-1*Time!BB35*Inputs!BB300*BB106*(Inputs!$F$97/100*Time!BB24-Operations!BB9/100*Time!BB25/Inputs!$F$247)</f>
        <v/>
      </c>
      <c r="BC107" s="13">
        <f>-1*Time!BC35*Inputs!BC300*BC106*(Inputs!$F$97/100*Time!BC24-Operations!BC9/100*Time!BC25/Inputs!$F$247)</f>
        <v/>
      </c>
      <c r="BD107" s="13">
        <f>-1*Time!BD35*Inputs!BD300*BD106*(Inputs!$F$97/100*Time!BD24-Operations!BD9/100*Time!BD25/Inputs!$F$247)</f>
        <v/>
      </c>
      <c r="BE107" s="13">
        <f>-1*Time!BE35*Inputs!BE300*BE106*(Inputs!$F$97/100*Time!BE24-Operations!BE9/100*Time!BE25/Inputs!$F$247)</f>
        <v/>
      </c>
      <c r="BF107" s="13">
        <f>-1*Time!BF35*Inputs!BF300*BF106*(Inputs!$F$97/100*Time!BF24-Operations!BF9/100*Time!BF25/Inputs!$F$247)</f>
        <v/>
      </c>
      <c r="BG107" s="13">
        <f>-1*Time!BG35*Inputs!BG300*BG106*(Inputs!$F$97/100*Time!BG24-Operations!BG9/100*Time!BG25/Inputs!$F$247)</f>
        <v/>
      </c>
      <c r="BH107" s="13">
        <f>-1*Time!BH35*Inputs!BH300*BH106*(Inputs!$F$97/100*Time!BH24-Operations!BH9/100*Time!BH25/Inputs!$F$247)</f>
        <v/>
      </c>
      <c r="BI107" s="13">
        <f>-1*Time!BI35*Inputs!BI300*BI106*(Inputs!$F$97/100*Time!BI24-Operations!BI9/100*Time!BI25/Inputs!$F$247)</f>
        <v/>
      </c>
      <c r="BJ107" s="13">
        <f>-1*Time!BJ35*Inputs!BJ300*BJ106*(Inputs!$F$97/100*Time!BJ24-Operations!BJ9/100*Time!BJ25/Inputs!$F$247)</f>
        <v/>
      </c>
      <c r="BK107" s="13">
        <f>-1*Time!BK35*Inputs!BK300*BK106*(Inputs!$F$97/100*Time!BK24-Operations!BK9/100*Time!BK25/Inputs!$F$247)</f>
        <v/>
      </c>
      <c r="BL107" s="13">
        <f>-1*Time!BL35*Inputs!BL300*BL106*(Inputs!$F$97/100*Time!BL24-Operations!BL9/100*Time!BL25/Inputs!$F$247)</f>
        <v/>
      </c>
      <c r="BM107" s="13">
        <f>-1*Time!BM35*Inputs!BM300*BM106*(Inputs!$F$97/100*Time!BM24-Operations!BM9/100*Time!BM25/Inputs!$F$247)</f>
        <v/>
      </c>
      <c r="BN107" s="13">
        <f>-1*Time!BN35*Inputs!BN300*BN106*(Inputs!$F$97/100*Time!BN24-Operations!BN9/100*Time!BN25/Inputs!$F$247)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IF(I101&gt;0,Inputs!$F$275/100*Time!J24*J91*Inputs!$F$274/I101,0)</f>
        <v/>
      </c>
      <c r="K109" s="13">
        <f>IF(J101&gt;0,Inputs!$F$275/100*Time!K24*K91*Inputs!$F$274/J101,0)</f>
        <v/>
      </c>
      <c r="L109" s="13">
        <f>IF(K101&gt;0,Inputs!$F$275/100*Time!L24*L91*Inputs!$F$274/K101,0)</f>
        <v/>
      </c>
      <c r="M109" s="13">
        <f>IF(L101&gt;0,Inputs!$F$275/100*Time!M24*M91*Inputs!$F$274/L101,0)</f>
        <v/>
      </c>
      <c r="N109" s="13">
        <f>IF(M101&gt;0,Inputs!$F$275/100*Time!N24*N91*Inputs!$F$274/M101,0)</f>
        <v/>
      </c>
      <c r="O109" s="13">
        <f>IF(N101&gt;0,Inputs!$F$275/100*Time!O24*O91*Inputs!$F$274/N101,0)</f>
        <v/>
      </c>
      <c r="P109" s="13">
        <f>IF(O101&gt;0,Inputs!$F$275/100*Time!P24*P91*Inputs!$F$274/O101,0)</f>
        <v/>
      </c>
      <c r="Q109" s="13">
        <f>IF(P101&gt;0,Inputs!$F$275/100*Time!Q24*Q91*Inputs!$F$274/P101,0)</f>
        <v/>
      </c>
      <c r="R109" s="13">
        <f>IF(Q101&gt;0,Inputs!$F$275/100*Time!R24*R91*Inputs!$F$274/Q101,0)</f>
        <v/>
      </c>
      <c r="S109" s="13">
        <f>IF(R101&gt;0,Inputs!$F$275/100*Time!S24*S91*Inputs!$F$274/R101,0)</f>
        <v/>
      </c>
      <c r="T109" s="13">
        <f>IF(S101&gt;0,Inputs!$F$275/100*Time!T24*T91*Inputs!$F$274/S101,0)</f>
        <v/>
      </c>
      <c r="U109" s="13">
        <f>IF(T101&gt;0,Inputs!$F$275/100*Time!U24*U91*Inputs!$F$274/T101,0)</f>
        <v/>
      </c>
      <c r="V109" s="13">
        <f>IF(U101&gt;0,Inputs!$F$275/100*Time!V24*V91*Inputs!$F$274/U101,0)</f>
        <v/>
      </c>
      <c r="W109" s="13">
        <f>IF(V101&gt;0,Inputs!$F$275/100*Time!W24*W91*Inputs!$F$274/V101,0)</f>
        <v/>
      </c>
      <c r="X109" s="13">
        <f>IF(W101&gt;0,Inputs!$F$275/100*Time!X24*X91*Inputs!$F$274/W101,0)</f>
        <v/>
      </c>
      <c r="Y109" s="13">
        <f>IF(X101&gt;0,Inputs!$F$275/100*Time!Y24*Y91*Inputs!$F$274/X101,0)</f>
        <v/>
      </c>
      <c r="Z109" s="13">
        <f>IF(Y101&gt;0,Inputs!$F$275/100*Time!Z24*Z91*Inputs!$F$274/Y101,0)</f>
        <v/>
      </c>
      <c r="AA109" s="13">
        <f>IF(Z101&gt;0,Inputs!$F$275/100*Time!AA24*AA91*Inputs!$F$274/Z101,0)</f>
        <v/>
      </c>
      <c r="AB109" s="13">
        <f>IF(AA101&gt;0,Inputs!$F$275/100*Time!AB24*AB91*Inputs!$F$274/AA101,0)</f>
        <v/>
      </c>
      <c r="AC109" s="13">
        <f>IF(AB101&gt;0,Inputs!$F$275/100*Time!AC24*AC91*Inputs!$F$274/AB101,0)</f>
        <v/>
      </c>
      <c r="AD109" s="13">
        <f>IF(AC101&gt;0,Inputs!$F$275/100*Time!AD24*AD91*Inputs!$F$274/AC101,0)</f>
        <v/>
      </c>
      <c r="AE109" s="13">
        <f>IF(AD101&gt;0,Inputs!$F$275/100*Time!AE24*AE91*Inputs!$F$274/AD101,0)</f>
        <v/>
      </c>
      <c r="AF109" s="13">
        <f>IF(AE101&gt;0,Inputs!$F$275/100*Time!AF24*AF91*Inputs!$F$274/AE101,0)</f>
        <v/>
      </c>
      <c r="AG109" s="13">
        <f>IF(AF101&gt;0,Inputs!$F$275/100*Time!AG24*AG91*Inputs!$F$274/AF101,0)</f>
        <v/>
      </c>
      <c r="AH109" s="13">
        <f>IF(AG101&gt;0,Inputs!$F$275/100*Time!AH24*AH91*Inputs!$F$274/AG101,0)</f>
        <v/>
      </c>
      <c r="AI109" s="13">
        <f>IF(AH101&gt;0,Inputs!$F$275/100*Time!AI24*AI91*Inputs!$F$274/AH101,0)</f>
        <v/>
      </c>
      <c r="AJ109" s="13">
        <f>IF(AI101&gt;0,Inputs!$F$275/100*Time!AJ24*AJ91*Inputs!$F$274/AI101,0)</f>
        <v/>
      </c>
      <c r="AK109" s="13">
        <f>IF(AJ101&gt;0,Inputs!$F$275/100*Time!AK24*AK91*Inputs!$F$274/AJ101,0)</f>
        <v/>
      </c>
      <c r="AL109" s="13">
        <f>IF(AK101&gt;0,Inputs!$F$275/100*Time!AL24*AL91*Inputs!$F$274/AK101,0)</f>
        <v/>
      </c>
      <c r="AM109" s="13">
        <f>IF(AL101&gt;0,Inputs!$F$275/100*Time!AM24*AM91*Inputs!$F$274/AL101,0)</f>
        <v/>
      </c>
      <c r="AN109" s="13">
        <f>IF(AM101&gt;0,Inputs!$F$275/100*Time!AN24*AN91*Inputs!$F$274/AM101,0)</f>
        <v/>
      </c>
      <c r="AO109" s="13">
        <f>IF(AN101&gt;0,Inputs!$F$275/100*Time!AO24*AO91*Inputs!$F$274/AN101,0)</f>
        <v/>
      </c>
      <c r="AP109" s="13">
        <f>IF(AO101&gt;0,Inputs!$F$275/100*Time!AP24*AP91*Inputs!$F$274/AO101,0)</f>
        <v/>
      </c>
      <c r="AQ109" s="13">
        <f>IF(AP101&gt;0,Inputs!$F$275/100*Time!AQ24*AQ91*Inputs!$F$274/AP101,0)</f>
        <v/>
      </c>
      <c r="AR109" s="13">
        <f>IF(AQ101&gt;0,Inputs!$F$275/100*Time!AR24*AR91*Inputs!$F$274/AQ101,0)</f>
        <v/>
      </c>
      <c r="AS109" s="13">
        <f>IF(AR101&gt;0,Inputs!$F$275/100*Time!AS24*AS91*Inputs!$F$274/AR101,0)</f>
        <v/>
      </c>
      <c r="AT109" s="13">
        <f>IF(AS101&gt;0,Inputs!$F$275/100*Time!AT24*AT91*Inputs!$F$274/AS101,0)</f>
        <v/>
      </c>
      <c r="AU109" s="13">
        <f>IF(AT101&gt;0,Inputs!$F$275/100*Time!AU24*AU91*Inputs!$F$274/AT101,0)</f>
        <v/>
      </c>
      <c r="AV109" s="13">
        <f>IF(AU101&gt;0,Inputs!$F$275/100*Time!AV24*AV91*Inputs!$F$274/AU101,0)</f>
        <v/>
      </c>
      <c r="AW109" s="13">
        <f>IF(AV101&gt;0,Inputs!$F$275/100*Time!AW24*AW91*Inputs!$F$274/AV101,0)</f>
        <v/>
      </c>
      <c r="AX109" s="13">
        <f>IF(AW101&gt;0,Inputs!$F$275/100*Time!AX24*AX91*Inputs!$F$274/AW101,0)</f>
        <v/>
      </c>
      <c r="AY109" s="13">
        <f>IF(AX101&gt;0,Inputs!$F$275/100*Time!AY24*AY91*Inputs!$F$274/AX101,0)</f>
        <v/>
      </c>
      <c r="AZ109" s="13">
        <f>IF(AY101&gt;0,Inputs!$F$275/100*Time!AZ24*AZ91*Inputs!$F$274/AY101,0)</f>
        <v/>
      </c>
      <c r="BA109" s="13">
        <f>IF(AZ101&gt;0,Inputs!$F$275/100*Time!BA24*BA91*Inputs!$F$274/AZ101,0)</f>
        <v/>
      </c>
      <c r="BB109" s="13">
        <f>IF(BA101&gt;0,Inputs!$F$275/100*Time!BB24*BB91*Inputs!$F$274/BA101,0)</f>
        <v/>
      </c>
      <c r="BC109" s="13">
        <f>IF(BB101&gt;0,Inputs!$F$275/100*Time!BC24*BC91*Inputs!$F$274/BB101,0)</f>
        <v/>
      </c>
      <c r="BD109" s="13">
        <f>IF(BC101&gt;0,Inputs!$F$275/100*Time!BD24*BD91*Inputs!$F$274/BC101,0)</f>
        <v/>
      </c>
      <c r="BE109" s="13">
        <f>IF(BD101&gt;0,Inputs!$F$275/100*Time!BE24*BE91*Inputs!$F$274/BD101,0)</f>
        <v/>
      </c>
      <c r="BF109" s="13">
        <f>IF(BE101&gt;0,Inputs!$F$275/100*Time!BF24*BF91*Inputs!$F$274/BE101,0)</f>
        <v/>
      </c>
      <c r="BG109" s="13">
        <f>IF(BF101&gt;0,Inputs!$F$275/100*Time!BG24*BG91*Inputs!$F$274/BF101,0)</f>
        <v/>
      </c>
      <c r="BH109" s="13">
        <f>IF(BG101&gt;0,Inputs!$F$275/100*Time!BH24*BH91*Inputs!$F$274/BG101,0)</f>
        <v/>
      </c>
      <c r="BI109" s="13">
        <f>IF(BH101&gt;0,Inputs!$F$275/100*Time!BI24*BI91*Inputs!$F$274/BH101,0)</f>
        <v/>
      </c>
      <c r="BJ109" s="13">
        <f>IF(BI101&gt;0,Inputs!$F$275/100*Time!BJ24*BJ91*Inputs!$F$274/BI101,0)</f>
        <v/>
      </c>
      <c r="BK109" s="13">
        <f>IF(BJ101&gt;0,Inputs!$F$275/100*Time!BK24*BK91*Inputs!$F$274/BJ101,0)</f>
        <v/>
      </c>
      <c r="BL109" s="13">
        <f>IF(BK101&gt;0,Inputs!$F$275/100*Time!BL24*BL91*Inputs!$F$274/BK101,0)</f>
        <v/>
      </c>
      <c r="BM109" s="13">
        <f>IF(BL101&gt;0,Inputs!$F$275/100*Time!BM24*BM91*Inputs!$F$274/BL101,0)</f>
        <v/>
      </c>
      <c r="BN109" s="13">
        <f>IF(BM101&gt;0,Inputs!$F$275/100*Time!BN24*BN91*Inputs!$F$274/BM101,0)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Time!J43*Inputs!$F$267/100*(J21+J35+J49+J63+J77)</f>
        <v/>
      </c>
      <c r="K110" s="13">
        <f>Time!K43*Inputs!$F$267/100*(K21+K35+K49+K63+K77)</f>
        <v/>
      </c>
      <c r="L110" s="13">
        <f>Time!L43*Inputs!$F$267/100*(L21+L35+L49+L63+L77)</f>
        <v/>
      </c>
      <c r="M110" s="13">
        <f>Time!M43*Inputs!$F$267/100*(M21+M35+M49+M63+M77)</f>
        <v/>
      </c>
      <c r="N110" s="13">
        <f>Time!N43*Inputs!$F$267/100*(N21+N35+N49+N63+N77)</f>
        <v/>
      </c>
      <c r="O110" s="13">
        <f>Time!O43*Inputs!$F$267/100*(O21+O35+O49+O63+O77)</f>
        <v/>
      </c>
      <c r="P110" s="13">
        <f>Time!P43*Inputs!$F$267/100*(P21+P35+P49+P63+P77)</f>
        <v/>
      </c>
      <c r="Q110" s="13">
        <f>Time!Q43*Inputs!$F$267/100*(Q21+Q35+Q49+Q63+Q77)</f>
        <v/>
      </c>
      <c r="R110" s="13">
        <f>Time!R43*Inputs!$F$267/100*(R21+R35+R49+R63+R77)</f>
        <v/>
      </c>
      <c r="S110" s="13">
        <f>Time!S43*Inputs!$F$267/100*(S21+S35+S49+S63+S77)</f>
        <v/>
      </c>
      <c r="T110" s="13">
        <f>Time!T43*Inputs!$F$267/100*(T21+T35+T49+T63+T77)</f>
        <v/>
      </c>
      <c r="U110" s="13">
        <f>Time!U43*Inputs!$F$267/100*(U21+U35+U49+U63+U77)</f>
        <v/>
      </c>
      <c r="V110" s="13">
        <f>Time!V43*Inputs!$F$267/100*(V21+V35+V49+V63+V77)</f>
        <v/>
      </c>
      <c r="W110" s="13">
        <f>Time!W43*Inputs!$F$267/100*(W21+W35+W49+W63+W77)</f>
        <v/>
      </c>
      <c r="X110" s="13">
        <f>Time!X43*Inputs!$F$267/100*(X21+X35+X49+X63+X77)</f>
        <v/>
      </c>
      <c r="Y110" s="13">
        <f>Time!Y43*Inputs!$F$267/100*(Y21+Y35+Y49+Y63+Y77)</f>
        <v/>
      </c>
      <c r="Z110" s="13">
        <f>Time!Z43*Inputs!$F$267/100*(Z21+Z35+Z49+Z63+Z77)</f>
        <v/>
      </c>
      <c r="AA110" s="13">
        <f>Time!AA43*Inputs!$F$267/100*(AA21+AA35+AA49+AA63+AA77)</f>
        <v/>
      </c>
      <c r="AB110" s="13">
        <f>Time!AB43*Inputs!$F$267/100*(AB21+AB35+AB49+AB63+AB77)</f>
        <v/>
      </c>
      <c r="AC110" s="13">
        <f>Time!AC43*Inputs!$F$267/100*(AC21+AC35+AC49+AC63+AC77)</f>
        <v/>
      </c>
      <c r="AD110" s="13">
        <f>Time!AD43*Inputs!$F$267/100*(AD21+AD35+AD49+AD63+AD77)</f>
        <v/>
      </c>
      <c r="AE110" s="13">
        <f>Time!AE43*Inputs!$F$267/100*(AE21+AE35+AE49+AE63+AE77)</f>
        <v/>
      </c>
      <c r="AF110" s="13">
        <f>Time!AF43*Inputs!$F$267/100*(AF21+AF35+AF49+AF63+AF77)</f>
        <v/>
      </c>
      <c r="AG110" s="13">
        <f>Time!AG43*Inputs!$F$267/100*(AG21+AG35+AG49+AG63+AG77)</f>
        <v/>
      </c>
      <c r="AH110" s="13">
        <f>Time!AH43*Inputs!$F$267/100*(AH21+AH35+AH49+AH63+AH77)</f>
        <v/>
      </c>
      <c r="AI110" s="13">
        <f>Time!AI43*Inputs!$F$267/100*(AI21+AI35+AI49+AI63+AI77)</f>
        <v/>
      </c>
      <c r="AJ110" s="13">
        <f>Time!AJ43*Inputs!$F$267/100*(AJ21+AJ35+AJ49+AJ63+AJ77)</f>
        <v/>
      </c>
      <c r="AK110" s="13">
        <f>Time!AK43*Inputs!$F$267/100*(AK21+AK35+AK49+AK63+AK77)</f>
        <v/>
      </c>
      <c r="AL110" s="13">
        <f>Time!AL43*Inputs!$F$267/100*(AL21+AL35+AL49+AL63+AL77)</f>
        <v/>
      </c>
      <c r="AM110" s="13">
        <f>Time!AM43*Inputs!$F$267/100*(AM21+AM35+AM49+AM63+AM77)</f>
        <v/>
      </c>
      <c r="AN110" s="13">
        <f>Time!AN43*Inputs!$F$267/100*(AN21+AN35+AN49+AN63+AN77)</f>
        <v/>
      </c>
      <c r="AO110" s="13">
        <f>Time!AO43*Inputs!$F$267/100*(AO21+AO35+AO49+AO63+AO77)</f>
        <v/>
      </c>
      <c r="AP110" s="13">
        <f>Time!AP43*Inputs!$F$267/100*(AP21+AP35+AP49+AP63+AP77)</f>
        <v/>
      </c>
      <c r="AQ110" s="13">
        <f>Time!AQ43*Inputs!$F$267/100*(AQ21+AQ35+AQ49+AQ63+AQ77)</f>
        <v/>
      </c>
      <c r="AR110" s="13">
        <f>Time!AR43*Inputs!$F$267/100*(AR21+AR35+AR49+AR63+AR77)</f>
        <v/>
      </c>
      <c r="AS110" s="13">
        <f>Time!AS43*Inputs!$F$267/100*(AS21+AS35+AS49+AS63+AS77)</f>
        <v/>
      </c>
      <c r="AT110" s="13">
        <f>Time!AT43*Inputs!$F$267/100*(AT21+AT35+AT49+AT63+AT77)</f>
        <v/>
      </c>
      <c r="AU110" s="13">
        <f>Time!AU43*Inputs!$F$267/100*(AU21+AU35+AU49+AU63+AU77)</f>
        <v/>
      </c>
      <c r="AV110" s="13">
        <f>Time!AV43*Inputs!$F$267/100*(AV21+AV35+AV49+AV63+AV77)</f>
        <v/>
      </c>
      <c r="AW110" s="13">
        <f>Time!AW43*Inputs!$F$267/100*(AW21+AW35+AW49+AW63+AW77)</f>
        <v/>
      </c>
      <c r="AX110" s="13">
        <f>Time!AX43*Inputs!$F$267/100*(AX21+AX35+AX49+AX63+AX77)</f>
        <v/>
      </c>
      <c r="AY110" s="13">
        <f>Time!AY43*Inputs!$F$267/100*(AY21+AY35+AY49+AY63+AY77)</f>
        <v/>
      </c>
      <c r="AZ110" s="13">
        <f>Time!AZ43*Inputs!$F$267/100*(AZ21+AZ35+AZ49+AZ63+AZ77)</f>
        <v/>
      </c>
      <c r="BA110" s="13">
        <f>Time!BA43*Inputs!$F$267/100*(BA21+BA35+BA49+BA63+BA77)</f>
        <v/>
      </c>
      <c r="BB110" s="13">
        <f>Time!BB43*Inputs!$F$267/100*(BB21+BB35+BB49+BB63+BB77)</f>
        <v/>
      </c>
      <c r="BC110" s="13">
        <f>Time!BC43*Inputs!$F$267/100*(BC21+BC35+BC49+BC63+BC77)</f>
        <v/>
      </c>
      <c r="BD110" s="13">
        <f>Time!BD43*Inputs!$F$267/100*(BD21+BD35+BD49+BD63+BD77)</f>
        <v/>
      </c>
      <c r="BE110" s="13">
        <f>Time!BE43*Inputs!$F$267/100*(BE21+BE35+BE49+BE63+BE77)</f>
        <v/>
      </c>
      <c r="BF110" s="13">
        <f>Time!BF43*Inputs!$F$267/100*(BF21+BF35+BF49+BF63+BF77)</f>
        <v/>
      </c>
      <c r="BG110" s="13">
        <f>Time!BG43*Inputs!$F$267/100*(BG21+BG35+BG49+BG63+BG77)</f>
        <v/>
      </c>
      <c r="BH110" s="13">
        <f>Time!BH43*Inputs!$F$267/100*(BH21+BH35+BH49+BH63+BH77)</f>
        <v/>
      </c>
      <c r="BI110" s="13">
        <f>Time!BI43*Inputs!$F$267/100*(BI21+BI35+BI49+BI63+BI77)</f>
        <v/>
      </c>
      <c r="BJ110" s="13">
        <f>Time!BJ43*Inputs!$F$267/100*(BJ21+BJ35+BJ49+BJ63+BJ77)</f>
        <v/>
      </c>
      <c r="BK110" s="13">
        <f>Time!BK43*Inputs!$F$267/100*(BK21+BK35+BK49+BK63+BK77)</f>
        <v/>
      </c>
      <c r="BL110" s="13">
        <f>Time!BL43*Inputs!$F$267/100*(BL21+BL35+BL49+BL63+BL77)</f>
        <v/>
      </c>
      <c r="BM110" s="13">
        <f>Time!BM43*Inputs!$F$267/100*(BM21+BM35+BM49+BM63+BM77)</f>
        <v/>
      </c>
      <c r="BN110" s="13">
        <f>Time!BN43*Inputs!$F$267/100*(BN21+BN35+BN49+BN63+BN77)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IF(AND(AND(Time!J20&gt;=Time!$F$12,Time!K20&gt;0),(J94+J100)&gt;Inputs!$F$253),MIN(J101*Inputs!K299,(J94+J100))+(J94+J100)*(K15+Inputs!$F$275/100*Time!K24*Inputs!$F$274/J101),0)</f>
        <v/>
      </c>
      <c r="K124" s="13">
        <f>IF(AND(AND(Time!K20&gt;=Time!$F$12,Time!L20&gt;0),(K94+K100)&gt;Inputs!$F$253),MIN(K101*Inputs!L299,(K94+K100))+(K94+K100)*(L15+Inputs!$F$275/100*Time!L24*Inputs!$F$274/K101),0)</f>
        <v/>
      </c>
      <c r="L124" s="13">
        <f>IF(AND(AND(Time!L20&gt;=Time!$F$12,Time!M20&gt;0),(L94+L100)&gt;Inputs!$F$253),MIN(L101*Inputs!M299,(L94+L100))+(L94+L100)*(M15+Inputs!$F$275/100*Time!M24*Inputs!$F$274/L101),0)</f>
        <v/>
      </c>
      <c r="M124" s="13">
        <f>IF(AND(AND(Time!M20&gt;=Time!$F$12,Time!N20&gt;0),(M94+M100)&gt;Inputs!$F$253),MIN(M101*Inputs!N299,(M94+M100))+(M94+M100)*(N15+Inputs!$F$275/100*Time!N24*Inputs!$F$274/M101),0)</f>
        <v/>
      </c>
      <c r="N124" s="13">
        <f>IF(AND(AND(Time!N20&gt;=Time!$F$12,Time!O20&gt;0),(N94+N100)&gt;Inputs!$F$253),MIN(N101*Inputs!O299,(N94+N100))+(N94+N100)*(O15+Inputs!$F$275/100*Time!O24*Inputs!$F$274/N101),0)</f>
        <v/>
      </c>
      <c r="O124" s="13">
        <f>IF(AND(AND(Time!O20&gt;=Time!$F$12,Time!P20&gt;0),(O94+O100)&gt;Inputs!$F$253),MIN(O101*Inputs!P299,(O94+O100))+(O94+O100)*(P15+Inputs!$F$275/100*Time!P24*Inputs!$F$274/O101),0)</f>
        <v/>
      </c>
      <c r="P124" s="13">
        <f>IF(AND(AND(Time!P20&gt;=Time!$F$12,Time!Q20&gt;0),(P94+P100)&gt;Inputs!$F$253),MIN(P101*Inputs!Q299,(P94+P100))+(P94+P100)*(Q15+Inputs!$F$275/100*Time!Q24*Inputs!$F$274/P101),0)</f>
        <v/>
      </c>
      <c r="Q124" s="13">
        <f>IF(AND(AND(Time!Q20&gt;=Time!$F$12,Time!R20&gt;0),(Q94+Q100)&gt;Inputs!$F$253),MIN(Q101*Inputs!R299,(Q94+Q100))+(Q94+Q100)*(R15+Inputs!$F$275/100*Time!R24*Inputs!$F$274/Q101),0)</f>
        <v/>
      </c>
      <c r="R124" s="13">
        <f>IF(AND(AND(Time!R20&gt;=Time!$F$12,Time!S20&gt;0),(R94+R100)&gt;Inputs!$F$253),MIN(R101*Inputs!S299,(R94+R100))+(R94+R100)*(S15+Inputs!$F$275/100*Time!S24*Inputs!$F$274/R101),0)</f>
        <v/>
      </c>
      <c r="S124" s="13">
        <f>IF(AND(AND(Time!S20&gt;=Time!$F$12,Time!T20&gt;0),(S94+S100)&gt;Inputs!$F$253),MIN(S101*Inputs!T299,(S94+S100))+(S94+S100)*(T15+Inputs!$F$275/100*Time!T24*Inputs!$F$274/S101),0)</f>
        <v/>
      </c>
      <c r="T124" s="13">
        <f>IF(AND(AND(Time!T20&gt;=Time!$F$12,Time!U20&gt;0),(T94+T100)&gt;Inputs!$F$253),MIN(T101*Inputs!U299,(T94+T100))+(T94+T100)*(U15+Inputs!$F$275/100*Time!U24*Inputs!$F$274/T101),0)</f>
        <v/>
      </c>
      <c r="U124" s="13">
        <f>IF(AND(AND(Time!U20&gt;=Time!$F$12,Time!V20&gt;0),(U94+U100)&gt;Inputs!$F$253),MIN(U101*Inputs!V299,(U94+U100))+(U94+U100)*(V15+Inputs!$F$275/100*Time!V24*Inputs!$F$274/U101),0)</f>
        <v/>
      </c>
      <c r="V124" s="13">
        <f>IF(AND(AND(Time!V20&gt;=Time!$F$12,Time!W20&gt;0),(V94+V100)&gt;Inputs!$F$253),MIN(V101*Inputs!W299,(V94+V100))+(V94+V100)*(W15+Inputs!$F$275/100*Time!W24*Inputs!$F$274/V101),0)</f>
        <v/>
      </c>
      <c r="W124" s="13">
        <f>IF(AND(AND(Time!W20&gt;=Time!$F$12,Time!X20&gt;0),(W94+W100)&gt;Inputs!$F$253),MIN(W101*Inputs!X299,(W94+W100))+(W94+W100)*(X15+Inputs!$F$275/100*Time!X24*Inputs!$F$274/W101),0)</f>
        <v/>
      </c>
      <c r="X124" s="13">
        <f>IF(AND(AND(Time!X20&gt;=Time!$F$12,Time!Y20&gt;0),(X94+X100)&gt;Inputs!$F$253),MIN(X101*Inputs!Y299,(X94+X100))+(X94+X100)*(Y15+Inputs!$F$275/100*Time!Y24*Inputs!$F$274/X101),0)</f>
        <v/>
      </c>
      <c r="Y124" s="13">
        <f>IF(AND(AND(Time!Y20&gt;=Time!$F$12,Time!Z20&gt;0),(Y94+Y100)&gt;Inputs!$F$253),MIN(Y101*Inputs!Z299,(Y94+Y100))+(Y94+Y100)*(Z15+Inputs!$F$275/100*Time!Z24*Inputs!$F$274/Y101),0)</f>
        <v/>
      </c>
      <c r="Z124" s="13">
        <f>IF(AND(AND(Time!Z20&gt;=Time!$F$12,Time!AA20&gt;0),(Z94+Z100)&gt;Inputs!$F$253),MIN(Z101*Inputs!AA299,(Z94+Z100))+(Z94+Z100)*(AA15+Inputs!$F$275/100*Time!AA24*Inputs!$F$274/Z101),0)</f>
        <v/>
      </c>
      <c r="AA124" s="13">
        <f>IF(AND(AND(Time!AA20&gt;=Time!$F$12,Time!AB20&gt;0),(AA94+AA100)&gt;Inputs!$F$253),MIN(AA101*Inputs!AB299,(AA94+AA100))+(AA94+AA100)*(AB15+Inputs!$F$275/100*Time!AB24*Inputs!$F$274/AA101),0)</f>
        <v/>
      </c>
      <c r="AB124" s="13">
        <f>IF(AND(AND(Time!AB20&gt;=Time!$F$12,Time!AC20&gt;0),(AB94+AB100)&gt;Inputs!$F$253),MIN(AB101*Inputs!AC299,(AB94+AB100))+(AB94+AB100)*(AC15+Inputs!$F$275/100*Time!AC24*Inputs!$F$274/AB101),0)</f>
        <v/>
      </c>
      <c r="AC124" s="13">
        <f>IF(AND(AND(Time!AC20&gt;=Time!$F$12,Time!AD20&gt;0),(AC94+AC100)&gt;Inputs!$F$253),MIN(AC101*Inputs!AD299,(AC94+AC100))+(AC94+AC100)*(AD15+Inputs!$F$275/100*Time!AD24*Inputs!$F$274/AC101),0)</f>
        <v/>
      </c>
      <c r="AD124" s="13">
        <f>IF(AND(AND(Time!AD20&gt;=Time!$F$12,Time!AE20&gt;0),(AD94+AD100)&gt;Inputs!$F$253),MIN(AD101*Inputs!AE299,(AD94+AD100))+(AD94+AD100)*(AE15+Inputs!$F$275/100*Time!AE24*Inputs!$F$274/AD101),0)</f>
        <v/>
      </c>
      <c r="AE124" s="13">
        <f>IF(AND(AND(Time!AE20&gt;=Time!$F$12,Time!AF20&gt;0),(AE94+AE100)&gt;Inputs!$F$253),MIN(AE101*Inputs!AF299,(AE94+AE100))+(AE94+AE100)*(AF15+Inputs!$F$275/100*Time!AF24*Inputs!$F$274/AE101),0)</f>
        <v/>
      </c>
      <c r="AF124" s="13">
        <f>IF(AND(AND(Time!AF20&gt;=Time!$F$12,Time!AG20&gt;0),(AF94+AF100)&gt;Inputs!$F$253),MIN(AF101*Inputs!AG299,(AF94+AF100))+(AF94+AF100)*(AG15+Inputs!$F$275/100*Time!AG24*Inputs!$F$274/AF101),0)</f>
        <v/>
      </c>
      <c r="AG124" s="13">
        <f>IF(AND(AND(Time!AG20&gt;=Time!$F$12,Time!AH20&gt;0),(AG94+AG100)&gt;Inputs!$F$253),MIN(AG101*Inputs!AH299,(AG94+AG100))+(AG94+AG100)*(AH15+Inputs!$F$275/100*Time!AH24*Inputs!$F$274/AG101),0)</f>
        <v/>
      </c>
      <c r="AH124" s="13">
        <f>IF(AND(AND(Time!AH20&gt;=Time!$F$12,Time!AI20&gt;0),(AH94+AH100)&gt;Inputs!$F$253),MIN(AH101*Inputs!AI299,(AH94+AH100))+(AH94+AH100)*(AI15+Inputs!$F$275/100*Time!AI24*Inputs!$F$274/AH101),0)</f>
        <v/>
      </c>
      <c r="AI124" s="13">
        <f>IF(AND(AND(Time!AI20&gt;=Time!$F$12,Time!AJ20&gt;0),(AI94+AI100)&gt;Inputs!$F$253),MIN(AI101*Inputs!AJ299,(AI94+AI100))+(AI94+AI100)*(AJ15+Inputs!$F$275/100*Time!AJ24*Inputs!$F$274/AI101),0)</f>
        <v/>
      </c>
      <c r="AJ124" s="13">
        <f>IF(AND(AND(Time!AJ20&gt;=Time!$F$12,Time!AK20&gt;0),(AJ94+AJ100)&gt;Inputs!$F$253),MIN(AJ101*Inputs!AK299,(AJ94+AJ100))+(AJ94+AJ100)*(AK15+Inputs!$F$275/100*Time!AK24*Inputs!$F$274/AJ101),0)</f>
        <v/>
      </c>
      <c r="AK124" s="13">
        <f>IF(AND(AND(Time!AK20&gt;=Time!$F$12,Time!AL20&gt;0),(AK94+AK100)&gt;Inputs!$F$253),MIN(AK101*Inputs!AL299,(AK94+AK100))+(AK94+AK100)*(AL15+Inputs!$F$275/100*Time!AL24*Inputs!$F$274/AK101),0)</f>
        <v/>
      </c>
      <c r="AL124" s="13">
        <f>IF(AND(AND(Time!AL20&gt;=Time!$F$12,Time!AM20&gt;0),(AL94+AL100)&gt;Inputs!$F$253),MIN(AL101*Inputs!AM299,(AL94+AL100))+(AL94+AL100)*(AM15+Inputs!$F$275/100*Time!AM24*Inputs!$F$274/AL101),0)</f>
        <v/>
      </c>
      <c r="AM124" s="13">
        <f>IF(AND(AND(Time!AM20&gt;=Time!$F$12,Time!AN20&gt;0),(AM94+AM100)&gt;Inputs!$F$253),MIN(AM101*Inputs!AN299,(AM94+AM100))+(AM94+AM100)*(AN15+Inputs!$F$275/100*Time!AN24*Inputs!$F$274/AM101),0)</f>
        <v/>
      </c>
      <c r="AN124" s="13">
        <f>IF(AND(AND(Time!AN20&gt;=Time!$F$12,Time!AO20&gt;0),(AN94+AN100)&gt;Inputs!$F$253),MIN(AN101*Inputs!AO299,(AN94+AN100))+(AN94+AN100)*(AO15+Inputs!$F$275/100*Time!AO24*Inputs!$F$274/AN101),0)</f>
        <v/>
      </c>
      <c r="AO124" s="13">
        <f>IF(AND(AND(Time!AO20&gt;=Time!$F$12,Time!AP20&gt;0),(AO94+AO100)&gt;Inputs!$F$253),MIN(AO101*Inputs!AP299,(AO94+AO100))+(AO94+AO100)*(AP15+Inputs!$F$275/100*Time!AP24*Inputs!$F$274/AO101),0)</f>
        <v/>
      </c>
      <c r="AP124" s="13">
        <f>IF(AND(AND(Time!AP20&gt;=Time!$F$12,Time!AQ20&gt;0),(AP94+AP100)&gt;Inputs!$F$253),MIN(AP101*Inputs!AQ299,(AP94+AP100))+(AP94+AP100)*(AQ15+Inputs!$F$275/100*Time!AQ24*Inputs!$F$274/AP101),0)</f>
        <v/>
      </c>
      <c r="AQ124" s="13">
        <f>IF(AND(AND(Time!AQ20&gt;=Time!$F$12,Time!AR20&gt;0),(AQ94+AQ100)&gt;Inputs!$F$253),MIN(AQ101*Inputs!AR299,(AQ94+AQ100))+(AQ94+AQ100)*(AR15+Inputs!$F$275/100*Time!AR24*Inputs!$F$274/AQ101),0)</f>
        <v/>
      </c>
      <c r="AR124" s="13">
        <f>IF(AND(AND(Time!AR20&gt;=Time!$F$12,Time!AS20&gt;0),(AR94+AR100)&gt;Inputs!$F$253),MIN(AR101*Inputs!AS299,(AR94+AR100))+(AR94+AR100)*(AS15+Inputs!$F$275/100*Time!AS24*Inputs!$F$274/AR101),0)</f>
        <v/>
      </c>
      <c r="AS124" s="13">
        <f>IF(AND(AND(Time!AS20&gt;=Time!$F$12,Time!AT20&gt;0),(AS94+AS100)&gt;Inputs!$F$253),MIN(AS101*Inputs!AT299,(AS94+AS100))+(AS94+AS100)*(AT15+Inputs!$F$275/100*Time!AT24*Inputs!$F$274/AS101),0)</f>
        <v/>
      </c>
      <c r="AT124" s="13">
        <f>IF(AND(AND(Time!AT20&gt;=Time!$F$12,Time!AU20&gt;0),(AT94+AT100)&gt;Inputs!$F$253),MIN(AT101*Inputs!AU299,(AT94+AT100))+(AT94+AT100)*(AU15+Inputs!$F$275/100*Time!AU24*Inputs!$F$274/AT101),0)</f>
        <v/>
      </c>
      <c r="AU124" s="13">
        <f>IF(AND(AND(Time!AU20&gt;=Time!$F$12,Time!AV20&gt;0),(AU94+AU100)&gt;Inputs!$F$253),MIN(AU101*Inputs!AV299,(AU94+AU100))+(AU94+AU100)*(AV15+Inputs!$F$275/100*Time!AV24*Inputs!$F$274/AU101),0)</f>
        <v/>
      </c>
      <c r="AV124" s="13">
        <f>IF(AND(AND(Time!AV20&gt;=Time!$F$12,Time!AW20&gt;0),(AV94+AV100)&gt;Inputs!$F$253),MIN(AV101*Inputs!AW299,(AV94+AV100))+(AV94+AV100)*(AW15+Inputs!$F$275/100*Time!AW24*Inputs!$F$274/AV101),0)</f>
        <v/>
      </c>
      <c r="AW124" s="13">
        <f>IF(AND(AND(Time!AW20&gt;=Time!$F$12,Time!AX20&gt;0),(AW94+AW100)&gt;Inputs!$F$253),MIN(AW101*Inputs!AX299,(AW94+AW100))+(AW94+AW100)*(AX15+Inputs!$F$275/100*Time!AX24*Inputs!$F$274/AW101),0)</f>
        <v/>
      </c>
      <c r="AX124" s="13">
        <f>IF(AND(AND(Time!AX20&gt;=Time!$F$12,Time!AY20&gt;0),(AX94+AX100)&gt;Inputs!$F$253),MIN(AX101*Inputs!AY299,(AX94+AX100))+(AX94+AX100)*(AY15+Inputs!$F$275/100*Time!AY24*Inputs!$F$274/AX101),0)</f>
        <v/>
      </c>
      <c r="AY124" s="13">
        <f>IF(AND(AND(Time!AY20&gt;=Time!$F$12,Time!AZ20&gt;0),(AY94+AY100)&gt;Inputs!$F$253),MIN(AY101*Inputs!AZ299,(AY94+AY100))+(AY94+AY100)*(AZ15+Inputs!$F$275/100*Time!AZ24*Inputs!$F$274/AY101),0)</f>
        <v/>
      </c>
      <c r="AZ124" s="13">
        <f>IF(AND(AND(Time!AZ20&gt;=Time!$F$12,Time!BA20&gt;0),(AZ94+AZ100)&gt;Inputs!$F$253),MIN(AZ101*Inputs!BA299,(AZ94+AZ100))+(AZ94+AZ100)*(BA15+Inputs!$F$275/100*Time!BA24*Inputs!$F$274/AZ101),0)</f>
        <v/>
      </c>
      <c r="BA124" s="13">
        <f>IF(AND(AND(Time!BA20&gt;=Time!$F$12,Time!BB20&gt;0),(BA94+BA100)&gt;Inputs!$F$253),MIN(BA101*Inputs!BB299,(BA94+BA100))+(BA94+BA100)*(BB15+Inputs!$F$275/100*Time!BB24*Inputs!$F$274/BA101),0)</f>
        <v/>
      </c>
      <c r="BB124" s="13">
        <f>IF(AND(AND(Time!BB20&gt;=Time!$F$12,Time!BC20&gt;0),(BB94+BB100)&gt;Inputs!$F$253),MIN(BB101*Inputs!BC299,(BB94+BB100))+(BB94+BB100)*(BC15+Inputs!$F$275/100*Time!BC24*Inputs!$F$274/BB101),0)</f>
        <v/>
      </c>
      <c r="BC124" s="13">
        <f>IF(AND(AND(Time!BC20&gt;=Time!$F$12,Time!BD20&gt;0),(BC94+BC100)&gt;Inputs!$F$253),MIN(BC101*Inputs!BD299,(BC94+BC100))+(BC94+BC100)*(BD15+Inputs!$F$275/100*Time!BD24*Inputs!$F$274/BC101),0)</f>
        <v/>
      </c>
      <c r="BD124" s="13">
        <f>IF(AND(AND(Time!BD20&gt;=Time!$F$12,Time!BE20&gt;0),(BD94+BD100)&gt;Inputs!$F$253),MIN(BD101*Inputs!BE299,(BD94+BD100))+(BD94+BD100)*(BE15+Inputs!$F$275/100*Time!BE24*Inputs!$F$274/BD101),0)</f>
        <v/>
      </c>
      <c r="BE124" s="13">
        <f>IF(AND(AND(Time!BE20&gt;=Time!$F$12,Time!BF20&gt;0),(BE94+BE100)&gt;Inputs!$F$253),MIN(BE101*Inputs!BF299,(BE94+BE100))+(BE94+BE100)*(BF15+Inputs!$F$275/100*Time!BF24*Inputs!$F$274/BE101),0)</f>
        <v/>
      </c>
      <c r="BF124" s="13">
        <f>IF(AND(AND(Time!BF20&gt;=Time!$F$12,Time!BG20&gt;0),(BF94+BF100)&gt;Inputs!$F$253),MIN(BF101*Inputs!BG299,(BF94+BF100))+(BF94+BF100)*(BG15+Inputs!$F$275/100*Time!BG24*Inputs!$F$274/BF101),0)</f>
        <v/>
      </c>
      <c r="BG124" s="13">
        <f>IF(AND(AND(Time!BG20&gt;=Time!$F$12,Time!BH20&gt;0),(BG94+BG100)&gt;Inputs!$F$253),MIN(BG101*Inputs!BH299,(BG94+BG100))+(BG94+BG100)*(BH15+Inputs!$F$275/100*Time!BH24*Inputs!$F$274/BG101),0)</f>
        <v/>
      </c>
      <c r="BH124" s="13">
        <f>IF(AND(AND(Time!BH20&gt;=Time!$F$12,Time!BI20&gt;0),(BH94+BH100)&gt;Inputs!$F$253),MIN(BH101*Inputs!BI299,(BH94+BH100))+(BH94+BH100)*(BI15+Inputs!$F$275/100*Time!BI24*Inputs!$F$274/BH101),0)</f>
        <v/>
      </c>
      <c r="BI124" s="13">
        <f>IF(AND(AND(Time!BI20&gt;=Time!$F$12,Time!BJ20&gt;0),(BI94+BI100)&gt;Inputs!$F$253),MIN(BI101*Inputs!BJ299,(BI94+BI100))+(BI94+BI100)*(BJ15+Inputs!$F$275/100*Time!BJ24*Inputs!$F$274/BI101),0)</f>
        <v/>
      </c>
      <c r="BJ124" s="13">
        <f>IF(AND(AND(Time!BJ20&gt;=Time!$F$12,Time!BK20&gt;0),(BJ94+BJ100)&gt;Inputs!$F$253),MIN(BJ101*Inputs!BK299,(BJ94+BJ100))+(BJ94+BJ100)*(BK15+Inputs!$F$275/100*Time!BK24*Inputs!$F$274/BJ101),0)</f>
        <v/>
      </c>
      <c r="BK124" s="13">
        <f>IF(AND(AND(Time!BK20&gt;=Time!$F$12,Time!BL20&gt;0),(BK94+BK100)&gt;Inputs!$F$253),MIN(BK101*Inputs!BL299,(BK94+BK100))+(BK94+BK100)*(BL15+Inputs!$F$275/100*Time!BL24*Inputs!$F$274/BK101),0)</f>
        <v/>
      </c>
      <c r="BL124" s="13">
        <f>IF(AND(AND(Time!BL20&gt;=Time!$F$12,Time!BM20&gt;0),(BL94+BL100)&gt;Inputs!$F$253),MIN(BL101*Inputs!BM299,(BL94+BL100))+(BL94+BL100)*(BM15+Inputs!$F$275/100*Time!BM24*Inputs!$F$274/BL101),0)</f>
        <v/>
      </c>
      <c r="BM124" s="13">
        <f>IF(AND(AND(Time!BM20&gt;=Time!$F$12,Time!BN20&gt;0),(BM94+BM100)&gt;Inputs!$F$253),MIN(BM101*Inputs!BN299,(BM94+BM100))+(BM94+BM100)*(BN15+Inputs!$F$275/100*Time!BN24*Inputs!$F$274/BM101),0)</f>
        <v/>
      </c>
      <c r="BN124" s="13">
        <f>IF(AND(AND(Time!BN20&gt;=Time!$F$12,Time!BO20&gt;0),(BN94+BN100)&gt;Inputs!$F$253),MIN(BN101*Inputs!BO299,(BN94+BN100))+(BN94+BN100)*(BO15+Inputs!$F$275/100*Time!BO24*Inputs!$F$274/BN101),0)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IF(AND(Time!J20&gt;=Time!$F$12,Time!K20&gt;0),J119+J120+J121+J122+J123+J124+-1*Inputs!K300*K106*(Inputs!$F$97/100*Time!K24-Operations!K9/100*Time!K25/Inputs!$F$247)+(Inputs!$F$95/100*Inputs!$F$96/100)*J118*Time!K25/Inputs!$F$248,0)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IF(AND(Time!K20&gt;=Time!$F$12,Time!L20&gt;0),K119+K120+K121+K122+K123+K124+-1*Inputs!L300*L106*(Inputs!$F$97/100*Time!L24-Operations!L9/100*Time!L25/Inputs!$F$247)+(Inputs!$F$95/100*Inputs!$F$96/100)*K118*Time!L25/Inputs!$F$248,0)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IF(AND(Time!L20&gt;=Time!$F$12,Time!M20&gt;0),L119+L120+L121+L122+L123+L124+-1*Inputs!M300*M106*(Inputs!$F$97/100*Time!M24-Operations!M9/100*Time!M25/Inputs!$F$247)+(Inputs!$F$95/100*Inputs!$F$96/100)*L118*Time!M25/Inputs!$F$248,0)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IF(AND(Time!M20&gt;=Time!$F$12,Time!N20&gt;0),M119+M120+M121+M122+M123+M124+-1*Inputs!N300*N106*(Inputs!$F$97/100*Time!N24-Operations!N9/100*Time!N25/Inputs!$F$247)+(Inputs!$F$95/100*Inputs!$F$96/100)*M118*Time!N25/Inputs!$F$248,0)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IF(AND(Time!N20&gt;=Time!$F$12,Time!O20&gt;0),N119+N120+N121+N122+N123+N124+-1*Inputs!O300*O106*(Inputs!$F$97/100*Time!O24-Operations!O9/100*Time!O25/Inputs!$F$247)+(Inputs!$F$95/100*Inputs!$F$96/100)*N118*Time!O25/Inputs!$F$248,0)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IF(AND(Time!O20&gt;=Time!$F$12,Time!P20&gt;0),O119+O120+O121+O122+O123+O124+-1*Inputs!P300*P106*(Inputs!$F$97/100*Time!P24-Operations!P9/100*Time!P25/Inputs!$F$247)+(Inputs!$F$95/100*Inputs!$F$96/100)*O118*Time!P25/Inputs!$F$248,0)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IF(AND(Time!P20&gt;=Time!$F$12,Time!Q20&gt;0),P119+P120+P121+P122+P123+P124+-1*Inputs!Q300*Q106*(Inputs!$F$97/100*Time!Q24-Operations!Q9/100*Time!Q25/Inputs!$F$247)+(Inputs!$F$95/100*Inputs!$F$96/100)*P118*Time!Q25/Inputs!$F$248,0)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IF(AND(Time!Q20&gt;=Time!$F$12,Time!R20&gt;0),Q119+Q120+Q121+Q122+Q123+Q124+-1*Inputs!R300*R106*(Inputs!$F$97/100*Time!R24-Operations!R9/100*Time!R25/Inputs!$F$247)+(Inputs!$F$95/100*Inputs!$F$96/100)*Q118*Time!R25/Inputs!$F$248,0)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IF(AND(Time!R20&gt;=Time!$F$12,Time!S20&gt;0),R119+R120+R121+R122+R123+R124+-1*Inputs!S300*S106*(Inputs!$F$97/100*Time!S24-Operations!S9/100*Time!S25/Inputs!$F$247)+(Inputs!$F$95/100*Inputs!$F$96/100)*R118*Time!S25/Inputs!$F$248,0)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IF(AND(Time!S20&gt;=Time!$F$12,Time!T20&gt;0),S119+S120+S121+S122+S123+S124+-1*Inputs!T300*T106*(Inputs!$F$97/100*Time!T24-Operations!T9/100*Time!T25/Inputs!$F$247)+(Inputs!$F$95/100*Inputs!$F$96/100)*S118*Time!T25/Inputs!$F$248,0)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IF(AND(Time!T20&gt;=Time!$F$12,Time!U20&gt;0),T119+T120+T121+T122+T123+T124+-1*Inputs!U300*U106*(Inputs!$F$97/100*Time!U24-Operations!U9/100*Time!U25/Inputs!$F$247)+(Inputs!$F$95/100*Inputs!$F$96/100)*T118*Time!U25/Inputs!$F$248,0)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IF(AND(Time!U20&gt;=Time!$F$12,Time!V20&gt;0),U119+U120+U121+U122+U123+U124+-1*Inputs!V300*V106*(Inputs!$F$97/100*Time!V24-Operations!V9/100*Time!V25/Inputs!$F$247)+(Inputs!$F$95/100*Inputs!$F$96/100)*U118*Time!V25/Inputs!$F$248,0)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IF(AND(Time!V20&gt;=Time!$F$12,Time!W20&gt;0),V119+V120+V121+V122+V123+V124+-1*Inputs!W300*W106*(Inputs!$F$97/100*Time!W24-Operations!W9/100*Time!W25/Inputs!$F$247)+(Inputs!$F$95/100*Inputs!$F$96/100)*V118*Time!W25/Inputs!$F$248,0)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IF(AND(Time!W20&gt;=Time!$F$12,Time!X20&gt;0),W119+W120+W121+W122+W123+W124+-1*Inputs!X300*X106*(Inputs!$F$97/100*Time!X24-Operations!X9/100*Time!X25/Inputs!$F$247)+(Inputs!$F$95/100*Inputs!$F$96/100)*W118*Time!X25/Inputs!$F$248,0)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IF(AND(Time!X20&gt;=Time!$F$12,Time!Y20&gt;0),X119+X120+X121+X122+X123+X124+-1*Inputs!Y300*Y106*(Inputs!$F$97/100*Time!Y24-Operations!Y9/100*Time!Y25/Inputs!$F$247)+(Inputs!$F$95/100*Inputs!$F$96/100)*X118*Time!Y25/Inputs!$F$248,0)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IF(AND(Time!Y20&gt;=Time!$F$12,Time!Z20&gt;0),Y119+Y120+Y121+Y122+Y123+Y124+-1*Inputs!Z300*Z106*(Inputs!$F$97/100*Time!Z24-Operations!Z9/100*Time!Z25/Inputs!$F$247)+(Inputs!$F$95/100*Inputs!$F$96/100)*Y118*Time!Z25/Inputs!$F$248,0)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IF(AND(Time!Z20&gt;=Time!$F$12,Time!AA20&gt;0),Z119+Z120+Z121+Z122+Z123+Z124+-1*Inputs!AA300*AA106*(Inputs!$F$97/100*Time!AA24-Operations!AA9/100*Time!AA25/Inputs!$F$247)+(Inputs!$F$95/100*Inputs!$F$96/100)*Z118*Time!AA25/Inputs!$F$248,0)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IF(AND(Time!AA20&gt;=Time!$F$12,Time!AB20&gt;0),AA119+AA120+AA121+AA122+AA123+AA124+-1*Inputs!AB300*AB106*(Inputs!$F$97/100*Time!AB24-Operations!AB9/100*Time!AB25/Inputs!$F$247)+(Inputs!$F$95/100*Inputs!$F$96/100)*AA118*Time!AB25/Inputs!$F$248,0)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IF(AND(Time!AB20&gt;=Time!$F$12,Time!AC20&gt;0),AB119+AB120+AB121+AB122+AB123+AB124+-1*Inputs!AC300*AC106*(Inputs!$F$97/100*Time!AC24-Operations!AC9/100*Time!AC25/Inputs!$F$247)+(Inputs!$F$95/100*Inputs!$F$96/100)*AB118*Time!AC25/Inputs!$F$248,0)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IF(AND(Time!AC20&gt;=Time!$F$12,Time!AD20&gt;0),AC119+AC120+AC121+AC122+AC123+AC124+-1*Inputs!AD300*AD106*(Inputs!$F$97/100*Time!AD24-Operations!AD9/100*Time!AD25/Inputs!$F$247)+(Inputs!$F$95/100*Inputs!$F$96/100)*AC118*Time!AD25/Inputs!$F$248,0)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IF(AND(Time!AD20&gt;=Time!$F$12,Time!AE20&gt;0),AD119+AD120+AD121+AD122+AD123+AD124+-1*Inputs!AE300*AE106*(Inputs!$F$97/100*Time!AE24-Operations!AE9/100*Time!AE25/Inputs!$F$247)+(Inputs!$F$95/100*Inputs!$F$96/100)*AD118*Time!AE25/Inputs!$F$248,0)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IF(AND(Time!AE20&gt;=Time!$F$12,Time!AF20&gt;0),AE119+AE120+AE121+AE122+AE123+AE124+-1*Inputs!AF300*AF106*(Inputs!$F$97/100*Time!AF24-Operations!AF9/100*Time!AF25/Inputs!$F$247)+(Inputs!$F$95/100*Inputs!$F$96/100)*AE118*Time!AF25/Inputs!$F$248,0)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IF(AND(Time!AF20&gt;=Time!$F$12,Time!AG20&gt;0),AF119+AF120+AF121+AF122+AF123+AF124+-1*Inputs!AG300*AG106*(Inputs!$F$97/100*Time!AG24-Operations!AG9/100*Time!AG25/Inputs!$F$247)+(Inputs!$F$95/100*Inputs!$F$96/100)*AF118*Time!AG25/Inputs!$F$248,0)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IF(AND(Time!AG20&gt;=Time!$F$12,Time!AH20&gt;0),AG119+AG120+AG121+AG122+AG123+AG124+-1*Inputs!AH300*AH106*(Inputs!$F$97/100*Time!AH24-Operations!AH9/100*Time!AH25/Inputs!$F$247)+(Inputs!$F$95/100*Inputs!$F$96/100)*AG118*Time!AH25/Inputs!$F$248,0)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IF(AND(Time!AH20&gt;=Time!$F$12,Time!AI20&gt;0),AH119+AH120+AH121+AH122+AH123+AH124+-1*Inputs!AI300*AI106*(Inputs!$F$97/100*Time!AI24-Operations!AI9/100*Time!AI25/Inputs!$F$247)+(Inputs!$F$95/100*Inputs!$F$96/100)*AH118*Time!AI25/Inputs!$F$248,0)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IF(AND(Time!AI20&gt;=Time!$F$12,Time!AJ20&gt;0),AI119+AI120+AI121+AI122+AI123+AI124+-1*Inputs!AJ300*AJ106*(Inputs!$F$97/100*Time!AJ24-Operations!AJ9/100*Time!AJ25/Inputs!$F$247)+(Inputs!$F$95/100*Inputs!$F$96/100)*AI118*Time!AJ25/Inputs!$F$248,0)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IF(AND(Time!AJ20&gt;=Time!$F$12,Time!AK20&gt;0),AJ119+AJ120+AJ121+AJ122+AJ123+AJ124+-1*Inputs!AK300*AK106*(Inputs!$F$97/100*Time!AK24-Operations!AK9/100*Time!AK25/Inputs!$F$247)+(Inputs!$F$95/100*Inputs!$F$96/100)*AJ118*Time!AK25/Inputs!$F$248,0)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IF(AND(Time!AK20&gt;=Time!$F$12,Time!AL20&gt;0),AK119+AK120+AK121+AK122+AK123+AK124+-1*Inputs!AL300*AL106*(Inputs!$F$97/100*Time!AL24-Operations!AL9/100*Time!AL25/Inputs!$F$247)+(Inputs!$F$95/100*Inputs!$F$96/100)*AK118*Time!AL25/Inputs!$F$248,0)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IF(AND(Time!AL20&gt;=Time!$F$12,Time!AM20&gt;0),AL119+AL120+AL121+AL122+AL123+AL124+-1*Inputs!AM300*AM106*(Inputs!$F$97/100*Time!AM24-Operations!AM9/100*Time!AM25/Inputs!$F$247)+(Inputs!$F$95/100*Inputs!$F$96/100)*AL118*Time!AM25/Inputs!$F$248,0)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IF(AND(Time!AM20&gt;=Time!$F$12,Time!AN20&gt;0),AM119+AM120+AM121+AM122+AM123+AM124+-1*Inputs!AN300*AN106*(Inputs!$F$97/100*Time!AN24-Operations!AN9/100*Time!AN25/Inputs!$F$247)+(Inputs!$F$95/100*Inputs!$F$96/100)*AM118*Time!AN25/Inputs!$F$248,0)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IF(AND(Time!AN20&gt;=Time!$F$12,Time!AO20&gt;0),AN119+AN120+AN121+AN122+AN123+AN124+-1*Inputs!AO300*AO106*(Inputs!$F$97/100*Time!AO24-Operations!AO9/100*Time!AO25/Inputs!$F$247)+(Inputs!$F$95/100*Inputs!$F$96/100)*AN118*Time!AO25/Inputs!$F$248,0)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IF(AND(Time!AO20&gt;=Time!$F$12,Time!AP20&gt;0),AO119+AO120+AO121+AO122+AO123+AO124+-1*Inputs!AP300*AP106*(Inputs!$F$97/100*Time!AP24-Operations!AP9/100*Time!AP25/Inputs!$F$247)+(Inputs!$F$95/100*Inputs!$F$96/100)*AO118*Time!AP25/Inputs!$F$248,0)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IF(AND(Time!AP20&gt;=Time!$F$12,Time!AQ20&gt;0),AP119+AP120+AP121+AP122+AP123+AP124+-1*Inputs!AQ300*AQ106*(Inputs!$F$97/100*Time!AQ24-Operations!AQ9/100*Time!AQ25/Inputs!$F$247)+(Inputs!$F$95/100*Inputs!$F$96/100)*AP118*Time!AQ25/Inputs!$F$248,0)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IF(AND(Time!AQ20&gt;=Time!$F$12,Time!AR20&gt;0),AQ119+AQ120+AQ121+AQ122+AQ123+AQ124+-1*Inputs!AR300*AR106*(Inputs!$F$97/100*Time!AR24-Operations!AR9/100*Time!AR25/Inputs!$F$247)+(Inputs!$F$95/100*Inputs!$F$96/100)*AQ118*Time!AR25/Inputs!$F$248,0)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IF(AND(Time!AR20&gt;=Time!$F$12,Time!AS20&gt;0),AR119+AR120+AR121+AR122+AR123+AR124+-1*Inputs!AS300*AS106*(Inputs!$F$97/100*Time!AS24-Operations!AS9/100*Time!AS25/Inputs!$F$247)+(Inputs!$F$95/100*Inputs!$F$96/100)*AR118*Time!AS25/Inputs!$F$248,0)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IF(AND(Time!AS20&gt;=Time!$F$12,Time!AT20&gt;0),AS119+AS120+AS121+AS122+AS123+AS124+-1*Inputs!AT300*AT106*(Inputs!$F$97/100*Time!AT24-Operations!AT9/100*Time!AT25/Inputs!$F$247)+(Inputs!$F$95/100*Inputs!$F$96/100)*AS118*Time!AT25/Inputs!$F$248,0)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IF(AND(Time!AT20&gt;=Time!$F$12,Time!AU20&gt;0),AT119+AT120+AT121+AT122+AT123+AT124+-1*Inputs!AU300*AU106*(Inputs!$F$97/100*Time!AU24-Operations!AU9/100*Time!AU25/Inputs!$F$247)+(Inputs!$F$95/100*Inputs!$F$96/100)*AT118*Time!AU25/Inputs!$F$248,0)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IF(AND(Time!AU20&gt;=Time!$F$12,Time!AV20&gt;0),AU119+AU120+AU121+AU122+AU123+AU124+-1*Inputs!AV300*AV106*(Inputs!$F$97/100*Time!AV24-Operations!AV9/100*Time!AV25/Inputs!$F$247)+(Inputs!$F$95/100*Inputs!$F$96/100)*AU118*Time!AV25/Inputs!$F$248,0)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IF(AND(Time!AV20&gt;=Time!$F$12,Time!AW20&gt;0),AV119+AV120+AV121+AV122+AV123+AV124+-1*Inputs!AW300*AW106*(Inputs!$F$97/100*Time!AW24-Operations!AW9/100*Time!AW25/Inputs!$F$247)+(Inputs!$F$95/100*Inputs!$F$96/100)*AV118*Time!AW25/Inputs!$F$248,0)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IF(AND(Time!AW20&gt;=Time!$F$12,Time!AX20&gt;0),AW119+AW120+AW121+AW122+AW123+AW124+-1*Inputs!AX300*AX106*(Inputs!$F$97/100*Time!AX24-Operations!AX9/100*Time!AX25/Inputs!$F$247)+(Inputs!$F$95/100*Inputs!$F$96/100)*AW118*Time!AX25/Inputs!$F$248,0)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IF(AND(Time!AX20&gt;=Time!$F$12,Time!AY20&gt;0),AX119+AX120+AX121+AX122+AX123+AX124+-1*Inputs!AY300*AY106*(Inputs!$F$97/100*Time!AY24-Operations!AY9/100*Time!AY25/Inputs!$F$247)+(Inputs!$F$95/100*Inputs!$F$96/100)*AX118*Time!AY25/Inputs!$F$248,0)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IF(AND(Time!AY20&gt;=Time!$F$12,Time!AZ20&gt;0),AY119+AY120+AY121+AY122+AY123+AY124+-1*Inputs!AZ300*AZ106*(Inputs!$F$97/100*Time!AZ24-Operations!AZ9/100*Time!AZ25/Inputs!$F$247)+(Inputs!$F$95/100*Inputs!$F$96/100)*AY118*Time!AZ25/Inputs!$F$248,0)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IF(AND(Time!AZ20&gt;=Time!$F$12,Time!BA20&gt;0),AZ119+AZ120+AZ121+AZ122+AZ123+AZ124+-1*Inputs!BA300*BA106*(Inputs!$F$97/100*Time!BA24-Operations!BA9/100*Time!BA25/Inputs!$F$247)+(Inputs!$F$95/100*Inputs!$F$96/100)*AZ118*Time!BA25/Inputs!$F$248,0)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IF(AND(Time!BA20&gt;=Time!$F$12,Time!BB20&gt;0),BA119+BA120+BA121+BA122+BA123+BA124+-1*Inputs!BB300*BB106*(Inputs!$F$97/100*Time!BB24-Operations!BB9/100*Time!BB25/Inputs!$F$247)+(Inputs!$F$95/100*Inputs!$F$96/100)*BA118*Time!BB25/Inputs!$F$248,0)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IF(AND(Time!BB20&gt;=Time!$F$12,Time!BC20&gt;0),BB119+BB120+BB121+BB122+BB123+BB124+-1*Inputs!BC300*BC106*(Inputs!$F$97/100*Time!BC24-Operations!BC9/100*Time!BC25/Inputs!$F$247)+(Inputs!$F$95/100*Inputs!$F$96/100)*BB118*Time!BC25/Inputs!$F$248,0)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IF(AND(Time!BC20&gt;=Time!$F$12,Time!BD20&gt;0),BC119+BC120+BC121+BC122+BC123+BC124+-1*Inputs!BD300*BD106*(Inputs!$F$97/100*Time!BD24-Operations!BD9/100*Time!BD25/Inputs!$F$247)+(Inputs!$F$95/100*Inputs!$F$96/100)*BC118*Time!BD25/Inputs!$F$248,0)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IF(AND(Time!BD20&gt;=Time!$F$12,Time!BE20&gt;0),BD119+BD120+BD121+BD122+BD123+BD124+-1*Inputs!BE300*BE106*(Inputs!$F$97/100*Time!BE24-Operations!BE9/100*Time!BE25/Inputs!$F$247)+(Inputs!$F$95/100*Inputs!$F$96/100)*BD118*Time!BE25/Inputs!$F$248,0)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IF(AND(Time!BE20&gt;=Time!$F$12,Time!BF20&gt;0),BE119+BE120+BE121+BE122+BE123+BE124+-1*Inputs!BF300*BF106*(Inputs!$F$97/100*Time!BF24-Operations!BF9/100*Time!BF25/Inputs!$F$247)+(Inputs!$F$95/100*Inputs!$F$96/100)*BE118*Time!BF25/Inputs!$F$248,0)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IF(AND(Time!BF20&gt;=Time!$F$12,Time!BG20&gt;0),BF119+BF120+BF121+BF122+BF123+BF124+-1*Inputs!BG300*BG106*(Inputs!$F$97/100*Time!BG24-Operations!BG9/100*Time!BG25/Inputs!$F$247)+(Inputs!$F$95/100*Inputs!$F$96/100)*BF118*Time!BG25/Inputs!$F$248,0)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IF(AND(Time!BG20&gt;=Time!$F$12,Time!BH20&gt;0),BG119+BG120+BG121+BG122+BG123+BG124+-1*Inputs!BH300*BH106*(Inputs!$F$97/100*Time!BH24-Operations!BH9/100*Time!BH25/Inputs!$F$247)+(Inputs!$F$95/100*Inputs!$F$96/100)*BG118*Time!BH25/Inputs!$F$248,0)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IF(AND(Time!BH20&gt;=Time!$F$12,Time!BI20&gt;0),BH119+BH120+BH121+BH122+BH123+BH124+-1*Inputs!BI300*BI106*(Inputs!$F$97/100*Time!BI24-Operations!BI9/100*Time!BI25/Inputs!$F$247)+(Inputs!$F$95/100*Inputs!$F$96/100)*BH118*Time!BI25/Inputs!$F$248,0)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IF(AND(Time!BI20&gt;=Time!$F$12,Time!BJ20&gt;0),BI119+BI120+BI121+BI122+BI123+BI124+-1*Inputs!BJ300*BJ106*(Inputs!$F$97/100*Time!BJ24-Operations!BJ9/100*Time!BJ25/Inputs!$F$247)+(Inputs!$F$95/100*Inputs!$F$96/100)*BI118*Time!BJ25/Inputs!$F$248,0)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IF(AND(Time!BJ20&gt;=Time!$F$12,Time!BK20&gt;0),BJ119+BJ120+BJ121+BJ122+BJ123+BJ124+-1*Inputs!BK300*BK106*(Inputs!$F$97/100*Time!BK24-Operations!BK9/100*Time!BK25/Inputs!$F$247)+(Inputs!$F$95/100*Inputs!$F$96/100)*BJ118*Time!BK25/Inputs!$F$248,0)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IF(AND(Time!BK20&gt;=Time!$F$12,Time!BL20&gt;0),BK119+BK120+BK121+BK122+BK123+BK124+-1*Inputs!BL300*BL106*(Inputs!$F$97/100*Time!BL24-Operations!BL9/100*Time!BL25/Inputs!$F$247)+(Inputs!$F$95/100*Inputs!$F$96/100)*BK118*Time!BL25/Inputs!$F$248,0)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IF(AND(Time!BL20&gt;=Time!$F$12,Time!BM20&gt;0),BL119+BL120+BL121+BL122+BL123+BL124+-1*Inputs!BM300*BM106*(Inputs!$F$97/100*Time!BM24-Operations!BM9/100*Time!BM25/Inputs!$F$247)+(Inputs!$F$95/100*Inputs!$F$96/100)*BL118*Time!BM25/Inputs!$F$248,0)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IF(AND(Time!BM20&gt;=Time!$F$12,Time!BN20&gt;0),BM119+BM120+BM121+BM122+BM123+BM124+-1*Inputs!BN300*BN106*(Inputs!$F$97/100*Time!BN24-Operations!BN9/100*Time!BN25/Inputs!$F$247)+(Inputs!$F$95/100*Inputs!$F$96/100)*BM118*Time!BN25/Inputs!$F$248,0)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IF(AND(Time!BN20&gt;=Time!$F$12,Time!BO20&gt;0),BN119+BN120+BN121+BN122+BN123+BN124+-1*Inputs!BO300*BO106*(Inputs!$F$97/100*Time!BO24-Operations!BO9/100*Time!BO25/Inputs!$F$247)+(Inputs!$F$95/100*Inputs!$F$96/100)*BN118*Time!BO25/Inputs!$F$248,0)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IF(Time!J53=1,Inputs!$F$75*J10+Inputs!$F$76*J11+Inputs!$F$77*J12+Inputs!$F$78*(J13+(Inputs!$F$95/100*Inputs!$F$96/100)*Time!J25/Inputs!$F$248)+-1*Inputs!J300/(Funding!$F$25*J18)*(Inputs!$F$97/100*Time!J24-Operations!J9/100*Time!J25/Inputs!$F$247),0)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IF(Time!K53=1,Inputs!$F$75*K10+Inputs!$F$76*K11+Inputs!$F$77*K12+Inputs!$F$78*(K13+(Inputs!$F$95/100*Inputs!$F$96/100)*Time!K25/Inputs!$F$248)+-1*Inputs!K300/(Funding!$F$25*K18)*(Inputs!$F$97/100*Time!K24-Operations!K9/100*Time!K25/Inputs!$F$247),0)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IF(Time!L53=1,Inputs!$F$75*L10+Inputs!$F$76*L11+Inputs!$F$77*L12+Inputs!$F$78*(L13+(Inputs!$F$95/100*Inputs!$F$96/100)*Time!L25/Inputs!$F$248)+-1*Inputs!L300/(Funding!$F$25*L18)*(Inputs!$F$97/100*Time!L24-Operations!L9/100*Time!L25/Inputs!$F$247),0)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IF(Time!M53=1,Inputs!$F$75*M10+Inputs!$F$76*M11+Inputs!$F$77*M12+Inputs!$F$78*(M13+(Inputs!$F$95/100*Inputs!$F$96/100)*Time!M25/Inputs!$F$248)+-1*Inputs!M300/(Funding!$F$25*M18)*(Inputs!$F$97/100*Time!M24-Operations!M9/100*Time!M25/Inputs!$F$247),0)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IF(Time!N53=1,Inputs!$F$75*N10+Inputs!$F$76*N11+Inputs!$F$77*N12+Inputs!$F$78*(N13+(Inputs!$F$95/100*Inputs!$F$96/100)*Time!N25/Inputs!$F$248)+-1*Inputs!N300/(Funding!$F$25*N18)*(Inputs!$F$97/100*Time!N24-Operations!N9/100*Time!N25/Inputs!$F$247),0)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IF(Time!O53=1,Inputs!$F$75*O10+Inputs!$F$76*O11+Inputs!$F$77*O12+Inputs!$F$78*(O13+(Inputs!$F$95/100*Inputs!$F$96/100)*Time!O25/Inputs!$F$248)+-1*Inputs!O300/(Funding!$F$25*O18)*(Inputs!$F$97/100*Time!O24-Operations!O9/100*Time!O25/Inputs!$F$247),0)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IF(Time!P53=1,Inputs!$F$75*P10+Inputs!$F$76*P11+Inputs!$F$77*P12+Inputs!$F$78*(P13+(Inputs!$F$95/100*Inputs!$F$96/100)*Time!P25/Inputs!$F$248)+-1*Inputs!P300/(Funding!$F$25*P18)*(Inputs!$F$97/100*Time!P24-Operations!P9/100*Time!P25/Inputs!$F$247),0)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IF(Time!Q53=1,Inputs!$F$75*Q10+Inputs!$F$76*Q11+Inputs!$F$77*Q12+Inputs!$F$78*(Q13+(Inputs!$F$95/100*Inputs!$F$96/100)*Time!Q25/Inputs!$F$248)+-1*Inputs!Q300/(Funding!$F$25*Q18)*(Inputs!$F$97/100*Time!Q24-Operations!Q9/100*Time!Q25/Inputs!$F$247),0)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IF(Time!R53=1,Inputs!$F$75*R10+Inputs!$F$76*R11+Inputs!$F$77*R12+Inputs!$F$78*(R13+(Inputs!$F$95/100*Inputs!$F$96/100)*Time!R25/Inputs!$F$248)+-1*Inputs!R300/(Funding!$F$25*R18)*(Inputs!$F$97/100*Time!R24-Operations!R9/100*Time!R25/Inputs!$F$247),0)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IF(Time!S53=1,Inputs!$F$75*S10+Inputs!$F$76*S11+Inputs!$F$77*S12+Inputs!$F$78*(S13+(Inputs!$F$95/100*Inputs!$F$96/100)*Time!S25/Inputs!$F$248)+-1*Inputs!S300/(Funding!$F$25*S18)*(Inputs!$F$97/100*Time!S24-Operations!S9/100*Time!S25/Inputs!$F$247),0)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IF(Time!T53=1,Inputs!$F$75*T10+Inputs!$F$76*T11+Inputs!$F$77*T12+Inputs!$F$78*(T13+(Inputs!$F$95/100*Inputs!$F$96/100)*Time!T25/Inputs!$F$248)+-1*Inputs!T300/(Funding!$F$25*T18)*(Inputs!$F$97/100*Time!T24-Operations!T9/100*Time!T25/Inputs!$F$247),0)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IF(Time!U53=1,Inputs!$F$75*U10+Inputs!$F$76*U11+Inputs!$F$77*U12+Inputs!$F$78*(U13+(Inputs!$F$95/100*Inputs!$F$96/100)*Time!U25/Inputs!$F$248)+-1*Inputs!U300/(Funding!$F$25*U18)*(Inputs!$F$97/100*Time!U24-Operations!U9/100*Time!U25/Inputs!$F$247),0)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IF(Time!V53=1,Inputs!$F$75*V10+Inputs!$F$76*V11+Inputs!$F$77*V12+Inputs!$F$78*(V13+(Inputs!$F$95/100*Inputs!$F$96/100)*Time!V25/Inputs!$F$248)+-1*Inputs!V300/(Funding!$F$25*V18)*(Inputs!$F$97/100*Time!V24-Operations!V9/100*Time!V25/Inputs!$F$247),0)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IF(Time!W53=1,Inputs!$F$75*W10+Inputs!$F$76*W11+Inputs!$F$77*W12+Inputs!$F$78*(W13+(Inputs!$F$95/100*Inputs!$F$96/100)*Time!W25/Inputs!$F$248)+-1*Inputs!W300/(Funding!$F$25*W18)*(Inputs!$F$97/100*Time!W24-Operations!W9/100*Time!W25/Inputs!$F$247),0)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IF(Time!X53=1,Inputs!$F$75*X10+Inputs!$F$76*X11+Inputs!$F$77*X12+Inputs!$F$78*(X13+(Inputs!$F$95/100*Inputs!$F$96/100)*Time!X25/Inputs!$F$248)+-1*Inputs!X300/(Funding!$F$25*X18)*(Inputs!$F$97/100*Time!X24-Operations!X9/100*Time!X25/Inputs!$F$247),0)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IF(Time!Y53=1,Inputs!$F$75*Y10+Inputs!$F$76*Y11+Inputs!$F$77*Y12+Inputs!$F$78*(Y13+(Inputs!$F$95/100*Inputs!$F$96/100)*Time!Y25/Inputs!$F$248)+-1*Inputs!Y300/(Funding!$F$25*Y18)*(Inputs!$F$97/100*Time!Y24-Operations!Y9/100*Time!Y25/Inputs!$F$247),0)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IF(Time!Z53=1,Inputs!$F$75*Z10+Inputs!$F$76*Z11+Inputs!$F$77*Z12+Inputs!$F$78*(Z13+(Inputs!$F$95/100*Inputs!$F$96/100)*Time!Z25/Inputs!$F$248)+-1*Inputs!Z300/(Funding!$F$25*Z18)*(Inputs!$F$97/100*Time!Z24-Operations!Z9/100*Time!Z25/Inputs!$F$247),0)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IF(Time!AA53=1,Inputs!$F$75*AA10+Inputs!$F$76*AA11+Inputs!$F$77*AA12+Inputs!$F$78*(AA13+(Inputs!$F$95/100*Inputs!$F$96/100)*Time!AA25/Inputs!$F$248)+-1*Inputs!AA300/(Funding!$F$25*AA18)*(Inputs!$F$97/100*Time!AA24-Operations!AA9/100*Time!AA25/Inputs!$F$247),0)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IF(Time!AB53=1,Inputs!$F$75*AB10+Inputs!$F$76*AB11+Inputs!$F$77*AB12+Inputs!$F$78*(AB13+(Inputs!$F$95/100*Inputs!$F$96/100)*Time!AB25/Inputs!$F$248)+-1*Inputs!AB300/(Funding!$F$25*AB18)*(Inputs!$F$97/100*Time!AB24-Operations!AB9/100*Time!AB25/Inputs!$F$247),0)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IF(Time!AC53=1,Inputs!$F$75*AC10+Inputs!$F$76*AC11+Inputs!$F$77*AC12+Inputs!$F$78*(AC13+(Inputs!$F$95/100*Inputs!$F$96/100)*Time!AC25/Inputs!$F$248)+-1*Inputs!AC300/(Funding!$F$25*AC18)*(Inputs!$F$97/100*Time!AC24-Operations!AC9/100*Time!AC25/Inputs!$F$247),0)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IF(Time!AD53=1,Inputs!$F$75*AD10+Inputs!$F$76*AD11+Inputs!$F$77*AD12+Inputs!$F$78*(AD13+(Inputs!$F$95/100*Inputs!$F$96/100)*Time!AD25/Inputs!$F$248)+-1*Inputs!AD300/(Funding!$F$25*AD18)*(Inputs!$F$97/100*Time!AD24-Operations!AD9/100*Time!AD25/Inputs!$F$247),0)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IF(Time!AE53=1,Inputs!$F$75*AE10+Inputs!$F$76*AE11+Inputs!$F$77*AE12+Inputs!$F$78*(AE13+(Inputs!$F$95/100*Inputs!$F$96/100)*Time!AE25/Inputs!$F$248)+-1*Inputs!AE300/(Funding!$F$25*AE18)*(Inputs!$F$97/100*Time!AE24-Operations!AE9/100*Time!AE25/Inputs!$F$247),0)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IF(Time!AF53=1,Inputs!$F$75*AF10+Inputs!$F$76*AF11+Inputs!$F$77*AF12+Inputs!$F$78*(AF13+(Inputs!$F$95/100*Inputs!$F$96/100)*Time!AF25/Inputs!$F$248)+-1*Inputs!AF300/(Funding!$F$25*AF18)*(Inputs!$F$97/100*Time!AF24-Operations!AF9/100*Time!AF25/Inputs!$F$247),0)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IF(Time!AG53=1,Inputs!$F$75*AG10+Inputs!$F$76*AG11+Inputs!$F$77*AG12+Inputs!$F$78*(AG13+(Inputs!$F$95/100*Inputs!$F$96/100)*Time!AG25/Inputs!$F$248)+-1*Inputs!AG300/(Funding!$F$25*AG18)*(Inputs!$F$97/100*Time!AG24-Operations!AG9/100*Time!AG25/Inputs!$F$247),0)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IF(Time!AH53=1,Inputs!$F$75*AH10+Inputs!$F$76*AH11+Inputs!$F$77*AH12+Inputs!$F$78*(AH13+(Inputs!$F$95/100*Inputs!$F$96/100)*Time!AH25/Inputs!$F$248)+-1*Inputs!AH300/(Funding!$F$25*AH18)*(Inputs!$F$97/100*Time!AH24-Operations!AH9/100*Time!AH25/Inputs!$F$247),0)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IF(Time!AI53=1,Inputs!$F$75*AI10+Inputs!$F$76*AI11+Inputs!$F$77*AI12+Inputs!$F$78*(AI13+(Inputs!$F$95/100*Inputs!$F$96/100)*Time!AI25/Inputs!$F$248)+-1*Inputs!AI300/(Funding!$F$25*AI18)*(Inputs!$F$97/100*Time!AI24-Operations!AI9/100*Time!AI25/Inputs!$F$247),0)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IF(Time!AJ53=1,Inputs!$F$75*AJ10+Inputs!$F$76*AJ11+Inputs!$F$77*AJ12+Inputs!$F$78*(AJ13+(Inputs!$F$95/100*Inputs!$F$96/100)*Time!AJ25/Inputs!$F$248)+-1*Inputs!AJ300/(Funding!$F$25*AJ18)*(Inputs!$F$97/100*Time!AJ24-Operations!AJ9/100*Time!AJ25/Inputs!$F$247),0)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IF(Time!AK53=1,Inputs!$F$75*AK10+Inputs!$F$76*AK11+Inputs!$F$77*AK12+Inputs!$F$78*(AK13+(Inputs!$F$95/100*Inputs!$F$96/100)*Time!AK25/Inputs!$F$248)+-1*Inputs!AK300/(Funding!$F$25*AK18)*(Inputs!$F$97/100*Time!AK24-Operations!AK9/100*Time!AK25/Inputs!$F$247),0)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IF(Time!AL53=1,Inputs!$F$75*AL10+Inputs!$F$76*AL11+Inputs!$F$77*AL12+Inputs!$F$78*(AL13+(Inputs!$F$95/100*Inputs!$F$96/100)*Time!AL25/Inputs!$F$248)+-1*Inputs!AL300/(Funding!$F$25*AL18)*(Inputs!$F$97/100*Time!AL24-Operations!AL9/100*Time!AL25/Inputs!$F$247),0)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IF(Time!AM53=1,Inputs!$F$75*AM10+Inputs!$F$76*AM11+Inputs!$F$77*AM12+Inputs!$F$78*(AM13+(Inputs!$F$95/100*Inputs!$F$96/100)*Time!AM25/Inputs!$F$248)+-1*Inputs!AM300/(Funding!$F$25*AM18)*(Inputs!$F$97/100*Time!AM24-Operations!AM9/100*Time!AM25/Inputs!$F$247),0)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IF(Time!AN53=1,Inputs!$F$75*AN10+Inputs!$F$76*AN11+Inputs!$F$77*AN12+Inputs!$F$78*(AN13+(Inputs!$F$95/100*Inputs!$F$96/100)*Time!AN25/Inputs!$F$248)+-1*Inputs!AN300/(Funding!$F$25*AN18)*(Inputs!$F$97/100*Time!AN24-Operations!AN9/100*Time!AN25/Inputs!$F$247),0)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IF(Time!AO53=1,Inputs!$F$75*AO10+Inputs!$F$76*AO11+Inputs!$F$77*AO12+Inputs!$F$78*(AO13+(Inputs!$F$95/100*Inputs!$F$96/100)*Time!AO25/Inputs!$F$248)+-1*Inputs!AO300/(Funding!$F$25*AO18)*(Inputs!$F$97/100*Time!AO24-Operations!AO9/100*Time!AO25/Inputs!$F$247),0)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IF(Time!AP53=1,Inputs!$F$75*AP10+Inputs!$F$76*AP11+Inputs!$F$77*AP12+Inputs!$F$78*(AP13+(Inputs!$F$95/100*Inputs!$F$96/100)*Time!AP25/Inputs!$F$248)+-1*Inputs!AP300/(Funding!$F$25*AP18)*(Inputs!$F$97/100*Time!AP24-Operations!AP9/100*Time!AP25/Inputs!$F$247),0)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IF(Time!AQ53=1,Inputs!$F$75*AQ10+Inputs!$F$76*AQ11+Inputs!$F$77*AQ12+Inputs!$F$78*(AQ13+(Inputs!$F$95/100*Inputs!$F$96/100)*Time!AQ25/Inputs!$F$248)+-1*Inputs!AQ300/(Funding!$F$25*AQ18)*(Inputs!$F$97/100*Time!AQ24-Operations!AQ9/100*Time!AQ25/Inputs!$F$247),0)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IF(Time!AR53=1,Inputs!$F$75*AR10+Inputs!$F$76*AR11+Inputs!$F$77*AR12+Inputs!$F$78*(AR13+(Inputs!$F$95/100*Inputs!$F$96/100)*Time!AR25/Inputs!$F$248)+-1*Inputs!AR300/(Funding!$F$25*AR18)*(Inputs!$F$97/100*Time!AR24-Operations!AR9/100*Time!AR25/Inputs!$F$247),0)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IF(Time!AS53=1,Inputs!$F$75*AS10+Inputs!$F$76*AS11+Inputs!$F$77*AS12+Inputs!$F$78*(AS13+(Inputs!$F$95/100*Inputs!$F$96/100)*Time!AS25/Inputs!$F$248)+-1*Inputs!AS300/(Funding!$F$25*AS18)*(Inputs!$F$97/100*Time!AS24-Operations!AS9/100*Time!AS25/Inputs!$F$247),0)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IF(Time!AT53=1,Inputs!$F$75*AT10+Inputs!$F$76*AT11+Inputs!$F$77*AT12+Inputs!$F$78*(AT13+(Inputs!$F$95/100*Inputs!$F$96/100)*Time!AT25/Inputs!$F$248)+-1*Inputs!AT300/(Funding!$F$25*AT18)*(Inputs!$F$97/100*Time!AT24-Operations!AT9/100*Time!AT25/Inputs!$F$247),0)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IF(Time!AU53=1,Inputs!$F$75*AU10+Inputs!$F$76*AU11+Inputs!$F$77*AU12+Inputs!$F$78*(AU13+(Inputs!$F$95/100*Inputs!$F$96/100)*Time!AU25/Inputs!$F$248)+-1*Inputs!AU300/(Funding!$F$25*AU18)*(Inputs!$F$97/100*Time!AU24-Operations!AU9/100*Time!AU25/Inputs!$F$247),0)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IF(Time!AV53=1,Inputs!$F$75*AV10+Inputs!$F$76*AV11+Inputs!$F$77*AV12+Inputs!$F$78*(AV13+(Inputs!$F$95/100*Inputs!$F$96/100)*Time!AV25/Inputs!$F$248)+-1*Inputs!AV300/(Funding!$F$25*AV18)*(Inputs!$F$97/100*Time!AV24-Operations!AV9/100*Time!AV25/Inputs!$F$247),0)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IF(Time!AW53=1,Inputs!$F$75*AW10+Inputs!$F$76*AW11+Inputs!$F$77*AW12+Inputs!$F$78*(AW13+(Inputs!$F$95/100*Inputs!$F$96/100)*Time!AW25/Inputs!$F$248)+-1*Inputs!AW300/(Funding!$F$25*AW18)*(Inputs!$F$97/100*Time!AW24-Operations!AW9/100*Time!AW25/Inputs!$F$247),0)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IF(Time!AX53=1,Inputs!$F$75*AX10+Inputs!$F$76*AX11+Inputs!$F$77*AX12+Inputs!$F$78*(AX13+(Inputs!$F$95/100*Inputs!$F$96/100)*Time!AX25/Inputs!$F$248)+-1*Inputs!AX300/(Funding!$F$25*AX18)*(Inputs!$F$97/100*Time!AX24-Operations!AX9/100*Time!AX25/Inputs!$F$247),0)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IF(Time!AY53=1,Inputs!$F$75*AY10+Inputs!$F$76*AY11+Inputs!$F$77*AY12+Inputs!$F$78*(AY13+(Inputs!$F$95/100*Inputs!$F$96/100)*Time!AY25/Inputs!$F$248)+-1*Inputs!AY300/(Funding!$F$25*AY18)*(Inputs!$F$97/100*Time!AY24-Operations!AY9/100*Time!AY25/Inputs!$F$247),0)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IF(Time!AZ53=1,Inputs!$F$75*AZ10+Inputs!$F$76*AZ11+Inputs!$F$77*AZ12+Inputs!$F$78*(AZ13+(Inputs!$F$95/100*Inputs!$F$96/100)*Time!AZ25/Inputs!$F$248)+-1*Inputs!AZ300/(Funding!$F$25*AZ18)*(Inputs!$F$97/100*Time!AZ24-Operations!AZ9/100*Time!AZ25/Inputs!$F$247),0)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IF(Time!BA53=1,Inputs!$F$75*BA10+Inputs!$F$76*BA11+Inputs!$F$77*BA12+Inputs!$F$78*(BA13+(Inputs!$F$95/100*Inputs!$F$96/100)*Time!BA25/Inputs!$F$248)+-1*Inputs!BA300/(Funding!$F$25*BA18)*(Inputs!$F$97/100*Time!BA24-Operations!BA9/100*Time!BA25/Inputs!$F$247),0)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IF(Time!BB53=1,Inputs!$F$75*BB10+Inputs!$F$76*BB11+Inputs!$F$77*BB12+Inputs!$F$78*(BB13+(Inputs!$F$95/100*Inputs!$F$96/100)*Time!BB25/Inputs!$F$248)+-1*Inputs!BB300/(Funding!$F$25*BB18)*(Inputs!$F$97/100*Time!BB24-Operations!BB9/100*Time!BB25/Inputs!$F$247),0)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IF(Time!BC53=1,Inputs!$F$75*BC10+Inputs!$F$76*BC11+Inputs!$F$77*BC12+Inputs!$F$78*(BC13+(Inputs!$F$95/100*Inputs!$F$96/100)*Time!BC25/Inputs!$F$248)+-1*Inputs!BC300/(Funding!$F$25*BC18)*(Inputs!$F$97/100*Time!BC24-Operations!BC9/100*Time!BC25/Inputs!$F$247),0)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IF(Time!BD53=1,Inputs!$F$75*BD10+Inputs!$F$76*BD11+Inputs!$F$77*BD12+Inputs!$F$78*(BD13+(Inputs!$F$95/100*Inputs!$F$96/100)*Time!BD25/Inputs!$F$248)+-1*Inputs!BD300/(Funding!$F$25*BD18)*(Inputs!$F$97/100*Time!BD24-Operations!BD9/100*Time!BD25/Inputs!$F$247),0)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IF(Time!BE53=1,Inputs!$F$75*BE10+Inputs!$F$76*BE11+Inputs!$F$77*BE12+Inputs!$F$78*(BE13+(Inputs!$F$95/100*Inputs!$F$96/100)*Time!BE25/Inputs!$F$248)+-1*Inputs!BE300/(Funding!$F$25*BE18)*(Inputs!$F$97/100*Time!BE24-Operations!BE9/100*Time!BE25/Inputs!$F$247),0)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IF(Time!BF53=1,Inputs!$F$75*BF10+Inputs!$F$76*BF11+Inputs!$F$77*BF12+Inputs!$F$78*(BF13+(Inputs!$F$95/100*Inputs!$F$96/100)*Time!BF25/Inputs!$F$248)+-1*Inputs!BF300/(Funding!$F$25*BF18)*(Inputs!$F$97/100*Time!BF24-Operations!BF9/100*Time!BF25/Inputs!$F$247),0)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IF(Time!BG53=1,Inputs!$F$75*BG10+Inputs!$F$76*BG11+Inputs!$F$77*BG12+Inputs!$F$78*(BG13+(Inputs!$F$95/100*Inputs!$F$96/100)*Time!BG25/Inputs!$F$248)+-1*Inputs!BG300/(Funding!$F$25*BG18)*(Inputs!$F$97/100*Time!BG24-Operations!BG9/100*Time!BG25/Inputs!$F$247),0)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IF(Time!BH53=1,Inputs!$F$75*BH10+Inputs!$F$76*BH11+Inputs!$F$77*BH12+Inputs!$F$78*(BH13+(Inputs!$F$95/100*Inputs!$F$96/100)*Time!BH25/Inputs!$F$248)+-1*Inputs!BH300/(Funding!$F$25*BH18)*(Inputs!$F$97/100*Time!BH24-Operations!BH9/100*Time!BH25/Inputs!$F$247),0)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IF(Time!BI53=1,Inputs!$F$75*BI10+Inputs!$F$76*BI11+Inputs!$F$77*BI12+Inputs!$F$78*(BI13+(Inputs!$F$95/100*Inputs!$F$96/100)*Time!BI25/Inputs!$F$248)+-1*Inputs!BI300/(Funding!$F$25*BI18)*(Inputs!$F$97/100*Time!BI24-Operations!BI9/100*Time!BI25/Inputs!$F$247),0)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IF(Time!BJ53=1,Inputs!$F$75*BJ10+Inputs!$F$76*BJ11+Inputs!$F$77*BJ12+Inputs!$F$78*(BJ13+(Inputs!$F$95/100*Inputs!$F$96/100)*Time!BJ25/Inputs!$F$248)+-1*Inputs!BJ300/(Funding!$F$25*BJ18)*(Inputs!$F$97/100*Time!BJ24-Operations!BJ9/100*Time!BJ25/Inputs!$F$247),0)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IF(Time!BK53=1,Inputs!$F$75*BK10+Inputs!$F$76*BK11+Inputs!$F$77*BK12+Inputs!$F$78*(BK13+(Inputs!$F$95/100*Inputs!$F$96/100)*Time!BK25/Inputs!$F$248)+-1*Inputs!BK300/(Funding!$F$25*BK18)*(Inputs!$F$97/100*Time!BK24-Operations!BK9/100*Time!BK25/Inputs!$F$247),0)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IF(Time!BL53=1,Inputs!$F$75*BL10+Inputs!$F$76*BL11+Inputs!$F$77*BL12+Inputs!$F$78*(BL13+(Inputs!$F$95/100*Inputs!$F$96/100)*Time!BL25/Inputs!$F$248)+-1*Inputs!BL300/(Funding!$F$25*BL18)*(Inputs!$F$97/100*Time!BL24-Operations!BL9/100*Time!BL25/Inputs!$F$247),0)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IF(Time!BM53=1,Inputs!$F$75*BM10+Inputs!$F$76*BM11+Inputs!$F$77*BM12+Inputs!$F$78*(BM13+(Inputs!$F$95/100*Inputs!$F$96/100)*Time!BM25/Inputs!$F$248)+-1*Inputs!BM300/(Funding!$F$25*BM18)*(Inputs!$F$97/100*Time!BM24-Operations!BM9/100*Time!BM25/Inputs!$F$247),0)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IF(Time!BN53=1,Inputs!$F$75*BN10+Inputs!$F$76*BN11+Inputs!$F$77*BN12+Inputs!$F$78*(BN13+(Inputs!$F$95/100*Inputs!$F$96/100)*Time!BN25/Inputs!$F$248)+-1*Inputs!BN300/(Funding!$F$25*BN18)*(Inputs!$F$97/100*Time!BN24-Operations!BN9/100*Time!BN25/Inputs!$F$247),0)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IF(Inputs!$F$8=1,J134-Time!J53*Inputs!J297*Funding!$F$25,0)</f>
        <v/>
      </c>
      <c r="K135" s="13">
        <f>IF(Inputs!$F$8=1,K134-Time!K53*Inputs!K297*Funding!$F$25,0)</f>
        <v/>
      </c>
      <c r="L135" s="13">
        <f>IF(Inputs!$F$8=1,L134-Time!L53*Inputs!L297*Funding!$F$25,0)</f>
        <v/>
      </c>
      <c r="M135" s="13">
        <f>IF(Inputs!$F$8=1,M134-Time!M53*Inputs!M297*Funding!$F$25,0)</f>
        <v/>
      </c>
      <c r="N135" s="13">
        <f>IF(Inputs!$F$8=1,N134-Time!N53*Inputs!N297*Funding!$F$25,0)</f>
        <v/>
      </c>
      <c r="O135" s="13">
        <f>IF(Inputs!$F$8=1,O134-Time!O53*Inputs!O297*Funding!$F$25,0)</f>
        <v/>
      </c>
      <c r="P135" s="13">
        <f>IF(Inputs!$F$8=1,P134-Time!P53*Inputs!P297*Funding!$F$25,0)</f>
        <v/>
      </c>
      <c r="Q135" s="13">
        <f>IF(Inputs!$F$8=1,Q134-Time!Q53*Inputs!Q297*Funding!$F$25,0)</f>
        <v/>
      </c>
      <c r="R135" s="13">
        <f>IF(Inputs!$F$8=1,R134-Time!R53*Inputs!R297*Funding!$F$25,0)</f>
        <v/>
      </c>
      <c r="S135" s="13">
        <f>IF(Inputs!$F$8=1,S134-Time!S53*Inputs!S297*Funding!$F$25,0)</f>
        <v/>
      </c>
      <c r="T135" s="13">
        <f>IF(Inputs!$F$8=1,T134-Time!T53*Inputs!T297*Funding!$F$25,0)</f>
        <v/>
      </c>
      <c r="U135" s="13">
        <f>IF(Inputs!$F$8=1,U134-Time!U53*Inputs!U297*Funding!$F$25,0)</f>
        <v/>
      </c>
      <c r="V135" s="13">
        <f>IF(Inputs!$F$8=1,V134-Time!V53*Inputs!V297*Funding!$F$25,0)</f>
        <v/>
      </c>
      <c r="W135" s="13">
        <f>IF(Inputs!$F$8=1,W134-Time!W53*Inputs!W297*Funding!$F$25,0)</f>
        <v/>
      </c>
      <c r="X135" s="13">
        <f>IF(Inputs!$F$8=1,X134-Time!X53*Inputs!X297*Funding!$F$25,0)</f>
        <v/>
      </c>
      <c r="Y135" s="13">
        <f>IF(Inputs!$F$8=1,Y134-Time!Y53*Inputs!Y297*Funding!$F$25,0)</f>
        <v/>
      </c>
      <c r="Z135" s="13">
        <f>IF(Inputs!$F$8=1,Z134-Time!Z53*Inputs!Z297*Funding!$F$25,0)</f>
        <v/>
      </c>
      <c r="AA135" s="13">
        <f>IF(Inputs!$F$8=1,AA134-Time!AA53*Inputs!AA297*Funding!$F$25,0)</f>
        <v/>
      </c>
      <c r="AB135" s="13">
        <f>IF(Inputs!$F$8=1,AB134-Time!AB53*Inputs!AB297*Funding!$F$25,0)</f>
        <v/>
      </c>
      <c r="AC135" s="13">
        <f>IF(Inputs!$F$8=1,AC134-Time!AC53*Inputs!AC297*Funding!$F$25,0)</f>
        <v/>
      </c>
      <c r="AD135" s="13">
        <f>IF(Inputs!$F$8=1,AD134-Time!AD53*Inputs!AD297*Funding!$F$25,0)</f>
        <v/>
      </c>
      <c r="AE135" s="13">
        <f>IF(Inputs!$F$8=1,AE134-Time!AE53*Inputs!AE297*Funding!$F$25,0)</f>
        <v/>
      </c>
      <c r="AF135" s="13">
        <f>IF(Inputs!$F$8=1,AF134-Time!AF53*Inputs!AF297*Funding!$F$25,0)</f>
        <v/>
      </c>
      <c r="AG135" s="13">
        <f>IF(Inputs!$F$8=1,AG134-Time!AG53*Inputs!AG297*Funding!$F$25,0)</f>
        <v/>
      </c>
      <c r="AH135" s="13">
        <f>IF(Inputs!$F$8=1,AH134-Time!AH53*Inputs!AH297*Funding!$F$25,0)</f>
        <v/>
      </c>
      <c r="AI135" s="13">
        <f>IF(Inputs!$F$8=1,AI134-Time!AI53*Inputs!AI297*Funding!$F$25,0)</f>
        <v/>
      </c>
      <c r="AJ135" s="13">
        <f>IF(Inputs!$F$8=1,AJ134-Time!AJ53*Inputs!AJ297*Funding!$F$25,0)</f>
        <v/>
      </c>
      <c r="AK135" s="13">
        <f>IF(Inputs!$F$8=1,AK134-Time!AK53*Inputs!AK297*Funding!$F$25,0)</f>
        <v/>
      </c>
      <c r="AL135" s="13">
        <f>IF(Inputs!$F$8=1,AL134-Time!AL53*Inputs!AL297*Funding!$F$25,0)</f>
        <v/>
      </c>
      <c r="AM135" s="13">
        <f>IF(Inputs!$F$8=1,AM134-Time!AM53*Inputs!AM297*Funding!$F$25,0)</f>
        <v/>
      </c>
      <c r="AN135" s="13">
        <f>IF(Inputs!$F$8=1,AN134-Time!AN53*Inputs!AN297*Funding!$F$25,0)</f>
        <v/>
      </c>
      <c r="AO135" s="13">
        <f>IF(Inputs!$F$8=1,AO134-Time!AO53*Inputs!AO297*Funding!$F$25,0)</f>
        <v/>
      </c>
      <c r="AP135" s="13">
        <f>IF(Inputs!$F$8=1,AP134-Time!AP53*Inputs!AP297*Funding!$F$25,0)</f>
        <v/>
      </c>
      <c r="AQ135" s="13">
        <f>IF(Inputs!$F$8=1,AQ134-Time!AQ53*Inputs!AQ297*Funding!$F$25,0)</f>
        <v/>
      </c>
      <c r="AR135" s="13">
        <f>IF(Inputs!$F$8=1,AR134-Time!AR53*Inputs!AR297*Funding!$F$25,0)</f>
        <v/>
      </c>
      <c r="AS135" s="13">
        <f>IF(Inputs!$F$8=1,AS134-Time!AS53*Inputs!AS297*Funding!$F$25,0)</f>
        <v/>
      </c>
      <c r="AT135" s="13">
        <f>IF(Inputs!$F$8=1,AT134-Time!AT53*Inputs!AT297*Funding!$F$25,0)</f>
        <v/>
      </c>
      <c r="AU135" s="13">
        <f>IF(Inputs!$F$8=1,AU134-Time!AU53*Inputs!AU297*Funding!$F$25,0)</f>
        <v/>
      </c>
      <c r="AV135" s="13">
        <f>IF(Inputs!$F$8=1,AV134-Time!AV53*Inputs!AV297*Funding!$F$25,0)</f>
        <v/>
      </c>
      <c r="AW135" s="13">
        <f>IF(Inputs!$F$8=1,AW134-Time!AW53*Inputs!AW297*Funding!$F$25,0)</f>
        <v/>
      </c>
      <c r="AX135" s="13">
        <f>IF(Inputs!$F$8=1,AX134-Time!AX53*Inputs!AX297*Funding!$F$25,0)</f>
        <v/>
      </c>
      <c r="AY135" s="13">
        <f>IF(Inputs!$F$8=1,AY134-Time!AY53*Inputs!AY297*Funding!$F$25,0)</f>
        <v/>
      </c>
      <c r="AZ135" s="13">
        <f>IF(Inputs!$F$8=1,AZ134-Time!AZ53*Inputs!AZ297*Funding!$F$25,0)</f>
        <v/>
      </c>
      <c r="BA135" s="13">
        <f>IF(Inputs!$F$8=1,BA134-Time!BA53*Inputs!BA297*Funding!$F$25,0)</f>
        <v/>
      </c>
      <c r="BB135" s="13">
        <f>IF(Inputs!$F$8=1,BB134-Time!BB53*Inputs!BB297*Funding!$F$25,0)</f>
        <v/>
      </c>
      <c r="BC135" s="13">
        <f>IF(Inputs!$F$8=1,BC134-Time!BC53*Inputs!BC297*Funding!$F$25,0)</f>
        <v/>
      </c>
      <c r="BD135" s="13">
        <f>IF(Inputs!$F$8=1,BD134-Time!BD53*Inputs!BD297*Funding!$F$25,0)</f>
        <v/>
      </c>
      <c r="BE135" s="13">
        <f>IF(Inputs!$F$8=1,BE134-Time!BE53*Inputs!BE297*Funding!$F$25,0)</f>
        <v/>
      </c>
      <c r="BF135" s="13">
        <f>IF(Inputs!$F$8=1,BF134-Time!BF53*Inputs!BF297*Funding!$F$25,0)</f>
        <v/>
      </c>
      <c r="BG135" s="13">
        <f>IF(Inputs!$F$8=1,BG134-Time!BG53*Inputs!BG297*Funding!$F$25,0)</f>
        <v/>
      </c>
      <c r="BH135" s="13">
        <f>IF(Inputs!$F$8=1,BH134-Time!BH53*Inputs!BH297*Funding!$F$25,0)</f>
        <v/>
      </c>
      <c r="BI135" s="13">
        <f>IF(Inputs!$F$8=1,BI134-Time!BI53*Inputs!BI297*Funding!$F$25,0)</f>
        <v/>
      </c>
      <c r="BJ135" s="13">
        <f>IF(Inputs!$F$8=1,BJ134-Time!BJ53*Inputs!BJ297*Funding!$F$25,0)</f>
        <v/>
      </c>
      <c r="BK135" s="13">
        <f>IF(Inputs!$F$8=1,BK134-Time!BK53*Inputs!BK297*Funding!$F$25,0)</f>
        <v/>
      </c>
      <c r="BL135" s="13">
        <f>IF(Inputs!$F$8=1,BL134-Time!BL53*Inputs!BL297*Funding!$F$25,0)</f>
        <v/>
      </c>
      <c r="BM135" s="13">
        <f>IF(Inputs!$F$8=1,BM134-Time!BM53*Inputs!BM297*Funding!$F$25,0)</f>
        <v/>
      </c>
      <c r="BN135" s="13">
        <f>IF(Inputs!$F$8=1,BN134-Time!BN53*Inputs!BN297*Funding!$F$25,0)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Inputs!$F$48*IF(AND(Time!J20&gt;=Time!$F$12,Time!J23&lt;Inputs!$F$198),Inputs!$F$266,0)</f>
        <v/>
      </c>
      <c r="K17" s="13">
        <f>Inputs!$F$48*IF(AND(Time!K20&gt;=Time!$F$12,Time!K23&lt;Inputs!$F$198),Inputs!$F$266,0)</f>
        <v/>
      </c>
      <c r="L17" s="13">
        <f>Inputs!$F$48*IF(AND(Time!L20&gt;=Time!$F$12,Time!L23&lt;Inputs!$F$198),Inputs!$F$266,0)</f>
        <v/>
      </c>
      <c r="M17" s="13">
        <f>Inputs!$F$48*IF(AND(Time!M20&gt;=Time!$F$12,Time!M23&lt;Inputs!$F$198),Inputs!$F$266,0)</f>
        <v/>
      </c>
      <c r="N17" s="13">
        <f>Inputs!$F$48*IF(AND(Time!N20&gt;=Time!$F$12,Time!N23&lt;Inputs!$F$198),Inputs!$F$266,0)</f>
        <v/>
      </c>
      <c r="O17" s="13">
        <f>Inputs!$F$48*IF(AND(Time!O20&gt;=Time!$F$12,Time!O23&lt;Inputs!$F$198),Inputs!$F$266,0)</f>
        <v/>
      </c>
      <c r="P17" s="13">
        <f>Inputs!$F$48*IF(AND(Time!P20&gt;=Time!$F$12,Time!P23&lt;Inputs!$F$198),Inputs!$F$266,0)</f>
        <v/>
      </c>
      <c r="Q17" s="13">
        <f>Inputs!$F$48*IF(AND(Time!Q20&gt;=Time!$F$12,Time!Q23&lt;Inputs!$F$198),Inputs!$F$266,0)</f>
        <v/>
      </c>
      <c r="R17" s="13">
        <f>Inputs!$F$48*IF(AND(Time!R20&gt;=Time!$F$12,Time!R23&lt;Inputs!$F$198),Inputs!$F$266,0)</f>
        <v/>
      </c>
      <c r="S17" s="13">
        <f>Inputs!$F$48*IF(AND(Time!S20&gt;=Time!$F$12,Time!S23&lt;Inputs!$F$198),Inputs!$F$266,0)</f>
        <v/>
      </c>
      <c r="T17" s="13">
        <f>Inputs!$F$48*IF(AND(Time!T20&gt;=Time!$F$12,Time!T23&lt;Inputs!$F$198),Inputs!$F$266,0)</f>
        <v/>
      </c>
      <c r="U17" s="13">
        <f>Inputs!$F$48*IF(AND(Time!U20&gt;=Time!$F$12,Time!U23&lt;Inputs!$F$198),Inputs!$F$266,0)</f>
        <v/>
      </c>
      <c r="V17" s="13">
        <f>Inputs!$F$48*IF(AND(Time!V20&gt;=Time!$F$12,Time!V23&lt;Inputs!$F$198),Inputs!$F$266,0)</f>
        <v/>
      </c>
      <c r="W17" s="13">
        <f>Inputs!$F$48*IF(AND(Time!W20&gt;=Time!$F$12,Time!W23&lt;Inputs!$F$198),Inputs!$F$266,0)</f>
        <v/>
      </c>
      <c r="X17" s="13">
        <f>Inputs!$F$48*IF(AND(Time!X20&gt;=Time!$F$12,Time!X23&lt;Inputs!$F$198),Inputs!$F$266,0)</f>
        <v/>
      </c>
      <c r="Y17" s="13">
        <f>Inputs!$F$48*IF(AND(Time!Y20&gt;=Time!$F$12,Time!Y23&lt;Inputs!$F$198),Inputs!$F$266,0)</f>
        <v/>
      </c>
      <c r="Z17" s="13">
        <f>Inputs!$F$48*IF(AND(Time!Z20&gt;=Time!$F$12,Time!Z23&lt;Inputs!$F$198),Inputs!$F$266,0)</f>
        <v/>
      </c>
      <c r="AA17" s="13">
        <f>Inputs!$F$48*IF(AND(Time!AA20&gt;=Time!$F$12,Time!AA23&lt;Inputs!$F$198),Inputs!$F$266,0)</f>
        <v/>
      </c>
      <c r="AB17" s="13">
        <f>Inputs!$F$48*IF(AND(Time!AB20&gt;=Time!$F$12,Time!AB23&lt;Inputs!$F$198),Inputs!$F$266,0)</f>
        <v/>
      </c>
      <c r="AC17" s="13">
        <f>Inputs!$F$48*IF(AND(Time!AC20&gt;=Time!$F$12,Time!AC23&lt;Inputs!$F$198),Inputs!$F$266,0)</f>
        <v/>
      </c>
      <c r="AD17" s="13">
        <f>Inputs!$F$48*IF(AND(Time!AD20&gt;=Time!$F$12,Time!AD23&lt;Inputs!$F$198),Inputs!$F$266,0)</f>
        <v/>
      </c>
      <c r="AE17" s="13">
        <f>Inputs!$F$48*IF(AND(Time!AE20&gt;=Time!$F$12,Time!AE23&lt;Inputs!$F$198),Inputs!$F$266,0)</f>
        <v/>
      </c>
      <c r="AF17" s="13">
        <f>Inputs!$F$48*IF(AND(Time!AF20&gt;=Time!$F$12,Time!AF23&lt;Inputs!$F$198),Inputs!$F$266,0)</f>
        <v/>
      </c>
      <c r="AG17" s="13">
        <f>Inputs!$F$48*IF(AND(Time!AG20&gt;=Time!$F$12,Time!AG23&lt;Inputs!$F$198),Inputs!$F$266,0)</f>
        <v/>
      </c>
      <c r="AH17" s="13">
        <f>Inputs!$F$48*IF(AND(Time!AH20&gt;=Time!$F$12,Time!AH23&lt;Inputs!$F$198),Inputs!$F$266,0)</f>
        <v/>
      </c>
      <c r="AI17" s="13">
        <f>Inputs!$F$48*IF(AND(Time!AI20&gt;=Time!$F$12,Time!AI23&lt;Inputs!$F$198),Inputs!$F$266,0)</f>
        <v/>
      </c>
      <c r="AJ17" s="13">
        <f>Inputs!$F$48*IF(AND(Time!AJ20&gt;=Time!$F$12,Time!AJ23&lt;Inputs!$F$198),Inputs!$F$266,0)</f>
        <v/>
      </c>
      <c r="AK17" s="13">
        <f>Inputs!$F$48*IF(AND(Time!AK20&gt;=Time!$F$12,Time!AK23&lt;Inputs!$F$198),Inputs!$F$266,0)</f>
        <v/>
      </c>
      <c r="AL17" s="13">
        <f>Inputs!$F$48*IF(AND(Time!AL20&gt;=Time!$F$12,Time!AL23&lt;Inputs!$F$198),Inputs!$F$266,0)</f>
        <v/>
      </c>
      <c r="AM17" s="13">
        <f>Inputs!$F$48*IF(AND(Time!AM20&gt;=Time!$F$12,Time!AM23&lt;Inputs!$F$198),Inputs!$F$266,0)</f>
        <v/>
      </c>
      <c r="AN17" s="13">
        <f>Inputs!$F$48*IF(AND(Time!AN20&gt;=Time!$F$12,Time!AN23&lt;Inputs!$F$198),Inputs!$F$266,0)</f>
        <v/>
      </c>
      <c r="AO17" s="13">
        <f>Inputs!$F$48*IF(AND(Time!AO20&gt;=Time!$F$12,Time!AO23&lt;Inputs!$F$198),Inputs!$F$266,0)</f>
        <v/>
      </c>
      <c r="AP17" s="13">
        <f>Inputs!$F$48*IF(AND(Time!AP20&gt;=Time!$F$12,Time!AP23&lt;Inputs!$F$198),Inputs!$F$266,0)</f>
        <v/>
      </c>
      <c r="AQ17" s="13">
        <f>Inputs!$F$48*IF(AND(Time!AQ20&gt;=Time!$F$12,Time!AQ23&lt;Inputs!$F$198),Inputs!$F$266,0)</f>
        <v/>
      </c>
      <c r="AR17" s="13">
        <f>Inputs!$F$48*IF(AND(Time!AR20&gt;=Time!$F$12,Time!AR23&lt;Inputs!$F$198),Inputs!$F$266,0)</f>
        <v/>
      </c>
      <c r="AS17" s="13">
        <f>Inputs!$F$48*IF(AND(Time!AS20&gt;=Time!$F$12,Time!AS23&lt;Inputs!$F$198),Inputs!$F$266,0)</f>
        <v/>
      </c>
      <c r="AT17" s="13">
        <f>Inputs!$F$48*IF(AND(Time!AT20&gt;=Time!$F$12,Time!AT23&lt;Inputs!$F$198),Inputs!$F$266,0)</f>
        <v/>
      </c>
      <c r="AU17" s="13">
        <f>Inputs!$F$48*IF(AND(Time!AU20&gt;=Time!$F$12,Time!AU23&lt;Inputs!$F$198),Inputs!$F$266,0)</f>
        <v/>
      </c>
      <c r="AV17" s="13">
        <f>Inputs!$F$48*IF(AND(Time!AV20&gt;=Time!$F$12,Time!AV23&lt;Inputs!$F$198),Inputs!$F$266,0)</f>
        <v/>
      </c>
      <c r="AW17" s="13">
        <f>Inputs!$F$48*IF(AND(Time!AW20&gt;=Time!$F$12,Time!AW23&lt;Inputs!$F$198),Inputs!$F$266,0)</f>
        <v/>
      </c>
      <c r="AX17" s="13">
        <f>Inputs!$F$48*IF(AND(Time!AX20&gt;=Time!$F$12,Time!AX23&lt;Inputs!$F$198),Inputs!$F$266,0)</f>
        <v/>
      </c>
      <c r="AY17" s="13">
        <f>Inputs!$F$48*IF(AND(Time!AY20&gt;=Time!$F$12,Time!AY23&lt;Inputs!$F$198),Inputs!$F$266,0)</f>
        <v/>
      </c>
      <c r="AZ17" s="13">
        <f>Inputs!$F$48*IF(AND(Time!AZ20&gt;=Time!$F$12,Time!AZ23&lt;Inputs!$F$198),Inputs!$F$266,0)</f>
        <v/>
      </c>
      <c r="BA17" s="13">
        <f>Inputs!$F$48*IF(AND(Time!BA20&gt;=Time!$F$12,Time!BA23&lt;Inputs!$F$198),Inputs!$F$266,0)</f>
        <v/>
      </c>
      <c r="BB17" s="13">
        <f>Inputs!$F$48*IF(AND(Time!BB20&gt;=Time!$F$12,Time!BB23&lt;Inputs!$F$198),Inputs!$F$266,0)</f>
        <v/>
      </c>
      <c r="BC17" s="13">
        <f>Inputs!$F$48*IF(AND(Time!BC20&gt;=Time!$F$12,Time!BC23&lt;Inputs!$F$198),Inputs!$F$266,0)</f>
        <v/>
      </c>
      <c r="BD17" s="13">
        <f>Inputs!$F$48*IF(AND(Time!BD20&gt;=Time!$F$12,Time!BD23&lt;Inputs!$F$198),Inputs!$F$266,0)</f>
        <v/>
      </c>
      <c r="BE17" s="13">
        <f>Inputs!$F$48*IF(AND(Time!BE20&gt;=Time!$F$12,Time!BE23&lt;Inputs!$F$198),Inputs!$F$266,0)</f>
        <v/>
      </c>
      <c r="BF17" s="13">
        <f>Inputs!$F$48*IF(AND(Time!BF20&gt;=Time!$F$12,Time!BF23&lt;Inputs!$F$198),Inputs!$F$266,0)</f>
        <v/>
      </c>
      <c r="BG17" s="13">
        <f>Inputs!$F$48*IF(AND(Time!BG20&gt;=Time!$F$12,Time!BG23&lt;Inputs!$F$198),Inputs!$F$266,0)</f>
        <v/>
      </c>
      <c r="BH17" s="13">
        <f>Inputs!$F$48*IF(AND(Time!BH20&gt;=Time!$F$12,Time!BH23&lt;Inputs!$F$198),Inputs!$F$266,0)</f>
        <v/>
      </c>
      <c r="BI17" s="13">
        <f>Inputs!$F$48*IF(AND(Time!BI20&gt;=Time!$F$12,Time!BI23&lt;Inputs!$F$198),Inputs!$F$266,0)</f>
        <v/>
      </c>
      <c r="BJ17" s="13">
        <f>Inputs!$F$48*IF(AND(Time!BJ20&gt;=Time!$F$12,Time!BJ23&lt;Inputs!$F$198),Inputs!$F$266,0)</f>
        <v/>
      </c>
      <c r="BK17" s="13">
        <f>Inputs!$F$48*IF(AND(Time!BK20&gt;=Time!$F$12,Time!BK23&lt;Inputs!$F$198),Inputs!$F$266,0)</f>
        <v/>
      </c>
      <c r="BL17" s="13">
        <f>Inputs!$F$48*IF(AND(Time!BL20&gt;=Time!$F$12,Time!BL23&lt;Inputs!$F$198),Inputs!$F$266,0)</f>
        <v/>
      </c>
      <c r="BM17" s="13">
        <f>Inputs!$F$48*IF(AND(Time!BM20&gt;=Time!$F$12,Time!BM23&lt;Inputs!$F$198),Inputs!$F$266,0)</f>
        <v/>
      </c>
      <c r="BN17" s="13">
        <f>Inputs!$F$48*IF(AND(Time!BN20&gt;=Time!$F$12,Time!BN23&lt;Inputs!$F$198),Inputs!$F$266,0)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-Construction!J30</f>
        <v/>
      </c>
      <c r="L9" s="13">
        <f>-Construction!K30</f>
        <v/>
      </c>
      <c r="M9" s="13">
        <f>-Construction!L30</f>
        <v/>
      </c>
      <c r="N9" s="13">
        <f>-Construction!M30</f>
        <v/>
      </c>
      <c r="O9" s="13">
        <f>-Construction!N30</f>
        <v/>
      </c>
      <c r="P9" s="13">
        <f>-Construction!O30</f>
        <v/>
      </c>
      <c r="Q9" s="13">
        <f>-Construction!P30</f>
        <v/>
      </c>
      <c r="R9" s="13">
        <f>-Construction!Q30</f>
        <v/>
      </c>
      <c r="S9" s="13">
        <f>-Construction!R30</f>
        <v/>
      </c>
      <c r="T9" s="13">
        <f>-Construction!S30</f>
        <v/>
      </c>
      <c r="U9" s="13">
        <f>-Construction!T30</f>
        <v/>
      </c>
      <c r="V9" s="13">
        <f>-Construction!U30</f>
        <v/>
      </c>
      <c r="W9" s="13">
        <f>-Construction!V30</f>
        <v/>
      </c>
      <c r="X9" s="13">
        <f>-Construction!W30</f>
        <v/>
      </c>
      <c r="Y9" s="13">
        <f>-Construction!X30</f>
        <v/>
      </c>
      <c r="Z9" s="13">
        <f>-Construction!Y30</f>
        <v/>
      </c>
      <c r="AA9" s="13">
        <f>-Construction!Z30</f>
        <v/>
      </c>
      <c r="AB9" s="13">
        <f>-Construction!AA30</f>
        <v/>
      </c>
      <c r="AC9" s="13">
        <f>-Construction!AB30</f>
        <v/>
      </c>
      <c r="AD9" s="13">
        <f>-Construction!AC30</f>
        <v/>
      </c>
      <c r="AE9" s="13">
        <f>-Construction!AD30</f>
        <v/>
      </c>
      <c r="AF9" s="13">
        <f>-Construction!AE30</f>
        <v/>
      </c>
      <c r="AG9" s="13">
        <f>-Construction!AF30</f>
        <v/>
      </c>
      <c r="AH9" s="13">
        <f>-Construction!AG30</f>
        <v/>
      </c>
      <c r="AI9" s="13">
        <f>-Construction!AH30</f>
        <v/>
      </c>
      <c r="AJ9" s="13">
        <f>-Construction!AI30</f>
        <v/>
      </c>
      <c r="AK9" s="13">
        <f>-Construction!AJ30</f>
        <v/>
      </c>
      <c r="AL9" s="13">
        <f>-Construction!AK30</f>
        <v/>
      </c>
      <c r="AM9" s="13">
        <f>-Construction!AL30</f>
        <v/>
      </c>
      <c r="AN9" s="13">
        <f>-Construction!AM30</f>
        <v/>
      </c>
      <c r="AO9" s="13">
        <f>-Construction!AN30</f>
        <v/>
      </c>
      <c r="AP9" s="13">
        <f>-Construction!AO30</f>
        <v/>
      </c>
      <c r="AQ9" s="13">
        <f>-Construction!AP30</f>
        <v/>
      </c>
      <c r="AR9" s="13">
        <f>-Construction!AQ30</f>
        <v/>
      </c>
      <c r="AS9" s="13">
        <f>-Construction!AR30</f>
        <v/>
      </c>
      <c r="AT9" s="13">
        <f>-Construction!AS30</f>
        <v/>
      </c>
      <c r="AU9" s="13">
        <f>-Construction!AT30</f>
        <v/>
      </c>
      <c r="AV9" s="13">
        <f>-Construction!AU30</f>
        <v/>
      </c>
      <c r="AW9" s="13">
        <f>-Construction!AV30</f>
        <v/>
      </c>
      <c r="AX9" s="13">
        <f>-Construction!AW30</f>
        <v/>
      </c>
      <c r="AY9" s="13">
        <f>-Construction!AX30</f>
        <v/>
      </c>
      <c r="AZ9" s="13">
        <f>-Construction!AY30</f>
        <v/>
      </c>
      <c r="BA9" s="13">
        <f>-Construction!AZ30</f>
        <v/>
      </c>
      <c r="BB9" s="13">
        <f>-Construction!BA30</f>
        <v/>
      </c>
      <c r="BC9" s="13">
        <f>-Construction!BB30</f>
        <v/>
      </c>
      <c r="BD9" s="13">
        <f>-Construction!BC30</f>
        <v/>
      </c>
      <c r="BE9" s="13">
        <f>-Construction!BD30</f>
        <v/>
      </c>
      <c r="BF9" s="13">
        <f>-Construction!BE30</f>
        <v/>
      </c>
      <c r="BG9" s="13">
        <f>-Construction!BF30</f>
        <v/>
      </c>
      <c r="BH9" s="13">
        <f>-Construction!BG30</f>
        <v/>
      </c>
      <c r="BI9" s="13">
        <f>-Construction!BH30</f>
        <v/>
      </c>
      <c r="BJ9" s="13">
        <f>-Construction!BI30</f>
        <v/>
      </c>
      <c r="BK9" s="13">
        <f>-Construction!BJ30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-Construction!J30</f>
        <v/>
      </c>
      <c r="L10" s="13">
        <f>-Construction!K30</f>
        <v/>
      </c>
      <c r="M10" s="13">
        <f>-Construction!L30</f>
        <v/>
      </c>
      <c r="N10" s="13">
        <f>-Construction!M30</f>
        <v/>
      </c>
      <c r="O10" s="13">
        <f>-Construction!N30</f>
        <v/>
      </c>
      <c r="P10" s="13">
        <f>-Construction!O30</f>
        <v/>
      </c>
      <c r="Q10" s="13">
        <f>-Construction!P30</f>
        <v/>
      </c>
      <c r="R10" s="13">
        <f>-Construction!Q30</f>
        <v/>
      </c>
      <c r="S10" s="13">
        <f>-Construction!R30</f>
        <v/>
      </c>
      <c r="T10" s="13">
        <f>-Construction!S30</f>
        <v/>
      </c>
      <c r="U10" s="13">
        <f>-Construction!T30</f>
        <v/>
      </c>
      <c r="V10" s="13">
        <f>-Construction!U30</f>
        <v/>
      </c>
      <c r="W10" s="13">
        <f>-Construction!V30</f>
        <v/>
      </c>
      <c r="X10" s="13">
        <f>-Construction!W30</f>
        <v/>
      </c>
      <c r="Y10" s="13">
        <f>-Construction!X30</f>
        <v/>
      </c>
      <c r="Z10" s="13">
        <f>-Construction!Y30</f>
        <v/>
      </c>
      <c r="AA10" s="13">
        <f>-Construction!Z30</f>
        <v/>
      </c>
      <c r="AB10" s="13">
        <f>-Construction!AA30</f>
        <v/>
      </c>
      <c r="AC10" s="13">
        <f>-Construction!AB30</f>
        <v/>
      </c>
      <c r="AD10" s="13">
        <f>-Construction!AC30</f>
        <v/>
      </c>
      <c r="AE10" s="13">
        <f>-Construction!AD30</f>
        <v/>
      </c>
      <c r="AF10" s="13">
        <f>-Construction!AE30</f>
        <v/>
      </c>
      <c r="AG10" s="13">
        <f>-Construction!AF30</f>
        <v/>
      </c>
      <c r="AH10" s="13">
        <f>-Construction!AG30</f>
        <v/>
      </c>
      <c r="AI10" s="13">
        <f>-Construction!AH30</f>
        <v/>
      </c>
      <c r="AJ10" s="13">
        <f>-Construction!AI30</f>
        <v/>
      </c>
      <c r="AK10" s="13">
        <f>-Construction!AJ30</f>
        <v/>
      </c>
      <c r="AL10" s="13">
        <f>-Construction!AK30</f>
        <v/>
      </c>
      <c r="AM10" s="13">
        <f>-Construction!AL30</f>
        <v/>
      </c>
      <c r="AN10" s="13">
        <f>-Construction!AM30</f>
        <v/>
      </c>
      <c r="AO10" s="13">
        <f>-Construction!AN30</f>
        <v/>
      </c>
      <c r="AP10" s="13">
        <f>-Construction!AO30</f>
        <v/>
      </c>
      <c r="AQ10" s="13">
        <f>-Construction!AP30</f>
        <v/>
      </c>
      <c r="AR10" s="13">
        <f>-Construction!AQ30</f>
        <v/>
      </c>
      <c r="AS10" s="13">
        <f>-Construction!AR30</f>
        <v/>
      </c>
      <c r="AT10" s="13">
        <f>-Construction!AS30</f>
        <v/>
      </c>
      <c r="AU10" s="13">
        <f>-Construction!AT30</f>
        <v/>
      </c>
      <c r="AV10" s="13">
        <f>-Construction!AU30</f>
        <v/>
      </c>
      <c r="AW10" s="13">
        <f>-Construction!AV30</f>
        <v/>
      </c>
      <c r="AX10" s="13">
        <f>-Construction!AW30</f>
        <v/>
      </c>
      <c r="AY10" s="13">
        <f>-Construction!AX30</f>
        <v/>
      </c>
      <c r="AZ10" s="13">
        <f>-Construction!AY30</f>
        <v/>
      </c>
      <c r="BA10" s="13">
        <f>-Construction!AZ30</f>
        <v/>
      </c>
      <c r="BB10" s="13">
        <f>-Construction!BA30</f>
        <v/>
      </c>
      <c r="BC10" s="13">
        <f>-Construction!BB30</f>
        <v/>
      </c>
      <c r="BD10" s="13">
        <f>-Construction!BC30</f>
        <v/>
      </c>
      <c r="BE10" s="13">
        <f>-Construction!BD30</f>
        <v/>
      </c>
      <c r="BF10" s="13">
        <f>-Construction!BE30</f>
        <v/>
      </c>
      <c r="BG10" s="13">
        <f>-Construction!BF30</f>
        <v/>
      </c>
      <c r="BH10" s="13">
        <f>-Construction!BG30</f>
        <v/>
      </c>
      <c r="BI10" s="13">
        <f>-Construction!BH30</f>
        <v/>
      </c>
      <c r="BJ10" s="13">
        <f>-Construction!BI30</f>
        <v/>
      </c>
      <c r="BK10" s="13">
        <f>-Construction!BJ30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IF(MAX(MAX(Debt!$J$135:$BN$135),-MIN(Debt!$J$135:$BN$135))&lt;=Inputs!$F$259,0,MAX(MAX(Debt!$J$135:$BN$135),-MIN(Debt!$J$135:$BN$135)))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2026-10-03T21:26:06Z</dcterms:created>
  <dcterms:modified xsi:type="dcterms:W3CDTF">2026-10-03T21:26:06Z</dcterms:modified>
</cp:coreProperties>
</file>