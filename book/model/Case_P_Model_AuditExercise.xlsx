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  <sheet name="AuditKey" sheetId="16" state="visible" r:id="rId16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654.9505640983427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205.2890913117617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0.01829709861392811</v>
      </c>
      <c r="Q298" s="6" t="n">
        <v>0.0191004482956148</v>
      </c>
      <c r="R298" s="6" t="n">
        <v>0.02046430333321454</v>
      </c>
      <c r="S298" s="6" t="n">
        <v>0.02136357654163223</v>
      </c>
      <c r="T298" s="6" t="n">
        <v>0.02383383953954502</v>
      </c>
      <c r="U298" s="6" t="n">
        <v>0.02434556882457986</v>
      </c>
      <c r="V298" s="6" t="n">
        <v>0.02512549709660238</v>
      </c>
      <c r="W298" s="6" t="n">
        <v>0.02658927263591271</v>
      </c>
      <c r="X298" s="6" t="n">
        <v>0.02760689494454755</v>
      </c>
      <c r="Y298" s="6" t="n">
        <v>0.02795641067734752</v>
      </c>
      <c r="Z298" s="6" t="n">
        <v>0.02981277452621092</v>
      </c>
      <c r="AA298" s="6" t="n">
        <v>0.03118143122759967</v>
      </c>
      <c r="AB298" s="6" t="n">
        <v>0.03423503945916054</v>
      </c>
      <c r="AC298" s="6" t="n">
        <v>0.03469098666333849</v>
      </c>
      <c r="AD298" s="6" t="n">
        <v>0.03722403309874917</v>
      </c>
      <c r="AE298" s="6" t="n">
        <v>0.03931620225905238</v>
      </c>
      <c r="AF298" s="6" t="n">
        <v>0.04445382849269445</v>
      </c>
      <c r="AG298" s="6" t="n">
        <v>0.04623521303206557</v>
      </c>
      <c r="AH298" s="6" t="n">
        <v>0.04906705988656183</v>
      </c>
      <c r="AI298" s="6" t="n">
        <v>0.05121345190912223</v>
      </c>
      <c r="AJ298" s="6" t="n">
        <v>0.05536090160276694</v>
      </c>
      <c r="AK298" s="6" t="n">
        <v>0.05716357793025072</v>
      </c>
      <c r="AL298" s="6" t="n">
        <v>0.05969702237571265</v>
      </c>
      <c r="AM298" s="6" t="n">
        <v>0.06253418362057679</v>
      </c>
      <c r="AN298" s="6" t="n">
        <v>0.06504172858866321</v>
      </c>
      <c r="AO298" s="6" t="n">
        <v>0.06808965482454984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0.01921417366754289</v>
      </c>
      <c r="R299" s="6" t="n">
        <v>0.02157269950645734</v>
      </c>
      <c r="S299" s="6" t="n">
        <v>0.02283740847623811</v>
      </c>
      <c r="T299" s="6" t="n">
        <v>0.02458937441572511</v>
      </c>
      <c r="U299" s="6" t="n">
        <v>0.02566745112012972</v>
      </c>
      <c r="V299" s="6" t="n">
        <v>0.02752446381791911</v>
      </c>
      <c r="W299" s="6" t="n">
        <v>0.02990797894283567</v>
      </c>
      <c r="X299" s="6" t="n">
        <v>0.03198133257590892</v>
      </c>
      <c r="Y299" s="6" t="n">
        <v>0.0284421046120348</v>
      </c>
      <c r="Z299" s="6" t="n">
        <v>0.0304883783875258</v>
      </c>
      <c r="AA299" s="6" t="n">
        <v>0.03142433609032401</v>
      </c>
      <c r="AB299" s="6" t="n">
        <v>0.03370679972173535</v>
      </c>
      <c r="AC299" s="6" t="n">
        <v>0.03510603390811671</v>
      </c>
      <c r="AD299" s="6" t="n">
        <v>0.03753764662313459</v>
      </c>
      <c r="AE299" s="6" t="n">
        <v>0.04194862089003002</v>
      </c>
      <c r="AF299" s="6" t="n">
        <v>0.04510869970601768</v>
      </c>
      <c r="AG299" s="6" t="n">
        <v>0.0455134680115367</v>
      </c>
      <c r="AH299" s="6" t="n">
        <v>0.04875435850040231</v>
      </c>
      <c r="AI299" s="6" t="n">
        <v>0.05086119220467461</v>
      </c>
      <c r="AJ299" s="6" t="n">
        <v>0.05423126140990044</v>
      </c>
      <c r="AK299" s="6" t="n">
        <v>0.05642261454693288</v>
      </c>
      <c r="AL299" s="6" t="n">
        <v>0.05995332960660026</v>
      </c>
      <c r="AM299" s="6" t="n">
        <v>0.06365654050982973</v>
      </c>
      <c r="AN299" s="6" t="n">
        <v>0.06767953112917635</v>
      </c>
      <c r="AO299" s="6" t="n">
        <v>0.06587020161927079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0.007128942240394664</v>
      </c>
      <c r="Y300" s="6" t="n">
        <v>0.01135069474925833</v>
      </c>
      <c r="Z300" s="6" t="n">
        <v>0.01350996608273518</v>
      </c>
      <c r="AA300" s="6" t="n">
        <v>0.01370199284980906</v>
      </c>
      <c r="AB300" s="6" t="n">
        <v>0.01578069269993389</v>
      </c>
      <c r="AC300" s="6" t="n">
        <v>0.01627456561789091</v>
      </c>
      <c r="AD300" s="6" t="n">
        <v>0.01821015878564587</v>
      </c>
      <c r="AE300" s="6" t="n">
        <v>0.02166148064467311</v>
      </c>
      <c r="AF300" s="6" t="n">
        <v>0.02424153111889893</v>
      </c>
      <c r="AG300" s="6" t="n">
        <v>0.02462584406453995</v>
      </c>
      <c r="AH300" s="6" t="n">
        <v>0.02713415659998876</v>
      </c>
      <c r="AI300" s="6" t="n">
        <v>0.02793654915128947</v>
      </c>
      <c r="AJ300" s="6" t="n">
        <v>0.03038690403972586</v>
      </c>
      <c r="AK300" s="6" t="n">
        <v>0.03127209105052551</v>
      </c>
      <c r="AL300" s="6" t="n">
        <v>0.03363377355246962</v>
      </c>
      <c r="AM300" s="6" t="n">
        <v>0.0359172051405813</v>
      </c>
      <c r="AN300" s="6" t="n">
        <v>0.03859177597777853</v>
      </c>
      <c r="AO300" s="6" t="n">
        <v>0.03506482728766249</v>
      </c>
      <c r="AP300" s="6" t="n">
        <v>0.09396239592736523</v>
      </c>
      <c r="AQ300" s="6" t="n">
        <v>0.0853801436619559</v>
      </c>
      <c r="AR300" s="6" t="n">
        <v>0.08983408186377174</v>
      </c>
      <c r="AS300" s="6" t="n">
        <v>0.0918858686342667</v>
      </c>
      <c r="AT300" s="6" t="n">
        <v>0.09627021746091165</v>
      </c>
      <c r="AU300" s="6" t="n">
        <v>0.1162441407979283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523.9604512430997</v>
      </c>
      <c r="Q301" s="6" t="n">
        <v>511.2038844964209</v>
      </c>
      <c r="R301" s="6" t="n">
        <v>498.1526713265364</v>
      </c>
      <c r="S301" s="6" t="n">
        <v>484.6012338860003</v>
      </c>
      <c r="T301" s="6" t="n">
        <v>470.7199679282128</v>
      </c>
      <c r="U301" s="6" t="n">
        <v>455.9326778898724</v>
      </c>
      <c r="V301" s="6" t="n">
        <v>440.957699716561</v>
      </c>
      <c r="W301" s="6" t="n">
        <v>425.6966654447075</v>
      </c>
      <c r="X301" s="6" t="n">
        <v>409.898758828387</v>
      </c>
      <c r="Y301" s="6" t="n">
        <v>393.7276165212473</v>
      </c>
      <c r="Z301" s="6" t="n">
        <v>377.4282815193556</v>
      </c>
      <c r="AA301" s="6" t="n">
        <v>360.4480836495187</v>
      </c>
      <c r="AB301" s="6" t="n">
        <v>342.965900391682</v>
      </c>
      <c r="AC301" s="6" t="n">
        <v>324.3637381709956</v>
      </c>
      <c r="AD301" s="6" t="n">
        <v>305.5943471383183</v>
      </c>
      <c r="AE301" s="6" t="n">
        <v>285.8959047983187</v>
      </c>
      <c r="AF301" s="6" t="n">
        <v>265.4301127302027</v>
      </c>
      <c r="AG301" s="6" t="n">
        <v>243.0799815902983</v>
      </c>
      <c r="AH301" s="6" t="n">
        <v>220.0764879174335</v>
      </c>
      <c r="AI301" s="6" t="n">
        <v>196.0343512155555</v>
      </c>
      <c r="AJ301" s="6" t="n">
        <v>171.2049773407977</v>
      </c>
      <c r="AK301" s="6" t="n">
        <v>144.8544337369468</v>
      </c>
      <c r="AL301" s="6" t="n">
        <v>117.8427183617003</v>
      </c>
      <c r="AM301" s="6" t="n">
        <v>89.90180570006342</v>
      </c>
      <c r="AN301" s="6" t="n">
        <v>60.92030083815058</v>
      </c>
      <c r="AO301" s="6" t="n">
        <v>31.01909790114408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73.19961525966697</v>
      </c>
      <c r="L309" s="6" t="n">
        <v>74.68287045193699</v>
      </c>
      <c r="M309" s="6" t="n">
        <v>76.5749850102281</v>
      </c>
      <c r="N309" s="6" t="n">
        <v>79.25974564207883</v>
      </c>
      <c r="O309" s="6" t="n">
        <v>83.12973156743429</v>
      </c>
      <c r="P309" s="6" t="n">
        <v>88.49247977735547</v>
      </c>
      <c r="Q309" s="6" t="n">
        <v>95.49600699549696</v>
      </c>
      <c r="R309" s="6" t="n">
        <v>104.3743789205693</v>
      </c>
      <c r="S309" s="6" t="n">
        <v>115.1327066825364</v>
      </c>
      <c r="T309" s="6" t="n">
        <v>127.7982702993666</v>
      </c>
      <c r="U309" s="6" t="n">
        <v>142.2555879711274</v>
      </c>
      <c r="V309" s="6" t="n">
        <v>158.4444282801254</v>
      </c>
      <c r="W309" s="6" t="n">
        <v>176.1418765607092</v>
      </c>
      <c r="X309" s="6" t="n">
        <v>195.0995546466251</v>
      </c>
      <c r="Y309" s="6" t="n">
        <v>215.0902519671285</v>
      </c>
      <c r="Z309" s="6" t="n">
        <v>235.7795351446726</v>
      </c>
      <c r="AA309" s="6" t="n">
        <v>256.8952093239765</v>
      </c>
      <c r="AB309" s="6" t="n">
        <v>278.8199614506225</v>
      </c>
      <c r="AC309" s="6" t="n">
        <v>299.7548583353208</v>
      </c>
      <c r="AD309" s="6" t="n">
        <v>320.1778538730197</v>
      </c>
      <c r="AE309" s="6" t="n">
        <v>339.7147927052882</v>
      </c>
      <c r="AF309" s="6" t="n">
        <v>358.1426393961835</v>
      </c>
      <c r="AG309" s="6" t="n">
        <v>375.1687527344344</v>
      </c>
      <c r="AH309" s="6" t="n">
        <v>390.6689064814359</v>
      </c>
      <c r="AI309" s="6" t="n">
        <v>404.4546229359455</v>
      </c>
      <c r="AJ309" s="6" t="n">
        <v>416.4113520768696</v>
      </c>
      <c r="AK309" s="6" t="n">
        <v>426.577499216572</v>
      </c>
      <c r="AL309" s="6" t="n">
        <v>434.9468832581854</v>
      </c>
      <c r="AM309" s="6" t="n">
        <v>441.7074934772156</v>
      </c>
      <c r="AN309" s="6" t="n">
        <v>447.0529156622121</v>
      </c>
      <c r="AO309" s="6" t="n">
        <v>451.1622833738738</v>
      </c>
      <c r="AP309" s="6" t="n">
        <v>454.5729361987302</v>
      </c>
      <c r="AQ309" s="6" t="n">
        <v>487.2397465501116</v>
      </c>
      <c r="AR309" s="6" t="n">
        <v>521.5760681287344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J19*(1+J12/100)^(Inputs!$F$236/12)</f>
        <v/>
      </c>
      <c r="K20" s="13">
        <f>K19*(1+K12/100)^(Inputs!$F$236/12)</f>
        <v/>
      </c>
      <c r="L20" s="13">
        <f>L19*(1+L12/100)^(Inputs!$F$236/12)</f>
        <v/>
      </c>
      <c r="M20" s="13">
        <f>M19*(1+M12/100)^(Inputs!$F$236/12)</f>
        <v/>
      </c>
      <c r="N20" s="13">
        <f>N19*(1+N12/100)^(Inputs!$F$236/12)</f>
        <v/>
      </c>
      <c r="O20" s="13">
        <f>O19*(1+O12/100)^(Inputs!$F$236/12)</f>
        <v/>
      </c>
      <c r="P20" s="13">
        <f>P19*(1+P12/100)^(Inputs!$F$236/12)</f>
        <v/>
      </c>
      <c r="Q20" s="13">
        <f>Q19*(1+Q12/100)^(Inputs!$F$236/12)</f>
        <v/>
      </c>
      <c r="R20" s="13">
        <f>R19*(1+R12/100)^(Inputs!$F$236/12)</f>
        <v/>
      </c>
      <c r="S20" s="13">
        <f>S19*(1+S12/100)^(Inputs!$F$236/12)</f>
        <v/>
      </c>
      <c r="T20" s="13">
        <f>T19*(1+T12/100)^(Inputs!$F$236/12)</f>
        <v/>
      </c>
      <c r="U20" s="13">
        <f>U19*(1+U12/100)^(Inputs!$F$236/12)</f>
        <v/>
      </c>
      <c r="V20" s="13">
        <f>V19*(1+V12/100)^(Inputs!$F$236/12)</f>
        <v/>
      </c>
      <c r="W20" s="13">
        <f>W19*(1+W12/100)^(Inputs!$F$236/12)</f>
        <v/>
      </c>
      <c r="X20" s="13">
        <f>X19*(1+X12/100)^(Inputs!$F$236/12)</f>
        <v/>
      </c>
      <c r="Y20" s="13">
        <f>Y19*(1+Y12/100)^(Inputs!$F$236/12)</f>
        <v/>
      </c>
      <c r="Z20" s="13">
        <f>Z19*(1+Z12/100)^(Inputs!$F$236/12)</f>
        <v/>
      </c>
      <c r="AA20" s="13">
        <f>AA19*(1+AA12/100)^(Inputs!$F$236/12)</f>
        <v/>
      </c>
      <c r="AB20" s="13">
        <f>AB19*(1+AB12/100)^(Inputs!$F$236/12)</f>
        <v/>
      </c>
      <c r="AC20" s="13">
        <f>AC19*(1+AC12/100)^(Inputs!$F$236/12)</f>
        <v/>
      </c>
      <c r="AD20" s="13">
        <f>AD19*(1+AD12/100)^(Inputs!$F$236/12)</f>
        <v/>
      </c>
      <c r="AE20" s="13">
        <f>AE19*(1+AE12/100)^(Inputs!$F$236/12)</f>
        <v/>
      </c>
      <c r="AF20" s="13">
        <f>AF19*(1+AF12/100)^(Inputs!$F$236/12)</f>
        <v/>
      </c>
      <c r="AG20" s="13">
        <f>AG19*(1+AG12/100)^(Inputs!$F$236/12)</f>
        <v/>
      </c>
      <c r="AH20" s="13">
        <f>AH19*(1+AH12/100)^(Inputs!$F$236/12)</f>
        <v/>
      </c>
      <c r="AI20" s="13">
        <f>AI19*(1+AI12/100)^(Inputs!$F$236/12)</f>
        <v/>
      </c>
      <c r="AJ20" s="13">
        <f>AJ19*(1+AJ12/100)^(Inputs!$F$236/12)</f>
        <v/>
      </c>
      <c r="AK20" s="13">
        <f>AK19*(1+AK12/100)^(Inputs!$F$236/12)</f>
        <v/>
      </c>
      <c r="AL20" s="13">
        <f>AL19*(1+AL12/100)^(Inputs!$F$236/12)</f>
        <v/>
      </c>
      <c r="AM20" s="13">
        <f>AM19*(1+AM12/100)^(Inputs!$F$236/12)</f>
        <v/>
      </c>
      <c r="AN20" s="13">
        <f>AN19*(1+AN12/100)^(Inputs!$F$236/12)</f>
        <v/>
      </c>
      <c r="AO20" s="13">
        <f>AO19*(1+AO12/100)^(Inputs!$F$236/12)</f>
        <v/>
      </c>
      <c r="AP20" s="13">
        <f>AP19*(1+AP12/100)^(Inputs!$F$236/12)</f>
        <v/>
      </c>
      <c r="AQ20" s="13">
        <f>AQ19*(1+AQ12/100)^(Inputs!$F$236/12)</f>
        <v/>
      </c>
      <c r="AR20" s="13">
        <f>AR19*(1+AR12/100)^(Inputs!$F$236/12)</f>
        <v/>
      </c>
      <c r="AS20" s="13">
        <f>AS19*(1+AS12/100)^(Inputs!$F$236/12)</f>
        <v/>
      </c>
      <c r="AT20" s="13">
        <f>AT19*(1+AT12/100)^(Inputs!$F$236/12)</f>
        <v/>
      </c>
      <c r="AU20" s="13">
        <f>AU19*(1+AU12/100)^(Inputs!$F$236/12)</f>
        <v/>
      </c>
      <c r="AV20" s="13">
        <f>AV19*(1+AV12/100)^(Inputs!$F$236/12)</f>
        <v/>
      </c>
      <c r="AW20" s="13">
        <f>AW19*(1+AW12/100)^(Inputs!$F$236/12)</f>
        <v/>
      </c>
      <c r="AX20" s="13">
        <f>AX19*(1+AX12/100)^(Inputs!$F$236/12)</f>
        <v/>
      </c>
      <c r="AY20" s="13">
        <f>AY19*(1+AY12/100)^(Inputs!$F$236/12)</f>
        <v/>
      </c>
      <c r="AZ20" s="13">
        <f>AZ19*(1+AZ12/100)^(Inputs!$F$236/12)</f>
        <v/>
      </c>
      <c r="BA20" s="13">
        <f>BA19*(1+BA12/100)^(Inputs!$F$236/12)</f>
        <v/>
      </c>
      <c r="BB20" s="13">
        <f>BB19*(1+BB12/100)^(Inputs!$F$236/12)</f>
        <v/>
      </c>
      <c r="BC20" s="13">
        <f>BC19*(1+BC12/100)^(Inputs!$F$236/12)</f>
        <v/>
      </c>
      <c r="BD20" s="13">
        <f>BD19*(1+BD12/100)^(Inputs!$F$236/12)</f>
        <v/>
      </c>
      <c r="BE20" s="13">
        <f>BE19*(1+BE12/100)^(Inputs!$F$236/12)</f>
        <v/>
      </c>
      <c r="BF20" s="13">
        <f>BF19*(1+BF12/100)^(Inputs!$F$236/12)</f>
        <v/>
      </c>
      <c r="BG20" s="13">
        <f>BG19*(1+BG12/100)^(Inputs!$F$236/12)</f>
        <v/>
      </c>
      <c r="BH20" s="13">
        <f>BH19*(1+BH12/100)^(Inputs!$F$236/12)</f>
        <v/>
      </c>
      <c r="BI20" s="13">
        <f>BI19*(1+BI12/100)^(Inputs!$F$236/12)</f>
        <v/>
      </c>
      <c r="BJ20" s="13">
        <f>BJ19*(1+BJ12/100)^(Inputs!$F$236/12)</f>
        <v/>
      </c>
      <c r="BK20" s="13">
        <f>BK19*(1+BK12/100)^(Inputs!$F$236/12)</f>
        <v/>
      </c>
      <c r="BL20" s="13">
        <f>BL19*(1+BL12/100)^(Inputs!$F$236/12)</f>
        <v/>
      </c>
      <c r="BM20" s="13">
        <f>BM19*(1+BM12/100)^(Inputs!$F$236/12)</f>
        <v/>
      </c>
      <c r="BN20" s="13">
        <f>BN19*(1+BN12/100)^(Inputs!$F$236/12)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J25*(1+J13/100)^(Inputs!$F$236/12)</f>
        <v/>
      </c>
      <c r="K26" s="13">
        <f>K25*(1+K13/100)^(Inputs!$F$236/12)</f>
        <v/>
      </c>
      <c r="L26" s="13">
        <f>L25*(1+L13/100)^(Inputs!$F$236/12)</f>
        <v/>
      </c>
      <c r="M26" s="13">
        <f>M25*(1+M13/100)^(Inputs!$F$236/12)</f>
        <v/>
      </c>
      <c r="N26" s="13">
        <f>N25*(1+N13/100)^(Inputs!$F$236/12)</f>
        <v/>
      </c>
      <c r="O26" s="13">
        <f>O25*(1+O13/100)^(Inputs!$F$236/12)</f>
        <v/>
      </c>
      <c r="P26" s="13">
        <f>P25*(1+P13/100)^(Inputs!$F$236/12)</f>
        <v/>
      </c>
      <c r="Q26" s="13">
        <f>Q25*(1+Q13/100)^(Inputs!$F$236/12)</f>
        <v/>
      </c>
      <c r="R26" s="13">
        <f>R25*(1+R13/100)^(Inputs!$F$236/12)</f>
        <v/>
      </c>
      <c r="S26" s="13">
        <f>S25*(1+S13/100)^(Inputs!$F$236/12)</f>
        <v/>
      </c>
      <c r="T26" s="13">
        <f>T25*(1+T13/100)^(Inputs!$F$236/12)</f>
        <v/>
      </c>
      <c r="U26" s="13">
        <f>U25*(1+U13/100)^(Inputs!$F$236/12)</f>
        <v/>
      </c>
      <c r="V26" s="13">
        <f>V25*(1+V13/100)^(Inputs!$F$236/12)</f>
        <v/>
      </c>
      <c r="W26" s="13">
        <f>W25*(1+W13/100)^(Inputs!$F$236/12)</f>
        <v/>
      </c>
      <c r="X26" s="13">
        <f>X25*(1+X13/100)^(Inputs!$F$236/12)</f>
        <v/>
      </c>
      <c r="Y26" s="13">
        <f>Y25*(1+Y13/100)^(Inputs!$F$236/12)</f>
        <v/>
      </c>
      <c r="Z26" s="13">
        <f>Z25*(1+Z13/100)^(Inputs!$F$236/12)</f>
        <v/>
      </c>
      <c r="AA26" s="13">
        <f>AA25*(1+AA13/100)^(Inputs!$F$236/12)</f>
        <v/>
      </c>
      <c r="AB26" s="13">
        <f>AB25*(1+AB13/100)^(Inputs!$F$236/12)</f>
        <v/>
      </c>
      <c r="AC26" s="13">
        <f>AC25*(1+AC13/100)^(Inputs!$F$236/12)</f>
        <v/>
      </c>
      <c r="AD26" s="13">
        <f>AD25*(1+AD13/100)^(Inputs!$F$236/12)</f>
        <v/>
      </c>
      <c r="AE26" s="13">
        <f>AE25*(1+AE13/100)^(Inputs!$F$236/12)</f>
        <v/>
      </c>
      <c r="AF26" s="13">
        <f>AF25*(1+AF13/100)^(Inputs!$F$236/12)</f>
        <v/>
      </c>
      <c r="AG26" s="13">
        <f>AG25*(1+AG13/100)^(Inputs!$F$236/12)</f>
        <v/>
      </c>
      <c r="AH26" s="13">
        <f>AH25*(1+AH13/100)^(Inputs!$F$236/12)</f>
        <v/>
      </c>
      <c r="AI26" s="13">
        <f>AI25*(1+AI13/100)^(Inputs!$F$236/12)</f>
        <v/>
      </c>
      <c r="AJ26" s="13">
        <f>AJ25*(1+AJ13/100)^(Inputs!$F$236/12)</f>
        <v/>
      </c>
      <c r="AK26" s="13">
        <f>AK25*(1+AK13/100)^(Inputs!$F$236/12)</f>
        <v/>
      </c>
      <c r="AL26" s="13">
        <f>AL25*(1+AL13/100)^(Inputs!$F$236/12)</f>
        <v/>
      </c>
      <c r="AM26" s="13">
        <f>AM25*(1+AM13/100)^(Inputs!$F$236/12)</f>
        <v/>
      </c>
      <c r="AN26" s="13">
        <f>AN25*(1+AN13/100)^(Inputs!$F$236/12)</f>
        <v/>
      </c>
      <c r="AO26" s="13">
        <f>AO25*(1+AO13/100)^(Inputs!$F$236/12)</f>
        <v/>
      </c>
      <c r="AP26" s="13">
        <f>AP25*(1+AP13/100)^(Inputs!$F$236/12)</f>
        <v/>
      </c>
      <c r="AQ26" s="13">
        <f>AQ25*(1+AQ13/100)^(Inputs!$F$236/12)</f>
        <v/>
      </c>
      <c r="AR26" s="13">
        <f>AR25*(1+AR13/100)^(Inputs!$F$236/12)</f>
        <v/>
      </c>
      <c r="AS26" s="13">
        <f>AS25*(1+AS13/100)^(Inputs!$F$236/12)</f>
        <v/>
      </c>
      <c r="AT26" s="13">
        <f>AT25*(1+AT13/100)^(Inputs!$F$236/12)</f>
        <v/>
      </c>
      <c r="AU26" s="13">
        <f>AU25*(1+AU13/100)^(Inputs!$F$236/12)</f>
        <v/>
      </c>
      <c r="AV26" s="13">
        <f>AV25*(1+AV13/100)^(Inputs!$F$236/12)</f>
        <v/>
      </c>
      <c r="AW26" s="13">
        <f>AW25*(1+AW13/100)^(Inputs!$F$236/12)</f>
        <v/>
      </c>
      <c r="AX26" s="13">
        <f>AX25*(1+AX13/100)^(Inputs!$F$236/12)</f>
        <v/>
      </c>
      <c r="AY26" s="13">
        <f>AY25*(1+AY13/100)^(Inputs!$F$236/12)</f>
        <v/>
      </c>
      <c r="AZ26" s="13">
        <f>AZ25*(1+AZ13/100)^(Inputs!$F$236/12)</f>
        <v/>
      </c>
      <c r="BA26" s="13">
        <f>BA25*(1+BA13/100)^(Inputs!$F$236/12)</f>
        <v/>
      </c>
      <c r="BB26" s="13">
        <f>BB25*(1+BB13/100)^(Inputs!$F$236/12)</f>
        <v/>
      </c>
      <c r="BC26" s="13">
        <f>BC25*(1+BC13/100)^(Inputs!$F$236/12)</f>
        <v/>
      </c>
      <c r="BD26" s="13">
        <f>BD25*(1+BD13/100)^(Inputs!$F$236/12)</f>
        <v/>
      </c>
      <c r="BE26" s="13">
        <f>BE25*(1+BE13/100)^(Inputs!$F$236/12)</f>
        <v/>
      </c>
      <c r="BF26" s="13">
        <f>BF25*(1+BF13/100)^(Inputs!$F$236/12)</f>
        <v/>
      </c>
      <c r="BG26" s="13">
        <f>BG25*(1+BG13/100)^(Inputs!$F$236/12)</f>
        <v/>
      </c>
      <c r="BH26" s="13">
        <f>BH25*(1+BH13/100)^(Inputs!$F$236/12)</f>
        <v/>
      </c>
      <c r="BI26" s="13">
        <f>BI25*(1+BI13/100)^(Inputs!$F$236/12)</f>
        <v/>
      </c>
      <c r="BJ26" s="13">
        <f>BJ25*(1+BJ13/100)^(Inputs!$F$236/12)</f>
        <v/>
      </c>
      <c r="BK26" s="13">
        <f>BK25*(1+BK13/100)^(Inputs!$F$236/12)</f>
        <v/>
      </c>
      <c r="BL26" s="13">
        <f>BL25*(1+BL13/100)^(Inputs!$F$236/12)</f>
        <v/>
      </c>
      <c r="BM26" s="13">
        <f>BM25*(1+BM13/100)^(Inputs!$F$236/12)</f>
        <v/>
      </c>
      <c r="BN26" s="13">
        <f>BN25*(1+BN13/100)^(Inputs!$F$236/12)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J32/Inputs!$F$133</f>
        <v/>
      </c>
      <c r="K47" s="13">
        <f>K32/Inputs!$F$133</f>
        <v/>
      </c>
      <c r="L47" s="13">
        <f>L32/Inputs!$F$133</f>
        <v/>
      </c>
      <c r="M47" s="13">
        <f>M32/Inputs!$F$133</f>
        <v/>
      </c>
      <c r="N47" s="13">
        <f>N32/Inputs!$F$133</f>
        <v/>
      </c>
      <c r="O47" s="13">
        <f>O32/Inputs!$F$133</f>
        <v/>
      </c>
      <c r="P47" s="13">
        <f>P32/Inputs!$F$133</f>
        <v/>
      </c>
      <c r="Q47" s="13">
        <f>Q32/Inputs!$F$133</f>
        <v/>
      </c>
      <c r="R47" s="13">
        <f>R32/Inputs!$F$133</f>
        <v/>
      </c>
      <c r="S47" s="13">
        <f>S32/Inputs!$F$133</f>
        <v/>
      </c>
      <c r="T47" s="13">
        <f>T32/Inputs!$F$133</f>
        <v/>
      </c>
      <c r="U47" s="13">
        <f>U32/Inputs!$F$133</f>
        <v/>
      </c>
      <c r="V47" s="13">
        <f>V32/Inputs!$F$133</f>
        <v/>
      </c>
      <c r="W47" s="13">
        <f>W32/Inputs!$F$133</f>
        <v/>
      </c>
      <c r="X47" s="13">
        <f>X32/Inputs!$F$133</f>
        <v/>
      </c>
      <c r="Y47" s="13">
        <f>Y32/Inputs!$F$133</f>
        <v/>
      </c>
      <c r="Z47" s="13">
        <f>Z32/Inputs!$F$133</f>
        <v/>
      </c>
      <c r="AA47" s="13">
        <f>AA32/Inputs!$F$133</f>
        <v/>
      </c>
      <c r="AB47" s="13">
        <f>AB32/Inputs!$F$133</f>
        <v/>
      </c>
      <c r="AC47" s="13">
        <f>AC32/Inputs!$F$133</f>
        <v/>
      </c>
      <c r="AD47" s="13">
        <f>AD32/Inputs!$F$133</f>
        <v/>
      </c>
      <c r="AE47" s="13">
        <f>AE32/Inputs!$F$133</f>
        <v/>
      </c>
      <c r="AF47" s="13">
        <f>AF32/Inputs!$F$133</f>
        <v/>
      </c>
      <c r="AG47" s="13">
        <f>AG32/Inputs!$F$133</f>
        <v/>
      </c>
      <c r="AH47" s="13">
        <f>AH32/Inputs!$F$133</f>
        <v/>
      </c>
      <c r="AI47" s="13">
        <f>AI32/Inputs!$F$133</f>
        <v/>
      </c>
      <c r="AJ47" s="13">
        <f>AJ32/Inputs!$F$133</f>
        <v/>
      </c>
      <c r="AK47" s="13">
        <f>AK32/Inputs!$F$133</f>
        <v/>
      </c>
      <c r="AL47" s="13">
        <f>AL32/Inputs!$F$133</f>
        <v/>
      </c>
      <c r="AM47" s="13">
        <f>AM32/Inputs!$F$133</f>
        <v/>
      </c>
      <c r="AN47" s="13">
        <f>AN32/Inputs!$F$133</f>
        <v/>
      </c>
      <c r="AO47" s="13">
        <f>AO32/Inputs!$F$133</f>
        <v/>
      </c>
      <c r="AP47" s="13">
        <f>AP32/Inputs!$F$133</f>
        <v/>
      </c>
      <c r="AQ47" s="13">
        <f>AQ32/Inputs!$F$133</f>
        <v/>
      </c>
      <c r="AR47" s="13">
        <f>AR32/Inputs!$F$133</f>
        <v/>
      </c>
      <c r="AS47" s="13">
        <f>AS32/Inputs!$F$133</f>
        <v/>
      </c>
      <c r="AT47" s="13">
        <f>AT32/Inputs!$F$133</f>
        <v/>
      </c>
      <c r="AU47" s="13">
        <f>AU32/Inputs!$F$133</f>
        <v/>
      </c>
      <c r="AV47" s="13">
        <f>AV32/Inputs!$F$133</f>
        <v/>
      </c>
      <c r="AW47" s="13">
        <f>AW32/Inputs!$F$133</f>
        <v/>
      </c>
      <c r="AX47" s="13">
        <f>AX32/Inputs!$F$133</f>
        <v/>
      </c>
      <c r="AY47" s="13">
        <f>AY32/Inputs!$F$133</f>
        <v/>
      </c>
      <c r="AZ47" s="13">
        <f>AZ32/Inputs!$F$133</f>
        <v/>
      </c>
      <c r="BA47" s="13">
        <f>BA32/Inputs!$F$133</f>
        <v/>
      </c>
      <c r="BB47" s="13">
        <f>BB32/Inputs!$F$133</f>
        <v/>
      </c>
      <c r="BC47" s="13">
        <f>BC32/Inputs!$F$133</f>
        <v/>
      </c>
      <c r="BD47" s="13">
        <f>BD32/Inputs!$F$133</f>
        <v/>
      </c>
      <c r="BE47" s="13">
        <f>BE32/Inputs!$F$133</f>
        <v/>
      </c>
      <c r="BF47" s="13">
        <f>BF32/Inputs!$F$133</f>
        <v/>
      </c>
      <c r="BG47" s="13">
        <f>BG32/Inputs!$F$133</f>
        <v/>
      </c>
      <c r="BH47" s="13">
        <f>BH32/Inputs!$F$133</f>
        <v/>
      </c>
      <c r="BI47" s="13">
        <f>BI32/Inputs!$F$133</f>
        <v/>
      </c>
      <c r="BJ47" s="13">
        <f>BJ32/Inputs!$F$133</f>
        <v/>
      </c>
      <c r="BK47" s="13">
        <f>BK32/Inputs!$F$133</f>
        <v/>
      </c>
      <c r="BL47" s="13">
        <f>BL32/Inputs!$F$133</f>
        <v/>
      </c>
      <c r="BM47" s="13">
        <f>BM32/Inputs!$F$133</f>
        <v/>
      </c>
      <c r="BN47" s="13">
        <f>BN32/Inputs!$F$133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J38*J40*(1000*Inputs!$F$123/Inputs!$F$124)*J41/1000000*0.765/(Inputs!$F$38/100)</f>
        <v/>
      </c>
      <c r="K51" s="13">
        <f>K38*K40*(1000*Inputs!$F$123/Inputs!$F$124)*K41/1000000*0.765/(Inputs!$F$38/100)</f>
        <v/>
      </c>
      <c r="L51" s="13">
        <f>L38*L40*(1000*Inputs!$F$123/Inputs!$F$124)*L41/1000000*0.765/(Inputs!$F$38/100)</f>
        <v/>
      </c>
      <c r="M51" s="13">
        <f>M38*M40*(1000*Inputs!$F$123/Inputs!$F$124)*M41/1000000*0.765/(Inputs!$F$38/100)</f>
        <v/>
      </c>
      <c r="N51" s="13">
        <f>N38*N40*(1000*Inputs!$F$123/Inputs!$F$124)*N41/1000000*0.765/(Inputs!$F$38/100)</f>
        <v/>
      </c>
      <c r="O51" s="13">
        <f>O38*O40*(1000*Inputs!$F$123/Inputs!$F$124)*O41/1000000*0.765/(Inputs!$F$38/100)</f>
        <v/>
      </c>
      <c r="P51" s="13">
        <f>P38*P40*(1000*Inputs!$F$123/Inputs!$F$124)*P41/1000000*0.765/(Inputs!$F$38/100)</f>
        <v/>
      </c>
      <c r="Q51" s="13">
        <f>Q38*Q40*(1000*Inputs!$F$123/Inputs!$F$124)*Q41/1000000*0.765/(Inputs!$F$38/100)</f>
        <v/>
      </c>
      <c r="R51" s="13">
        <f>R38*R40*(1000*Inputs!$F$123/Inputs!$F$124)*R41/1000000*0.765/(Inputs!$F$38/100)</f>
        <v/>
      </c>
      <c r="S51" s="13">
        <f>S38*S40*(1000*Inputs!$F$123/Inputs!$F$124)*S41/1000000*0.765/(Inputs!$F$38/100)</f>
        <v/>
      </c>
      <c r="T51" s="13">
        <f>T38*T40*(1000*Inputs!$F$123/Inputs!$F$124)*T41/1000000*0.765/(Inputs!$F$38/100)</f>
        <v/>
      </c>
      <c r="U51" s="13">
        <f>U38*U40*(1000*Inputs!$F$123/Inputs!$F$124)*U41/1000000*0.765/(Inputs!$F$38/100)</f>
        <v/>
      </c>
      <c r="V51" s="13">
        <f>V38*V40*(1000*Inputs!$F$123/Inputs!$F$124)*V41/1000000*0.765/(Inputs!$F$38/100)</f>
        <v/>
      </c>
      <c r="W51" s="13">
        <f>W38*W40*(1000*Inputs!$F$123/Inputs!$F$124)*W41/1000000*0.765/(Inputs!$F$38/100)</f>
        <v/>
      </c>
      <c r="X51" s="13">
        <f>X38*X40*(1000*Inputs!$F$123/Inputs!$F$124)*X41/1000000*0.765/(Inputs!$F$38/100)</f>
        <v/>
      </c>
      <c r="Y51" s="13">
        <f>Y38*Y40*(1000*Inputs!$F$123/Inputs!$F$124)*Y41/1000000*0.765/(Inputs!$F$38/100)</f>
        <v/>
      </c>
      <c r="Z51" s="13">
        <f>Z38*Z40*(1000*Inputs!$F$123/Inputs!$F$124)*Z41/1000000*0.765/(Inputs!$F$38/100)</f>
        <v/>
      </c>
      <c r="AA51" s="13">
        <f>AA38*AA40*(1000*Inputs!$F$123/Inputs!$F$124)*AA41/1000000*0.765/(Inputs!$F$38/100)</f>
        <v/>
      </c>
      <c r="AB51" s="13">
        <f>AB38*AB40*(1000*Inputs!$F$123/Inputs!$F$124)*AB41/1000000*0.765/(Inputs!$F$38/100)</f>
        <v/>
      </c>
      <c r="AC51" s="13">
        <f>AC38*AC40*(1000*Inputs!$F$123/Inputs!$F$124)*AC41/1000000*0.765/(Inputs!$F$38/100)</f>
        <v/>
      </c>
      <c r="AD51" s="13">
        <f>AD38*AD40*(1000*Inputs!$F$123/Inputs!$F$124)*AD41/1000000*0.765/(Inputs!$F$38/100)</f>
        <v/>
      </c>
      <c r="AE51" s="13">
        <f>AE38*AE40*(1000*Inputs!$F$123/Inputs!$F$124)*AE41/1000000*0.765/(Inputs!$F$38/100)</f>
        <v/>
      </c>
      <c r="AF51" s="13">
        <f>AF38*AF40*(1000*Inputs!$F$123/Inputs!$F$124)*AF41/1000000*0.765/(Inputs!$F$38/100)</f>
        <v/>
      </c>
      <c r="AG51" s="13">
        <f>AG38*AG40*(1000*Inputs!$F$123/Inputs!$F$124)*AG41/1000000*0.765/(Inputs!$F$38/100)</f>
        <v/>
      </c>
      <c r="AH51" s="13">
        <f>AH38*AH40*(1000*Inputs!$F$123/Inputs!$F$124)*AH41/1000000*0.765/(Inputs!$F$38/100)</f>
        <v/>
      </c>
      <c r="AI51" s="13">
        <f>AI38*AI40*(1000*Inputs!$F$123/Inputs!$F$124)*AI41/1000000*0.765/(Inputs!$F$38/100)</f>
        <v/>
      </c>
      <c r="AJ51" s="13">
        <f>AJ38*AJ40*(1000*Inputs!$F$123/Inputs!$F$124)*AJ41/1000000*0.765/(Inputs!$F$38/100)</f>
        <v/>
      </c>
      <c r="AK51" s="13">
        <f>AK38*AK40*(1000*Inputs!$F$123/Inputs!$F$124)*AK41/1000000*0.765/(Inputs!$F$38/100)</f>
        <v/>
      </c>
      <c r="AL51" s="13">
        <f>AL38*AL40*(1000*Inputs!$F$123/Inputs!$F$124)*AL41/1000000*0.765/(Inputs!$F$38/100)</f>
        <v/>
      </c>
      <c r="AM51" s="13">
        <f>AM38*AM40*(1000*Inputs!$F$123/Inputs!$F$124)*AM41/1000000*0.765/(Inputs!$F$38/100)</f>
        <v/>
      </c>
      <c r="AN51" s="13">
        <f>AN38*AN40*(1000*Inputs!$F$123/Inputs!$F$124)*AN41/1000000*0.765/(Inputs!$F$38/100)</f>
        <v/>
      </c>
      <c r="AO51" s="13">
        <f>AO38*AO40*(1000*Inputs!$F$123/Inputs!$F$124)*AO41/1000000*0.765/(Inputs!$F$38/100)</f>
        <v/>
      </c>
      <c r="AP51" s="13">
        <f>AP38*AP40*(1000*Inputs!$F$123/Inputs!$F$124)*AP41/1000000*0.765/(Inputs!$F$38/100)</f>
        <v/>
      </c>
      <c r="AQ51" s="13">
        <f>AQ38*AQ40*(1000*Inputs!$F$123/Inputs!$F$124)*AQ41/1000000*0.765/(Inputs!$F$38/100)</f>
        <v/>
      </c>
      <c r="AR51" s="13">
        <f>AR38*AR40*(1000*Inputs!$F$123/Inputs!$F$124)*AR41/1000000*0.765/(Inputs!$F$38/100)</f>
        <v/>
      </c>
      <c r="AS51" s="13">
        <f>AS38*AS40*(1000*Inputs!$F$123/Inputs!$F$124)*AS41/1000000*0.765/(Inputs!$F$38/100)</f>
        <v/>
      </c>
      <c r="AT51" s="13">
        <f>AT38*AT40*(1000*Inputs!$F$123/Inputs!$F$124)*AT41/1000000*0.765/(Inputs!$F$38/100)</f>
        <v/>
      </c>
      <c r="AU51" s="13">
        <f>AU38*AU40*(1000*Inputs!$F$123/Inputs!$F$124)*AU41/1000000*0.765/(Inputs!$F$38/100)</f>
        <v/>
      </c>
      <c r="AV51" s="13">
        <f>AV38*AV40*(1000*Inputs!$F$123/Inputs!$F$124)*AV41/1000000*0.765/(Inputs!$F$38/100)</f>
        <v/>
      </c>
      <c r="AW51" s="13">
        <f>AW38*AW40*(1000*Inputs!$F$123/Inputs!$F$124)*AW41/1000000*0.765/(Inputs!$F$38/100)</f>
        <v/>
      </c>
      <c r="AX51" s="13">
        <f>AX38*AX40*(1000*Inputs!$F$123/Inputs!$F$124)*AX41/1000000*0.765/(Inputs!$F$38/100)</f>
        <v/>
      </c>
      <c r="AY51" s="13">
        <f>AY38*AY40*(1000*Inputs!$F$123/Inputs!$F$124)*AY41/1000000*0.765/(Inputs!$F$38/100)</f>
        <v/>
      </c>
      <c r="AZ51" s="13">
        <f>AZ38*AZ40*(1000*Inputs!$F$123/Inputs!$F$124)*AZ41/1000000*0.765/(Inputs!$F$38/100)</f>
        <v/>
      </c>
      <c r="BA51" s="13">
        <f>BA38*BA40*(1000*Inputs!$F$123/Inputs!$F$124)*BA41/1000000*0.765/(Inputs!$F$38/100)</f>
        <v/>
      </c>
      <c r="BB51" s="13">
        <f>BB38*BB40*(1000*Inputs!$F$123/Inputs!$F$124)*BB41/1000000*0.765/(Inputs!$F$38/100)</f>
        <v/>
      </c>
      <c r="BC51" s="13">
        <f>BC38*BC40*(1000*Inputs!$F$123/Inputs!$F$124)*BC41/1000000*0.765/(Inputs!$F$38/100)</f>
        <v/>
      </c>
      <c r="BD51" s="13">
        <f>BD38*BD40*(1000*Inputs!$F$123/Inputs!$F$124)*BD41/1000000*0.765/(Inputs!$F$38/100)</f>
        <v/>
      </c>
      <c r="BE51" s="13">
        <f>BE38*BE40*(1000*Inputs!$F$123/Inputs!$F$124)*BE41/1000000*0.765/(Inputs!$F$38/100)</f>
        <v/>
      </c>
      <c r="BF51" s="13">
        <f>BF38*BF40*(1000*Inputs!$F$123/Inputs!$F$124)*BF41/1000000*0.765/(Inputs!$F$38/100)</f>
        <v/>
      </c>
      <c r="BG51" s="13">
        <f>BG38*BG40*(1000*Inputs!$F$123/Inputs!$F$124)*BG41/1000000*0.765/(Inputs!$F$38/100)</f>
        <v/>
      </c>
      <c r="BH51" s="13">
        <f>BH38*BH40*(1000*Inputs!$F$123/Inputs!$F$124)*BH41/1000000*0.765/(Inputs!$F$38/100)</f>
        <v/>
      </c>
      <c r="BI51" s="13">
        <f>BI38*BI40*(1000*Inputs!$F$123/Inputs!$F$124)*BI41/1000000*0.765/(Inputs!$F$38/100)</f>
        <v/>
      </c>
      <c r="BJ51" s="13">
        <f>BJ38*BJ40*(1000*Inputs!$F$123/Inputs!$F$124)*BJ41/1000000*0.765/(Inputs!$F$38/100)</f>
        <v/>
      </c>
      <c r="BK51" s="13">
        <f>BK38*BK40*(1000*Inputs!$F$123/Inputs!$F$124)*BK41/1000000*0.765/(Inputs!$F$38/100)</f>
        <v/>
      </c>
      <c r="BL51" s="13">
        <f>BL38*BL40*(1000*Inputs!$F$123/Inputs!$F$124)*BL41/1000000*0.765/(Inputs!$F$38/100)</f>
        <v/>
      </c>
      <c r="BM51" s="13">
        <f>BM38*BM40*(1000*Inputs!$F$123/Inputs!$F$124)*BM41/1000000*0.765/(Inputs!$F$38/100)</f>
        <v/>
      </c>
      <c r="BN51" s="13">
        <f>BN38*BN40*(1000*Inputs!$F$123/Inputs!$F$124)*BN41/1000000*0.765/(Inputs!$F$38/100)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IF(J31&gt;0,1*(Inputs!$F$129*J32/J31*J37/Inputs!$F$131+Inputs!$F$130*Inputs!$F$132)*Time!J30/12,0)</f>
        <v/>
      </c>
      <c r="K63" s="15">
        <f>IF(K31&gt;0,1*(Inputs!$F$129*K32/K31*K37/Inputs!$F$131+Inputs!$F$130*Inputs!$F$132)*Time!K30/12,0)</f>
        <v/>
      </c>
      <c r="L63" s="15">
        <f>IF(L31&gt;0,1*(Inputs!$F$129*L32/L31*L37/Inputs!$F$131+Inputs!$F$130*Inputs!$F$132)*Time!L30/12,0)</f>
        <v/>
      </c>
      <c r="M63" s="15">
        <f>IF(M31&gt;0,1*(Inputs!$F$129*M32/M31*M37/Inputs!$F$131+Inputs!$F$130*Inputs!$F$132)*Time!M30/12,0)</f>
        <v/>
      </c>
      <c r="N63" s="15">
        <f>IF(N31&gt;0,1*(Inputs!$F$129*N32/N31*N37/Inputs!$F$131+Inputs!$F$130*Inputs!$F$132)*Time!N30/12,0)</f>
        <v/>
      </c>
      <c r="O63" s="15">
        <f>IF(O31&gt;0,1*(Inputs!$F$129*O32/O31*O37/Inputs!$F$131+Inputs!$F$130*Inputs!$F$132)*Time!O30/12,0)</f>
        <v/>
      </c>
      <c r="P63" s="15">
        <f>IF(P31&gt;0,1*(Inputs!$F$129*P32/P31*P37/Inputs!$F$131+Inputs!$F$130*Inputs!$F$132)*Time!P30/12,0)</f>
        <v/>
      </c>
      <c r="Q63" s="15">
        <f>IF(Q31&gt;0,1*(Inputs!$F$129*Q32/Q31*Q37/Inputs!$F$131+Inputs!$F$130*Inputs!$F$132)*Time!Q30/12,0)</f>
        <v/>
      </c>
      <c r="R63" s="15">
        <f>IF(R31&gt;0,1*(Inputs!$F$129*R32/R31*R37/Inputs!$F$131+Inputs!$F$130*Inputs!$F$132)*Time!R30/12,0)</f>
        <v/>
      </c>
      <c r="S63" s="15">
        <f>IF(S31&gt;0,1*(Inputs!$F$129*S32/S31*S37/Inputs!$F$131+Inputs!$F$130*Inputs!$F$132)*Time!S30/12,0)</f>
        <v/>
      </c>
      <c r="T63" s="15">
        <f>IF(T31&gt;0,1*(Inputs!$F$129*T32/T31*T37/Inputs!$F$131+Inputs!$F$130*Inputs!$F$132)*Time!T30/12,0)</f>
        <v/>
      </c>
      <c r="U63" s="15">
        <f>IF(U31&gt;0,1*(Inputs!$F$129*U32/U31*U37/Inputs!$F$131+Inputs!$F$130*Inputs!$F$132)*Time!U30/12,0)</f>
        <v/>
      </c>
      <c r="V63" s="15">
        <f>IF(V31&gt;0,1*(Inputs!$F$129*V32/V31*V37/Inputs!$F$131+Inputs!$F$130*Inputs!$F$132)*Time!V30/12,0)</f>
        <v/>
      </c>
      <c r="W63" s="15">
        <f>IF(W31&gt;0,1*(Inputs!$F$129*W32/W31*W37/Inputs!$F$131+Inputs!$F$130*Inputs!$F$132)*Time!W30/12,0)</f>
        <v/>
      </c>
      <c r="X63" s="15">
        <f>IF(X31&gt;0,1*(Inputs!$F$129*X32/X31*X37/Inputs!$F$131+Inputs!$F$130*Inputs!$F$132)*Time!X30/12,0)</f>
        <v/>
      </c>
      <c r="Y63" s="15">
        <f>IF(Y31&gt;0,1*(Inputs!$F$129*Y32/Y31*Y37/Inputs!$F$131+Inputs!$F$130*Inputs!$F$132)*Time!Y30/12,0)</f>
        <v/>
      </c>
      <c r="Z63" s="15">
        <f>IF(Z31&gt;0,1*(Inputs!$F$129*Z32/Z31*Z37/Inputs!$F$131+Inputs!$F$130*Inputs!$F$132)*Time!Z30/12,0)</f>
        <v/>
      </c>
      <c r="AA63" s="15">
        <f>IF(AA31&gt;0,1*(Inputs!$F$129*AA32/AA31*AA37/Inputs!$F$131+Inputs!$F$130*Inputs!$F$132)*Time!AA30/12,0)</f>
        <v/>
      </c>
      <c r="AB63" s="15">
        <f>IF(AB31&gt;0,1*(Inputs!$F$129*AB32/AB31*AB37/Inputs!$F$131+Inputs!$F$130*Inputs!$F$132)*Time!AB30/12,0)</f>
        <v/>
      </c>
      <c r="AC63" s="15">
        <f>IF(AC31&gt;0,1*(Inputs!$F$129*AC32/AC31*AC37/Inputs!$F$131+Inputs!$F$130*Inputs!$F$132)*Time!AC30/12,0)</f>
        <v/>
      </c>
      <c r="AD63" s="15">
        <f>IF(AD31&gt;0,1*(Inputs!$F$129*AD32/AD31*AD37/Inputs!$F$131+Inputs!$F$130*Inputs!$F$132)*Time!AD30/12,0)</f>
        <v/>
      </c>
      <c r="AE63" s="15">
        <f>IF(AE31&gt;0,1*(Inputs!$F$129*AE32/AE31*AE37/Inputs!$F$131+Inputs!$F$130*Inputs!$F$132)*Time!AE30/12,0)</f>
        <v/>
      </c>
      <c r="AF63" s="15">
        <f>IF(AF31&gt;0,1*(Inputs!$F$129*AF32/AF31*AF37/Inputs!$F$131+Inputs!$F$130*Inputs!$F$132)*Time!AF30/12,0)</f>
        <v/>
      </c>
      <c r="AG63" s="15">
        <f>IF(AG31&gt;0,1*(Inputs!$F$129*AG32/AG31*AG37/Inputs!$F$131+Inputs!$F$130*Inputs!$F$132)*Time!AG30/12,0)</f>
        <v/>
      </c>
      <c r="AH63" s="15">
        <f>IF(AH31&gt;0,1*(Inputs!$F$129*AH32/AH31*AH37/Inputs!$F$131+Inputs!$F$130*Inputs!$F$132)*Time!AH30/12,0)</f>
        <v/>
      </c>
      <c r="AI63" s="15">
        <f>IF(AI31&gt;0,1*(Inputs!$F$129*AI32/AI31*AI37/Inputs!$F$131+Inputs!$F$130*Inputs!$F$132)*Time!AI30/12,0)</f>
        <v/>
      </c>
      <c r="AJ63" s="15">
        <f>IF(AJ31&gt;0,1*(Inputs!$F$129*AJ32/AJ31*AJ37/Inputs!$F$131+Inputs!$F$130*Inputs!$F$132)*Time!AJ30/12,0)</f>
        <v/>
      </c>
      <c r="AK63" s="15">
        <f>IF(AK31&gt;0,1*(Inputs!$F$129*AK32/AK31*AK37/Inputs!$F$131+Inputs!$F$130*Inputs!$F$132)*Time!AK30/12,0)</f>
        <v/>
      </c>
      <c r="AL63" s="15">
        <f>IF(AL31&gt;0,1*(Inputs!$F$129*AL32/AL31*AL37/Inputs!$F$131+Inputs!$F$130*Inputs!$F$132)*Time!AL30/12,0)</f>
        <v/>
      </c>
      <c r="AM63" s="15">
        <f>IF(AM31&gt;0,1*(Inputs!$F$129*AM32/AM31*AM37/Inputs!$F$131+Inputs!$F$130*Inputs!$F$132)*Time!AM30/12,0)</f>
        <v/>
      </c>
      <c r="AN63" s="15">
        <f>IF(AN31&gt;0,1*(Inputs!$F$129*AN32/AN31*AN37/Inputs!$F$131+Inputs!$F$130*Inputs!$F$132)*Time!AN30/12,0)</f>
        <v/>
      </c>
      <c r="AO63" s="15">
        <f>IF(AO31&gt;0,1*(Inputs!$F$129*AO32/AO31*AO37/Inputs!$F$131+Inputs!$F$130*Inputs!$F$132)*Time!AO30/12,0)</f>
        <v/>
      </c>
      <c r="AP63" s="15">
        <f>IF(AP31&gt;0,1*(Inputs!$F$129*AP32/AP31*AP37/Inputs!$F$131+Inputs!$F$130*Inputs!$F$132)*Time!AP30/12,0)</f>
        <v/>
      </c>
      <c r="AQ63" s="15">
        <f>IF(AQ31&gt;0,1*(Inputs!$F$129*AQ32/AQ31*AQ37/Inputs!$F$131+Inputs!$F$130*Inputs!$F$132)*Time!AQ30/12,0)</f>
        <v/>
      </c>
      <c r="AR63" s="15">
        <f>IF(AR31&gt;0,1*(Inputs!$F$129*AR32/AR31*AR37/Inputs!$F$131+Inputs!$F$130*Inputs!$F$132)*Time!AR30/12,0)</f>
        <v/>
      </c>
      <c r="AS63" s="15">
        <f>IF(AS31&gt;0,1*(Inputs!$F$129*AS32/AS31*AS37/Inputs!$F$131+Inputs!$F$130*Inputs!$F$132)*Time!AS30/12,0)</f>
        <v/>
      </c>
      <c r="AT63" s="15">
        <f>IF(AT31&gt;0,1*(Inputs!$F$129*AT32/AT31*AT37/Inputs!$F$131+Inputs!$F$130*Inputs!$F$132)*Time!AT30/12,0)</f>
        <v/>
      </c>
      <c r="AU63" s="15">
        <f>IF(AU31&gt;0,1*(Inputs!$F$129*AU32/AU31*AU37/Inputs!$F$131+Inputs!$F$130*Inputs!$F$132)*Time!AU30/12,0)</f>
        <v/>
      </c>
      <c r="AV63" s="15">
        <f>IF(AV31&gt;0,1*(Inputs!$F$129*AV32/AV31*AV37/Inputs!$F$131+Inputs!$F$130*Inputs!$F$132)*Time!AV30/12,0)</f>
        <v/>
      </c>
      <c r="AW63" s="15">
        <f>IF(AW31&gt;0,1*(Inputs!$F$129*AW32/AW31*AW37/Inputs!$F$131+Inputs!$F$130*Inputs!$F$132)*Time!AW30/12,0)</f>
        <v/>
      </c>
      <c r="AX63" s="15">
        <f>IF(AX31&gt;0,1*(Inputs!$F$129*AX32/AX31*AX37/Inputs!$F$131+Inputs!$F$130*Inputs!$F$132)*Time!AX30/12,0)</f>
        <v/>
      </c>
      <c r="AY63" s="15">
        <f>IF(AY31&gt;0,1*(Inputs!$F$129*AY32/AY31*AY37/Inputs!$F$131+Inputs!$F$130*Inputs!$F$132)*Time!AY30/12,0)</f>
        <v/>
      </c>
      <c r="AZ63" s="15">
        <f>IF(AZ31&gt;0,1*(Inputs!$F$129*AZ32/AZ31*AZ37/Inputs!$F$131+Inputs!$F$130*Inputs!$F$132)*Time!AZ30/12,0)</f>
        <v/>
      </c>
      <c r="BA63" s="15">
        <f>IF(BA31&gt;0,1*(Inputs!$F$129*BA32/BA31*BA37/Inputs!$F$131+Inputs!$F$130*Inputs!$F$132)*Time!BA30/12,0)</f>
        <v/>
      </c>
      <c r="BB63" s="15">
        <f>IF(BB31&gt;0,1*(Inputs!$F$129*BB32/BB31*BB37/Inputs!$F$131+Inputs!$F$130*Inputs!$F$132)*Time!BB30/12,0)</f>
        <v/>
      </c>
      <c r="BC63" s="15">
        <f>IF(BC31&gt;0,1*(Inputs!$F$129*BC32/BC31*BC37/Inputs!$F$131+Inputs!$F$130*Inputs!$F$132)*Time!BC30/12,0)</f>
        <v/>
      </c>
      <c r="BD63" s="15">
        <f>IF(BD31&gt;0,1*(Inputs!$F$129*BD32/BD31*BD37/Inputs!$F$131+Inputs!$F$130*Inputs!$F$132)*Time!BD30/12,0)</f>
        <v/>
      </c>
      <c r="BE63" s="15">
        <f>IF(BE31&gt;0,1*(Inputs!$F$129*BE32/BE31*BE37/Inputs!$F$131+Inputs!$F$130*Inputs!$F$132)*Time!BE30/12,0)</f>
        <v/>
      </c>
      <c r="BF63" s="15">
        <f>IF(BF31&gt;0,1*(Inputs!$F$129*BF32/BF31*BF37/Inputs!$F$131+Inputs!$F$130*Inputs!$F$132)*Time!BF30/12,0)</f>
        <v/>
      </c>
      <c r="BG63" s="15">
        <f>IF(BG31&gt;0,1*(Inputs!$F$129*BG32/BG31*BG37/Inputs!$F$131+Inputs!$F$130*Inputs!$F$132)*Time!BG30/12,0)</f>
        <v/>
      </c>
      <c r="BH63" s="15">
        <f>IF(BH31&gt;0,1*(Inputs!$F$129*BH32/BH31*BH37/Inputs!$F$131+Inputs!$F$130*Inputs!$F$132)*Time!BH30/12,0)</f>
        <v/>
      </c>
      <c r="BI63" s="15">
        <f>IF(BI31&gt;0,1*(Inputs!$F$129*BI32/BI31*BI37/Inputs!$F$131+Inputs!$F$130*Inputs!$F$132)*Time!BI30/12,0)</f>
        <v/>
      </c>
      <c r="BJ63" s="15">
        <f>IF(BJ31&gt;0,1*(Inputs!$F$129*BJ32/BJ31*BJ37/Inputs!$F$131+Inputs!$F$130*Inputs!$F$132)*Time!BJ30/12,0)</f>
        <v/>
      </c>
      <c r="BK63" s="15">
        <f>IF(BK31&gt;0,1*(Inputs!$F$129*BK32/BK31*BK37/Inputs!$F$131+Inputs!$F$130*Inputs!$F$132)*Time!BK30/12,0)</f>
        <v/>
      </c>
      <c r="BL63" s="15">
        <f>IF(BL31&gt;0,1*(Inputs!$F$129*BL32/BL31*BL37/Inputs!$F$131+Inputs!$F$130*Inputs!$F$132)*Time!BL30/12,0)</f>
        <v/>
      </c>
      <c r="BM63" s="15">
        <f>IF(BM31&gt;0,1*(Inputs!$F$129*BM32/BM31*BM37/Inputs!$F$131+Inputs!$F$130*Inputs!$F$132)*Time!BM30/12,0)</f>
        <v/>
      </c>
      <c r="BN63" s="15">
        <f>IF(BN31&gt;0,1*(Inputs!$F$129*BN32/BN31*BN37/Inputs!$F$131+Inputs!$F$130*Inputs!$F$132)*Time!BN30/12,0)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MAX(0,MIN(Time!J33,Inputs!$F$229*12)-MIN(Time!J32,Inputs!$F$229*12))</f>
        <v/>
      </c>
      <c r="K7" s="9">
        <f>MAX(0,MIN(Time!K33,Inputs!$F$229*12)-MIN(Time!K32,Inputs!$F$229*12))</f>
        <v/>
      </c>
      <c r="L7" s="9">
        <f>MAX(0,MIN(Time!L33,Inputs!$F$229*12)-MIN(Time!L32,Inputs!$F$229*12))</f>
        <v/>
      </c>
      <c r="M7" s="9">
        <f>MAX(0,MIN(Time!M33,Inputs!$F$229*12)-MIN(Time!M32,Inputs!$F$229*12))</f>
        <v/>
      </c>
      <c r="N7" s="9">
        <f>MAX(0,MIN(Time!N33,Inputs!$F$229*12)-MIN(Time!N32,Inputs!$F$229*12))</f>
        <v/>
      </c>
      <c r="O7" s="9">
        <f>MAX(0,MIN(Time!O33,Inputs!$F$229*12)-MIN(Time!O32,Inputs!$F$229*12))</f>
        <v/>
      </c>
      <c r="P7" s="9">
        <f>MAX(0,MIN(Time!P33,Inputs!$F$229*12)-MIN(Time!P32,Inputs!$F$229*12))</f>
        <v/>
      </c>
      <c r="Q7" s="9">
        <f>MAX(0,MIN(Time!Q33,Inputs!$F$229*12)-MIN(Time!Q32,Inputs!$F$229*12))</f>
        <v/>
      </c>
      <c r="R7" s="9">
        <f>MAX(0,MIN(Time!R33,Inputs!$F$229*12)-MIN(Time!R32,Inputs!$F$229*12))</f>
        <v/>
      </c>
      <c r="S7" s="9">
        <f>MAX(0,MIN(Time!S33,Inputs!$F$229*12)-MIN(Time!S32,Inputs!$F$229*12))</f>
        <v/>
      </c>
      <c r="T7" s="9">
        <f>MAX(0,MIN(Time!T33,Inputs!$F$229*12)-MIN(Time!T32,Inputs!$F$229*12))</f>
        <v/>
      </c>
      <c r="U7" s="9">
        <f>MAX(0,MIN(Time!U33,Inputs!$F$229*12)-MIN(Time!U32,Inputs!$F$229*12))</f>
        <v/>
      </c>
      <c r="V7" s="9">
        <f>MAX(0,MIN(Time!V33,Inputs!$F$229*12)-MIN(Time!V32,Inputs!$F$229*12))</f>
        <v/>
      </c>
      <c r="W7" s="9">
        <f>MAX(0,MIN(Time!W33,Inputs!$F$229*12)-MIN(Time!W32,Inputs!$F$229*12))</f>
        <v/>
      </c>
      <c r="X7" s="9">
        <f>MAX(0,MIN(Time!X33,Inputs!$F$229*12)-MIN(Time!X32,Inputs!$F$229*12))</f>
        <v/>
      </c>
      <c r="Y7" s="9">
        <f>MAX(0,MIN(Time!Y33,Inputs!$F$229*12)-MIN(Time!Y32,Inputs!$F$229*12))</f>
        <v/>
      </c>
      <c r="Z7" s="9">
        <f>MAX(0,MIN(Time!Z33,Inputs!$F$229*12)-MIN(Time!Z32,Inputs!$F$229*12))</f>
        <v/>
      </c>
      <c r="AA7" s="9">
        <f>MAX(0,MIN(Time!AA33,Inputs!$F$229*12)-MIN(Time!AA32,Inputs!$F$229*12))</f>
        <v/>
      </c>
      <c r="AB7" s="9">
        <f>MAX(0,MIN(Time!AB33,Inputs!$F$229*12)-MIN(Time!AB32,Inputs!$F$229*12))</f>
        <v/>
      </c>
      <c r="AC7" s="9">
        <f>MAX(0,MIN(Time!AC33,Inputs!$F$229*12)-MIN(Time!AC32,Inputs!$F$229*12))</f>
        <v/>
      </c>
      <c r="AD7" s="9">
        <f>MAX(0,MIN(Time!AD33,Inputs!$F$229*12)-MIN(Time!AD32,Inputs!$F$229*12))</f>
        <v/>
      </c>
      <c r="AE7" s="9">
        <f>MAX(0,MIN(Time!AE33,Inputs!$F$229*12)-MIN(Time!AE32,Inputs!$F$229*12))</f>
        <v/>
      </c>
      <c r="AF7" s="9">
        <f>MAX(0,MIN(Time!AF33,Inputs!$F$229*12)-MIN(Time!AF32,Inputs!$F$229*12))</f>
        <v/>
      </c>
      <c r="AG7" s="9">
        <f>MAX(0,MIN(Time!AG33,Inputs!$F$229*12)-MIN(Time!AG32,Inputs!$F$229*12))</f>
        <v/>
      </c>
      <c r="AH7" s="9">
        <f>MAX(0,MIN(Time!AH33,Inputs!$F$229*12)-MIN(Time!AH32,Inputs!$F$229*12))</f>
        <v/>
      </c>
      <c r="AI7" s="9">
        <f>MAX(0,MIN(Time!AI33,Inputs!$F$229*12)-MIN(Time!AI32,Inputs!$F$229*12))</f>
        <v/>
      </c>
      <c r="AJ7" s="9">
        <f>MAX(0,MIN(Time!AJ33,Inputs!$F$229*12)-MIN(Time!AJ32,Inputs!$F$229*12))</f>
        <v/>
      </c>
      <c r="AK7" s="9">
        <f>MAX(0,MIN(Time!AK33,Inputs!$F$229*12)-MIN(Time!AK32,Inputs!$F$229*12))</f>
        <v/>
      </c>
      <c r="AL7" s="9">
        <f>MAX(0,MIN(Time!AL33,Inputs!$F$229*12)-MIN(Time!AL32,Inputs!$F$229*12))</f>
        <v/>
      </c>
      <c r="AM7" s="9">
        <f>MAX(0,MIN(Time!AM33,Inputs!$F$229*12)-MIN(Time!AM32,Inputs!$F$229*12))</f>
        <v/>
      </c>
      <c r="AN7" s="9">
        <f>MAX(0,MIN(Time!AN33,Inputs!$F$229*12)-MIN(Time!AN32,Inputs!$F$229*12))</f>
        <v/>
      </c>
      <c r="AO7" s="9">
        <f>MAX(0,MIN(Time!AO33,Inputs!$F$229*12)-MIN(Time!AO32,Inputs!$F$229*12))</f>
        <v/>
      </c>
      <c r="AP7" s="9">
        <f>MAX(0,MIN(Time!AP33,Inputs!$F$229*12)-MIN(Time!AP32,Inputs!$F$229*12))</f>
        <v/>
      </c>
      <c r="AQ7" s="9">
        <f>MAX(0,MIN(Time!AQ33,Inputs!$F$229*12)-MIN(Time!AQ32,Inputs!$F$229*12))</f>
        <v/>
      </c>
      <c r="AR7" s="9">
        <f>MAX(0,MIN(Time!AR33,Inputs!$F$229*12)-MIN(Time!AR32,Inputs!$F$229*12))</f>
        <v/>
      </c>
      <c r="AS7" s="9">
        <f>MAX(0,MIN(Time!AS33,Inputs!$F$229*12)-MIN(Time!AS32,Inputs!$F$229*12))</f>
        <v/>
      </c>
      <c r="AT7" s="9">
        <f>MAX(0,MIN(Time!AT33,Inputs!$F$229*12)-MIN(Time!AT32,Inputs!$F$229*12))</f>
        <v/>
      </c>
      <c r="AU7" s="9">
        <f>MAX(0,MIN(Time!AU33,Inputs!$F$229*12)-MIN(Time!AU32,Inputs!$F$229*12))</f>
        <v/>
      </c>
      <c r="AV7" s="9">
        <f>MAX(0,MIN(Time!AV33,Inputs!$F$229*12)-MIN(Time!AV32,Inputs!$F$229*12))</f>
        <v/>
      </c>
      <c r="AW7" s="9">
        <f>MAX(0,MIN(Time!AW33,Inputs!$F$229*12)-MIN(Time!AW32,Inputs!$F$229*12))</f>
        <v/>
      </c>
      <c r="AX7" s="9">
        <f>MAX(0,MIN(Time!AX33,Inputs!$F$229*12)-MIN(Time!AX32,Inputs!$F$229*12))</f>
        <v/>
      </c>
      <c r="AY7" s="9">
        <f>MAX(0,MIN(Time!AY33,Inputs!$F$229*12)-MIN(Time!AY32,Inputs!$F$229*12))</f>
        <v/>
      </c>
      <c r="AZ7" s="9">
        <f>MAX(0,MIN(Time!AZ33,Inputs!$F$229*12)-MIN(Time!AZ32,Inputs!$F$229*12))</f>
        <v/>
      </c>
      <c r="BA7" s="9">
        <f>MAX(0,MIN(Time!BA33,Inputs!$F$229*12)-MIN(Time!BA32,Inputs!$F$229*12))</f>
        <v/>
      </c>
      <c r="BB7" s="9">
        <f>MAX(0,MIN(Time!BB33,Inputs!$F$229*12)-MIN(Time!BB32,Inputs!$F$229*12))</f>
        <v/>
      </c>
      <c r="BC7" s="9">
        <f>MAX(0,MIN(Time!BC33,Inputs!$F$229*12)-MIN(Time!BC32,Inputs!$F$229*12))</f>
        <v/>
      </c>
      <c r="BD7" s="9">
        <f>MAX(0,MIN(Time!BD33,Inputs!$F$229*12)-MIN(Time!BD32,Inputs!$F$229*12))</f>
        <v/>
      </c>
      <c r="BE7" s="9">
        <f>MAX(0,MIN(Time!BE33,Inputs!$F$229*12)-MIN(Time!BE32,Inputs!$F$229*12))</f>
        <v/>
      </c>
      <c r="BF7" s="9">
        <f>MAX(0,MIN(Time!BF33,Inputs!$F$229*12)-MIN(Time!BF32,Inputs!$F$229*12))</f>
        <v/>
      </c>
      <c r="BG7" s="9">
        <f>MAX(0,MIN(Time!BG33,Inputs!$F$229*12)-MIN(Time!BG32,Inputs!$F$229*12))</f>
        <v/>
      </c>
      <c r="BH7" s="9">
        <f>MAX(0,MIN(Time!BH33,Inputs!$F$229*12)-MIN(Time!BH32,Inputs!$F$229*12))</f>
        <v/>
      </c>
      <c r="BI7" s="9">
        <f>MAX(0,MIN(Time!BI33,Inputs!$F$229*12)-MIN(Time!BI32,Inputs!$F$229*12))</f>
        <v/>
      </c>
      <c r="BJ7" s="9">
        <f>MAX(0,MIN(Time!BJ33,Inputs!$F$229*12)-MIN(Time!BJ32,Inputs!$F$229*12))</f>
        <v/>
      </c>
      <c r="BK7" s="9">
        <f>MAX(0,MIN(Time!BK33,Inputs!$F$229*12)-MIN(Time!BK32,Inputs!$F$229*12))</f>
        <v/>
      </c>
      <c r="BL7" s="9">
        <f>MAX(0,MIN(Time!BL33,Inputs!$F$229*12)-MIN(Time!BL32,Inputs!$F$229*12))</f>
        <v/>
      </c>
      <c r="BM7" s="9">
        <f>MAX(0,MIN(Time!BM33,Inputs!$F$229*12)-MIN(Time!BM32,Inputs!$F$229*12))</f>
        <v/>
      </c>
      <c r="BN7" s="9">
        <f>MAX(0,MIN(Time!BN33,Inputs!$F$229*12)-MIN(Time!BN32,Inputs!$F$229*12))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MAX(0,MIN(Time!J33,Inputs!$F$229*12)-MIN(MAX(Time!J32,Inputs!$F$229*12),Inputs!$F$229*12))</f>
        <v/>
      </c>
      <c r="K8" s="9">
        <f>MAX(0,MIN(Time!K33,Inputs!$F$229*12)-MIN(MAX(Time!K32,Inputs!$F$229*12),Inputs!$F$229*12))</f>
        <v/>
      </c>
      <c r="L8" s="9">
        <f>MAX(0,MIN(Time!L33,Inputs!$F$229*12)-MIN(MAX(Time!L32,Inputs!$F$229*12),Inputs!$F$229*12))</f>
        <v/>
      </c>
      <c r="M8" s="9">
        <f>MAX(0,MIN(Time!M33,Inputs!$F$229*12)-MIN(MAX(Time!M32,Inputs!$F$229*12),Inputs!$F$229*12))</f>
        <v/>
      </c>
      <c r="N8" s="9">
        <f>MAX(0,MIN(Time!N33,Inputs!$F$229*12)-MIN(MAX(Time!N32,Inputs!$F$229*12),Inputs!$F$229*12))</f>
        <v/>
      </c>
      <c r="O8" s="9">
        <f>MAX(0,MIN(Time!O33,Inputs!$F$229*12)-MIN(MAX(Time!O32,Inputs!$F$229*12),Inputs!$F$229*12))</f>
        <v/>
      </c>
      <c r="P8" s="9">
        <f>MAX(0,MIN(Time!P33,Inputs!$F$229*12)-MIN(MAX(Time!P32,Inputs!$F$229*12),Inputs!$F$229*12))</f>
        <v/>
      </c>
      <c r="Q8" s="9">
        <f>MAX(0,MIN(Time!Q33,Inputs!$F$229*12)-MIN(MAX(Time!Q32,Inputs!$F$229*12),Inputs!$F$229*12))</f>
        <v/>
      </c>
      <c r="R8" s="9">
        <f>MAX(0,MIN(Time!R33,Inputs!$F$229*12)-MIN(MAX(Time!R32,Inputs!$F$229*12),Inputs!$F$229*12))</f>
        <v/>
      </c>
      <c r="S8" s="9">
        <f>MAX(0,MIN(Time!S33,Inputs!$F$229*12)-MIN(MAX(Time!S32,Inputs!$F$229*12),Inputs!$F$229*12))</f>
        <v/>
      </c>
      <c r="T8" s="9">
        <f>MAX(0,MIN(Time!T33,Inputs!$F$229*12)-MIN(MAX(Time!T32,Inputs!$F$229*12),Inputs!$F$229*12))</f>
        <v/>
      </c>
      <c r="U8" s="9">
        <f>MAX(0,MIN(Time!U33,Inputs!$F$229*12)-MIN(MAX(Time!U32,Inputs!$F$229*12),Inputs!$F$229*12))</f>
        <v/>
      </c>
      <c r="V8" s="9">
        <f>MAX(0,MIN(Time!V33,Inputs!$F$229*12)-MIN(MAX(Time!V32,Inputs!$F$229*12),Inputs!$F$229*12))</f>
        <v/>
      </c>
      <c r="W8" s="9">
        <f>MAX(0,MIN(Time!W33,Inputs!$F$229*12)-MIN(MAX(Time!W32,Inputs!$F$229*12),Inputs!$F$229*12))</f>
        <v/>
      </c>
      <c r="X8" s="9">
        <f>MAX(0,MIN(Time!X33,Inputs!$F$229*12)-MIN(MAX(Time!X32,Inputs!$F$229*12),Inputs!$F$229*12))</f>
        <v/>
      </c>
      <c r="Y8" s="9">
        <f>MAX(0,MIN(Time!Y33,Inputs!$F$229*12)-MIN(MAX(Time!Y32,Inputs!$F$229*12),Inputs!$F$229*12))</f>
        <v/>
      </c>
      <c r="Z8" s="9">
        <f>MAX(0,MIN(Time!Z33,Inputs!$F$229*12)-MIN(MAX(Time!Z32,Inputs!$F$229*12),Inputs!$F$229*12))</f>
        <v/>
      </c>
      <c r="AA8" s="9">
        <f>MAX(0,MIN(Time!AA33,Inputs!$F$229*12)-MIN(MAX(Time!AA32,Inputs!$F$229*12),Inputs!$F$229*12))</f>
        <v/>
      </c>
      <c r="AB8" s="9">
        <f>MAX(0,MIN(Time!AB33,Inputs!$F$229*12)-MIN(MAX(Time!AB32,Inputs!$F$229*12),Inputs!$F$229*12))</f>
        <v/>
      </c>
      <c r="AC8" s="9">
        <f>MAX(0,MIN(Time!AC33,Inputs!$F$229*12)-MIN(MAX(Time!AC32,Inputs!$F$229*12),Inputs!$F$229*12))</f>
        <v/>
      </c>
      <c r="AD8" s="9">
        <f>MAX(0,MIN(Time!AD33,Inputs!$F$229*12)-MIN(MAX(Time!AD32,Inputs!$F$229*12),Inputs!$F$229*12))</f>
        <v/>
      </c>
      <c r="AE8" s="9">
        <f>MAX(0,MIN(Time!AE33,Inputs!$F$229*12)-MIN(MAX(Time!AE32,Inputs!$F$229*12),Inputs!$F$229*12))</f>
        <v/>
      </c>
      <c r="AF8" s="9">
        <f>MAX(0,MIN(Time!AF33,Inputs!$F$229*12)-MIN(MAX(Time!AF32,Inputs!$F$229*12),Inputs!$F$229*12))</f>
        <v/>
      </c>
      <c r="AG8" s="9">
        <f>MAX(0,MIN(Time!AG33,Inputs!$F$229*12)-MIN(MAX(Time!AG32,Inputs!$F$229*12),Inputs!$F$229*12))</f>
        <v/>
      </c>
      <c r="AH8" s="9">
        <f>MAX(0,MIN(Time!AH33,Inputs!$F$229*12)-MIN(MAX(Time!AH32,Inputs!$F$229*12),Inputs!$F$229*12))</f>
        <v/>
      </c>
      <c r="AI8" s="9">
        <f>MAX(0,MIN(Time!AI33,Inputs!$F$229*12)-MIN(MAX(Time!AI32,Inputs!$F$229*12),Inputs!$F$229*12))</f>
        <v/>
      </c>
      <c r="AJ8" s="9">
        <f>MAX(0,MIN(Time!AJ33,Inputs!$F$229*12)-MIN(MAX(Time!AJ32,Inputs!$F$229*12),Inputs!$F$229*12))</f>
        <v/>
      </c>
      <c r="AK8" s="9">
        <f>MAX(0,MIN(Time!AK33,Inputs!$F$229*12)-MIN(MAX(Time!AK32,Inputs!$F$229*12),Inputs!$F$229*12))</f>
        <v/>
      </c>
      <c r="AL8" s="9">
        <f>MAX(0,MIN(Time!AL33,Inputs!$F$229*12)-MIN(MAX(Time!AL32,Inputs!$F$229*12),Inputs!$F$229*12))</f>
        <v/>
      </c>
      <c r="AM8" s="9">
        <f>MAX(0,MIN(Time!AM33,Inputs!$F$229*12)-MIN(MAX(Time!AM32,Inputs!$F$229*12),Inputs!$F$229*12))</f>
        <v/>
      </c>
      <c r="AN8" s="9">
        <f>MAX(0,MIN(Time!AN33,Inputs!$F$229*12)-MIN(MAX(Time!AN32,Inputs!$F$229*12),Inputs!$F$229*12))</f>
        <v/>
      </c>
      <c r="AO8" s="9">
        <f>MAX(0,MIN(Time!AO33,Inputs!$F$229*12)-MIN(MAX(Time!AO32,Inputs!$F$229*12),Inputs!$F$229*12))</f>
        <v/>
      </c>
      <c r="AP8" s="9">
        <f>MAX(0,MIN(Time!AP33,Inputs!$F$229*12)-MIN(MAX(Time!AP32,Inputs!$F$229*12),Inputs!$F$229*12))</f>
        <v/>
      </c>
      <c r="AQ8" s="9">
        <f>MAX(0,MIN(Time!AQ33,Inputs!$F$229*12)-MIN(MAX(Time!AQ32,Inputs!$F$229*12),Inputs!$F$229*12))</f>
        <v/>
      </c>
      <c r="AR8" s="9">
        <f>MAX(0,MIN(Time!AR33,Inputs!$F$229*12)-MIN(MAX(Time!AR32,Inputs!$F$229*12),Inputs!$F$229*12))</f>
        <v/>
      </c>
      <c r="AS8" s="9">
        <f>MAX(0,MIN(Time!AS33,Inputs!$F$229*12)-MIN(MAX(Time!AS32,Inputs!$F$229*12),Inputs!$F$229*12))</f>
        <v/>
      </c>
      <c r="AT8" s="9">
        <f>MAX(0,MIN(Time!AT33,Inputs!$F$229*12)-MIN(MAX(Time!AT32,Inputs!$F$229*12),Inputs!$F$229*12))</f>
        <v/>
      </c>
      <c r="AU8" s="9">
        <f>MAX(0,MIN(Time!AU33,Inputs!$F$229*12)-MIN(MAX(Time!AU32,Inputs!$F$229*12),Inputs!$F$229*12))</f>
        <v/>
      </c>
      <c r="AV8" s="9">
        <f>MAX(0,MIN(Time!AV33,Inputs!$F$229*12)-MIN(MAX(Time!AV32,Inputs!$F$229*12),Inputs!$F$229*12))</f>
        <v/>
      </c>
      <c r="AW8" s="9">
        <f>MAX(0,MIN(Time!AW33,Inputs!$F$229*12)-MIN(MAX(Time!AW32,Inputs!$F$229*12),Inputs!$F$229*12))</f>
        <v/>
      </c>
      <c r="AX8" s="9">
        <f>MAX(0,MIN(Time!AX33,Inputs!$F$229*12)-MIN(MAX(Time!AX32,Inputs!$F$229*12),Inputs!$F$229*12))</f>
        <v/>
      </c>
      <c r="AY8" s="9">
        <f>MAX(0,MIN(Time!AY33,Inputs!$F$229*12)-MIN(MAX(Time!AY32,Inputs!$F$229*12),Inputs!$F$229*12))</f>
        <v/>
      </c>
      <c r="AZ8" s="9">
        <f>MAX(0,MIN(Time!AZ33,Inputs!$F$229*12)-MIN(MAX(Time!AZ32,Inputs!$F$229*12),Inputs!$F$229*12))</f>
        <v/>
      </c>
      <c r="BA8" s="9">
        <f>MAX(0,MIN(Time!BA33,Inputs!$F$229*12)-MIN(MAX(Time!BA32,Inputs!$F$229*12),Inputs!$F$229*12))</f>
        <v/>
      </c>
      <c r="BB8" s="9">
        <f>MAX(0,MIN(Time!BB33,Inputs!$F$229*12)-MIN(MAX(Time!BB32,Inputs!$F$229*12),Inputs!$F$229*12))</f>
        <v/>
      </c>
      <c r="BC8" s="9">
        <f>MAX(0,MIN(Time!BC33,Inputs!$F$229*12)-MIN(MAX(Time!BC32,Inputs!$F$229*12),Inputs!$F$229*12))</f>
        <v/>
      </c>
      <c r="BD8" s="9">
        <f>MAX(0,MIN(Time!BD33,Inputs!$F$229*12)-MIN(MAX(Time!BD32,Inputs!$F$229*12),Inputs!$F$229*12))</f>
        <v/>
      </c>
      <c r="BE8" s="9">
        <f>MAX(0,MIN(Time!BE33,Inputs!$F$229*12)-MIN(MAX(Time!BE32,Inputs!$F$229*12),Inputs!$F$229*12))</f>
        <v/>
      </c>
      <c r="BF8" s="9">
        <f>MAX(0,MIN(Time!BF33,Inputs!$F$229*12)-MIN(MAX(Time!BF32,Inputs!$F$229*12),Inputs!$F$229*12))</f>
        <v/>
      </c>
      <c r="BG8" s="9">
        <f>MAX(0,MIN(Time!BG33,Inputs!$F$229*12)-MIN(MAX(Time!BG32,Inputs!$F$229*12),Inputs!$F$229*12))</f>
        <v/>
      </c>
      <c r="BH8" s="9">
        <f>MAX(0,MIN(Time!BH33,Inputs!$F$229*12)-MIN(MAX(Time!BH32,Inputs!$F$229*12),Inputs!$F$229*12))</f>
        <v/>
      </c>
      <c r="BI8" s="9">
        <f>MAX(0,MIN(Time!BI33,Inputs!$F$229*12)-MIN(MAX(Time!BI32,Inputs!$F$229*12),Inputs!$F$229*12))</f>
        <v/>
      </c>
      <c r="BJ8" s="9">
        <f>MAX(0,MIN(Time!BJ33,Inputs!$F$229*12)-MIN(MAX(Time!BJ32,Inputs!$F$229*12),Inputs!$F$229*12))</f>
        <v/>
      </c>
      <c r="BK8" s="9">
        <f>MAX(0,MIN(Time!BK33,Inputs!$F$229*12)-MIN(MAX(Time!BK32,Inputs!$F$229*12),Inputs!$F$229*12))</f>
        <v/>
      </c>
      <c r="BL8" s="9">
        <f>MAX(0,MIN(Time!BL33,Inputs!$F$229*12)-MIN(MAX(Time!BL32,Inputs!$F$229*12),Inputs!$F$229*12))</f>
        <v/>
      </c>
      <c r="BM8" s="9">
        <f>MAX(0,MIN(Time!BM33,Inputs!$F$229*12)-MIN(MAX(Time!BM32,Inputs!$F$229*12),Inputs!$F$229*12))</f>
        <v/>
      </c>
      <c r="BN8" s="9">
        <f>MAX(0,MIN(Time!BN33,Inputs!$F$229*12)-MIN(MAX(Time!BN32,Inputs!$F$229*12),Inputs!$F$229*12))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(Inputs!$F$177*Funding!$F$76/Inputs!$F$178+Inputs!$F$179*Funding!$F$76/Inputs!$F$180)*J7+Inputs!$F$181*Funding!$F$76/Inputs!$F$182*MAX(0,MIN(Time!J33,MIN(Inputs!$F$182,Inputs!$F$229*12))-MIN(Time!J32,MIN(Inputs!$F$182,Inputs!$F$229*12)))</f>
        <v/>
      </c>
      <c r="K11" s="13">
        <f>(Inputs!$F$177*Funding!$F$76/Inputs!$F$178+Inputs!$F$179*Funding!$F$76/Inputs!$F$180)*K7+Inputs!$F$181*Funding!$F$76/Inputs!$F$182*MAX(0,MIN(Time!K33,MIN(Inputs!$F$182,Inputs!$F$229*12))-MIN(Time!K32,MIN(Inputs!$F$182,Inputs!$F$229*12)))</f>
        <v/>
      </c>
      <c r="L11" s="13">
        <f>(Inputs!$F$177*Funding!$F$76/Inputs!$F$178+Inputs!$F$179*Funding!$F$76/Inputs!$F$180)*L7+Inputs!$F$181*Funding!$F$76/Inputs!$F$182*MAX(0,MIN(Time!L33,MIN(Inputs!$F$182,Inputs!$F$229*12))-MIN(Time!L32,MIN(Inputs!$F$182,Inputs!$F$229*12)))</f>
        <v/>
      </c>
      <c r="M11" s="13">
        <f>(Inputs!$F$177*Funding!$F$76/Inputs!$F$178+Inputs!$F$179*Funding!$F$76/Inputs!$F$180)*M7+Inputs!$F$181*Funding!$F$76/Inputs!$F$182*MAX(0,MIN(Time!M33,MIN(Inputs!$F$182,Inputs!$F$229*12))-MIN(Time!M32,MIN(Inputs!$F$182,Inputs!$F$229*12)))</f>
        <v/>
      </c>
      <c r="N11" s="13">
        <f>(Inputs!$F$177*Funding!$F$76/Inputs!$F$178+Inputs!$F$179*Funding!$F$76/Inputs!$F$180)*N7+Inputs!$F$181*Funding!$F$76/Inputs!$F$182*MAX(0,MIN(Time!N33,MIN(Inputs!$F$182,Inputs!$F$229*12))-MIN(Time!N32,MIN(Inputs!$F$182,Inputs!$F$229*12)))</f>
        <v/>
      </c>
      <c r="O11" s="13">
        <f>(Inputs!$F$177*Funding!$F$76/Inputs!$F$178+Inputs!$F$179*Funding!$F$76/Inputs!$F$180)*O7+Inputs!$F$181*Funding!$F$76/Inputs!$F$182*MAX(0,MIN(Time!O33,MIN(Inputs!$F$182,Inputs!$F$229*12))-MIN(Time!O32,MIN(Inputs!$F$182,Inputs!$F$229*12)))</f>
        <v/>
      </c>
      <c r="P11" s="13">
        <f>(Inputs!$F$177*Funding!$F$76/Inputs!$F$178+Inputs!$F$179*Funding!$F$76/Inputs!$F$180)*P7+Inputs!$F$181*Funding!$F$76/Inputs!$F$182*MAX(0,MIN(Time!P33,MIN(Inputs!$F$182,Inputs!$F$229*12))-MIN(Time!P32,MIN(Inputs!$F$182,Inputs!$F$229*12)))</f>
        <v/>
      </c>
      <c r="Q11" s="13">
        <f>(Inputs!$F$177*Funding!$F$76/Inputs!$F$178+Inputs!$F$179*Funding!$F$76/Inputs!$F$180)*Q7+Inputs!$F$181*Funding!$F$76/Inputs!$F$182*MAX(0,MIN(Time!Q33,MIN(Inputs!$F$182,Inputs!$F$229*12))-MIN(Time!Q32,MIN(Inputs!$F$182,Inputs!$F$229*12)))</f>
        <v/>
      </c>
      <c r="R11" s="13">
        <f>(Inputs!$F$177*Funding!$F$76/Inputs!$F$178+Inputs!$F$179*Funding!$F$76/Inputs!$F$180)*R7+Inputs!$F$181*Funding!$F$76/Inputs!$F$182*MAX(0,MIN(Time!R33,MIN(Inputs!$F$182,Inputs!$F$229*12))-MIN(Time!R32,MIN(Inputs!$F$182,Inputs!$F$229*12)))</f>
        <v/>
      </c>
      <c r="S11" s="13">
        <f>(Inputs!$F$177*Funding!$F$76/Inputs!$F$178+Inputs!$F$179*Funding!$F$76/Inputs!$F$180)*S7+Inputs!$F$181*Funding!$F$76/Inputs!$F$182*MAX(0,MIN(Time!S33,MIN(Inputs!$F$182,Inputs!$F$229*12))-MIN(Time!S32,MIN(Inputs!$F$182,Inputs!$F$229*12)))</f>
        <v/>
      </c>
      <c r="T11" s="13">
        <f>(Inputs!$F$177*Funding!$F$76/Inputs!$F$178+Inputs!$F$179*Funding!$F$76/Inputs!$F$180)*T7+Inputs!$F$181*Funding!$F$76/Inputs!$F$182*MAX(0,MIN(Time!T33,MIN(Inputs!$F$182,Inputs!$F$229*12))-MIN(Time!T32,MIN(Inputs!$F$182,Inputs!$F$229*12)))</f>
        <v/>
      </c>
      <c r="U11" s="13">
        <f>(Inputs!$F$177*Funding!$F$76/Inputs!$F$178+Inputs!$F$179*Funding!$F$76/Inputs!$F$180)*U7+Inputs!$F$181*Funding!$F$76/Inputs!$F$182*MAX(0,MIN(Time!U33,MIN(Inputs!$F$182,Inputs!$F$229*12))-MIN(Time!U32,MIN(Inputs!$F$182,Inputs!$F$229*12)))</f>
        <v/>
      </c>
      <c r="V11" s="13">
        <f>(Inputs!$F$177*Funding!$F$76/Inputs!$F$178+Inputs!$F$179*Funding!$F$76/Inputs!$F$180)*V7+Inputs!$F$181*Funding!$F$76/Inputs!$F$182*MAX(0,MIN(Time!V33,MIN(Inputs!$F$182,Inputs!$F$229*12))-MIN(Time!V32,MIN(Inputs!$F$182,Inputs!$F$229*12)))</f>
        <v/>
      </c>
      <c r="W11" s="13">
        <f>(Inputs!$F$177*Funding!$F$76/Inputs!$F$178+Inputs!$F$179*Funding!$F$76/Inputs!$F$180)*W7+Inputs!$F$181*Funding!$F$76/Inputs!$F$182*MAX(0,MIN(Time!W33,MIN(Inputs!$F$182,Inputs!$F$229*12))-MIN(Time!W32,MIN(Inputs!$F$182,Inputs!$F$229*12)))</f>
        <v/>
      </c>
      <c r="X11" s="13">
        <f>(Inputs!$F$177*Funding!$F$76/Inputs!$F$178+Inputs!$F$179*Funding!$F$76/Inputs!$F$180)*X7+Inputs!$F$181*Funding!$F$76/Inputs!$F$182*MAX(0,MIN(Time!X33,MIN(Inputs!$F$182,Inputs!$F$229*12))-MIN(Time!X32,MIN(Inputs!$F$182,Inputs!$F$229*12)))</f>
        <v/>
      </c>
      <c r="Y11" s="13">
        <f>(Inputs!$F$177*Funding!$F$76/Inputs!$F$178+Inputs!$F$179*Funding!$F$76/Inputs!$F$180)*Y7+Inputs!$F$181*Funding!$F$76/Inputs!$F$182*MAX(0,MIN(Time!Y33,MIN(Inputs!$F$182,Inputs!$F$229*12))-MIN(Time!Y32,MIN(Inputs!$F$182,Inputs!$F$229*12)))</f>
        <v/>
      </c>
      <c r="Z11" s="13">
        <f>(Inputs!$F$177*Funding!$F$76/Inputs!$F$178+Inputs!$F$179*Funding!$F$76/Inputs!$F$180)*Z7+Inputs!$F$181*Funding!$F$76/Inputs!$F$182*MAX(0,MIN(Time!Z33,MIN(Inputs!$F$182,Inputs!$F$229*12))-MIN(Time!Z32,MIN(Inputs!$F$182,Inputs!$F$229*12)))</f>
        <v/>
      </c>
      <c r="AA11" s="13">
        <f>(Inputs!$F$177*Funding!$F$76/Inputs!$F$178+Inputs!$F$179*Funding!$F$76/Inputs!$F$180)*AA7+Inputs!$F$181*Funding!$F$76/Inputs!$F$182*MAX(0,MIN(Time!AA33,MIN(Inputs!$F$182,Inputs!$F$229*12))-MIN(Time!AA32,MIN(Inputs!$F$182,Inputs!$F$229*12)))</f>
        <v/>
      </c>
      <c r="AB11" s="13">
        <f>(Inputs!$F$177*Funding!$F$76/Inputs!$F$178+Inputs!$F$179*Funding!$F$76/Inputs!$F$180)*AB7+Inputs!$F$181*Funding!$F$76/Inputs!$F$182*MAX(0,MIN(Time!AB33,MIN(Inputs!$F$182,Inputs!$F$229*12))-MIN(Time!AB32,MIN(Inputs!$F$182,Inputs!$F$229*12)))</f>
        <v/>
      </c>
      <c r="AC11" s="13">
        <f>(Inputs!$F$177*Funding!$F$76/Inputs!$F$178+Inputs!$F$179*Funding!$F$76/Inputs!$F$180)*AC7+Inputs!$F$181*Funding!$F$76/Inputs!$F$182*MAX(0,MIN(Time!AC33,MIN(Inputs!$F$182,Inputs!$F$229*12))-MIN(Time!AC32,MIN(Inputs!$F$182,Inputs!$F$229*12)))</f>
        <v/>
      </c>
      <c r="AD11" s="13">
        <f>(Inputs!$F$177*Funding!$F$76/Inputs!$F$178+Inputs!$F$179*Funding!$F$76/Inputs!$F$180)*AD7+Inputs!$F$181*Funding!$F$76/Inputs!$F$182*MAX(0,MIN(Time!AD33,MIN(Inputs!$F$182,Inputs!$F$229*12))-MIN(Time!AD32,MIN(Inputs!$F$182,Inputs!$F$229*12)))</f>
        <v/>
      </c>
      <c r="AE11" s="13">
        <f>(Inputs!$F$177*Funding!$F$76/Inputs!$F$178+Inputs!$F$179*Funding!$F$76/Inputs!$F$180)*AE7+Inputs!$F$181*Funding!$F$76/Inputs!$F$182*MAX(0,MIN(Time!AE33,MIN(Inputs!$F$182,Inputs!$F$229*12))-MIN(Time!AE32,MIN(Inputs!$F$182,Inputs!$F$229*12)))</f>
        <v/>
      </c>
      <c r="AF11" s="13">
        <f>(Inputs!$F$177*Funding!$F$76/Inputs!$F$178+Inputs!$F$179*Funding!$F$76/Inputs!$F$180)*AF7+Inputs!$F$181*Funding!$F$76/Inputs!$F$182*MAX(0,MIN(Time!AF33,MIN(Inputs!$F$182,Inputs!$F$229*12))-MIN(Time!AF32,MIN(Inputs!$F$182,Inputs!$F$229*12)))</f>
        <v/>
      </c>
      <c r="AG11" s="13">
        <f>(Inputs!$F$177*Funding!$F$76/Inputs!$F$178+Inputs!$F$179*Funding!$F$76/Inputs!$F$180)*AG7+Inputs!$F$181*Funding!$F$76/Inputs!$F$182*MAX(0,MIN(Time!AG33,MIN(Inputs!$F$182,Inputs!$F$229*12))-MIN(Time!AG32,MIN(Inputs!$F$182,Inputs!$F$229*12)))</f>
        <v/>
      </c>
      <c r="AH11" s="13">
        <f>(Inputs!$F$177*Funding!$F$76/Inputs!$F$178+Inputs!$F$179*Funding!$F$76/Inputs!$F$180)*AH7+Inputs!$F$181*Funding!$F$76/Inputs!$F$182*MAX(0,MIN(Time!AH33,MIN(Inputs!$F$182,Inputs!$F$229*12))-MIN(Time!AH32,MIN(Inputs!$F$182,Inputs!$F$229*12)))</f>
        <v/>
      </c>
      <c r="AI11" s="13">
        <f>(Inputs!$F$177*Funding!$F$76/Inputs!$F$178+Inputs!$F$179*Funding!$F$76/Inputs!$F$180)*AI7+Inputs!$F$181*Funding!$F$76/Inputs!$F$182*MAX(0,MIN(Time!AI33,MIN(Inputs!$F$182,Inputs!$F$229*12))-MIN(Time!AI32,MIN(Inputs!$F$182,Inputs!$F$229*12)))</f>
        <v/>
      </c>
      <c r="AJ11" s="13">
        <f>(Inputs!$F$177*Funding!$F$76/Inputs!$F$178+Inputs!$F$179*Funding!$F$76/Inputs!$F$180)*AJ7+Inputs!$F$181*Funding!$F$76/Inputs!$F$182*MAX(0,MIN(Time!AJ33,MIN(Inputs!$F$182,Inputs!$F$229*12))-MIN(Time!AJ32,MIN(Inputs!$F$182,Inputs!$F$229*12)))</f>
        <v/>
      </c>
      <c r="AK11" s="13">
        <f>(Inputs!$F$177*Funding!$F$76/Inputs!$F$178+Inputs!$F$179*Funding!$F$76/Inputs!$F$180)*AK7+Inputs!$F$181*Funding!$F$76/Inputs!$F$182*MAX(0,MIN(Time!AK33,MIN(Inputs!$F$182,Inputs!$F$229*12))-MIN(Time!AK32,MIN(Inputs!$F$182,Inputs!$F$229*12)))</f>
        <v/>
      </c>
      <c r="AL11" s="13">
        <f>(Inputs!$F$177*Funding!$F$76/Inputs!$F$178+Inputs!$F$179*Funding!$F$76/Inputs!$F$180)*AL7+Inputs!$F$181*Funding!$F$76/Inputs!$F$182*MAX(0,MIN(Time!AL33,MIN(Inputs!$F$182,Inputs!$F$229*12))-MIN(Time!AL32,MIN(Inputs!$F$182,Inputs!$F$229*12)))</f>
        <v/>
      </c>
      <c r="AM11" s="13">
        <f>(Inputs!$F$177*Funding!$F$76/Inputs!$F$178+Inputs!$F$179*Funding!$F$76/Inputs!$F$180)*AM7+Inputs!$F$181*Funding!$F$76/Inputs!$F$182*MAX(0,MIN(Time!AM33,MIN(Inputs!$F$182,Inputs!$F$229*12))-MIN(Time!AM32,MIN(Inputs!$F$182,Inputs!$F$229*12)))</f>
        <v/>
      </c>
      <c r="AN11" s="13">
        <f>(Inputs!$F$177*Funding!$F$76/Inputs!$F$178+Inputs!$F$179*Funding!$F$76/Inputs!$F$180)*AN7+Inputs!$F$181*Funding!$F$76/Inputs!$F$182*MAX(0,MIN(Time!AN33,MIN(Inputs!$F$182,Inputs!$F$229*12))-MIN(Time!AN32,MIN(Inputs!$F$182,Inputs!$F$229*12)))</f>
        <v/>
      </c>
      <c r="AO11" s="13">
        <f>(Inputs!$F$177*Funding!$F$76/Inputs!$F$178+Inputs!$F$179*Funding!$F$76/Inputs!$F$180)*AO7+Inputs!$F$181*Funding!$F$76/Inputs!$F$182*MAX(0,MIN(Time!AO33,MIN(Inputs!$F$182,Inputs!$F$229*12))-MIN(Time!AO32,MIN(Inputs!$F$182,Inputs!$F$229*12)))</f>
        <v/>
      </c>
      <c r="AP11" s="13">
        <f>(Inputs!$F$177*Funding!$F$76/Inputs!$F$178+Inputs!$F$179*Funding!$F$76/Inputs!$F$180)*AP7+Inputs!$F$181*Funding!$F$76/Inputs!$F$182*MAX(0,MIN(Time!AP33,MIN(Inputs!$F$182,Inputs!$F$229*12))-MIN(Time!AP32,MIN(Inputs!$F$182,Inputs!$F$229*12)))</f>
        <v/>
      </c>
      <c r="AQ11" s="13">
        <f>(Inputs!$F$177*Funding!$F$76/Inputs!$F$178+Inputs!$F$179*Funding!$F$76/Inputs!$F$180)*AQ7+Inputs!$F$181*Funding!$F$76/Inputs!$F$182*MAX(0,MIN(Time!AQ33,MIN(Inputs!$F$182,Inputs!$F$229*12))-MIN(Time!AQ32,MIN(Inputs!$F$182,Inputs!$F$229*12)))</f>
        <v/>
      </c>
      <c r="AR11" s="13">
        <f>(Inputs!$F$177*Funding!$F$76/Inputs!$F$178+Inputs!$F$179*Funding!$F$76/Inputs!$F$180)*AR7+Inputs!$F$181*Funding!$F$76/Inputs!$F$182*MAX(0,MIN(Time!AR33,MIN(Inputs!$F$182,Inputs!$F$229*12))-MIN(Time!AR32,MIN(Inputs!$F$182,Inputs!$F$229*12)))</f>
        <v/>
      </c>
      <c r="AS11" s="13">
        <f>(Inputs!$F$177*Funding!$F$76/Inputs!$F$178+Inputs!$F$179*Funding!$F$76/Inputs!$F$180)*AS7+Inputs!$F$181*Funding!$F$76/Inputs!$F$182*MAX(0,MIN(Time!AS33,MIN(Inputs!$F$182,Inputs!$F$229*12))-MIN(Time!AS32,MIN(Inputs!$F$182,Inputs!$F$229*12)))</f>
        <v/>
      </c>
      <c r="AT11" s="13">
        <f>(Inputs!$F$177*Funding!$F$76/Inputs!$F$178+Inputs!$F$179*Funding!$F$76/Inputs!$F$180)*AT7+Inputs!$F$181*Funding!$F$76/Inputs!$F$182*MAX(0,MIN(Time!AT33,MIN(Inputs!$F$182,Inputs!$F$229*12))-MIN(Time!AT32,MIN(Inputs!$F$182,Inputs!$F$229*12)))</f>
        <v/>
      </c>
      <c r="AU11" s="13">
        <f>(Inputs!$F$177*Funding!$F$76/Inputs!$F$178+Inputs!$F$179*Funding!$F$76/Inputs!$F$180)*AU7+Inputs!$F$181*Funding!$F$76/Inputs!$F$182*MAX(0,MIN(Time!AU33,MIN(Inputs!$F$182,Inputs!$F$229*12))-MIN(Time!AU32,MIN(Inputs!$F$182,Inputs!$F$229*12)))</f>
        <v/>
      </c>
      <c r="AV11" s="13">
        <f>(Inputs!$F$177*Funding!$F$76/Inputs!$F$178+Inputs!$F$179*Funding!$F$76/Inputs!$F$180)*AV7+Inputs!$F$181*Funding!$F$76/Inputs!$F$182*MAX(0,MIN(Time!AV33,MIN(Inputs!$F$182,Inputs!$F$229*12))-MIN(Time!AV32,MIN(Inputs!$F$182,Inputs!$F$229*12)))</f>
        <v/>
      </c>
      <c r="AW11" s="13">
        <f>(Inputs!$F$177*Funding!$F$76/Inputs!$F$178+Inputs!$F$179*Funding!$F$76/Inputs!$F$180)*AW7+Inputs!$F$181*Funding!$F$76/Inputs!$F$182*MAX(0,MIN(Time!AW33,MIN(Inputs!$F$182,Inputs!$F$229*12))-MIN(Time!AW32,MIN(Inputs!$F$182,Inputs!$F$229*12)))</f>
        <v/>
      </c>
      <c r="AX11" s="13">
        <f>(Inputs!$F$177*Funding!$F$76/Inputs!$F$178+Inputs!$F$179*Funding!$F$76/Inputs!$F$180)*AX7+Inputs!$F$181*Funding!$F$76/Inputs!$F$182*MAX(0,MIN(Time!AX33,MIN(Inputs!$F$182,Inputs!$F$229*12))-MIN(Time!AX32,MIN(Inputs!$F$182,Inputs!$F$229*12)))</f>
        <v/>
      </c>
      <c r="AY11" s="13">
        <f>(Inputs!$F$177*Funding!$F$76/Inputs!$F$178+Inputs!$F$179*Funding!$F$76/Inputs!$F$180)*AY7+Inputs!$F$181*Funding!$F$76/Inputs!$F$182*MAX(0,MIN(Time!AY33,MIN(Inputs!$F$182,Inputs!$F$229*12))-MIN(Time!AY32,MIN(Inputs!$F$182,Inputs!$F$229*12)))</f>
        <v/>
      </c>
      <c r="AZ11" s="13">
        <f>(Inputs!$F$177*Funding!$F$76/Inputs!$F$178+Inputs!$F$179*Funding!$F$76/Inputs!$F$180)*AZ7+Inputs!$F$181*Funding!$F$76/Inputs!$F$182*MAX(0,MIN(Time!AZ33,MIN(Inputs!$F$182,Inputs!$F$229*12))-MIN(Time!AZ32,MIN(Inputs!$F$182,Inputs!$F$229*12)))</f>
        <v/>
      </c>
      <c r="BA11" s="13">
        <f>(Inputs!$F$177*Funding!$F$76/Inputs!$F$178+Inputs!$F$179*Funding!$F$76/Inputs!$F$180)*BA7+Inputs!$F$181*Funding!$F$76/Inputs!$F$182*MAX(0,MIN(Time!BA33,MIN(Inputs!$F$182,Inputs!$F$229*12))-MIN(Time!BA32,MIN(Inputs!$F$182,Inputs!$F$229*12)))</f>
        <v/>
      </c>
      <c r="BB11" s="13">
        <f>(Inputs!$F$177*Funding!$F$76/Inputs!$F$178+Inputs!$F$179*Funding!$F$76/Inputs!$F$180)*BB7+Inputs!$F$181*Funding!$F$76/Inputs!$F$182*MAX(0,MIN(Time!BB33,MIN(Inputs!$F$182,Inputs!$F$229*12))-MIN(Time!BB32,MIN(Inputs!$F$182,Inputs!$F$229*12)))</f>
        <v/>
      </c>
      <c r="BC11" s="13">
        <f>(Inputs!$F$177*Funding!$F$76/Inputs!$F$178+Inputs!$F$179*Funding!$F$76/Inputs!$F$180)*BC7+Inputs!$F$181*Funding!$F$76/Inputs!$F$182*MAX(0,MIN(Time!BC33,MIN(Inputs!$F$182,Inputs!$F$229*12))-MIN(Time!BC32,MIN(Inputs!$F$182,Inputs!$F$229*12)))</f>
        <v/>
      </c>
      <c r="BD11" s="13">
        <f>(Inputs!$F$177*Funding!$F$76/Inputs!$F$178+Inputs!$F$179*Funding!$F$76/Inputs!$F$180)*BD7+Inputs!$F$181*Funding!$F$76/Inputs!$F$182*MAX(0,MIN(Time!BD33,MIN(Inputs!$F$182,Inputs!$F$229*12))-MIN(Time!BD32,MIN(Inputs!$F$182,Inputs!$F$229*12)))</f>
        <v/>
      </c>
      <c r="BE11" s="13">
        <f>(Inputs!$F$177*Funding!$F$76/Inputs!$F$178+Inputs!$F$179*Funding!$F$76/Inputs!$F$180)*BE7+Inputs!$F$181*Funding!$F$76/Inputs!$F$182*MAX(0,MIN(Time!BE33,MIN(Inputs!$F$182,Inputs!$F$229*12))-MIN(Time!BE32,MIN(Inputs!$F$182,Inputs!$F$229*12)))</f>
        <v/>
      </c>
      <c r="BF11" s="13">
        <f>(Inputs!$F$177*Funding!$F$76/Inputs!$F$178+Inputs!$F$179*Funding!$F$76/Inputs!$F$180)*BF7+Inputs!$F$181*Funding!$F$76/Inputs!$F$182*MAX(0,MIN(Time!BF33,MIN(Inputs!$F$182,Inputs!$F$229*12))-MIN(Time!BF32,MIN(Inputs!$F$182,Inputs!$F$229*12)))</f>
        <v/>
      </c>
      <c r="BG11" s="13">
        <f>(Inputs!$F$177*Funding!$F$76/Inputs!$F$178+Inputs!$F$179*Funding!$F$76/Inputs!$F$180)*BG7+Inputs!$F$181*Funding!$F$76/Inputs!$F$182*MAX(0,MIN(Time!BG33,MIN(Inputs!$F$182,Inputs!$F$229*12))-MIN(Time!BG32,MIN(Inputs!$F$182,Inputs!$F$229*12)))</f>
        <v/>
      </c>
      <c r="BH11" s="13">
        <f>(Inputs!$F$177*Funding!$F$76/Inputs!$F$178+Inputs!$F$179*Funding!$F$76/Inputs!$F$180)*BH7+Inputs!$F$181*Funding!$F$76/Inputs!$F$182*MAX(0,MIN(Time!BH33,MIN(Inputs!$F$182,Inputs!$F$229*12))-MIN(Time!BH32,MIN(Inputs!$F$182,Inputs!$F$229*12)))</f>
        <v/>
      </c>
      <c r="BI11" s="13">
        <f>(Inputs!$F$177*Funding!$F$76/Inputs!$F$178+Inputs!$F$179*Funding!$F$76/Inputs!$F$180)*BI7+Inputs!$F$181*Funding!$F$76/Inputs!$F$182*MAX(0,MIN(Time!BI33,MIN(Inputs!$F$182,Inputs!$F$229*12))-MIN(Time!BI32,MIN(Inputs!$F$182,Inputs!$F$229*12)))</f>
        <v/>
      </c>
      <c r="BJ11" s="13">
        <f>(Inputs!$F$177*Funding!$F$76/Inputs!$F$178+Inputs!$F$179*Funding!$F$76/Inputs!$F$180)*BJ7+Inputs!$F$181*Funding!$F$76/Inputs!$F$182*MAX(0,MIN(Time!BJ33,MIN(Inputs!$F$182,Inputs!$F$229*12))-MIN(Time!BJ32,MIN(Inputs!$F$182,Inputs!$F$229*12)))</f>
        <v/>
      </c>
      <c r="BK11" s="13">
        <f>(Inputs!$F$177*Funding!$F$76/Inputs!$F$178+Inputs!$F$179*Funding!$F$76/Inputs!$F$180)*BK7+Inputs!$F$181*Funding!$F$76/Inputs!$F$182*MAX(0,MIN(Time!BK33,MIN(Inputs!$F$182,Inputs!$F$229*12))-MIN(Time!BK32,MIN(Inputs!$F$182,Inputs!$F$229*12)))</f>
        <v/>
      </c>
      <c r="BL11" s="13">
        <f>(Inputs!$F$177*Funding!$F$76/Inputs!$F$178+Inputs!$F$179*Funding!$F$76/Inputs!$F$180)*BL7+Inputs!$F$181*Funding!$F$76/Inputs!$F$182*MAX(0,MIN(Time!BL33,MIN(Inputs!$F$182,Inputs!$F$229*12))-MIN(Time!BL32,MIN(Inputs!$F$182,Inputs!$F$229*12)))</f>
        <v/>
      </c>
      <c r="BM11" s="13">
        <f>(Inputs!$F$177*Funding!$F$76/Inputs!$F$178+Inputs!$F$179*Funding!$F$76/Inputs!$F$180)*BM7+Inputs!$F$181*Funding!$F$76/Inputs!$F$182*MAX(0,MIN(Time!BM33,MIN(Inputs!$F$182,Inputs!$F$229*12))-MIN(Time!BM32,MIN(Inputs!$F$182,Inputs!$F$229*12)))</f>
        <v/>
      </c>
      <c r="BN11" s="13">
        <f>(Inputs!$F$177*Funding!$F$76/Inputs!$F$178+Inputs!$F$179*Funding!$F$76/Inputs!$F$180)*BN7+Inputs!$F$181*Funding!$F$76/Inputs!$F$182*MAX(0,MIN(Time!BN33,MIN(Inputs!$F$182,Inputs!$F$229*12))-MIN(Time!BN32,MIN(Inputs!$F$182,Inputs!$F$229*12)))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I21+0-J20</f>
        <v/>
      </c>
      <c r="K21" s="13">
        <f>J21+0-K20</f>
        <v/>
      </c>
      <c r="L21" s="13">
        <f>K21+0-L20</f>
        <v/>
      </c>
      <c r="M21" s="13">
        <f>L21+0-M20</f>
        <v/>
      </c>
      <c r="N21" s="13">
        <f>M21+0-N20</f>
        <v/>
      </c>
      <c r="O21" s="13">
        <f>N21+0-O20</f>
        <v/>
      </c>
      <c r="P21" s="13">
        <f>O21+0-P20</f>
        <v/>
      </c>
      <c r="Q21" s="13">
        <f>P21+0-Q20</f>
        <v/>
      </c>
      <c r="R21" s="13">
        <f>Q21+0-R20</f>
        <v/>
      </c>
      <c r="S21" s="13">
        <f>R21+0-S20</f>
        <v/>
      </c>
      <c r="T21" s="13">
        <f>S21+0-T20</f>
        <v/>
      </c>
      <c r="U21" s="13">
        <f>T21+0-U20</f>
        <v/>
      </c>
      <c r="V21" s="13">
        <f>U21+0-V20</f>
        <v/>
      </c>
      <c r="W21" s="13">
        <f>V21+0-W20</f>
        <v/>
      </c>
      <c r="X21" s="13">
        <f>W21+0-X20</f>
        <v/>
      </c>
      <c r="Y21" s="13">
        <f>X21+0-Y20</f>
        <v/>
      </c>
      <c r="Z21" s="13">
        <f>Y21+0-Z20</f>
        <v/>
      </c>
      <c r="AA21" s="13">
        <f>Z21+0-AA20</f>
        <v/>
      </c>
      <c r="AB21" s="13">
        <f>AA21+0-AB20</f>
        <v/>
      </c>
      <c r="AC21" s="13">
        <f>AB21+0-AC20</f>
        <v/>
      </c>
      <c r="AD21" s="13">
        <f>AC21+0-AD20</f>
        <v/>
      </c>
      <c r="AE21" s="13">
        <f>AD21+0-AE20</f>
        <v/>
      </c>
      <c r="AF21" s="13">
        <f>AE21+0-AF20</f>
        <v/>
      </c>
      <c r="AG21" s="13">
        <f>AF21+0-AG20</f>
        <v/>
      </c>
      <c r="AH21" s="13">
        <f>AG21+0-AH20</f>
        <v/>
      </c>
      <c r="AI21" s="13">
        <f>AH21+0-AI20</f>
        <v/>
      </c>
      <c r="AJ21" s="13">
        <f>AI21+0-AJ20</f>
        <v/>
      </c>
      <c r="AK21" s="13">
        <f>AJ21+0-AK20</f>
        <v/>
      </c>
      <c r="AL21" s="13">
        <f>AK21+0-AL20</f>
        <v/>
      </c>
      <c r="AM21" s="13">
        <f>AL21+0-AM20</f>
        <v/>
      </c>
      <c r="AN21" s="13">
        <f>AM21+0-AN20</f>
        <v/>
      </c>
      <c r="AO21" s="13">
        <f>AN21+0-AO20</f>
        <v/>
      </c>
      <c r="AP21" s="13">
        <f>AO21+0-AP20</f>
        <v/>
      </c>
      <c r="AQ21" s="13">
        <f>AP21+0-AQ20</f>
        <v/>
      </c>
      <c r="AR21" s="13">
        <f>AQ21+0-AR20</f>
        <v/>
      </c>
      <c r="AS21" s="13">
        <f>AR21+0-AS20</f>
        <v/>
      </c>
      <c r="AT21" s="13">
        <f>AS21+0-AT20</f>
        <v/>
      </c>
      <c r="AU21" s="13">
        <f>AT21+0-AU20</f>
        <v/>
      </c>
      <c r="AV21" s="13">
        <f>AU21+0-AV20</f>
        <v/>
      </c>
      <c r="AW21" s="13">
        <f>AV21+0-AW20</f>
        <v/>
      </c>
      <c r="AX21" s="13">
        <f>AW21+0-AX20</f>
        <v/>
      </c>
      <c r="AY21" s="13">
        <f>AX21+0-AY20</f>
        <v/>
      </c>
      <c r="AZ21" s="13">
        <f>AY21+0-AZ20</f>
        <v/>
      </c>
      <c r="BA21" s="13">
        <f>AZ21+0-BA20</f>
        <v/>
      </c>
      <c r="BB21" s="13">
        <f>BA21+0-BB20</f>
        <v/>
      </c>
      <c r="BC21" s="13">
        <f>BB21+0-BC20</f>
        <v/>
      </c>
      <c r="BD21" s="13">
        <f>BC21+0-BD20</f>
        <v/>
      </c>
      <c r="BE21" s="13">
        <f>BD21+0-BE20</f>
        <v/>
      </c>
      <c r="BF21" s="13">
        <f>BE21+0-BF20</f>
        <v/>
      </c>
      <c r="BG21" s="13">
        <f>BF21+0-BG20</f>
        <v/>
      </c>
      <c r="BH21" s="13">
        <f>BG21+0-BH20</f>
        <v/>
      </c>
      <c r="BI21" s="13">
        <f>BH21+0-BI20</f>
        <v/>
      </c>
      <c r="BJ21" s="13">
        <f>BI21+0-BJ20</f>
        <v/>
      </c>
      <c r="BK21" s="13">
        <f>BJ21+0-BK20</f>
        <v/>
      </c>
      <c r="BL21" s="13">
        <f>BK21+0-BL20</f>
        <v/>
      </c>
      <c r="BM21" s="13">
        <f>BL21+0-BM20</f>
        <v/>
      </c>
      <c r="BN21" s="13">
        <f>BM21+0-BN20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INDEX(Debt!$J$147:$BN$147,1,Time!$F$13)+(INDEX(Operations!$J$9:$BN$9,1,Time!$F$13)+Inputs!$F$79)/100*0.5*1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$F$11+(INDEX(Operations!$J$9:$BN$9,1,Time!$F$13)+Inputs!$F$80)/100*0.5*1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$F$11+(INDEX(Operations!$J$9:$BN$9,1,Time!$F$13)+Inputs!$F$81)/100*0.5*1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$F$11+(INDEX(Operations!$J$9:$BN$9,1,Time!$F$13)+INDEX(Debt!$J$8:$BN$8,1,Time!$F$13))/100*0.5*(1/(1-Inputs!$F$93/100))+(Inputs!$F$95/100*Inputs!$F$96/100)*INDEX(Time!$J$25:$BN$25,1,Time!$F$13)/Inputs!$F$248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-1*INDEX(Inputs!$J$301:$BN$301,1,Time!$F$13)*(Inputs!$F$97/100*INDEX(Time!$J$24:$BN$24,1,Time!$F$13)-INDEX(Operations!$J$9:$BN$9,1,Time!$F$13)/100*INDEX(Time!$J$25:$BN$25,1,Time!$F$13)/Inputs!$F$247)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/>
      </c>
      <c r="K19" s="16">
        <f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/>
      </c>
      <c r="L19" s="16">
        <f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/>
      </c>
      <c r="M19" s="16">
        <f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/>
      </c>
      <c r="N19" s="16">
        <f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/>
      </c>
      <c r="O19" s="16">
        <f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/>
      </c>
      <c r="P19" s="16">
        <f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/>
      </c>
      <c r="Q19" s="16">
        <f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/>
      </c>
      <c r="R19" s="16">
        <f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/>
      </c>
      <c r="S19" s="16">
        <f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/>
      </c>
      <c r="T19" s="16">
        <f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/>
      </c>
      <c r="U19" s="16">
        <f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/>
      </c>
      <c r="V19" s="16">
        <f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/>
      </c>
      <c r="W19" s="16">
        <f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/>
      </c>
      <c r="X19" s="16">
        <f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/>
      </c>
      <c r="Y19" s="16">
        <f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/>
      </c>
      <c r="Z19" s="16">
        <f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/>
      </c>
      <c r="AA19" s="16">
        <f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/>
      </c>
      <c r="AB19" s="16">
        <f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/>
      </c>
      <c r="AC19" s="16">
        <f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/>
      </c>
      <c r="AD19" s="16">
        <f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/>
      </c>
      <c r="AE19" s="16">
        <f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/>
      </c>
      <c r="AF19" s="16">
        <f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/>
      </c>
      <c r="AG19" s="16">
        <f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/>
      </c>
      <c r="AH19" s="16">
        <f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/>
      </c>
      <c r="AI19" s="16">
        <f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/>
      </c>
      <c r="AJ19" s="16">
        <f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/>
      </c>
      <c r="AK19" s="16">
        <f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/>
      </c>
      <c r="AL19" s="16">
        <f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/>
      </c>
      <c r="AM19" s="16">
        <f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/>
      </c>
      <c r="AN19" s="16">
        <f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/>
      </c>
      <c r="AO19" s="16">
        <f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/>
      </c>
      <c r="AP19" s="16">
        <f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/>
      </c>
      <c r="AQ19" s="16">
        <f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/>
      </c>
      <c r="AR19" s="16">
        <f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/>
      </c>
      <c r="AS19" s="16">
        <f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/>
      </c>
      <c r="AT19" s="16">
        <f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/>
      </c>
      <c r="AU19" s="16">
        <f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/>
      </c>
      <c r="AV19" s="16">
        <f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/>
      </c>
      <c r="AW19" s="16">
        <f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/>
      </c>
      <c r="AX19" s="16">
        <f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/>
      </c>
      <c r="AY19" s="16">
        <f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/>
      </c>
      <c r="AZ19" s="16">
        <f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/>
      </c>
      <c r="BA19" s="16">
        <f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/>
      </c>
      <c r="BB19" s="16">
        <f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/>
      </c>
      <c r="BC19" s="16">
        <f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/>
      </c>
      <c r="BD19" s="16">
        <f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/>
      </c>
      <c r="BE19" s="16">
        <f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/>
      </c>
      <c r="BF19" s="16">
        <f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/>
      </c>
      <c r="BG19" s="16">
        <f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/>
      </c>
      <c r="BH19" s="16">
        <f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/>
      </c>
      <c r="BI19" s="16">
        <f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/>
      </c>
      <c r="BJ19" s="16">
        <f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J79+Construction!J14*(Construction!J32+Construction!J38+Inputs!$F$107/12+-1*Inputs!J309*(Inputs!$F$97/100/12-Construction!J17/100*Construction!J11/Inputs!$F$247)+Inputs!$F$99*Inputs!$F$100/100*Construction!J11/Inputs!$F$247+Construction!J15*$F$17)</f>
        <v/>
      </c>
      <c r="K21" s="13">
        <f>K79+Construction!K14*(Construction!K32+Construction!K38+Inputs!$F$107/12+-1*Inputs!K309*(Inputs!$F$97/100/12-Construction!K17/100*Construction!K11/Inputs!$F$247)+Inputs!$F$99*Inputs!$F$100/100*Construction!K11/Inputs!$F$247+Construction!K15*$F$17)</f>
        <v/>
      </c>
      <c r="L21" s="13">
        <f>L79+Construction!L14*(Construction!L32+Construction!L38+Inputs!$F$107/12+-1*Inputs!L309*(Inputs!$F$97/100/12-Construction!L17/100*Construction!L11/Inputs!$F$247)+Inputs!$F$99*Inputs!$F$100/100*Construction!L11/Inputs!$F$247+Construction!L15*$F$17)</f>
        <v/>
      </c>
      <c r="M21" s="13">
        <f>M79+Construction!M14*(Construction!M32+Construction!M38+Inputs!$F$107/12+-1*Inputs!M309*(Inputs!$F$97/100/12-Construction!M17/100*Construction!M11/Inputs!$F$247)+Inputs!$F$99*Inputs!$F$100/100*Construction!M11/Inputs!$F$247+Construction!M15*$F$17)</f>
        <v/>
      </c>
      <c r="N21" s="13">
        <f>N79+Construction!N14*(Construction!N32+Construction!N38+Inputs!$F$107/12+-1*Inputs!N309*(Inputs!$F$97/100/12-Construction!N17/100*Construction!N11/Inputs!$F$247)+Inputs!$F$99*Inputs!$F$100/100*Construction!N11/Inputs!$F$247+Construction!N15*$F$17)</f>
        <v/>
      </c>
      <c r="O21" s="13">
        <f>O79+Construction!O14*(Construction!O32+Construction!O38+Inputs!$F$107/12+-1*Inputs!O309*(Inputs!$F$97/100/12-Construction!O17/100*Construction!O11/Inputs!$F$247)+Inputs!$F$99*Inputs!$F$100/100*Construction!O11/Inputs!$F$247+Construction!O15*$F$17)</f>
        <v/>
      </c>
      <c r="P21" s="13">
        <f>P79+Construction!P14*(Construction!P32+Construction!P38+Inputs!$F$107/12+-1*Inputs!P309*(Inputs!$F$97/100/12-Construction!P17/100*Construction!P11/Inputs!$F$247)+Inputs!$F$99*Inputs!$F$100/100*Construction!P11/Inputs!$F$247+Construction!P15*$F$17)</f>
        <v/>
      </c>
      <c r="Q21" s="13">
        <f>Q79+Construction!Q14*(Construction!Q32+Construction!Q38+Inputs!$F$107/12+-1*Inputs!Q309*(Inputs!$F$97/100/12-Construction!Q17/100*Construction!Q11/Inputs!$F$247)+Inputs!$F$99*Inputs!$F$100/100*Construction!Q11/Inputs!$F$247+Construction!Q15*$F$17)</f>
        <v/>
      </c>
      <c r="R21" s="13">
        <f>R79+Construction!R14*(Construction!R32+Construction!R38+Inputs!$F$107/12+-1*Inputs!R309*(Inputs!$F$97/100/12-Construction!R17/100*Construction!R11/Inputs!$F$247)+Inputs!$F$99*Inputs!$F$100/100*Construction!R11/Inputs!$F$247+Construction!R15*$F$17)</f>
        <v/>
      </c>
      <c r="S21" s="13">
        <f>S79+Construction!S14*(Construction!S32+Construction!S38+Inputs!$F$107/12+-1*Inputs!S309*(Inputs!$F$97/100/12-Construction!S17/100*Construction!S11/Inputs!$F$247)+Inputs!$F$99*Inputs!$F$100/100*Construction!S11/Inputs!$F$247+Construction!S15*$F$17)</f>
        <v/>
      </c>
      <c r="T21" s="13">
        <f>T79+Construction!T14*(Construction!T32+Construction!T38+Inputs!$F$107/12+-1*Inputs!T309*(Inputs!$F$97/100/12-Construction!T17/100*Construction!T11/Inputs!$F$247)+Inputs!$F$99*Inputs!$F$100/100*Construction!T11/Inputs!$F$247+Construction!T15*$F$17)</f>
        <v/>
      </c>
      <c r="U21" s="13">
        <f>U79+Construction!U14*(Construction!U32+Construction!U38+Inputs!$F$107/12+-1*Inputs!U309*(Inputs!$F$97/100/12-Construction!U17/100*Construction!U11/Inputs!$F$247)+Inputs!$F$99*Inputs!$F$100/100*Construction!U11/Inputs!$F$247+Construction!U15*$F$17)</f>
        <v/>
      </c>
      <c r="V21" s="13">
        <f>V79+Construction!V14*(Construction!V32+Construction!V38+Inputs!$F$107/12+-1*Inputs!V309*(Inputs!$F$97/100/12-Construction!V17/100*Construction!V11/Inputs!$F$247)+Inputs!$F$99*Inputs!$F$100/100*Construction!V11/Inputs!$F$247+Construction!V15*$F$17)</f>
        <v/>
      </c>
      <c r="W21" s="13">
        <f>W79+Construction!W14*(Construction!W32+Construction!W38+Inputs!$F$107/12+-1*Inputs!W309*(Inputs!$F$97/100/12-Construction!W17/100*Construction!W11/Inputs!$F$247)+Inputs!$F$99*Inputs!$F$100/100*Construction!W11/Inputs!$F$247+Construction!W15*$F$17)</f>
        <v/>
      </c>
      <c r="X21" s="13">
        <f>X79+Construction!X14*(Construction!X32+Construction!X38+Inputs!$F$107/12+-1*Inputs!X309*(Inputs!$F$97/100/12-Construction!X17/100*Construction!X11/Inputs!$F$247)+Inputs!$F$99*Inputs!$F$100/100*Construction!X11/Inputs!$F$247+Construction!X15*$F$17)</f>
        <v/>
      </c>
      <c r="Y21" s="13">
        <f>Y79+Construction!Y14*(Construction!Y32+Construction!Y38+Inputs!$F$107/12+-1*Inputs!Y309*(Inputs!$F$97/100/12-Construction!Y17/100*Construction!Y11/Inputs!$F$247)+Inputs!$F$99*Inputs!$F$100/100*Construction!Y11/Inputs!$F$247+Construction!Y15*$F$17)</f>
        <v/>
      </c>
      <c r="Z21" s="13">
        <f>Z79+Construction!Z14*(Construction!Z32+Construction!Z38+Inputs!$F$107/12+-1*Inputs!Z309*(Inputs!$F$97/100/12-Construction!Z17/100*Construction!Z11/Inputs!$F$247)+Inputs!$F$99*Inputs!$F$100/100*Construction!Z11/Inputs!$F$247+Construction!Z15*$F$17)</f>
        <v/>
      </c>
      <c r="AA21" s="13">
        <f>AA79+Construction!AA14*(Construction!AA32+Construction!AA38+Inputs!$F$107/12+-1*Inputs!AA309*(Inputs!$F$97/100/12-Construction!AA17/100*Construction!AA11/Inputs!$F$247)+Inputs!$F$99*Inputs!$F$100/100*Construction!AA11/Inputs!$F$247+Construction!AA15*$F$17)</f>
        <v/>
      </c>
      <c r="AB21" s="13">
        <f>AB79+Construction!AB14*(Construction!AB32+Construction!AB38+Inputs!$F$107/12+-1*Inputs!AB309*(Inputs!$F$97/100/12-Construction!AB17/100*Construction!AB11/Inputs!$F$247)+Inputs!$F$99*Inputs!$F$100/100*Construction!AB11/Inputs!$F$247+Construction!AB15*$F$17)</f>
        <v/>
      </c>
      <c r="AC21" s="13">
        <f>AC79+Construction!AC14*(Construction!AC32+Construction!AC38+Inputs!$F$107/12+-1*Inputs!AC309*(Inputs!$F$97/100/12-Construction!AC17/100*Construction!AC11/Inputs!$F$247)+Inputs!$F$99*Inputs!$F$100/100*Construction!AC11/Inputs!$F$247+Construction!AC15*$F$17)</f>
        <v/>
      </c>
      <c r="AD21" s="13">
        <f>AD79+Construction!AD14*(Construction!AD32+Construction!AD38+Inputs!$F$107/12+-1*Inputs!AD309*(Inputs!$F$97/100/12-Construction!AD17/100*Construction!AD11/Inputs!$F$247)+Inputs!$F$99*Inputs!$F$100/100*Construction!AD11/Inputs!$F$247+Construction!AD15*$F$17)</f>
        <v/>
      </c>
      <c r="AE21" s="13">
        <f>AE79+Construction!AE14*(Construction!AE32+Construction!AE38+Inputs!$F$107/12+-1*Inputs!AE309*(Inputs!$F$97/100/12-Construction!AE17/100*Construction!AE11/Inputs!$F$247)+Inputs!$F$99*Inputs!$F$100/100*Construction!AE11/Inputs!$F$247+Construction!AE15*$F$17)</f>
        <v/>
      </c>
      <c r="AF21" s="13">
        <f>AF79+Construction!AF14*(Construction!AF32+Construction!AF38+Inputs!$F$107/12+-1*Inputs!AF309*(Inputs!$F$97/100/12-Construction!AF17/100*Construction!AF11/Inputs!$F$247)+Inputs!$F$99*Inputs!$F$100/100*Construction!AF11/Inputs!$F$247+Construction!AF15*$F$17)</f>
        <v/>
      </c>
      <c r="AG21" s="13">
        <f>AG79+Construction!AG14*(Construction!AG32+Construction!AG38+Inputs!$F$107/12+-1*Inputs!AG309*(Inputs!$F$97/100/12-Construction!AG17/100*Construction!AG11/Inputs!$F$247)+Inputs!$F$99*Inputs!$F$100/100*Construction!AG11/Inputs!$F$247+Construction!AG15*$F$17)</f>
        <v/>
      </c>
      <c r="AH21" s="13">
        <f>AH79+Construction!AH14*(Construction!AH32+Construction!AH38+Inputs!$F$107/12+-1*Inputs!AH309*(Inputs!$F$97/100/12-Construction!AH17/100*Construction!AH11/Inputs!$F$247)+Inputs!$F$99*Inputs!$F$100/100*Construction!AH11/Inputs!$F$247+Construction!AH15*$F$17)</f>
        <v/>
      </c>
      <c r="AI21" s="13">
        <f>AI79+Construction!AI14*(Construction!AI32+Construction!AI38+Inputs!$F$107/12+-1*Inputs!AI309*(Inputs!$F$97/100/12-Construction!AI17/100*Construction!AI11/Inputs!$F$247)+Inputs!$F$99*Inputs!$F$100/100*Construction!AI11/Inputs!$F$247+Construction!AI15*$F$17)</f>
        <v/>
      </c>
      <c r="AJ21" s="13">
        <f>AJ79+Construction!AJ14*(Construction!AJ32+Construction!AJ38+Inputs!$F$107/12+-1*Inputs!AJ309*(Inputs!$F$97/100/12-Construction!AJ17/100*Construction!AJ11/Inputs!$F$247)+Inputs!$F$99*Inputs!$F$100/100*Construction!AJ11/Inputs!$F$247+Construction!AJ15*$F$17)</f>
        <v/>
      </c>
      <c r="AK21" s="13">
        <f>AK79+Construction!AK14*(Construction!AK32+Construction!AK38+Inputs!$F$107/12+-1*Inputs!AK309*(Inputs!$F$97/100/12-Construction!AK17/100*Construction!AK11/Inputs!$F$247)+Inputs!$F$99*Inputs!$F$100/100*Construction!AK11/Inputs!$F$247+Construction!AK15*$F$17)</f>
        <v/>
      </c>
      <c r="AL21" s="13">
        <f>AL79+Construction!AL14*(Construction!AL32+Construction!AL38+Inputs!$F$107/12+-1*Inputs!AL309*(Inputs!$F$97/100/12-Construction!AL17/100*Construction!AL11/Inputs!$F$247)+Inputs!$F$99*Inputs!$F$100/100*Construction!AL11/Inputs!$F$247+Construction!AL15*$F$17)</f>
        <v/>
      </c>
      <c r="AM21" s="13">
        <f>AM79+Construction!AM14*(Construction!AM32+Construction!AM38+Inputs!$F$107/12+-1*Inputs!AM309*(Inputs!$F$97/100/12-Construction!AM17/100*Construction!AM11/Inputs!$F$247)+Inputs!$F$99*Inputs!$F$100/100*Construction!AM11/Inputs!$F$247+Construction!AM15*$F$17)</f>
        <v/>
      </c>
      <c r="AN21" s="13">
        <f>AN79+Construction!AN14*(Construction!AN32+Construction!AN38+Inputs!$F$107/12+-1*Inputs!AN309*(Inputs!$F$97/100/12-Construction!AN17/100*Construction!AN11/Inputs!$F$247)+Inputs!$F$99*Inputs!$F$100/100*Construction!AN11/Inputs!$F$247+Construction!AN15*$F$17)</f>
        <v/>
      </c>
      <c r="AO21" s="13">
        <f>AO79+Construction!AO14*(Construction!AO32+Construction!AO38+Inputs!$F$107/12+-1*Inputs!AO309*(Inputs!$F$97/100/12-Construction!AO17/100*Construction!AO11/Inputs!$F$247)+Inputs!$F$99*Inputs!$F$100/100*Construction!AO11/Inputs!$F$247+Construction!AO15*$F$17)</f>
        <v/>
      </c>
      <c r="AP21" s="13">
        <f>AP79+Construction!AP14*(Construction!AP32+Construction!AP38+Inputs!$F$107/12+-1*Inputs!AP309*(Inputs!$F$97/100/12-Construction!AP17/100*Construction!AP11/Inputs!$F$247)+Inputs!$F$99*Inputs!$F$100/100*Construction!AP11/Inputs!$F$247+Construction!AP15*$F$17)</f>
        <v/>
      </c>
      <c r="AQ21" s="13">
        <f>AQ79+Construction!AQ14*(Construction!AQ32+Construction!AQ38+Inputs!$F$107/12+-1*Inputs!AQ309*(Inputs!$F$97/100/12-Construction!AQ17/100*Construction!AQ11/Inputs!$F$247)+Inputs!$F$99*Inputs!$F$100/100*Construction!AQ11/Inputs!$F$247+Construction!AQ15*$F$17)</f>
        <v/>
      </c>
      <c r="AR21" s="13">
        <f>AR79+Construction!AR14*(Construction!AR32+Construction!AR38+Inputs!$F$107/12+-1*Inputs!AR309*(Inputs!$F$97/100/12-Construction!AR17/100*Construction!AR11/Inputs!$F$247)+Inputs!$F$99*Inputs!$F$100/100*Construction!AR11/Inputs!$F$247+Construction!AR15*$F$17)</f>
        <v/>
      </c>
      <c r="AS21" s="13">
        <f>AS79+Construction!AS14*(Construction!AS32+Construction!AS38+Inputs!$F$107/12+-1*Inputs!AS309*(Inputs!$F$97/100/12-Construction!AS17/100*Construction!AS11/Inputs!$F$247)+Inputs!$F$99*Inputs!$F$100/100*Construction!AS11/Inputs!$F$247+Construction!AS15*$F$17)</f>
        <v/>
      </c>
      <c r="AT21" s="13">
        <f>AT79+Construction!AT14*(Construction!AT32+Construction!AT38+Inputs!$F$107/12+-1*Inputs!AT309*(Inputs!$F$97/100/12-Construction!AT17/100*Construction!AT11/Inputs!$F$247)+Inputs!$F$99*Inputs!$F$100/100*Construction!AT11/Inputs!$F$247+Construction!AT15*$F$17)</f>
        <v/>
      </c>
      <c r="AU21" s="13">
        <f>AU79+Construction!AU14*(Construction!AU32+Construction!AU38+Inputs!$F$107/12+-1*Inputs!AU309*(Inputs!$F$97/100/12-Construction!AU17/100*Construction!AU11/Inputs!$F$247)+Inputs!$F$99*Inputs!$F$100/100*Construction!AU11/Inputs!$F$247+Construction!AU15*$F$17)</f>
        <v/>
      </c>
      <c r="AV21" s="13">
        <f>AV79+Construction!AV14*(Construction!AV32+Construction!AV38+Inputs!$F$107/12+-1*Inputs!AV309*(Inputs!$F$97/100/12-Construction!AV17/100*Construction!AV11/Inputs!$F$247)+Inputs!$F$99*Inputs!$F$100/100*Construction!AV11/Inputs!$F$247+Construction!AV15*$F$17)</f>
        <v/>
      </c>
      <c r="AW21" s="13">
        <f>AW79+Construction!AW14*(Construction!AW32+Construction!AW38+Inputs!$F$107/12+-1*Inputs!AW309*(Inputs!$F$97/100/12-Construction!AW17/100*Construction!AW11/Inputs!$F$247)+Inputs!$F$99*Inputs!$F$100/100*Construction!AW11/Inputs!$F$247+Construction!AW15*$F$17)</f>
        <v/>
      </c>
      <c r="AX21" s="13">
        <f>AX79+Construction!AX14*(Construction!AX32+Construction!AX38+Inputs!$F$107/12+-1*Inputs!AX309*(Inputs!$F$97/100/12-Construction!AX17/100*Construction!AX11/Inputs!$F$247)+Inputs!$F$99*Inputs!$F$100/100*Construction!AX11/Inputs!$F$247+Construction!AX15*$F$17)</f>
        <v/>
      </c>
      <c r="AY21" s="13">
        <f>AY79+Construction!AY14*(Construction!AY32+Construction!AY38+Inputs!$F$107/12+-1*Inputs!AY309*(Inputs!$F$97/100/12-Construction!AY17/100*Construction!AY11/Inputs!$F$247)+Inputs!$F$99*Inputs!$F$100/100*Construction!AY11/Inputs!$F$247+Construction!AY15*$F$17)</f>
        <v/>
      </c>
      <c r="AZ21" s="13">
        <f>AZ79+Construction!AZ14*(Construction!AZ32+Construction!AZ38+Inputs!$F$107/12+-1*Inputs!AZ309*(Inputs!$F$97/100/12-Construction!AZ17/100*Construction!AZ11/Inputs!$F$247)+Inputs!$F$99*Inputs!$F$100/100*Construction!AZ11/Inputs!$F$247+Construction!AZ15*$F$17)</f>
        <v/>
      </c>
      <c r="BA21" s="13">
        <f>BA79+Construction!BA14*(Construction!BA32+Construction!BA38+Inputs!$F$107/12+-1*Inputs!BA309*(Inputs!$F$97/100/12-Construction!BA17/100*Construction!BA11/Inputs!$F$247)+Inputs!$F$99*Inputs!$F$100/100*Construction!BA11/Inputs!$F$247+Construction!BA15*$F$17)</f>
        <v/>
      </c>
      <c r="BB21" s="13">
        <f>BB79+Construction!BB14*(Construction!BB32+Construction!BB38+Inputs!$F$107/12+-1*Inputs!BB309*(Inputs!$F$97/100/12-Construction!BB17/100*Construction!BB11/Inputs!$F$247)+Inputs!$F$99*Inputs!$F$100/100*Construction!BB11/Inputs!$F$247+Construction!BB15*$F$17)</f>
        <v/>
      </c>
      <c r="BC21" s="13">
        <f>BC79+Construction!BC14*(Construction!BC32+Construction!BC38+Inputs!$F$107/12+-1*Inputs!BC309*(Inputs!$F$97/100/12-Construction!BC17/100*Construction!BC11/Inputs!$F$247)+Inputs!$F$99*Inputs!$F$100/100*Construction!BC11/Inputs!$F$247+Construction!BC15*$F$17)</f>
        <v/>
      </c>
      <c r="BD21" s="13">
        <f>BD79+Construction!BD14*(Construction!BD32+Construction!BD38+Inputs!$F$107/12+-1*Inputs!BD309*(Inputs!$F$97/100/12-Construction!BD17/100*Construction!BD11/Inputs!$F$247)+Inputs!$F$99*Inputs!$F$100/100*Construction!BD11/Inputs!$F$247+Construction!BD15*$F$17)</f>
        <v/>
      </c>
      <c r="BE21" s="13">
        <f>BE79+Construction!BE14*(Construction!BE32+Construction!BE38+Inputs!$F$107/12+-1*Inputs!BE309*(Inputs!$F$97/100/12-Construction!BE17/100*Construction!BE11/Inputs!$F$247)+Inputs!$F$99*Inputs!$F$100/100*Construction!BE11/Inputs!$F$247+Construction!BE15*$F$17)</f>
        <v/>
      </c>
      <c r="BF21" s="13">
        <f>BF79+Construction!BF14*(Construction!BF32+Construction!BF38+Inputs!$F$107/12+-1*Inputs!BF309*(Inputs!$F$97/100/12-Construction!BF17/100*Construction!BF11/Inputs!$F$247)+Inputs!$F$99*Inputs!$F$100/100*Construction!BF11/Inputs!$F$247+Construction!BF15*$F$17)</f>
        <v/>
      </c>
      <c r="BG21" s="13">
        <f>BG79+Construction!BG14*(Construction!BG32+Construction!BG38+Inputs!$F$107/12+-1*Inputs!BG309*(Inputs!$F$97/100/12-Construction!BG17/100*Construction!BG11/Inputs!$F$247)+Inputs!$F$99*Inputs!$F$100/100*Construction!BG11/Inputs!$F$247+Construction!BG15*$F$17)</f>
        <v/>
      </c>
      <c r="BH21" s="13">
        <f>BH79+Construction!BH14*(Construction!BH32+Construction!BH38+Inputs!$F$107/12+-1*Inputs!BH309*(Inputs!$F$97/100/12-Construction!BH17/100*Construction!BH11/Inputs!$F$247)+Inputs!$F$99*Inputs!$F$100/100*Construction!BH11/Inputs!$F$247+Construction!BH15*$F$17)</f>
        <v/>
      </c>
      <c r="BI21" s="13">
        <f>BI79+Construction!BI14*(Construction!BI32+Construction!BI38+Inputs!$F$107/12+-1*Inputs!BI309*(Inputs!$F$97/100/12-Construction!BI17/100*Construction!BI11/Inputs!$F$247)+Inputs!$F$99*Inputs!$F$100/100*Construction!BI11/Inputs!$F$247+Construction!BI15*$F$17)</f>
        <v/>
      </c>
      <c r="BJ21" s="13">
        <f>BJ79+Construction!BJ14*(Construction!BJ32+Construction!BJ38+Inputs!$F$107/12+-1*Inputs!BJ309*(Inputs!$F$97/100/12-Construction!BJ17/100*Construction!BJ11/Inputs!$F$247)+Inputs!$F$99*Inputs!$F$100/100*Construction!BJ11/Inputs!$F$247+Construction!BJ15*$F$17)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(Inputs!$F$113-SUM($J$44:$BJ$44))/(Inputs!$F$113+Inputs!$F$114-SUM($J$44:$BJ$44))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Construction!J14*J28*(Construction!J17+Inputs!$F$79)/100*(1/12)*1</f>
        <v/>
      </c>
      <c r="K33" s="13">
        <f>Construction!K14*K28*(Construction!K17+Inputs!$F$79)/100*(1/12)*1</f>
        <v/>
      </c>
      <c r="L33" s="13">
        <f>Construction!L14*L28*(Construction!L17+Inputs!$F$79)/100*(1/12)*1</f>
        <v/>
      </c>
      <c r="M33" s="13">
        <f>Construction!M14*M28*(Construction!M17+Inputs!$F$79)/100*(1/12)*1</f>
        <v/>
      </c>
      <c r="N33" s="13">
        <f>Construction!N14*N28*(Construction!N17+Inputs!$F$79)/100*(1/12)*1</f>
        <v/>
      </c>
      <c r="O33" s="13">
        <f>Construction!O14*O28*(Construction!O17+Inputs!$F$79)/100*(1/12)*1</f>
        <v/>
      </c>
      <c r="P33" s="13">
        <f>Construction!P14*P28*(Construction!P17+Inputs!$F$79)/100*(1/12)*1</f>
        <v/>
      </c>
      <c r="Q33" s="13">
        <f>Construction!Q14*Q28*(Construction!Q17+Inputs!$F$79)/100*(1/12)*1</f>
        <v/>
      </c>
      <c r="R33" s="13">
        <f>Construction!R14*R28*(Construction!R17+Inputs!$F$79)/100*(1/12)*1</f>
        <v/>
      </c>
      <c r="S33" s="13">
        <f>Construction!S14*S28*(Construction!S17+Inputs!$F$79)/100*(1/12)*1</f>
        <v/>
      </c>
      <c r="T33" s="13">
        <f>Construction!T14*T28*(Construction!T17+Inputs!$F$79)/100*(1/12)*1</f>
        <v/>
      </c>
      <c r="U33" s="13">
        <f>Construction!U14*U28*(Construction!U17+Inputs!$F$79)/100*(1/12)*1</f>
        <v/>
      </c>
      <c r="V33" s="13">
        <f>Construction!V14*V28*(Construction!V17+Inputs!$F$79)/100*(1/12)*1</f>
        <v/>
      </c>
      <c r="W33" s="13">
        <f>Construction!W14*W28*(Construction!W17+Inputs!$F$79)/100*(1/12)*1</f>
        <v/>
      </c>
      <c r="X33" s="13">
        <f>Construction!X14*X28*(Construction!X17+Inputs!$F$79)/100*(1/12)*1</f>
        <v/>
      </c>
      <c r="Y33" s="13">
        <f>Construction!Y14*Y28*(Construction!Y17+Inputs!$F$79)/100*(1/12)*1</f>
        <v/>
      </c>
      <c r="Z33" s="13">
        <f>Construction!Z14*Z28*(Construction!Z17+Inputs!$F$79)/100*(1/12)*1</f>
        <v/>
      </c>
      <c r="AA33" s="13">
        <f>Construction!AA14*AA28*(Construction!AA17+Inputs!$F$79)/100*(1/12)*1</f>
        <v/>
      </c>
      <c r="AB33" s="13">
        <f>Construction!AB14*AB28*(Construction!AB17+Inputs!$F$79)/100*(1/12)*1</f>
        <v/>
      </c>
      <c r="AC33" s="13">
        <f>Construction!AC14*AC28*(Construction!AC17+Inputs!$F$79)/100*(1/12)*1</f>
        <v/>
      </c>
      <c r="AD33" s="13">
        <f>Construction!AD14*AD28*(Construction!AD17+Inputs!$F$79)/100*(1/12)*1</f>
        <v/>
      </c>
      <c r="AE33" s="13">
        <f>Construction!AE14*AE28*(Construction!AE17+Inputs!$F$79)/100*(1/12)*1</f>
        <v/>
      </c>
      <c r="AF33" s="13">
        <f>Construction!AF14*AF28*(Construction!AF17+Inputs!$F$79)/100*(1/12)*1</f>
        <v/>
      </c>
      <c r="AG33" s="13">
        <f>Construction!AG14*AG28*(Construction!AG17+Inputs!$F$79)/100*(1/12)*1</f>
        <v/>
      </c>
      <c r="AH33" s="13">
        <f>Construction!AH14*AH28*(Construction!AH17+Inputs!$F$79)/100*(1/12)*1</f>
        <v/>
      </c>
      <c r="AI33" s="13">
        <f>Construction!AI14*AI28*(Construction!AI17+Inputs!$F$79)/100*(1/12)*1</f>
        <v/>
      </c>
      <c r="AJ33" s="13">
        <f>Construction!AJ14*AJ28*(Construction!AJ17+Inputs!$F$79)/100*(1/12)*1</f>
        <v/>
      </c>
      <c r="AK33" s="13">
        <f>Construction!AK14*AK28*(Construction!AK17+Inputs!$F$79)/100*(1/12)*1</f>
        <v/>
      </c>
      <c r="AL33" s="13">
        <f>Construction!AL14*AL28*(Construction!AL17+Inputs!$F$79)/100*(1/12)*1</f>
        <v/>
      </c>
      <c r="AM33" s="13">
        <f>Construction!AM14*AM28*(Construction!AM17+Inputs!$F$79)/100*(1/12)*1</f>
        <v/>
      </c>
      <c r="AN33" s="13">
        <f>Construction!AN14*AN28*(Construction!AN17+Inputs!$F$79)/100*(1/12)*1</f>
        <v/>
      </c>
      <c r="AO33" s="13">
        <f>Construction!AO14*AO28*(Construction!AO17+Inputs!$F$79)/100*(1/12)*1</f>
        <v/>
      </c>
      <c r="AP33" s="13">
        <f>Construction!AP14*AP28*(Construction!AP17+Inputs!$F$79)/100*(1/12)*1</f>
        <v/>
      </c>
      <c r="AQ33" s="13">
        <f>Construction!AQ14*AQ28*(Construction!AQ17+Inputs!$F$79)/100*(1/12)*1</f>
        <v/>
      </c>
      <c r="AR33" s="13">
        <f>Construction!AR14*AR28*(Construction!AR17+Inputs!$F$79)/100*(1/12)*1</f>
        <v/>
      </c>
      <c r="AS33" s="13">
        <f>Construction!AS14*AS28*(Construction!AS17+Inputs!$F$79)/100*(1/12)*1</f>
        <v/>
      </c>
      <c r="AT33" s="13">
        <f>Construction!AT14*AT28*(Construction!AT17+Inputs!$F$79)/100*(1/12)*1</f>
        <v/>
      </c>
      <c r="AU33" s="13">
        <f>Construction!AU14*AU28*(Construction!AU17+Inputs!$F$79)/100*(1/12)*1</f>
        <v/>
      </c>
      <c r="AV33" s="13">
        <f>Construction!AV14*AV28*(Construction!AV17+Inputs!$F$79)/100*(1/12)*1</f>
        <v/>
      </c>
      <c r="AW33" s="13">
        <f>Construction!AW14*AW28*(Construction!AW17+Inputs!$F$79)/100*(1/12)*1</f>
        <v/>
      </c>
      <c r="AX33" s="13">
        <f>Construction!AX14*AX28*(Construction!AX17+Inputs!$F$79)/100*(1/12)*1</f>
        <v/>
      </c>
      <c r="AY33" s="13">
        <f>Construction!AY14*AY28*(Construction!AY17+Inputs!$F$79)/100*(1/12)*1</f>
        <v/>
      </c>
      <c r="AZ33" s="13">
        <f>Construction!AZ14*AZ28*(Construction!AZ17+Inputs!$F$79)/100*(1/12)*1</f>
        <v/>
      </c>
      <c r="BA33" s="13">
        <f>Construction!BA14*BA28*(Construction!BA17+Inputs!$F$79)/100*(1/12)*1</f>
        <v/>
      </c>
      <c r="BB33" s="13">
        <f>Construction!BB14*BB28*(Construction!BB17+Inputs!$F$79)/100*(1/12)*1</f>
        <v/>
      </c>
      <c r="BC33" s="13">
        <f>Construction!BC14*BC28*(Construction!BC17+Inputs!$F$79)/100*(1/12)*1</f>
        <v/>
      </c>
      <c r="BD33" s="13">
        <f>Construction!BD14*BD28*(Construction!BD17+Inputs!$F$79)/100*(1/12)*1</f>
        <v/>
      </c>
      <c r="BE33" s="13">
        <f>Construction!BE14*BE28*(Construction!BE17+Inputs!$F$79)/100*(1/12)*1</f>
        <v/>
      </c>
      <c r="BF33" s="13">
        <f>Construction!BF14*BF28*(Construction!BF17+Inputs!$F$79)/100*(1/12)*1</f>
        <v/>
      </c>
      <c r="BG33" s="13">
        <f>Construction!BG14*BG28*(Construction!BG17+Inputs!$F$79)/100*(1/12)*1</f>
        <v/>
      </c>
      <c r="BH33" s="13">
        <f>Construction!BH14*BH28*(Construction!BH17+Inputs!$F$79)/100*(1/12)*1</f>
        <v/>
      </c>
      <c r="BI33" s="13">
        <f>Construction!BI14*BI28*(Construction!BI17+Inputs!$F$79)/100*(1/12)*1</f>
        <v/>
      </c>
      <c r="BJ33" s="13">
        <f>Construction!BJ14*BJ28*(Construction!BJ17+Inputs!$F$79)/100*(1/12)*1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Construction!J14*J29*(Construction!J17+Inputs!$F$80)/100*(1/12)*1</f>
        <v/>
      </c>
      <c r="K34" s="13">
        <f>Construction!K14*K29*(Construction!K17+Inputs!$F$80)/100*(1/12)*1</f>
        <v/>
      </c>
      <c r="L34" s="13">
        <f>Construction!L14*L29*(Construction!L17+Inputs!$F$80)/100*(1/12)*1</f>
        <v/>
      </c>
      <c r="M34" s="13">
        <f>Construction!M14*M29*(Construction!M17+Inputs!$F$80)/100*(1/12)*1</f>
        <v/>
      </c>
      <c r="N34" s="13">
        <f>Construction!N14*N29*(Construction!N17+Inputs!$F$80)/100*(1/12)*1</f>
        <v/>
      </c>
      <c r="O34" s="13">
        <f>Construction!O14*O29*(Construction!O17+Inputs!$F$80)/100*(1/12)*1</f>
        <v/>
      </c>
      <c r="P34" s="13">
        <f>Construction!P14*P29*(Construction!P17+Inputs!$F$80)/100*(1/12)*1</f>
        <v/>
      </c>
      <c r="Q34" s="13">
        <f>Construction!Q14*Q29*(Construction!Q17+Inputs!$F$80)/100*(1/12)*1</f>
        <v/>
      </c>
      <c r="R34" s="13">
        <f>Construction!R14*R29*(Construction!R17+Inputs!$F$80)/100*(1/12)*1</f>
        <v/>
      </c>
      <c r="S34" s="13">
        <f>Construction!S14*S29*(Construction!S17+Inputs!$F$80)/100*(1/12)*1</f>
        <v/>
      </c>
      <c r="T34" s="13">
        <f>Construction!T14*T29*(Construction!T17+Inputs!$F$80)/100*(1/12)*1</f>
        <v/>
      </c>
      <c r="U34" s="13">
        <f>Construction!U14*U29*(Construction!U17+Inputs!$F$80)/100*(1/12)*1</f>
        <v/>
      </c>
      <c r="V34" s="13">
        <f>Construction!V14*V29*(Construction!V17+Inputs!$F$80)/100*(1/12)*1</f>
        <v/>
      </c>
      <c r="W34" s="13">
        <f>Construction!W14*W29*(Construction!W17+Inputs!$F$80)/100*(1/12)*1</f>
        <v/>
      </c>
      <c r="X34" s="13">
        <f>Construction!X14*X29*(Construction!X17+Inputs!$F$80)/100*(1/12)*1</f>
        <v/>
      </c>
      <c r="Y34" s="13">
        <f>Construction!Y14*Y29*(Construction!Y17+Inputs!$F$80)/100*(1/12)*1</f>
        <v/>
      </c>
      <c r="Z34" s="13">
        <f>Construction!Z14*Z29*(Construction!Z17+Inputs!$F$80)/100*(1/12)*1</f>
        <v/>
      </c>
      <c r="AA34" s="13">
        <f>Construction!AA14*AA29*(Construction!AA17+Inputs!$F$80)/100*(1/12)*1</f>
        <v/>
      </c>
      <c r="AB34" s="13">
        <f>Construction!AB14*AB29*(Construction!AB17+Inputs!$F$80)/100*(1/12)*1</f>
        <v/>
      </c>
      <c r="AC34" s="13">
        <f>Construction!AC14*AC29*(Construction!AC17+Inputs!$F$80)/100*(1/12)*1</f>
        <v/>
      </c>
      <c r="AD34" s="13">
        <f>Construction!AD14*AD29*(Construction!AD17+Inputs!$F$80)/100*(1/12)*1</f>
        <v/>
      </c>
      <c r="AE34" s="13">
        <f>Construction!AE14*AE29*(Construction!AE17+Inputs!$F$80)/100*(1/12)*1</f>
        <v/>
      </c>
      <c r="AF34" s="13">
        <f>Construction!AF14*AF29*(Construction!AF17+Inputs!$F$80)/100*(1/12)*1</f>
        <v/>
      </c>
      <c r="AG34" s="13">
        <f>Construction!AG14*AG29*(Construction!AG17+Inputs!$F$80)/100*(1/12)*1</f>
        <v/>
      </c>
      <c r="AH34" s="13">
        <f>Construction!AH14*AH29*(Construction!AH17+Inputs!$F$80)/100*(1/12)*1</f>
        <v/>
      </c>
      <c r="AI34" s="13">
        <f>Construction!AI14*AI29*(Construction!AI17+Inputs!$F$80)/100*(1/12)*1</f>
        <v/>
      </c>
      <c r="AJ34" s="13">
        <f>Construction!AJ14*AJ29*(Construction!AJ17+Inputs!$F$80)/100*(1/12)*1</f>
        <v/>
      </c>
      <c r="AK34" s="13">
        <f>Construction!AK14*AK29*(Construction!AK17+Inputs!$F$80)/100*(1/12)*1</f>
        <v/>
      </c>
      <c r="AL34" s="13">
        <f>Construction!AL14*AL29*(Construction!AL17+Inputs!$F$80)/100*(1/12)*1</f>
        <v/>
      </c>
      <c r="AM34" s="13">
        <f>Construction!AM14*AM29*(Construction!AM17+Inputs!$F$80)/100*(1/12)*1</f>
        <v/>
      </c>
      <c r="AN34" s="13">
        <f>Construction!AN14*AN29*(Construction!AN17+Inputs!$F$80)/100*(1/12)*1</f>
        <v/>
      </c>
      <c r="AO34" s="13">
        <f>Construction!AO14*AO29*(Construction!AO17+Inputs!$F$80)/100*(1/12)*1</f>
        <v/>
      </c>
      <c r="AP34" s="13">
        <f>Construction!AP14*AP29*(Construction!AP17+Inputs!$F$80)/100*(1/12)*1</f>
        <v/>
      </c>
      <c r="AQ34" s="13">
        <f>Construction!AQ14*AQ29*(Construction!AQ17+Inputs!$F$80)/100*(1/12)*1</f>
        <v/>
      </c>
      <c r="AR34" s="13">
        <f>Construction!AR14*AR29*(Construction!AR17+Inputs!$F$80)/100*(1/12)*1</f>
        <v/>
      </c>
      <c r="AS34" s="13">
        <f>Construction!AS14*AS29*(Construction!AS17+Inputs!$F$80)/100*(1/12)*1</f>
        <v/>
      </c>
      <c r="AT34" s="13">
        <f>Construction!AT14*AT29*(Construction!AT17+Inputs!$F$80)/100*(1/12)*1</f>
        <v/>
      </c>
      <c r="AU34" s="13">
        <f>Construction!AU14*AU29*(Construction!AU17+Inputs!$F$80)/100*(1/12)*1</f>
        <v/>
      </c>
      <c r="AV34" s="13">
        <f>Construction!AV14*AV29*(Construction!AV17+Inputs!$F$80)/100*(1/12)*1</f>
        <v/>
      </c>
      <c r="AW34" s="13">
        <f>Construction!AW14*AW29*(Construction!AW17+Inputs!$F$80)/100*(1/12)*1</f>
        <v/>
      </c>
      <c r="AX34" s="13">
        <f>Construction!AX14*AX29*(Construction!AX17+Inputs!$F$80)/100*(1/12)*1</f>
        <v/>
      </c>
      <c r="AY34" s="13">
        <f>Construction!AY14*AY29*(Construction!AY17+Inputs!$F$80)/100*(1/12)*1</f>
        <v/>
      </c>
      <c r="AZ34" s="13">
        <f>Construction!AZ14*AZ29*(Construction!AZ17+Inputs!$F$80)/100*(1/12)*1</f>
        <v/>
      </c>
      <c r="BA34" s="13">
        <f>Construction!BA14*BA29*(Construction!BA17+Inputs!$F$80)/100*(1/12)*1</f>
        <v/>
      </c>
      <c r="BB34" s="13">
        <f>Construction!BB14*BB29*(Construction!BB17+Inputs!$F$80)/100*(1/12)*1</f>
        <v/>
      </c>
      <c r="BC34" s="13">
        <f>Construction!BC14*BC29*(Construction!BC17+Inputs!$F$80)/100*(1/12)*1</f>
        <v/>
      </c>
      <c r="BD34" s="13">
        <f>Construction!BD14*BD29*(Construction!BD17+Inputs!$F$80)/100*(1/12)*1</f>
        <v/>
      </c>
      <c r="BE34" s="13">
        <f>Construction!BE14*BE29*(Construction!BE17+Inputs!$F$80)/100*(1/12)*1</f>
        <v/>
      </c>
      <c r="BF34" s="13">
        <f>Construction!BF14*BF29*(Construction!BF17+Inputs!$F$80)/100*(1/12)*1</f>
        <v/>
      </c>
      <c r="BG34" s="13">
        <f>Construction!BG14*BG29*(Construction!BG17+Inputs!$F$80)/100*(1/12)*1</f>
        <v/>
      </c>
      <c r="BH34" s="13">
        <f>Construction!BH14*BH29*(Construction!BH17+Inputs!$F$80)/100*(1/12)*1</f>
        <v/>
      </c>
      <c r="BI34" s="13">
        <f>Construction!BI14*BI29*(Construction!BI17+Inputs!$F$80)/100*(1/12)*1</f>
        <v/>
      </c>
      <c r="BJ34" s="13">
        <f>Construction!BJ14*BJ29*(Construction!BJ17+Inputs!$F$80)/100*(1/12)*1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Construction!J14*J30*(Construction!J17+Inputs!$F$81)/100*(1/12)*1</f>
        <v/>
      </c>
      <c r="K35" s="13">
        <f>Construction!K14*K30*(Construction!K17+Inputs!$F$81)/100*(1/12)*1</f>
        <v/>
      </c>
      <c r="L35" s="13">
        <f>Construction!L14*L30*(Construction!L17+Inputs!$F$81)/100*(1/12)*1</f>
        <v/>
      </c>
      <c r="M35" s="13">
        <f>Construction!M14*M30*(Construction!M17+Inputs!$F$81)/100*(1/12)*1</f>
        <v/>
      </c>
      <c r="N35" s="13">
        <f>Construction!N14*N30*(Construction!N17+Inputs!$F$81)/100*(1/12)*1</f>
        <v/>
      </c>
      <c r="O35" s="13">
        <f>Construction!O14*O30*(Construction!O17+Inputs!$F$81)/100*(1/12)*1</f>
        <v/>
      </c>
      <c r="P35" s="13">
        <f>Construction!P14*P30*(Construction!P17+Inputs!$F$81)/100*(1/12)*1</f>
        <v/>
      </c>
      <c r="Q35" s="13">
        <f>Construction!Q14*Q30*(Construction!Q17+Inputs!$F$81)/100*(1/12)*1</f>
        <v/>
      </c>
      <c r="R35" s="13">
        <f>Construction!R14*R30*(Construction!R17+Inputs!$F$81)/100*(1/12)*1</f>
        <v/>
      </c>
      <c r="S35" s="13">
        <f>Construction!S14*S30*(Construction!S17+Inputs!$F$81)/100*(1/12)*1</f>
        <v/>
      </c>
      <c r="T35" s="13">
        <f>Construction!T14*T30*(Construction!T17+Inputs!$F$81)/100*(1/12)*1</f>
        <v/>
      </c>
      <c r="U35" s="13">
        <f>Construction!U14*U30*(Construction!U17+Inputs!$F$81)/100*(1/12)*1</f>
        <v/>
      </c>
      <c r="V35" s="13">
        <f>Construction!V14*V30*(Construction!V17+Inputs!$F$81)/100*(1/12)*1</f>
        <v/>
      </c>
      <c r="W35" s="13">
        <f>Construction!W14*W30*(Construction!W17+Inputs!$F$81)/100*(1/12)*1</f>
        <v/>
      </c>
      <c r="X35" s="13">
        <f>Construction!X14*X30*(Construction!X17+Inputs!$F$81)/100*(1/12)*1</f>
        <v/>
      </c>
      <c r="Y35" s="13">
        <f>Construction!Y14*Y30*(Construction!Y17+Inputs!$F$81)/100*(1/12)*1</f>
        <v/>
      </c>
      <c r="Z35" s="13">
        <f>Construction!Z14*Z30*(Construction!Z17+Inputs!$F$81)/100*(1/12)*1</f>
        <v/>
      </c>
      <c r="AA35" s="13">
        <f>Construction!AA14*AA30*(Construction!AA17+Inputs!$F$81)/100*(1/12)*1</f>
        <v/>
      </c>
      <c r="AB35" s="13">
        <f>Construction!AB14*AB30*(Construction!AB17+Inputs!$F$81)/100*(1/12)*1</f>
        <v/>
      </c>
      <c r="AC35" s="13">
        <f>Construction!AC14*AC30*(Construction!AC17+Inputs!$F$81)/100*(1/12)*1</f>
        <v/>
      </c>
      <c r="AD35" s="13">
        <f>Construction!AD14*AD30*(Construction!AD17+Inputs!$F$81)/100*(1/12)*1</f>
        <v/>
      </c>
      <c r="AE35" s="13">
        <f>Construction!AE14*AE30*(Construction!AE17+Inputs!$F$81)/100*(1/12)*1</f>
        <v/>
      </c>
      <c r="AF35" s="13">
        <f>Construction!AF14*AF30*(Construction!AF17+Inputs!$F$81)/100*(1/12)*1</f>
        <v/>
      </c>
      <c r="AG35" s="13">
        <f>Construction!AG14*AG30*(Construction!AG17+Inputs!$F$81)/100*(1/12)*1</f>
        <v/>
      </c>
      <c r="AH35" s="13">
        <f>Construction!AH14*AH30*(Construction!AH17+Inputs!$F$81)/100*(1/12)*1</f>
        <v/>
      </c>
      <c r="AI35" s="13">
        <f>Construction!AI14*AI30*(Construction!AI17+Inputs!$F$81)/100*(1/12)*1</f>
        <v/>
      </c>
      <c r="AJ35" s="13">
        <f>Construction!AJ14*AJ30*(Construction!AJ17+Inputs!$F$81)/100*(1/12)*1</f>
        <v/>
      </c>
      <c r="AK35" s="13">
        <f>Construction!AK14*AK30*(Construction!AK17+Inputs!$F$81)/100*(1/12)*1</f>
        <v/>
      </c>
      <c r="AL35" s="13">
        <f>Construction!AL14*AL30*(Construction!AL17+Inputs!$F$81)/100*(1/12)*1</f>
        <v/>
      </c>
      <c r="AM35" s="13">
        <f>Construction!AM14*AM30*(Construction!AM17+Inputs!$F$81)/100*(1/12)*1</f>
        <v/>
      </c>
      <c r="AN35" s="13">
        <f>Construction!AN14*AN30*(Construction!AN17+Inputs!$F$81)/100*(1/12)*1</f>
        <v/>
      </c>
      <c r="AO35" s="13">
        <f>Construction!AO14*AO30*(Construction!AO17+Inputs!$F$81)/100*(1/12)*1</f>
        <v/>
      </c>
      <c r="AP35" s="13">
        <f>Construction!AP14*AP30*(Construction!AP17+Inputs!$F$81)/100*(1/12)*1</f>
        <v/>
      </c>
      <c r="AQ35" s="13">
        <f>Construction!AQ14*AQ30*(Construction!AQ17+Inputs!$F$81)/100*(1/12)*1</f>
        <v/>
      </c>
      <c r="AR35" s="13">
        <f>Construction!AR14*AR30*(Construction!AR17+Inputs!$F$81)/100*(1/12)*1</f>
        <v/>
      </c>
      <c r="AS35" s="13">
        <f>Construction!AS14*AS30*(Construction!AS17+Inputs!$F$81)/100*(1/12)*1</f>
        <v/>
      </c>
      <c r="AT35" s="13">
        <f>Construction!AT14*AT30*(Construction!AT17+Inputs!$F$81)/100*(1/12)*1</f>
        <v/>
      </c>
      <c r="AU35" s="13">
        <f>Construction!AU14*AU30*(Construction!AU17+Inputs!$F$81)/100*(1/12)*1</f>
        <v/>
      </c>
      <c r="AV35" s="13">
        <f>Construction!AV14*AV30*(Construction!AV17+Inputs!$F$81)/100*(1/12)*1</f>
        <v/>
      </c>
      <c r="AW35" s="13">
        <f>Construction!AW14*AW30*(Construction!AW17+Inputs!$F$81)/100*(1/12)*1</f>
        <v/>
      </c>
      <c r="AX35" s="13">
        <f>Construction!AX14*AX30*(Construction!AX17+Inputs!$F$81)/100*(1/12)*1</f>
        <v/>
      </c>
      <c r="AY35" s="13">
        <f>Construction!AY14*AY30*(Construction!AY17+Inputs!$F$81)/100*(1/12)*1</f>
        <v/>
      </c>
      <c r="AZ35" s="13">
        <f>Construction!AZ14*AZ30*(Construction!AZ17+Inputs!$F$81)/100*(1/12)*1</f>
        <v/>
      </c>
      <c r="BA35" s="13">
        <f>Construction!BA14*BA30*(Construction!BA17+Inputs!$F$81)/100*(1/12)*1</f>
        <v/>
      </c>
      <c r="BB35" s="13">
        <f>Construction!BB14*BB30*(Construction!BB17+Inputs!$F$81)/100*(1/12)*1</f>
        <v/>
      </c>
      <c r="BC35" s="13">
        <f>Construction!BC14*BC30*(Construction!BC17+Inputs!$F$81)/100*(1/12)*1</f>
        <v/>
      </c>
      <c r="BD35" s="13">
        <f>Construction!BD14*BD30*(Construction!BD17+Inputs!$F$81)/100*(1/12)*1</f>
        <v/>
      </c>
      <c r="BE35" s="13">
        <f>Construction!BE14*BE30*(Construction!BE17+Inputs!$F$81)/100*(1/12)*1</f>
        <v/>
      </c>
      <c r="BF35" s="13">
        <f>Construction!BF14*BF30*(Construction!BF17+Inputs!$F$81)/100*(1/12)*1</f>
        <v/>
      </c>
      <c r="BG35" s="13">
        <f>Construction!BG14*BG30*(Construction!BG17+Inputs!$F$81)/100*(1/12)*1</f>
        <v/>
      </c>
      <c r="BH35" s="13">
        <f>Construction!BH14*BH30*(Construction!BH17+Inputs!$F$81)/100*(1/12)*1</f>
        <v/>
      </c>
      <c r="BI35" s="13">
        <f>Construction!BI14*BI30*(Construction!BI17+Inputs!$F$81)/100*(1/12)*1</f>
        <v/>
      </c>
      <c r="BJ35" s="13">
        <f>Construction!BJ14*BJ30*(Construction!BJ17+Inputs!$F$81)/100*(1/12)*1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Construction!J14*J31*(Construction!J17+Inputs!$F$82)/100*(1/12)*(1/(1-Inputs!$F$93/100))</f>
        <v/>
      </c>
      <c r="K36" s="13">
        <f>Construction!K14*K31*(Construction!K17+Inputs!$F$82)/100*(1/12)*(1/(1-Inputs!$F$93/100))</f>
        <v/>
      </c>
      <c r="L36" s="13">
        <f>Construction!L14*L31*(Construction!L17+Inputs!$F$82)/100*(1/12)*(1/(1-Inputs!$F$93/100))</f>
        <v/>
      </c>
      <c r="M36" s="13">
        <f>Construction!M14*M31*(Construction!M17+Inputs!$F$82)/100*(1/12)*(1/(1-Inputs!$F$93/100))</f>
        <v/>
      </c>
      <c r="N36" s="13">
        <f>Construction!N14*N31*(Construction!N17+Inputs!$F$82)/100*(1/12)*(1/(1-Inputs!$F$93/100))</f>
        <v/>
      </c>
      <c r="O36" s="13">
        <f>Construction!O14*O31*(Construction!O17+Inputs!$F$82)/100*(1/12)*(1/(1-Inputs!$F$93/100))</f>
        <v/>
      </c>
      <c r="P36" s="13">
        <f>Construction!P14*P31*(Construction!P17+Inputs!$F$82)/100*(1/12)*(1/(1-Inputs!$F$93/100))</f>
        <v/>
      </c>
      <c r="Q36" s="13">
        <f>Construction!Q14*Q31*(Construction!Q17+Inputs!$F$82)/100*(1/12)*(1/(1-Inputs!$F$93/100))</f>
        <v/>
      </c>
      <c r="R36" s="13">
        <f>Construction!R14*R31*(Construction!R17+Inputs!$F$82)/100*(1/12)*(1/(1-Inputs!$F$93/100))</f>
        <v/>
      </c>
      <c r="S36" s="13">
        <f>Construction!S14*S31*(Construction!S17+Inputs!$F$82)/100*(1/12)*(1/(1-Inputs!$F$93/100))</f>
        <v/>
      </c>
      <c r="T36" s="13">
        <f>Construction!T14*T31*(Construction!T17+Inputs!$F$82)/100*(1/12)*(1/(1-Inputs!$F$93/100))</f>
        <v/>
      </c>
      <c r="U36" s="13">
        <f>Construction!U14*U31*(Construction!U17+Inputs!$F$82)/100*(1/12)*(1/(1-Inputs!$F$93/100))</f>
        <v/>
      </c>
      <c r="V36" s="13">
        <f>Construction!V14*V31*(Construction!V17+Inputs!$F$82)/100*(1/12)*(1/(1-Inputs!$F$93/100))</f>
        <v/>
      </c>
      <c r="W36" s="13">
        <f>Construction!W14*W31*(Construction!W17+Inputs!$F$82)/100*(1/12)*(1/(1-Inputs!$F$93/100))</f>
        <v/>
      </c>
      <c r="X36" s="13">
        <f>Construction!X14*X31*(Construction!X17+Inputs!$F$82)/100*(1/12)*(1/(1-Inputs!$F$93/100))</f>
        <v/>
      </c>
      <c r="Y36" s="13">
        <f>Construction!Y14*Y31*(Construction!Y17+Inputs!$F$82)/100*(1/12)*(1/(1-Inputs!$F$93/100))</f>
        <v/>
      </c>
      <c r="Z36" s="13">
        <f>Construction!Z14*Z31*(Construction!Z17+Inputs!$F$82)/100*(1/12)*(1/(1-Inputs!$F$93/100))</f>
        <v/>
      </c>
      <c r="AA36" s="13">
        <f>Construction!AA14*AA31*(Construction!AA17+Inputs!$F$82)/100*(1/12)*(1/(1-Inputs!$F$93/100))</f>
        <v/>
      </c>
      <c r="AB36" s="13">
        <f>Construction!AB14*AB31*(Construction!AB17+Inputs!$F$82)/100*(1/12)*(1/(1-Inputs!$F$93/100))</f>
        <v/>
      </c>
      <c r="AC36" s="13">
        <f>Construction!AC14*AC31*(Construction!AC17+Inputs!$F$82)/100*(1/12)*(1/(1-Inputs!$F$93/100))</f>
        <v/>
      </c>
      <c r="AD36" s="13">
        <f>Construction!AD14*AD31*(Construction!AD17+Inputs!$F$82)/100*(1/12)*(1/(1-Inputs!$F$93/100))</f>
        <v/>
      </c>
      <c r="AE36" s="13">
        <f>Construction!AE14*AE31*(Construction!AE17+Inputs!$F$82)/100*(1/12)*(1/(1-Inputs!$F$93/100))</f>
        <v/>
      </c>
      <c r="AF36" s="13">
        <f>Construction!AF14*AF31*(Construction!AF17+Inputs!$F$82)/100*(1/12)*(1/(1-Inputs!$F$93/100))</f>
        <v/>
      </c>
      <c r="AG36" s="13">
        <f>Construction!AG14*AG31*(Construction!AG17+Inputs!$F$82)/100*(1/12)*(1/(1-Inputs!$F$93/100))</f>
        <v/>
      </c>
      <c r="AH36" s="13">
        <f>Construction!AH14*AH31*(Construction!AH17+Inputs!$F$82)/100*(1/12)*(1/(1-Inputs!$F$93/100))</f>
        <v/>
      </c>
      <c r="AI36" s="13">
        <f>Construction!AI14*AI31*(Construction!AI17+Inputs!$F$82)/100*(1/12)*(1/(1-Inputs!$F$93/100))</f>
        <v/>
      </c>
      <c r="AJ36" s="13">
        <f>Construction!AJ14*AJ31*(Construction!AJ17+Inputs!$F$82)/100*(1/12)*(1/(1-Inputs!$F$93/100))</f>
        <v/>
      </c>
      <c r="AK36" s="13">
        <f>Construction!AK14*AK31*(Construction!AK17+Inputs!$F$82)/100*(1/12)*(1/(1-Inputs!$F$93/100))</f>
        <v/>
      </c>
      <c r="AL36" s="13">
        <f>Construction!AL14*AL31*(Construction!AL17+Inputs!$F$82)/100*(1/12)*(1/(1-Inputs!$F$93/100))</f>
        <v/>
      </c>
      <c r="AM36" s="13">
        <f>Construction!AM14*AM31*(Construction!AM17+Inputs!$F$82)/100*(1/12)*(1/(1-Inputs!$F$93/100))</f>
        <v/>
      </c>
      <c r="AN36" s="13">
        <f>Construction!AN14*AN31*(Construction!AN17+Inputs!$F$82)/100*(1/12)*(1/(1-Inputs!$F$93/100))</f>
        <v/>
      </c>
      <c r="AO36" s="13">
        <f>Construction!AO14*AO31*(Construction!AO17+Inputs!$F$82)/100*(1/12)*(1/(1-Inputs!$F$93/100))</f>
        <v/>
      </c>
      <c r="AP36" s="13">
        <f>Construction!AP14*AP31*(Construction!AP17+Inputs!$F$82)/100*(1/12)*(1/(1-Inputs!$F$93/100))</f>
        <v/>
      </c>
      <c r="AQ36" s="13">
        <f>Construction!AQ14*AQ31*(Construction!AQ17+Inputs!$F$82)/100*(1/12)*(1/(1-Inputs!$F$93/100))</f>
        <v/>
      </c>
      <c r="AR36" s="13">
        <f>Construction!AR14*AR31*(Construction!AR17+Inputs!$F$82)/100*(1/12)*(1/(1-Inputs!$F$93/100))</f>
        <v/>
      </c>
      <c r="AS36" s="13">
        <f>Construction!AS14*AS31*(Construction!AS17+Inputs!$F$82)/100*(1/12)*(1/(1-Inputs!$F$93/100))</f>
        <v/>
      </c>
      <c r="AT36" s="13">
        <f>Construction!AT14*AT31*(Construction!AT17+Inputs!$F$82)/100*(1/12)*(1/(1-Inputs!$F$93/100))</f>
        <v/>
      </c>
      <c r="AU36" s="13">
        <f>Construction!AU14*AU31*(Construction!AU17+Inputs!$F$82)/100*(1/12)*(1/(1-Inputs!$F$93/100))</f>
        <v/>
      </c>
      <c r="AV36" s="13">
        <f>Construction!AV14*AV31*(Construction!AV17+Inputs!$F$82)/100*(1/12)*(1/(1-Inputs!$F$93/100))</f>
        <v/>
      </c>
      <c r="AW36" s="13">
        <f>Construction!AW14*AW31*(Construction!AW17+Inputs!$F$82)/100*(1/12)*(1/(1-Inputs!$F$93/100))</f>
        <v/>
      </c>
      <c r="AX36" s="13">
        <f>Construction!AX14*AX31*(Construction!AX17+Inputs!$F$82)/100*(1/12)*(1/(1-Inputs!$F$93/100))</f>
        <v/>
      </c>
      <c r="AY36" s="13">
        <f>Construction!AY14*AY31*(Construction!AY17+Inputs!$F$82)/100*(1/12)*(1/(1-Inputs!$F$93/100))</f>
        <v/>
      </c>
      <c r="AZ36" s="13">
        <f>Construction!AZ14*AZ31*(Construction!AZ17+Inputs!$F$82)/100*(1/12)*(1/(1-Inputs!$F$93/100))</f>
        <v/>
      </c>
      <c r="BA36" s="13">
        <f>Construction!BA14*BA31*(Construction!BA17+Inputs!$F$82)/100*(1/12)*(1/(1-Inputs!$F$93/100))</f>
        <v/>
      </c>
      <c r="BB36" s="13">
        <f>Construction!BB14*BB31*(Construction!BB17+Inputs!$F$82)/100*(1/12)*(1/(1-Inputs!$F$93/100))</f>
        <v/>
      </c>
      <c r="BC36" s="13">
        <f>Construction!BC14*BC31*(Construction!BC17+Inputs!$F$82)/100*(1/12)*(1/(1-Inputs!$F$93/100))</f>
        <v/>
      </c>
      <c r="BD36" s="13">
        <f>Construction!BD14*BD31*(Construction!BD17+Inputs!$F$82)/100*(1/12)*(1/(1-Inputs!$F$93/100))</f>
        <v/>
      </c>
      <c r="BE36" s="13">
        <f>Construction!BE14*BE31*(Construction!BE17+Inputs!$F$82)/100*(1/12)*(1/(1-Inputs!$F$93/100))</f>
        <v/>
      </c>
      <c r="BF36" s="13">
        <f>Construction!BF14*BF31*(Construction!BF17+Inputs!$F$82)/100*(1/12)*(1/(1-Inputs!$F$93/100))</f>
        <v/>
      </c>
      <c r="BG36" s="13">
        <f>Construction!BG14*BG31*(Construction!BG17+Inputs!$F$82)/100*(1/12)*(1/(1-Inputs!$F$93/100))</f>
        <v/>
      </c>
      <c r="BH36" s="13">
        <f>Construction!BH14*BH31*(Construction!BH17+Inputs!$F$82)/100*(1/12)*(1/(1-Inputs!$F$93/100))</f>
        <v/>
      </c>
      <c r="BI36" s="13">
        <f>Construction!BI14*BI31*(Construction!BI17+Inputs!$F$82)/100*(1/12)*(1/(1-Inputs!$F$93/100))</f>
        <v/>
      </c>
      <c r="BJ36" s="13">
        <f>Construction!BJ14*BJ31*(Construction!BJ17+Inputs!$F$82)/100*(1/12)*(1/(1-Inputs!$F$93/100))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-1*Construction!J14*Inputs!J309*(Inputs!$F$97/100/12-Construction!J17/100*Construction!J11/Inputs!$F$247)</f>
        <v/>
      </c>
      <c r="K39" s="13">
        <f>-1*Construction!K14*Inputs!K309*(Inputs!$F$97/100/12-Construction!K17/100*Construction!K11/Inputs!$F$247)</f>
        <v/>
      </c>
      <c r="L39" s="13">
        <f>-1*Construction!L14*Inputs!L309*(Inputs!$F$97/100/12-Construction!L17/100*Construction!L11/Inputs!$F$247)</f>
        <v/>
      </c>
      <c r="M39" s="13">
        <f>-1*Construction!M14*Inputs!M309*(Inputs!$F$97/100/12-Construction!M17/100*Construction!M11/Inputs!$F$247)</f>
        <v/>
      </c>
      <c r="N39" s="13">
        <f>-1*Construction!N14*Inputs!N309*(Inputs!$F$97/100/12-Construction!N17/100*Construction!N11/Inputs!$F$247)</f>
        <v/>
      </c>
      <c r="O39" s="13">
        <f>-1*Construction!O14*Inputs!O309*(Inputs!$F$97/100/12-Construction!O17/100*Construction!O11/Inputs!$F$247)</f>
        <v/>
      </c>
      <c r="P39" s="13">
        <f>-1*Construction!P14*Inputs!P309*(Inputs!$F$97/100/12-Construction!P17/100*Construction!P11/Inputs!$F$247)</f>
        <v/>
      </c>
      <c r="Q39" s="13">
        <f>-1*Construction!Q14*Inputs!Q309*(Inputs!$F$97/100/12-Construction!Q17/100*Construction!Q11/Inputs!$F$247)</f>
        <v/>
      </c>
      <c r="R39" s="13">
        <f>-1*Construction!R14*Inputs!R309*(Inputs!$F$97/100/12-Construction!R17/100*Construction!R11/Inputs!$F$247)</f>
        <v/>
      </c>
      <c r="S39" s="13">
        <f>-1*Construction!S14*Inputs!S309*(Inputs!$F$97/100/12-Construction!S17/100*Construction!S11/Inputs!$F$247)</f>
        <v/>
      </c>
      <c r="T39" s="13">
        <f>-1*Construction!T14*Inputs!T309*(Inputs!$F$97/100/12-Construction!T17/100*Construction!T11/Inputs!$F$247)</f>
        <v/>
      </c>
      <c r="U39" s="13">
        <f>-1*Construction!U14*Inputs!U309*(Inputs!$F$97/100/12-Construction!U17/100*Construction!U11/Inputs!$F$247)</f>
        <v/>
      </c>
      <c r="V39" s="13">
        <f>-1*Construction!V14*Inputs!V309*(Inputs!$F$97/100/12-Construction!V17/100*Construction!V11/Inputs!$F$247)</f>
        <v/>
      </c>
      <c r="W39" s="13">
        <f>-1*Construction!W14*Inputs!W309*(Inputs!$F$97/100/12-Construction!W17/100*Construction!W11/Inputs!$F$247)</f>
        <v/>
      </c>
      <c r="X39" s="13">
        <f>-1*Construction!X14*Inputs!X309*(Inputs!$F$97/100/12-Construction!X17/100*Construction!X11/Inputs!$F$247)</f>
        <v/>
      </c>
      <c r="Y39" s="13">
        <f>-1*Construction!Y14*Inputs!Y309*(Inputs!$F$97/100/12-Construction!Y17/100*Construction!Y11/Inputs!$F$247)</f>
        <v/>
      </c>
      <c r="Z39" s="13">
        <f>-1*Construction!Z14*Inputs!Z309*(Inputs!$F$97/100/12-Construction!Z17/100*Construction!Z11/Inputs!$F$247)</f>
        <v/>
      </c>
      <c r="AA39" s="13">
        <f>-1*Construction!AA14*Inputs!AA309*(Inputs!$F$97/100/12-Construction!AA17/100*Construction!AA11/Inputs!$F$247)</f>
        <v/>
      </c>
      <c r="AB39" s="13">
        <f>-1*Construction!AB14*Inputs!AB309*(Inputs!$F$97/100/12-Construction!AB17/100*Construction!AB11/Inputs!$F$247)</f>
        <v/>
      </c>
      <c r="AC39" s="13">
        <f>-1*Construction!AC14*Inputs!AC309*(Inputs!$F$97/100/12-Construction!AC17/100*Construction!AC11/Inputs!$F$247)</f>
        <v/>
      </c>
      <c r="AD39" s="13">
        <f>-1*Construction!AD14*Inputs!AD309*(Inputs!$F$97/100/12-Construction!AD17/100*Construction!AD11/Inputs!$F$247)</f>
        <v/>
      </c>
      <c r="AE39" s="13">
        <f>-1*Construction!AE14*Inputs!AE309*(Inputs!$F$97/100/12-Construction!AE17/100*Construction!AE11/Inputs!$F$247)</f>
        <v/>
      </c>
      <c r="AF39" s="13">
        <f>-1*Construction!AF14*Inputs!AF309*(Inputs!$F$97/100/12-Construction!AF17/100*Construction!AF11/Inputs!$F$247)</f>
        <v/>
      </c>
      <c r="AG39" s="13">
        <f>-1*Construction!AG14*Inputs!AG309*(Inputs!$F$97/100/12-Construction!AG17/100*Construction!AG11/Inputs!$F$247)</f>
        <v/>
      </c>
      <c r="AH39" s="13">
        <f>-1*Construction!AH14*Inputs!AH309*(Inputs!$F$97/100/12-Construction!AH17/100*Construction!AH11/Inputs!$F$247)</f>
        <v/>
      </c>
      <c r="AI39" s="13">
        <f>-1*Construction!AI14*Inputs!AI309*(Inputs!$F$97/100/12-Construction!AI17/100*Construction!AI11/Inputs!$F$247)</f>
        <v/>
      </c>
      <c r="AJ39" s="13">
        <f>-1*Construction!AJ14*Inputs!AJ309*(Inputs!$F$97/100/12-Construction!AJ17/100*Construction!AJ11/Inputs!$F$247)</f>
        <v/>
      </c>
      <c r="AK39" s="13">
        <f>-1*Construction!AK14*Inputs!AK309*(Inputs!$F$97/100/12-Construction!AK17/100*Construction!AK11/Inputs!$F$247)</f>
        <v/>
      </c>
      <c r="AL39" s="13">
        <f>-1*Construction!AL14*Inputs!AL309*(Inputs!$F$97/100/12-Construction!AL17/100*Construction!AL11/Inputs!$F$247)</f>
        <v/>
      </c>
      <c r="AM39" s="13">
        <f>-1*Construction!AM14*Inputs!AM309*(Inputs!$F$97/100/12-Construction!AM17/100*Construction!AM11/Inputs!$F$247)</f>
        <v/>
      </c>
      <c r="AN39" s="13">
        <f>-1*Construction!AN14*Inputs!AN309*(Inputs!$F$97/100/12-Construction!AN17/100*Construction!AN11/Inputs!$F$247)</f>
        <v/>
      </c>
      <c r="AO39" s="13">
        <f>-1*Construction!AO14*Inputs!AO309*(Inputs!$F$97/100/12-Construction!AO17/100*Construction!AO11/Inputs!$F$247)</f>
        <v/>
      </c>
      <c r="AP39" s="13">
        <f>-1*Construction!AP14*Inputs!AP309*(Inputs!$F$97/100/12-Construction!AP17/100*Construction!AP11/Inputs!$F$247)</f>
        <v/>
      </c>
      <c r="AQ39" s="13">
        <f>-1*Construction!AQ14*Inputs!AQ309*(Inputs!$F$97/100/12-Construction!AQ17/100*Construction!AQ11/Inputs!$F$247)</f>
        <v/>
      </c>
      <c r="AR39" s="13">
        <f>-1*Construction!AR14*Inputs!AR309*(Inputs!$F$97/100/12-Construction!AR17/100*Construction!AR11/Inputs!$F$247)</f>
        <v/>
      </c>
      <c r="AS39" s="13">
        <f>-1*Construction!AS14*Inputs!AS309*(Inputs!$F$97/100/12-Construction!AS17/100*Construction!AS11/Inputs!$F$247)</f>
        <v/>
      </c>
      <c r="AT39" s="13">
        <f>-1*Construction!AT14*Inputs!AT309*(Inputs!$F$97/100/12-Construction!AT17/100*Construction!AT11/Inputs!$F$247)</f>
        <v/>
      </c>
      <c r="AU39" s="13">
        <f>-1*Construction!AU14*Inputs!AU309*(Inputs!$F$97/100/12-Construction!AU17/100*Construction!AU11/Inputs!$F$247)</f>
        <v/>
      </c>
      <c r="AV39" s="13">
        <f>-1*Construction!AV14*Inputs!AV309*(Inputs!$F$97/100/12-Construction!AV17/100*Construction!AV11/Inputs!$F$247)</f>
        <v/>
      </c>
      <c r="AW39" s="13">
        <f>-1*Construction!AW14*Inputs!AW309*(Inputs!$F$97/100/12-Construction!AW17/100*Construction!AW11/Inputs!$F$247)</f>
        <v/>
      </c>
      <c r="AX39" s="13">
        <f>-1*Construction!AX14*Inputs!AX309*(Inputs!$F$97/100/12-Construction!AX17/100*Construction!AX11/Inputs!$F$247)</f>
        <v/>
      </c>
      <c r="AY39" s="13">
        <f>-1*Construction!AY14*Inputs!AY309*(Inputs!$F$97/100/12-Construction!AY17/100*Construction!AY11/Inputs!$F$247)</f>
        <v/>
      </c>
      <c r="AZ39" s="13">
        <f>-1*Construction!AZ14*Inputs!AZ309*(Inputs!$F$97/100/12-Construction!AZ17/100*Construction!AZ11/Inputs!$F$247)</f>
        <v/>
      </c>
      <c r="BA39" s="13">
        <f>-1*Construction!BA14*Inputs!BA309*(Inputs!$F$97/100/12-Construction!BA17/100*Construction!BA11/Inputs!$F$247)</f>
        <v/>
      </c>
      <c r="BB39" s="13">
        <f>-1*Construction!BB14*Inputs!BB309*(Inputs!$F$97/100/12-Construction!BB17/100*Construction!BB11/Inputs!$F$247)</f>
        <v/>
      </c>
      <c r="BC39" s="13">
        <f>-1*Construction!BC14*Inputs!BC309*(Inputs!$F$97/100/12-Construction!BC17/100*Construction!BC11/Inputs!$F$247)</f>
        <v/>
      </c>
      <c r="BD39" s="13">
        <f>-1*Construction!BD14*Inputs!BD309*(Inputs!$F$97/100/12-Construction!BD17/100*Construction!BD11/Inputs!$F$247)</f>
        <v/>
      </c>
      <c r="BE39" s="13">
        <f>-1*Construction!BE14*Inputs!BE309*(Inputs!$F$97/100/12-Construction!BE17/100*Construction!BE11/Inputs!$F$247)</f>
        <v/>
      </c>
      <c r="BF39" s="13">
        <f>-1*Construction!BF14*Inputs!BF309*(Inputs!$F$97/100/12-Construction!BF17/100*Construction!BF11/Inputs!$F$247)</f>
        <v/>
      </c>
      <c r="BG39" s="13">
        <f>-1*Construction!BG14*Inputs!BG309*(Inputs!$F$97/100/12-Construction!BG17/100*Construction!BG11/Inputs!$F$247)</f>
        <v/>
      </c>
      <c r="BH39" s="13">
        <f>-1*Construction!BH14*Inputs!BH309*(Inputs!$F$97/100/12-Construction!BH17/100*Construction!BH11/Inputs!$F$247)</f>
        <v/>
      </c>
      <c r="BI39" s="13">
        <f>-1*Construction!BI14*Inputs!BI309*(Inputs!$F$97/100/12-Construction!BI17/100*Construction!BI11/Inputs!$F$247)</f>
        <v/>
      </c>
      <c r="BJ39" s="13">
        <f>-1*Construction!BJ14*Inputs!BJ309*(Inputs!$F$97/100/12-Construction!BJ17/100*Construction!BJ11/Inputs!$F$247)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Construction!J14*(Construction!J32+Construction!J38)+J33+J34+J35+J36+J37+J38+J39+J40+J41+J42+J43+J44+J79</f>
        <v/>
      </c>
      <c r="K45" s="13">
        <f>Construction!K14*(Construction!K32+Construction!K38)+K33+K34+K35+K36+K37+K38+K39+K40+K41+K42+K43+K44+K79</f>
        <v/>
      </c>
      <c r="L45" s="13">
        <f>Construction!L14*(Construction!L32+Construction!L38)+L33+L34+L35+L36+L37+L38+L39+L40+L41+L42+L43+L44+L79</f>
        <v/>
      </c>
      <c r="M45" s="13">
        <f>Construction!M14*(Construction!M32+Construction!M38)+M33+M34+M35+M36+M37+M38+M39+M40+M41+M42+M43+M44+M79</f>
        <v/>
      </c>
      <c r="N45" s="13">
        <f>Construction!N14*(Construction!N32+Construction!N38)+N33+N34+N35+N36+N37+N38+N39+N40+N41+N42+N43+N44+N79</f>
        <v/>
      </c>
      <c r="O45" s="13">
        <f>Construction!O14*(Construction!O32+Construction!O38)+O33+O34+O35+O36+O37+O38+O39+O40+O41+O42+O43+O44+O79</f>
        <v/>
      </c>
      <c r="P45" s="13">
        <f>Construction!P14*(Construction!P32+Construction!P38)+P33+P34+P35+P36+P37+P38+P39+P40+P41+P42+P43+P44+P79</f>
        <v/>
      </c>
      <c r="Q45" s="13">
        <f>Construction!Q14*(Construction!Q32+Construction!Q38)+Q33+Q34+Q35+Q36+Q37+Q38+Q39+Q40+Q41+Q42+Q43+Q44+Q79</f>
        <v/>
      </c>
      <c r="R45" s="13">
        <f>Construction!R14*(Construction!R32+Construction!R38)+R33+R34+R35+R36+R37+R38+R39+R40+R41+R42+R43+R44+R79</f>
        <v/>
      </c>
      <c r="S45" s="13">
        <f>Construction!S14*(Construction!S32+Construction!S38)+S33+S34+S35+S36+S37+S38+S39+S40+S41+S42+S43+S44+S79</f>
        <v/>
      </c>
      <c r="T45" s="13">
        <f>Construction!T14*(Construction!T32+Construction!T38)+T33+T34+T35+T36+T37+T38+T39+T40+T41+T42+T43+T44+T79</f>
        <v/>
      </c>
      <c r="U45" s="13">
        <f>Construction!U14*(Construction!U32+Construction!U38)+U33+U34+U35+U36+U37+U38+U39+U40+U41+U42+U43+U44+U79</f>
        <v/>
      </c>
      <c r="V45" s="13">
        <f>Construction!V14*(Construction!V32+Construction!V38)+V33+V34+V35+V36+V37+V38+V39+V40+V41+V42+V43+V44+V79</f>
        <v/>
      </c>
      <c r="W45" s="13">
        <f>Construction!W14*(Construction!W32+Construction!W38)+W33+W34+W35+W36+W37+W38+W39+W40+W41+W42+W43+W44+W79</f>
        <v/>
      </c>
      <c r="X45" s="13">
        <f>Construction!X14*(Construction!X32+Construction!X38)+X33+X34+X35+X36+X37+X38+X39+X40+X41+X42+X43+X44+X79</f>
        <v/>
      </c>
      <c r="Y45" s="13">
        <f>Construction!Y14*(Construction!Y32+Construction!Y38)+Y33+Y34+Y35+Y36+Y37+Y38+Y39+Y40+Y41+Y42+Y43+Y44+Y79</f>
        <v/>
      </c>
      <c r="Z45" s="13">
        <f>Construction!Z14*(Construction!Z32+Construction!Z38)+Z33+Z34+Z35+Z36+Z37+Z38+Z39+Z40+Z41+Z42+Z43+Z44+Z79</f>
        <v/>
      </c>
      <c r="AA45" s="13">
        <f>Construction!AA14*(Construction!AA32+Construction!AA38)+AA33+AA34+AA35+AA36+AA37+AA38+AA39+AA40+AA41+AA42+AA43+AA44+AA79</f>
        <v/>
      </c>
      <c r="AB45" s="13">
        <f>Construction!AB14*(Construction!AB32+Construction!AB38)+AB33+AB34+AB35+AB36+AB37+AB38+AB39+AB40+AB41+AB42+AB43+AB44+AB79</f>
        <v/>
      </c>
      <c r="AC45" s="13">
        <f>Construction!AC14*(Construction!AC32+Construction!AC38)+AC33+AC34+AC35+AC36+AC37+AC38+AC39+AC40+AC41+AC42+AC43+AC44+AC79</f>
        <v/>
      </c>
      <c r="AD45" s="13">
        <f>Construction!AD14*(Construction!AD32+Construction!AD38)+AD33+AD34+AD35+AD36+AD37+AD38+AD39+AD40+AD41+AD42+AD43+AD44+AD79</f>
        <v/>
      </c>
      <c r="AE45" s="13">
        <f>Construction!AE14*(Construction!AE32+Construction!AE38)+AE33+AE34+AE35+AE36+AE37+AE38+AE39+AE40+AE41+AE42+AE43+AE44+AE79</f>
        <v/>
      </c>
      <c r="AF45" s="13">
        <f>Construction!AF14*(Construction!AF32+Construction!AF38)+AF33+AF34+AF35+AF36+AF37+AF38+AF39+AF40+AF41+AF42+AF43+AF44+AF79</f>
        <v/>
      </c>
      <c r="AG45" s="13">
        <f>Construction!AG14*(Construction!AG32+Construction!AG38)+AG33+AG34+AG35+AG36+AG37+AG38+AG39+AG40+AG41+AG42+AG43+AG44+AG79</f>
        <v/>
      </c>
      <c r="AH45" s="13">
        <f>Construction!AH14*(Construction!AH32+Construction!AH38)+AH33+AH34+AH35+AH36+AH37+AH38+AH39+AH40+AH41+AH42+AH43+AH44+AH79</f>
        <v/>
      </c>
      <c r="AI45" s="13">
        <f>Construction!AI14*(Construction!AI32+Construction!AI38)+AI33+AI34+AI35+AI36+AI37+AI38+AI39+AI40+AI41+AI42+AI43+AI44+AI79</f>
        <v/>
      </c>
      <c r="AJ45" s="13">
        <f>Construction!AJ14*(Construction!AJ32+Construction!AJ38)+AJ33+AJ34+AJ35+AJ36+AJ37+AJ38+AJ39+AJ40+AJ41+AJ42+AJ43+AJ44+AJ79</f>
        <v/>
      </c>
      <c r="AK45" s="13">
        <f>Construction!AK14*(Construction!AK32+Construction!AK38)+AK33+AK34+AK35+AK36+AK37+AK38+AK39+AK40+AK41+AK42+AK43+AK44+AK79</f>
        <v/>
      </c>
      <c r="AL45" s="13">
        <f>Construction!AL14*(Construction!AL32+Construction!AL38)+AL33+AL34+AL35+AL36+AL37+AL38+AL39+AL40+AL41+AL42+AL43+AL44+AL79</f>
        <v/>
      </c>
      <c r="AM45" s="13">
        <f>Construction!AM14*(Construction!AM32+Construction!AM38)+AM33+AM34+AM35+AM36+AM37+AM38+AM39+AM40+AM41+AM42+AM43+AM44+AM79</f>
        <v/>
      </c>
      <c r="AN45" s="13">
        <f>Construction!AN14*(Construction!AN32+Construction!AN38)+AN33+AN34+AN35+AN36+AN37+AN38+AN39+AN40+AN41+AN42+AN43+AN44+AN79</f>
        <v/>
      </c>
      <c r="AO45" s="13">
        <f>Construction!AO14*(Construction!AO32+Construction!AO38)+AO33+AO34+AO35+AO36+AO37+AO38+AO39+AO40+AO41+AO42+AO43+AO44+AO79</f>
        <v/>
      </c>
      <c r="AP45" s="13">
        <f>Construction!AP14*(Construction!AP32+Construction!AP38)+AP33+AP34+AP35+AP36+AP37+AP38+AP39+AP40+AP41+AP42+AP43+AP44+AP79</f>
        <v/>
      </c>
      <c r="AQ45" s="13">
        <f>Construction!AQ14*(Construction!AQ32+Construction!AQ38)+AQ33+AQ34+AQ35+AQ36+AQ37+AQ38+AQ39+AQ40+AQ41+AQ42+AQ43+AQ44+AQ79</f>
        <v/>
      </c>
      <c r="AR45" s="13">
        <f>Construction!AR14*(Construction!AR32+Construction!AR38)+AR33+AR34+AR35+AR36+AR37+AR38+AR39+AR40+AR41+AR42+AR43+AR44+AR79</f>
        <v/>
      </c>
      <c r="AS45" s="13">
        <f>Construction!AS14*(Construction!AS32+Construction!AS38)+AS33+AS34+AS35+AS36+AS37+AS38+AS39+AS40+AS41+AS42+AS43+AS44+AS79</f>
        <v/>
      </c>
      <c r="AT45" s="13">
        <f>Construction!AT14*(Construction!AT32+Construction!AT38)+AT33+AT34+AT35+AT36+AT37+AT38+AT39+AT40+AT41+AT42+AT43+AT44+AT79</f>
        <v/>
      </c>
      <c r="AU45" s="13">
        <f>Construction!AU14*(Construction!AU32+Construction!AU38)+AU33+AU34+AU35+AU36+AU37+AU38+AU39+AU40+AU41+AU42+AU43+AU44+AU79</f>
        <v/>
      </c>
      <c r="AV45" s="13">
        <f>Construction!AV14*(Construction!AV32+Construction!AV38)+AV33+AV34+AV35+AV36+AV37+AV38+AV39+AV40+AV41+AV42+AV43+AV44+AV79</f>
        <v/>
      </c>
      <c r="AW45" s="13">
        <f>Construction!AW14*(Construction!AW32+Construction!AW38)+AW33+AW34+AW35+AW36+AW37+AW38+AW39+AW40+AW41+AW42+AW43+AW44+AW79</f>
        <v/>
      </c>
      <c r="AX45" s="13">
        <f>Construction!AX14*(Construction!AX32+Construction!AX38)+AX33+AX34+AX35+AX36+AX37+AX38+AX39+AX40+AX41+AX42+AX43+AX44+AX79</f>
        <v/>
      </c>
      <c r="AY45" s="13">
        <f>Construction!AY14*(Construction!AY32+Construction!AY38)+AY33+AY34+AY35+AY36+AY37+AY38+AY39+AY40+AY41+AY42+AY43+AY44+AY79</f>
        <v/>
      </c>
      <c r="AZ45" s="13">
        <f>Construction!AZ14*(Construction!AZ32+Construction!AZ38)+AZ33+AZ34+AZ35+AZ36+AZ37+AZ38+AZ39+AZ40+AZ41+AZ42+AZ43+AZ44+AZ79</f>
        <v/>
      </c>
      <c r="BA45" s="13">
        <f>Construction!BA14*(Construction!BA32+Construction!BA38)+BA33+BA34+BA35+BA36+BA37+BA38+BA39+BA40+BA41+BA42+BA43+BA44+BA79</f>
        <v/>
      </c>
      <c r="BB45" s="13">
        <f>Construction!BB14*(Construction!BB32+Construction!BB38)+BB33+BB34+BB35+BB36+BB37+BB38+BB39+BB40+BB41+BB42+BB43+BB44+BB79</f>
        <v/>
      </c>
      <c r="BC45" s="13">
        <f>Construction!BC14*(Construction!BC32+Construction!BC38)+BC33+BC34+BC35+BC36+BC37+BC38+BC39+BC40+BC41+BC42+BC43+BC44+BC79</f>
        <v/>
      </c>
      <c r="BD45" s="13">
        <f>Construction!BD14*(Construction!BD32+Construction!BD38)+BD33+BD34+BD35+BD36+BD37+BD38+BD39+BD40+BD41+BD42+BD43+BD44+BD79</f>
        <v/>
      </c>
      <c r="BE45" s="13">
        <f>Construction!BE14*(Construction!BE32+Construction!BE38)+BE33+BE34+BE35+BE36+BE37+BE38+BE39+BE40+BE41+BE42+BE43+BE44+BE79</f>
        <v/>
      </c>
      <c r="BF45" s="13">
        <f>Construction!BF14*(Construction!BF32+Construction!BF38)+BF33+BF34+BF35+BF36+BF37+BF38+BF39+BF40+BF41+BF42+BF43+BF44+BF79</f>
        <v/>
      </c>
      <c r="BG45" s="13">
        <f>Construction!BG14*(Construction!BG32+Construction!BG38)+BG33+BG34+BG35+BG36+BG37+BG38+BG39+BG40+BG41+BG42+BG43+BG44+BG79</f>
        <v/>
      </c>
      <c r="BH45" s="13">
        <f>Construction!BH14*(Construction!BH32+Construction!BH38)+BH33+BH34+BH35+BH36+BH37+BH38+BH39+BH40+BH41+BH42+BH43+BH44+BH79</f>
        <v/>
      </c>
      <c r="BI45" s="13">
        <f>Construction!BI14*(Construction!BI32+Construction!BI38)+BI33+BI34+BI35+BI36+BI37+BI38+BI39+BI40+BI41+BI42+BI43+BI44+BI79</f>
        <v/>
      </c>
      <c r="BJ45" s="13">
        <f>Construction!BJ14*(Construction!BJ32+Construction!BJ38)+BJ33+BJ34+BJ35+BJ36+BJ37+BJ38+BJ39+BJ40+BJ41+BJ42+BJ43+BJ44+BJ79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MIN(($F$26*(J45-J44)+J44)/(1-Inputs!$F$94/100*Inputs!$F$75*$F$26),J46)</f>
        <v/>
      </c>
      <c r="K47" s="13">
        <f>MIN(($F$26*(K45-K44)+K44)/(1-Inputs!$F$94/100*Inputs!$F$75*$F$26),K46)</f>
        <v/>
      </c>
      <c r="L47" s="13">
        <f>MIN(($F$26*(L45-L44)+L44)/(1-Inputs!$F$94/100*Inputs!$F$75*$F$26),L46)</f>
        <v/>
      </c>
      <c r="M47" s="13">
        <f>MIN(($F$26*(M45-M44)+M44)/(1-Inputs!$F$94/100*Inputs!$F$75*$F$26),M46)</f>
        <v/>
      </c>
      <c r="N47" s="13">
        <f>MIN(($F$26*(N45-N44)+N44)/(1-Inputs!$F$94/100*Inputs!$F$75*$F$26),N46)</f>
        <v/>
      </c>
      <c r="O47" s="13">
        <f>MIN(($F$26*(O45-O44)+O44)/(1-Inputs!$F$94/100*Inputs!$F$75*$F$26),O46)</f>
        <v/>
      </c>
      <c r="P47" s="13">
        <f>MIN(($F$26*(P45-P44)+P44)/(1-Inputs!$F$94/100*Inputs!$F$75*$F$26),P46)</f>
        <v/>
      </c>
      <c r="Q47" s="13">
        <f>MIN(($F$26*(Q45-Q44)+Q44)/(1-Inputs!$F$94/100*Inputs!$F$75*$F$26),Q46)</f>
        <v/>
      </c>
      <c r="R47" s="13">
        <f>MIN(($F$26*(R45-R44)+R44)/(1-Inputs!$F$94/100*Inputs!$F$75*$F$26),R46)</f>
        <v/>
      </c>
      <c r="S47" s="13">
        <f>MIN(($F$26*(S45-S44)+S44)/(1-Inputs!$F$94/100*Inputs!$F$75*$F$26),S46)</f>
        <v/>
      </c>
      <c r="T47" s="13">
        <f>MIN(($F$26*(T45-T44)+T44)/(1-Inputs!$F$94/100*Inputs!$F$75*$F$26),T46)</f>
        <v/>
      </c>
      <c r="U47" s="13">
        <f>MIN(($F$26*(U45-U44)+U44)/(1-Inputs!$F$94/100*Inputs!$F$75*$F$26),U46)</f>
        <v/>
      </c>
      <c r="V47" s="13">
        <f>MIN(($F$26*(V45-V44)+V44)/(1-Inputs!$F$94/100*Inputs!$F$75*$F$26),V46)</f>
        <v/>
      </c>
      <c r="W47" s="13">
        <f>MIN(($F$26*(W45-W44)+W44)/(1-Inputs!$F$94/100*Inputs!$F$75*$F$26),W46)</f>
        <v/>
      </c>
      <c r="X47" s="13">
        <f>MIN(($F$26*(X45-X44)+X44)/(1-Inputs!$F$94/100*Inputs!$F$75*$F$26),X46)</f>
        <v/>
      </c>
      <c r="Y47" s="13">
        <f>MIN(($F$26*(Y45-Y44)+Y44)/(1-Inputs!$F$94/100*Inputs!$F$75*$F$26),Y46)</f>
        <v/>
      </c>
      <c r="Z47" s="13">
        <f>MIN(($F$26*(Z45-Z44)+Z44)/(1-Inputs!$F$94/100*Inputs!$F$75*$F$26),Z46)</f>
        <v/>
      </c>
      <c r="AA47" s="13">
        <f>MIN(($F$26*(AA45-AA44)+AA44)/(1-Inputs!$F$94/100*Inputs!$F$75*$F$26),AA46)</f>
        <v/>
      </c>
      <c r="AB47" s="13">
        <f>MIN(($F$26*(AB45-AB44)+AB44)/(1-Inputs!$F$94/100*Inputs!$F$75*$F$26),AB46)</f>
        <v/>
      </c>
      <c r="AC47" s="13">
        <f>MIN(($F$26*(AC45-AC44)+AC44)/(1-Inputs!$F$94/100*Inputs!$F$75*$F$26),AC46)</f>
        <v/>
      </c>
      <c r="AD47" s="13">
        <f>MIN(($F$26*(AD45-AD44)+AD44)/(1-Inputs!$F$94/100*Inputs!$F$75*$F$26),AD46)</f>
        <v/>
      </c>
      <c r="AE47" s="13">
        <f>MIN(($F$26*(AE45-AE44)+AE44)/(1-Inputs!$F$94/100*Inputs!$F$75*$F$26),AE46)</f>
        <v/>
      </c>
      <c r="AF47" s="13">
        <f>MIN(($F$26*(AF45-AF44)+AF44)/(1-Inputs!$F$94/100*Inputs!$F$75*$F$26),AF46)</f>
        <v/>
      </c>
      <c r="AG47" s="13">
        <f>MIN(($F$26*(AG45-AG44)+AG44)/(1-Inputs!$F$94/100*Inputs!$F$75*$F$26),AG46)</f>
        <v/>
      </c>
      <c r="AH47" s="13">
        <f>MIN(($F$26*(AH45-AH44)+AH44)/(1-Inputs!$F$94/100*Inputs!$F$75*$F$26),AH46)</f>
        <v/>
      </c>
      <c r="AI47" s="13">
        <f>MIN(($F$26*(AI45-AI44)+AI44)/(1-Inputs!$F$94/100*Inputs!$F$75*$F$26),AI46)</f>
        <v/>
      </c>
      <c r="AJ47" s="13">
        <f>MIN(($F$26*(AJ45-AJ44)+AJ44)/(1-Inputs!$F$94/100*Inputs!$F$75*$F$26),AJ46)</f>
        <v/>
      </c>
      <c r="AK47" s="13">
        <f>MIN(($F$26*(AK45-AK44)+AK44)/(1-Inputs!$F$94/100*Inputs!$F$75*$F$26),AK46)</f>
        <v/>
      </c>
      <c r="AL47" s="13">
        <f>MIN(($F$26*(AL45-AL44)+AL44)/(1-Inputs!$F$94/100*Inputs!$F$75*$F$26),AL46)</f>
        <v/>
      </c>
      <c r="AM47" s="13">
        <f>MIN(($F$26*(AM45-AM44)+AM44)/(1-Inputs!$F$94/100*Inputs!$F$75*$F$26),AM46)</f>
        <v/>
      </c>
      <c r="AN47" s="13">
        <f>MIN(($F$26*(AN45-AN44)+AN44)/(1-Inputs!$F$94/100*Inputs!$F$75*$F$26),AN46)</f>
        <v/>
      </c>
      <c r="AO47" s="13">
        <f>MIN(($F$26*(AO45-AO44)+AO44)/(1-Inputs!$F$94/100*Inputs!$F$75*$F$26),AO46)</f>
        <v/>
      </c>
      <c r="AP47" s="13">
        <f>MIN(($F$26*(AP45-AP44)+AP44)/(1-Inputs!$F$94/100*Inputs!$F$75*$F$26),AP46)</f>
        <v/>
      </c>
      <c r="AQ47" s="13">
        <f>MIN(($F$26*(AQ45-AQ44)+AQ44)/(1-Inputs!$F$94/100*Inputs!$F$75*$F$26),AQ46)</f>
        <v/>
      </c>
      <c r="AR47" s="13">
        <f>MIN(($F$26*(AR45-AR44)+AR44)/(1-Inputs!$F$94/100*Inputs!$F$75*$F$26),AR46)</f>
        <v/>
      </c>
      <c r="AS47" s="13">
        <f>MIN(($F$26*(AS45-AS44)+AS44)/(1-Inputs!$F$94/100*Inputs!$F$75*$F$26),AS46)</f>
        <v/>
      </c>
      <c r="AT47" s="13">
        <f>MIN(($F$26*(AT45-AT44)+AT44)/(1-Inputs!$F$94/100*Inputs!$F$75*$F$26),AT46)</f>
        <v/>
      </c>
      <c r="AU47" s="13">
        <f>MIN(($F$26*(AU45-AU44)+AU44)/(1-Inputs!$F$94/100*Inputs!$F$75*$F$26),AU46)</f>
        <v/>
      </c>
      <c r="AV47" s="13">
        <f>MIN(($F$26*(AV45-AV44)+AV44)/(1-Inputs!$F$94/100*Inputs!$F$75*$F$26),AV46)</f>
        <v/>
      </c>
      <c r="AW47" s="13">
        <f>MIN(($F$26*(AW45-AW44)+AW44)/(1-Inputs!$F$94/100*Inputs!$F$75*$F$26),AW46)</f>
        <v/>
      </c>
      <c r="AX47" s="13">
        <f>MIN(($F$26*(AX45-AX44)+AX44)/(1-Inputs!$F$94/100*Inputs!$F$75*$F$26),AX46)</f>
        <v/>
      </c>
      <c r="AY47" s="13">
        <f>MIN(($F$26*(AY45-AY44)+AY44)/(1-Inputs!$F$94/100*Inputs!$F$75*$F$26),AY46)</f>
        <v/>
      </c>
      <c r="AZ47" s="13">
        <f>MIN(($F$26*(AZ45-AZ44)+AZ44)/(1-Inputs!$F$94/100*Inputs!$F$75*$F$26),AZ46)</f>
        <v/>
      </c>
      <c r="BA47" s="13">
        <f>MIN(($F$26*(BA45-BA44)+BA44)/(1-Inputs!$F$94/100*Inputs!$F$75*$F$26),BA46)</f>
        <v/>
      </c>
      <c r="BB47" s="13">
        <f>MIN(($F$26*(BB45-BB44)+BB44)/(1-Inputs!$F$94/100*Inputs!$F$75*$F$26),BB46)</f>
        <v/>
      </c>
      <c r="BC47" s="13">
        <f>MIN(($F$26*(BC45-BC44)+BC44)/(1-Inputs!$F$94/100*Inputs!$F$75*$F$26),BC46)</f>
        <v/>
      </c>
      <c r="BD47" s="13">
        <f>MIN(($F$26*(BD45-BD44)+BD44)/(1-Inputs!$F$94/100*Inputs!$F$75*$F$26),BD46)</f>
        <v/>
      </c>
      <c r="BE47" s="13">
        <f>MIN(($F$26*(BE45-BE44)+BE44)/(1-Inputs!$F$94/100*Inputs!$F$75*$F$26),BE46)</f>
        <v/>
      </c>
      <c r="BF47" s="13">
        <f>MIN(($F$26*(BF45-BF44)+BF44)/(1-Inputs!$F$94/100*Inputs!$F$75*$F$26),BF46)</f>
        <v/>
      </c>
      <c r="BG47" s="13">
        <f>MIN(($F$26*(BG45-BG44)+BG44)/(1-Inputs!$F$94/100*Inputs!$F$75*$F$26),BG46)</f>
        <v/>
      </c>
      <c r="BH47" s="13">
        <f>MIN(($F$26*(BH45-BH44)+BH44)/(1-Inputs!$F$94/100*Inputs!$F$75*$F$26),BH46)</f>
        <v/>
      </c>
      <c r="BI47" s="13">
        <f>MIN(($F$26*(BI45-BI44)+BI44)/(1-Inputs!$F$94/100*Inputs!$F$75*$F$26),BI46)</f>
        <v/>
      </c>
      <c r="BJ47" s="13">
        <f>MIN(($F$26*(BJ45-BJ44)+BJ44)/(1-Inputs!$F$94/100*Inputs!$F$75*$F$26),BJ46)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J49</f>
        <v/>
      </c>
      <c r="K50" s="13">
        <f>K49</f>
        <v/>
      </c>
      <c r="L50" s="13">
        <f>L49</f>
        <v/>
      </c>
      <c r="M50" s="13">
        <f>M49</f>
        <v/>
      </c>
      <c r="N50" s="13">
        <f>N49</f>
        <v/>
      </c>
      <c r="O50" s="13">
        <f>O49</f>
        <v/>
      </c>
      <c r="P50" s="13">
        <f>P49</f>
        <v/>
      </c>
      <c r="Q50" s="13">
        <f>Q49</f>
        <v/>
      </c>
      <c r="R50" s="13">
        <f>R49</f>
        <v/>
      </c>
      <c r="S50" s="13">
        <f>S49</f>
        <v/>
      </c>
      <c r="T50" s="13">
        <f>T49</f>
        <v/>
      </c>
      <c r="U50" s="13">
        <f>U49</f>
        <v/>
      </c>
      <c r="V50" s="13">
        <f>V49</f>
        <v/>
      </c>
      <c r="W50" s="13">
        <f>W49</f>
        <v/>
      </c>
      <c r="X50" s="13">
        <f>X49</f>
        <v/>
      </c>
      <c r="Y50" s="13">
        <f>Y49</f>
        <v/>
      </c>
      <c r="Z50" s="13">
        <f>Z49</f>
        <v/>
      </c>
      <c r="AA50" s="13">
        <f>AA49</f>
        <v/>
      </c>
      <c r="AB50" s="13">
        <f>AB49</f>
        <v/>
      </c>
      <c r="AC50" s="13">
        <f>AC49</f>
        <v/>
      </c>
      <c r="AD50" s="13">
        <f>AD49</f>
        <v/>
      </c>
      <c r="AE50" s="13">
        <f>AE49</f>
        <v/>
      </c>
      <c r="AF50" s="13">
        <f>AF49</f>
        <v/>
      </c>
      <c r="AG50" s="13">
        <f>AG49</f>
        <v/>
      </c>
      <c r="AH50" s="13">
        <f>AH49</f>
        <v/>
      </c>
      <c r="AI50" s="13">
        <f>AI49</f>
        <v/>
      </c>
      <c r="AJ50" s="13">
        <f>AJ49</f>
        <v/>
      </c>
      <c r="AK50" s="13">
        <f>AK49</f>
        <v/>
      </c>
      <c r="AL50" s="13">
        <f>AL49</f>
        <v/>
      </c>
      <c r="AM50" s="13">
        <f>AM49</f>
        <v/>
      </c>
      <c r="AN50" s="13">
        <f>AN49</f>
        <v/>
      </c>
      <c r="AO50" s="13">
        <f>AO49</f>
        <v/>
      </c>
      <c r="AP50" s="13">
        <f>AP49</f>
        <v/>
      </c>
      <c r="AQ50" s="13">
        <f>AQ49</f>
        <v/>
      </c>
      <c r="AR50" s="13">
        <f>AR49</f>
        <v/>
      </c>
      <c r="AS50" s="13">
        <f>AS49</f>
        <v/>
      </c>
      <c r="AT50" s="13">
        <f>AT49</f>
        <v/>
      </c>
      <c r="AU50" s="13">
        <f>AU49</f>
        <v/>
      </c>
      <c r="AV50" s="13">
        <f>AV49</f>
        <v/>
      </c>
      <c r="AW50" s="13">
        <f>AW49</f>
        <v/>
      </c>
      <c r="AX50" s="13">
        <f>AX49</f>
        <v/>
      </c>
      <c r="AY50" s="13">
        <f>AY49</f>
        <v/>
      </c>
      <c r="AZ50" s="13">
        <f>AZ49</f>
        <v/>
      </c>
      <c r="BA50" s="13">
        <f>BA49</f>
        <v/>
      </c>
      <c r="BB50" s="13">
        <f>BB49</f>
        <v/>
      </c>
      <c r="BC50" s="13">
        <f>BC49</f>
        <v/>
      </c>
      <c r="BD50" s="13">
        <f>BD49</f>
        <v/>
      </c>
      <c r="BE50" s="13">
        <f>BE49</f>
        <v/>
      </c>
      <c r="BF50" s="13">
        <f>BF49</f>
        <v/>
      </c>
      <c r="BG50" s="13">
        <f>BG49</f>
        <v/>
      </c>
      <c r="BH50" s="13">
        <f>BH49</f>
        <v/>
      </c>
      <c r="BI50" s="13">
        <f>BI49</f>
        <v/>
      </c>
      <c r="BJ50" s="13">
        <f>BJ49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SUM($J$49:$BJ$49)-SUM($J$44:$BJ$44)-SUM(Construction!$J$28:$BJ$28)-SUM($J$79:$BJ$79)+SUM($J$71:$BJ$71)-SUM($J$52:$BJ$52)-Inputs!$F$48*Inputs!$F$267</f>
        <v/>
      </c>
    </row>
    <row r="78">
      <c r="D78" t="inlineStr">
        <is>
          <t>COD-period operating cash shortfall before tax (working capital built in the COD period)</t>
        </is>
      </c>
      <c r="E78" t="inlineStr">
        <is>
          <t>USD m</t>
        </is>
      </c>
      <c r="F78" s="17">
        <f>MAX(0,-(INDEX(Operations!$J$84:$BN$84,1,Time!$F$12)-INDEX(Operations!$J$96:$BN$96,1,Time!$F$12)+INDEX(Operations!$J$97:$BN$97,1,Time!$F$12)-INDEX(Reserves!$J$7:$BN$7,1,Time!$F$12)+INDEX(Operations!$J$79:$BN$79,1,Time!$F$12)))</f>
        <v/>
      </c>
    </row>
    <row r="79">
      <c r="D79" t="inlineStr">
        <is>
          <t>COD working-capital funding (a use in the last funding month; held in the project accounts to COD)</t>
        </is>
      </c>
      <c r="E79" t="inlineStr">
        <is>
          <t>USD m</t>
        </is>
      </c>
      <c r="G79" s="13">
        <f>SUM(J79:BJ79)</f>
        <v/>
      </c>
      <c r="J79" s="13">
        <f>IF(Construction!J8=Time!$F$14,$F$78,0)</f>
        <v/>
      </c>
      <c r="K79" s="13">
        <f>IF(Construction!K8=Time!$F$14,$F$78,0)</f>
        <v/>
      </c>
      <c r="L79" s="13">
        <f>IF(Construction!L8=Time!$F$14,$F$78,0)</f>
        <v/>
      </c>
      <c r="M79" s="13">
        <f>IF(Construction!M8=Time!$F$14,$F$78,0)</f>
        <v/>
      </c>
      <c r="N79" s="13">
        <f>IF(Construction!N8=Time!$F$14,$F$78,0)</f>
        <v/>
      </c>
      <c r="O79" s="13">
        <f>IF(Construction!O8=Time!$F$14,$F$78,0)</f>
        <v/>
      </c>
      <c r="P79" s="13">
        <f>IF(Construction!P8=Time!$F$14,$F$78,0)</f>
        <v/>
      </c>
      <c r="Q79" s="13">
        <f>IF(Construction!Q8=Time!$F$14,$F$78,0)</f>
        <v/>
      </c>
      <c r="R79" s="13">
        <f>IF(Construction!R8=Time!$F$14,$F$78,0)</f>
        <v/>
      </c>
      <c r="S79" s="13">
        <f>IF(Construction!S8=Time!$F$14,$F$78,0)</f>
        <v/>
      </c>
      <c r="T79" s="13">
        <f>IF(Construction!T8=Time!$F$14,$F$78,0)</f>
        <v/>
      </c>
      <c r="U79" s="13">
        <f>IF(Construction!U8=Time!$F$14,$F$78,0)</f>
        <v/>
      </c>
      <c r="V79" s="13">
        <f>IF(Construction!V8=Time!$F$14,$F$78,0)</f>
        <v/>
      </c>
      <c r="W79" s="13">
        <f>IF(Construction!W8=Time!$F$14,$F$78,0)</f>
        <v/>
      </c>
      <c r="X79" s="13">
        <f>IF(Construction!X8=Time!$F$14,$F$78,0)</f>
        <v/>
      </c>
      <c r="Y79" s="13">
        <f>IF(Construction!Y8=Time!$F$14,$F$78,0)</f>
        <v/>
      </c>
      <c r="Z79" s="13">
        <f>IF(Construction!Z8=Time!$F$14,$F$78,0)</f>
        <v/>
      </c>
      <c r="AA79" s="13">
        <f>IF(Construction!AA8=Time!$F$14,$F$78,0)</f>
        <v/>
      </c>
      <c r="AB79" s="13">
        <f>IF(Construction!AB8=Time!$F$14,$F$78,0)</f>
        <v/>
      </c>
      <c r="AC79" s="13">
        <f>IF(Construction!AC8=Time!$F$14,$F$78,0)</f>
        <v/>
      </c>
      <c r="AD79" s="13">
        <f>IF(Construction!AD8=Time!$F$14,$F$78,0)</f>
        <v/>
      </c>
      <c r="AE79" s="13">
        <f>IF(Construction!AE8=Time!$F$14,$F$78,0)</f>
        <v/>
      </c>
      <c r="AF79" s="13">
        <f>IF(Construction!AF8=Time!$F$14,$F$78,0)</f>
        <v/>
      </c>
      <c r="AG79" s="13">
        <f>IF(Construction!AG8=Time!$F$14,$F$78,0)</f>
        <v/>
      </c>
      <c r="AH79" s="13">
        <f>IF(Construction!AH8=Time!$F$14,$F$78,0)</f>
        <v/>
      </c>
      <c r="AI79" s="13">
        <f>IF(Construction!AI8=Time!$F$14,$F$78,0)</f>
        <v/>
      </c>
      <c r="AJ79" s="13">
        <f>IF(Construction!AJ8=Time!$F$14,$F$78,0)</f>
        <v/>
      </c>
      <c r="AK79" s="13">
        <f>IF(Construction!AK8=Time!$F$14,$F$78,0)</f>
        <v/>
      </c>
      <c r="AL79" s="13">
        <f>IF(Construction!AL8=Time!$F$14,$F$78,0)</f>
        <v/>
      </c>
      <c r="AM79" s="13">
        <f>IF(Construction!AM8=Time!$F$14,$F$78,0)</f>
        <v/>
      </c>
      <c r="AN79" s="13">
        <f>IF(Construction!AN8=Time!$F$14,$F$78,0)</f>
        <v/>
      </c>
      <c r="AO79" s="13">
        <f>IF(Construction!AO8=Time!$F$14,$F$78,0)</f>
        <v/>
      </c>
      <c r="AP79" s="13">
        <f>IF(Construction!AP8=Time!$F$14,$F$78,0)</f>
        <v/>
      </c>
      <c r="AQ79" s="13">
        <f>IF(Construction!AQ8=Time!$F$14,$F$78,0)</f>
        <v/>
      </c>
      <c r="AR79" s="13">
        <f>IF(Construction!AR8=Time!$F$14,$F$78,0)</f>
        <v/>
      </c>
      <c r="AS79" s="13">
        <f>IF(Construction!AS8=Time!$F$14,$F$78,0)</f>
        <v/>
      </c>
      <c r="AT79" s="13">
        <f>IF(Construction!AT8=Time!$F$14,$F$78,0)</f>
        <v/>
      </c>
      <c r="AU79" s="13">
        <f>IF(Construction!AU8=Time!$F$14,$F$78,0)</f>
        <v/>
      </c>
      <c r="AV79" s="13">
        <f>IF(Construction!AV8=Time!$F$14,$F$78,0)</f>
        <v/>
      </c>
      <c r="AW79" s="13">
        <f>IF(Construction!AW8=Time!$F$14,$F$78,0)</f>
        <v/>
      </c>
      <c r="AX79" s="13">
        <f>IF(Construction!AX8=Time!$F$14,$F$78,0)</f>
        <v/>
      </c>
      <c r="AY79" s="13">
        <f>IF(Construction!AY8=Time!$F$14,$F$78,0)</f>
        <v/>
      </c>
      <c r="AZ79" s="13">
        <f>IF(Construction!AZ8=Time!$F$14,$F$78,0)</f>
        <v/>
      </c>
      <c r="BA79" s="13">
        <f>IF(Construction!BA8=Time!$F$14,$F$78,0)</f>
        <v/>
      </c>
      <c r="BB79" s="13">
        <f>IF(Construction!BB8=Time!$F$14,$F$78,0)</f>
        <v/>
      </c>
      <c r="BC79" s="13">
        <f>IF(Construction!BC8=Time!$F$14,$F$78,0)</f>
        <v/>
      </c>
      <c r="BD79" s="13">
        <f>IF(Construction!BD8=Time!$F$14,$F$78,0)</f>
        <v/>
      </c>
      <c r="BE79" s="13">
        <f>IF(Construction!BE8=Time!$F$14,$F$78,0)</f>
        <v/>
      </c>
      <c r="BF79" s="13">
        <f>IF(Construction!BF8=Time!$F$14,$F$78,0)</f>
        <v/>
      </c>
      <c r="BG79" s="13">
        <f>IF(Construction!BG8=Time!$F$14,$F$78,0)</f>
        <v/>
      </c>
      <c r="BH79" s="13">
        <f>IF(Construction!BH8=Time!$F$14,$F$78,0)</f>
        <v/>
      </c>
      <c r="BI79" s="13">
        <f>IF(Construction!BI8=Time!$F$14,$F$78,0)</f>
        <v/>
      </c>
      <c r="BJ79" s="13">
        <f>IF(Construction!BJ8=Time!$F$14,$F$78,0)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(Operations!J9+Inputs!$F$79+J9)/100*0.5</f>
        <v/>
      </c>
      <c r="K10" s="16">
        <f>(Operations!K9+Inputs!$F$79+K9)/100*0.5</f>
        <v/>
      </c>
      <c r="L10" s="16">
        <f>(Operations!L9+Inputs!$F$79+L9)/100*0.5</f>
        <v/>
      </c>
      <c r="M10" s="16">
        <f>(Operations!M9+Inputs!$F$79+M9)/100*0.5</f>
        <v/>
      </c>
      <c r="N10" s="16">
        <f>(Operations!N9+Inputs!$F$79+N9)/100*0.5</f>
        <v/>
      </c>
      <c r="O10" s="16">
        <f>(Operations!O9+Inputs!$F$79+O9)/100*0.5</f>
        <v/>
      </c>
      <c r="P10" s="16">
        <f>(Operations!P9+Inputs!$F$79+P9)/100*0.5</f>
        <v/>
      </c>
      <c r="Q10" s="16">
        <f>(Operations!Q9+Inputs!$F$79+Q9)/100*0.5</f>
        <v/>
      </c>
      <c r="R10" s="16">
        <f>(Operations!R9+Inputs!$F$79+R9)/100*0.5</f>
        <v/>
      </c>
      <c r="S10" s="16">
        <f>(Operations!S9+Inputs!$F$79+S9)/100*0.5</f>
        <v/>
      </c>
      <c r="T10" s="16">
        <f>(Operations!T9+Inputs!$F$79+T9)/100*0.5</f>
        <v/>
      </c>
      <c r="U10" s="16">
        <f>(Operations!U9+Inputs!$F$79+U9)/100*0.5</f>
        <v/>
      </c>
      <c r="V10" s="16">
        <f>(Operations!V9+Inputs!$F$79+V9)/100*0.5</f>
        <v/>
      </c>
      <c r="W10" s="16">
        <f>(Operations!W9+Inputs!$F$79+W9)/100*0.5</f>
        <v/>
      </c>
      <c r="X10" s="16">
        <f>(Operations!X9+Inputs!$F$79+X9)/100*0.5</f>
        <v/>
      </c>
      <c r="Y10" s="16">
        <f>(Operations!Y9+Inputs!$F$79+Y9)/100*0.5</f>
        <v/>
      </c>
      <c r="Z10" s="16">
        <f>(Operations!Z9+Inputs!$F$79+Z9)/100*0.5</f>
        <v/>
      </c>
      <c r="AA10" s="16">
        <f>(Operations!AA9+Inputs!$F$79+AA9)/100*0.5</f>
        <v/>
      </c>
      <c r="AB10" s="16">
        <f>(Operations!AB9+Inputs!$F$79+AB9)/100*0.5</f>
        <v/>
      </c>
      <c r="AC10" s="16">
        <f>(Operations!AC9+Inputs!$F$79+AC9)/100*0.5</f>
        <v/>
      </c>
      <c r="AD10" s="16">
        <f>(Operations!AD9+Inputs!$F$79+AD9)/100*0.5</f>
        <v/>
      </c>
      <c r="AE10" s="16">
        <f>(Operations!AE9+Inputs!$F$79+AE9)/100*0.5</f>
        <v/>
      </c>
      <c r="AF10" s="16">
        <f>(Operations!AF9+Inputs!$F$79+AF9)/100*0.5</f>
        <v/>
      </c>
      <c r="AG10" s="16">
        <f>(Operations!AG9+Inputs!$F$79+AG9)/100*0.5</f>
        <v/>
      </c>
      <c r="AH10" s="16">
        <f>(Operations!AH9+Inputs!$F$79+AH9)/100*0.5</f>
        <v/>
      </c>
      <c r="AI10" s="16">
        <f>(Operations!AI9+Inputs!$F$79+AI9)/100*0.5</f>
        <v/>
      </c>
      <c r="AJ10" s="16">
        <f>(Operations!AJ9+Inputs!$F$79+AJ9)/100*0.5</f>
        <v/>
      </c>
      <c r="AK10" s="16">
        <f>(Operations!AK9+Inputs!$F$79+AK9)/100*0.5</f>
        <v/>
      </c>
      <c r="AL10" s="16">
        <f>(Operations!AL9+Inputs!$F$79+AL9)/100*0.5</f>
        <v/>
      </c>
      <c r="AM10" s="16">
        <f>(Operations!AM9+Inputs!$F$79+AM9)/100*0.5</f>
        <v/>
      </c>
      <c r="AN10" s="16">
        <f>(Operations!AN9+Inputs!$F$79+AN9)/100*0.5</f>
        <v/>
      </c>
      <c r="AO10" s="16">
        <f>(Operations!AO9+Inputs!$F$79+AO9)/100*0.5</f>
        <v/>
      </c>
      <c r="AP10" s="16">
        <f>(Operations!AP9+Inputs!$F$79+AP9)/100*0.5</f>
        <v/>
      </c>
      <c r="AQ10" s="16">
        <f>(Operations!AQ9+Inputs!$F$79+AQ9)/100*0.5</f>
        <v/>
      </c>
      <c r="AR10" s="16">
        <f>(Operations!AR9+Inputs!$F$79+AR9)/100*0.5</f>
        <v/>
      </c>
      <c r="AS10" s="16">
        <f>(Operations!AS9+Inputs!$F$79+AS9)/100*0.5</f>
        <v/>
      </c>
      <c r="AT10" s="16">
        <f>(Operations!AT9+Inputs!$F$79+AT9)/100*0.5</f>
        <v/>
      </c>
      <c r="AU10" s="16">
        <f>(Operations!AU9+Inputs!$F$79+AU9)/100*0.5</f>
        <v/>
      </c>
      <c r="AV10" s="16">
        <f>(Operations!AV9+Inputs!$F$79+AV9)/100*0.5</f>
        <v/>
      </c>
      <c r="AW10" s="16">
        <f>(Operations!AW9+Inputs!$F$79+AW9)/100*0.5</f>
        <v/>
      </c>
      <c r="AX10" s="16">
        <f>(Operations!AX9+Inputs!$F$79+AX9)/100*0.5</f>
        <v/>
      </c>
      <c r="AY10" s="16">
        <f>(Operations!AY9+Inputs!$F$79+AY9)/100*0.5</f>
        <v/>
      </c>
      <c r="AZ10" s="16">
        <f>(Operations!AZ9+Inputs!$F$79+AZ9)/100*0.5</f>
        <v/>
      </c>
      <c r="BA10" s="16">
        <f>(Operations!BA9+Inputs!$F$79+BA9)/100*0.5</f>
        <v/>
      </c>
      <c r="BB10" s="16">
        <f>(Operations!BB9+Inputs!$F$79+BB9)/100*0.5</f>
        <v/>
      </c>
      <c r="BC10" s="16">
        <f>(Operations!BC9+Inputs!$F$79+BC9)/100*0.5</f>
        <v/>
      </c>
      <c r="BD10" s="16">
        <f>(Operations!BD9+Inputs!$F$79+BD9)/100*0.5</f>
        <v/>
      </c>
      <c r="BE10" s="16">
        <f>(Operations!BE9+Inputs!$F$79+BE9)/100*0.5</f>
        <v/>
      </c>
      <c r="BF10" s="16">
        <f>(Operations!BF9+Inputs!$F$79+BF9)/100*0.5</f>
        <v/>
      </c>
      <c r="BG10" s="16">
        <f>(Operations!BG9+Inputs!$F$79+BG9)/100*0.5</f>
        <v/>
      </c>
      <c r="BH10" s="16">
        <f>(Operations!BH9+Inputs!$F$79+BH9)/100*0.5</f>
        <v/>
      </c>
      <c r="BI10" s="16">
        <f>(Operations!BI9+Inputs!$F$79+BI9)/100*0.5</f>
        <v/>
      </c>
      <c r="BJ10" s="16">
        <f>(Operations!BJ9+Inputs!$F$79+BJ9)/100*0.5</f>
        <v/>
      </c>
      <c r="BK10" s="16">
        <f>(Operations!BK9+Inputs!$F$79+BK9)/100*0.5</f>
        <v/>
      </c>
      <c r="BL10" s="16">
        <f>(Operations!BL9+Inputs!$F$79+BL9)/100*0.5</f>
        <v/>
      </c>
      <c r="BM10" s="16">
        <f>(Operations!BM9+Inputs!$F$79+BM9)/100*0.5</f>
        <v/>
      </c>
      <c r="BN10" s="16">
        <f>(Operations!BN9+Inputs!$F$79+BN9)/100*0.5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(Operations!J9+Inputs!$F$80+J9)/100*0.5</f>
        <v/>
      </c>
      <c r="K11" s="16">
        <f>(Operations!K9+Inputs!$F$80+K9)/100*0.5</f>
        <v/>
      </c>
      <c r="L11" s="16">
        <f>(Operations!L9+Inputs!$F$80+L9)/100*0.5</f>
        <v/>
      </c>
      <c r="M11" s="16">
        <f>(Operations!M9+Inputs!$F$80+M9)/100*0.5</f>
        <v/>
      </c>
      <c r="N11" s="16">
        <f>(Operations!N9+Inputs!$F$80+N9)/100*0.5</f>
        <v/>
      </c>
      <c r="O11" s="16">
        <f>(Operations!O9+Inputs!$F$80+O9)/100*0.5</f>
        <v/>
      </c>
      <c r="P11" s="16">
        <f>(Operations!P9+Inputs!$F$80+P9)/100*0.5</f>
        <v/>
      </c>
      <c r="Q11" s="16">
        <f>(Operations!Q9+Inputs!$F$80+Q9)/100*0.5</f>
        <v/>
      </c>
      <c r="R11" s="16">
        <f>(Operations!R9+Inputs!$F$80+R9)/100*0.5</f>
        <v/>
      </c>
      <c r="S11" s="16">
        <f>(Operations!S9+Inputs!$F$80+S9)/100*0.5</f>
        <v/>
      </c>
      <c r="T11" s="16">
        <f>(Operations!T9+Inputs!$F$80+T9)/100*0.5</f>
        <v/>
      </c>
      <c r="U11" s="16">
        <f>(Operations!U9+Inputs!$F$80+U9)/100*0.5</f>
        <v/>
      </c>
      <c r="V11" s="16">
        <f>(Operations!V9+Inputs!$F$80+V9)/100*0.5</f>
        <v/>
      </c>
      <c r="W11" s="16">
        <f>(Operations!W9+Inputs!$F$80+W9)/100*0.5</f>
        <v/>
      </c>
      <c r="X11" s="16">
        <f>(Operations!X9+Inputs!$F$80+X9)/100*0.5</f>
        <v/>
      </c>
      <c r="Y11" s="16">
        <f>(Operations!Y9+Inputs!$F$80+Y9)/100*0.5</f>
        <v/>
      </c>
      <c r="Z11" s="16">
        <f>(Operations!Z9+Inputs!$F$80+Z9)/100*0.5</f>
        <v/>
      </c>
      <c r="AA11" s="16">
        <f>(Operations!AA9+Inputs!$F$80+AA9)/100*0.5</f>
        <v/>
      </c>
      <c r="AB11" s="16">
        <f>(Operations!AB9+Inputs!$F$80+AB9)/100*0.5</f>
        <v/>
      </c>
      <c r="AC11" s="16">
        <f>(Operations!AC9+Inputs!$F$80+AC9)/100*0.5</f>
        <v/>
      </c>
      <c r="AD11" s="16">
        <f>(Operations!AD9+Inputs!$F$80+AD9)/100*0.5</f>
        <v/>
      </c>
      <c r="AE11" s="16">
        <f>(Operations!AE9+Inputs!$F$80+AE9)/100*0.5</f>
        <v/>
      </c>
      <c r="AF11" s="16">
        <f>(Operations!AF9+Inputs!$F$80+AF9)/100*0.5</f>
        <v/>
      </c>
      <c r="AG11" s="16">
        <f>(Operations!AG9+Inputs!$F$80+AG9)/100*0.5</f>
        <v/>
      </c>
      <c r="AH11" s="16">
        <f>(Operations!AH9+Inputs!$F$80+AH9)/100*0.5</f>
        <v/>
      </c>
      <c r="AI11" s="16">
        <f>(Operations!AI9+Inputs!$F$80+AI9)/100*0.5</f>
        <v/>
      </c>
      <c r="AJ11" s="16">
        <f>(Operations!AJ9+Inputs!$F$80+AJ9)/100*0.5</f>
        <v/>
      </c>
      <c r="AK11" s="16">
        <f>(Operations!AK9+Inputs!$F$80+AK9)/100*0.5</f>
        <v/>
      </c>
      <c r="AL11" s="16">
        <f>(Operations!AL9+Inputs!$F$80+AL9)/100*0.5</f>
        <v/>
      </c>
      <c r="AM11" s="16">
        <f>(Operations!AM9+Inputs!$F$80+AM9)/100*0.5</f>
        <v/>
      </c>
      <c r="AN11" s="16">
        <f>(Operations!AN9+Inputs!$F$80+AN9)/100*0.5</f>
        <v/>
      </c>
      <c r="AO11" s="16">
        <f>(Operations!AO9+Inputs!$F$80+AO9)/100*0.5</f>
        <v/>
      </c>
      <c r="AP11" s="16">
        <f>(Operations!AP9+Inputs!$F$80+AP9)/100*0.5</f>
        <v/>
      </c>
      <c r="AQ11" s="16">
        <f>(Operations!AQ9+Inputs!$F$80+AQ9)/100*0.5</f>
        <v/>
      </c>
      <c r="AR11" s="16">
        <f>(Operations!AR9+Inputs!$F$80+AR9)/100*0.5</f>
        <v/>
      </c>
      <c r="AS11" s="16">
        <f>(Operations!AS9+Inputs!$F$80+AS9)/100*0.5</f>
        <v/>
      </c>
      <c r="AT11" s="16">
        <f>(Operations!AT9+Inputs!$F$80+AT9)/100*0.5</f>
        <v/>
      </c>
      <c r="AU11" s="16">
        <f>(Operations!AU9+Inputs!$F$80+AU9)/100*0.5</f>
        <v/>
      </c>
      <c r="AV11" s="16">
        <f>(Operations!AV9+Inputs!$F$80+AV9)/100*0.5</f>
        <v/>
      </c>
      <c r="AW11" s="16">
        <f>(Operations!AW9+Inputs!$F$80+AW9)/100*0.5</f>
        <v/>
      </c>
      <c r="AX11" s="16">
        <f>(Operations!AX9+Inputs!$F$80+AX9)/100*0.5</f>
        <v/>
      </c>
      <c r="AY11" s="16">
        <f>(Operations!AY9+Inputs!$F$80+AY9)/100*0.5</f>
        <v/>
      </c>
      <c r="AZ11" s="16">
        <f>(Operations!AZ9+Inputs!$F$80+AZ9)/100*0.5</f>
        <v/>
      </c>
      <c r="BA11" s="16">
        <f>(Operations!BA9+Inputs!$F$80+BA9)/100*0.5</f>
        <v/>
      </c>
      <c r="BB11" s="16">
        <f>(Operations!BB9+Inputs!$F$80+BB9)/100*0.5</f>
        <v/>
      </c>
      <c r="BC11" s="16">
        <f>(Operations!BC9+Inputs!$F$80+BC9)/100*0.5</f>
        <v/>
      </c>
      <c r="BD11" s="16">
        <f>(Operations!BD9+Inputs!$F$80+BD9)/100*0.5</f>
        <v/>
      </c>
      <c r="BE11" s="16">
        <f>(Operations!BE9+Inputs!$F$80+BE9)/100*0.5</f>
        <v/>
      </c>
      <c r="BF11" s="16">
        <f>(Operations!BF9+Inputs!$F$80+BF9)/100*0.5</f>
        <v/>
      </c>
      <c r="BG11" s="16">
        <f>(Operations!BG9+Inputs!$F$80+BG9)/100*0.5</f>
        <v/>
      </c>
      <c r="BH11" s="16">
        <f>(Operations!BH9+Inputs!$F$80+BH9)/100*0.5</f>
        <v/>
      </c>
      <c r="BI11" s="16">
        <f>(Operations!BI9+Inputs!$F$80+BI9)/100*0.5</f>
        <v/>
      </c>
      <c r="BJ11" s="16">
        <f>(Operations!BJ9+Inputs!$F$80+BJ9)/100*0.5</f>
        <v/>
      </c>
      <c r="BK11" s="16">
        <f>(Operations!BK9+Inputs!$F$80+BK9)/100*0.5</f>
        <v/>
      </c>
      <c r="BL11" s="16">
        <f>(Operations!BL9+Inputs!$F$80+BL9)/100*0.5</f>
        <v/>
      </c>
      <c r="BM11" s="16">
        <f>(Operations!BM9+Inputs!$F$80+BM9)/100*0.5</f>
        <v/>
      </c>
      <c r="BN11" s="16">
        <f>(Operations!BN9+Inputs!$F$80+BN9)/100*0.5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(Operations!J9+Inputs!$F$81+J9)/100*0.5</f>
        <v/>
      </c>
      <c r="K12" s="16">
        <f>(Operations!K9+Inputs!$F$81+K9)/100*0.5</f>
        <v/>
      </c>
      <c r="L12" s="16">
        <f>(Operations!L9+Inputs!$F$81+L9)/100*0.5</f>
        <v/>
      </c>
      <c r="M12" s="16">
        <f>(Operations!M9+Inputs!$F$81+M9)/100*0.5</f>
        <v/>
      </c>
      <c r="N12" s="16">
        <f>(Operations!N9+Inputs!$F$81+N9)/100*0.5</f>
        <v/>
      </c>
      <c r="O12" s="16">
        <f>(Operations!O9+Inputs!$F$81+O9)/100*0.5</f>
        <v/>
      </c>
      <c r="P12" s="16">
        <f>(Operations!P9+Inputs!$F$81+P9)/100*0.5</f>
        <v/>
      </c>
      <c r="Q12" s="16">
        <f>(Operations!Q9+Inputs!$F$81+Q9)/100*0.5</f>
        <v/>
      </c>
      <c r="R12" s="16">
        <f>(Operations!R9+Inputs!$F$81+R9)/100*0.5</f>
        <v/>
      </c>
      <c r="S12" s="16">
        <f>(Operations!S9+Inputs!$F$81+S9)/100*0.5</f>
        <v/>
      </c>
      <c r="T12" s="16">
        <f>(Operations!T9+Inputs!$F$81+T9)/100*0.5</f>
        <v/>
      </c>
      <c r="U12" s="16">
        <f>(Operations!U9+Inputs!$F$81+U9)/100*0.5</f>
        <v/>
      </c>
      <c r="V12" s="16">
        <f>(Operations!V9+Inputs!$F$81+V9)/100*0.5</f>
        <v/>
      </c>
      <c r="W12" s="16">
        <f>(Operations!W9+Inputs!$F$81+W9)/100*0.5</f>
        <v/>
      </c>
      <c r="X12" s="16">
        <f>(Operations!X9+Inputs!$F$81+X9)/100*0.5</f>
        <v/>
      </c>
      <c r="Y12" s="16">
        <f>(Operations!Y9+Inputs!$F$81+Y9)/100*0.5</f>
        <v/>
      </c>
      <c r="Z12" s="16">
        <f>(Operations!Z9+Inputs!$F$81+Z9)/100*0.5</f>
        <v/>
      </c>
      <c r="AA12" s="16">
        <f>(Operations!AA9+Inputs!$F$81+AA9)/100*0.5</f>
        <v/>
      </c>
      <c r="AB12" s="16">
        <f>(Operations!AB9+Inputs!$F$81+AB9)/100*0.5</f>
        <v/>
      </c>
      <c r="AC12" s="16">
        <f>(Operations!AC9+Inputs!$F$81+AC9)/100*0.5</f>
        <v/>
      </c>
      <c r="AD12" s="16">
        <f>(Operations!AD9+Inputs!$F$81+AD9)/100*0.5</f>
        <v/>
      </c>
      <c r="AE12" s="16">
        <f>(Operations!AE9+Inputs!$F$81+AE9)/100*0.5</f>
        <v/>
      </c>
      <c r="AF12" s="16">
        <f>(Operations!AF9+Inputs!$F$81+AF9)/100*0.5</f>
        <v/>
      </c>
      <c r="AG12" s="16">
        <f>(Operations!AG9+Inputs!$F$81+AG9)/100*0.5</f>
        <v/>
      </c>
      <c r="AH12" s="16">
        <f>(Operations!AH9+Inputs!$F$81+AH9)/100*0.5</f>
        <v/>
      </c>
      <c r="AI12" s="16">
        <f>(Operations!AI9+Inputs!$F$81+AI9)/100*0.5</f>
        <v/>
      </c>
      <c r="AJ12" s="16">
        <f>(Operations!AJ9+Inputs!$F$81+AJ9)/100*0.5</f>
        <v/>
      </c>
      <c r="AK12" s="16">
        <f>(Operations!AK9+Inputs!$F$81+AK9)/100*0.5</f>
        <v/>
      </c>
      <c r="AL12" s="16">
        <f>(Operations!AL9+Inputs!$F$81+AL9)/100*0.5</f>
        <v/>
      </c>
      <c r="AM12" s="16">
        <f>(Operations!AM9+Inputs!$F$81+AM9)/100*0.5</f>
        <v/>
      </c>
      <c r="AN12" s="16">
        <f>(Operations!AN9+Inputs!$F$81+AN9)/100*0.5</f>
        <v/>
      </c>
      <c r="AO12" s="16">
        <f>(Operations!AO9+Inputs!$F$81+AO9)/100*0.5</f>
        <v/>
      </c>
      <c r="AP12" s="16">
        <f>(Operations!AP9+Inputs!$F$81+AP9)/100*0.5</f>
        <v/>
      </c>
      <c r="AQ12" s="16">
        <f>(Operations!AQ9+Inputs!$F$81+AQ9)/100*0.5</f>
        <v/>
      </c>
      <c r="AR12" s="16">
        <f>(Operations!AR9+Inputs!$F$81+AR9)/100*0.5</f>
        <v/>
      </c>
      <c r="AS12" s="16">
        <f>(Operations!AS9+Inputs!$F$81+AS9)/100*0.5</f>
        <v/>
      </c>
      <c r="AT12" s="16">
        <f>(Operations!AT9+Inputs!$F$81+AT9)/100*0.5</f>
        <v/>
      </c>
      <c r="AU12" s="16">
        <f>(Operations!AU9+Inputs!$F$81+AU9)/100*0.5</f>
        <v/>
      </c>
      <c r="AV12" s="16">
        <f>(Operations!AV9+Inputs!$F$81+AV9)/100*0.5</f>
        <v/>
      </c>
      <c r="AW12" s="16">
        <f>(Operations!AW9+Inputs!$F$81+AW9)/100*0.5</f>
        <v/>
      </c>
      <c r="AX12" s="16">
        <f>(Operations!AX9+Inputs!$F$81+AX9)/100*0.5</f>
        <v/>
      </c>
      <c r="AY12" s="16">
        <f>(Operations!AY9+Inputs!$F$81+AY9)/100*0.5</f>
        <v/>
      </c>
      <c r="AZ12" s="16">
        <f>(Operations!AZ9+Inputs!$F$81+AZ9)/100*0.5</f>
        <v/>
      </c>
      <c r="BA12" s="16">
        <f>(Operations!BA9+Inputs!$F$81+BA9)/100*0.5</f>
        <v/>
      </c>
      <c r="BB12" s="16">
        <f>(Operations!BB9+Inputs!$F$81+BB9)/100*0.5</f>
        <v/>
      </c>
      <c r="BC12" s="16">
        <f>(Operations!BC9+Inputs!$F$81+BC9)/100*0.5</f>
        <v/>
      </c>
      <c r="BD12" s="16">
        <f>(Operations!BD9+Inputs!$F$81+BD9)/100*0.5</f>
        <v/>
      </c>
      <c r="BE12" s="16">
        <f>(Operations!BE9+Inputs!$F$81+BE9)/100*0.5</f>
        <v/>
      </c>
      <c r="BF12" s="16">
        <f>(Operations!BF9+Inputs!$F$81+BF9)/100*0.5</f>
        <v/>
      </c>
      <c r="BG12" s="16">
        <f>(Operations!BG9+Inputs!$F$81+BG9)/100*0.5</f>
        <v/>
      </c>
      <c r="BH12" s="16">
        <f>(Operations!BH9+Inputs!$F$81+BH9)/100*0.5</f>
        <v/>
      </c>
      <c r="BI12" s="16">
        <f>(Operations!BI9+Inputs!$F$81+BI9)/100*0.5</f>
        <v/>
      </c>
      <c r="BJ12" s="16">
        <f>(Operations!BJ9+Inputs!$F$81+BJ9)/100*0.5</f>
        <v/>
      </c>
      <c r="BK12" s="16">
        <f>(Operations!BK9+Inputs!$F$81+BK9)/100*0.5</f>
        <v/>
      </c>
      <c r="BL12" s="16">
        <f>(Operations!BL9+Inputs!$F$81+BL9)/100*0.5</f>
        <v/>
      </c>
      <c r="BM12" s="16">
        <f>(Operations!BM9+Inputs!$F$81+BM9)/100*0.5</f>
        <v/>
      </c>
      <c r="BN12" s="16">
        <f>(Operations!BN9+Inputs!$F$81+BN9)/100*0.5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(Operations!J9+J8+J9)/100*0.5/(1-Inputs!$F$93/100)</f>
        <v/>
      </c>
      <c r="K13" s="16">
        <f>(Operations!K9+K8+K9)/100*0.5/(1-Inputs!$F$93/100)</f>
        <v/>
      </c>
      <c r="L13" s="16">
        <f>(Operations!L9+L8+L9)/100*0.5/(1-Inputs!$F$93/100)</f>
        <v/>
      </c>
      <c r="M13" s="16">
        <f>(Operations!M9+M8+M9)/100*0.5/(1-Inputs!$F$93/100)</f>
        <v/>
      </c>
      <c r="N13" s="16">
        <f>(Operations!N9+N8+N9)/100*0.5/(1-Inputs!$F$93/100)</f>
        <v/>
      </c>
      <c r="O13" s="16">
        <f>(Operations!O9+O8+O9)/100*0.5/(1-Inputs!$F$93/100)</f>
        <v/>
      </c>
      <c r="P13" s="16">
        <f>(Operations!P9+P8+P9)/100*0.5/(1-Inputs!$F$93/100)</f>
        <v/>
      </c>
      <c r="Q13" s="16">
        <f>(Operations!Q9+Q8+Q9)/100*0.5/(1-Inputs!$F$93/100)</f>
        <v/>
      </c>
      <c r="R13" s="16">
        <f>(Operations!R9+R8+R9)/100*0.5/(1-Inputs!$F$93/100)</f>
        <v/>
      </c>
      <c r="S13" s="16">
        <f>(Operations!S9+S8+S9)/100*0.5/(1-Inputs!$F$93/100)</f>
        <v/>
      </c>
      <c r="T13" s="16">
        <f>(Operations!T9+T8+T9)/100*0.5/(1-Inputs!$F$93/100)</f>
        <v/>
      </c>
      <c r="U13" s="16">
        <f>(Operations!U9+U8+U9)/100*0.5/(1-Inputs!$F$93/100)</f>
        <v/>
      </c>
      <c r="V13" s="16">
        <f>(Operations!V9+V8+V9)/100*0.5/(1-Inputs!$F$93/100)</f>
        <v/>
      </c>
      <c r="W13" s="16">
        <f>(Operations!W9+W8+W9)/100*0.5/(1-Inputs!$F$93/100)</f>
        <v/>
      </c>
      <c r="X13" s="16">
        <f>(Operations!X9+X8+X9)/100*0.5/(1-Inputs!$F$93/100)</f>
        <v/>
      </c>
      <c r="Y13" s="16">
        <f>(Operations!Y9+Y8+Y9)/100*0.5/(1-Inputs!$F$93/100)</f>
        <v/>
      </c>
      <c r="Z13" s="16">
        <f>(Operations!Z9+Z8+Z9)/100*0.5/(1-Inputs!$F$93/100)</f>
        <v/>
      </c>
      <c r="AA13" s="16">
        <f>(Operations!AA9+AA8+AA9)/100*0.5/(1-Inputs!$F$93/100)</f>
        <v/>
      </c>
      <c r="AB13" s="16">
        <f>(Operations!AB9+AB8+AB9)/100*0.5/(1-Inputs!$F$93/100)</f>
        <v/>
      </c>
      <c r="AC13" s="16">
        <f>(Operations!AC9+AC8+AC9)/100*0.5/(1-Inputs!$F$93/100)</f>
        <v/>
      </c>
      <c r="AD13" s="16">
        <f>(Operations!AD9+AD8+AD9)/100*0.5/(1-Inputs!$F$93/100)</f>
        <v/>
      </c>
      <c r="AE13" s="16">
        <f>(Operations!AE9+AE8+AE9)/100*0.5/(1-Inputs!$F$93/100)</f>
        <v/>
      </c>
      <c r="AF13" s="16">
        <f>(Operations!AF9+AF8+AF9)/100*0.5/(1-Inputs!$F$93/100)</f>
        <v/>
      </c>
      <c r="AG13" s="16">
        <f>(Operations!AG9+AG8+AG9)/100*0.5/(1-Inputs!$F$93/100)</f>
        <v/>
      </c>
      <c r="AH13" s="16">
        <f>(Operations!AH9+AH8+AH9)/100*0.5/(1-Inputs!$F$93/100)</f>
        <v/>
      </c>
      <c r="AI13" s="16">
        <f>(Operations!AI9+AI8+AI9)/100*0.5/(1-Inputs!$F$93/100)</f>
        <v/>
      </c>
      <c r="AJ13" s="16">
        <f>(Operations!AJ9+AJ8+AJ9)/100*0.5/(1-Inputs!$F$93/100)</f>
        <v/>
      </c>
      <c r="AK13" s="16">
        <f>(Operations!AK9+AK8+AK9)/100*0.5/(1-Inputs!$F$93/100)</f>
        <v/>
      </c>
      <c r="AL13" s="16">
        <f>(Operations!AL9+AL8+AL9)/100*0.5/(1-Inputs!$F$93/100)</f>
        <v/>
      </c>
      <c r="AM13" s="16">
        <f>(Operations!AM9+AM8+AM9)/100*0.5/(1-Inputs!$F$93/100)</f>
        <v/>
      </c>
      <c r="AN13" s="16">
        <f>(Operations!AN9+AN8+AN9)/100*0.5/(1-Inputs!$F$93/100)</f>
        <v/>
      </c>
      <c r="AO13" s="16">
        <f>(Operations!AO9+AO8+AO9)/100*0.5/(1-Inputs!$F$93/100)</f>
        <v/>
      </c>
      <c r="AP13" s="16">
        <f>(Operations!AP9+AP8+AP9)/100*0.5/(1-Inputs!$F$93/100)</f>
        <v/>
      </c>
      <c r="AQ13" s="16">
        <f>(Operations!AQ9+AQ8+AQ9)/100*0.5/(1-Inputs!$F$93/100)</f>
        <v/>
      </c>
      <c r="AR13" s="16">
        <f>(Operations!AR9+AR8+AR9)/100*0.5/(1-Inputs!$F$93/100)</f>
        <v/>
      </c>
      <c r="AS13" s="16">
        <f>(Operations!AS9+AS8+AS9)/100*0.5/(1-Inputs!$F$93/100)</f>
        <v/>
      </c>
      <c r="AT13" s="16">
        <f>(Operations!AT9+AT8+AT9)/100*0.5/(1-Inputs!$F$93/100)</f>
        <v/>
      </c>
      <c r="AU13" s="16">
        <f>(Operations!AU9+AU8+AU9)/100*0.5/(1-Inputs!$F$93/100)</f>
        <v/>
      </c>
      <c r="AV13" s="16">
        <f>(Operations!AV9+AV8+AV9)/100*0.5/(1-Inputs!$F$93/100)</f>
        <v/>
      </c>
      <c r="AW13" s="16">
        <f>(Operations!AW9+AW8+AW9)/100*0.5/(1-Inputs!$F$93/100)</f>
        <v/>
      </c>
      <c r="AX13" s="16">
        <f>(Operations!AX9+AX8+AX9)/100*0.5/(1-Inputs!$F$93/100)</f>
        <v/>
      </c>
      <c r="AY13" s="16">
        <f>(Operations!AY9+AY8+AY9)/100*0.5/(1-Inputs!$F$93/100)</f>
        <v/>
      </c>
      <c r="AZ13" s="16">
        <f>(Operations!AZ9+AZ8+AZ9)/100*0.5/(1-Inputs!$F$93/100)</f>
        <v/>
      </c>
      <c r="BA13" s="16">
        <f>(Operations!BA9+BA8+BA9)/100*0.5/(1-Inputs!$F$93/100)</f>
        <v/>
      </c>
      <c r="BB13" s="16">
        <f>(Operations!BB9+BB8+BB9)/100*0.5/(1-Inputs!$F$93/100)</f>
        <v/>
      </c>
      <c r="BC13" s="16">
        <f>(Operations!BC9+BC8+BC9)/100*0.5/(1-Inputs!$F$93/100)</f>
        <v/>
      </c>
      <c r="BD13" s="16">
        <f>(Operations!BD9+BD8+BD9)/100*0.5/(1-Inputs!$F$93/100)</f>
        <v/>
      </c>
      <c r="BE13" s="16">
        <f>(Operations!BE9+BE8+BE9)/100*0.5/(1-Inputs!$F$93/100)</f>
        <v/>
      </c>
      <c r="BF13" s="16">
        <f>(Operations!BF9+BF8+BF9)/100*0.5/(1-Inputs!$F$93/100)</f>
        <v/>
      </c>
      <c r="BG13" s="16">
        <f>(Operations!BG9+BG8+BG9)/100*0.5/(1-Inputs!$F$93/100)</f>
        <v/>
      </c>
      <c r="BH13" s="16">
        <f>(Operations!BH9+BH8+BH9)/100*0.5/(1-Inputs!$F$93/100)</f>
        <v/>
      </c>
      <c r="BI13" s="16">
        <f>(Operations!BI9+BI8+BI9)/100*0.5/(1-Inputs!$F$93/100)</f>
        <v/>
      </c>
      <c r="BJ13" s="16">
        <f>(Operations!BJ9+BJ8+BJ9)/100*0.5/(1-Inputs!$F$93/100)</f>
        <v/>
      </c>
      <c r="BK13" s="16">
        <f>(Operations!BK9+BK8+BK9)/100*0.5/(1-Inputs!$F$93/100)</f>
        <v/>
      </c>
      <c r="BL13" s="16">
        <f>(Operations!BL9+BL8+BL9)/100*0.5/(1-Inputs!$F$93/100)</f>
        <v/>
      </c>
      <c r="BM13" s="16">
        <f>(Operations!BM9+BM8+BM9)/100*0.5/(1-Inputs!$F$93/100)</f>
        <v/>
      </c>
      <c r="BN13" s="16">
        <f>(Operations!BN9+BN8+BN9)/100*0.5/(1-Inputs!$F$93/100)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-1*Time!J35*Inputs!J301*J106*(Inputs!$F$97/100*Time!J24-Operations!J9/100*Time!J25/Inputs!$F$247)</f>
        <v/>
      </c>
      <c r="K107" s="13">
        <f>-1*Time!K35*Inputs!K301*K106*(Inputs!$F$97/100*Time!K24-Operations!K9/100*Time!K25/Inputs!$F$247)</f>
        <v/>
      </c>
      <c r="L107" s="13">
        <f>-1*Time!L35*Inputs!L301*L106*(Inputs!$F$97/100*Time!L24-Operations!L9/100*Time!L25/Inputs!$F$247)</f>
        <v/>
      </c>
      <c r="M107" s="13">
        <f>-1*Time!M35*Inputs!M301*M106*(Inputs!$F$97/100*Time!M24-Operations!M9/100*Time!M25/Inputs!$F$247)</f>
        <v/>
      </c>
      <c r="N107" s="13">
        <f>-1*Time!N35*Inputs!N301*N106*(Inputs!$F$97/100*Time!N24-Operations!N9/100*Time!N25/Inputs!$F$247)</f>
        <v/>
      </c>
      <c r="O107" s="13">
        <f>-1*Time!O35*Inputs!O301*O106*(Inputs!$F$97/100*Time!O24-Operations!O9/100*Time!O25/Inputs!$F$247)</f>
        <v/>
      </c>
      <c r="P107" s="13">
        <f>-1*Time!P35*Inputs!P301*P106*(Inputs!$F$97/100*Time!P24-Operations!P9/100*Time!P25/Inputs!$F$247)</f>
        <v/>
      </c>
      <c r="Q107" s="13">
        <f>-1*Time!Q35*Inputs!Q301*Q106*(Inputs!$F$97/100*Time!Q24-Operations!Q9/100*Time!Q25/Inputs!$F$247)</f>
        <v/>
      </c>
      <c r="R107" s="13">
        <f>-1*Time!R35*Inputs!R301*R106*(Inputs!$F$97/100*Time!R24-Operations!R9/100*Time!R25/Inputs!$F$247)</f>
        <v/>
      </c>
      <c r="S107" s="13">
        <f>-1*Time!S35*Inputs!S301*S106*(Inputs!$F$97/100*Time!S24-Operations!S9/100*Time!S25/Inputs!$F$247)</f>
        <v/>
      </c>
      <c r="T107" s="13">
        <f>-1*Time!T35*Inputs!T301*T106*(Inputs!$F$97/100*Time!T24-Operations!T9/100*Time!T25/Inputs!$F$247)</f>
        <v/>
      </c>
      <c r="U107" s="13">
        <f>-1*Time!U35*Inputs!U301*U106*(Inputs!$F$97/100*Time!U24-Operations!U9/100*Time!U25/Inputs!$F$247)</f>
        <v/>
      </c>
      <c r="V107" s="13">
        <f>-1*Time!V35*Inputs!V301*V106*(Inputs!$F$97/100*Time!V24-Operations!V9/100*Time!V25/Inputs!$F$247)</f>
        <v/>
      </c>
      <c r="W107" s="13">
        <f>-1*Time!W35*Inputs!W301*W106*(Inputs!$F$97/100*Time!W24-Operations!W9/100*Time!W25/Inputs!$F$247)</f>
        <v/>
      </c>
      <c r="X107" s="13">
        <f>-1*Time!X35*Inputs!X301*X106*(Inputs!$F$97/100*Time!X24-Operations!X9/100*Time!X25/Inputs!$F$247)</f>
        <v/>
      </c>
      <c r="Y107" s="13">
        <f>-1*Time!Y35*Inputs!Y301*Y106*(Inputs!$F$97/100*Time!Y24-Operations!Y9/100*Time!Y25/Inputs!$F$247)</f>
        <v/>
      </c>
      <c r="Z107" s="13">
        <f>-1*Time!Z35*Inputs!Z301*Z106*(Inputs!$F$97/100*Time!Z24-Operations!Z9/100*Time!Z25/Inputs!$F$247)</f>
        <v/>
      </c>
      <c r="AA107" s="13">
        <f>-1*Time!AA35*Inputs!AA301*AA106*(Inputs!$F$97/100*Time!AA24-Operations!AA9/100*Time!AA25/Inputs!$F$247)</f>
        <v/>
      </c>
      <c r="AB107" s="13">
        <f>-1*Time!AB35*Inputs!AB301*AB106*(Inputs!$F$97/100*Time!AB24-Operations!AB9/100*Time!AB25/Inputs!$F$247)</f>
        <v/>
      </c>
      <c r="AC107" s="13">
        <f>-1*Time!AC35*Inputs!AC301*AC106*(Inputs!$F$97/100*Time!AC24-Operations!AC9/100*Time!AC25/Inputs!$F$247)</f>
        <v/>
      </c>
      <c r="AD107" s="13">
        <f>-1*Time!AD35*Inputs!AD301*AD106*(Inputs!$F$97/100*Time!AD24-Operations!AD9/100*Time!AD25/Inputs!$F$247)</f>
        <v/>
      </c>
      <c r="AE107" s="13">
        <f>-1*Time!AE35*Inputs!AE301*AE106*(Inputs!$F$97/100*Time!AE24-Operations!AE9/100*Time!AE25/Inputs!$F$247)</f>
        <v/>
      </c>
      <c r="AF107" s="13">
        <f>-1*Time!AF35*Inputs!AF301*AF106*(Inputs!$F$97/100*Time!AF24-Operations!AF9/100*Time!AF25/Inputs!$F$247)</f>
        <v/>
      </c>
      <c r="AG107" s="13">
        <f>-1*Time!AG35*Inputs!AG301*AG106*(Inputs!$F$97/100*Time!AG24-Operations!AG9/100*Time!AG25/Inputs!$F$247)</f>
        <v/>
      </c>
      <c r="AH107" s="13">
        <f>-1*Time!AH35*Inputs!AH301*AH106*(Inputs!$F$97/100*Time!AH24-Operations!AH9/100*Time!AH25/Inputs!$F$247)</f>
        <v/>
      </c>
      <c r="AI107" s="13">
        <f>-1*Time!AI35*Inputs!AI301*AI106*(Inputs!$F$97/100*Time!AI24-Operations!AI9/100*Time!AI25/Inputs!$F$247)</f>
        <v/>
      </c>
      <c r="AJ107" s="13">
        <f>-1*Time!AJ35*Inputs!AJ301*AJ106*(Inputs!$F$97/100*Time!AJ24-Operations!AJ9/100*Time!AJ25/Inputs!$F$247)</f>
        <v/>
      </c>
      <c r="AK107" s="13">
        <f>-1*Time!AK35*Inputs!AK301*AK106*(Inputs!$F$97/100*Time!AK24-Operations!AK9/100*Time!AK25/Inputs!$F$247)</f>
        <v/>
      </c>
      <c r="AL107" s="13">
        <f>-1*Time!AL35*Inputs!AL301*AL106*(Inputs!$F$97/100*Time!AL24-Operations!AL9/100*Time!AL25/Inputs!$F$247)</f>
        <v/>
      </c>
      <c r="AM107" s="13">
        <f>-1*Time!AM35*Inputs!AM301*AM106*(Inputs!$F$97/100*Time!AM24-Operations!AM9/100*Time!AM25/Inputs!$F$247)</f>
        <v/>
      </c>
      <c r="AN107" s="13">
        <f>-1*Time!AN35*Inputs!AN301*AN106*(Inputs!$F$97/100*Time!AN24-Operations!AN9/100*Time!AN25/Inputs!$F$247)</f>
        <v/>
      </c>
      <c r="AO107" s="13">
        <f>-1*Time!AO35*Inputs!AO301*AO106*(Inputs!$F$97/100*Time!AO24-Operations!AO9/100*Time!AO25/Inputs!$F$247)</f>
        <v/>
      </c>
      <c r="AP107" s="13">
        <f>-1*Time!AP35*Inputs!AP301*AP106*(Inputs!$F$97/100*Time!AP24-Operations!AP9/100*Time!AP25/Inputs!$F$247)</f>
        <v/>
      </c>
      <c r="AQ107" s="13">
        <f>-1*Time!AQ35*Inputs!AQ301*AQ106*(Inputs!$F$97/100*Time!AQ24-Operations!AQ9/100*Time!AQ25/Inputs!$F$247)</f>
        <v/>
      </c>
      <c r="AR107" s="13">
        <f>-1*Time!AR35*Inputs!AR301*AR106*(Inputs!$F$97/100*Time!AR24-Operations!AR9/100*Time!AR25/Inputs!$F$247)</f>
        <v/>
      </c>
      <c r="AS107" s="13">
        <f>-1*Time!AS35*Inputs!AS301*AS106*(Inputs!$F$97/100*Time!AS24-Operations!AS9/100*Time!AS25/Inputs!$F$247)</f>
        <v/>
      </c>
      <c r="AT107" s="13">
        <f>-1*Time!AT35*Inputs!AT301*AT106*(Inputs!$F$97/100*Time!AT24-Operations!AT9/100*Time!AT25/Inputs!$F$247)</f>
        <v/>
      </c>
      <c r="AU107" s="13">
        <f>-1*Time!AU35*Inputs!AU301*AU106*(Inputs!$F$97/100*Time!AU24-Operations!AU9/100*Time!AU25/Inputs!$F$247)</f>
        <v/>
      </c>
      <c r="AV107" s="13">
        <f>-1*Time!AV35*Inputs!AV301*AV106*(Inputs!$F$97/100*Time!AV24-Operations!AV9/100*Time!AV25/Inputs!$F$247)</f>
        <v/>
      </c>
      <c r="AW107" s="13">
        <f>-1*Time!AW35*Inputs!AW301*AW106*(Inputs!$F$97/100*Time!AW24-Operations!AW9/100*Time!AW25/Inputs!$F$247)</f>
        <v/>
      </c>
      <c r="AX107" s="13">
        <f>-1*Time!AX35*Inputs!AX301*AX106*(Inputs!$F$97/100*Time!AX24-Operations!AX9/100*Time!AX25/Inputs!$F$247)</f>
        <v/>
      </c>
      <c r="AY107" s="13">
        <f>-1*Time!AY35*Inputs!AY301*AY106*(Inputs!$F$97/100*Time!AY24-Operations!AY9/100*Time!AY25/Inputs!$F$247)</f>
        <v/>
      </c>
      <c r="AZ107" s="13">
        <f>-1*Time!AZ35*Inputs!AZ301*AZ106*(Inputs!$F$97/100*Time!AZ24-Operations!AZ9/100*Time!AZ25/Inputs!$F$247)</f>
        <v/>
      </c>
      <c r="BA107" s="13">
        <f>-1*Time!BA35*Inputs!BA301*BA106*(Inputs!$F$97/100*Time!BA24-Operations!BA9/100*Time!BA25/Inputs!$F$247)</f>
        <v/>
      </c>
      <c r="BB107" s="13">
        <f>-1*Time!BB35*Inputs!BB301*BB106*(Inputs!$F$97/100*Time!BB24-Operations!BB9/100*Time!BB25/Inputs!$F$247)</f>
        <v/>
      </c>
      <c r="BC107" s="13">
        <f>-1*Time!BC35*Inputs!BC301*BC106*(Inputs!$F$97/100*Time!BC24-Operations!BC9/100*Time!BC25/Inputs!$F$247)</f>
        <v/>
      </c>
      <c r="BD107" s="13">
        <f>-1*Time!BD35*Inputs!BD301*BD106*(Inputs!$F$97/100*Time!BD24-Operations!BD9/100*Time!BD25/Inputs!$F$247)</f>
        <v/>
      </c>
      <c r="BE107" s="13">
        <f>-1*Time!BE35*Inputs!BE301*BE106*(Inputs!$F$97/100*Time!BE24-Operations!BE9/100*Time!BE25/Inputs!$F$247)</f>
        <v/>
      </c>
      <c r="BF107" s="13">
        <f>-1*Time!BF35*Inputs!BF301*BF106*(Inputs!$F$97/100*Time!BF24-Operations!BF9/100*Time!BF25/Inputs!$F$247)</f>
        <v/>
      </c>
      <c r="BG107" s="13">
        <f>-1*Time!BG35*Inputs!BG301*BG106*(Inputs!$F$97/100*Time!BG24-Operations!BG9/100*Time!BG25/Inputs!$F$247)</f>
        <v/>
      </c>
      <c r="BH107" s="13">
        <f>-1*Time!BH35*Inputs!BH301*BH106*(Inputs!$F$97/100*Time!BH24-Operations!BH9/100*Time!BH25/Inputs!$F$247)</f>
        <v/>
      </c>
      <c r="BI107" s="13">
        <f>-1*Time!BI35*Inputs!BI301*BI106*(Inputs!$F$97/100*Time!BI24-Operations!BI9/100*Time!BI25/Inputs!$F$247)</f>
        <v/>
      </c>
      <c r="BJ107" s="13">
        <f>-1*Time!BJ35*Inputs!BJ301*BJ106*(Inputs!$F$97/100*Time!BJ24-Operations!BJ9/100*Time!BJ25/Inputs!$F$247)</f>
        <v/>
      </c>
      <c r="BK107" s="13">
        <f>-1*Time!BK35*Inputs!BK301*BK106*(Inputs!$F$97/100*Time!BK24-Operations!BK9/100*Time!BK25/Inputs!$F$247)</f>
        <v/>
      </c>
      <c r="BL107" s="13">
        <f>-1*Time!BL35*Inputs!BL301*BL106*(Inputs!$F$97/100*Time!BL24-Operations!BL9/100*Time!BL25/Inputs!$F$247)</f>
        <v/>
      </c>
      <c r="BM107" s="13">
        <f>-1*Time!BM35*Inputs!BM301*BM106*(Inputs!$F$97/100*Time!BM24-Operations!BM9/100*Time!BM25/Inputs!$F$247)</f>
        <v/>
      </c>
      <c r="BN107" s="13">
        <f>-1*Time!BN35*Inputs!BN301*BN106*(Inputs!$F$97/100*Time!BN24-Operations!BN9/100*Time!BN25/Inputs!$F$247)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IF(AND(Time!J20&gt;=Time!$F$12,Time!K20&gt;0),J119+J120+J121+J122+J123+J124+-1*Inputs!K301*K106*(Inputs!$F$97/100*Time!K24-Operations!K9/100*Time!K25/Inputs!$F$247)+(Inputs!$F$95/100*Inputs!$F$96/100)*J118*Time!K25/Inputs!$F$248,0)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IF(AND(Time!K20&gt;=Time!$F$12,Time!L20&gt;0),K119+K120+K121+K122+K123+K124+-1*Inputs!L301*L106*(Inputs!$F$97/100*Time!L24-Operations!L9/100*Time!L25/Inputs!$F$247)+(Inputs!$F$95/100*Inputs!$F$96/100)*K118*Time!L25/Inputs!$F$248,0)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IF(AND(Time!L20&gt;=Time!$F$12,Time!M20&gt;0),L119+L120+L121+L122+L123+L124+-1*Inputs!M301*M106*(Inputs!$F$97/100*Time!M24-Operations!M9/100*Time!M25/Inputs!$F$247)+(Inputs!$F$95/100*Inputs!$F$96/100)*L118*Time!M25/Inputs!$F$248,0)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IF(AND(Time!M20&gt;=Time!$F$12,Time!N20&gt;0),M119+M120+M121+M122+M123+M124+-1*Inputs!N301*N106*(Inputs!$F$97/100*Time!N24-Operations!N9/100*Time!N25/Inputs!$F$247)+(Inputs!$F$95/100*Inputs!$F$96/100)*M118*Time!N25/Inputs!$F$248,0)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IF(AND(Time!N20&gt;=Time!$F$12,Time!O20&gt;0),N119+N120+N121+N122+N123+N124+-1*Inputs!O301*O106*(Inputs!$F$97/100*Time!O24-Operations!O9/100*Time!O25/Inputs!$F$247)+(Inputs!$F$95/100*Inputs!$F$96/100)*N118*Time!O25/Inputs!$F$248,0)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IF(AND(Time!O20&gt;=Time!$F$12,Time!P20&gt;0),O119+O120+O121+O122+O123+O124+-1*Inputs!P301*P106*(Inputs!$F$97/100*Time!P24-Operations!P9/100*Time!P25/Inputs!$F$247)+(Inputs!$F$95/100*Inputs!$F$96/100)*O118*Time!P25/Inputs!$F$248,0)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IF(AND(Time!P20&gt;=Time!$F$12,Time!Q20&gt;0),P119+P120+P121+P122+P123+P124+-1*Inputs!Q301*Q106*(Inputs!$F$97/100*Time!Q24-Operations!Q9/100*Time!Q25/Inputs!$F$247)+(Inputs!$F$95/100*Inputs!$F$96/100)*P118*Time!Q25/Inputs!$F$248,0)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IF(AND(Time!Q20&gt;=Time!$F$12,Time!R20&gt;0),Q119+Q120+Q121+Q122+Q123+Q124+-1*Inputs!R301*R106*(Inputs!$F$97/100*Time!R24-Operations!R9/100*Time!R25/Inputs!$F$247)+(Inputs!$F$95/100*Inputs!$F$96/100)*Q118*Time!R25/Inputs!$F$248,0)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IF(AND(Time!R20&gt;=Time!$F$12,Time!S20&gt;0),R119+R120+R121+R122+R123+R124+-1*Inputs!S301*S106*(Inputs!$F$97/100*Time!S24-Operations!S9/100*Time!S25/Inputs!$F$247)+(Inputs!$F$95/100*Inputs!$F$96/100)*R118*Time!S25/Inputs!$F$248,0)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IF(AND(Time!S20&gt;=Time!$F$12,Time!T20&gt;0),S119+S120+S121+S122+S123+S124+-1*Inputs!T301*T106*(Inputs!$F$97/100*Time!T24-Operations!T9/100*Time!T25/Inputs!$F$247)+(Inputs!$F$95/100*Inputs!$F$96/100)*S118*Time!T25/Inputs!$F$248,0)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IF(AND(Time!T20&gt;=Time!$F$12,Time!U20&gt;0),T119+T120+T121+T122+T123+T124+-1*Inputs!U301*U106*(Inputs!$F$97/100*Time!U24-Operations!U9/100*Time!U25/Inputs!$F$247)+(Inputs!$F$95/100*Inputs!$F$96/100)*T118*Time!U25/Inputs!$F$248,0)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IF(AND(Time!U20&gt;=Time!$F$12,Time!V20&gt;0),U119+U120+U121+U122+U123+U124+-1*Inputs!V301*V106*(Inputs!$F$97/100*Time!V24-Operations!V9/100*Time!V25/Inputs!$F$247)+(Inputs!$F$95/100*Inputs!$F$96/100)*U118*Time!V25/Inputs!$F$248,0)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IF(AND(Time!V20&gt;=Time!$F$12,Time!W20&gt;0),V119+V120+V121+V122+V123+V124+-1*Inputs!W301*W106*(Inputs!$F$97/100*Time!W24-Operations!W9/100*Time!W25/Inputs!$F$247)+(Inputs!$F$95/100*Inputs!$F$96/100)*V118*Time!W25/Inputs!$F$248,0)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IF(AND(Time!W20&gt;=Time!$F$12,Time!X20&gt;0),W119+W120+W121+W122+W123+W124+-1*Inputs!X301*X106*(Inputs!$F$97/100*Time!X24-Operations!X9/100*Time!X25/Inputs!$F$247)+(Inputs!$F$95/100*Inputs!$F$96/100)*W118*Time!X25/Inputs!$F$248,0)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IF(AND(Time!X20&gt;=Time!$F$12,Time!Y20&gt;0),X119+X120+X121+X122+X123+X124+-1*Inputs!Y301*Y106*(Inputs!$F$97/100*Time!Y24-Operations!Y9/100*Time!Y25/Inputs!$F$247)+(Inputs!$F$95/100*Inputs!$F$96/100)*X118*Time!Y25/Inputs!$F$248,0)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IF(AND(Time!Y20&gt;=Time!$F$12,Time!Z20&gt;0),Y119+Y120+Y121+Y122+Y123+Y124+-1*Inputs!Z301*Z106*(Inputs!$F$97/100*Time!Z24-Operations!Z9/100*Time!Z25/Inputs!$F$247)+(Inputs!$F$95/100*Inputs!$F$96/100)*Y118*Time!Z25/Inputs!$F$248,0)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IF(AND(Time!Z20&gt;=Time!$F$12,Time!AA20&gt;0),Z119+Z120+Z121+Z122+Z123+Z124+-1*Inputs!AA301*AA106*(Inputs!$F$97/100*Time!AA24-Operations!AA9/100*Time!AA25/Inputs!$F$247)+(Inputs!$F$95/100*Inputs!$F$96/100)*Z118*Time!AA25/Inputs!$F$248,0)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IF(AND(Time!AA20&gt;=Time!$F$12,Time!AB20&gt;0),AA119+AA120+AA121+AA122+AA123+AA124+-1*Inputs!AB301*AB106*(Inputs!$F$97/100*Time!AB24-Operations!AB9/100*Time!AB25/Inputs!$F$247)+(Inputs!$F$95/100*Inputs!$F$96/100)*AA118*Time!AB25/Inputs!$F$248,0)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IF(AND(Time!AB20&gt;=Time!$F$12,Time!AC20&gt;0),AB119+AB120+AB121+AB122+AB123+AB124+-1*Inputs!AC301*AC106*(Inputs!$F$97/100*Time!AC24-Operations!AC9/100*Time!AC25/Inputs!$F$247)+(Inputs!$F$95/100*Inputs!$F$96/100)*AB118*Time!AC25/Inputs!$F$248,0)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IF(AND(Time!AC20&gt;=Time!$F$12,Time!AD20&gt;0),AC119+AC120+AC121+AC122+AC123+AC124+-1*Inputs!AD301*AD106*(Inputs!$F$97/100*Time!AD24-Operations!AD9/100*Time!AD25/Inputs!$F$247)+(Inputs!$F$95/100*Inputs!$F$96/100)*AC118*Time!AD25/Inputs!$F$248,0)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IF(AND(Time!AD20&gt;=Time!$F$12,Time!AE20&gt;0),AD119+AD120+AD121+AD122+AD123+AD124+-1*Inputs!AE301*AE106*(Inputs!$F$97/100*Time!AE24-Operations!AE9/100*Time!AE25/Inputs!$F$247)+(Inputs!$F$95/100*Inputs!$F$96/100)*AD118*Time!AE25/Inputs!$F$248,0)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IF(AND(Time!AE20&gt;=Time!$F$12,Time!AF20&gt;0),AE119+AE120+AE121+AE122+AE123+AE124+-1*Inputs!AF301*AF106*(Inputs!$F$97/100*Time!AF24-Operations!AF9/100*Time!AF25/Inputs!$F$247)+(Inputs!$F$95/100*Inputs!$F$96/100)*AE118*Time!AF25/Inputs!$F$248,0)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IF(AND(Time!AF20&gt;=Time!$F$12,Time!AG20&gt;0),AF119+AF120+AF121+AF122+AF123+AF124+-1*Inputs!AG301*AG106*(Inputs!$F$97/100*Time!AG24-Operations!AG9/100*Time!AG25/Inputs!$F$247)+(Inputs!$F$95/100*Inputs!$F$96/100)*AF118*Time!AG25/Inputs!$F$248,0)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IF(AND(Time!AG20&gt;=Time!$F$12,Time!AH20&gt;0),AG119+AG120+AG121+AG122+AG123+AG124+-1*Inputs!AH301*AH106*(Inputs!$F$97/100*Time!AH24-Operations!AH9/100*Time!AH25/Inputs!$F$247)+(Inputs!$F$95/100*Inputs!$F$96/100)*AG118*Time!AH25/Inputs!$F$248,0)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IF(AND(Time!AH20&gt;=Time!$F$12,Time!AI20&gt;0),AH119+AH120+AH121+AH122+AH123+AH124+-1*Inputs!AI301*AI106*(Inputs!$F$97/100*Time!AI24-Operations!AI9/100*Time!AI25/Inputs!$F$247)+(Inputs!$F$95/100*Inputs!$F$96/100)*AH118*Time!AI25/Inputs!$F$248,0)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IF(AND(Time!AI20&gt;=Time!$F$12,Time!AJ20&gt;0),AI119+AI120+AI121+AI122+AI123+AI124+-1*Inputs!AJ301*AJ106*(Inputs!$F$97/100*Time!AJ24-Operations!AJ9/100*Time!AJ25/Inputs!$F$247)+(Inputs!$F$95/100*Inputs!$F$96/100)*AI118*Time!AJ25/Inputs!$F$248,0)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IF(AND(Time!AJ20&gt;=Time!$F$12,Time!AK20&gt;0),AJ119+AJ120+AJ121+AJ122+AJ123+AJ124+-1*Inputs!AK301*AK106*(Inputs!$F$97/100*Time!AK24-Operations!AK9/100*Time!AK25/Inputs!$F$247)+(Inputs!$F$95/100*Inputs!$F$96/100)*AJ118*Time!AK25/Inputs!$F$248,0)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IF(AND(Time!AK20&gt;=Time!$F$12,Time!AL20&gt;0),AK119+AK120+AK121+AK122+AK123+AK124+-1*Inputs!AL301*AL106*(Inputs!$F$97/100*Time!AL24-Operations!AL9/100*Time!AL25/Inputs!$F$247)+(Inputs!$F$95/100*Inputs!$F$96/100)*AK118*Time!AL25/Inputs!$F$248,0)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IF(AND(Time!AL20&gt;=Time!$F$12,Time!AM20&gt;0),AL119+AL120+AL121+AL122+AL123+AL124+-1*Inputs!AM301*AM106*(Inputs!$F$97/100*Time!AM24-Operations!AM9/100*Time!AM25/Inputs!$F$247)+(Inputs!$F$95/100*Inputs!$F$96/100)*AL118*Time!AM25/Inputs!$F$248,0)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IF(AND(Time!AM20&gt;=Time!$F$12,Time!AN20&gt;0),AM119+AM120+AM121+AM122+AM123+AM124+-1*Inputs!AN301*AN106*(Inputs!$F$97/100*Time!AN24-Operations!AN9/100*Time!AN25/Inputs!$F$247)+(Inputs!$F$95/100*Inputs!$F$96/100)*AM118*Time!AN25/Inputs!$F$248,0)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IF(AND(Time!AN20&gt;=Time!$F$12,Time!AO20&gt;0),AN119+AN120+AN121+AN122+AN123+AN124+-1*Inputs!AO301*AO106*(Inputs!$F$97/100*Time!AO24-Operations!AO9/100*Time!AO25/Inputs!$F$247)+(Inputs!$F$95/100*Inputs!$F$96/100)*AN118*Time!AO25/Inputs!$F$248,0)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IF(AND(Time!AO20&gt;=Time!$F$12,Time!AP20&gt;0),AO119+AO120+AO121+AO122+AO123+AO124+-1*Inputs!AP301*AP106*(Inputs!$F$97/100*Time!AP24-Operations!AP9/100*Time!AP25/Inputs!$F$247)+(Inputs!$F$95/100*Inputs!$F$96/100)*AO118*Time!AP25/Inputs!$F$248,0)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IF(AND(Time!AP20&gt;=Time!$F$12,Time!AQ20&gt;0),AP119+AP120+AP121+AP122+AP123+AP124+-1*Inputs!AQ301*AQ106*(Inputs!$F$97/100*Time!AQ24-Operations!AQ9/100*Time!AQ25/Inputs!$F$247)+(Inputs!$F$95/100*Inputs!$F$96/100)*AP118*Time!AQ25/Inputs!$F$248,0)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IF(AND(Time!AQ20&gt;=Time!$F$12,Time!AR20&gt;0),AQ119+AQ120+AQ121+AQ122+AQ123+AQ124+-1*Inputs!AR301*AR106*(Inputs!$F$97/100*Time!AR24-Operations!AR9/100*Time!AR25/Inputs!$F$247)+(Inputs!$F$95/100*Inputs!$F$96/100)*AQ118*Time!AR25/Inputs!$F$248,0)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IF(AND(Time!AR20&gt;=Time!$F$12,Time!AS20&gt;0),AR119+AR120+AR121+AR122+AR123+AR124+-1*Inputs!AS301*AS106*(Inputs!$F$97/100*Time!AS24-Operations!AS9/100*Time!AS25/Inputs!$F$247)+(Inputs!$F$95/100*Inputs!$F$96/100)*AR118*Time!AS25/Inputs!$F$248,0)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IF(AND(Time!AS20&gt;=Time!$F$12,Time!AT20&gt;0),AS119+AS120+AS121+AS122+AS123+AS124+-1*Inputs!AT301*AT106*(Inputs!$F$97/100*Time!AT24-Operations!AT9/100*Time!AT25/Inputs!$F$247)+(Inputs!$F$95/100*Inputs!$F$96/100)*AS118*Time!AT25/Inputs!$F$248,0)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IF(AND(Time!AT20&gt;=Time!$F$12,Time!AU20&gt;0),AT119+AT120+AT121+AT122+AT123+AT124+-1*Inputs!AU301*AU106*(Inputs!$F$97/100*Time!AU24-Operations!AU9/100*Time!AU25/Inputs!$F$247)+(Inputs!$F$95/100*Inputs!$F$96/100)*AT118*Time!AU25/Inputs!$F$248,0)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IF(AND(Time!AU20&gt;=Time!$F$12,Time!AV20&gt;0),AU119+AU120+AU121+AU122+AU123+AU124+-1*Inputs!AV301*AV106*(Inputs!$F$97/100*Time!AV24-Operations!AV9/100*Time!AV25/Inputs!$F$247)+(Inputs!$F$95/100*Inputs!$F$96/100)*AU118*Time!AV25/Inputs!$F$248,0)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IF(AND(Time!AV20&gt;=Time!$F$12,Time!AW20&gt;0),AV119+AV120+AV121+AV122+AV123+AV124+-1*Inputs!AW301*AW106*(Inputs!$F$97/100*Time!AW24-Operations!AW9/100*Time!AW25/Inputs!$F$247)+(Inputs!$F$95/100*Inputs!$F$96/100)*AV118*Time!AW25/Inputs!$F$248,0)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IF(AND(Time!AW20&gt;=Time!$F$12,Time!AX20&gt;0),AW119+AW120+AW121+AW122+AW123+AW124+-1*Inputs!AX301*AX106*(Inputs!$F$97/100*Time!AX24-Operations!AX9/100*Time!AX25/Inputs!$F$247)+(Inputs!$F$95/100*Inputs!$F$96/100)*AW118*Time!AX25/Inputs!$F$248,0)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IF(AND(Time!AX20&gt;=Time!$F$12,Time!AY20&gt;0),AX119+AX120+AX121+AX122+AX123+AX124+-1*Inputs!AY301*AY106*(Inputs!$F$97/100*Time!AY24-Operations!AY9/100*Time!AY25/Inputs!$F$247)+(Inputs!$F$95/100*Inputs!$F$96/100)*AX118*Time!AY25/Inputs!$F$248,0)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IF(AND(Time!AY20&gt;=Time!$F$12,Time!AZ20&gt;0),AY119+AY120+AY121+AY122+AY123+AY124+-1*Inputs!AZ301*AZ106*(Inputs!$F$97/100*Time!AZ24-Operations!AZ9/100*Time!AZ25/Inputs!$F$247)+(Inputs!$F$95/100*Inputs!$F$96/100)*AY118*Time!AZ25/Inputs!$F$248,0)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IF(AND(Time!AZ20&gt;=Time!$F$12,Time!BA20&gt;0),AZ119+AZ120+AZ121+AZ122+AZ123+AZ124+-1*Inputs!BA301*BA106*(Inputs!$F$97/100*Time!BA24-Operations!BA9/100*Time!BA25/Inputs!$F$247)+(Inputs!$F$95/100*Inputs!$F$96/100)*AZ118*Time!BA25/Inputs!$F$248,0)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IF(AND(Time!BA20&gt;=Time!$F$12,Time!BB20&gt;0),BA119+BA120+BA121+BA122+BA123+BA124+-1*Inputs!BB301*BB106*(Inputs!$F$97/100*Time!BB24-Operations!BB9/100*Time!BB25/Inputs!$F$247)+(Inputs!$F$95/100*Inputs!$F$96/100)*BA118*Time!BB25/Inputs!$F$248,0)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IF(AND(Time!BB20&gt;=Time!$F$12,Time!BC20&gt;0),BB119+BB120+BB121+BB122+BB123+BB124+-1*Inputs!BC301*BC106*(Inputs!$F$97/100*Time!BC24-Operations!BC9/100*Time!BC25/Inputs!$F$247)+(Inputs!$F$95/100*Inputs!$F$96/100)*BB118*Time!BC25/Inputs!$F$248,0)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IF(AND(Time!BC20&gt;=Time!$F$12,Time!BD20&gt;0),BC119+BC120+BC121+BC122+BC123+BC124+-1*Inputs!BD301*BD106*(Inputs!$F$97/100*Time!BD24-Operations!BD9/100*Time!BD25/Inputs!$F$247)+(Inputs!$F$95/100*Inputs!$F$96/100)*BC118*Time!BD25/Inputs!$F$248,0)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IF(AND(Time!BD20&gt;=Time!$F$12,Time!BE20&gt;0),BD119+BD120+BD121+BD122+BD123+BD124+-1*Inputs!BE301*BE106*(Inputs!$F$97/100*Time!BE24-Operations!BE9/100*Time!BE25/Inputs!$F$247)+(Inputs!$F$95/100*Inputs!$F$96/100)*BD118*Time!BE25/Inputs!$F$248,0)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IF(AND(Time!BE20&gt;=Time!$F$12,Time!BF20&gt;0),BE119+BE120+BE121+BE122+BE123+BE124+-1*Inputs!BF301*BF106*(Inputs!$F$97/100*Time!BF24-Operations!BF9/100*Time!BF25/Inputs!$F$247)+(Inputs!$F$95/100*Inputs!$F$96/100)*BE118*Time!BF25/Inputs!$F$248,0)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IF(AND(Time!BF20&gt;=Time!$F$12,Time!BG20&gt;0),BF119+BF120+BF121+BF122+BF123+BF124+-1*Inputs!BG301*BG106*(Inputs!$F$97/100*Time!BG24-Operations!BG9/100*Time!BG25/Inputs!$F$247)+(Inputs!$F$95/100*Inputs!$F$96/100)*BF118*Time!BG25/Inputs!$F$248,0)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IF(AND(Time!BG20&gt;=Time!$F$12,Time!BH20&gt;0),BG119+BG120+BG121+BG122+BG123+BG124+-1*Inputs!BH301*BH106*(Inputs!$F$97/100*Time!BH24-Operations!BH9/100*Time!BH25/Inputs!$F$247)+(Inputs!$F$95/100*Inputs!$F$96/100)*BG118*Time!BH25/Inputs!$F$248,0)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IF(AND(Time!BH20&gt;=Time!$F$12,Time!BI20&gt;0),BH119+BH120+BH121+BH122+BH123+BH124+-1*Inputs!BI301*BI106*(Inputs!$F$97/100*Time!BI24-Operations!BI9/100*Time!BI25/Inputs!$F$247)+(Inputs!$F$95/100*Inputs!$F$96/100)*BH118*Time!BI25/Inputs!$F$248,0)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IF(AND(Time!BI20&gt;=Time!$F$12,Time!BJ20&gt;0),BI119+BI120+BI121+BI122+BI123+BI124+-1*Inputs!BJ301*BJ106*(Inputs!$F$97/100*Time!BJ24-Operations!BJ9/100*Time!BJ25/Inputs!$F$247)+(Inputs!$F$95/100*Inputs!$F$96/100)*BI118*Time!BJ25/Inputs!$F$248,0)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IF(AND(Time!BJ20&gt;=Time!$F$12,Time!BK20&gt;0),BJ119+BJ120+BJ121+BJ122+BJ123+BJ124+-1*Inputs!BK301*BK106*(Inputs!$F$97/100*Time!BK24-Operations!BK9/100*Time!BK25/Inputs!$F$247)+(Inputs!$F$95/100*Inputs!$F$96/100)*BJ118*Time!BK25/Inputs!$F$248,0)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IF(AND(Time!BK20&gt;=Time!$F$12,Time!BL20&gt;0),BK119+BK120+BK121+BK122+BK123+BK124+-1*Inputs!BL301*BL106*(Inputs!$F$97/100*Time!BL24-Operations!BL9/100*Time!BL25/Inputs!$F$247)+(Inputs!$F$95/100*Inputs!$F$96/100)*BK118*Time!BL25/Inputs!$F$248,0)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IF(AND(Time!BL20&gt;=Time!$F$12,Time!BM20&gt;0),BL119+BL120+BL121+BL122+BL123+BL124+-1*Inputs!BM301*BM106*(Inputs!$F$97/100*Time!BM24-Operations!BM9/100*Time!BM25/Inputs!$F$247)+(Inputs!$F$95/100*Inputs!$F$96/100)*BL118*Time!BM25/Inputs!$F$248,0)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IF(AND(Time!BM20&gt;=Time!$F$12,Time!BN20&gt;0),BM119+BM120+BM121+BM122+BM123+BM124+-1*Inputs!BN301*BN106*(Inputs!$F$97/100*Time!BN24-Operations!BN9/100*Time!BN25/Inputs!$F$247)+(Inputs!$F$95/100*Inputs!$F$96/100)*BM118*Time!BN25/Inputs!$F$248,0)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IF(AND(Time!BN20&gt;=Time!$F$12,Time!BO20&gt;0),BN119+BN120+BN121+BN122+BN123+BN124+-1*Inputs!BO301*BO106*(Inputs!$F$97/100*Time!BO24-Operations!BO9/100*Time!BO25/Inputs!$F$247)+(Inputs!$F$95/100*Inputs!$F$96/100)*BN118*Time!BO25/Inputs!$F$248,0)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IF(Time!J53=1,(Waterfall!J7+Tax!J27+K128)/(1+J127),0)</f>
        <v/>
      </c>
      <c r="K128" s="13">
        <f>IF(Time!K53=1,(Waterfall!K7+Tax!K27+L128)/(1+K127),0)</f>
        <v/>
      </c>
      <c r="L128" s="13">
        <f>IF(Time!L53=1,(Waterfall!L7+Tax!L27+M128)/(1+L127),0)</f>
        <v/>
      </c>
      <c r="M128" s="13">
        <f>IF(Time!M53=1,(Waterfall!M7+Tax!M27+N128)/(1+M127),0)</f>
        <v/>
      </c>
      <c r="N128" s="13">
        <f>IF(Time!N53=1,(Waterfall!N7+Tax!N27+O128)/(1+N127),0)</f>
        <v/>
      </c>
      <c r="O128" s="13">
        <f>IF(Time!O53=1,(Waterfall!O7+Tax!O27+P128)/(1+O127),0)</f>
        <v/>
      </c>
      <c r="P128" s="13">
        <f>IF(Time!P53=1,(Waterfall!P7+Tax!P27+Q128)/(1+P127),0)</f>
        <v/>
      </c>
      <c r="Q128" s="13">
        <f>IF(Time!Q53=1,(Waterfall!Q7+Tax!Q27+R128)/(1+Q127),0)</f>
        <v/>
      </c>
      <c r="R128" s="13">
        <f>IF(Time!R53=1,(Waterfall!R7+Tax!R27+S128)/(1+R127),0)</f>
        <v/>
      </c>
      <c r="S128" s="13">
        <f>IF(Time!S53=1,(Waterfall!S7+Tax!S27+T128)/(1+S127),0)</f>
        <v/>
      </c>
      <c r="T128" s="13">
        <f>IF(Time!T53=1,(Waterfall!T7+Tax!T27+U128)/(1+T127),0)</f>
        <v/>
      </c>
      <c r="U128" s="13">
        <f>IF(Time!U53=1,(Waterfall!U7+Tax!U27+V128)/(1+U127),0)</f>
        <v/>
      </c>
      <c r="V128" s="13">
        <f>IF(Time!V53=1,(Waterfall!V7+Tax!V27+W128)/(1+V127),0)</f>
        <v/>
      </c>
      <c r="W128" s="13">
        <f>IF(Time!W53=1,(Waterfall!W7+Tax!W27+X128)/(1+W127),0)</f>
        <v/>
      </c>
      <c r="X128" s="13">
        <f>IF(Time!X53=1,(Waterfall!X7+Tax!X27+Y128)/(1+X127),0)</f>
        <v/>
      </c>
      <c r="Y128" s="13">
        <f>IF(Time!Y53=1,(Waterfall!Y7+Tax!Y27+Z128)/(1+Y127),0)</f>
        <v/>
      </c>
      <c r="Z128" s="13">
        <f>IF(Time!Z53=1,(Waterfall!Z7+Tax!Z27+AA128)/(1+Z127),0)</f>
        <v/>
      </c>
      <c r="AA128" s="13">
        <f>IF(Time!AA53=1,(Waterfall!AA7+Tax!AA27+AB128)/(1+AA127),0)</f>
        <v/>
      </c>
      <c r="AB128" s="13">
        <f>IF(Time!AB53=1,(Waterfall!AB7+Tax!AB27+AC128)/(1+AB127),0)</f>
        <v/>
      </c>
      <c r="AC128" s="13">
        <f>IF(Time!AC53=1,(Waterfall!AC7+Tax!AC27+AD128)/(1+AC127),0)</f>
        <v/>
      </c>
      <c r="AD128" s="13">
        <f>IF(Time!AD53=1,(Waterfall!AD7+Tax!AD27+AE128)/(1+AD127),0)</f>
        <v/>
      </c>
      <c r="AE128" s="13">
        <f>IF(Time!AE53=1,(Waterfall!AE7+Tax!AE27+AF128)/(1+AE127),0)</f>
        <v/>
      </c>
      <c r="AF128" s="13">
        <f>IF(Time!AF53=1,(Waterfall!AF7+Tax!AF27+AG128)/(1+AF127),0)</f>
        <v/>
      </c>
      <c r="AG128" s="13">
        <f>IF(Time!AG53=1,(Waterfall!AG7+Tax!AG27+AH128)/(1+AG127),0)</f>
        <v/>
      </c>
      <c r="AH128" s="13">
        <f>IF(Time!AH53=1,(Waterfall!AH7+Tax!AH27+AI128)/(1+AH127),0)</f>
        <v/>
      </c>
      <c r="AI128" s="13">
        <f>IF(Time!AI53=1,(Waterfall!AI7+Tax!AI27+AJ128)/(1+AI127),0)</f>
        <v/>
      </c>
      <c r="AJ128" s="13">
        <f>IF(Time!AJ53=1,(Waterfall!AJ7+Tax!AJ27+AK128)/(1+AJ127),0)</f>
        <v/>
      </c>
      <c r="AK128" s="13">
        <f>IF(Time!AK53=1,(Waterfall!AK7+Tax!AK27+AL128)/(1+AK127),0)</f>
        <v/>
      </c>
      <c r="AL128" s="13">
        <f>IF(Time!AL53=1,(Waterfall!AL7+Tax!AL27+AM128)/(1+AL127),0)</f>
        <v/>
      </c>
      <c r="AM128" s="13">
        <f>IF(Time!AM53=1,(Waterfall!AM7+Tax!AM27+AN128)/(1+AM127),0)</f>
        <v/>
      </c>
      <c r="AN128" s="13">
        <f>IF(Time!AN53=1,(Waterfall!AN7+Tax!AN27+AO128)/(1+AN127),0)</f>
        <v/>
      </c>
      <c r="AO128" s="13">
        <f>IF(Time!AO53=1,(Waterfall!AO7+Tax!AO27+AP128)/(1+AO127),0)</f>
        <v/>
      </c>
      <c r="AP128" s="13">
        <f>IF(Time!AP53=1,(Waterfall!AP7+Tax!AP27+AQ128)/(1+AP127),0)</f>
        <v/>
      </c>
      <c r="AQ128" s="13">
        <f>IF(Time!AQ53=1,(Waterfall!AQ7+Tax!AQ27+AR128)/(1+AQ127),0)</f>
        <v/>
      </c>
      <c r="AR128" s="13">
        <f>IF(Time!AR53=1,(Waterfall!AR7+Tax!AR27+AS128)/(1+AR127),0)</f>
        <v/>
      </c>
      <c r="AS128" s="13">
        <f>IF(Time!AS53=1,(Waterfall!AS7+Tax!AS27+AT128)/(1+AS127),0)</f>
        <v/>
      </c>
      <c r="AT128" s="13">
        <f>IF(Time!AT53=1,(Waterfall!AT7+Tax!AT27+AU128)/(1+AT127),0)</f>
        <v/>
      </c>
      <c r="AU128" s="13">
        <f>IF(Time!AU53=1,(Waterfall!AU7+Tax!AU27+AV128)/(1+AU127),0)</f>
        <v/>
      </c>
      <c r="AV128" s="13">
        <f>IF(Time!AV53=1,(Waterfall!AV7+Tax!AV27+AW128)/(1+AV127),0)</f>
        <v/>
      </c>
      <c r="AW128" s="13">
        <f>IF(Time!AW53=1,(Waterfall!AW7+Tax!AW27+AX128)/(1+AW127),0)</f>
        <v/>
      </c>
      <c r="AX128" s="13">
        <f>IF(Time!AX53=1,(Waterfall!AX7+Tax!AX27+AY128)/(1+AX127),0)</f>
        <v/>
      </c>
      <c r="AY128" s="13">
        <f>IF(Time!AY53=1,(Waterfall!AY7+Tax!AY27+AZ128)/(1+AY127),0)</f>
        <v/>
      </c>
      <c r="AZ128" s="13">
        <f>IF(Time!AZ53=1,(Waterfall!AZ7+Tax!AZ27+BA128)/(1+AZ127),0)</f>
        <v/>
      </c>
      <c r="BA128" s="13">
        <f>IF(Time!BA53=1,(Waterfall!BA7+Tax!BA27+BB128)/(1+BA127),0)</f>
        <v/>
      </c>
      <c r="BB128" s="13">
        <f>IF(Time!BB53=1,(Waterfall!BB7+Tax!BB27+BC128)/(1+BB127),0)</f>
        <v/>
      </c>
      <c r="BC128" s="13">
        <f>IF(Time!BC53=1,(Waterfall!BC7+Tax!BC27+BD128)/(1+BC127),0)</f>
        <v/>
      </c>
      <c r="BD128" s="13">
        <f>IF(Time!BD53=1,(Waterfall!BD7+Tax!BD27+BE128)/(1+BD127),0)</f>
        <v/>
      </c>
      <c r="BE128" s="13">
        <f>IF(Time!BE53=1,(Waterfall!BE7+Tax!BE27+BF128)/(1+BE127),0)</f>
        <v/>
      </c>
      <c r="BF128" s="13">
        <f>IF(Time!BF53=1,(Waterfall!BF7+Tax!BF27+BG128)/(1+BF127),0)</f>
        <v/>
      </c>
      <c r="BG128" s="13">
        <f>IF(Time!BG53=1,(Waterfall!BG7+Tax!BG27+BH128)/(1+BG127),0)</f>
        <v/>
      </c>
      <c r="BH128" s="13">
        <f>IF(Time!BH53=1,(Waterfall!BH7+Tax!BH27+BI128)/(1+BH127),0)</f>
        <v/>
      </c>
      <c r="BI128" s="13">
        <f>IF(Time!BI53=1,(Waterfall!BI7+Tax!BI27+BJ128)/(1+BI127),0)</f>
        <v/>
      </c>
      <c r="BJ128" s="13">
        <f>IF(Time!BJ53=1,(Waterfall!BJ7+Tax!BJ27+BK128)/(1+BJ127),0)</f>
        <v/>
      </c>
      <c r="BK128" s="13">
        <f>IF(Time!BK53=1,(Waterfall!BK7+Tax!BK27+BL128)/(1+BK127),0)</f>
        <v/>
      </c>
      <c r="BL128" s="13">
        <f>IF(Time!BL53=1,(Waterfall!BL7+Tax!BL27+BM128)/(1+BL127),0)</f>
        <v/>
      </c>
      <c r="BM128" s="13">
        <f>IF(Time!BM53=1,(Waterfall!BM7+Tax!BM27+BN128)/(1+BM127),0)</f>
        <v/>
      </c>
      <c r="BN128" s="13">
        <f>IF(Time!BN53=1,(Waterfall!BN7+Tax!BN27+BO128)/(1+BN127),0)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IF(Time!J53=1,(Waterfall!J7+Tax!J27)/$F$129,0)</f>
        <v/>
      </c>
      <c r="K132" s="13">
        <f>IF(Time!K53=1,(Waterfall!K7+Tax!K27)/$F$129,0)</f>
        <v/>
      </c>
      <c r="L132" s="13">
        <f>IF(Time!L53=1,(Waterfall!L7+Tax!L27)/$F$129,0)</f>
        <v/>
      </c>
      <c r="M132" s="13">
        <f>IF(Time!M53=1,(Waterfall!M7+Tax!M27)/$F$129,0)</f>
        <v/>
      </c>
      <c r="N132" s="13">
        <f>IF(Time!N53=1,(Waterfall!N7+Tax!N27)/$F$129,0)</f>
        <v/>
      </c>
      <c r="O132" s="13">
        <f>IF(Time!O53=1,(Waterfall!O7+Tax!O27)/$F$129,0)</f>
        <v/>
      </c>
      <c r="P132" s="13">
        <f>IF(Time!P53=1,(Waterfall!P7+Tax!P27)/$F$129,0)</f>
        <v/>
      </c>
      <c r="Q132" s="13">
        <f>IF(Time!Q53=1,(Waterfall!Q7+Tax!Q27)/$F$129,0)</f>
        <v/>
      </c>
      <c r="R132" s="13">
        <f>IF(Time!R53=1,(Waterfall!R7+Tax!R27)/$F$129,0)</f>
        <v/>
      </c>
      <c r="S132" s="13">
        <f>IF(Time!S53=1,(Waterfall!S7+Tax!S27)/$F$129,0)</f>
        <v/>
      </c>
      <c r="T132" s="13">
        <f>IF(Time!T53=1,(Waterfall!T7+Tax!T27)/$F$129,0)</f>
        <v/>
      </c>
      <c r="U132" s="13">
        <f>IF(Time!U53=1,(Waterfall!U7+Tax!U27)/$F$129,0)</f>
        <v/>
      </c>
      <c r="V132" s="13">
        <f>IF(Time!V53=1,(Waterfall!V7+Tax!V27)/$F$129,0)</f>
        <v/>
      </c>
      <c r="W132" s="13">
        <f>IF(Time!W53=1,(Waterfall!W7+Tax!W27)/$F$129,0)</f>
        <v/>
      </c>
      <c r="X132" s="13">
        <f>IF(Time!X53=1,(Waterfall!X7+Tax!X27)/$F$129,0)</f>
        <v/>
      </c>
      <c r="Y132" s="13">
        <f>IF(Time!Y53=1,(Waterfall!Y7+Tax!Y27)/$F$129,0)</f>
        <v/>
      </c>
      <c r="Z132" s="13">
        <f>IF(Time!Z53=1,(Waterfall!Z7+Tax!Z27)/$F$129,0)</f>
        <v/>
      </c>
      <c r="AA132" s="13">
        <f>IF(Time!AA53=1,(Waterfall!AA7+Tax!AA27)/$F$129,0)</f>
        <v/>
      </c>
      <c r="AB132" s="13">
        <f>IF(Time!AB53=1,(Waterfall!AB7+Tax!AB27)/$F$129,0)</f>
        <v/>
      </c>
      <c r="AC132" s="13">
        <f>IF(Time!AC53=1,(Waterfall!AC7+Tax!AC27)/$F$129,0)</f>
        <v/>
      </c>
      <c r="AD132" s="13">
        <f>IF(Time!AD53=1,(Waterfall!AD7+Tax!AD27)/$F$129,0)</f>
        <v/>
      </c>
      <c r="AE132" s="13">
        <f>IF(Time!AE53=1,(Waterfall!AE7+Tax!AE27)/$F$129,0)</f>
        <v/>
      </c>
      <c r="AF132" s="13">
        <f>IF(Time!AF53=1,(Waterfall!AF7+Tax!AF27)/$F$129,0)</f>
        <v/>
      </c>
      <c r="AG132" s="13">
        <f>IF(Time!AG53=1,(Waterfall!AG7+Tax!AG27)/$F$129,0)</f>
        <v/>
      </c>
      <c r="AH132" s="13">
        <f>IF(Time!AH53=1,(Waterfall!AH7+Tax!AH27)/$F$129,0)</f>
        <v/>
      </c>
      <c r="AI132" s="13">
        <f>IF(Time!AI53=1,(Waterfall!AI7+Tax!AI27)/$F$129,0)</f>
        <v/>
      </c>
      <c r="AJ132" s="13">
        <f>IF(Time!AJ53=1,(Waterfall!AJ7+Tax!AJ27)/$F$129,0)</f>
        <v/>
      </c>
      <c r="AK132" s="13">
        <f>IF(Time!AK53=1,(Waterfall!AK7+Tax!AK27)/$F$129,0)</f>
        <v/>
      </c>
      <c r="AL132" s="13">
        <f>IF(Time!AL53=1,(Waterfall!AL7+Tax!AL27)/$F$129,0)</f>
        <v/>
      </c>
      <c r="AM132" s="13">
        <f>IF(Time!AM53=1,(Waterfall!AM7+Tax!AM27)/$F$129,0)</f>
        <v/>
      </c>
      <c r="AN132" s="13">
        <f>IF(Time!AN53=1,(Waterfall!AN7+Tax!AN27)/$F$129,0)</f>
        <v/>
      </c>
      <c r="AO132" s="13">
        <f>IF(Time!AO53=1,(Waterfall!AO7+Tax!AO27)/$F$129,0)</f>
        <v/>
      </c>
      <c r="AP132" s="13">
        <f>IF(Time!AP53=1,(Waterfall!AP7+Tax!AP27)/$F$129,0)</f>
        <v/>
      </c>
      <c r="AQ132" s="13">
        <f>IF(Time!AQ53=1,(Waterfall!AQ7+Tax!AQ27)/$F$129,0)</f>
        <v/>
      </c>
      <c r="AR132" s="13">
        <f>IF(Time!AR53=1,(Waterfall!AR7+Tax!AR27)/$F$129,0)</f>
        <v/>
      </c>
      <c r="AS132" s="13">
        <f>IF(Time!AS53=1,(Waterfall!AS7+Tax!AS27)/$F$129,0)</f>
        <v/>
      </c>
      <c r="AT132" s="13">
        <f>IF(Time!AT53=1,(Waterfall!AT7+Tax!AT27)/$F$129,0)</f>
        <v/>
      </c>
      <c r="AU132" s="13">
        <f>IF(Time!AU53=1,(Waterfall!AU7+Tax!AU27)/$F$129,0)</f>
        <v/>
      </c>
      <c r="AV132" s="13">
        <f>IF(Time!AV53=1,(Waterfall!AV7+Tax!AV27)/$F$129,0)</f>
        <v/>
      </c>
      <c r="AW132" s="13">
        <f>IF(Time!AW53=1,(Waterfall!AW7+Tax!AW27)/$F$129,0)</f>
        <v/>
      </c>
      <c r="AX132" s="13">
        <f>IF(Time!AX53=1,(Waterfall!AX7+Tax!AX27)/$F$129,0)</f>
        <v/>
      </c>
      <c r="AY132" s="13">
        <f>IF(Time!AY53=1,(Waterfall!AY7+Tax!AY27)/$F$129,0)</f>
        <v/>
      </c>
      <c r="AZ132" s="13">
        <f>IF(Time!AZ53=1,(Waterfall!AZ7+Tax!AZ27)/$F$129,0)</f>
        <v/>
      </c>
      <c r="BA132" s="13">
        <f>IF(Time!BA53=1,(Waterfall!BA7+Tax!BA27)/$F$129,0)</f>
        <v/>
      </c>
      <c r="BB132" s="13">
        <f>IF(Time!BB53=1,(Waterfall!BB7+Tax!BB27)/$F$129,0)</f>
        <v/>
      </c>
      <c r="BC132" s="13">
        <f>IF(Time!BC53=1,(Waterfall!BC7+Tax!BC27)/$F$129,0)</f>
        <v/>
      </c>
      <c r="BD132" s="13">
        <f>IF(Time!BD53=1,(Waterfall!BD7+Tax!BD27)/$F$129,0)</f>
        <v/>
      </c>
      <c r="BE132" s="13">
        <f>IF(Time!BE53=1,(Waterfall!BE7+Tax!BE27)/$F$129,0)</f>
        <v/>
      </c>
      <c r="BF132" s="13">
        <f>IF(Time!BF53=1,(Waterfall!BF7+Tax!BF27)/$F$129,0)</f>
        <v/>
      </c>
      <c r="BG132" s="13">
        <f>IF(Time!BG53=1,(Waterfall!BG7+Tax!BG27)/$F$129,0)</f>
        <v/>
      </c>
      <c r="BH132" s="13">
        <f>IF(Time!BH53=1,(Waterfall!BH7+Tax!BH27)/$F$129,0)</f>
        <v/>
      </c>
      <c r="BI132" s="13">
        <f>IF(Time!BI53=1,(Waterfall!BI7+Tax!BI27)/$F$129,0)</f>
        <v/>
      </c>
      <c r="BJ132" s="13">
        <f>IF(Time!BJ53=1,(Waterfall!BJ7+Tax!BJ27)/$F$129,0)</f>
        <v/>
      </c>
      <c r="BK132" s="13">
        <f>IF(Time!BK53=1,(Waterfall!BK7+Tax!BK27)/$F$129,0)</f>
        <v/>
      </c>
      <c r="BL132" s="13">
        <f>IF(Time!BL53=1,(Waterfall!BL7+Tax!BL27)/$F$129,0)</f>
        <v/>
      </c>
      <c r="BM132" s="13">
        <f>IF(Time!BM53=1,(Waterfall!BM7+Tax!BM27)/$F$129,0)</f>
        <v/>
      </c>
      <c r="BN132" s="13">
        <f>IF(Time!BN53=1,(Waterfall!BN7+Tax!BN27)/$F$129,0)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IF(Time!J53=1,-1*Inputs!J301/(Funding!$F$25*(Inputs!$F$75*J146+(1-Inputs!$F$75)*J18))*(Inputs!$F$97/100*Time!J24-Operations!J9/100*Time!J25/Inputs!$F$247),0)</f>
        <v/>
      </c>
      <c r="K148" s="16">
        <f>IF(Time!K53=1,-1*Inputs!K301/(Funding!$F$25*(Inputs!$F$75*K146+(1-Inputs!$F$75)*K18))*(Inputs!$F$97/100*Time!K24-Operations!K9/100*Time!K25/Inputs!$F$247),0)</f>
        <v/>
      </c>
      <c r="L148" s="16">
        <f>IF(Time!L53=1,-1*Inputs!L301/(Funding!$F$25*(Inputs!$F$75*L146+(1-Inputs!$F$75)*L18))*(Inputs!$F$97/100*Time!L24-Operations!L9/100*Time!L25/Inputs!$F$247),0)</f>
        <v/>
      </c>
      <c r="M148" s="16">
        <f>IF(Time!M53=1,-1*Inputs!M301/(Funding!$F$25*(Inputs!$F$75*M146+(1-Inputs!$F$75)*M18))*(Inputs!$F$97/100*Time!M24-Operations!M9/100*Time!M25/Inputs!$F$247),0)</f>
        <v/>
      </c>
      <c r="N148" s="16">
        <f>IF(Time!N53=1,-1*Inputs!N301/(Funding!$F$25*(Inputs!$F$75*N146+(1-Inputs!$F$75)*N18))*(Inputs!$F$97/100*Time!N24-Operations!N9/100*Time!N25/Inputs!$F$247),0)</f>
        <v/>
      </c>
      <c r="O148" s="16">
        <f>IF(Time!O53=1,-1*Inputs!O301/(Funding!$F$25*(Inputs!$F$75*O146+(1-Inputs!$F$75)*O18))*(Inputs!$F$97/100*Time!O24-Operations!O9/100*Time!O25/Inputs!$F$247),0)</f>
        <v/>
      </c>
      <c r="P148" s="16">
        <f>IF(Time!P53=1,-1*Inputs!P301/(Funding!$F$25*(Inputs!$F$75*P146+(1-Inputs!$F$75)*P18))*(Inputs!$F$97/100*Time!P24-Operations!P9/100*Time!P25/Inputs!$F$247),0)</f>
        <v/>
      </c>
      <c r="Q148" s="16">
        <f>IF(Time!Q53=1,-1*Inputs!Q301/(Funding!$F$25*(Inputs!$F$75*Q146+(1-Inputs!$F$75)*Q18))*(Inputs!$F$97/100*Time!Q24-Operations!Q9/100*Time!Q25/Inputs!$F$247),0)</f>
        <v/>
      </c>
      <c r="R148" s="16">
        <f>IF(Time!R53=1,-1*Inputs!R301/(Funding!$F$25*(Inputs!$F$75*R146+(1-Inputs!$F$75)*R18))*(Inputs!$F$97/100*Time!R24-Operations!R9/100*Time!R25/Inputs!$F$247),0)</f>
        <v/>
      </c>
      <c r="S148" s="16">
        <f>IF(Time!S53=1,-1*Inputs!S301/(Funding!$F$25*(Inputs!$F$75*S146+(1-Inputs!$F$75)*S18))*(Inputs!$F$97/100*Time!S24-Operations!S9/100*Time!S25/Inputs!$F$247),0)</f>
        <v/>
      </c>
      <c r="T148" s="16">
        <f>IF(Time!T53=1,-1*Inputs!T301/(Funding!$F$25*(Inputs!$F$75*T146+(1-Inputs!$F$75)*T18))*(Inputs!$F$97/100*Time!T24-Operations!T9/100*Time!T25/Inputs!$F$247),0)</f>
        <v/>
      </c>
      <c r="U148" s="16">
        <f>IF(Time!U53=1,-1*Inputs!U301/(Funding!$F$25*(Inputs!$F$75*U146+(1-Inputs!$F$75)*U18))*(Inputs!$F$97/100*Time!U24-Operations!U9/100*Time!U25/Inputs!$F$247),0)</f>
        <v/>
      </c>
      <c r="V148" s="16">
        <f>IF(Time!V53=1,-1*Inputs!V301/(Funding!$F$25*(Inputs!$F$75*V146+(1-Inputs!$F$75)*V18))*(Inputs!$F$97/100*Time!V24-Operations!V9/100*Time!V25/Inputs!$F$247),0)</f>
        <v/>
      </c>
      <c r="W148" s="16">
        <f>IF(Time!W53=1,-1*Inputs!W301/(Funding!$F$25*(Inputs!$F$75*W146+(1-Inputs!$F$75)*W18))*(Inputs!$F$97/100*Time!W24-Operations!W9/100*Time!W25/Inputs!$F$247),0)</f>
        <v/>
      </c>
      <c r="X148" s="16">
        <f>IF(Time!X53=1,-1*Inputs!X301/(Funding!$F$25*(Inputs!$F$75*X146+(1-Inputs!$F$75)*X18))*(Inputs!$F$97/100*Time!X24-Operations!X9/100*Time!X25/Inputs!$F$247),0)</f>
        <v/>
      </c>
      <c r="Y148" s="16">
        <f>IF(Time!Y53=1,-1*Inputs!Y301/(Funding!$F$25*(Inputs!$F$75*Y146+(1-Inputs!$F$75)*Y18))*(Inputs!$F$97/100*Time!Y24-Operations!Y9/100*Time!Y25/Inputs!$F$247),0)</f>
        <v/>
      </c>
      <c r="Z148" s="16">
        <f>IF(Time!Z53=1,-1*Inputs!Z301/(Funding!$F$25*(Inputs!$F$75*Z146+(1-Inputs!$F$75)*Z18))*(Inputs!$F$97/100*Time!Z24-Operations!Z9/100*Time!Z25/Inputs!$F$247),0)</f>
        <v/>
      </c>
      <c r="AA148" s="16">
        <f>IF(Time!AA53=1,-1*Inputs!AA301/(Funding!$F$25*(Inputs!$F$75*AA146+(1-Inputs!$F$75)*AA18))*(Inputs!$F$97/100*Time!AA24-Operations!AA9/100*Time!AA25/Inputs!$F$247),0)</f>
        <v/>
      </c>
      <c r="AB148" s="16">
        <f>IF(Time!AB53=1,-1*Inputs!AB301/(Funding!$F$25*(Inputs!$F$75*AB146+(1-Inputs!$F$75)*AB18))*(Inputs!$F$97/100*Time!AB24-Operations!AB9/100*Time!AB25/Inputs!$F$247),0)</f>
        <v/>
      </c>
      <c r="AC148" s="16">
        <f>IF(Time!AC53=1,-1*Inputs!AC301/(Funding!$F$25*(Inputs!$F$75*AC146+(1-Inputs!$F$75)*AC18))*(Inputs!$F$97/100*Time!AC24-Operations!AC9/100*Time!AC25/Inputs!$F$247),0)</f>
        <v/>
      </c>
      <c r="AD148" s="16">
        <f>IF(Time!AD53=1,-1*Inputs!AD301/(Funding!$F$25*(Inputs!$F$75*AD146+(1-Inputs!$F$75)*AD18))*(Inputs!$F$97/100*Time!AD24-Operations!AD9/100*Time!AD25/Inputs!$F$247),0)</f>
        <v/>
      </c>
      <c r="AE148" s="16">
        <f>IF(Time!AE53=1,-1*Inputs!AE301/(Funding!$F$25*(Inputs!$F$75*AE146+(1-Inputs!$F$75)*AE18))*(Inputs!$F$97/100*Time!AE24-Operations!AE9/100*Time!AE25/Inputs!$F$247),0)</f>
        <v/>
      </c>
      <c r="AF148" s="16">
        <f>IF(Time!AF53=1,-1*Inputs!AF301/(Funding!$F$25*(Inputs!$F$75*AF146+(1-Inputs!$F$75)*AF18))*(Inputs!$F$97/100*Time!AF24-Operations!AF9/100*Time!AF25/Inputs!$F$247),0)</f>
        <v/>
      </c>
      <c r="AG148" s="16">
        <f>IF(Time!AG53=1,-1*Inputs!AG301/(Funding!$F$25*(Inputs!$F$75*AG146+(1-Inputs!$F$75)*AG18))*(Inputs!$F$97/100*Time!AG24-Operations!AG9/100*Time!AG25/Inputs!$F$247),0)</f>
        <v/>
      </c>
      <c r="AH148" s="16">
        <f>IF(Time!AH53=1,-1*Inputs!AH301/(Funding!$F$25*(Inputs!$F$75*AH146+(1-Inputs!$F$75)*AH18))*(Inputs!$F$97/100*Time!AH24-Operations!AH9/100*Time!AH25/Inputs!$F$247),0)</f>
        <v/>
      </c>
      <c r="AI148" s="16">
        <f>IF(Time!AI53=1,-1*Inputs!AI301/(Funding!$F$25*(Inputs!$F$75*AI146+(1-Inputs!$F$75)*AI18))*(Inputs!$F$97/100*Time!AI24-Operations!AI9/100*Time!AI25/Inputs!$F$247),0)</f>
        <v/>
      </c>
      <c r="AJ148" s="16">
        <f>IF(Time!AJ53=1,-1*Inputs!AJ301/(Funding!$F$25*(Inputs!$F$75*AJ146+(1-Inputs!$F$75)*AJ18))*(Inputs!$F$97/100*Time!AJ24-Operations!AJ9/100*Time!AJ25/Inputs!$F$247),0)</f>
        <v/>
      </c>
      <c r="AK148" s="16">
        <f>IF(Time!AK53=1,-1*Inputs!AK301/(Funding!$F$25*(Inputs!$F$75*AK146+(1-Inputs!$F$75)*AK18))*(Inputs!$F$97/100*Time!AK24-Operations!AK9/100*Time!AK25/Inputs!$F$247),0)</f>
        <v/>
      </c>
      <c r="AL148" s="16">
        <f>IF(Time!AL53=1,-1*Inputs!AL301/(Funding!$F$25*(Inputs!$F$75*AL146+(1-Inputs!$F$75)*AL18))*(Inputs!$F$97/100*Time!AL24-Operations!AL9/100*Time!AL25/Inputs!$F$247),0)</f>
        <v/>
      </c>
      <c r="AM148" s="16">
        <f>IF(Time!AM53=1,-1*Inputs!AM301/(Funding!$F$25*(Inputs!$F$75*AM146+(1-Inputs!$F$75)*AM18))*(Inputs!$F$97/100*Time!AM24-Operations!AM9/100*Time!AM25/Inputs!$F$247),0)</f>
        <v/>
      </c>
      <c r="AN148" s="16">
        <f>IF(Time!AN53=1,-1*Inputs!AN301/(Funding!$F$25*(Inputs!$F$75*AN146+(1-Inputs!$F$75)*AN18))*(Inputs!$F$97/100*Time!AN24-Operations!AN9/100*Time!AN25/Inputs!$F$247),0)</f>
        <v/>
      </c>
      <c r="AO148" s="16">
        <f>IF(Time!AO53=1,-1*Inputs!AO301/(Funding!$F$25*(Inputs!$F$75*AO146+(1-Inputs!$F$75)*AO18))*(Inputs!$F$97/100*Time!AO24-Operations!AO9/100*Time!AO25/Inputs!$F$247),0)</f>
        <v/>
      </c>
      <c r="AP148" s="16">
        <f>IF(Time!AP53=1,-1*Inputs!AP301/(Funding!$F$25*(Inputs!$F$75*AP146+(1-Inputs!$F$75)*AP18))*(Inputs!$F$97/100*Time!AP24-Operations!AP9/100*Time!AP25/Inputs!$F$247),0)</f>
        <v/>
      </c>
      <c r="AQ148" s="16">
        <f>IF(Time!AQ53=1,-1*Inputs!AQ301/(Funding!$F$25*(Inputs!$F$75*AQ146+(1-Inputs!$F$75)*AQ18))*(Inputs!$F$97/100*Time!AQ24-Operations!AQ9/100*Time!AQ25/Inputs!$F$247),0)</f>
        <v/>
      </c>
      <c r="AR148" s="16">
        <f>IF(Time!AR53=1,-1*Inputs!AR301/(Funding!$F$25*(Inputs!$F$75*AR146+(1-Inputs!$F$75)*AR18))*(Inputs!$F$97/100*Time!AR24-Operations!AR9/100*Time!AR25/Inputs!$F$247),0)</f>
        <v/>
      </c>
      <c r="AS148" s="16">
        <f>IF(Time!AS53=1,-1*Inputs!AS301/(Funding!$F$25*(Inputs!$F$75*AS146+(1-Inputs!$F$75)*AS18))*(Inputs!$F$97/100*Time!AS24-Operations!AS9/100*Time!AS25/Inputs!$F$247),0)</f>
        <v/>
      </c>
      <c r="AT148" s="16">
        <f>IF(Time!AT53=1,-1*Inputs!AT301/(Funding!$F$25*(Inputs!$F$75*AT146+(1-Inputs!$F$75)*AT18))*(Inputs!$F$97/100*Time!AT24-Operations!AT9/100*Time!AT25/Inputs!$F$247),0)</f>
        <v/>
      </c>
      <c r="AU148" s="16">
        <f>IF(Time!AU53=1,-1*Inputs!AU301/(Funding!$F$25*(Inputs!$F$75*AU146+(1-Inputs!$F$75)*AU18))*(Inputs!$F$97/100*Time!AU24-Operations!AU9/100*Time!AU25/Inputs!$F$247),0)</f>
        <v/>
      </c>
      <c r="AV148" s="16">
        <f>IF(Time!AV53=1,-1*Inputs!AV301/(Funding!$F$25*(Inputs!$F$75*AV146+(1-Inputs!$F$75)*AV18))*(Inputs!$F$97/100*Time!AV24-Operations!AV9/100*Time!AV25/Inputs!$F$247),0)</f>
        <v/>
      </c>
      <c r="AW148" s="16">
        <f>IF(Time!AW53=1,-1*Inputs!AW301/(Funding!$F$25*(Inputs!$F$75*AW146+(1-Inputs!$F$75)*AW18))*(Inputs!$F$97/100*Time!AW24-Operations!AW9/100*Time!AW25/Inputs!$F$247),0)</f>
        <v/>
      </c>
      <c r="AX148" s="16">
        <f>IF(Time!AX53=1,-1*Inputs!AX301/(Funding!$F$25*(Inputs!$F$75*AX146+(1-Inputs!$F$75)*AX18))*(Inputs!$F$97/100*Time!AX24-Operations!AX9/100*Time!AX25/Inputs!$F$247),0)</f>
        <v/>
      </c>
      <c r="AY148" s="16">
        <f>IF(Time!AY53=1,-1*Inputs!AY301/(Funding!$F$25*(Inputs!$F$75*AY146+(1-Inputs!$F$75)*AY18))*(Inputs!$F$97/100*Time!AY24-Operations!AY9/100*Time!AY25/Inputs!$F$247),0)</f>
        <v/>
      </c>
      <c r="AZ148" s="16">
        <f>IF(Time!AZ53=1,-1*Inputs!AZ301/(Funding!$F$25*(Inputs!$F$75*AZ146+(1-Inputs!$F$75)*AZ18))*(Inputs!$F$97/100*Time!AZ24-Operations!AZ9/100*Time!AZ25/Inputs!$F$247),0)</f>
        <v/>
      </c>
      <c r="BA148" s="16">
        <f>IF(Time!BA53=1,-1*Inputs!BA301/(Funding!$F$25*(Inputs!$F$75*BA146+(1-Inputs!$F$75)*BA18))*(Inputs!$F$97/100*Time!BA24-Operations!BA9/100*Time!BA25/Inputs!$F$247),0)</f>
        <v/>
      </c>
      <c r="BB148" s="16">
        <f>IF(Time!BB53=1,-1*Inputs!BB301/(Funding!$F$25*(Inputs!$F$75*BB146+(1-Inputs!$F$75)*BB18))*(Inputs!$F$97/100*Time!BB24-Operations!BB9/100*Time!BB25/Inputs!$F$247),0)</f>
        <v/>
      </c>
      <c r="BC148" s="16">
        <f>IF(Time!BC53=1,-1*Inputs!BC301/(Funding!$F$25*(Inputs!$F$75*BC146+(1-Inputs!$F$75)*BC18))*(Inputs!$F$97/100*Time!BC24-Operations!BC9/100*Time!BC25/Inputs!$F$247),0)</f>
        <v/>
      </c>
      <c r="BD148" s="16">
        <f>IF(Time!BD53=1,-1*Inputs!BD301/(Funding!$F$25*(Inputs!$F$75*BD146+(1-Inputs!$F$75)*BD18))*(Inputs!$F$97/100*Time!BD24-Operations!BD9/100*Time!BD25/Inputs!$F$247),0)</f>
        <v/>
      </c>
      <c r="BE148" s="16">
        <f>IF(Time!BE53=1,-1*Inputs!BE301/(Funding!$F$25*(Inputs!$F$75*BE146+(1-Inputs!$F$75)*BE18))*(Inputs!$F$97/100*Time!BE24-Operations!BE9/100*Time!BE25/Inputs!$F$247),0)</f>
        <v/>
      </c>
      <c r="BF148" s="16">
        <f>IF(Time!BF53=1,-1*Inputs!BF301/(Funding!$F$25*(Inputs!$F$75*BF146+(1-Inputs!$F$75)*BF18))*(Inputs!$F$97/100*Time!BF24-Operations!BF9/100*Time!BF25/Inputs!$F$247),0)</f>
        <v/>
      </c>
      <c r="BG148" s="16">
        <f>IF(Time!BG53=1,-1*Inputs!BG301/(Funding!$F$25*(Inputs!$F$75*BG146+(1-Inputs!$F$75)*BG18))*(Inputs!$F$97/100*Time!BG24-Operations!BG9/100*Time!BG25/Inputs!$F$247),0)</f>
        <v/>
      </c>
      <c r="BH148" s="16">
        <f>IF(Time!BH53=1,-1*Inputs!BH301/(Funding!$F$25*(Inputs!$F$75*BH146+(1-Inputs!$F$75)*BH18))*(Inputs!$F$97/100*Time!BH24-Operations!BH9/100*Time!BH25/Inputs!$F$247),0)</f>
        <v/>
      </c>
      <c r="BI148" s="16">
        <f>IF(Time!BI53=1,-1*Inputs!BI301/(Funding!$F$25*(Inputs!$F$75*BI146+(1-Inputs!$F$75)*BI18))*(Inputs!$F$97/100*Time!BI24-Operations!BI9/100*Time!BI25/Inputs!$F$247),0)</f>
        <v/>
      </c>
      <c r="BJ148" s="16">
        <f>IF(Time!BJ53=1,-1*Inputs!BJ301/(Funding!$F$25*(Inputs!$F$75*BJ146+(1-Inputs!$F$75)*BJ18))*(Inputs!$F$97/100*Time!BJ24-Operations!BJ9/100*Time!BJ25/Inputs!$F$247),0)</f>
        <v/>
      </c>
      <c r="BK148" s="16">
        <f>IF(Time!BK53=1,-1*Inputs!BK301/(Funding!$F$25*(Inputs!$F$75*BK146+(1-Inputs!$F$75)*BK18))*(Inputs!$F$97/100*Time!BK24-Operations!BK9/100*Time!BK25/Inputs!$F$247),0)</f>
        <v/>
      </c>
      <c r="BL148" s="16">
        <f>IF(Time!BL53=1,-1*Inputs!BL301/(Funding!$F$25*(Inputs!$F$75*BL146+(1-Inputs!$F$75)*BL18))*(Inputs!$F$97/100*Time!BL24-Operations!BL9/100*Time!BL25/Inputs!$F$247),0)</f>
        <v/>
      </c>
      <c r="BM148" s="16">
        <f>IF(Time!BM53=1,-1*Inputs!BM301/(Funding!$F$25*(Inputs!$F$75*BM146+(1-Inputs!$F$75)*BM18))*(Inputs!$F$97/100*Time!BM24-Operations!BM9/100*Time!BM25/Inputs!$F$247),0)</f>
        <v/>
      </c>
      <c r="BN148" s="16">
        <f>IF(Time!BN53=1,-1*Inputs!BN301/(Funding!$F$25*(Inputs!$F$75*BN146+(1-Inputs!$F$75)*BN18))*(Inputs!$F$97/100*Time!BN24-Operations!BN9/100*Time!BN25/Inputs!$F$247),0)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IF(Time!J34=1,INDEX(Funding!$J$54:$BJ$54,1,Time!$F$14)+SUM(Funding!$J$79:$BJ$79),0)+I30+I42</f>
        <v/>
      </c>
      <c r="K8" s="13">
        <f>IF(Time!K34=1,INDEX(Funding!$J$54:$BJ$54,1,Time!$F$14)+SUM(Funding!$J$79:$BJ$79),0)+J30+J42</f>
        <v/>
      </c>
      <c r="L8" s="13">
        <f>IF(Time!L34=1,INDEX(Funding!$J$54:$BJ$54,1,Time!$F$14)+SUM(Funding!$J$79:$BJ$79),0)+K30+K42</f>
        <v/>
      </c>
      <c r="M8" s="13">
        <f>IF(Time!M34=1,INDEX(Funding!$J$54:$BJ$54,1,Time!$F$14)+SUM(Funding!$J$79:$BJ$79),0)+L30+L42</f>
        <v/>
      </c>
      <c r="N8" s="13">
        <f>IF(Time!N34=1,INDEX(Funding!$J$54:$BJ$54,1,Time!$F$14)+SUM(Funding!$J$79:$BJ$79),0)+M30+M42</f>
        <v/>
      </c>
      <c r="O8" s="13">
        <f>IF(Time!O34=1,INDEX(Funding!$J$54:$BJ$54,1,Time!$F$14)+SUM(Funding!$J$79:$BJ$79),0)+N30+N42</f>
        <v/>
      </c>
      <c r="P8" s="13">
        <f>IF(Time!P34=1,INDEX(Funding!$J$54:$BJ$54,1,Time!$F$14)+SUM(Funding!$J$79:$BJ$79),0)+O30+O42</f>
        <v/>
      </c>
      <c r="Q8" s="13">
        <f>IF(Time!Q34=1,INDEX(Funding!$J$54:$BJ$54,1,Time!$F$14)+SUM(Funding!$J$79:$BJ$79),0)+P30+P42</f>
        <v/>
      </c>
      <c r="R8" s="13">
        <f>IF(Time!R34=1,INDEX(Funding!$J$54:$BJ$54,1,Time!$F$14)+SUM(Funding!$J$79:$BJ$79),0)+Q30+Q42</f>
        <v/>
      </c>
      <c r="S8" s="13">
        <f>IF(Time!S34=1,INDEX(Funding!$J$54:$BJ$54,1,Time!$F$14)+SUM(Funding!$J$79:$BJ$79),0)+R30+R42</f>
        <v/>
      </c>
      <c r="T8" s="13">
        <f>IF(Time!T34=1,INDEX(Funding!$J$54:$BJ$54,1,Time!$F$14)+SUM(Funding!$J$79:$BJ$79),0)+S30+S42</f>
        <v/>
      </c>
      <c r="U8" s="13">
        <f>IF(Time!U34=1,INDEX(Funding!$J$54:$BJ$54,1,Time!$F$14)+SUM(Funding!$J$79:$BJ$79),0)+T30+T42</f>
        <v/>
      </c>
      <c r="V8" s="13">
        <f>IF(Time!V34=1,INDEX(Funding!$J$54:$BJ$54,1,Time!$F$14)+SUM(Funding!$J$79:$BJ$79),0)+U30+U42</f>
        <v/>
      </c>
      <c r="W8" s="13">
        <f>IF(Time!W34=1,INDEX(Funding!$J$54:$BJ$54,1,Time!$F$14)+SUM(Funding!$J$79:$BJ$79),0)+V30+V42</f>
        <v/>
      </c>
      <c r="X8" s="13">
        <f>IF(Time!X34=1,INDEX(Funding!$J$54:$BJ$54,1,Time!$F$14)+SUM(Funding!$J$79:$BJ$79),0)+W30+W42</f>
        <v/>
      </c>
      <c r="Y8" s="13">
        <f>IF(Time!Y34=1,INDEX(Funding!$J$54:$BJ$54,1,Time!$F$14)+SUM(Funding!$J$79:$BJ$79),0)+X30+X42</f>
        <v/>
      </c>
      <c r="Z8" s="13">
        <f>IF(Time!Z34=1,INDEX(Funding!$J$54:$BJ$54,1,Time!$F$14)+SUM(Funding!$J$79:$BJ$79),0)+Y30+Y42</f>
        <v/>
      </c>
      <c r="AA8" s="13">
        <f>IF(Time!AA34=1,INDEX(Funding!$J$54:$BJ$54,1,Time!$F$14)+SUM(Funding!$J$79:$BJ$79),0)+Z30+Z42</f>
        <v/>
      </c>
      <c r="AB8" s="13">
        <f>IF(Time!AB34=1,INDEX(Funding!$J$54:$BJ$54,1,Time!$F$14)+SUM(Funding!$J$79:$BJ$79),0)+AA30+AA42</f>
        <v/>
      </c>
      <c r="AC8" s="13">
        <f>IF(Time!AC34=1,INDEX(Funding!$J$54:$BJ$54,1,Time!$F$14)+SUM(Funding!$J$79:$BJ$79),0)+AB30+AB42</f>
        <v/>
      </c>
      <c r="AD8" s="13">
        <f>IF(Time!AD34=1,INDEX(Funding!$J$54:$BJ$54,1,Time!$F$14)+SUM(Funding!$J$79:$BJ$79),0)+AC30+AC42</f>
        <v/>
      </c>
      <c r="AE8" s="13">
        <f>IF(Time!AE34=1,INDEX(Funding!$J$54:$BJ$54,1,Time!$F$14)+SUM(Funding!$J$79:$BJ$79),0)+AD30+AD42</f>
        <v/>
      </c>
      <c r="AF8" s="13">
        <f>IF(Time!AF34=1,INDEX(Funding!$J$54:$BJ$54,1,Time!$F$14)+SUM(Funding!$J$79:$BJ$79),0)+AE30+AE42</f>
        <v/>
      </c>
      <c r="AG8" s="13">
        <f>IF(Time!AG34=1,INDEX(Funding!$J$54:$BJ$54,1,Time!$F$14)+SUM(Funding!$J$79:$BJ$79),0)+AF30+AF42</f>
        <v/>
      </c>
      <c r="AH8" s="13">
        <f>IF(Time!AH34=1,INDEX(Funding!$J$54:$BJ$54,1,Time!$F$14)+SUM(Funding!$J$79:$BJ$79),0)+AG30+AG42</f>
        <v/>
      </c>
      <c r="AI8" s="13">
        <f>IF(Time!AI34=1,INDEX(Funding!$J$54:$BJ$54,1,Time!$F$14)+SUM(Funding!$J$79:$BJ$79),0)+AH30+AH42</f>
        <v/>
      </c>
      <c r="AJ8" s="13">
        <f>IF(Time!AJ34=1,INDEX(Funding!$J$54:$BJ$54,1,Time!$F$14)+SUM(Funding!$J$79:$BJ$79),0)+AI30+AI42</f>
        <v/>
      </c>
      <c r="AK8" s="13">
        <f>IF(Time!AK34=1,INDEX(Funding!$J$54:$BJ$54,1,Time!$F$14)+SUM(Funding!$J$79:$BJ$79),0)+AJ30+AJ42</f>
        <v/>
      </c>
      <c r="AL8" s="13">
        <f>IF(Time!AL34=1,INDEX(Funding!$J$54:$BJ$54,1,Time!$F$14)+SUM(Funding!$J$79:$BJ$79),0)+AK30+AK42</f>
        <v/>
      </c>
      <c r="AM8" s="13">
        <f>IF(Time!AM34=1,INDEX(Funding!$J$54:$BJ$54,1,Time!$F$14)+SUM(Funding!$J$79:$BJ$79),0)+AL30+AL42</f>
        <v/>
      </c>
      <c r="AN8" s="13">
        <f>IF(Time!AN34=1,INDEX(Funding!$J$54:$BJ$54,1,Time!$F$14)+SUM(Funding!$J$79:$BJ$79),0)+AM30+AM42</f>
        <v/>
      </c>
      <c r="AO8" s="13">
        <f>IF(Time!AO34=1,INDEX(Funding!$J$54:$BJ$54,1,Time!$F$14)+SUM(Funding!$J$79:$BJ$79),0)+AN30+AN42</f>
        <v/>
      </c>
      <c r="AP8" s="13">
        <f>IF(Time!AP34=1,INDEX(Funding!$J$54:$BJ$54,1,Time!$F$14)+SUM(Funding!$J$79:$BJ$79),0)+AO30+AO42</f>
        <v/>
      </c>
      <c r="AQ8" s="13">
        <f>IF(Time!AQ34=1,INDEX(Funding!$J$54:$BJ$54,1,Time!$F$14)+SUM(Funding!$J$79:$BJ$79),0)+AP30+AP42</f>
        <v/>
      </c>
      <c r="AR8" s="13">
        <f>IF(Time!AR34=1,INDEX(Funding!$J$54:$BJ$54,1,Time!$F$14)+SUM(Funding!$J$79:$BJ$79),0)+AQ30+AQ42</f>
        <v/>
      </c>
      <c r="AS8" s="13">
        <f>IF(Time!AS34=1,INDEX(Funding!$J$54:$BJ$54,1,Time!$F$14)+SUM(Funding!$J$79:$BJ$79),0)+AR30+AR42</f>
        <v/>
      </c>
      <c r="AT8" s="13">
        <f>IF(Time!AT34=1,INDEX(Funding!$J$54:$BJ$54,1,Time!$F$14)+SUM(Funding!$J$79:$BJ$79),0)+AS30+AS42</f>
        <v/>
      </c>
      <c r="AU8" s="13">
        <f>IF(Time!AU34=1,INDEX(Funding!$J$54:$BJ$54,1,Time!$F$14)+SUM(Funding!$J$79:$BJ$79),0)+AT30+AT42</f>
        <v/>
      </c>
      <c r="AV8" s="13">
        <f>IF(Time!AV34=1,INDEX(Funding!$J$54:$BJ$54,1,Time!$F$14)+SUM(Funding!$J$79:$BJ$79),0)+AU30+AU42</f>
        <v/>
      </c>
      <c r="AW8" s="13">
        <f>IF(Time!AW34=1,INDEX(Funding!$J$54:$BJ$54,1,Time!$F$14)+SUM(Funding!$J$79:$BJ$79),0)+AV30+AV42</f>
        <v/>
      </c>
      <c r="AX8" s="13">
        <f>IF(Time!AX34=1,INDEX(Funding!$J$54:$BJ$54,1,Time!$F$14)+SUM(Funding!$J$79:$BJ$79),0)+AW30+AW42</f>
        <v/>
      </c>
      <c r="AY8" s="13">
        <f>IF(Time!AY34=1,INDEX(Funding!$J$54:$BJ$54,1,Time!$F$14)+SUM(Funding!$J$79:$BJ$79),0)+AX30+AX42</f>
        <v/>
      </c>
      <c r="AZ8" s="13">
        <f>IF(Time!AZ34=1,INDEX(Funding!$J$54:$BJ$54,1,Time!$F$14)+SUM(Funding!$J$79:$BJ$79),0)+AY30+AY42</f>
        <v/>
      </c>
      <c r="BA8" s="13">
        <f>IF(Time!BA34=1,INDEX(Funding!$J$54:$BJ$54,1,Time!$F$14)+SUM(Funding!$J$79:$BJ$79),0)+AZ30+AZ42</f>
        <v/>
      </c>
      <c r="BB8" s="13">
        <f>IF(Time!BB34=1,INDEX(Funding!$J$54:$BJ$54,1,Time!$F$14)+SUM(Funding!$J$79:$BJ$79),0)+BA30+BA42</f>
        <v/>
      </c>
      <c r="BC8" s="13">
        <f>IF(Time!BC34=1,INDEX(Funding!$J$54:$BJ$54,1,Time!$F$14)+SUM(Funding!$J$79:$BJ$79),0)+BB30+BB42</f>
        <v/>
      </c>
      <c r="BD8" s="13">
        <f>IF(Time!BD34=1,INDEX(Funding!$J$54:$BJ$54,1,Time!$F$14)+SUM(Funding!$J$79:$BJ$79),0)+BC30+BC42</f>
        <v/>
      </c>
      <c r="BE8" s="13">
        <f>IF(Time!BE34=1,INDEX(Funding!$J$54:$BJ$54,1,Time!$F$14)+SUM(Funding!$J$79:$BJ$79),0)+BD30+BD42</f>
        <v/>
      </c>
      <c r="BF8" s="13">
        <f>IF(Time!BF34=1,INDEX(Funding!$J$54:$BJ$54,1,Time!$F$14)+SUM(Funding!$J$79:$BJ$79),0)+BE30+BE42</f>
        <v/>
      </c>
      <c r="BG8" s="13">
        <f>IF(Time!BG34=1,INDEX(Funding!$J$54:$BJ$54,1,Time!$F$14)+SUM(Funding!$J$79:$BJ$79),0)+BF30+BF42</f>
        <v/>
      </c>
      <c r="BH8" s="13">
        <f>IF(Time!BH34=1,INDEX(Funding!$J$54:$BJ$54,1,Time!$F$14)+SUM(Funding!$J$79:$BJ$79),0)+BG30+BG42</f>
        <v/>
      </c>
      <c r="BI8" s="13">
        <f>IF(Time!BI34=1,INDEX(Funding!$J$54:$BJ$54,1,Time!$F$14)+SUM(Funding!$J$79:$BJ$79),0)+BH30+BH42</f>
        <v/>
      </c>
      <c r="BJ8" s="13">
        <f>IF(Time!BJ34=1,INDEX(Funding!$J$54:$BJ$54,1,Time!$F$14)+SUM(Funding!$J$79:$BJ$79),0)+BI30+BI42</f>
        <v/>
      </c>
      <c r="BK8" s="13">
        <f>IF(Time!BK34=1,INDEX(Funding!$J$54:$BJ$54,1,Time!$F$14)+SUM(Funding!$J$79:$BJ$79),0)+BJ30+BJ42</f>
        <v/>
      </c>
      <c r="BL8" s="13">
        <f>IF(Time!BL34=1,INDEX(Funding!$J$54:$BJ$54,1,Time!$F$14)+SUM(Funding!$J$79:$BJ$79),0)+BK30+BK42</f>
        <v/>
      </c>
      <c r="BM8" s="13">
        <f>IF(Time!BM34=1,INDEX(Funding!$J$54:$BJ$54,1,Time!$F$14)+SUM(Funding!$J$79:$BJ$79),0)+BL30+BL42</f>
        <v/>
      </c>
      <c r="BN8" s="13">
        <f>IF(Time!BN34=1,INDEX(Funding!$J$54:$BJ$54,1,Time!$F$14)+SUM(Funding!$J$79:$BJ$79),0)+BM30+BM42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Debt-service shortfall before DSRA (the DSRA covers debt service only)</t>
        </is>
      </c>
      <c r="E11" t="inlineStr">
        <is>
          <t>USD m</t>
        </is>
      </c>
      <c r="G11" s="13">
        <f>SUM(J11:BN11)</f>
        <v/>
      </c>
      <c r="J11" s="13">
        <f>MIN(J10,MAX(0,J10-J9))</f>
        <v/>
      </c>
      <c r="K11" s="13">
        <f>MIN(K10,MAX(0,K10-K9))</f>
        <v/>
      </c>
      <c r="L11" s="13">
        <f>MIN(L10,MAX(0,L10-L9))</f>
        <v/>
      </c>
      <c r="M11" s="13">
        <f>MIN(M10,MAX(0,M10-M9))</f>
        <v/>
      </c>
      <c r="N11" s="13">
        <f>MIN(N10,MAX(0,N10-N9))</f>
        <v/>
      </c>
      <c r="O11" s="13">
        <f>MIN(O10,MAX(0,O10-O9))</f>
        <v/>
      </c>
      <c r="P11" s="13">
        <f>MIN(P10,MAX(0,P10-P9))</f>
        <v/>
      </c>
      <c r="Q11" s="13">
        <f>MIN(Q10,MAX(0,Q10-Q9))</f>
        <v/>
      </c>
      <c r="R11" s="13">
        <f>MIN(R10,MAX(0,R10-R9))</f>
        <v/>
      </c>
      <c r="S11" s="13">
        <f>MIN(S10,MAX(0,S10-S9))</f>
        <v/>
      </c>
      <c r="T11" s="13">
        <f>MIN(T10,MAX(0,T10-T9))</f>
        <v/>
      </c>
      <c r="U11" s="13">
        <f>MIN(U10,MAX(0,U10-U9))</f>
        <v/>
      </c>
      <c r="V11" s="13">
        <f>MIN(V10,MAX(0,V10-V9))</f>
        <v/>
      </c>
      <c r="W11" s="13">
        <f>MIN(W10,MAX(0,W10-W9))</f>
        <v/>
      </c>
      <c r="X11" s="13">
        <f>MIN(X10,MAX(0,X10-X9))</f>
        <v/>
      </c>
      <c r="Y11" s="13">
        <f>MIN(Y10,MAX(0,Y10-Y9))</f>
        <v/>
      </c>
      <c r="Z11" s="13">
        <f>MIN(Z10,MAX(0,Z10-Z9))</f>
        <v/>
      </c>
      <c r="AA11" s="13">
        <f>MIN(AA10,MAX(0,AA10-AA9))</f>
        <v/>
      </c>
      <c r="AB11" s="13">
        <f>MIN(AB10,MAX(0,AB10-AB9))</f>
        <v/>
      </c>
      <c r="AC11" s="13">
        <f>MIN(AC10,MAX(0,AC10-AC9))</f>
        <v/>
      </c>
      <c r="AD11" s="13">
        <f>MIN(AD10,MAX(0,AD10-AD9))</f>
        <v/>
      </c>
      <c r="AE11" s="13">
        <f>MIN(AE10,MAX(0,AE10-AE9))</f>
        <v/>
      </c>
      <c r="AF11" s="13">
        <f>MIN(AF10,MAX(0,AF10-AF9))</f>
        <v/>
      </c>
      <c r="AG11" s="13">
        <f>MIN(AG10,MAX(0,AG10-AG9))</f>
        <v/>
      </c>
      <c r="AH11" s="13">
        <f>MIN(AH10,MAX(0,AH10-AH9))</f>
        <v/>
      </c>
      <c r="AI11" s="13">
        <f>MIN(AI10,MAX(0,AI10-AI9))</f>
        <v/>
      </c>
      <c r="AJ11" s="13">
        <f>MIN(AJ10,MAX(0,AJ10-AJ9))</f>
        <v/>
      </c>
      <c r="AK11" s="13">
        <f>MIN(AK10,MAX(0,AK10-AK9))</f>
        <v/>
      </c>
      <c r="AL11" s="13">
        <f>MIN(AL10,MAX(0,AL10-AL9))</f>
        <v/>
      </c>
      <c r="AM11" s="13">
        <f>MIN(AM10,MAX(0,AM10-AM9))</f>
        <v/>
      </c>
      <c r="AN11" s="13">
        <f>MIN(AN10,MAX(0,AN10-AN9))</f>
        <v/>
      </c>
      <c r="AO11" s="13">
        <f>MIN(AO10,MAX(0,AO10-AO9))</f>
        <v/>
      </c>
      <c r="AP11" s="13">
        <f>MIN(AP10,MAX(0,AP10-AP9))</f>
        <v/>
      </c>
      <c r="AQ11" s="13">
        <f>MIN(AQ10,MAX(0,AQ10-AQ9))</f>
        <v/>
      </c>
      <c r="AR11" s="13">
        <f>MIN(AR10,MAX(0,AR10-AR9))</f>
        <v/>
      </c>
      <c r="AS11" s="13">
        <f>MIN(AS10,MAX(0,AS10-AS9))</f>
        <v/>
      </c>
      <c r="AT11" s="13">
        <f>MIN(AT10,MAX(0,AT10-AT9))</f>
        <v/>
      </c>
      <c r="AU11" s="13">
        <f>MIN(AU10,MAX(0,AU10-AU9))</f>
        <v/>
      </c>
      <c r="AV11" s="13">
        <f>MIN(AV10,MAX(0,AV10-AV9))</f>
        <v/>
      </c>
      <c r="AW11" s="13">
        <f>MIN(AW10,MAX(0,AW10-AW9))</f>
        <v/>
      </c>
      <c r="AX11" s="13">
        <f>MIN(AX10,MAX(0,AX10-AX9))</f>
        <v/>
      </c>
      <c r="AY11" s="13">
        <f>MIN(AY10,MAX(0,AY10-AY9))</f>
        <v/>
      </c>
      <c r="AZ11" s="13">
        <f>MIN(AZ10,MAX(0,AZ10-AZ9))</f>
        <v/>
      </c>
      <c r="BA11" s="13">
        <f>MIN(BA10,MAX(0,BA10-BA9))</f>
        <v/>
      </c>
      <c r="BB11" s="13">
        <f>MIN(BB10,MAX(0,BB10-BB9))</f>
        <v/>
      </c>
      <c r="BC11" s="13">
        <f>MIN(BC10,MAX(0,BC10-BC9))</f>
        <v/>
      </c>
      <c r="BD11" s="13">
        <f>MIN(BD10,MAX(0,BD10-BD9))</f>
        <v/>
      </c>
      <c r="BE11" s="13">
        <f>MIN(BE10,MAX(0,BE10-BE9))</f>
        <v/>
      </c>
      <c r="BF11" s="13">
        <f>MIN(BF10,MAX(0,BF10-BF9))</f>
        <v/>
      </c>
      <c r="BG11" s="13">
        <f>MIN(BG10,MAX(0,BG10-BG9))</f>
        <v/>
      </c>
      <c r="BH11" s="13">
        <f>MIN(BH10,MAX(0,BH10-BH9))</f>
        <v/>
      </c>
      <c r="BI11" s="13">
        <f>MIN(BI10,MAX(0,BI10-BI9))</f>
        <v/>
      </c>
      <c r="BJ11" s="13">
        <f>MIN(BJ10,MAX(0,BJ10-BJ9))</f>
        <v/>
      </c>
      <c r="BK11" s="13">
        <f>MIN(BK10,MAX(0,BK10-BK9))</f>
        <v/>
      </c>
      <c r="BL11" s="13">
        <f>MIN(BL10,MAX(0,BL10-BL9))</f>
        <v/>
      </c>
      <c r="BM11" s="13">
        <f>MIN(BM10,MAX(0,BM10-BM9))</f>
        <v/>
      </c>
      <c r="BN11" s="13">
        <f>MIN(BN10,MAX(0,BN10-BN9))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3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J36+J37+J38+J39+J40+J41+J42+J43+J44+J45+J46+J47+J48+J53</f>
        <v/>
      </c>
      <c r="K49" s="13">
        <f>K36+K37+K38+K39+K40+K41+K42+K43+K44+K45+K46+K47+K48+K53</f>
        <v/>
      </c>
      <c r="L49" s="13">
        <f>L36+L37+L38+L39+L40+L41+L42+L43+L44+L45+L46+L47+L48+L53</f>
        <v/>
      </c>
      <c r="M49" s="13">
        <f>M36+M37+M38+M39+M40+M41+M42+M43+M44+M45+M46+M47+M48+M53</f>
        <v/>
      </c>
      <c r="N49" s="13">
        <f>N36+N37+N38+N39+N40+N41+N42+N43+N44+N45+N46+N47+N48+N53</f>
        <v/>
      </c>
      <c r="O49" s="13">
        <f>O36+O37+O38+O39+O40+O41+O42+O43+O44+O45+O46+O47+O48+O53</f>
        <v/>
      </c>
      <c r="P49" s="13">
        <f>P36+P37+P38+P39+P40+P41+P42+P43+P44+P45+P46+P47+P48+P53</f>
        <v/>
      </c>
      <c r="Q49" s="13">
        <f>Q36+Q37+Q38+Q39+Q40+Q41+Q42+Q43+Q44+Q45+Q46+Q47+Q48+Q53</f>
        <v/>
      </c>
      <c r="R49" s="13">
        <f>R36+R37+R38+R39+R40+R41+R42+R43+R44+R45+R46+R47+R48+R53</f>
        <v/>
      </c>
      <c r="S49" s="13">
        <f>S36+S37+S38+S39+S40+S41+S42+S43+S44+S45+S46+S47+S48+S53</f>
        <v/>
      </c>
      <c r="T49" s="13">
        <f>T36+T37+T38+T39+T40+T41+T42+T43+T44+T45+T46+T47+T48+T53</f>
        <v/>
      </c>
      <c r="U49" s="13">
        <f>U36+U37+U38+U39+U40+U41+U42+U43+U44+U45+U46+U47+U48+U53</f>
        <v/>
      </c>
      <c r="V49" s="13">
        <f>V36+V37+V38+V39+V40+V41+V42+V43+V44+V45+V46+V47+V48+V53</f>
        <v/>
      </c>
      <c r="W49" s="13">
        <f>W36+W37+W38+W39+W40+W41+W42+W43+W44+W45+W46+W47+W48+W53</f>
        <v/>
      </c>
      <c r="X49" s="13">
        <f>X36+X37+X38+X39+X40+X41+X42+X43+X44+X45+X46+X47+X48+X53</f>
        <v/>
      </c>
      <c r="Y49" s="13">
        <f>Y36+Y37+Y38+Y39+Y40+Y41+Y42+Y43+Y44+Y45+Y46+Y47+Y48+Y53</f>
        <v/>
      </c>
      <c r="Z49" s="13">
        <f>Z36+Z37+Z38+Z39+Z40+Z41+Z42+Z43+Z44+Z45+Z46+Z47+Z48+Z53</f>
        <v/>
      </c>
      <c r="AA49" s="13">
        <f>AA36+AA37+AA38+AA39+AA40+AA41+AA42+AA43+AA44+AA45+AA46+AA47+AA48+AA53</f>
        <v/>
      </c>
      <c r="AB49" s="13">
        <f>AB36+AB37+AB38+AB39+AB40+AB41+AB42+AB43+AB44+AB45+AB46+AB47+AB48+AB53</f>
        <v/>
      </c>
      <c r="AC49" s="13">
        <f>AC36+AC37+AC38+AC39+AC40+AC41+AC42+AC43+AC44+AC45+AC46+AC47+AC48+AC53</f>
        <v/>
      </c>
      <c r="AD49" s="13">
        <f>AD36+AD37+AD38+AD39+AD40+AD41+AD42+AD43+AD44+AD45+AD46+AD47+AD48+AD53</f>
        <v/>
      </c>
      <c r="AE49" s="13">
        <f>AE36+AE37+AE38+AE39+AE40+AE41+AE42+AE43+AE44+AE45+AE46+AE47+AE48+AE53</f>
        <v/>
      </c>
      <c r="AF49" s="13">
        <f>AF36+AF37+AF38+AF39+AF40+AF41+AF42+AF43+AF44+AF45+AF46+AF47+AF48+AF53</f>
        <v/>
      </c>
      <c r="AG49" s="13">
        <f>AG36+AG37+AG38+AG39+AG40+AG41+AG42+AG43+AG44+AG45+AG46+AG47+AG48+AG53</f>
        <v/>
      </c>
      <c r="AH49" s="13">
        <f>AH36+AH37+AH38+AH39+AH40+AH41+AH42+AH43+AH44+AH45+AH46+AH47+AH48+AH53</f>
        <v/>
      </c>
      <c r="AI49" s="13">
        <f>AI36+AI37+AI38+AI39+AI40+AI41+AI42+AI43+AI44+AI45+AI46+AI47+AI48+AI53</f>
        <v/>
      </c>
      <c r="AJ49" s="13">
        <f>AJ36+AJ37+AJ38+AJ39+AJ40+AJ41+AJ42+AJ43+AJ44+AJ45+AJ46+AJ47+AJ48+AJ53</f>
        <v/>
      </c>
      <c r="AK49" s="13">
        <f>AK36+AK37+AK38+AK39+AK40+AK41+AK42+AK43+AK44+AK45+AK46+AK47+AK48+AK53</f>
        <v/>
      </c>
      <c r="AL49" s="13">
        <f>AL36+AL37+AL38+AL39+AL40+AL41+AL42+AL43+AL44+AL45+AL46+AL47+AL48+AL53</f>
        <v/>
      </c>
      <c r="AM49" s="13">
        <f>AM36+AM37+AM38+AM39+AM40+AM41+AM42+AM43+AM44+AM45+AM46+AM47+AM48+AM53</f>
        <v/>
      </c>
      <c r="AN49" s="13">
        <f>AN36+AN37+AN38+AN39+AN40+AN41+AN42+AN43+AN44+AN45+AN46+AN47+AN48+AN53</f>
        <v/>
      </c>
      <c r="AO49" s="13">
        <f>AO36+AO37+AO38+AO39+AO40+AO41+AO42+AO43+AO44+AO45+AO46+AO47+AO48+AO53</f>
        <v/>
      </c>
      <c r="AP49" s="13">
        <f>AP36+AP37+AP38+AP39+AP40+AP41+AP42+AP43+AP44+AP45+AP46+AP47+AP48+AP53</f>
        <v/>
      </c>
      <c r="AQ49" s="13">
        <f>AQ36+AQ37+AQ38+AQ39+AQ40+AQ41+AQ42+AQ43+AQ44+AQ45+AQ46+AQ47+AQ48+AQ53</f>
        <v/>
      </c>
      <c r="AR49" s="13">
        <f>AR36+AR37+AR38+AR39+AR40+AR41+AR42+AR43+AR44+AR45+AR46+AR47+AR48+AR53</f>
        <v/>
      </c>
      <c r="AS49" s="13">
        <f>AS36+AS37+AS38+AS39+AS40+AS41+AS42+AS43+AS44+AS45+AS46+AS47+AS48+AS53</f>
        <v/>
      </c>
      <c r="AT49" s="13">
        <f>AT36+AT37+AT38+AT39+AT40+AT41+AT42+AT43+AT44+AT45+AT46+AT47+AT48+AT53</f>
        <v/>
      </c>
      <c r="AU49" s="13">
        <f>AU36+AU37+AU38+AU39+AU40+AU41+AU42+AU43+AU44+AU45+AU46+AU47+AU48+AU53</f>
        <v/>
      </c>
      <c r="AV49" s="13">
        <f>AV36+AV37+AV38+AV39+AV40+AV41+AV42+AV43+AV44+AV45+AV46+AV47+AV48+AV53</f>
        <v/>
      </c>
      <c r="AW49" s="13">
        <f>AW36+AW37+AW38+AW39+AW40+AW41+AW42+AW43+AW44+AW45+AW46+AW47+AW48+AW53</f>
        <v/>
      </c>
      <c r="AX49" s="13">
        <f>AX36+AX37+AX38+AX39+AX40+AX41+AX42+AX43+AX44+AX45+AX46+AX47+AX48+AX53</f>
        <v/>
      </c>
      <c r="AY49" s="13">
        <f>AY36+AY37+AY38+AY39+AY40+AY41+AY42+AY43+AY44+AY45+AY46+AY47+AY48+AY53</f>
        <v/>
      </c>
      <c r="AZ49" s="13">
        <f>AZ36+AZ37+AZ38+AZ39+AZ40+AZ41+AZ42+AZ43+AZ44+AZ45+AZ46+AZ47+AZ48+AZ53</f>
        <v/>
      </c>
      <c r="BA49" s="13">
        <f>BA36+BA37+BA38+BA39+BA40+BA41+BA42+BA43+BA44+BA45+BA46+BA47+BA48+BA53</f>
        <v/>
      </c>
      <c r="BB49" s="13">
        <f>BB36+BB37+BB38+BB39+BB40+BB41+BB42+BB43+BB44+BB45+BB46+BB47+BB48+BB53</f>
        <v/>
      </c>
      <c r="BC49" s="13">
        <f>BC36+BC37+BC38+BC39+BC40+BC41+BC42+BC43+BC44+BC45+BC46+BC47+BC48+BC53</f>
        <v/>
      </c>
      <c r="BD49" s="13">
        <f>BD36+BD37+BD38+BD39+BD40+BD41+BD42+BD43+BD44+BD45+BD46+BD47+BD48+BD53</f>
        <v/>
      </c>
      <c r="BE49" s="13">
        <f>BE36+BE37+BE38+BE39+BE40+BE41+BE42+BE43+BE44+BE45+BE46+BE47+BE48+BE53</f>
        <v/>
      </c>
      <c r="BF49" s="13">
        <f>BF36+BF37+BF38+BF39+BF40+BF41+BF42+BF43+BF44+BF45+BF46+BF47+BF48+BF53</f>
        <v/>
      </c>
      <c r="BG49" s="13">
        <f>BG36+BG37+BG38+BG39+BG40+BG41+BG42+BG43+BG44+BG45+BG46+BG47+BG48+BG53</f>
        <v/>
      </c>
      <c r="BH49" s="13">
        <f>BH36+BH37+BH38+BH39+BH40+BH41+BH42+BH43+BH44+BH45+BH46+BH47+BH48+BH53</f>
        <v/>
      </c>
      <c r="BI49" s="13">
        <f>BI36+BI37+BI38+BI39+BI40+BI41+BI42+BI43+BI44+BI45+BI46+BI47+BI48+BI53</f>
        <v/>
      </c>
      <c r="BJ49" s="13">
        <f>BJ36+BJ37+BJ38+BJ39+BJ40+BJ41+BJ42+BJ43+BJ44+BJ45+BJ46+BJ47+BJ48+BJ53</f>
        <v/>
      </c>
      <c r="BK49" s="13">
        <f>BK36+BK37+BK38+BK39+BK40+BK41+BK42+BK43+BK44+BK45+BK46+BK47+BK48+BK53</f>
        <v/>
      </c>
      <c r="BL49" s="13">
        <f>BL36+BL37+BL38+BL39+BL40+BL41+BL42+BL43+BL44+BL45+BL46+BL47+BL48+BL53</f>
        <v/>
      </c>
      <c r="BM49" s="13">
        <f>BM36+BM37+BM38+BM39+BM40+BM41+BM42+BM43+BM44+BM45+BM46+BM47+BM48+BM53</f>
        <v/>
      </c>
      <c r="BN49" s="13">
        <f>BN36+BN37+BN38+BN39+BN40+BN41+BN42+BN43+BN44+BN45+BN46+BN47+BN48+BN53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  <row r="53">
      <c r="D53" t="inlineStr">
        <is>
          <t>COD working-capital funding brought into the COD period (standby facility and contingent equity)</t>
        </is>
      </c>
      <c r="E53" t="inlineStr">
        <is>
          <t>USD m</t>
        </is>
      </c>
      <c r="G53" s="13">
        <f>SUM(J53:BN53)</f>
        <v/>
      </c>
      <c r="J53" s="13">
        <f>Time!J34*SUM(Funding!$J$79:$BJ$79)</f>
        <v/>
      </c>
      <c r="K53" s="13">
        <f>Time!K34*SUM(Funding!$J$79:$BJ$79)</f>
        <v/>
      </c>
      <c r="L53" s="13">
        <f>Time!L34*SUM(Funding!$J$79:$BJ$79)</f>
        <v/>
      </c>
      <c r="M53" s="13">
        <f>Time!M34*SUM(Funding!$J$79:$BJ$79)</f>
        <v/>
      </c>
      <c r="N53" s="13">
        <f>Time!N34*SUM(Funding!$J$79:$BJ$79)</f>
        <v/>
      </c>
      <c r="O53" s="13">
        <f>Time!O34*SUM(Funding!$J$79:$BJ$79)</f>
        <v/>
      </c>
      <c r="P53" s="13">
        <f>Time!P34*SUM(Funding!$J$79:$BJ$79)</f>
        <v/>
      </c>
      <c r="Q53" s="13">
        <f>Time!Q34*SUM(Funding!$J$79:$BJ$79)</f>
        <v/>
      </c>
      <c r="R53" s="13">
        <f>Time!R34*SUM(Funding!$J$79:$BJ$79)</f>
        <v/>
      </c>
      <c r="S53" s="13">
        <f>Time!S34*SUM(Funding!$J$79:$BJ$79)</f>
        <v/>
      </c>
      <c r="T53" s="13">
        <f>Time!T34*SUM(Funding!$J$79:$BJ$79)</f>
        <v/>
      </c>
      <c r="U53" s="13">
        <f>Time!U34*SUM(Funding!$J$79:$BJ$79)</f>
        <v/>
      </c>
      <c r="V53" s="13">
        <f>Time!V34*SUM(Funding!$J$79:$BJ$79)</f>
        <v/>
      </c>
      <c r="W53" s="13">
        <f>Time!W34*SUM(Funding!$J$79:$BJ$79)</f>
        <v/>
      </c>
      <c r="X53" s="13">
        <f>Time!X34*SUM(Funding!$J$79:$BJ$79)</f>
        <v/>
      </c>
      <c r="Y53" s="13">
        <f>Time!Y34*SUM(Funding!$J$79:$BJ$79)</f>
        <v/>
      </c>
      <c r="Z53" s="13">
        <f>Time!Z34*SUM(Funding!$J$79:$BJ$79)</f>
        <v/>
      </c>
      <c r="AA53" s="13">
        <f>Time!AA34*SUM(Funding!$J$79:$BJ$79)</f>
        <v/>
      </c>
      <c r="AB53" s="13">
        <f>Time!AB34*SUM(Funding!$J$79:$BJ$79)</f>
        <v/>
      </c>
      <c r="AC53" s="13">
        <f>Time!AC34*SUM(Funding!$J$79:$BJ$79)</f>
        <v/>
      </c>
      <c r="AD53" s="13">
        <f>Time!AD34*SUM(Funding!$J$79:$BJ$79)</f>
        <v/>
      </c>
      <c r="AE53" s="13">
        <f>Time!AE34*SUM(Funding!$J$79:$BJ$79)</f>
        <v/>
      </c>
      <c r="AF53" s="13">
        <f>Time!AF34*SUM(Funding!$J$79:$BJ$79)</f>
        <v/>
      </c>
      <c r="AG53" s="13">
        <f>Time!AG34*SUM(Funding!$J$79:$BJ$79)</f>
        <v/>
      </c>
      <c r="AH53" s="13">
        <f>Time!AH34*SUM(Funding!$J$79:$BJ$79)</f>
        <v/>
      </c>
      <c r="AI53" s="13">
        <f>Time!AI34*SUM(Funding!$J$79:$BJ$79)</f>
        <v/>
      </c>
      <c r="AJ53" s="13">
        <f>Time!AJ34*SUM(Funding!$J$79:$BJ$79)</f>
        <v/>
      </c>
      <c r="AK53" s="13">
        <f>Time!AK34*SUM(Funding!$J$79:$BJ$79)</f>
        <v/>
      </c>
      <c r="AL53" s="13">
        <f>Time!AL34*SUM(Funding!$J$79:$BJ$79)</f>
        <v/>
      </c>
      <c r="AM53" s="13">
        <f>Time!AM34*SUM(Funding!$J$79:$BJ$79)</f>
        <v/>
      </c>
      <c r="AN53" s="13">
        <f>Time!AN34*SUM(Funding!$J$79:$BJ$79)</f>
        <v/>
      </c>
      <c r="AO53" s="13">
        <f>Time!AO34*SUM(Funding!$J$79:$BJ$79)</f>
        <v/>
      </c>
      <c r="AP53" s="13">
        <f>Time!AP34*SUM(Funding!$J$79:$BJ$79)</f>
        <v/>
      </c>
      <c r="AQ53" s="13">
        <f>Time!AQ34*SUM(Funding!$J$79:$BJ$79)</f>
        <v/>
      </c>
      <c r="AR53" s="13">
        <f>Time!AR34*SUM(Funding!$J$79:$BJ$79)</f>
        <v/>
      </c>
      <c r="AS53" s="13">
        <f>Time!AS34*SUM(Funding!$J$79:$BJ$79)</f>
        <v/>
      </c>
      <c r="AT53" s="13">
        <f>Time!AT34*SUM(Funding!$J$79:$BJ$79)</f>
        <v/>
      </c>
      <c r="AU53" s="13">
        <f>Time!AU34*SUM(Funding!$J$79:$BJ$79)</f>
        <v/>
      </c>
      <c r="AV53" s="13">
        <f>Time!AV34*SUM(Funding!$J$79:$BJ$79)</f>
        <v/>
      </c>
      <c r="AW53" s="13">
        <f>Time!AW34*SUM(Funding!$J$79:$BJ$79)</f>
        <v/>
      </c>
      <c r="AX53" s="13">
        <f>Time!AX34*SUM(Funding!$J$79:$BJ$79)</f>
        <v/>
      </c>
      <c r="AY53" s="13">
        <f>Time!AY34*SUM(Funding!$J$79:$BJ$79)</f>
        <v/>
      </c>
      <c r="AZ53" s="13">
        <f>Time!AZ34*SUM(Funding!$J$79:$BJ$79)</f>
        <v/>
      </c>
      <c r="BA53" s="13">
        <f>Time!BA34*SUM(Funding!$J$79:$BJ$79)</f>
        <v/>
      </c>
      <c r="BB53" s="13">
        <f>Time!BB34*SUM(Funding!$J$79:$BJ$79)</f>
        <v/>
      </c>
      <c r="BC53" s="13">
        <f>Time!BC34*SUM(Funding!$J$79:$BJ$79)</f>
        <v/>
      </c>
      <c r="BD53" s="13">
        <f>Time!BD34*SUM(Funding!$J$79:$BJ$79)</f>
        <v/>
      </c>
      <c r="BE53" s="13">
        <f>Time!BE34*SUM(Funding!$J$79:$BJ$79)</f>
        <v/>
      </c>
      <c r="BF53" s="13">
        <f>Time!BF34*SUM(Funding!$J$79:$BJ$79)</f>
        <v/>
      </c>
      <c r="BG53" s="13">
        <f>Time!BG34*SUM(Funding!$J$79:$BJ$79)</f>
        <v/>
      </c>
      <c r="BH53" s="13">
        <f>Time!BH34*SUM(Funding!$J$79:$BJ$79)</f>
        <v/>
      </c>
      <c r="BI53" s="13">
        <f>Time!BI34*SUM(Funding!$J$79:$BJ$79)</f>
        <v/>
      </c>
      <c r="BJ53" s="13">
        <f>Time!BJ34*SUM(Funding!$J$79:$BJ$79)</f>
        <v/>
      </c>
      <c r="BK53" s="13">
        <f>Time!BK34*SUM(Funding!$J$79:$BJ$79)</f>
        <v/>
      </c>
      <c r="BL53" s="13">
        <f>Time!BL34*SUM(Funding!$J$79:$BJ$79)</f>
        <v/>
      </c>
      <c r="BM53" s="13">
        <f>Time!BM34*SUM(Funding!$J$79:$BJ$79)</f>
        <v/>
      </c>
      <c r="BN53" s="13">
        <f>Time!BN34*SUM(Funding!$J$79:$BJ$79)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860.239655410062</v>
      </c>
      <c r="K28" s="23" t="n">
        <v>654.9505640983427</v>
      </c>
      <c r="L28" s="23" t="n">
        <v>205.2890913117511</v>
      </c>
      <c r="M28" s="24" t="n">
        <v>0.7613582563641603</v>
      </c>
      <c r="N28" s="23" t="n">
        <v>65.66921493938359</v>
      </c>
      <c r="O28" s="23" t="n">
        <v>21.65503951306517</v>
      </c>
      <c r="P28" s="23" t="n">
        <v>21.31864086140002</v>
      </c>
      <c r="Q28" s="23" t="n">
        <v>39.0832901643519</v>
      </c>
      <c r="R28" s="23" t="n">
        <v>0</v>
      </c>
      <c r="S28" s="23" t="n">
        <v>0</v>
      </c>
      <c r="T28" s="23" t="n">
        <v>1.420083844198607</v>
      </c>
      <c r="U28" s="23" t="n">
        <v>1.52701687981106</v>
      </c>
      <c r="V28" s="23" t="n">
        <v>1.423468753790251</v>
      </c>
      <c r="W28" s="23" t="n">
        <v>1.840655904834143</v>
      </c>
      <c r="X28" s="24" t="n">
        <v>0.1509540350205055</v>
      </c>
      <c r="Y28" s="24" t="n">
        <v>0.1183766211130257</v>
      </c>
      <c r="Z28" s="23" t="n">
        <v>-13.37747042575127</v>
      </c>
    </row>
    <row r="29">
      <c r="D29" t="inlineStr">
        <is>
          <t>2: FC banking</t>
        </is>
      </c>
      <c r="J29" s="23" t="n">
        <v>860.239655410062</v>
      </c>
      <c r="K29" s="23" t="n">
        <v>654.9505640983427</v>
      </c>
      <c r="L29" s="23" t="n">
        <v>205.2890913117511</v>
      </c>
      <c r="M29" s="24" t="n">
        <v>0.7613582563641603</v>
      </c>
      <c r="N29" s="23" t="n">
        <v>65.66921493938359</v>
      </c>
      <c r="O29" s="23" t="n">
        <v>21.65503951306517</v>
      </c>
      <c r="P29" s="23" t="n">
        <v>21.31864086140002</v>
      </c>
      <c r="Q29" s="23" t="n">
        <v>39.0832901643519</v>
      </c>
      <c r="R29" s="23" t="n">
        <v>0</v>
      </c>
      <c r="S29" s="23" t="n">
        <v>0</v>
      </c>
      <c r="T29" s="23" t="n">
        <v>1.536142753017727</v>
      </c>
      <c r="U29" s="23" t="n">
        <v>1.681563721918946</v>
      </c>
      <c r="V29" s="23" t="n">
        <v>1.531947144492903</v>
      </c>
      <c r="W29" s="23" t="n">
        <v>1.998283665571928</v>
      </c>
      <c r="X29" s="24" t="n">
        <v>0.1743208723029425</v>
      </c>
      <c r="Y29" s="24" t="n">
        <v>0.1283742545015996</v>
      </c>
      <c r="Z29" s="23" t="n">
        <v>21.30323104526242</v>
      </c>
    </row>
    <row r="30">
      <c r="D30" t="inlineStr">
        <is>
          <t>3: FC downside</t>
        </is>
      </c>
      <c r="J30" s="23" t="n">
        <v>860.239655410062</v>
      </c>
      <c r="K30" s="23" t="n">
        <v>654.9505640983427</v>
      </c>
      <c r="L30" s="23" t="n">
        <v>205.2890913117511</v>
      </c>
      <c r="M30" s="24" t="n">
        <v>0.7613582563641603</v>
      </c>
      <c r="N30" s="23" t="n">
        <v>65.66921493938359</v>
      </c>
      <c r="O30" s="23" t="n">
        <v>21.65503951306517</v>
      </c>
      <c r="P30" s="23" t="n">
        <v>21.31864086140002</v>
      </c>
      <c r="Q30" s="23" t="n">
        <v>39.0832901643519</v>
      </c>
      <c r="R30" s="23" t="n">
        <v>0</v>
      </c>
      <c r="S30" s="23" t="n">
        <v>0</v>
      </c>
      <c r="T30" s="23" t="n">
        <v>1.252926153035614</v>
      </c>
      <c r="U30" s="23" t="n">
        <v>1.335667093922695</v>
      </c>
      <c r="V30" s="23" t="n">
        <v>1.285783171014478</v>
      </c>
      <c r="W30" s="23" t="n">
        <v>1.642790837133894</v>
      </c>
      <c r="X30" s="24" t="n">
        <v>0.1204556743720005</v>
      </c>
      <c r="Y30" s="24" t="n">
        <v>0.1049909036764434</v>
      </c>
      <c r="Z30" s="23" t="n">
        <v>-58.92237976121717</v>
      </c>
    </row>
    <row r="31">
      <c r="D31" t="inlineStr">
        <is>
          <t>4: Sens: availability -3 points</t>
        </is>
      </c>
      <c r="J31" s="23" t="n">
        <v>860.239655410062</v>
      </c>
      <c r="K31" s="23" t="n">
        <v>654.9505640983427</v>
      </c>
      <c r="L31" s="23" t="n">
        <v>205.2890913117511</v>
      </c>
      <c r="M31" s="24" t="n">
        <v>0.7613582563641603</v>
      </c>
      <c r="N31" s="23" t="n">
        <v>65.66921493938359</v>
      </c>
      <c r="O31" s="23" t="n">
        <v>21.65503951306517</v>
      </c>
      <c r="P31" s="23" t="n">
        <v>21.31864086140002</v>
      </c>
      <c r="Q31" s="23" t="n">
        <v>39.0832901643519</v>
      </c>
      <c r="R31" s="23" t="n">
        <v>0</v>
      </c>
      <c r="S31" s="23" t="n">
        <v>0</v>
      </c>
      <c r="T31" s="23" t="n">
        <v>1.374333253296672</v>
      </c>
      <c r="U31" s="23" t="n">
        <v>1.471376119265788</v>
      </c>
      <c r="V31" s="23" t="n">
        <v>1.383314642382303</v>
      </c>
      <c r="W31" s="23" t="n">
        <v>1.783518903147389</v>
      </c>
      <c r="X31" s="24" t="n">
        <v>0.1420838297489443</v>
      </c>
      <c r="Y31" s="24" t="n">
        <v>0.114561715130917</v>
      </c>
      <c r="Z31" s="23" t="n">
        <v>-26.54763741359281</v>
      </c>
    </row>
    <row r="32">
      <c r="D32" t="inlineStr">
        <is>
          <t>5: Sens: heat rate +2%</t>
        </is>
      </c>
      <c r="J32" s="23" t="n">
        <v>860.239655410062</v>
      </c>
      <c r="K32" s="23" t="n">
        <v>654.9505640983427</v>
      </c>
      <c r="L32" s="23" t="n">
        <v>205.2890913117511</v>
      </c>
      <c r="M32" s="24" t="n">
        <v>0.7613582563641603</v>
      </c>
      <c r="N32" s="23" t="n">
        <v>65.66921493938359</v>
      </c>
      <c r="O32" s="23" t="n">
        <v>21.65503951306517</v>
      </c>
      <c r="P32" s="23" t="n">
        <v>21.31864086140002</v>
      </c>
      <c r="Q32" s="23" t="n">
        <v>39.0832901643519</v>
      </c>
      <c r="R32" s="23" t="n">
        <v>0</v>
      </c>
      <c r="S32" s="23" t="n">
        <v>0</v>
      </c>
      <c r="T32" s="23" t="n">
        <v>1.378770135428424</v>
      </c>
      <c r="U32" s="23" t="n">
        <v>1.47678779924783</v>
      </c>
      <c r="V32" s="23" t="n">
        <v>1.387711661516811</v>
      </c>
      <c r="W32" s="23" t="n">
        <v>1.787532654299061</v>
      </c>
      <c r="X32" s="24" t="n">
        <v>0.1429429326744244</v>
      </c>
      <c r="Y32" s="24" t="n">
        <v>0.1148988387995494</v>
      </c>
      <c r="Z32" s="23" t="n">
        <v>-25.20869810841103</v>
      </c>
    </row>
    <row r="33">
      <c r="D33" t="inlineStr">
        <is>
          <t>6: Sens: fixed opex +10%</t>
        </is>
      </c>
      <c r="J33" s="23" t="n">
        <v>860.239655410062</v>
      </c>
      <c r="K33" s="23" t="n">
        <v>654.9505640983427</v>
      </c>
      <c r="L33" s="23" t="n">
        <v>205.2890913117511</v>
      </c>
      <c r="M33" s="24" t="n">
        <v>0.7613582563641603</v>
      </c>
      <c r="N33" s="23" t="n">
        <v>65.66921493938359</v>
      </c>
      <c r="O33" s="23" t="n">
        <v>21.65503951306517</v>
      </c>
      <c r="P33" s="23" t="n">
        <v>21.31864086140002</v>
      </c>
      <c r="Q33" s="23" t="n">
        <v>39.0832901643519</v>
      </c>
      <c r="R33" s="23" t="n">
        <v>0</v>
      </c>
      <c r="S33" s="23" t="n">
        <v>0</v>
      </c>
      <c r="T33" s="23" t="n">
        <v>1.392086754218538</v>
      </c>
      <c r="U33" s="23" t="n">
        <v>1.493059400615235</v>
      </c>
      <c r="V33" s="23" t="n">
        <v>1.399506604623792</v>
      </c>
      <c r="W33" s="23" t="n">
        <v>1.804779750574473</v>
      </c>
      <c r="X33" s="24" t="n">
        <v>0.1455653798434627</v>
      </c>
      <c r="Y33" s="24" t="n">
        <v>0.1160362322577497</v>
      </c>
      <c r="Z33" s="23" t="n">
        <v>-21.33001262368998</v>
      </c>
    </row>
    <row r="34">
      <c r="D34" t="inlineStr">
        <is>
          <t>7: Sens: capex +10% funded pro rata</t>
        </is>
      </c>
    </row>
    <row r="35">
      <c r="D35" t="inlineStr">
        <is>
          <t>8: Sens: COD delay 6 months, no LDs</t>
        </is>
      </c>
    </row>
    <row r="36">
      <c r="D36" t="inlineStr">
        <is>
          <t>9: Sens: base rate +200 bps (unhedged)</t>
        </is>
      </c>
      <c r="J36" s="23" t="n">
        <v>860.239655410062</v>
      </c>
      <c r="K36" s="23" t="n">
        <v>654.9505640983427</v>
      </c>
      <c r="L36" s="23" t="n">
        <v>205.2890913117511</v>
      </c>
      <c r="M36" s="24" t="n">
        <v>0.7613582563641603</v>
      </c>
      <c r="N36" s="23" t="n">
        <v>65.66921493938359</v>
      </c>
      <c r="O36" s="23" t="n">
        <v>21.65503951306517</v>
      </c>
      <c r="P36" s="23" t="n">
        <v>21.31864086140002</v>
      </c>
      <c r="Q36" s="23" t="n">
        <v>39.0832901643519</v>
      </c>
      <c r="R36" s="23" t="n">
        <v>0</v>
      </c>
      <c r="S36" s="23" t="n">
        <v>0</v>
      </c>
      <c r="T36" s="23" t="n">
        <v>1.093464741339197</v>
      </c>
      <c r="U36" s="23" t="n">
        <v>1.400617836359727</v>
      </c>
      <c r="V36" s="23" t="n">
        <v>1.217731639896745</v>
      </c>
      <c r="W36" s="23" t="n">
        <v>1.385706904046508</v>
      </c>
      <c r="X36" s="24" t="n">
        <v>0.1183528161752372</v>
      </c>
      <c r="Y36" s="24" t="n">
        <v>0.1203030739484437</v>
      </c>
      <c r="Z36" s="23" t="n">
        <v>-71.43024883430584</v>
      </c>
    </row>
    <row r="37">
      <c r="D37" t="inlineStr">
        <is>
          <t>10: Sens: KCR devaluation 40%, 90-day lag</t>
        </is>
      </c>
      <c r="J37" s="23" t="n">
        <v>860.239655410062</v>
      </c>
      <c r="K37" s="23" t="n">
        <v>654.9505640983427</v>
      </c>
      <c r="L37" s="23" t="n">
        <v>205.2890913117511</v>
      </c>
      <c r="M37" s="24" t="n">
        <v>0.7613582563641603</v>
      </c>
      <c r="N37" s="23" t="n">
        <v>65.66921493938359</v>
      </c>
      <c r="O37" s="23" t="n">
        <v>21.65503951306517</v>
      </c>
      <c r="P37" s="23" t="n">
        <v>21.31864086140002</v>
      </c>
      <c r="Q37" s="23" t="n">
        <v>39.0832901643519</v>
      </c>
      <c r="R37" s="23" t="n">
        <v>0</v>
      </c>
      <c r="S37" s="23" t="n">
        <v>0</v>
      </c>
      <c r="T37" s="23" t="n">
        <v>0.5263587765893802</v>
      </c>
      <c r="U37" s="23" t="n">
        <v>1.49626817042801</v>
      </c>
      <c r="V37" s="23" t="n">
        <v>1.399245226501004</v>
      </c>
      <c r="W37" s="23" t="n">
        <v>1.805115054996103</v>
      </c>
      <c r="X37" s="24" t="n">
        <v>0.1453105107193927</v>
      </c>
      <c r="Y37" s="24" t="n">
        <v>0.1158824058867284</v>
      </c>
      <c r="Z37" s="23" t="n">
        <v>-21.89952325923137</v>
      </c>
    </row>
    <row r="38">
      <c r="D38" t="inlineStr">
        <is>
          <t>11: Sens: SEKA pays 120 days late for 12 months</t>
        </is>
      </c>
      <c r="J38" s="23" t="n">
        <v>860.239655410062</v>
      </c>
      <c r="K38" s="23" t="n">
        <v>654.9505640983427</v>
      </c>
      <c r="L38" s="23" t="n">
        <v>205.2890913117511</v>
      </c>
      <c r="M38" s="24" t="n">
        <v>0.7613582563641603</v>
      </c>
      <c r="N38" s="23" t="n">
        <v>65.66921493938359</v>
      </c>
      <c r="O38" s="23" t="n">
        <v>21.65503951306517</v>
      </c>
      <c r="P38" s="23" t="n">
        <v>21.31864086140002</v>
      </c>
      <c r="Q38" s="23" t="n">
        <v>39.0832901643519</v>
      </c>
      <c r="R38" s="23" t="n">
        <v>0</v>
      </c>
      <c r="S38" s="23" t="n">
        <v>0</v>
      </c>
      <c r="T38" s="23" t="n">
        <v>0.2083817910683767</v>
      </c>
      <c r="U38" s="23" t="n">
        <v>1.5278134325277</v>
      </c>
      <c r="V38" s="23" t="n">
        <v>1.419320138250828</v>
      </c>
      <c r="W38" s="23" t="n">
        <v>1.836550483468131</v>
      </c>
      <c r="X38" s="24" t="n">
        <v>0.1498617280443511</v>
      </c>
      <c r="Y38" s="24" t="n">
        <v>0.1177508239038409</v>
      </c>
      <c r="Z38" s="23" t="n">
        <v>-15.17565232827065</v>
      </c>
    </row>
    <row r="39">
      <c r="D39" t="inlineStr">
        <is>
          <t>12: Sens: dispatch 50%</t>
        </is>
      </c>
      <c r="J39" s="23" t="n">
        <v>860.239655410062</v>
      </c>
      <c r="K39" s="23" t="n">
        <v>654.9505640983427</v>
      </c>
      <c r="L39" s="23" t="n">
        <v>205.2890913117511</v>
      </c>
      <c r="M39" s="24" t="n">
        <v>0.7613582563641603</v>
      </c>
      <c r="N39" s="23" t="n">
        <v>65.66921493938359</v>
      </c>
      <c r="O39" s="23" t="n">
        <v>21.65503951306517</v>
      </c>
      <c r="P39" s="23" t="n">
        <v>21.31864086140002</v>
      </c>
      <c r="Q39" s="23" t="n">
        <v>39.0832901643519</v>
      </c>
      <c r="R39" s="23" t="n">
        <v>0</v>
      </c>
      <c r="S39" s="23" t="n">
        <v>0</v>
      </c>
      <c r="T39" s="23" t="n">
        <v>2.078568892574996</v>
      </c>
      <c r="U39" s="23" t="n">
        <v>2.423742966586207</v>
      </c>
      <c r="V39" s="23" t="n">
        <v>2.07762843951438</v>
      </c>
      <c r="W39" s="23" t="n">
        <v>2.779836562278482</v>
      </c>
      <c r="X39" s="24" t="n">
        <v>0.2846342815292638</v>
      </c>
      <c r="Y39" s="24" t="n">
        <v>0.1736408885665205</v>
      </c>
      <c r="Z39" s="23" t="n">
        <v>194.2839362478159</v>
      </c>
    </row>
    <row r="40">
      <c r="D40" t="inlineStr">
        <is>
          <t>13: Sens: gas price +30%</t>
        </is>
      </c>
      <c r="J40" s="23" t="n">
        <v>860.239655410062</v>
      </c>
      <c r="K40" s="23" t="n">
        <v>654.9505640983427</v>
      </c>
      <c r="L40" s="23" t="n">
        <v>205.2890913117511</v>
      </c>
      <c r="M40" s="24" t="n">
        <v>0.7613582563641603</v>
      </c>
      <c r="N40" s="23" t="n">
        <v>65.66921493938359</v>
      </c>
      <c r="O40" s="23" t="n">
        <v>21.65503951306517</v>
      </c>
      <c r="P40" s="23" t="n">
        <v>21.31864086140002</v>
      </c>
      <c r="Q40" s="23" t="n">
        <v>39.0832901643519</v>
      </c>
      <c r="R40" s="23" t="n">
        <v>0</v>
      </c>
      <c r="S40" s="23" t="n">
        <v>0</v>
      </c>
      <c r="T40" s="23" t="n">
        <v>1.42012181540671</v>
      </c>
      <c r="U40" s="23" t="n">
        <v>1.527406585940186</v>
      </c>
      <c r="V40" s="23" t="n">
        <v>1.423901806380229</v>
      </c>
      <c r="W40" s="23" t="n">
        <v>1.840685304023814</v>
      </c>
      <c r="X40" s="24" t="n">
        <v>0.1510320062433641</v>
      </c>
      <c r="Y40" s="24" t="n">
        <v>0.1183995946043463</v>
      </c>
      <c r="Z40" s="23" t="n">
        <v>-13.25346953862114</v>
      </c>
    </row>
    <row r="41">
      <c r="D41" t="inlineStr">
        <is>
          <t>14: COD re-forecast (2021 lenders case)</t>
        </is>
      </c>
      <c r="J41" s="23" t="n">
        <v>900.0136504212488</v>
      </c>
      <c r="K41" s="23" t="n">
        <v>654.9505640983427</v>
      </c>
      <c r="L41" s="23" t="n">
        <v>210.9276650645477</v>
      </c>
      <c r="M41" s="24" t="n">
        <v>0.7465067724719906</v>
      </c>
      <c r="N41" s="23" t="n">
        <v>64.54280438240993</v>
      </c>
      <c r="O41" s="23" t="n">
        <v>23.8194550387156</v>
      </c>
      <c r="P41" s="23" t="n">
        <v>21.31864086140105</v>
      </c>
      <c r="Q41" s="23" t="n">
        <v>39.36714566147478</v>
      </c>
      <c r="R41" s="23" t="n">
        <v>16.91572125835833</v>
      </c>
      <c r="S41" s="23" t="n">
        <v>5.63857375278611</v>
      </c>
      <c r="T41" s="23" t="n">
        <v>1.333767563465533</v>
      </c>
      <c r="U41" s="23" t="n">
        <v>1.494926844469304</v>
      </c>
      <c r="V41" s="23" t="n">
        <v>1.350045011329433</v>
      </c>
      <c r="W41" s="23" t="n">
        <v>1.780098962600612</v>
      </c>
      <c r="X41" s="24" t="n">
        <v>0.1411551789316273</v>
      </c>
      <c r="Y41" s="24" t="n">
        <v>0.109007387383287</v>
      </c>
      <c r="Z41" s="23" t="n">
        <v>-28.19850293968872</v>
      </c>
    </row>
    <row r="42">
      <c r="D42" t="inlineStr">
        <is>
          <t>15: Actual history</t>
        </is>
      </c>
      <c r="J42" s="23" t="n">
        <v>883.5344361852683</v>
      </c>
      <c r="K42" s="23" t="n">
        <v>654.9505640983427</v>
      </c>
      <c r="L42" s="23" t="n">
        <v>206.8078615055526</v>
      </c>
      <c r="M42" s="24" t="n">
        <v>0.7464416186506437</v>
      </c>
      <c r="N42" s="23" t="n">
        <v>64.54280438240993</v>
      </c>
      <c r="O42" s="23" t="n">
        <v>23.8194550387156</v>
      </c>
      <c r="P42" s="23" t="n">
        <v>21.31864086140105</v>
      </c>
      <c r="Q42" s="23" t="n">
        <v>22.88793142549436</v>
      </c>
      <c r="R42" s="23" t="n">
        <v>4.556310581373014</v>
      </c>
      <c r="S42" s="23" t="n">
        <v>1.518770193791005</v>
      </c>
      <c r="T42" s="23" t="n">
        <v>0.8193981349879049</v>
      </c>
      <c r="U42" s="23" t="n">
        <v>1.47108398949005</v>
      </c>
      <c r="V42" s="23" t="n">
        <v>1.419901359747081</v>
      </c>
      <c r="W42" s="23" t="n">
        <v>1.645720202587162</v>
      </c>
      <c r="X42" s="24" t="n">
        <v>0.1346691336812403</v>
      </c>
      <c r="Y42" s="24" t="n">
        <v>0.111642738848151</v>
      </c>
      <c r="Z42" s="23" t="n">
        <v>-38.66613299345128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70" customWidth="1" min="2" max="2"/>
    <col width="60" customWidth="1" min="3" max="3"/>
  </cols>
  <sheetData>
    <row r="1">
      <c r="A1" s="2" t="inlineStr">
        <is>
          <t>Audit exercise key (Chapter 44): sponsor model version 0.9 with ten seeded errors. Do not distribute with the exercise.</t>
        </is>
      </c>
    </row>
    <row r="2">
      <c r="A2" t="inlineStr">
        <is>
          <t>Contract terms on the Inputs sheet come from sizing this erroneous model. Effects (P-F17) are from case_p.py: each error alone, re-sized.</t>
        </is>
      </c>
    </row>
    <row r="4">
      <c r="A4" s="2" t="inlineStr">
        <is>
          <t>ID</t>
        </is>
      </c>
      <c r="B4" s="2" t="inlineStr">
        <is>
          <t>Seeded error</t>
        </is>
      </c>
      <c r="C4" s="2" t="inlineStr">
        <is>
          <t>Cells (sheet, row)</t>
        </is>
      </c>
      <c r="D4" s="2" t="inlineStr">
        <is>
          <t>Senior debt (USD m)</t>
        </is>
      </c>
      <c r="E4" s="2" t="inlineStr">
        <is>
          <t>Change vs correct</t>
        </is>
      </c>
      <c r="F4" s="2" t="inlineStr">
        <is>
          <t>Min DSCR base</t>
        </is>
      </c>
      <c r="G4" s="2" t="inlineStr">
        <is>
          <t>Min DSCR downside</t>
        </is>
      </c>
      <c r="H4" s="2" t="inlineStr">
        <is>
          <t>Equity IRR</t>
        </is>
      </c>
      <c r="I4" s="2" t="inlineStr">
        <is>
          <t>Binding</t>
        </is>
      </c>
    </row>
    <row r="5">
      <c r="A5" t="inlineStr">
        <is>
          <t>correct</t>
        </is>
      </c>
      <c r="B5" t="inlineStr">
        <is>
          <t>correct model</t>
        </is>
      </c>
      <c r="C5" t="inlineStr"/>
      <c r="D5" t="n">
        <v>629.95</v>
      </c>
      <c r="E5" t="n">
        <v>0</v>
      </c>
      <c r="F5" t="n">
        <v>1.35</v>
      </c>
      <c r="G5" t="n">
        <v>1.2</v>
      </c>
      <c r="H5" t="n">
        <v>13.15</v>
      </c>
      <c r="I5" t="inlineStr">
        <is>
          <t>DSCR</t>
        </is>
      </c>
    </row>
    <row r="6">
      <c r="A6" t="inlineStr">
        <is>
          <t>E1</t>
        </is>
      </c>
      <c r="B6" t="inlineStr">
        <is>
          <t>Capacity payment without the availability cap (A/90% not capped at 1)</t>
        </is>
      </c>
      <c r="C6" t="inlineStr">
        <is>
          <t>Operations row 47</t>
        </is>
      </c>
      <c r="D6" t="n">
        <v>639</v>
      </c>
      <c r="E6" t="n">
        <v>9.050000000000001</v>
      </c>
      <c r="F6" t="n">
        <v>1.37</v>
      </c>
      <c r="G6" t="n">
        <v>1.2</v>
      </c>
      <c r="H6" t="n">
        <v>14.02</v>
      </c>
      <c r="I6" t="inlineStr">
        <is>
          <t>downside</t>
        </is>
      </c>
    </row>
    <row r="7">
      <c r="A7" t="inlineStr">
        <is>
          <t>E2</t>
        </is>
      </c>
      <c r="B7" t="inlineStr">
        <is>
          <t>LTSA variable fee on one gas turbine instead of two</t>
        </is>
      </c>
      <c r="C7" t="inlineStr">
        <is>
          <t>Operations row 63</t>
        </is>
      </c>
      <c r="D7" t="n">
        <v>643.26</v>
      </c>
      <c r="E7" t="n">
        <v>13.31</v>
      </c>
      <c r="F7" t="n">
        <v>1.371</v>
      </c>
      <c r="G7" t="n">
        <v>1.222</v>
      </c>
      <c r="H7" t="n">
        <v>14.31</v>
      </c>
      <c r="I7" t="inlineStr">
        <is>
          <t>gearing</t>
        </is>
      </c>
    </row>
    <row r="8">
      <c r="A8" t="inlineStr">
        <is>
          <t>E3</t>
        </is>
      </c>
      <c r="B8" t="inlineStr">
        <is>
          <t>Tariff indexation reads the index at period end instead of the lagged (Sep/Mar) reading</t>
        </is>
      </c>
      <c r="C8" t="inlineStr">
        <is>
          <t>Operations row 20; Operations row 26</t>
        </is>
      </c>
      <c r="D8" t="n">
        <v>636.98</v>
      </c>
      <c r="E8" t="n">
        <v>7.03</v>
      </c>
      <c r="F8" t="n">
        <v>1.35</v>
      </c>
      <c r="G8" t="n">
        <v>1.201</v>
      </c>
      <c r="H8" t="n">
        <v>13.52</v>
      </c>
      <c r="I8" t="inlineStr">
        <is>
          <t>DSCR</t>
        </is>
      </c>
    </row>
    <row r="9">
      <c r="A9" t="inlineStr">
        <is>
          <t>E4</t>
        </is>
      </c>
      <c r="B9" t="inlineStr">
        <is>
          <t>Senior loan interest on 30/360 instead of ACT/360</t>
        </is>
      </c>
      <c r="C9" t="inlineStr">
        <is>
          <t>Funding row 19; Funding row 33; Funding row 34; Funding row 35; Funding row 36; Funding row 12 (col F); Funding row 13 (col F); Funding row 14 (col F); Funding row 15 (col F); Debt row 10; Debt row 11; Debt row 12; Debt row 13</t>
        </is>
      </c>
      <c r="D9" t="n">
        <v>632.9299999999999</v>
      </c>
      <c r="E9" t="n">
        <v>2.98</v>
      </c>
      <c r="F9" t="n">
        <v>1.35</v>
      </c>
      <c r="G9" t="n">
        <v>1.2</v>
      </c>
      <c r="H9" t="n">
        <v>13.29</v>
      </c>
      <c r="I9" t="inlineStr">
        <is>
          <t>DSCR</t>
        </is>
      </c>
    </row>
    <row r="10">
      <c r="A10" t="inlineStr">
        <is>
          <t>E5</t>
        </is>
      </c>
      <c r="B10" t="inlineStr">
        <is>
          <t>Full tax exemption applied to OY1-OY8 (15% band ignored)</t>
        </is>
      </c>
      <c r="C10" t="inlineStr">
        <is>
          <t>Tax row 7; Tax row 8; Tax row 11</t>
        </is>
      </c>
      <c r="D10" t="n">
        <v>635.4299999999999</v>
      </c>
      <c r="E10" t="n">
        <v>5.48</v>
      </c>
      <c r="F10" t="n">
        <v>1.35</v>
      </c>
      <c r="G10" t="n">
        <v>1.2</v>
      </c>
      <c r="H10" t="n">
        <v>13.57</v>
      </c>
      <c r="I10" t="inlineStr">
        <is>
          <t>DSCR</t>
        </is>
      </c>
    </row>
    <row r="11">
      <c r="A11" t="inlineStr">
        <is>
          <t>E6</t>
        </is>
      </c>
      <c r="B11" t="inlineStr">
        <is>
          <t>Deferred holiday depreciation lost (pool never credited)</t>
        </is>
      </c>
      <c r="C11" t="inlineStr">
        <is>
          <t>Tax row 21</t>
        </is>
      </c>
      <c r="D11" t="n">
        <v>611.72</v>
      </c>
      <c r="E11" t="n">
        <v>-18.23</v>
      </c>
      <c r="F11" t="n">
        <v>1.35</v>
      </c>
      <c r="G11" t="n">
        <v>1.2</v>
      </c>
      <c r="H11" t="n">
        <v>12.43</v>
      </c>
      <c r="I11" t="inlineStr">
        <is>
          <t>DSCR</t>
        </is>
      </c>
    </row>
    <row r="12">
      <c r="A12" t="inlineStr">
        <is>
          <t>E7</t>
        </is>
      </c>
      <c r="B12" t="inlineStr">
        <is>
          <t>DSRA initial funding drawn 100% from senior debt instead of pro rata</t>
        </is>
      </c>
      <c r="C12" t="inlineStr">
        <is>
          <t>Funding row 26 (col F); Funding row 47; Funding row 50</t>
        </is>
      </c>
      <c r="D12" t="n">
        <v>630.02</v>
      </c>
      <c r="E12" t="n">
        <v>0.07000000000000001</v>
      </c>
      <c r="F12" t="n">
        <v>1.35</v>
      </c>
      <c r="G12" t="n">
        <v>1.2</v>
      </c>
      <c r="H12" t="n">
        <v>13.12</v>
      </c>
      <c r="I12" t="inlineStr">
        <is>
          <t>DSCR</t>
        </is>
      </c>
    </row>
    <row r="13">
      <c r="A13" t="inlineStr">
        <is>
          <t>E8</t>
        </is>
      </c>
      <c r="B13" t="inlineStr">
        <is>
          <t>Sculpting on CFADS before tax</t>
        </is>
      </c>
      <c r="C13" t="inlineStr">
        <is>
          <t>Debt row 128; Debt row 132</t>
        </is>
      </c>
      <c r="D13" t="n">
        <v>636.73</v>
      </c>
      <c r="E13" t="n">
        <v>6.78</v>
      </c>
      <c r="F13" t="n">
        <v>1.34</v>
      </c>
      <c r="G13" t="n">
        <v>1.2</v>
      </c>
      <c r="H13" t="n">
        <v>13.25</v>
      </c>
      <c r="I13" t="inlineStr">
        <is>
          <t>DSCR</t>
        </is>
      </c>
    </row>
    <row r="14">
      <c r="A14" t="inlineStr">
        <is>
          <t>E9</t>
        </is>
      </c>
      <c r="B14" t="inlineStr">
        <is>
          <t>Fuel-charge revenue uses a typed 76.5% dispatch instead of the live dispatch</t>
        </is>
      </c>
      <c r="C14" t="inlineStr">
        <is>
          <t>Operations row 51</t>
        </is>
      </c>
      <c r="D14" t="n">
        <v>629.95</v>
      </c>
      <c r="E14" t="n">
        <v>0</v>
      </c>
      <c r="F14" t="n">
        <v>1.35</v>
      </c>
      <c r="G14" t="n">
        <v>1.2</v>
      </c>
      <c r="H14" t="n">
        <v>13.15</v>
      </c>
      <c r="I14" t="inlineStr">
        <is>
          <t>DSCR</t>
        </is>
      </c>
    </row>
    <row r="15">
      <c r="A15" t="inlineStr">
        <is>
          <t>E10</t>
        </is>
      </c>
      <c r="B15" t="inlineStr">
        <is>
          <t>Swap net settlement with legs reversed</t>
        </is>
      </c>
      <c r="C15" t="inlineStr">
        <is>
          <t>Funding row 21; Funding row 39; Funding row 17 (col F); Debt row 107; Debt row 125; Debt row 127</t>
        </is>
      </c>
      <c r="D15" t="n">
        <v>619.9400000000001</v>
      </c>
      <c r="E15" t="n">
        <v>-10.01</v>
      </c>
      <c r="F15" t="n">
        <v>1.35</v>
      </c>
      <c r="G15" t="n">
        <v>1.2</v>
      </c>
      <c r="H15" t="n">
        <v>12.77</v>
      </c>
      <c r="I15" t="inlineStr">
        <is>
          <t>DSCR</t>
        </is>
      </c>
    </row>
    <row r="16">
      <c r="A16" t="inlineStr">
        <is>
          <t>ALL</t>
        </is>
      </c>
      <c r="B16" t="inlineStr">
        <is>
          <t>all ten errors together</t>
        </is>
      </c>
      <c r="C16" t="inlineStr">
        <is>
          <t>all of the above</t>
        </is>
      </c>
      <c r="D16" t="n">
        <v>654.95</v>
      </c>
      <c r="E16" t="n">
        <v>25</v>
      </c>
      <c r="F16" t="n">
        <v>1.42</v>
      </c>
      <c r="G16" t="n">
        <v>1.253</v>
      </c>
      <c r="H16" t="n">
        <v>15.1</v>
      </c>
      <c r="I16" t="inlineStr">
        <is>
          <t>gearing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2026-10-03T23:42:59Z</dcterms:created>
  <dcterms:modified xsi:type="dcterms:W3CDTF">2026-10-03T23:43:01Z</dcterms:modified>
</cp:coreProperties>
</file>