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timeline" sheetId="2" state="visible" r:id="rId2"/>
    <sheet name="macro" sheetId="3" state="visible" r:id="rId3"/>
    <sheet name="country" sheetId="4" state="visible" r:id="rId4"/>
    <sheet name="plant" sheetId="5" state="visible" r:id="rId5"/>
    <sheet name="capex_usd_m" sheetId="6" state="visible" r:id="rId6"/>
    <sheet name="vat_and_duties" sheetId="7" state="visible" r:id="rId7"/>
    <sheet name="ppa" sheetId="8" state="visible" r:id="rId8"/>
    <sheet name="gsa" sheetId="9" state="visible" r:id="rId9"/>
    <sheet name="gta" sheetId="10" state="visible" r:id="rId10"/>
    <sheet name="opex" sheetId="11" state="visible" r:id="rId11"/>
    <sheet name="working_capital" sheetId="12" state="visible" r:id="rId12"/>
    <sheet name="tax" sheetId="13" state="visible" r:id="rId13"/>
    <sheet name="sponsors_and_equity" sheetId="14" state="visible" r:id="rId14"/>
    <sheet name="debt" sheetId="15" state="visible" r:id="rId15"/>
    <sheet name="hedging" sheetId="16" state="visible" r:id="rId16"/>
    <sheet name="accounts" sheetId="17" state="visible" r:id="rId17"/>
    <sheet name="insurance_program" sheetId="18" state="visible" r:id="rId18"/>
    <sheet name="epc_terms" sheetId="19" state="visible" r:id="rId19"/>
    <sheet name="events" sheetId="20" state="visible" r:id="rId20"/>
    <sheet name="scenario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meta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meta.case_id</t>
        </is>
      </c>
      <c r="B5" t="inlineStr"/>
      <c r="C5" s="3" t="inlineStr">
        <is>
          <t>P</t>
        </is>
      </c>
    </row>
    <row r="6">
      <c r="A6" t="inlineStr">
        <is>
          <t>meta.name</t>
        </is>
      </c>
      <c r="B6" t="inlineStr"/>
      <c r="C6" s="3" t="inlineStr">
        <is>
          <t>Belanou Combined Cycle Power Project (Case P)</t>
        </is>
      </c>
    </row>
    <row r="7">
      <c r="A7" t="inlineStr">
        <is>
          <t>meta.file_version</t>
        </is>
      </c>
      <c r="B7" t="inlineStr"/>
      <c r="C7" s="3" t="inlineStr">
        <is>
          <t>1.0</t>
        </is>
      </c>
    </row>
    <row r="8">
      <c r="A8" t="inlineStr">
        <is>
          <t>meta.as_of</t>
        </is>
      </c>
      <c r="B8" t="inlineStr"/>
      <c r="C8" s="3" t="inlineStr">
        <is>
          <t>2026-10-03</t>
        </is>
      </c>
    </row>
    <row r="9">
      <c r="A9" t="inlineStr">
        <is>
          <t>meta.author</t>
        </is>
      </c>
      <c r="B9" t="inlineStr"/>
      <c r="C9" s="3" t="inlineStr">
        <is>
          <t>Case Bible designer</t>
        </is>
      </c>
    </row>
    <row r="10">
      <c r="A10" t="inlineStr">
        <is>
          <t>meta.source_document</t>
        </is>
      </c>
      <c r="B10" t="inlineStr"/>
      <c r="C10" s="3" t="inlineStr">
        <is>
          <t>book/bible/case-bible.md, Part 1</t>
        </is>
      </c>
    </row>
    <row r="11">
      <c r="A11" t="inlineStr">
        <is>
          <t>meta.status_note</t>
        </is>
      </c>
      <c r="B11" t="inlineStr"/>
      <c r="C11" s="3" t="inlineStr">
        <is>
          <t>Assumptions only. Model outputs (debt quantum, IDC, fees in USD, ratios, IRRs, valuations) are computed by the reference model and recorded in the figure ledger. Where this file and case-bible.md disagree, raise a change request; do not silently pick one.</t>
        </is>
      </c>
    </row>
    <row r="12">
      <c r="A12" t="inlineStr">
        <is>
          <t>meta.base_currency</t>
        </is>
      </c>
      <c r="B12" t="inlineStr"/>
      <c r="C12" s="3" t="inlineStr">
        <is>
          <t>USD</t>
        </is>
      </c>
    </row>
    <row r="13">
      <c r="A13" t="inlineStr">
        <is>
          <t>meta.local_currency.code</t>
        </is>
      </c>
      <c r="B13" t="inlineStr"/>
      <c r="C13" s="3" t="inlineStr">
        <is>
          <t>KCR</t>
        </is>
      </c>
    </row>
    <row r="14">
      <c r="A14" t="inlineStr">
        <is>
          <t>meta.local_currency.name</t>
        </is>
      </c>
      <c r="B14" t="inlineStr"/>
      <c r="C14" s="3" t="inlineStr">
        <is>
          <t>Kessaran cauri</t>
        </is>
      </c>
    </row>
    <row r="15">
      <c r="A15" t="inlineStr">
        <is>
          <t>meta.local_currency.plural</t>
        </is>
      </c>
      <c r="B15" t="inlineStr"/>
      <c r="C15" s="3" t="inlineStr">
        <is>
          <t>cauris</t>
        </is>
      </c>
    </row>
    <row r="16">
      <c r="A16" t="inlineStr">
        <is>
          <t>meta.periodicity.construction</t>
        </is>
      </c>
      <c r="B16" t="inlineStr"/>
      <c r="C16" s="3" t="inlineStr">
        <is>
          <t>monthly, Month 1 = August 2018 (notice to proceed 2018-08-01); financial close 2018-07-17 is treated as occurring at the start of Month 1</t>
        </is>
      </c>
    </row>
    <row r="17">
      <c r="A17" t="inlineStr">
        <is>
          <t>meta.periodicity.operations</t>
        </is>
      </c>
      <c r="B17" t="inlineStr"/>
      <c r="C17" s="3" t="inlineStr">
        <is>
          <t>semiannual, periods ending 30 June and 31 December; first operating period is a stub from COD to the next period end</t>
        </is>
      </c>
    </row>
    <row r="18">
      <c r="A18" t="inlineStr">
        <is>
          <t>meta.periodicity.day_count</t>
        </is>
      </c>
      <c r="B18" t="inlineStr"/>
      <c r="C18" s="3" t="inlineStr">
        <is>
          <t>ACT/360 for all USD floating-rate loans and the swap floating leg; 30/360 for the swap fixed leg and the 2025 bond; ACT/365 for KCR items and shareholder loans</t>
        </is>
      </c>
    </row>
    <row r="19">
      <c r="A19" t="inlineStr">
        <is>
          <t>meta.periodicity.indexation_dates</t>
        </is>
      </c>
      <c r="B19" t="inlineStr">
        <is>
          <t>date</t>
        </is>
      </c>
      <c r="C19" s="3" t="inlineStr">
        <is>
          <t>tariff indices reset 1 January and 1 July using index values lagged 3 months (September and March readings)</t>
        </is>
      </c>
    </row>
    <row r="20">
      <c r="A20" t="inlineStr">
        <is>
          <t>meta.units_convention</t>
        </is>
      </c>
      <c r="B20" t="inlineStr"/>
      <c r="C20" s="3" t="inlineStr">
        <is>
          <t>Key names carry units: _usd_m = USD millions; _usd = USD; _kcr_m = KCR millions; _pct = percent (5.0 means 5.0%); _x = ratio multiple; _mw, _gwh, _mwh, _kj_per_kwh, _mmbtu, _days, _months, _years. Prices labelled _2016 or _2018 are in prices of the stated base date before indexation.</t>
        </is>
      </c>
    </row>
    <row r="21">
      <c r="A21" t="inlineStr">
        <is>
          <t>meta.sign_convention</t>
        </is>
      </c>
      <c r="B21" t="inlineStr"/>
      <c r="C21" s="3" t="inlineStr">
        <is>
          <t>Costs stored as positive numbers; subtracted explicitly (style sheet 2.7).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timeline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timeline.origination_first_contact</t>
        </is>
      </c>
      <c r="B5" t="inlineStr"/>
      <c r="C5" s="3" t="inlineStr">
        <is>
          <t>2015-04-14</t>
        </is>
      </c>
    </row>
    <row r="6">
      <c r="A6" t="inlineStr">
        <is>
          <t>timeline.co_development_agreement_signed</t>
        </is>
      </c>
      <c r="B6" t="inlineStr"/>
      <c r="C6" s="3" t="inlineStr">
        <is>
          <t>2015-06-22</t>
        </is>
      </c>
    </row>
    <row r="7">
      <c r="A7" t="inlineStr">
        <is>
          <t>timeline.rfq_issued</t>
        </is>
      </c>
      <c r="B7" t="inlineStr"/>
      <c r="C7" s="3" t="inlineStr">
        <is>
          <t>2016-02-09</t>
        </is>
      </c>
    </row>
    <row r="8">
      <c r="A8" t="inlineStr">
        <is>
          <t>timeline.prequalification_announced</t>
        </is>
      </c>
      <c r="B8" t="inlineStr"/>
      <c r="C8" s="3" t="inlineStr">
        <is>
          <t>2016-04-28</t>
        </is>
      </c>
    </row>
    <row r="9">
      <c r="A9" t="inlineStr">
        <is>
          <t>timeline.rfp_issued</t>
        </is>
      </c>
      <c r="B9" t="inlineStr"/>
      <c r="C9" s="3" t="inlineStr">
        <is>
          <t>2016-05-16</t>
        </is>
      </c>
    </row>
    <row r="10">
      <c r="A10" t="inlineStr">
        <is>
          <t>timeline.bid_submission</t>
        </is>
      </c>
      <c r="B10" t="inlineStr"/>
      <c r="C10" s="3" t="inlineStr">
        <is>
          <t>2016-09-27</t>
        </is>
      </c>
    </row>
    <row r="11">
      <c r="A11" t="inlineStr">
        <is>
          <t>timeline.bid_base_date_for_indexation</t>
        </is>
      </c>
      <c r="B11" t="inlineStr">
        <is>
          <t>date</t>
        </is>
      </c>
      <c r="C11" s="3" t="inlineStr">
        <is>
          <t>2016-11-30</t>
        </is>
      </c>
    </row>
    <row r="12">
      <c r="A12" t="inlineStr">
        <is>
          <t>timeline.preferred_bidder_notified</t>
        </is>
      </c>
      <c r="B12" t="inlineStr"/>
      <c r="C12" s="3" t="inlineStr">
        <is>
          <t>2016-12-08</t>
        </is>
      </c>
    </row>
    <row r="13">
      <c r="A13" t="inlineStr">
        <is>
          <t>timeline.abdb_equity_term_sheet</t>
        </is>
      </c>
      <c r="B13" t="inlineStr"/>
      <c r="C13" s="3" t="inlineStr">
        <is>
          <t>2017-04-11</t>
        </is>
      </c>
    </row>
    <row r="14">
      <c r="A14" t="inlineStr">
        <is>
          <t>timeline.lead_arranger_mandate</t>
        </is>
      </c>
      <c r="B14" t="inlineStr"/>
      <c r="C14" s="3" t="inlineStr">
        <is>
          <t>2017-06-19</t>
        </is>
      </c>
    </row>
    <row r="15">
      <c r="A15" t="inlineStr">
        <is>
          <t>timeline.ppa_ia_government_guarantee_signed</t>
        </is>
      </c>
      <c r="B15" t="inlineStr"/>
      <c r="C15" s="3" t="inlineStr">
        <is>
          <t>2017-10-12</t>
        </is>
      </c>
    </row>
    <row r="16">
      <c r="A16" t="inlineStr">
        <is>
          <t>timeline.gsa_signed</t>
        </is>
      </c>
      <c r="B16" t="inlineStr"/>
      <c r="C16" s="3" t="inlineStr">
        <is>
          <t>2017-11-30</t>
        </is>
      </c>
    </row>
    <row r="17">
      <c r="A17" t="inlineStr">
        <is>
          <t>timeline.gta_signed</t>
        </is>
      </c>
      <c r="B17" t="inlineStr"/>
      <c r="C17" s="3" t="inlineStr">
        <is>
          <t>2017-11-30</t>
        </is>
      </c>
    </row>
    <row r="18">
      <c r="A18" t="inlineStr">
        <is>
          <t>timeline.epc_signed</t>
        </is>
      </c>
      <c r="B18" t="inlineStr"/>
      <c r="C18" s="3" t="inlineStr">
        <is>
          <t>2017-12-19</t>
        </is>
      </c>
    </row>
    <row r="19">
      <c r="A19" t="inlineStr">
        <is>
          <t>timeline.limited_notice_to_proceed</t>
        </is>
      </c>
      <c r="B19" t="inlineStr"/>
      <c r="C19" s="3" t="inlineStr">
        <is>
          <t>2018-02-05</t>
        </is>
      </c>
    </row>
    <row r="20">
      <c r="A20" t="inlineStr">
        <is>
          <t>timeline.ltsa_signed</t>
        </is>
      </c>
      <c r="B20" t="inlineStr"/>
      <c r="C20" s="3" t="inlineStr">
        <is>
          <t>2018-03-27</t>
        </is>
      </c>
    </row>
    <row r="21">
      <c r="A21" t="inlineStr">
        <is>
          <t>timeline.om_agreement_signed</t>
        </is>
      </c>
      <c r="B21" t="inlineStr"/>
      <c r="C21" s="3" t="inlineStr">
        <is>
          <t>2018-04-30</t>
        </is>
      </c>
    </row>
    <row r="22">
      <c r="A22" t="inlineStr">
        <is>
          <t>timeline.financial_close</t>
        </is>
      </c>
      <c r="B22" t="inlineStr"/>
      <c r="C22" s="3" t="inlineStr">
        <is>
          <t>2018-07-17</t>
        </is>
      </c>
    </row>
    <row r="23">
      <c r="A23" t="inlineStr">
        <is>
          <t>timeline.notice_to_proceed</t>
        </is>
      </c>
      <c r="B23" t="inlineStr"/>
      <c r="C23" s="3" t="inlineStr">
        <is>
          <t>2018-08-01</t>
        </is>
      </c>
    </row>
    <row r="24">
      <c r="A24" t="inlineStr">
        <is>
          <t>timeline.construction_months_base</t>
        </is>
      </c>
      <c r="B24" t="inlineStr">
        <is>
          <t>months</t>
        </is>
      </c>
      <c r="C24" s="3" t="n">
        <v>33</v>
      </c>
    </row>
    <row r="25">
      <c r="A25" t="inlineStr">
        <is>
          <t>timeline.epc_guaranteed_completion_date_original</t>
        </is>
      </c>
      <c r="B25" t="inlineStr">
        <is>
          <t>date</t>
        </is>
      </c>
      <c r="C25" s="3" t="inlineStr">
        <is>
          <t>2021-04-30</t>
        </is>
      </c>
    </row>
    <row r="26">
      <c r="A26" t="inlineStr">
        <is>
          <t>timeline.cod_base</t>
        </is>
      </c>
      <c r="B26" t="inlineStr"/>
      <c r="C26" s="3" t="inlineStr">
        <is>
          <t>2021-05-01</t>
        </is>
      </c>
    </row>
    <row r="27">
      <c r="A27" t="inlineStr">
        <is>
          <t>timeline.ppa_required_cod_original</t>
        </is>
      </c>
      <c r="B27" t="inlineStr"/>
      <c r="C27" s="3" t="inlineStr">
        <is>
          <t>2021-07-31</t>
        </is>
      </c>
    </row>
    <row r="28">
      <c r="A28" t="inlineStr">
        <is>
          <t>timeline.covid_lockdown_start_kessara</t>
        </is>
      </c>
      <c r="B28" t="inlineStr"/>
      <c r="C28" s="3" t="inlineStr">
        <is>
          <t>2020-03-21</t>
        </is>
      </c>
    </row>
    <row r="29">
      <c r="A29" t="inlineStr">
        <is>
          <t>timeline.covid_eot_days</t>
        </is>
      </c>
      <c r="B29" t="inlineStr">
        <is>
          <t>days</t>
        </is>
      </c>
      <c r="C29" s="3" t="n">
        <v>97</v>
      </c>
    </row>
    <row r="30">
      <c r="A30" t="inlineStr">
        <is>
          <t>timeline.civil_rework_contractor_delay_days</t>
        </is>
      </c>
      <c r="B30" t="inlineStr">
        <is>
          <t>days</t>
        </is>
      </c>
      <c r="C30" s="3" t="n">
        <v>41</v>
      </c>
    </row>
    <row r="31">
      <c r="A31" t="inlineStr">
        <is>
          <t>timeline.gsu_transformer_failure</t>
        </is>
      </c>
      <c r="B31" t="inlineStr"/>
      <c r="C31" s="3" t="inlineStr">
        <is>
          <t>2021-06-09</t>
        </is>
      </c>
    </row>
    <row r="32">
      <c r="A32" t="inlineStr">
        <is>
          <t>timeline.grid_event_eot_days</t>
        </is>
      </c>
      <c r="B32" t="inlineStr">
        <is>
          <t>days</t>
        </is>
      </c>
      <c r="C32" s="3" t="n">
        <v>76</v>
      </c>
    </row>
    <row r="33">
      <c r="A33" t="inlineStr">
        <is>
          <t>timeline.epc_guaranteed_completion_date_extended</t>
        </is>
      </c>
      <c r="B33" t="inlineStr">
        <is>
          <t>date</t>
        </is>
      </c>
      <c r="C33" s="3" t="inlineStr">
        <is>
          <t>2021-10-20</t>
        </is>
      </c>
    </row>
    <row r="34">
      <c r="A34" t="inlineStr">
        <is>
          <t>timeline.taking_over_actual</t>
        </is>
      </c>
      <c r="B34" t="inlineStr"/>
      <c r="C34" s="3" t="inlineStr">
        <is>
          <t>2021-11-30</t>
        </is>
      </c>
    </row>
    <row r="35">
      <c r="A35" t="inlineStr">
        <is>
          <t>timeline.cod_actual</t>
        </is>
      </c>
      <c r="B35" t="inlineStr"/>
      <c r="C35" s="3" t="inlineStr">
        <is>
          <t>2021-12-01</t>
        </is>
      </c>
    </row>
    <row r="36">
      <c r="A36" t="inlineStr">
        <is>
          <t>timeline.construction_months_actual</t>
        </is>
      </c>
      <c r="B36" t="inlineStr">
        <is>
          <t>months</t>
        </is>
      </c>
      <c r="C36" s="3" t="n">
        <v>40</v>
      </c>
    </row>
    <row r="37">
      <c r="A37" t="inlineStr">
        <is>
          <t>timeline.ppa_term_years_from_cod</t>
        </is>
      </c>
      <c r="B37" t="inlineStr">
        <is>
          <t>years</t>
        </is>
      </c>
      <c r="C37" s="3" t="n">
        <v>25</v>
      </c>
    </row>
    <row r="38">
      <c r="A38" t="inlineStr">
        <is>
          <t>timeline.ppa_expiry_base</t>
        </is>
      </c>
      <c r="B38" t="inlineStr"/>
      <c r="C38" s="3" t="inlineStr">
        <is>
          <t>2046-04-30</t>
        </is>
      </c>
    </row>
    <row r="39">
      <c r="A39" t="inlineStr">
        <is>
          <t>timeline.ppa_expiry_actual</t>
        </is>
      </c>
      <c r="B39" t="inlineStr"/>
      <c r="C39" s="3" t="inlineStr">
        <is>
          <t>2046-11-30</t>
        </is>
      </c>
    </row>
    <row r="40">
      <c r="A40" t="inlineStr">
        <is>
          <t>timeline.first_repayment_date_base</t>
        </is>
      </c>
      <c r="B40" t="inlineStr">
        <is>
          <t>date</t>
        </is>
      </c>
      <c r="C40" s="3" t="inlineStr">
        <is>
          <t>2021-12-31</t>
        </is>
      </c>
    </row>
    <row r="41">
      <c r="A41" t="inlineStr">
        <is>
          <t>timeline.first_repayment_date_actual</t>
        </is>
      </c>
      <c r="B41" t="inlineStr">
        <is>
          <t>date</t>
        </is>
      </c>
      <c r="C41" s="3" t="inlineStr">
        <is>
          <t>2022-06-30</t>
        </is>
      </c>
    </row>
    <row r="42">
      <c r="A42" t="inlineStr">
        <is>
          <t>timeline.final_maturity_senior_bank_debt</t>
        </is>
      </c>
      <c r="B42" t="inlineStr"/>
      <c r="C42" s="3" t="inlineStr">
        <is>
          <t>2034-06-30</t>
        </is>
      </c>
    </row>
    <row r="43">
      <c r="A43" t="inlineStr">
        <is>
          <t>timeline.libor_to_term_sofr_switch_loans</t>
        </is>
      </c>
      <c r="B43" t="inlineStr"/>
      <c r="C43" s="3" t="inlineStr">
        <is>
          <t>2023-01-01</t>
        </is>
      </c>
    </row>
    <row r="44">
      <c r="A44" t="inlineStr">
        <is>
          <t>timeline.swap_fallback_to_compounded_sofr</t>
        </is>
      </c>
      <c r="B44" t="inlineStr"/>
      <c r="C44" s="3" t="inlineStr">
        <is>
          <t>2023-07-01</t>
        </is>
      </c>
    </row>
    <row r="45">
      <c r="A45" t="inlineStr">
        <is>
          <t>timeline.fx_queue_start</t>
        </is>
      </c>
      <c r="B45" t="inlineStr"/>
      <c r="C45" s="3" t="inlineStr">
        <is>
          <t>2022-11-07</t>
        </is>
      </c>
    </row>
    <row r="46">
      <c r="A46" t="inlineStr">
        <is>
          <t>timeline.fx_queue_end</t>
        </is>
      </c>
      <c r="B46" t="inlineStr"/>
      <c r="C46" s="3" t="inlineStr">
        <is>
          <t>2024-03-29</t>
        </is>
      </c>
    </row>
    <row r="47">
      <c r="A47" t="inlineStr">
        <is>
          <t>timeline.seka_lc_drawn</t>
        </is>
      </c>
      <c r="B47" t="inlineStr"/>
      <c r="C47" s="3" t="inlineStr">
        <is>
          <t>2023-02-14</t>
        </is>
      </c>
    </row>
    <row r="48">
      <c r="A48" t="inlineStr">
        <is>
          <t>timeline.dscr_test_breach</t>
        </is>
      </c>
      <c r="B48" t="inlineStr"/>
      <c r="C48" s="3" t="inlineStr">
        <is>
          <t>2023-06-30</t>
        </is>
      </c>
    </row>
    <row r="49">
      <c r="A49" t="inlineStr">
        <is>
          <t>timeline.waiver_and_amendment_letter</t>
        </is>
      </c>
      <c r="B49" t="inlineStr"/>
      <c r="C49" s="3" t="inlineStr">
        <is>
          <t>2023-10-26</t>
        </is>
      </c>
    </row>
    <row r="50">
      <c r="A50" t="inlineStr">
        <is>
          <t>timeline.arrears_settlement_agreement</t>
        </is>
      </c>
      <c r="B50" t="inlineStr"/>
      <c r="C50" s="3" t="inlineStr">
        <is>
          <t>2024-03-21</t>
        </is>
      </c>
    </row>
    <row r="51">
      <c r="A51" t="inlineStr">
        <is>
          <t>timeline.refinancing_bond_pricing</t>
        </is>
      </c>
      <c r="B51" t="inlineStr"/>
      <c r="C51" s="3" t="inlineStr">
        <is>
          <t>2025-06-17</t>
        </is>
      </c>
    </row>
    <row r="52">
      <c r="A52" t="inlineStr">
        <is>
          <t>timeline.refinancing_settlement</t>
        </is>
      </c>
      <c r="B52" t="inlineStr"/>
      <c r="C52" s="3" t="inlineStr">
        <is>
          <t>2025-06-30</t>
        </is>
      </c>
    </row>
    <row r="53">
      <c r="A53" t="inlineStr">
        <is>
          <t>timeline.partial_sale_spa_signed</t>
        </is>
      </c>
      <c r="B53" t="inlineStr"/>
      <c r="C53" s="3" t="inlineStr">
        <is>
          <t>2026-04-14</t>
        </is>
      </c>
    </row>
    <row r="54">
      <c r="A54" t="inlineStr">
        <is>
          <t>timeline.partial_sale_locked_box_date</t>
        </is>
      </c>
      <c r="B54" t="inlineStr">
        <is>
          <t>date</t>
        </is>
      </c>
      <c r="C54" s="3" t="inlineStr">
        <is>
          <t>2025-12-31</t>
        </is>
      </c>
    </row>
    <row r="55">
      <c r="A55" t="inlineStr">
        <is>
          <t>timeline.partial_sale_completion</t>
        </is>
      </c>
      <c r="B55" t="inlineStr"/>
      <c r="C55" s="3" t="inlineStr">
        <is>
          <t>2026-09-30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macro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macro.notes</t>
        </is>
      </c>
      <c r="B5" t="inlineStr"/>
      <c r="C5" s="3" t="inlineStr">
        <is>
          <t>US CPI-U annual averages 2015-2025 approximate published values (fact-check against BLS before printing); 2026+ assumptions. Kessara series are fictional. FX quoted as KCR per USD.</t>
        </is>
      </c>
    </row>
    <row r="6">
      <c r="A6" t="inlineStr">
        <is>
          <t>macro.us_cpi_annual_avg_change_pct.2015</t>
        </is>
      </c>
      <c r="B6" t="inlineStr"/>
      <c r="C6" s="3" t="n">
        <v>0.1</v>
      </c>
    </row>
    <row r="7">
      <c r="A7" t="inlineStr">
        <is>
          <t>macro.us_cpi_annual_avg_change_pct.2016</t>
        </is>
      </c>
      <c r="B7" t="inlineStr"/>
      <c r="C7" s="3" t="n">
        <v>1.3</v>
      </c>
    </row>
    <row r="8">
      <c r="A8" t="inlineStr">
        <is>
          <t>macro.us_cpi_annual_avg_change_pct.2017</t>
        </is>
      </c>
      <c r="B8" t="inlineStr"/>
      <c r="C8" s="3" t="n">
        <v>2.1</v>
      </c>
    </row>
    <row r="9">
      <c r="A9" t="inlineStr">
        <is>
          <t>macro.us_cpi_annual_avg_change_pct.2018</t>
        </is>
      </c>
      <c r="B9" t="inlineStr"/>
      <c r="C9" s="3" t="n">
        <v>2.4</v>
      </c>
    </row>
    <row r="10">
      <c r="A10" t="inlineStr">
        <is>
          <t>macro.us_cpi_annual_avg_change_pct.2019</t>
        </is>
      </c>
      <c r="B10" t="inlineStr"/>
      <c r="C10" s="3" t="n">
        <v>1.8</v>
      </c>
    </row>
    <row r="11">
      <c r="A11" t="inlineStr">
        <is>
          <t>macro.us_cpi_annual_avg_change_pct.2020</t>
        </is>
      </c>
      <c r="B11" t="inlineStr"/>
      <c r="C11" s="3" t="n">
        <v>1.2</v>
      </c>
    </row>
    <row r="12">
      <c r="A12" t="inlineStr">
        <is>
          <t>macro.us_cpi_annual_avg_change_pct.2021</t>
        </is>
      </c>
      <c r="B12" t="inlineStr"/>
      <c r="C12" s="3" t="n">
        <v>4.7</v>
      </c>
    </row>
    <row r="13">
      <c r="A13" t="inlineStr">
        <is>
          <t>macro.us_cpi_annual_avg_change_pct.2022</t>
        </is>
      </c>
      <c r="B13" t="inlineStr"/>
      <c r="C13" s="3" t="n">
        <v>8</v>
      </c>
    </row>
    <row r="14">
      <c r="A14" t="inlineStr">
        <is>
          <t>macro.us_cpi_annual_avg_change_pct.2023</t>
        </is>
      </c>
      <c r="B14" t="inlineStr"/>
      <c r="C14" s="3" t="n">
        <v>4.1</v>
      </c>
    </row>
    <row r="15">
      <c r="A15" t="inlineStr">
        <is>
          <t>macro.us_cpi_annual_avg_change_pct.2024</t>
        </is>
      </c>
      <c r="B15" t="inlineStr"/>
      <c r="C15" s="3" t="n">
        <v>2.9</v>
      </c>
    </row>
    <row r="16">
      <c r="A16" t="inlineStr">
        <is>
          <t>macro.us_cpi_annual_avg_change_pct.2025</t>
        </is>
      </c>
      <c r="B16" t="inlineStr"/>
      <c r="C16" s="3" t="n">
        <v>2.7</v>
      </c>
    </row>
    <row r="17">
      <c r="A17" t="inlineStr">
        <is>
          <t>macro.us_cpi_annual_avg_change_pct.2026</t>
        </is>
      </c>
      <c r="B17" t="inlineStr"/>
      <c r="C17" s="3" t="n">
        <v>2.6</v>
      </c>
    </row>
    <row r="18">
      <c r="A18" t="inlineStr">
        <is>
          <t>macro.us_cpi_annual_avg_change_pct.2027_onward</t>
        </is>
      </c>
      <c r="B18" t="inlineStr"/>
      <c r="C18" s="3" t="n">
        <v>2.3</v>
      </c>
    </row>
    <row r="19">
      <c r="A19" t="inlineStr">
        <is>
          <t>macro.kessara_cpi_annual_avg_change_pct.2015</t>
        </is>
      </c>
      <c r="B19" t="inlineStr"/>
      <c r="C19" s="3" t="n">
        <v>8.699999999999999</v>
      </c>
    </row>
    <row r="20">
      <c r="A20" t="inlineStr">
        <is>
          <t>macro.kessara_cpi_annual_avg_change_pct.2016</t>
        </is>
      </c>
      <c r="B20" t="inlineStr"/>
      <c r="C20" s="3" t="n">
        <v>9.4</v>
      </c>
    </row>
    <row r="21">
      <c r="A21" t="inlineStr">
        <is>
          <t>macro.kessara_cpi_annual_avg_change_pct.2017</t>
        </is>
      </c>
      <c r="B21" t="inlineStr"/>
      <c r="C21" s="3" t="n">
        <v>8.1</v>
      </c>
    </row>
    <row r="22">
      <c r="A22" t="inlineStr">
        <is>
          <t>macro.kessara_cpi_annual_avg_change_pct.2018</t>
        </is>
      </c>
      <c r="B22" t="inlineStr"/>
      <c r="C22" s="3" t="n">
        <v>7.6</v>
      </c>
    </row>
    <row r="23">
      <c r="A23" t="inlineStr">
        <is>
          <t>macro.kessara_cpi_annual_avg_change_pct.2019</t>
        </is>
      </c>
      <c r="B23" t="inlineStr"/>
      <c r="C23" s="3" t="n">
        <v>7.9</v>
      </c>
    </row>
    <row r="24">
      <c r="A24" t="inlineStr">
        <is>
          <t>macro.kessara_cpi_annual_avg_change_pct.2020</t>
        </is>
      </c>
      <c r="B24" t="inlineStr"/>
      <c r="C24" s="3" t="n">
        <v>9.800000000000001</v>
      </c>
    </row>
    <row r="25">
      <c r="A25" t="inlineStr">
        <is>
          <t>macro.kessara_cpi_annual_avg_change_pct.2021</t>
        </is>
      </c>
      <c r="B25" t="inlineStr"/>
      <c r="C25" s="3" t="n">
        <v>10.6</v>
      </c>
    </row>
    <row r="26">
      <c r="A26" t="inlineStr">
        <is>
          <t>macro.kessara_cpi_annual_avg_change_pct.2022</t>
        </is>
      </c>
      <c r="B26" t="inlineStr"/>
      <c r="C26" s="3" t="n">
        <v>26.3</v>
      </c>
    </row>
    <row r="27">
      <c r="A27" t="inlineStr">
        <is>
          <t>macro.kessara_cpi_annual_avg_change_pct.2023</t>
        </is>
      </c>
      <c r="B27" t="inlineStr"/>
      <c r="C27" s="3" t="n">
        <v>34.8</v>
      </c>
    </row>
    <row r="28">
      <c r="A28" t="inlineStr">
        <is>
          <t>macro.kessara_cpi_annual_avg_change_pct.2024</t>
        </is>
      </c>
      <c r="B28" t="inlineStr"/>
      <c r="C28" s="3" t="n">
        <v>19.2</v>
      </c>
    </row>
    <row r="29">
      <c r="A29" t="inlineStr">
        <is>
          <t>macro.kessara_cpi_annual_avg_change_pct.2025</t>
        </is>
      </c>
      <c r="B29" t="inlineStr"/>
      <c r="C29" s="3" t="n">
        <v>12.4</v>
      </c>
    </row>
    <row r="30">
      <c r="A30" t="inlineStr">
        <is>
          <t>macro.kessara_cpi_annual_avg_change_pct.2026</t>
        </is>
      </c>
      <c r="B30" t="inlineStr"/>
      <c r="C30" s="3" t="n">
        <v>9.6</v>
      </c>
    </row>
    <row r="31">
      <c r="A31" t="inlineStr">
        <is>
          <t>macro.kessara_cpi_annual_avg_change_pct.2027</t>
        </is>
      </c>
      <c r="B31" t="inlineStr"/>
      <c r="C31" s="3" t="n">
        <v>8</v>
      </c>
    </row>
    <row r="32">
      <c r="A32" t="inlineStr">
        <is>
          <t>macro.kessara_cpi_annual_avg_change_pct.2028_onward</t>
        </is>
      </c>
      <c r="B32" t="inlineStr"/>
      <c r="C32" s="3" t="n">
        <v>7</v>
      </c>
    </row>
    <row r="33">
      <c r="A33" t="inlineStr">
        <is>
          <t>macro.index_construction_rule</t>
        </is>
      </c>
      <c r="B33" t="inlineStr"/>
      <c r="C33" s="3" t="inlineStr">
        <is>
          <t>Build monthly index levels by spreading each calendar year's average change evenly across its months (geometric); set both indices = 100.0 at November 2016 (bid base date). Tariff uses the index value of the month 3 months before each reset date.</t>
        </is>
      </c>
    </row>
    <row r="34">
      <c r="A34" t="inlineStr">
        <is>
          <t>macro.fx_kcr_per_usd.annual_avg.2015</t>
        </is>
      </c>
      <c r="B34" t="inlineStr"/>
      <c r="C34" s="3" t="n">
        <v>418.6</v>
      </c>
    </row>
    <row r="35">
      <c r="A35" t="inlineStr">
        <is>
          <t>macro.fx_kcr_per_usd.annual_avg.2016</t>
        </is>
      </c>
      <c r="B35" t="inlineStr"/>
      <c r="C35" s="3" t="n">
        <v>451.7</v>
      </c>
    </row>
    <row r="36">
      <c r="A36" t="inlineStr">
        <is>
          <t>macro.fx_kcr_per_usd.annual_avg.2017</t>
        </is>
      </c>
      <c r="B36" t="inlineStr"/>
      <c r="C36" s="3" t="n">
        <v>487.3</v>
      </c>
    </row>
    <row r="37">
      <c r="A37" t="inlineStr">
        <is>
          <t>macro.fx_kcr_per_usd.annual_avg.2018</t>
        </is>
      </c>
      <c r="B37" t="inlineStr"/>
      <c r="C37" s="3" t="n">
        <v>516.8</v>
      </c>
    </row>
    <row r="38">
      <c r="A38" t="inlineStr">
        <is>
          <t>macro.fx_kcr_per_usd.annual_avg.2019</t>
        </is>
      </c>
      <c r="B38" t="inlineStr"/>
      <c r="C38" s="3" t="n">
        <v>545.2</v>
      </c>
    </row>
    <row r="39">
      <c r="A39" t="inlineStr">
        <is>
          <t>macro.fx_kcr_per_usd.annual_avg.2020</t>
        </is>
      </c>
      <c r="B39" t="inlineStr"/>
      <c r="C39" s="3" t="n">
        <v>572.9</v>
      </c>
    </row>
    <row r="40">
      <c r="A40" t="inlineStr">
        <is>
          <t>macro.fx_kcr_per_usd.annual_avg.2021</t>
        </is>
      </c>
      <c r="B40" t="inlineStr"/>
      <c r="C40" s="3" t="n">
        <v>603.5</v>
      </c>
    </row>
    <row r="41">
      <c r="A41" t="inlineStr">
        <is>
          <t>macro.fx_kcr_per_usd.annual_avg.2022</t>
        </is>
      </c>
      <c r="B41" t="inlineStr"/>
      <c r="C41" s="3" t="n">
        <v>742.6</v>
      </c>
    </row>
    <row r="42">
      <c r="A42" t="inlineStr">
        <is>
          <t>macro.fx_kcr_per_usd.annual_avg.2023</t>
        </is>
      </c>
      <c r="B42" t="inlineStr"/>
      <c r="C42" s="3" t="n">
        <v>1048.3</v>
      </c>
    </row>
    <row r="43">
      <c r="A43" t="inlineStr">
        <is>
          <t>macro.fx_kcr_per_usd.annual_avg.2024</t>
        </is>
      </c>
      <c r="B43" t="inlineStr"/>
      <c r="C43" s="3" t="n">
        <v>1071.9</v>
      </c>
    </row>
    <row r="44">
      <c r="A44" t="inlineStr">
        <is>
          <t>macro.fx_kcr_per_usd.annual_avg.2025</t>
        </is>
      </c>
      <c r="B44" t="inlineStr"/>
      <c r="C44" s="3" t="n">
        <v>1029.7</v>
      </c>
    </row>
    <row r="45">
      <c r="A45" t="inlineStr">
        <is>
          <t>macro.fx_kcr_per_usd.annual_avg.2026</t>
        </is>
      </c>
      <c r="B45" t="inlineStr"/>
      <c r="C45" s="3" t="n">
        <v>1036.4</v>
      </c>
    </row>
    <row r="46">
      <c r="A46" t="inlineStr">
        <is>
          <t>macro.fx_kcr_per_usd.period_end.2015-12-31</t>
        </is>
      </c>
      <c r="B46" t="inlineStr"/>
      <c r="C46" s="3" t="n">
        <v>436.2</v>
      </c>
    </row>
    <row r="47">
      <c r="A47" t="inlineStr">
        <is>
          <t>macro.fx_kcr_per_usd.period_end.2016-06-30</t>
        </is>
      </c>
      <c r="B47" t="inlineStr"/>
      <c r="C47" s="3" t="n">
        <v>447.9</v>
      </c>
    </row>
    <row r="48">
      <c r="A48" t="inlineStr">
        <is>
          <t>macro.fx_kcr_per_usd.period_end.2016-11-30</t>
        </is>
      </c>
      <c r="B48" t="inlineStr"/>
      <c r="C48" s="3" t="n">
        <v>462.35</v>
      </c>
    </row>
    <row r="49">
      <c r="A49" t="inlineStr">
        <is>
          <t>macro.fx_kcr_per_usd.period_end.2016-12-31</t>
        </is>
      </c>
      <c r="B49" t="inlineStr"/>
      <c r="C49" s="3" t="n">
        <v>468.9</v>
      </c>
    </row>
    <row r="50">
      <c r="A50" t="inlineStr">
        <is>
          <t>macro.fx_kcr_per_usd.period_end.2017-06-30</t>
        </is>
      </c>
      <c r="B50" t="inlineStr"/>
      <c r="C50" s="3" t="n">
        <v>489.6</v>
      </c>
    </row>
    <row r="51">
      <c r="A51" t="inlineStr">
        <is>
          <t>macro.fx_kcr_per_usd.period_end.2017-12-31</t>
        </is>
      </c>
      <c r="B51" t="inlineStr"/>
      <c r="C51" s="3" t="n">
        <v>502.4</v>
      </c>
    </row>
    <row r="52">
      <c r="A52" t="inlineStr">
        <is>
          <t>macro.fx_kcr_per_usd.period_end.2018-06-30</t>
        </is>
      </c>
      <c r="B52" t="inlineStr"/>
      <c r="C52" s="3" t="n">
        <v>517</v>
      </c>
    </row>
    <row r="53">
      <c r="A53" t="inlineStr">
        <is>
          <t>macro.fx_kcr_per_usd.period_end.2018-07-17</t>
        </is>
      </c>
      <c r="B53" t="inlineStr"/>
      <c r="C53" s="3" t="n">
        <v>519.4</v>
      </c>
    </row>
    <row r="54">
      <c r="A54" t="inlineStr">
        <is>
          <t>macro.fx_kcr_per_usd.period_end.2018-12-31</t>
        </is>
      </c>
      <c r="B54" t="inlineStr"/>
      <c r="C54" s="3" t="n">
        <v>531.7</v>
      </c>
    </row>
    <row r="55">
      <c r="A55" t="inlineStr">
        <is>
          <t>macro.fx_kcr_per_usd.period_end.2019-06-30</t>
        </is>
      </c>
      <c r="B55" t="inlineStr"/>
      <c r="C55" s="3" t="n">
        <v>544.3</v>
      </c>
    </row>
    <row r="56">
      <c r="A56" t="inlineStr">
        <is>
          <t>macro.fx_kcr_per_usd.period_end.2019-12-31</t>
        </is>
      </c>
      <c r="B56" t="inlineStr"/>
      <c r="C56" s="3" t="n">
        <v>556</v>
      </c>
    </row>
    <row r="57">
      <c r="A57" t="inlineStr">
        <is>
          <t>macro.fx_kcr_per_usd.period_end.2020-06-30</t>
        </is>
      </c>
      <c r="B57" t="inlineStr"/>
      <c r="C57" s="3" t="n">
        <v>577.8</v>
      </c>
    </row>
    <row r="58">
      <c r="A58" t="inlineStr">
        <is>
          <t>macro.fx_kcr_per_usd.period_end.2020-12-31</t>
        </is>
      </c>
      <c r="B58" t="inlineStr"/>
      <c r="C58" s="3" t="n">
        <v>590.3</v>
      </c>
    </row>
    <row r="59">
      <c r="A59" t="inlineStr">
        <is>
          <t>macro.fx_kcr_per_usd.period_end.2021-06-30</t>
        </is>
      </c>
      <c r="B59" t="inlineStr"/>
      <c r="C59" s="3" t="n">
        <v>604.1</v>
      </c>
    </row>
    <row r="60">
      <c r="A60" t="inlineStr">
        <is>
          <t>macro.fx_kcr_per_usd.period_end.2021-12-31</t>
        </is>
      </c>
      <c r="B60" t="inlineStr"/>
      <c r="C60" s="3" t="n">
        <v>618.7</v>
      </c>
    </row>
    <row r="61">
      <c r="A61" t="inlineStr">
        <is>
          <t>macro.fx_kcr_per_usd.period_end.2022-06-30</t>
        </is>
      </c>
      <c r="B61" t="inlineStr"/>
      <c r="C61" s="3" t="n">
        <v>688.2</v>
      </c>
    </row>
    <row r="62">
      <c r="A62" t="inlineStr">
        <is>
          <t>macro.fx_kcr_per_usd.period_end.2022-12-31</t>
        </is>
      </c>
      <c r="B62" t="inlineStr"/>
      <c r="C62" s="3" t="n">
        <v>897.4</v>
      </c>
    </row>
    <row r="63">
      <c r="A63" t="inlineStr">
        <is>
          <t>macro.fx_kcr_per_usd.period_end.2023-06-30</t>
        </is>
      </c>
      <c r="B63" t="inlineStr"/>
      <c r="C63" s="3" t="n">
        <v>1186</v>
      </c>
    </row>
    <row r="64">
      <c r="A64" t="inlineStr">
        <is>
          <t>macro.fx_kcr_per_usd.period_end.2023-12-31</t>
        </is>
      </c>
      <c r="B64" t="inlineStr"/>
      <c r="C64" s="3" t="n">
        <v>1112.6</v>
      </c>
    </row>
    <row r="65">
      <c r="A65" t="inlineStr">
        <is>
          <t>macro.fx_kcr_per_usd.period_end.2024-06-30</t>
        </is>
      </c>
      <c r="B65" t="inlineStr"/>
      <c r="C65" s="3" t="n">
        <v>1068.3</v>
      </c>
    </row>
    <row r="66">
      <c r="A66" t="inlineStr">
        <is>
          <t>macro.fx_kcr_per_usd.period_end.2024-12-31</t>
        </is>
      </c>
      <c r="B66" t="inlineStr"/>
      <c r="C66" s="3" t="n">
        <v>1043.5</v>
      </c>
    </row>
    <row r="67">
      <c r="A67" t="inlineStr">
        <is>
          <t>macro.fx_kcr_per_usd.period_end.2025-06-30</t>
        </is>
      </c>
      <c r="B67" t="inlineStr"/>
      <c r="C67" s="3" t="n">
        <v>1024.9</v>
      </c>
    </row>
    <row r="68">
      <c r="A68" t="inlineStr">
        <is>
          <t>macro.fx_kcr_per_usd.period_end.2025-12-31</t>
        </is>
      </c>
      <c r="B68" t="inlineStr"/>
      <c r="C68" s="3" t="n">
        <v>1018.2</v>
      </c>
    </row>
    <row r="69">
      <c r="A69" t="inlineStr">
        <is>
          <t>macro.fx_kcr_per_usd.period_end.2026-06-30</t>
        </is>
      </c>
      <c r="B69" t="inlineStr"/>
      <c r="C69" s="3" t="n">
        <v>1031.7</v>
      </c>
    </row>
    <row r="70">
      <c r="A70" t="inlineStr">
        <is>
          <t>macro.fx_kcr_per_usd.semiannual_avg.2018H2</t>
        </is>
      </c>
      <c r="B70" t="inlineStr"/>
      <c r="C70" s="3" t="n">
        <v>524.6</v>
      </c>
    </row>
    <row r="71">
      <c r="A71" t="inlineStr">
        <is>
          <t>macro.fx_kcr_per_usd.semiannual_avg.2019H1</t>
        </is>
      </c>
      <c r="B71" t="inlineStr"/>
      <c r="C71" s="3" t="n">
        <v>539.1</v>
      </c>
    </row>
    <row r="72">
      <c r="A72" t="inlineStr">
        <is>
          <t>macro.fx_kcr_per_usd.semiannual_avg.2019H2</t>
        </is>
      </c>
      <c r="B72" t="inlineStr"/>
      <c r="C72" s="3" t="n">
        <v>551.3</v>
      </c>
    </row>
    <row r="73">
      <c r="A73" t="inlineStr">
        <is>
          <t>macro.fx_kcr_per_usd.semiannual_avg.2020H1</t>
        </is>
      </c>
      <c r="B73" t="inlineStr"/>
      <c r="C73" s="3" t="n">
        <v>566</v>
      </c>
    </row>
    <row r="74">
      <c r="A74" t="inlineStr">
        <is>
          <t>macro.fx_kcr_per_usd.semiannual_avg.2020H2</t>
        </is>
      </c>
      <c r="B74" t="inlineStr"/>
      <c r="C74" s="3" t="n">
        <v>579.8</v>
      </c>
    </row>
    <row r="75">
      <c r="A75" t="inlineStr">
        <is>
          <t>macro.fx_kcr_per_usd.semiannual_avg.2021H1</t>
        </is>
      </c>
      <c r="B75" t="inlineStr"/>
      <c r="C75" s="3" t="n">
        <v>597.4</v>
      </c>
    </row>
    <row r="76">
      <c r="A76" t="inlineStr">
        <is>
          <t>macro.fx_kcr_per_usd.semiannual_avg.2021H2</t>
        </is>
      </c>
      <c r="B76" t="inlineStr"/>
      <c r="C76" s="3" t="n">
        <v>609.6</v>
      </c>
    </row>
    <row r="77">
      <c r="A77" t="inlineStr">
        <is>
          <t>macro.fx_kcr_per_usd.semiannual_avg.2022H1</t>
        </is>
      </c>
      <c r="B77" t="inlineStr"/>
      <c r="C77" s="3" t="n">
        <v>654.9</v>
      </c>
    </row>
    <row r="78">
      <c r="A78" t="inlineStr">
        <is>
          <t>macro.fx_kcr_per_usd.semiannual_avg.2022H2</t>
        </is>
      </c>
      <c r="B78" t="inlineStr"/>
      <c r="C78" s="3" t="n">
        <v>830.3</v>
      </c>
    </row>
    <row r="79">
      <c r="A79" t="inlineStr">
        <is>
          <t>macro.fx_kcr_per_usd.semiannual_avg.2023H1</t>
        </is>
      </c>
      <c r="B79" t="inlineStr"/>
      <c r="C79" s="3" t="n">
        <v>1052.8</v>
      </c>
    </row>
    <row r="80">
      <c r="A80" t="inlineStr">
        <is>
          <t>macro.fx_kcr_per_usd.semiannual_avg.2023H2</t>
        </is>
      </c>
      <c r="B80" t="inlineStr"/>
      <c r="C80" s="3" t="n">
        <v>1043.8</v>
      </c>
    </row>
    <row r="81">
      <c r="A81" t="inlineStr">
        <is>
          <t>macro.fx_kcr_per_usd.semiannual_avg.2024H1</t>
        </is>
      </c>
      <c r="B81" t="inlineStr"/>
      <c r="C81" s="3" t="n">
        <v>1093.1</v>
      </c>
    </row>
    <row r="82">
      <c r="A82" t="inlineStr">
        <is>
          <t>macro.fx_kcr_per_usd.semiannual_avg.2024H2</t>
        </is>
      </c>
      <c r="B82" t="inlineStr"/>
      <c r="C82" s="3" t="n">
        <v>1050.7</v>
      </c>
    </row>
    <row r="83">
      <c r="A83" t="inlineStr">
        <is>
          <t>macro.fx_kcr_per_usd.semiannual_avg.2025H1</t>
        </is>
      </c>
      <c r="B83" t="inlineStr"/>
      <c r="C83" s="3" t="n">
        <v>1035.6</v>
      </c>
    </row>
    <row r="84">
      <c r="A84" t="inlineStr">
        <is>
          <t>macro.fx_kcr_per_usd.semiannual_avg.2025H2</t>
        </is>
      </c>
      <c r="B84" t="inlineStr"/>
      <c r="C84" s="3" t="n">
        <v>1023.8</v>
      </c>
    </row>
    <row r="85">
      <c r="A85" t="inlineStr">
        <is>
          <t>macro.fx_kcr_per_usd.semiannual_avg.2026H1</t>
        </is>
      </c>
      <c r="B85" t="inlineStr"/>
      <c r="C85" s="3" t="n">
        <v>1028.9</v>
      </c>
    </row>
    <row r="86">
      <c r="A86" t="inlineStr">
        <is>
          <t>macro.fx_kcr_per_usd.semiannual_avg.2026H2</t>
        </is>
      </c>
      <c r="B86" t="inlineStr"/>
      <c r="C86" s="3" t="n">
        <v>1043.9</v>
      </c>
    </row>
    <row r="87">
      <c r="A87" t="inlineStr">
        <is>
          <t>macro.fx_kcr_per_usd.projection_rule_after_2026H2</t>
        </is>
      </c>
      <c r="B87" t="inlineStr"/>
      <c r="C87" s="3" t="inlineStr">
        <is>
          <t>Depreciate at the inflation differential: FX_t = FX_(t-1) x (1 + Kessara CPI)/(1 + US CPI), applied semiannually with half-year rates.</t>
        </is>
      </c>
    </row>
    <row r="88">
      <c r="A88" t="inlineStr">
        <is>
          <t>macro.fx_kcr_per_usd.bid_base_rate_kcr_per_usd</t>
        </is>
      </c>
      <c r="B88" t="inlineStr"/>
      <c r="C88" s="3" t="n">
        <v>462.35</v>
      </c>
    </row>
    <row r="89">
      <c r="A89" t="inlineStr">
        <is>
          <t>macro.usd_base_rates.notes</t>
        </is>
      </c>
      <c r="B89" t="inlineStr"/>
      <c r="C89" s="3" t="inlineStr">
        <is>
          <t>Fixings at the start of each semiannual interest period. 6M USD LIBOR applies to loans through 2022-12-31; 6M CME Term SOFR plus the ISDA 6M spread adjustment from 2023-01-01. Historical values approximate; fact-check before printing exact figures.</t>
        </is>
      </c>
    </row>
    <row r="90">
      <c r="A90" t="inlineStr">
        <is>
          <t>macro.usd_base_rates.libor_6m_pct.2018-07</t>
        </is>
      </c>
      <c r="B90" t="inlineStr"/>
      <c r="C90" s="3" t="n">
        <v>2.52</v>
      </c>
    </row>
    <row r="91">
      <c r="A91" t="inlineStr">
        <is>
          <t>macro.usd_base_rates.libor_6m_pct.2019-01</t>
        </is>
      </c>
      <c r="B91" t="inlineStr"/>
      <c r="C91" s="3" t="n">
        <v>2.87</v>
      </c>
    </row>
    <row r="92">
      <c r="A92" t="inlineStr">
        <is>
          <t>macro.usd_base_rates.libor_6m_pct.2019-07</t>
        </is>
      </c>
      <c r="B92" t="inlineStr"/>
      <c r="C92" s="3" t="n">
        <v>2.2</v>
      </c>
    </row>
    <row r="93">
      <c r="A93" t="inlineStr">
        <is>
          <t>macro.usd_base_rates.libor_6m_pct.2020-01</t>
        </is>
      </c>
      <c r="B93" t="inlineStr"/>
      <c r="C93" s="3" t="n">
        <v>1.91</v>
      </c>
    </row>
    <row r="94">
      <c r="A94" t="inlineStr">
        <is>
          <t>macro.usd_base_rates.libor_6m_pct.2020-07</t>
        </is>
      </c>
      <c r="B94" t="inlineStr"/>
      <c r="C94" s="3" t="n">
        <v>0.37</v>
      </c>
    </row>
    <row r="95">
      <c r="A95" t="inlineStr">
        <is>
          <t>macro.usd_base_rates.libor_6m_pct.2021-01</t>
        </is>
      </c>
      <c r="B95" t="inlineStr"/>
      <c r="C95" s="3" t="n">
        <v>0.25</v>
      </c>
    </row>
    <row r="96">
      <c r="A96" t="inlineStr">
        <is>
          <t>macro.usd_base_rates.libor_6m_pct.2021-07</t>
        </is>
      </c>
      <c r="B96" t="inlineStr"/>
      <c r="C96" s="3" t="n">
        <v>0.16</v>
      </c>
    </row>
    <row r="97">
      <c r="A97" t="inlineStr">
        <is>
          <t>macro.usd_base_rates.libor_6m_pct.2022-01</t>
        </is>
      </c>
      <c r="B97" t="inlineStr"/>
      <c r="C97" s="3" t="n">
        <v>0.34</v>
      </c>
    </row>
    <row r="98">
      <c r="A98" t="inlineStr">
        <is>
          <t>macro.usd_base_rates.libor_6m_pct.2022-07</t>
        </is>
      </c>
      <c r="B98" t="inlineStr"/>
      <c r="C98" s="3" t="n">
        <v>2.94</v>
      </c>
    </row>
    <row r="99">
      <c r="A99" t="inlineStr">
        <is>
          <t>macro.usd_base_rates.term_sofr_6m_pct.2023-01</t>
        </is>
      </c>
      <c r="B99" t="inlineStr"/>
      <c r="C99" s="3" t="n">
        <v>4.86</v>
      </c>
    </row>
    <row r="100">
      <c r="A100" t="inlineStr">
        <is>
          <t>macro.usd_base_rates.term_sofr_6m_pct.2023-07</t>
        </is>
      </c>
      <c r="B100" t="inlineStr"/>
      <c r="C100" s="3" t="n">
        <v>5.47</v>
      </c>
    </row>
    <row r="101">
      <c r="A101" t="inlineStr">
        <is>
          <t>macro.usd_base_rates.term_sofr_6m_pct.2024-01</t>
        </is>
      </c>
      <c r="B101" t="inlineStr"/>
      <c r="C101" s="3" t="n">
        <v>5.16</v>
      </c>
    </row>
    <row r="102">
      <c r="A102" t="inlineStr">
        <is>
          <t>macro.usd_base_rates.term_sofr_6m_pct.2024-07</t>
        </is>
      </c>
      <c r="B102" t="inlineStr"/>
      <c r="C102" s="3" t="n">
        <v>5.22</v>
      </c>
    </row>
    <row r="103">
      <c r="A103" t="inlineStr">
        <is>
          <t>macro.usd_base_rates.term_sofr_6m_pct.2025-01</t>
        </is>
      </c>
      <c r="B103" t="inlineStr"/>
      <c r="C103" s="3" t="n">
        <v>4.25</v>
      </c>
    </row>
    <row r="104">
      <c r="A104" t="inlineStr">
        <is>
          <t>macro.usd_base_rates.term_sofr_6m_pct.2025-07</t>
        </is>
      </c>
      <c r="B104" t="inlineStr"/>
      <c r="C104" s="3" t="n">
        <v>4.17</v>
      </c>
    </row>
    <row r="105">
      <c r="A105" t="inlineStr">
        <is>
          <t>macro.usd_base_rates.term_sofr_6m_pct.2026-01</t>
        </is>
      </c>
      <c r="B105" t="inlineStr"/>
      <c r="C105" s="3" t="n">
        <v>3.62</v>
      </c>
    </row>
    <row r="106">
      <c r="A106" t="inlineStr">
        <is>
          <t>macro.usd_base_rates.term_sofr_6m_pct.2026-07</t>
        </is>
      </c>
      <c r="B106" t="inlineStr"/>
      <c r="C106" s="3" t="n">
        <v>3.58</v>
      </c>
    </row>
    <row r="107">
      <c r="A107" t="inlineStr">
        <is>
          <t>macro.usd_base_rates.term_sofr_6m_pct.2027-01</t>
        </is>
      </c>
      <c r="B107" t="inlineStr"/>
      <c r="C107" s="3" t="n">
        <v>3.45</v>
      </c>
    </row>
    <row r="108">
      <c r="A108" t="inlineStr">
        <is>
          <t>macro.usd_base_rates.term_sofr_6m_pct.2027-07</t>
        </is>
      </c>
      <c r="B108" t="inlineStr"/>
      <c r="C108" s="3" t="n">
        <v>3.45</v>
      </c>
    </row>
    <row r="109">
      <c r="A109" t="inlineStr">
        <is>
          <t>macro.usd_base_rates.term_sofr_6m_pct.2028_onward</t>
        </is>
      </c>
      <c r="B109" t="inlineStr"/>
      <c r="C109" s="3" t="n">
        <v>3.5</v>
      </c>
    </row>
    <row r="110">
      <c r="A110" t="inlineStr">
        <is>
          <t>macro.usd_base_rates.credit_adjustment_spread_6m_pct</t>
        </is>
      </c>
      <c r="B110" t="inlineStr">
        <is>
          <t>%</t>
        </is>
      </c>
      <c r="C110" s="3" t="n">
        <v>0.42826</v>
      </c>
    </row>
    <row r="111">
      <c r="A111" t="inlineStr">
        <is>
          <t>macro.usd_base_rates.construction_monthly_rule</t>
        </is>
      </c>
      <c r="B111" t="inlineStr"/>
      <c r="C111" s="3" t="inlineStr">
        <is>
          <t>During construction each month accrues at the 6M LIBOR fixed for the semiannual period containing that month.</t>
        </is>
      </c>
    </row>
    <row r="112">
      <c r="A112" t="inlineStr">
        <is>
          <t>macro.usd_base_rates.base_case_at_close_forward_curve_note</t>
        </is>
      </c>
      <c r="B112" t="inlineStr"/>
      <c r="C112" s="3" t="inlineStr">
        <is>
          <t>The FC base case (scenario 'FC_base') uses the forward 6M LIBOR curve as at financial close: 2018H2 2.52, 2019H1 2.79, 2019H2 2.94, 2020H1 3.02, 2020H2 3.06, 2021 3.09, 2022 3.11, 2023-2034 3.12 (flat). Swapped portion is unaffected.</t>
        </is>
      </c>
    </row>
    <row r="113">
      <c r="A113" t="inlineStr">
        <is>
          <t>macro.usd_base_rates.fc_forward_libor_6m_pct.2018H2</t>
        </is>
      </c>
      <c r="B113" t="inlineStr"/>
      <c r="C113" s="3" t="n">
        <v>2.52</v>
      </c>
    </row>
    <row r="114">
      <c r="A114" t="inlineStr">
        <is>
          <t>macro.usd_base_rates.fc_forward_libor_6m_pct.2019H1</t>
        </is>
      </c>
      <c r="B114" t="inlineStr"/>
      <c r="C114" s="3" t="n">
        <v>2.79</v>
      </c>
    </row>
    <row r="115">
      <c r="A115" t="inlineStr">
        <is>
          <t>macro.usd_base_rates.fc_forward_libor_6m_pct.2019H2</t>
        </is>
      </c>
      <c r="B115" t="inlineStr"/>
      <c r="C115" s="3" t="n">
        <v>2.94</v>
      </c>
    </row>
    <row r="116">
      <c r="A116" t="inlineStr">
        <is>
          <t>macro.usd_base_rates.fc_forward_libor_6m_pct.2020H1</t>
        </is>
      </c>
      <c r="B116" t="inlineStr"/>
      <c r="C116" s="3" t="n">
        <v>3.02</v>
      </c>
    </row>
    <row r="117">
      <c r="A117" t="inlineStr">
        <is>
          <t>macro.usd_base_rates.fc_forward_libor_6m_pct.2020H2</t>
        </is>
      </c>
      <c r="B117" t="inlineStr"/>
      <c r="C117" s="3" t="n">
        <v>3.06</v>
      </c>
    </row>
    <row r="118">
      <c r="A118" t="inlineStr">
        <is>
          <t>macro.usd_base_rates.fc_forward_libor_6m_pct.2021</t>
        </is>
      </c>
      <c r="B118" t="inlineStr"/>
      <c r="C118" s="3" t="n">
        <v>3.09</v>
      </c>
    </row>
    <row r="119">
      <c r="A119" t="inlineStr">
        <is>
          <t>macro.usd_base_rates.fc_forward_libor_6m_pct.2022</t>
        </is>
      </c>
      <c r="B119" t="inlineStr"/>
      <c r="C119" s="3" t="n">
        <v>3.11</v>
      </c>
    </row>
    <row r="120">
      <c r="A120" t="inlineStr">
        <is>
          <t>macro.usd_base_rates.fc_forward_libor_6m_pct.2023_onward</t>
        </is>
      </c>
      <c r="B120" t="inlineStr"/>
      <c r="C120" s="3" t="n">
        <v>3.12</v>
      </c>
    </row>
    <row r="121">
      <c r="A121" t="inlineStr">
        <is>
          <t>macro.kessara_policy_rate_pct.2015</t>
        </is>
      </c>
      <c r="B121" t="inlineStr"/>
      <c r="C121" s="3" t="n">
        <v>14</v>
      </c>
    </row>
    <row r="122">
      <c r="A122" t="inlineStr">
        <is>
          <t>macro.kessara_policy_rate_pct.2018</t>
        </is>
      </c>
      <c r="B122" t="inlineStr"/>
      <c r="C122" s="3" t="n">
        <v>13.5</v>
      </c>
    </row>
    <row r="123">
      <c r="A123" t="inlineStr">
        <is>
          <t>macro.kessara_policy_rate_pct.2021</t>
        </is>
      </c>
      <c r="B123" t="inlineStr"/>
      <c r="C123" s="3" t="n">
        <v>13.5</v>
      </c>
    </row>
    <row r="124">
      <c r="A124" t="inlineStr">
        <is>
          <t>macro.kessara_policy_rate_pct.2022</t>
        </is>
      </c>
      <c r="B124" t="inlineStr"/>
      <c r="C124" s="3" t="n">
        <v>19</v>
      </c>
    </row>
    <row r="125">
      <c r="A125" t="inlineStr">
        <is>
          <t>macro.kessara_policy_rate_pct.2023</t>
        </is>
      </c>
      <c r="B125" t="inlineStr"/>
      <c r="C125" s="3" t="n">
        <v>27</v>
      </c>
    </row>
    <row r="126">
      <c r="A126" t="inlineStr">
        <is>
          <t>macro.kessara_policy_rate_pct.2024</t>
        </is>
      </c>
      <c r="B126" t="inlineStr"/>
      <c r="C126" s="3" t="n">
        <v>24.5</v>
      </c>
    </row>
    <row r="127">
      <c r="A127" t="inlineStr">
        <is>
          <t>macro.kessara_policy_rate_pct.2025</t>
        </is>
      </c>
      <c r="B127" t="inlineStr"/>
      <c r="C127" s="3" t="n">
        <v>18</v>
      </c>
    </row>
    <row r="128">
      <c r="A128" t="inlineStr">
        <is>
          <t>macro.kessara_policy_rate_pct.2026</t>
        </is>
      </c>
      <c r="B128" t="inlineStr"/>
      <c r="C128" s="3" t="n">
        <v>15.5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country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country.name</t>
        </is>
      </c>
      <c r="B5" t="inlineStr"/>
      <c r="C5" s="3" t="inlineStr">
        <is>
          <t>Republic of Kessara</t>
        </is>
      </c>
    </row>
    <row r="6">
      <c r="A6" t="inlineStr">
        <is>
          <t>country.population_m.2015</t>
        </is>
      </c>
      <c r="B6" t="inlineStr"/>
      <c r="C6" s="3" t="n">
        <v>27.4</v>
      </c>
    </row>
    <row r="7">
      <c r="A7" t="inlineStr">
        <is>
          <t>country.population_m.2018</t>
        </is>
      </c>
      <c r="B7" t="inlineStr"/>
      <c r="C7" s="3" t="n">
        <v>29.5</v>
      </c>
    </row>
    <row r="8">
      <c r="A8" t="inlineStr">
        <is>
          <t>country.population_m.2021</t>
        </is>
      </c>
      <c r="B8" t="inlineStr"/>
      <c r="C8" s="3" t="n">
        <v>31.8</v>
      </c>
    </row>
    <row r="9">
      <c r="A9" t="inlineStr">
        <is>
          <t>country.population_m.2022</t>
        </is>
      </c>
      <c r="B9" t="inlineStr"/>
      <c r="C9" s="3" t="n">
        <v>32.6</v>
      </c>
    </row>
    <row r="10">
      <c r="A10" t="inlineStr">
        <is>
          <t>country.population_m.2023</t>
        </is>
      </c>
      <c r="B10" t="inlineStr"/>
      <c r="C10" s="3" t="n">
        <v>33.4</v>
      </c>
    </row>
    <row r="11">
      <c r="A11" t="inlineStr">
        <is>
          <t>country.population_m.2025</t>
        </is>
      </c>
      <c r="B11" t="inlineStr"/>
      <c r="C11" s="3" t="n">
        <v>35.1</v>
      </c>
    </row>
    <row r="12">
      <c r="A12" t="inlineStr">
        <is>
          <t>country.population_m.2026</t>
        </is>
      </c>
      <c r="B12" t="inlineStr"/>
      <c r="C12" s="3" t="n">
        <v>36</v>
      </c>
    </row>
    <row r="13">
      <c r="A13" t="inlineStr">
        <is>
          <t>country.gdp_usd_bn.2015</t>
        </is>
      </c>
      <c r="B13" t="inlineStr"/>
      <c r="C13" s="3" t="n">
        <v>48.7</v>
      </c>
    </row>
    <row r="14">
      <c r="A14" t="inlineStr">
        <is>
          <t>country.gdp_usd_bn.2018</t>
        </is>
      </c>
      <c r="B14" t="inlineStr"/>
      <c r="C14" s="3" t="n">
        <v>58.3</v>
      </c>
    </row>
    <row r="15">
      <c r="A15" t="inlineStr">
        <is>
          <t>country.gdp_usd_bn.2021</t>
        </is>
      </c>
      <c r="B15" t="inlineStr"/>
      <c r="C15" s="3" t="n">
        <v>71.90000000000001</v>
      </c>
    </row>
    <row r="16">
      <c r="A16" t="inlineStr">
        <is>
          <t>country.gdp_usd_bn.2022</t>
        </is>
      </c>
      <c r="B16" t="inlineStr"/>
      <c r="C16" s="3" t="n">
        <v>66.2</v>
      </c>
    </row>
    <row r="17">
      <c r="A17" t="inlineStr">
        <is>
          <t>country.gdp_usd_bn.2023</t>
        </is>
      </c>
      <c r="B17" t="inlineStr"/>
      <c r="C17" s="3" t="n">
        <v>60.8</v>
      </c>
    </row>
    <row r="18">
      <c r="A18" t="inlineStr">
        <is>
          <t>country.gdp_usd_bn.2024</t>
        </is>
      </c>
      <c r="B18" t="inlineStr"/>
      <c r="C18" s="3" t="n">
        <v>64.90000000000001</v>
      </c>
    </row>
    <row r="19">
      <c r="A19" t="inlineStr">
        <is>
          <t>country.gdp_usd_bn.2025</t>
        </is>
      </c>
      <c r="B19" t="inlineStr"/>
      <c r="C19" s="3" t="n">
        <v>70.40000000000001</v>
      </c>
    </row>
    <row r="20">
      <c r="A20" t="inlineStr">
        <is>
          <t>country.real_gdp_growth_pct.2015</t>
        </is>
      </c>
      <c r="B20" t="inlineStr"/>
      <c r="C20" s="3" t="n">
        <v>5.8</v>
      </c>
    </row>
    <row r="21">
      <c r="A21" t="inlineStr">
        <is>
          <t>country.real_gdp_growth_pct.2016</t>
        </is>
      </c>
      <c r="B21" t="inlineStr"/>
      <c r="C21" s="3" t="n">
        <v>5.1</v>
      </c>
    </row>
    <row r="22">
      <c r="A22" t="inlineStr">
        <is>
          <t>country.real_gdp_growth_pct.2017</t>
        </is>
      </c>
      <c r="B22" t="inlineStr"/>
      <c r="C22" s="3" t="n">
        <v>5.6</v>
      </c>
    </row>
    <row r="23">
      <c r="A23" t="inlineStr">
        <is>
          <t>country.real_gdp_growth_pct.2018</t>
        </is>
      </c>
      <c r="B23" t="inlineStr"/>
      <c r="C23" s="3" t="n">
        <v>6.1</v>
      </c>
    </row>
    <row r="24">
      <c r="A24" t="inlineStr">
        <is>
          <t>country.real_gdp_growth_pct.2019</t>
        </is>
      </c>
      <c r="B24" t="inlineStr"/>
      <c r="C24" s="3" t="n">
        <v>5.9</v>
      </c>
    </row>
    <row r="25">
      <c r="A25" t="inlineStr">
        <is>
          <t>country.real_gdp_growth_pct.2020</t>
        </is>
      </c>
      <c r="B25" t="inlineStr"/>
      <c r="C25" s="3" t="n">
        <v>0.9</v>
      </c>
    </row>
    <row r="26">
      <c r="A26" t="inlineStr">
        <is>
          <t>country.real_gdp_growth_pct.2021</t>
        </is>
      </c>
      <c r="B26" t="inlineStr"/>
      <c r="C26" s="3" t="n">
        <v>4.8</v>
      </c>
    </row>
    <row r="27">
      <c r="A27" t="inlineStr">
        <is>
          <t>country.real_gdp_growth_pct.2022</t>
        </is>
      </c>
      <c r="B27" t="inlineStr"/>
      <c r="C27" s="3" t="n">
        <v>3.1</v>
      </c>
    </row>
    <row r="28">
      <c r="A28" t="inlineStr">
        <is>
          <t>country.real_gdp_growth_pct.2023</t>
        </is>
      </c>
      <c r="B28" t="inlineStr"/>
      <c r="C28" s="3" t="n">
        <v>2.4</v>
      </c>
    </row>
    <row r="29">
      <c r="A29" t="inlineStr">
        <is>
          <t>country.real_gdp_growth_pct.2024</t>
        </is>
      </c>
      <c r="B29" t="inlineStr"/>
      <c r="C29" s="3" t="n">
        <v>3.9</v>
      </c>
    </row>
    <row r="30">
      <c r="A30" t="inlineStr">
        <is>
          <t>country.real_gdp_growth_pct.2025</t>
        </is>
      </c>
      <c r="B30" t="inlineStr"/>
      <c r="C30" s="3" t="n">
        <v>4.6</v>
      </c>
    </row>
    <row r="31">
      <c r="A31" t="inlineStr">
        <is>
          <t>country.sovereign_rating_path.[0]</t>
        </is>
      </c>
      <c r="B31" t="inlineStr"/>
      <c r="C31" s="3" t="inlineStr">
        <is>
          <t>2015-01</t>
        </is>
      </c>
      <c r="D31" s="3" t="inlineStr">
        <is>
          <t>B+ stable</t>
        </is>
      </c>
    </row>
    <row r="32">
      <c r="A32" t="inlineStr">
        <is>
          <t>country.sovereign_rating_path.[1]</t>
        </is>
      </c>
      <c r="B32" t="inlineStr"/>
      <c r="C32" s="3" t="inlineStr">
        <is>
          <t>2020-05</t>
        </is>
      </c>
      <c r="D32" s="3" t="inlineStr">
        <is>
          <t>B stable</t>
        </is>
      </c>
    </row>
    <row r="33">
      <c r="A33" t="inlineStr">
        <is>
          <t>country.sovereign_rating_path.[2]</t>
        </is>
      </c>
      <c r="B33" t="inlineStr"/>
      <c r="C33" s="3" t="inlineStr">
        <is>
          <t>2022-09</t>
        </is>
      </c>
      <c r="D33" s="3" t="inlineStr">
        <is>
          <t>B- negative</t>
        </is>
      </c>
    </row>
    <row r="34">
      <c r="A34" t="inlineStr">
        <is>
          <t>country.sovereign_rating_path.[3]</t>
        </is>
      </c>
      <c r="B34" t="inlineStr"/>
      <c r="C34" s="3" t="inlineStr">
        <is>
          <t>2023-03</t>
        </is>
      </c>
      <c r="D34" s="3" t="inlineStr">
        <is>
          <t>CCC+</t>
        </is>
      </c>
    </row>
    <row r="35">
      <c r="A35" t="inlineStr">
        <is>
          <t>country.sovereign_rating_path.[4]</t>
        </is>
      </c>
      <c r="B35" t="inlineStr"/>
      <c r="C35" s="3" t="inlineStr">
        <is>
          <t>2024-11</t>
        </is>
      </c>
      <c r="D35" s="3" t="inlineStr">
        <is>
          <t>B- stable</t>
        </is>
      </c>
    </row>
    <row r="36">
      <c r="A36" t="inlineStr">
        <is>
          <t>country.sovereign_rating_path.[5]</t>
        </is>
      </c>
      <c r="B36" t="inlineStr"/>
      <c r="C36" s="3" t="inlineStr">
        <is>
          <t>2026-05</t>
        </is>
      </c>
      <c r="D36" s="3" t="inlineStr">
        <is>
          <t>B stable</t>
        </is>
      </c>
    </row>
    <row r="37">
      <c r="A37" t="inlineStr">
        <is>
          <t>country.legal_system</t>
        </is>
      </c>
      <c r="B37" t="inlineStr"/>
      <c r="C37" s="3" t="inlineStr">
        <is>
          <t>civil law (French-derived codes)</t>
        </is>
      </c>
    </row>
    <row r="38">
      <c r="A38" t="inlineStr">
        <is>
          <t>country.sombe_west_field.operator</t>
        </is>
      </c>
      <c r="B38" t="inlineStr"/>
      <c r="C38" s="3" t="inlineStr">
        <is>
          <t>Halbeck Energy (65%)</t>
        </is>
      </c>
    </row>
    <row r="39">
      <c r="A39" t="inlineStr">
        <is>
          <t>country.sombe_west_field.snhk_share_pct</t>
        </is>
      </c>
      <c r="B39" t="inlineStr">
        <is>
          <t>%</t>
        </is>
      </c>
      <c r="C39" s="3" t="n">
        <v>35</v>
      </c>
    </row>
    <row r="40">
      <c r="A40" t="inlineStr">
        <is>
          <t>country.sombe_west_field.water_depth_m</t>
        </is>
      </c>
      <c r="B40" t="inlineStr"/>
      <c r="C40" s="3" t="n">
        <v>72</v>
      </c>
    </row>
    <row r="41">
      <c r="A41" t="inlineStr">
        <is>
          <t>country.sombe_west_field.first_production</t>
        </is>
      </c>
      <c r="B41" t="inlineStr"/>
      <c r="C41" s="3" t="inlineStr">
        <is>
          <t>2019</t>
        </is>
      </c>
    </row>
    <row r="42">
      <c r="A42" t="inlineStr">
        <is>
          <t>country.sombe_west_field.certified_2p_reserves_bcf_2017</t>
        </is>
      </c>
      <c r="B42" t="inlineStr"/>
      <c r="C42" s="3" t="n">
        <v>1140</v>
      </c>
    </row>
    <row r="43">
      <c r="A43" t="inlineStr">
        <is>
          <t>country.power_sector_2015.installed_mw</t>
        </is>
      </c>
      <c r="B43" t="inlineStr">
        <is>
          <t>MW</t>
        </is>
      </c>
      <c r="C43" s="3" t="n">
        <v>2310</v>
      </c>
    </row>
    <row r="44">
      <c r="A44" t="inlineStr">
        <is>
          <t>country.power_sector_2015.available_mw</t>
        </is>
      </c>
      <c r="B44" t="inlineStr">
        <is>
          <t>MW</t>
        </is>
      </c>
      <c r="C44" s="3" t="n">
        <v>1780</v>
      </c>
    </row>
    <row r="45">
      <c r="A45" t="inlineStr">
        <is>
          <t>country.power_sector_2015.peak_demand_mw</t>
        </is>
      </c>
      <c r="B45" t="inlineStr">
        <is>
          <t>MW</t>
        </is>
      </c>
      <c r="C45" s="3" t="n">
        <v>2140</v>
      </c>
    </row>
    <row r="46">
      <c r="A46" t="inlineStr">
        <is>
          <t>country.power_sector_2015.hydro_mw</t>
        </is>
      </c>
      <c r="B46" t="inlineStr">
        <is>
          <t>MW</t>
        </is>
      </c>
      <c r="C46" s="3" t="n">
        <v>640</v>
      </c>
    </row>
    <row r="47">
      <c r="A47" t="inlineStr">
        <is>
          <t>country.power_sector_2015.hfo_diesel_mw</t>
        </is>
      </c>
      <c r="B47" t="inlineStr">
        <is>
          <t>MW</t>
        </is>
      </c>
      <c r="C47" s="3" t="n">
        <v>820</v>
      </c>
    </row>
    <row r="48">
      <c r="A48" t="inlineStr">
        <is>
          <t>country.power_sector_2015.ocgt_gas_mw</t>
        </is>
      </c>
      <c r="B48" t="inlineStr">
        <is>
          <t>MW</t>
        </is>
      </c>
      <c r="C48" s="3" t="n">
        <v>690</v>
      </c>
    </row>
    <row r="49">
      <c r="A49" t="inlineStr">
        <is>
          <t>country.power_sector_2015.other_mw</t>
        </is>
      </c>
      <c r="B49" t="inlineStr">
        <is>
          <t>MW</t>
        </is>
      </c>
      <c r="C49" s="3" t="n">
        <v>160</v>
      </c>
    </row>
    <row r="50">
      <c r="A50" t="inlineStr">
        <is>
          <t>country.power_sector_2015.demand_growth_pct_pa</t>
        </is>
      </c>
      <c r="B50" t="inlineStr">
        <is>
          <t>%</t>
        </is>
      </c>
      <c r="C50" s="3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plant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plant.configuration</t>
        </is>
      </c>
      <c r="B5" t="inlineStr"/>
      <c r="C5" s="3" t="inlineStr">
        <is>
          <t>2x1 combined cycle: two F-class gas turbines (Bergmark BT-9F), two triple-pressure reheat HRSGs, one reheat condensing steam turbine; once-through seawater cooling; dual fuel not provided (gas only)</t>
        </is>
      </c>
    </row>
    <row r="6">
      <c r="A6" t="inlineStr">
        <is>
          <t>plant.site_reference_conditions.ambient_c</t>
        </is>
      </c>
      <c r="B6" t="inlineStr"/>
      <c r="C6" s="3" t="n">
        <v>30</v>
      </c>
    </row>
    <row r="7">
      <c r="A7" t="inlineStr">
        <is>
          <t>plant.site_reference_conditions.pressure_bar</t>
        </is>
      </c>
      <c r="B7" t="inlineStr"/>
      <c r="C7" s="3" t="n">
        <v>1.013</v>
      </c>
    </row>
    <row r="8">
      <c r="A8" t="inlineStr">
        <is>
          <t>plant.site_reference_conditions.relative_humidity_pct</t>
        </is>
      </c>
      <c r="B8" t="inlineStr">
        <is>
          <t>%</t>
        </is>
      </c>
      <c r="C8" s="3" t="n">
        <v>80</v>
      </c>
    </row>
    <row r="9">
      <c r="A9" t="inlineStr">
        <is>
          <t>plant.guaranteed_net_output_mw</t>
        </is>
      </c>
      <c r="B9" t="inlineStr">
        <is>
          <t>MW</t>
        </is>
      </c>
      <c r="C9" s="3" t="n">
        <v>588.4</v>
      </c>
    </row>
    <row r="10">
      <c r="A10" t="inlineStr">
        <is>
          <t>plant.guaranteed_net_heat_rate_kj_per_kwh_lhv</t>
        </is>
      </c>
      <c r="B10" t="inlineStr">
        <is>
          <t>kJ/kWh</t>
        </is>
      </c>
      <c r="C10" s="3" t="n">
        <v>6261</v>
      </c>
    </row>
    <row r="11">
      <c r="A11" t="inlineStr">
        <is>
          <t>plant.tested_net_output_mw</t>
        </is>
      </c>
      <c r="B11" t="inlineStr">
        <is>
          <t>MW</t>
        </is>
      </c>
      <c r="C11" s="3" t="n">
        <v>581.9</v>
      </c>
    </row>
    <row r="12">
      <c r="A12" t="inlineStr">
        <is>
          <t>plant.tested_net_heat_rate_kj_per_kwh_lhv</t>
        </is>
      </c>
      <c r="B12" t="inlineStr">
        <is>
          <t>kJ/kWh</t>
        </is>
      </c>
      <c r="C12" s="3" t="n">
        <v>6286</v>
      </c>
    </row>
    <row r="13">
      <c r="A13" t="inlineStr">
        <is>
          <t>plant.contracted_capacity_base_case_mw</t>
        </is>
      </c>
      <c r="B13" t="inlineStr">
        <is>
          <t>MW</t>
        </is>
      </c>
      <c r="C13" s="3" t="n">
        <v>588.4</v>
      </c>
    </row>
    <row r="14">
      <c r="A14" t="inlineStr">
        <is>
          <t>plant.contracted_capacity_after_tests_mw</t>
        </is>
      </c>
      <c r="B14" t="inlineStr">
        <is>
          <t>MW</t>
        </is>
      </c>
      <c r="C14" s="3" t="n">
        <v>581.9</v>
      </c>
    </row>
    <row r="15">
      <c r="A15" t="inlineStr">
        <is>
          <t>plant.hhv_to_lhv_ratio</t>
        </is>
      </c>
      <c r="B15" t="inlineStr"/>
      <c r="C15" s="3" t="n">
        <v>1.108</v>
      </c>
    </row>
    <row r="16">
      <c r="A16" t="inlineStr">
        <is>
          <t>plant.kj_per_mmbtu</t>
        </is>
      </c>
      <c r="B16" t="inlineStr">
        <is>
          <t>MMBtu</t>
        </is>
      </c>
      <c r="C16" s="3" t="n">
        <v>1055056</v>
      </c>
    </row>
    <row r="17">
      <c r="A17" t="inlineStr">
        <is>
          <t>plant.part_load_heat_rate_penalty_pct.100</t>
        </is>
      </c>
      <c r="B17" t="inlineStr"/>
      <c r="C17" s="3" t="n">
        <v>0</v>
      </c>
    </row>
    <row r="18">
      <c r="A18" t="inlineStr">
        <is>
          <t>plant.part_load_heat_rate_penalty_pct.75</t>
        </is>
      </c>
      <c r="B18" t="inlineStr"/>
      <c r="C18" s="3" t="n">
        <v>4.2</v>
      </c>
    </row>
    <row r="19">
      <c r="A19" t="inlineStr">
        <is>
          <t>plant.part_load_heat_rate_penalty_pct.50</t>
        </is>
      </c>
      <c r="B19" t="inlineStr"/>
      <c r="C19" s="3" t="n">
        <v>11.8</v>
      </c>
    </row>
    <row r="20">
      <c r="A20" t="inlineStr">
        <is>
          <t>plant.average_part_load_penalty_at_base_dispatch_pct</t>
        </is>
      </c>
      <c r="B20" t="inlineStr">
        <is>
          <t>%</t>
        </is>
      </c>
      <c r="C20" s="3" t="n">
        <v>2.3</v>
      </c>
    </row>
    <row r="21">
      <c r="A21" t="inlineStr">
        <is>
          <t>plant.degradation.output_non_recoverable_pct_per_year</t>
        </is>
      </c>
      <c r="B21" t="inlineStr">
        <is>
          <t>%</t>
        </is>
      </c>
      <c r="C21" s="3" t="n">
        <v>0.15</v>
      </c>
    </row>
    <row r="22">
      <c r="A22" t="inlineStr">
        <is>
          <t>plant.degradation.output_recoverable_average_pct</t>
        </is>
      </c>
      <c r="B22" t="inlineStr">
        <is>
          <t>%</t>
        </is>
      </c>
      <c r="C22" s="3" t="n">
        <v>1</v>
      </c>
    </row>
    <row r="23">
      <c r="A23" t="inlineStr">
        <is>
          <t>plant.degradation.heat_rate_non_recoverable_pct_per_year</t>
        </is>
      </c>
      <c r="B23" t="inlineStr">
        <is>
          <t>%</t>
        </is>
      </c>
      <c r="C23" s="3" t="n">
        <v>0.12</v>
      </c>
    </row>
    <row r="24">
      <c r="A24" t="inlineStr">
        <is>
          <t>plant.degradation.heat_rate_recoverable_average_pct</t>
        </is>
      </c>
      <c r="B24" t="inlineStr">
        <is>
          <t>%</t>
        </is>
      </c>
      <c r="C24" s="3" t="n">
        <v>0.8</v>
      </c>
    </row>
    <row r="25">
      <c r="A25" t="inlineStr">
        <is>
          <t>plant.degradation.note</t>
        </is>
      </c>
      <c r="B25" t="inlineStr"/>
      <c r="C25" s="3" t="inlineStr">
        <is>
          <t>Model uses a smooth average: output factor = (1 - 0.0015 x years since COD) x (1 - 0.010); heat-rate factor = (1 + 0.0012 x years since COD) x (1 + 0.008).</t>
        </is>
      </c>
    </row>
    <row r="26">
      <c r="A26" t="inlineStr">
        <is>
          <t>plant.gt_hours_and_starts.operating_hours_per_gt_per_year_base</t>
        </is>
      </c>
      <c r="B26" t="inlineStr"/>
      <c r="C26" s="3" t="n">
        <v>8059</v>
      </c>
    </row>
    <row r="27">
      <c r="A27" t="inlineStr">
        <is>
          <t>plant.gt_hours_and_starts.starts_per_gt_per_year_base</t>
        </is>
      </c>
      <c r="B27" t="inlineStr"/>
      <c r="C27" s="3" t="n">
        <v>38</v>
      </c>
    </row>
    <row r="28">
      <c r="A28" t="inlineStr">
        <is>
          <t>plant.gt_hours_and_starts.eoh_per_start</t>
        </is>
      </c>
      <c r="B28" t="inlineStr"/>
      <c r="C28" s="3" t="n">
        <v>10</v>
      </c>
    </row>
    <row r="29">
      <c r="A29" t="inlineStr">
        <is>
          <t>plant.availability_profile_pct_by_operating_year_cycle.cycle_years</t>
        </is>
      </c>
      <c r="B29" t="inlineStr">
        <is>
          <t>years</t>
        </is>
      </c>
      <c r="C29" s="3" t="n">
        <v>8</v>
      </c>
    </row>
    <row r="30">
      <c r="A30" t="inlineStr">
        <is>
          <t>plant.availability_profile_pct_by_operating_year_cycle.values</t>
        </is>
      </c>
      <c r="B30" t="inlineStr"/>
      <c r="C30" s="3" t="n">
        <v>93.8</v>
      </c>
      <c r="D30" s="3" t="n">
        <v>92.90000000000001</v>
      </c>
      <c r="E30" s="3" t="n">
        <v>93.8</v>
      </c>
      <c r="F30" s="3" t="n">
        <v>90.59999999999999</v>
      </c>
      <c r="G30" s="3" t="n">
        <v>93.8</v>
      </c>
      <c r="H30" s="3" t="n">
        <v>92.90000000000001</v>
      </c>
      <c r="I30" s="3" t="n">
        <v>93.8</v>
      </c>
      <c r="J30" s="3" t="n">
        <v>88.7</v>
      </c>
    </row>
    <row r="31">
      <c r="A31" t="inlineStr">
        <is>
          <t>plant.availability_profile_pct_by_operating_year_cycle.note</t>
        </is>
      </c>
      <c r="B31" t="inlineStr"/>
      <c r="C31" s="3" t="inlineStr">
        <is>
          <t>OY4 hot gas path; OY8 major inspection plus steam turbine major overhaul; cycle repeats from OY9. Includes forced outage rate 3.0%.</t>
        </is>
      </c>
    </row>
    <row r="32">
      <c r="A32" t="inlineStr">
        <is>
          <t>plant.dispatch_factor_when_available_pct.base</t>
        </is>
      </c>
      <c r="B32" t="inlineStr"/>
      <c r="C32" s="3" t="n">
        <v>76.5</v>
      </c>
    </row>
    <row r="33">
      <c r="A33" t="inlineStr">
        <is>
          <t>plant.dispatch_factor_when_available_pct.banking</t>
        </is>
      </c>
      <c r="B33" t="inlineStr"/>
      <c r="C33" s="3" t="n">
        <v>72</v>
      </c>
    </row>
    <row r="34">
      <c r="A34" t="inlineStr">
        <is>
          <t>plant.dispatch_factor_when_available_pct.downside</t>
        </is>
      </c>
      <c r="B34" t="inlineStr"/>
      <c r="C34" s="3" t="n">
        <v>58</v>
      </c>
    </row>
    <row r="35">
      <c r="A35" t="inlineStr">
        <is>
          <t>plant.auxiliary_load_note</t>
        </is>
      </c>
      <c r="B35" t="inlineStr"/>
      <c r="C35" s="3" t="inlineStr">
        <is>
          <t>Net figures already net of auxiliary load; no separate adjustment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capex_usd_m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capex_usd_m.epc_contract_price</t>
        </is>
      </c>
      <c r="B5" t="inlineStr"/>
      <c r="C5" s="3" t="n">
        <v>571.84</v>
      </c>
    </row>
    <row r="6">
      <c r="A6" t="inlineStr">
        <is>
          <t>capex_usd_m.epc_offshore_portion</t>
        </is>
      </c>
      <c r="B6" t="inlineStr"/>
      <c r="C6" s="3" t="n">
        <v>489.17</v>
      </c>
    </row>
    <row r="7">
      <c r="A7" t="inlineStr">
        <is>
          <t>capex_usd_m.epc_onshore_portion</t>
        </is>
      </c>
      <c r="B7" t="inlineStr"/>
      <c r="C7" s="3" t="n">
        <v>82.67</v>
      </c>
    </row>
    <row r="8">
      <c r="A8" t="inlineStr">
        <is>
          <t>capex_usd_m.epc_onshore_paid_in_kcr_at_fixed_rate_kcr_per_usd</t>
        </is>
      </c>
      <c r="B8" t="inlineStr"/>
      <c r="C8" s="3" t="n">
        <v>519.4</v>
      </c>
    </row>
    <row r="9">
      <c r="A9" t="inlineStr">
        <is>
          <t>capex_usd_m.export_contract_value_eligible_for_eca</t>
        </is>
      </c>
      <c r="B9" t="inlineStr"/>
      <c r="C9" s="3" t="n">
        <v>263.7</v>
      </c>
    </row>
    <row r="10">
      <c r="A10" t="inlineStr">
        <is>
          <t>capex_usd_m.owners_costs.total</t>
        </is>
      </c>
      <c r="B10" t="inlineStr"/>
      <c r="C10" s="3" t="n">
        <v>46.18</v>
      </c>
    </row>
    <row r="11">
      <c r="A11" t="inlineStr">
        <is>
          <t>capex_usd_m.owners_costs.owners_engineer</t>
        </is>
      </c>
      <c r="B11" t="inlineStr"/>
      <c r="C11" s="3" t="n">
        <v>9.859999999999999</v>
      </c>
    </row>
    <row r="12">
      <c r="A12" t="inlineStr">
        <is>
          <t>capex_usd_m.owners_costs.project_company_staff_and_admin</t>
        </is>
      </c>
      <c r="B12" t="inlineStr"/>
      <c r="C12" s="3" t="n">
        <v>11.27</v>
      </c>
    </row>
    <row r="13">
      <c r="A13" t="inlineStr">
        <is>
          <t>capex_usd_m.owners_costs.site_preparation_and_access_road</t>
        </is>
      </c>
      <c r="B13" t="inlineStr"/>
      <c r="C13" s="3" t="n">
        <v>4.92</v>
      </c>
    </row>
    <row r="14">
      <c r="A14" t="inlineStr">
        <is>
          <t>capex_usd_m.owners_costs.initial_spares</t>
        </is>
      </c>
      <c r="B14" t="inlineStr"/>
      <c r="C14" s="3" t="n">
        <v>8.31</v>
      </c>
    </row>
    <row r="15">
      <c r="A15" t="inlineStr">
        <is>
          <t>capex_usd_m.owners_costs.start_up_fuel_net_of_test_energy</t>
        </is>
      </c>
      <c r="B15" t="inlineStr"/>
      <c r="C15" s="3" t="n">
        <v>6.74</v>
      </c>
    </row>
    <row r="16">
      <c r="A16" t="inlineStr">
        <is>
          <t>capex_usd_m.owners_costs.resettlement_and_community_rap</t>
        </is>
      </c>
      <c r="B16" t="inlineStr"/>
      <c r="C16" s="3" t="n">
        <v>5.08</v>
      </c>
    </row>
    <row r="17">
      <c r="A17" t="inlineStr">
        <is>
          <t>capex_usd_m.insurance_during_construction</t>
        </is>
      </c>
      <c r="B17" t="inlineStr"/>
      <c r="C17" s="3" t="n">
        <v>7.62</v>
      </c>
    </row>
    <row r="18">
      <c r="A18" t="inlineStr">
        <is>
          <t>capex_usd_m.development_costs_reimbursed_at_fc</t>
        </is>
      </c>
      <c r="B18" t="inlineStr"/>
      <c r="C18" s="3" t="n">
        <v>21.43</v>
      </c>
    </row>
    <row r="19">
      <c r="A19" t="inlineStr">
        <is>
          <t>capex_usd_m.development_fee_to_sponsors_at_fc</t>
        </is>
      </c>
      <c r="B19" t="inlineStr"/>
      <c r="C19" s="3" t="n">
        <v>11.2</v>
      </c>
    </row>
    <row r="20">
      <c r="A20" t="inlineStr">
        <is>
          <t>capex_usd_m.lenders_advisors_and_legal</t>
        </is>
      </c>
      <c r="B20" t="inlineStr"/>
      <c r="C20" s="3" t="n">
        <v>8.970000000000001</v>
      </c>
    </row>
    <row r="21">
      <c r="A21" t="inlineStr">
        <is>
          <t>capex_usd_m.contingency</t>
        </is>
      </c>
      <c r="B21" t="inlineStr"/>
      <c r="C21" s="3" t="n">
        <v>38.4</v>
      </c>
    </row>
    <row r="22">
      <c r="A22" t="inlineStr">
        <is>
          <t>capex_usd_m.initial_working_capital</t>
        </is>
      </c>
      <c r="B22" t="inlineStr"/>
      <c r="C22" s="3" t="n">
        <v>5.35</v>
      </c>
    </row>
    <row r="23">
      <c r="A23" t="inlineStr">
        <is>
          <t>capex_usd_m.subtotal_before_financing_costs</t>
        </is>
      </c>
      <c r="B23" t="inlineStr"/>
      <c r="C23" s="3" t="n">
        <v>710.99</v>
      </c>
    </row>
    <row r="24">
      <c r="A24" t="inlineStr">
        <is>
          <t>capex_usd_m.computed_by_model</t>
        </is>
      </c>
      <c r="B24" t="inlineStr"/>
      <c r="C24" s="3" t="inlineStr">
        <is>
          <t>interest during construction</t>
        </is>
      </c>
      <c r="D24" s="3" t="inlineStr">
        <is>
          <t>commitment fees</t>
        </is>
      </c>
      <c r="E24" s="3" t="inlineStr">
        <is>
          <t>upfront and arrangement fees</t>
        </is>
      </c>
      <c r="F24" s="3" t="inlineStr">
        <is>
          <t>ECA premium</t>
        </is>
      </c>
      <c r="G24" s="3" t="inlineStr">
        <is>
          <t>agency fees during construction</t>
        </is>
      </c>
      <c r="H24" s="3" t="inlineStr">
        <is>
          <t>DSRA initial funding at COD</t>
        </is>
      </c>
      <c r="I24" s="3" t="inlineStr">
        <is>
          <t>shareholder loan interest capitalized (not a funded use)</t>
        </is>
      </c>
    </row>
    <row r="25">
      <c r="A25" t="inlineStr">
        <is>
          <t>capex_usd_m.profiles.epc_payment_pct_by_month_base.2018-08</t>
        </is>
      </c>
      <c r="B25" t="inlineStr"/>
      <c r="C25" s="3" t="n">
        <v>10</v>
      </c>
    </row>
    <row r="26">
      <c r="A26" t="inlineStr">
        <is>
          <t>capex_usd_m.profiles.epc_payment_pct_by_month_base.2018-09</t>
        </is>
      </c>
      <c r="B26" t="inlineStr"/>
      <c r="C26" s="3" t="n">
        <v>0.0108</v>
      </c>
    </row>
    <row r="27">
      <c r="A27" t="inlineStr">
        <is>
          <t>capex_usd_m.profiles.epc_payment_pct_by_month_base.2018-10</t>
        </is>
      </c>
      <c r="B27" t="inlineStr"/>
      <c r="C27" s="3" t="n">
        <v>0.1133</v>
      </c>
    </row>
    <row r="28">
      <c r="A28" t="inlineStr">
        <is>
          <t>capex_usd_m.profiles.epc_payment_pct_by_month_base.2018-11</t>
        </is>
      </c>
      <c r="B28" t="inlineStr"/>
      <c r="C28" s="3" t="n">
        <v>0.3239</v>
      </c>
    </row>
    <row r="29">
      <c r="A29" t="inlineStr">
        <is>
          <t>capex_usd_m.profiles.epc_payment_pct_by_month_base.2018-12</t>
        </is>
      </c>
      <c r="B29" t="inlineStr"/>
      <c r="C29" s="3" t="n">
        <v>0.6294</v>
      </c>
    </row>
    <row r="30">
      <c r="A30" t="inlineStr">
        <is>
          <t>capex_usd_m.profiles.epc_payment_pct_by_month_base.2019-01</t>
        </is>
      </c>
      <c r="B30" t="inlineStr"/>
      <c r="C30" s="3" t="n">
        <v>1.0114</v>
      </c>
    </row>
    <row r="31">
      <c r="A31" t="inlineStr">
        <is>
          <t>capex_usd_m.profiles.epc_payment_pct_by_month_base.2019-02</t>
        </is>
      </c>
      <c r="B31" t="inlineStr"/>
      <c r="C31" s="3" t="n">
        <v>1.4496</v>
      </c>
    </row>
    <row r="32">
      <c r="A32" t="inlineStr">
        <is>
          <t>capex_usd_m.profiles.epc_payment_pct_by_month_base.2019-03</t>
        </is>
      </c>
      <c r="B32" t="inlineStr"/>
      <c r="C32" s="3" t="n">
        <v>1.9236</v>
      </c>
    </row>
    <row r="33">
      <c r="A33" t="inlineStr">
        <is>
          <t>capex_usd_m.profiles.epc_payment_pct_by_month_base.2019-04</t>
        </is>
      </c>
      <c r="B33" t="inlineStr"/>
      <c r="C33" s="3" t="n">
        <v>2.4133</v>
      </c>
    </row>
    <row r="34">
      <c r="A34" t="inlineStr">
        <is>
          <t>capex_usd_m.profiles.epc_payment_pct_by_month_base.2019-05</t>
        </is>
      </c>
      <c r="B34" t="inlineStr"/>
      <c r="C34" s="3" t="n">
        <v>2.8999</v>
      </c>
    </row>
    <row r="35">
      <c r="A35" t="inlineStr">
        <is>
          <t>capex_usd_m.profiles.epc_payment_pct_by_month_base.2019-06</t>
        </is>
      </c>
      <c r="B35" t="inlineStr"/>
      <c r="C35" s="3" t="n">
        <v>3.3659</v>
      </c>
    </row>
    <row r="36">
      <c r="A36" t="inlineStr">
        <is>
          <t>capex_usd_m.profiles.epc_payment_pct_by_month_base.2019-07</t>
        </is>
      </c>
      <c r="B36" t="inlineStr"/>
      <c r="C36" s="3" t="n">
        <v>3.7957</v>
      </c>
    </row>
    <row r="37">
      <c r="A37" t="inlineStr">
        <is>
          <t>capex_usd_m.profiles.epc_payment_pct_by_month_base.2019-08</t>
        </is>
      </c>
      <c r="B37" t="inlineStr"/>
      <c r="C37" s="3" t="n">
        <v>4.1755</v>
      </c>
    </row>
    <row r="38">
      <c r="A38" t="inlineStr">
        <is>
          <t>capex_usd_m.profiles.epc_payment_pct_by_month_base.2019-09</t>
        </is>
      </c>
      <c r="B38" t="inlineStr"/>
      <c r="C38" s="3" t="n">
        <v>4.4935</v>
      </c>
    </row>
    <row r="39">
      <c r="A39" t="inlineStr">
        <is>
          <t>capex_usd_m.profiles.epc_payment_pct_by_month_base.2019-10</t>
        </is>
      </c>
      <c r="B39" t="inlineStr"/>
      <c r="C39" s="3" t="n">
        <v>4.7405</v>
      </c>
    </row>
    <row r="40">
      <c r="A40" t="inlineStr">
        <is>
          <t>capex_usd_m.profiles.epc_payment_pct_by_month_base.2019-11</t>
        </is>
      </c>
      <c r="B40" t="inlineStr"/>
      <c r="C40" s="3" t="n">
        <v>4.9091</v>
      </c>
    </row>
    <row r="41">
      <c r="A41" t="inlineStr">
        <is>
          <t>capex_usd_m.profiles.epc_payment_pct_by_month_base.2019-12</t>
        </is>
      </c>
      <c r="B41" t="inlineStr"/>
      <c r="C41" s="3" t="n">
        <v>4.9946</v>
      </c>
    </row>
    <row r="42">
      <c r="A42" t="inlineStr">
        <is>
          <t>capex_usd_m.profiles.epc_payment_pct_by_month_base.2020-01</t>
        </is>
      </c>
      <c r="B42" t="inlineStr"/>
      <c r="C42" s="3" t="n">
        <v>4.9946</v>
      </c>
    </row>
    <row r="43">
      <c r="A43" t="inlineStr">
        <is>
          <t>capex_usd_m.profiles.epc_payment_pct_by_month_base.2020-02</t>
        </is>
      </c>
      <c r="B43" t="inlineStr"/>
      <c r="C43" s="3" t="n">
        <v>4.9091</v>
      </c>
    </row>
    <row r="44">
      <c r="A44" t="inlineStr">
        <is>
          <t>capex_usd_m.profiles.epc_payment_pct_by_month_base.2020-03</t>
        </is>
      </c>
      <c r="B44" t="inlineStr"/>
      <c r="C44" s="3" t="n">
        <v>4.7405</v>
      </c>
    </row>
    <row r="45">
      <c r="A45" t="inlineStr">
        <is>
          <t>capex_usd_m.profiles.epc_payment_pct_by_month_base.2020-04</t>
        </is>
      </c>
      <c r="B45" t="inlineStr"/>
      <c r="C45" s="3" t="n">
        <v>4.4935</v>
      </c>
    </row>
    <row r="46">
      <c r="A46" t="inlineStr">
        <is>
          <t>capex_usd_m.profiles.epc_payment_pct_by_month_base.2020-05</t>
        </is>
      </c>
      <c r="B46" t="inlineStr"/>
      <c r="C46" s="3" t="n">
        <v>4.1755</v>
      </c>
    </row>
    <row r="47">
      <c r="A47" t="inlineStr">
        <is>
          <t>capex_usd_m.profiles.epc_payment_pct_by_month_base.2020-06</t>
        </is>
      </c>
      <c r="B47" t="inlineStr"/>
      <c r="C47" s="3" t="n">
        <v>3.7957</v>
      </c>
    </row>
    <row r="48">
      <c r="A48" t="inlineStr">
        <is>
          <t>capex_usd_m.profiles.epc_payment_pct_by_month_base.2020-07</t>
        </is>
      </c>
      <c r="B48" t="inlineStr"/>
      <c r="C48" s="3" t="n">
        <v>3.3659</v>
      </c>
    </row>
    <row r="49">
      <c r="A49" t="inlineStr">
        <is>
          <t>capex_usd_m.profiles.epc_payment_pct_by_month_base.2020-08</t>
        </is>
      </c>
      <c r="B49" t="inlineStr"/>
      <c r="C49" s="3" t="n">
        <v>2.8999</v>
      </c>
    </row>
    <row r="50">
      <c r="A50" t="inlineStr">
        <is>
          <t>capex_usd_m.profiles.epc_payment_pct_by_month_base.2020-09</t>
        </is>
      </c>
      <c r="B50" t="inlineStr"/>
      <c r="C50" s="3" t="n">
        <v>2.4133</v>
      </c>
    </row>
    <row r="51">
      <c r="A51" t="inlineStr">
        <is>
          <t>capex_usd_m.profiles.epc_payment_pct_by_month_base.2020-10</t>
        </is>
      </c>
      <c r="B51" t="inlineStr"/>
      <c r="C51" s="3" t="n">
        <v>1.9236</v>
      </c>
    </row>
    <row r="52">
      <c r="A52" t="inlineStr">
        <is>
          <t>capex_usd_m.profiles.epc_payment_pct_by_month_base.2020-11</t>
        </is>
      </c>
      <c r="B52" t="inlineStr"/>
      <c r="C52" s="3" t="n">
        <v>1.4496</v>
      </c>
    </row>
    <row r="53">
      <c r="A53" t="inlineStr">
        <is>
          <t>capex_usd_m.profiles.epc_payment_pct_by_month_base.2020-12</t>
        </is>
      </c>
      <c r="B53" t="inlineStr"/>
      <c r="C53" s="3" t="n">
        <v>1.0114</v>
      </c>
    </row>
    <row r="54">
      <c r="A54" t="inlineStr">
        <is>
          <t>capex_usd_m.profiles.epc_payment_pct_by_month_base.2021-01</t>
        </is>
      </c>
      <c r="B54" t="inlineStr"/>
      <c r="C54" s="3" t="n">
        <v>0.6294</v>
      </c>
    </row>
    <row r="55">
      <c r="A55" t="inlineStr">
        <is>
          <t>capex_usd_m.profiles.epc_payment_pct_by_month_base.2021-02</t>
        </is>
      </c>
      <c r="B55" t="inlineStr"/>
      <c r="C55" s="3" t="n">
        <v>0.3239</v>
      </c>
    </row>
    <row r="56">
      <c r="A56" t="inlineStr">
        <is>
          <t>capex_usd_m.profiles.epc_payment_pct_by_month_base.2021-03</t>
        </is>
      </c>
      <c r="B56" t="inlineStr"/>
      <c r="C56" s="3" t="n">
        <v>0.1133</v>
      </c>
    </row>
    <row r="57">
      <c r="A57" t="inlineStr">
        <is>
          <t>capex_usd_m.profiles.epc_payment_pct_by_month_base.2021-04</t>
        </is>
      </c>
      <c r="B57" t="inlineStr"/>
      <c r="C57" s="3" t="n">
        <v>7.5108</v>
      </c>
    </row>
    <row r="58">
      <c r="A58" t="inlineStr">
        <is>
          <t>capex_usd_m.profiles.epc_payment_pct_by_month_actual.2018-08</t>
        </is>
      </c>
      <c r="B58" t="inlineStr"/>
      <c r="C58" s="3" t="n">
        <v>10</v>
      </c>
    </row>
    <row r="59">
      <c r="A59" t="inlineStr">
        <is>
          <t>capex_usd_m.profiles.epc_payment_pct_by_month_actual.2018-09</t>
        </is>
      </c>
      <c r="B59" t="inlineStr"/>
      <c r="C59" s="3" t="n">
        <v>0.0102</v>
      </c>
    </row>
    <row r="60">
      <c r="A60" t="inlineStr">
        <is>
          <t>capex_usd_m.profiles.epc_payment_pct_by_month_actual.2018-10</t>
        </is>
      </c>
      <c r="B60" t="inlineStr"/>
      <c r="C60" s="3" t="n">
        <v>0.0868</v>
      </c>
    </row>
    <row r="61">
      <c r="A61" t="inlineStr">
        <is>
          <t>capex_usd_m.profiles.epc_payment_pct_by_month_actual.2018-11</t>
        </is>
      </c>
      <c r="B61" t="inlineStr"/>
      <c r="C61" s="3" t="n">
        <v>0.2284</v>
      </c>
    </row>
    <row r="62">
      <c r="A62" t="inlineStr">
        <is>
          <t>capex_usd_m.profiles.epc_payment_pct_by_month_actual.2018-12</t>
        </is>
      </c>
      <c r="B62" t="inlineStr"/>
      <c r="C62" s="3" t="n">
        <v>0.4235</v>
      </c>
    </row>
    <row r="63">
      <c r="A63" t="inlineStr">
        <is>
          <t>capex_usd_m.profiles.epc_payment_pct_by_month_actual.2019-01</t>
        </is>
      </c>
      <c r="B63" t="inlineStr"/>
      <c r="C63" s="3" t="n">
        <v>0.6612</v>
      </c>
    </row>
    <row r="64">
      <c r="A64" t="inlineStr">
        <is>
          <t>capex_usd_m.profiles.epc_payment_pct_by_month_actual.2019-02</t>
        </is>
      </c>
      <c r="B64" t="inlineStr"/>
      <c r="C64" s="3" t="n">
        <v>0.9313</v>
      </c>
    </row>
    <row r="65">
      <c r="A65" t="inlineStr">
        <is>
          <t>capex_usd_m.profiles.epc_payment_pct_by_month_actual.2019-03</t>
        </is>
      </c>
      <c r="B65" t="inlineStr"/>
      <c r="C65" s="3" t="n">
        <v>1.2242</v>
      </c>
    </row>
    <row r="66">
      <c r="A66" t="inlineStr">
        <is>
          <t>capex_usd_m.profiles.epc_payment_pct_by_month_actual.2019-04</t>
        </is>
      </c>
      <c r="B66" t="inlineStr"/>
      <c r="C66" s="3" t="n">
        <v>1.5311</v>
      </c>
    </row>
    <row r="67">
      <c r="A67" t="inlineStr">
        <is>
          <t>capex_usd_m.profiles.epc_payment_pct_by_month_actual.2019-05</t>
        </is>
      </c>
      <c r="B67" t="inlineStr"/>
      <c r="C67" s="3" t="n">
        <v>1.8437</v>
      </c>
    </row>
    <row r="68">
      <c r="A68" t="inlineStr">
        <is>
          <t>capex_usd_m.profiles.epc_payment_pct_by_month_actual.2019-06</t>
        </is>
      </c>
      <c r="B68" t="inlineStr"/>
      <c r="C68" s="3" t="n">
        <v>2.1545</v>
      </c>
    </row>
    <row r="69">
      <c r="A69" t="inlineStr">
        <is>
          <t>capex_usd_m.profiles.epc_payment_pct_by_month_actual.2019-07</t>
        </is>
      </c>
      <c r="B69" t="inlineStr"/>
      <c r="C69" s="3" t="n">
        <v>2.4565</v>
      </c>
    </row>
    <row r="70">
      <c r="A70" t="inlineStr">
        <is>
          <t>capex_usd_m.profiles.epc_payment_pct_by_month_actual.2019-08</t>
        </is>
      </c>
      <c r="B70" t="inlineStr"/>
      <c r="C70" s="3" t="n">
        <v>2.7436</v>
      </c>
    </row>
    <row r="71">
      <c r="A71" t="inlineStr">
        <is>
          <t>capex_usd_m.profiles.epc_payment_pct_by_month_actual.2019-09</t>
        </is>
      </c>
      <c r="B71" t="inlineStr"/>
      <c r="C71" s="3" t="n">
        <v>3.01</v>
      </c>
    </row>
    <row r="72">
      <c r="A72" t="inlineStr">
        <is>
          <t>capex_usd_m.profiles.epc_payment_pct_by_month_actual.2019-10</t>
        </is>
      </c>
      <c r="B72" t="inlineStr"/>
      <c r="C72" s="3" t="n">
        <v>3.2509</v>
      </c>
    </row>
    <row r="73">
      <c r="A73" t="inlineStr">
        <is>
          <t>capex_usd_m.profiles.epc_payment_pct_by_month_actual.2019-11</t>
        </is>
      </c>
      <c r="B73" t="inlineStr"/>
      <c r="C73" s="3" t="n">
        <v>3.4619</v>
      </c>
    </row>
    <row r="74">
      <c r="A74" t="inlineStr">
        <is>
          <t>capex_usd_m.profiles.epc_payment_pct_by_month_actual.2019-12</t>
        </is>
      </c>
      <c r="B74" t="inlineStr"/>
      <c r="C74" s="3" t="n">
        <v>3.6396</v>
      </c>
    </row>
    <row r="75">
      <c r="A75" t="inlineStr">
        <is>
          <t>capex_usd_m.profiles.epc_payment_pct_by_month_actual.2020-01</t>
        </is>
      </c>
      <c r="B75" t="inlineStr"/>
      <c r="C75" s="3" t="n">
        <v>3.7808</v>
      </c>
    </row>
    <row r="76">
      <c r="A76" t="inlineStr">
        <is>
          <t>capex_usd_m.profiles.epc_payment_pct_by_month_actual.2020-02</t>
        </is>
      </c>
      <c r="B76" t="inlineStr"/>
      <c r="C76" s="3" t="n">
        <v>3.8833</v>
      </c>
    </row>
    <row r="77">
      <c r="A77" t="inlineStr">
        <is>
          <t>capex_usd_m.profiles.epc_payment_pct_by_month_actual.2020-03</t>
        </is>
      </c>
      <c r="B77" t="inlineStr"/>
      <c r="C77" s="3" t="n">
        <v>3.9455</v>
      </c>
    </row>
    <row r="78">
      <c r="A78" t="inlineStr">
        <is>
          <t>capex_usd_m.profiles.epc_payment_pct_by_month_actual.2020-04</t>
        </is>
      </c>
      <c r="B78" t="inlineStr"/>
      <c r="C78" s="3" t="n">
        <v>3.966</v>
      </c>
    </row>
    <row r="79">
      <c r="A79" t="inlineStr">
        <is>
          <t>capex_usd_m.profiles.epc_payment_pct_by_month_actual.2020-05</t>
        </is>
      </c>
      <c r="B79" t="inlineStr"/>
      <c r="C79" s="3" t="n">
        <v>3.9455</v>
      </c>
    </row>
    <row r="80">
      <c r="A80" t="inlineStr">
        <is>
          <t>capex_usd_m.profiles.epc_payment_pct_by_month_actual.2020-06</t>
        </is>
      </c>
      <c r="B80" t="inlineStr"/>
      <c r="C80" s="3" t="n">
        <v>3.8833</v>
      </c>
    </row>
    <row r="81">
      <c r="A81" t="inlineStr">
        <is>
          <t>capex_usd_m.profiles.epc_payment_pct_by_month_actual.2020-07</t>
        </is>
      </c>
      <c r="B81" t="inlineStr"/>
      <c r="C81" s="3" t="n">
        <v>3.7808</v>
      </c>
    </row>
    <row r="82">
      <c r="A82" t="inlineStr">
        <is>
          <t>capex_usd_m.profiles.epc_payment_pct_by_month_actual.2020-08</t>
        </is>
      </c>
      <c r="B82" t="inlineStr"/>
      <c r="C82" s="3" t="n">
        <v>3.6396</v>
      </c>
    </row>
    <row r="83">
      <c r="A83" t="inlineStr">
        <is>
          <t>capex_usd_m.profiles.epc_payment_pct_by_month_actual.2020-09</t>
        </is>
      </c>
      <c r="B83" t="inlineStr"/>
      <c r="C83" s="3" t="n">
        <v>3.4619</v>
      </c>
    </row>
    <row r="84">
      <c r="A84" t="inlineStr">
        <is>
          <t>capex_usd_m.profiles.epc_payment_pct_by_month_actual.2020-10</t>
        </is>
      </c>
      <c r="B84" t="inlineStr"/>
      <c r="C84" s="3" t="n">
        <v>3.2509</v>
      </c>
    </row>
    <row r="85">
      <c r="A85" t="inlineStr">
        <is>
          <t>capex_usd_m.profiles.epc_payment_pct_by_month_actual.2020-11</t>
        </is>
      </c>
      <c r="B85" t="inlineStr"/>
      <c r="C85" s="3" t="n">
        <v>3.01</v>
      </c>
    </row>
    <row r="86">
      <c r="A86" t="inlineStr">
        <is>
          <t>capex_usd_m.profiles.epc_payment_pct_by_month_actual.2020-12</t>
        </is>
      </c>
      <c r="B86" t="inlineStr"/>
      <c r="C86" s="3" t="n">
        <v>2.7436</v>
      </c>
    </row>
    <row r="87">
      <c r="A87" t="inlineStr">
        <is>
          <t>capex_usd_m.profiles.epc_payment_pct_by_month_actual.2021-01</t>
        </is>
      </c>
      <c r="B87" t="inlineStr"/>
      <c r="C87" s="3" t="n">
        <v>2.4565</v>
      </c>
    </row>
    <row r="88">
      <c r="A88" t="inlineStr">
        <is>
          <t>capex_usd_m.profiles.epc_payment_pct_by_month_actual.2021-02</t>
        </is>
      </c>
      <c r="B88" t="inlineStr"/>
      <c r="C88" s="3" t="n">
        <v>2.1545</v>
      </c>
    </row>
    <row r="89">
      <c r="A89" t="inlineStr">
        <is>
          <t>capex_usd_m.profiles.epc_payment_pct_by_month_actual.2021-03</t>
        </is>
      </c>
      <c r="B89" t="inlineStr"/>
      <c r="C89" s="3" t="n">
        <v>1.8437</v>
      </c>
    </row>
    <row r="90">
      <c r="A90" t="inlineStr">
        <is>
          <t>capex_usd_m.profiles.epc_payment_pct_by_month_actual.2021-04</t>
        </is>
      </c>
      <c r="B90" t="inlineStr"/>
      <c r="C90" s="3" t="n">
        <v>1.5311</v>
      </c>
    </row>
    <row r="91">
      <c r="A91" t="inlineStr">
        <is>
          <t>capex_usd_m.profiles.epc_payment_pct_by_month_actual.2021-05</t>
        </is>
      </c>
      <c r="B91" t="inlineStr"/>
      <c r="C91" s="3" t="n">
        <v>1.2242</v>
      </c>
    </row>
    <row r="92">
      <c r="A92" t="inlineStr">
        <is>
          <t>capex_usd_m.profiles.epc_payment_pct_by_month_actual.2021-06</t>
        </is>
      </c>
      <c r="B92" t="inlineStr"/>
      <c r="C92" s="3" t="n">
        <v>0.9313</v>
      </c>
    </row>
    <row r="93">
      <c r="A93" t="inlineStr">
        <is>
          <t>capex_usd_m.profiles.epc_payment_pct_by_month_actual.2021-07</t>
        </is>
      </c>
      <c r="B93" t="inlineStr"/>
      <c r="C93" s="3" t="n">
        <v>0.6612</v>
      </c>
    </row>
    <row r="94">
      <c r="A94" t="inlineStr">
        <is>
          <t>capex_usd_m.profiles.epc_payment_pct_by_month_actual.2021-08</t>
        </is>
      </c>
      <c r="B94" t="inlineStr"/>
      <c r="C94" s="3" t="n">
        <v>0.4235</v>
      </c>
    </row>
    <row r="95">
      <c r="A95" t="inlineStr">
        <is>
          <t>capex_usd_m.profiles.epc_payment_pct_by_month_actual.2021-09</t>
        </is>
      </c>
      <c r="B95" t="inlineStr"/>
      <c r="C95" s="3" t="n">
        <v>0.2284</v>
      </c>
    </row>
    <row r="96">
      <c r="A96" t="inlineStr">
        <is>
          <t>capex_usd_m.profiles.epc_payment_pct_by_month_actual.2021-10</t>
        </is>
      </c>
      <c r="B96" t="inlineStr"/>
      <c r="C96" s="3" t="n">
        <v>0.0868</v>
      </c>
    </row>
    <row r="97">
      <c r="A97" t="inlineStr">
        <is>
          <t>capex_usd_m.profiles.epc_payment_pct_by_month_actual.2021-11</t>
        </is>
      </c>
      <c r="B97" t="inlineStr"/>
      <c r="C97" s="3" t="n">
        <v>7.5102</v>
      </c>
    </row>
    <row r="98">
      <c r="A98" t="inlineStr">
        <is>
          <t>capex_usd_m.profiles.owners_costs_pct_by_month_base.2018-08</t>
        </is>
      </c>
      <c r="B98" t="inlineStr"/>
      <c r="C98" s="3" t="n">
        <v>12</v>
      </c>
    </row>
    <row r="99">
      <c r="A99" t="inlineStr">
        <is>
          <t>capex_usd_m.profiles.owners_costs_pct_by_month_base.2018-09</t>
        </is>
      </c>
      <c r="B99" t="inlineStr"/>
      <c r="C99" s="3" t="n">
        <v>2.75</v>
      </c>
    </row>
    <row r="100">
      <c r="A100" t="inlineStr">
        <is>
          <t>capex_usd_m.profiles.owners_costs_pct_by_month_base.2018-10</t>
        </is>
      </c>
      <c r="B100" t="inlineStr"/>
      <c r="C100" s="3" t="n">
        <v>2.75</v>
      </c>
    </row>
    <row r="101">
      <c r="A101" t="inlineStr">
        <is>
          <t>capex_usd_m.profiles.owners_costs_pct_by_month_base.2018-11</t>
        </is>
      </c>
      <c r="B101" t="inlineStr"/>
      <c r="C101" s="3" t="n">
        <v>2.75</v>
      </c>
    </row>
    <row r="102">
      <c r="A102" t="inlineStr">
        <is>
          <t>capex_usd_m.profiles.owners_costs_pct_by_month_base.2018-12</t>
        </is>
      </c>
      <c r="B102" t="inlineStr"/>
      <c r="C102" s="3" t="n">
        <v>2.75</v>
      </c>
    </row>
    <row r="103">
      <c r="A103" t="inlineStr">
        <is>
          <t>capex_usd_m.profiles.owners_costs_pct_by_month_base.2019-01</t>
        </is>
      </c>
      <c r="B103" t="inlineStr"/>
      <c r="C103" s="3" t="n">
        <v>2.75</v>
      </c>
    </row>
    <row r="104">
      <c r="A104" t="inlineStr">
        <is>
          <t>capex_usd_m.profiles.owners_costs_pct_by_month_base.2019-02</t>
        </is>
      </c>
      <c r="B104" t="inlineStr"/>
      <c r="C104" s="3" t="n">
        <v>2.75</v>
      </c>
    </row>
    <row r="105">
      <c r="A105" t="inlineStr">
        <is>
          <t>capex_usd_m.profiles.owners_costs_pct_by_month_base.2019-03</t>
        </is>
      </c>
      <c r="B105" t="inlineStr"/>
      <c r="C105" s="3" t="n">
        <v>2.75</v>
      </c>
    </row>
    <row r="106">
      <c r="A106" t="inlineStr">
        <is>
          <t>capex_usd_m.profiles.owners_costs_pct_by_month_base.2019-04</t>
        </is>
      </c>
      <c r="B106" t="inlineStr"/>
      <c r="C106" s="3" t="n">
        <v>2.75</v>
      </c>
    </row>
    <row r="107">
      <c r="A107" t="inlineStr">
        <is>
          <t>capex_usd_m.profiles.owners_costs_pct_by_month_base.2019-05</t>
        </is>
      </c>
      <c r="B107" t="inlineStr"/>
      <c r="C107" s="3" t="n">
        <v>2.75</v>
      </c>
    </row>
    <row r="108">
      <c r="A108" t="inlineStr">
        <is>
          <t>capex_usd_m.profiles.owners_costs_pct_by_month_base.2019-06</t>
        </is>
      </c>
      <c r="B108" t="inlineStr"/>
      <c r="C108" s="3" t="n">
        <v>2.75</v>
      </c>
    </row>
    <row r="109">
      <c r="A109" t="inlineStr">
        <is>
          <t>capex_usd_m.profiles.owners_costs_pct_by_month_base.2019-07</t>
        </is>
      </c>
      <c r="B109" t="inlineStr"/>
      <c r="C109" s="3" t="n">
        <v>2.75</v>
      </c>
    </row>
    <row r="110">
      <c r="A110" t="inlineStr">
        <is>
          <t>capex_usd_m.profiles.owners_costs_pct_by_month_base.2019-08</t>
        </is>
      </c>
      <c r="B110" t="inlineStr"/>
      <c r="C110" s="3" t="n">
        <v>2.75</v>
      </c>
    </row>
    <row r="111">
      <c r="A111" t="inlineStr">
        <is>
          <t>capex_usd_m.profiles.owners_costs_pct_by_month_base.2019-09</t>
        </is>
      </c>
      <c r="B111" t="inlineStr"/>
      <c r="C111" s="3" t="n">
        <v>2.75</v>
      </c>
    </row>
    <row r="112">
      <c r="A112" t="inlineStr">
        <is>
          <t>capex_usd_m.profiles.owners_costs_pct_by_month_base.2019-10</t>
        </is>
      </c>
      <c r="B112" t="inlineStr"/>
      <c r="C112" s="3" t="n">
        <v>2.75</v>
      </c>
    </row>
    <row r="113">
      <c r="A113" t="inlineStr">
        <is>
          <t>capex_usd_m.profiles.owners_costs_pct_by_month_base.2019-11</t>
        </is>
      </c>
      <c r="B113" t="inlineStr"/>
      <c r="C113" s="3" t="n">
        <v>2.75</v>
      </c>
    </row>
    <row r="114">
      <c r="A114" t="inlineStr">
        <is>
          <t>capex_usd_m.profiles.owners_costs_pct_by_month_base.2019-12</t>
        </is>
      </c>
      <c r="B114" t="inlineStr"/>
      <c r="C114" s="3" t="n">
        <v>2.75</v>
      </c>
    </row>
    <row r="115">
      <c r="A115" t="inlineStr">
        <is>
          <t>capex_usd_m.profiles.owners_costs_pct_by_month_base.2020-01</t>
        </is>
      </c>
      <c r="B115" t="inlineStr"/>
      <c r="C115" s="3" t="n">
        <v>2.75</v>
      </c>
    </row>
    <row r="116">
      <c r="A116" t="inlineStr">
        <is>
          <t>capex_usd_m.profiles.owners_costs_pct_by_month_base.2020-02</t>
        </is>
      </c>
      <c r="B116" t="inlineStr"/>
      <c r="C116" s="3" t="n">
        <v>2.75</v>
      </c>
    </row>
    <row r="117">
      <c r="A117" t="inlineStr">
        <is>
          <t>capex_usd_m.profiles.owners_costs_pct_by_month_base.2020-03</t>
        </is>
      </c>
      <c r="B117" t="inlineStr"/>
      <c r="C117" s="3" t="n">
        <v>2.75</v>
      </c>
    </row>
    <row r="118">
      <c r="A118" t="inlineStr">
        <is>
          <t>capex_usd_m.profiles.owners_costs_pct_by_month_base.2020-04</t>
        </is>
      </c>
      <c r="B118" t="inlineStr"/>
      <c r="C118" s="3" t="n">
        <v>2.75</v>
      </c>
    </row>
    <row r="119">
      <c r="A119" t="inlineStr">
        <is>
          <t>capex_usd_m.profiles.owners_costs_pct_by_month_base.2020-05</t>
        </is>
      </c>
      <c r="B119" t="inlineStr"/>
      <c r="C119" s="3" t="n">
        <v>2.75</v>
      </c>
    </row>
    <row r="120">
      <c r="A120" t="inlineStr">
        <is>
          <t>capex_usd_m.profiles.owners_costs_pct_by_month_base.2020-06</t>
        </is>
      </c>
      <c r="B120" t="inlineStr"/>
      <c r="C120" s="3" t="n">
        <v>2.75</v>
      </c>
    </row>
    <row r="121">
      <c r="A121" t="inlineStr">
        <is>
          <t>capex_usd_m.profiles.owners_costs_pct_by_month_base.2020-07</t>
        </is>
      </c>
      <c r="B121" t="inlineStr"/>
      <c r="C121" s="3" t="n">
        <v>2.75</v>
      </c>
    </row>
    <row r="122">
      <c r="A122" t="inlineStr">
        <is>
          <t>capex_usd_m.profiles.owners_costs_pct_by_month_base.2020-08</t>
        </is>
      </c>
      <c r="B122" t="inlineStr"/>
      <c r="C122" s="3" t="n">
        <v>2.75</v>
      </c>
    </row>
    <row r="123">
      <c r="A123" t="inlineStr">
        <is>
          <t>capex_usd_m.profiles.owners_costs_pct_by_month_base.2020-09</t>
        </is>
      </c>
      <c r="B123" t="inlineStr"/>
      <c r="C123" s="3" t="n">
        <v>2.75</v>
      </c>
    </row>
    <row r="124">
      <c r="A124" t="inlineStr">
        <is>
          <t>capex_usd_m.profiles.owners_costs_pct_by_month_base.2020-10</t>
        </is>
      </c>
      <c r="B124" t="inlineStr"/>
      <c r="C124" s="3" t="n">
        <v>2.75</v>
      </c>
    </row>
    <row r="125">
      <c r="A125" t="inlineStr">
        <is>
          <t>capex_usd_m.profiles.owners_costs_pct_by_month_base.2020-11</t>
        </is>
      </c>
      <c r="B125" t="inlineStr"/>
      <c r="C125" s="3" t="n">
        <v>2.75</v>
      </c>
    </row>
    <row r="126">
      <c r="A126" t="inlineStr">
        <is>
          <t>capex_usd_m.profiles.owners_costs_pct_by_month_base.2020-12</t>
        </is>
      </c>
      <c r="B126" t="inlineStr"/>
      <c r="C126" s="3" t="n">
        <v>2.75</v>
      </c>
    </row>
    <row r="127">
      <c r="A127" t="inlineStr">
        <is>
          <t>capex_usd_m.profiles.owners_costs_pct_by_month_base.2021-01</t>
        </is>
      </c>
      <c r="B127" t="inlineStr"/>
      <c r="C127" s="3" t="n">
        <v>2.75</v>
      </c>
    </row>
    <row r="128">
      <c r="A128" t="inlineStr">
        <is>
          <t>capex_usd_m.profiles.owners_costs_pct_by_month_base.2021-02</t>
        </is>
      </c>
      <c r="B128" t="inlineStr"/>
      <c r="C128" s="3" t="n">
        <v>2.75</v>
      </c>
    </row>
    <row r="129">
      <c r="A129" t="inlineStr">
        <is>
          <t>capex_usd_m.profiles.owners_costs_pct_by_month_base.2021-03</t>
        </is>
      </c>
      <c r="B129" t="inlineStr"/>
      <c r="C129" s="3" t="n">
        <v>2.75</v>
      </c>
    </row>
    <row r="130">
      <c r="A130" t="inlineStr">
        <is>
          <t>capex_usd_m.profiles.owners_costs_pct_by_month_base.2021-04</t>
        </is>
      </c>
      <c r="B130" t="inlineStr"/>
      <c r="C130" s="3" t="n">
        <v>2.75</v>
      </c>
    </row>
    <row r="131">
      <c r="A131" t="inlineStr">
        <is>
          <t>capex_usd_m.profiles.owners_costs_actual_rule</t>
        </is>
      </c>
      <c r="B131" t="inlineStr"/>
      <c r="C131" s="3" t="inlineStr">
        <is>
          <t>Base owner's costs follow the base profile over Months 1-33; the extension costs listed under events.construction_overrun are spread evenly over Months 34-40.</t>
        </is>
      </c>
    </row>
    <row r="132">
      <c r="A132" t="inlineStr">
        <is>
          <t>capex_usd_m.profiles.insurance_during_construction_timing</t>
        </is>
      </c>
      <c r="B132" t="inlineStr"/>
      <c r="C132" s="3" t="inlineStr">
        <is>
          <t>85% at FC (Month 1), 15% in Month 18</t>
        </is>
      </c>
    </row>
    <row r="133">
      <c r="A133" t="inlineStr">
        <is>
          <t>capex_usd_m.profiles.development_costs_and_fee_timing</t>
        </is>
      </c>
      <c r="B133" t="inlineStr"/>
      <c r="C133" s="3" t="inlineStr">
        <is>
          <t>100% at FC (Month 1)</t>
        </is>
      </c>
    </row>
    <row r="134">
      <c r="A134" t="inlineStr">
        <is>
          <t>capex_usd_m.profiles.lenders_advisors_timing</t>
        </is>
      </c>
      <c r="B134" t="inlineStr"/>
      <c r="C134" s="3" t="inlineStr">
        <is>
          <t>70% at FC, remainder evenly Months 2-33 (base) or 2-40 (actual)</t>
        </is>
      </c>
    </row>
    <row r="135">
      <c r="A135" t="inlineStr">
        <is>
          <t>capex_usd_m.profiles.contingency_timing_base</t>
        </is>
      </c>
      <c r="B135" t="inlineStr"/>
      <c r="C135" s="3" t="inlineStr">
        <is>
          <t>Drawn pro rata with EPC progress payments (FC base case assumes full use, per lender practice)</t>
        </is>
      </c>
    </row>
    <row r="136">
      <c r="A136" t="inlineStr">
        <is>
          <t>capex_usd_m.profiles.initial_working_capital_timing</t>
        </is>
      </c>
      <c r="B136" t="inlineStr"/>
      <c r="C136" s="3" t="inlineStr">
        <is>
          <t>Final construction month</t>
        </is>
      </c>
    </row>
    <row r="137">
      <c r="A137" t="inlineStr">
        <is>
          <t>capex_usd_m.profiles.lntp_note</t>
        </is>
      </c>
      <c r="B137" t="inlineStr"/>
      <c r="C137" s="3" t="inlineStr">
        <is>
          <t>LNTP payment of USD 14.20m (Feb 2018) was funded by sponsors before FC and is part of the EPC price; it is credited as an equity contribution at FC and reduces the Month 1 EPC advance accordingly.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vat_and_duties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vat_and_duties.vat_rate_pct</t>
        </is>
      </c>
      <c r="B5" t="inlineStr">
        <is>
          <t>%</t>
        </is>
      </c>
      <c r="C5" s="3" t="n">
        <v>18</v>
      </c>
    </row>
    <row r="6">
      <c r="A6" t="inlineStr">
        <is>
          <t>vat_and_duties.imports_exempt</t>
        </is>
      </c>
      <c r="B6" t="inlineStr"/>
      <c r="C6" s="3" t="b">
        <v>1</v>
      </c>
    </row>
    <row r="7">
      <c r="A7" t="inlineStr">
        <is>
          <t>vat_and_duties.vat_on_onshore_epc_recoverable</t>
        </is>
      </c>
      <c r="B7" t="inlineStr"/>
      <c r="C7" s="3" t="b">
        <v>1</v>
      </c>
    </row>
    <row r="8">
      <c r="A8" t="inlineStr">
        <is>
          <t>vat_and_duties.vat_refund_lag_months</t>
        </is>
      </c>
      <c r="B8" t="inlineStr">
        <is>
          <t>months</t>
        </is>
      </c>
      <c r="C8" s="3" t="n">
        <v>9</v>
      </c>
    </row>
    <row r="9">
      <c r="A9" t="inlineStr">
        <is>
          <t>vat_and_duties.vat_facility.lender</t>
        </is>
      </c>
      <c r="B9" t="inlineStr"/>
      <c r="C9" s="3" t="inlineStr">
        <is>
          <t>Union Bancaire du Kessara</t>
        </is>
      </c>
    </row>
    <row r="10">
      <c r="A10" t="inlineStr">
        <is>
          <t>vat_and_duties.vat_facility.currency</t>
        </is>
      </c>
      <c r="B10" t="inlineStr"/>
      <c r="C10" s="3" t="inlineStr">
        <is>
          <t>KCR</t>
        </is>
      </c>
    </row>
    <row r="11">
      <c r="A11" t="inlineStr">
        <is>
          <t>vat_and_duties.vat_facility.limit_kcr_m</t>
        </is>
      </c>
      <c r="B11" t="inlineStr">
        <is>
          <t>KCR m</t>
        </is>
      </c>
      <c r="C11" s="3" t="n">
        <v>7900</v>
      </c>
    </row>
    <row r="12">
      <c r="A12" t="inlineStr">
        <is>
          <t>vat_and_duties.vat_facility.rate</t>
        </is>
      </c>
      <c r="B12" t="inlineStr"/>
      <c r="C12" s="3" t="inlineStr">
        <is>
          <t>Kessara policy rate + 2.50%</t>
        </is>
      </c>
    </row>
    <row r="13">
      <c r="A13" t="inlineStr">
        <is>
          <t>vat_and_duties.vat_facility.repaid_from</t>
        </is>
      </c>
      <c r="B13" t="inlineStr"/>
      <c r="C13" s="3" t="inlineStr">
        <is>
          <t>VAT refunds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ppa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ppa.offtaker</t>
        </is>
      </c>
      <c r="B5" t="inlineStr"/>
      <c r="C5" s="3" t="inlineStr">
        <is>
          <t>Societe d'Electricite du Kessara (SEKA)</t>
        </is>
      </c>
    </row>
    <row r="6">
      <c r="A6" t="inlineStr">
        <is>
          <t>ppa.term_years_from_cod</t>
        </is>
      </c>
      <c r="B6" t="inlineStr">
        <is>
          <t>years</t>
        </is>
      </c>
      <c r="C6" s="3" t="n">
        <v>25</v>
      </c>
    </row>
    <row r="7">
      <c r="A7" t="inlineStr">
        <is>
          <t>ppa.structure</t>
        </is>
      </c>
      <c r="B7" t="inlineStr"/>
      <c r="C7" s="3" t="inlineStr">
        <is>
          <t>BOOT; plant transfers to SEKA at expiry for USD 1 subject to handback conditions</t>
        </is>
      </c>
    </row>
    <row r="8">
      <c r="A8" t="inlineStr">
        <is>
          <t>ppa.currency</t>
        </is>
      </c>
      <c r="B8" t="inlineStr"/>
      <c r="C8" s="3" t="inlineStr">
        <is>
          <t>Tariff denominated in USD, invoiced monthly in USD, paid in KCR at the Central Bank mid rate on the business day before payment</t>
        </is>
      </c>
    </row>
    <row r="9">
      <c r="A9" t="inlineStr">
        <is>
          <t>ppa.capacity_charge_usd_per_kw_month_2016.capital_charge</t>
        </is>
      </c>
      <c r="B9" t="inlineStr"/>
      <c r="C9" s="3" t="n">
        <v>14.36</v>
      </c>
    </row>
    <row r="10">
      <c r="A10" t="inlineStr">
        <is>
          <t>ppa.capacity_charge_usd_per_kw_month_2016.capital_charge_indexed_share_us_cpi_pct</t>
        </is>
      </c>
      <c r="B10" t="inlineStr">
        <is>
          <t>%</t>
        </is>
      </c>
      <c r="C10" s="3" t="n">
        <v>20</v>
      </c>
    </row>
    <row r="11">
      <c r="A11" t="inlineStr">
        <is>
          <t>ppa.capacity_charge_usd_per_kw_month_2016.fixed_om_charge</t>
        </is>
      </c>
      <c r="B11" t="inlineStr"/>
      <c r="C11" s="3" t="n">
        <v>2.31</v>
      </c>
    </row>
    <row r="12">
      <c r="A12" t="inlineStr">
        <is>
          <t>ppa.capacity_charge_usd_per_kw_month_2016.fixed_om_foreign_share_us_cpi_pct</t>
        </is>
      </c>
      <c r="B12" t="inlineStr">
        <is>
          <t>%</t>
        </is>
      </c>
      <c r="C12" s="3" t="n">
        <v>62</v>
      </c>
    </row>
    <row r="13">
      <c r="A13" t="inlineStr">
        <is>
          <t>ppa.capacity_charge_usd_per_kw_month_2016.fixed_om_local_share_kessara_cpi_pct</t>
        </is>
      </c>
      <c r="B13" t="inlineStr">
        <is>
          <t>%</t>
        </is>
      </c>
      <c r="C13" s="3" t="n">
        <v>38</v>
      </c>
    </row>
    <row r="14">
      <c r="A14" t="inlineStr">
        <is>
          <t>ppa.capacity_charge_usd_per_kw_month_2016.local_share_mechanics</t>
        </is>
      </c>
      <c r="B14" t="inlineStr"/>
      <c r="C14" s="3" t="inlineStr">
        <is>
          <t>Local share converted to KCR at bid base rate 462.35, indexed by Kessara CPI, reconverted to USD at the invoice-date FX rate</t>
        </is>
      </c>
    </row>
    <row r="15">
      <c r="A15" t="inlineStr">
        <is>
          <t>ppa.variable_om_charge_usd_per_mwh_2016</t>
        </is>
      </c>
      <c r="B15" t="inlineStr">
        <is>
          <t>USD/MWh</t>
        </is>
      </c>
      <c r="C15" s="3" t="n">
        <v>3.86</v>
      </c>
    </row>
    <row r="16">
      <c r="A16" t="inlineStr">
        <is>
          <t>ppa.variable_om_indexation.us_cpi_pct</t>
        </is>
      </c>
      <c r="B16" t="inlineStr">
        <is>
          <t>%</t>
        </is>
      </c>
      <c r="C16" s="3" t="n">
        <v>70</v>
      </c>
    </row>
    <row r="17">
      <c r="A17" t="inlineStr">
        <is>
          <t>ppa.variable_om_indexation.kessara_cpi_local_pct</t>
        </is>
      </c>
      <c r="B17" t="inlineStr">
        <is>
          <t>%</t>
        </is>
      </c>
      <c r="C17" s="3" t="n">
        <v>30</v>
      </c>
    </row>
    <row r="18">
      <c r="A18" t="inlineStr">
        <is>
          <t>ppa.fuel_charge</t>
        </is>
      </c>
      <c r="B18" t="inlineStr"/>
      <c r="C18" s="3" t="inlineStr">
        <is>
          <t>Net energy delivered (MWh) x contracted heat rate at the dispatched load (kJ/kWh LHV) x 1.108 / 1,055,056 x gas price (USD/MMBtu, GCV) from the GSA; plus pass-through of GTA reservation and commodity charges and of GSA take-or-pay payments caused by SEKA dispatch</t>
        </is>
      </c>
    </row>
    <row r="19">
      <c r="A19" t="inlineStr">
        <is>
          <t>ppa.contracted_heat_rate_kj_per_kwh_lhv_100pct_load</t>
        </is>
      </c>
      <c r="B19" t="inlineStr">
        <is>
          <t>kJ/kWh</t>
        </is>
      </c>
      <c r="C19" s="3" t="n">
        <v>6323</v>
      </c>
    </row>
    <row r="20">
      <c r="A20" t="inlineStr">
        <is>
          <t>ppa.contracted_heat_rate_degradation_allowance_pct_per_year</t>
        </is>
      </c>
      <c r="B20" t="inlineStr">
        <is>
          <t>%</t>
        </is>
      </c>
      <c r="C20" s="3" t="n">
        <v>0.1</v>
      </c>
    </row>
    <row r="21">
      <c r="A21" t="inlineStr">
        <is>
          <t>ppa.contracted_heat_rate_part_load_curve</t>
        </is>
      </c>
      <c r="B21" t="inlineStr"/>
      <c r="C21" s="3" t="inlineStr">
        <is>
          <t>same percentages as plant.part_load_heat_rate_penalty_pct</t>
        </is>
      </c>
    </row>
    <row r="22">
      <c r="A22" t="inlineStr">
        <is>
          <t>ppa.target_availability_pct</t>
        </is>
      </c>
      <c r="B22" t="inlineStr">
        <is>
          <t>%</t>
        </is>
      </c>
      <c r="C22" s="3" t="n">
        <v>90</v>
      </c>
    </row>
    <row r="23">
      <c r="A23" t="inlineStr">
        <is>
          <t>ppa.capacity_payment_rule</t>
        </is>
      </c>
      <c r="B23" t="inlineStr"/>
      <c r="C23" s="3" t="inlineStr">
        <is>
          <t>Capacity payment = capacity charge x contracted capacity x min(1, availability / 90%). No bonus above target.</t>
        </is>
      </c>
    </row>
    <row r="24">
      <c r="A24" t="inlineStr">
        <is>
          <t>ppa.payment_terms_days_from_invoice</t>
        </is>
      </c>
      <c r="B24" t="inlineStr">
        <is>
          <t>days</t>
        </is>
      </c>
      <c r="C24" s="3" t="n">
        <v>30</v>
      </c>
    </row>
    <row r="25">
      <c r="A25" t="inlineStr">
        <is>
          <t>ppa.late_payment_interest</t>
        </is>
      </c>
      <c r="B25" t="inlineStr"/>
      <c r="C25" s="3" t="inlineStr">
        <is>
          <t>6M Term SOFR (6M LIBOR before 2023) + 2.00%</t>
        </is>
      </c>
    </row>
    <row r="26">
      <c r="A26" t="inlineStr">
        <is>
          <t>ppa.payment_security.standby_lc</t>
        </is>
      </c>
      <c r="B26" t="inlineStr"/>
      <c r="C26" s="3" t="inlineStr">
        <is>
          <t>Issued for SEKA by Union Bancaire du Kessara, confirmed by Castellan Bank; amount = 2 months of estimated capacity charges + 1 month of estimated energy charges; USD 33.8m in 2022</t>
        </is>
      </c>
    </row>
    <row r="27">
      <c r="A27" t="inlineStr">
        <is>
          <t>ppa.payment_security.lc_amount_2022_usd_m</t>
        </is>
      </c>
      <c r="B27" t="inlineStr">
        <is>
          <t>USD m</t>
        </is>
      </c>
      <c r="C27" s="3" t="n">
        <v>33.8</v>
      </c>
    </row>
    <row r="28">
      <c r="A28" t="inlineStr">
        <is>
          <t>ppa.payment_security.lc_replenishment_days</t>
        </is>
      </c>
      <c r="B28" t="inlineStr">
        <is>
          <t>days</t>
        </is>
      </c>
      <c r="C28" s="3" t="n">
        <v>30</v>
      </c>
    </row>
    <row r="29">
      <c r="A29" t="inlineStr">
        <is>
          <t>ppa.payment_security.government_guarantee</t>
        </is>
      </c>
      <c r="B29" t="inlineStr"/>
      <c r="C29" s="3" t="inlineStr">
        <is>
          <t>Ministry of Economy and Finance guarantee of SEKA payment obligations and termination amounts (Garantie de l'Etat), capped at USD 1,250m</t>
        </is>
      </c>
    </row>
    <row r="30">
      <c r="A30" t="inlineStr">
        <is>
          <t>ppa.payment_security.abdb_partial_risk_guarantee_usd_m</t>
        </is>
      </c>
      <c r="B30" t="inlineStr">
        <is>
          <t>USD m</t>
        </is>
      </c>
      <c r="C30" s="3" t="n">
        <v>41.5</v>
      </c>
    </row>
    <row r="31">
      <c r="A31" t="inlineStr">
        <is>
          <t>ppa.payment_security.abdb_prg_fee_pct_pa</t>
        </is>
      </c>
      <c r="B31" t="inlineStr">
        <is>
          <t>%</t>
        </is>
      </c>
      <c r="C31" s="3" t="n">
        <v>0.75</v>
      </c>
    </row>
    <row r="32">
      <c r="A32" t="inlineStr">
        <is>
          <t>ppa.payment_security.abdb_prg_note</t>
        </is>
      </c>
      <c r="B32" t="inlineStr"/>
      <c r="C32" s="3" t="inlineStr">
        <is>
          <t>PRG backs the LC confirming bank's reimbursement claim against the Republic; fee subsidised by a donor facility</t>
        </is>
      </c>
    </row>
    <row r="33">
      <c r="A33" t="inlineStr">
        <is>
          <t>ppa.delay_ld_payable_to_seka_usd_per_day</t>
        </is>
      </c>
      <c r="B33" t="inlineStr"/>
      <c r="C33" s="3" t="n">
        <v>94150</v>
      </c>
    </row>
    <row r="34">
      <c r="A34" t="inlineStr">
        <is>
          <t>ppa.delay_ld_cap_usd_m</t>
        </is>
      </c>
      <c r="B34" t="inlineStr">
        <is>
          <t>USD m</t>
        </is>
      </c>
      <c r="C34" s="3" t="n">
        <v>25</v>
      </c>
    </row>
    <row r="35">
      <c r="A35" t="inlineStr">
        <is>
          <t>ppa.termination_compensation.seka_or_government_default_and_political_fm</t>
        </is>
      </c>
      <c r="B35" t="inlineStr"/>
      <c r="C35" s="3" t="inlineStr">
        <is>
          <t>senior debt outstanding + swap breakage + equity amount, where equity amount = greater of (a) NPV of projected distributions at 14.5% and (b) equity contributed compounded at 14.5% less distributions received</t>
        </is>
      </c>
    </row>
    <row r="36">
      <c r="A36" t="inlineStr">
        <is>
          <t>ppa.termination_compensation.project_company_default</t>
        </is>
      </c>
      <c r="B36" t="inlineStr"/>
      <c r="C36" s="3" t="inlineStr">
        <is>
          <t>100% of senior debt outstanding (principal plus accrued interest at the non-default rate, excluding default interest and swap breakage beyond scheduled hedges), less insurance proceeds</t>
        </is>
      </c>
    </row>
    <row r="37">
      <c r="A37" t="inlineStr">
        <is>
          <t>ppa.termination_compensation.natural_fm_beyond_180_days</t>
        </is>
      </c>
      <c r="B37" t="inlineStr">
        <is>
          <t>days</t>
        </is>
      </c>
      <c r="C37" s="3" t="inlineStr">
        <is>
          <t>senior debt outstanding + equity contributed less distributions (no return)</t>
        </is>
      </c>
    </row>
    <row r="38">
      <c r="A38" t="inlineStr">
        <is>
          <t>ppa.termination_compensation.buyout_option_at_expiry</t>
        </is>
      </c>
      <c r="B38" t="inlineStr"/>
      <c r="C38" s="3" t="inlineStr">
        <is>
          <t>USD 1</t>
        </is>
      </c>
    </row>
    <row r="39">
      <c r="A39" t="inlineStr">
        <is>
          <t>ppa.dispatch</t>
        </is>
      </c>
      <c r="B39" t="inlineStr"/>
      <c r="C39" s="3" t="inlineStr">
        <is>
          <t>SEKA dispatches in merit order through the national control center; minimum stable load 45% per GT block; start charges included in VOM</t>
        </is>
      </c>
    </row>
    <row r="40">
      <c r="A40" t="inlineStr">
        <is>
          <t>ppa.change_in_law</t>
        </is>
      </c>
      <c r="B40" t="inlineStr"/>
      <c r="C40" s="3" t="inlineStr">
        <is>
          <t>Kessaran change in law affecting costs &gt; USD 0.5m p.a. passed through; change in tax law affecting dividend WHT excluded</t>
        </is>
      </c>
    </row>
    <row r="41">
      <c r="A41" t="inlineStr">
        <is>
          <t>ppa.refinancing_gain_sharing</t>
        </is>
      </c>
      <c r="B41" t="inlineStr"/>
      <c r="C41" s="3" t="inlineStr">
        <is>
          <t>None; SEKA consent needed only if the refinancing extends beyond PPA term or increases termination exposure</t>
        </is>
      </c>
    </row>
    <row r="42">
      <c r="A42" t="inlineStr">
        <is>
          <t>ppa.bid_evaluation.method</t>
        </is>
      </c>
      <c r="B42" t="inlineStr"/>
      <c r="C42" s="3" t="inlineStr">
        <is>
          <t>levelized tariff over 25 years at 10.0% USD discount rate, 70% dispatch, reference gas price USD 5.50/MMBtu flat, contracted heat rate</t>
        </is>
      </c>
    </row>
    <row r="43">
      <c r="A43" t="inlineStr">
        <is>
          <t>ppa.bid_evaluation.runner_up_premium_over_winner_pct</t>
        </is>
      </c>
      <c r="B43" t="inlineStr">
        <is>
          <t>%</t>
        </is>
      </c>
      <c r="C43" s="3" t="n">
        <v>4.6</v>
      </c>
    </row>
    <row r="44">
      <c r="A44" t="inlineStr">
        <is>
          <t>ppa.bid_evaluation.number_of_bids</t>
        </is>
      </c>
      <c r="B44" t="inlineStr"/>
      <c r="C44" s="3" t="n">
        <v>4</v>
      </c>
    </row>
    <row r="45">
      <c r="A45" t="inlineStr">
        <is>
          <t>ppa.bid_evaluation.prequalified</t>
        </is>
      </c>
      <c r="B45" t="inlineStr"/>
      <c r="C45" s="3" t="n">
        <v>5</v>
      </c>
    </row>
    <row r="46">
      <c r="A46" t="inlineStr">
        <is>
          <t>ppa.bid_evaluation.rfq_respondents</t>
        </is>
      </c>
      <c r="B46" t="inlineStr"/>
      <c r="C46" s="3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gsa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gsa.seller</t>
        </is>
      </c>
      <c r="B5" t="inlineStr"/>
      <c r="C5" s="3" t="inlineStr">
        <is>
          <t>Societe Nationale des Hydrocarbures du Kessara (SNHK), as aggregator from the Sombe West offshore field</t>
        </is>
      </c>
    </row>
    <row r="6">
      <c r="A6" t="inlineStr">
        <is>
          <t>gsa.term_years</t>
        </is>
      </c>
      <c r="B6" t="inlineStr">
        <is>
          <t>years</t>
        </is>
      </c>
      <c r="C6" s="3" t="n">
        <v>22</v>
      </c>
    </row>
    <row r="7">
      <c r="A7" t="inlineStr">
        <is>
          <t>gsa.dcq_mmbtu_per_day</t>
        </is>
      </c>
      <c r="B7" t="inlineStr">
        <is>
          <t>MMBtu</t>
        </is>
      </c>
      <c r="C7" s="3" t="n">
        <v>72400</v>
      </c>
    </row>
    <row r="8">
      <c r="A8" t="inlineStr">
        <is>
          <t>gsa.mdq_mmbtu_per_day</t>
        </is>
      </c>
      <c r="B8" t="inlineStr">
        <is>
          <t>MMBtu</t>
        </is>
      </c>
      <c r="C8" s="3" t="n">
        <v>96500</v>
      </c>
    </row>
    <row r="9">
      <c r="A9" t="inlineStr">
        <is>
          <t>gsa.acq_rule</t>
        </is>
      </c>
      <c r="B9" t="inlineStr"/>
      <c r="C9" s="3" t="inlineStr">
        <is>
          <t>DCQ x days in contract year</t>
        </is>
      </c>
    </row>
    <row r="10">
      <c r="A10" t="inlineStr">
        <is>
          <t>gsa.take_or_pay_pct_of_acq</t>
        </is>
      </c>
      <c r="B10" t="inlineStr">
        <is>
          <t>%</t>
        </is>
      </c>
      <c r="C10" s="3" t="n">
        <v>80</v>
      </c>
    </row>
    <row r="11">
      <c r="A11" t="inlineStr">
        <is>
          <t>gsa.make_up_recovery_years</t>
        </is>
      </c>
      <c r="B11" t="inlineStr">
        <is>
          <t>years</t>
        </is>
      </c>
      <c r="C11" s="3" t="n">
        <v>3</v>
      </c>
    </row>
    <row r="12">
      <c r="A12" t="inlineStr">
        <is>
          <t>gsa.deliver_or_pay</t>
        </is>
      </c>
      <c r="B12" t="inlineStr"/>
      <c r="C12" s="3" t="inlineStr">
        <is>
          <t>Seller shortfall below 95% of nominations: price discount 25% on shortfall quantities plus SEKA deemed availability under PPA</t>
        </is>
      </c>
    </row>
    <row r="13">
      <c r="A13" t="inlineStr">
        <is>
          <t>gsa.price_usd_per_mmbtu_2018</t>
        </is>
      </c>
      <c r="B13" t="inlineStr">
        <is>
          <t>USD/MMBtu</t>
        </is>
      </c>
      <c r="C13" s="3" t="n">
        <v>5.86</v>
      </c>
    </row>
    <row r="14">
      <c r="A14" t="inlineStr">
        <is>
          <t>gsa.price_escalation_pct_pa</t>
        </is>
      </c>
      <c r="B14" t="inlineStr">
        <is>
          <t>%</t>
        </is>
      </c>
      <c r="C14" s="3" t="n">
        <v>2</v>
      </c>
    </row>
    <row r="15">
      <c r="A15" t="inlineStr">
        <is>
          <t>gsa.price_escalation_date</t>
        </is>
      </c>
      <c r="B15" t="inlineStr">
        <is>
          <t>date</t>
        </is>
      </c>
      <c r="C15" s="3" t="inlineStr">
        <is>
          <t>1 January</t>
        </is>
      </c>
    </row>
    <row r="16">
      <c r="A16" t="inlineStr">
        <is>
          <t>gsa.measurement_basis</t>
        </is>
      </c>
      <c r="B16" t="inlineStr"/>
      <c r="C16" s="3" t="inlineStr">
        <is>
          <t>GCV (HHV)</t>
        </is>
      </c>
    </row>
    <row r="17">
      <c r="A17" t="inlineStr">
        <is>
          <t>gsa.payment_terms</t>
        </is>
      </c>
      <c r="B17" t="inlineStr"/>
      <c r="C17" s="3" t="inlineStr">
        <is>
          <t>30 days after month end, in KCR at Central Bank mid rate</t>
        </is>
      </c>
    </row>
    <row r="18">
      <c r="A18" t="inlineStr">
        <is>
          <t>gsa.first_gas_for_commissioning</t>
        </is>
      </c>
      <c r="B18" t="inlineStr"/>
      <c r="C18" s="3" t="inlineStr">
        <is>
          <t>2021-03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gta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gta.transporter</t>
        </is>
      </c>
      <c r="B5" t="inlineStr"/>
      <c r="C5" s="3" t="inlineStr">
        <is>
          <t>Gazoduc Cotier du Kessara SA (GCK)</t>
        </is>
      </c>
    </row>
    <row r="6">
      <c r="A6" t="inlineStr">
        <is>
          <t>gta.pipeline_km.offshore</t>
        </is>
      </c>
      <c r="B6" t="inlineStr"/>
      <c r="C6" s="3" t="n">
        <v>68</v>
      </c>
    </row>
    <row r="7">
      <c r="A7" t="inlineStr">
        <is>
          <t>gta.pipeline_km.onshore</t>
        </is>
      </c>
      <c r="B7" t="inlineStr"/>
      <c r="C7" s="3" t="n">
        <v>44</v>
      </c>
    </row>
    <row r="8">
      <c r="A8" t="inlineStr">
        <is>
          <t>gta.reserved_capacity_mmbtu_per_day</t>
        </is>
      </c>
      <c r="B8" t="inlineStr">
        <is>
          <t>MMBtu</t>
        </is>
      </c>
      <c r="C8" s="3" t="n">
        <v>96500</v>
      </c>
    </row>
    <row r="9">
      <c r="A9" t="inlineStr">
        <is>
          <t>gta.reservation_charge_usd_per_mmbtu_reserved_2018</t>
        </is>
      </c>
      <c r="B9" t="inlineStr">
        <is>
          <t>USD/MMBtu</t>
        </is>
      </c>
      <c r="C9" s="3" t="n">
        <v>0.62</v>
      </c>
    </row>
    <row r="10">
      <c r="A10" t="inlineStr">
        <is>
          <t>gta.commodity_charge_usd_per_mmbtu_2018</t>
        </is>
      </c>
      <c r="B10" t="inlineStr">
        <is>
          <t>USD/MMBtu</t>
        </is>
      </c>
      <c r="C10" s="3" t="n">
        <v>0.19</v>
      </c>
    </row>
    <row r="11">
      <c r="A11" t="inlineStr">
        <is>
          <t>gta.escalation_pct_pa</t>
        </is>
      </c>
      <c r="B11" t="inlineStr">
        <is>
          <t>%</t>
        </is>
      </c>
      <c r="C11" s="3" t="n">
        <v>1.5</v>
      </c>
    </row>
    <row r="12">
      <c r="A12" t="inlineStr">
        <is>
          <t>gta.ship_or_pay_pct</t>
        </is>
      </c>
      <c r="B12" t="inlineStr">
        <is>
          <t>%</t>
        </is>
      </c>
      <c r="C12" s="3" t="n">
        <v>100</v>
      </c>
    </row>
    <row r="13">
      <c r="A13" t="inlineStr">
        <is>
          <t>gta.note</t>
        </is>
      </c>
      <c r="B13" t="inlineStr"/>
      <c r="C13" s="3" t="inlineStr">
        <is>
          <t>All GTA charges pass through to SEKA under the PPA fuel transportation pass-through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opex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opex.om_fixed_fee_usd_m_pa_2018</t>
        </is>
      </c>
      <c r="B5" t="inlineStr">
        <is>
          <t>USD m</t>
        </is>
      </c>
      <c r="C5" s="3" t="n">
        <v>7.92</v>
      </c>
    </row>
    <row r="6">
      <c r="A6" t="inlineStr">
        <is>
          <t>opex.om_fee_split.usd_us_cpi_pct</t>
        </is>
      </c>
      <c r="B6" t="inlineStr">
        <is>
          <t>%</t>
        </is>
      </c>
      <c r="C6" s="3" t="n">
        <v>65</v>
      </c>
    </row>
    <row r="7">
      <c r="A7" t="inlineStr">
        <is>
          <t>opex.om_fee_split.kcr_kessara_cpi_pct</t>
        </is>
      </c>
      <c r="B7" t="inlineStr">
        <is>
          <t>%</t>
        </is>
      </c>
      <c r="C7" s="3" t="n">
        <v>35</v>
      </c>
    </row>
    <row r="8">
      <c r="A8" t="inlineStr">
        <is>
          <t>opex.om_fee_split.kcr_conversion_rate_2018</t>
        </is>
      </c>
      <c r="B8" t="inlineStr"/>
      <c r="C8" s="3" t="n">
        <v>516.8</v>
      </c>
    </row>
    <row r="9">
      <c r="A9" t="inlineStr">
        <is>
          <t>opex.om_availability_incentive</t>
        </is>
      </c>
      <c r="B9" t="inlineStr"/>
      <c r="C9" s="3" t="inlineStr">
        <is>
          <t>+/- USD 0.60m p.a. (2018 USD) linear between 89% and 95% availability, zero at 92%</t>
        </is>
      </c>
    </row>
    <row r="10">
      <c r="A10" t="inlineStr">
        <is>
          <t>opex.ltsa_fixed_fee_usd_m_pa_2018</t>
        </is>
      </c>
      <c r="B10" t="inlineStr">
        <is>
          <t>USD m</t>
        </is>
      </c>
      <c r="C10" s="3" t="n">
        <v>2.64</v>
      </c>
    </row>
    <row r="11">
      <c r="A11" t="inlineStr">
        <is>
          <t>opex.ltsa_variable_fee_usd_per_eoh_per_gt_2018</t>
        </is>
      </c>
      <c r="B11" t="inlineStr"/>
      <c r="C11" s="3" t="n">
        <v>486</v>
      </c>
    </row>
    <row r="12">
      <c r="A12" t="inlineStr">
        <is>
          <t>opex.ltsa_indexation</t>
        </is>
      </c>
      <c r="B12" t="inlineStr"/>
      <c r="C12" s="3" t="inlineStr">
        <is>
          <t>US CPI 100%</t>
        </is>
      </c>
    </row>
    <row r="13">
      <c r="A13" t="inlineStr">
        <is>
          <t>opex.operational_insurance_usd_m_pa_2018</t>
        </is>
      </c>
      <c r="B13" t="inlineStr">
        <is>
          <t>USD m</t>
        </is>
      </c>
      <c r="C13" s="3" t="n">
        <v>4.37</v>
      </c>
    </row>
    <row r="14">
      <c r="A14" t="inlineStr">
        <is>
          <t>opex.insurance_indexation</t>
        </is>
      </c>
      <c r="B14" t="inlineStr"/>
      <c r="C14" s="3" t="inlineStr">
        <is>
          <t>US CPI; plus market step-up of 18.0% from 2022H2 (hard market)</t>
        </is>
      </c>
    </row>
    <row r="15">
      <c r="A15" t="inlineStr">
        <is>
          <t>opex.project_company_g_and_a_usd_m_pa_2018</t>
        </is>
      </c>
      <c r="B15" t="inlineStr">
        <is>
          <t>USD m</t>
        </is>
      </c>
      <c r="C15" s="3" t="n">
        <v>3.18</v>
      </c>
    </row>
    <row r="16">
      <c r="A16" t="inlineStr">
        <is>
          <t>opex.g_and_a_split.usd_us_cpi_pct</t>
        </is>
      </c>
      <c r="B16" t="inlineStr">
        <is>
          <t>%</t>
        </is>
      </c>
      <c r="C16" s="3" t="n">
        <v>50</v>
      </c>
    </row>
    <row r="17">
      <c r="A17" t="inlineStr">
        <is>
          <t>opex.g_and_a_split.kcr_kessara_cpi_pct</t>
        </is>
      </c>
      <c r="B17" t="inlineStr">
        <is>
          <t>%</t>
        </is>
      </c>
      <c r="C17" s="3" t="n">
        <v>50</v>
      </c>
    </row>
    <row r="18">
      <c r="A18" t="inlineStr">
        <is>
          <t>opex.land_lease_and_permits_kcr_m_pa_2018</t>
        </is>
      </c>
      <c r="B18" t="inlineStr">
        <is>
          <t>KCR m</t>
        </is>
      </c>
      <c r="C18" s="3" t="n">
        <v>368</v>
      </c>
    </row>
    <row r="19">
      <c r="A19" t="inlineStr">
        <is>
          <t>opex.land_lease_indexation</t>
        </is>
      </c>
      <c r="B19" t="inlineStr"/>
      <c r="C19" s="3" t="inlineStr">
        <is>
          <t>Kessara CPI</t>
        </is>
      </c>
    </row>
    <row r="20">
      <c r="A20" t="inlineStr">
        <is>
          <t>opex.community_development_fund_pct_of_non_fuel_revenue</t>
        </is>
      </c>
      <c r="B20" t="inlineStr">
        <is>
          <t>%</t>
        </is>
      </c>
      <c r="C20" s="3" t="n">
        <v>0.3</v>
      </c>
    </row>
    <row r="21">
      <c r="A21" t="inlineStr">
        <is>
          <t>opex.regulatory_levy_pct_of_non_fuel_revenue</t>
        </is>
      </c>
      <c r="B21" t="inlineStr">
        <is>
          <t>%</t>
        </is>
      </c>
      <c r="C21" s="3" t="n">
        <v>0.25</v>
      </c>
    </row>
    <row r="22">
      <c r="A22" t="inlineStr">
        <is>
          <t>opex.variable_consumables_usd_per_mwh_2018</t>
        </is>
      </c>
      <c r="B22" t="inlineStr">
        <is>
          <t>USD/MWh</t>
        </is>
      </c>
      <c r="C22" s="3" t="n">
        <v>1.08</v>
      </c>
    </row>
    <row r="23">
      <c r="A23" t="inlineStr">
        <is>
          <t>opex.variable_consumables_split.us_cpi_pct</t>
        </is>
      </c>
      <c r="B23" t="inlineStr">
        <is>
          <t>%</t>
        </is>
      </c>
      <c r="C23" s="3" t="n">
        <v>70</v>
      </c>
    </row>
    <row r="24">
      <c r="A24" t="inlineStr">
        <is>
          <t>opex.variable_consumables_split.kessara_cpi_local_pct</t>
        </is>
      </c>
      <c r="B24" t="inlineStr">
        <is>
          <t>%</t>
        </is>
      </c>
      <c r="C24" s="3" t="n">
        <v>30</v>
      </c>
    </row>
    <row r="25">
      <c r="A25" t="inlineStr">
        <is>
          <t>opex.major_maintenance_outside_ltsa_usd_m_2018.steam_turbine_and_bop_major_overhaul_oy8_oy16_oy24</t>
        </is>
      </c>
      <c r="B25" t="inlineStr"/>
      <c r="C25" s="3" t="n">
        <v>9.470000000000001</v>
      </c>
    </row>
    <row r="26">
      <c r="A26" t="inlineStr">
        <is>
          <t>opex.major_maintenance_outside_ltsa_usd_m_2018.hrsg_and_bop_minor_every_4_years_oy4_oy12_oy20</t>
        </is>
      </c>
      <c r="B26" t="inlineStr">
        <is>
          <t>years</t>
        </is>
      </c>
      <c r="C26" s="3" t="n">
        <v>2.18</v>
      </c>
    </row>
    <row r="27">
      <c r="A27" t="inlineStr">
        <is>
          <t>opex.agency_and_admin_fees_usd_pa.intercreditor_agent</t>
        </is>
      </c>
      <c r="B27" t="inlineStr"/>
      <c r="C27" s="3" t="n">
        <v>95000</v>
      </c>
    </row>
    <row r="28">
      <c r="A28" t="inlineStr">
        <is>
          <t>opex.agency_and_admin_fees_usd_pa.security_agents_onshore_and_offshore</t>
        </is>
      </c>
      <c r="B28" t="inlineStr"/>
      <c r="C28" s="3" t="n">
        <v>75000</v>
      </c>
    </row>
    <row r="29">
      <c r="A29" t="inlineStr">
        <is>
          <t>opex.agency_and_admin_fees_usd_pa.account_banks</t>
        </is>
      </c>
      <c r="B29" t="inlineStr"/>
      <c r="C29" s="3" t="n">
        <v>40000</v>
      </c>
    </row>
    <row r="30">
      <c r="A30" t="inlineStr">
        <is>
          <t>opex.agency_and_admin_fees_usd_pa.eca_agent</t>
        </is>
      </c>
      <c r="B30" t="inlineStr"/>
      <c r="C30" s="3" t="n">
        <v>45000</v>
      </c>
    </row>
    <row r="31">
      <c r="A31" t="inlineStr">
        <is>
          <t>opex.decommissioning_handback_reserve</t>
        </is>
      </c>
      <c r="B31" t="inlineStr"/>
      <c r="C31" s="3" t="inlineStr">
        <is>
          <t>Handback reserve funded from OY20: USD 1.85m p.a. (2018 USD, US CPI) to PPA expiry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working_capital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working_capital.receivable_days_normal</t>
        </is>
      </c>
      <c r="B5" t="inlineStr">
        <is>
          <t>days</t>
        </is>
      </c>
      <c r="C5" s="3" t="n">
        <v>45</v>
      </c>
    </row>
    <row r="6">
      <c r="A6" t="inlineStr">
        <is>
          <t>working_capital.gas_payable_days</t>
        </is>
      </c>
      <c r="B6" t="inlineStr">
        <is>
          <t>days</t>
        </is>
      </c>
      <c r="C6" s="3" t="n">
        <v>45</v>
      </c>
    </row>
    <row r="7">
      <c r="A7" t="inlineStr">
        <is>
          <t>working_capital.gta_payable_days</t>
        </is>
      </c>
      <c r="B7" t="inlineStr">
        <is>
          <t>days</t>
        </is>
      </c>
      <c r="C7" s="3" t="n">
        <v>30</v>
      </c>
    </row>
    <row r="8">
      <c r="A8" t="inlineStr">
        <is>
          <t>working_capital.om_ltsa_payable_days</t>
        </is>
      </c>
      <c r="B8" t="inlineStr">
        <is>
          <t>days</t>
        </is>
      </c>
      <c r="C8" s="3" t="n">
        <v>30</v>
      </c>
    </row>
    <row r="9">
      <c r="A9" t="inlineStr">
        <is>
          <t>working_capital.other_payable_days</t>
        </is>
      </c>
      <c r="B9" t="inlineStr">
        <is>
          <t>days</t>
        </is>
      </c>
      <c r="C9" s="3" t="n">
        <v>30</v>
      </c>
    </row>
    <row r="10">
      <c r="A10" t="inlineStr">
        <is>
          <t>working_capital.spares_inventory_usd_m_2018</t>
        </is>
      </c>
      <c r="B10" t="inlineStr">
        <is>
          <t>USD m</t>
        </is>
      </c>
      <c r="C10" s="3" t="n">
        <v>5.35</v>
      </c>
    </row>
    <row r="11">
      <c r="A11" t="inlineStr">
        <is>
          <t>working_capital.note</t>
        </is>
      </c>
      <c r="B11" t="inlineStr"/>
      <c r="C11" s="3" t="inlineStr">
        <is>
          <t>Receivable days in the crisis case are replaced by the arrears path in events.offtaker_crisis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tax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tax.corporate_income_tax_rate_pct</t>
        </is>
      </c>
      <c r="B5" t="inlineStr">
        <is>
          <t>%</t>
        </is>
      </c>
      <c r="C5" s="3" t="n">
        <v>30</v>
      </c>
    </row>
    <row r="6">
      <c r="A6" t="inlineStr">
        <is>
          <t>tax.tax_holiday.full_exemption_years_from_cod</t>
        </is>
      </c>
      <c r="B6" t="inlineStr">
        <is>
          <t>years</t>
        </is>
      </c>
      <c r="C6" s="3" t="n">
        <v>5</v>
      </c>
    </row>
    <row r="7">
      <c r="A7" t="inlineStr">
        <is>
          <t>tax.tax_holiday.reduced_rate_years_6_to_8_pct</t>
        </is>
      </c>
      <c r="B7" t="inlineStr">
        <is>
          <t>%</t>
        </is>
      </c>
      <c r="C7" s="3" t="n">
        <v>15</v>
      </c>
    </row>
    <row r="8">
      <c r="A8" t="inlineStr">
        <is>
          <t>tax.tax_holiday.full_rate_from_year</t>
        </is>
      </c>
      <c r="B8" t="inlineStr"/>
      <c r="C8" s="3" t="n">
        <v>9</v>
      </c>
    </row>
    <row r="9">
      <c r="A9" t="inlineStr">
        <is>
          <t>tax.minimum_turnover_tax_pct_of_non_fuel_revenue</t>
        </is>
      </c>
      <c r="B9" t="inlineStr">
        <is>
          <t>%</t>
        </is>
      </c>
      <c r="C9" s="3" t="n">
        <v>0.5</v>
      </c>
    </row>
    <row r="10">
      <c r="A10" t="inlineStr">
        <is>
          <t>tax.minimum_turnover_tax_applies_from_operating_year</t>
        </is>
      </c>
      <c r="B10" t="inlineStr"/>
      <c r="C10" s="3" t="n">
        <v>6</v>
      </c>
    </row>
    <row r="11">
      <c r="A11" t="inlineStr">
        <is>
          <t>tax.depreciation.plant_share_of_capitalized_cost_pct</t>
        </is>
      </c>
      <c r="B11" t="inlineStr">
        <is>
          <t>%</t>
        </is>
      </c>
      <c r="C11" s="3" t="n">
        <v>92</v>
      </c>
    </row>
    <row r="12">
      <c r="A12" t="inlineStr">
        <is>
          <t>tax.depreciation.plant_life_years</t>
        </is>
      </c>
      <c r="B12" t="inlineStr">
        <is>
          <t>years</t>
        </is>
      </c>
      <c r="C12" s="3" t="n">
        <v>20</v>
      </c>
    </row>
    <row r="13">
      <c r="A13" t="inlineStr">
        <is>
          <t>tax.depreciation.plant_method</t>
        </is>
      </c>
      <c r="B13" t="inlineStr"/>
      <c r="C13" s="3" t="inlineStr">
        <is>
          <t>straight line from COD</t>
        </is>
      </c>
    </row>
    <row r="14">
      <c r="A14" t="inlineStr">
        <is>
          <t>tax.depreciation.buildings_civil_share_pct</t>
        </is>
      </c>
      <c r="B14" t="inlineStr">
        <is>
          <t>%</t>
        </is>
      </c>
      <c r="C14" s="3" t="n">
        <v>5</v>
      </c>
    </row>
    <row r="15">
      <c r="A15" t="inlineStr">
        <is>
          <t>tax.depreciation.buildings_life_years</t>
        </is>
      </c>
      <c r="B15" t="inlineStr">
        <is>
          <t>years</t>
        </is>
      </c>
      <c r="C15" s="3" t="n">
        <v>25</v>
      </c>
    </row>
    <row r="16">
      <c r="A16" t="inlineStr">
        <is>
          <t>tax.depreciation.intangibles_development_and_financing_share_pct</t>
        </is>
      </c>
      <c r="B16" t="inlineStr">
        <is>
          <t>%</t>
        </is>
      </c>
      <c r="C16" s="3" t="n">
        <v>3</v>
      </c>
    </row>
    <row r="17">
      <c r="A17" t="inlineStr">
        <is>
          <t>tax.depreciation.intangibles_life_years</t>
        </is>
      </c>
      <c r="B17" t="inlineStr">
        <is>
          <t>years</t>
        </is>
      </c>
      <c r="C17" s="3" t="n">
        <v>5</v>
      </c>
    </row>
    <row r="18">
      <c r="A18" t="inlineStr">
        <is>
          <t>tax.depreciation.capitalized_items</t>
        </is>
      </c>
      <c r="B18" t="inlineStr"/>
      <c r="C18" s="3" t="inlineStr">
        <is>
          <t>all construction uses including IDC, fees, ECA premium, development fee; DSRA funding and working capital excluded</t>
        </is>
      </c>
    </row>
    <row r="19">
      <c r="A19" t="inlineStr">
        <is>
          <t>tax.depreciation.deferred_depreciation_during_holiday</t>
        </is>
      </c>
      <c r="B19" t="inlineStr"/>
      <c r="C19" s="3" t="inlineStr">
        <is>
          <t>Depreciation for holiday years is deemed deferred (amortissements reputes differes) and deductible later without time limit</t>
        </is>
      </c>
    </row>
    <row r="20">
      <c r="A20" t="inlineStr">
        <is>
          <t>tax.loss_carryforward_years</t>
        </is>
      </c>
      <c r="B20" t="inlineStr">
        <is>
          <t>years</t>
        </is>
      </c>
      <c r="C20" s="3" t="n">
        <v>5</v>
      </c>
    </row>
    <row r="21">
      <c r="A21" t="inlineStr">
        <is>
          <t>tax.shareholder_loan_interest_deductibility</t>
        </is>
      </c>
      <c r="B21" t="inlineStr"/>
      <c r="C21" s="3" t="inlineStr">
        <is>
          <t>Deductible; thin cap 3:1 related-party debt to equity; rate cap Kessara policy rate + 3% does not bind for USD loans (USD loans exempt)</t>
        </is>
      </c>
    </row>
    <row r="22">
      <c r="A22" t="inlineStr">
        <is>
          <t>tax.third_party_interest_limitation</t>
        </is>
      </c>
      <c r="B22" t="inlineStr"/>
      <c r="C22" s="3" t="inlineStr">
        <is>
          <t>30% of tax EBITDA from 1 January 2025 under Finance Act 2024; loans signed before 1 January 2023 grandfathered, including refinancing that does not increase principal</t>
        </is>
      </c>
    </row>
    <row r="23">
      <c r="A23" t="inlineStr">
        <is>
          <t>tax.withholding_tax_pct.dividends_domestic</t>
        </is>
      </c>
      <c r="B23" t="inlineStr"/>
      <c r="C23" s="3" t="n">
        <v>15</v>
      </c>
    </row>
    <row r="24">
      <c r="A24" t="inlineStr">
        <is>
          <t>tax.withholding_tax_pct.dividends_treaty_holdco</t>
        </is>
      </c>
      <c r="B24" t="inlineStr"/>
      <c r="C24" s="3" t="n">
        <v>7.5</v>
      </c>
    </row>
    <row r="25">
      <c r="A25" t="inlineStr">
        <is>
          <t>tax.withholding_tax_pct.interest_domestic</t>
        </is>
      </c>
      <c r="B25" t="inlineStr"/>
      <c r="C25" s="3" t="n">
        <v>10</v>
      </c>
    </row>
    <row r="26">
      <c r="A26" t="inlineStr">
        <is>
          <t>tax.withholding_tax_pct.interest_treaty_holdco_on_shareholder_loans</t>
        </is>
      </c>
      <c r="B26" t="inlineStr"/>
      <c r="C26" s="3" t="n">
        <v>5</v>
      </c>
    </row>
    <row r="27">
      <c r="A27" t="inlineStr">
        <is>
          <t>tax.withholding_tax_pct.interest_exempt_lenders</t>
        </is>
      </c>
      <c r="B27" t="inlineStr"/>
      <c r="C27" s="3" t="inlineStr">
        <is>
          <t>ABDB A-loan</t>
        </is>
      </c>
      <c r="D27" s="3" t="inlineStr">
        <is>
          <t>ABDB B-loan (lender of record)</t>
        </is>
      </c>
      <c r="E27" s="3" t="inlineStr">
        <is>
          <t>Exportgarant-covered tranche</t>
        </is>
      </c>
      <c r="F27" s="3" t="inlineStr">
        <is>
          <t>2025 project bond (listed Eurobond exemption)</t>
        </is>
      </c>
    </row>
    <row r="28">
      <c r="A28" t="inlineStr">
        <is>
          <t>tax.withholding_tax_pct.interest_gross_up_by_project_company</t>
        </is>
      </c>
      <c r="B28" t="inlineStr"/>
      <c r="C28" s="3" t="inlineStr">
        <is>
          <t>commercial bank tranche and standby facility (commercial portion)</t>
        </is>
      </c>
    </row>
    <row r="29">
      <c r="A29" t="inlineStr">
        <is>
          <t>tax.indirect_transfer_tax_from_2025_pct</t>
        </is>
      </c>
      <c r="B29" t="inlineStr">
        <is>
          <t>%</t>
        </is>
      </c>
      <c r="C29" s="3" t="n">
        <v>15</v>
      </c>
    </row>
    <row r="30">
      <c r="A30" t="inlineStr">
        <is>
          <t>tax.indirect_transfer_tax_note</t>
        </is>
      </c>
      <c r="B30" t="inlineStr"/>
      <c r="C30" s="3" t="inlineStr">
        <is>
          <t>Finance Act 2024: gains on offshore share transfers deriving &gt;50% of value from Kessaran assets, effective 1 January 2025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sponsors_and_equity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sponsors_and_equity.project_company</t>
        </is>
      </c>
      <c r="B5" t="inlineStr"/>
      <c r="C5" s="3" t="inlineStr">
        <is>
          <t>Belanou Power SA</t>
        </is>
      </c>
    </row>
    <row r="6">
      <c r="A6" t="inlineStr">
        <is>
          <t>sponsors_and_equity.shareholding_pct_at_fc.Kilnworth Power International (via Kilnworth Belanou Holdings, a treaty-jurisdiction holding company)</t>
        </is>
      </c>
      <c r="B6" t="inlineStr"/>
      <c r="C6" s="3" t="n">
        <v>60</v>
      </c>
    </row>
    <row r="7">
      <c r="A7" t="inlineStr">
        <is>
          <t>sponsors_and_equity.shareholding_pct_at_fc.Groupe Talme</t>
        </is>
      </c>
      <c r="B7" t="inlineStr"/>
      <c r="C7" s="3" t="n">
        <v>25</v>
      </c>
    </row>
    <row r="8">
      <c r="A8" t="inlineStr">
        <is>
          <t>sponsors_and_equity.shareholding_pct_at_fc.ABDB Infrastructure Equity Fund</t>
        </is>
      </c>
      <c r="B8" t="inlineStr"/>
      <c r="C8" s="3" t="n">
        <v>15</v>
      </c>
    </row>
    <row r="9">
      <c r="A9" t="inlineStr">
        <is>
          <t>sponsors_and_equity.shareholding_pct_pre_fc.Kilnworth</t>
        </is>
      </c>
      <c r="B9" t="inlineStr"/>
      <c r="C9" s="3" t="n">
        <v>70</v>
      </c>
    </row>
    <row r="10">
      <c r="A10" t="inlineStr">
        <is>
          <t>sponsors_and_equity.shareholding_pct_pre_fc.Groupe Talme</t>
        </is>
      </c>
      <c r="B10" t="inlineStr"/>
      <c r="C10" s="3" t="n">
        <v>30</v>
      </c>
    </row>
    <row r="11">
      <c r="A11" t="inlineStr">
        <is>
          <t>sponsors_and_equity.abdb_fund_entry_development_premium_usd_m</t>
        </is>
      </c>
      <c r="B11" t="inlineStr">
        <is>
          <t>USD m</t>
        </is>
      </c>
      <c r="C11" s="3" t="n">
        <v>4.85</v>
      </c>
    </row>
    <row r="12">
      <c r="A12" t="inlineStr">
        <is>
          <t>sponsors_and_equity.equity_share_of_total_funding_target_pct</t>
        </is>
      </c>
      <c r="B12" t="inlineStr">
        <is>
          <t>%</t>
        </is>
      </c>
      <c r="C12" s="3" t="n">
        <v>25</v>
      </c>
    </row>
    <row r="13">
      <c r="A13" t="inlineStr">
        <is>
          <t>sponsors_and_equity.equity_form.share_capital_pct</t>
        </is>
      </c>
      <c r="B13" t="inlineStr">
        <is>
          <t>%</t>
        </is>
      </c>
      <c r="C13" s="3" t="n">
        <v>20</v>
      </c>
    </row>
    <row r="14">
      <c r="A14" t="inlineStr">
        <is>
          <t>sponsors_and_equity.equity_form.shareholder_loans_pct</t>
        </is>
      </c>
      <c r="B14" t="inlineStr">
        <is>
          <t>%</t>
        </is>
      </c>
      <c r="C14" s="3" t="n">
        <v>80</v>
      </c>
    </row>
    <row r="15">
      <c r="A15" t="inlineStr">
        <is>
          <t>sponsors_and_equity.shareholder_loan_rate_pct</t>
        </is>
      </c>
      <c r="B15" t="inlineStr">
        <is>
          <t>%</t>
        </is>
      </c>
      <c r="C15" s="3" t="n">
        <v>9.5</v>
      </c>
    </row>
    <row r="16">
      <c r="A16" t="inlineStr">
        <is>
          <t>sponsors_and_equity.shareholder_loan_terms</t>
        </is>
      </c>
      <c r="B16" t="inlineStr"/>
      <c r="C16" s="3" t="inlineStr">
        <is>
          <t>USD; interest capitalized until COD, then paid subordinated to senior debt service and reserves; repaid from distributable cash after interest</t>
        </is>
      </c>
    </row>
    <row r="17">
      <c r="A17" t="inlineStr">
        <is>
          <t>sponsors_and_equity.equity_funding_mode</t>
        </is>
      </c>
      <c r="B17" t="inlineStr"/>
      <c r="C17" s="3" t="inlineStr">
        <is>
          <t>pro rata 25:75 with senior debt, each sponsor's undrawn commitment backed by LCs from banks rated A- or better (Groupe Talme LC issued by Union Bancaire du Kessara, confirmed by Kaito Pacific Bank)</t>
        </is>
      </c>
    </row>
    <row r="18">
      <c r="A18" t="inlineStr">
        <is>
          <t>sponsors_and_equity.contingent_equity_usd_m</t>
        </is>
      </c>
      <c r="B18" t="inlineStr">
        <is>
          <t>USD m</t>
        </is>
      </c>
      <c r="C18" s="3" t="n">
        <v>15.4</v>
      </c>
    </row>
    <row r="19">
      <c r="A19" t="inlineStr">
        <is>
          <t>sponsors_and_equity.development_budget_approved_2015_usd_m</t>
        </is>
      </c>
      <c r="B19" t="inlineStr">
        <is>
          <t>USD m</t>
        </is>
      </c>
      <c r="C19" s="3" t="n">
        <v>14.8</v>
      </c>
    </row>
    <row r="20">
      <c r="A20" t="inlineStr">
        <is>
          <t>sponsors_and_equity.development_costs_actual_to_fc_usd_m</t>
        </is>
      </c>
      <c r="B20" t="inlineStr">
        <is>
          <t>USD m</t>
        </is>
      </c>
      <c r="C20" s="3" t="n">
        <v>21.43</v>
      </c>
    </row>
    <row r="21">
      <c r="A21" t="inlineStr">
        <is>
          <t>sponsors_and_equity.sponsor_target_equity_irr_usd_nominal_post_tax_pct</t>
        </is>
      </c>
      <c r="B21" t="inlineStr">
        <is>
          <t>%</t>
        </is>
      </c>
      <c r="C21" s="3" t="n">
        <v>16</v>
      </c>
    </row>
    <row r="22">
      <c r="A22" t="inlineStr">
        <is>
          <t>sponsors_and_equity.distribution_test_dates</t>
        </is>
      </c>
      <c r="B22" t="inlineStr">
        <is>
          <t>date</t>
        </is>
      </c>
      <c r="C22" s="3" t="inlineStr">
        <is>
          <t>30 June</t>
        </is>
      </c>
      <c r="D22" s="3" t="inlineStr">
        <is>
          <t>31 December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debt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debt.sizing.base_case_min_dscr_x</t>
        </is>
      </c>
      <c r="B5" t="inlineStr">
        <is>
          <t>x</t>
        </is>
      </c>
      <c r="C5" s="3" t="n">
        <v>1.35</v>
      </c>
    </row>
    <row r="6">
      <c r="A6" t="inlineStr">
        <is>
          <t>debt.sizing.downside_min_dscr_x</t>
        </is>
      </c>
      <c r="B6" t="inlineStr">
        <is>
          <t>x</t>
        </is>
      </c>
      <c r="C6" s="3" t="n">
        <v>1.2</v>
      </c>
    </row>
    <row r="7">
      <c r="A7" t="inlineStr">
        <is>
          <t>debt.sizing.downside_definition</t>
        </is>
      </c>
      <c r="B7" t="inlineStr"/>
      <c r="C7" s="3" t="inlineStr">
        <is>
          <t>banking dispatch replaced by availability 6.5 points below profile every year, heat rate +1.5%, fixed opex +10%</t>
        </is>
      </c>
    </row>
    <row r="8">
      <c r="A8" t="inlineStr">
        <is>
          <t>debt.sizing.gearing_cap_pct</t>
        </is>
      </c>
      <c r="B8" t="inlineStr">
        <is>
          <t>%</t>
        </is>
      </c>
      <c r="C8" s="3" t="n">
        <v>75</v>
      </c>
    </row>
    <row r="9">
      <c r="A9" t="inlineStr">
        <is>
          <t>debt.sizing.llcr_min_at_fc_x</t>
        </is>
      </c>
      <c r="B9" t="inlineStr">
        <is>
          <t>x</t>
        </is>
      </c>
      <c r="C9" s="3" t="n">
        <v>1.4</v>
      </c>
    </row>
    <row r="10">
      <c r="A10" t="inlineStr">
        <is>
          <t>debt.sizing.sculpting</t>
        </is>
      </c>
      <c r="B10" t="inlineStr"/>
      <c r="C10" s="3" t="inlineStr">
        <is>
          <t>Aggregate senior debt service sculpted to base-case CFADS / 1.35 each period from first repayment to final maturity; quantum = min(DSCR-sculpted PV, gearing cap). All tranches amortize pro rata on the common sculpted profile.</t>
        </is>
      </c>
    </row>
    <row r="11">
      <c r="A11" t="inlineStr">
        <is>
          <t>debt.sizing.eca_constraints</t>
        </is>
      </c>
      <c r="B11" t="inlineStr"/>
      <c r="C11" s="3" t="inlineStr">
        <is>
          <t>OECD Arrangement project finance terms: repayment term from starting point (COD) &lt;= 14 years; weighted average life of repayment &lt;= 7.25 years; first repayment no later than 6 months after starting point (base case); no single installment &gt; 25% of principal. Modeler must test and report.</t>
        </is>
      </c>
    </row>
    <row r="12">
      <c r="A12" t="inlineStr">
        <is>
          <t>debt.sizing.expected_range_usd_m</t>
        </is>
      </c>
      <c r="B12" t="inlineStr">
        <is>
          <t>USD m</t>
        </is>
      </c>
      <c r="C12" s="3" t="n">
        <v>600</v>
      </c>
      <c r="D12" s="3" t="n">
        <v>660</v>
      </c>
    </row>
    <row r="13">
      <c r="A13" t="inlineStr">
        <is>
          <t>debt.sizing.expected_binding_constraint</t>
        </is>
      </c>
      <c r="B13" t="inlineStr"/>
      <c r="C13" s="3" t="inlineStr">
        <is>
          <t>gearing cap or close to it (both within 3%)</t>
        </is>
      </c>
    </row>
    <row r="14">
      <c r="A14" t="inlineStr">
        <is>
          <t>debt.tranche_shares_of_senior_debt_pct.eca_covered</t>
        </is>
      </c>
      <c r="B14" t="inlineStr"/>
      <c r="C14" s="3" t="n">
        <v>30</v>
      </c>
    </row>
    <row r="15">
      <c r="A15" t="inlineStr">
        <is>
          <t>debt.tranche_shares_of_senior_debt_pct.abdb_a_loan</t>
        </is>
      </c>
      <c r="B15" t="inlineStr"/>
      <c r="C15" s="3" t="n">
        <v>22</v>
      </c>
    </row>
    <row r="16">
      <c r="A16" t="inlineStr">
        <is>
          <t>debt.tranche_shares_of_senior_debt_pct.abdb_b_loan</t>
        </is>
      </c>
      <c r="B16" t="inlineStr"/>
      <c r="C16" s="3" t="n">
        <v>10</v>
      </c>
    </row>
    <row r="17">
      <c r="A17" t="inlineStr">
        <is>
          <t>debt.tranche_shares_of_senior_debt_pct.commercial_uncovered</t>
        </is>
      </c>
      <c r="B17" t="inlineStr"/>
      <c r="C17" s="3" t="n">
        <v>38</v>
      </c>
    </row>
    <row r="18">
      <c r="A18" t="inlineStr">
        <is>
          <t>debt.tranches.eca_covered.lenders</t>
        </is>
      </c>
      <c r="B18" t="inlineStr"/>
      <c r="C18" s="3" t="inlineStr">
        <is>
          <t>Castellan Bank (ECA agent), Kaito Pacific Bank, Banque Raveau</t>
        </is>
      </c>
    </row>
    <row r="19">
      <c r="A19" t="inlineStr">
        <is>
          <t>debt.tranches.eca_covered.cover</t>
        </is>
      </c>
      <c r="B19" t="inlineStr"/>
      <c r="C19" s="3" t="inlineStr">
        <is>
          <t>Exportgarant comprehensive 95%</t>
        </is>
      </c>
    </row>
    <row r="20">
      <c r="A20" t="inlineStr">
        <is>
          <t>debt.tranches.eca_covered.max_usd_m</t>
        </is>
      </c>
      <c r="B20" t="inlineStr">
        <is>
          <t>USD m</t>
        </is>
      </c>
      <c r="C20" s="3" t="n">
        <v>224.1</v>
      </c>
    </row>
    <row r="21">
      <c r="A21" t="inlineStr">
        <is>
          <t>debt.tranches.eca_covered.margin_pct</t>
        </is>
      </c>
      <c r="B21" t="inlineStr">
        <is>
          <t>%</t>
        </is>
      </c>
      <c r="C21" s="3" t="n">
        <v>1.35</v>
      </c>
    </row>
    <row r="22">
      <c r="A22" t="inlineStr">
        <is>
          <t>debt.tranches.eca_covered.eca_premium_pct_of_principal</t>
        </is>
      </c>
      <c r="B22" t="inlineStr">
        <is>
          <t>%</t>
        </is>
      </c>
      <c r="C22" s="3" t="n">
        <v>10.85</v>
      </c>
    </row>
    <row r="23">
      <c r="A23" t="inlineStr">
        <is>
          <t>debt.tranches.eca_covered.premium_payment</t>
        </is>
      </c>
      <c r="B23" t="inlineStr"/>
      <c r="C23" s="3" t="inlineStr">
        <is>
          <t>upfront pro rata to each drawdown, financed</t>
        </is>
      </c>
    </row>
    <row r="24">
      <c r="A24" t="inlineStr">
        <is>
          <t>debt.tranches.eca_covered.arrangement_fee_pct</t>
        </is>
      </c>
      <c r="B24" t="inlineStr">
        <is>
          <t>%</t>
        </is>
      </c>
      <c r="C24" s="3" t="n">
        <v>1.1</v>
      </c>
    </row>
    <row r="25">
      <c r="A25" t="inlineStr">
        <is>
          <t>debt.tranches.eca_covered.commitment_fee_pct_pa</t>
        </is>
      </c>
      <c r="B25" t="inlineStr">
        <is>
          <t>%</t>
        </is>
      </c>
      <c r="C25" s="3" t="n">
        <v>0.45</v>
      </c>
    </row>
    <row r="26">
      <c r="A26" t="inlineStr">
        <is>
          <t>debt.tranches.abdb_a_loan.lender</t>
        </is>
      </c>
      <c r="B26" t="inlineStr"/>
      <c r="C26" s="3" t="inlineStr">
        <is>
          <t>Atlantic Basin Development Bank</t>
        </is>
      </c>
    </row>
    <row r="27">
      <c r="A27" t="inlineStr">
        <is>
          <t>debt.tranches.abdb_a_loan.margin_pct</t>
        </is>
      </c>
      <c r="B27" t="inlineStr">
        <is>
          <t>%</t>
        </is>
      </c>
      <c r="C27" s="3" t="n">
        <v>3.65</v>
      </c>
    </row>
    <row r="28">
      <c r="A28" t="inlineStr">
        <is>
          <t>debt.tranches.abdb_a_loan.front_end_fee_pct</t>
        </is>
      </c>
      <c r="B28" t="inlineStr">
        <is>
          <t>%</t>
        </is>
      </c>
      <c r="C28" s="3" t="n">
        <v>1.25</v>
      </c>
    </row>
    <row r="29">
      <c r="A29" t="inlineStr">
        <is>
          <t>debt.tranches.abdb_a_loan.commitment_fee_pct_pa</t>
        </is>
      </c>
      <c r="B29" t="inlineStr">
        <is>
          <t>%</t>
        </is>
      </c>
      <c r="C29" s="3" t="n">
        <v>0.75</v>
      </c>
    </row>
    <row r="30">
      <c r="A30" t="inlineStr">
        <is>
          <t>debt.tranches.abdb_b_loan.lender_of_record</t>
        </is>
      </c>
      <c r="B30" t="inlineStr"/>
      <c r="C30" s="3" t="inlineStr">
        <is>
          <t>Atlantic Basin Development Bank</t>
        </is>
      </c>
    </row>
    <row r="31">
      <c r="A31" t="inlineStr">
        <is>
          <t>debt.tranches.abdb_b_loan.participants</t>
        </is>
      </c>
      <c r="B31" t="inlineStr"/>
      <c r="C31" s="3" t="inlineStr">
        <is>
          <t>Kaito Pacific Bank 55%</t>
        </is>
      </c>
      <c r="D31" s="3" t="inlineStr">
        <is>
          <t>Sterrenberg Bank NV 45%</t>
        </is>
      </c>
    </row>
    <row r="32">
      <c r="A32" t="inlineStr">
        <is>
          <t>debt.tranches.abdb_b_loan.margin_pct</t>
        </is>
      </c>
      <c r="B32" t="inlineStr">
        <is>
          <t>%</t>
        </is>
      </c>
      <c r="C32" s="3" t="n">
        <v>3.4</v>
      </c>
    </row>
    <row r="33">
      <c r="A33" t="inlineStr">
        <is>
          <t>debt.tranches.abdb_b_loan.upfront_fee_pct</t>
        </is>
      </c>
      <c r="B33" t="inlineStr">
        <is>
          <t>%</t>
        </is>
      </c>
      <c r="C33" s="3" t="n">
        <v>1.5</v>
      </c>
    </row>
    <row r="34">
      <c r="A34" t="inlineStr">
        <is>
          <t>debt.tranches.abdb_b_loan.commitment_fee_pct_pa</t>
        </is>
      </c>
      <c r="B34" t="inlineStr">
        <is>
          <t>%</t>
        </is>
      </c>
      <c r="C34" s="3" t="n">
        <v>0.85</v>
      </c>
    </row>
    <row r="35">
      <c r="A35" t="inlineStr">
        <is>
          <t>debt.tranches.commercial_uncovered.lenders</t>
        </is>
      </c>
      <c r="B35" t="inlineStr"/>
      <c r="C35" s="3" t="inlineStr">
        <is>
          <t>Castellan Bank (MLA, bookrunner, modeling bank, hedge coordinator) 34%, Banque Raveau (MLA, documentation) 26%, Kaito Pacific Bank (MLA, technical) 22%, Hovland Bank ASA (MLA, insurance) 18%</t>
        </is>
      </c>
    </row>
    <row r="36">
      <c r="A36" t="inlineStr">
        <is>
          <t>debt.tranches.commercial_uncovered.margin_pct_schedule.to_2025-12-31</t>
        </is>
      </c>
      <c r="B36" t="inlineStr"/>
      <c r="C36" s="3" t="n">
        <v>4.1</v>
      </c>
    </row>
    <row r="37">
      <c r="A37" t="inlineStr">
        <is>
          <t>debt.tranches.commercial_uncovered.margin_pct_schedule.2026-01-01_to_2029-12-31</t>
        </is>
      </c>
      <c r="B37" t="inlineStr"/>
      <c r="C37" s="3" t="n">
        <v>4.6</v>
      </c>
    </row>
    <row r="38">
      <c r="A38" t="inlineStr">
        <is>
          <t>debt.tranches.commercial_uncovered.margin_pct_schedule.from_2030-01-01</t>
        </is>
      </c>
      <c r="B38" t="inlineStr"/>
      <c r="C38" s="3" t="n">
        <v>5.1</v>
      </c>
    </row>
    <row r="39">
      <c r="A39" t="inlineStr">
        <is>
          <t>debt.tranches.commercial_uncovered.upfront_fee_pct</t>
        </is>
      </c>
      <c r="B39" t="inlineStr">
        <is>
          <t>%</t>
        </is>
      </c>
      <c r="C39" s="3" t="n">
        <v>2.15</v>
      </c>
    </row>
    <row r="40">
      <c r="A40" t="inlineStr">
        <is>
          <t>debt.tranches.commercial_uncovered.commitment_fee_pct_pa</t>
        </is>
      </c>
      <c r="B40" t="inlineStr">
        <is>
          <t>%</t>
        </is>
      </c>
      <c r="C40" s="3" t="inlineStr">
        <is>
          <t>40% of applicable margin</t>
        </is>
      </c>
    </row>
    <row r="41">
      <c r="A41" t="inlineStr">
        <is>
          <t>debt.tranches.commercial_uncovered.soft_mini_perm</t>
        </is>
      </c>
      <c r="B41" t="inlineStr"/>
      <c r="C41" s="3" t="inlineStr">
        <is>
          <t>from 2027-01-01, 50% of cash otherwise distributable is swept to prepay this tranche</t>
        </is>
      </c>
    </row>
    <row r="42">
      <c r="A42" t="inlineStr">
        <is>
          <t>debt.tranches.standby_facility.commitment_usd_m</t>
        </is>
      </c>
      <c r="B42" t="inlineStr">
        <is>
          <t>USD m</t>
        </is>
      </c>
      <c r="C42" s="3" t="n">
        <v>46</v>
      </c>
    </row>
    <row r="43">
      <c r="A43" t="inlineStr">
        <is>
          <t>debt.tranches.standby_facility.lenders</t>
        </is>
      </c>
      <c r="B43" t="inlineStr"/>
      <c r="C43" s="3" t="inlineStr">
        <is>
          <t>commercial banks 60%, ABDB 40%</t>
        </is>
      </c>
    </row>
    <row r="44">
      <c r="A44" t="inlineStr">
        <is>
          <t>debt.tranches.standby_facility.margin_pct</t>
        </is>
      </c>
      <c r="B44" t="inlineStr">
        <is>
          <t>%</t>
        </is>
      </c>
      <c r="C44" s="3" t="inlineStr">
        <is>
          <t>respective tranche margin + 0.25</t>
        </is>
      </c>
    </row>
    <row r="45">
      <c r="A45" t="inlineStr">
        <is>
          <t>debt.tranches.standby_facility.commitment_fee_pct_pa</t>
        </is>
      </c>
      <c r="B45" t="inlineStr">
        <is>
          <t>%</t>
        </is>
      </c>
      <c r="C45" s="3" t="n">
        <v>0.6</v>
      </c>
    </row>
    <row r="46">
      <c r="A46" t="inlineStr">
        <is>
          <t>debt.tranches.standby_facility.draw_rule</t>
        </is>
      </c>
      <c r="B46" t="inlineStr"/>
      <c r="C46" s="3" t="inlineStr">
        <is>
          <t>after contingency exhausted, drawn 75:25 with contingent equity</t>
        </is>
      </c>
    </row>
    <row r="47">
      <c r="A47" t="inlineStr">
        <is>
          <t>debt.tranches.standby_facility.repayment</t>
        </is>
      </c>
      <c r="B47" t="inlineStr"/>
      <c r="C47" s="3" t="inlineStr">
        <is>
          <t>pro rata with senior debt from first repayment date</t>
        </is>
      </c>
    </row>
    <row r="48">
      <c r="A48" t="inlineStr">
        <is>
          <t>debt.common_terms.final_maturity</t>
        </is>
      </c>
      <c r="B48" t="inlineStr"/>
      <c r="C48" s="3" t="inlineStr">
        <is>
          <t>2034-06-30</t>
        </is>
      </c>
    </row>
    <row r="49">
      <c r="A49" t="inlineStr">
        <is>
          <t>debt.common_terms.repayment_dates</t>
        </is>
      </c>
      <c r="B49" t="inlineStr">
        <is>
          <t>date</t>
        </is>
      </c>
      <c r="C49" s="3" t="inlineStr">
        <is>
          <t>30 June and 31 December</t>
        </is>
      </c>
    </row>
    <row r="50">
      <c r="A50" t="inlineStr">
        <is>
          <t>debt.common_terms.first_repayment_base</t>
        </is>
      </c>
      <c r="B50" t="inlineStr"/>
      <c r="C50" s="3" t="inlineStr">
        <is>
          <t>2021-12-31</t>
        </is>
      </c>
    </row>
    <row r="51">
      <c r="A51" t="inlineStr">
        <is>
          <t>debt.common_terms.first_repayment_actual</t>
        </is>
      </c>
      <c r="B51" t="inlineStr"/>
      <c r="C51" s="3" t="inlineStr">
        <is>
          <t>2022-06-30</t>
        </is>
      </c>
    </row>
    <row r="52">
      <c r="A52" t="inlineStr">
        <is>
          <t>debt.common_terms.installments_base</t>
        </is>
      </c>
      <c r="B52" t="inlineStr"/>
      <c r="C52" s="3" t="n">
        <v>26</v>
      </c>
    </row>
    <row r="53">
      <c r="A53" t="inlineStr">
        <is>
          <t>debt.common_terms.installments_actual</t>
        </is>
      </c>
      <c r="B53" t="inlineStr"/>
      <c r="C53" s="3" t="n">
        <v>25</v>
      </c>
    </row>
    <row r="54">
      <c r="A54" t="inlineStr">
        <is>
          <t>debt.common_terms.interest_period_months</t>
        </is>
      </c>
      <c r="B54" t="inlineStr">
        <is>
          <t>months</t>
        </is>
      </c>
      <c r="C54" s="3" t="n">
        <v>6</v>
      </c>
    </row>
    <row r="55">
      <c r="A55" t="inlineStr">
        <is>
          <t>debt.common_terms.default_interest_pct</t>
        </is>
      </c>
      <c r="B55" t="inlineStr">
        <is>
          <t>%</t>
        </is>
      </c>
      <c r="C55" s="3" t="n">
        <v>2</v>
      </c>
    </row>
    <row r="56">
      <c r="A56" t="inlineStr">
        <is>
          <t>debt.common_terms.cash_sweep_base</t>
        </is>
      </c>
      <c r="B56" t="inlineStr"/>
      <c r="C56" s="3" t="inlineStr">
        <is>
          <t>none except soft mini-perm sweep and lock-up cash after 2 consecutive lock-ups</t>
        </is>
      </c>
    </row>
    <row r="57">
      <c r="A57" t="inlineStr">
        <is>
          <t>debt.covenants.historic_dscr_test</t>
        </is>
      </c>
      <c r="B57" t="inlineStr"/>
      <c r="C57" s="3" t="inlineStr">
        <is>
          <t>12 months to each test date, cash basis</t>
        </is>
      </c>
    </row>
    <row r="58">
      <c r="A58" t="inlineStr">
        <is>
          <t>debt.covenants.lock_up_dscr_x</t>
        </is>
      </c>
      <c r="B58" t="inlineStr">
        <is>
          <t>x</t>
        </is>
      </c>
      <c r="C58" s="3" t="n">
        <v>1.2</v>
      </c>
    </row>
    <row r="59">
      <c r="A59" t="inlineStr">
        <is>
          <t>debt.covenants.event_of_default_dscr_x</t>
        </is>
      </c>
      <c r="B59" t="inlineStr">
        <is>
          <t>x</t>
        </is>
      </c>
      <c r="C59" s="3" t="n">
        <v>1.1</v>
      </c>
    </row>
    <row r="60">
      <c r="A60" t="inlineStr">
        <is>
          <t>debt.covenants.projected_dscr_lock_up_x</t>
        </is>
      </c>
      <c r="B60" t="inlineStr">
        <is>
          <t>x</t>
        </is>
      </c>
      <c r="C60" s="3" t="n">
        <v>1.2</v>
      </c>
    </row>
    <row r="61">
      <c r="A61" t="inlineStr">
        <is>
          <t>debt.covenants.llcr_lock_up_x</t>
        </is>
      </c>
      <c r="B61" t="inlineStr">
        <is>
          <t>x</t>
        </is>
      </c>
      <c r="C61" s="3" t="n">
        <v>1.25</v>
      </c>
    </row>
    <row r="62">
      <c r="A62" t="inlineStr">
        <is>
          <t>debt.covenants.distribution_conditions</t>
        </is>
      </c>
      <c r="B62" t="inlineStr"/>
      <c r="C62" s="3" t="inlineStr">
        <is>
          <t>no default</t>
        </is>
      </c>
      <c r="D62" s="3" t="inlineStr">
        <is>
          <t>DSRA and MMRA fully funded</t>
        </is>
      </c>
      <c r="E62" s="3" t="inlineStr">
        <is>
          <t>historic and projected DSCR &gt;= 1.20x</t>
        </is>
      </c>
      <c r="F62" s="3" t="inlineStr">
        <is>
          <t>first repayment made</t>
        </is>
      </c>
      <c r="G62" s="3" t="inlineStr">
        <is>
          <t>completion certified by IE</t>
        </is>
      </c>
    </row>
    <row r="63">
      <c r="A63" t="inlineStr">
        <is>
          <t>debt.covenants.equity_cure</t>
        </is>
      </c>
      <c r="B63" t="inlineStr"/>
      <c r="C63" s="3" t="inlineStr">
        <is>
          <t>permitted twice over life, not consecutive, by shareholder loan to raise CFADS for the test period</t>
        </is>
      </c>
    </row>
    <row r="64">
      <c r="A64" t="inlineStr">
        <is>
          <t>debt.reserves.dsra_months_of_next_debt_service</t>
        </is>
      </c>
      <c r="B64" t="inlineStr">
        <is>
          <t>months</t>
        </is>
      </c>
      <c r="C64" s="3" t="n">
        <v>6</v>
      </c>
    </row>
    <row r="65">
      <c r="A65" t="inlineStr">
        <is>
          <t>debt.reserves.dsra_funding</t>
        </is>
      </c>
      <c r="B65" t="inlineStr"/>
      <c r="C65" s="3" t="inlineStr">
        <is>
          <t>fully funded at COD from final debt and equity drawdown</t>
        </is>
      </c>
    </row>
    <row r="66">
      <c r="A66" t="inlineStr">
        <is>
          <t>debt.reserves.dsra_lc_substitution</t>
        </is>
      </c>
      <c r="B66" t="inlineStr"/>
      <c r="C66" s="3" t="inlineStr">
        <is>
          <t>permitted for sponsors with A- rated LC</t>
        </is>
      </c>
    </row>
    <row r="67">
      <c r="A67" t="inlineStr">
        <is>
          <t>debt.reserves.mmra</t>
        </is>
      </c>
      <c r="B67" t="inlineStr"/>
      <c r="C67" s="3" t="inlineStr">
        <is>
          <t>Accumulate in each of the 6 semiannual periods before a major outage one sixth of the projected cost of the steam turbine/BOP overhaul and HRSG/BOP minor works (costs outside LTSA)</t>
        </is>
      </c>
    </row>
    <row r="68">
      <c r="A68" t="inlineStr">
        <is>
          <t>debt.reserves.handback_reserve</t>
        </is>
      </c>
      <c r="B68" t="inlineStr"/>
      <c r="C68" s="3" t="inlineStr">
        <is>
          <t>see opex.decommissioning_handback_reserve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hedging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hedging.interest_rate_swap.hedge_ratio_pct_of_projected_floating_senior_debt</t>
        </is>
      </c>
      <c r="B5" t="inlineStr">
        <is>
          <t>%</t>
        </is>
      </c>
      <c r="C5" s="3" t="n">
        <v>80</v>
      </c>
    </row>
    <row r="6">
      <c r="A6" t="inlineStr">
        <is>
          <t>hedging.interest_rate_swap.permitted_band_pct</t>
        </is>
      </c>
      <c r="B6" t="inlineStr">
        <is>
          <t>%</t>
        </is>
      </c>
      <c r="C6" s="3" t="n">
        <v>75</v>
      </c>
      <c r="D6" s="3" t="n">
        <v>90</v>
      </c>
    </row>
    <row r="7">
      <c r="A7" t="inlineStr">
        <is>
          <t>hedging.interest_rate_swap.fixed_rate_pct</t>
        </is>
      </c>
      <c r="B7" t="inlineStr">
        <is>
          <t>%</t>
        </is>
      </c>
      <c r="C7" s="3" t="n">
        <v>2.947</v>
      </c>
    </row>
    <row r="8">
      <c r="A8" t="inlineStr">
        <is>
          <t>hedging.interest_rate_swap.fixed_rate_composition</t>
        </is>
      </c>
      <c r="B8" t="inlineStr"/>
      <c r="C8" s="3" t="inlineStr">
        <is>
          <t>mid-market 2.872% + 7.5 bp credit and execution charge</t>
        </is>
      </c>
    </row>
    <row r="9">
      <c r="A9" t="inlineStr">
        <is>
          <t>hedging.interest_rate_swap.trade_date</t>
        </is>
      </c>
      <c r="B9" t="inlineStr">
        <is>
          <t>date</t>
        </is>
      </c>
      <c r="C9" s="3" t="inlineStr">
        <is>
          <t>2018-07-17</t>
        </is>
      </c>
    </row>
    <row r="10">
      <c r="A10" t="inlineStr">
        <is>
          <t>hedging.interest_rate_swap.notional_profile</t>
        </is>
      </c>
      <c r="B10" t="inlineStr"/>
      <c r="C10" s="3" t="inlineStr">
        <is>
          <t>80% of projected outstanding ECA, A-loan, B-loan, commercial tranche balances in the FC base case, accreting during construction, amortizing to 2034-06-30</t>
        </is>
      </c>
    </row>
    <row r="11">
      <c r="A11" t="inlineStr">
        <is>
          <t>hedging.interest_rate_swap.counterparties</t>
        </is>
      </c>
      <c r="B11" t="inlineStr"/>
      <c r="C11" s="3" t="inlineStr">
        <is>
          <t>Castellan Bank, Banque Raveau, Kaito Pacific Bank, Hovland Bank ASA pro rata to commercial tranche shares</t>
        </is>
      </c>
    </row>
    <row r="12">
      <c r="A12" t="inlineStr">
        <is>
          <t>hedging.interest_rate_swap.libor_transition</t>
        </is>
      </c>
      <c r="B12" t="inlineStr"/>
      <c r="C12" s="3" t="inlineStr">
        <is>
          <t>ISDA 2020 IBOR Fallbacks Protocol: from the first reset after 2023-06-30 the floating leg pays compounded SOFR in arrears + 0.42826%. Model simplification: treat swap floating leg as equal to the loan base rate each period (LIBOR through 2022, Term SOFR + CAS from 2023); basis H1 2023 ignored.</t>
        </is>
      </c>
    </row>
    <row r="13">
      <c r="A13" t="inlineStr">
        <is>
          <t>hedging.interest_rate_swap.unwind_on_refinancing</t>
        </is>
      </c>
      <c r="B13" t="inlineStr"/>
      <c r="C13" s="3" t="inlineStr">
        <is>
          <t>Portion of notional attributable to prepaid tranches (commercial + B-loan) terminated 2025-06-30 at mark-to-market using a flat swap rate of 3.68% for the remaining profile</t>
        </is>
      </c>
    </row>
    <row r="14">
      <c r="A14" t="inlineStr">
        <is>
          <t>hedging.fx</t>
        </is>
      </c>
      <c r="B14" t="inlineStr"/>
      <c r="C14" s="3" t="inlineStr">
        <is>
          <t>No FX hedge on revenue (USD-indexed tariff). No hedge on KCR costs. Offshore USD accounts with Castellan Bank London under Central Bank Exchange Control Authorization 2018-114.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accounts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accounts.onshore</t>
        </is>
      </c>
      <c r="B5" t="inlineStr"/>
      <c r="C5" s="3" t="inlineStr">
        <is>
          <t>KCR Collection Account (Union Bancaire du Kessara)</t>
        </is>
      </c>
      <c r="D5" s="3" t="inlineStr">
        <is>
          <t>KCR Operating Account</t>
        </is>
      </c>
    </row>
    <row r="6">
      <c r="A6" t="inlineStr">
        <is>
          <t>accounts.offshore</t>
        </is>
      </c>
      <c r="B6" t="inlineStr"/>
      <c r="C6" s="3" t="inlineStr">
        <is>
          <t>USD Proceeds Account</t>
        </is>
      </c>
      <c r="D6" s="3" t="inlineStr">
        <is>
          <t>Debt Service Account</t>
        </is>
      </c>
      <c r="E6" s="3" t="inlineStr">
        <is>
          <t>DSRA</t>
        </is>
      </c>
      <c r="F6" s="3" t="inlineStr">
        <is>
          <t>MMRA</t>
        </is>
      </c>
      <c r="G6" s="3" t="inlineStr">
        <is>
          <t>Insurance Proceeds Account</t>
        </is>
      </c>
      <c r="H6" s="3" t="inlineStr">
        <is>
          <t>Compensation Account</t>
        </is>
      </c>
      <c r="I6" s="3" t="inlineStr">
        <is>
          <t>Distribution Account</t>
        </is>
      </c>
    </row>
    <row r="7">
      <c r="A7" t="inlineStr">
        <is>
          <t>accounts.sweep_rule</t>
        </is>
      </c>
      <c r="B7" t="inlineStr"/>
      <c r="C7" s="3" t="inlineStr">
        <is>
          <t>KCR collections converted and swept offshore daily, subject to Central Bank FX availability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insurance_program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insurance_program.construction.ear_sum_insured_usd_m</t>
        </is>
      </c>
      <c r="B5" t="inlineStr">
        <is>
          <t>USD m</t>
        </is>
      </c>
      <c r="C5" s="3" t="n">
        <v>640</v>
      </c>
    </row>
    <row r="6">
      <c r="A6" t="inlineStr">
        <is>
          <t>insurance_program.construction.ear_deductible_usd_m</t>
        </is>
      </c>
      <c r="B6" t="inlineStr">
        <is>
          <t>USD m</t>
        </is>
      </c>
      <c r="C6" s="3" t="n">
        <v>1</v>
      </c>
    </row>
    <row r="7">
      <c r="A7" t="inlineStr">
        <is>
          <t>insurance_program.construction.dsu_indemnity_period_months</t>
        </is>
      </c>
      <c r="B7" t="inlineStr">
        <is>
          <t>months</t>
        </is>
      </c>
      <c r="C7" s="3" t="n">
        <v>18</v>
      </c>
    </row>
    <row r="8">
      <c r="A8" t="inlineStr">
        <is>
          <t>insurance_program.construction.dsu_time_deductible_days</t>
        </is>
      </c>
      <c r="B8" t="inlineStr">
        <is>
          <t>days</t>
        </is>
      </c>
      <c r="C8" s="3" t="n">
        <v>45</v>
      </c>
    </row>
    <row r="9">
      <c r="A9" t="inlineStr">
        <is>
          <t>insurance_program.construction.dsu_daily_indemnity_usd</t>
        </is>
      </c>
      <c r="B9" t="inlineStr"/>
      <c r="C9" s="3" t="n">
        <v>228400</v>
      </c>
    </row>
    <row r="10">
      <c r="A10" t="inlineStr">
        <is>
          <t>insurance_program.construction.marine_cargo_sum_insured_usd_m</t>
        </is>
      </c>
      <c r="B10" t="inlineStr">
        <is>
          <t>USD m</t>
        </is>
      </c>
      <c r="C10" s="3" t="n">
        <v>310</v>
      </c>
    </row>
    <row r="11">
      <c r="A11" t="inlineStr">
        <is>
          <t>insurance_program.construction.marine_dsu_time_deductible_days</t>
        </is>
      </c>
      <c r="B11" t="inlineStr">
        <is>
          <t>days</t>
        </is>
      </c>
      <c r="C11" s="3" t="n">
        <v>45</v>
      </c>
    </row>
    <row r="12">
      <c r="A12" t="inlineStr">
        <is>
          <t>insurance_program.construction.tpl_usd_m</t>
        </is>
      </c>
      <c r="B12" t="inlineStr">
        <is>
          <t>USD m</t>
        </is>
      </c>
      <c r="C12" s="3" t="n">
        <v>50</v>
      </c>
    </row>
    <row r="13">
      <c r="A13" t="inlineStr">
        <is>
          <t>insurance_program.operations.property_damage_usd_m</t>
        </is>
      </c>
      <c r="B13" t="inlineStr">
        <is>
          <t>USD m</t>
        </is>
      </c>
      <c r="C13" s="3" t="n">
        <v>690</v>
      </c>
    </row>
    <row r="14">
      <c r="A14" t="inlineStr">
        <is>
          <t>insurance_program.operations.pd_deductible_usd_m</t>
        </is>
      </c>
      <c r="B14" t="inlineStr">
        <is>
          <t>USD m</t>
        </is>
      </c>
      <c r="C14" s="3" t="n">
        <v>2.5</v>
      </c>
    </row>
    <row r="15">
      <c r="A15" t="inlineStr">
        <is>
          <t>insurance_program.operations.bi_indemnity_period_months</t>
        </is>
      </c>
      <c r="B15" t="inlineStr">
        <is>
          <t>months</t>
        </is>
      </c>
      <c r="C15" s="3" t="n">
        <v>18</v>
      </c>
    </row>
    <row r="16">
      <c r="A16" t="inlineStr">
        <is>
          <t>insurance_program.operations.bi_time_deductible_days</t>
        </is>
      </c>
      <c r="B16" t="inlineStr">
        <is>
          <t>days</t>
        </is>
      </c>
      <c r="C16" s="3" t="n">
        <v>60</v>
      </c>
    </row>
    <row r="17">
      <c r="A17" t="inlineStr">
        <is>
          <t>insurance_program.operations.tpl_usd_m</t>
        </is>
      </c>
      <c r="B17" t="inlineStr">
        <is>
          <t>USD m</t>
        </is>
      </c>
      <c r="C17" s="3" t="n">
        <v>75</v>
      </c>
    </row>
    <row r="18">
      <c r="A18" t="inlineStr">
        <is>
          <t>insurance_program.political_risk_insurance</t>
        </is>
      </c>
      <c r="B18" t="inlineStr"/>
      <c r="C18" s="3" t="inlineStr">
        <is>
          <t>Private-market PRI for the commercial tranche: 90% of principal and interest, covering expropriation, currency inconvertibility and transfer, political violence, and non-honoring of the government guarantee; premium 1.15% p.a. on insured amount, paid by project company</t>
        </is>
      </c>
    </row>
    <row r="19">
      <c r="A19" t="inlineStr">
        <is>
          <t>insurance_program.broker</t>
        </is>
      </c>
      <c r="B19" t="inlineStr"/>
      <c r="C19" s="3" t="inlineStr">
        <is>
          <t>Fenwick Lowe Insurance Brokers</t>
        </is>
      </c>
    </row>
    <row r="20">
      <c r="A20" t="inlineStr">
        <is>
          <t>insurance_program.lenders_insurance_advisor</t>
        </is>
      </c>
      <c r="B20" t="inlineStr"/>
      <c r="C20" s="3" t="inlineStr">
        <is>
          <t>Marchbank Risk Advisory</t>
        </is>
      </c>
    </row>
    <row r="21">
      <c r="A21" t="inlineStr">
        <is>
          <t>insurance_program.local_fronting_insurer</t>
        </is>
      </c>
      <c r="B21" t="inlineStr"/>
      <c r="C21" s="3" t="inlineStr">
        <is>
          <t>Assurances Generales du Kessara (AGK), 95% reinsured offshore with cut-through and assignment of reinsurance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epc_terms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epc_terms.contractor</t>
        </is>
      </c>
      <c r="B5" t="inlineStr"/>
      <c r="C5" s="3" t="inlineStr">
        <is>
          <t>Lindauer Kraftwerksbau AG (leader, 82%) and Bati-Kessara SA (civil works, 18%), joint and several</t>
        </is>
      </c>
    </row>
    <row r="6">
      <c r="A6" t="inlineStr">
        <is>
          <t>epc_terms.price_basis</t>
        </is>
      </c>
      <c r="B6" t="inlineStr"/>
      <c r="C6" s="3" t="inlineStr">
        <is>
          <t>lump-sum turnkey, date-certain, fixed price; onshore portion fixed in KCR at 519.4 KCR/USD</t>
        </is>
      </c>
    </row>
    <row r="7">
      <c r="A7" t="inlineStr">
        <is>
          <t>epc_terms.delay_ld_usd_per_day</t>
        </is>
      </c>
      <c r="B7" t="inlineStr"/>
      <c r="C7" s="3" t="n">
        <v>247300</v>
      </c>
    </row>
    <row r="8">
      <c r="A8" t="inlineStr">
        <is>
          <t>epc_terms.delay_ld_cap_pct_of_price</t>
        </is>
      </c>
      <c r="B8" t="inlineStr">
        <is>
          <t>%</t>
        </is>
      </c>
      <c r="C8" s="3" t="n">
        <v>18</v>
      </c>
    </row>
    <row r="9">
      <c r="A9" t="inlineStr">
        <is>
          <t>epc_terms.performance_ld_output_usd_per_kw_shortfall</t>
        </is>
      </c>
      <c r="B9" t="inlineStr"/>
      <c r="C9" s="3" t="n">
        <v>2150</v>
      </c>
    </row>
    <row r="10">
      <c r="A10" t="inlineStr">
        <is>
          <t>epc_terms.performance_ld_heat_rate_usd_per_kj_per_kwh</t>
        </is>
      </c>
      <c r="B10" t="inlineStr">
        <is>
          <t>kJ/kWh</t>
        </is>
      </c>
      <c r="C10" s="3" t="n">
        <v>180400</v>
      </c>
    </row>
    <row r="11">
      <c r="A11" t="inlineStr">
        <is>
          <t>epc_terms.performance_ld_cap_pct_of_price</t>
        </is>
      </c>
      <c r="B11" t="inlineStr">
        <is>
          <t>%</t>
        </is>
      </c>
      <c r="C11" s="3" t="n">
        <v>12</v>
      </c>
    </row>
    <row r="12">
      <c r="A12" t="inlineStr">
        <is>
          <t>epc_terms.aggregate_ld_cap_pct_of_price</t>
        </is>
      </c>
      <c r="B12" t="inlineStr">
        <is>
          <t>%</t>
        </is>
      </c>
      <c r="C12" s="3" t="n">
        <v>30</v>
      </c>
    </row>
    <row r="13">
      <c r="A13" t="inlineStr">
        <is>
          <t>epc_terms.overall_liability_cap_pct_of_price</t>
        </is>
      </c>
      <c r="B13" t="inlineStr">
        <is>
          <t>%</t>
        </is>
      </c>
      <c r="C13" s="3" t="n">
        <v>100</v>
      </c>
    </row>
    <row r="14">
      <c r="A14" t="inlineStr">
        <is>
          <t>epc_terms.minimum_performance_levels.output_pct_of_guarantee</t>
        </is>
      </c>
      <c r="B14" t="inlineStr">
        <is>
          <t>%</t>
        </is>
      </c>
      <c r="C14" s="3" t="n">
        <v>95</v>
      </c>
    </row>
    <row r="15">
      <c r="A15" t="inlineStr">
        <is>
          <t>epc_terms.minimum_performance_levels.heat_rate_pct_above_guarantee</t>
        </is>
      </c>
      <c r="B15" t="inlineStr">
        <is>
          <t>%</t>
        </is>
      </c>
      <c r="C15" s="3" t="n">
        <v>3</v>
      </c>
    </row>
    <row r="16">
      <c r="A16" t="inlineStr">
        <is>
          <t>epc_terms.performance_bond_pct</t>
        </is>
      </c>
      <c r="B16" t="inlineStr">
        <is>
          <t>%</t>
        </is>
      </c>
      <c r="C16" s="3" t="n">
        <v>10</v>
      </c>
    </row>
    <row r="17">
      <c r="A17" t="inlineStr">
        <is>
          <t>epc_terms.advance_payment_pct</t>
        </is>
      </c>
      <c r="B17" t="inlineStr">
        <is>
          <t>%</t>
        </is>
      </c>
      <c r="C17" s="3" t="n">
        <v>10</v>
      </c>
    </row>
    <row r="18">
      <c r="A18" t="inlineStr">
        <is>
          <t>epc_terms.advance_payment_guarantee</t>
        </is>
      </c>
      <c r="B18" t="inlineStr"/>
      <c r="C18" s="3" t="b">
        <v>1</v>
      </c>
    </row>
    <row r="19">
      <c r="A19" t="inlineStr">
        <is>
          <t>epc_terms.retention_pct</t>
        </is>
      </c>
      <c r="B19" t="inlineStr">
        <is>
          <t>%</t>
        </is>
      </c>
      <c r="C19" s="3" t="n">
        <v>5</v>
      </c>
    </row>
    <row r="20">
      <c r="A20" t="inlineStr">
        <is>
          <t>epc_terms.retention_release</t>
        </is>
      </c>
      <c r="B20" t="inlineStr"/>
      <c r="C20" s="3" t="inlineStr">
        <is>
          <t>against retention bond at taking-over</t>
        </is>
      </c>
    </row>
    <row r="21">
      <c r="A21" t="inlineStr">
        <is>
          <t>epc_terms.defects_liability_months</t>
        </is>
      </c>
      <c r="B21" t="inlineStr">
        <is>
          <t>months</t>
        </is>
      </c>
      <c r="C21" s="3" t="n">
        <v>24</v>
      </c>
    </row>
    <row r="22">
      <c r="A22" t="inlineStr">
        <is>
          <t>epc_terms.parent_company_guarantee</t>
        </is>
      </c>
      <c r="B22" t="inlineStr"/>
      <c r="C22" s="3" t="inlineStr">
        <is>
          <t>Lindauer Holding AG, full scope</t>
        </is>
      </c>
    </row>
    <row r="23">
      <c r="A23" t="inlineStr">
        <is>
          <t>epc_terms.completion_tests</t>
        </is>
      </c>
      <c r="B23" t="inlineStr"/>
      <c r="C23" s="3" t="inlineStr">
        <is>
          <t>net output and heat rate corrected to reference conditions; 720-hour reliability run with &gt;= 95% availability; emissions and grid code compliance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events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events.construction_overrun.covid_variation_order_usd_m</t>
        </is>
      </c>
      <c r="B5" t="inlineStr">
        <is>
          <t>USD m</t>
        </is>
      </c>
      <c r="C5" s="3" t="n">
        <v>9.4</v>
      </c>
    </row>
    <row r="6">
      <c r="A6" t="inlineStr">
        <is>
          <t>events.construction_overrun.grid_event_prolongation_settlement_usd_m</t>
        </is>
      </c>
      <c r="B6" t="inlineStr">
        <is>
          <t>USD m</t>
        </is>
      </c>
      <c r="C6" s="3" t="n">
        <v>8.27</v>
      </c>
    </row>
    <row r="7">
      <c r="A7" t="inlineStr">
        <is>
          <t>events.construction_overrun.extended_owners_costs_usd_m</t>
        </is>
      </c>
      <c r="B7" t="inlineStr">
        <is>
          <t>USD m</t>
        </is>
      </c>
      <c r="C7" s="3" t="n">
        <v>6.93</v>
      </c>
    </row>
    <row r="8">
      <c r="A8" t="inlineStr">
        <is>
          <t>events.construction_overrun.covid_owner_measures_usd_m</t>
        </is>
      </c>
      <c r="B8" t="inlineStr">
        <is>
          <t>USD m</t>
        </is>
      </c>
      <c r="C8" s="3" t="n">
        <v>4.11</v>
      </c>
    </row>
    <row r="9">
      <c r="A9" t="inlineStr">
        <is>
          <t>events.construction_overrun.insurance_extension_premium_usd_m</t>
        </is>
      </c>
      <c r="B9" t="inlineStr">
        <is>
          <t>USD m</t>
        </is>
      </c>
      <c r="C9" s="3" t="n">
        <v>1.42</v>
      </c>
    </row>
    <row r="10">
      <c r="A10" t="inlineStr">
        <is>
          <t>events.construction_overrun.additional_lenders_advisor_costs_usd_m</t>
        </is>
      </c>
      <c r="B10" t="inlineStr">
        <is>
          <t>USD m</t>
        </is>
      </c>
      <c r="C10" s="3" t="n">
        <v>0.86</v>
      </c>
    </row>
    <row r="11">
      <c r="A11" t="inlineStr">
        <is>
          <t>events.construction_overrun.ear_deductible_borne_usd_m</t>
        </is>
      </c>
      <c r="B11" t="inlineStr">
        <is>
          <t>USD m</t>
        </is>
      </c>
      <c r="C11" s="3" t="n">
        <v>1</v>
      </c>
    </row>
    <row r="12">
      <c r="A12" t="inlineStr">
        <is>
          <t>events.construction_overrun.additional_start_up_fuel_net_usd_m</t>
        </is>
      </c>
      <c r="B12" t="inlineStr">
        <is>
          <t>USD m</t>
        </is>
      </c>
      <c r="C12" s="3" t="n">
        <v>1.37</v>
      </c>
    </row>
    <row r="13">
      <c r="A13" t="inlineStr">
        <is>
          <t>events.construction_overrun.additional_resettlement_compensation_usd_m</t>
        </is>
      </c>
      <c r="B13" t="inlineStr">
        <is>
          <t>USD m</t>
        </is>
      </c>
      <c r="C13" s="3" t="n">
        <v>3.27</v>
      </c>
    </row>
    <row r="14">
      <c r="A14" t="inlineStr">
        <is>
          <t>events.construction_overrun.customs_duty_settlement_usd_m</t>
        </is>
      </c>
      <c r="B14" t="inlineStr">
        <is>
          <t>USD m</t>
        </is>
      </c>
      <c r="C14" s="3" t="n">
        <v>2.64</v>
      </c>
    </row>
    <row r="15">
      <c r="A15" t="inlineStr">
        <is>
          <t>events.construction_overrun.total_hard_cost_overrun_usd_m</t>
        </is>
      </c>
      <c r="B15" t="inlineStr">
        <is>
          <t>USD m</t>
        </is>
      </c>
      <c r="C15" s="3" t="n">
        <v>39.27</v>
      </c>
    </row>
    <row r="16">
      <c r="A16" t="inlineStr">
        <is>
          <t>events.construction_overrun.plus_computed_by_model</t>
        </is>
      </c>
      <c r="B16" t="inlineStr"/>
      <c r="C16" s="3" t="inlineStr">
        <is>
          <t>additional IDC and commitment fees from 7-month delay</t>
        </is>
      </c>
      <c r="D16" s="3" t="inlineStr">
        <is>
          <t>DSRA re-sizing from resculpted profile</t>
        </is>
      </c>
    </row>
    <row r="17">
      <c r="A17" t="inlineStr">
        <is>
          <t>events.construction_overrun.funding_order</t>
        </is>
      </c>
      <c r="B17" t="inlineStr"/>
      <c r="C17" s="3" t="inlineStr">
        <is>
          <t>unused contingency (USD 38.40m)</t>
        </is>
      </c>
      <c r="D17" s="3" t="inlineStr">
        <is>
          <t>EPC delay LDs received</t>
        </is>
      </c>
      <c r="E17" s="3" t="inlineStr">
        <is>
          <t>DSU insurance proceeds</t>
        </is>
      </c>
      <c r="F17" s="3" t="inlineStr">
        <is>
          <t>standby facility and contingent equity drawn 75:25 (pro rata) for the remainder</t>
        </is>
      </c>
    </row>
    <row r="18">
      <c r="A18" t="inlineStr">
        <is>
          <t>events.construction_overrun.epc_delay_ld_days</t>
        </is>
      </c>
      <c r="B18" t="inlineStr">
        <is>
          <t>days</t>
        </is>
      </c>
      <c r="C18" s="3" t="n">
        <v>41</v>
      </c>
    </row>
    <row r="19">
      <c r="A19" t="inlineStr">
        <is>
          <t>events.construction_overrun.epc_delay_lds_usd_m</t>
        </is>
      </c>
      <c r="B19" t="inlineStr">
        <is>
          <t>USD m</t>
        </is>
      </c>
      <c r="C19" s="3" t="n">
        <v>10.1393</v>
      </c>
    </row>
    <row r="20">
      <c r="A20" t="inlineStr">
        <is>
          <t>events.construction_overrun.dsu_indemnified_days</t>
        </is>
      </c>
      <c r="B20" t="inlineStr">
        <is>
          <t>days</t>
        </is>
      </c>
      <c r="C20" s="3" t="n">
        <v>31</v>
      </c>
    </row>
    <row r="21">
      <c r="A21" t="inlineStr">
        <is>
          <t>events.construction_overrun.dsu_proceeds_usd_m</t>
        </is>
      </c>
      <c r="B21" t="inlineStr">
        <is>
          <t>USD m</t>
        </is>
      </c>
      <c r="C21" s="3" t="n">
        <v>7.0804</v>
      </c>
    </row>
    <row r="22">
      <c r="A22" t="inlineStr">
        <is>
          <t>events.construction_overrun.ear_transformer_loss_usd_m</t>
        </is>
      </c>
      <c r="B22" t="inlineStr">
        <is>
          <t>USD m</t>
        </is>
      </c>
      <c r="C22" s="3" t="n">
        <v>6.84</v>
      </c>
    </row>
    <row r="23">
      <c r="A23" t="inlineStr">
        <is>
          <t>events.construction_overrun.ear_proceeds_paid_for_reinstatement_usd_m</t>
        </is>
      </c>
      <c r="B23" t="inlineStr">
        <is>
          <t>USD m</t>
        </is>
      </c>
      <c r="C23" s="3" t="n">
        <v>5.84</v>
      </c>
    </row>
    <row r="24">
      <c r="A24" t="inlineStr">
        <is>
          <t>events.construction_overrun.ppa_rcod_extension_days</t>
        </is>
      </c>
      <c r="B24" t="inlineStr">
        <is>
          <t>days</t>
        </is>
      </c>
      <c r="C24" s="3" t="n">
        <v>173</v>
      </c>
    </row>
    <row r="25">
      <c r="A25" t="inlineStr">
        <is>
          <t>events.construction_overrun.ppa_delay_lds_payable_usd_m</t>
        </is>
      </c>
      <c r="B25" t="inlineStr">
        <is>
          <t>USD m</t>
        </is>
      </c>
      <c r="C25" s="3" t="n">
        <v>0</v>
      </c>
    </row>
    <row r="26">
      <c r="A26" t="inlineStr">
        <is>
          <t>events.construction_overrun.performance_lds_usd_m.output</t>
        </is>
      </c>
      <c r="B26" t="inlineStr"/>
      <c r="C26" s="3" t="n">
        <v>13.975</v>
      </c>
    </row>
    <row r="27">
      <c r="A27" t="inlineStr">
        <is>
          <t>events.construction_overrun.performance_lds_usd_m.heat_rate</t>
        </is>
      </c>
      <c r="B27" t="inlineStr"/>
      <c r="C27" s="3" t="n">
        <v>4.51</v>
      </c>
    </row>
    <row r="28">
      <c r="A28" t="inlineStr">
        <is>
          <t>events.construction_overrun.performance_lds_usd_m.total</t>
        </is>
      </c>
      <c r="B28" t="inlineStr"/>
      <c r="C28" s="3" t="n">
        <v>18.485</v>
      </c>
    </row>
    <row r="29">
      <c r="A29" t="inlineStr">
        <is>
          <t>events.construction_overrun.performance_ld_application</t>
        </is>
      </c>
      <c r="B29" t="inlineStr"/>
      <c r="C29" s="3" t="inlineStr">
        <is>
          <t>100% mandatory prepayment of senior debt pro rata on 2022-06-30</t>
        </is>
      </c>
    </row>
    <row r="30">
      <c r="A30" t="inlineStr">
        <is>
          <t>events.offtaker_crisis.overdue_receivables_usd_m_period_end.2021-12-31</t>
        </is>
      </c>
      <c r="B30" t="inlineStr"/>
      <c r="C30" s="3" t="n">
        <v>0</v>
      </c>
    </row>
    <row r="31">
      <c r="A31" t="inlineStr">
        <is>
          <t>events.offtaker_crisis.overdue_receivables_usd_m_period_end.2022-06-30</t>
        </is>
      </c>
      <c r="B31" t="inlineStr"/>
      <c r="C31" s="3" t="n">
        <v>18.4</v>
      </c>
    </row>
    <row r="32">
      <c r="A32" t="inlineStr">
        <is>
          <t>events.offtaker_crisis.overdue_receivables_usd_m_period_end.2022-12-31</t>
        </is>
      </c>
      <c r="B32" t="inlineStr"/>
      <c r="C32" s="3" t="n">
        <v>68.90000000000001</v>
      </c>
    </row>
    <row r="33">
      <c r="A33" t="inlineStr">
        <is>
          <t>events.offtaker_crisis.overdue_receivables_usd_m_period_end.2023-06-30</t>
        </is>
      </c>
      <c r="B33" t="inlineStr"/>
      <c r="C33" s="3" t="n">
        <v>112.6</v>
      </c>
    </row>
    <row r="34">
      <c r="A34" t="inlineStr">
        <is>
          <t>events.offtaker_crisis.overdue_receivables_usd_m_period_end.2023-12-31</t>
        </is>
      </c>
      <c r="B34" t="inlineStr"/>
      <c r="C34" s="3" t="n">
        <v>71.8</v>
      </c>
    </row>
    <row r="35">
      <c r="A35" t="inlineStr">
        <is>
          <t>events.offtaker_crisis.overdue_receivables_usd_m_period_end.2024-06-30</t>
        </is>
      </c>
      <c r="B35" t="inlineStr"/>
      <c r="C35" s="3" t="n">
        <v>34.6</v>
      </c>
    </row>
    <row r="36">
      <c r="A36" t="inlineStr">
        <is>
          <t>events.offtaker_crisis.overdue_receivables_usd_m_period_end.2024-12-31</t>
        </is>
      </c>
      <c r="B36" t="inlineStr"/>
      <c r="C36" s="3" t="n">
        <v>12.3</v>
      </c>
    </row>
    <row r="37">
      <c r="A37" t="inlineStr">
        <is>
          <t>events.offtaker_crisis.overdue_receivables_usd_m_period_end.2025-06-30</t>
        </is>
      </c>
      <c r="B37" t="inlineStr"/>
      <c r="C37" s="3" t="n">
        <v>0</v>
      </c>
    </row>
    <row r="38">
      <c r="A38" t="inlineStr">
        <is>
          <t>events.offtaker_crisis.path_note</t>
        </is>
      </c>
      <c r="B38" t="inlineStr"/>
      <c r="C38" s="3" t="inlineStr">
        <is>
          <t>Overdue amounts in excess of normal 45-day receivables; net of the LC drawing; cleared by settlement installments April 2024 to June 2025</t>
        </is>
      </c>
    </row>
    <row r="39">
      <c r="A39" t="inlineStr">
        <is>
          <t>events.offtaker_crisis.lc_drawn_usd_m</t>
        </is>
      </c>
      <c r="B39" t="inlineStr">
        <is>
          <t>USD m</t>
        </is>
      </c>
      <c r="C39" s="3" t="n">
        <v>33.8</v>
      </c>
    </row>
    <row r="40">
      <c r="A40" t="inlineStr">
        <is>
          <t>events.offtaker_crisis.lc_replenished</t>
        </is>
      </c>
      <c r="B40" t="inlineStr"/>
      <c r="C40" s="3" t="b">
        <v>0</v>
      </c>
    </row>
    <row r="41">
      <c r="A41" t="inlineStr">
        <is>
          <t>events.offtaker_crisis.government_guarantee_demands.[0].date</t>
        </is>
      </c>
      <c r="B41" t="inlineStr"/>
      <c r="C41" s="3" t="inlineStr">
        <is>
          <t>2023-04-18</t>
        </is>
      </c>
    </row>
    <row r="42">
      <c r="A42" t="inlineStr">
        <is>
          <t>events.offtaker_crisis.government_guarantee_demands.[0].usd_m</t>
        </is>
      </c>
      <c r="B42" t="inlineStr"/>
      <c r="C42" s="3" t="n">
        <v>21.6</v>
      </c>
    </row>
    <row r="43">
      <c r="A43" t="inlineStr">
        <is>
          <t>events.offtaker_crisis.government_guarantee_demands.[0].paid</t>
        </is>
      </c>
      <c r="B43" t="inlineStr"/>
      <c r="C43" s="3" t="inlineStr">
        <is>
          <t>2023-07-26</t>
        </is>
      </c>
    </row>
    <row r="44">
      <c r="A44" t="inlineStr">
        <is>
          <t>events.offtaker_crisis.government_guarantee_demands.[1].date</t>
        </is>
      </c>
      <c r="B44" t="inlineStr"/>
      <c r="C44" s="3" t="inlineStr">
        <is>
          <t>2023-07-12</t>
        </is>
      </c>
    </row>
    <row r="45">
      <c r="A45" t="inlineStr">
        <is>
          <t>events.offtaker_crisis.government_guarantee_demands.[1].usd_m</t>
        </is>
      </c>
      <c r="B45" t="inlineStr"/>
      <c r="C45" s="3" t="n">
        <v>18.9</v>
      </c>
    </row>
    <row r="46">
      <c r="A46" t="inlineStr">
        <is>
          <t>events.offtaker_crisis.government_guarantee_demands.[1].paid</t>
        </is>
      </c>
      <c r="B46" t="inlineStr"/>
      <c r="C46" s="3" t="inlineStr">
        <is>
          <t>2023-11-30</t>
        </is>
      </c>
    </row>
    <row r="47">
      <c r="A47" t="inlineStr">
        <is>
          <t>events.offtaker_crisis.government_guarantee_demands.[2].date</t>
        </is>
      </c>
      <c r="B47" t="inlineStr"/>
      <c r="C47" s="3" t="inlineStr">
        <is>
          <t>2023-10-09</t>
        </is>
      </c>
    </row>
    <row r="48">
      <c r="A48" t="inlineStr">
        <is>
          <t>events.offtaker_crisis.government_guarantee_demands.[2].usd_m</t>
        </is>
      </c>
      <c r="B48" t="inlineStr"/>
      <c r="C48" s="3" t="n">
        <v>17.4</v>
      </c>
    </row>
    <row r="49">
      <c r="A49" t="inlineStr">
        <is>
          <t>events.offtaker_crisis.government_guarantee_demands.[2].paid</t>
        </is>
      </c>
      <c r="B49" t="inlineStr"/>
      <c r="C49" s="3" t="inlineStr">
        <is>
          <t>not paid; folded into settlement</t>
        </is>
      </c>
    </row>
    <row r="50">
      <c r="A50" t="inlineStr">
        <is>
          <t>events.offtaker_crisis.fx_conversion_losses_usd_m.2022H2</t>
        </is>
      </c>
      <c r="B50" t="inlineStr"/>
      <c r="C50" s="3" t="n">
        <v>1.27</v>
      </c>
    </row>
    <row r="51">
      <c r="A51" t="inlineStr">
        <is>
          <t>events.offtaker_crisis.fx_conversion_losses_usd_m.2023H1</t>
        </is>
      </c>
      <c r="B51" t="inlineStr"/>
      <c r="C51" s="3" t="n">
        <v>3.84</v>
      </c>
    </row>
    <row r="52">
      <c r="A52" t="inlineStr">
        <is>
          <t>events.offtaker_crisis.fx_conversion_losses_usd_m.2023H2</t>
        </is>
      </c>
      <c r="B52" t="inlineStr"/>
      <c r="C52" s="3" t="n">
        <v>1.12</v>
      </c>
    </row>
    <row r="53">
      <c r="A53" t="inlineStr">
        <is>
          <t>events.offtaker_crisis.fx_conversion_losses_usd_m.2024H1</t>
        </is>
      </c>
      <c r="B53" t="inlineStr"/>
      <c r="C53" s="3" t="n">
        <v>0.31</v>
      </c>
    </row>
    <row r="54">
      <c r="A54" t="inlineStr">
        <is>
          <t>events.offtaker_crisis.average_conversion_lag_days</t>
        </is>
      </c>
      <c r="B54" t="inlineStr">
        <is>
          <t>days</t>
        </is>
      </c>
      <c r="C54" s="3" t="n">
        <v>47</v>
      </c>
    </row>
    <row r="55">
      <c r="A55" t="inlineStr">
        <is>
          <t>events.offtaker_crisis.gas_netting_agreement</t>
        </is>
      </c>
      <c r="B55" t="inlineStr"/>
      <c r="C55" s="3" t="inlineStr">
        <is>
          <t>Tripartite netting SEKA-SNHK-project company signed 2023-06-29: up to USD 9.0m per month of SEKA energy-charge arrears set off against project company gas payables to SNHK</t>
        </is>
      </c>
    </row>
    <row r="56">
      <c r="A56" t="inlineStr">
        <is>
          <t>events.offtaker_crisis.late_payment_interest_waived_pct</t>
        </is>
      </c>
      <c r="B56" t="inlineStr">
        <is>
          <t>%</t>
        </is>
      </c>
      <c r="C56" s="3" t="n">
        <v>40</v>
      </c>
    </row>
    <row r="57">
      <c r="A57" t="inlineStr">
        <is>
          <t>events.offtaker_crisis.settlement_installments</t>
        </is>
      </c>
      <c r="B57" t="inlineStr"/>
      <c r="C57" s="3" t="inlineStr">
        <is>
          <t>15 monthly installments April 2024 to June 2025</t>
        </is>
      </c>
    </row>
    <row r="58">
      <c r="A58" t="inlineStr">
        <is>
          <t>events.covenant_breach_and_waiver.test_date</t>
        </is>
      </c>
      <c r="B58" t="inlineStr">
        <is>
          <t>date</t>
        </is>
      </c>
      <c r="C58" s="3" t="inlineStr">
        <is>
          <t>2023-06-30</t>
        </is>
      </c>
    </row>
    <row r="59">
      <c r="A59" t="inlineStr">
        <is>
          <t>events.covenant_breach_and_waiver.expected_historic_dscr_range_x</t>
        </is>
      </c>
      <c r="B59" t="inlineStr">
        <is>
          <t>x</t>
        </is>
      </c>
      <c r="C59" s="3" t="n">
        <v>0.8</v>
      </c>
      <c r="D59" s="3" t="n">
        <v>1</v>
      </c>
    </row>
    <row r="60">
      <c r="A60" t="inlineStr">
        <is>
          <t>events.covenant_breach_and_waiver.dsra_drawn_for</t>
        </is>
      </c>
      <c r="B60" t="inlineStr"/>
      <c r="C60" s="3" t="inlineStr">
        <is>
          <t>2023-06-30 debt service shortfall (model computes)</t>
        </is>
      </c>
    </row>
    <row r="61">
      <c r="A61" t="inlineStr">
        <is>
          <t>events.covenant_breach_and_waiver.waiver_fee_pct_of_outstanding</t>
        </is>
      </c>
      <c r="B61" t="inlineStr">
        <is>
          <t>%</t>
        </is>
      </c>
      <c r="C61" s="3" t="n">
        <v>0.25</v>
      </c>
    </row>
    <row r="62">
      <c r="A62" t="inlineStr">
        <is>
          <t>events.covenant_breach_and_waiver.margin_uplift_pct</t>
        </is>
      </c>
      <c r="B62" t="inlineStr">
        <is>
          <t>%</t>
        </is>
      </c>
      <c r="C62" s="3" t="n">
        <v>0.5</v>
      </c>
    </row>
    <row r="63">
      <c r="A63" t="inlineStr">
        <is>
          <t>events.covenant_breach_and_waiver.margin_uplift_period</t>
        </is>
      </c>
      <c r="B63" t="inlineStr"/>
      <c r="C63" s="3" t="inlineStr">
        <is>
          <t>2023-07-01 to 2024-12-31</t>
        </is>
      </c>
    </row>
    <row r="64">
      <c r="A64" t="inlineStr">
        <is>
          <t>events.covenant_breach_and_waiver.principal_deferral</t>
        </is>
      </c>
      <c r="B64" t="inlineStr"/>
      <c r="C64" s="3" t="inlineStr">
        <is>
          <t>60% of the 2023-12-31 scheduled principal deferred; repaid in four equal parts on 2024-06-30, 2024-12-31, 2025-06-30, 2025-12-31</t>
        </is>
      </c>
    </row>
    <row r="65">
      <c r="A65" t="inlineStr">
        <is>
          <t>events.covenant_breach_and_waiver.lock_up_release_condition</t>
        </is>
      </c>
      <c r="B65" t="inlineStr"/>
      <c r="C65" s="3" t="inlineStr">
        <is>
          <t>two consecutive historic DSCR tests &gt;= 1.25x and DSRA fully replenished</t>
        </is>
      </c>
    </row>
    <row r="66">
      <c r="A66" t="inlineStr">
        <is>
          <t>events.covenant_breach_and_waiver.arrears_recovery_sweep</t>
        </is>
      </c>
      <c r="B66" t="inlineStr"/>
      <c r="C66" s="3" t="inlineStr">
        <is>
          <t>100% of arrears recoveries applied to DSRA replenishment first</t>
        </is>
      </c>
    </row>
    <row r="67">
      <c r="A67" t="inlineStr">
        <is>
          <t>events.covenant_breach_and_waiver.waived_tests</t>
        </is>
      </c>
      <c r="B67" t="inlineStr"/>
      <c r="C67" s="3" t="inlineStr">
        <is>
          <t>2023-06-30</t>
        </is>
      </c>
      <c r="D67" s="3" t="inlineStr">
        <is>
          <t>2023-12-31</t>
        </is>
      </c>
    </row>
    <row r="68">
      <c r="A68" t="inlineStr">
        <is>
          <t>events.refinancing_2025.date</t>
        </is>
      </c>
      <c r="B68" t="inlineStr"/>
      <c r="C68" s="3" t="inlineStr">
        <is>
          <t>2025-06-30</t>
        </is>
      </c>
    </row>
    <row r="69">
      <c r="A69" t="inlineStr">
        <is>
          <t>events.refinancing_2025.prepaid_tranches</t>
        </is>
      </c>
      <c r="B69" t="inlineStr"/>
      <c r="C69" s="3" t="inlineStr">
        <is>
          <t>commercial_uncovered</t>
        </is>
      </c>
      <c r="D69" s="3" t="inlineStr">
        <is>
          <t>abdb_b_loan</t>
        </is>
      </c>
      <c r="E69" s="3" t="inlineStr">
        <is>
          <t>standby_facility</t>
        </is>
      </c>
    </row>
    <row r="70">
      <c r="A70" t="inlineStr">
        <is>
          <t>events.refinancing_2025.remaining_tranches</t>
        </is>
      </c>
      <c r="B70" t="inlineStr"/>
      <c r="C70" s="3" t="inlineStr">
        <is>
          <t>eca_covered</t>
        </is>
      </c>
      <c r="D70" s="3" t="inlineStr">
        <is>
          <t>abdb_a_loan</t>
        </is>
      </c>
    </row>
    <row r="71">
      <c r="A71" t="inlineStr">
        <is>
          <t>events.refinancing_2025.instrument</t>
        </is>
      </c>
      <c r="B71" t="inlineStr"/>
      <c r="C71" s="3" t="inlineStr">
        <is>
          <t>USD senior secured amortizing project bond, 144A/Reg S, listed</t>
        </is>
      </c>
    </row>
    <row r="72">
      <c r="A72" t="inlineStr">
        <is>
          <t>events.refinancing_2025.bond_amount_rule</t>
        </is>
      </c>
      <c r="B72" t="inlineStr"/>
      <c r="C72" s="3">
        <f> outstanding principal of prepaid tranches after the 2025-06-30 scheduled payment + transaction costs - swap unwind receipt; no upsizing</f>
        <v/>
      </c>
    </row>
    <row r="73">
      <c r="A73" t="inlineStr">
        <is>
          <t>events.refinancing_2025.coupon_pct</t>
        </is>
      </c>
      <c r="B73" t="inlineStr">
        <is>
          <t>%</t>
        </is>
      </c>
      <c r="C73" s="3" t="n">
        <v>7.875</v>
      </c>
    </row>
    <row r="74">
      <c r="A74" t="inlineStr">
        <is>
          <t>events.refinancing_2025.issue_price_pct</t>
        </is>
      </c>
      <c r="B74" t="inlineStr">
        <is>
          <t>%</t>
        </is>
      </c>
      <c r="C74" s="3" t="n">
        <v>99.512</v>
      </c>
    </row>
    <row r="75">
      <c r="A75" t="inlineStr">
        <is>
          <t>events.refinancing_2025.coupon_frequency</t>
        </is>
      </c>
      <c r="B75" t="inlineStr"/>
      <c r="C75" s="3" t="inlineStr">
        <is>
          <t>semiannual 30/360</t>
        </is>
      </c>
    </row>
    <row r="76">
      <c r="A76" t="inlineStr">
        <is>
          <t>events.refinancing_2025.final_maturity</t>
        </is>
      </c>
      <c r="B76" t="inlineStr"/>
      <c r="C76" s="3" t="inlineStr">
        <is>
          <t>2037-06-30</t>
        </is>
      </c>
    </row>
    <row r="77">
      <c r="A77" t="inlineStr">
        <is>
          <t>events.refinancing_2025.amortization</t>
        </is>
      </c>
      <c r="B77" t="inlineStr"/>
      <c r="C77" s="3" t="inlineStr">
        <is>
          <t>sculpted with remaining ECA and A-loan to combined base-case min DSCR 1.35x</t>
        </is>
      </c>
    </row>
    <row r="78">
      <c r="A78" t="inlineStr">
        <is>
          <t>events.refinancing_2025.abdb_partial_credit_guarantee_usd_m</t>
        </is>
      </c>
      <c r="B78" t="inlineStr">
        <is>
          <t>USD m</t>
        </is>
      </c>
      <c r="C78" s="3" t="n">
        <v>95</v>
      </c>
    </row>
    <row r="79">
      <c r="A79" t="inlineStr">
        <is>
          <t>events.refinancing_2025.abdb_pcg_fee_pct_pa</t>
        </is>
      </c>
      <c r="B79" t="inlineStr">
        <is>
          <t>%</t>
        </is>
      </c>
      <c r="C79" s="3" t="n">
        <v>1.1</v>
      </c>
    </row>
    <row r="80">
      <c r="A80" t="inlineStr">
        <is>
          <t>events.refinancing_2025.abdb_pcg_upfront_fee_pct</t>
        </is>
      </c>
      <c r="B80" t="inlineStr">
        <is>
          <t>%</t>
        </is>
      </c>
      <c r="C80" s="3" t="n">
        <v>0.75</v>
      </c>
    </row>
    <row r="81">
      <c r="A81" t="inlineStr">
        <is>
          <t>events.refinancing_2025.bond_rating</t>
        </is>
      </c>
      <c r="B81" t="inlineStr"/>
      <c r="C81" s="3" t="inlineStr">
        <is>
          <t>B+ (one agency), sovereign B- at pricing</t>
        </is>
      </c>
    </row>
    <row r="82">
      <c r="A82" t="inlineStr">
        <is>
          <t>events.refinancing_2025.transaction_costs_usd_m.underwriting_1.00pct_of_bond</t>
        </is>
      </c>
      <c r="B82" t="inlineStr"/>
      <c r="C82" s="3" t="inlineStr">
        <is>
          <t>computed</t>
        </is>
      </c>
    </row>
    <row r="83">
      <c r="A83" t="inlineStr">
        <is>
          <t>events.refinancing_2025.transaction_costs_usd_m.legal_rating_listing_other</t>
        </is>
      </c>
      <c r="B83" t="inlineStr"/>
      <c r="C83" s="3" t="n">
        <v>3.1</v>
      </c>
    </row>
    <row r="84">
      <c r="A84" t="inlineStr">
        <is>
          <t>events.refinancing_2025.loan_breakage</t>
        </is>
      </c>
      <c r="B84" t="inlineStr"/>
      <c r="C84" s="3" t="inlineStr">
        <is>
          <t>none (settlement on an interest payment date)</t>
        </is>
      </c>
    </row>
    <row r="85">
      <c r="A85" t="inlineStr">
        <is>
          <t>events.refinancing_2025.intercreditor</t>
        </is>
      </c>
      <c r="B85" t="inlineStr"/>
      <c r="C85" s="3" t="inlineStr">
        <is>
          <t>bondholders accede through a bond trustee to the amended intercreditor agreement; ECA and A-loan consent to tenor extension of bond beyond 2034</t>
        </is>
      </c>
    </row>
    <row r="86">
      <c r="A86" t="inlineStr">
        <is>
          <t>events.partial_sale_2026.seller</t>
        </is>
      </c>
      <c r="B86" t="inlineStr"/>
      <c r="C86" s="3" t="inlineStr">
        <is>
          <t>Kilnworth Power International</t>
        </is>
      </c>
    </row>
    <row r="87">
      <c r="A87" t="inlineStr">
        <is>
          <t>events.partial_sale_2026.buyer</t>
        </is>
      </c>
      <c r="B87" t="inlineStr"/>
      <c r="C87" s="3" t="inlineStr">
        <is>
          <t>Coldharbour Infrastructure Income Fund</t>
        </is>
      </c>
    </row>
    <row r="88">
      <c r="A88" t="inlineStr">
        <is>
          <t>events.partial_sale_2026.stake_sold_pct_of_project_company</t>
        </is>
      </c>
      <c r="B88" t="inlineStr">
        <is>
          <t>%</t>
        </is>
      </c>
      <c r="C88" s="3" t="n">
        <v>24</v>
      </c>
    </row>
    <row r="89">
      <c r="A89" t="inlineStr">
        <is>
          <t>events.partial_sale_2026.seller_stake_after_pct</t>
        </is>
      </c>
      <c r="B89" t="inlineStr">
        <is>
          <t>%</t>
        </is>
      </c>
      <c r="C89" s="3" t="n">
        <v>36</v>
      </c>
    </row>
    <row r="90">
      <c r="A90" t="inlineStr">
        <is>
          <t>events.partial_sale_2026.instruments_sold</t>
        </is>
      </c>
      <c r="B90" t="inlineStr"/>
      <c r="C90" s="3" t="inlineStr">
        <is>
          <t>pro rata shares and shareholder loans</t>
        </is>
      </c>
    </row>
    <row r="91">
      <c r="A91" t="inlineStr">
        <is>
          <t>events.partial_sale_2026.valuation_date_locked_box</t>
        </is>
      </c>
      <c r="B91" t="inlineStr">
        <is>
          <t>date</t>
        </is>
      </c>
      <c r="C91" s="3" t="inlineStr">
        <is>
          <t>2025-12-31</t>
        </is>
      </c>
    </row>
    <row r="92">
      <c r="A92" t="inlineStr">
        <is>
          <t>events.partial_sale_2026.buyer_discount_rate_usd_post_tax_levered_pct</t>
        </is>
      </c>
      <c r="B92" t="inlineStr">
        <is>
          <t>%</t>
        </is>
      </c>
      <c r="C92" s="3" t="n">
        <v>13.75</v>
      </c>
    </row>
    <row r="93">
      <c r="A93" t="inlineStr">
        <is>
          <t>events.partial_sale_2026.seller_reserve_discount_rate_pct</t>
        </is>
      </c>
      <c r="B93" t="inlineStr">
        <is>
          <t>%</t>
        </is>
      </c>
      <c r="C93" s="3" t="n">
        <v>12.5</v>
      </c>
    </row>
    <row r="94">
      <c r="A94" t="inlineStr">
        <is>
          <t>events.partial_sale_2026.locked_box_ticker_pct_pa</t>
        </is>
      </c>
      <c r="B94" t="inlineStr">
        <is>
          <t>%</t>
        </is>
      </c>
      <c r="C94" s="3" t="n">
        <v>6.5</v>
      </c>
    </row>
    <row r="95">
      <c r="A95" t="inlineStr">
        <is>
          <t>events.partial_sale_2026.deferred_consideration_usd_m</t>
        </is>
      </c>
      <c r="B95" t="inlineStr">
        <is>
          <t>USD m</t>
        </is>
      </c>
      <c r="C95" s="3" t="n">
        <v>4</v>
      </c>
    </row>
    <row r="96">
      <c r="A96" t="inlineStr">
        <is>
          <t>events.partial_sale_2026.deferred_consideration_condition</t>
        </is>
      </c>
      <c r="B96" t="inlineStr"/>
      <c r="C96" s="3" t="inlineStr">
        <is>
          <t>SEKA overdue receivables remain zero through 2027-06-30</t>
        </is>
      </c>
    </row>
    <row r="97">
      <c r="A97" t="inlineStr">
        <is>
          <t>events.partial_sale_2026.w_and_i_insurance_limit_usd_m</t>
        </is>
      </c>
      <c r="B97" t="inlineStr">
        <is>
          <t>USD m</t>
        </is>
      </c>
      <c r="C97" s="3" t="n">
        <v>18</v>
      </c>
    </row>
    <row r="98">
      <c r="A98" t="inlineStr">
        <is>
          <t>events.partial_sale_2026.consents</t>
        </is>
      </c>
      <c r="B98" t="inlineStr"/>
      <c r="C98" s="3" t="inlineStr">
        <is>
          <t>senior lenders and bondholders (change of control threshold: Kilnworth &gt;= 30% until 2030)</t>
        </is>
      </c>
      <c r="D98" s="3" t="inlineStr">
        <is>
          <t>SEKA (PPA)</t>
        </is>
      </c>
      <c r="E98" s="3" t="inlineStr">
        <is>
          <t>Ministry of Energy and Hydrocarbons (IA)</t>
        </is>
      </c>
      <c r="F98" s="3" t="inlineStr">
        <is>
          <t>ROFR waivers by Groupe Talme and ABDB fund</t>
        </is>
      </c>
    </row>
    <row r="99">
      <c r="A99" t="inlineStr">
        <is>
          <t>events.partial_sale_2026.tax</t>
        </is>
      </c>
      <c r="B99" t="inlineStr"/>
      <c r="C99" s="3" t="inlineStr">
        <is>
          <t>Kessara indirect transfer tax 15% on seller gain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</cols>
  <sheetData>
    <row r="1">
      <c r="A1" s="1" t="inlineStr">
        <is>
          <t>Case P inputs: scenarios</t>
        </is>
      </c>
    </row>
    <row r="2">
      <c r="A2" t="inlineStr">
        <is>
          <t>Source: model/inputs_case_p.json (Case Bible Part 1 as amended by Annex P and the change log). Lists are written across from column D.</t>
        </is>
      </c>
    </row>
    <row r="4">
      <c r="A4" s="2" t="inlineStr">
        <is>
          <t>JSON key path</t>
        </is>
      </c>
      <c r="B4" s="2" t="inlineStr">
        <is>
          <t>Unit</t>
        </is>
      </c>
      <c r="C4" s="2" t="inlineStr">
        <is>
          <t>Value</t>
        </is>
      </c>
    </row>
    <row r="5">
      <c r="A5" t="inlineStr">
        <is>
          <t>scenarios.FC_base</t>
        </is>
      </c>
      <c r="B5" t="inlineStr"/>
      <c r="C5" s="3" t="inlineStr">
        <is>
          <t>Sponsor and lenders' base case at financial close: COD 2021-05-01, 588.4 MW, base availability and dispatch, FC forward LIBOR curve, swap 80%, FX projection from 2018 via inflation differential using 2018 CPI expectations (Kessara 7.5%, US 2.2% flat).</t>
        </is>
      </c>
    </row>
    <row r="6">
      <c r="A6" t="inlineStr">
        <is>
          <t>scenarios.FC_banking</t>
        </is>
      </c>
      <c r="B6" t="inlineStr"/>
      <c r="C6" s="3" t="inlineStr">
        <is>
          <t>FC_base with banking dispatch 72.0%; identical to FC_base for capacity revenue</t>
        </is>
      </c>
    </row>
    <row r="7">
      <c r="A7" t="inlineStr">
        <is>
          <t>scenarios.FC_downside</t>
        </is>
      </c>
      <c r="B7" t="inlineStr"/>
      <c r="C7" s="3" t="inlineStr">
        <is>
          <t>per debt.sizing.downside_definition</t>
        </is>
      </c>
    </row>
    <row r="8">
      <c r="A8" t="inlineStr">
        <is>
          <t>scenarios.actual_history</t>
        </is>
      </c>
      <c r="B8" t="inlineStr"/>
      <c r="C8" s="3" t="inlineStr">
        <is>
          <t>All events applied with historical macro paths through 2026H1 and assumptions after</t>
        </is>
      </c>
    </row>
    <row r="9">
      <c r="A9" t="inlineStr">
        <is>
          <t>scenarios.sensitivities</t>
        </is>
      </c>
      <c r="B9" t="inlineStr"/>
      <c r="C9" s="3" t="inlineStr">
        <is>
          <t>availability -3 points</t>
        </is>
      </c>
      <c r="D9" s="3" t="inlineStr">
        <is>
          <t>heat rate +2%</t>
        </is>
      </c>
      <c r="E9" s="3" t="inlineStr">
        <is>
          <t>fixed opex +10%</t>
        </is>
      </c>
      <c r="F9" s="3" t="inlineStr">
        <is>
          <t>capex +10% funded pro rata</t>
        </is>
      </c>
      <c r="G9" s="3" t="inlineStr">
        <is>
          <t>COD delay 6 months without LDs</t>
        </is>
      </c>
      <c r="H9" s="3" t="inlineStr">
        <is>
          <t>LIBOR/SOFR +200 bp on unhedged portion</t>
        </is>
      </c>
      <c r="I9" s="3" t="inlineStr">
        <is>
          <t>KCR devaluation 40% with 90-day conversion lag</t>
        </is>
      </c>
      <c r="J9" s="3" t="inlineStr">
        <is>
          <t>SEKA payment delay 120 days for 12 months</t>
        </is>
      </c>
      <c r="K9" s="3" t="inlineStr">
        <is>
          <t>dispatch 50%</t>
        </is>
      </c>
      <c r="L9" s="3" t="inlineStr">
        <is>
          <t>gas price +30% (pass-through check)</t>
        </is>
      </c>
    </row>
    <row r="10">
      <c r="A10" t="inlineStr">
        <is>
          <t>scenarios.breakevens</t>
        </is>
      </c>
      <c r="B10" t="inlineStr"/>
      <c r="C10" s="3" t="inlineStr">
        <is>
          <t>availability for 1.00x min DSCR</t>
        </is>
      </c>
      <c r="D10" s="3" t="inlineStr">
        <is>
          <t>capacity charge reduction for 1.00x</t>
        </is>
      </c>
      <c r="E10" s="3" t="inlineStr">
        <is>
          <t>months of zero SEKA payment covered by DSRA plus 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2026-10-03T22:44:42Z</dcterms:created>
  <dcterms:modified xsi:type="dcterms:W3CDTF">2026-10-03T22:44:42Z</dcterms:modified>
</cp:coreProperties>
</file>