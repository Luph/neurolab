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3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Events (actual history)</t>
        </is>
      </c>
    </row>
    <row r="186">
      <c r="D186" t="inlineStr">
        <is>
          <t>Share of SEKA arrears matched by deferred SNHK/GCK payables (calibration)</t>
        </is>
      </c>
      <c r="E186" t="inlineStr">
        <is>
          <t>fraction</t>
        </is>
      </c>
      <c r="F186" s="7" t="n">
        <v>0.8</v>
      </c>
    </row>
    <row r="187">
      <c r="D187" t="inlineStr">
        <is>
          <t>Late payment interest spread</t>
        </is>
      </c>
      <c r="E187" t="inlineStr">
        <is>
          <t>%</t>
        </is>
      </c>
      <c r="F187" s="7" t="n">
        <v>2</v>
      </c>
    </row>
    <row r="188">
      <c r="D188" t="inlineStr">
        <is>
          <t>Late payment interest received (1 - waived)</t>
        </is>
      </c>
      <c r="E188" t="inlineStr">
        <is>
          <t>fraction</t>
        </is>
      </c>
      <c r="F188" s="7" t="n">
        <v>0.6</v>
      </c>
    </row>
    <row r="189">
      <c r="D189" t="inlineStr">
        <is>
          <t>EPC delay LDs received Nov 2021</t>
        </is>
      </c>
      <c r="E189" t="inlineStr">
        <is>
          <t>USD m</t>
        </is>
      </c>
      <c r="F189" s="7" t="n">
        <v>10.1393</v>
      </c>
    </row>
    <row r="190">
      <c r="D190" t="inlineStr">
        <is>
          <t>DSU insurance proceeds Nov 2021</t>
        </is>
      </c>
      <c r="E190" t="inlineStr">
        <is>
          <t>USD m</t>
        </is>
      </c>
      <c r="F190" s="7" t="n">
        <v>7.0804</v>
      </c>
    </row>
    <row r="191">
      <c r="D191" t="inlineStr">
        <is>
          <t>Performance LDs (prepay June 2022)</t>
        </is>
      </c>
      <c r="E191" t="inlineStr">
        <is>
          <t>USD m</t>
        </is>
      </c>
      <c r="F191" s="7" t="n">
        <v>18.485</v>
      </c>
    </row>
    <row r="192">
      <c r="D192" t="inlineStr">
        <is>
          <t>Waiver fee</t>
        </is>
      </c>
      <c r="E192" t="inlineStr">
        <is>
          <t>% of senior debt</t>
        </is>
      </c>
      <c r="F192" s="7" t="n">
        <v>0.25</v>
      </c>
    </row>
    <row r="193">
      <c r="D193" t="inlineStr">
        <is>
          <t>Margin uplift 2023H2-2024H2</t>
        </is>
      </c>
      <c r="E193" t="inlineStr">
        <is>
          <t>%</t>
        </is>
      </c>
      <c r="F193" s="7" t="n">
        <v>0.5</v>
      </c>
    </row>
    <row r="194">
      <c r="D194" t="inlineStr">
        <is>
          <t>Deferred share of 2023-12-31 principal</t>
        </is>
      </c>
      <c r="E194" t="inlineStr">
        <is>
          <t>fraction</t>
        </is>
      </c>
      <c r="F194" s="7" t="n">
        <v>0.6</v>
      </c>
    </row>
    <row r="195">
      <c r="D195" t="inlineStr">
        <is>
          <t>Bond coupon</t>
        </is>
      </c>
      <c r="E195" t="inlineStr">
        <is>
          <t>%</t>
        </is>
      </c>
      <c r="F195" s="7" t="n">
        <v>7.875</v>
      </c>
    </row>
    <row r="196">
      <c r="D196" t="inlineStr">
        <is>
          <t>Bond issue price</t>
        </is>
      </c>
      <c r="E196" t="inlineStr">
        <is>
          <t>fraction</t>
        </is>
      </c>
      <c r="F196" s="7" t="n">
        <v>0.99512</v>
      </c>
    </row>
    <row r="197">
      <c r="D197" t="inlineStr">
        <is>
          <t>Underwriting fee</t>
        </is>
      </c>
      <c r="E197" t="inlineStr">
        <is>
          <t>fraction</t>
        </is>
      </c>
      <c r="F197" s="7" t="n">
        <v>0.01</v>
      </c>
    </row>
    <row r="198">
      <c r="D198" t="inlineStr">
        <is>
          <t>Other transaction costs</t>
        </is>
      </c>
      <c r="E198" t="inlineStr">
        <is>
          <t>USD m</t>
        </is>
      </c>
      <c r="F198" s="7" t="n">
        <v>3.1</v>
      </c>
    </row>
    <row r="199">
      <c r="D199" t="inlineStr">
        <is>
          <t>ABDB partial credit guarantee</t>
        </is>
      </c>
      <c r="E199" t="inlineStr">
        <is>
          <t>USD m</t>
        </is>
      </c>
      <c r="F199" s="7" t="n">
        <v>95</v>
      </c>
    </row>
    <row r="200">
      <c r="D200" t="inlineStr">
        <is>
          <t>PCG fee</t>
        </is>
      </c>
      <c r="E200" t="inlineStr">
        <is>
          <t>% pa</t>
        </is>
      </c>
      <c r="F200" s="7" t="n">
        <v>1.1</v>
      </c>
    </row>
    <row r="201">
      <c r="D201" t="inlineStr">
        <is>
          <t>PCG upfront fee</t>
        </is>
      </c>
      <c r="E201" t="inlineStr">
        <is>
          <t>%</t>
        </is>
      </c>
      <c r="F201" s="7" t="n">
        <v>0.75</v>
      </c>
    </row>
    <row r="202">
      <c r="D202" t="inlineStr">
        <is>
          <t>Flat swap rate for unwind</t>
        </is>
      </c>
      <c r="E202" t="inlineStr">
        <is>
          <t>%</t>
        </is>
      </c>
      <c r="F202" s="7" t="n">
        <v>3.68</v>
      </c>
    </row>
    <row r="203">
      <c r="D203" t="inlineStr">
        <is>
          <t>Share of swap terminated</t>
        </is>
      </c>
      <c r="E203" t="inlineStr">
        <is>
          <t>fraction</t>
        </is>
      </c>
      <c r="F203" s="7" t="n">
        <v>0.48</v>
      </c>
    </row>
    <row r="204">
      <c r="D204" t="inlineStr">
        <is>
          <t>Share of swap remaining after refi</t>
        </is>
      </c>
      <c r="E204" t="inlineStr">
        <is>
          <t>fraction</t>
        </is>
      </c>
      <c r="F204" s="7" t="n">
        <v>0.52</v>
      </c>
    </row>
    <row r="205">
      <c r="B205" s="2" t="inlineStr">
        <is>
          <t>Annual tables (columns J = 2015 ... ): CPI annual average change (%), policy rate (%)</t>
        </is>
      </c>
    </row>
    <row r="206">
      <c r="D206" t="inlineStr">
        <is>
          <t>Calendar year</t>
        </is>
      </c>
      <c r="E206" t="inlineStr">
        <is>
          <t>year</t>
        </is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>
      <c r="D207" t="inlineStr">
        <is>
          <t>US CPI, FC expectation</t>
        </is>
      </c>
      <c r="E207" t="inlineStr">
        <is>
          <t>%</t>
        </is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>
      <c r="D208" t="inlineStr">
        <is>
          <t>Kessara CPI, FC expectation</t>
        </is>
      </c>
      <c r="E208" t="inlineStr">
        <is>
          <t>%</t>
        </is>
      </c>
      <c r="J208" s="5" t="n">
        <v>8.699999999999999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>
      <c r="D209" t="inlineStr">
        <is>
          <t>US CPI, actual history + assumptions</t>
        </is>
      </c>
      <c r="E209" t="inlineStr">
        <is>
          <t>%</t>
        </is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>
      <c r="D210" t="inlineStr">
        <is>
          <t>Kessara CPI, actual history + assumptions</t>
        </is>
      </c>
      <c r="E210" t="inlineStr">
        <is>
          <t>%</t>
        </is>
      </c>
      <c r="J210" s="5" t="n">
        <v>8.699999999999999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9.800000000000001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>
      <c r="D211" t="inlineStr">
        <is>
          <t>US CPI, COD re-forecast</t>
        </is>
      </c>
      <c r="E211" t="inlineStr">
        <is>
          <t>%</t>
        </is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>
      <c r="D212" t="inlineStr">
        <is>
          <t>Kessara CPI, COD re-forecast</t>
        </is>
      </c>
      <c r="E212" t="inlineStr">
        <is>
          <t>%</t>
        </is>
      </c>
      <c r="J212" s="5" t="n">
        <v>8.699999999999999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9.800000000000001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>
      <c r="D213" t="inlineStr">
        <is>
          <t>Kessara policy rate (actual)</t>
        </is>
      </c>
      <c r="E213" t="inlineStr">
        <is>
          <t>%</t>
        </is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>
      <c r="B214" s="2" t="inlineStr">
        <is>
          <t>Semiannual inputs (column J = 2018H2 ... BN = 2046H2)</t>
        </is>
      </c>
    </row>
    <row r="215">
      <c r="D215" t="inlineStr">
        <is>
          <t>6M LIBOR forward curve at FC</t>
        </is>
      </c>
      <c r="E215" t="inlineStr">
        <is>
          <t>%</t>
        </is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>
      <c r="D216" t="inlineStr">
        <is>
          <t>6M LIBOR to 2022H2; 6M Term SOFR + CAS from 2023H1 (actual)</t>
        </is>
      </c>
      <c r="E216" t="inlineStr">
        <is>
          <t>%</t>
        </is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>
      <c r="D217" t="inlineStr">
        <is>
          <t>Base rate, COD re-forecast</t>
        </is>
      </c>
      <c r="E217" t="inlineStr">
        <is>
          <t>%</t>
        </is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>
      <c r="D218" t="inlineStr">
        <is>
          <t>KCR per USD, semiannual average (actual to 2026H2)</t>
        </is>
      </c>
      <c r="E218" t="inlineStr">
        <is>
          <t>KCR/USD</t>
        </is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>
      <c r="D219" t="inlineStr">
        <is>
          <t>SEKA overdue receivables at period end (actual)</t>
        </is>
      </c>
      <c r="E219" t="inlineStr">
        <is>
          <t>USD m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68.90000000000001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FX conversion losses (actual)</t>
        </is>
      </c>
      <c r="E220" t="inlineStr">
        <is>
          <t>USD m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Settlement installment share of late payment interest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Contract repayment profile at FC (share of debt)</t>
        </is>
      </c>
      <c r="E222" t="inlineStr">
        <is>
          <t>fraction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0.02446043211430804</v>
      </c>
      <c r="Q222" s="5" t="n">
        <v>0.02549563991993633</v>
      </c>
      <c r="R222" s="5" t="n">
        <v>0.02675152229066621</v>
      </c>
      <c r="S222" s="5" t="n">
        <v>0.02753984637468513</v>
      </c>
      <c r="T222" s="5" t="n">
        <v>0.0288066694390464</v>
      </c>
      <c r="U222" s="5" t="n">
        <v>0.02972536483920772</v>
      </c>
      <c r="V222" s="5" t="n">
        <v>0.03166730192250924</v>
      </c>
      <c r="W222" s="5" t="n">
        <v>0.03263535190708168</v>
      </c>
      <c r="X222" s="5" t="n">
        <v>0.0317294685115491</v>
      </c>
      <c r="Y222" s="5" t="n">
        <v>0.03174439879630291</v>
      </c>
      <c r="Z222" s="5" t="n">
        <v>0.03305950431870376</v>
      </c>
      <c r="AA222" s="5" t="n">
        <v>0.03402426353926975</v>
      </c>
      <c r="AB222" s="5" t="n">
        <v>0.03564974851234601</v>
      </c>
      <c r="AC222" s="5" t="n">
        <v>0.03683076964636899</v>
      </c>
      <c r="AD222" s="5" t="n">
        <v>0.0402165127561107</v>
      </c>
      <c r="AE222" s="5" t="n">
        <v>0.04194504016536777</v>
      </c>
      <c r="AF222" s="5" t="n">
        <v>0.04341654712966558</v>
      </c>
      <c r="AG222" s="5" t="n">
        <v>0.04422683953596448</v>
      </c>
      <c r="AH222" s="5" t="n">
        <v>0.0464470950071792</v>
      </c>
      <c r="AI222" s="5" t="n">
        <v>0.04781089882837024</v>
      </c>
      <c r="AJ222" s="5" t="n">
        <v>0.05011909730654722</v>
      </c>
      <c r="AK222" s="5" t="n">
        <v>0.05174136373715012</v>
      </c>
      <c r="AL222" s="5" t="n">
        <v>0.05486337334066368</v>
      </c>
      <c r="AM222" s="5" t="n">
        <v>0.05600370673381757</v>
      </c>
      <c r="AN222" s="5" t="n">
        <v>0.04620239321839347</v>
      </c>
      <c r="AO222" s="5" t="n">
        <v>0.04688685010878882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COD re-sculpted repayment profile (share of debt at COD)</t>
        </is>
      </c>
      <c r="E223" t="inlineStr">
        <is>
          <t>fraction</t>
        </is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0.02548157946637554</v>
      </c>
      <c r="R223" s="5" t="n">
        <v>0.02724046169668245</v>
      </c>
      <c r="S223" s="5" t="n">
        <v>0.02819978008186348</v>
      </c>
      <c r="T223" s="5" t="n">
        <v>0.0295228109676876</v>
      </c>
      <c r="U223" s="5" t="n">
        <v>0.03034461219149864</v>
      </c>
      <c r="V223" s="5" t="n">
        <v>0.03173368856184668</v>
      </c>
      <c r="W223" s="5" t="n">
        <v>0.03346748378078401</v>
      </c>
      <c r="X223" s="5" t="n">
        <v>0.03500391245957334</v>
      </c>
      <c r="Y223" s="5" t="n">
        <v>0.0325817454453932</v>
      </c>
      <c r="Z223" s="5" t="n">
        <v>0.03411591565222778</v>
      </c>
      <c r="AA223" s="5" t="n">
        <v>0.03482261412504876</v>
      </c>
      <c r="AB223" s="5" t="n">
        <v>0.03651800951755971</v>
      </c>
      <c r="AC223" s="5" t="n">
        <v>0.03754927558110237</v>
      </c>
      <c r="AD223" s="5" t="n">
        <v>0.03933404164983187</v>
      </c>
      <c r="AE223" s="5" t="n">
        <v>0.04247886241881366</v>
      </c>
      <c r="AF223" s="5" t="n">
        <v>0.0447618765783362</v>
      </c>
      <c r="AG223" s="5" t="n">
        <v>0.04510839177713549</v>
      </c>
      <c r="AH223" s="5" t="n">
        <v>0.04743757341759251</v>
      </c>
      <c r="AI223" s="5" t="n">
        <v>0.04890705928826625</v>
      </c>
      <c r="AJ223" s="5" t="n">
        <v>0.05130382136581318</v>
      </c>
      <c r="AK223" s="5" t="n">
        <v>0.05281633928178639</v>
      </c>
      <c r="AL223" s="5" t="n">
        <v>0.05529304641388739</v>
      </c>
      <c r="AM223" s="5" t="n">
        <v>0.05784416123726327</v>
      </c>
      <c r="AN223" s="5" t="n">
        <v>0.05023740455416895</v>
      </c>
      <c r="AO223" s="5" t="n">
        <v>0.04789553248946258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>
      <c r="D224" t="inlineStr">
        <is>
          <t>Bond amortization profile (share of face)</t>
        </is>
      </c>
      <c r="E224" t="inlineStr">
        <is>
          <t>fraction</t>
        </is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0.01124467926566567</v>
      </c>
      <c r="Y224" s="5" t="n">
        <v>0.01660449483126864</v>
      </c>
      <c r="Z224" s="5" t="n">
        <v>0.01813408062677698</v>
      </c>
      <c r="AA224" s="5" t="n">
        <v>0.01808187614380852</v>
      </c>
      <c r="AB224" s="5" t="n">
        <v>0.01942163740207891</v>
      </c>
      <c r="AC224" s="5" t="n">
        <v>0.01946039709626196</v>
      </c>
      <c r="AD224" s="5" t="n">
        <v>0.02059292994796275</v>
      </c>
      <c r="AE224" s="5" t="n">
        <v>0.02264222195059276</v>
      </c>
      <c r="AF224" s="5" t="n">
        <v>0.02415405695439478</v>
      </c>
      <c r="AG224" s="5" t="n">
        <v>0.02438173452212782</v>
      </c>
      <c r="AH224" s="5" t="n">
        <v>0.02577768291774454</v>
      </c>
      <c r="AI224" s="5" t="n">
        <v>0.02586448504394579</v>
      </c>
      <c r="AJ224" s="5" t="n">
        <v>0.02714456009689802</v>
      </c>
      <c r="AK224" s="5" t="n">
        <v>0.02726244042768043</v>
      </c>
      <c r="AL224" s="5" t="n">
        <v>0.02839367338628672</v>
      </c>
      <c r="AM224" s="5" t="n">
        <v>0.02568651566867684</v>
      </c>
      <c r="AN224" s="5" t="n">
        <v>0.02351190551900085</v>
      </c>
      <c r="AO224" s="5" t="n">
        <v>0.02050756281339259</v>
      </c>
      <c r="AP224" s="5" t="n">
        <v>0.08908922248649255</v>
      </c>
      <c r="AQ224" s="5" t="n">
        <v>0.09105481182778367</v>
      </c>
      <c r="AR224" s="5" t="n">
        <v>0.09585097789977262</v>
      </c>
      <c r="AS224" s="5" t="n">
        <v>0.09806537767499478</v>
      </c>
      <c r="AT224" s="5" t="n">
        <v>0.1027895890894538</v>
      </c>
      <c r="AU224" s="5" t="n">
        <v>0.1242830864069391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>
      <c r="D225" t="inlineStr">
        <is>
          <t>Swap notional schedule, semiannual (contract)</t>
        </is>
      </c>
      <c r="E225" t="inlineStr">
        <is>
          <t>USD m</t>
        </is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506.6047800584543</v>
      </c>
      <c r="Q225" s="5" t="n">
        <v>494.2130082270505</v>
      </c>
      <c r="R225" s="5" t="n">
        <v>481.2967951729616</v>
      </c>
      <c r="S225" s="5" t="n">
        <v>467.7443461066698</v>
      </c>
      <c r="T225" s="5" t="n">
        <v>453.7925282911789</v>
      </c>
      <c r="U225" s="5" t="n">
        <v>439.1989318557941</v>
      </c>
      <c r="V225" s="5" t="n">
        <v>424.13991993927</v>
      </c>
      <c r="W225" s="5" t="n">
        <v>408.0971134137725</v>
      </c>
      <c r="X225" s="5" t="n">
        <v>391.5638881387553</v>
      </c>
      <c r="Y225" s="5" t="n">
        <v>375.4895877220902</v>
      </c>
      <c r="Z225" s="5" t="n">
        <v>359.4077235518013</v>
      </c>
      <c r="AA225" s="5" t="n">
        <v>342.6596206375829</v>
      </c>
      <c r="AB225" s="5" t="n">
        <v>325.4227660906203</v>
      </c>
      <c r="AC225" s="5" t="n">
        <v>307.362433086384</v>
      </c>
      <c r="AD225" s="5" t="n">
        <v>288.7037891303016</v>
      </c>
      <c r="AE225" s="5" t="n">
        <v>268.3299115307742</v>
      </c>
      <c r="AF225" s="5" t="n">
        <v>247.080353683255</v>
      </c>
      <c r="AG225" s="5" t="n">
        <v>225.0853233737332</v>
      </c>
      <c r="AH225" s="5" t="n">
        <v>202.6797950579354</v>
      </c>
      <c r="AI225" s="5" t="n">
        <v>179.1494747074693</v>
      </c>
      <c r="AJ225" s="5" t="n">
        <v>154.9282448221257</v>
      </c>
      <c r="AK225" s="5" t="n">
        <v>129.5376705544141</v>
      </c>
      <c r="AL225" s="5" t="n">
        <v>103.3252483584307</v>
      </c>
      <c r="AM225" s="5" t="n">
        <v>75.53120117391893</v>
      </c>
      <c r="AN225" s="5" t="n">
        <v>47.15945564157511</v>
      </c>
      <c r="AO225" s="5" t="n">
        <v>23.75310238699667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>
      <c r="D226" t="inlineStr">
        <is>
          <t>Availability profile by OY (8-year cycle, cols J-Q)</t>
        </is>
      </c>
      <c r="E226" t="inlineStr">
        <is>
          <t>%</t>
        </is>
      </c>
      <c r="J226" s="5" t="n">
        <v>93.8</v>
      </c>
      <c r="K226" s="5" t="n">
        <v>92.90000000000001</v>
      </c>
      <c r="L226" s="5" t="n">
        <v>93.8</v>
      </c>
      <c r="M226" s="5" t="n">
        <v>90.59999999999999</v>
      </c>
      <c r="N226" s="5" t="n">
        <v>93.8</v>
      </c>
      <c r="O226" s="5" t="n">
        <v>92.90000000000001</v>
      </c>
      <c r="P226" s="5" t="n">
        <v>93.8</v>
      </c>
      <c r="Q226" s="5" t="n">
        <v>88.7</v>
      </c>
    </row>
    <row r="227">
      <c r="D227" t="inlineStr">
        <is>
          <t>Actual dispatch when available, 2022 drought (annex 4.11)</t>
        </is>
      </c>
      <c r="E227" t="inlineStr">
        <is>
          <t>%</t>
        </is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>
      <c r="B228" s="2" t="inlineStr">
        <is>
          <t>Monthly inputs (column J = Aug 2018 ... BJ = Dec 2022)</t>
        </is>
      </c>
    </row>
    <row r="229">
      <c r="D229" t="inlineStr">
        <is>
          <t>EPC payment profile, FC (33 months)</t>
        </is>
      </c>
      <c r="E229" t="inlineStr">
        <is>
          <t>%</t>
        </is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>
      <c r="D230" t="inlineStr">
        <is>
          <t>EPC payment profile, actual (40 months)</t>
        </is>
      </c>
      <c r="E230" t="inlineStr">
        <is>
          <t>%</t>
        </is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>
      <c r="D231" t="inlineStr">
        <is>
          <t>Owner's cost profile, FC</t>
        </is>
      </c>
      <c r="E231" t="inlineStr">
        <is>
          <t>%</t>
        </is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>
      <c r="D232" t="inlineStr">
        <is>
          <t>Overrun items, actual (excl. extended owners)</t>
        </is>
      </c>
      <c r="E232" t="inlineStr">
        <is>
          <t>USD m</t>
        </is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1.909166666666667</v>
      </c>
      <c r="AK232" s="5" t="n">
        <v>1.909166666666667</v>
      </c>
      <c r="AL232" s="5" t="n">
        <v>1.909166666666667</v>
      </c>
      <c r="AM232" s="5" t="n">
        <v>2.454166666666667</v>
      </c>
      <c r="AN232" s="5" t="n">
        <v>2.454166666666667</v>
      </c>
      <c r="AO232" s="5" t="n">
        <v>2.454166666666667</v>
      </c>
      <c r="AP232" s="5" t="n">
        <v>0.545</v>
      </c>
      <c r="AQ232" s="5" t="n">
        <v>2.087857142857143</v>
      </c>
      <c r="AR232" s="5" t="n">
        <v>0.6678571428571429</v>
      </c>
      <c r="AS232" s="5" t="n">
        <v>1.122857142857143</v>
      </c>
      <c r="AT232" s="5" t="n">
        <v>0.1228571428571429</v>
      </c>
      <c r="AU232" s="5" t="n">
        <v>2.762857142857143</v>
      </c>
      <c r="AV232" s="5" t="n">
        <v>0.8078571428571429</v>
      </c>
      <c r="AW232" s="5" t="n">
        <v>9.077857142857143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>
      <c r="D233" t="inlineStr">
        <is>
          <t>Swap notional schedule, monthly (contract)</t>
        </is>
      </c>
      <c r="E233" t="inlineStr">
        <is>
          <t>USD m</t>
        </is>
      </c>
      <c r="J233" s="5" t="n">
        <v>0</v>
      </c>
      <c r="K233" s="5" t="n">
        <v>72.03829474521896</v>
      </c>
      <c r="L233" s="5" t="n">
        <v>73.51887276343012</v>
      </c>
      <c r="M233" s="5" t="n">
        <v>75.40617553902828</v>
      </c>
      <c r="N233" s="5" t="n">
        <v>78.07421473717562</v>
      </c>
      <c r="O233" s="5" t="n">
        <v>81.91599308048065</v>
      </c>
      <c r="P233" s="5" t="n">
        <v>87.21000268067854</v>
      </c>
      <c r="Q233" s="5" t="n">
        <v>94.11618703202072</v>
      </c>
      <c r="R233" s="5" t="n">
        <v>102.8823415907884</v>
      </c>
      <c r="S233" s="5" t="n">
        <v>113.5022413334215</v>
      </c>
      <c r="T233" s="5" t="n">
        <v>126.0097195597594</v>
      </c>
      <c r="U233" s="5" t="n">
        <v>140.2836182208805</v>
      </c>
      <c r="V233" s="5" t="n">
        <v>156.2511438360465</v>
      </c>
      <c r="W233" s="5" t="n">
        <v>173.7077024568702</v>
      </c>
      <c r="X233" s="5" t="n">
        <v>192.4025609545302</v>
      </c>
      <c r="Y233" s="5" t="n">
        <v>212.1224961922896</v>
      </c>
      <c r="Z233" s="5" t="n">
        <v>232.5249987992842</v>
      </c>
      <c r="AA233" s="5" t="n">
        <v>253.3550550829947</v>
      </c>
      <c r="AB233" s="5" t="n">
        <v>274.9625112136583</v>
      </c>
      <c r="AC233" s="5" t="n">
        <v>295.573347969675</v>
      </c>
      <c r="AD233" s="5" t="n">
        <v>315.6942886417129</v>
      </c>
      <c r="AE233" s="5" t="n">
        <v>334.9285707017309</v>
      </c>
      <c r="AF233" s="5" t="n">
        <v>353.0762113009259</v>
      </c>
      <c r="AG233" s="5" t="n">
        <v>369.8270855783692</v>
      </c>
      <c r="AH233" s="5" t="n">
        <v>385.0658631524328</v>
      </c>
      <c r="AI233" s="5" t="n">
        <v>398.6100572520498</v>
      </c>
      <c r="AJ233" s="5" t="n">
        <v>410.3341888433459</v>
      </c>
      <c r="AK233" s="5" t="n">
        <v>420.3015849535684</v>
      </c>
      <c r="AL233" s="5" t="n">
        <v>428.480478068478</v>
      </c>
      <c r="AM233" s="5" t="n">
        <v>435.0832520222062</v>
      </c>
      <c r="AN233" s="5" t="n">
        <v>440.2743361688925</v>
      </c>
      <c r="AO233" s="5" t="n">
        <v>444.2027041636388</v>
      </c>
      <c r="AP233" s="5" t="n">
        <v>447.4816350572161</v>
      </c>
      <c r="AQ233" s="5" t="n">
        <v>479.6249919693773</v>
      </c>
      <c r="AR233" s="5" t="n">
        <v>504.4002583438451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IF(Inputs!$F$34=2,DATE(2021,12,1),EDATE(DATE(2021,5,1),Inputs!$F$35))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IF(Inputs!$F$33=1,Inputs!$F$60*Time!$F$15^((J8-0.5)/12),INDEX(Operations!$J$11:$BN$11,1,J12))</f>
        <v/>
      </c>
      <c r="K16" s="11">
        <f>IF(Inputs!$F$33=1,Inputs!$F$60*Time!$F$15^((K8-0.5)/12),INDEX(Operations!$J$11:$BN$11,1,K12))</f>
        <v/>
      </c>
      <c r="L16" s="11">
        <f>IF(Inputs!$F$33=1,Inputs!$F$60*Time!$F$15^((L8-0.5)/12),INDEX(Operations!$J$11:$BN$11,1,L12))</f>
        <v/>
      </c>
      <c r="M16" s="11">
        <f>IF(Inputs!$F$33=1,Inputs!$F$60*Time!$F$15^((M8-0.5)/12),INDEX(Operations!$J$11:$BN$11,1,M12))</f>
        <v/>
      </c>
      <c r="N16" s="11">
        <f>IF(Inputs!$F$33=1,Inputs!$F$60*Time!$F$15^((N8-0.5)/12),INDEX(Operations!$J$11:$BN$11,1,N12))</f>
        <v/>
      </c>
      <c r="O16" s="11">
        <f>IF(Inputs!$F$33=1,Inputs!$F$60*Time!$F$15^((O8-0.5)/12),INDEX(Operations!$J$11:$BN$11,1,O12))</f>
        <v/>
      </c>
      <c r="P16" s="11">
        <f>IF(Inputs!$F$33=1,Inputs!$F$60*Time!$F$15^((P8-0.5)/12),INDEX(Operations!$J$11:$BN$11,1,P12))</f>
        <v/>
      </c>
      <c r="Q16" s="11">
        <f>IF(Inputs!$F$33=1,Inputs!$F$60*Time!$F$15^((Q8-0.5)/12),INDEX(Operations!$J$11:$BN$11,1,Q12))</f>
        <v/>
      </c>
      <c r="R16" s="11">
        <f>IF(Inputs!$F$33=1,Inputs!$F$60*Time!$F$15^((R8-0.5)/12),INDEX(Operations!$J$11:$BN$11,1,R12))</f>
        <v/>
      </c>
      <c r="S16" s="11">
        <f>IF(Inputs!$F$33=1,Inputs!$F$60*Time!$F$15^((S8-0.5)/12),INDEX(Operations!$J$11:$BN$11,1,S12))</f>
        <v/>
      </c>
      <c r="T16" s="11">
        <f>IF(Inputs!$F$33=1,Inputs!$F$60*Time!$F$15^((T8-0.5)/12),INDEX(Operations!$J$11:$BN$11,1,T12))</f>
        <v/>
      </c>
      <c r="U16" s="11">
        <f>IF(Inputs!$F$33=1,Inputs!$F$60*Time!$F$15^((U8-0.5)/12),INDEX(Operations!$J$11:$BN$11,1,U12))</f>
        <v/>
      </c>
      <c r="V16" s="11">
        <f>IF(Inputs!$F$33=1,Inputs!$F$60*Time!$F$15^((V8-0.5)/12),INDEX(Operations!$J$11:$BN$11,1,V12))</f>
        <v/>
      </c>
      <c r="W16" s="11">
        <f>IF(Inputs!$F$33=1,Inputs!$F$60*Time!$F$15^((W8-0.5)/12),INDEX(Operations!$J$11:$BN$11,1,W12))</f>
        <v/>
      </c>
      <c r="X16" s="11">
        <f>IF(Inputs!$F$33=1,Inputs!$F$60*Time!$F$15^((X8-0.5)/12),INDEX(Operations!$J$11:$BN$11,1,X12))</f>
        <v/>
      </c>
      <c r="Y16" s="11">
        <f>IF(Inputs!$F$33=1,Inputs!$F$60*Time!$F$15^((Y8-0.5)/12),INDEX(Operations!$J$11:$BN$11,1,Y12))</f>
        <v/>
      </c>
      <c r="Z16" s="11">
        <f>IF(Inputs!$F$33=1,Inputs!$F$60*Time!$F$15^((Z8-0.5)/12),INDEX(Operations!$J$11:$BN$11,1,Z12))</f>
        <v/>
      </c>
      <c r="AA16" s="11">
        <f>IF(Inputs!$F$33=1,Inputs!$F$60*Time!$F$15^((AA8-0.5)/12),INDEX(Operations!$J$11:$BN$11,1,AA12))</f>
        <v/>
      </c>
      <c r="AB16" s="11">
        <f>IF(Inputs!$F$33=1,Inputs!$F$60*Time!$F$15^((AB8-0.5)/12),INDEX(Operations!$J$11:$BN$11,1,AB12))</f>
        <v/>
      </c>
      <c r="AC16" s="11">
        <f>IF(Inputs!$F$33=1,Inputs!$F$60*Time!$F$15^((AC8-0.5)/12),INDEX(Operations!$J$11:$BN$11,1,AC12))</f>
        <v/>
      </c>
      <c r="AD16" s="11">
        <f>IF(Inputs!$F$33=1,Inputs!$F$60*Time!$F$15^((AD8-0.5)/12),INDEX(Operations!$J$11:$BN$11,1,AD12))</f>
        <v/>
      </c>
      <c r="AE16" s="11">
        <f>IF(Inputs!$F$33=1,Inputs!$F$60*Time!$F$15^((AE8-0.5)/12),INDEX(Operations!$J$11:$BN$11,1,AE12))</f>
        <v/>
      </c>
      <c r="AF16" s="11">
        <f>IF(Inputs!$F$33=1,Inputs!$F$60*Time!$F$15^((AF8-0.5)/12),INDEX(Operations!$J$11:$BN$11,1,AF12))</f>
        <v/>
      </c>
      <c r="AG16" s="11">
        <f>IF(Inputs!$F$33=1,Inputs!$F$60*Time!$F$15^((AG8-0.5)/12),INDEX(Operations!$J$11:$BN$11,1,AG12))</f>
        <v/>
      </c>
      <c r="AH16" s="11">
        <f>IF(Inputs!$F$33=1,Inputs!$F$60*Time!$F$15^((AH8-0.5)/12),INDEX(Operations!$J$11:$BN$11,1,AH12))</f>
        <v/>
      </c>
      <c r="AI16" s="11">
        <f>IF(Inputs!$F$33=1,Inputs!$F$60*Time!$F$15^((AI8-0.5)/12),INDEX(Operations!$J$11:$BN$11,1,AI12))</f>
        <v/>
      </c>
      <c r="AJ16" s="11">
        <f>IF(Inputs!$F$33=1,Inputs!$F$60*Time!$F$15^((AJ8-0.5)/12),INDEX(Operations!$J$11:$BN$11,1,AJ12))</f>
        <v/>
      </c>
      <c r="AK16" s="11">
        <f>IF(Inputs!$F$33=1,Inputs!$F$60*Time!$F$15^((AK8-0.5)/12),INDEX(Operations!$J$11:$BN$11,1,AK12))</f>
        <v/>
      </c>
      <c r="AL16" s="11">
        <f>IF(Inputs!$F$33=1,Inputs!$F$60*Time!$F$15^((AL8-0.5)/12),INDEX(Operations!$J$11:$BN$11,1,AL12))</f>
        <v/>
      </c>
      <c r="AM16" s="11">
        <f>IF(Inputs!$F$33=1,Inputs!$F$60*Time!$F$15^((AM8-0.5)/12),INDEX(Operations!$J$11:$BN$11,1,AM12))</f>
        <v/>
      </c>
      <c r="AN16" s="11">
        <f>IF(Inputs!$F$33=1,Inputs!$F$60*Time!$F$15^((AN8-0.5)/12),INDEX(Operations!$J$11:$BN$11,1,AN12))</f>
        <v/>
      </c>
      <c r="AO16" s="11">
        <f>IF(Inputs!$F$33=1,Inputs!$F$60*Time!$F$15^((AO8-0.5)/12),INDEX(Operations!$J$11:$BN$11,1,AO12))</f>
        <v/>
      </c>
      <c r="AP16" s="11">
        <f>IF(Inputs!$F$33=1,Inputs!$F$60*Time!$F$15^((AP8-0.5)/12),INDEX(Operations!$J$11:$BN$11,1,AP12))</f>
        <v/>
      </c>
      <c r="AQ16" s="11">
        <f>IF(Inputs!$F$33=1,Inputs!$F$60*Time!$F$15^((AQ8-0.5)/12),INDEX(Operations!$J$11:$BN$11,1,AQ12))</f>
        <v/>
      </c>
      <c r="AR16" s="11">
        <f>IF(Inputs!$F$33=1,Inputs!$F$60*Time!$F$15^((AR8-0.5)/12),INDEX(Operations!$J$11:$BN$11,1,AR12))</f>
        <v/>
      </c>
      <c r="AS16" s="11">
        <f>IF(Inputs!$F$33=1,Inputs!$F$60*Time!$F$15^((AS8-0.5)/12),INDEX(Operations!$J$11:$BN$11,1,AS12))</f>
        <v/>
      </c>
      <c r="AT16" s="11">
        <f>IF(Inputs!$F$33=1,Inputs!$F$60*Time!$F$15^((AT8-0.5)/12),INDEX(Operations!$J$11:$BN$11,1,AT12))</f>
        <v/>
      </c>
      <c r="AU16" s="11">
        <f>IF(Inputs!$F$33=1,Inputs!$F$60*Time!$F$15^((AU8-0.5)/12),INDEX(Operations!$J$11:$BN$11,1,AU12))</f>
        <v/>
      </c>
      <c r="AV16" s="11">
        <f>IF(Inputs!$F$33=1,Inputs!$F$60*Time!$F$15^((AV8-0.5)/12),INDEX(Operations!$J$11:$BN$11,1,AV12))</f>
        <v/>
      </c>
      <c r="AW16" s="11">
        <f>IF(Inputs!$F$33=1,Inputs!$F$60*Time!$F$15^((AW8-0.5)/12),INDEX(Operations!$J$11:$BN$11,1,AW12))</f>
        <v/>
      </c>
      <c r="AX16" s="11">
        <f>IF(Inputs!$F$33=1,Inputs!$F$60*Time!$F$15^((AX8-0.5)/12),INDEX(Operations!$J$11:$BN$11,1,AX12))</f>
        <v/>
      </c>
      <c r="AY16" s="11">
        <f>IF(Inputs!$F$33=1,Inputs!$F$60*Time!$F$15^((AY8-0.5)/12),INDEX(Operations!$J$11:$BN$11,1,AY12))</f>
        <v/>
      </c>
      <c r="AZ16" s="11">
        <f>IF(Inputs!$F$33=1,Inputs!$F$60*Time!$F$15^((AZ8-0.5)/12),INDEX(Operations!$J$11:$BN$11,1,AZ12))</f>
        <v/>
      </c>
      <c r="BA16" s="11">
        <f>IF(Inputs!$F$33=1,Inputs!$F$60*Time!$F$15^((BA8-0.5)/12),INDEX(Operations!$J$11:$BN$11,1,BA12))</f>
        <v/>
      </c>
      <c r="BB16" s="11">
        <f>IF(Inputs!$F$33=1,Inputs!$F$60*Time!$F$15^((BB8-0.5)/12),INDEX(Operations!$J$11:$BN$11,1,BB12))</f>
        <v/>
      </c>
      <c r="BC16" s="11">
        <f>IF(Inputs!$F$33=1,Inputs!$F$60*Time!$F$15^((BC8-0.5)/12),INDEX(Operations!$J$11:$BN$11,1,BC12))</f>
        <v/>
      </c>
      <c r="BD16" s="11">
        <f>IF(Inputs!$F$33=1,Inputs!$F$60*Time!$F$15^((BD8-0.5)/12),INDEX(Operations!$J$11:$BN$11,1,BD12))</f>
        <v/>
      </c>
      <c r="BE16" s="11">
        <f>IF(Inputs!$F$33=1,Inputs!$F$60*Time!$F$15^((BE8-0.5)/12),INDEX(Operations!$J$11:$BN$11,1,BE12))</f>
        <v/>
      </c>
      <c r="BF16" s="11">
        <f>IF(Inputs!$F$33=1,Inputs!$F$60*Time!$F$15^((BF8-0.5)/12),INDEX(Operations!$J$11:$BN$11,1,BF12))</f>
        <v/>
      </c>
      <c r="BG16" s="11">
        <f>IF(Inputs!$F$33=1,Inputs!$F$60*Time!$F$15^((BG8-0.5)/12),INDEX(Operations!$J$11:$BN$11,1,BG12))</f>
        <v/>
      </c>
      <c r="BH16" s="11">
        <f>IF(Inputs!$F$33=1,Inputs!$F$60*Time!$F$15^((BH8-0.5)/12),INDEX(Operations!$J$11:$BN$11,1,BH12))</f>
        <v/>
      </c>
      <c r="BI16" s="11">
        <f>IF(Inputs!$F$33=1,Inputs!$F$60*Time!$F$15^((BI8-0.5)/12),INDEX(Operations!$J$11:$BN$11,1,BI12))</f>
        <v/>
      </c>
      <c r="BJ16" s="11">
        <f>IF(Inputs!$F$33=1,Inputs!$F$60*Time!$F$15^((BJ8-0.5)/12),INDEX(Operations!$J$11:$BN$11,1,BJ12))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IF(Inputs!$F$33=1,Inputs!$F$73,INDEX(Inputs!$J$213:$AR$213,1,YEAR(J9)-2014))</f>
        <v/>
      </c>
      <c r="K18" s="11">
        <f>IF(Inputs!$F$33=1,Inputs!$F$73,INDEX(Inputs!$J$213:$AR$213,1,YEAR(K9)-2014))</f>
        <v/>
      </c>
      <c r="L18" s="11">
        <f>IF(Inputs!$F$33=1,Inputs!$F$73,INDEX(Inputs!$J$213:$AR$213,1,YEAR(L9)-2014))</f>
        <v/>
      </c>
      <c r="M18" s="11">
        <f>IF(Inputs!$F$33=1,Inputs!$F$73,INDEX(Inputs!$J$213:$AR$213,1,YEAR(M9)-2014))</f>
        <v/>
      </c>
      <c r="N18" s="11">
        <f>IF(Inputs!$F$33=1,Inputs!$F$73,INDEX(Inputs!$J$213:$AR$213,1,YEAR(N9)-2014))</f>
        <v/>
      </c>
      <c r="O18" s="11">
        <f>IF(Inputs!$F$33=1,Inputs!$F$73,INDEX(Inputs!$J$213:$AR$213,1,YEAR(O9)-2014))</f>
        <v/>
      </c>
      <c r="P18" s="11">
        <f>IF(Inputs!$F$33=1,Inputs!$F$73,INDEX(Inputs!$J$213:$AR$213,1,YEAR(P9)-2014))</f>
        <v/>
      </c>
      <c r="Q18" s="11">
        <f>IF(Inputs!$F$33=1,Inputs!$F$73,INDEX(Inputs!$J$213:$AR$213,1,YEAR(Q9)-2014))</f>
        <v/>
      </c>
      <c r="R18" s="11">
        <f>IF(Inputs!$F$33=1,Inputs!$F$73,INDEX(Inputs!$J$213:$AR$213,1,YEAR(R9)-2014))</f>
        <v/>
      </c>
      <c r="S18" s="11">
        <f>IF(Inputs!$F$33=1,Inputs!$F$73,INDEX(Inputs!$J$213:$AR$213,1,YEAR(S9)-2014))</f>
        <v/>
      </c>
      <c r="T18" s="11">
        <f>IF(Inputs!$F$33=1,Inputs!$F$73,INDEX(Inputs!$J$213:$AR$213,1,YEAR(T9)-2014))</f>
        <v/>
      </c>
      <c r="U18" s="11">
        <f>IF(Inputs!$F$33=1,Inputs!$F$73,INDEX(Inputs!$J$213:$AR$213,1,YEAR(U9)-2014))</f>
        <v/>
      </c>
      <c r="V18" s="11">
        <f>IF(Inputs!$F$33=1,Inputs!$F$73,INDEX(Inputs!$J$213:$AR$213,1,YEAR(V9)-2014))</f>
        <v/>
      </c>
      <c r="W18" s="11">
        <f>IF(Inputs!$F$33=1,Inputs!$F$73,INDEX(Inputs!$J$213:$AR$213,1,YEAR(W9)-2014))</f>
        <v/>
      </c>
      <c r="X18" s="11">
        <f>IF(Inputs!$F$33=1,Inputs!$F$73,INDEX(Inputs!$J$213:$AR$213,1,YEAR(X9)-2014))</f>
        <v/>
      </c>
      <c r="Y18" s="11">
        <f>IF(Inputs!$F$33=1,Inputs!$F$73,INDEX(Inputs!$J$213:$AR$213,1,YEAR(Y9)-2014))</f>
        <v/>
      </c>
      <c r="Z18" s="11">
        <f>IF(Inputs!$F$33=1,Inputs!$F$73,INDEX(Inputs!$J$213:$AR$213,1,YEAR(Z9)-2014))</f>
        <v/>
      </c>
      <c r="AA18" s="11">
        <f>IF(Inputs!$F$33=1,Inputs!$F$73,INDEX(Inputs!$J$213:$AR$213,1,YEAR(AA9)-2014))</f>
        <v/>
      </c>
      <c r="AB18" s="11">
        <f>IF(Inputs!$F$33=1,Inputs!$F$73,INDEX(Inputs!$J$213:$AR$213,1,YEAR(AB9)-2014))</f>
        <v/>
      </c>
      <c r="AC18" s="11">
        <f>IF(Inputs!$F$33=1,Inputs!$F$73,INDEX(Inputs!$J$213:$AR$213,1,YEAR(AC9)-2014))</f>
        <v/>
      </c>
      <c r="AD18" s="11">
        <f>IF(Inputs!$F$33=1,Inputs!$F$73,INDEX(Inputs!$J$213:$AR$213,1,YEAR(AD9)-2014))</f>
        <v/>
      </c>
      <c r="AE18" s="11">
        <f>IF(Inputs!$F$33=1,Inputs!$F$73,INDEX(Inputs!$J$213:$AR$213,1,YEAR(AE9)-2014))</f>
        <v/>
      </c>
      <c r="AF18" s="11">
        <f>IF(Inputs!$F$33=1,Inputs!$F$73,INDEX(Inputs!$J$213:$AR$213,1,YEAR(AF9)-2014))</f>
        <v/>
      </c>
      <c r="AG18" s="11">
        <f>IF(Inputs!$F$33=1,Inputs!$F$73,INDEX(Inputs!$J$213:$AR$213,1,YEAR(AG9)-2014))</f>
        <v/>
      </c>
      <c r="AH18" s="11">
        <f>IF(Inputs!$F$33=1,Inputs!$F$73,INDEX(Inputs!$J$213:$AR$213,1,YEAR(AH9)-2014))</f>
        <v/>
      </c>
      <c r="AI18" s="11">
        <f>IF(Inputs!$F$33=1,Inputs!$F$73,INDEX(Inputs!$J$213:$AR$213,1,YEAR(AI9)-2014))</f>
        <v/>
      </c>
      <c r="AJ18" s="11">
        <f>IF(Inputs!$F$33=1,Inputs!$F$73,INDEX(Inputs!$J$213:$AR$213,1,YEAR(AJ9)-2014))</f>
        <v/>
      </c>
      <c r="AK18" s="11">
        <f>IF(Inputs!$F$33=1,Inputs!$F$73,INDEX(Inputs!$J$213:$AR$213,1,YEAR(AK9)-2014))</f>
        <v/>
      </c>
      <c r="AL18" s="11">
        <f>IF(Inputs!$F$33=1,Inputs!$F$73,INDEX(Inputs!$J$213:$AR$213,1,YEAR(AL9)-2014))</f>
        <v/>
      </c>
      <c r="AM18" s="11">
        <f>IF(Inputs!$F$33=1,Inputs!$F$73,INDEX(Inputs!$J$213:$AR$213,1,YEAR(AM9)-2014))</f>
        <v/>
      </c>
      <c r="AN18" s="11">
        <f>IF(Inputs!$F$33=1,Inputs!$F$73,INDEX(Inputs!$J$213:$AR$213,1,YEAR(AN9)-2014))</f>
        <v/>
      </c>
      <c r="AO18" s="11">
        <f>IF(Inputs!$F$33=1,Inputs!$F$73,INDEX(Inputs!$J$213:$AR$213,1,YEAR(AO9)-2014))</f>
        <v/>
      </c>
      <c r="AP18" s="11">
        <f>IF(Inputs!$F$33=1,Inputs!$F$73,INDEX(Inputs!$J$213:$AR$213,1,YEAR(AP9)-2014))</f>
        <v/>
      </c>
      <c r="AQ18" s="11">
        <f>IF(Inputs!$F$33=1,Inputs!$F$73,INDEX(Inputs!$J$213:$AR$213,1,YEAR(AQ9)-2014))</f>
        <v/>
      </c>
      <c r="AR18" s="11">
        <f>IF(Inputs!$F$33=1,Inputs!$F$73,INDEX(Inputs!$J$213:$AR$213,1,YEAR(AR9)-2014))</f>
        <v/>
      </c>
      <c r="AS18" s="11">
        <f>IF(Inputs!$F$33=1,Inputs!$F$73,INDEX(Inputs!$J$213:$AR$213,1,YEAR(AS9)-2014))</f>
        <v/>
      </c>
      <c r="AT18" s="11">
        <f>IF(Inputs!$F$33=1,Inputs!$F$73,INDEX(Inputs!$J$213:$AR$213,1,YEAR(AT9)-2014))</f>
        <v/>
      </c>
      <c r="AU18" s="11">
        <f>IF(Inputs!$F$33=1,Inputs!$F$73,INDEX(Inputs!$J$213:$AR$213,1,YEAR(AU9)-2014))</f>
        <v/>
      </c>
      <c r="AV18" s="11">
        <f>IF(Inputs!$F$33=1,Inputs!$F$73,INDEX(Inputs!$J$213:$AR$213,1,YEAR(AV9)-2014))</f>
        <v/>
      </c>
      <c r="AW18" s="11">
        <f>IF(Inputs!$F$33=1,Inputs!$F$73,INDEX(Inputs!$J$213:$AR$213,1,YEAR(AW9)-2014))</f>
        <v/>
      </c>
      <c r="AX18" s="11">
        <f>IF(Inputs!$F$33=1,Inputs!$F$73,INDEX(Inputs!$J$213:$AR$213,1,YEAR(AX9)-2014))</f>
        <v/>
      </c>
      <c r="AY18" s="11">
        <f>IF(Inputs!$F$33=1,Inputs!$F$73,INDEX(Inputs!$J$213:$AR$213,1,YEAR(AY9)-2014))</f>
        <v/>
      </c>
      <c r="AZ18" s="11">
        <f>IF(Inputs!$F$33=1,Inputs!$F$73,INDEX(Inputs!$J$213:$AR$213,1,YEAR(AZ9)-2014))</f>
        <v/>
      </c>
      <c r="BA18" s="11">
        <f>IF(Inputs!$F$33=1,Inputs!$F$73,INDEX(Inputs!$J$213:$AR$213,1,YEAR(BA9)-2014))</f>
        <v/>
      </c>
      <c r="BB18" s="11">
        <f>IF(Inputs!$F$33=1,Inputs!$F$73,INDEX(Inputs!$J$213:$AR$213,1,YEAR(BB9)-2014))</f>
        <v/>
      </c>
      <c r="BC18" s="11">
        <f>IF(Inputs!$F$33=1,Inputs!$F$73,INDEX(Inputs!$J$213:$AR$213,1,YEAR(BC9)-2014))</f>
        <v/>
      </c>
      <c r="BD18" s="11">
        <f>IF(Inputs!$F$33=1,Inputs!$F$73,INDEX(Inputs!$J$213:$AR$213,1,YEAR(BD9)-2014))</f>
        <v/>
      </c>
      <c r="BE18" s="11">
        <f>IF(Inputs!$F$33=1,Inputs!$F$73,INDEX(Inputs!$J$213:$AR$213,1,YEAR(BE9)-2014))</f>
        <v/>
      </c>
      <c r="BF18" s="11">
        <f>IF(Inputs!$F$33=1,Inputs!$F$73,INDEX(Inputs!$J$213:$AR$213,1,YEAR(BF9)-2014))</f>
        <v/>
      </c>
      <c r="BG18" s="11">
        <f>IF(Inputs!$F$33=1,Inputs!$F$73,INDEX(Inputs!$J$213:$AR$213,1,YEAR(BG9)-2014))</f>
        <v/>
      </c>
      <c r="BH18" s="11">
        <f>IF(Inputs!$F$33=1,Inputs!$F$73,INDEX(Inputs!$J$213:$AR$213,1,YEAR(BH9)-2014))</f>
        <v/>
      </c>
      <c r="BI18" s="11">
        <f>IF(Inputs!$F$33=1,Inputs!$F$73,INDEX(Inputs!$J$213:$AR$213,1,YEAR(BI9)-2014))</f>
        <v/>
      </c>
      <c r="BJ18" s="11">
        <f>IF(Inputs!$F$33=1,Inputs!$F$73,INDEX(Inputs!$J$213:$AR$213,1,YEAR(BJ9)-2014))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IF(Inputs!$F$34=2,Inputs!J230,Inputs!J229+IF(Inputs!$F$35&gt;0,IF(J8=33,-7.5,0)+IF(J8=33+Inputs!$F$35,7.5,0),0))</f>
        <v/>
      </c>
      <c r="K20" s="11">
        <f>IF(Inputs!$F$34=2,Inputs!K230,Inputs!K229+IF(Inputs!$F$35&gt;0,IF(K8=33,-7.5,0)+IF(K8=33+Inputs!$F$35,7.5,0),0))</f>
        <v/>
      </c>
      <c r="L20" s="11">
        <f>IF(Inputs!$F$34=2,Inputs!L230,Inputs!L229+IF(Inputs!$F$35&gt;0,IF(L8=33,-7.5,0)+IF(L8=33+Inputs!$F$35,7.5,0),0))</f>
        <v/>
      </c>
      <c r="M20" s="11">
        <f>IF(Inputs!$F$34=2,Inputs!M230,Inputs!M229+IF(Inputs!$F$35&gt;0,IF(M8=33,-7.5,0)+IF(M8=33+Inputs!$F$35,7.5,0),0))</f>
        <v/>
      </c>
      <c r="N20" s="11">
        <f>IF(Inputs!$F$34=2,Inputs!N230,Inputs!N229+IF(Inputs!$F$35&gt;0,IF(N8=33,-7.5,0)+IF(N8=33+Inputs!$F$35,7.5,0),0))</f>
        <v/>
      </c>
      <c r="O20" s="11">
        <f>IF(Inputs!$F$34=2,Inputs!O230,Inputs!O229+IF(Inputs!$F$35&gt;0,IF(O8=33,-7.5,0)+IF(O8=33+Inputs!$F$35,7.5,0),0))</f>
        <v/>
      </c>
      <c r="P20" s="11">
        <f>IF(Inputs!$F$34=2,Inputs!P230,Inputs!P229+IF(Inputs!$F$35&gt;0,IF(P8=33,-7.5,0)+IF(P8=33+Inputs!$F$35,7.5,0),0))</f>
        <v/>
      </c>
      <c r="Q20" s="11">
        <f>IF(Inputs!$F$34=2,Inputs!Q230,Inputs!Q229+IF(Inputs!$F$35&gt;0,IF(Q8=33,-7.5,0)+IF(Q8=33+Inputs!$F$35,7.5,0),0))</f>
        <v/>
      </c>
      <c r="R20" s="11">
        <f>IF(Inputs!$F$34=2,Inputs!R230,Inputs!R229+IF(Inputs!$F$35&gt;0,IF(R8=33,-7.5,0)+IF(R8=33+Inputs!$F$35,7.5,0),0))</f>
        <v/>
      </c>
      <c r="S20" s="11">
        <f>IF(Inputs!$F$34=2,Inputs!S230,Inputs!S229+IF(Inputs!$F$35&gt;0,IF(S8=33,-7.5,0)+IF(S8=33+Inputs!$F$35,7.5,0),0))</f>
        <v/>
      </c>
      <c r="T20" s="11">
        <f>IF(Inputs!$F$34=2,Inputs!T230,Inputs!T229+IF(Inputs!$F$35&gt;0,IF(T8=33,-7.5,0)+IF(T8=33+Inputs!$F$35,7.5,0),0))</f>
        <v/>
      </c>
      <c r="U20" s="11">
        <f>IF(Inputs!$F$34=2,Inputs!U230,Inputs!U229+IF(Inputs!$F$35&gt;0,IF(U8=33,-7.5,0)+IF(U8=33+Inputs!$F$35,7.5,0),0))</f>
        <v/>
      </c>
      <c r="V20" s="11">
        <f>IF(Inputs!$F$34=2,Inputs!V230,Inputs!V229+IF(Inputs!$F$35&gt;0,IF(V8=33,-7.5,0)+IF(V8=33+Inputs!$F$35,7.5,0),0))</f>
        <v/>
      </c>
      <c r="W20" s="11">
        <f>IF(Inputs!$F$34=2,Inputs!W230,Inputs!W229+IF(Inputs!$F$35&gt;0,IF(W8=33,-7.5,0)+IF(W8=33+Inputs!$F$35,7.5,0),0))</f>
        <v/>
      </c>
      <c r="X20" s="11">
        <f>IF(Inputs!$F$34=2,Inputs!X230,Inputs!X229+IF(Inputs!$F$35&gt;0,IF(X8=33,-7.5,0)+IF(X8=33+Inputs!$F$35,7.5,0),0))</f>
        <v/>
      </c>
      <c r="Y20" s="11">
        <f>IF(Inputs!$F$34=2,Inputs!Y230,Inputs!Y229+IF(Inputs!$F$35&gt;0,IF(Y8=33,-7.5,0)+IF(Y8=33+Inputs!$F$35,7.5,0),0))</f>
        <v/>
      </c>
      <c r="Z20" s="11">
        <f>IF(Inputs!$F$34=2,Inputs!Z230,Inputs!Z229+IF(Inputs!$F$35&gt;0,IF(Z8=33,-7.5,0)+IF(Z8=33+Inputs!$F$35,7.5,0),0))</f>
        <v/>
      </c>
      <c r="AA20" s="11">
        <f>IF(Inputs!$F$34=2,Inputs!AA230,Inputs!AA229+IF(Inputs!$F$35&gt;0,IF(AA8=33,-7.5,0)+IF(AA8=33+Inputs!$F$35,7.5,0),0))</f>
        <v/>
      </c>
      <c r="AB20" s="11">
        <f>IF(Inputs!$F$34=2,Inputs!AB230,Inputs!AB229+IF(Inputs!$F$35&gt;0,IF(AB8=33,-7.5,0)+IF(AB8=33+Inputs!$F$35,7.5,0),0))</f>
        <v/>
      </c>
      <c r="AC20" s="11">
        <f>IF(Inputs!$F$34=2,Inputs!AC230,Inputs!AC229+IF(Inputs!$F$35&gt;0,IF(AC8=33,-7.5,0)+IF(AC8=33+Inputs!$F$35,7.5,0),0))</f>
        <v/>
      </c>
      <c r="AD20" s="11">
        <f>IF(Inputs!$F$34=2,Inputs!AD230,Inputs!AD229+IF(Inputs!$F$35&gt;0,IF(AD8=33,-7.5,0)+IF(AD8=33+Inputs!$F$35,7.5,0),0))</f>
        <v/>
      </c>
      <c r="AE20" s="11">
        <f>IF(Inputs!$F$34=2,Inputs!AE230,Inputs!AE229+IF(Inputs!$F$35&gt;0,IF(AE8=33,-7.5,0)+IF(AE8=33+Inputs!$F$35,7.5,0),0))</f>
        <v/>
      </c>
      <c r="AF20" s="11">
        <f>IF(Inputs!$F$34=2,Inputs!AF230,Inputs!AF229+IF(Inputs!$F$35&gt;0,IF(AF8=33,-7.5,0)+IF(AF8=33+Inputs!$F$35,7.5,0),0))</f>
        <v/>
      </c>
      <c r="AG20" s="11">
        <f>IF(Inputs!$F$34=2,Inputs!AG230,Inputs!AG229+IF(Inputs!$F$35&gt;0,IF(AG8=33,-7.5,0)+IF(AG8=33+Inputs!$F$35,7.5,0),0))</f>
        <v/>
      </c>
      <c r="AH20" s="11">
        <f>IF(Inputs!$F$34=2,Inputs!AH230,Inputs!AH229+IF(Inputs!$F$35&gt;0,IF(AH8=33,-7.5,0)+IF(AH8=33+Inputs!$F$35,7.5,0),0))</f>
        <v/>
      </c>
      <c r="AI20" s="11">
        <f>IF(Inputs!$F$34=2,Inputs!AI230,Inputs!AI229+IF(Inputs!$F$35&gt;0,IF(AI8=33,-7.5,0)+IF(AI8=33+Inputs!$F$35,7.5,0),0))</f>
        <v/>
      </c>
      <c r="AJ20" s="11">
        <f>IF(Inputs!$F$34=2,Inputs!AJ230,Inputs!AJ229+IF(Inputs!$F$35&gt;0,IF(AJ8=33,-7.5,0)+IF(AJ8=33+Inputs!$F$35,7.5,0),0))</f>
        <v/>
      </c>
      <c r="AK20" s="11">
        <f>IF(Inputs!$F$34=2,Inputs!AK230,Inputs!AK229+IF(Inputs!$F$35&gt;0,IF(AK8=33,-7.5,0)+IF(AK8=33+Inputs!$F$35,7.5,0),0))</f>
        <v/>
      </c>
      <c r="AL20" s="11">
        <f>IF(Inputs!$F$34=2,Inputs!AL230,Inputs!AL229+IF(Inputs!$F$35&gt;0,IF(AL8=33,-7.5,0)+IF(AL8=33+Inputs!$F$35,7.5,0),0))</f>
        <v/>
      </c>
      <c r="AM20" s="11">
        <f>IF(Inputs!$F$34=2,Inputs!AM230,Inputs!AM229+IF(Inputs!$F$35&gt;0,IF(AM8=33,-7.5,0)+IF(AM8=33+Inputs!$F$35,7.5,0),0))</f>
        <v/>
      </c>
      <c r="AN20" s="11">
        <f>IF(Inputs!$F$34=2,Inputs!AN230,Inputs!AN229+IF(Inputs!$F$35&gt;0,IF(AN8=33,-7.5,0)+IF(AN8=33+Inputs!$F$35,7.5,0),0))</f>
        <v/>
      </c>
      <c r="AO20" s="11">
        <f>IF(Inputs!$F$34=2,Inputs!AO230,Inputs!AO229+IF(Inputs!$F$35&gt;0,IF(AO8=33,-7.5,0)+IF(AO8=33+Inputs!$F$35,7.5,0),0))</f>
        <v/>
      </c>
      <c r="AP20" s="11">
        <f>IF(Inputs!$F$34=2,Inputs!AP230,Inputs!AP229+IF(Inputs!$F$35&gt;0,IF(AP8=33,-7.5,0)+IF(AP8=33+Inputs!$F$35,7.5,0),0))</f>
        <v/>
      </c>
      <c r="AQ20" s="11">
        <f>IF(Inputs!$F$34=2,Inputs!AQ230,Inputs!AQ229+IF(Inputs!$F$35&gt;0,IF(AQ8=33,-7.5,0)+IF(AQ8=33+Inputs!$F$35,7.5,0),0))</f>
        <v/>
      </c>
      <c r="AR20" s="11">
        <f>IF(Inputs!$F$34=2,Inputs!AR230,Inputs!AR229+IF(Inputs!$F$35&gt;0,IF(AR8=33,-7.5,0)+IF(AR8=33+Inputs!$F$35,7.5,0),0))</f>
        <v/>
      </c>
      <c r="AS20" s="11">
        <f>IF(Inputs!$F$34=2,Inputs!AS230,Inputs!AS229+IF(Inputs!$F$35&gt;0,IF(AS8=33,-7.5,0)+IF(AS8=33+Inputs!$F$35,7.5,0),0))</f>
        <v/>
      </c>
      <c r="AT20" s="11">
        <f>IF(Inputs!$F$34=2,Inputs!AT230,Inputs!AT229+IF(Inputs!$F$35&gt;0,IF(AT8=33,-7.5,0)+IF(AT8=33+Inputs!$F$35,7.5,0),0))</f>
        <v/>
      </c>
      <c r="AU20" s="11">
        <f>IF(Inputs!$F$34=2,Inputs!AU230,Inputs!AU229+IF(Inputs!$F$35&gt;0,IF(AU8=33,-7.5,0)+IF(AU8=33+Inputs!$F$35,7.5,0),0))</f>
        <v/>
      </c>
      <c r="AV20" s="11">
        <f>IF(Inputs!$F$34=2,Inputs!AV230,Inputs!AV229+IF(Inputs!$F$35&gt;0,IF(AV8=33,-7.5,0)+IF(AV8=33+Inputs!$F$35,7.5,0),0))</f>
        <v/>
      </c>
      <c r="AW20" s="11">
        <f>IF(Inputs!$F$34=2,Inputs!AW230,Inputs!AW229+IF(Inputs!$F$35&gt;0,IF(AW8=33,-7.5,0)+IF(AW8=33+Inputs!$F$35,7.5,0),0))</f>
        <v/>
      </c>
      <c r="AX20" s="11">
        <f>IF(Inputs!$F$34=2,Inputs!AX230,Inputs!AX229+IF(Inputs!$F$35&gt;0,IF(AX8=33,-7.5,0)+IF(AX8=33+Inputs!$F$35,7.5,0),0))</f>
        <v/>
      </c>
      <c r="AY20" s="11">
        <f>IF(Inputs!$F$34=2,Inputs!AY230,Inputs!AY229+IF(Inputs!$F$35&gt;0,IF(AY8=33,-7.5,0)+IF(AY8=33+Inputs!$F$35,7.5,0),0))</f>
        <v/>
      </c>
      <c r="AZ20" s="11">
        <f>IF(Inputs!$F$34=2,Inputs!AZ230,Inputs!AZ229+IF(Inputs!$F$35&gt;0,IF(AZ8=33,-7.5,0)+IF(AZ8=33+Inputs!$F$35,7.5,0),0))</f>
        <v/>
      </c>
      <c r="BA20" s="11">
        <f>IF(Inputs!$F$34=2,Inputs!BA230,Inputs!BA229+IF(Inputs!$F$35&gt;0,IF(BA8=33,-7.5,0)+IF(BA8=33+Inputs!$F$35,7.5,0),0))</f>
        <v/>
      </c>
      <c r="BB20" s="11">
        <f>IF(Inputs!$F$34=2,Inputs!BB230,Inputs!BB229+IF(Inputs!$F$35&gt;0,IF(BB8=33,-7.5,0)+IF(BB8=33+Inputs!$F$35,7.5,0),0))</f>
        <v/>
      </c>
      <c r="BC20" s="11">
        <f>IF(Inputs!$F$34=2,Inputs!BC230,Inputs!BC229+IF(Inputs!$F$35&gt;0,IF(BC8=33,-7.5,0)+IF(BC8=33+Inputs!$F$35,7.5,0),0))</f>
        <v/>
      </c>
      <c r="BD20" s="11">
        <f>IF(Inputs!$F$34=2,Inputs!BD230,Inputs!BD229+IF(Inputs!$F$35&gt;0,IF(BD8=33,-7.5,0)+IF(BD8=33+Inputs!$F$35,7.5,0),0))</f>
        <v/>
      </c>
      <c r="BE20" s="11">
        <f>IF(Inputs!$F$34=2,Inputs!BE230,Inputs!BE229+IF(Inputs!$F$35&gt;0,IF(BE8=33,-7.5,0)+IF(BE8=33+Inputs!$F$35,7.5,0),0))</f>
        <v/>
      </c>
      <c r="BF20" s="11">
        <f>IF(Inputs!$F$34=2,Inputs!BF230,Inputs!BF229+IF(Inputs!$F$35&gt;0,IF(BF8=33,-7.5,0)+IF(BF8=33+Inputs!$F$35,7.5,0),0))</f>
        <v/>
      </c>
      <c r="BG20" s="11">
        <f>IF(Inputs!$F$34=2,Inputs!BG230,Inputs!BG229+IF(Inputs!$F$35&gt;0,IF(BG8=33,-7.5,0)+IF(BG8=33+Inputs!$F$35,7.5,0),0))</f>
        <v/>
      </c>
      <c r="BH20" s="11">
        <f>IF(Inputs!$F$34=2,Inputs!BH230,Inputs!BH229+IF(Inputs!$F$35&gt;0,IF(BH8=33,-7.5,0)+IF(BH8=33+Inputs!$F$35,7.5,0),0))</f>
        <v/>
      </c>
      <c r="BI20" s="11">
        <f>IF(Inputs!$F$34=2,Inputs!BI230,Inputs!BI229+IF(Inputs!$F$35&gt;0,IF(BI8=33,-7.5,0)+IF(BI8=33+Inputs!$F$35,7.5,0),0))</f>
        <v/>
      </c>
      <c r="BJ20" s="11">
        <f>IF(Inputs!$F$34=2,Inputs!BJ230,Inputs!BJ229+IF(Inputs!$F$35&gt;0,IF(BJ8=33,-7.5,0)+IF(BJ8=33+Inputs!$F$35,7.5,0),0))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IF(Inputs!$F$34=2,J20/100*Inputs!$F$58+J20/100*Inputs!$F$59*Inputs!$F$60/J16,Inputs!$F$57*Inputs!$F$36*J20/100)</f>
        <v/>
      </c>
      <c r="K22" s="11">
        <f>IF(Inputs!$F$34=2,K20/100*Inputs!$F$58+K20/100*Inputs!$F$59*Inputs!$F$60/K16,Inputs!$F$57*Inputs!$F$36*K20/100)</f>
        <v/>
      </c>
      <c r="L22" s="11">
        <f>IF(Inputs!$F$34=2,L20/100*Inputs!$F$58+L20/100*Inputs!$F$59*Inputs!$F$60/L16,Inputs!$F$57*Inputs!$F$36*L20/100)</f>
        <v/>
      </c>
      <c r="M22" s="11">
        <f>IF(Inputs!$F$34=2,M20/100*Inputs!$F$58+M20/100*Inputs!$F$59*Inputs!$F$60/M16,Inputs!$F$57*Inputs!$F$36*M20/100)</f>
        <v/>
      </c>
      <c r="N22" s="11">
        <f>IF(Inputs!$F$34=2,N20/100*Inputs!$F$58+N20/100*Inputs!$F$59*Inputs!$F$60/N16,Inputs!$F$57*Inputs!$F$36*N20/100)</f>
        <v/>
      </c>
      <c r="O22" s="11">
        <f>IF(Inputs!$F$34=2,O20/100*Inputs!$F$58+O20/100*Inputs!$F$59*Inputs!$F$60/O16,Inputs!$F$57*Inputs!$F$36*O20/100)</f>
        <v/>
      </c>
      <c r="P22" s="11">
        <f>IF(Inputs!$F$34=2,P20/100*Inputs!$F$58+P20/100*Inputs!$F$59*Inputs!$F$60/P16,Inputs!$F$57*Inputs!$F$36*P20/100)</f>
        <v/>
      </c>
      <c r="Q22" s="11">
        <f>IF(Inputs!$F$34=2,Q20/100*Inputs!$F$58+Q20/100*Inputs!$F$59*Inputs!$F$60/Q16,Inputs!$F$57*Inputs!$F$36*Q20/100)</f>
        <v/>
      </c>
      <c r="R22" s="11">
        <f>IF(Inputs!$F$34=2,R20/100*Inputs!$F$58+R20/100*Inputs!$F$59*Inputs!$F$60/R16,Inputs!$F$57*Inputs!$F$36*R20/100)</f>
        <v/>
      </c>
      <c r="S22" s="11">
        <f>IF(Inputs!$F$34=2,S20/100*Inputs!$F$58+S20/100*Inputs!$F$59*Inputs!$F$60/S16,Inputs!$F$57*Inputs!$F$36*S20/100)</f>
        <v/>
      </c>
      <c r="T22" s="11">
        <f>IF(Inputs!$F$34=2,T20/100*Inputs!$F$58+T20/100*Inputs!$F$59*Inputs!$F$60/T16,Inputs!$F$57*Inputs!$F$36*T20/100)</f>
        <v/>
      </c>
      <c r="U22" s="11">
        <f>IF(Inputs!$F$34=2,U20/100*Inputs!$F$58+U20/100*Inputs!$F$59*Inputs!$F$60/U16,Inputs!$F$57*Inputs!$F$36*U20/100)</f>
        <v/>
      </c>
      <c r="V22" s="11">
        <f>IF(Inputs!$F$34=2,V20/100*Inputs!$F$58+V20/100*Inputs!$F$59*Inputs!$F$60/V16,Inputs!$F$57*Inputs!$F$36*V20/100)</f>
        <v/>
      </c>
      <c r="W22" s="11">
        <f>IF(Inputs!$F$34=2,W20/100*Inputs!$F$58+W20/100*Inputs!$F$59*Inputs!$F$60/W16,Inputs!$F$57*Inputs!$F$36*W20/100)</f>
        <v/>
      </c>
      <c r="X22" s="11">
        <f>IF(Inputs!$F$34=2,X20/100*Inputs!$F$58+X20/100*Inputs!$F$59*Inputs!$F$60/X16,Inputs!$F$57*Inputs!$F$36*X20/100)</f>
        <v/>
      </c>
      <c r="Y22" s="11">
        <f>IF(Inputs!$F$34=2,Y20/100*Inputs!$F$58+Y20/100*Inputs!$F$59*Inputs!$F$60/Y16,Inputs!$F$57*Inputs!$F$36*Y20/100)</f>
        <v/>
      </c>
      <c r="Z22" s="11">
        <f>IF(Inputs!$F$34=2,Z20/100*Inputs!$F$58+Z20/100*Inputs!$F$59*Inputs!$F$60/Z16,Inputs!$F$57*Inputs!$F$36*Z20/100)</f>
        <v/>
      </c>
      <c r="AA22" s="11">
        <f>IF(Inputs!$F$34=2,AA20/100*Inputs!$F$58+AA20/100*Inputs!$F$59*Inputs!$F$60/AA16,Inputs!$F$57*Inputs!$F$36*AA20/100)</f>
        <v/>
      </c>
      <c r="AB22" s="11">
        <f>IF(Inputs!$F$34=2,AB20/100*Inputs!$F$58+AB20/100*Inputs!$F$59*Inputs!$F$60/AB16,Inputs!$F$57*Inputs!$F$36*AB20/100)</f>
        <v/>
      </c>
      <c r="AC22" s="11">
        <f>IF(Inputs!$F$34=2,AC20/100*Inputs!$F$58+AC20/100*Inputs!$F$59*Inputs!$F$60/AC16,Inputs!$F$57*Inputs!$F$36*AC20/100)</f>
        <v/>
      </c>
      <c r="AD22" s="11">
        <f>IF(Inputs!$F$34=2,AD20/100*Inputs!$F$58+AD20/100*Inputs!$F$59*Inputs!$F$60/AD16,Inputs!$F$57*Inputs!$F$36*AD20/100)</f>
        <v/>
      </c>
      <c r="AE22" s="11">
        <f>IF(Inputs!$F$34=2,AE20/100*Inputs!$F$58+AE20/100*Inputs!$F$59*Inputs!$F$60/AE16,Inputs!$F$57*Inputs!$F$36*AE20/100)</f>
        <v/>
      </c>
      <c r="AF22" s="11">
        <f>IF(Inputs!$F$34=2,AF20/100*Inputs!$F$58+AF20/100*Inputs!$F$59*Inputs!$F$60/AF16,Inputs!$F$57*Inputs!$F$36*AF20/100)</f>
        <v/>
      </c>
      <c r="AG22" s="11">
        <f>IF(Inputs!$F$34=2,AG20/100*Inputs!$F$58+AG20/100*Inputs!$F$59*Inputs!$F$60/AG16,Inputs!$F$57*Inputs!$F$36*AG20/100)</f>
        <v/>
      </c>
      <c r="AH22" s="11">
        <f>IF(Inputs!$F$34=2,AH20/100*Inputs!$F$58+AH20/100*Inputs!$F$59*Inputs!$F$60/AH16,Inputs!$F$57*Inputs!$F$36*AH20/100)</f>
        <v/>
      </c>
      <c r="AI22" s="11">
        <f>IF(Inputs!$F$34=2,AI20/100*Inputs!$F$58+AI20/100*Inputs!$F$59*Inputs!$F$60/AI16,Inputs!$F$57*Inputs!$F$36*AI20/100)</f>
        <v/>
      </c>
      <c r="AJ22" s="11">
        <f>IF(Inputs!$F$34=2,AJ20/100*Inputs!$F$58+AJ20/100*Inputs!$F$59*Inputs!$F$60/AJ16,Inputs!$F$57*Inputs!$F$36*AJ20/100)</f>
        <v/>
      </c>
      <c r="AK22" s="11">
        <f>IF(Inputs!$F$34=2,AK20/100*Inputs!$F$58+AK20/100*Inputs!$F$59*Inputs!$F$60/AK16,Inputs!$F$57*Inputs!$F$36*AK20/100)</f>
        <v/>
      </c>
      <c r="AL22" s="11">
        <f>IF(Inputs!$F$34=2,AL20/100*Inputs!$F$58+AL20/100*Inputs!$F$59*Inputs!$F$60/AL16,Inputs!$F$57*Inputs!$F$36*AL20/100)</f>
        <v/>
      </c>
      <c r="AM22" s="11">
        <f>IF(Inputs!$F$34=2,AM20/100*Inputs!$F$58+AM20/100*Inputs!$F$59*Inputs!$F$60/AM16,Inputs!$F$57*Inputs!$F$36*AM20/100)</f>
        <v/>
      </c>
      <c r="AN22" s="11">
        <f>IF(Inputs!$F$34=2,AN20/100*Inputs!$F$58+AN20/100*Inputs!$F$59*Inputs!$F$60/AN16,Inputs!$F$57*Inputs!$F$36*AN20/100)</f>
        <v/>
      </c>
      <c r="AO22" s="11">
        <f>IF(Inputs!$F$34=2,AO20/100*Inputs!$F$58+AO20/100*Inputs!$F$59*Inputs!$F$60/AO16,Inputs!$F$57*Inputs!$F$36*AO20/100)</f>
        <v/>
      </c>
      <c r="AP22" s="11">
        <f>IF(Inputs!$F$34=2,AP20/100*Inputs!$F$58+AP20/100*Inputs!$F$59*Inputs!$F$60/AP16,Inputs!$F$57*Inputs!$F$36*AP20/100)</f>
        <v/>
      </c>
      <c r="AQ22" s="11">
        <f>IF(Inputs!$F$34=2,AQ20/100*Inputs!$F$58+AQ20/100*Inputs!$F$59*Inputs!$F$60/AQ16,Inputs!$F$57*Inputs!$F$36*AQ20/100)</f>
        <v/>
      </c>
      <c r="AR22" s="11">
        <f>IF(Inputs!$F$34=2,AR20/100*Inputs!$F$58+AR20/100*Inputs!$F$59*Inputs!$F$60/AR16,Inputs!$F$57*Inputs!$F$36*AR20/100)</f>
        <v/>
      </c>
      <c r="AS22" s="11">
        <f>IF(Inputs!$F$34=2,AS20/100*Inputs!$F$58+AS20/100*Inputs!$F$59*Inputs!$F$60/AS16,Inputs!$F$57*Inputs!$F$36*AS20/100)</f>
        <v/>
      </c>
      <c r="AT22" s="11">
        <f>IF(Inputs!$F$34=2,AT20/100*Inputs!$F$58+AT20/100*Inputs!$F$59*Inputs!$F$60/AT16,Inputs!$F$57*Inputs!$F$36*AT20/100)</f>
        <v/>
      </c>
      <c r="AU22" s="11">
        <f>IF(Inputs!$F$34=2,AU20/100*Inputs!$F$58+AU20/100*Inputs!$F$59*Inputs!$F$60/AU16,Inputs!$F$57*Inputs!$F$36*AU20/100)</f>
        <v/>
      </c>
      <c r="AV22" s="11">
        <f>IF(Inputs!$F$34=2,AV20/100*Inputs!$F$58+AV20/100*Inputs!$F$59*Inputs!$F$60/AV16,Inputs!$F$57*Inputs!$F$36*AV20/100)</f>
        <v/>
      </c>
      <c r="AW22" s="11">
        <f>IF(Inputs!$F$34=2,AW20/100*Inputs!$F$58+AW20/100*Inputs!$F$59*Inputs!$F$60/AW16,Inputs!$F$57*Inputs!$F$36*AW20/100)</f>
        <v/>
      </c>
      <c r="AX22" s="11">
        <f>IF(Inputs!$F$34=2,AX20/100*Inputs!$F$58+AX20/100*Inputs!$F$59*Inputs!$F$60/AX16,Inputs!$F$57*Inputs!$F$36*AX20/100)</f>
        <v/>
      </c>
      <c r="AY22" s="11">
        <f>IF(Inputs!$F$34=2,AY20/100*Inputs!$F$58+AY20/100*Inputs!$F$59*Inputs!$F$60/AY16,Inputs!$F$57*Inputs!$F$36*AY20/100)</f>
        <v/>
      </c>
      <c r="AZ22" s="11">
        <f>IF(Inputs!$F$34=2,AZ20/100*Inputs!$F$58+AZ20/100*Inputs!$F$59*Inputs!$F$60/AZ16,Inputs!$F$57*Inputs!$F$36*AZ20/100)</f>
        <v/>
      </c>
      <c r="BA22" s="11">
        <f>IF(Inputs!$F$34=2,BA20/100*Inputs!$F$58+BA20/100*Inputs!$F$59*Inputs!$F$60/BA16,Inputs!$F$57*Inputs!$F$36*BA20/100)</f>
        <v/>
      </c>
      <c r="BB22" s="11">
        <f>IF(Inputs!$F$34=2,BB20/100*Inputs!$F$58+BB20/100*Inputs!$F$59*Inputs!$F$60/BB16,Inputs!$F$57*Inputs!$F$36*BB20/100)</f>
        <v/>
      </c>
      <c r="BC22" s="11">
        <f>IF(Inputs!$F$34=2,BC20/100*Inputs!$F$58+BC20/100*Inputs!$F$59*Inputs!$F$60/BC16,Inputs!$F$57*Inputs!$F$36*BC20/100)</f>
        <v/>
      </c>
      <c r="BD22" s="11">
        <f>IF(Inputs!$F$34=2,BD20/100*Inputs!$F$58+BD20/100*Inputs!$F$59*Inputs!$F$60/BD16,Inputs!$F$57*Inputs!$F$36*BD20/100)</f>
        <v/>
      </c>
      <c r="BE22" s="11">
        <f>IF(Inputs!$F$34=2,BE20/100*Inputs!$F$58+BE20/100*Inputs!$F$59*Inputs!$F$60/BE16,Inputs!$F$57*Inputs!$F$36*BE20/100)</f>
        <v/>
      </c>
      <c r="BF22" s="11">
        <f>IF(Inputs!$F$34=2,BF20/100*Inputs!$F$58+BF20/100*Inputs!$F$59*Inputs!$F$60/BF16,Inputs!$F$57*Inputs!$F$36*BF20/100)</f>
        <v/>
      </c>
      <c r="BG22" s="11">
        <f>IF(Inputs!$F$34=2,BG20/100*Inputs!$F$58+BG20/100*Inputs!$F$59*Inputs!$F$60/BG16,Inputs!$F$57*Inputs!$F$36*BG20/100)</f>
        <v/>
      </c>
      <c r="BH22" s="11">
        <f>IF(Inputs!$F$34=2,BH20/100*Inputs!$F$58+BH20/100*Inputs!$F$59*Inputs!$F$60/BH16,Inputs!$F$57*Inputs!$F$36*BH20/100)</f>
        <v/>
      </c>
      <c r="BI22" s="11">
        <f>IF(Inputs!$F$34=2,BI20/100*Inputs!$F$58+BI20/100*Inputs!$F$59*Inputs!$F$60/BI16,Inputs!$F$57*Inputs!$F$36*BI20/100)</f>
        <v/>
      </c>
      <c r="BJ22" s="11">
        <f>IF(Inputs!$F$34=2,BJ20/100*Inputs!$F$58+BJ20/100*Inputs!$F$59*Inputs!$F$60/BJ16,Inputs!$F$57*Inputs!$F$36*BJ20/100)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Inputs!$F$61*IF(Inputs!$F$34=1,Inputs!$F$36,1)*(Inputs!J231+IF(AND(Inputs!$F$34=1,J8&gt;33,J8&lt;=Time!$F$10),2.75,0))/100+IF(AND(Inputs!$F$34=2,J8&gt;=34,J8&lt;=40),Inputs!$F$69/7,0)</f>
        <v/>
      </c>
      <c r="K23" s="11">
        <f>Inputs!$F$61*IF(Inputs!$F$34=1,Inputs!$F$36,1)*(Inputs!K231+IF(AND(Inputs!$F$34=1,K8&gt;33,K8&lt;=Time!$F$10),2.75,0))/100+IF(AND(Inputs!$F$34=2,K8&gt;=34,K8&lt;=40),Inputs!$F$69/7,0)</f>
        <v/>
      </c>
      <c r="L23" s="11">
        <f>Inputs!$F$61*IF(Inputs!$F$34=1,Inputs!$F$36,1)*(Inputs!L231+IF(AND(Inputs!$F$34=1,L8&gt;33,L8&lt;=Time!$F$10),2.75,0))/100+IF(AND(Inputs!$F$34=2,L8&gt;=34,L8&lt;=40),Inputs!$F$69/7,0)</f>
        <v/>
      </c>
      <c r="M23" s="11">
        <f>Inputs!$F$61*IF(Inputs!$F$34=1,Inputs!$F$36,1)*(Inputs!M231+IF(AND(Inputs!$F$34=1,M8&gt;33,M8&lt;=Time!$F$10),2.75,0))/100+IF(AND(Inputs!$F$34=2,M8&gt;=34,M8&lt;=40),Inputs!$F$69/7,0)</f>
        <v/>
      </c>
      <c r="N23" s="11">
        <f>Inputs!$F$61*IF(Inputs!$F$34=1,Inputs!$F$36,1)*(Inputs!N231+IF(AND(Inputs!$F$34=1,N8&gt;33,N8&lt;=Time!$F$10),2.75,0))/100+IF(AND(Inputs!$F$34=2,N8&gt;=34,N8&lt;=40),Inputs!$F$69/7,0)</f>
        <v/>
      </c>
      <c r="O23" s="11">
        <f>Inputs!$F$61*IF(Inputs!$F$34=1,Inputs!$F$36,1)*(Inputs!O231+IF(AND(Inputs!$F$34=1,O8&gt;33,O8&lt;=Time!$F$10),2.75,0))/100+IF(AND(Inputs!$F$34=2,O8&gt;=34,O8&lt;=40),Inputs!$F$69/7,0)</f>
        <v/>
      </c>
      <c r="P23" s="11">
        <f>Inputs!$F$61*IF(Inputs!$F$34=1,Inputs!$F$36,1)*(Inputs!P231+IF(AND(Inputs!$F$34=1,P8&gt;33,P8&lt;=Time!$F$10),2.75,0))/100+IF(AND(Inputs!$F$34=2,P8&gt;=34,P8&lt;=40),Inputs!$F$69/7,0)</f>
        <v/>
      </c>
      <c r="Q23" s="11">
        <f>Inputs!$F$61*IF(Inputs!$F$34=1,Inputs!$F$36,1)*(Inputs!Q231+IF(AND(Inputs!$F$34=1,Q8&gt;33,Q8&lt;=Time!$F$10),2.75,0))/100+IF(AND(Inputs!$F$34=2,Q8&gt;=34,Q8&lt;=40),Inputs!$F$69/7,0)</f>
        <v/>
      </c>
      <c r="R23" s="11">
        <f>Inputs!$F$61*IF(Inputs!$F$34=1,Inputs!$F$36,1)*(Inputs!R231+IF(AND(Inputs!$F$34=1,R8&gt;33,R8&lt;=Time!$F$10),2.75,0))/100+IF(AND(Inputs!$F$34=2,R8&gt;=34,R8&lt;=40),Inputs!$F$69/7,0)</f>
        <v/>
      </c>
      <c r="S23" s="11">
        <f>Inputs!$F$61*IF(Inputs!$F$34=1,Inputs!$F$36,1)*(Inputs!S231+IF(AND(Inputs!$F$34=1,S8&gt;33,S8&lt;=Time!$F$10),2.75,0))/100+IF(AND(Inputs!$F$34=2,S8&gt;=34,S8&lt;=40),Inputs!$F$69/7,0)</f>
        <v/>
      </c>
      <c r="T23" s="11">
        <f>Inputs!$F$61*IF(Inputs!$F$34=1,Inputs!$F$36,1)*(Inputs!T231+IF(AND(Inputs!$F$34=1,T8&gt;33,T8&lt;=Time!$F$10),2.75,0))/100+IF(AND(Inputs!$F$34=2,T8&gt;=34,T8&lt;=40),Inputs!$F$69/7,0)</f>
        <v/>
      </c>
      <c r="U23" s="11">
        <f>Inputs!$F$61*IF(Inputs!$F$34=1,Inputs!$F$36,1)*(Inputs!U231+IF(AND(Inputs!$F$34=1,U8&gt;33,U8&lt;=Time!$F$10),2.75,0))/100+IF(AND(Inputs!$F$34=2,U8&gt;=34,U8&lt;=40),Inputs!$F$69/7,0)</f>
        <v/>
      </c>
      <c r="V23" s="11">
        <f>Inputs!$F$61*IF(Inputs!$F$34=1,Inputs!$F$36,1)*(Inputs!V231+IF(AND(Inputs!$F$34=1,V8&gt;33,V8&lt;=Time!$F$10),2.75,0))/100+IF(AND(Inputs!$F$34=2,V8&gt;=34,V8&lt;=40),Inputs!$F$69/7,0)</f>
        <v/>
      </c>
      <c r="W23" s="11">
        <f>Inputs!$F$61*IF(Inputs!$F$34=1,Inputs!$F$36,1)*(Inputs!W231+IF(AND(Inputs!$F$34=1,W8&gt;33,W8&lt;=Time!$F$10),2.75,0))/100+IF(AND(Inputs!$F$34=2,W8&gt;=34,W8&lt;=40),Inputs!$F$69/7,0)</f>
        <v/>
      </c>
      <c r="X23" s="11">
        <f>Inputs!$F$61*IF(Inputs!$F$34=1,Inputs!$F$36,1)*(Inputs!X231+IF(AND(Inputs!$F$34=1,X8&gt;33,X8&lt;=Time!$F$10),2.75,0))/100+IF(AND(Inputs!$F$34=2,X8&gt;=34,X8&lt;=40),Inputs!$F$69/7,0)</f>
        <v/>
      </c>
      <c r="Y23" s="11">
        <f>Inputs!$F$61*IF(Inputs!$F$34=1,Inputs!$F$36,1)*(Inputs!Y231+IF(AND(Inputs!$F$34=1,Y8&gt;33,Y8&lt;=Time!$F$10),2.75,0))/100+IF(AND(Inputs!$F$34=2,Y8&gt;=34,Y8&lt;=40),Inputs!$F$69/7,0)</f>
        <v/>
      </c>
      <c r="Z23" s="11">
        <f>Inputs!$F$61*IF(Inputs!$F$34=1,Inputs!$F$36,1)*(Inputs!Z231+IF(AND(Inputs!$F$34=1,Z8&gt;33,Z8&lt;=Time!$F$10),2.75,0))/100+IF(AND(Inputs!$F$34=2,Z8&gt;=34,Z8&lt;=40),Inputs!$F$69/7,0)</f>
        <v/>
      </c>
      <c r="AA23" s="11">
        <f>Inputs!$F$61*IF(Inputs!$F$34=1,Inputs!$F$36,1)*(Inputs!AA231+IF(AND(Inputs!$F$34=1,AA8&gt;33,AA8&lt;=Time!$F$10),2.75,0))/100+IF(AND(Inputs!$F$34=2,AA8&gt;=34,AA8&lt;=40),Inputs!$F$69/7,0)</f>
        <v/>
      </c>
      <c r="AB23" s="11">
        <f>Inputs!$F$61*IF(Inputs!$F$34=1,Inputs!$F$36,1)*(Inputs!AB231+IF(AND(Inputs!$F$34=1,AB8&gt;33,AB8&lt;=Time!$F$10),2.75,0))/100+IF(AND(Inputs!$F$34=2,AB8&gt;=34,AB8&lt;=40),Inputs!$F$69/7,0)</f>
        <v/>
      </c>
      <c r="AC23" s="11">
        <f>Inputs!$F$61*IF(Inputs!$F$34=1,Inputs!$F$36,1)*(Inputs!AC231+IF(AND(Inputs!$F$34=1,AC8&gt;33,AC8&lt;=Time!$F$10),2.75,0))/100+IF(AND(Inputs!$F$34=2,AC8&gt;=34,AC8&lt;=40),Inputs!$F$69/7,0)</f>
        <v/>
      </c>
      <c r="AD23" s="11">
        <f>Inputs!$F$61*IF(Inputs!$F$34=1,Inputs!$F$36,1)*(Inputs!AD231+IF(AND(Inputs!$F$34=1,AD8&gt;33,AD8&lt;=Time!$F$10),2.75,0))/100+IF(AND(Inputs!$F$34=2,AD8&gt;=34,AD8&lt;=40),Inputs!$F$69/7,0)</f>
        <v/>
      </c>
      <c r="AE23" s="11">
        <f>Inputs!$F$61*IF(Inputs!$F$34=1,Inputs!$F$36,1)*(Inputs!AE231+IF(AND(Inputs!$F$34=1,AE8&gt;33,AE8&lt;=Time!$F$10),2.75,0))/100+IF(AND(Inputs!$F$34=2,AE8&gt;=34,AE8&lt;=40),Inputs!$F$69/7,0)</f>
        <v/>
      </c>
      <c r="AF23" s="11">
        <f>Inputs!$F$61*IF(Inputs!$F$34=1,Inputs!$F$36,1)*(Inputs!AF231+IF(AND(Inputs!$F$34=1,AF8&gt;33,AF8&lt;=Time!$F$10),2.75,0))/100+IF(AND(Inputs!$F$34=2,AF8&gt;=34,AF8&lt;=40),Inputs!$F$69/7,0)</f>
        <v/>
      </c>
      <c r="AG23" s="11">
        <f>Inputs!$F$61*IF(Inputs!$F$34=1,Inputs!$F$36,1)*(Inputs!AG231+IF(AND(Inputs!$F$34=1,AG8&gt;33,AG8&lt;=Time!$F$10),2.75,0))/100+IF(AND(Inputs!$F$34=2,AG8&gt;=34,AG8&lt;=40),Inputs!$F$69/7,0)</f>
        <v/>
      </c>
      <c r="AH23" s="11">
        <f>Inputs!$F$61*IF(Inputs!$F$34=1,Inputs!$F$36,1)*(Inputs!AH231+IF(AND(Inputs!$F$34=1,AH8&gt;33,AH8&lt;=Time!$F$10),2.75,0))/100+IF(AND(Inputs!$F$34=2,AH8&gt;=34,AH8&lt;=40),Inputs!$F$69/7,0)</f>
        <v/>
      </c>
      <c r="AI23" s="11">
        <f>Inputs!$F$61*IF(Inputs!$F$34=1,Inputs!$F$36,1)*(Inputs!AI231+IF(AND(Inputs!$F$34=1,AI8&gt;33,AI8&lt;=Time!$F$10),2.75,0))/100+IF(AND(Inputs!$F$34=2,AI8&gt;=34,AI8&lt;=40),Inputs!$F$69/7,0)</f>
        <v/>
      </c>
      <c r="AJ23" s="11">
        <f>Inputs!$F$61*IF(Inputs!$F$34=1,Inputs!$F$36,1)*(Inputs!AJ231+IF(AND(Inputs!$F$34=1,AJ8&gt;33,AJ8&lt;=Time!$F$10),2.75,0))/100+IF(AND(Inputs!$F$34=2,AJ8&gt;=34,AJ8&lt;=40),Inputs!$F$69/7,0)</f>
        <v/>
      </c>
      <c r="AK23" s="11">
        <f>Inputs!$F$61*IF(Inputs!$F$34=1,Inputs!$F$36,1)*(Inputs!AK231+IF(AND(Inputs!$F$34=1,AK8&gt;33,AK8&lt;=Time!$F$10),2.75,0))/100+IF(AND(Inputs!$F$34=2,AK8&gt;=34,AK8&lt;=40),Inputs!$F$69/7,0)</f>
        <v/>
      </c>
      <c r="AL23" s="11">
        <f>Inputs!$F$61*IF(Inputs!$F$34=1,Inputs!$F$36,1)*(Inputs!AL231+IF(AND(Inputs!$F$34=1,AL8&gt;33,AL8&lt;=Time!$F$10),2.75,0))/100+IF(AND(Inputs!$F$34=2,AL8&gt;=34,AL8&lt;=40),Inputs!$F$69/7,0)</f>
        <v/>
      </c>
      <c r="AM23" s="11">
        <f>Inputs!$F$61*IF(Inputs!$F$34=1,Inputs!$F$36,1)*(Inputs!AM231+IF(AND(Inputs!$F$34=1,AM8&gt;33,AM8&lt;=Time!$F$10),2.75,0))/100+IF(AND(Inputs!$F$34=2,AM8&gt;=34,AM8&lt;=40),Inputs!$F$69/7,0)</f>
        <v/>
      </c>
      <c r="AN23" s="11">
        <f>Inputs!$F$61*IF(Inputs!$F$34=1,Inputs!$F$36,1)*(Inputs!AN231+IF(AND(Inputs!$F$34=1,AN8&gt;33,AN8&lt;=Time!$F$10),2.75,0))/100+IF(AND(Inputs!$F$34=2,AN8&gt;=34,AN8&lt;=40),Inputs!$F$69/7,0)</f>
        <v/>
      </c>
      <c r="AO23" s="11">
        <f>Inputs!$F$61*IF(Inputs!$F$34=1,Inputs!$F$36,1)*(Inputs!AO231+IF(AND(Inputs!$F$34=1,AO8&gt;33,AO8&lt;=Time!$F$10),2.75,0))/100+IF(AND(Inputs!$F$34=2,AO8&gt;=34,AO8&lt;=40),Inputs!$F$69/7,0)</f>
        <v/>
      </c>
      <c r="AP23" s="11">
        <f>Inputs!$F$61*IF(Inputs!$F$34=1,Inputs!$F$36,1)*(Inputs!AP231+IF(AND(Inputs!$F$34=1,AP8&gt;33,AP8&lt;=Time!$F$10),2.75,0))/100+IF(AND(Inputs!$F$34=2,AP8&gt;=34,AP8&lt;=40),Inputs!$F$69/7,0)</f>
        <v/>
      </c>
      <c r="AQ23" s="11">
        <f>Inputs!$F$61*IF(Inputs!$F$34=1,Inputs!$F$36,1)*(Inputs!AQ231+IF(AND(Inputs!$F$34=1,AQ8&gt;33,AQ8&lt;=Time!$F$10),2.75,0))/100+IF(AND(Inputs!$F$34=2,AQ8&gt;=34,AQ8&lt;=40),Inputs!$F$69/7,0)</f>
        <v/>
      </c>
      <c r="AR23" s="11">
        <f>Inputs!$F$61*IF(Inputs!$F$34=1,Inputs!$F$36,1)*(Inputs!AR231+IF(AND(Inputs!$F$34=1,AR8&gt;33,AR8&lt;=Time!$F$10),2.75,0))/100+IF(AND(Inputs!$F$34=2,AR8&gt;=34,AR8&lt;=40),Inputs!$F$69/7,0)</f>
        <v/>
      </c>
      <c r="AS23" s="11">
        <f>Inputs!$F$61*IF(Inputs!$F$34=1,Inputs!$F$36,1)*(Inputs!AS231+IF(AND(Inputs!$F$34=1,AS8&gt;33,AS8&lt;=Time!$F$10),2.75,0))/100+IF(AND(Inputs!$F$34=2,AS8&gt;=34,AS8&lt;=40),Inputs!$F$69/7,0)</f>
        <v/>
      </c>
      <c r="AT23" s="11">
        <f>Inputs!$F$61*IF(Inputs!$F$34=1,Inputs!$F$36,1)*(Inputs!AT231+IF(AND(Inputs!$F$34=1,AT8&gt;33,AT8&lt;=Time!$F$10),2.75,0))/100+IF(AND(Inputs!$F$34=2,AT8&gt;=34,AT8&lt;=40),Inputs!$F$69/7,0)</f>
        <v/>
      </c>
      <c r="AU23" s="11">
        <f>Inputs!$F$61*IF(Inputs!$F$34=1,Inputs!$F$36,1)*(Inputs!AU231+IF(AND(Inputs!$F$34=1,AU8&gt;33,AU8&lt;=Time!$F$10),2.75,0))/100+IF(AND(Inputs!$F$34=2,AU8&gt;=34,AU8&lt;=40),Inputs!$F$69/7,0)</f>
        <v/>
      </c>
      <c r="AV23" s="11">
        <f>Inputs!$F$61*IF(Inputs!$F$34=1,Inputs!$F$36,1)*(Inputs!AV231+IF(AND(Inputs!$F$34=1,AV8&gt;33,AV8&lt;=Time!$F$10),2.75,0))/100+IF(AND(Inputs!$F$34=2,AV8&gt;=34,AV8&lt;=40),Inputs!$F$69/7,0)</f>
        <v/>
      </c>
      <c r="AW23" s="11">
        <f>Inputs!$F$61*IF(Inputs!$F$34=1,Inputs!$F$36,1)*(Inputs!AW231+IF(AND(Inputs!$F$34=1,AW8&gt;33,AW8&lt;=Time!$F$10),2.75,0))/100+IF(AND(Inputs!$F$34=2,AW8&gt;=34,AW8&lt;=40),Inputs!$F$69/7,0)</f>
        <v/>
      </c>
      <c r="AX23" s="11">
        <f>Inputs!$F$61*IF(Inputs!$F$34=1,Inputs!$F$36,1)*(Inputs!AX231+IF(AND(Inputs!$F$34=1,AX8&gt;33,AX8&lt;=Time!$F$10),2.75,0))/100+IF(AND(Inputs!$F$34=2,AX8&gt;=34,AX8&lt;=40),Inputs!$F$69/7,0)</f>
        <v/>
      </c>
      <c r="AY23" s="11">
        <f>Inputs!$F$61*IF(Inputs!$F$34=1,Inputs!$F$36,1)*(Inputs!AY231+IF(AND(Inputs!$F$34=1,AY8&gt;33,AY8&lt;=Time!$F$10),2.75,0))/100+IF(AND(Inputs!$F$34=2,AY8&gt;=34,AY8&lt;=40),Inputs!$F$69/7,0)</f>
        <v/>
      </c>
      <c r="AZ23" s="11">
        <f>Inputs!$F$61*IF(Inputs!$F$34=1,Inputs!$F$36,1)*(Inputs!AZ231+IF(AND(Inputs!$F$34=1,AZ8&gt;33,AZ8&lt;=Time!$F$10),2.75,0))/100+IF(AND(Inputs!$F$34=2,AZ8&gt;=34,AZ8&lt;=40),Inputs!$F$69/7,0)</f>
        <v/>
      </c>
      <c r="BA23" s="11">
        <f>Inputs!$F$61*IF(Inputs!$F$34=1,Inputs!$F$36,1)*(Inputs!BA231+IF(AND(Inputs!$F$34=1,BA8&gt;33,BA8&lt;=Time!$F$10),2.75,0))/100+IF(AND(Inputs!$F$34=2,BA8&gt;=34,BA8&lt;=40),Inputs!$F$69/7,0)</f>
        <v/>
      </c>
      <c r="BB23" s="11">
        <f>Inputs!$F$61*IF(Inputs!$F$34=1,Inputs!$F$36,1)*(Inputs!BB231+IF(AND(Inputs!$F$34=1,BB8&gt;33,BB8&lt;=Time!$F$10),2.75,0))/100+IF(AND(Inputs!$F$34=2,BB8&gt;=34,BB8&lt;=40),Inputs!$F$69/7,0)</f>
        <v/>
      </c>
      <c r="BC23" s="11">
        <f>Inputs!$F$61*IF(Inputs!$F$34=1,Inputs!$F$36,1)*(Inputs!BC231+IF(AND(Inputs!$F$34=1,BC8&gt;33,BC8&lt;=Time!$F$10),2.75,0))/100+IF(AND(Inputs!$F$34=2,BC8&gt;=34,BC8&lt;=40),Inputs!$F$69/7,0)</f>
        <v/>
      </c>
      <c r="BD23" s="11">
        <f>Inputs!$F$61*IF(Inputs!$F$34=1,Inputs!$F$36,1)*(Inputs!BD231+IF(AND(Inputs!$F$34=1,BD8&gt;33,BD8&lt;=Time!$F$10),2.75,0))/100+IF(AND(Inputs!$F$34=2,BD8&gt;=34,BD8&lt;=40),Inputs!$F$69/7,0)</f>
        <v/>
      </c>
      <c r="BE23" s="11">
        <f>Inputs!$F$61*IF(Inputs!$F$34=1,Inputs!$F$36,1)*(Inputs!BE231+IF(AND(Inputs!$F$34=1,BE8&gt;33,BE8&lt;=Time!$F$10),2.75,0))/100+IF(AND(Inputs!$F$34=2,BE8&gt;=34,BE8&lt;=40),Inputs!$F$69/7,0)</f>
        <v/>
      </c>
      <c r="BF23" s="11">
        <f>Inputs!$F$61*IF(Inputs!$F$34=1,Inputs!$F$36,1)*(Inputs!BF231+IF(AND(Inputs!$F$34=1,BF8&gt;33,BF8&lt;=Time!$F$10),2.75,0))/100+IF(AND(Inputs!$F$34=2,BF8&gt;=34,BF8&lt;=40),Inputs!$F$69/7,0)</f>
        <v/>
      </c>
      <c r="BG23" s="11">
        <f>Inputs!$F$61*IF(Inputs!$F$34=1,Inputs!$F$36,1)*(Inputs!BG231+IF(AND(Inputs!$F$34=1,BG8&gt;33,BG8&lt;=Time!$F$10),2.75,0))/100+IF(AND(Inputs!$F$34=2,BG8&gt;=34,BG8&lt;=40),Inputs!$F$69/7,0)</f>
        <v/>
      </c>
      <c r="BH23" s="11">
        <f>Inputs!$F$61*IF(Inputs!$F$34=1,Inputs!$F$36,1)*(Inputs!BH231+IF(AND(Inputs!$F$34=1,BH8&gt;33,BH8&lt;=Time!$F$10),2.75,0))/100+IF(AND(Inputs!$F$34=2,BH8&gt;=34,BH8&lt;=40),Inputs!$F$69/7,0)</f>
        <v/>
      </c>
      <c r="BI23" s="11">
        <f>Inputs!$F$61*IF(Inputs!$F$34=1,Inputs!$F$36,1)*(Inputs!BI231+IF(AND(Inputs!$F$34=1,BI8&gt;33,BI8&lt;=Time!$F$10),2.75,0))/100+IF(AND(Inputs!$F$34=2,BI8&gt;=34,BI8&lt;=40),Inputs!$F$69/7,0)</f>
        <v/>
      </c>
      <c r="BJ23" s="11">
        <f>Inputs!$F$61*IF(Inputs!$F$34=1,Inputs!$F$36,1)*(Inputs!BJ231+IF(AND(Inputs!$F$34=1,BJ8&gt;33,BJ8&lt;=Time!$F$10),2.75,0))/100+IF(AND(Inputs!$F$34=2,BJ8&gt;=34,BJ8&lt;=40),Inputs!$F$69/7,0)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Inputs!$F$62*Inputs!$F$36*(0.85*IF(J8=1,1,0)+0.15*IF(J8=18,1,0))</f>
        <v/>
      </c>
      <c r="K24" s="11">
        <f>Inputs!$F$62*Inputs!$F$36*(0.85*IF(K8=1,1,0)+0.15*IF(K8=18,1,0))</f>
        <v/>
      </c>
      <c r="L24" s="11">
        <f>Inputs!$F$62*Inputs!$F$36*(0.85*IF(L8=1,1,0)+0.15*IF(L8=18,1,0))</f>
        <v/>
      </c>
      <c r="M24" s="11">
        <f>Inputs!$F$62*Inputs!$F$36*(0.85*IF(M8=1,1,0)+0.15*IF(M8=18,1,0))</f>
        <v/>
      </c>
      <c r="N24" s="11">
        <f>Inputs!$F$62*Inputs!$F$36*(0.85*IF(N8=1,1,0)+0.15*IF(N8=18,1,0))</f>
        <v/>
      </c>
      <c r="O24" s="11">
        <f>Inputs!$F$62*Inputs!$F$36*(0.85*IF(O8=1,1,0)+0.15*IF(O8=18,1,0))</f>
        <v/>
      </c>
      <c r="P24" s="11">
        <f>Inputs!$F$62*Inputs!$F$36*(0.85*IF(P8=1,1,0)+0.15*IF(P8=18,1,0))</f>
        <v/>
      </c>
      <c r="Q24" s="11">
        <f>Inputs!$F$62*Inputs!$F$36*(0.85*IF(Q8=1,1,0)+0.15*IF(Q8=18,1,0))</f>
        <v/>
      </c>
      <c r="R24" s="11">
        <f>Inputs!$F$62*Inputs!$F$36*(0.85*IF(R8=1,1,0)+0.15*IF(R8=18,1,0))</f>
        <v/>
      </c>
      <c r="S24" s="11">
        <f>Inputs!$F$62*Inputs!$F$36*(0.85*IF(S8=1,1,0)+0.15*IF(S8=18,1,0))</f>
        <v/>
      </c>
      <c r="T24" s="11">
        <f>Inputs!$F$62*Inputs!$F$36*(0.85*IF(T8=1,1,0)+0.15*IF(T8=18,1,0))</f>
        <v/>
      </c>
      <c r="U24" s="11">
        <f>Inputs!$F$62*Inputs!$F$36*(0.85*IF(U8=1,1,0)+0.15*IF(U8=18,1,0))</f>
        <v/>
      </c>
      <c r="V24" s="11">
        <f>Inputs!$F$62*Inputs!$F$36*(0.85*IF(V8=1,1,0)+0.15*IF(V8=18,1,0))</f>
        <v/>
      </c>
      <c r="W24" s="11">
        <f>Inputs!$F$62*Inputs!$F$36*(0.85*IF(W8=1,1,0)+0.15*IF(W8=18,1,0))</f>
        <v/>
      </c>
      <c r="X24" s="11">
        <f>Inputs!$F$62*Inputs!$F$36*(0.85*IF(X8=1,1,0)+0.15*IF(X8=18,1,0))</f>
        <v/>
      </c>
      <c r="Y24" s="11">
        <f>Inputs!$F$62*Inputs!$F$36*(0.85*IF(Y8=1,1,0)+0.15*IF(Y8=18,1,0))</f>
        <v/>
      </c>
      <c r="Z24" s="11">
        <f>Inputs!$F$62*Inputs!$F$36*(0.85*IF(Z8=1,1,0)+0.15*IF(Z8=18,1,0))</f>
        <v/>
      </c>
      <c r="AA24" s="11">
        <f>Inputs!$F$62*Inputs!$F$36*(0.85*IF(AA8=1,1,0)+0.15*IF(AA8=18,1,0))</f>
        <v/>
      </c>
      <c r="AB24" s="11">
        <f>Inputs!$F$62*Inputs!$F$36*(0.85*IF(AB8=1,1,0)+0.15*IF(AB8=18,1,0))</f>
        <v/>
      </c>
      <c r="AC24" s="11">
        <f>Inputs!$F$62*Inputs!$F$36*(0.85*IF(AC8=1,1,0)+0.15*IF(AC8=18,1,0))</f>
        <v/>
      </c>
      <c r="AD24" s="11">
        <f>Inputs!$F$62*Inputs!$F$36*(0.85*IF(AD8=1,1,0)+0.15*IF(AD8=18,1,0))</f>
        <v/>
      </c>
      <c r="AE24" s="11">
        <f>Inputs!$F$62*Inputs!$F$36*(0.85*IF(AE8=1,1,0)+0.15*IF(AE8=18,1,0))</f>
        <v/>
      </c>
      <c r="AF24" s="11">
        <f>Inputs!$F$62*Inputs!$F$36*(0.85*IF(AF8=1,1,0)+0.15*IF(AF8=18,1,0))</f>
        <v/>
      </c>
      <c r="AG24" s="11">
        <f>Inputs!$F$62*Inputs!$F$36*(0.85*IF(AG8=1,1,0)+0.15*IF(AG8=18,1,0))</f>
        <v/>
      </c>
      <c r="AH24" s="11">
        <f>Inputs!$F$62*Inputs!$F$36*(0.85*IF(AH8=1,1,0)+0.15*IF(AH8=18,1,0))</f>
        <v/>
      </c>
      <c r="AI24" s="11">
        <f>Inputs!$F$62*Inputs!$F$36*(0.85*IF(AI8=1,1,0)+0.15*IF(AI8=18,1,0))</f>
        <v/>
      </c>
      <c r="AJ24" s="11">
        <f>Inputs!$F$62*Inputs!$F$36*(0.85*IF(AJ8=1,1,0)+0.15*IF(AJ8=18,1,0))</f>
        <v/>
      </c>
      <c r="AK24" s="11">
        <f>Inputs!$F$62*Inputs!$F$36*(0.85*IF(AK8=1,1,0)+0.15*IF(AK8=18,1,0))</f>
        <v/>
      </c>
      <c r="AL24" s="11">
        <f>Inputs!$F$62*Inputs!$F$36*(0.85*IF(AL8=1,1,0)+0.15*IF(AL8=18,1,0))</f>
        <v/>
      </c>
      <c r="AM24" s="11">
        <f>Inputs!$F$62*Inputs!$F$36*(0.85*IF(AM8=1,1,0)+0.15*IF(AM8=18,1,0))</f>
        <v/>
      </c>
      <c r="AN24" s="11">
        <f>Inputs!$F$62*Inputs!$F$36*(0.85*IF(AN8=1,1,0)+0.15*IF(AN8=18,1,0))</f>
        <v/>
      </c>
      <c r="AO24" s="11">
        <f>Inputs!$F$62*Inputs!$F$36*(0.85*IF(AO8=1,1,0)+0.15*IF(AO8=18,1,0))</f>
        <v/>
      </c>
      <c r="AP24" s="11">
        <f>Inputs!$F$62*Inputs!$F$36*(0.85*IF(AP8=1,1,0)+0.15*IF(AP8=18,1,0))</f>
        <v/>
      </c>
      <c r="AQ24" s="11">
        <f>Inputs!$F$62*Inputs!$F$36*(0.85*IF(AQ8=1,1,0)+0.15*IF(AQ8=18,1,0))</f>
        <v/>
      </c>
      <c r="AR24" s="11">
        <f>Inputs!$F$62*Inputs!$F$36*(0.85*IF(AR8=1,1,0)+0.15*IF(AR8=18,1,0))</f>
        <v/>
      </c>
      <c r="AS24" s="11">
        <f>Inputs!$F$62*Inputs!$F$36*(0.85*IF(AS8=1,1,0)+0.15*IF(AS8=18,1,0))</f>
        <v/>
      </c>
      <c r="AT24" s="11">
        <f>Inputs!$F$62*Inputs!$F$36*(0.85*IF(AT8=1,1,0)+0.15*IF(AT8=18,1,0))</f>
        <v/>
      </c>
      <c r="AU24" s="11">
        <f>Inputs!$F$62*Inputs!$F$36*(0.85*IF(AU8=1,1,0)+0.15*IF(AU8=18,1,0))</f>
        <v/>
      </c>
      <c r="AV24" s="11">
        <f>Inputs!$F$62*Inputs!$F$36*(0.85*IF(AV8=1,1,0)+0.15*IF(AV8=18,1,0))</f>
        <v/>
      </c>
      <c r="AW24" s="11">
        <f>Inputs!$F$62*Inputs!$F$36*(0.85*IF(AW8=1,1,0)+0.15*IF(AW8=18,1,0))</f>
        <v/>
      </c>
      <c r="AX24" s="11">
        <f>Inputs!$F$62*Inputs!$F$36*(0.85*IF(AX8=1,1,0)+0.15*IF(AX8=18,1,0))</f>
        <v/>
      </c>
      <c r="AY24" s="11">
        <f>Inputs!$F$62*Inputs!$F$36*(0.85*IF(AY8=1,1,0)+0.15*IF(AY8=18,1,0))</f>
        <v/>
      </c>
      <c r="AZ24" s="11">
        <f>Inputs!$F$62*Inputs!$F$36*(0.85*IF(AZ8=1,1,0)+0.15*IF(AZ8=18,1,0))</f>
        <v/>
      </c>
      <c r="BA24" s="11">
        <f>Inputs!$F$62*Inputs!$F$36*(0.85*IF(BA8=1,1,0)+0.15*IF(BA8=18,1,0))</f>
        <v/>
      </c>
      <c r="BB24" s="11">
        <f>Inputs!$F$62*Inputs!$F$36*(0.85*IF(BB8=1,1,0)+0.15*IF(BB8=18,1,0))</f>
        <v/>
      </c>
      <c r="BC24" s="11">
        <f>Inputs!$F$62*Inputs!$F$36*(0.85*IF(BC8=1,1,0)+0.15*IF(BC8=18,1,0))</f>
        <v/>
      </c>
      <c r="BD24" s="11">
        <f>Inputs!$F$62*Inputs!$F$36*(0.85*IF(BD8=1,1,0)+0.15*IF(BD8=18,1,0))</f>
        <v/>
      </c>
      <c r="BE24" s="11">
        <f>Inputs!$F$62*Inputs!$F$36*(0.85*IF(BE8=1,1,0)+0.15*IF(BE8=18,1,0))</f>
        <v/>
      </c>
      <c r="BF24" s="11">
        <f>Inputs!$F$62*Inputs!$F$36*(0.85*IF(BF8=1,1,0)+0.15*IF(BF8=18,1,0))</f>
        <v/>
      </c>
      <c r="BG24" s="11">
        <f>Inputs!$F$62*Inputs!$F$36*(0.85*IF(BG8=1,1,0)+0.15*IF(BG8=18,1,0))</f>
        <v/>
      </c>
      <c r="BH24" s="11">
        <f>Inputs!$F$62*Inputs!$F$36*(0.85*IF(BH8=1,1,0)+0.15*IF(BH8=18,1,0))</f>
        <v/>
      </c>
      <c r="BI24" s="11">
        <f>Inputs!$F$62*Inputs!$F$36*(0.85*IF(BI8=1,1,0)+0.15*IF(BI8=18,1,0))</f>
        <v/>
      </c>
      <c r="BJ24" s="11">
        <f>Inputs!$F$62*Inputs!$F$36*(0.85*IF(BJ8=1,1,0)+0.15*IF(BJ8=18,1,0))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IF(J8=1,Inputs!$F$63+Inputs!$F$64,0)</f>
        <v/>
      </c>
      <c r="K25" s="11">
        <f>IF(K8=1,Inputs!$F$63+Inputs!$F$64,0)</f>
        <v/>
      </c>
      <c r="L25" s="11">
        <f>IF(L8=1,Inputs!$F$63+Inputs!$F$64,0)</f>
        <v/>
      </c>
      <c r="M25" s="11">
        <f>IF(M8=1,Inputs!$F$63+Inputs!$F$64,0)</f>
        <v/>
      </c>
      <c r="N25" s="11">
        <f>IF(N8=1,Inputs!$F$63+Inputs!$F$64,0)</f>
        <v/>
      </c>
      <c r="O25" s="11">
        <f>IF(O8=1,Inputs!$F$63+Inputs!$F$64,0)</f>
        <v/>
      </c>
      <c r="P25" s="11">
        <f>IF(P8=1,Inputs!$F$63+Inputs!$F$64,0)</f>
        <v/>
      </c>
      <c r="Q25" s="11">
        <f>IF(Q8=1,Inputs!$F$63+Inputs!$F$64,0)</f>
        <v/>
      </c>
      <c r="R25" s="11">
        <f>IF(R8=1,Inputs!$F$63+Inputs!$F$64,0)</f>
        <v/>
      </c>
      <c r="S25" s="11">
        <f>IF(S8=1,Inputs!$F$63+Inputs!$F$64,0)</f>
        <v/>
      </c>
      <c r="T25" s="11">
        <f>IF(T8=1,Inputs!$F$63+Inputs!$F$64,0)</f>
        <v/>
      </c>
      <c r="U25" s="11">
        <f>IF(U8=1,Inputs!$F$63+Inputs!$F$64,0)</f>
        <v/>
      </c>
      <c r="V25" s="11">
        <f>IF(V8=1,Inputs!$F$63+Inputs!$F$64,0)</f>
        <v/>
      </c>
      <c r="W25" s="11">
        <f>IF(W8=1,Inputs!$F$63+Inputs!$F$64,0)</f>
        <v/>
      </c>
      <c r="X25" s="11">
        <f>IF(X8=1,Inputs!$F$63+Inputs!$F$64,0)</f>
        <v/>
      </c>
      <c r="Y25" s="11">
        <f>IF(Y8=1,Inputs!$F$63+Inputs!$F$64,0)</f>
        <v/>
      </c>
      <c r="Z25" s="11">
        <f>IF(Z8=1,Inputs!$F$63+Inputs!$F$64,0)</f>
        <v/>
      </c>
      <c r="AA25" s="11">
        <f>IF(AA8=1,Inputs!$F$63+Inputs!$F$64,0)</f>
        <v/>
      </c>
      <c r="AB25" s="11">
        <f>IF(AB8=1,Inputs!$F$63+Inputs!$F$64,0)</f>
        <v/>
      </c>
      <c r="AC25" s="11">
        <f>IF(AC8=1,Inputs!$F$63+Inputs!$F$64,0)</f>
        <v/>
      </c>
      <c r="AD25" s="11">
        <f>IF(AD8=1,Inputs!$F$63+Inputs!$F$64,0)</f>
        <v/>
      </c>
      <c r="AE25" s="11">
        <f>IF(AE8=1,Inputs!$F$63+Inputs!$F$64,0)</f>
        <v/>
      </c>
      <c r="AF25" s="11">
        <f>IF(AF8=1,Inputs!$F$63+Inputs!$F$64,0)</f>
        <v/>
      </c>
      <c r="AG25" s="11">
        <f>IF(AG8=1,Inputs!$F$63+Inputs!$F$64,0)</f>
        <v/>
      </c>
      <c r="AH25" s="11">
        <f>IF(AH8=1,Inputs!$F$63+Inputs!$F$64,0)</f>
        <v/>
      </c>
      <c r="AI25" s="11">
        <f>IF(AI8=1,Inputs!$F$63+Inputs!$F$64,0)</f>
        <v/>
      </c>
      <c r="AJ25" s="11">
        <f>IF(AJ8=1,Inputs!$F$63+Inputs!$F$64,0)</f>
        <v/>
      </c>
      <c r="AK25" s="11">
        <f>IF(AK8=1,Inputs!$F$63+Inputs!$F$64,0)</f>
        <v/>
      </c>
      <c r="AL25" s="11">
        <f>IF(AL8=1,Inputs!$F$63+Inputs!$F$64,0)</f>
        <v/>
      </c>
      <c r="AM25" s="11">
        <f>IF(AM8=1,Inputs!$F$63+Inputs!$F$64,0)</f>
        <v/>
      </c>
      <c r="AN25" s="11">
        <f>IF(AN8=1,Inputs!$F$63+Inputs!$F$64,0)</f>
        <v/>
      </c>
      <c r="AO25" s="11">
        <f>IF(AO8=1,Inputs!$F$63+Inputs!$F$64,0)</f>
        <v/>
      </c>
      <c r="AP25" s="11">
        <f>IF(AP8=1,Inputs!$F$63+Inputs!$F$64,0)</f>
        <v/>
      </c>
      <c r="AQ25" s="11">
        <f>IF(AQ8=1,Inputs!$F$63+Inputs!$F$64,0)</f>
        <v/>
      </c>
      <c r="AR25" s="11">
        <f>IF(AR8=1,Inputs!$F$63+Inputs!$F$64,0)</f>
        <v/>
      </c>
      <c r="AS25" s="11">
        <f>IF(AS8=1,Inputs!$F$63+Inputs!$F$64,0)</f>
        <v/>
      </c>
      <c r="AT25" s="11">
        <f>IF(AT8=1,Inputs!$F$63+Inputs!$F$64,0)</f>
        <v/>
      </c>
      <c r="AU25" s="11">
        <f>IF(AU8=1,Inputs!$F$63+Inputs!$F$64,0)</f>
        <v/>
      </c>
      <c r="AV25" s="11">
        <f>IF(AV8=1,Inputs!$F$63+Inputs!$F$64,0)</f>
        <v/>
      </c>
      <c r="AW25" s="11">
        <f>IF(AW8=1,Inputs!$F$63+Inputs!$F$64,0)</f>
        <v/>
      </c>
      <c r="AX25" s="11">
        <f>IF(AX8=1,Inputs!$F$63+Inputs!$F$64,0)</f>
        <v/>
      </c>
      <c r="AY25" s="11">
        <f>IF(AY8=1,Inputs!$F$63+Inputs!$F$64,0)</f>
        <v/>
      </c>
      <c r="AZ25" s="11">
        <f>IF(AZ8=1,Inputs!$F$63+Inputs!$F$64,0)</f>
        <v/>
      </c>
      <c r="BA25" s="11">
        <f>IF(BA8=1,Inputs!$F$63+Inputs!$F$64,0)</f>
        <v/>
      </c>
      <c r="BB25" s="11">
        <f>IF(BB8=1,Inputs!$F$63+Inputs!$F$64,0)</f>
        <v/>
      </c>
      <c r="BC25" s="11">
        <f>IF(BC8=1,Inputs!$F$63+Inputs!$F$64,0)</f>
        <v/>
      </c>
      <c r="BD25" s="11">
        <f>IF(BD8=1,Inputs!$F$63+Inputs!$F$64,0)</f>
        <v/>
      </c>
      <c r="BE25" s="11">
        <f>IF(BE8=1,Inputs!$F$63+Inputs!$F$64,0)</f>
        <v/>
      </c>
      <c r="BF25" s="11">
        <f>IF(BF8=1,Inputs!$F$63+Inputs!$F$64,0)</f>
        <v/>
      </c>
      <c r="BG25" s="11">
        <f>IF(BG8=1,Inputs!$F$63+Inputs!$F$64,0)</f>
        <v/>
      </c>
      <c r="BH25" s="11">
        <f>IF(BH8=1,Inputs!$F$63+Inputs!$F$64,0)</f>
        <v/>
      </c>
      <c r="BI25" s="11">
        <f>IF(BI8=1,Inputs!$F$63+Inputs!$F$64,0)</f>
        <v/>
      </c>
      <c r="BJ25" s="11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Inputs!$F$65*Inputs!$F$36*(0.7*IF(J8=1,1,0)+0.3/(Time!$F$10-1)*IF(AND(J8&gt;=2,J8&lt;=Time!$F$10),1,0))</f>
        <v/>
      </c>
      <c r="K26" s="11">
        <f>Inputs!$F$65*Inputs!$F$36*(0.7*IF(K8=1,1,0)+0.3/(Time!$F$10-1)*IF(AND(K8&gt;=2,K8&lt;=Time!$F$10),1,0))</f>
        <v/>
      </c>
      <c r="L26" s="11">
        <f>Inputs!$F$65*Inputs!$F$36*(0.7*IF(L8=1,1,0)+0.3/(Time!$F$10-1)*IF(AND(L8&gt;=2,L8&lt;=Time!$F$10),1,0))</f>
        <v/>
      </c>
      <c r="M26" s="11">
        <f>Inputs!$F$65*Inputs!$F$36*(0.7*IF(M8=1,1,0)+0.3/(Time!$F$10-1)*IF(AND(M8&gt;=2,M8&lt;=Time!$F$10),1,0))</f>
        <v/>
      </c>
      <c r="N26" s="11">
        <f>Inputs!$F$65*Inputs!$F$36*(0.7*IF(N8=1,1,0)+0.3/(Time!$F$10-1)*IF(AND(N8&gt;=2,N8&lt;=Time!$F$10),1,0))</f>
        <v/>
      </c>
      <c r="O26" s="11">
        <f>Inputs!$F$65*Inputs!$F$36*(0.7*IF(O8=1,1,0)+0.3/(Time!$F$10-1)*IF(AND(O8&gt;=2,O8&lt;=Time!$F$10),1,0))</f>
        <v/>
      </c>
      <c r="P26" s="11">
        <f>Inputs!$F$65*Inputs!$F$36*(0.7*IF(P8=1,1,0)+0.3/(Time!$F$10-1)*IF(AND(P8&gt;=2,P8&lt;=Time!$F$10),1,0))</f>
        <v/>
      </c>
      <c r="Q26" s="11">
        <f>Inputs!$F$65*Inputs!$F$36*(0.7*IF(Q8=1,1,0)+0.3/(Time!$F$10-1)*IF(AND(Q8&gt;=2,Q8&lt;=Time!$F$10),1,0))</f>
        <v/>
      </c>
      <c r="R26" s="11">
        <f>Inputs!$F$65*Inputs!$F$36*(0.7*IF(R8=1,1,0)+0.3/(Time!$F$10-1)*IF(AND(R8&gt;=2,R8&lt;=Time!$F$10),1,0))</f>
        <v/>
      </c>
      <c r="S26" s="11">
        <f>Inputs!$F$65*Inputs!$F$36*(0.7*IF(S8=1,1,0)+0.3/(Time!$F$10-1)*IF(AND(S8&gt;=2,S8&lt;=Time!$F$10),1,0))</f>
        <v/>
      </c>
      <c r="T26" s="11">
        <f>Inputs!$F$65*Inputs!$F$36*(0.7*IF(T8=1,1,0)+0.3/(Time!$F$10-1)*IF(AND(T8&gt;=2,T8&lt;=Time!$F$10),1,0))</f>
        <v/>
      </c>
      <c r="U26" s="11">
        <f>Inputs!$F$65*Inputs!$F$36*(0.7*IF(U8=1,1,0)+0.3/(Time!$F$10-1)*IF(AND(U8&gt;=2,U8&lt;=Time!$F$10),1,0))</f>
        <v/>
      </c>
      <c r="V26" s="11">
        <f>Inputs!$F$65*Inputs!$F$36*(0.7*IF(V8=1,1,0)+0.3/(Time!$F$10-1)*IF(AND(V8&gt;=2,V8&lt;=Time!$F$10),1,0))</f>
        <v/>
      </c>
      <c r="W26" s="11">
        <f>Inputs!$F$65*Inputs!$F$36*(0.7*IF(W8=1,1,0)+0.3/(Time!$F$10-1)*IF(AND(W8&gt;=2,W8&lt;=Time!$F$10),1,0))</f>
        <v/>
      </c>
      <c r="X26" s="11">
        <f>Inputs!$F$65*Inputs!$F$36*(0.7*IF(X8=1,1,0)+0.3/(Time!$F$10-1)*IF(AND(X8&gt;=2,X8&lt;=Time!$F$10),1,0))</f>
        <v/>
      </c>
      <c r="Y26" s="11">
        <f>Inputs!$F$65*Inputs!$F$36*(0.7*IF(Y8=1,1,0)+0.3/(Time!$F$10-1)*IF(AND(Y8&gt;=2,Y8&lt;=Time!$F$10),1,0))</f>
        <v/>
      </c>
      <c r="Z26" s="11">
        <f>Inputs!$F$65*Inputs!$F$36*(0.7*IF(Z8=1,1,0)+0.3/(Time!$F$10-1)*IF(AND(Z8&gt;=2,Z8&lt;=Time!$F$10),1,0))</f>
        <v/>
      </c>
      <c r="AA26" s="11">
        <f>Inputs!$F$65*Inputs!$F$36*(0.7*IF(AA8=1,1,0)+0.3/(Time!$F$10-1)*IF(AND(AA8&gt;=2,AA8&lt;=Time!$F$10),1,0))</f>
        <v/>
      </c>
      <c r="AB26" s="11">
        <f>Inputs!$F$65*Inputs!$F$36*(0.7*IF(AB8=1,1,0)+0.3/(Time!$F$10-1)*IF(AND(AB8&gt;=2,AB8&lt;=Time!$F$10),1,0))</f>
        <v/>
      </c>
      <c r="AC26" s="11">
        <f>Inputs!$F$65*Inputs!$F$36*(0.7*IF(AC8=1,1,0)+0.3/(Time!$F$10-1)*IF(AND(AC8&gt;=2,AC8&lt;=Time!$F$10),1,0))</f>
        <v/>
      </c>
      <c r="AD26" s="11">
        <f>Inputs!$F$65*Inputs!$F$36*(0.7*IF(AD8=1,1,0)+0.3/(Time!$F$10-1)*IF(AND(AD8&gt;=2,AD8&lt;=Time!$F$10),1,0))</f>
        <v/>
      </c>
      <c r="AE26" s="11">
        <f>Inputs!$F$65*Inputs!$F$36*(0.7*IF(AE8=1,1,0)+0.3/(Time!$F$10-1)*IF(AND(AE8&gt;=2,AE8&lt;=Time!$F$10),1,0))</f>
        <v/>
      </c>
      <c r="AF26" s="11">
        <f>Inputs!$F$65*Inputs!$F$36*(0.7*IF(AF8=1,1,0)+0.3/(Time!$F$10-1)*IF(AND(AF8&gt;=2,AF8&lt;=Time!$F$10),1,0))</f>
        <v/>
      </c>
      <c r="AG26" s="11">
        <f>Inputs!$F$65*Inputs!$F$36*(0.7*IF(AG8=1,1,0)+0.3/(Time!$F$10-1)*IF(AND(AG8&gt;=2,AG8&lt;=Time!$F$10),1,0))</f>
        <v/>
      </c>
      <c r="AH26" s="11">
        <f>Inputs!$F$65*Inputs!$F$36*(0.7*IF(AH8=1,1,0)+0.3/(Time!$F$10-1)*IF(AND(AH8&gt;=2,AH8&lt;=Time!$F$10),1,0))</f>
        <v/>
      </c>
      <c r="AI26" s="11">
        <f>Inputs!$F$65*Inputs!$F$36*(0.7*IF(AI8=1,1,0)+0.3/(Time!$F$10-1)*IF(AND(AI8&gt;=2,AI8&lt;=Time!$F$10),1,0))</f>
        <v/>
      </c>
      <c r="AJ26" s="11">
        <f>Inputs!$F$65*Inputs!$F$36*(0.7*IF(AJ8=1,1,0)+0.3/(Time!$F$10-1)*IF(AND(AJ8&gt;=2,AJ8&lt;=Time!$F$10),1,0))</f>
        <v/>
      </c>
      <c r="AK26" s="11">
        <f>Inputs!$F$65*Inputs!$F$36*(0.7*IF(AK8=1,1,0)+0.3/(Time!$F$10-1)*IF(AND(AK8&gt;=2,AK8&lt;=Time!$F$10),1,0))</f>
        <v/>
      </c>
      <c r="AL26" s="11">
        <f>Inputs!$F$65*Inputs!$F$36*(0.7*IF(AL8=1,1,0)+0.3/(Time!$F$10-1)*IF(AND(AL8&gt;=2,AL8&lt;=Time!$F$10),1,0))</f>
        <v/>
      </c>
      <c r="AM26" s="11">
        <f>Inputs!$F$65*Inputs!$F$36*(0.7*IF(AM8=1,1,0)+0.3/(Time!$F$10-1)*IF(AND(AM8&gt;=2,AM8&lt;=Time!$F$10),1,0))</f>
        <v/>
      </c>
      <c r="AN26" s="11">
        <f>Inputs!$F$65*Inputs!$F$36*(0.7*IF(AN8=1,1,0)+0.3/(Time!$F$10-1)*IF(AND(AN8&gt;=2,AN8&lt;=Time!$F$10),1,0))</f>
        <v/>
      </c>
      <c r="AO26" s="11">
        <f>Inputs!$F$65*Inputs!$F$36*(0.7*IF(AO8=1,1,0)+0.3/(Time!$F$10-1)*IF(AND(AO8&gt;=2,AO8&lt;=Time!$F$10),1,0))</f>
        <v/>
      </c>
      <c r="AP26" s="11">
        <f>Inputs!$F$65*Inputs!$F$36*(0.7*IF(AP8=1,1,0)+0.3/(Time!$F$10-1)*IF(AND(AP8&gt;=2,AP8&lt;=Time!$F$10),1,0))</f>
        <v/>
      </c>
      <c r="AQ26" s="11">
        <f>Inputs!$F$65*Inputs!$F$36*(0.7*IF(AQ8=1,1,0)+0.3/(Time!$F$10-1)*IF(AND(AQ8&gt;=2,AQ8&lt;=Time!$F$10),1,0))</f>
        <v/>
      </c>
      <c r="AR26" s="11">
        <f>Inputs!$F$65*Inputs!$F$36*(0.7*IF(AR8=1,1,0)+0.3/(Time!$F$10-1)*IF(AND(AR8&gt;=2,AR8&lt;=Time!$F$10),1,0))</f>
        <v/>
      </c>
      <c r="AS26" s="11">
        <f>Inputs!$F$65*Inputs!$F$36*(0.7*IF(AS8=1,1,0)+0.3/(Time!$F$10-1)*IF(AND(AS8&gt;=2,AS8&lt;=Time!$F$10),1,0))</f>
        <v/>
      </c>
      <c r="AT26" s="11">
        <f>Inputs!$F$65*Inputs!$F$36*(0.7*IF(AT8=1,1,0)+0.3/(Time!$F$10-1)*IF(AND(AT8&gt;=2,AT8&lt;=Time!$F$10),1,0))</f>
        <v/>
      </c>
      <c r="AU26" s="11">
        <f>Inputs!$F$65*Inputs!$F$36*(0.7*IF(AU8=1,1,0)+0.3/(Time!$F$10-1)*IF(AND(AU8&gt;=2,AU8&lt;=Time!$F$10),1,0))</f>
        <v/>
      </c>
      <c r="AV26" s="11">
        <f>Inputs!$F$65*Inputs!$F$36*(0.7*IF(AV8=1,1,0)+0.3/(Time!$F$10-1)*IF(AND(AV8&gt;=2,AV8&lt;=Time!$F$10),1,0))</f>
        <v/>
      </c>
      <c r="AW26" s="11">
        <f>Inputs!$F$65*Inputs!$F$36*(0.7*IF(AW8=1,1,0)+0.3/(Time!$F$10-1)*IF(AND(AW8&gt;=2,AW8&lt;=Time!$F$10),1,0))</f>
        <v/>
      </c>
      <c r="AX26" s="11">
        <f>Inputs!$F$65*Inputs!$F$36*(0.7*IF(AX8=1,1,0)+0.3/(Time!$F$10-1)*IF(AND(AX8&gt;=2,AX8&lt;=Time!$F$10),1,0))</f>
        <v/>
      </c>
      <c r="AY26" s="11">
        <f>Inputs!$F$65*Inputs!$F$36*(0.7*IF(AY8=1,1,0)+0.3/(Time!$F$10-1)*IF(AND(AY8&gt;=2,AY8&lt;=Time!$F$10),1,0))</f>
        <v/>
      </c>
      <c r="AZ26" s="11">
        <f>Inputs!$F$65*Inputs!$F$36*(0.7*IF(AZ8=1,1,0)+0.3/(Time!$F$10-1)*IF(AND(AZ8&gt;=2,AZ8&lt;=Time!$F$10),1,0))</f>
        <v/>
      </c>
      <c r="BA26" s="11">
        <f>Inputs!$F$65*Inputs!$F$36*(0.7*IF(BA8=1,1,0)+0.3/(Time!$F$10-1)*IF(AND(BA8&gt;=2,BA8&lt;=Time!$F$10),1,0))</f>
        <v/>
      </c>
      <c r="BB26" s="11">
        <f>Inputs!$F$65*Inputs!$F$36*(0.7*IF(BB8=1,1,0)+0.3/(Time!$F$10-1)*IF(AND(BB8&gt;=2,BB8&lt;=Time!$F$10),1,0))</f>
        <v/>
      </c>
      <c r="BC26" s="11">
        <f>Inputs!$F$65*Inputs!$F$36*(0.7*IF(BC8=1,1,0)+0.3/(Time!$F$10-1)*IF(AND(BC8&gt;=2,BC8&lt;=Time!$F$10),1,0))</f>
        <v/>
      </c>
      <c r="BD26" s="11">
        <f>Inputs!$F$65*Inputs!$F$36*(0.7*IF(BD8=1,1,0)+0.3/(Time!$F$10-1)*IF(AND(BD8&gt;=2,BD8&lt;=Time!$F$10),1,0))</f>
        <v/>
      </c>
      <c r="BE26" s="11">
        <f>Inputs!$F$65*Inputs!$F$36*(0.7*IF(BE8=1,1,0)+0.3/(Time!$F$10-1)*IF(AND(BE8&gt;=2,BE8&lt;=Time!$F$10),1,0))</f>
        <v/>
      </c>
      <c r="BF26" s="11">
        <f>Inputs!$F$65*Inputs!$F$36*(0.7*IF(BF8=1,1,0)+0.3/(Time!$F$10-1)*IF(AND(BF8&gt;=2,BF8&lt;=Time!$F$10),1,0))</f>
        <v/>
      </c>
      <c r="BG26" s="11">
        <f>Inputs!$F$65*Inputs!$F$36*(0.7*IF(BG8=1,1,0)+0.3/(Time!$F$10-1)*IF(AND(BG8&gt;=2,BG8&lt;=Time!$F$10),1,0))</f>
        <v/>
      </c>
      <c r="BH26" s="11">
        <f>Inputs!$F$65*Inputs!$F$36*(0.7*IF(BH8=1,1,0)+0.3/(Time!$F$10-1)*IF(AND(BH8&gt;=2,BH8&lt;=Time!$F$10),1,0))</f>
        <v/>
      </c>
      <c r="BI26" s="11">
        <f>Inputs!$F$65*Inputs!$F$36*(0.7*IF(BI8=1,1,0)+0.3/(Time!$F$10-1)*IF(AND(BI8&gt;=2,BI8&lt;=Time!$F$10),1,0))</f>
        <v/>
      </c>
      <c r="BJ26" s="11">
        <f>Inputs!$F$65*Inputs!$F$36*(0.7*IF(BJ8=1,1,0)+0.3/(Time!$F$10-1)*IF(AND(BJ8&gt;=2,BJ8&lt;=Time!$F$10),1,0))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IF(Inputs!$F$34=1,Inputs!$F$66*Inputs!$F$36*J21/SUM($J$21:$BJ$21),0)</f>
        <v/>
      </c>
      <c r="K27" s="11">
        <f>IF(Inputs!$F$34=1,Inputs!$F$66*Inputs!$F$36*K21/SUM($J$21:$BJ$21),0)</f>
        <v/>
      </c>
      <c r="L27" s="11">
        <f>IF(Inputs!$F$34=1,Inputs!$F$66*Inputs!$F$36*L21/SUM($J$21:$BJ$21),0)</f>
        <v/>
      </c>
      <c r="M27" s="11">
        <f>IF(Inputs!$F$34=1,Inputs!$F$66*Inputs!$F$36*M21/SUM($J$21:$BJ$21),0)</f>
        <v/>
      </c>
      <c r="N27" s="11">
        <f>IF(Inputs!$F$34=1,Inputs!$F$66*Inputs!$F$36*N21/SUM($J$21:$BJ$21),0)</f>
        <v/>
      </c>
      <c r="O27" s="11">
        <f>IF(Inputs!$F$34=1,Inputs!$F$66*Inputs!$F$36*O21/SUM($J$21:$BJ$21),0)</f>
        <v/>
      </c>
      <c r="P27" s="11">
        <f>IF(Inputs!$F$34=1,Inputs!$F$66*Inputs!$F$36*P21/SUM($J$21:$BJ$21),0)</f>
        <v/>
      </c>
      <c r="Q27" s="11">
        <f>IF(Inputs!$F$34=1,Inputs!$F$66*Inputs!$F$36*Q21/SUM($J$21:$BJ$21),0)</f>
        <v/>
      </c>
      <c r="R27" s="11">
        <f>IF(Inputs!$F$34=1,Inputs!$F$66*Inputs!$F$36*R21/SUM($J$21:$BJ$21),0)</f>
        <v/>
      </c>
      <c r="S27" s="11">
        <f>IF(Inputs!$F$34=1,Inputs!$F$66*Inputs!$F$36*S21/SUM($J$21:$BJ$21),0)</f>
        <v/>
      </c>
      <c r="T27" s="11">
        <f>IF(Inputs!$F$34=1,Inputs!$F$66*Inputs!$F$36*T21/SUM($J$21:$BJ$21),0)</f>
        <v/>
      </c>
      <c r="U27" s="11">
        <f>IF(Inputs!$F$34=1,Inputs!$F$66*Inputs!$F$36*U21/SUM($J$21:$BJ$21),0)</f>
        <v/>
      </c>
      <c r="V27" s="11">
        <f>IF(Inputs!$F$34=1,Inputs!$F$66*Inputs!$F$36*V21/SUM($J$21:$BJ$21),0)</f>
        <v/>
      </c>
      <c r="W27" s="11">
        <f>IF(Inputs!$F$34=1,Inputs!$F$66*Inputs!$F$36*W21/SUM($J$21:$BJ$21),0)</f>
        <v/>
      </c>
      <c r="X27" s="11">
        <f>IF(Inputs!$F$34=1,Inputs!$F$66*Inputs!$F$36*X21/SUM($J$21:$BJ$21),0)</f>
        <v/>
      </c>
      <c r="Y27" s="11">
        <f>IF(Inputs!$F$34=1,Inputs!$F$66*Inputs!$F$36*Y21/SUM($J$21:$BJ$21),0)</f>
        <v/>
      </c>
      <c r="Z27" s="11">
        <f>IF(Inputs!$F$34=1,Inputs!$F$66*Inputs!$F$36*Z21/SUM($J$21:$BJ$21),0)</f>
        <v/>
      </c>
      <c r="AA27" s="11">
        <f>IF(Inputs!$F$34=1,Inputs!$F$66*Inputs!$F$36*AA21/SUM($J$21:$BJ$21),0)</f>
        <v/>
      </c>
      <c r="AB27" s="11">
        <f>IF(Inputs!$F$34=1,Inputs!$F$66*Inputs!$F$36*AB21/SUM($J$21:$BJ$21),0)</f>
        <v/>
      </c>
      <c r="AC27" s="11">
        <f>IF(Inputs!$F$34=1,Inputs!$F$66*Inputs!$F$36*AC21/SUM($J$21:$BJ$21),0)</f>
        <v/>
      </c>
      <c r="AD27" s="11">
        <f>IF(Inputs!$F$34=1,Inputs!$F$66*Inputs!$F$36*AD21/SUM($J$21:$BJ$21),0)</f>
        <v/>
      </c>
      <c r="AE27" s="11">
        <f>IF(Inputs!$F$34=1,Inputs!$F$66*Inputs!$F$36*AE21/SUM($J$21:$BJ$21),0)</f>
        <v/>
      </c>
      <c r="AF27" s="11">
        <f>IF(Inputs!$F$34=1,Inputs!$F$66*Inputs!$F$36*AF21/SUM($J$21:$BJ$21),0)</f>
        <v/>
      </c>
      <c r="AG27" s="11">
        <f>IF(Inputs!$F$34=1,Inputs!$F$66*Inputs!$F$36*AG21/SUM($J$21:$BJ$21),0)</f>
        <v/>
      </c>
      <c r="AH27" s="11">
        <f>IF(Inputs!$F$34=1,Inputs!$F$66*Inputs!$F$36*AH21/SUM($J$21:$BJ$21),0)</f>
        <v/>
      </c>
      <c r="AI27" s="11">
        <f>IF(Inputs!$F$34=1,Inputs!$F$66*Inputs!$F$36*AI21/SUM($J$21:$BJ$21),0)</f>
        <v/>
      </c>
      <c r="AJ27" s="11">
        <f>IF(Inputs!$F$34=1,Inputs!$F$66*Inputs!$F$36*AJ21/SUM($J$21:$BJ$21),0)</f>
        <v/>
      </c>
      <c r="AK27" s="11">
        <f>IF(Inputs!$F$34=1,Inputs!$F$66*Inputs!$F$36*AK21/SUM($J$21:$BJ$21),0)</f>
        <v/>
      </c>
      <c r="AL27" s="11">
        <f>IF(Inputs!$F$34=1,Inputs!$F$66*Inputs!$F$36*AL21/SUM($J$21:$BJ$21),0)</f>
        <v/>
      </c>
      <c r="AM27" s="11">
        <f>IF(Inputs!$F$34=1,Inputs!$F$66*Inputs!$F$36*AM21/SUM($J$21:$BJ$21),0)</f>
        <v/>
      </c>
      <c r="AN27" s="11">
        <f>IF(Inputs!$F$34=1,Inputs!$F$66*Inputs!$F$36*AN21/SUM($J$21:$BJ$21),0)</f>
        <v/>
      </c>
      <c r="AO27" s="11">
        <f>IF(Inputs!$F$34=1,Inputs!$F$66*Inputs!$F$36*AO21/SUM($J$21:$BJ$21),0)</f>
        <v/>
      </c>
      <c r="AP27" s="11">
        <f>IF(Inputs!$F$34=1,Inputs!$F$66*Inputs!$F$36*AP21/SUM($J$21:$BJ$21),0)</f>
        <v/>
      </c>
      <c r="AQ27" s="11">
        <f>IF(Inputs!$F$34=1,Inputs!$F$66*Inputs!$F$36*AQ21/SUM($J$21:$BJ$21),0)</f>
        <v/>
      </c>
      <c r="AR27" s="11">
        <f>IF(Inputs!$F$34=1,Inputs!$F$66*Inputs!$F$36*AR21/SUM($J$21:$BJ$21),0)</f>
        <v/>
      </c>
      <c r="AS27" s="11">
        <f>IF(Inputs!$F$34=1,Inputs!$F$66*Inputs!$F$36*AS21/SUM($J$21:$BJ$21),0)</f>
        <v/>
      </c>
      <c r="AT27" s="11">
        <f>IF(Inputs!$F$34=1,Inputs!$F$66*Inputs!$F$36*AT21/SUM($J$21:$BJ$21),0)</f>
        <v/>
      </c>
      <c r="AU27" s="11">
        <f>IF(Inputs!$F$34=1,Inputs!$F$66*Inputs!$F$36*AU21/SUM($J$21:$BJ$21),0)</f>
        <v/>
      </c>
      <c r="AV27" s="11">
        <f>IF(Inputs!$F$34=1,Inputs!$F$66*Inputs!$F$36*AV21/SUM($J$21:$BJ$21),0)</f>
        <v/>
      </c>
      <c r="AW27" s="11">
        <f>IF(Inputs!$F$34=1,Inputs!$F$66*Inputs!$F$36*AW21/SUM($J$21:$BJ$21),0)</f>
        <v/>
      </c>
      <c r="AX27" s="11">
        <f>IF(Inputs!$F$34=1,Inputs!$F$66*Inputs!$F$36*AX21/SUM($J$21:$BJ$21),0)</f>
        <v/>
      </c>
      <c r="AY27" s="11">
        <f>IF(Inputs!$F$34=1,Inputs!$F$66*Inputs!$F$36*AY21/SUM($J$21:$BJ$21),0)</f>
        <v/>
      </c>
      <c r="AZ27" s="11">
        <f>IF(Inputs!$F$34=1,Inputs!$F$66*Inputs!$F$36*AZ21/SUM($J$21:$BJ$21),0)</f>
        <v/>
      </c>
      <c r="BA27" s="11">
        <f>IF(Inputs!$F$34=1,Inputs!$F$66*Inputs!$F$36*BA21/SUM($J$21:$BJ$21),0)</f>
        <v/>
      </c>
      <c r="BB27" s="11">
        <f>IF(Inputs!$F$34=1,Inputs!$F$66*Inputs!$F$36*BB21/SUM($J$21:$BJ$21),0)</f>
        <v/>
      </c>
      <c r="BC27" s="11">
        <f>IF(Inputs!$F$34=1,Inputs!$F$66*Inputs!$F$36*BC21/SUM($J$21:$BJ$21),0)</f>
        <v/>
      </c>
      <c r="BD27" s="11">
        <f>IF(Inputs!$F$34=1,Inputs!$F$66*Inputs!$F$36*BD21/SUM($J$21:$BJ$21),0)</f>
        <v/>
      </c>
      <c r="BE27" s="11">
        <f>IF(Inputs!$F$34=1,Inputs!$F$66*Inputs!$F$36*BE21/SUM($J$21:$BJ$21),0)</f>
        <v/>
      </c>
      <c r="BF27" s="11">
        <f>IF(Inputs!$F$34=1,Inputs!$F$66*Inputs!$F$36*BF21/SUM($J$21:$BJ$21),0)</f>
        <v/>
      </c>
      <c r="BG27" s="11">
        <f>IF(Inputs!$F$34=1,Inputs!$F$66*Inputs!$F$36*BG21/SUM($J$21:$BJ$21),0)</f>
        <v/>
      </c>
      <c r="BH27" s="11">
        <f>IF(Inputs!$F$34=1,Inputs!$F$66*Inputs!$F$36*BH21/SUM($J$21:$BJ$21),0)</f>
        <v/>
      </c>
      <c r="BI27" s="11">
        <f>IF(Inputs!$F$34=1,Inputs!$F$66*Inputs!$F$36*BI21/SUM($J$21:$BJ$21),0)</f>
        <v/>
      </c>
      <c r="BJ27" s="11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IF(J8=Time!$F$10,Inputs!$F$67*Inputs!$F$36,0)</f>
        <v/>
      </c>
      <c r="K28" s="11">
        <f>IF(K8=Time!$F$10,Inputs!$F$67*Inputs!$F$36,0)</f>
        <v/>
      </c>
      <c r="L28" s="11">
        <f>IF(L8=Time!$F$10,Inputs!$F$67*Inputs!$F$36,0)</f>
        <v/>
      </c>
      <c r="M28" s="11">
        <f>IF(M8=Time!$F$10,Inputs!$F$67*Inputs!$F$36,0)</f>
        <v/>
      </c>
      <c r="N28" s="11">
        <f>IF(N8=Time!$F$10,Inputs!$F$67*Inputs!$F$36,0)</f>
        <v/>
      </c>
      <c r="O28" s="11">
        <f>IF(O8=Time!$F$10,Inputs!$F$67*Inputs!$F$36,0)</f>
        <v/>
      </c>
      <c r="P28" s="11">
        <f>IF(P8=Time!$F$10,Inputs!$F$67*Inputs!$F$36,0)</f>
        <v/>
      </c>
      <c r="Q28" s="11">
        <f>IF(Q8=Time!$F$10,Inputs!$F$67*Inputs!$F$36,0)</f>
        <v/>
      </c>
      <c r="R28" s="11">
        <f>IF(R8=Time!$F$10,Inputs!$F$67*Inputs!$F$36,0)</f>
        <v/>
      </c>
      <c r="S28" s="11">
        <f>IF(S8=Time!$F$10,Inputs!$F$67*Inputs!$F$36,0)</f>
        <v/>
      </c>
      <c r="T28" s="11">
        <f>IF(T8=Time!$F$10,Inputs!$F$67*Inputs!$F$36,0)</f>
        <v/>
      </c>
      <c r="U28" s="11">
        <f>IF(U8=Time!$F$10,Inputs!$F$67*Inputs!$F$36,0)</f>
        <v/>
      </c>
      <c r="V28" s="11">
        <f>IF(V8=Time!$F$10,Inputs!$F$67*Inputs!$F$36,0)</f>
        <v/>
      </c>
      <c r="W28" s="11">
        <f>IF(W8=Time!$F$10,Inputs!$F$67*Inputs!$F$36,0)</f>
        <v/>
      </c>
      <c r="X28" s="11">
        <f>IF(X8=Time!$F$10,Inputs!$F$67*Inputs!$F$36,0)</f>
        <v/>
      </c>
      <c r="Y28" s="11">
        <f>IF(Y8=Time!$F$10,Inputs!$F$67*Inputs!$F$36,0)</f>
        <v/>
      </c>
      <c r="Z28" s="11">
        <f>IF(Z8=Time!$F$10,Inputs!$F$67*Inputs!$F$36,0)</f>
        <v/>
      </c>
      <c r="AA28" s="11">
        <f>IF(AA8=Time!$F$10,Inputs!$F$67*Inputs!$F$36,0)</f>
        <v/>
      </c>
      <c r="AB28" s="11">
        <f>IF(AB8=Time!$F$10,Inputs!$F$67*Inputs!$F$36,0)</f>
        <v/>
      </c>
      <c r="AC28" s="11">
        <f>IF(AC8=Time!$F$10,Inputs!$F$67*Inputs!$F$36,0)</f>
        <v/>
      </c>
      <c r="AD28" s="11">
        <f>IF(AD8=Time!$F$10,Inputs!$F$67*Inputs!$F$36,0)</f>
        <v/>
      </c>
      <c r="AE28" s="11">
        <f>IF(AE8=Time!$F$10,Inputs!$F$67*Inputs!$F$36,0)</f>
        <v/>
      </c>
      <c r="AF28" s="11">
        <f>IF(AF8=Time!$F$10,Inputs!$F$67*Inputs!$F$36,0)</f>
        <v/>
      </c>
      <c r="AG28" s="11">
        <f>IF(AG8=Time!$F$10,Inputs!$F$67*Inputs!$F$36,0)</f>
        <v/>
      </c>
      <c r="AH28" s="11">
        <f>IF(AH8=Time!$F$10,Inputs!$F$67*Inputs!$F$36,0)</f>
        <v/>
      </c>
      <c r="AI28" s="11">
        <f>IF(AI8=Time!$F$10,Inputs!$F$67*Inputs!$F$36,0)</f>
        <v/>
      </c>
      <c r="AJ28" s="11">
        <f>IF(AJ8=Time!$F$10,Inputs!$F$67*Inputs!$F$36,0)</f>
        <v/>
      </c>
      <c r="AK28" s="11">
        <f>IF(AK8=Time!$F$10,Inputs!$F$67*Inputs!$F$36,0)</f>
        <v/>
      </c>
      <c r="AL28" s="11">
        <f>IF(AL8=Time!$F$10,Inputs!$F$67*Inputs!$F$36,0)</f>
        <v/>
      </c>
      <c r="AM28" s="11">
        <f>IF(AM8=Time!$F$10,Inputs!$F$67*Inputs!$F$36,0)</f>
        <v/>
      </c>
      <c r="AN28" s="11">
        <f>IF(AN8=Time!$F$10,Inputs!$F$67*Inputs!$F$36,0)</f>
        <v/>
      </c>
      <c r="AO28" s="11">
        <f>IF(AO8=Time!$F$10,Inputs!$F$67*Inputs!$F$36,0)</f>
        <v/>
      </c>
      <c r="AP28" s="11">
        <f>IF(AP8=Time!$F$10,Inputs!$F$67*Inputs!$F$36,0)</f>
        <v/>
      </c>
      <c r="AQ28" s="11">
        <f>IF(AQ8=Time!$F$10,Inputs!$F$67*Inputs!$F$36,0)</f>
        <v/>
      </c>
      <c r="AR28" s="11">
        <f>IF(AR8=Time!$F$10,Inputs!$F$67*Inputs!$F$36,0)</f>
        <v/>
      </c>
      <c r="AS28" s="11">
        <f>IF(AS8=Time!$F$10,Inputs!$F$67*Inputs!$F$36,0)</f>
        <v/>
      </c>
      <c r="AT28" s="11">
        <f>IF(AT8=Time!$F$10,Inputs!$F$67*Inputs!$F$36,0)</f>
        <v/>
      </c>
      <c r="AU28" s="11">
        <f>IF(AU8=Time!$F$10,Inputs!$F$67*Inputs!$F$36,0)</f>
        <v/>
      </c>
      <c r="AV28" s="11">
        <f>IF(AV8=Time!$F$10,Inputs!$F$67*Inputs!$F$36,0)</f>
        <v/>
      </c>
      <c r="AW28" s="11">
        <f>IF(AW8=Time!$F$10,Inputs!$F$67*Inputs!$F$36,0)</f>
        <v/>
      </c>
      <c r="AX28" s="11">
        <f>IF(AX8=Time!$F$10,Inputs!$F$67*Inputs!$F$36,0)</f>
        <v/>
      </c>
      <c r="AY28" s="11">
        <f>IF(AY8=Time!$F$10,Inputs!$F$67*Inputs!$F$36,0)</f>
        <v/>
      </c>
      <c r="AZ28" s="11">
        <f>IF(AZ8=Time!$F$10,Inputs!$F$67*Inputs!$F$36,0)</f>
        <v/>
      </c>
      <c r="BA28" s="11">
        <f>IF(BA8=Time!$F$10,Inputs!$F$67*Inputs!$F$36,0)</f>
        <v/>
      </c>
      <c r="BB28" s="11">
        <f>IF(BB8=Time!$F$10,Inputs!$F$67*Inputs!$F$36,0)</f>
        <v/>
      </c>
      <c r="BC28" s="11">
        <f>IF(BC8=Time!$F$10,Inputs!$F$67*Inputs!$F$36,0)</f>
        <v/>
      </c>
      <c r="BD28" s="11">
        <f>IF(BD8=Time!$F$10,Inputs!$F$67*Inputs!$F$36,0)</f>
        <v/>
      </c>
      <c r="BE28" s="11">
        <f>IF(BE8=Time!$F$10,Inputs!$F$67*Inputs!$F$36,0)</f>
        <v/>
      </c>
      <c r="BF28" s="11">
        <f>IF(BF8=Time!$F$10,Inputs!$F$67*Inputs!$F$36,0)</f>
        <v/>
      </c>
      <c r="BG28" s="11">
        <f>IF(BG8=Time!$F$10,Inputs!$F$67*Inputs!$F$36,0)</f>
        <v/>
      </c>
      <c r="BH28" s="11">
        <f>IF(BH8=Time!$F$10,Inputs!$F$67*Inputs!$F$36,0)</f>
        <v/>
      </c>
      <c r="BI28" s="11">
        <f>IF(BI8=Time!$F$10,Inputs!$F$67*Inputs!$F$36,0)</f>
        <v/>
      </c>
      <c r="BJ28" s="11">
        <f>IF(BJ8=Time!$F$10,Inputs!$F$67*Inputs!$F$36,0)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IF(Inputs!$F$34=2,Inputs!J232,0)</f>
        <v/>
      </c>
      <c r="K29" s="11">
        <f>IF(Inputs!$F$34=2,Inputs!K232,0)</f>
        <v/>
      </c>
      <c r="L29" s="11">
        <f>IF(Inputs!$F$34=2,Inputs!L232,0)</f>
        <v/>
      </c>
      <c r="M29" s="11">
        <f>IF(Inputs!$F$34=2,Inputs!M232,0)</f>
        <v/>
      </c>
      <c r="N29" s="11">
        <f>IF(Inputs!$F$34=2,Inputs!N232,0)</f>
        <v/>
      </c>
      <c r="O29" s="11">
        <f>IF(Inputs!$F$34=2,Inputs!O232,0)</f>
        <v/>
      </c>
      <c r="P29" s="11">
        <f>IF(Inputs!$F$34=2,Inputs!P232,0)</f>
        <v/>
      </c>
      <c r="Q29" s="11">
        <f>IF(Inputs!$F$34=2,Inputs!Q232,0)</f>
        <v/>
      </c>
      <c r="R29" s="11">
        <f>IF(Inputs!$F$34=2,Inputs!R232,0)</f>
        <v/>
      </c>
      <c r="S29" s="11">
        <f>IF(Inputs!$F$34=2,Inputs!S232,0)</f>
        <v/>
      </c>
      <c r="T29" s="11">
        <f>IF(Inputs!$F$34=2,Inputs!T232,0)</f>
        <v/>
      </c>
      <c r="U29" s="11">
        <f>IF(Inputs!$F$34=2,Inputs!U232,0)</f>
        <v/>
      </c>
      <c r="V29" s="11">
        <f>IF(Inputs!$F$34=2,Inputs!V232,0)</f>
        <v/>
      </c>
      <c r="W29" s="11">
        <f>IF(Inputs!$F$34=2,Inputs!W232,0)</f>
        <v/>
      </c>
      <c r="X29" s="11">
        <f>IF(Inputs!$F$34=2,Inputs!X232,0)</f>
        <v/>
      </c>
      <c r="Y29" s="11">
        <f>IF(Inputs!$F$34=2,Inputs!Y232,0)</f>
        <v/>
      </c>
      <c r="Z29" s="11">
        <f>IF(Inputs!$F$34=2,Inputs!Z232,0)</f>
        <v/>
      </c>
      <c r="AA29" s="11">
        <f>IF(Inputs!$F$34=2,Inputs!AA232,0)</f>
        <v/>
      </c>
      <c r="AB29" s="11">
        <f>IF(Inputs!$F$34=2,Inputs!AB232,0)</f>
        <v/>
      </c>
      <c r="AC29" s="11">
        <f>IF(Inputs!$F$34=2,Inputs!AC232,0)</f>
        <v/>
      </c>
      <c r="AD29" s="11">
        <f>IF(Inputs!$F$34=2,Inputs!AD232,0)</f>
        <v/>
      </c>
      <c r="AE29" s="11">
        <f>IF(Inputs!$F$34=2,Inputs!AE232,0)</f>
        <v/>
      </c>
      <c r="AF29" s="11">
        <f>IF(Inputs!$F$34=2,Inputs!AF232,0)</f>
        <v/>
      </c>
      <c r="AG29" s="11">
        <f>IF(Inputs!$F$34=2,Inputs!AG232,0)</f>
        <v/>
      </c>
      <c r="AH29" s="11">
        <f>IF(Inputs!$F$34=2,Inputs!AH232,0)</f>
        <v/>
      </c>
      <c r="AI29" s="11">
        <f>IF(Inputs!$F$34=2,Inputs!AI232,0)</f>
        <v/>
      </c>
      <c r="AJ29" s="11">
        <f>IF(Inputs!$F$34=2,Inputs!AJ232,0)</f>
        <v/>
      </c>
      <c r="AK29" s="11">
        <f>IF(Inputs!$F$34=2,Inputs!AK232,0)</f>
        <v/>
      </c>
      <c r="AL29" s="11">
        <f>IF(Inputs!$F$34=2,Inputs!AL232,0)</f>
        <v/>
      </c>
      <c r="AM29" s="11">
        <f>IF(Inputs!$F$34=2,Inputs!AM232,0)</f>
        <v/>
      </c>
      <c r="AN29" s="11">
        <f>IF(Inputs!$F$34=2,Inputs!AN232,0)</f>
        <v/>
      </c>
      <c r="AO29" s="11">
        <f>IF(Inputs!$F$34=2,Inputs!AO232,0)</f>
        <v/>
      </c>
      <c r="AP29" s="11">
        <f>IF(Inputs!$F$34=2,Inputs!AP232,0)</f>
        <v/>
      </c>
      <c r="AQ29" s="11">
        <f>IF(Inputs!$F$34=2,Inputs!AQ232,0)</f>
        <v/>
      </c>
      <c r="AR29" s="11">
        <f>IF(Inputs!$F$34=2,Inputs!AR232,0)</f>
        <v/>
      </c>
      <c r="AS29" s="11">
        <f>IF(Inputs!$F$34=2,Inputs!AS232,0)</f>
        <v/>
      </c>
      <c r="AT29" s="11">
        <f>IF(Inputs!$F$34=2,Inputs!AT232,0)</f>
        <v/>
      </c>
      <c r="AU29" s="11">
        <f>IF(Inputs!$F$34=2,Inputs!AU232,0)</f>
        <v/>
      </c>
      <c r="AV29" s="11">
        <f>IF(Inputs!$F$34=2,Inputs!AV232,0)</f>
        <v/>
      </c>
      <c r="AW29" s="11">
        <f>IF(Inputs!$F$34=2,Inputs!AW232,0)</f>
        <v/>
      </c>
      <c r="AX29" s="11">
        <f>IF(Inputs!$F$34=2,Inputs!AX232,0)</f>
        <v/>
      </c>
      <c r="AY29" s="11">
        <f>IF(Inputs!$F$34=2,Inputs!AY232,0)</f>
        <v/>
      </c>
      <c r="AZ29" s="11">
        <f>IF(Inputs!$F$34=2,Inputs!AZ232,0)</f>
        <v/>
      </c>
      <c r="BA29" s="11">
        <f>IF(Inputs!$F$34=2,Inputs!BA232,0)</f>
        <v/>
      </c>
      <c r="BB29" s="11">
        <f>IF(Inputs!$F$34=2,Inputs!BB232,0)</f>
        <v/>
      </c>
      <c r="BC29" s="11">
        <f>IF(Inputs!$F$34=2,Inputs!BC232,0)</f>
        <v/>
      </c>
      <c r="BD29" s="11">
        <f>IF(Inputs!$F$34=2,Inputs!BD232,0)</f>
        <v/>
      </c>
      <c r="BE29" s="11">
        <f>IF(Inputs!$F$34=2,Inputs!BE232,0)</f>
        <v/>
      </c>
      <c r="BF29" s="11">
        <f>IF(Inputs!$F$34=2,Inputs!BF232,0)</f>
        <v/>
      </c>
      <c r="BG29" s="11">
        <f>IF(Inputs!$F$34=2,Inputs!BG232,0)</f>
        <v/>
      </c>
      <c r="BH29" s="11">
        <f>IF(Inputs!$F$34=2,Inputs!BH232,0)</f>
        <v/>
      </c>
      <c r="BI29" s="11">
        <f>IF(Inputs!$F$34=2,Inputs!BI232,0)</f>
        <v/>
      </c>
      <c r="BJ29" s="11">
        <f>IF(Inputs!$F$34=2,Inputs!BJ232,0)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J20/100*Inputs!$F$59*Inputs!$F$60*Inputs!$F$36</f>
        <v/>
      </c>
      <c r="K32" s="11">
        <f>K20/100*Inputs!$F$59*Inputs!$F$60*Inputs!$F$36</f>
        <v/>
      </c>
      <c r="L32" s="11">
        <f>L20/100*Inputs!$F$59*Inputs!$F$60*Inputs!$F$36</f>
        <v/>
      </c>
      <c r="M32" s="11">
        <f>M20/100*Inputs!$F$59*Inputs!$F$60*Inputs!$F$36</f>
        <v/>
      </c>
      <c r="N32" s="11">
        <f>N20/100*Inputs!$F$59*Inputs!$F$60*Inputs!$F$36</f>
        <v/>
      </c>
      <c r="O32" s="11">
        <f>O20/100*Inputs!$F$59*Inputs!$F$60*Inputs!$F$36</f>
        <v/>
      </c>
      <c r="P32" s="11">
        <f>P20/100*Inputs!$F$59*Inputs!$F$60*Inputs!$F$36</f>
        <v/>
      </c>
      <c r="Q32" s="11">
        <f>Q20/100*Inputs!$F$59*Inputs!$F$60*Inputs!$F$36</f>
        <v/>
      </c>
      <c r="R32" s="11">
        <f>R20/100*Inputs!$F$59*Inputs!$F$60*Inputs!$F$36</f>
        <v/>
      </c>
      <c r="S32" s="11">
        <f>S20/100*Inputs!$F$59*Inputs!$F$60*Inputs!$F$36</f>
        <v/>
      </c>
      <c r="T32" s="11">
        <f>T20/100*Inputs!$F$59*Inputs!$F$60*Inputs!$F$36</f>
        <v/>
      </c>
      <c r="U32" s="11">
        <f>U20/100*Inputs!$F$59*Inputs!$F$60*Inputs!$F$36</f>
        <v/>
      </c>
      <c r="V32" s="11">
        <f>V20/100*Inputs!$F$59*Inputs!$F$60*Inputs!$F$36</f>
        <v/>
      </c>
      <c r="W32" s="11">
        <f>W20/100*Inputs!$F$59*Inputs!$F$60*Inputs!$F$36</f>
        <v/>
      </c>
      <c r="X32" s="11">
        <f>X20/100*Inputs!$F$59*Inputs!$F$60*Inputs!$F$36</f>
        <v/>
      </c>
      <c r="Y32" s="11">
        <f>Y20/100*Inputs!$F$59*Inputs!$F$60*Inputs!$F$36</f>
        <v/>
      </c>
      <c r="Z32" s="11">
        <f>Z20/100*Inputs!$F$59*Inputs!$F$60*Inputs!$F$36</f>
        <v/>
      </c>
      <c r="AA32" s="11">
        <f>AA20/100*Inputs!$F$59*Inputs!$F$60*Inputs!$F$36</f>
        <v/>
      </c>
      <c r="AB32" s="11">
        <f>AB20/100*Inputs!$F$59*Inputs!$F$60*Inputs!$F$36</f>
        <v/>
      </c>
      <c r="AC32" s="11">
        <f>AC20/100*Inputs!$F$59*Inputs!$F$60*Inputs!$F$36</f>
        <v/>
      </c>
      <c r="AD32" s="11">
        <f>AD20/100*Inputs!$F$59*Inputs!$F$60*Inputs!$F$36</f>
        <v/>
      </c>
      <c r="AE32" s="11">
        <f>AE20/100*Inputs!$F$59*Inputs!$F$60*Inputs!$F$36</f>
        <v/>
      </c>
      <c r="AF32" s="11">
        <f>AF20/100*Inputs!$F$59*Inputs!$F$60*Inputs!$F$36</f>
        <v/>
      </c>
      <c r="AG32" s="11">
        <f>AG20/100*Inputs!$F$59*Inputs!$F$60*Inputs!$F$36</f>
        <v/>
      </c>
      <c r="AH32" s="11">
        <f>AH20/100*Inputs!$F$59*Inputs!$F$60*Inputs!$F$36</f>
        <v/>
      </c>
      <c r="AI32" s="11">
        <f>AI20/100*Inputs!$F$59*Inputs!$F$60*Inputs!$F$36</f>
        <v/>
      </c>
      <c r="AJ32" s="11">
        <f>AJ20/100*Inputs!$F$59*Inputs!$F$60*Inputs!$F$36</f>
        <v/>
      </c>
      <c r="AK32" s="11">
        <f>AK20/100*Inputs!$F$59*Inputs!$F$60*Inputs!$F$36</f>
        <v/>
      </c>
      <c r="AL32" s="11">
        <f>AL20/100*Inputs!$F$59*Inputs!$F$60*Inputs!$F$36</f>
        <v/>
      </c>
      <c r="AM32" s="11">
        <f>AM20/100*Inputs!$F$59*Inputs!$F$60*Inputs!$F$36</f>
        <v/>
      </c>
      <c r="AN32" s="11">
        <f>AN20/100*Inputs!$F$59*Inputs!$F$60*Inputs!$F$36</f>
        <v/>
      </c>
      <c r="AO32" s="11">
        <f>AO20/100*Inputs!$F$59*Inputs!$F$60*Inputs!$F$36</f>
        <v/>
      </c>
      <c r="AP32" s="11">
        <f>AP20/100*Inputs!$F$59*Inputs!$F$60*Inputs!$F$36</f>
        <v/>
      </c>
      <c r="AQ32" s="11">
        <f>AQ20/100*Inputs!$F$59*Inputs!$F$60*Inputs!$F$36</f>
        <v/>
      </c>
      <c r="AR32" s="11">
        <f>AR20/100*Inputs!$F$59*Inputs!$F$60*Inputs!$F$36</f>
        <v/>
      </c>
      <c r="AS32" s="11">
        <f>AS20/100*Inputs!$F$59*Inputs!$F$60*Inputs!$F$36</f>
        <v/>
      </c>
      <c r="AT32" s="11">
        <f>AT20/100*Inputs!$F$59*Inputs!$F$60*Inputs!$F$36</f>
        <v/>
      </c>
      <c r="AU32" s="11">
        <f>AU20/100*Inputs!$F$59*Inputs!$F$60*Inputs!$F$36</f>
        <v/>
      </c>
      <c r="AV32" s="11">
        <f>AV20/100*Inputs!$F$59*Inputs!$F$60*Inputs!$F$36</f>
        <v/>
      </c>
      <c r="AW32" s="11">
        <f>AW20/100*Inputs!$F$59*Inputs!$F$60*Inputs!$F$36</f>
        <v/>
      </c>
      <c r="AX32" s="11">
        <f>AX20/100*Inputs!$F$59*Inputs!$F$60*Inputs!$F$36</f>
        <v/>
      </c>
      <c r="AY32" s="11">
        <f>AY20/100*Inputs!$F$59*Inputs!$F$60*Inputs!$F$36</f>
        <v/>
      </c>
      <c r="AZ32" s="11">
        <f>AZ20/100*Inputs!$F$59*Inputs!$F$60*Inputs!$F$36</f>
        <v/>
      </c>
      <c r="BA32" s="11">
        <f>BA20/100*Inputs!$F$59*Inputs!$F$60*Inputs!$F$36</f>
        <v/>
      </c>
      <c r="BB32" s="11">
        <f>BB20/100*Inputs!$F$59*Inputs!$F$60*Inputs!$F$36</f>
        <v/>
      </c>
      <c r="BC32" s="11">
        <f>BC20/100*Inputs!$F$59*Inputs!$F$60*Inputs!$F$36</f>
        <v/>
      </c>
      <c r="BD32" s="11">
        <f>BD20/100*Inputs!$F$59*Inputs!$F$60*Inputs!$F$36</f>
        <v/>
      </c>
      <c r="BE32" s="11">
        <f>BE20/100*Inputs!$F$59*Inputs!$F$60*Inputs!$F$36</f>
        <v/>
      </c>
      <c r="BF32" s="11">
        <f>BF20/100*Inputs!$F$59*Inputs!$F$60*Inputs!$F$36</f>
        <v/>
      </c>
      <c r="BG32" s="11">
        <f>BG20/100*Inputs!$F$59*Inputs!$F$60*Inputs!$F$36</f>
        <v/>
      </c>
      <c r="BH32" s="11">
        <f>BH20/100*Inputs!$F$59*Inputs!$F$60*Inputs!$F$36</f>
        <v/>
      </c>
      <c r="BI32" s="11">
        <f>BI20/100*Inputs!$F$59*Inputs!$F$60*Inputs!$F$36</f>
        <v/>
      </c>
      <c r="BJ32" s="11">
        <f>BJ20/100*Inputs!$F$59*Inputs!$F$60*Inputs!$F$36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Inputs!$F$70/100*J32</f>
        <v/>
      </c>
      <c r="K33" s="11">
        <f>Inputs!$F$70/100*K32</f>
        <v/>
      </c>
      <c r="L33" s="11">
        <f>Inputs!$F$70/100*L32</f>
        <v/>
      </c>
      <c r="M33" s="11">
        <f>Inputs!$F$70/100*M32</f>
        <v/>
      </c>
      <c r="N33" s="11">
        <f>Inputs!$F$70/100*N32</f>
        <v/>
      </c>
      <c r="O33" s="11">
        <f>Inputs!$F$70/100*O32</f>
        <v/>
      </c>
      <c r="P33" s="11">
        <f>Inputs!$F$70/100*P32</f>
        <v/>
      </c>
      <c r="Q33" s="11">
        <f>Inputs!$F$70/100*Q32</f>
        <v/>
      </c>
      <c r="R33" s="11">
        <f>Inputs!$F$70/100*R32</f>
        <v/>
      </c>
      <c r="S33" s="11">
        <f>Inputs!$F$70/100*S32</f>
        <v/>
      </c>
      <c r="T33" s="11">
        <f>Inputs!$F$70/100*T32</f>
        <v/>
      </c>
      <c r="U33" s="11">
        <f>Inputs!$F$70/100*U32</f>
        <v/>
      </c>
      <c r="V33" s="11">
        <f>Inputs!$F$70/100*V32</f>
        <v/>
      </c>
      <c r="W33" s="11">
        <f>Inputs!$F$70/100*W32</f>
        <v/>
      </c>
      <c r="X33" s="11">
        <f>Inputs!$F$70/100*X32</f>
        <v/>
      </c>
      <c r="Y33" s="11">
        <f>Inputs!$F$70/100*Y32</f>
        <v/>
      </c>
      <c r="Z33" s="11">
        <f>Inputs!$F$70/100*Z32</f>
        <v/>
      </c>
      <c r="AA33" s="11">
        <f>Inputs!$F$70/100*AA32</f>
        <v/>
      </c>
      <c r="AB33" s="11">
        <f>Inputs!$F$70/100*AB32</f>
        <v/>
      </c>
      <c r="AC33" s="11">
        <f>Inputs!$F$70/100*AC32</f>
        <v/>
      </c>
      <c r="AD33" s="11">
        <f>Inputs!$F$70/100*AD32</f>
        <v/>
      </c>
      <c r="AE33" s="11">
        <f>Inputs!$F$70/100*AE32</f>
        <v/>
      </c>
      <c r="AF33" s="11">
        <f>Inputs!$F$70/100*AF32</f>
        <v/>
      </c>
      <c r="AG33" s="11">
        <f>Inputs!$F$70/100*AG32</f>
        <v/>
      </c>
      <c r="AH33" s="11">
        <f>Inputs!$F$70/100*AH32</f>
        <v/>
      </c>
      <c r="AI33" s="11">
        <f>Inputs!$F$70/100*AI32</f>
        <v/>
      </c>
      <c r="AJ33" s="11">
        <f>Inputs!$F$70/100*AJ32</f>
        <v/>
      </c>
      <c r="AK33" s="11">
        <f>Inputs!$F$70/100*AK32</f>
        <v/>
      </c>
      <c r="AL33" s="11">
        <f>Inputs!$F$70/100*AL32</f>
        <v/>
      </c>
      <c r="AM33" s="11">
        <f>Inputs!$F$70/100*AM32</f>
        <v/>
      </c>
      <c r="AN33" s="11">
        <f>Inputs!$F$70/100*AN32</f>
        <v/>
      </c>
      <c r="AO33" s="11">
        <f>Inputs!$F$70/100*AO32</f>
        <v/>
      </c>
      <c r="AP33" s="11">
        <f>Inputs!$F$70/100*AP32</f>
        <v/>
      </c>
      <c r="AQ33" s="11">
        <f>Inputs!$F$70/100*AQ32</f>
        <v/>
      </c>
      <c r="AR33" s="11">
        <f>Inputs!$F$70/100*AR32</f>
        <v/>
      </c>
      <c r="AS33" s="11">
        <f>Inputs!$F$70/100*AS32</f>
        <v/>
      </c>
      <c r="AT33" s="11">
        <f>Inputs!$F$70/100*AT32</f>
        <v/>
      </c>
      <c r="AU33" s="11">
        <f>Inputs!$F$70/100*AU32</f>
        <v/>
      </c>
      <c r="AV33" s="11">
        <f>Inputs!$F$70/100*AV32</f>
        <v/>
      </c>
      <c r="AW33" s="11">
        <f>Inputs!$F$70/100*AW32</f>
        <v/>
      </c>
      <c r="AX33" s="11">
        <f>Inputs!$F$70/100*AX32</f>
        <v/>
      </c>
      <c r="AY33" s="11">
        <f>Inputs!$F$70/100*AY32</f>
        <v/>
      </c>
      <c r="AZ33" s="11">
        <f>Inputs!$F$70/100*AZ32</f>
        <v/>
      </c>
      <c r="BA33" s="11">
        <f>Inputs!$F$70/100*BA32</f>
        <v/>
      </c>
      <c r="BB33" s="11">
        <f>Inputs!$F$70/100*BB32</f>
        <v/>
      </c>
      <c r="BC33" s="11">
        <f>Inputs!$F$70/100*BC32</f>
        <v/>
      </c>
      <c r="BD33" s="11">
        <f>Inputs!$F$70/100*BD32</f>
        <v/>
      </c>
      <c r="BE33" s="11">
        <f>Inputs!$F$70/100*BE32</f>
        <v/>
      </c>
      <c r="BF33" s="11">
        <f>Inputs!$F$70/100*BF32</f>
        <v/>
      </c>
      <c r="BG33" s="11">
        <f>Inputs!$F$70/100*BG32</f>
        <v/>
      </c>
      <c r="BH33" s="11">
        <f>Inputs!$F$70/100*BH32</f>
        <v/>
      </c>
      <c r="BI33" s="11">
        <f>Inputs!$F$70/100*BI32</f>
        <v/>
      </c>
      <c r="BJ33" s="11">
        <f>Inputs!$F$70/100*BJ32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0*(J18+Inputs!$F$71)/100*J11/365/J16</f>
        <v/>
      </c>
      <c r="K36" s="11">
        <f>J35*(K18+Inputs!$F$71)/100*K11/365/K16</f>
        <v/>
      </c>
      <c r="L36" s="11">
        <f>K35*(L18+Inputs!$F$71)/100*L11/365/L16</f>
        <v/>
      </c>
      <c r="M36" s="11">
        <f>L35*(M18+Inputs!$F$71)/100*M11/365/M16</f>
        <v/>
      </c>
      <c r="N36" s="11">
        <f>M35*(N18+Inputs!$F$71)/100*N11/365/N16</f>
        <v/>
      </c>
      <c r="O36" s="11">
        <f>N35*(O18+Inputs!$F$71)/100*O11/365/O16</f>
        <v/>
      </c>
      <c r="P36" s="11">
        <f>O35*(P18+Inputs!$F$71)/100*P11/365/P16</f>
        <v/>
      </c>
      <c r="Q36" s="11">
        <f>P35*(Q18+Inputs!$F$71)/100*Q11/365/Q16</f>
        <v/>
      </c>
      <c r="R36" s="11">
        <f>Q35*(R18+Inputs!$F$71)/100*R11/365/R16</f>
        <v/>
      </c>
      <c r="S36" s="11">
        <f>R35*(S18+Inputs!$F$71)/100*S11/365/S16</f>
        <v/>
      </c>
      <c r="T36" s="11">
        <f>S35*(T18+Inputs!$F$71)/100*T11/365/T16</f>
        <v/>
      </c>
      <c r="U36" s="11">
        <f>T35*(U18+Inputs!$F$71)/100*U11/365/U16</f>
        <v/>
      </c>
      <c r="V36" s="11">
        <f>U35*(V18+Inputs!$F$71)/100*V11/365/V16</f>
        <v/>
      </c>
      <c r="W36" s="11">
        <f>V35*(W18+Inputs!$F$71)/100*W11/365/W16</f>
        <v/>
      </c>
      <c r="X36" s="11">
        <f>W35*(X18+Inputs!$F$71)/100*X11/365/X16</f>
        <v/>
      </c>
      <c r="Y36" s="11">
        <f>X35*(Y18+Inputs!$F$71)/100*Y11/365/Y16</f>
        <v/>
      </c>
      <c r="Z36" s="11">
        <f>Y35*(Z18+Inputs!$F$71)/100*Z11/365/Z16</f>
        <v/>
      </c>
      <c r="AA36" s="11">
        <f>Z35*(AA18+Inputs!$F$71)/100*AA11/365/AA16</f>
        <v/>
      </c>
      <c r="AB36" s="11">
        <f>AA35*(AB18+Inputs!$F$71)/100*AB11/365/AB16</f>
        <v/>
      </c>
      <c r="AC36" s="11">
        <f>AB35*(AC18+Inputs!$F$71)/100*AC11/365/AC16</f>
        <v/>
      </c>
      <c r="AD36" s="11">
        <f>AC35*(AD18+Inputs!$F$71)/100*AD11/365/AD16</f>
        <v/>
      </c>
      <c r="AE36" s="11">
        <f>AD35*(AE18+Inputs!$F$71)/100*AE11/365/AE16</f>
        <v/>
      </c>
      <c r="AF36" s="11">
        <f>AE35*(AF18+Inputs!$F$71)/100*AF11/365/AF16</f>
        <v/>
      </c>
      <c r="AG36" s="11">
        <f>AF35*(AG18+Inputs!$F$71)/100*AG11/365/AG16</f>
        <v/>
      </c>
      <c r="AH36" s="11">
        <f>AG35*(AH18+Inputs!$F$71)/100*AH11/365/AH16</f>
        <v/>
      </c>
      <c r="AI36" s="11">
        <f>AH35*(AI18+Inputs!$F$71)/100*AI11/365/AI16</f>
        <v/>
      </c>
      <c r="AJ36" s="11">
        <f>AI35*(AJ18+Inputs!$F$71)/100*AJ11/365/AJ16</f>
        <v/>
      </c>
      <c r="AK36" s="11">
        <f>AJ35*(AK18+Inputs!$F$71)/100*AK11/365/AK16</f>
        <v/>
      </c>
      <c r="AL36" s="11">
        <f>AK35*(AL18+Inputs!$F$71)/100*AL11/365/AL16</f>
        <v/>
      </c>
      <c r="AM36" s="11">
        <f>AL35*(AM18+Inputs!$F$71)/100*AM11/365/AM16</f>
        <v/>
      </c>
      <c r="AN36" s="11">
        <f>AM35*(AN18+Inputs!$F$71)/100*AN11/365/AN16</f>
        <v/>
      </c>
      <c r="AO36" s="11">
        <f>AN35*(AO18+Inputs!$F$71)/100*AO11/365/AO16</f>
        <v/>
      </c>
      <c r="AP36" s="11">
        <f>AO35*(AP18+Inputs!$F$71)/100*AP11/365/AP16</f>
        <v/>
      </c>
      <c r="AQ36" s="11">
        <f>AP35*(AQ18+Inputs!$F$71)/100*AQ11/365/AQ16</f>
        <v/>
      </c>
      <c r="AR36" s="11">
        <f>AQ35*(AR18+Inputs!$F$71)/100*AR11/365/AR16</f>
        <v/>
      </c>
      <c r="AS36" s="11">
        <f>AR35*(AS18+Inputs!$F$71)/100*AS11/365/AS16</f>
        <v/>
      </c>
      <c r="AT36" s="11">
        <f>AS35*(AT18+Inputs!$F$71)/100*AT11/365/AT16</f>
        <v/>
      </c>
      <c r="AU36" s="11">
        <f>AT35*(AU18+Inputs!$F$71)/100*AU11/365/AU16</f>
        <v/>
      </c>
      <c r="AV36" s="11">
        <f>AU35*(AV18+Inputs!$F$71)/100*AV11/365/AV16</f>
        <v/>
      </c>
      <c r="AW36" s="11">
        <f>AV35*(AW18+Inputs!$F$71)/100*AW11/365/AW16</f>
        <v/>
      </c>
      <c r="AX36" s="11">
        <f>AW35*(AX18+Inputs!$F$71)/100*AX11/365/AX16</f>
        <v/>
      </c>
      <c r="AY36" s="11">
        <f>AX35*(AY18+Inputs!$F$71)/100*AY11/365/AY16</f>
        <v/>
      </c>
      <c r="AZ36" s="11">
        <f>AY35*(AZ18+Inputs!$F$71)/100*AZ11/365/AZ16</f>
        <v/>
      </c>
      <c r="BA36" s="11">
        <f>AZ35*(BA18+Inputs!$F$71)/100*BA11/365/BA16</f>
        <v/>
      </c>
      <c r="BB36" s="11">
        <f>BA35*(BB18+Inputs!$F$71)/100*BB11/365/BB16</f>
        <v/>
      </c>
      <c r="BC36" s="11">
        <f>BB35*(BC18+Inputs!$F$71)/100*BC11/365/BC16</f>
        <v/>
      </c>
      <c r="BD36" s="11">
        <f>BC35*(BD18+Inputs!$F$71)/100*BD11/365/BD16</f>
        <v/>
      </c>
      <c r="BE36" s="11">
        <f>BD35*(BE18+Inputs!$F$71)/100*BE11/365/BE16</f>
        <v/>
      </c>
      <c r="BF36" s="11">
        <f>BE35*(BF18+Inputs!$F$71)/100*BF11/365/BF16</f>
        <v/>
      </c>
      <c r="BG36" s="11">
        <f>BF35*(BG18+Inputs!$F$71)/100*BG11/365/BG16</f>
        <v/>
      </c>
      <c r="BH36" s="11">
        <f>BG35*(BH18+Inputs!$F$71)/100*BH11/365/BH16</f>
        <v/>
      </c>
      <c r="BI36" s="11">
        <f>BH35*(BI18+Inputs!$F$71)/100*BI11/365/BI16</f>
        <v/>
      </c>
      <c r="BJ36" s="11">
        <f>BI35*(BJ18+Inputs!$F$71)/100*BJ11/365/BJ16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CHOOSE(Inputs!$F$33,Inputs!J215,Inputs!J216,Inputs!J217)</f>
        <v/>
      </c>
      <c r="K8" s="11">
        <f>CHOOSE(Inputs!$F$33,Inputs!K215,Inputs!K216,Inputs!K217)</f>
        <v/>
      </c>
      <c r="L8" s="11">
        <f>CHOOSE(Inputs!$F$33,Inputs!L215,Inputs!L216,Inputs!L217)</f>
        <v/>
      </c>
      <c r="M8" s="11">
        <f>CHOOSE(Inputs!$F$33,Inputs!M215,Inputs!M216,Inputs!M217)</f>
        <v/>
      </c>
      <c r="N8" s="11">
        <f>CHOOSE(Inputs!$F$33,Inputs!N215,Inputs!N216,Inputs!N217)</f>
        <v/>
      </c>
      <c r="O8" s="11">
        <f>CHOOSE(Inputs!$F$33,Inputs!O215,Inputs!O216,Inputs!O217)</f>
        <v/>
      </c>
      <c r="P8" s="11">
        <f>CHOOSE(Inputs!$F$33,Inputs!P215,Inputs!P216,Inputs!P217)</f>
        <v/>
      </c>
      <c r="Q8" s="11">
        <f>CHOOSE(Inputs!$F$33,Inputs!Q215,Inputs!Q216,Inputs!Q217)</f>
        <v/>
      </c>
      <c r="R8" s="11">
        <f>CHOOSE(Inputs!$F$33,Inputs!R215,Inputs!R216,Inputs!R217)</f>
        <v/>
      </c>
      <c r="S8" s="11">
        <f>CHOOSE(Inputs!$F$33,Inputs!S215,Inputs!S216,Inputs!S217)</f>
        <v/>
      </c>
      <c r="T8" s="11">
        <f>CHOOSE(Inputs!$F$33,Inputs!T215,Inputs!T216,Inputs!T217)</f>
        <v/>
      </c>
      <c r="U8" s="11">
        <f>CHOOSE(Inputs!$F$33,Inputs!U215,Inputs!U216,Inputs!U217)</f>
        <v/>
      </c>
      <c r="V8" s="11">
        <f>CHOOSE(Inputs!$F$33,Inputs!V215,Inputs!V216,Inputs!V217)</f>
        <v/>
      </c>
      <c r="W8" s="11">
        <f>CHOOSE(Inputs!$F$33,Inputs!W215,Inputs!W216,Inputs!W217)</f>
        <v/>
      </c>
      <c r="X8" s="11">
        <f>CHOOSE(Inputs!$F$33,Inputs!X215,Inputs!X216,Inputs!X217)</f>
        <v/>
      </c>
      <c r="Y8" s="11">
        <f>CHOOSE(Inputs!$F$33,Inputs!Y215,Inputs!Y216,Inputs!Y217)</f>
        <v/>
      </c>
      <c r="Z8" s="11">
        <f>CHOOSE(Inputs!$F$33,Inputs!Z215,Inputs!Z216,Inputs!Z217)</f>
        <v/>
      </c>
      <c r="AA8" s="11">
        <f>CHOOSE(Inputs!$F$33,Inputs!AA215,Inputs!AA216,Inputs!AA217)</f>
        <v/>
      </c>
      <c r="AB8" s="11">
        <f>CHOOSE(Inputs!$F$33,Inputs!AB215,Inputs!AB216,Inputs!AB217)</f>
        <v/>
      </c>
      <c r="AC8" s="11">
        <f>CHOOSE(Inputs!$F$33,Inputs!AC215,Inputs!AC216,Inputs!AC217)</f>
        <v/>
      </c>
      <c r="AD8" s="11">
        <f>CHOOSE(Inputs!$F$33,Inputs!AD215,Inputs!AD216,Inputs!AD217)</f>
        <v/>
      </c>
      <c r="AE8" s="11">
        <f>CHOOSE(Inputs!$F$33,Inputs!AE215,Inputs!AE216,Inputs!AE217)</f>
        <v/>
      </c>
      <c r="AF8" s="11">
        <f>CHOOSE(Inputs!$F$33,Inputs!AF215,Inputs!AF216,Inputs!AF217)</f>
        <v/>
      </c>
      <c r="AG8" s="11">
        <f>CHOOSE(Inputs!$F$33,Inputs!AG215,Inputs!AG216,Inputs!AG217)</f>
        <v/>
      </c>
      <c r="AH8" s="11">
        <f>CHOOSE(Inputs!$F$33,Inputs!AH215,Inputs!AH216,Inputs!AH217)</f>
        <v/>
      </c>
      <c r="AI8" s="11">
        <f>CHOOSE(Inputs!$F$33,Inputs!AI215,Inputs!AI216,Inputs!AI217)</f>
        <v/>
      </c>
      <c r="AJ8" s="11">
        <f>CHOOSE(Inputs!$F$33,Inputs!AJ215,Inputs!AJ216,Inputs!AJ217)</f>
        <v/>
      </c>
      <c r="AK8" s="11">
        <f>CHOOSE(Inputs!$F$33,Inputs!AK215,Inputs!AK216,Inputs!AK217)</f>
        <v/>
      </c>
      <c r="AL8" s="11">
        <f>CHOOSE(Inputs!$F$33,Inputs!AL215,Inputs!AL216,Inputs!AL217)</f>
        <v/>
      </c>
      <c r="AM8" s="11">
        <f>CHOOSE(Inputs!$F$33,Inputs!AM215,Inputs!AM216,Inputs!AM217)</f>
        <v/>
      </c>
      <c r="AN8" s="11">
        <f>CHOOSE(Inputs!$F$33,Inputs!AN215,Inputs!AN216,Inputs!AN217)</f>
        <v/>
      </c>
      <c r="AO8" s="11">
        <f>CHOOSE(Inputs!$F$33,Inputs!AO215,Inputs!AO216,Inputs!AO217)</f>
        <v/>
      </c>
      <c r="AP8" s="11">
        <f>CHOOSE(Inputs!$F$33,Inputs!AP215,Inputs!AP216,Inputs!AP217)</f>
        <v/>
      </c>
      <c r="AQ8" s="11">
        <f>CHOOSE(Inputs!$F$33,Inputs!AQ215,Inputs!AQ216,Inputs!AQ217)</f>
        <v/>
      </c>
      <c r="AR8" s="11">
        <f>CHOOSE(Inputs!$F$33,Inputs!AR215,Inputs!AR216,Inputs!AR217)</f>
        <v/>
      </c>
      <c r="AS8" s="11">
        <f>CHOOSE(Inputs!$F$33,Inputs!AS215,Inputs!AS216,Inputs!AS217)</f>
        <v/>
      </c>
      <c r="AT8" s="11">
        <f>CHOOSE(Inputs!$F$33,Inputs!AT215,Inputs!AT216,Inputs!AT217)</f>
        <v/>
      </c>
      <c r="AU8" s="11">
        <f>CHOOSE(Inputs!$F$33,Inputs!AU215,Inputs!AU216,Inputs!AU217)</f>
        <v/>
      </c>
      <c r="AV8" s="11">
        <f>CHOOSE(Inputs!$F$33,Inputs!AV215,Inputs!AV216,Inputs!AV217)</f>
        <v/>
      </c>
      <c r="AW8" s="11">
        <f>CHOOSE(Inputs!$F$33,Inputs!AW215,Inputs!AW216,Inputs!AW217)</f>
        <v/>
      </c>
      <c r="AX8" s="11">
        <f>CHOOSE(Inputs!$F$33,Inputs!AX215,Inputs!AX216,Inputs!AX217)</f>
        <v/>
      </c>
      <c r="AY8" s="11">
        <f>CHOOSE(Inputs!$F$33,Inputs!AY215,Inputs!AY216,Inputs!AY217)</f>
        <v/>
      </c>
      <c r="AZ8" s="11">
        <f>CHOOSE(Inputs!$F$33,Inputs!AZ215,Inputs!AZ216,Inputs!AZ217)</f>
        <v/>
      </c>
      <c r="BA8" s="11">
        <f>CHOOSE(Inputs!$F$33,Inputs!BA215,Inputs!BA216,Inputs!BA217)</f>
        <v/>
      </c>
      <c r="BB8" s="11">
        <f>CHOOSE(Inputs!$F$33,Inputs!BB215,Inputs!BB216,Inputs!BB217)</f>
        <v/>
      </c>
      <c r="BC8" s="11">
        <f>CHOOSE(Inputs!$F$33,Inputs!BC215,Inputs!BC216,Inputs!BC217)</f>
        <v/>
      </c>
      <c r="BD8" s="11">
        <f>CHOOSE(Inputs!$F$33,Inputs!BD215,Inputs!BD216,Inputs!BD217)</f>
        <v/>
      </c>
      <c r="BE8" s="11">
        <f>CHOOSE(Inputs!$F$33,Inputs!BE215,Inputs!BE216,Inputs!BE217)</f>
        <v/>
      </c>
      <c r="BF8" s="11">
        <f>CHOOSE(Inputs!$F$33,Inputs!BF215,Inputs!BF216,Inputs!BF217)</f>
        <v/>
      </c>
      <c r="BG8" s="11">
        <f>CHOOSE(Inputs!$F$33,Inputs!BG215,Inputs!BG216,Inputs!BG217)</f>
        <v/>
      </c>
      <c r="BH8" s="11">
        <f>CHOOSE(Inputs!$F$33,Inputs!BH215,Inputs!BH216,Inputs!BH217)</f>
        <v/>
      </c>
      <c r="BI8" s="11">
        <f>CHOOSE(Inputs!$F$33,Inputs!BI215,Inputs!BI216,Inputs!BI217)</f>
        <v/>
      </c>
      <c r="BJ8" s="11">
        <f>CHOOSE(Inputs!$F$33,Inputs!BJ215,Inputs!BJ216,Inputs!BJ217)</f>
        <v/>
      </c>
      <c r="BK8" s="11">
        <f>CHOOSE(Inputs!$F$33,Inputs!BK215,Inputs!BK216,Inputs!BK217)</f>
        <v/>
      </c>
      <c r="BL8" s="11">
        <f>CHOOSE(Inputs!$F$33,Inputs!BL215,Inputs!BL216,Inputs!BL217)</f>
        <v/>
      </c>
      <c r="BM8" s="11">
        <f>CHOOSE(Inputs!$F$33,Inputs!BM215,Inputs!BM216,Inputs!BM217)</f>
        <v/>
      </c>
      <c r="BN8" s="11">
        <f>CHOOSE(Inputs!$F$33,Inputs!BN215,Inputs!BN216,Inputs!BN217)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J8+Inputs!$F$42*Time!J34</f>
        <v/>
      </c>
      <c r="K9" s="11">
        <f>K8+Inputs!$F$42*Time!K34</f>
        <v/>
      </c>
      <c r="L9" s="11">
        <f>L8+Inputs!$F$42*Time!L34</f>
        <v/>
      </c>
      <c r="M9" s="11">
        <f>M8+Inputs!$F$42*Time!M34</f>
        <v/>
      </c>
      <c r="N9" s="11">
        <f>N8+Inputs!$F$42*Time!N34</f>
        <v/>
      </c>
      <c r="O9" s="11">
        <f>O8+Inputs!$F$42*Time!O34</f>
        <v/>
      </c>
      <c r="P9" s="11">
        <f>P8+Inputs!$F$42*Time!P34</f>
        <v/>
      </c>
      <c r="Q9" s="11">
        <f>Q8+Inputs!$F$42*Time!Q34</f>
        <v/>
      </c>
      <c r="R9" s="11">
        <f>R8+Inputs!$F$42*Time!R34</f>
        <v/>
      </c>
      <c r="S9" s="11">
        <f>S8+Inputs!$F$42*Time!S34</f>
        <v/>
      </c>
      <c r="T9" s="11">
        <f>T8+Inputs!$F$42*Time!T34</f>
        <v/>
      </c>
      <c r="U9" s="11">
        <f>U8+Inputs!$F$42*Time!U34</f>
        <v/>
      </c>
      <c r="V9" s="11">
        <f>V8+Inputs!$F$42*Time!V34</f>
        <v/>
      </c>
      <c r="W9" s="11">
        <f>W8+Inputs!$F$42*Time!W34</f>
        <v/>
      </c>
      <c r="X9" s="11">
        <f>X8+Inputs!$F$42*Time!X34</f>
        <v/>
      </c>
      <c r="Y9" s="11">
        <f>Y8+Inputs!$F$42*Time!Y34</f>
        <v/>
      </c>
      <c r="Z9" s="11">
        <f>Z8+Inputs!$F$42*Time!Z34</f>
        <v/>
      </c>
      <c r="AA9" s="11">
        <f>AA8+Inputs!$F$42*Time!AA34</f>
        <v/>
      </c>
      <c r="AB9" s="11">
        <f>AB8+Inputs!$F$42*Time!AB34</f>
        <v/>
      </c>
      <c r="AC9" s="11">
        <f>AC8+Inputs!$F$42*Time!AC34</f>
        <v/>
      </c>
      <c r="AD9" s="11">
        <f>AD8+Inputs!$F$42*Time!AD34</f>
        <v/>
      </c>
      <c r="AE9" s="11">
        <f>AE8+Inputs!$F$42*Time!AE34</f>
        <v/>
      </c>
      <c r="AF9" s="11">
        <f>AF8+Inputs!$F$42*Time!AF34</f>
        <v/>
      </c>
      <c r="AG9" s="11">
        <f>AG8+Inputs!$F$42*Time!AG34</f>
        <v/>
      </c>
      <c r="AH9" s="11">
        <f>AH8+Inputs!$F$42*Time!AH34</f>
        <v/>
      </c>
      <c r="AI9" s="11">
        <f>AI8+Inputs!$F$42*Time!AI34</f>
        <v/>
      </c>
      <c r="AJ9" s="11">
        <f>AJ8+Inputs!$F$42*Time!AJ34</f>
        <v/>
      </c>
      <c r="AK9" s="11">
        <f>AK8+Inputs!$F$42*Time!AK34</f>
        <v/>
      </c>
      <c r="AL9" s="11">
        <f>AL8+Inputs!$F$42*Time!AL34</f>
        <v/>
      </c>
      <c r="AM9" s="11">
        <f>AM8+Inputs!$F$42*Time!AM34</f>
        <v/>
      </c>
      <c r="AN9" s="11">
        <f>AN8+Inputs!$F$42*Time!AN34</f>
        <v/>
      </c>
      <c r="AO9" s="11">
        <f>AO8+Inputs!$F$42*Time!AO34</f>
        <v/>
      </c>
      <c r="AP9" s="11">
        <f>AP8+Inputs!$F$42*Time!AP34</f>
        <v/>
      </c>
      <c r="AQ9" s="11">
        <f>AQ8+Inputs!$F$42*Time!AQ34</f>
        <v/>
      </c>
      <c r="AR9" s="11">
        <f>AR8+Inputs!$F$42*Time!AR34</f>
        <v/>
      </c>
      <c r="AS9" s="11">
        <f>AS8+Inputs!$F$42*Time!AS34</f>
        <v/>
      </c>
      <c r="AT9" s="11">
        <f>AT8+Inputs!$F$42*Time!AT34</f>
        <v/>
      </c>
      <c r="AU9" s="11">
        <f>AU8+Inputs!$F$42*Time!AU34</f>
        <v/>
      </c>
      <c r="AV9" s="11">
        <f>AV8+Inputs!$F$42*Time!AV34</f>
        <v/>
      </c>
      <c r="AW9" s="11">
        <f>AW8+Inputs!$F$42*Time!AW34</f>
        <v/>
      </c>
      <c r="AX9" s="11">
        <f>AX8+Inputs!$F$42*Time!AX34</f>
        <v/>
      </c>
      <c r="AY9" s="11">
        <f>AY8+Inputs!$F$42*Time!AY34</f>
        <v/>
      </c>
      <c r="AZ9" s="11">
        <f>AZ8+Inputs!$F$42*Time!AZ34</f>
        <v/>
      </c>
      <c r="BA9" s="11">
        <f>BA8+Inputs!$F$42*Time!BA34</f>
        <v/>
      </c>
      <c r="BB9" s="11">
        <f>BB8+Inputs!$F$42*Time!BB34</f>
        <v/>
      </c>
      <c r="BC9" s="11">
        <f>BC8+Inputs!$F$42*Time!BC34</f>
        <v/>
      </c>
      <c r="BD9" s="11">
        <f>BD8+Inputs!$F$42*Time!BD34</f>
        <v/>
      </c>
      <c r="BE9" s="11">
        <f>BE8+Inputs!$F$42*Time!BE34</f>
        <v/>
      </c>
      <c r="BF9" s="11">
        <f>BF8+Inputs!$F$42*Time!BF34</f>
        <v/>
      </c>
      <c r="BG9" s="11">
        <f>BG8+Inputs!$F$42*Time!BG34</f>
        <v/>
      </c>
      <c r="BH9" s="11">
        <f>BH8+Inputs!$F$42*Time!BH34</f>
        <v/>
      </c>
      <c r="BI9" s="11">
        <f>BI8+Inputs!$F$42*Time!BI34</f>
        <v/>
      </c>
      <c r="BJ9" s="11">
        <f>BJ8+Inputs!$F$42*Time!BJ34</f>
        <v/>
      </c>
      <c r="BK9" s="11">
        <f>BK8+Inputs!$F$42*Time!BK34</f>
        <v/>
      </c>
      <c r="BL9" s="11">
        <f>BL8+Inputs!$F$42*Time!BL34</f>
        <v/>
      </c>
      <c r="BM9" s="11">
        <f>BM8+Inputs!$F$42*Time!BM34</f>
        <v/>
      </c>
      <c r="BN9" s="11">
        <f>BN8+Inputs!$F$42*Time!BN34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CHOOSE(Inputs!$F$33,Inputs!$F$60*Time!$F$15^((Time!J17-0.5)/2),Inputs!J218,Inputs!J218)</f>
        <v/>
      </c>
      <c r="K10" s="11">
        <f>CHOOSE(Inputs!$F$33,Inputs!$F$60*Time!$F$15^((Time!K17-0.5)/2),Inputs!K218,Inputs!K218)</f>
        <v/>
      </c>
      <c r="L10" s="11">
        <f>CHOOSE(Inputs!$F$33,Inputs!$F$60*Time!$F$15^((Time!L17-0.5)/2),Inputs!L218,Inputs!L218)</f>
        <v/>
      </c>
      <c r="M10" s="11">
        <f>CHOOSE(Inputs!$F$33,Inputs!$F$60*Time!$F$15^((Time!M17-0.5)/2),Inputs!M218,Inputs!M218)</f>
        <v/>
      </c>
      <c r="N10" s="11">
        <f>CHOOSE(Inputs!$F$33,Inputs!$F$60*Time!$F$15^((Time!N17-0.5)/2),Inputs!N218,Inputs!N218)</f>
        <v/>
      </c>
      <c r="O10" s="11">
        <f>CHOOSE(Inputs!$F$33,Inputs!$F$60*Time!$F$15^((Time!O17-0.5)/2),Inputs!O218,Inputs!O218)</f>
        <v/>
      </c>
      <c r="P10" s="11">
        <f>CHOOSE(Inputs!$F$33,Inputs!$F$60*Time!$F$15^((Time!P17-0.5)/2),Inputs!P218,Inputs!P218)</f>
        <v/>
      </c>
      <c r="Q10" s="11">
        <f>CHOOSE(Inputs!$F$33,Inputs!$F$60*Time!$F$15^((Time!Q17-0.5)/2),Inputs!Q218,P10*Time!$F$15^0.5)</f>
        <v/>
      </c>
      <c r="R10" s="11">
        <f>CHOOSE(Inputs!$F$33,Inputs!$F$60*Time!$F$15^((Time!R17-0.5)/2),Inputs!R218,Q10*Time!$F$15^0.5)</f>
        <v/>
      </c>
      <c r="S10" s="11">
        <f>CHOOSE(Inputs!$F$33,Inputs!$F$60*Time!$F$15^((Time!S17-0.5)/2),Inputs!S218,R10*Time!$F$15^0.5)</f>
        <v/>
      </c>
      <c r="T10" s="11">
        <f>CHOOSE(Inputs!$F$33,Inputs!$F$60*Time!$F$15^((Time!T17-0.5)/2),Inputs!T218,S10*Time!$F$15^0.5)</f>
        <v/>
      </c>
      <c r="U10" s="11">
        <f>CHOOSE(Inputs!$F$33,Inputs!$F$60*Time!$F$15^((Time!U17-0.5)/2),Inputs!U218,T10*Time!$F$15^0.5)</f>
        <v/>
      </c>
      <c r="V10" s="11">
        <f>CHOOSE(Inputs!$F$33,Inputs!$F$60*Time!$F$15^((Time!V17-0.5)/2),Inputs!V218,U10*Time!$F$15^0.5)</f>
        <v/>
      </c>
      <c r="W10" s="11">
        <f>CHOOSE(Inputs!$F$33,Inputs!$F$60*Time!$F$15^((Time!W17-0.5)/2),Inputs!W218,V10*Time!$F$15^0.5)</f>
        <v/>
      </c>
      <c r="X10" s="11">
        <f>CHOOSE(Inputs!$F$33,Inputs!$F$60*Time!$F$15^((Time!X17-0.5)/2),Inputs!X218,W10*Time!$F$15^0.5)</f>
        <v/>
      </c>
      <c r="Y10" s="11">
        <f>CHOOSE(Inputs!$F$33,Inputs!$F$60*Time!$F$15^((Time!Y17-0.5)/2),Inputs!Y218,X10*Time!$F$15^0.5)</f>
        <v/>
      </c>
      <c r="Z10" s="11">
        <f>CHOOSE(Inputs!$F$33,Inputs!$F$60*Time!$F$15^((Time!Z17-0.5)/2),Inputs!Z218,Y10*Time!$F$15^0.5)</f>
        <v/>
      </c>
      <c r="AA10" s="11">
        <f>CHOOSE(Inputs!$F$33,Inputs!$F$60*Time!$F$15^((Time!AA17-0.5)/2),Z10*((1+AA13/100)/(1+AA12/100))^0.5,Z10*Time!$F$15^0.5)</f>
        <v/>
      </c>
      <c r="AB10" s="11">
        <f>CHOOSE(Inputs!$F$33,Inputs!$F$60*Time!$F$15^((Time!AB17-0.5)/2),AA10*((1+AB13/100)/(1+AB12/100))^0.5,AA10*Time!$F$15^0.5)</f>
        <v/>
      </c>
      <c r="AC10" s="11">
        <f>CHOOSE(Inputs!$F$33,Inputs!$F$60*Time!$F$15^((Time!AC17-0.5)/2),AB10*((1+AC13/100)/(1+AC12/100))^0.5,AB10*Time!$F$15^0.5)</f>
        <v/>
      </c>
      <c r="AD10" s="11">
        <f>CHOOSE(Inputs!$F$33,Inputs!$F$60*Time!$F$15^((Time!AD17-0.5)/2),AC10*((1+AD13/100)/(1+AD12/100))^0.5,AC10*Time!$F$15^0.5)</f>
        <v/>
      </c>
      <c r="AE10" s="11">
        <f>CHOOSE(Inputs!$F$33,Inputs!$F$60*Time!$F$15^((Time!AE17-0.5)/2),AD10*((1+AE13/100)/(1+AE12/100))^0.5,AD10*Time!$F$15^0.5)</f>
        <v/>
      </c>
      <c r="AF10" s="11">
        <f>CHOOSE(Inputs!$F$33,Inputs!$F$60*Time!$F$15^((Time!AF17-0.5)/2),AE10*((1+AF13/100)/(1+AF12/100))^0.5,AE10*Time!$F$15^0.5)</f>
        <v/>
      </c>
      <c r="AG10" s="11">
        <f>CHOOSE(Inputs!$F$33,Inputs!$F$60*Time!$F$15^((Time!AG17-0.5)/2),AF10*((1+AG13/100)/(1+AG12/100))^0.5,AF10*Time!$F$15^0.5)</f>
        <v/>
      </c>
      <c r="AH10" s="11">
        <f>CHOOSE(Inputs!$F$33,Inputs!$F$60*Time!$F$15^((Time!AH17-0.5)/2),AG10*((1+AH13/100)/(1+AH12/100))^0.5,AG10*Time!$F$15^0.5)</f>
        <v/>
      </c>
      <c r="AI10" s="11">
        <f>CHOOSE(Inputs!$F$33,Inputs!$F$60*Time!$F$15^((Time!AI17-0.5)/2),AH10*((1+AI13/100)/(1+AI12/100))^0.5,AH10*Time!$F$15^0.5)</f>
        <v/>
      </c>
      <c r="AJ10" s="11">
        <f>CHOOSE(Inputs!$F$33,Inputs!$F$60*Time!$F$15^((Time!AJ17-0.5)/2),AI10*((1+AJ13/100)/(1+AJ12/100))^0.5,AI10*Time!$F$15^0.5)</f>
        <v/>
      </c>
      <c r="AK10" s="11">
        <f>CHOOSE(Inputs!$F$33,Inputs!$F$60*Time!$F$15^((Time!AK17-0.5)/2),AJ10*((1+AK13/100)/(1+AK12/100))^0.5,AJ10*Time!$F$15^0.5)</f>
        <v/>
      </c>
      <c r="AL10" s="11">
        <f>CHOOSE(Inputs!$F$33,Inputs!$F$60*Time!$F$15^((Time!AL17-0.5)/2),AK10*((1+AL13/100)/(1+AL12/100))^0.5,AK10*Time!$F$15^0.5)</f>
        <v/>
      </c>
      <c r="AM10" s="11">
        <f>CHOOSE(Inputs!$F$33,Inputs!$F$60*Time!$F$15^((Time!AM17-0.5)/2),AL10*((1+AM13/100)/(1+AM12/100))^0.5,AL10*Time!$F$15^0.5)</f>
        <v/>
      </c>
      <c r="AN10" s="11">
        <f>CHOOSE(Inputs!$F$33,Inputs!$F$60*Time!$F$15^((Time!AN17-0.5)/2),AM10*((1+AN13/100)/(1+AN12/100))^0.5,AM10*Time!$F$15^0.5)</f>
        <v/>
      </c>
      <c r="AO10" s="11">
        <f>CHOOSE(Inputs!$F$33,Inputs!$F$60*Time!$F$15^((Time!AO17-0.5)/2),AN10*((1+AO13/100)/(1+AO12/100))^0.5,AN10*Time!$F$15^0.5)</f>
        <v/>
      </c>
      <c r="AP10" s="11">
        <f>CHOOSE(Inputs!$F$33,Inputs!$F$60*Time!$F$15^((Time!AP17-0.5)/2),AO10*((1+AP13/100)/(1+AP12/100))^0.5,AO10*Time!$F$15^0.5)</f>
        <v/>
      </c>
      <c r="AQ10" s="11">
        <f>CHOOSE(Inputs!$F$33,Inputs!$F$60*Time!$F$15^((Time!AQ17-0.5)/2),AP10*((1+AQ13/100)/(1+AQ12/100))^0.5,AP10*Time!$F$15^0.5)</f>
        <v/>
      </c>
      <c r="AR10" s="11">
        <f>CHOOSE(Inputs!$F$33,Inputs!$F$60*Time!$F$15^((Time!AR17-0.5)/2),AQ10*((1+AR13/100)/(1+AR12/100))^0.5,AQ10*Time!$F$15^0.5)</f>
        <v/>
      </c>
      <c r="AS10" s="11">
        <f>CHOOSE(Inputs!$F$33,Inputs!$F$60*Time!$F$15^((Time!AS17-0.5)/2),AR10*((1+AS13/100)/(1+AS12/100))^0.5,AR10*Time!$F$15^0.5)</f>
        <v/>
      </c>
      <c r="AT10" s="11">
        <f>CHOOSE(Inputs!$F$33,Inputs!$F$60*Time!$F$15^((Time!AT17-0.5)/2),AS10*((1+AT13/100)/(1+AT12/100))^0.5,AS10*Time!$F$15^0.5)</f>
        <v/>
      </c>
      <c r="AU10" s="11">
        <f>CHOOSE(Inputs!$F$33,Inputs!$F$60*Time!$F$15^((Time!AU17-0.5)/2),AT10*((1+AU13/100)/(1+AU12/100))^0.5,AT10*Time!$F$15^0.5)</f>
        <v/>
      </c>
      <c r="AV10" s="11">
        <f>CHOOSE(Inputs!$F$33,Inputs!$F$60*Time!$F$15^((Time!AV17-0.5)/2),AU10*((1+AV13/100)/(1+AV12/100))^0.5,AU10*Time!$F$15^0.5)</f>
        <v/>
      </c>
      <c r="AW10" s="11">
        <f>CHOOSE(Inputs!$F$33,Inputs!$F$60*Time!$F$15^((Time!AW17-0.5)/2),AV10*((1+AW13/100)/(1+AW12/100))^0.5,AV10*Time!$F$15^0.5)</f>
        <v/>
      </c>
      <c r="AX10" s="11">
        <f>CHOOSE(Inputs!$F$33,Inputs!$F$60*Time!$F$15^((Time!AX17-0.5)/2),AW10*((1+AX13/100)/(1+AX12/100))^0.5,AW10*Time!$F$15^0.5)</f>
        <v/>
      </c>
      <c r="AY10" s="11">
        <f>CHOOSE(Inputs!$F$33,Inputs!$F$60*Time!$F$15^((Time!AY17-0.5)/2),AX10*((1+AY13/100)/(1+AY12/100))^0.5,AX10*Time!$F$15^0.5)</f>
        <v/>
      </c>
      <c r="AZ10" s="11">
        <f>CHOOSE(Inputs!$F$33,Inputs!$F$60*Time!$F$15^((Time!AZ17-0.5)/2),AY10*((1+AZ13/100)/(1+AZ12/100))^0.5,AY10*Time!$F$15^0.5)</f>
        <v/>
      </c>
      <c r="BA10" s="11">
        <f>CHOOSE(Inputs!$F$33,Inputs!$F$60*Time!$F$15^((Time!BA17-0.5)/2),AZ10*((1+BA13/100)/(1+BA12/100))^0.5,AZ10*Time!$F$15^0.5)</f>
        <v/>
      </c>
      <c r="BB10" s="11">
        <f>CHOOSE(Inputs!$F$33,Inputs!$F$60*Time!$F$15^((Time!BB17-0.5)/2),BA10*((1+BB13/100)/(1+BB12/100))^0.5,BA10*Time!$F$15^0.5)</f>
        <v/>
      </c>
      <c r="BC10" s="11">
        <f>CHOOSE(Inputs!$F$33,Inputs!$F$60*Time!$F$15^((Time!BC17-0.5)/2),BB10*((1+BC13/100)/(1+BC12/100))^0.5,BB10*Time!$F$15^0.5)</f>
        <v/>
      </c>
      <c r="BD10" s="11">
        <f>CHOOSE(Inputs!$F$33,Inputs!$F$60*Time!$F$15^((Time!BD17-0.5)/2),BC10*((1+BD13/100)/(1+BD12/100))^0.5,BC10*Time!$F$15^0.5)</f>
        <v/>
      </c>
      <c r="BE10" s="11">
        <f>CHOOSE(Inputs!$F$33,Inputs!$F$60*Time!$F$15^((Time!BE17-0.5)/2),BD10*((1+BE13/100)/(1+BE12/100))^0.5,BD10*Time!$F$15^0.5)</f>
        <v/>
      </c>
      <c r="BF10" s="11">
        <f>CHOOSE(Inputs!$F$33,Inputs!$F$60*Time!$F$15^((Time!BF17-0.5)/2),BE10*((1+BF13/100)/(1+BF12/100))^0.5,BE10*Time!$F$15^0.5)</f>
        <v/>
      </c>
      <c r="BG10" s="11">
        <f>CHOOSE(Inputs!$F$33,Inputs!$F$60*Time!$F$15^((Time!BG17-0.5)/2),BF10*((1+BG13/100)/(1+BG12/100))^0.5,BF10*Time!$F$15^0.5)</f>
        <v/>
      </c>
      <c r="BH10" s="11">
        <f>CHOOSE(Inputs!$F$33,Inputs!$F$60*Time!$F$15^((Time!BH17-0.5)/2),BG10*((1+BH13/100)/(1+BH12/100))^0.5,BG10*Time!$F$15^0.5)</f>
        <v/>
      </c>
      <c r="BI10" s="11">
        <f>CHOOSE(Inputs!$F$33,Inputs!$F$60*Time!$F$15^((Time!BI17-0.5)/2),BH10*((1+BI13/100)/(1+BI12/100))^0.5,BH10*Time!$F$15^0.5)</f>
        <v/>
      </c>
      <c r="BJ10" s="11">
        <f>CHOOSE(Inputs!$F$33,Inputs!$F$60*Time!$F$15^((Time!BJ17-0.5)/2),BI10*((1+BJ13/100)/(1+BJ12/100))^0.5,BI10*Time!$F$15^0.5)</f>
        <v/>
      </c>
      <c r="BK10" s="11">
        <f>CHOOSE(Inputs!$F$33,Inputs!$F$60*Time!$F$15^((Time!BK17-0.5)/2),BJ10*((1+BK13/100)/(1+BK12/100))^0.5,BJ10*Time!$F$15^0.5)</f>
        <v/>
      </c>
      <c r="BL10" s="11">
        <f>CHOOSE(Inputs!$F$33,Inputs!$F$60*Time!$F$15^((Time!BL17-0.5)/2),BK10*((1+BL13/100)/(1+BL12/100))^0.5,BK10*Time!$F$15^0.5)</f>
        <v/>
      </c>
      <c r="BM10" s="11">
        <f>CHOOSE(Inputs!$F$33,Inputs!$F$60*Time!$F$15^((Time!BM17-0.5)/2),BL10*((1+BM13/100)/(1+BM12/100))^0.5,BL10*Time!$F$15^0.5)</f>
        <v/>
      </c>
      <c r="BN10" s="11">
        <f>CHOOSE(Inputs!$F$33,Inputs!$F$60*Time!$F$15^((Time!BN17-0.5)/2),BM10*((1+BN13/100)/(1+BN12/100))^0.5,BM10*Time!$F$15^0.5)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J10/(1-Inputs!$F$43*Time!J34)</f>
        <v/>
      </c>
      <c r="K11" s="11">
        <f>K10/(1-Inputs!$F$43*Time!K34)</f>
        <v/>
      </c>
      <c r="L11" s="11">
        <f>L10/(1-Inputs!$F$43*Time!L34)</f>
        <v/>
      </c>
      <c r="M11" s="11">
        <f>M10/(1-Inputs!$F$43*Time!M34)</f>
        <v/>
      </c>
      <c r="N11" s="11">
        <f>N10/(1-Inputs!$F$43*Time!N34)</f>
        <v/>
      </c>
      <c r="O11" s="11">
        <f>O10/(1-Inputs!$F$43*Time!O34)</f>
        <v/>
      </c>
      <c r="P11" s="11">
        <f>P10/(1-Inputs!$F$43*Time!P34)</f>
        <v/>
      </c>
      <c r="Q11" s="11">
        <f>Q10/(1-Inputs!$F$43*Time!Q34)</f>
        <v/>
      </c>
      <c r="R11" s="11">
        <f>R10/(1-Inputs!$F$43*Time!R34)</f>
        <v/>
      </c>
      <c r="S11" s="11">
        <f>S10/(1-Inputs!$F$43*Time!S34)</f>
        <v/>
      </c>
      <c r="T11" s="11">
        <f>T10/(1-Inputs!$F$43*Time!T34)</f>
        <v/>
      </c>
      <c r="U11" s="11">
        <f>U10/(1-Inputs!$F$43*Time!U34)</f>
        <v/>
      </c>
      <c r="V11" s="11">
        <f>V10/(1-Inputs!$F$43*Time!V34)</f>
        <v/>
      </c>
      <c r="W11" s="11">
        <f>W10/(1-Inputs!$F$43*Time!W34)</f>
        <v/>
      </c>
      <c r="X11" s="11">
        <f>X10/(1-Inputs!$F$43*Time!X34)</f>
        <v/>
      </c>
      <c r="Y11" s="11">
        <f>Y10/(1-Inputs!$F$43*Time!Y34)</f>
        <v/>
      </c>
      <c r="Z11" s="11">
        <f>Z10/(1-Inputs!$F$43*Time!Z34)</f>
        <v/>
      </c>
      <c r="AA11" s="11">
        <f>AA10/(1-Inputs!$F$43*Time!AA34)</f>
        <v/>
      </c>
      <c r="AB11" s="11">
        <f>AB10/(1-Inputs!$F$43*Time!AB34)</f>
        <v/>
      </c>
      <c r="AC11" s="11">
        <f>AC10/(1-Inputs!$F$43*Time!AC34)</f>
        <v/>
      </c>
      <c r="AD11" s="11">
        <f>AD10/(1-Inputs!$F$43*Time!AD34)</f>
        <v/>
      </c>
      <c r="AE11" s="11">
        <f>AE10/(1-Inputs!$F$43*Time!AE34)</f>
        <v/>
      </c>
      <c r="AF11" s="11">
        <f>AF10/(1-Inputs!$F$43*Time!AF34)</f>
        <v/>
      </c>
      <c r="AG11" s="11">
        <f>AG10/(1-Inputs!$F$43*Time!AG34)</f>
        <v/>
      </c>
      <c r="AH11" s="11">
        <f>AH10/(1-Inputs!$F$43*Time!AH34)</f>
        <v/>
      </c>
      <c r="AI11" s="11">
        <f>AI10/(1-Inputs!$F$43*Time!AI34)</f>
        <v/>
      </c>
      <c r="AJ11" s="11">
        <f>AJ10/(1-Inputs!$F$43*Time!AJ34)</f>
        <v/>
      </c>
      <c r="AK11" s="11">
        <f>AK10/(1-Inputs!$F$43*Time!AK34)</f>
        <v/>
      </c>
      <c r="AL11" s="11">
        <f>AL10/(1-Inputs!$F$43*Time!AL34)</f>
        <v/>
      </c>
      <c r="AM11" s="11">
        <f>AM10/(1-Inputs!$F$43*Time!AM34)</f>
        <v/>
      </c>
      <c r="AN11" s="11">
        <f>AN10/(1-Inputs!$F$43*Time!AN34)</f>
        <v/>
      </c>
      <c r="AO11" s="11">
        <f>AO10/(1-Inputs!$F$43*Time!AO34)</f>
        <v/>
      </c>
      <c r="AP11" s="11">
        <f>AP10/(1-Inputs!$F$43*Time!AP34)</f>
        <v/>
      </c>
      <c r="AQ11" s="11">
        <f>AQ10/(1-Inputs!$F$43*Time!AQ34)</f>
        <v/>
      </c>
      <c r="AR11" s="11">
        <f>AR10/(1-Inputs!$F$43*Time!AR34)</f>
        <v/>
      </c>
      <c r="AS11" s="11">
        <f>AS10/(1-Inputs!$F$43*Time!AS34)</f>
        <v/>
      </c>
      <c r="AT11" s="11">
        <f>AT10/(1-Inputs!$F$43*Time!AT34)</f>
        <v/>
      </c>
      <c r="AU11" s="11">
        <f>AU10/(1-Inputs!$F$43*Time!AU34)</f>
        <v/>
      </c>
      <c r="AV11" s="11">
        <f>AV10/(1-Inputs!$F$43*Time!AV34)</f>
        <v/>
      </c>
      <c r="AW11" s="11">
        <f>AW10/(1-Inputs!$F$43*Time!AW34)</f>
        <v/>
      </c>
      <c r="AX11" s="11">
        <f>AX10/(1-Inputs!$F$43*Time!AX34)</f>
        <v/>
      </c>
      <c r="AY11" s="11">
        <f>AY10/(1-Inputs!$F$43*Time!AY34)</f>
        <v/>
      </c>
      <c r="AZ11" s="11">
        <f>AZ10/(1-Inputs!$F$43*Time!AZ34)</f>
        <v/>
      </c>
      <c r="BA11" s="11">
        <f>BA10/(1-Inputs!$F$43*Time!BA34)</f>
        <v/>
      </c>
      <c r="BB11" s="11">
        <f>BB10/(1-Inputs!$F$43*Time!BB34)</f>
        <v/>
      </c>
      <c r="BC11" s="11">
        <f>BC10/(1-Inputs!$F$43*Time!BC34)</f>
        <v/>
      </c>
      <c r="BD11" s="11">
        <f>BD10/(1-Inputs!$F$43*Time!BD34)</f>
        <v/>
      </c>
      <c r="BE11" s="11">
        <f>BE10/(1-Inputs!$F$43*Time!BE34)</f>
        <v/>
      </c>
      <c r="BF11" s="11">
        <f>BF10/(1-Inputs!$F$43*Time!BF34)</f>
        <v/>
      </c>
      <c r="BG11" s="11">
        <f>BG10/(1-Inputs!$F$43*Time!BG34)</f>
        <v/>
      </c>
      <c r="BH11" s="11">
        <f>BH10/(1-Inputs!$F$43*Time!BH34)</f>
        <v/>
      </c>
      <c r="BI11" s="11">
        <f>BI10/(1-Inputs!$F$43*Time!BI34)</f>
        <v/>
      </c>
      <c r="BJ11" s="11">
        <f>BJ10/(1-Inputs!$F$43*Time!BJ34)</f>
        <v/>
      </c>
      <c r="BK11" s="11">
        <f>BK10/(1-Inputs!$F$43*Time!BK34)</f>
        <v/>
      </c>
      <c r="BL11" s="11">
        <f>BL10/(1-Inputs!$F$43*Time!BL34)</f>
        <v/>
      </c>
      <c r="BM11" s="11">
        <f>BM10/(1-Inputs!$F$43*Time!BM34)</f>
        <v/>
      </c>
      <c r="BN11" s="11">
        <f>BN10/(1-Inputs!$F$43*Time!BN34)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CHOOSE(Inputs!$F$33,INDEX(Inputs!$J$207:$AR$207,1,(Time!J21-0)-2014),INDEX(Inputs!$J$209:$AR$209,1,(Time!J21-0)-2014),INDEX(Inputs!$J$211:$AR$211,1,(Time!J21-0)-2014))</f>
        <v/>
      </c>
      <c r="K12" s="11">
        <f>CHOOSE(Inputs!$F$33,INDEX(Inputs!$J$207:$AR$207,1,(Time!K21-0)-2014),INDEX(Inputs!$J$209:$AR$209,1,(Time!K21-0)-2014),INDEX(Inputs!$J$211:$AR$211,1,(Time!K21-0)-2014))</f>
        <v/>
      </c>
      <c r="L12" s="11">
        <f>CHOOSE(Inputs!$F$33,INDEX(Inputs!$J$207:$AR$207,1,(Time!L21-0)-2014),INDEX(Inputs!$J$209:$AR$209,1,(Time!L21-0)-2014),INDEX(Inputs!$J$211:$AR$211,1,(Time!L21-0)-2014))</f>
        <v/>
      </c>
      <c r="M12" s="11">
        <f>CHOOSE(Inputs!$F$33,INDEX(Inputs!$J$207:$AR$207,1,(Time!M21-0)-2014),INDEX(Inputs!$J$209:$AR$209,1,(Time!M21-0)-2014),INDEX(Inputs!$J$211:$AR$211,1,(Time!M21-0)-2014))</f>
        <v/>
      </c>
      <c r="N12" s="11">
        <f>CHOOSE(Inputs!$F$33,INDEX(Inputs!$J$207:$AR$207,1,(Time!N21-0)-2014),INDEX(Inputs!$J$209:$AR$209,1,(Time!N21-0)-2014),INDEX(Inputs!$J$211:$AR$211,1,(Time!N21-0)-2014))</f>
        <v/>
      </c>
      <c r="O12" s="11">
        <f>CHOOSE(Inputs!$F$33,INDEX(Inputs!$J$207:$AR$207,1,(Time!O21-0)-2014),INDEX(Inputs!$J$209:$AR$209,1,(Time!O21-0)-2014),INDEX(Inputs!$J$211:$AR$211,1,(Time!O21-0)-2014))</f>
        <v/>
      </c>
      <c r="P12" s="11">
        <f>CHOOSE(Inputs!$F$33,INDEX(Inputs!$J$207:$AR$207,1,(Time!P21-0)-2014),INDEX(Inputs!$J$209:$AR$209,1,(Time!P21-0)-2014),INDEX(Inputs!$J$211:$AR$211,1,(Time!P21-0)-2014))</f>
        <v/>
      </c>
      <c r="Q12" s="11">
        <f>CHOOSE(Inputs!$F$33,INDEX(Inputs!$J$207:$AR$207,1,(Time!Q21-0)-2014),INDEX(Inputs!$J$209:$AR$209,1,(Time!Q21-0)-2014),INDEX(Inputs!$J$211:$AR$211,1,(Time!Q21-0)-2014))</f>
        <v/>
      </c>
      <c r="R12" s="11">
        <f>CHOOSE(Inputs!$F$33,INDEX(Inputs!$J$207:$AR$207,1,(Time!R21-0)-2014),INDEX(Inputs!$J$209:$AR$209,1,(Time!R21-0)-2014),INDEX(Inputs!$J$211:$AR$211,1,(Time!R21-0)-2014))</f>
        <v/>
      </c>
      <c r="S12" s="11">
        <f>CHOOSE(Inputs!$F$33,INDEX(Inputs!$J$207:$AR$207,1,(Time!S21-0)-2014),INDEX(Inputs!$J$209:$AR$209,1,(Time!S21-0)-2014),INDEX(Inputs!$J$211:$AR$211,1,(Time!S21-0)-2014))</f>
        <v/>
      </c>
      <c r="T12" s="11">
        <f>CHOOSE(Inputs!$F$33,INDEX(Inputs!$J$207:$AR$207,1,(Time!T21-0)-2014),INDEX(Inputs!$J$209:$AR$209,1,(Time!T21-0)-2014),INDEX(Inputs!$J$211:$AR$211,1,(Time!T21-0)-2014))</f>
        <v/>
      </c>
      <c r="U12" s="11">
        <f>CHOOSE(Inputs!$F$33,INDEX(Inputs!$J$207:$AR$207,1,(Time!U21-0)-2014),INDEX(Inputs!$J$209:$AR$209,1,(Time!U21-0)-2014),INDEX(Inputs!$J$211:$AR$211,1,(Time!U21-0)-2014))</f>
        <v/>
      </c>
      <c r="V12" s="11">
        <f>CHOOSE(Inputs!$F$33,INDEX(Inputs!$J$207:$AR$207,1,(Time!V21-0)-2014),INDEX(Inputs!$J$209:$AR$209,1,(Time!V21-0)-2014),INDEX(Inputs!$J$211:$AR$211,1,(Time!V21-0)-2014))</f>
        <v/>
      </c>
      <c r="W12" s="11">
        <f>CHOOSE(Inputs!$F$33,INDEX(Inputs!$J$207:$AR$207,1,(Time!W21-0)-2014),INDEX(Inputs!$J$209:$AR$209,1,(Time!W21-0)-2014),INDEX(Inputs!$J$211:$AR$211,1,(Time!W21-0)-2014))</f>
        <v/>
      </c>
      <c r="X12" s="11">
        <f>CHOOSE(Inputs!$F$33,INDEX(Inputs!$J$207:$AR$207,1,(Time!X21-0)-2014),INDEX(Inputs!$J$209:$AR$209,1,(Time!X21-0)-2014),INDEX(Inputs!$J$211:$AR$211,1,(Time!X21-0)-2014))</f>
        <v/>
      </c>
      <c r="Y12" s="11">
        <f>CHOOSE(Inputs!$F$33,INDEX(Inputs!$J$207:$AR$207,1,(Time!Y21-0)-2014),INDEX(Inputs!$J$209:$AR$209,1,(Time!Y21-0)-2014),INDEX(Inputs!$J$211:$AR$211,1,(Time!Y21-0)-2014))</f>
        <v/>
      </c>
      <c r="Z12" s="11">
        <f>CHOOSE(Inputs!$F$33,INDEX(Inputs!$J$207:$AR$207,1,(Time!Z21-0)-2014),INDEX(Inputs!$J$209:$AR$209,1,(Time!Z21-0)-2014),INDEX(Inputs!$J$211:$AR$211,1,(Time!Z21-0)-2014))</f>
        <v/>
      </c>
      <c r="AA12" s="11">
        <f>CHOOSE(Inputs!$F$33,INDEX(Inputs!$J$207:$AR$207,1,(Time!AA21-0)-2014),INDEX(Inputs!$J$209:$AR$209,1,(Time!AA21-0)-2014),INDEX(Inputs!$J$211:$AR$211,1,(Time!AA21-0)-2014))</f>
        <v/>
      </c>
      <c r="AB12" s="11">
        <f>CHOOSE(Inputs!$F$33,INDEX(Inputs!$J$207:$AR$207,1,(Time!AB21-0)-2014),INDEX(Inputs!$J$209:$AR$209,1,(Time!AB21-0)-2014),INDEX(Inputs!$J$211:$AR$211,1,(Time!AB21-0)-2014))</f>
        <v/>
      </c>
      <c r="AC12" s="11">
        <f>CHOOSE(Inputs!$F$33,INDEX(Inputs!$J$207:$AR$207,1,(Time!AC21-0)-2014),INDEX(Inputs!$J$209:$AR$209,1,(Time!AC21-0)-2014),INDEX(Inputs!$J$211:$AR$211,1,(Time!AC21-0)-2014))</f>
        <v/>
      </c>
      <c r="AD12" s="11">
        <f>CHOOSE(Inputs!$F$33,INDEX(Inputs!$J$207:$AR$207,1,(Time!AD21-0)-2014),INDEX(Inputs!$J$209:$AR$209,1,(Time!AD21-0)-2014),INDEX(Inputs!$J$211:$AR$211,1,(Time!AD21-0)-2014))</f>
        <v/>
      </c>
      <c r="AE12" s="11">
        <f>CHOOSE(Inputs!$F$33,INDEX(Inputs!$J$207:$AR$207,1,(Time!AE21-0)-2014),INDEX(Inputs!$J$209:$AR$209,1,(Time!AE21-0)-2014),INDEX(Inputs!$J$211:$AR$211,1,(Time!AE21-0)-2014))</f>
        <v/>
      </c>
      <c r="AF12" s="11">
        <f>CHOOSE(Inputs!$F$33,INDEX(Inputs!$J$207:$AR$207,1,(Time!AF21-0)-2014),INDEX(Inputs!$J$209:$AR$209,1,(Time!AF21-0)-2014),INDEX(Inputs!$J$211:$AR$211,1,(Time!AF21-0)-2014))</f>
        <v/>
      </c>
      <c r="AG12" s="11">
        <f>CHOOSE(Inputs!$F$33,INDEX(Inputs!$J$207:$AR$207,1,(Time!AG21-0)-2014),INDEX(Inputs!$J$209:$AR$209,1,(Time!AG21-0)-2014),INDEX(Inputs!$J$211:$AR$211,1,(Time!AG21-0)-2014))</f>
        <v/>
      </c>
      <c r="AH12" s="11">
        <f>CHOOSE(Inputs!$F$33,INDEX(Inputs!$J$207:$AR$207,1,(Time!AH21-0)-2014),INDEX(Inputs!$J$209:$AR$209,1,(Time!AH21-0)-2014),INDEX(Inputs!$J$211:$AR$211,1,(Time!AH21-0)-2014))</f>
        <v/>
      </c>
      <c r="AI12" s="11">
        <f>CHOOSE(Inputs!$F$33,INDEX(Inputs!$J$207:$AR$207,1,(Time!AI21-0)-2014),INDEX(Inputs!$J$209:$AR$209,1,(Time!AI21-0)-2014),INDEX(Inputs!$J$211:$AR$211,1,(Time!AI21-0)-2014))</f>
        <v/>
      </c>
      <c r="AJ12" s="11">
        <f>CHOOSE(Inputs!$F$33,INDEX(Inputs!$J$207:$AR$207,1,(Time!AJ21-0)-2014),INDEX(Inputs!$J$209:$AR$209,1,(Time!AJ21-0)-2014),INDEX(Inputs!$J$211:$AR$211,1,(Time!AJ21-0)-2014))</f>
        <v/>
      </c>
      <c r="AK12" s="11">
        <f>CHOOSE(Inputs!$F$33,INDEX(Inputs!$J$207:$AR$207,1,(Time!AK21-0)-2014),INDEX(Inputs!$J$209:$AR$209,1,(Time!AK21-0)-2014),INDEX(Inputs!$J$211:$AR$211,1,(Time!AK21-0)-2014))</f>
        <v/>
      </c>
      <c r="AL12" s="11">
        <f>CHOOSE(Inputs!$F$33,INDEX(Inputs!$J$207:$AR$207,1,(Time!AL21-0)-2014),INDEX(Inputs!$J$209:$AR$209,1,(Time!AL21-0)-2014),INDEX(Inputs!$J$211:$AR$211,1,(Time!AL21-0)-2014))</f>
        <v/>
      </c>
      <c r="AM12" s="11">
        <f>CHOOSE(Inputs!$F$33,INDEX(Inputs!$J$207:$AR$207,1,(Time!AM21-0)-2014),INDEX(Inputs!$J$209:$AR$209,1,(Time!AM21-0)-2014),INDEX(Inputs!$J$211:$AR$211,1,(Time!AM21-0)-2014))</f>
        <v/>
      </c>
      <c r="AN12" s="11">
        <f>CHOOSE(Inputs!$F$33,INDEX(Inputs!$J$207:$AR$207,1,(Time!AN21-0)-2014),INDEX(Inputs!$J$209:$AR$209,1,(Time!AN21-0)-2014),INDEX(Inputs!$J$211:$AR$211,1,(Time!AN21-0)-2014))</f>
        <v/>
      </c>
      <c r="AO12" s="11">
        <f>CHOOSE(Inputs!$F$33,INDEX(Inputs!$J$207:$AR$207,1,(Time!AO21-0)-2014),INDEX(Inputs!$J$209:$AR$209,1,(Time!AO21-0)-2014),INDEX(Inputs!$J$211:$AR$211,1,(Time!AO21-0)-2014))</f>
        <v/>
      </c>
      <c r="AP12" s="11">
        <f>CHOOSE(Inputs!$F$33,INDEX(Inputs!$J$207:$AR$207,1,(Time!AP21-0)-2014),INDEX(Inputs!$J$209:$AR$209,1,(Time!AP21-0)-2014),INDEX(Inputs!$J$211:$AR$211,1,(Time!AP21-0)-2014))</f>
        <v/>
      </c>
      <c r="AQ12" s="11">
        <f>CHOOSE(Inputs!$F$33,INDEX(Inputs!$J$207:$AR$207,1,(Time!AQ21-0)-2014),INDEX(Inputs!$J$209:$AR$209,1,(Time!AQ21-0)-2014),INDEX(Inputs!$J$211:$AR$211,1,(Time!AQ21-0)-2014))</f>
        <v/>
      </c>
      <c r="AR12" s="11">
        <f>CHOOSE(Inputs!$F$33,INDEX(Inputs!$J$207:$AR$207,1,(Time!AR21-0)-2014),INDEX(Inputs!$J$209:$AR$209,1,(Time!AR21-0)-2014),INDEX(Inputs!$J$211:$AR$211,1,(Time!AR21-0)-2014))</f>
        <v/>
      </c>
      <c r="AS12" s="11">
        <f>CHOOSE(Inputs!$F$33,INDEX(Inputs!$J$207:$AR$207,1,(Time!AS21-0)-2014),INDEX(Inputs!$J$209:$AR$209,1,(Time!AS21-0)-2014),INDEX(Inputs!$J$211:$AR$211,1,(Time!AS21-0)-2014))</f>
        <v/>
      </c>
      <c r="AT12" s="11">
        <f>CHOOSE(Inputs!$F$33,INDEX(Inputs!$J$207:$AR$207,1,(Time!AT21-0)-2014),INDEX(Inputs!$J$209:$AR$209,1,(Time!AT21-0)-2014),INDEX(Inputs!$J$211:$AR$211,1,(Time!AT21-0)-2014))</f>
        <v/>
      </c>
      <c r="AU12" s="11">
        <f>CHOOSE(Inputs!$F$33,INDEX(Inputs!$J$207:$AR$207,1,(Time!AU21-0)-2014),INDEX(Inputs!$J$209:$AR$209,1,(Time!AU21-0)-2014),INDEX(Inputs!$J$211:$AR$211,1,(Time!AU21-0)-2014))</f>
        <v/>
      </c>
      <c r="AV12" s="11">
        <f>CHOOSE(Inputs!$F$33,INDEX(Inputs!$J$207:$AR$207,1,(Time!AV21-0)-2014),INDEX(Inputs!$J$209:$AR$209,1,(Time!AV21-0)-2014),INDEX(Inputs!$J$211:$AR$211,1,(Time!AV21-0)-2014))</f>
        <v/>
      </c>
      <c r="AW12" s="11">
        <f>CHOOSE(Inputs!$F$33,INDEX(Inputs!$J$207:$AR$207,1,(Time!AW21-0)-2014),INDEX(Inputs!$J$209:$AR$209,1,(Time!AW21-0)-2014),INDEX(Inputs!$J$211:$AR$211,1,(Time!AW21-0)-2014))</f>
        <v/>
      </c>
      <c r="AX12" s="11">
        <f>CHOOSE(Inputs!$F$33,INDEX(Inputs!$J$207:$AR$207,1,(Time!AX21-0)-2014),INDEX(Inputs!$J$209:$AR$209,1,(Time!AX21-0)-2014),INDEX(Inputs!$J$211:$AR$211,1,(Time!AX21-0)-2014))</f>
        <v/>
      </c>
      <c r="AY12" s="11">
        <f>CHOOSE(Inputs!$F$33,INDEX(Inputs!$J$207:$AR$207,1,(Time!AY21-0)-2014),INDEX(Inputs!$J$209:$AR$209,1,(Time!AY21-0)-2014),INDEX(Inputs!$J$211:$AR$211,1,(Time!AY21-0)-2014))</f>
        <v/>
      </c>
      <c r="AZ12" s="11">
        <f>CHOOSE(Inputs!$F$33,INDEX(Inputs!$J$207:$AR$207,1,(Time!AZ21-0)-2014),INDEX(Inputs!$J$209:$AR$209,1,(Time!AZ21-0)-2014),INDEX(Inputs!$J$211:$AR$211,1,(Time!AZ21-0)-2014))</f>
        <v/>
      </c>
      <c r="BA12" s="11">
        <f>CHOOSE(Inputs!$F$33,INDEX(Inputs!$J$207:$AR$207,1,(Time!BA21-0)-2014),INDEX(Inputs!$J$209:$AR$209,1,(Time!BA21-0)-2014),INDEX(Inputs!$J$211:$AR$211,1,(Time!BA21-0)-2014))</f>
        <v/>
      </c>
      <c r="BB12" s="11">
        <f>CHOOSE(Inputs!$F$33,INDEX(Inputs!$J$207:$AR$207,1,(Time!BB21-0)-2014),INDEX(Inputs!$J$209:$AR$209,1,(Time!BB21-0)-2014),INDEX(Inputs!$J$211:$AR$211,1,(Time!BB21-0)-2014))</f>
        <v/>
      </c>
      <c r="BC12" s="11">
        <f>CHOOSE(Inputs!$F$33,INDEX(Inputs!$J$207:$AR$207,1,(Time!BC21-0)-2014),INDEX(Inputs!$J$209:$AR$209,1,(Time!BC21-0)-2014),INDEX(Inputs!$J$211:$AR$211,1,(Time!BC21-0)-2014))</f>
        <v/>
      </c>
      <c r="BD12" s="11">
        <f>CHOOSE(Inputs!$F$33,INDEX(Inputs!$J$207:$AR$207,1,(Time!BD21-0)-2014),INDEX(Inputs!$J$209:$AR$209,1,(Time!BD21-0)-2014),INDEX(Inputs!$J$211:$AR$211,1,(Time!BD21-0)-2014))</f>
        <v/>
      </c>
      <c r="BE12" s="11">
        <f>CHOOSE(Inputs!$F$33,INDEX(Inputs!$J$207:$AR$207,1,(Time!BE21-0)-2014),INDEX(Inputs!$J$209:$AR$209,1,(Time!BE21-0)-2014),INDEX(Inputs!$J$211:$AR$211,1,(Time!BE21-0)-2014))</f>
        <v/>
      </c>
      <c r="BF12" s="11">
        <f>CHOOSE(Inputs!$F$33,INDEX(Inputs!$J$207:$AR$207,1,(Time!BF21-0)-2014),INDEX(Inputs!$J$209:$AR$209,1,(Time!BF21-0)-2014),INDEX(Inputs!$J$211:$AR$211,1,(Time!BF21-0)-2014))</f>
        <v/>
      </c>
      <c r="BG12" s="11">
        <f>CHOOSE(Inputs!$F$33,INDEX(Inputs!$J$207:$AR$207,1,(Time!BG21-0)-2014),INDEX(Inputs!$J$209:$AR$209,1,(Time!BG21-0)-2014),INDEX(Inputs!$J$211:$AR$211,1,(Time!BG21-0)-2014))</f>
        <v/>
      </c>
      <c r="BH12" s="11">
        <f>CHOOSE(Inputs!$F$33,INDEX(Inputs!$J$207:$AR$207,1,(Time!BH21-0)-2014),INDEX(Inputs!$J$209:$AR$209,1,(Time!BH21-0)-2014),INDEX(Inputs!$J$211:$AR$211,1,(Time!BH21-0)-2014))</f>
        <v/>
      </c>
      <c r="BI12" s="11">
        <f>CHOOSE(Inputs!$F$33,INDEX(Inputs!$J$207:$AR$207,1,(Time!BI21-0)-2014),INDEX(Inputs!$J$209:$AR$209,1,(Time!BI21-0)-2014),INDEX(Inputs!$J$211:$AR$211,1,(Time!BI21-0)-2014))</f>
        <v/>
      </c>
      <c r="BJ12" s="11">
        <f>CHOOSE(Inputs!$F$33,INDEX(Inputs!$J$207:$AR$207,1,(Time!BJ21-0)-2014),INDEX(Inputs!$J$209:$AR$209,1,(Time!BJ21-0)-2014),INDEX(Inputs!$J$211:$AR$211,1,(Time!BJ21-0)-2014))</f>
        <v/>
      </c>
      <c r="BK12" s="11">
        <f>CHOOSE(Inputs!$F$33,INDEX(Inputs!$J$207:$AR$207,1,(Time!BK21-0)-2014),INDEX(Inputs!$J$209:$AR$209,1,(Time!BK21-0)-2014),INDEX(Inputs!$J$211:$AR$211,1,(Time!BK21-0)-2014))</f>
        <v/>
      </c>
      <c r="BL12" s="11">
        <f>CHOOSE(Inputs!$F$33,INDEX(Inputs!$J$207:$AR$207,1,(Time!BL21-0)-2014),INDEX(Inputs!$J$209:$AR$209,1,(Time!BL21-0)-2014),INDEX(Inputs!$J$211:$AR$211,1,(Time!BL21-0)-2014))</f>
        <v/>
      </c>
      <c r="BM12" s="11">
        <f>CHOOSE(Inputs!$F$33,INDEX(Inputs!$J$207:$AR$207,1,(Time!BM21-0)-2014),INDEX(Inputs!$J$209:$AR$209,1,(Time!BM21-0)-2014),INDEX(Inputs!$J$211:$AR$211,1,(Time!BM21-0)-2014))</f>
        <v/>
      </c>
      <c r="BN12" s="11">
        <f>CHOOSE(Inputs!$F$33,INDEX(Inputs!$J$207:$AR$207,1,(Time!BN21-0)-2014),INDEX(Inputs!$J$209:$AR$209,1,(Time!BN21-0)-2014),INDEX(Inputs!$J$211:$AR$211,1,(Time!BN21-0)-2014))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CHOOSE(Inputs!$F$33,INDEX(Inputs!$J$208:$AR$208,1,(Time!J21-0)-2014),INDEX(Inputs!$J$210:$AR$210,1,(Time!J21-0)-2014),INDEX(Inputs!$J$212:$AR$212,1,(Time!J21-0)-2014))</f>
        <v/>
      </c>
      <c r="K13" s="11">
        <f>CHOOSE(Inputs!$F$33,INDEX(Inputs!$J$208:$AR$208,1,(Time!K21-0)-2014),INDEX(Inputs!$J$210:$AR$210,1,(Time!K21-0)-2014),INDEX(Inputs!$J$212:$AR$212,1,(Time!K21-0)-2014))</f>
        <v/>
      </c>
      <c r="L13" s="11">
        <f>CHOOSE(Inputs!$F$33,INDEX(Inputs!$J$208:$AR$208,1,(Time!L21-0)-2014),INDEX(Inputs!$J$210:$AR$210,1,(Time!L21-0)-2014),INDEX(Inputs!$J$212:$AR$212,1,(Time!L21-0)-2014))</f>
        <v/>
      </c>
      <c r="M13" s="11">
        <f>CHOOSE(Inputs!$F$33,INDEX(Inputs!$J$208:$AR$208,1,(Time!M21-0)-2014),INDEX(Inputs!$J$210:$AR$210,1,(Time!M21-0)-2014),INDEX(Inputs!$J$212:$AR$212,1,(Time!M21-0)-2014))</f>
        <v/>
      </c>
      <c r="N13" s="11">
        <f>CHOOSE(Inputs!$F$33,INDEX(Inputs!$J$208:$AR$208,1,(Time!N21-0)-2014),INDEX(Inputs!$J$210:$AR$210,1,(Time!N21-0)-2014),INDEX(Inputs!$J$212:$AR$212,1,(Time!N21-0)-2014))</f>
        <v/>
      </c>
      <c r="O13" s="11">
        <f>CHOOSE(Inputs!$F$33,INDEX(Inputs!$J$208:$AR$208,1,(Time!O21-0)-2014),INDEX(Inputs!$J$210:$AR$210,1,(Time!O21-0)-2014),INDEX(Inputs!$J$212:$AR$212,1,(Time!O21-0)-2014))</f>
        <v/>
      </c>
      <c r="P13" s="11">
        <f>CHOOSE(Inputs!$F$33,INDEX(Inputs!$J$208:$AR$208,1,(Time!P21-0)-2014),INDEX(Inputs!$J$210:$AR$210,1,(Time!P21-0)-2014),INDEX(Inputs!$J$212:$AR$212,1,(Time!P21-0)-2014))</f>
        <v/>
      </c>
      <c r="Q13" s="11">
        <f>CHOOSE(Inputs!$F$33,INDEX(Inputs!$J$208:$AR$208,1,(Time!Q21-0)-2014),INDEX(Inputs!$J$210:$AR$210,1,(Time!Q21-0)-2014),INDEX(Inputs!$J$212:$AR$212,1,(Time!Q21-0)-2014))</f>
        <v/>
      </c>
      <c r="R13" s="11">
        <f>CHOOSE(Inputs!$F$33,INDEX(Inputs!$J$208:$AR$208,1,(Time!R21-0)-2014),INDEX(Inputs!$J$210:$AR$210,1,(Time!R21-0)-2014),INDEX(Inputs!$J$212:$AR$212,1,(Time!R21-0)-2014))</f>
        <v/>
      </c>
      <c r="S13" s="11">
        <f>CHOOSE(Inputs!$F$33,INDEX(Inputs!$J$208:$AR$208,1,(Time!S21-0)-2014),INDEX(Inputs!$J$210:$AR$210,1,(Time!S21-0)-2014),INDEX(Inputs!$J$212:$AR$212,1,(Time!S21-0)-2014))</f>
        <v/>
      </c>
      <c r="T13" s="11">
        <f>CHOOSE(Inputs!$F$33,INDEX(Inputs!$J$208:$AR$208,1,(Time!T21-0)-2014),INDEX(Inputs!$J$210:$AR$210,1,(Time!T21-0)-2014),INDEX(Inputs!$J$212:$AR$212,1,(Time!T21-0)-2014))</f>
        <v/>
      </c>
      <c r="U13" s="11">
        <f>CHOOSE(Inputs!$F$33,INDEX(Inputs!$J$208:$AR$208,1,(Time!U21-0)-2014),INDEX(Inputs!$J$210:$AR$210,1,(Time!U21-0)-2014),INDEX(Inputs!$J$212:$AR$212,1,(Time!U21-0)-2014))</f>
        <v/>
      </c>
      <c r="V13" s="11">
        <f>CHOOSE(Inputs!$F$33,INDEX(Inputs!$J$208:$AR$208,1,(Time!V21-0)-2014),INDEX(Inputs!$J$210:$AR$210,1,(Time!V21-0)-2014),INDEX(Inputs!$J$212:$AR$212,1,(Time!V21-0)-2014))</f>
        <v/>
      </c>
      <c r="W13" s="11">
        <f>CHOOSE(Inputs!$F$33,INDEX(Inputs!$J$208:$AR$208,1,(Time!W21-0)-2014),INDEX(Inputs!$J$210:$AR$210,1,(Time!W21-0)-2014),INDEX(Inputs!$J$212:$AR$212,1,(Time!W21-0)-2014))</f>
        <v/>
      </c>
      <c r="X13" s="11">
        <f>CHOOSE(Inputs!$F$33,INDEX(Inputs!$J$208:$AR$208,1,(Time!X21-0)-2014),INDEX(Inputs!$J$210:$AR$210,1,(Time!X21-0)-2014),INDEX(Inputs!$J$212:$AR$212,1,(Time!X21-0)-2014))</f>
        <v/>
      </c>
      <c r="Y13" s="11">
        <f>CHOOSE(Inputs!$F$33,INDEX(Inputs!$J$208:$AR$208,1,(Time!Y21-0)-2014),INDEX(Inputs!$J$210:$AR$210,1,(Time!Y21-0)-2014),INDEX(Inputs!$J$212:$AR$212,1,(Time!Y21-0)-2014))</f>
        <v/>
      </c>
      <c r="Z13" s="11">
        <f>CHOOSE(Inputs!$F$33,INDEX(Inputs!$J$208:$AR$208,1,(Time!Z21-0)-2014),INDEX(Inputs!$J$210:$AR$210,1,(Time!Z21-0)-2014),INDEX(Inputs!$J$212:$AR$212,1,(Time!Z21-0)-2014))</f>
        <v/>
      </c>
      <c r="AA13" s="11">
        <f>CHOOSE(Inputs!$F$33,INDEX(Inputs!$J$208:$AR$208,1,(Time!AA21-0)-2014),INDEX(Inputs!$J$210:$AR$210,1,(Time!AA21-0)-2014),INDEX(Inputs!$J$212:$AR$212,1,(Time!AA21-0)-2014))</f>
        <v/>
      </c>
      <c r="AB13" s="11">
        <f>CHOOSE(Inputs!$F$33,INDEX(Inputs!$J$208:$AR$208,1,(Time!AB21-0)-2014),INDEX(Inputs!$J$210:$AR$210,1,(Time!AB21-0)-2014),INDEX(Inputs!$J$212:$AR$212,1,(Time!AB21-0)-2014))</f>
        <v/>
      </c>
      <c r="AC13" s="11">
        <f>CHOOSE(Inputs!$F$33,INDEX(Inputs!$J$208:$AR$208,1,(Time!AC21-0)-2014),INDEX(Inputs!$J$210:$AR$210,1,(Time!AC21-0)-2014),INDEX(Inputs!$J$212:$AR$212,1,(Time!AC21-0)-2014))</f>
        <v/>
      </c>
      <c r="AD13" s="11">
        <f>CHOOSE(Inputs!$F$33,INDEX(Inputs!$J$208:$AR$208,1,(Time!AD21-0)-2014),INDEX(Inputs!$J$210:$AR$210,1,(Time!AD21-0)-2014),INDEX(Inputs!$J$212:$AR$212,1,(Time!AD21-0)-2014))</f>
        <v/>
      </c>
      <c r="AE13" s="11">
        <f>CHOOSE(Inputs!$F$33,INDEX(Inputs!$J$208:$AR$208,1,(Time!AE21-0)-2014),INDEX(Inputs!$J$210:$AR$210,1,(Time!AE21-0)-2014),INDEX(Inputs!$J$212:$AR$212,1,(Time!AE21-0)-2014))</f>
        <v/>
      </c>
      <c r="AF13" s="11">
        <f>CHOOSE(Inputs!$F$33,INDEX(Inputs!$J$208:$AR$208,1,(Time!AF21-0)-2014),INDEX(Inputs!$J$210:$AR$210,1,(Time!AF21-0)-2014),INDEX(Inputs!$J$212:$AR$212,1,(Time!AF21-0)-2014))</f>
        <v/>
      </c>
      <c r="AG13" s="11">
        <f>CHOOSE(Inputs!$F$33,INDEX(Inputs!$J$208:$AR$208,1,(Time!AG21-0)-2014),INDEX(Inputs!$J$210:$AR$210,1,(Time!AG21-0)-2014),INDEX(Inputs!$J$212:$AR$212,1,(Time!AG21-0)-2014))</f>
        <v/>
      </c>
      <c r="AH13" s="11">
        <f>CHOOSE(Inputs!$F$33,INDEX(Inputs!$J$208:$AR$208,1,(Time!AH21-0)-2014),INDEX(Inputs!$J$210:$AR$210,1,(Time!AH21-0)-2014),INDEX(Inputs!$J$212:$AR$212,1,(Time!AH21-0)-2014))</f>
        <v/>
      </c>
      <c r="AI13" s="11">
        <f>CHOOSE(Inputs!$F$33,INDEX(Inputs!$J$208:$AR$208,1,(Time!AI21-0)-2014),INDEX(Inputs!$J$210:$AR$210,1,(Time!AI21-0)-2014),INDEX(Inputs!$J$212:$AR$212,1,(Time!AI21-0)-2014))</f>
        <v/>
      </c>
      <c r="AJ13" s="11">
        <f>CHOOSE(Inputs!$F$33,INDEX(Inputs!$J$208:$AR$208,1,(Time!AJ21-0)-2014),INDEX(Inputs!$J$210:$AR$210,1,(Time!AJ21-0)-2014),INDEX(Inputs!$J$212:$AR$212,1,(Time!AJ21-0)-2014))</f>
        <v/>
      </c>
      <c r="AK13" s="11">
        <f>CHOOSE(Inputs!$F$33,INDEX(Inputs!$J$208:$AR$208,1,(Time!AK21-0)-2014),INDEX(Inputs!$J$210:$AR$210,1,(Time!AK21-0)-2014),INDEX(Inputs!$J$212:$AR$212,1,(Time!AK21-0)-2014))</f>
        <v/>
      </c>
      <c r="AL13" s="11">
        <f>CHOOSE(Inputs!$F$33,INDEX(Inputs!$J$208:$AR$208,1,(Time!AL21-0)-2014),INDEX(Inputs!$J$210:$AR$210,1,(Time!AL21-0)-2014),INDEX(Inputs!$J$212:$AR$212,1,(Time!AL21-0)-2014))</f>
        <v/>
      </c>
      <c r="AM13" s="11">
        <f>CHOOSE(Inputs!$F$33,INDEX(Inputs!$J$208:$AR$208,1,(Time!AM21-0)-2014),INDEX(Inputs!$J$210:$AR$210,1,(Time!AM21-0)-2014),INDEX(Inputs!$J$212:$AR$212,1,(Time!AM21-0)-2014))</f>
        <v/>
      </c>
      <c r="AN13" s="11">
        <f>CHOOSE(Inputs!$F$33,INDEX(Inputs!$J$208:$AR$208,1,(Time!AN21-0)-2014),INDEX(Inputs!$J$210:$AR$210,1,(Time!AN21-0)-2014),INDEX(Inputs!$J$212:$AR$212,1,(Time!AN21-0)-2014))</f>
        <v/>
      </c>
      <c r="AO13" s="11">
        <f>CHOOSE(Inputs!$F$33,INDEX(Inputs!$J$208:$AR$208,1,(Time!AO21-0)-2014),INDEX(Inputs!$J$210:$AR$210,1,(Time!AO21-0)-2014),INDEX(Inputs!$J$212:$AR$212,1,(Time!AO21-0)-2014))</f>
        <v/>
      </c>
      <c r="AP13" s="11">
        <f>CHOOSE(Inputs!$F$33,INDEX(Inputs!$J$208:$AR$208,1,(Time!AP21-0)-2014),INDEX(Inputs!$J$210:$AR$210,1,(Time!AP21-0)-2014),INDEX(Inputs!$J$212:$AR$212,1,(Time!AP21-0)-2014))</f>
        <v/>
      </c>
      <c r="AQ13" s="11">
        <f>CHOOSE(Inputs!$F$33,INDEX(Inputs!$J$208:$AR$208,1,(Time!AQ21-0)-2014),INDEX(Inputs!$J$210:$AR$210,1,(Time!AQ21-0)-2014),INDEX(Inputs!$J$212:$AR$212,1,(Time!AQ21-0)-2014))</f>
        <v/>
      </c>
      <c r="AR13" s="11">
        <f>CHOOSE(Inputs!$F$33,INDEX(Inputs!$J$208:$AR$208,1,(Time!AR21-0)-2014),INDEX(Inputs!$J$210:$AR$210,1,(Time!AR21-0)-2014),INDEX(Inputs!$J$212:$AR$212,1,(Time!AR21-0)-2014))</f>
        <v/>
      </c>
      <c r="AS13" s="11">
        <f>CHOOSE(Inputs!$F$33,INDEX(Inputs!$J$208:$AR$208,1,(Time!AS21-0)-2014),INDEX(Inputs!$J$210:$AR$210,1,(Time!AS21-0)-2014),INDEX(Inputs!$J$212:$AR$212,1,(Time!AS21-0)-2014))</f>
        <v/>
      </c>
      <c r="AT13" s="11">
        <f>CHOOSE(Inputs!$F$33,INDEX(Inputs!$J$208:$AR$208,1,(Time!AT21-0)-2014),INDEX(Inputs!$J$210:$AR$210,1,(Time!AT21-0)-2014),INDEX(Inputs!$J$212:$AR$212,1,(Time!AT21-0)-2014))</f>
        <v/>
      </c>
      <c r="AU13" s="11">
        <f>CHOOSE(Inputs!$F$33,INDEX(Inputs!$J$208:$AR$208,1,(Time!AU21-0)-2014),INDEX(Inputs!$J$210:$AR$210,1,(Time!AU21-0)-2014),INDEX(Inputs!$J$212:$AR$212,1,(Time!AU21-0)-2014))</f>
        <v/>
      </c>
      <c r="AV13" s="11">
        <f>CHOOSE(Inputs!$F$33,INDEX(Inputs!$J$208:$AR$208,1,(Time!AV21-0)-2014),INDEX(Inputs!$J$210:$AR$210,1,(Time!AV21-0)-2014),INDEX(Inputs!$J$212:$AR$212,1,(Time!AV21-0)-2014))</f>
        <v/>
      </c>
      <c r="AW13" s="11">
        <f>CHOOSE(Inputs!$F$33,INDEX(Inputs!$J$208:$AR$208,1,(Time!AW21-0)-2014),INDEX(Inputs!$J$210:$AR$210,1,(Time!AW21-0)-2014),INDEX(Inputs!$J$212:$AR$212,1,(Time!AW21-0)-2014))</f>
        <v/>
      </c>
      <c r="AX13" s="11">
        <f>CHOOSE(Inputs!$F$33,INDEX(Inputs!$J$208:$AR$208,1,(Time!AX21-0)-2014),INDEX(Inputs!$J$210:$AR$210,1,(Time!AX21-0)-2014),INDEX(Inputs!$J$212:$AR$212,1,(Time!AX21-0)-2014))</f>
        <v/>
      </c>
      <c r="AY13" s="11">
        <f>CHOOSE(Inputs!$F$33,INDEX(Inputs!$J$208:$AR$208,1,(Time!AY21-0)-2014),INDEX(Inputs!$J$210:$AR$210,1,(Time!AY21-0)-2014),INDEX(Inputs!$J$212:$AR$212,1,(Time!AY21-0)-2014))</f>
        <v/>
      </c>
      <c r="AZ13" s="11">
        <f>CHOOSE(Inputs!$F$33,INDEX(Inputs!$J$208:$AR$208,1,(Time!AZ21-0)-2014),INDEX(Inputs!$J$210:$AR$210,1,(Time!AZ21-0)-2014),INDEX(Inputs!$J$212:$AR$212,1,(Time!AZ21-0)-2014))</f>
        <v/>
      </c>
      <c r="BA13" s="11">
        <f>CHOOSE(Inputs!$F$33,INDEX(Inputs!$J$208:$AR$208,1,(Time!BA21-0)-2014),INDEX(Inputs!$J$210:$AR$210,1,(Time!BA21-0)-2014),INDEX(Inputs!$J$212:$AR$212,1,(Time!BA21-0)-2014))</f>
        <v/>
      </c>
      <c r="BB13" s="11">
        <f>CHOOSE(Inputs!$F$33,INDEX(Inputs!$J$208:$AR$208,1,(Time!BB21-0)-2014),INDEX(Inputs!$J$210:$AR$210,1,(Time!BB21-0)-2014),INDEX(Inputs!$J$212:$AR$212,1,(Time!BB21-0)-2014))</f>
        <v/>
      </c>
      <c r="BC13" s="11">
        <f>CHOOSE(Inputs!$F$33,INDEX(Inputs!$J$208:$AR$208,1,(Time!BC21-0)-2014),INDEX(Inputs!$J$210:$AR$210,1,(Time!BC21-0)-2014),INDEX(Inputs!$J$212:$AR$212,1,(Time!BC21-0)-2014))</f>
        <v/>
      </c>
      <c r="BD13" s="11">
        <f>CHOOSE(Inputs!$F$33,INDEX(Inputs!$J$208:$AR$208,1,(Time!BD21-0)-2014),INDEX(Inputs!$J$210:$AR$210,1,(Time!BD21-0)-2014),INDEX(Inputs!$J$212:$AR$212,1,(Time!BD21-0)-2014))</f>
        <v/>
      </c>
      <c r="BE13" s="11">
        <f>CHOOSE(Inputs!$F$33,INDEX(Inputs!$J$208:$AR$208,1,(Time!BE21-0)-2014),INDEX(Inputs!$J$210:$AR$210,1,(Time!BE21-0)-2014),INDEX(Inputs!$J$212:$AR$212,1,(Time!BE21-0)-2014))</f>
        <v/>
      </c>
      <c r="BF13" s="11">
        <f>CHOOSE(Inputs!$F$33,INDEX(Inputs!$J$208:$AR$208,1,(Time!BF21-0)-2014),INDEX(Inputs!$J$210:$AR$210,1,(Time!BF21-0)-2014),INDEX(Inputs!$J$212:$AR$212,1,(Time!BF21-0)-2014))</f>
        <v/>
      </c>
      <c r="BG13" s="11">
        <f>CHOOSE(Inputs!$F$33,INDEX(Inputs!$J$208:$AR$208,1,(Time!BG21-0)-2014),INDEX(Inputs!$J$210:$AR$210,1,(Time!BG21-0)-2014),INDEX(Inputs!$J$212:$AR$212,1,(Time!BG21-0)-2014))</f>
        <v/>
      </c>
      <c r="BH13" s="11">
        <f>CHOOSE(Inputs!$F$33,INDEX(Inputs!$J$208:$AR$208,1,(Time!BH21-0)-2014),INDEX(Inputs!$J$210:$AR$210,1,(Time!BH21-0)-2014),INDEX(Inputs!$J$212:$AR$212,1,(Time!BH21-0)-2014))</f>
        <v/>
      </c>
      <c r="BI13" s="11">
        <f>CHOOSE(Inputs!$F$33,INDEX(Inputs!$J$208:$AR$208,1,(Time!BI21-0)-2014),INDEX(Inputs!$J$210:$AR$210,1,(Time!BI21-0)-2014),INDEX(Inputs!$J$212:$AR$212,1,(Time!BI21-0)-2014))</f>
        <v/>
      </c>
      <c r="BJ13" s="11">
        <f>CHOOSE(Inputs!$F$33,INDEX(Inputs!$J$208:$AR$208,1,(Time!BJ21-0)-2014),INDEX(Inputs!$J$210:$AR$210,1,(Time!BJ21-0)-2014),INDEX(Inputs!$J$212:$AR$212,1,(Time!BJ21-0)-2014))</f>
        <v/>
      </c>
      <c r="BK13" s="11">
        <f>CHOOSE(Inputs!$F$33,INDEX(Inputs!$J$208:$AR$208,1,(Time!BK21-0)-2014),INDEX(Inputs!$J$210:$AR$210,1,(Time!BK21-0)-2014),INDEX(Inputs!$J$212:$AR$212,1,(Time!BK21-0)-2014))</f>
        <v/>
      </c>
      <c r="BL13" s="11">
        <f>CHOOSE(Inputs!$F$33,INDEX(Inputs!$J$208:$AR$208,1,(Time!BL21-0)-2014),INDEX(Inputs!$J$210:$AR$210,1,(Time!BL21-0)-2014),INDEX(Inputs!$J$212:$AR$212,1,(Time!BL21-0)-2014))</f>
        <v/>
      </c>
      <c r="BM13" s="11">
        <f>CHOOSE(Inputs!$F$33,INDEX(Inputs!$J$208:$AR$208,1,(Time!BM21-0)-2014),INDEX(Inputs!$J$210:$AR$210,1,(Time!BM21-0)-2014),INDEX(Inputs!$J$212:$AR$212,1,(Time!BM21-0)-2014))</f>
        <v/>
      </c>
      <c r="BN13" s="11">
        <f>CHOOSE(Inputs!$F$33,INDEX(Inputs!$J$208:$AR$208,1,(Time!BN21-0)-2014),INDEX(Inputs!$J$210:$AR$210,1,(Time!BN21-0)-2014),INDEX(Inputs!$J$212:$AR$212,1,(Time!BN21-0)-2014))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CHOOSE(Inputs!$F$33,INDEX(Inputs!$J$207:$AR$207,1,(Time!J21-1)-2014),INDEX(Inputs!$J$209:$AR$209,1,(Time!J21-1)-2014),INDEX(Inputs!$J$211:$AR$211,1,(Time!J21-1)-2014))</f>
        <v/>
      </c>
      <c r="K14" s="11">
        <f>CHOOSE(Inputs!$F$33,INDEX(Inputs!$J$207:$AR$207,1,(Time!K21-1)-2014),INDEX(Inputs!$J$209:$AR$209,1,(Time!K21-1)-2014),INDEX(Inputs!$J$211:$AR$211,1,(Time!K21-1)-2014))</f>
        <v/>
      </c>
      <c r="L14" s="11">
        <f>CHOOSE(Inputs!$F$33,INDEX(Inputs!$J$207:$AR$207,1,(Time!L21-1)-2014),INDEX(Inputs!$J$209:$AR$209,1,(Time!L21-1)-2014),INDEX(Inputs!$J$211:$AR$211,1,(Time!L21-1)-2014))</f>
        <v/>
      </c>
      <c r="M14" s="11">
        <f>CHOOSE(Inputs!$F$33,INDEX(Inputs!$J$207:$AR$207,1,(Time!M21-1)-2014),INDEX(Inputs!$J$209:$AR$209,1,(Time!M21-1)-2014),INDEX(Inputs!$J$211:$AR$211,1,(Time!M21-1)-2014))</f>
        <v/>
      </c>
      <c r="N14" s="11">
        <f>CHOOSE(Inputs!$F$33,INDEX(Inputs!$J$207:$AR$207,1,(Time!N21-1)-2014),INDEX(Inputs!$J$209:$AR$209,1,(Time!N21-1)-2014),INDEX(Inputs!$J$211:$AR$211,1,(Time!N21-1)-2014))</f>
        <v/>
      </c>
      <c r="O14" s="11">
        <f>CHOOSE(Inputs!$F$33,INDEX(Inputs!$J$207:$AR$207,1,(Time!O21-1)-2014),INDEX(Inputs!$J$209:$AR$209,1,(Time!O21-1)-2014),INDEX(Inputs!$J$211:$AR$211,1,(Time!O21-1)-2014))</f>
        <v/>
      </c>
      <c r="P14" s="11">
        <f>CHOOSE(Inputs!$F$33,INDEX(Inputs!$J$207:$AR$207,1,(Time!P21-1)-2014),INDEX(Inputs!$J$209:$AR$209,1,(Time!P21-1)-2014),INDEX(Inputs!$J$211:$AR$211,1,(Time!P21-1)-2014))</f>
        <v/>
      </c>
      <c r="Q14" s="11">
        <f>CHOOSE(Inputs!$F$33,INDEX(Inputs!$J$207:$AR$207,1,(Time!Q21-1)-2014),INDEX(Inputs!$J$209:$AR$209,1,(Time!Q21-1)-2014),INDEX(Inputs!$J$211:$AR$211,1,(Time!Q21-1)-2014))</f>
        <v/>
      </c>
      <c r="R14" s="11">
        <f>CHOOSE(Inputs!$F$33,INDEX(Inputs!$J$207:$AR$207,1,(Time!R21-1)-2014),INDEX(Inputs!$J$209:$AR$209,1,(Time!R21-1)-2014),INDEX(Inputs!$J$211:$AR$211,1,(Time!R21-1)-2014))</f>
        <v/>
      </c>
      <c r="S14" s="11">
        <f>CHOOSE(Inputs!$F$33,INDEX(Inputs!$J$207:$AR$207,1,(Time!S21-1)-2014),INDEX(Inputs!$J$209:$AR$209,1,(Time!S21-1)-2014),INDEX(Inputs!$J$211:$AR$211,1,(Time!S21-1)-2014))</f>
        <v/>
      </c>
      <c r="T14" s="11">
        <f>CHOOSE(Inputs!$F$33,INDEX(Inputs!$J$207:$AR$207,1,(Time!T21-1)-2014),INDEX(Inputs!$J$209:$AR$209,1,(Time!T21-1)-2014),INDEX(Inputs!$J$211:$AR$211,1,(Time!T21-1)-2014))</f>
        <v/>
      </c>
      <c r="U14" s="11">
        <f>CHOOSE(Inputs!$F$33,INDEX(Inputs!$J$207:$AR$207,1,(Time!U21-1)-2014),INDEX(Inputs!$J$209:$AR$209,1,(Time!U21-1)-2014),INDEX(Inputs!$J$211:$AR$211,1,(Time!U21-1)-2014))</f>
        <v/>
      </c>
      <c r="V14" s="11">
        <f>CHOOSE(Inputs!$F$33,INDEX(Inputs!$J$207:$AR$207,1,(Time!V21-1)-2014),INDEX(Inputs!$J$209:$AR$209,1,(Time!V21-1)-2014),INDEX(Inputs!$J$211:$AR$211,1,(Time!V21-1)-2014))</f>
        <v/>
      </c>
      <c r="W14" s="11">
        <f>CHOOSE(Inputs!$F$33,INDEX(Inputs!$J$207:$AR$207,1,(Time!W21-1)-2014),INDEX(Inputs!$J$209:$AR$209,1,(Time!W21-1)-2014),INDEX(Inputs!$J$211:$AR$211,1,(Time!W21-1)-2014))</f>
        <v/>
      </c>
      <c r="X14" s="11">
        <f>CHOOSE(Inputs!$F$33,INDEX(Inputs!$J$207:$AR$207,1,(Time!X21-1)-2014),INDEX(Inputs!$J$209:$AR$209,1,(Time!X21-1)-2014),INDEX(Inputs!$J$211:$AR$211,1,(Time!X21-1)-2014))</f>
        <v/>
      </c>
      <c r="Y14" s="11">
        <f>CHOOSE(Inputs!$F$33,INDEX(Inputs!$J$207:$AR$207,1,(Time!Y21-1)-2014),INDEX(Inputs!$J$209:$AR$209,1,(Time!Y21-1)-2014),INDEX(Inputs!$J$211:$AR$211,1,(Time!Y21-1)-2014))</f>
        <v/>
      </c>
      <c r="Z14" s="11">
        <f>CHOOSE(Inputs!$F$33,INDEX(Inputs!$J$207:$AR$207,1,(Time!Z21-1)-2014),INDEX(Inputs!$J$209:$AR$209,1,(Time!Z21-1)-2014),INDEX(Inputs!$J$211:$AR$211,1,(Time!Z21-1)-2014))</f>
        <v/>
      </c>
      <c r="AA14" s="11">
        <f>CHOOSE(Inputs!$F$33,INDEX(Inputs!$J$207:$AR$207,1,(Time!AA21-1)-2014),INDEX(Inputs!$J$209:$AR$209,1,(Time!AA21-1)-2014),INDEX(Inputs!$J$211:$AR$211,1,(Time!AA21-1)-2014))</f>
        <v/>
      </c>
      <c r="AB14" s="11">
        <f>CHOOSE(Inputs!$F$33,INDEX(Inputs!$J$207:$AR$207,1,(Time!AB21-1)-2014),INDEX(Inputs!$J$209:$AR$209,1,(Time!AB21-1)-2014),INDEX(Inputs!$J$211:$AR$211,1,(Time!AB21-1)-2014))</f>
        <v/>
      </c>
      <c r="AC14" s="11">
        <f>CHOOSE(Inputs!$F$33,INDEX(Inputs!$J$207:$AR$207,1,(Time!AC21-1)-2014),INDEX(Inputs!$J$209:$AR$209,1,(Time!AC21-1)-2014),INDEX(Inputs!$J$211:$AR$211,1,(Time!AC21-1)-2014))</f>
        <v/>
      </c>
      <c r="AD14" s="11">
        <f>CHOOSE(Inputs!$F$33,INDEX(Inputs!$J$207:$AR$207,1,(Time!AD21-1)-2014),INDEX(Inputs!$J$209:$AR$209,1,(Time!AD21-1)-2014),INDEX(Inputs!$J$211:$AR$211,1,(Time!AD21-1)-2014))</f>
        <v/>
      </c>
      <c r="AE14" s="11">
        <f>CHOOSE(Inputs!$F$33,INDEX(Inputs!$J$207:$AR$207,1,(Time!AE21-1)-2014),INDEX(Inputs!$J$209:$AR$209,1,(Time!AE21-1)-2014),INDEX(Inputs!$J$211:$AR$211,1,(Time!AE21-1)-2014))</f>
        <v/>
      </c>
      <c r="AF14" s="11">
        <f>CHOOSE(Inputs!$F$33,INDEX(Inputs!$J$207:$AR$207,1,(Time!AF21-1)-2014),INDEX(Inputs!$J$209:$AR$209,1,(Time!AF21-1)-2014),INDEX(Inputs!$J$211:$AR$211,1,(Time!AF21-1)-2014))</f>
        <v/>
      </c>
      <c r="AG14" s="11">
        <f>CHOOSE(Inputs!$F$33,INDEX(Inputs!$J$207:$AR$207,1,(Time!AG21-1)-2014),INDEX(Inputs!$J$209:$AR$209,1,(Time!AG21-1)-2014),INDEX(Inputs!$J$211:$AR$211,1,(Time!AG21-1)-2014))</f>
        <v/>
      </c>
      <c r="AH14" s="11">
        <f>CHOOSE(Inputs!$F$33,INDEX(Inputs!$J$207:$AR$207,1,(Time!AH21-1)-2014),INDEX(Inputs!$J$209:$AR$209,1,(Time!AH21-1)-2014),INDEX(Inputs!$J$211:$AR$211,1,(Time!AH21-1)-2014))</f>
        <v/>
      </c>
      <c r="AI14" s="11">
        <f>CHOOSE(Inputs!$F$33,INDEX(Inputs!$J$207:$AR$207,1,(Time!AI21-1)-2014),INDEX(Inputs!$J$209:$AR$209,1,(Time!AI21-1)-2014),INDEX(Inputs!$J$211:$AR$211,1,(Time!AI21-1)-2014))</f>
        <v/>
      </c>
      <c r="AJ14" s="11">
        <f>CHOOSE(Inputs!$F$33,INDEX(Inputs!$J$207:$AR$207,1,(Time!AJ21-1)-2014),INDEX(Inputs!$J$209:$AR$209,1,(Time!AJ21-1)-2014),INDEX(Inputs!$J$211:$AR$211,1,(Time!AJ21-1)-2014))</f>
        <v/>
      </c>
      <c r="AK14" s="11">
        <f>CHOOSE(Inputs!$F$33,INDEX(Inputs!$J$207:$AR$207,1,(Time!AK21-1)-2014),INDEX(Inputs!$J$209:$AR$209,1,(Time!AK21-1)-2014),INDEX(Inputs!$J$211:$AR$211,1,(Time!AK21-1)-2014))</f>
        <v/>
      </c>
      <c r="AL14" s="11">
        <f>CHOOSE(Inputs!$F$33,INDEX(Inputs!$J$207:$AR$207,1,(Time!AL21-1)-2014),INDEX(Inputs!$J$209:$AR$209,1,(Time!AL21-1)-2014),INDEX(Inputs!$J$211:$AR$211,1,(Time!AL21-1)-2014))</f>
        <v/>
      </c>
      <c r="AM14" s="11">
        <f>CHOOSE(Inputs!$F$33,INDEX(Inputs!$J$207:$AR$207,1,(Time!AM21-1)-2014),INDEX(Inputs!$J$209:$AR$209,1,(Time!AM21-1)-2014),INDEX(Inputs!$J$211:$AR$211,1,(Time!AM21-1)-2014))</f>
        <v/>
      </c>
      <c r="AN14" s="11">
        <f>CHOOSE(Inputs!$F$33,INDEX(Inputs!$J$207:$AR$207,1,(Time!AN21-1)-2014),INDEX(Inputs!$J$209:$AR$209,1,(Time!AN21-1)-2014),INDEX(Inputs!$J$211:$AR$211,1,(Time!AN21-1)-2014))</f>
        <v/>
      </c>
      <c r="AO14" s="11">
        <f>CHOOSE(Inputs!$F$33,INDEX(Inputs!$J$207:$AR$207,1,(Time!AO21-1)-2014),INDEX(Inputs!$J$209:$AR$209,1,(Time!AO21-1)-2014),INDEX(Inputs!$J$211:$AR$211,1,(Time!AO21-1)-2014))</f>
        <v/>
      </c>
      <c r="AP14" s="11">
        <f>CHOOSE(Inputs!$F$33,INDEX(Inputs!$J$207:$AR$207,1,(Time!AP21-1)-2014),INDEX(Inputs!$J$209:$AR$209,1,(Time!AP21-1)-2014),INDEX(Inputs!$J$211:$AR$211,1,(Time!AP21-1)-2014))</f>
        <v/>
      </c>
      <c r="AQ14" s="11">
        <f>CHOOSE(Inputs!$F$33,INDEX(Inputs!$J$207:$AR$207,1,(Time!AQ21-1)-2014),INDEX(Inputs!$J$209:$AR$209,1,(Time!AQ21-1)-2014),INDEX(Inputs!$J$211:$AR$211,1,(Time!AQ21-1)-2014))</f>
        <v/>
      </c>
      <c r="AR14" s="11">
        <f>CHOOSE(Inputs!$F$33,INDEX(Inputs!$J$207:$AR$207,1,(Time!AR21-1)-2014),INDEX(Inputs!$J$209:$AR$209,1,(Time!AR21-1)-2014),INDEX(Inputs!$J$211:$AR$211,1,(Time!AR21-1)-2014))</f>
        <v/>
      </c>
      <c r="AS14" s="11">
        <f>CHOOSE(Inputs!$F$33,INDEX(Inputs!$J$207:$AR$207,1,(Time!AS21-1)-2014),INDEX(Inputs!$J$209:$AR$209,1,(Time!AS21-1)-2014),INDEX(Inputs!$J$211:$AR$211,1,(Time!AS21-1)-2014))</f>
        <v/>
      </c>
      <c r="AT14" s="11">
        <f>CHOOSE(Inputs!$F$33,INDEX(Inputs!$J$207:$AR$207,1,(Time!AT21-1)-2014),INDEX(Inputs!$J$209:$AR$209,1,(Time!AT21-1)-2014),INDEX(Inputs!$J$211:$AR$211,1,(Time!AT21-1)-2014))</f>
        <v/>
      </c>
      <c r="AU14" s="11">
        <f>CHOOSE(Inputs!$F$33,INDEX(Inputs!$J$207:$AR$207,1,(Time!AU21-1)-2014),INDEX(Inputs!$J$209:$AR$209,1,(Time!AU21-1)-2014),INDEX(Inputs!$J$211:$AR$211,1,(Time!AU21-1)-2014))</f>
        <v/>
      </c>
      <c r="AV14" s="11">
        <f>CHOOSE(Inputs!$F$33,INDEX(Inputs!$J$207:$AR$207,1,(Time!AV21-1)-2014),INDEX(Inputs!$J$209:$AR$209,1,(Time!AV21-1)-2014),INDEX(Inputs!$J$211:$AR$211,1,(Time!AV21-1)-2014))</f>
        <v/>
      </c>
      <c r="AW14" s="11">
        <f>CHOOSE(Inputs!$F$33,INDEX(Inputs!$J$207:$AR$207,1,(Time!AW21-1)-2014),INDEX(Inputs!$J$209:$AR$209,1,(Time!AW21-1)-2014),INDEX(Inputs!$J$211:$AR$211,1,(Time!AW21-1)-2014))</f>
        <v/>
      </c>
      <c r="AX14" s="11">
        <f>CHOOSE(Inputs!$F$33,INDEX(Inputs!$J$207:$AR$207,1,(Time!AX21-1)-2014),INDEX(Inputs!$J$209:$AR$209,1,(Time!AX21-1)-2014),INDEX(Inputs!$J$211:$AR$211,1,(Time!AX21-1)-2014))</f>
        <v/>
      </c>
      <c r="AY14" s="11">
        <f>CHOOSE(Inputs!$F$33,INDEX(Inputs!$J$207:$AR$207,1,(Time!AY21-1)-2014),INDEX(Inputs!$J$209:$AR$209,1,(Time!AY21-1)-2014),INDEX(Inputs!$J$211:$AR$211,1,(Time!AY21-1)-2014))</f>
        <v/>
      </c>
      <c r="AZ14" s="11">
        <f>CHOOSE(Inputs!$F$33,INDEX(Inputs!$J$207:$AR$207,1,(Time!AZ21-1)-2014),INDEX(Inputs!$J$209:$AR$209,1,(Time!AZ21-1)-2014),INDEX(Inputs!$J$211:$AR$211,1,(Time!AZ21-1)-2014))</f>
        <v/>
      </c>
      <c r="BA14" s="11">
        <f>CHOOSE(Inputs!$F$33,INDEX(Inputs!$J$207:$AR$207,1,(Time!BA21-1)-2014),INDEX(Inputs!$J$209:$AR$209,1,(Time!BA21-1)-2014),INDEX(Inputs!$J$211:$AR$211,1,(Time!BA21-1)-2014))</f>
        <v/>
      </c>
      <c r="BB14" s="11">
        <f>CHOOSE(Inputs!$F$33,INDEX(Inputs!$J$207:$AR$207,1,(Time!BB21-1)-2014),INDEX(Inputs!$J$209:$AR$209,1,(Time!BB21-1)-2014),INDEX(Inputs!$J$211:$AR$211,1,(Time!BB21-1)-2014))</f>
        <v/>
      </c>
      <c r="BC14" s="11">
        <f>CHOOSE(Inputs!$F$33,INDEX(Inputs!$J$207:$AR$207,1,(Time!BC21-1)-2014),INDEX(Inputs!$J$209:$AR$209,1,(Time!BC21-1)-2014),INDEX(Inputs!$J$211:$AR$211,1,(Time!BC21-1)-2014))</f>
        <v/>
      </c>
      <c r="BD14" s="11">
        <f>CHOOSE(Inputs!$F$33,INDEX(Inputs!$J$207:$AR$207,1,(Time!BD21-1)-2014),INDEX(Inputs!$J$209:$AR$209,1,(Time!BD21-1)-2014),INDEX(Inputs!$J$211:$AR$211,1,(Time!BD21-1)-2014))</f>
        <v/>
      </c>
      <c r="BE14" s="11">
        <f>CHOOSE(Inputs!$F$33,INDEX(Inputs!$J$207:$AR$207,1,(Time!BE21-1)-2014),INDEX(Inputs!$J$209:$AR$209,1,(Time!BE21-1)-2014),INDEX(Inputs!$J$211:$AR$211,1,(Time!BE21-1)-2014))</f>
        <v/>
      </c>
      <c r="BF14" s="11">
        <f>CHOOSE(Inputs!$F$33,INDEX(Inputs!$J$207:$AR$207,1,(Time!BF21-1)-2014),INDEX(Inputs!$J$209:$AR$209,1,(Time!BF21-1)-2014),INDEX(Inputs!$J$211:$AR$211,1,(Time!BF21-1)-2014))</f>
        <v/>
      </c>
      <c r="BG14" s="11">
        <f>CHOOSE(Inputs!$F$33,INDEX(Inputs!$J$207:$AR$207,1,(Time!BG21-1)-2014),INDEX(Inputs!$J$209:$AR$209,1,(Time!BG21-1)-2014),INDEX(Inputs!$J$211:$AR$211,1,(Time!BG21-1)-2014))</f>
        <v/>
      </c>
      <c r="BH14" s="11">
        <f>CHOOSE(Inputs!$F$33,INDEX(Inputs!$J$207:$AR$207,1,(Time!BH21-1)-2014),INDEX(Inputs!$J$209:$AR$209,1,(Time!BH21-1)-2014),INDEX(Inputs!$J$211:$AR$211,1,(Time!BH21-1)-2014))</f>
        <v/>
      </c>
      <c r="BI14" s="11">
        <f>CHOOSE(Inputs!$F$33,INDEX(Inputs!$J$207:$AR$207,1,(Time!BI21-1)-2014),INDEX(Inputs!$J$209:$AR$209,1,(Time!BI21-1)-2014),INDEX(Inputs!$J$211:$AR$211,1,(Time!BI21-1)-2014))</f>
        <v/>
      </c>
      <c r="BJ14" s="11">
        <f>CHOOSE(Inputs!$F$33,INDEX(Inputs!$J$207:$AR$207,1,(Time!BJ21-1)-2014),INDEX(Inputs!$J$209:$AR$209,1,(Time!BJ21-1)-2014),INDEX(Inputs!$J$211:$AR$211,1,(Time!BJ21-1)-2014))</f>
        <v/>
      </c>
      <c r="BK14" s="11">
        <f>CHOOSE(Inputs!$F$33,INDEX(Inputs!$J$207:$AR$207,1,(Time!BK21-1)-2014),INDEX(Inputs!$J$209:$AR$209,1,(Time!BK21-1)-2014),INDEX(Inputs!$J$211:$AR$211,1,(Time!BK21-1)-2014))</f>
        <v/>
      </c>
      <c r="BL14" s="11">
        <f>CHOOSE(Inputs!$F$33,INDEX(Inputs!$J$207:$AR$207,1,(Time!BL21-1)-2014),INDEX(Inputs!$J$209:$AR$209,1,(Time!BL21-1)-2014),INDEX(Inputs!$J$211:$AR$211,1,(Time!BL21-1)-2014))</f>
        <v/>
      </c>
      <c r="BM14" s="11">
        <f>CHOOSE(Inputs!$F$33,INDEX(Inputs!$J$207:$AR$207,1,(Time!BM21-1)-2014),INDEX(Inputs!$J$209:$AR$209,1,(Time!BM21-1)-2014),INDEX(Inputs!$J$211:$AR$211,1,(Time!BM21-1)-2014))</f>
        <v/>
      </c>
      <c r="BN14" s="11">
        <f>CHOOSE(Inputs!$F$33,INDEX(Inputs!$J$207:$AR$207,1,(Time!BN21-1)-2014),INDEX(Inputs!$J$209:$AR$209,1,(Time!BN21-1)-2014),INDEX(Inputs!$J$211:$AR$211,1,(Time!BN21-1)-2014))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CHOOSE(Inputs!$F$33,INDEX(Inputs!$J$208:$AR$208,1,(Time!J21-1)-2014),INDEX(Inputs!$J$210:$AR$210,1,(Time!J21-1)-2014),INDEX(Inputs!$J$212:$AR$212,1,(Time!J21-1)-2014))</f>
        <v/>
      </c>
      <c r="K15" s="11">
        <f>CHOOSE(Inputs!$F$33,INDEX(Inputs!$J$208:$AR$208,1,(Time!K21-1)-2014),INDEX(Inputs!$J$210:$AR$210,1,(Time!K21-1)-2014),INDEX(Inputs!$J$212:$AR$212,1,(Time!K21-1)-2014))</f>
        <v/>
      </c>
      <c r="L15" s="11">
        <f>CHOOSE(Inputs!$F$33,INDEX(Inputs!$J$208:$AR$208,1,(Time!L21-1)-2014),INDEX(Inputs!$J$210:$AR$210,1,(Time!L21-1)-2014),INDEX(Inputs!$J$212:$AR$212,1,(Time!L21-1)-2014))</f>
        <v/>
      </c>
      <c r="M15" s="11">
        <f>CHOOSE(Inputs!$F$33,INDEX(Inputs!$J$208:$AR$208,1,(Time!M21-1)-2014),INDEX(Inputs!$J$210:$AR$210,1,(Time!M21-1)-2014),INDEX(Inputs!$J$212:$AR$212,1,(Time!M21-1)-2014))</f>
        <v/>
      </c>
      <c r="N15" s="11">
        <f>CHOOSE(Inputs!$F$33,INDEX(Inputs!$J$208:$AR$208,1,(Time!N21-1)-2014),INDEX(Inputs!$J$210:$AR$210,1,(Time!N21-1)-2014),INDEX(Inputs!$J$212:$AR$212,1,(Time!N21-1)-2014))</f>
        <v/>
      </c>
      <c r="O15" s="11">
        <f>CHOOSE(Inputs!$F$33,INDEX(Inputs!$J$208:$AR$208,1,(Time!O21-1)-2014),INDEX(Inputs!$J$210:$AR$210,1,(Time!O21-1)-2014),INDEX(Inputs!$J$212:$AR$212,1,(Time!O21-1)-2014))</f>
        <v/>
      </c>
      <c r="P15" s="11">
        <f>CHOOSE(Inputs!$F$33,INDEX(Inputs!$J$208:$AR$208,1,(Time!P21-1)-2014),INDEX(Inputs!$J$210:$AR$210,1,(Time!P21-1)-2014),INDEX(Inputs!$J$212:$AR$212,1,(Time!P21-1)-2014))</f>
        <v/>
      </c>
      <c r="Q15" s="11">
        <f>CHOOSE(Inputs!$F$33,INDEX(Inputs!$J$208:$AR$208,1,(Time!Q21-1)-2014),INDEX(Inputs!$J$210:$AR$210,1,(Time!Q21-1)-2014),INDEX(Inputs!$J$212:$AR$212,1,(Time!Q21-1)-2014))</f>
        <v/>
      </c>
      <c r="R15" s="11">
        <f>CHOOSE(Inputs!$F$33,INDEX(Inputs!$J$208:$AR$208,1,(Time!R21-1)-2014),INDEX(Inputs!$J$210:$AR$210,1,(Time!R21-1)-2014),INDEX(Inputs!$J$212:$AR$212,1,(Time!R21-1)-2014))</f>
        <v/>
      </c>
      <c r="S15" s="11">
        <f>CHOOSE(Inputs!$F$33,INDEX(Inputs!$J$208:$AR$208,1,(Time!S21-1)-2014),INDEX(Inputs!$J$210:$AR$210,1,(Time!S21-1)-2014),INDEX(Inputs!$J$212:$AR$212,1,(Time!S21-1)-2014))</f>
        <v/>
      </c>
      <c r="T15" s="11">
        <f>CHOOSE(Inputs!$F$33,INDEX(Inputs!$J$208:$AR$208,1,(Time!T21-1)-2014),INDEX(Inputs!$J$210:$AR$210,1,(Time!T21-1)-2014),INDEX(Inputs!$J$212:$AR$212,1,(Time!T21-1)-2014))</f>
        <v/>
      </c>
      <c r="U15" s="11">
        <f>CHOOSE(Inputs!$F$33,INDEX(Inputs!$J$208:$AR$208,1,(Time!U21-1)-2014),INDEX(Inputs!$J$210:$AR$210,1,(Time!U21-1)-2014),INDEX(Inputs!$J$212:$AR$212,1,(Time!U21-1)-2014))</f>
        <v/>
      </c>
      <c r="V15" s="11">
        <f>CHOOSE(Inputs!$F$33,INDEX(Inputs!$J$208:$AR$208,1,(Time!V21-1)-2014),INDEX(Inputs!$J$210:$AR$210,1,(Time!V21-1)-2014),INDEX(Inputs!$J$212:$AR$212,1,(Time!V21-1)-2014))</f>
        <v/>
      </c>
      <c r="W15" s="11">
        <f>CHOOSE(Inputs!$F$33,INDEX(Inputs!$J$208:$AR$208,1,(Time!W21-1)-2014),INDEX(Inputs!$J$210:$AR$210,1,(Time!W21-1)-2014),INDEX(Inputs!$J$212:$AR$212,1,(Time!W21-1)-2014))</f>
        <v/>
      </c>
      <c r="X15" s="11">
        <f>CHOOSE(Inputs!$F$33,INDEX(Inputs!$J$208:$AR$208,1,(Time!X21-1)-2014),INDEX(Inputs!$J$210:$AR$210,1,(Time!X21-1)-2014),INDEX(Inputs!$J$212:$AR$212,1,(Time!X21-1)-2014))</f>
        <v/>
      </c>
      <c r="Y15" s="11">
        <f>CHOOSE(Inputs!$F$33,INDEX(Inputs!$J$208:$AR$208,1,(Time!Y21-1)-2014),INDEX(Inputs!$J$210:$AR$210,1,(Time!Y21-1)-2014),INDEX(Inputs!$J$212:$AR$212,1,(Time!Y21-1)-2014))</f>
        <v/>
      </c>
      <c r="Z15" s="11">
        <f>CHOOSE(Inputs!$F$33,INDEX(Inputs!$J$208:$AR$208,1,(Time!Z21-1)-2014),INDEX(Inputs!$J$210:$AR$210,1,(Time!Z21-1)-2014),INDEX(Inputs!$J$212:$AR$212,1,(Time!Z21-1)-2014))</f>
        <v/>
      </c>
      <c r="AA15" s="11">
        <f>CHOOSE(Inputs!$F$33,INDEX(Inputs!$J$208:$AR$208,1,(Time!AA21-1)-2014),INDEX(Inputs!$J$210:$AR$210,1,(Time!AA21-1)-2014),INDEX(Inputs!$J$212:$AR$212,1,(Time!AA21-1)-2014))</f>
        <v/>
      </c>
      <c r="AB15" s="11">
        <f>CHOOSE(Inputs!$F$33,INDEX(Inputs!$J$208:$AR$208,1,(Time!AB21-1)-2014),INDEX(Inputs!$J$210:$AR$210,1,(Time!AB21-1)-2014),INDEX(Inputs!$J$212:$AR$212,1,(Time!AB21-1)-2014))</f>
        <v/>
      </c>
      <c r="AC15" s="11">
        <f>CHOOSE(Inputs!$F$33,INDEX(Inputs!$J$208:$AR$208,1,(Time!AC21-1)-2014),INDEX(Inputs!$J$210:$AR$210,1,(Time!AC21-1)-2014),INDEX(Inputs!$J$212:$AR$212,1,(Time!AC21-1)-2014))</f>
        <v/>
      </c>
      <c r="AD15" s="11">
        <f>CHOOSE(Inputs!$F$33,INDEX(Inputs!$J$208:$AR$208,1,(Time!AD21-1)-2014),INDEX(Inputs!$J$210:$AR$210,1,(Time!AD21-1)-2014),INDEX(Inputs!$J$212:$AR$212,1,(Time!AD21-1)-2014))</f>
        <v/>
      </c>
      <c r="AE15" s="11">
        <f>CHOOSE(Inputs!$F$33,INDEX(Inputs!$J$208:$AR$208,1,(Time!AE21-1)-2014),INDEX(Inputs!$J$210:$AR$210,1,(Time!AE21-1)-2014),INDEX(Inputs!$J$212:$AR$212,1,(Time!AE21-1)-2014))</f>
        <v/>
      </c>
      <c r="AF15" s="11">
        <f>CHOOSE(Inputs!$F$33,INDEX(Inputs!$J$208:$AR$208,1,(Time!AF21-1)-2014),INDEX(Inputs!$J$210:$AR$210,1,(Time!AF21-1)-2014),INDEX(Inputs!$J$212:$AR$212,1,(Time!AF21-1)-2014))</f>
        <v/>
      </c>
      <c r="AG15" s="11">
        <f>CHOOSE(Inputs!$F$33,INDEX(Inputs!$J$208:$AR$208,1,(Time!AG21-1)-2014),INDEX(Inputs!$J$210:$AR$210,1,(Time!AG21-1)-2014),INDEX(Inputs!$J$212:$AR$212,1,(Time!AG21-1)-2014))</f>
        <v/>
      </c>
      <c r="AH15" s="11">
        <f>CHOOSE(Inputs!$F$33,INDEX(Inputs!$J$208:$AR$208,1,(Time!AH21-1)-2014),INDEX(Inputs!$J$210:$AR$210,1,(Time!AH21-1)-2014),INDEX(Inputs!$J$212:$AR$212,1,(Time!AH21-1)-2014))</f>
        <v/>
      </c>
      <c r="AI15" s="11">
        <f>CHOOSE(Inputs!$F$33,INDEX(Inputs!$J$208:$AR$208,1,(Time!AI21-1)-2014),INDEX(Inputs!$J$210:$AR$210,1,(Time!AI21-1)-2014),INDEX(Inputs!$J$212:$AR$212,1,(Time!AI21-1)-2014))</f>
        <v/>
      </c>
      <c r="AJ15" s="11">
        <f>CHOOSE(Inputs!$F$33,INDEX(Inputs!$J$208:$AR$208,1,(Time!AJ21-1)-2014),INDEX(Inputs!$J$210:$AR$210,1,(Time!AJ21-1)-2014),INDEX(Inputs!$J$212:$AR$212,1,(Time!AJ21-1)-2014))</f>
        <v/>
      </c>
      <c r="AK15" s="11">
        <f>CHOOSE(Inputs!$F$33,INDEX(Inputs!$J$208:$AR$208,1,(Time!AK21-1)-2014),INDEX(Inputs!$J$210:$AR$210,1,(Time!AK21-1)-2014),INDEX(Inputs!$J$212:$AR$212,1,(Time!AK21-1)-2014))</f>
        <v/>
      </c>
      <c r="AL15" s="11">
        <f>CHOOSE(Inputs!$F$33,INDEX(Inputs!$J$208:$AR$208,1,(Time!AL21-1)-2014),INDEX(Inputs!$J$210:$AR$210,1,(Time!AL21-1)-2014),INDEX(Inputs!$J$212:$AR$212,1,(Time!AL21-1)-2014))</f>
        <v/>
      </c>
      <c r="AM15" s="11">
        <f>CHOOSE(Inputs!$F$33,INDEX(Inputs!$J$208:$AR$208,1,(Time!AM21-1)-2014),INDEX(Inputs!$J$210:$AR$210,1,(Time!AM21-1)-2014),INDEX(Inputs!$J$212:$AR$212,1,(Time!AM21-1)-2014))</f>
        <v/>
      </c>
      <c r="AN15" s="11">
        <f>CHOOSE(Inputs!$F$33,INDEX(Inputs!$J$208:$AR$208,1,(Time!AN21-1)-2014),INDEX(Inputs!$J$210:$AR$210,1,(Time!AN21-1)-2014),INDEX(Inputs!$J$212:$AR$212,1,(Time!AN21-1)-2014))</f>
        <v/>
      </c>
      <c r="AO15" s="11">
        <f>CHOOSE(Inputs!$F$33,INDEX(Inputs!$J$208:$AR$208,1,(Time!AO21-1)-2014),INDEX(Inputs!$J$210:$AR$210,1,(Time!AO21-1)-2014),INDEX(Inputs!$J$212:$AR$212,1,(Time!AO21-1)-2014))</f>
        <v/>
      </c>
      <c r="AP15" s="11">
        <f>CHOOSE(Inputs!$F$33,INDEX(Inputs!$J$208:$AR$208,1,(Time!AP21-1)-2014),INDEX(Inputs!$J$210:$AR$210,1,(Time!AP21-1)-2014),INDEX(Inputs!$J$212:$AR$212,1,(Time!AP21-1)-2014))</f>
        <v/>
      </c>
      <c r="AQ15" s="11">
        <f>CHOOSE(Inputs!$F$33,INDEX(Inputs!$J$208:$AR$208,1,(Time!AQ21-1)-2014),INDEX(Inputs!$J$210:$AR$210,1,(Time!AQ21-1)-2014),INDEX(Inputs!$J$212:$AR$212,1,(Time!AQ21-1)-2014))</f>
        <v/>
      </c>
      <c r="AR15" s="11">
        <f>CHOOSE(Inputs!$F$33,INDEX(Inputs!$J$208:$AR$208,1,(Time!AR21-1)-2014),INDEX(Inputs!$J$210:$AR$210,1,(Time!AR21-1)-2014),INDEX(Inputs!$J$212:$AR$212,1,(Time!AR21-1)-2014))</f>
        <v/>
      </c>
      <c r="AS15" s="11">
        <f>CHOOSE(Inputs!$F$33,INDEX(Inputs!$J$208:$AR$208,1,(Time!AS21-1)-2014),INDEX(Inputs!$J$210:$AR$210,1,(Time!AS21-1)-2014),INDEX(Inputs!$J$212:$AR$212,1,(Time!AS21-1)-2014))</f>
        <v/>
      </c>
      <c r="AT15" s="11">
        <f>CHOOSE(Inputs!$F$33,INDEX(Inputs!$J$208:$AR$208,1,(Time!AT21-1)-2014),INDEX(Inputs!$J$210:$AR$210,1,(Time!AT21-1)-2014),INDEX(Inputs!$J$212:$AR$212,1,(Time!AT21-1)-2014))</f>
        <v/>
      </c>
      <c r="AU15" s="11">
        <f>CHOOSE(Inputs!$F$33,INDEX(Inputs!$J$208:$AR$208,1,(Time!AU21-1)-2014),INDEX(Inputs!$J$210:$AR$210,1,(Time!AU21-1)-2014),INDEX(Inputs!$J$212:$AR$212,1,(Time!AU21-1)-2014))</f>
        <v/>
      </c>
      <c r="AV15" s="11">
        <f>CHOOSE(Inputs!$F$33,INDEX(Inputs!$J$208:$AR$208,1,(Time!AV21-1)-2014),INDEX(Inputs!$J$210:$AR$210,1,(Time!AV21-1)-2014),INDEX(Inputs!$J$212:$AR$212,1,(Time!AV21-1)-2014))</f>
        <v/>
      </c>
      <c r="AW15" s="11">
        <f>CHOOSE(Inputs!$F$33,INDEX(Inputs!$J$208:$AR$208,1,(Time!AW21-1)-2014),INDEX(Inputs!$J$210:$AR$210,1,(Time!AW21-1)-2014),INDEX(Inputs!$J$212:$AR$212,1,(Time!AW21-1)-2014))</f>
        <v/>
      </c>
      <c r="AX15" s="11">
        <f>CHOOSE(Inputs!$F$33,INDEX(Inputs!$J$208:$AR$208,1,(Time!AX21-1)-2014),INDEX(Inputs!$J$210:$AR$210,1,(Time!AX21-1)-2014),INDEX(Inputs!$J$212:$AR$212,1,(Time!AX21-1)-2014))</f>
        <v/>
      </c>
      <c r="AY15" s="11">
        <f>CHOOSE(Inputs!$F$33,INDEX(Inputs!$J$208:$AR$208,1,(Time!AY21-1)-2014),INDEX(Inputs!$J$210:$AR$210,1,(Time!AY21-1)-2014),INDEX(Inputs!$J$212:$AR$212,1,(Time!AY21-1)-2014))</f>
        <v/>
      </c>
      <c r="AZ15" s="11">
        <f>CHOOSE(Inputs!$F$33,INDEX(Inputs!$J$208:$AR$208,1,(Time!AZ21-1)-2014),INDEX(Inputs!$J$210:$AR$210,1,(Time!AZ21-1)-2014),INDEX(Inputs!$J$212:$AR$212,1,(Time!AZ21-1)-2014))</f>
        <v/>
      </c>
      <c r="BA15" s="11">
        <f>CHOOSE(Inputs!$F$33,INDEX(Inputs!$J$208:$AR$208,1,(Time!BA21-1)-2014),INDEX(Inputs!$J$210:$AR$210,1,(Time!BA21-1)-2014),INDEX(Inputs!$J$212:$AR$212,1,(Time!BA21-1)-2014))</f>
        <v/>
      </c>
      <c r="BB15" s="11">
        <f>CHOOSE(Inputs!$F$33,INDEX(Inputs!$J$208:$AR$208,1,(Time!BB21-1)-2014),INDEX(Inputs!$J$210:$AR$210,1,(Time!BB21-1)-2014),INDEX(Inputs!$J$212:$AR$212,1,(Time!BB21-1)-2014))</f>
        <v/>
      </c>
      <c r="BC15" s="11">
        <f>CHOOSE(Inputs!$F$33,INDEX(Inputs!$J$208:$AR$208,1,(Time!BC21-1)-2014),INDEX(Inputs!$J$210:$AR$210,1,(Time!BC21-1)-2014),INDEX(Inputs!$J$212:$AR$212,1,(Time!BC21-1)-2014))</f>
        <v/>
      </c>
      <c r="BD15" s="11">
        <f>CHOOSE(Inputs!$F$33,INDEX(Inputs!$J$208:$AR$208,1,(Time!BD21-1)-2014),INDEX(Inputs!$J$210:$AR$210,1,(Time!BD21-1)-2014),INDEX(Inputs!$J$212:$AR$212,1,(Time!BD21-1)-2014))</f>
        <v/>
      </c>
      <c r="BE15" s="11">
        <f>CHOOSE(Inputs!$F$33,INDEX(Inputs!$J$208:$AR$208,1,(Time!BE21-1)-2014),INDEX(Inputs!$J$210:$AR$210,1,(Time!BE21-1)-2014),INDEX(Inputs!$J$212:$AR$212,1,(Time!BE21-1)-2014))</f>
        <v/>
      </c>
      <c r="BF15" s="11">
        <f>CHOOSE(Inputs!$F$33,INDEX(Inputs!$J$208:$AR$208,1,(Time!BF21-1)-2014),INDEX(Inputs!$J$210:$AR$210,1,(Time!BF21-1)-2014),INDEX(Inputs!$J$212:$AR$212,1,(Time!BF21-1)-2014))</f>
        <v/>
      </c>
      <c r="BG15" s="11">
        <f>CHOOSE(Inputs!$F$33,INDEX(Inputs!$J$208:$AR$208,1,(Time!BG21-1)-2014),INDEX(Inputs!$J$210:$AR$210,1,(Time!BG21-1)-2014),INDEX(Inputs!$J$212:$AR$212,1,(Time!BG21-1)-2014))</f>
        <v/>
      </c>
      <c r="BH15" s="11">
        <f>CHOOSE(Inputs!$F$33,INDEX(Inputs!$J$208:$AR$208,1,(Time!BH21-1)-2014),INDEX(Inputs!$J$210:$AR$210,1,(Time!BH21-1)-2014),INDEX(Inputs!$J$212:$AR$212,1,(Time!BH21-1)-2014))</f>
        <v/>
      </c>
      <c r="BI15" s="11">
        <f>CHOOSE(Inputs!$F$33,INDEX(Inputs!$J$208:$AR$208,1,(Time!BI21-1)-2014),INDEX(Inputs!$J$210:$AR$210,1,(Time!BI21-1)-2014),INDEX(Inputs!$J$212:$AR$212,1,(Time!BI21-1)-2014))</f>
        <v/>
      </c>
      <c r="BJ15" s="11">
        <f>CHOOSE(Inputs!$F$33,INDEX(Inputs!$J$208:$AR$208,1,(Time!BJ21-1)-2014),INDEX(Inputs!$J$210:$AR$210,1,(Time!BJ21-1)-2014),INDEX(Inputs!$J$212:$AR$212,1,(Time!BJ21-1)-2014))</f>
        <v/>
      </c>
      <c r="BK15" s="11">
        <f>CHOOSE(Inputs!$F$33,INDEX(Inputs!$J$208:$AR$208,1,(Time!BK21-1)-2014),INDEX(Inputs!$J$210:$AR$210,1,(Time!BK21-1)-2014),INDEX(Inputs!$J$212:$AR$212,1,(Time!BK21-1)-2014))</f>
        <v/>
      </c>
      <c r="BL15" s="11">
        <f>CHOOSE(Inputs!$F$33,INDEX(Inputs!$J$208:$AR$208,1,(Time!BL21-1)-2014),INDEX(Inputs!$J$210:$AR$210,1,(Time!BL21-1)-2014),INDEX(Inputs!$J$212:$AR$212,1,(Time!BL21-1)-2014))</f>
        <v/>
      </c>
      <c r="BM15" s="11">
        <f>CHOOSE(Inputs!$F$33,INDEX(Inputs!$J$208:$AR$208,1,(Time!BM21-1)-2014),INDEX(Inputs!$J$210:$AR$210,1,(Time!BM21-1)-2014),INDEX(Inputs!$J$212:$AR$212,1,(Time!BM21-1)-2014))</f>
        <v/>
      </c>
      <c r="BN15" s="11">
        <f>CHOOSE(Inputs!$F$33,INDEX(Inputs!$J$208:$AR$208,1,(Time!BN21-1)-2014),INDEX(Inputs!$J$210:$AR$210,1,(Time!BN21-1)-2014),INDEX(Inputs!$J$212:$AR$212,1,(Time!BN21-1)-2014))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IF(Time!J25&gt;0,(J26*INDEX(Inputs!$J$226:$Q$226,1,MOD(J25-1,8)+1)+(Time!J25-J26)*INDEX(Inputs!$J$226:$Q$226,1,MOD(J25,8)+1))/Time!J25,0)</f>
        <v/>
      </c>
      <c r="K27" s="11">
        <f>IF(Time!K25&gt;0,(K26*INDEX(Inputs!$J$226:$Q$226,1,MOD(K25-1,8)+1)+(Time!K25-K26)*INDEX(Inputs!$J$226:$Q$226,1,MOD(K25,8)+1))/Time!K25,0)</f>
        <v/>
      </c>
      <c r="L27" s="11">
        <f>IF(Time!L25&gt;0,(L26*INDEX(Inputs!$J$226:$Q$226,1,MOD(L25-1,8)+1)+(Time!L25-L26)*INDEX(Inputs!$J$226:$Q$226,1,MOD(L25,8)+1))/Time!L25,0)</f>
        <v/>
      </c>
      <c r="M27" s="11">
        <f>IF(Time!M25&gt;0,(M26*INDEX(Inputs!$J$226:$Q$226,1,MOD(M25-1,8)+1)+(Time!M25-M26)*INDEX(Inputs!$J$226:$Q$226,1,MOD(M25,8)+1))/Time!M25,0)</f>
        <v/>
      </c>
      <c r="N27" s="11">
        <f>IF(Time!N25&gt;0,(N26*INDEX(Inputs!$J$226:$Q$226,1,MOD(N25-1,8)+1)+(Time!N25-N26)*INDEX(Inputs!$J$226:$Q$226,1,MOD(N25,8)+1))/Time!N25,0)</f>
        <v/>
      </c>
      <c r="O27" s="11">
        <f>IF(Time!O25&gt;0,(O26*INDEX(Inputs!$J$226:$Q$226,1,MOD(O25-1,8)+1)+(Time!O25-O26)*INDEX(Inputs!$J$226:$Q$226,1,MOD(O25,8)+1))/Time!O25,0)</f>
        <v/>
      </c>
      <c r="P27" s="11">
        <f>IF(Time!P25&gt;0,(P26*INDEX(Inputs!$J$226:$Q$226,1,MOD(P25-1,8)+1)+(Time!P25-P26)*INDEX(Inputs!$J$226:$Q$226,1,MOD(P25,8)+1))/Time!P25,0)</f>
        <v/>
      </c>
      <c r="Q27" s="11">
        <f>IF(Time!Q25&gt;0,(Q26*INDEX(Inputs!$J$226:$Q$226,1,MOD(Q25-1,8)+1)+(Time!Q25-Q26)*INDEX(Inputs!$J$226:$Q$226,1,MOD(Q25,8)+1))/Time!Q25,0)</f>
        <v/>
      </c>
      <c r="R27" s="11">
        <f>IF(Time!R25&gt;0,(R26*INDEX(Inputs!$J$226:$Q$226,1,MOD(R25-1,8)+1)+(Time!R25-R26)*INDEX(Inputs!$J$226:$Q$226,1,MOD(R25,8)+1))/Time!R25,0)</f>
        <v/>
      </c>
      <c r="S27" s="11">
        <f>IF(Time!S25&gt;0,(S26*INDEX(Inputs!$J$226:$Q$226,1,MOD(S25-1,8)+1)+(Time!S25-S26)*INDEX(Inputs!$J$226:$Q$226,1,MOD(S25,8)+1))/Time!S25,0)</f>
        <v/>
      </c>
      <c r="T27" s="11">
        <f>IF(Time!T25&gt;0,(T26*INDEX(Inputs!$J$226:$Q$226,1,MOD(T25-1,8)+1)+(Time!T25-T26)*INDEX(Inputs!$J$226:$Q$226,1,MOD(T25,8)+1))/Time!T25,0)</f>
        <v/>
      </c>
      <c r="U27" s="11">
        <f>IF(Time!U25&gt;0,(U26*INDEX(Inputs!$J$226:$Q$226,1,MOD(U25-1,8)+1)+(Time!U25-U26)*INDEX(Inputs!$J$226:$Q$226,1,MOD(U25,8)+1))/Time!U25,0)</f>
        <v/>
      </c>
      <c r="V27" s="11">
        <f>IF(Time!V25&gt;0,(V26*INDEX(Inputs!$J$226:$Q$226,1,MOD(V25-1,8)+1)+(Time!V25-V26)*INDEX(Inputs!$J$226:$Q$226,1,MOD(V25,8)+1))/Time!V25,0)</f>
        <v/>
      </c>
      <c r="W27" s="11">
        <f>IF(Time!W25&gt;0,(W26*INDEX(Inputs!$J$226:$Q$226,1,MOD(W25-1,8)+1)+(Time!W25-W26)*INDEX(Inputs!$J$226:$Q$226,1,MOD(W25,8)+1))/Time!W25,0)</f>
        <v/>
      </c>
      <c r="X27" s="11">
        <f>IF(Time!X25&gt;0,(X26*INDEX(Inputs!$J$226:$Q$226,1,MOD(X25-1,8)+1)+(Time!X25-X26)*INDEX(Inputs!$J$226:$Q$226,1,MOD(X25,8)+1))/Time!X25,0)</f>
        <v/>
      </c>
      <c r="Y27" s="11">
        <f>IF(Time!Y25&gt;0,(Y26*INDEX(Inputs!$J$226:$Q$226,1,MOD(Y25-1,8)+1)+(Time!Y25-Y26)*INDEX(Inputs!$J$226:$Q$226,1,MOD(Y25,8)+1))/Time!Y25,0)</f>
        <v/>
      </c>
      <c r="Z27" s="11">
        <f>IF(Time!Z25&gt;0,(Z26*INDEX(Inputs!$J$226:$Q$226,1,MOD(Z25-1,8)+1)+(Time!Z25-Z26)*INDEX(Inputs!$J$226:$Q$226,1,MOD(Z25,8)+1))/Time!Z25,0)</f>
        <v/>
      </c>
      <c r="AA27" s="11">
        <f>IF(Time!AA25&gt;0,(AA26*INDEX(Inputs!$J$226:$Q$226,1,MOD(AA25-1,8)+1)+(Time!AA25-AA26)*INDEX(Inputs!$J$226:$Q$226,1,MOD(AA25,8)+1))/Time!AA25,0)</f>
        <v/>
      </c>
      <c r="AB27" s="11">
        <f>IF(Time!AB25&gt;0,(AB26*INDEX(Inputs!$J$226:$Q$226,1,MOD(AB25-1,8)+1)+(Time!AB25-AB26)*INDEX(Inputs!$J$226:$Q$226,1,MOD(AB25,8)+1))/Time!AB25,0)</f>
        <v/>
      </c>
      <c r="AC27" s="11">
        <f>IF(Time!AC25&gt;0,(AC26*INDEX(Inputs!$J$226:$Q$226,1,MOD(AC25-1,8)+1)+(Time!AC25-AC26)*INDEX(Inputs!$J$226:$Q$226,1,MOD(AC25,8)+1))/Time!AC25,0)</f>
        <v/>
      </c>
      <c r="AD27" s="11">
        <f>IF(Time!AD25&gt;0,(AD26*INDEX(Inputs!$J$226:$Q$226,1,MOD(AD25-1,8)+1)+(Time!AD25-AD26)*INDEX(Inputs!$J$226:$Q$226,1,MOD(AD25,8)+1))/Time!AD25,0)</f>
        <v/>
      </c>
      <c r="AE27" s="11">
        <f>IF(Time!AE25&gt;0,(AE26*INDEX(Inputs!$J$226:$Q$226,1,MOD(AE25-1,8)+1)+(Time!AE25-AE26)*INDEX(Inputs!$J$226:$Q$226,1,MOD(AE25,8)+1))/Time!AE25,0)</f>
        <v/>
      </c>
      <c r="AF27" s="11">
        <f>IF(Time!AF25&gt;0,(AF26*INDEX(Inputs!$J$226:$Q$226,1,MOD(AF25-1,8)+1)+(Time!AF25-AF26)*INDEX(Inputs!$J$226:$Q$226,1,MOD(AF25,8)+1))/Time!AF25,0)</f>
        <v/>
      </c>
      <c r="AG27" s="11">
        <f>IF(Time!AG25&gt;0,(AG26*INDEX(Inputs!$J$226:$Q$226,1,MOD(AG25-1,8)+1)+(Time!AG25-AG26)*INDEX(Inputs!$J$226:$Q$226,1,MOD(AG25,8)+1))/Time!AG25,0)</f>
        <v/>
      </c>
      <c r="AH27" s="11">
        <f>IF(Time!AH25&gt;0,(AH26*INDEX(Inputs!$J$226:$Q$226,1,MOD(AH25-1,8)+1)+(Time!AH25-AH26)*INDEX(Inputs!$J$226:$Q$226,1,MOD(AH25,8)+1))/Time!AH25,0)</f>
        <v/>
      </c>
      <c r="AI27" s="11">
        <f>IF(Time!AI25&gt;0,(AI26*INDEX(Inputs!$J$226:$Q$226,1,MOD(AI25-1,8)+1)+(Time!AI25-AI26)*INDEX(Inputs!$J$226:$Q$226,1,MOD(AI25,8)+1))/Time!AI25,0)</f>
        <v/>
      </c>
      <c r="AJ27" s="11">
        <f>IF(Time!AJ25&gt;0,(AJ26*INDEX(Inputs!$J$226:$Q$226,1,MOD(AJ25-1,8)+1)+(Time!AJ25-AJ26)*INDEX(Inputs!$J$226:$Q$226,1,MOD(AJ25,8)+1))/Time!AJ25,0)</f>
        <v/>
      </c>
      <c r="AK27" s="11">
        <f>IF(Time!AK25&gt;0,(AK26*INDEX(Inputs!$J$226:$Q$226,1,MOD(AK25-1,8)+1)+(Time!AK25-AK26)*INDEX(Inputs!$J$226:$Q$226,1,MOD(AK25,8)+1))/Time!AK25,0)</f>
        <v/>
      </c>
      <c r="AL27" s="11">
        <f>IF(Time!AL25&gt;0,(AL26*INDEX(Inputs!$J$226:$Q$226,1,MOD(AL25-1,8)+1)+(Time!AL25-AL26)*INDEX(Inputs!$J$226:$Q$226,1,MOD(AL25,8)+1))/Time!AL25,0)</f>
        <v/>
      </c>
      <c r="AM27" s="11">
        <f>IF(Time!AM25&gt;0,(AM26*INDEX(Inputs!$J$226:$Q$226,1,MOD(AM25-1,8)+1)+(Time!AM25-AM26)*INDEX(Inputs!$J$226:$Q$226,1,MOD(AM25,8)+1))/Time!AM25,0)</f>
        <v/>
      </c>
      <c r="AN27" s="11">
        <f>IF(Time!AN25&gt;0,(AN26*INDEX(Inputs!$J$226:$Q$226,1,MOD(AN25-1,8)+1)+(Time!AN25-AN26)*INDEX(Inputs!$J$226:$Q$226,1,MOD(AN25,8)+1))/Time!AN25,0)</f>
        <v/>
      </c>
      <c r="AO27" s="11">
        <f>IF(Time!AO25&gt;0,(AO26*INDEX(Inputs!$J$226:$Q$226,1,MOD(AO25-1,8)+1)+(Time!AO25-AO26)*INDEX(Inputs!$J$226:$Q$226,1,MOD(AO25,8)+1))/Time!AO25,0)</f>
        <v/>
      </c>
      <c r="AP27" s="11">
        <f>IF(Time!AP25&gt;0,(AP26*INDEX(Inputs!$J$226:$Q$226,1,MOD(AP25-1,8)+1)+(Time!AP25-AP26)*INDEX(Inputs!$J$226:$Q$226,1,MOD(AP25,8)+1))/Time!AP25,0)</f>
        <v/>
      </c>
      <c r="AQ27" s="11">
        <f>IF(Time!AQ25&gt;0,(AQ26*INDEX(Inputs!$J$226:$Q$226,1,MOD(AQ25-1,8)+1)+(Time!AQ25-AQ26)*INDEX(Inputs!$J$226:$Q$226,1,MOD(AQ25,8)+1))/Time!AQ25,0)</f>
        <v/>
      </c>
      <c r="AR27" s="11">
        <f>IF(Time!AR25&gt;0,(AR26*INDEX(Inputs!$J$226:$Q$226,1,MOD(AR25-1,8)+1)+(Time!AR25-AR26)*INDEX(Inputs!$J$226:$Q$226,1,MOD(AR25,8)+1))/Time!AR25,0)</f>
        <v/>
      </c>
      <c r="AS27" s="11">
        <f>IF(Time!AS25&gt;0,(AS26*INDEX(Inputs!$J$226:$Q$226,1,MOD(AS25-1,8)+1)+(Time!AS25-AS26)*INDEX(Inputs!$J$226:$Q$226,1,MOD(AS25,8)+1))/Time!AS25,0)</f>
        <v/>
      </c>
      <c r="AT27" s="11">
        <f>IF(Time!AT25&gt;0,(AT26*INDEX(Inputs!$J$226:$Q$226,1,MOD(AT25-1,8)+1)+(Time!AT25-AT26)*INDEX(Inputs!$J$226:$Q$226,1,MOD(AT25,8)+1))/Time!AT25,0)</f>
        <v/>
      </c>
      <c r="AU27" s="11">
        <f>IF(Time!AU25&gt;0,(AU26*INDEX(Inputs!$J$226:$Q$226,1,MOD(AU25-1,8)+1)+(Time!AU25-AU26)*INDEX(Inputs!$J$226:$Q$226,1,MOD(AU25,8)+1))/Time!AU25,0)</f>
        <v/>
      </c>
      <c r="AV27" s="11">
        <f>IF(Time!AV25&gt;0,(AV26*INDEX(Inputs!$J$226:$Q$226,1,MOD(AV25-1,8)+1)+(Time!AV25-AV26)*INDEX(Inputs!$J$226:$Q$226,1,MOD(AV25,8)+1))/Time!AV25,0)</f>
        <v/>
      </c>
      <c r="AW27" s="11">
        <f>IF(Time!AW25&gt;0,(AW26*INDEX(Inputs!$J$226:$Q$226,1,MOD(AW25-1,8)+1)+(Time!AW25-AW26)*INDEX(Inputs!$J$226:$Q$226,1,MOD(AW25,8)+1))/Time!AW25,0)</f>
        <v/>
      </c>
      <c r="AX27" s="11">
        <f>IF(Time!AX25&gt;0,(AX26*INDEX(Inputs!$J$226:$Q$226,1,MOD(AX25-1,8)+1)+(Time!AX25-AX26)*INDEX(Inputs!$J$226:$Q$226,1,MOD(AX25,8)+1))/Time!AX25,0)</f>
        <v/>
      </c>
      <c r="AY27" s="11">
        <f>IF(Time!AY25&gt;0,(AY26*INDEX(Inputs!$J$226:$Q$226,1,MOD(AY25-1,8)+1)+(Time!AY25-AY26)*INDEX(Inputs!$J$226:$Q$226,1,MOD(AY25,8)+1))/Time!AY25,0)</f>
        <v/>
      </c>
      <c r="AZ27" s="11">
        <f>IF(Time!AZ25&gt;0,(AZ26*INDEX(Inputs!$J$226:$Q$226,1,MOD(AZ25-1,8)+1)+(Time!AZ25-AZ26)*INDEX(Inputs!$J$226:$Q$226,1,MOD(AZ25,8)+1))/Time!AZ25,0)</f>
        <v/>
      </c>
      <c r="BA27" s="11">
        <f>IF(Time!BA25&gt;0,(BA26*INDEX(Inputs!$J$226:$Q$226,1,MOD(BA25-1,8)+1)+(Time!BA25-BA26)*INDEX(Inputs!$J$226:$Q$226,1,MOD(BA25,8)+1))/Time!BA25,0)</f>
        <v/>
      </c>
      <c r="BB27" s="11">
        <f>IF(Time!BB25&gt;0,(BB26*INDEX(Inputs!$J$226:$Q$226,1,MOD(BB25-1,8)+1)+(Time!BB25-BB26)*INDEX(Inputs!$J$226:$Q$226,1,MOD(BB25,8)+1))/Time!BB25,0)</f>
        <v/>
      </c>
      <c r="BC27" s="11">
        <f>IF(Time!BC25&gt;0,(BC26*INDEX(Inputs!$J$226:$Q$226,1,MOD(BC25-1,8)+1)+(Time!BC25-BC26)*INDEX(Inputs!$J$226:$Q$226,1,MOD(BC25,8)+1))/Time!BC25,0)</f>
        <v/>
      </c>
      <c r="BD27" s="11">
        <f>IF(Time!BD25&gt;0,(BD26*INDEX(Inputs!$J$226:$Q$226,1,MOD(BD25-1,8)+1)+(Time!BD25-BD26)*INDEX(Inputs!$J$226:$Q$226,1,MOD(BD25,8)+1))/Time!BD25,0)</f>
        <v/>
      </c>
      <c r="BE27" s="11">
        <f>IF(Time!BE25&gt;0,(BE26*INDEX(Inputs!$J$226:$Q$226,1,MOD(BE25-1,8)+1)+(Time!BE25-BE26)*INDEX(Inputs!$J$226:$Q$226,1,MOD(BE25,8)+1))/Time!BE25,0)</f>
        <v/>
      </c>
      <c r="BF27" s="11">
        <f>IF(Time!BF25&gt;0,(BF26*INDEX(Inputs!$J$226:$Q$226,1,MOD(BF25-1,8)+1)+(Time!BF25-BF26)*INDEX(Inputs!$J$226:$Q$226,1,MOD(BF25,8)+1))/Time!BF25,0)</f>
        <v/>
      </c>
      <c r="BG27" s="11">
        <f>IF(Time!BG25&gt;0,(BG26*INDEX(Inputs!$J$226:$Q$226,1,MOD(BG25-1,8)+1)+(Time!BG25-BG26)*INDEX(Inputs!$J$226:$Q$226,1,MOD(BG25,8)+1))/Time!BG25,0)</f>
        <v/>
      </c>
      <c r="BH27" s="11">
        <f>IF(Time!BH25&gt;0,(BH26*INDEX(Inputs!$J$226:$Q$226,1,MOD(BH25-1,8)+1)+(Time!BH25-BH26)*INDEX(Inputs!$J$226:$Q$226,1,MOD(BH25,8)+1))/Time!BH25,0)</f>
        <v/>
      </c>
      <c r="BI27" s="11">
        <f>IF(Time!BI25&gt;0,(BI26*INDEX(Inputs!$J$226:$Q$226,1,MOD(BI25-1,8)+1)+(Time!BI25-BI26)*INDEX(Inputs!$J$226:$Q$226,1,MOD(BI25,8)+1))/Time!BI25,0)</f>
        <v/>
      </c>
      <c r="BJ27" s="11">
        <f>IF(Time!BJ25&gt;0,(BJ26*INDEX(Inputs!$J$226:$Q$226,1,MOD(BJ25-1,8)+1)+(Time!BJ25-BJ26)*INDEX(Inputs!$J$226:$Q$226,1,MOD(BJ25,8)+1))/Time!BJ25,0)</f>
        <v/>
      </c>
      <c r="BK27" s="11">
        <f>IF(Time!BK25&gt;0,(BK26*INDEX(Inputs!$J$226:$Q$226,1,MOD(BK25-1,8)+1)+(Time!BK25-BK26)*INDEX(Inputs!$J$226:$Q$226,1,MOD(BK25,8)+1))/Time!BK25,0)</f>
        <v/>
      </c>
      <c r="BL27" s="11">
        <f>IF(Time!BL25&gt;0,(BL26*INDEX(Inputs!$J$226:$Q$226,1,MOD(BL25-1,8)+1)+(Time!BL25-BL26)*INDEX(Inputs!$J$226:$Q$226,1,MOD(BL25,8)+1))/Time!BL25,0)</f>
        <v/>
      </c>
      <c r="BM27" s="11">
        <f>IF(Time!BM25&gt;0,(BM26*INDEX(Inputs!$J$226:$Q$226,1,MOD(BM25-1,8)+1)+(Time!BM25-BM26)*INDEX(Inputs!$J$226:$Q$226,1,MOD(BM25,8)+1))/Time!BM25,0)</f>
        <v/>
      </c>
      <c r="BN27" s="11">
        <f>IF(Time!BN25&gt;0,(BN26*INDEX(Inputs!$J$226:$Q$226,1,MOD(BN25-1,8)+1)+(Time!BN25-BN26)*INDEX(Inputs!$J$226:$Q$226,1,MOD(BN25,8)+1))/Time!BN25,0)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IF(Time!J25&gt;0,J27+Inputs!$F$37,0)</f>
        <v/>
      </c>
      <c r="K28" s="11">
        <f>IF(Time!K25&gt;0,K27+Inputs!$F$37,0)</f>
        <v/>
      </c>
      <c r="L28" s="11">
        <f>IF(Time!L25&gt;0,L27+Inputs!$F$37,0)</f>
        <v/>
      </c>
      <c r="M28" s="11">
        <f>IF(Time!M25&gt;0,M27+Inputs!$F$37,0)</f>
        <v/>
      </c>
      <c r="N28" s="11">
        <f>IF(Time!N25&gt;0,N27+Inputs!$F$37,0)</f>
        <v/>
      </c>
      <c r="O28" s="11">
        <f>IF(Time!O25&gt;0,O27+Inputs!$F$37,0)</f>
        <v/>
      </c>
      <c r="P28" s="11">
        <f>IF(Time!P25&gt;0,P27+Inputs!$F$37,0)</f>
        <v/>
      </c>
      <c r="Q28" s="11">
        <f>IF(Time!Q25&gt;0,Q27+Inputs!$F$37,0)</f>
        <v/>
      </c>
      <c r="R28" s="11">
        <f>IF(Time!R25&gt;0,R27+Inputs!$F$37,0)</f>
        <v/>
      </c>
      <c r="S28" s="11">
        <f>IF(Time!S25&gt;0,S27+Inputs!$F$37,0)</f>
        <v/>
      </c>
      <c r="T28" s="11">
        <f>IF(Time!T25&gt;0,T27+Inputs!$F$37,0)</f>
        <v/>
      </c>
      <c r="U28" s="11">
        <f>IF(Time!U25&gt;0,U27+Inputs!$F$37,0)</f>
        <v/>
      </c>
      <c r="V28" s="11">
        <f>IF(Time!V25&gt;0,V27+Inputs!$F$37,0)</f>
        <v/>
      </c>
      <c r="W28" s="11">
        <f>IF(Time!W25&gt;0,W27+Inputs!$F$37,0)</f>
        <v/>
      </c>
      <c r="X28" s="11">
        <f>IF(Time!X25&gt;0,X27+Inputs!$F$37,0)</f>
        <v/>
      </c>
      <c r="Y28" s="11">
        <f>IF(Time!Y25&gt;0,Y27+Inputs!$F$37,0)</f>
        <v/>
      </c>
      <c r="Z28" s="11">
        <f>IF(Time!Z25&gt;0,Z27+Inputs!$F$37,0)</f>
        <v/>
      </c>
      <c r="AA28" s="11">
        <f>IF(Time!AA25&gt;0,AA27+Inputs!$F$37,0)</f>
        <v/>
      </c>
      <c r="AB28" s="11">
        <f>IF(Time!AB25&gt;0,AB27+Inputs!$F$37,0)</f>
        <v/>
      </c>
      <c r="AC28" s="11">
        <f>IF(Time!AC25&gt;0,AC27+Inputs!$F$37,0)</f>
        <v/>
      </c>
      <c r="AD28" s="11">
        <f>IF(Time!AD25&gt;0,AD27+Inputs!$F$37,0)</f>
        <v/>
      </c>
      <c r="AE28" s="11">
        <f>IF(Time!AE25&gt;0,AE27+Inputs!$F$37,0)</f>
        <v/>
      </c>
      <c r="AF28" s="11">
        <f>IF(Time!AF25&gt;0,AF27+Inputs!$F$37,0)</f>
        <v/>
      </c>
      <c r="AG28" s="11">
        <f>IF(Time!AG25&gt;0,AG27+Inputs!$F$37,0)</f>
        <v/>
      </c>
      <c r="AH28" s="11">
        <f>IF(Time!AH25&gt;0,AH27+Inputs!$F$37,0)</f>
        <v/>
      </c>
      <c r="AI28" s="11">
        <f>IF(Time!AI25&gt;0,AI27+Inputs!$F$37,0)</f>
        <v/>
      </c>
      <c r="AJ28" s="11">
        <f>IF(Time!AJ25&gt;0,AJ27+Inputs!$F$37,0)</f>
        <v/>
      </c>
      <c r="AK28" s="11">
        <f>IF(Time!AK25&gt;0,AK27+Inputs!$F$37,0)</f>
        <v/>
      </c>
      <c r="AL28" s="11">
        <f>IF(Time!AL25&gt;0,AL27+Inputs!$F$37,0)</f>
        <v/>
      </c>
      <c r="AM28" s="11">
        <f>IF(Time!AM25&gt;0,AM27+Inputs!$F$37,0)</f>
        <v/>
      </c>
      <c r="AN28" s="11">
        <f>IF(Time!AN25&gt;0,AN27+Inputs!$F$37,0)</f>
        <v/>
      </c>
      <c r="AO28" s="11">
        <f>IF(Time!AO25&gt;0,AO27+Inputs!$F$37,0)</f>
        <v/>
      </c>
      <c r="AP28" s="11">
        <f>IF(Time!AP25&gt;0,AP27+Inputs!$F$37,0)</f>
        <v/>
      </c>
      <c r="AQ28" s="11">
        <f>IF(Time!AQ25&gt;0,AQ27+Inputs!$F$37,0)</f>
        <v/>
      </c>
      <c r="AR28" s="11">
        <f>IF(Time!AR25&gt;0,AR27+Inputs!$F$37,0)</f>
        <v/>
      </c>
      <c r="AS28" s="11">
        <f>IF(Time!AS25&gt;0,AS27+Inputs!$F$37,0)</f>
        <v/>
      </c>
      <c r="AT28" s="11">
        <f>IF(Time!AT25&gt;0,AT27+Inputs!$F$37,0)</f>
        <v/>
      </c>
      <c r="AU28" s="11">
        <f>IF(Time!AU25&gt;0,AU27+Inputs!$F$37,0)</f>
        <v/>
      </c>
      <c r="AV28" s="11">
        <f>IF(Time!AV25&gt;0,AV27+Inputs!$F$37,0)</f>
        <v/>
      </c>
      <c r="AW28" s="11">
        <f>IF(Time!AW25&gt;0,AW27+Inputs!$F$37,0)</f>
        <v/>
      </c>
      <c r="AX28" s="11">
        <f>IF(Time!AX25&gt;0,AX27+Inputs!$F$37,0)</f>
        <v/>
      </c>
      <c r="AY28" s="11">
        <f>IF(Time!AY25&gt;0,AY27+Inputs!$F$37,0)</f>
        <v/>
      </c>
      <c r="AZ28" s="11">
        <f>IF(Time!AZ25&gt;0,AZ27+Inputs!$F$37,0)</f>
        <v/>
      </c>
      <c r="BA28" s="11">
        <f>IF(Time!BA25&gt;0,BA27+Inputs!$F$37,0)</f>
        <v/>
      </c>
      <c r="BB28" s="11">
        <f>IF(Time!BB25&gt;0,BB27+Inputs!$F$37,0)</f>
        <v/>
      </c>
      <c r="BC28" s="11">
        <f>IF(Time!BC25&gt;0,BC27+Inputs!$F$37,0)</f>
        <v/>
      </c>
      <c r="BD28" s="11">
        <f>IF(Time!BD25&gt;0,BD27+Inputs!$F$37,0)</f>
        <v/>
      </c>
      <c r="BE28" s="11">
        <f>IF(Time!BE25&gt;0,BE27+Inputs!$F$37,0)</f>
        <v/>
      </c>
      <c r="BF28" s="11">
        <f>IF(Time!BF25&gt;0,BF27+Inputs!$F$37,0)</f>
        <v/>
      </c>
      <c r="BG28" s="11">
        <f>IF(Time!BG25&gt;0,BG27+Inputs!$F$37,0)</f>
        <v/>
      </c>
      <c r="BH28" s="11">
        <f>IF(Time!BH25&gt;0,BH27+Inputs!$F$37,0)</f>
        <v/>
      </c>
      <c r="BI28" s="11">
        <f>IF(Time!BI25&gt;0,BI27+Inputs!$F$37,0)</f>
        <v/>
      </c>
      <c r="BJ28" s="11">
        <f>IF(Time!BJ25&gt;0,BJ27+Inputs!$F$37,0)</f>
        <v/>
      </c>
      <c r="BK28" s="11">
        <f>IF(Time!BK25&gt;0,BK27+Inputs!$F$37,0)</f>
        <v/>
      </c>
      <c r="BL28" s="11">
        <f>IF(Time!BL25&gt;0,BL27+Inputs!$F$37,0)</f>
        <v/>
      </c>
      <c r="BM28" s="11">
        <f>IF(Time!BM25&gt;0,BM27+Inputs!$F$37,0)</f>
        <v/>
      </c>
      <c r="BN28" s="11">
        <f>IF(Time!BN25&gt;0,BN27+Inputs!$F$37,0)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IF(Inputs!$F$34=2,Inputs!$F$117,Inputs!$F$116)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IF(Inputs!$F$34=2,Inputs!$F$119,Inputs!$F$118)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(1-Inputs!$F$125/100*J29)*(1-Inputs!$F$126/100)</f>
        <v/>
      </c>
      <c r="K32" s="11">
        <f>(1-Inputs!$F$125/100*K29)*(1-Inputs!$F$126/100)</f>
        <v/>
      </c>
      <c r="L32" s="11">
        <f>(1-Inputs!$F$125/100*L29)*(1-Inputs!$F$126/100)</f>
        <v/>
      </c>
      <c r="M32" s="11">
        <f>(1-Inputs!$F$125/100*M29)*(1-Inputs!$F$126/100)</f>
        <v/>
      </c>
      <c r="N32" s="11">
        <f>(1-Inputs!$F$125/100*N29)*(1-Inputs!$F$126/100)</f>
        <v/>
      </c>
      <c r="O32" s="11">
        <f>(1-Inputs!$F$125/100*O29)*(1-Inputs!$F$126/100)</f>
        <v/>
      </c>
      <c r="P32" s="11">
        <f>(1-Inputs!$F$125/100*P29)*(1-Inputs!$F$126/100)</f>
        <v/>
      </c>
      <c r="Q32" s="11">
        <f>(1-Inputs!$F$125/100*Q29)*(1-Inputs!$F$126/100)</f>
        <v/>
      </c>
      <c r="R32" s="11">
        <f>(1-Inputs!$F$125/100*R29)*(1-Inputs!$F$126/100)</f>
        <v/>
      </c>
      <c r="S32" s="11">
        <f>(1-Inputs!$F$125/100*S29)*(1-Inputs!$F$126/100)</f>
        <v/>
      </c>
      <c r="T32" s="11">
        <f>(1-Inputs!$F$125/100*T29)*(1-Inputs!$F$126/100)</f>
        <v/>
      </c>
      <c r="U32" s="11">
        <f>(1-Inputs!$F$125/100*U29)*(1-Inputs!$F$126/100)</f>
        <v/>
      </c>
      <c r="V32" s="11">
        <f>(1-Inputs!$F$125/100*V29)*(1-Inputs!$F$126/100)</f>
        <v/>
      </c>
      <c r="W32" s="11">
        <f>(1-Inputs!$F$125/100*W29)*(1-Inputs!$F$126/100)</f>
        <v/>
      </c>
      <c r="X32" s="11">
        <f>(1-Inputs!$F$125/100*X29)*(1-Inputs!$F$126/100)</f>
        <v/>
      </c>
      <c r="Y32" s="11">
        <f>(1-Inputs!$F$125/100*Y29)*(1-Inputs!$F$126/100)</f>
        <v/>
      </c>
      <c r="Z32" s="11">
        <f>(1-Inputs!$F$125/100*Z29)*(1-Inputs!$F$126/100)</f>
        <v/>
      </c>
      <c r="AA32" s="11">
        <f>(1-Inputs!$F$125/100*AA29)*(1-Inputs!$F$126/100)</f>
        <v/>
      </c>
      <c r="AB32" s="11">
        <f>(1-Inputs!$F$125/100*AB29)*(1-Inputs!$F$126/100)</f>
        <v/>
      </c>
      <c r="AC32" s="11">
        <f>(1-Inputs!$F$125/100*AC29)*(1-Inputs!$F$126/100)</f>
        <v/>
      </c>
      <c r="AD32" s="11">
        <f>(1-Inputs!$F$125/100*AD29)*(1-Inputs!$F$126/100)</f>
        <v/>
      </c>
      <c r="AE32" s="11">
        <f>(1-Inputs!$F$125/100*AE29)*(1-Inputs!$F$126/100)</f>
        <v/>
      </c>
      <c r="AF32" s="11">
        <f>(1-Inputs!$F$125/100*AF29)*(1-Inputs!$F$126/100)</f>
        <v/>
      </c>
      <c r="AG32" s="11">
        <f>(1-Inputs!$F$125/100*AG29)*(1-Inputs!$F$126/100)</f>
        <v/>
      </c>
      <c r="AH32" s="11">
        <f>(1-Inputs!$F$125/100*AH29)*(1-Inputs!$F$126/100)</f>
        <v/>
      </c>
      <c r="AI32" s="11">
        <f>(1-Inputs!$F$125/100*AI29)*(1-Inputs!$F$126/100)</f>
        <v/>
      </c>
      <c r="AJ32" s="11">
        <f>(1-Inputs!$F$125/100*AJ29)*(1-Inputs!$F$126/100)</f>
        <v/>
      </c>
      <c r="AK32" s="11">
        <f>(1-Inputs!$F$125/100*AK29)*(1-Inputs!$F$126/100)</f>
        <v/>
      </c>
      <c r="AL32" s="11">
        <f>(1-Inputs!$F$125/100*AL29)*(1-Inputs!$F$126/100)</f>
        <v/>
      </c>
      <c r="AM32" s="11">
        <f>(1-Inputs!$F$125/100*AM29)*(1-Inputs!$F$126/100)</f>
        <v/>
      </c>
      <c r="AN32" s="11">
        <f>(1-Inputs!$F$125/100*AN29)*(1-Inputs!$F$126/100)</f>
        <v/>
      </c>
      <c r="AO32" s="11">
        <f>(1-Inputs!$F$125/100*AO29)*(1-Inputs!$F$126/100)</f>
        <v/>
      </c>
      <c r="AP32" s="11">
        <f>(1-Inputs!$F$125/100*AP29)*(1-Inputs!$F$126/100)</f>
        <v/>
      </c>
      <c r="AQ32" s="11">
        <f>(1-Inputs!$F$125/100*AQ29)*(1-Inputs!$F$126/100)</f>
        <v/>
      </c>
      <c r="AR32" s="11">
        <f>(1-Inputs!$F$125/100*AR29)*(1-Inputs!$F$126/100)</f>
        <v/>
      </c>
      <c r="AS32" s="11">
        <f>(1-Inputs!$F$125/100*AS29)*(1-Inputs!$F$126/100)</f>
        <v/>
      </c>
      <c r="AT32" s="11">
        <f>(1-Inputs!$F$125/100*AT29)*(1-Inputs!$F$126/100)</f>
        <v/>
      </c>
      <c r="AU32" s="11">
        <f>(1-Inputs!$F$125/100*AU29)*(1-Inputs!$F$126/100)</f>
        <v/>
      </c>
      <c r="AV32" s="11">
        <f>(1-Inputs!$F$125/100*AV29)*(1-Inputs!$F$126/100)</f>
        <v/>
      </c>
      <c r="AW32" s="11">
        <f>(1-Inputs!$F$125/100*AW29)*(1-Inputs!$F$126/100)</f>
        <v/>
      </c>
      <c r="AX32" s="11">
        <f>(1-Inputs!$F$125/100*AX29)*(1-Inputs!$F$126/100)</f>
        <v/>
      </c>
      <c r="AY32" s="11">
        <f>(1-Inputs!$F$125/100*AY29)*(1-Inputs!$F$126/100)</f>
        <v/>
      </c>
      <c r="AZ32" s="11">
        <f>(1-Inputs!$F$125/100*AZ29)*(1-Inputs!$F$126/100)</f>
        <v/>
      </c>
      <c r="BA32" s="11">
        <f>(1-Inputs!$F$125/100*BA29)*(1-Inputs!$F$126/100)</f>
        <v/>
      </c>
      <c r="BB32" s="11">
        <f>(1-Inputs!$F$125/100*BB29)*(1-Inputs!$F$126/100)</f>
        <v/>
      </c>
      <c r="BC32" s="11">
        <f>(1-Inputs!$F$125/100*BC29)*(1-Inputs!$F$126/100)</f>
        <v/>
      </c>
      <c r="BD32" s="11">
        <f>(1-Inputs!$F$125/100*BD29)*(1-Inputs!$F$126/100)</f>
        <v/>
      </c>
      <c r="BE32" s="11">
        <f>(1-Inputs!$F$125/100*BE29)*(1-Inputs!$F$126/100)</f>
        <v/>
      </c>
      <c r="BF32" s="11">
        <f>(1-Inputs!$F$125/100*BF29)*(1-Inputs!$F$126/100)</f>
        <v/>
      </c>
      <c r="BG32" s="11">
        <f>(1-Inputs!$F$125/100*BG29)*(1-Inputs!$F$126/100)</f>
        <v/>
      </c>
      <c r="BH32" s="11">
        <f>(1-Inputs!$F$125/100*BH29)*(1-Inputs!$F$126/100)</f>
        <v/>
      </c>
      <c r="BI32" s="11">
        <f>(1-Inputs!$F$125/100*BI29)*(1-Inputs!$F$126/100)</f>
        <v/>
      </c>
      <c r="BJ32" s="11">
        <f>(1-Inputs!$F$125/100*BJ29)*(1-Inputs!$F$126/100)</f>
        <v/>
      </c>
      <c r="BK32" s="11">
        <f>(1-Inputs!$F$125/100*BK29)*(1-Inputs!$F$126/100)</f>
        <v/>
      </c>
      <c r="BL32" s="11">
        <f>(1-Inputs!$F$125/100*BL29)*(1-Inputs!$F$126/100)</f>
        <v/>
      </c>
      <c r="BM32" s="11">
        <f>(1-Inputs!$F$125/100*BM29)*(1-Inputs!$F$126/100)</f>
        <v/>
      </c>
      <c r="BN32" s="11">
        <f>(1-Inputs!$F$125/100*BN29)*(1-Inputs!$F$126/100)</f>
        <v/>
      </c>
    </row>
    <row r="33">
      <c r="D33" t="inlineStr">
        <is>
          <t>Dispatch factor when available</t>
        </is>
      </c>
      <c r="E33" t="inlineStr">
        <is>
          <t>%</t>
        </is>
      </c>
      <c r="J33" s="11">
        <f>IF(AND(Inputs!$F$55=1,Inputs!J227&gt;0),Inputs!J227,Inputs!$F$38)</f>
        <v/>
      </c>
      <c r="K33" s="11">
        <f>IF(AND(Inputs!$F$55=1,Inputs!K227&gt;0),Inputs!K227,Inputs!$F$38)</f>
        <v/>
      </c>
      <c r="L33" s="11">
        <f>IF(AND(Inputs!$F$55=1,Inputs!L227&gt;0),Inputs!L227,Inputs!$F$38)</f>
        <v/>
      </c>
      <c r="M33" s="11">
        <f>IF(AND(Inputs!$F$55=1,Inputs!M227&gt;0),Inputs!M227,Inputs!$F$38)</f>
        <v/>
      </c>
      <c r="N33" s="11">
        <f>IF(AND(Inputs!$F$55=1,Inputs!N227&gt;0),Inputs!N227,Inputs!$F$38)</f>
        <v/>
      </c>
      <c r="O33" s="11">
        <f>IF(AND(Inputs!$F$55=1,Inputs!O227&gt;0),Inputs!O227,Inputs!$F$38)</f>
        <v/>
      </c>
      <c r="P33" s="11">
        <f>IF(AND(Inputs!$F$55=1,Inputs!P227&gt;0),Inputs!P227,Inputs!$F$38)</f>
        <v/>
      </c>
      <c r="Q33" s="11">
        <f>IF(AND(Inputs!$F$55=1,Inputs!Q227&gt;0),Inputs!Q227,Inputs!$F$38)</f>
        <v/>
      </c>
      <c r="R33" s="11">
        <f>IF(AND(Inputs!$F$55=1,Inputs!R227&gt;0),Inputs!R227,Inputs!$F$38)</f>
        <v/>
      </c>
      <c r="S33" s="11">
        <f>IF(AND(Inputs!$F$55=1,Inputs!S227&gt;0),Inputs!S227,Inputs!$F$38)</f>
        <v/>
      </c>
      <c r="T33" s="11">
        <f>IF(AND(Inputs!$F$55=1,Inputs!T227&gt;0),Inputs!T227,Inputs!$F$38)</f>
        <v/>
      </c>
      <c r="U33" s="11">
        <f>IF(AND(Inputs!$F$55=1,Inputs!U227&gt;0),Inputs!U227,Inputs!$F$38)</f>
        <v/>
      </c>
      <c r="V33" s="11">
        <f>IF(AND(Inputs!$F$55=1,Inputs!V227&gt;0),Inputs!V227,Inputs!$F$38)</f>
        <v/>
      </c>
      <c r="W33" s="11">
        <f>IF(AND(Inputs!$F$55=1,Inputs!W227&gt;0),Inputs!W227,Inputs!$F$38)</f>
        <v/>
      </c>
      <c r="X33" s="11">
        <f>IF(AND(Inputs!$F$55=1,Inputs!X227&gt;0),Inputs!X227,Inputs!$F$38)</f>
        <v/>
      </c>
      <c r="Y33" s="11">
        <f>IF(AND(Inputs!$F$55=1,Inputs!Y227&gt;0),Inputs!Y227,Inputs!$F$38)</f>
        <v/>
      </c>
      <c r="Z33" s="11">
        <f>IF(AND(Inputs!$F$55=1,Inputs!Z227&gt;0),Inputs!Z227,Inputs!$F$38)</f>
        <v/>
      </c>
      <c r="AA33" s="11">
        <f>IF(AND(Inputs!$F$55=1,Inputs!AA227&gt;0),Inputs!AA227,Inputs!$F$38)</f>
        <v/>
      </c>
      <c r="AB33" s="11">
        <f>IF(AND(Inputs!$F$55=1,Inputs!AB227&gt;0),Inputs!AB227,Inputs!$F$38)</f>
        <v/>
      </c>
      <c r="AC33" s="11">
        <f>IF(AND(Inputs!$F$55=1,Inputs!AC227&gt;0),Inputs!AC227,Inputs!$F$38)</f>
        <v/>
      </c>
      <c r="AD33" s="11">
        <f>IF(AND(Inputs!$F$55=1,Inputs!AD227&gt;0),Inputs!AD227,Inputs!$F$38)</f>
        <v/>
      </c>
      <c r="AE33" s="11">
        <f>IF(AND(Inputs!$F$55=1,Inputs!AE227&gt;0),Inputs!AE227,Inputs!$F$38)</f>
        <v/>
      </c>
      <c r="AF33" s="11">
        <f>IF(AND(Inputs!$F$55=1,Inputs!AF227&gt;0),Inputs!AF227,Inputs!$F$38)</f>
        <v/>
      </c>
      <c r="AG33" s="11">
        <f>IF(AND(Inputs!$F$55=1,Inputs!AG227&gt;0),Inputs!AG227,Inputs!$F$38)</f>
        <v/>
      </c>
      <c r="AH33" s="11">
        <f>IF(AND(Inputs!$F$55=1,Inputs!AH227&gt;0),Inputs!AH227,Inputs!$F$38)</f>
        <v/>
      </c>
      <c r="AI33" s="11">
        <f>IF(AND(Inputs!$F$55=1,Inputs!AI227&gt;0),Inputs!AI227,Inputs!$F$38)</f>
        <v/>
      </c>
      <c r="AJ33" s="11">
        <f>IF(AND(Inputs!$F$55=1,Inputs!AJ227&gt;0),Inputs!AJ227,Inputs!$F$38)</f>
        <v/>
      </c>
      <c r="AK33" s="11">
        <f>IF(AND(Inputs!$F$55=1,Inputs!AK227&gt;0),Inputs!AK227,Inputs!$F$38)</f>
        <v/>
      </c>
      <c r="AL33" s="11">
        <f>IF(AND(Inputs!$F$55=1,Inputs!AL227&gt;0),Inputs!AL227,Inputs!$F$38)</f>
        <v/>
      </c>
      <c r="AM33" s="11">
        <f>IF(AND(Inputs!$F$55=1,Inputs!AM227&gt;0),Inputs!AM227,Inputs!$F$38)</f>
        <v/>
      </c>
      <c r="AN33" s="11">
        <f>IF(AND(Inputs!$F$55=1,Inputs!AN227&gt;0),Inputs!AN227,Inputs!$F$38)</f>
        <v/>
      </c>
      <c r="AO33" s="11">
        <f>IF(AND(Inputs!$F$55=1,Inputs!AO227&gt;0),Inputs!AO227,Inputs!$F$38)</f>
        <v/>
      </c>
      <c r="AP33" s="11">
        <f>IF(AND(Inputs!$F$55=1,Inputs!AP227&gt;0),Inputs!AP227,Inputs!$F$38)</f>
        <v/>
      </c>
      <c r="AQ33" s="11">
        <f>IF(AND(Inputs!$F$55=1,Inputs!AQ227&gt;0),Inputs!AQ227,Inputs!$F$38)</f>
        <v/>
      </c>
      <c r="AR33" s="11">
        <f>IF(AND(Inputs!$F$55=1,Inputs!AR227&gt;0),Inputs!AR227,Inputs!$F$38)</f>
        <v/>
      </c>
      <c r="AS33" s="11">
        <f>IF(AND(Inputs!$F$55=1,Inputs!AS227&gt;0),Inputs!AS227,Inputs!$F$38)</f>
        <v/>
      </c>
      <c r="AT33" s="11">
        <f>IF(AND(Inputs!$F$55=1,Inputs!AT227&gt;0),Inputs!AT227,Inputs!$F$38)</f>
        <v/>
      </c>
      <c r="AU33" s="11">
        <f>IF(AND(Inputs!$F$55=1,Inputs!AU227&gt;0),Inputs!AU227,Inputs!$F$38)</f>
        <v/>
      </c>
      <c r="AV33" s="11">
        <f>IF(AND(Inputs!$F$55=1,Inputs!AV227&gt;0),Inputs!AV227,Inputs!$F$38)</f>
        <v/>
      </c>
      <c r="AW33" s="11">
        <f>IF(AND(Inputs!$F$55=1,Inputs!AW227&gt;0),Inputs!AW227,Inputs!$F$38)</f>
        <v/>
      </c>
      <c r="AX33" s="11">
        <f>IF(AND(Inputs!$F$55=1,Inputs!AX227&gt;0),Inputs!AX227,Inputs!$F$38)</f>
        <v/>
      </c>
      <c r="AY33" s="11">
        <f>IF(AND(Inputs!$F$55=1,Inputs!AY227&gt;0),Inputs!AY227,Inputs!$F$38)</f>
        <v/>
      </c>
      <c r="AZ33" s="11">
        <f>IF(AND(Inputs!$F$55=1,Inputs!AZ227&gt;0),Inputs!AZ227,Inputs!$F$38)</f>
        <v/>
      </c>
      <c r="BA33" s="11">
        <f>IF(AND(Inputs!$F$55=1,Inputs!BA227&gt;0),Inputs!BA227,Inputs!$F$38)</f>
        <v/>
      </c>
      <c r="BB33" s="11">
        <f>IF(AND(Inputs!$F$55=1,Inputs!BB227&gt;0),Inputs!BB227,Inputs!$F$38)</f>
        <v/>
      </c>
      <c r="BC33" s="11">
        <f>IF(AND(Inputs!$F$55=1,Inputs!BC227&gt;0),Inputs!BC227,Inputs!$F$38)</f>
        <v/>
      </c>
      <c r="BD33" s="11">
        <f>IF(AND(Inputs!$F$55=1,Inputs!BD227&gt;0),Inputs!BD227,Inputs!$F$38)</f>
        <v/>
      </c>
      <c r="BE33" s="11">
        <f>IF(AND(Inputs!$F$55=1,Inputs!BE227&gt;0),Inputs!BE227,Inputs!$F$38)</f>
        <v/>
      </c>
      <c r="BF33" s="11">
        <f>IF(AND(Inputs!$F$55=1,Inputs!BF227&gt;0),Inputs!BF227,Inputs!$F$38)</f>
        <v/>
      </c>
      <c r="BG33" s="11">
        <f>IF(AND(Inputs!$F$55=1,Inputs!BG227&gt;0),Inputs!BG227,Inputs!$F$38)</f>
        <v/>
      </c>
      <c r="BH33" s="11">
        <f>IF(AND(Inputs!$F$55=1,Inputs!BH227&gt;0),Inputs!BH227,Inputs!$F$38)</f>
        <v/>
      </c>
      <c r="BI33" s="11">
        <f>IF(AND(Inputs!$F$55=1,Inputs!BI227&gt;0),Inputs!BI227,Inputs!$F$38)</f>
        <v/>
      </c>
      <c r="BJ33" s="11">
        <f>IF(AND(Inputs!$F$55=1,Inputs!BJ227&gt;0),Inputs!BJ227,Inputs!$F$38)</f>
        <v/>
      </c>
      <c r="BK33" s="11">
        <f>IF(AND(Inputs!$F$55=1,Inputs!BK227&gt;0),Inputs!BK227,Inputs!$F$38)</f>
        <v/>
      </c>
      <c r="BL33" s="11">
        <f>IF(AND(Inputs!$F$55=1,Inputs!BL227&gt;0),Inputs!BL227,Inputs!$F$38)</f>
        <v/>
      </c>
      <c r="BM33" s="11">
        <f>IF(AND(Inputs!$F$55=1,Inputs!BM227&gt;0),Inputs!BM227,Inputs!$F$38)</f>
        <v/>
      </c>
      <c r="BN33" s="11">
        <f>IF(AND(Inputs!$F$55=1,Inputs!BN227&gt;0),Inputs!BN227,Inputs!$F$38)</f>
        <v/>
      </c>
    </row>
    <row r="34">
      <c r="D34" t="inlineStr">
        <is>
          <t>Net energy delivered</t>
        </is>
      </c>
      <c r="E34" t="inlineStr">
        <is>
          <t>MWh</t>
        </is>
      </c>
      <c r="J34" s="13">
        <f>$F$30*730*Time!J25*J28/100*J33/100*J32</f>
        <v/>
      </c>
      <c r="K34" s="13">
        <f>$F$30*730*Time!K25*K28/100*K33/100*K32</f>
        <v/>
      </c>
      <c r="L34" s="13">
        <f>$F$30*730*Time!L25*L28/100*L33/100*L32</f>
        <v/>
      </c>
      <c r="M34" s="13">
        <f>$F$30*730*Time!M25*M28/100*M33/100*M32</f>
        <v/>
      </c>
      <c r="N34" s="13">
        <f>$F$30*730*Time!N25*N28/100*N33/100*N32</f>
        <v/>
      </c>
      <c r="O34" s="13">
        <f>$F$30*730*Time!O25*O28/100*O33/100*O32</f>
        <v/>
      </c>
      <c r="P34" s="13">
        <f>$F$30*730*Time!P25*P28/100*P33/100*P32</f>
        <v/>
      </c>
      <c r="Q34" s="13">
        <f>$F$30*730*Time!Q25*Q28/100*Q33/100*Q32</f>
        <v/>
      </c>
      <c r="R34" s="13">
        <f>$F$30*730*Time!R25*R28/100*R33/100*R32</f>
        <v/>
      </c>
      <c r="S34" s="13">
        <f>$F$30*730*Time!S25*S28/100*S33/100*S32</f>
        <v/>
      </c>
      <c r="T34" s="13">
        <f>$F$30*730*Time!T25*T28/100*T33/100*T32</f>
        <v/>
      </c>
      <c r="U34" s="13">
        <f>$F$30*730*Time!U25*U28/100*U33/100*U32</f>
        <v/>
      </c>
      <c r="V34" s="13">
        <f>$F$30*730*Time!V25*V28/100*V33/100*V32</f>
        <v/>
      </c>
      <c r="W34" s="13">
        <f>$F$30*730*Time!W25*W28/100*W33/100*W32</f>
        <v/>
      </c>
      <c r="X34" s="13">
        <f>$F$30*730*Time!X25*X28/100*X33/100*X32</f>
        <v/>
      </c>
      <c r="Y34" s="13">
        <f>$F$30*730*Time!Y25*Y28/100*Y33/100*Y32</f>
        <v/>
      </c>
      <c r="Z34" s="13">
        <f>$F$30*730*Time!Z25*Z28/100*Z33/100*Z32</f>
        <v/>
      </c>
      <c r="AA34" s="13">
        <f>$F$30*730*Time!AA25*AA28/100*AA33/100*AA32</f>
        <v/>
      </c>
      <c r="AB34" s="13">
        <f>$F$30*730*Time!AB25*AB28/100*AB33/100*AB32</f>
        <v/>
      </c>
      <c r="AC34" s="13">
        <f>$F$30*730*Time!AC25*AC28/100*AC33/100*AC32</f>
        <v/>
      </c>
      <c r="AD34" s="13">
        <f>$F$30*730*Time!AD25*AD28/100*AD33/100*AD32</f>
        <v/>
      </c>
      <c r="AE34" s="13">
        <f>$F$30*730*Time!AE25*AE28/100*AE33/100*AE32</f>
        <v/>
      </c>
      <c r="AF34" s="13">
        <f>$F$30*730*Time!AF25*AF28/100*AF33/100*AF32</f>
        <v/>
      </c>
      <c r="AG34" s="13">
        <f>$F$30*730*Time!AG25*AG28/100*AG33/100*AG32</f>
        <v/>
      </c>
      <c r="AH34" s="13">
        <f>$F$30*730*Time!AH25*AH28/100*AH33/100*AH32</f>
        <v/>
      </c>
      <c r="AI34" s="13">
        <f>$F$30*730*Time!AI25*AI28/100*AI33/100*AI32</f>
        <v/>
      </c>
      <c r="AJ34" s="13">
        <f>$F$30*730*Time!AJ25*AJ28/100*AJ33/100*AJ32</f>
        <v/>
      </c>
      <c r="AK34" s="13">
        <f>$F$30*730*Time!AK25*AK28/100*AK33/100*AK32</f>
        <v/>
      </c>
      <c r="AL34" s="13">
        <f>$F$30*730*Time!AL25*AL28/100*AL33/100*AL32</f>
        <v/>
      </c>
      <c r="AM34" s="13">
        <f>$F$30*730*Time!AM25*AM28/100*AM33/100*AM32</f>
        <v/>
      </c>
      <c r="AN34" s="13">
        <f>$F$30*730*Time!AN25*AN28/100*AN33/100*AN32</f>
        <v/>
      </c>
      <c r="AO34" s="13">
        <f>$F$30*730*Time!AO25*AO28/100*AO33/100*AO32</f>
        <v/>
      </c>
      <c r="AP34" s="13">
        <f>$F$30*730*Time!AP25*AP28/100*AP33/100*AP32</f>
        <v/>
      </c>
      <c r="AQ34" s="13">
        <f>$F$30*730*Time!AQ25*AQ28/100*AQ33/100*AQ32</f>
        <v/>
      </c>
      <c r="AR34" s="13">
        <f>$F$30*730*Time!AR25*AR28/100*AR33/100*AR32</f>
        <v/>
      </c>
      <c r="AS34" s="13">
        <f>$F$30*730*Time!AS25*AS28/100*AS33/100*AS32</f>
        <v/>
      </c>
      <c r="AT34" s="13">
        <f>$F$30*730*Time!AT25*AT28/100*AT33/100*AT32</f>
        <v/>
      </c>
      <c r="AU34" s="13">
        <f>$F$30*730*Time!AU25*AU28/100*AU33/100*AU32</f>
        <v/>
      </c>
      <c r="AV34" s="13">
        <f>$F$30*730*Time!AV25*AV28/100*AV33/100*AV32</f>
        <v/>
      </c>
      <c r="AW34" s="13">
        <f>$F$30*730*Time!AW25*AW28/100*AW33/100*AW32</f>
        <v/>
      </c>
      <c r="AX34" s="13">
        <f>$F$30*730*Time!AX25*AX28/100*AX33/100*AX32</f>
        <v/>
      </c>
      <c r="AY34" s="13">
        <f>$F$30*730*Time!AY25*AY28/100*AY33/100*AY32</f>
        <v/>
      </c>
      <c r="AZ34" s="13">
        <f>$F$30*730*Time!AZ25*AZ28/100*AZ33/100*AZ32</f>
        <v/>
      </c>
      <c r="BA34" s="13">
        <f>$F$30*730*Time!BA25*BA28/100*BA33/100*BA32</f>
        <v/>
      </c>
      <c r="BB34" s="13">
        <f>$F$30*730*Time!BB25*BB28/100*BB33/100*BB32</f>
        <v/>
      </c>
      <c r="BC34" s="13">
        <f>$F$30*730*Time!BC25*BC28/100*BC33/100*BC32</f>
        <v/>
      </c>
      <c r="BD34" s="13">
        <f>$F$30*730*Time!BD25*BD28/100*BD33/100*BD32</f>
        <v/>
      </c>
      <c r="BE34" s="13">
        <f>$F$30*730*Time!BE25*BE28/100*BE33/100*BE32</f>
        <v/>
      </c>
      <c r="BF34" s="13">
        <f>$F$30*730*Time!BF25*BF28/100*BF33/100*BF32</f>
        <v/>
      </c>
      <c r="BG34" s="13">
        <f>$F$30*730*Time!BG25*BG28/100*BG33/100*BG32</f>
        <v/>
      </c>
      <c r="BH34" s="13">
        <f>$F$30*730*Time!BH25*BH28/100*BH33/100*BH32</f>
        <v/>
      </c>
      <c r="BI34" s="13">
        <f>$F$30*730*Time!BI25*BI28/100*BI33/100*BI32</f>
        <v/>
      </c>
      <c r="BJ34" s="13">
        <f>$F$30*730*Time!BJ25*BJ28/100*BJ33/100*BJ32</f>
        <v/>
      </c>
      <c r="BK34" s="13">
        <f>$F$30*730*Time!BK25*BK28/100*BK33/100*BK32</f>
        <v/>
      </c>
      <c r="BL34" s="13">
        <f>$F$30*730*Time!BL25*BL28/100*BL33/100*BL32</f>
        <v/>
      </c>
      <c r="BM34" s="13">
        <f>$F$30*730*Time!BM25*BM28/100*BM33/100*BM32</f>
        <v/>
      </c>
      <c r="BN34" s="13">
        <f>$F$30*730*Time!BN25*BN28/100*BN33/100*BN32</f>
        <v/>
      </c>
    </row>
    <row r="35">
      <c r="D35" t="inlineStr">
        <is>
          <t>Plant net heat rate</t>
        </is>
      </c>
      <c r="E35" t="inlineStr">
        <is>
          <t>kJ/kWh</t>
        </is>
      </c>
      <c r="J35" s="11">
        <f>$F$31*(1+Inputs!$F$127/100*J29)*(1+Inputs!$F$128/100)*(1+Inputs!$F$122/100)*Inputs!$F$39</f>
        <v/>
      </c>
      <c r="K35" s="11">
        <f>$F$31*(1+Inputs!$F$127/100*K29)*(1+Inputs!$F$128/100)*(1+Inputs!$F$122/100)*Inputs!$F$39</f>
        <v/>
      </c>
      <c r="L35" s="11">
        <f>$F$31*(1+Inputs!$F$127/100*L29)*(1+Inputs!$F$128/100)*(1+Inputs!$F$122/100)*Inputs!$F$39</f>
        <v/>
      </c>
      <c r="M35" s="11">
        <f>$F$31*(1+Inputs!$F$127/100*M29)*(1+Inputs!$F$128/100)*(1+Inputs!$F$122/100)*Inputs!$F$39</f>
        <v/>
      </c>
      <c r="N35" s="11">
        <f>$F$31*(1+Inputs!$F$127/100*N29)*(1+Inputs!$F$128/100)*(1+Inputs!$F$122/100)*Inputs!$F$39</f>
        <v/>
      </c>
      <c r="O35" s="11">
        <f>$F$31*(1+Inputs!$F$127/100*O29)*(1+Inputs!$F$128/100)*(1+Inputs!$F$122/100)*Inputs!$F$39</f>
        <v/>
      </c>
      <c r="P35" s="11">
        <f>$F$31*(1+Inputs!$F$127/100*P29)*(1+Inputs!$F$128/100)*(1+Inputs!$F$122/100)*Inputs!$F$39</f>
        <v/>
      </c>
      <c r="Q35" s="11">
        <f>$F$31*(1+Inputs!$F$127/100*Q29)*(1+Inputs!$F$128/100)*(1+Inputs!$F$122/100)*Inputs!$F$39</f>
        <v/>
      </c>
      <c r="R35" s="11">
        <f>$F$31*(1+Inputs!$F$127/100*R29)*(1+Inputs!$F$128/100)*(1+Inputs!$F$122/100)*Inputs!$F$39</f>
        <v/>
      </c>
      <c r="S35" s="11">
        <f>$F$31*(1+Inputs!$F$127/100*S29)*(1+Inputs!$F$128/100)*(1+Inputs!$F$122/100)*Inputs!$F$39</f>
        <v/>
      </c>
      <c r="T35" s="11">
        <f>$F$31*(1+Inputs!$F$127/100*T29)*(1+Inputs!$F$128/100)*(1+Inputs!$F$122/100)*Inputs!$F$39</f>
        <v/>
      </c>
      <c r="U35" s="11">
        <f>$F$31*(1+Inputs!$F$127/100*U29)*(1+Inputs!$F$128/100)*(1+Inputs!$F$122/100)*Inputs!$F$39</f>
        <v/>
      </c>
      <c r="V35" s="11">
        <f>$F$31*(1+Inputs!$F$127/100*V29)*(1+Inputs!$F$128/100)*(1+Inputs!$F$122/100)*Inputs!$F$39</f>
        <v/>
      </c>
      <c r="W35" s="11">
        <f>$F$31*(1+Inputs!$F$127/100*W29)*(1+Inputs!$F$128/100)*(1+Inputs!$F$122/100)*Inputs!$F$39</f>
        <v/>
      </c>
      <c r="X35" s="11">
        <f>$F$31*(1+Inputs!$F$127/100*X29)*(1+Inputs!$F$128/100)*(1+Inputs!$F$122/100)*Inputs!$F$39</f>
        <v/>
      </c>
      <c r="Y35" s="11">
        <f>$F$31*(1+Inputs!$F$127/100*Y29)*(1+Inputs!$F$128/100)*(1+Inputs!$F$122/100)*Inputs!$F$39</f>
        <v/>
      </c>
      <c r="Z35" s="11">
        <f>$F$31*(1+Inputs!$F$127/100*Z29)*(1+Inputs!$F$128/100)*(1+Inputs!$F$122/100)*Inputs!$F$39</f>
        <v/>
      </c>
      <c r="AA35" s="11">
        <f>$F$31*(1+Inputs!$F$127/100*AA29)*(1+Inputs!$F$128/100)*(1+Inputs!$F$122/100)*Inputs!$F$39</f>
        <v/>
      </c>
      <c r="AB35" s="11">
        <f>$F$31*(1+Inputs!$F$127/100*AB29)*(1+Inputs!$F$128/100)*(1+Inputs!$F$122/100)*Inputs!$F$39</f>
        <v/>
      </c>
      <c r="AC35" s="11">
        <f>$F$31*(1+Inputs!$F$127/100*AC29)*(1+Inputs!$F$128/100)*(1+Inputs!$F$122/100)*Inputs!$F$39</f>
        <v/>
      </c>
      <c r="AD35" s="11">
        <f>$F$31*(1+Inputs!$F$127/100*AD29)*(1+Inputs!$F$128/100)*(1+Inputs!$F$122/100)*Inputs!$F$39</f>
        <v/>
      </c>
      <c r="AE35" s="11">
        <f>$F$31*(1+Inputs!$F$127/100*AE29)*(1+Inputs!$F$128/100)*(1+Inputs!$F$122/100)*Inputs!$F$39</f>
        <v/>
      </c>
      <c r="AF35" s="11">
        <f>$F$31*(1+Inputs!$F$127/100*AF29)*(1+Inputs!$F$128/100)*(1+Inputs!$F$122/100)*Inputs!$F$39</f>
        <v/>
      </c>
      <c r="AG35" s="11">
        <f>$F$31*(1+Inputs!$F$127/100*AG29)*(1+Inputs!$F$128/100)*(1+Inputs!$F$122/100)*Inputs!$F$39</f>
        <v/>
      </c>
      <c r="AH35" s="11">
        <f>$F$31*(1+Inputs!$F$127/100*AH29)*(1+Inputs!$F$128/100)*(1+Inputs!$F$122/100)*Inputs!$F$39</f>
        <v/>
      </c>
      <c r="AI35" s="11">
        <f>$F$31*(1+Inputs!$F$127/100*AI29)*(1+Inputs!$F$128/100)*(1+Inputs!$F$122/100)*Inputs!$F$39</f>
        <v/>
      </c>
      <c r="AJ35" s="11">
        <f>$F$31*(1+Inputs!$F$127/100*AJ29)*(1+Inputs!$F$128/100)*(1+Inputs!$F$122/100)*Inputs!$F$39</f>
        <v/>
      </c>
      <c r="AK35" s="11">
        <f>$F$31*(1+Inputs!$F$127/100*AK29)*(1+Inputs!$F$128/100)*(1+Inputs!$F$122/100)*Inputs!$F$39</f>
        <v/>
      </c>
      <c r="AL35" s="11">
        <f>$F$31*(1+Inputs!$F$127/100*AL29)*(1+Inputs!$F$128/100)*(1+Inputs!$F$122/100)*Inputs!$F$39</f>
        <v/>
      </c>
      <c r="AM35" s="11">
        <f>$F$31*(1+Inputs!$F$127/100*AM29)*(1+Inputs!$F$128/100)*(1+Inputs!$F$122/100)*Inputs!$F$39</f>
        <v/>
      </c>
      <c r="AN35" s="11">
        <f>$F$31*(1+Inputs!$F$127/100*AN29)*(1+Inputs!$F$128/100)*(1+Inputs!$F$122/100)*Inputs!$F$39</f>
        <v/>
      </c>
      <c r="AO35" s="11">
        <f>$F$31*(1+Inputs!$F$127/100*AO29)*(1+Inputs!$F$128/100)*(1+Inputs!$F$122/100)*Inputs!$F$39</f>
        <v/>
      </c>
      <c r="AP35" s="11">
        <f>$F$31*(1+Inputs!$F$127/100*AP29)*(1+Inputs!$F$128/100)*(1+Inputs!$F$122/100)*Inputs!$F$39</f>
        <v/>
      </c>
      <c r="AQ35" s="11">
        <f>$F$31*(1+Inputs!$F$127/100*AQ29)*(1+Inputs!$F$128/100)*(1+Inputs!$F$122/100)*Inputs!$F$39</f>
        <v/>
      </c>
      <c r="AR35" s="11">
        <f>$F$31*(1+Inputs!$F$127/100*AR29)*(1+Inputs!$F$128/100)*(1+Inputs!$F$122/100)*Inputs!$F$39</f>
        <v/>
      </c>
      <c r="AS35" s="11">
        <f>$F$31*(1+Inputs!$F$127/100*AS29)*(1+Inputs!$F$128/100)*(1+Inputs!$F$122/100)*Inputs!$F$39</f>
        <v/>
      </c>
      <c r="AT35" s="11">
        <f>$F$31*(1+Inputs!$F$127/100*AT29)*(1+Inputs!$F$128/100)*(1+Inputs!$F$122/100)*Inputs!$F$39</f>
        <v/>
      </c>
      <c r="AU35" s="11">
        <f>$F$31*(1+Inputs!$F$127/100*AU29)*(1+Inputs!$F$128/100)*(1+Inputs!$F$122/100)*Inputs!$F$39</f>
        <v/>
      </c>
      <c r="AV35" s="11">
        <f>$F$31*(1+Inputs!$F$127/100*AV29)*(1+Inputs!$F$128/100)*(1+Inputs!$F$122/100)*Inputs!$F$39</f>
        <v/>
      </c>
      <c r="AW35" s="11">
        <f>$F$31*(1+Inputs!$F$127/100*AW29)*(1+Inputs!$F$128/100)*(1+Inputs!$F$122/100)*Inputs!$F$39</f>
        <v/>
      </c>
      <c r="AX35" s="11">
        <f>$F$31*(1+Inputs!$F$127/100*AX29)*(1+Inputs!$F$128/100)*(1+Inputs!$F$122/100)*Inputs!$F$39</f>
        <v/>
      </c>
      <c r="AY35" s="11">
        <f>$F$31*(1+Inputs!$F$127/100*AY29)*(1+Inputs!$F$128/100)*(1+Inputs!$F$122/100)*Inputs!$F$39</f>
        <v/>
      </c>
      <c r="AZ35" s="11">
        <f>$F$31*(1+Inputs!$F$127/100*AZ29)*(1+Inputs!$F$128/100)*(1+Inputs!$F$122/100)*Inputs!$F$39</f>
        <v/>
      </c>
      <c r="BA35" s="11">
        <f>$F$31*(1+Inputs!$F$127/100*BA29)*(1+Inputs!$F$128/100)*(1+Inputs!$F$122/100)*Inputs!$F$39</f>
        <v/>
      </c>
      <c r="BB35" s="11">
        <f>$F$31*(1+Inputs!$F$127/100*BB29)*(1+Inputs!$F$128/100)*(1+Inputs!$F$122/100)*Inputs!$F$39</f>
        <v/>
      </c>
      <c r="BC35" s="11">
        <f>$F$31*(1+Inputs!$F$127/100*BC29)*(1+Inputs!$F$128/100)*(1+Inputs!$F$122/100)*Inputs!$F$39</f>
        <v/>
      </c>
      <c r="BD35" s="11">
        <f>$F$31*(1+Inputs!$F$127/100*BD29)*(1+Inputs!$F$128/100)*(1+Inputs!$F$122/100)*Inputs!$F$39</f>
        <v/>
      </c>
      <c r="BE35" s="11">
        <f>$F$31*(1+Inputs!$F$127/100*BE29)*(1+Inputs!$F$128/100)*(1+Inputs!$F$122/100)*Inputs!$F$39</f>
        <v/>
      </c>
      <c r="BF35" s="11">
        <f>$F$31*(1+Inputs!$F$127/100*BF29)*(1+Inputs!$F$128/100)*(1+Inputs!$F$122/100)*Inputs!$F$39</f>
        <v/>
      </c>
      <c r="BG35" s="11">
        <f>$F$31*(1+Inputs!$F$127/100*BG29)*(1+Inputs!$F$128/100)*(1+Inputs!$F$122/100)*Inputs!$F$39</f>
        <v/>
      </c>
      <c r="BH35" s="11">
        <f>$F$31*(1+Inputs!$F$127/100*BH29)*(1+Inputs!$F$128/100)*(1+Inputs!$F$122/100)*Inputs!$F$39</f>
        <v/>
      </c>
      <c r="BI35" s="11">
        <f>$F$31*(1+Inputs!$F$127/100*BI29)*(1+Inputs!$F$128/100)*(1+Inputs!$F$122/100)*Inputs!$F$39</f>
        <v/>
      </c>
      <c r="BJ35" s="11">
        <f>$F$31*(1+Inputs!$F$127/100*BJ29)*(1+Inputs!$F$128/100)*(1+Inputs!$F$122/100)*Inputs!$F$39</f>
        <v/>
      </c>
      <c r="BK35" s="11">
        <f>$F$31*(1+Inputs!$F$127/100*BK29)*(1+Inputs!$F$128/100)*(1+Inputs!$F$122/100)*Inputs!$F$39</f>
        <v/>
      </c>
      <c r="BL35" s="11">
        <f>$F$31*(1+Inputs!$F$127/100*BL29)*(1+Inputs!$F$128/100)*(1+Inputs!$F$122/100)*Inputs!$F$39</f>
        <v/>
      </c>
      <c r="BM35" s="11">
        <f>$F$31*(1+Inputs!$F$127/100*BM29)*(1+Inputs!$F$128/100)*(1+Inputs!$F$122/100)*Inputs!$F$39</f>
        <v/>
      </c>
      <c r="BN35" s="11">
        <f>$F$31*(1+Inputs!$F$127/100*BN29)*(1+Inputs!$F$128/100)*(1+Inputs!$F$122/100)*Inputs!$F$39</f>
        <v/>
      </c>
    </row>
    <row r="36">
      <c r="D36" t="inlineStr">
        <is>
          <t>Contracted heat rate at dispatched load</t>
        </is>
      </c>
      <c r="E36" t="inlineStr">
        <is>
          <t>kJ/kWh</t>
        </is>
      </c>
      <c r="J36" s="11">
        <f>Inputs!$F$120*(1+Inputs!$F$121/100*J29)*(1+Inputs!$F$122/100)</f>
        <v/>
      </c>
      <c r="K36" s="11">
        <f>Inputs!$F$120*(1+Inputs!$F$121/100*K29)*(1+Inputs!$F$122/100)</f>
        <v/>
      </c>
      <c r="L36" s="11">
        <f>Inputs!$F$120*(1+Inputs!$F$121/100*L29)*(1+Inputs!$F$122/100)</f>
        <v/>
      </c>
      <c r="M36" s="11">
        <f>Inputs!$F$120*(1+Inputs!$F$121/100*M29)*(1+Inputs!$F$122/100)</f>
        <v/>
      </c>
      <c r="N36" s="11">
        <f>Inputs!$F$120*(1+Inputs!$F$121/100*N29)*(1+Inputs!$F$122/100)</f>
        <v/>
      </c>
      <c r="O36" s="11">
        <f>Inputs!$F$120*(1+Inputs!$F$121/100*O29)*(1+Inputs!$F$122/100)</f>
        <v/>
      </c>
      <c r="P36" s="11">
        <f>Inputs!$F$120*(1+Inputs!$F$121/100*P29)*(1+Inputs!$F$122/100)</f>
        <v/>
      </c>
      <c r="Q36" s="11">
        <f>Inputs!$F$120*(1+Inputs!$F$121/100*Q29)*(1+Inputs!$F$122/100)</f>
        <v/>
      </c>
      <c r="R36" s="11">
        <f>Inputs!$F$120*(1+Inputs!$F$121/100*R29)*(1+Inputs!$F$122/100)</f>
        <v/>
      </c>
      <c r="S36" s="11">
        <f>Inputs!$F$120*(1+Inputs!$F$121/100*S29)*(1+Inputs!$F$122/100)</f>
        <v/>
      </c>
      <c r="T36" s="11">
        <f>Inputs!$F$120*(1+Inputs!$F$121/100*T29)*(1+Inputs!$F$122/100)</f>
        <v/>
      </c>
      <c r="U36" s="11">
        <f>Inputs!$F$120*(1+Inputs!$F$121/100*U29)*(1+Inputs!$F$122/100)</f>
        <v/>
      </c>
      <c r="V36" s="11">
        <f>Inputs!$F$120*(1+Inputs!$F$121/100*V29)*(1+Inputs!$F$122/100)</f>
        <v/>
      </c>
      <c r="W36" s="11">
        <f>Inputs!$F$120*(1+Inputs!$F$121/100*W29)*(1+Inputs!$F$122/100)</f>
        <v/>
      </c>
      <c r="X36" s="11">
        <f>Inputs!$F$120*(1+Inputs!$F$121/100*X29)*(1+Inputs!$F$122/100)</f>
        <v/>
      </c>
      <c r="Y36" s="11">
        <f>Inputs!$F$120*(1+Inputs!$F$121/100*Y29)*(1+Inputs!$F$122/100)</f>
        <v/>
      </c>
      <c r="Z36" s="11">
        <f>Inputs!$F$120*(1+Inputs!$F$121/100*Z29)*(1+Inputs!$F$122/100)</f>
        <v/>
      </c>
      <c r="AA36" s="11">
        <f>Inputs!$F$120*(1+Inputs!$F$121/100*AA29)*(1+Inputs!$F$122/100)</f>
        <v/>
      </c>
      <c r="AB36" s="11">
        <f>Inputs!$F$120*(1+Inputs!$F$121/100*AB29)*(1+Inputs!$F$122/100)</f>
        <v/>
      </c>
      <c r="AC36" s="11">
        <f>Inputs!$F$120*(1+Inputs!$F$121/100*AC29)*(1+Inputs!$F$122/100)</f>
        <v/>
      </c>
      <c r="AD36" s="11">
        <f>Inputs!$F$120*(1+Inputs!$F$121/100*AD29)*(1+Inputs!$F$122/100)</f>
        <v/>
      </c>
      <c r="AE36" s="11">
        <f>Inputs!$F$120*(1+Inputs!$F$121/100*AE29)*(1+Inputs!$F$122/100)</f>
        <v/>
      </c>
      <c r="AF36" s="11">
        <f>Inputs!$F$120*(1+Inputs!$F$121/100*AF29)*(1+Inputs!$F$122/100)</f>
        <v/>
      </c>
      <c r="AG36" s="11">
        <f>Inputs!$F$120*(1+Inputs!$F$121/100*AG29)*(1+Inputs!$F$122/100)</f>
        <v/>
      </c>
      <c r="AH36" s="11">
        <f>Inputs!$F$120*(1+Inputs!$F$121/100*AH29)*(1+Inputs!$F$122/100)</f>
        <v/>
      </c>
      <c r="AI36" s="11">
        <f>Inputs!$F$120*(1+Inputs!$F$121/100*AI29)*(1+Inputs!$F$122/100)</f>
        <v/>
      </c>
      <c r="AJ36" s="11">
        <f>Inputs!$F$120*(1+Inputs!$F$121/100*AJ29)*(1+Inputs!$F$122/100)</f>
        <v/>
      </c>
      <c r="AK36" s="11">
        <f>Inputs!$F$120*(1+Inputs!$F$121/100*AK29)*(1+Inputs!$F$122/100)</f>
        <v/>
      </c>
      <c r="AL36" s="11">
        <f>Inputs!$F$120*(1+Inputs!$F$121/100*AL29)*(1+Inputs!$F$122/100)</f>
        <v/>
      </c>
      <c r="AM36" s="11">
        <f>Inputs!$F$120*(1+Inputs!$F$121/100*AM29)*(1+Inputs!$F$122/100)</f>
        <v/>
      </c>
      <c r="AN36" s="11">
        <f>Inputs!$F$120*(1+Inputs!$F$121/100*AN29)*(1+Inputs!$F$122/100)</f>
        <v/>
      </c>
      <c r="AO36" s="11">
        <f>Inputs!$F$120*(1+Inputs!$F$121/100*AO29)*(1+Inputs!$F$122/100)</f>
        <v/>
      </c>
      <c r="AP36" s="11">
        <f>Inputs!$F$120*(1+Inputs!$F$121/100*AP29)*(1+Inputs!$F$122/100)</f>
        <v/>
      </c>
      <c r="AQ36" s="11">
        <f>Inputs!$F$120*(1+Inputs!$F$121/100*AQ29)*(1+Inputs!$F$122/100)</f>
        <v/>
      </c>
      <c r="AR36" s="11">
        <f>Inputs!$F$120*(1+Inputs!$F$121/100*AR29)*(1+Inputs!$F$122/100)</f>
        <v/>
      </c>
      <c r="AS36" s="11">
        <f>Inputs!$F$120*(1+Inputs!$F$121/100*AS29)*(1+Inputs!$F$122/100)</f>
        <v/>
      </c>
      <c r="AT36" s="11">
        <f>Inputs!$F$120*(1+Inputs!$F$121/100*AT29)*(1+Inputs!$F$122/100)</f>
        <v/>
      </c>
      <c r="AU36" s="11">
        <f>Inputs!$F$120*(1+Inputs!$F$121/100*AU29)*(1+Inputs!$F$122/100)</f>
        <v/>
      </c>
      <c r="AV36" s="11">
        <f>Inputs!$F$120*(1+Inputs!$F$121/100*AV29)*(1+Inputs!$F$122/100)</f>
        <v/>
      </c>
      <c r="AW36" s="11">
        <f>Inputs!$F$120*(1+Inputs!$F$121/100*AW29)*(1+Inputs!$F$122/100)</f>
        <v/>
      </c>
      <c r="AX36" s="11">
        <f>Inputs!$F$120*(1+Inputs!$F$121/100*AX29)*(1+Inputs!$F$122/100)</f>
        <v/>
      </c>
      <c r="AY36" s="11">
        <f>Inputs!$F$120*(1+Inputs!$F$121/100*AY29)*(1+Inputs!$F$122/100)</f>
        <v/>
      </c>
      <c r="AZ36" s="11">
        <f>Inputs!$F$120*(1+Inputs!$F$121/100*AZ29)*(1+Inputs!$F$122/100)</f>
        <v/>
      </c>
      <c r="BA36" s="11">
        <f>Inputs!$F$120*(1+Inputs!$F$121/100*BA29)*(1+Inputs!$F$122/100)</f>
        <v/>
      </c>
      <c r="BB36" s="11">
        <f>Inputs!$F$120*(1+Inputs!$F$121/100*BB29)*(1+Inputs!$F$122/100)</f>
        <v/>
      </c>
      <c r="BC36" s="11">
        <f>Inputs!$F$120*(1+Inputs!$F$121/100*BC29)*(1+Inputs!$F$122/100)</f>
        <v/>
      </c>
      <c r="BD36" s="11">
        <f>Inputs!$F$120*(1+Inputs!$F$121/100*BD29)*(1+Inputs!$F$122/100)</f>
        <v/>
      </c>
      <c r="BE36" s="11">
        <f>Inputs!$F$120*(1+Inputs!$F$121/100*BE29)*(1+Inputs!$F$122/100)</f>
        <v/>
      </c>
      <c r="BF36" s="11">
        <f>Inputs!$F$120*(1+Inputs!$F$121/100*BF29)*(1+Inputs!$F$122/100)</f>
        <v/>
      </c>
      <c r="BG36" s="11">
        <f>Inputs!$F$120*(1+Inputs!$F$121/100*BG29)*(1+Inputs!$F$122/100)</f>
        <v/>
      </c>
      <c r="BH36" s="11">
        <f>Inputs!$F$120*(1+Inputs!$F$121/100*BH29)*(1+Inputs!$F$122/100)</f>
        <v/>
      </c>
      <c r="BI36" s="11">
        <f>Inputs!$F$120*(1+Inputs!$F$121/100*BI29)*(1+Inputs!$F$122/100)</f>
        <v/>
      </c>
      <c r="BJ36" s="11">
        <f>Inputs!$F$120*(1+Inputs!$F$121/100*BJ29)*(1+Inputs!$F$122/100)</f>
        <v/>
      </c>
      <c r="BK36" s="11">
        <f>Inputs!$F$120*(1+Inputs!$F$121/100*BK29)*(1+Inputs!$F$122/100)</f>
        <v/>
      </c>
      <c r="BL36" s="11">
        <f>Inputs!$F$120*(1+Inputs!$F$121/100*BL29)*(1+Inputs!$F$122/100)</f>
        <v/>
      </c>
      <c r="BM36" s="11">
        <f>Inputs!$F$120*(1+Inputs!$F$121/100*BM29)*(1+Inputs!$F$122/100)</f>
        <v/>
      </c>
      <c r="BN36" s="11">
        <f>Inputs!$F$120*(1+Inputs!$F$121/100*BN29)*(1+Inputs!$F$122/100)</f>
        <v/>
      </c>
    </row>
    <row r="37">
      <c r="D37" t="inlineStr">
        <is>
          <t>Gas price (GCV)</t>
        </is>
      </c>
      <c r="E37" t="inlineStr">
        <is>
          <t>USD/MMBtu</t>
        </is>
      </c>
      <c r="J37" s="11">
        <f>Inputs!$F$142*(1+Inputs!$F$143/100)^(Time!J21-2018)*Inputs!$F$41</f>
        <v/>
      </c>
      <c r="K37" s="11">
        <f>Inputs!$F$142*(1+Inputs!$F$143/100)^(Time!K21-2018)*Inputs!$F$41</f>
        <v/>
      </c>
      <c r="L37" s="11">
        <f>Inputs!$F$142*(1+Inputs!$F$143/100)^(Time!L21-2018)*Inputs!$F$41</f>
        <v/>
      </c>
      <c r="M37" s="11">
        <f>Inputs!$F$142*(1+Inputs!$F$143/100)^(Time!M21-2018)*Inputs!$F$41</f>
        <v/>
      </c>
      <c r="N37" s="11">
        <f>Inputs!$F$142*(1+Inputs!$F$143/100)^(Time!N21-2018)*Inputs!$F$41</f>
        <v/>
      </c>
      <c r="O37" s="11">
        <f>Inputs!$F$142*(1+Inputs!$F$143/100)^(Time!O21-2018)*Inputs!$F$41</f>
        <v/>
      </c>
      <c r="P37" s="11">
        <f>Inputs!$F$142*(1+Inputs!$F$143/100)^(Time!P21-2018)*Inputs!$F$41</f>
        <v/>
      </c>
      <c r="Q37" s="11">
        <f>Inputs!$F$142*(1+Inputs!$F$143/100)^(Time!Q21-2018)*Inputs!$F$41</f>
        <v/>
      </c>
      <c r="R37" s="11">
        <f>Inputs!$F$142*(1+Inputs!$F$143/100)^(Time!R21-2018)*Inputs!$F$41</f>
        <v/>
      </c>
      <c r="S37" s="11">
        <f>Inputs!$F$142*(1+Inputs!$F$143/100)^(Time!S21-2018)*Inputs!$F$41</f>
        <v/>
      </c>
      <c r="T37" s="11">
        <f>Inputs!$F$142*(1+Inputs!$F$143/100)^(Time!T21-2018)*Inputs!$F$41</f>
        <v/>
      </c>
      <c r="U37" s="11">
        <f>Inputs!$F$142*(1+Inputs!$F$143/100)^(Time!U21-2018)*Inputs!$F$41</f>
        <v/>
      </c>
      <c r="V37" s="11">
        <f>Inputs!$F$142*(1+Inputs!$F$143/100)^(Time!V21-2018)*Inputs!$F$41</f>
        <v/>
      </c>
      <c r="W37" s="11">
        <f>Inputs!$F$142*(1+Inputs!$F$143/100)^(Time!W21-2018)*Inputs!$F$41</f>
        <v/>
      </c>
      <c r="X37" s="11">
        <f>Inputs!$F$142*(1+Inputs!$F$143/100)^(Time!X21-2018)*Inputs!$F$41</f>
        <v/>
      </c>
      <c r="Y37" s="11">
        <f>Inputs!$F$142*(1+Inputs!$F$143/100)^(Time!Y21-2018)*Inputs!$F$41</f>
        <v/>
      </c>
      <c r="Z37" s="11">
        <f>Inputs!$F$142*(1+Inputs!$F$143/100)^(Time!Z21-2018)*Inputs!$F$41</f>
        <v/>
      </c>
      <c r="AA37" s="11">
        <f>Inputs!$F$142*(1+Inputs!$F$143/100)^(Time!AA21-2018)*Inputs!$F$41</f>
        <v/>
      </c>
      <c r="AB37" s="11">
        <f>Inputs!$F$142*(1+Inputs!$F$143/100)^(Time!AB21-2018)*Inputs!$F$41</f>
        <v/>
      </c>
      <c r="AC37" s="11">
        <f>Inputs!$F$142*(1+Inputs!$F$143/100)^(Time!AC21-2018)*Inputs!$F$41</f>
        <v/>
      </c>
      <c r="AD37" s="11">
        <f>Inputs!$F$142*(1+Inputs!$F$143/100)^(Time!AD21-2018)*Inputs!$F$41</f>
        <v/>
      </c>
      <c r="AE37" s="11">
        <f>Inputs!$F$142*(1+Inputs!$F$143/100)^(Time!AE21-2018)*Inputs!$F$41</f>
        <v/>
      </c>
      <c r="AF37" s="11">
        <f>Inputs!$F$142*(1+Inputs!$F$143/100)^(Time!AF21-2018)*Inputs!$F$41</f>
        <v/>
      </c>
      <c r="AG37" s="11">
        <f>Inputs!$F$142*(1+Inputs!$F$143/100)^(Time!AG21-2018)*Inputs!$F$41</f>
        <v/>
      </c>
      <c r="AH37" s="11">
        <f>Inputs!$F$142*(1+Inputs!$F$143/100)^(Time!AH21-2018)*Inputs!$F$41</f>
        <v/>
      </c>
      <c r="AI37" s="11">
        <f>Inputs!$F$142*(1+Inputs!$F$143/100)^(Time!AI21-2018)*Inputs!$F$41</f>
        <v/>
      </c>
      <c r="AJ37" s="11">
        <f>Inputs!$F$142*(1+Inputs!$F$143/100)^(Time!AJ21-2018)*Inputs!$F$41</f>
        <v/>
      </c>
      <c r="AK37" s="11">
        <f>Inputs!$F$142*(1+Inputs!$F$143/100)^(Time!AK21-2018)*Inputs!$F$41</f>
        <v/>
      </c>
      <c r="AL37" s="11">
        <f>Inputs!$F$142*(1+Inputs!$F$143/100)^(Time!AL21-2018)*Inputs!$F$41</f>
        <v/>
      </c>
      <c r="AM37" s="11">
        <f>Inputs!$F$142*(1+Inputs!$F$143/100)^(Time!AM21-2018)*Inputs!$F$41</f>
        <v/>
      </c>
      <c r="AN37" s="11">
        <f>Inputs!$F$142*(1+Inputs!$F$143/100)^(Time!AN21-2018)*Inputs!$F$41</f>
        <v/>
      </c>
      <c r="AO37" s="11">
        <f>Inputs!$F$142*(1+Inputs!$F$143/100)^(Time!AO21-2018)*Inputs!$F$41</f>
        <v/>
      </c>
      <c r="AP37" s="11">
        <f>Inputs!$F$142*(1+Inputs!$F$143/100)^(Time!AP21-2018)*Inputs!$F$41</f>
        <v/>
      </c>
      <c r="AQ37" s="11">
        <f>Inputs!$F$142*(1+Inputs!$F$143/100)^(Time!AQ21-2018)*Inputs!$F$41</f>
        <v/>
      </c>
      <c r="AR37" s="11">
        <f>Inputs!$F$142*(1+Inputs!$F$143/100)^(Time!AR21-2018)*Inputs!$F$41</f>
        <v/>
      </c>
      <c r="AS37" s="11">
        <f>Inputs!$F$142*(1+Inputs!$F$143/100)^(Time!AS21-2018)*Inputs!$F$41</f>
        <v/>
      </c>
      <c r="AT37" s="11">
        <f>Inputs!$F$142*(1+Inputs!$F$143/100)^(Time!AT21-2018)*Inputs!$F$41</f>
        <v/>
      </c>
      <c r="AU37" s="11">
        <f>Inputs!$F$142*(1+Inputs!$F$143/100)^(Time!AU21-2018)*Inputs!$F$41</f>
        <v/>
      </c>
      <c r="AV37" s="11">
        <f>Inputs!$F$142*(1+Inputs!$F$143/100)^(Time!AV21-2018)*Inputs!$F$41</f>
        <v/>
      </c>
      <c r="AW37" s="11">
        <f>Inputs!$F$142*(1+Inputs!$F$143/100)^(Time!AW21-2018)*Inputs!$F$41</f>
        <v/>
      </c>
      <c r="AX37" s="11">
        <f>Inputs!$F$142*(1+Inputs!$F$143/100)^(Time!AX21-2018)*Inputs!$F$41</f>
        <v/>
      </c>
      <c r="AY37" s="11">
        <f>Inputs!$F$142*(1+Inputs!$F$143/100)^(Time!AY21-2018)*Inputs!$F$41</f>
        <v/>
      </c>
      <c r="AZ37" s="11">
        <f>Inputs!$F$142*(1+Inputs!$F$143/100)^(Time!AZ21-2018)*Inputs!$F$41</f>
        <v/>
      </c>
      <c r="BA37" s="11">
        <f>Inputs!$F$142*(1+Inputs!$F$143/100)^(Time!BA21-2018)*Inputs!$F$41</f>
        <v/>
      </c>
      <c r="BB37" s="11">
        <f>Inputs!$F$142*(1+Inputs!$F$143/100)^(Time!BB21-2018)*Inputs!$F$41</f>
        <v/>
      </c>
      <c r="BC37" s="11">
        <f>Inputs!$F$142*(1+Inputs!$F$143/100)^(Time!BC21-2018)*Inputs!$F$41</f>
        <v/>
      </c>
      <c r="BD37" s="11">
        <f>Inputs!$F$142*(1+Inputs!$F$143/100)^(Time!BD21-2018)*Inputs!$F$41</f>
        <v/>
      </c>
      <c r="BE37" s="11">
        <f>Inputs!$F$142*(1+Inputs!$F$143/100)^(Time!BE21-2018)*Inputs!$F$41</f>
        <v/>
      </c>
      <c r="BF37" s="11">
        <f>Inputs!$F$142*(1+Inputs!$F$143/100)^(Time!BF21-2018)*Inputs!$F$41</f>
        <v/>
      </c>
      <c r="BG37" s="11">
        <f>Inputs!$F$142*(1+Inputs!$F$143/100)^(Time!BG21-2018)*Inputs!$F$41</f>
        <v/>
      </c>
      <c r="BH37" s="11">
        <f>Inputs!$F$142*(1+Inputs!$F$143/100)^(Time!BH21-2018)*Inputs!$F$41</f>
        <v/>
      </c>
      <c r="BI37" s="11">
        <f>Inputs!$F$142*(1+Inputs!$F$143/100)^(Time!BI21-2018)*Inputs!$F$41</f>
        <v/>
      </c>
      <c r="BJ37" s="11">
        <f>Inputs!$F$142*(1+Inputs!$F$143/100)^(Time!BJ21-2018)*Inputs!$F$41</f>
        <v/>
      </c>
      <c r="BK37" s="11">
        <f>Inputs!$F$142*(1+Inputs!$F$143/100)^(Time!BK21-2018)*Inputs!$F$41</f>
        <v/>
      </c>
      <c r="BL37" s="11">
        <f>Inputs!$F$142*(1+Inputs!$F$143/100)^(Time!BL21-2018)*Inputs!$F$41</f>
        <v/>
      </c>
      <c r="BM37" s="11">
        <f>Inputs!$F$142*(1+Inputs!$F$143/100)^(Time!BM21-2018)*Inputs!$F$41</f>
        <v/>
      </c>
      <c r="BN37" s="11">
        <f>Inputs!$F$142*(1+Inputs!$F$143/100)^(Time!BN21-2018)*Inputs!$F$41</f>
        <v/>
      </c>
    </row>
    <row r="38">
      <c r="D38" t="inlineStr">
        <is>
          <t>Gas burned</t>
        </is>
      </c>
      <c r="E38" t="inlineStr">
        <is>
          <t>MMBtu</t>
        </is>
      </c>
      <c r="J38" s="13">
        <f>J34*J35*(1000*Inputs!$F$123/Inputs!$F$124)</f>
        <v/>
      </c>
      <c r="K38" s="13">
        <f>K34*K35*(1000*Inputs!$F$123/Inputs!$F$124)</f>
        <v/>
      </c>
      <c r="L38" s="13">
        <f>L34*L35*(1000*Inputs!$F$123/Inputs!$F$124)</f>
        <v/>
      </c>
      <c r="M38" s="13">
        <f>M34*M35*(1000*Inputs!$F$123/Inputs!$F$124)</f>
        <v/>
      </c>
      <c r="N38" s="13">
        <f>N34*N35*(1000*Inputs!$F$123/Inputs!$F$124)</f>
        <v/>
      </c>
      <c r="O38" s="13">
        <f>O34*O35*(1000*Inputs!$F$123/Inputs!$F$124)</f>
        <v/>
      </c>
      <c r="P38" s="13">
        <f>P34*P35*(1000*Inputs!$F$123/Inputs!$F$124)</f>
        <v/>
      </c>
      <c r="Q38" s="13">
        <f>Q34*Q35*(1000*Inputs!$F$123/Inputs!$F$124)</f>
        <v/>
      </c>
      <c r="R38" s="13">
        <f>R34*R35*(1000*Inputs!$F$123/Inputs!$F$124)</f>
        <v/>
      </c>
      <c r="S38" s="13">
        <f>S34*S35*(1000*Inputs!$F$123/Inputs!$F$124)</f>
        <v/>
      </c>
      <c r="T38" s="13">
        <f>T34*T35*(1000*Inputs!$F$123/Inputs!$F$124)</f>
        <v/>
      </c>
      <c r="U38" s="13">
        <f>U34*U35*(1000*Inputs!$F$123/Inputs!$F$124)</f>
        <v/>
      </c>
      <c r="V38" s="13">
        <f>V34*V35*(1000*Inputs!$F$123/Inputs!$F$124)</f>
        <v/>
      </c>
      <c r="W38" s="13">
        <f>W34*W35*(1000*Inputs!$F$123/Inputs!$F$124)</f>
        <v/>
      </c>
      <c r="X38" s="13">
        <f>X34*X35*(1000*Inputs!$F$123/Inputs!$F$124)</f>
        <v/>
      </c>
      <c r="Y38" s="13">
        <f>Y34*Y35*(1000*Inputs!$F$123/Inputs!$F$124)</f>
        <v/>
      </c>
      <c r="Z38" s="13">
        <f>Z34*Z35*(1000*Inputs!$F$123/Inputs!$F$124)</f>
        <v/>
      </c>
      <c r="AA38" s="13">
        <f>AA34*AA35*(1000*Inputs!$F$123/Inputs!$F$124)</f>
        <v/>
      </c>
      <c r="AB38" s="13">
        <f>AB34*AB35*(1000*Inputs!$F$123/Inputs!$F$124)</f>
        <v/>
      </c>
      <c r="AC38" s="13">
        <f>AC34*AC35*(1000*Inputs!$F$123/Inputs!$F$124)</f>
        <v/>
      </c>
      <c r="AD38" s="13">
        <f>AD34*AD35*(1000*Inputs!$F$123/Inputs!$F$124)</f>
        <v/>
      </c>
      <c r="AE38" s="13">
        <f>AE34*AE35*(1000*Inputs!$F$123/Inputs!$F$124)</f>
        <v/>
      </c>
      <c r="AF38" s="13">
        <f>AF34*AF35*(1000*Inputs!$F$123/Inputs!$F$124)</f>
        <v/>
      </c>
      <c r="AG38" s="13">
        <f>AG34*AG35*(1000*Inputs!$F$123/Inputs!$F$124)</f>
        <v/>
      </c>
      <c r="AH38" s="13">
        <f>AH34*AH35*(1000*Inputs!$F$123/Inputs!$F$124)</f>
        <v/>
      </c>
      <c r="AI38" s="13">
        <f>AI34*AI35*(1000*Inputs!$F$123/Inputs!$F$124)</f>
        <v/>
      </c>
      <c r="AJ38" s="13">
        <f>AJ34*AJ35*(1000*Inputs!$F$123/Inputs!$F$124)</f>
        <v/>
      </c>
      <c r="AK38" s="13">
        <f>AK34*AK35*(1000*Inputs!$F$123/Inputs!$F$124)</f>
        <v/>
      </c>
      <c r="AL38" s="13">
        <f>AL34*AL35*(1000*Inputs!$F$123/Inputs!$F$124)</f>
        <v/>
      </c>
      <c r="AM38" s="13">
        <f>AM34*AM35*(1000*Inputs!$F$123/Inputs!$F$124)</f>
        <v/>
      </c>
      <c r="AN38" s="13">
        <f>AN34*AN35*(1000*Inputs!$F$123/Inputs!$F$124)</f>
        <v/>
      </c>
      <c r="AO38" s="13">
        <f>AO34*AO35*(1000*Inputs!$F$123/Inputs!$F$124)</f>
        <v/>
      </c>
      <c r="AP38" s="13">
        <f>AP34*AP35*(1000*Inputs!$F$123/Inputs!$F$124)</f>
        <v/>
      </c>
      <c r="AQ38" s="13">
        <f>AQ34*AQ35*(1000*Inputs!$F$123/Inputs!$F$124)</f>
        <v/>
      </c>
      <c r="AR38" s="13">
        <f>AR34*AR35*(1000*Inputs!$F$123/Inputs!$F$124)</f>
        <v/>
      </c>
      <c r="AS38" s="13">
        <f>AS34*AS35*(1000*Inputs!$F$123/Inputs!$F$124)</f>
        <v/>
      </c>
      <c r="AT38" s="13">
        <f>AT34*AT35*(1000*Inputs!$F$123/Inputs!$F$124)</f>
        <v/>
      </c>
      <c r="AU38" s="13">
        <f>AU34*AU35*(1000*Inputs!$F$123/Inputs!$F$124)</f>
        <v/>
      </c>
      <c r="AV38" s="13">
        <f>AV34*AV35*(1000*Inputs!$F$123/Inputs!$F$124)</f>
        <v/>
      </c>
      <c r="AW38" s="13">
        <f>AW34*AW35*(1000*Inputs!$F$123/Inputs!$F$124)</f>
        <v/>
      </c>
      <c r="AX38" s="13">
        <f>AX34*AX35*(1000*Inputs!$F$123/Inputs!$F$124)</f>
        <v/>
      </c>
      <c r="AY38" s="13">
        <f>AY34*AY35*(1000*Inputs!$F$123/Inputs!$F$124)</f>
        <v/>
      </c>
      <c r="AZ38" s="13">
        <f>AZ34*AZ35*(1000*Inputs!$F$123/Inputs!$F$124)</f>
        <v/>
      </c>
      <c r="BA38" s="13">
        <f>BA34*BA35*(1000*Inputs!$F$123/Inputs!$F$124)</f>
        <v/>
      </c>
      <c r="BB38" s="13">
        <f>BB34*BB35*(1000*Inputs!$F$123/Inputs!$F$124)</f>
        <v/>
      </c>
      <c r="BC38" s="13">
        <f>BC34*BC35*(1000*Inputs!$F$123/Inputs!$F$124)</f>
        <v/>
      </c>
      <c r="BD38" s="13">
        <f>BD34*BD35*(1000*Inputs!$F$123/Inputs!$F$124)</f>
        <v/>
      </c>
      <c r="BE38" s="13">
        <f>BE34*BE35*(1000*Inputs!$F$123/Inputs!$F$124)</f>
        <v/>
      </c>
      <c r="BF38" s="13">
        <f>BF34*BF35*(1000*Inputs!$F$123/Inputs!$F$124)</f>
        <v/>
      </c>
      <c r="BG38" s="13">
        <f>BG34*BG35*(1000*Inputs!$F$123/Inputs!$F$124)</f>
        <v/>
      </c>
      <c r="BH38" s="13">
        <f>BH34*BH35*(1000*Inputs!$F$123/Inputs!$F$124)</f>
        <v/>
      </c>
      <c r="BI38" s="13">
        <f>BI34*BI35*(1000*Inputs!$F$123/Inputs!$F$124)</f>
        <v/>
      </c>
      <c r="BJ38" s="13">
        <f>BJ34*BJ35*(1000*Inputs!$F$123/Inputs!$F$124)</f>
        <v/>
      </c>
      <c r="BK38" s="13">
        <f>BK34*BK35*(1000*Inputs!$F$123/Inputs!$F$124)</f>
        <v/>
      </c>
      <c r="BL38" s="13">
        <f>BL34*BL35*(1000*Inputs!$F$123/Inputs!$F$124)</f>
        <v/>
      </c>
      <c r="BM38" s="13">
        <f>BM34*BM35*(1000*Inputs!$F$123/Inputs!$F$124)</f>
        <v/>
      </c>
      <c r="BN38" s="13">
        <f>BN34*BN35*(1000*Inputs!$F$123/Inputs!$F$124)</f>
        <v/>
      </c>
    </row>
    <row r="39">
      <c r="D39" t="inlineStr">
        <is>
          <t>Take-or-pay quantity</t>
        </is>
      </c>
      <c r="E39" t="inlineStr">
        <is>
          <t>MMBtu</t>
        </is>
      </c>
      <c r="J39" s="13">
        <f>Inputs!$F$145*Inputs!$F$144*Time!J26</f>
        <v/>
      </c>
      <c r="K39" s="13">
        <f>Inputs!$F$145*Inputs!$F$144*Time!K26</f>
        <v/>
      </c>
      <c r="L39" s="13">
        <f>Inputs!$F$145*Inputs!$F$144*Time!L26</f>
        <v/>
      </c>
      <c r="M39" s="13">
        <f>Inputs!$F$145*Inputs!$F$144*Time!M26</f>
        <v/>
      </c>
      <c r="N39" s="13">
        <f>Inputs!$F$145*Inputs!$F$144*Time!N26</f>
        <v/>
      </c>
      <c r="O39" s="13">
        <f>Inputs!$F$145*Inputs!$F$144*Time!O26</f>
        <v/>
      </c>
      <c r="P39" s="13">
        <f>Inputs!$F$145*Inputs!$F$144*Time!P26</f>
        <v/>
      </c>
      <c r="Q39" s="13">
        <f>Inputs!$F$145*Inputs!$F$144*Time!Q26</f>
        <v/>
      </c>
      <c r="R39" s="13">
        <f>Inputs!$F$145*Inputs!$F$144*Time!R26</f>
        <v/>
      </c>
      <c r="S39" s="13">
        <f>Inputs!$F$145*Inputs!$F$144*Time!S26</f>
        <v/>
      </c>
      <c r="T39" s="13">
        <f>Inputs!$F$145*Inputs!$F$144*Time!T26</f>
        <v/>
      </c>
      <c r="U39" s="13">
        <f>Inputs!$F$145*Inputs!$F$144*Time!U26</f>
        <v/>
      </c>
      <c r="V39" s="13">
        <f>Inputs!$F$145*Inputs!$F$144*Time!V26</f>
        <v/>
      </c>
      <c r="W39" s="13">
        <f>Inputs!$F$145*Inputs!$F$144*Time!W26</f>
        <v/>
      </c>
      <c r="X39" s="13">
        <f>Inputs!$F$145*Inputs!$F$144*Time!X26</f>
        <v/>
      </c>
      <c r="Y39" s="13">
        <f>Inputs!$F$145*Inputs!$F$144*Time!Y26</f>
        <v/>
      </c>
      <c r="Z39" s="13">
        <f>Inputs!$F$145*Inputs!$F$144*Time!Z26</f>
        <v/>
      </c>
      <c r="AA39" s="13">
        <f>Inputs!$F$145*Inputs!$F$144*Time!AA26</f>
        <v/>
      </c>
      <c r="AB39" s="13">
        <f>Inputs!$F$145*Inputs!$F$144*Time!AB26</f>
        <v/>
      </c>
      <c r="AC39" s="13">
        <f>Inputs!$F$145*Inputs!$F$144*Time!AC26</f>
        <v/>
      </c>
      <c r="AD39" s="13">
        <f>Inputs!$F$145*Inputs!$F$144*Time!AD26</f>
        <v/>
      </c>
      <c r="AE39" s="13">
        <f>Inputs!$F$145*Inputs!$F$144*Time!AE26</f>
        <v/>
      </c>
      <c r="AF39" s="13">
        <f>Inputs!$F$145*Inputs!$F$144*Time!AF26</f>
        <v/>
      </c>
      <c r="AG39" s="13">
        <f>Inputs!$F$145*Inputs!$F$144*Time!AG26</f>
        <v/>
      </c>
      <c r="AH39" s="13">
        <f>Inputs!$F$145*Inputs!$F$144*Time!AH26</f>
        <v/>
      </c>
      <c r="AI39" s="13">
        <f>Inputs!$F$145*Inputs!$F$144*Time!AI26</f>
        <v/>
      </c>
      <c r="AJ39" s="13">
        <f>Inputs!$F$145*Inputs!$F$144*Time!AJ26</f>
        <v/>
      </c>
      <c r="AK39" s="13">
        <f>Inputs!$F$145*Inputs!$F$144*Time!AK26</f>
        <v/>
      </c>
      <c r="AL39" s="13">
        <f>Inputs!$F$145*Inputs!$F$144*Time!AL26</f>
        <v/>
      </c>
      <c r="AM39" s="13">
        <f>Inputs!$F$145*Inputs!$F$144*Time!AM26</f>
        <v/>
      </c>
      <c r="AN39" s="13">
        <f>Inputs!$F$145*Inputs!$F$144*Time!AN26</f>
        <v/>
      </c>
      <c r="AO39" s="13">
        <f>Inputs!$F$145*Inputs!$F$144*Time!AO26</f>
        <v/>
      </c>
      <c r="AP39" s="13">
        <f>Inputs!$F$145*Inputs!$F$144*Time!AP26</f>
        <v/>
      </c>
      <c r="AQ39" s="13">
        <f>Inputs!$F$145*Inputs!$F$144*Time!AQ26</f>
        <v/>
      </c>
      <c r="AR39" s="13">
        <f>Inputs!$F$145*Inputs!$F$144*Time!AR26</f>
        <v/>
      </c>
      <c r="AS39" s="13">
        <f>Inputs!$F$145*Inputs!$F$144*Time!AS26</f>
        <v/>
      </c>
      <c r="AT39" s="13">
        <f>Inputs!$F$145*Inputs!$F$144*Time!AT26</f>
        <v/>
      </c>
      <c r="AU39" s="13">
        <f>Inputs!$F$145*Inputs!$F$144*Time!AU26</f>
        <v/>
      </c>
      <c r="AV39" s="13">
        <f>Inputs!$F$145*Inputs!$F$144*Time!AV26</f>
        <v/>
      </c>
      <c r="AW39" s="13">
        <f>Inputs!$F$145*Inputs!$F$144*Time!AW26</f>
        <v/>
      </c>
      <c r="AX39" s="13">
        <f>Inputs!$F$145*Inputs!$F$144*Time!AX26</f>
        <v/>
      </c>
      <c r="AY39" s="13">
        <f>Inputs!$F$145*Inputs!$F$144*Time!AY26</f>
        <v/>
      </c>
      <c r="AZ39" s="13">
        <f>Inputs!$F$145*Inputs!$F$144*Time!AZ26</f>
        <v/>
      </c>
      <c r="BA39" s="13">
        <f>Inputs!$F$145*Inputs!$F$144*Time!BA26</f>
        <v/>
      </c>
      <c r="BB39" s="13">
        <f>Inputs!$F$145*Inputs!$F$144*Time!BB26</f>
        <v/>
      </c>
      <c r="BC39" s="13">
        <f>Inputs!$F$145*Inputs!$F$144*Time!BC26</f>
        <v/>
      </c>
      <c r="BD39" s="13">
        <f>Inputs!$F$145*Inputs!$F$144*Time!BD26</f>
        <v/>
      </c>
      <c r="BE39" s="13">
        <f>Inputs!$F$145*Inputs!$F$144*Time!BE26</f>
        <v/>
      </c>
      <c r="BF39" s="13">
        <f>Inputs!$F$145*Inputs!$F$144*Time!BF26</f>
        <v/>
      </c>
      <c r="BG39" s="13">
        <f>Inputs!$F$145*Inputs!$F$144*Time!BG26</f>
        <v/>
      </c>
      <c r="BH39" s="13">
        <f>Inputs!$F$145*Inputs!$F$144*Time!BH26</f>
        <v/>
      </c>
      <c r="BI39" s="13">
        <f>Inputs!$F$145*Inputs!$F$144*Time!BI26</f>
        <v/>
      </c>
      <c r="BJ39" s="13">
        <f>Inputs!$F$145*Inputs!$F$144*Time!BJ26</f>
        <v/>
      </c>
      <c r="BK39" s="13">
        <f>Inputs!$F$145*Inputs!$F$144*Time!BK26</f>
        <v/>
      </c>
      <c r="BL39" s="13">
        <f>Inputs!$F$145*Inputs!$F$144*Time!BL26</f>
        <v/>
      </c>
      <c r="BM39" s="13">
        <f>Inputs!$F$145*Inputs!$F$144*Time!BM26</f>
        <v/>
      </c>
      <c r="BN39" s="13">
        <f>Inputs!$F$145*Inputs!$F$144*Time!BN26</f>
        <v/>
      </c>
    </row>
    <row r="40">
      <c r="B40" s="2" t="inlineStr">
        <is>
          <t>Revenue (USD m)</t>
        </is>
      </c>
    </row>
    <row r="41">
      <c r="D41" t="inlineStr">
        <is>
          <t>Capital charge, indexed</t>
        </is>
      </c>
      <c r="E41" t="inlineStr">
        <is>
          <t>USD/kW-month</t>
        </is>
      </c>
      <c r="J41" s="11">
        <f>Inputs!$F$134*Inputs!$F$54*(1-Inputs!$F$135+Inputs!$F$135*J18/100)</f>
        <v/>
      </c>
      <c r="K41" s="11">
        <f>Inputs!$F$134*Inputs!$F$54*(1-Inputs!$F$135+Inputs!$F$135*K18/100)</f>
        <v/>
      </c>
      <c r="L41" s="11">
        <f>Inputs!$F$134*Inputs!$F$54*(1-Inputs!$F$135+Inputs!$F$135*L18/100)</f>
        <v/>
      </c>
      <c r="M41" s="11">
        <f>Inputs!$F$134*Inputs!$F$54*(1-Inputs!$F$135+Inputs!$F$135*M18/100)</f>
        <v/>
      </c>
      <c r="N41" s="11">
        <f>Inputs!$F$134*Inputs!$F$54*(1-Inputs!$F$135+Inputs!$F$135*N18/100)</f>
        <v/>
      </c>
      <c r="O41" s="11">
        <f>Inputs!$F$134*Inputs!$F$54*(1-Inputs!$F$135+Inputs!$F$135*O18/100)</f>
        <v/>
      </c>
      <c r="P41" s="11">
        <f>Inputs!$F$134*Inputs!$F$54*(1-Inputs!$F$135+Inputs!$F$135*P18/100)</f>
        <v/>
      </c>
      <c r="Q41" s="11">
        <f>Inputs!$F$134*Inputs!$F$54*(1-Inputs!$F$135+Inputs!$F$135*Q18/100)</f>
        <v/>
      </c>
      <c r="R41" s="11">
        <f>Inputs!$F$134*Inputs!$F$54*(1-Inputs!$F$135+Inputs!$F$135*R18/100)</f>
        <v/>
      </c>
      <c r="S41" s="11">
        <f>Inputs!$F$134*Inputs!$F$54*(1-Inputs!$F$135+Inputs!$F$135*S18/100)</f>
        <v/>
      </c>
      <c r="T41" s="11">
        <f>Inputs!$F$134*Inputs!$F$54*(1-Inputs!$F$135+Inputs!$F$135*T18/100)</f>
        <v/>
      </c>
      <c r="U41" s="11">
        <f>Inputs!$F$134*Inputs!$F$54*(1-Inputs!$F$135+Inputs!$F$135*U18/100)</f>
        <v/>
      </c>
      <c r="V41" s="11">
        <f>Inputs!$F$134*Inputs!$F$54*(1-Inputs!$F$135+Inputs!$F$135*V18/100)</f>
        <v/>
      </c>
      <c r="W41" s="11">
        <f>Inputs!$F$134*Inputs!$F$54*(1-Inputs!$F$135+Inputs!$F$135*W18/100)</f>
        <v/>
      </c>
      <c r="X41" s="11">
        <f>Inputs!$F$134*Inputs!$F$54*(1-Inputs!$F$135+Inputs!$F$135*X18/100)</f>
        <v/>
      </c>
      <c r="Y41" s="11">
        <f>Inputs!$F$134*Inputs!$F$54*(1-Inputs!$F$135+Inputs!$F$135*Y18/100)</f>
        <v/>
      </c>
      <c r="Z41" s="11">
        <f>Inputs!$F$134*Inputs!$F$54*(1-Inputs!$F$135+Inputs!$F$135*Z18/100)</f>
        <v/>
      </c>
      <c r="AA41" s="11">
        <f>Inputs!$F$134*Inputs!$F$54*(1-Inputs!$F$135+Inputs!$F$135*AA18/100)</f>
        <v/>
      </c>
      <c r="AB41" s="11">
        <f>Inputs!$F$134*Inputs!$F$54*(1-Inputs!$F$135+Inputs!$F$135*AB18/100)</f>
        <v/>
      </c>
      <c r="AC41" s="11">
        <f>Inputs!$F$134*Inputs!$F$54*(1-Inputs!$F$135+Inputs!$F$135*AC18/100)</f>
        <v/>
      </c>
      <c r="AD41" s="11">
        <f>Inputs!$F$134*Inputs!$F$54*(1-Inputs!$F$135+Inputs!$F$135*AD18/100)</f>
        <v/>
      </c>
      <c r="AE41" s="11">
        <f>Inputs!$F$134*Inputs!$F$54*(1-Inputs!$F$135+Inputs!$F$135*AE18/100)</f>
        <v/>
      </c>
      <c r="AF41" s="11">
        <f>Inputs!$F$134*Inputs!$F$54*(1-Inputs!$F$135+Inputs!$F$135*AF18/100)</f>
        <v/>
      </c>
      <c r="AG41" s="11">
        <f>Inputs!$F$134*Inputs!$F$54*(1-Inputs!$F$135+Inputs!$F$135*AG18/100)</f>
        <v/>
      </c>
      <c r="AH41" s="11">
        <f>Inputs!$F$134*Inputs!$F$54*(1-Inputs!$F$135+Inputs!$F$135*AH18/100)</f>
        <v/>
      </c>
      <c r="AI41" s="11">
        <f>Inputs!$F$134*Inputs!$F$54*(1-Inputs!$F$135+Inputs!$F$135*AI18/100)</f>
        <v/>
      </c>
      <c r="AJ41" s="11">
        <f>Inputs!$F$134*Inputs!$F$54*(1-Inputs!$F$135+Inputs!$F$135*AJ18/100)</f>
        <v/>
      </c>
      <c r="AK41" s="11">
        <f>Inputs!$F$134*Inputs!$F$54*(1-Inputs!$F$135+Inputs!$F$135*AK18/100)</f>
        <v/>
      </c>
      <c r="AL41" s="11">
        <f>Inputs!$F$134*Inputs!$F$54*(1-Inputs!$F$135+Inputs!$F$135*AL18/100)</f>
        <v/>
      </c>
      <c r="AM41" s="11">
        <f>Inputs!$F$134*Inputs!$F$54*(1-Inputs!$F$135+Inputs!$F$135*AM18/100)</f>
        <v/>
      </c>
      <c r="AN41" s="11">
        <f>Inputs!$F$134*Inputs!$F$54*(1-Inputs!$F$135+Inputs!$F$135*AN18/100)</f>
        <v/>
      </c>
      <c r="AO41" s="11">
        <f>Inputs!$F$134*Inputs!$F$54*(1-Inputs!$F$135+Inputs!$F$135*AO18/100)</f>
        <v/>
      </c>
      <c r="AP41" s="11">
        <f>Inputs!$F$134*Inputs!$F$54*(1-Inputs!$F$135+Inputs!$F$135*AP18/100)</f>
        <v/>
      </c>
      <c r="AQ41" s="11">
        <f>Inputs!$F$134*Inputs!$F$54*(1-Inputs!$F$135+Inputs!$F$135*AQ18/100)</f>
        <v/>
      </c>
      <c r="AR41" s="11">
        <f>Inputs!$F$134*Inputs!$F$54*(1-Inputs!$F$135+Inputs!$F$135*AR18/100)</f>
        <v/>
      </c>
      <c r="AS41" s="11">
        <f>Inputs!$F$134*Inputs!$F$54*(1-Inputs!$F$135+Inputs!$F$135*AS18/100)</f>
        <v/>
      </c>
      <c r="AT41" s="11">
        <f>Inputs!$F$134*Inputs!$F$54*(1-Inputs!$F$135+Inputs!$F$135*AT18/100)</f>
        <v/>
      </c>
      <c r="AU41" s="11">
        <f>Inputs!$F$134*Inputs!$F$54*(1-Inputs!$F$135+Inputs!$F$135*AU18/100)</f>
        <v/>
      </c>
      <c r="AV41" s="11">
        <f>Inputs!$F$134*Inputs!$F$54*(1-Inputs!$F$135+Inputs!$F$135*AV18/100)</f>
        <v/>
      </c>
      <c r="AW41" s="11">
        <f>Inputs!$F$134*Inputs!$F$54*(1-Inputs!$F$135+Inputs!$F$135*AW18/100)</f>
        <v/>
      </c>
      <c r="AX41" s="11">
        <f>Inputs!$F$134*Inputs!$F$54*(1-Inputs!$F$135+Inputs!$F$135*AX18/100)</f>
        <v/>
      </c>
      <c r="AY41" s="11">
        <f>Inputs!$F$134*Inputs!$F$54*(1-Inputs!$F$135+Inputs!$F$135*AY18/100)</f>
        <v/>
      </c>
      <c r="AZ41" s="11">
        <f>Inputs!$F$134*Inputs!$F$54*(1-Inputs!$F$135+Inputs!$F$135*AZ18/100)</f>
        <v/>
      </c>
      <c r="BA41" s="11">
        <f>Inputs!$F$134*Inputs!$F$54*(1-Inputs!$F$135+Inputs!$F$135*BA18/100)</f>
        <v/>
      </c>
      <c r="BB41" s="11">
        <f>Inputs!$F$134*Inputs!$F$54*(1-Inputs!$F$135+Inputs!$F$135*BB18/100)</f>
        <v/>
      </c>
      <c r="BC41" s="11">
        <f>Inputs!$F$134*Inputs!$F$54*(1-Inputs!$F$135+Inputs!$F$135*BC18/100)</f>
        <v/>
      </c>
      <c r="BD41" s="11">
        <f>Inputs!$F$134*Inputs!$F$54*(1-Inputs!$F$135+Inputs!$F$135*BD18/100)</f>
        <v/>
      </c>
      <c r="BE41" s="11">
        <f>Inputs!$F$134*Inputs!$F$54*(1-Inputs!$F$135+Inputs!$F$135*BE18/100)</f>
        <v/>
      </c>
      <c r="BF41" s="11">
        <f>Inputs!$F$134*Inputs!$F$54*(1-Inputs!$F$135+Inputs!$F$135*BF18/100)</f>
        <v/>
      </c>
      <c r="BG41" s="11">
        <f>Inputs!$F$134*Inputs!$F$54*(1-Inputs!$F$135+Inputs!$F$135*BG18/100)</f>
        <v/>
      </c>
      <c r="BH41" s="11">
        <f>Inputs!$F$134*Inputs!$F$54*(1-Inputs!$F$135+Inputs!$F$135*BH18/100)</f>
        <v/>
      </c>
      <c r="BI41" s="11">
        <f>Inputs!$F$134*Inputs!$F$54*(1-Inputs!$F$135+Inputs!$F$135*BI18/100)</f>
        <v/>
      </c>
      <c r="BJ41" s="11">
        <f>Inputs!$F$134*Inputs!$F$54*(1-Inputs!$F$135+Inputs!$F$135*BJ18/100)</f>
        <v/>
      </c>
      <c r="BK41" s="11">
        <f>Inputs!$F$134*Inputs!$F$54*(1-Inputs!$F$135+Inputs!$F$135*BK18/100)</f>
        <v/>
      </c>
      <c r="BL41" s="11">
        <f>Inputs!$F$134*Inputs!$F$54*(1-Inputs!$F$135+Inputs!$F$135*BL18/100)</f>
        <v/>
      </c>
      <c r="BM41" s="11">
        <f>Inputs!$F$134*Inputs!$F$54*(1-Inputs!$F$135+Inputs!$F$135*BM18/100)</f>
        <v/>
      </c>
      <c r="BN41" s="11">
        <f>Inputs!$F$134*Inputs!$F$54*(1-Inputs!$F$135+Inputs!$F$135*BN18/100)</f>
        <v/>
      </c>
    </row>
    <row r="42">
      <c r="D42" t="inlineStr">
        <is>
          <t>Fixed O&amp;M charge, indexed</t>
        </is>
      </c>
      <c r="E42" t="inlineStr">
        <is>
          <t>USD/kW-month</t>
        </is>
      </c>
      <c r="J42" s="11">
        <f>Inputs!$F$136*(Inputs!$F$137*J18/100+(1-Inputs!$F$137)*J22/100*Inputs!$F$138/J11)</f>
        <v/>
      </c>
      <c r="K42" s="11">
        <f>Inputs!$F$136*(Inputs!$F$137*K18/100+(1-Inputs!$F$137)*K22/100*Inputs!$F$138/K11)</f>
        <v/>
      </c>
      <c r="L42" s="11">
        <f>Inputs!$F$136*(Inputs!$F$137*L18/100+(1-Inputs!$F$137)*L22/100*Inputs!$F$138/L11)</f>
        <v/>
      </c>
      <c r="M42" s="11">
        <f>Inputs!$F$136*(Inputs!$F$137*M18/100+(1-Inputs!$F$137)*M22/100*Inputs!$F$138/M11)</f>
        <v/>
      </c>
      <c r="N42" s="11">
        <f>Inputs!$F$136*(Inputs!$F$137*N18/100+(1-Inputs!$F$137)*N22/100*Inputs!$F$138/N11)</f>
        <v/>
      </c>
      <c r="O42" s="11">
        <f>Inputs!$F$136*(Inputs!$F$137*O18/100+(1-Inputs!$F$137)*O22/100*Inputs!$F$138/O11)</f>
        <v/>
      </c>
      <c r="P42" s="11">
        <f>Inputs!$F$136*(Inputs!$F$137*P18/100+(1-Inputs!$F$137)*P22/100*Inputs!$F$138/P11)</f>
        <v/>
      </c>
      <c r="Q42" s="11">
        <f>Inputs!$F$136*(Inputs!$F$137*Q18/100+(1-Inputs!$F$137)*Q22/100*Inputs!$F$138/Q11)</f>
        <v/>
      </c>
      <c r="R42" s="11">
        <f>Inputs!$F$136*(Inputs!$F$137*R18/100+(1-Inputs!$F$137)*R22/100*Inputs!$F$138/R11)</f>
        <v/>
      </c>
      <c r="S42" s="11">
        <f>Inputs!$F$136*(Inputs!$F$137*S18/100+(1-Inputs!$F$137)*S22/100*Inputs!$F$138/S11)</f>
        <v/>
      </c>
      <c r="T42" s="11">
        <f>Inputs!$F$136*(Inputs!$F$137*T18/100+(1-Inputs!$F$137)*T22/100*Inputs!$F$138/T11)</f>
        <v/>
      </c>
      <c r="U42" s="11">
        <f>Inputs!$F$136*(Inputs!$F$137*U18/100+(1-Inputs!$F$137)*U22/100*Inputs!$F$138/U11)</f>
        <v/>
      </c>
      <c r="V42" s="11">
        <f>Inputs!$F$136*(Inputs!$F$137*V18/100+(1-Inputs!$F$137)*V22/100*Inputs!$F$138/V11)</f>
        <v/>
      </c>
      <c r="W42" s="11">
        <f>Inputs!$F$136*(Inputs!$F$137*W18/100+(1-Inputs!$F$137)*W22/100*Inputs!$F$138/W11)</f>
        <v/>
      </c>
      <c r="X42" s="11">
        <f>Inputs!$F$136*(Inputs!$F$137*X18/100+(1-Inputs!$F$137)*X22/100*Inputs!$F$138/X11)</f>
        <v/>
      </c>
      <c r="Y42" s="11">
        <f>Inputs!$F$136*(Inputs!$F$137*Y18/100+(1-Inputs!$F$137)*Y22/100*Inputs!$F$138/Y11)</f>
        <v/>
      </c>
      <c r="Z42" s="11">
        <f>Inputs!$F$136*(Inputs!$F$137*Z18/100+(1-Inputs!$F$137)*Z22/100*Inputs!$F$138/Z11)</f>
        <v/>
      </c>
      <c r="AA42" s="11">
        <f>Inputs!$F$136*(Inputs!$F$137*AA18/100+(1-Inputs!$F$137)*AA22/100*Inputs!$F$138/AA11)</f>
        <v/>
      </c>
      <c r="AB42" s="11">
        <f>Inputs!$F$136*(Inputs!$F$137*AB18/100+(1-Inputs!$F$137)*AB22/100*Inputs!$F$138/AB11)</f>
        <v/>
      </c>
      <c r="AC42" s="11">
        <f>Inputs!$F$136*(Inputs!$F$137*AC18/100+(1-Inputs!$F$137)*AC22/100*Inputs!$F$138/AC11)</f>
        <v/>
      </c>
      <c r="AD42" s="11">
        <f>Inputs!$F$136*(Inputs!$F$137*AD18/100+(1-Inputs!$F$137)*AD22/100*Inputs!$F$138/AD11)</f>
        <v/>
      </c>
      <c r="AE42" s="11">
        <f>Inputs!$F$136*(Inputs!$F$137*AE18/100+(1-Inputs!$F$137)*AE22/100*Inputs!$F$138/AE11)</f>
        <v/>
      </c>
      <c r="AF42" s="11">
        <f>Inputs!$F$136*(Inputs!$F$137*AF18/100+(1-Inputs!$F$137)*AF22/100*Inputs!$F$138/AF11)</f>
        <v/>
      </c>
      <c r="AG42" s="11">
        <f>Inputs!$F$136*(Inputs!$F$137*AG18/100+(1-Inputs!$F$137)*AG22/100*Inputs!$F$138/AG11)</f>
        <v/>
      </c>
      <c r="AH42" s="11">
        <f>Inputs!$F$136*(Inputs!$F$137*AH18/100+(1-Inputs!$F$137)*AH22/100*Inputs!$F$138/AH11)</f>
        <v/>
      </c>
      <c r="AI42" s="11">
        <f>Inputs!$F$136*(Inputs!$F$137*AI18/100+(1-Inputs!$F$137)*AI22/100*Inputs!$F$138/AI11)</f>
        <v/>
      </c>
      <c r="AJ42" s="11">
        <f>Inputs!$F$136*(Inputs!$F$137*AJ18/100+(1-Inputs!$F$137)*AJ22/100*Inputs!$F$138/AJ11)</f>
        <v/>
      </c>
      <c r="AK42" s="11">
        <f>Inputs!$F$136*(Inputs!$F$137*AK18/100+(1-Inputs!$F$137)*AK22/100*Inputs!$F$138/AK11)</f>
        <v/>
      </c>
      <c r="AL42" s="11">
        <f>Inputs!$F$136*(Inputs!$F$137*AL18/100+(1-Inputs!$F$137)*AL22/100*Inputs!$F$138/AL11)</f>
        <v/>
      </c>
      <c r="AM42" s="11">
        <f>Inputs!$F$136*(Inputs!$F$137*AM18/100+(1-Inputs!$F$137)*AM22/100*Inputs!$F$138/AM11)</f>
        <v/>
      </c>
      <c r="AN42" s="11">
        <f>Inputs!$F$136*(Inputs!$F$137*AN18/100+(1-Inputs!$F$137)*AN22/100*Inputs!$F$138/AN11)</f>
        <v/>
      </c>
      <c r="AO42" s="11">
        <f>Inputs!$F$136*(Inputs!$F$137*AO18/100+(1-Inputs!$F$137)*AO22/100*Inputs!$F$138/AO11)</f>
        <v/>
      </c>
      <c r="AP42" s="11">
        <f>Inputs!$F$136*(Inputs!$F$137*AP18/100+(1-Inputs!$F$137)*AP22/100*Inputs!$F$138/AP11)</f>
        <v/>
      </c>
      <c r="AQ42" s="11">
        <f>Inputs!$F$136*(Inputs!$F$137*AQ18/100+(1-Inputs!$F$137)*AQ22/100*Inputs!$F$138/AQ11)</f>
        <v/>
      </c>
      <c r="AR42" s="11">
        <f>Inputs!$F$136*(Inputs!$F$137*AR18/100+(1-Inputs!$F$137)*AR22/100*Inputs!$F$138/AR11)</f>
        <v/>
      </c>
      <c r="AS42" s="11">
        <f>Inputs!$F$136*(Inputs!$F$137*AS18/100+(1-Inputs!$F$137)*AS22/100*Inputs!$F$138/AS11)</f>
        <v/>
      </c>
      <c r="AT42" s="11">
        <f>Inputs!$F$136*(Inputs!$F$137*AT18/100+(1-Inputs!$F$137)*AT22/100*Inputs!$F$138/AT11)</f>
        <v/>
      </c>
      <c r="AU42" s="11">
        <f>Inputs!$F$136*(Inputs!$F$137*AU18/100+(1-Inputs!$F$137)*AU22/100*Inputs!$F$138/AU11)</f>
        <v/>
      </c>
      <c r="AV42" s="11">
        <f>Inputs!$F$136*(Inputs!$F$137*AV18/100+(1-Inputs!$F$137)*AV22/100*Inputs!$F$138/AV11)</f>
        <v/>
      </c>
      <c r="AW42" s="11">
        <f>Inputs!$F$136*(Inputs!$F$137*AW18/100+(1-Inputs!$F$137)*AW22/100*Inputs!$F$138/AW11)</f>
        <v/>
      </c>
      <c r="AX42" s="11">
        <f>Inputs!$F$136*(Inputs!$F$137*AX18/100+(1-Inputs!$F$137)*AX22/100*Inputs!$F$138/AX11)</f>
        <v/>
      </c>
      <c r="AY42" s="11">
        <f>Inputs!$F$136*(Inputs!$F$137*AY18/100+(1-Inputs!$F$137)*AY22/100*Inputs!$F$138/AY11)</f>
        <v/>
      </c>
      <c r="AZ42" s="11">
        <f>Inputs!$F$136*(Inputs!$F$137*AZ18/100+(1-Inputs!$F$137)*AZ22/100*Inputs!$F$138/AZ11)</f>
        <v/>
      </c>
      <c r="BA42" s="11">
        <f>Inputs!$F$136*(Inputs!$F$137*BA18/100+(1-Inputs!$F$137)*BA22/100*Inputs!$F$138/BA11)</f>
        <v/>
      </c>
      <c r="BB42" s="11">
        <f>Inputs!$F$136*(Inputs!$F$137*BB18/100+(1-Inputs!$F$137)*BB22/100*Inputs!$F$138/BB11)</f>
        <v/>
      </c>
      <c r="BC42" s="11">
        <f>Inputs!$F$136*(Inputs!$F$137*BC18/100+(1-Inputs!$F$137)*BC22/100*Inputs!$F$138/BC11)</f>
        <v/>
      </c>
      <c r="BD42" s="11">
        <f>Inputs!$F$136*(Inputs!$F$137*BD18/100+(1-Inputs!$F$137)*BD22/100*Inputs!$F$138/BD11)</f>
        <v/>
      </c>
      <c r="BE42" s="11">
        <f>Inputs!$F$136*(Inputs!$F$137*BE18/100+(1-Inputs!$F$137)*BE22/100*Inputs!$F$138/BE11)</f>
        <v/>
      </c>
      <c r="BF42" s="11">
        <f>Inputs!$F$136*(Inputs!$F$137*BF18/100+(1-Inputs!$F$137)*BF22/100*Inputs!$F$138/BF11)</f>
        <v/>
      </c>
      <c r="BG42" s="11">
        <f>Inputs!$F$136*(Inputs!$F$137*BG18/100+(1-Inputs!$F$137)*BG22/100*Inputs!$F$138/BG11)</f>
        <v/>
      </c>
      <c r="BH42" s="11">
        <f>Inputs!$F$136*(Inputs!$F$137*BH18/100+(1-Inputs!$F$137)*BH22/100*Inputs!$F$138/BH11)</f>
        <v/>
      </c>
      <c r="BI42" s="11">
        <f>Inputs!$F$136*(Inputs!$F$137*BI18/100+(1-Inputs!$F$137)*BI22/100*Inputs!$F$138/BI11)</f>
        <v/>
      </c>
      <c r="BJ42" s="11">
        <f>Inputs!$F$136*(Inputs!$F$137*BJ18/100+(1-Inputs!$F$137)*BJ22/100*Inputs!$F$138/BJ11)</f>
        <v/>
      </c>
      <c r="BK42" s="11">
        <f>Inputs!$F$136*(Inputs!$F$137*BK18/100+(1-Inputs!$F$137)*BK22/100*Inputs!$F$138/BK11)</f>
        <v/>
      </c>
      <c r="BL42" s="11">
        <f>Inputs!$F$136*(Inputs!$F$137*BL18/100+(1-Inputs!$F$137)*BL22/100*Inputs!$F$138/BL11)</f>
        <v/>
      </c>
      <c r="BM42" s="11">
        <f>Inputs!$F$136*(Inputs!$F$137*BM18/100+(1-Inputs!$F$137)*BM22/100*Inputs!$F$138/BM11)</f>
        <v/>
      </c>
      <c r="BN42" s="11">
        <f>Inputs!$F$136*(Inputs!$F$137*BN18/100+(1-Inputs!$F$137)*BN22/100*Inputs!$F$138/BN11)</f>
        <v/>
      </c>
    </row>
    <row r="43">
      <c r="D43" t="inlineStr">
        <is>
          <t>Availability factor min(1, A/90%)</t>
        </is>
      </c>
      <c r="E43" t="inlineStr">
        <is>
          <t>factor</t>
        </is>
      </c>
      <c r="J43" s="11">
        <f>MIN(1,J28/Inputs!$F$133)</f>
        <v/>
      </c>
      <c r="K43" s="11">
        <f>MIN(1,K28/Inputs!$F$133)</f>
        <v/>
      </c>
      <c r="L43" s="11">
        <f>MIN(1,L28/Inputs!$F$133)</f>
        <v/>
      </c>
      <c r="M43" s="11">
        <f>MIN(1,M28/Inputs!$F$133)</f>
        <v/>
      </c>
      <c r="N43" s="11">
        <f>MIN(1,N28/Inputs!$F$133)</f>
        <v/>
      </c>
      <c r="O43" s="11">
        <f>MIN(1,O28/Inputs!$F$133)</f>
        <v/>
      </c>
      <c r="P43" s="11">
        <f>MIN(1,P28/Inputs!$F$133)</f>
        <v/>
      </c>
      <c r="Q43" s="11">
        <f>MIN(1,Q28/Inputs!$F$133)</f>
        <v/>
      </c>
      <c r="R43" s="11">
        <f>MIN(1,R28/Inputs!$F$133)</f>
        <v/>
      </c>
      <c r="S43" s="11">
        <f>MIN(1,S28/Inputs!$F$133)</f>
        <v/>
      </c>
      <c r="T43" s="11">
        <f>MIN(1,T28/Inputs!$F$133)</f>
        <v/>
      </c>
      <c r="U43" s="11">
        <f>MIN(1,U28/Inputs!$F$133)</f>
        <v/>
      </c>
      <c r="V43" s="11">
        <f>MIN(1,V28/Inputs!$F$133)</f>
        <v/>
      </c>
      <c r="W43" s="11">
        <f>MIN(1,W28/Inputs!$F$133)</f>
        <v/>
      </c>
      <c r="X43" s="11">
        <f>MIN(1,X28/Inputs!$F$133)</f>
        <v/>
      </c>
      <c r="Y43" s="11">
        <f>MIN(1,Y28/Inputs!$F$133)</f>
        <v/>
      </c>
      <c r="Z43" s="11">
        <f>MIN(1,Z28/Inputs!$F$133)</f>
        <v/>
      </c>
      <c r="AA43" s="11">
        <f>MIN(1,AA28/Inputs!$F$133)</f>
        <v/>
      </c>
      <c r="AB43" s="11">
        <f>MIN(1,AB28/Inputs!$F$133)</f>
        <v/>
      </c>
      <c r="AC43" s="11">
        <f>MIN(1,AC28/Inputs!$F$133)</f>
        <v/>
      </c>
      <c r="AD43" s="11">
        <f>MIN(1,AD28/Inputs!$F$133)</f>
        <v/>
      </c>
      <c r="AE43" s="11">
        <f>MIN(1,AE28/Inputs!$F$133)</f>
        <v/>
      </c>
      <c r="AF43" s="11">
        <f>MIN(1,AF28/Inputs!$F$133)</f>
        <v/>
      </c>
      <c r="AG43" s="11">
        <f>MIN(1,AG28/Inputs!$F$133)</f>
        <v/>
      </c>
      <c r="AH43" s="11">
        <f>MIN(1,AH28/Inputs!$F$133)</f>
        <v/>
      </c>
      <c r="AI43" s="11">
        <f>MIN(1,AI28/Inputs!$F$133)</f>
        <v/>
      </c>
      <c r="AJ43" s="11">
        <f>MIN(1,AJ28/Inputs!$F$133)</f>
        <v/>
      </c>
      <c r="AK43" s="11">
        <f>MIN(1,AK28/Inputs!$F$133)</f>
        <v/>
      </c>
      <c r="AL43" s="11">
        <f>MIN(1,AL28/Inputs!$F$133)</f>
        <v/>
      </c>
      <c r="AM43" s="11">
        <f>MIN(1,AM28/Inputs!$F$133)</f>
        <v/>
      </c>
      <c r="AN43" s="11">
        <f>MIN(1,AN28/Inputs!$F$133)</f>
        <v/>
      </c>
      <c r="AO43" s="11">
        <f>MIN(1,AO28/Inputs!$F$133)</f>
        <v/>
      </c>
      <c r="AP43" s="11">
        <f>MIN(1,AP28/Inputs!$F$133)</f>
        <v/>
      </c>
      <c r="AQ43" s="11">
        <f>MIN(1,AQ28/Inputs!$F$133)</f>
        <v/>
      </c>
      <c r="AR43" s="11">
        <f>MIN(1,AR28/Inputs!$F$133)</f>
        <v/>
      </c>
      <c r="AS43" s="11">
        <f>MIN(1,AS28/Inputs!$F$133)</f>
        <v/>
      </c>
      <c r="AT43" s="11">
        <f>MIN(1,AT28/Inputs!$F$133)</f>
        <v/>
      </c>
      <c r="AU43" s="11">
        <f>MIN(1,AU28/Inputs!$F$133)</f>
        <v/>
      </c>
      <c r="AV43" s="11">
        <f>MIN(1,AV28/Inputs!$F$133)</f>
        <v/>
      </c>
      <c r="AW43" s="11">
        <f>MIN(1,AW28/Inputs!$F$133)</f>
        <v/>
      </c>
      <c r="AX43" s="11">
        <f>MIN(1,AX28/Inputs!$F$133)</f>
        <v/>
      </c>
      <c r="AY43" s="11">
        <f>MIN(1,AY28/Inputs!$F$133)</f>
        <v/>
      </c>
      <c r="AZ43" s="11">
        <f>MIN(1,AZ28/Inputs!$F$133)</f>
        <v/>
      </c>
      <c r="BA43" s="11">
        <f>MIN(1,BA28/Inputs!$F$133)</f>
        <v/>
      </c>
      <c r="BB43" s="11">
        <f>MIN(1,BB28/Inputs!$F$133)</f>
        <v/>
      </c>
      <c r="BC43" s="11">
        <f>MIN(1,BC28/Inputs!$F$133)</f>
        <v/>
      </c>
      <c r="BD43" s="11">
        <f>MIN(1,BD28/Inputs!$F$133)</f>
        <v/>
      </c>
      <c r="BE43" s="11">
        <f>MIN(1,BE28/Inputs!$F$133)</f>
        <v/>
      </c>
      <c r="BF43" s="11">
        <f>MIN(1,BF28/Inputs!$F$133)</f>
        <v/>
      </c>
      <c r="BG43" s="11">
        <f>MIN(1,BG28/Inputs!$F$133)</f>
        <v/>
      </c>
      <c r="BH43" s="11">
        <f>MIN(1,BH28/Inputs!$F$133)</f>
        <v/>
      </c>
      <c r="BI43" s="11">
        <f>MIN(1,BI28/Inputs!$F$133)</f>
        <v/>
      </c>
      <c r="BJ43" s="11">
        <f>MIN(1,BJ28/Inputs!$F$133)</f>
        <v/>
      </c>
      <c r="BK43" s="11">
        <f>MIN(1,BK28/Inputs!$F$133)</f>
        <v/>
      </c>
      <c r="BL43" s="11">
        <f>MIN(1,BL28/Inputs!$F$133)</f>
        <v/>
      </c>
      <c r="BM43" s="11">
        <f>MIN(1,BM28/Inputs!$F$133)</f>
        <v/>
      </c>
      <c r="BN43" s="11">
        <f>MIN(1,BN28/Inputs!$F$133)</f>
        <v/>
      </c>
    </row>
    <row r="44">
      <c r="D44" t="inlineStr">
        <is>
          <t>Capacity payment</t>
        </is>
      </c>
      <c r="E44" t="inlineStr">
        <is>
          <t>USD m</t>
        </is>
      </c>
      <c r="G44" s="11">
        <f>SUM(J44:BN44)</f>
        <v/>
      </c>
      <c r="J44" s="11">
        <f>$F$30*1000*Time!J25*(J41+J42)*J43/1000000</f>
        <v/>
      </c>
      <c r="K44" s="11">
        <f>$F$30*1000*Time!K25*(K41+K42)*K43/1000000</f>
        <v/>
      </c>
      <c r="L44" s="11">
        <f>$F$30*1000*Time!L25*(L41+L42)*L43/1000000</f>
        <v/>
      </c>
      <c r="M44" s="11">
        <f>$F$30*1000*Time!M25*(M41+M42)*M43/1000000</f>
        <v/>
      </c>
      <c r="N44" s="11">
        <f>$F$30*1000*Time!N25*(N41+N42)*N43/1000000</f>
        <v/>
      </c>
      <c r="O44" s="11">
        <f>$F$30*1000*Time!O25*(O41+O42)*O43/1000000</f>
        <v/>
      </c>
      <c r="P44" s="11">
        <f>$F$30*1000*Time!P25*(P41+P42)*P43/1000000</f>
        <v/>
      </c>
      <c r="Q44" s="11">
        <f>$F$30*1000*Time!Q25*(Q41+Q42)*Q43/1000000</f>
        <v/>
      </c>
      <c r="R44" s="11">
        <f>$F$30*1000*Time!R25*(R41+R42)*R43/1000000</f>
        <v/>
      </c>
      <c r="S44" s="11">
        <f>$F$30*1000*Time!S25*(S41+S42)*S43/1000000</f>
        <v/>
      </c>
      <c r="T44" s="11">
        <f>$F$30*1000*Time!T25*(T41+T42)*T43/1000000</f>
        <v/>
      </c>
      <c r="U44" s="11">
        <f>$F$30*1000*Time!U25*(U41+U42)*U43/1000000</f>
        <v/>
      </c>
      <c r="V44" s="11">
        <f>$F$30*1000*Time!V25*(V41+V42)*V43/1000000</f>
        <v/>
      </c>
      <c r="W44" s="11">
        <f>$F$30*1000*Time!W25*(W41+W42)*W43/1000000</f>
        <v/>
      </c>
      <c r="X44" s="11">
        <f>$F$30*1000*Time!X25*(X41+X42)*X43/1000000</f>
        <v/>
      </c>
      <c r="Y44" s="11">
        <f>$F$30*1000*Time!Y25*(Y41+Y42)*Y43/1000000</f>
        <v/>
      </c>
      <c r="Z44" s="11">
        <f>$F$30*1000*Time!Z25*(Z41+Z42)*Z43/1000000</f>
        <v/>
      </c>
      <c r="AA44" s="11">
        <f>$F$30*1000*Time!AA25*(AA41+AA42)*AA43/1000000</f>
        <v/>
      </c>
      <c r="AB44" s="11">
        <f>$F$30*1000*Time!AB25*(AB41+AB42)*AB43/1000000</f>
        <v/>
      </c>
      <c r="AC44" s="11">
        <f>$F$30*1000*Time!AC25*(AC41+AC42)*AC43/1000000</f>
        <v/>
      </c>
      <c r="AD44" s="11">
        <f>$F$30*1000*Time!AD25*(AD41+AD42)*AD43/1000000</f>
        <v/>
      </c>
      <c r="AE44" s="11">
        <f>$F$30*1000*Time!AE25*(AE41+AE42)*AE43/1000000</f>
        <v/>
      </c>
      <c r="AF44" s="11">
        <f>$F$30*1000*Time!AF25*(AF41+AF42)*AF43/1000000</f>
        <v/>
      </c>
      <c r="AG44" s="11">
        <f>$F$30*1000*Time!AG25*(AG41+AG42)*AG43/1000000</f>
        <v/>
      </c>
      <c r="AH44" s="11">
        <f>$F$30*1000*Time!AH25*(AH41+AH42)*AH43/1000000</f>
        <v/>
      </c>
      <c r="AI44" s="11">
        <f>$F$30*1000*Time!AI25*(AI41+AI42)*AI43/1000000</f>
        <v/>
      </c>
      <c r="AJ44" s="11">
        <f>$F$30*1000*Time!AJ25*(AJ41+AJ42)*AJ43/1000000</f>
        <v/>
      </c>
      <c r="AK44" s="11">
        <f>$F$30*1000*Time!AK25*(AK41+AK42)*AK43/1000000</f>
        <v/>
      </c>
      <c r="AL44" s="11">
        <f>$F$30*1000*Time!AL25*(AL41+AL42)*AL43/1000000</f>
        <v/>
      </c>
      <c r="AM44" s="11">
        <f>$F$30*1000*Time!AM25*(AM41+AM42)*AM43/1000000</f>
        <v/>
      </c>
      <c r="AN44" s="11">
        <f>$F$30*1000*Time!AN25*(AN41+AN42)*AN43/1000000</f>
        <v/>
      </c>
      <c r="AO44" s="11">
        <f>$F$30*1000*Time!AO25*(AO41+AO42)*AO43/1000000</f>
        <v/>
      </c>
      <c r="AP44" s="11">
        <f>$F$30*1000*Time!AP25*(AP41+AP42)*AP43/1000000</f>
        <v/>
      </c>
      <c r="AQ44" s="11">
        <f>$F$30*1000*Time!AQ25*(AQ41+AQ42)*AQ43/1000000</f>
        <v/>
      </c>
      <c r="AR44" s="11">
        <f>$F$30*1000*Time!AR25*(AR41+AR42)*AR43/1000000</f>
        <v/>
      </c>
      <c r="AS44" s="11">
        <f>$F$30*1000*Time!AS25*(AS41+AS42)*AS43/1000000</f>
        <v/>
      </c>
      <c r="AT44" s="11">
        <f>$F$30*1000*Time!AT25*(AT41+AT42)*AT43/1000000</f>
        <v/>
      </c>
      <c r="AU44" s="11">
        <f>$F$30*1000*Time!AU25*(AU41+AU42)*AU43/1000000</f>
        <v/>
      </c>
      <c r="AV44" s="11">
        <f>$F$30*1000*Time!AV25*(AV41+AV42)*AV43/1000000</f>
        <v/>
      </c>
      <c r="AW44" s="11">
        <f>$F$30*1000*Time!AW25*(AW41+AW42)*AW43/1000000</f>
        <v/>
      </c>
      <c r="AX44" s="11">
        <f>$F$30*1000*Time!AX25*(AX41+AX42)*AX43/1000000</f>
        <v/>
      </c>
      <c r="AY44" s="11">
        <f>$F$30*1000*Time!AY25*(AY41+AY42)*AY43/1000000</f>
        <v/>
      </c>
      <c r="AZ44" s="11">
        <f>$F$30*1000*Time!AZ25*(AZ41+AZ42)*AZ43/1000000</f>
        <v/>
      </c>
      <c r="BA44" s="11">
        <f>$F$30*1000*Time!BA25*(BA41+BA42)*BA43/1000000</f>
        <v/>
      </c>
      <c r="BB44" s="11">
        <f>$F$30*1000*Time!BB25*(BB41+BB42)*BB43/1000000</f>
        <v/>
      </c>
      <c r="BC44" s="11">
        <f>$F$30*1000*Time!BC25*(BC41+BC42)*BC43/1000000</f>
        <v/>
      </c>
      <c r="BD44" s="11">
        <f>$F$30*1000*Time!BD25*(BD41+BD42)*BD43/1000000</f>
        <v/>
      </c>
      <c r="BE44" s="11">
        <f>$F$30*1000*Time!BE25*(BE41+BE42)*BE43/1000000</f>
        <v/>
      </c>
      <c r="BF44" s="11">
        <f>$F$30*1000*Time!BF25*(BF41+BF42)*BF43/1000000</f>
        <v/>
      </c>
      <c r="BG44" s="11">
        <f>$F$30*1000*Time!BG25*(BG41+BG42)*BG43/1000000</f>
        <v/>
      </c>
      <c r="BH44" s="11">
        <f>$F$30*1000*Time!BH25*(BH41+BH42)*BH43/1000000</f>
        <v/>
      </c>
      <c r="BI44" s="11">
        <f>$F$30*1000*Time!BI25*(BI41+BI42)*BI43/1000000</f>
        <v/>
      </c>
      <c r="BJ44" s="11">
        <f>$F$30*1000*Time!BJ25*(BJ41+BJ42)*BJ43/1000000</f>
        <v/>
      </c>
      <c r="BK44" s="11">
        <f>$F$30*1000*Time!BK25*(BK41+BK42)*BK43/1000000</f>
        <v/>
      </c>
      <c r="BL44" s="11">
        <f>$F$30*1000*Time!BL25*(BL41+BL42)*BL43/1000000</f>
        <v/>
      </c>
      <c r="BM44" s="11">
        <f>$F$30*1000*Time!BM25*(BM41+BM42)*BM43/1000000</f>
        <v/>
      </c>
      <c r="BN44" s="11">
        <f>$F$30*1000*Time!BN25*(BN41+BN42)*BN43/1000000</f>
        <v/>
      </c>
    </row>
    <row r="45">
      <c r="D45" t="inlineStr">
        <is>
          <t>VOM charge, indexed</t>
        </is>
      </c>
      <c r="E45" t="inlineStr">
        <is>
          <t>USD/MWh</t>
        </is>
      </c>
      <c r="J45" s="11">
        <f>Inputs!$F$139*(Inputs!$F$140*J18/100+(1-Inputs!$F$140)*J22/100*Inputs!$F$138/J11)</f>
        <v/>
      </c>
      <c r="K45" s="11">
        <f>Inputs!$F$139*(Inputs!$F$140*K18/100+(1-Inputs!$F$140)*K22/100*Inputs!$F$138/K11)</f>
        <v/>
      </c>
      <c r="L45" s="11">
        <f>Inputs!$F$139*(Inputs!$F$140*L18/100+(1-Inputs!$F$140)*L22/100*Inputs!$F$138/L11)</f>
        <v/>
      </c>
      <c r="M45" s="11">
        <f>Inputs!$F$139*(Inputs!$F$140*M18/100+(1-Inputs!$F$140)*M22/100*Inputs!$F$138/M11)</f>
        <v/>
      </c>
      <c r="N45" s="11">
        <f>Inputs!$F$139*(Inputs!$F$140*N18/100+(1-Inputs!$F$140)*N22/100*Inputs!$F$138/N11)</f>
        <v/>
      </c>
      <c r="O45" s="11">
        <f>Inputs!$F$139*(Inputs!$F$140*O18/100+(1-Inputs!$F$140)*O22/100*Inputs!$F$138/O11)</f>
        <v/>
      </c>
      <c r="P45" s="11">
        <f>Inputs!$F$139*(Inputs!$F$140*P18/100+(1-Inputs!$F$140)*P22/100*Inputs!$F$138/P11)</f>
        <v/>
      </c>
      <c r="Q45" s="11">
        <f>Inputs!$F$139*(Inputs!$F$140*Q18/100+(1-Inputs!$F$140)*Q22/100*Inputs!$F$138/Q11)</f>
        <v/>
      </c>
      <c r="R45" s="11">
        <f>Inputs!$F$139*(Inputs!$F$140*R18/100+(1-Inputs!$F$140)*R22/100*Inputs!$F$138/R11)</f>
        <v/>
      </c>
      <c r="S45" s="11">
        <f>Inputs!$F$139*(Inputs!$F$140*S18/100+(1-Inputs!$F$140)*S22/100*Inputs!$F$138/S11)</f>
        <v/>
      </c>
      <c r="T45" s="11">
        <f>Inputs!$F$139*(Inputs!$F$140*T18/100+(1-Inputs!$F$140)*T22/100*Inputs!$F$138/T11)</f>
        <v/>
      </c>
      <c r="U45" s="11">
        <f>Inputs!$F$139*(Inputs!$F$140*U18/100+(1-Inputs!$F$140)*U22/100*Inputs!$F$138/U11)</f>
        <v/>
      </c>
      <c r="V45" s="11">
        <f>Inputs!$F$139*(Inputs!$F$140*V18/100+(1-Inputs!$F$140)*V22/100*Inputs!$F$138/V11)</f>
        <v/>
      </c>
      <c r="W45" s="11">
        <f>Inputs!$F$139*(Inputs!$F$140*W18/100+(1-Inputs!$F$140)*W22/100*Inputs!$F$138/W11)</f>
        <v/>
      </c>
      <c r="X45" s="11">
        <f>Inputs!$F$139*(Inputs!$F$140*X18/100+(1-Inputs!$F$140)*X22/100*Inputs!$F$138/X11)</f>
        <v/>
      </c>
      <c r="Y45" s="11">
        <f>Inputs!$F$139*(Inputs!$F$140*Y18/100+(1-Inputs!$F$140)*Y22/100*Inputs!$F$138/Y11)</f>
        <v/>
      </c>
      <c r="Z45" s="11">
        <f>Inputs!$F$139*(Inputs!$F$140*Z18/100+(1-Inputs!$F$140)*Z22/100*Inputs!$F$138/Z11)</f>
        <v/>
      </c>
      <c r="AA45" s="11">
        <f>Inputs!$F$139*(Inputs!$F$140*AA18/100+(1-Inputs!$F$140)*AA22/100*Inputs!$F$138/AA11)</f>
        <v/>
      </c>
      <c r="AB45" s="11">
        <f>Inputs!$F$139*(Inputs!$F$140*AB18/100+(1-Inputs!$F$140)*AB22/100*Inputs!$F$138/AB11)</f>
        <v/>
      </c>
      <c r="AC45" s="11">
        <f>Inputs!$F$139*(Inputs!$F$140*AC18/100+(1-Inputs!$F$140)*AC22/100*Inputs!$F$138/AC11)</f>
        <v/>
      </c>
      <c r="AD45" s="11">
        <f>Inputs!$F$139*(Inputs!$F$140*AD18/100+(1-Inputs!$F$140)*AD22/100*Inputs!$F$138/AD11)</f>
        <v/>
      </c>
      <c r="AE45" s="11">
        <f>Inputs!$F$139*(Inputs!$F$140*AE18/100+(1-Inputs!$F$140)*AE22/100*Inputs!$F$138/AE11)</f>
        <v/>
      </c>
      <c r="AF45" s="11">
        <f>Inputs!$F$139*(Inputs!$F$140*AF18/100+(1-Inputs!$F$140)*AF22/100*Inputs!$F$138/AF11)</f>
        <v/>
      </c>
      <c r="AG45" s="11">
        <f>Inputs!$F$139*(Inputs!$F$140*AG18/100+(1-Inputs!$F$140)*AG22/100*Inputs!$F$138/AG11)</f>
        <v/>
      </c>
      <c r="AH45" s="11">
        <f>Inputs!$F$139*(Inputs!$F$140*AH18/100+(1-Inputs!$F$140)*AH22/100*Inputs!$F$138/AH11)</f>
        <v/>
      </c>
      <c r="AI45" s="11">
        <f>Inputs!$F$139*(Inputs!$F$140*AI18/100+(1-Inputs!$F$140)*AI22/100*Inputs!$F$138/AI11)</f>
        <v/>
      </c>
      <c r="AJ45" s="11">
        <f>Inputs!$F$139*(Inputs!$F$140*AJ18/100+(1-Inputs!$F$140)*AJ22/100*Inputs!$F$138/AJ11)</f>
        <v/>
      </c>
      <c r="AK45" s="11">
        <f>Inputs!$F$139*(Inputs!$F$140*AK18/100+(1-Inputs!$F$140)*AK22/100*Inputs!$F$138/AK11)</f>
        <v/>
      </c>
      <c r="AL45" s="11">
        <f>Inputs!$F$139*(Inputs!$F$140*AL18/100+(1-Inputs!$F$140)*AL22/100*Inputs!$F$138/AL11)</f>
        <v/>
      </c>
      <c r="AM45" s="11">
        <f>Inputs!$F$139*(Inputs!$F$140*AM18/100+(1-Inputs!$F$140)*AM22/100*Inputs!$F$138/AM11)</f>
        <v/>
      </c>
      <c r="AN45" s="11">
        <f>Inputs!$F$139*(Inputs!$F$140*AN18/100+(1-Inputs!$F$140)*AN22/100*Inputs!$F$138/AN11)</f>
        <v/>
      </c>
      <c r="AO45" s="11">
        <f>Inputs!$F$139*(Inputs!$F$140*AO18/100+(1-Inputs!$F$140)*AO22/100*Inputs!$F$138/AO11)</f>
        <v/>
      </c>
      <c r="AP45" s="11">
        <f>Inputs!$F$139*(Inputs!$F$140*AP18/100+(1-Inputs!$F$140)*AP22/100*Inputs!$F$138/AP11)</f>
        <v/>
      </c>
      <c r="AQ45" s="11">
        <f>Inputs!$F$139*(Inputs!$F$140*AQ18/100+(1-Inputs!$F$140)*AQ22/100*Inputs!$F$138/AQ11)</f>
        <v/>
      </c>
      <c r="AR45" s="11">
        <f>Inputs!$F$139*(Inputs!$F$140*AR18/100+(1-Inputs!$F$140)*AR22/100*Inputs!$F$138/AR11)</f>
        <v/>
      </c>
      <c r="AS45" s="11">
        <f>Inputs!$F$139*(Inputs!$F$140*AS18/100+(1-Inputs!$F$140)*AS22/100*Inputs!$F$138/AS11)</f>
        <v/>
      </c>
      <c r="AT45" s="11">
        <f>Inputs!$F$139*(Inputs!$F$140*AT18/100+(1-Inputs!$F$140)*AT22/100*Inputs!$F$138/AT11)</f>
        <v/>
      </c>
      <c r="AU45" s="11">
        <f>Inputs!$F$139*(Inputs!$F$140*AU18/100+(1-Inputs!$F$140)*AU22/100*Inputs!$F$138/AU11)</f>
        <v/>
      </c>
      <c r="AV45" s="11">
        <f>Inputs!$F$139*(Inputs!$F$140*AV18/100+(1-Inputs!$F$140)*AV22/100*Inputs!$F$138/AV11)</f>
        <v/>
      </c>
      <c r="AW45" s="11">
        <f>Inputs!$F$139*(Inputs!$F$140*AW18/100+(1-Inputs!$F$140)*AW22/100*Inputs!$F$138/AW11)</f>
        <v/>
      </c>
      <c r="AX45" s="11">
        <f>Inputs!$F$139*(Inputs!$F$140*AX18/100+(1-Inputs!$F$140)*AX22/100*Inputs!$F$138/AX11)</f>
        <v/>
      </c>
      <c r="AY45" s="11">
        <f>Inputs!$F$139*(Inputs!$F$140*AY18/100+(1-Inputs!$F$140)*AY22/100*Inputs!$F$138/AY11)</f>
        <v/>
      </c>
      <c r="AZ45" s="11">
        <f>Inputs!$F$139*(Inputs!$F$140*AZ18/100+(1-Inputs!$F$140)*AZ22/100*Inputs!$F$138/AZ11)</f>
        <v/>
      </c>
      <c r="BA45" s="11">
        <f>Inputs!$F$139*(Inputs!$F$140*BA18/100+(1-Inputs!$F$140)*BA22/100*Inputs!$F$138/BA11)</f>
        <v/>
      </c>
      <c r="BB45" s="11">
        <f>Inputs!$F$139*(Inputs!$F$140*BB18/100+(1-Inputs!$F$140)*BB22/100*Inputs!$F$138/BB11)</f>
        <v/>
      </c>
      <c r="BC45" s="11">
        <f>Inputs!$F$139*(Inputs!$F$140*BC18/100+(1-Inputs!$F$140)*BC22/100*Inputs!$F$138/BC11)</f>
        <v/>
      </c>
      <c r="BD45" s="11">
        <f>Inputs!$F$139*(Inputs!$F$140*BD18/100+(1-Inputs!$F$140)*BD22/100*Inputs!$F$138/BD11)</f>
        <v/>
      </c>
      <c r="BE45" s="11">
        <f>Inputs!$F$139*(Inputs!$F$140*BE18/100+(1-Inputs!$F$140)*BE22/100*Inputs!$F$138/BE11)</f>
        <v/>
      </c>
      <c r="BF45" s="11">
        <f>Inputs!$F$139*(Inputs!$F$140*BF18/100+(1-Inputs!$F$140)*BF22/100*Inputs!$F$138/BF11)</f>
        <v/>
      </c>
      <c r="BG45" s="11">
        <f>Inputs!$F$139*(Inputs!$F$140*BG18/100+(1-Inputs!$F$140)*BG22/100*Inputs!$F$138/BG11)</f>
        <v/>
      </c>
      <c r="BH45" s="11">
        <f>Inputs!$F$139*(Inputs!$F$140*BH18/100+(1-Inputs!$F$140)*BH22/100*Inputs!$F$138/BH11)</f>
        <v/>
      </c>
      <c r="BI45" s="11">
        <f>Inputs!$F$139*(Inputs!$F$140*BI18/100+(1-Inputs!$F$140)*BI22/100*Inputs!$F$138/BI11)</f>
        <v/>
      </c>
      <c r="BJ45" s="11">
        <f>Inputs!$F$139*(Inputs!$F$140*BJ18/100+(1-Inputs!$F$140)*BJ22/100*Inputs!$F$138/BJ11)</f>
        <v/>
      </c>
      <c r="BK45" s="11">
        <f>Inputs!$F$139*(Inputs!$F$140*BK18/100+(1-Inputs!$F$140)*BK22/100*Inputs!$F$138/BK11)</f>
        <v/>
      </c>
      <c r="BL45" s="11">
        <f>Inputs!$F$139*(Inputs!$F$140*BL18/100+(1-Inputs!$F$140)*BL22/100*Inputs!$F$138/BL11)</f>
        <v/>
      </c>
      <c r="BM45" s="11">
        <f>Inputs!$F$139*(Inputs!$F$140*BM18/100+(1-Inputs!$F$140)*BM22/100*Inputs!$F$138/BM11)</f>
        <v/>
      </c>
      <c r="BN45" s="11">
        <f>Inputs!$F$139*(Inputs!$F$140*BN18/100+(1-Inputs!$F$140)*BN22/100*Inputs!$F$138/BN11)</f>
        <v/>
      </c>
    </row>
    <row r="46">
      <c r="D46" t="inlineStr">
        <is>
          <t>Variable O&amp;M payment</t>
        </is>
      </c>
      <c r="E46" t="inlineStr">
        <is>
          <t>USD m</t>
        </is>
      </c>
      <c r="G46" s="11">
        <f>SUM(J46:BN46)</f>
        <v/>
      </c>
      <c r="J46" s="11">
        <f>J34*J45/1000000</f>
        <v/>
      </c>
      <c r="K46" s="11">
        <f>K34*K45/1000000</f>
        <v/>
      </c>
      <c r="L46" s="11">
        <f>L34*L45/1000000</f>
        <v/>
      </c>
      <c r="M46" s="11">
        <f>M34*M45/1000000</f>
        <v/>
      </c>
      <c r="N46" s="11">
        <f>N34*N45/1000000</f>
        <v/>
      </c>
      <c r="O46" s="11">
        <f>O34*O45/1000000</f>
        <v/>
      </c>
      <c r="P46" s="11">
        <f>P34*P45/1000000</f>
        <v/>
      </c>
      <c r="Q46" s="11">
        <f>Q34*Q45/1000000</f>
        <v/>
      </c>
      <c r="R46" s="11">
        <f>R34*R45/1000000</f>
        <v/>
      </c>
      <c r="S46" s="11">
        <f>S34*S45/1000000</f>
        <v/>
      </c>
      <c r="T46" s="11">
        <f>T34*T45/1000000</f>
        <v/>
      </c>
      <c r="U46" s="11">
        <f>U34*U45/1000000</f>
        <v/>
      </c>
      <c r="V46" s="11">
        <f>V34*V45/1000000</f>
        <v/>
      </c>
      <c r="W46" s="11">
        <f>W34*W45/1000000</f>
        <v/>
      </c>
      <c r="X46" s="11">
        <f>X34*X45/1000000</f>
        <v/>
      </c>
      <c r="Y46" s="11">
        <f>Y34*Y45/1000000</f>
        <v/>
      </c>
      <c r="Z46" s="11">
        <f>Z34*Z45/1000000</f>
        <v/>
      </c>
      <c r="AA46" s="11">
        <f>AA34*AA45/1000000</f>
        <v/>
      </c>
      <c r="AB46" s="11">
        <f>AB34*AB45/1000000</f>
        <v/>
      </c>
      <c r="AC46" s="11">
        <f>AC34*AC45/1000000</f>
        <v/>
      </c>
      <c r="AD46" s="11">
        <f>AD34*AD45/1000000</f>
        <v/>
      </c>
      <c r="AE46" s="11">
        <f>AE34*AE45/1000000</f>
        <v/>
      </c>
      <c r="AF46" s="11">
        <f>AF34*AF45/1000000</f>
        <v/>
      </c>
      <c r="AG46" s="11">
        <f>AG34*AG45/1000000</f>
        <v/>
      </c>
      <c r="AH46" s="11">
        <f>AH34*AH45/1000000</f>
        <v/>
      </c>
      <c r="AI46" s="11">
        <f>AI34*AI45/1000000</f>
        <v/>
      </c>
      <c r="AJ46" s="11">
        <f>AJ34*AJ45/1000000</f>
        <v/>
      </c>
      <c r="AK46" s="11">
        <f>AK34*AK45/1000000</f>
        <v/>
      </c>
      <c r="AL46" s="11">
        <f>AL34*AL45/1000000</f>
        <v/>
      </c>
      <c r="AM46" s="11">
        <f>AM34*AM45/1000000</f>
        <v/>
      </c>
      <c r="AN46" s="11">
        <f>AN34*AN45/1000000</f>
        <v/>
      </c>
      <c r="AO46" s="11">
        <f>AO34*AO45/1000000</f>
        <v/>
      </c>
      <c r="AP46" s="11">
        <f>AP34*AP45/1000000</f>
        <v/>
      </c>
      <c r="AQ46" s="11">
        <f>AQ34*AQ45/1000000</f>
        <v/>
      </c>
      <c r="AR46" s="11">
        <f>AR34*AR45/1000000</f>
        <v/>
      </c>
      <c r="AS46" s="11">
        <f>AS34*AS45/1000000</f>
        <v/>
      </c>
      <c r="AT46" s="11">
        <f>AT34*AT45/1000000</f>
        <v/>
      </c>
      <c r="AU46" s="11">
        <f>AU34*AU45/1000000</f>
        <v/>
      </c>
      <c r="AV46" s="11">
        <f>AV34*AV45/1000000</f>
        <v/>
      </c>
      <c r="AW46" s="11">
        <f>AW34*AW45/1000000</f>
        <v/>
      </c>
      <c r="AX46" s="11">
        <f>AX34*AX45/1000000</f>
        <v/>
      </c>
      <c r="AY46" s="11">
        <f>AY34*AY45/1000000</f>
        <v/>
      </c>
      <c r="AZ46" s="11">
        <f>AZ34*AZ45/1000000</f>
        <v/>
      </c>
      <c r="BA46" s="11">
        <f>BA34*BA45/1000000</f>
        <v/>
      </c>
      <c r="BB46" s="11">
        <f>BB34*BB45/1000000</f>
        <v/>
      </c>
      <c r="BC46" s="11">
        <f>BC34*BC45/1000000</f>
        <v/>
      </c>
      <c r="BD46" s="11">
        <f>BD34*BD45/1000000</f>
        <v/>
      </c>
      <c r="BE46" s="11">
        <f>BE34*BE45/1000000</f>
        <v/>
      </c>
      <c r="BF46" s="11">
        <f>BF34*BF45/1000000</f>
        <v/>
      </c>
      <c r="BG46" s="11">
        <f>BG34*BG45/1000000</f>
        <v/>
      </c>
      <c r="BH46" s="11">
        <f>BH34*BH45/1000000</f>
        <v/>
      </c>
      <c r="BI46" s="11">
        <f>BI34*BI45/1000000</f>
        <v/>
      </c>
      <c r="BJ46" s="11">
        <f>BJ34*BJ45/1000000</f>
        <v/>
      </c>
      <c r="BK46" s="11">
        <f>BK34*BK45/1000000</f>
        <v/>
      </c>
      <c r="BL46" s="11">
        <f>BL34*BL45/1000000</f>
        <v/>
      </c>
      <c r="BM46" s="11">
        <f>BM34*BM45/1000000</f>
        <v/>
      </c>
      <c r="BN46" s="11">
        <f>BN34*BN45/1000000</f>
        <v/>
      </c>
    </row>
    <row r="47">
      <c r="D47" t="inlineStr">
        <is>
          <t>Fuel charge (pass-through)</t>
        </is>
      </c>
      <c r="E47" t="inlineStr">
        <is>
          <t>USD m</t>
        </is>
      </c>
      <c r="G47" s="11">
        <f>SUM(J47:BN47)</f>
        <v/>
      </c>
      <c r="J47" s="11">
        <f>J34*J36*(1000*Inputs!$F$123/Inputs!$F$124)*J37/1000000</f>
        <v/>
      </c>
      <c r="K47" s="11">
        <f>K34*K36*(1000*Inputs!$F$123/Inputs!$F$124)*K37/1000000</f>
        <v/>
      </c>
      <c r="L47" s="11">
        <f>L34*L36*(1000*Inputs!$F$123/Inputs!$F$124)*L37/1000000</f>
        <v/>
      </c>
      <c r="M47" s="11">
        <f>M34*M36*(1000*Inputs!$F$123/Inputs!$F$124)*M37/1000000</f>
        <v/>
      </c>
      <c r="N47" s="11">
        <f>N34*N36*(1000*Inputs!$F$123/Inputs!$F$124)*N37/1000000</f>
        <v/>
      </c>
      <c r="O47" s="11">
        <f>O34*O36*(1000*Inputs!$F$123/Inputs!$F$124)*O37/1000000</f>
        <v/>
      </c>
      <c r="P47" s="11">
        <f>P34*P36*(1000*Inputs!$F$123/Inputs!$F$124)*P37/1000000</f>
        <v/>
      </c>
      <c r="Q47" s="11">
        <f>Q34*Q36*(1000*Inputs!$F$123/Inputs!$F$124)*Q37/1000000</f>
        <v/>
      </c>
      <c r="R47" s="11">
        <f>R34*R36*(1000*Inputs!$F$123/Inputs!$F$124)*R37/1000000</f>
        <v/>
      </c>
      <c r="S47" s="11">
        <f>S34*S36*(1000*Inputs!$F$123/Inputs!$F$124)*S37/1000000</f>
        <v/>
      </c>
      <c r="T47" s="11">
        <f>T34*T36*(1000*Inputs!$F$123/Inputs!$F$124)*T37/1000000</f>
        <v/>
      </c>
      <c r="U47" s="11">
        <f>U34*U36*(1000*Inputs!$F$123/Inputs!$F$124)*U37/1000000</f>
        <v/>
      </c>
      <c r="V47" s="11">
        <f>V34*V36*(1000*Inputs!$F$123/Inputs!$F$124)*V37/1000000</f>
        <v/>
      </c>
      <c r="W47" s="11">
        <f>W34*W36*(1000*Inputs!$F$123/Inputs!$F$124)*W37/1000000</f>
        <v/>
      </c>
      <c r="X47" s="11">
        <f>X34*X36*(1000*Inputs!$F$123/Inputs!$F$124)*X37/1000000</f>
        <v/>
      </c>
      <c r="Y47" s="11">
        <f>Y34*Y36*(1000*Inputs!$F$123/Inputs!$F$124)*Y37/1000000</f>
        <v/>
      </c>
      <c r="Z47" s="11">
        <f>Z34*Z36*(1000*Inputs!$F$123/Inputs!$F$124)*Z37/1000000</f>
        <v/>
      </c>
      <c r="AA47" s="11">
        <f>AA34*AA36*(1000*Inputs!$F$123/Inputs!$F$124)*AA37/1000000</f>
        <v/>
      </c>
      <c r="AB47" s="11">
        <f>AB34*AB36*(1000*Inputs!$F$123/Inputs!$F$124)*AB37/1000000</f>
        <v/>
      </c>
      <c r="AC47" s="11">
        <f>AC34*AC36*(1000*Inputs!$F$123/Inputs!$F$124)*AC37/1000000</f>
        <v/>
      </c>
      <c r="AD47" s="11">
        <f>AD34*AD36*(1000*Inputs!$F$123/Inputs!$F$124)*AD37/1000000</f>
        <v/>
      </c>
      <c r="AE47" s="11">
        <f>AE34*AE36*(1000*Inputs!$F$123/Inputs!$F$124)*AE37/1000000</f>
        <v/>
      </c>
      <c r="AF47" s="11">
        <f>AF34*AF36*(1000*Inputs!$F$123/Inputs!$F$124)*AF37/1000000</f>
        <v/>
      </c>
      <c r="AG47" s="11">
        <f>AG34*AG36*(1000*Inputs!$F$123/Inputs!$F$124)*AG37/1000000</f>
        <v/>
      </c>
      <c r="AH47" s="11">
        <f>AH34*AH36*(1000*Inputs!$F$123/Inputs!$F$124)*AH37/1000000</f>
        <v/>
      </c>
      <c r="AI47" s="11">
        <f>AI34*AI36*(1000*Inputs!$F$123/Inputs!$F$124)*AI37/1000000</f>
        <v/>
      </c>
      <c r="AJ47" s="11">
        <f>AJ34*AJ36*(1000*Inputs!$F$123/Inputs!$F$124)*AJ37/1000000</f>
        <v/>
      </c>
      <c r="AK47" s="11">
        <f>AK34*AK36*(1000*Inputs!$F$123/Inputs!$F$124)*AK37/1000000</f>
        <v/>
      </c>
      <c r="AL47" s="11">
        <f>AL34*AL36*(1000*Inputs!$F$123/Inputs!$F$124)*AL37/1000000</f>
        <v/>
      </c>
      <c r="AM47" s="11">
        <f>AM34*AM36*(1000*Inputs!$F$123/Inputs!$F$124)*AM37/1000000</f>
        <v/>
      </c>
      <c r="AN47" s="11">
        <f>AN34*AN36*(1000*Inputs!$F$123/Inputs!$F$124)*AN37/1000000</f>
        <v/>
      </c>
      <c r="AO47" s="11">
        <f>AO34*AO36*(1000*Inputs!$F$123/Inputs!$F$124)*AO37/1000000</f>
        <v/>
      </c>
      <c r="AP47" s="11">
        <f>AP34*AP36*(1000*Inputs!$F$123/Inputs!$F$124)*AP37/1000000</f>
        <v/>
      </c>
      <c r="AQ47" s="11">
        <f>AQ34*AQ36*(1000*Inputs!$F$123/Inputs!$F$124)*AQ37/1000000</f>
        <v/>
      </c>
      <c r="AR47" s="11">
        <f>AR34*AR36*(1000*Inputs!$F$123/Inputs!$F$124)*AR37/1000000</f>
        <v/>
      </c>
      <c r="AS47" s="11">
        <f>AS34*AS36*(1000*Inputs!$F$123/Inputs!$F$124)*AS37/1000000</f>
        <v/>
      </c>
      <c r="AT47" s="11">
        <f>AT34*AT36*(1000*Inputs!$F$123/Inputs!$F$124)*AT37/1000000</f>
        <v/>
      </c>
      <c r="AU47" s="11">
        <f>AU34*AU36*(1000*Inputs!$F$123/Inputs!$F$124)*AU37/1000000</f>
        <v/>
      </c>
      <c r="AV47" s="11">
        <f>AV34*AV36*(1000*Inputs!$F$123/Inputs!$F$124)*AV37/1000000</f>
        <v/>
      </c>
      <c r="AW47" s="11">
        <f>AW34*AW36*(1000*Inputs!$F$123/Inputs!$F$124)*AW37/1000000</f>
        <v/>
      </c>
      <c r="AX47" s="11">
        <f>AX34*AX36*(1000*Inputs!$F$123/Inputs!$F$124)*AX37/1000000</f>
        <v/>
      </c>
      <c r="AY47" s="11">
        <f>AY34*AY36*(1000*Inputs!$F$123/Inputs!$F$124)*AY37/1000000</f>
        <v/>
      </c>
      <c r="AZ47" s="11">
        <f>AZ34*AZ36*(1000*Inputs!$F$123/Inputs!$F$124)*AZ37/1000000</f>
        <v/>
      </c>
      <c r="BA47" s="11">
        <f>BA34*BA36*(1000*Inputs!$F$123/Inputs!$F$124)*BA37/1000000</f>
        <v/>
      </c>
      <c r="BB47" s="11">
        <f>BB34*BB36*(1000*Inputs!$F$123/Inputs!$F$124)*BB37/1000000</f>
        <v/>
      </c>
      <c r="BC47" s="11">
        <f>BC34*BC36*(1000*Inputs!$F$123/Inputs!$F$124)*BC37/1000000</f>
        <v/>
      </c>
      <c r="BD47" s="11">
        <f>BD34*BD36*(1000*Inputs!$F$123/Inputs!$F$124)*BD37/1000000</f>
        <v/>
      </c>
      <c r="BE47" s="11">
        <f>BE34*BE36*(1000*Inputs!$F$123/Inputs!$F$124)*BE37/1000000</f>
        <v/>
      </c>
      <c r="BF47" s="11">
        <f>BF34*BF36*(1000*Inputs!$F$123/Inputs!$F$124)*BF37/1000000</f>
        <v/>
      </c>
      <c r="BG47" s="11">
        <f>BG34*BG36*(1000*Inputs!$F$123/Inputs!$F$124)*BG37/1000000</f>
        <v/>
      </c>
      <c r="BH47" s="11">
        <f>BH34*BH36*(1000*Inputs!$F$123/Inputs!$F$124)*BH37/1000000</f>
        <v/>
      </c>
      <c r="BI47" s="11">
        <f>BI34*BI36*(1000*Inputs!$F$123/Inputs!$F$124)*BI37/1000000</f>
        <v/>
      </c>
      <c r="BJ47" s="11">
        <f>BJ34*BJ36*(1000*Inputs!$F$123/Inputs!$F$124)*BJ37/1000000</f>
        <v/>
      </c>
      <c r="BK47" s="11">
        <f>BK34*BK36*(1000*Inputs!$F$123/Inputs!$F$124)*BK37/1000000</f>
        <v/>
      </c>
      <c r="BL47" s="11">
        <f>BL34*BL36*(1000*Inputs!$F$123/Inputs!$F$124)*BL37/1000000</f>
        <v/>
      </c>
      <c r="BM47" s="11">
        <f>BM34*BM36*(1000*Inputs!$F$123/Inputs!$F$124)*BM37/1000000</f>
        <v/>
      </c>
      <c r="BN47" s="11">
        <f>BN34*BN36*(1000*Inputs!$F$123/Inputs!$F$124)*BN37/1000000</f>
        <v/>
      </c>
    </row>
    <row r="48">
      <c r="D48" t="inlineStr">
        <is>
          <t>GTA reservation charge (pass-through)</t>
        </is>
      </c>
      <c r="E48" t="inlineStr">
        <is>
          <t>USD m</t>
        </is>
      </c>
      <c r="G48" s="11">
        <f>SUM(J48:BN48)</f>
        <v/>
      </c>
      <c r="J48" s="11">
        <f>Inputs!$F$146*Time!J26*Inputs!$F$147*(1+Inputs!$F$149/100)^(Time!J21-2018)/1000000</f>
        <v/>
      </c>
      <c r="K48" s="11">
        <f>Inputs!$F$146*Time!K26*Inputs!$F$147*(1+Inputs!$F$149/100)^(Time!K21-2018)/1000000</f>
        <v/>
      </c>
      <c r="L48" s="11">
        <f>Inputs!$F$146*Time!L26*Inputs!$F$147*(1+Inputs!$F$149/100)^(Time!L21-2018)/1000000</f>
        <v/>
      </c>
      <c r="M48" s="11">
        <f>Inputs!$F$146*Time!M26*Inputs!$F$147*(1+Inputs!$F$149/100)^(Time!M21-2018)/1000000</f>
        <v/>
      </c>
      <c r="N48" s="11">
        <f>Inputs!$F$146*Time!N26*Inputs!$F$147*(1+Inputs!$F$149/100)^(Time!N21-2018)/1000000</f>
        <v/>
      </c>
      <c r="O48" s="11">
        <f>Inputs!$F$146*Time!O26*Inputs!$F$147*(1+Inputs!$F$149/100)^(Time!O21-2018)/1000000</f>
        <v/>
      </c>
      <c r="P48" s="11">
        <f>Inputs!$F$146*Time!P26*Inputs!$F$147*(1+Inputs!$F$149/100)^(Time!P21-2018)/1000000</f>
        <v/>
      </c>
      <c r="Q48" s="11">
        <f>Inputs!$F$146*Time!Q26*Inputs!$F$147*(1+Inputs!$F$149/100)^(Time!Q21-2018)/1000000</f>
        <v/>
      </c>
      <c r="R48" s="11">
        <f>Inputs!$F$146*Time!R26*Inputs!$F$147*(1+Inputs!$F$149/100)^(Time!R21-2018)/1000000</f>
        <v/>
      </c>
      <c r="S48" s="11">
        <f>Inputs!$F$146*Time!S26*Inputs!$F$147*(1+Inputs!$F$149/100)^(Time!S21-2018)/1000000</f>
        <v/>
      </c>
      <c r="T48" s="11">
        <f>Inputs!$F$146*Time!T26*Inputs!$F$147*(1+Inputs!$F$149/100)^(Time!T21-2018)/1000000</f>
        <v/>
      </c>
      <c r="U48" s="11">
        <f>Inputs!$F$146*Time!U26*Inputs!$F$147*(1+Inputs!$F$149/100)^(Time!U21-2018)/1000000</f>
        <v/>
      </c>
      <c r="V48" s="11">
        <f>Inputs!$F$146*Time!V26*Inputs!$F$147*(1+Inputs!$F$149/100)^(Time!V21-2018)/1000000</f>
        <v/>
      </c>
      <c r="W48" s="11">
        <f>Inputs!$F$146*Time!W26*Inputs!$F$147*(1+Inputs!$F$149/100)^(Time!W21-2018)/1000000</f>
        <v/>
      </c>
      <c r="X48" s="11">
        <f>Inputs!$F$146*Time!X26*Inputs!$F$147*(1+Inputs!$F$149/100)^(Time!X21-2018)/1000000</f>
        <v/>
      </c>
      <c r="Y48" s="11">
        <f>Inputs!$F$146*Time!Y26*Inputs!$F$147*(1+Inputs!$F$149/100)^(Time!Y21-2018)/1000000</f>
        <v/>
      </c>
      <c r="Z48" s="11">
        <f>Inputs!$F$146*Time!Z26*Inputs!$F$147*(1+Inputs!$F$149/100)^(Time!Z21-2018)/1000000</f>
        <v/>
      </c>
      <c r="AA48" s="11">
        <f>Inputs!$F$146*Time!AA26*Inputs!$F$147*(1+Inputs!$F$149/100)^(Time!AA21-2018)/1000000</f>
        <v/>
      </c>
      <c r="AB48" s="11">
        <f>Inputs!$F$146*Time!AB26*Inputs!$F$147*(1+Inputs!$F$149/100)^(Time!AB21-2018)/1000000</f>
        <v/>
      </c>
      <c r="AC48" s="11">
        <f>Inputs!$F$146*Time!AC26*Inputs!$F$147*(1+Inputs!$F$149/100)^(Time!AC21-2018)/1000000</f>
        <v/>
      </c>
      <c r="AD48" s="11">
        <f>Inputs!$F$146*Time!AD26*Inputs!$F$147*(1+Inputs!$F$149/100)^(Time!AD21-2018)/1000000</f>
        <v/>
      </c>
      <c r="AE48" s="11">
        <f>Inputs!$F$146*Time!AE26*Inputs!$F$147*(1+Inputs!$F$149/100)^(Time!AE21-2018)/1000000</f>
        <v/>
      </c>
      <c r="AF48" s="11">
        <f>Inputs!$F$146*Time!AF26*Inputs!$F$147*(1+Inputs!$F$149/100)^(Time!AF21-2018)/1000000</f>
        <v/>
      </c>
      <c r="AG48" s="11">
        <f>Inputs!$F$146*Time!AG26*Inputs!$F$147*(1+Inputs!$F$149/100)^(Time!AG21-2018)/1000000</f>
        <v/>
      </c>
      <c r="AH48" s="11">
        <f>Inputs!$F$146*Time!AH26*Inputs!$F$147*(1+Inputs!$F$149/100)^(Time!AH21-2018)/1000000</f>
        <v/>
      </c>
      <c r="AI48" s="11">
        <f>Inputs!$F$146*Time!AI26*Inputs!$F$147*(1+Inputs!$F$149/100)^(Time!AI21-2018)/1000000</f>
        <v/>
      </c>
      <c r="AJ48" s="11">
        <f>Inputs!$F$146*Time!AJ26*Inputs!$F$147*(1+Inputs!$F$149/100)^(Time!AJ21-2018)/1000000</f>
        <v/>
      </c>
      <c r="AK48" s="11">
        <f>Inputs!$F$146*Time!AK26*Inputs!$F$147*(1+Inputs!$F$149/100)^(Time!AK21-2018)/1000000</f>
        <v/>
      </c>
      <c r="AL48" s="11">
        <f>Inputs!$F$146*Time!AL26*Inputs!$F$147*(1+Inputs!$F$149/100)^(Time!AL21-2018)/1000000</f>
        <v/>
      </c>
      <c r="AM48" s="11">
        <f>Inputs!$F$146*Time!AM26*Inputs!$F$147*(1+Inputs!$F$149/100)^(Time!AM21-2018)/1000000</f>
        <v/>
      </c>
      <c r="AN48" s="11">
        <f>Inputs!$F$146*Time!AN26*Inputs!$F$147*(1+Inputs!$F$149/100)^(Time!AN21-2018)/1000000</f>
        <v/>
      </c>
      <c r="AO48" s="11">
        <f>Inputs!$F$146*Time!AO26*Inputs!$F$147*(1+Inputs!$F$149/100)^(Time!AO21-2018)/1000000</f>
        <v/>
      </c>
      <c r="AP48" s="11">
        <f>Inputs!$F$146*Time!AP26*Inputs!$F$147*(1+Inputs!$F$149/100)^(Time!AP21-2018)/1000000</f>
        <v/>
      </c>
      <c r="AQ48" s="11">
        <f>Inputs!$F$146*Time!AQ26*Inputs!$F$147*(1+Inputs!$F$149/100)^(Time!AQ21-2018)/1000000</f>
        <v/>
      </c>
      <c r="AR48" s="11">
        <f>Inputs!$F$146*Time!AR26*Inputs!$F$147*(1+Inputs!$F$149/100)^(Time!AR21-2018)/1000000</f>
        <v/>
      </c>
      <c r="AS48" s="11">
        <f>Inputs!$F$146*Time!AS26*Inputs!$F$147*(1+Inputs!$F$149/100)^(Time!AS21-2018)/1000000</f>
        <v/>
      </c>
      <c r="AT48" s="11">
        <f>Inputs!$F$146*Time!AT26*Inputs!$F$147*(1+Inputs!$F$149/100)^(Time!AT21-2018)/1000000</f>
        <v/>
      </c>
      <c r="AU48" s="11">
        <f>Inputs!$F$146*Time!AU26*Inputs!$F$147*(1+Inputs!$F$149/100)^(Time!AU21-2018)/1000000</f>
        <v/>
      </c>
      <c r="AV48" s="11">
        <f>Inputs!$F$146*Time!AV26*Inputs!$F$147*(1+Inputs!$F$149/100)^(Time!AV21-2018)/1000000</f>
        <v/>
      </c>
      <c r="AW48" s="11">
        <f>Inputs!$F$146*Time!AW26*Inputs!$F$147*(1+Inputs!$F$149/100)^(Time!AW21-2018)/1000000</f>
        <v/>
      </c>
      <c r="AX48" s="11">
        <f>Inputs!$F$146*Time!AX26*Inputs!$F$147*(1+Inputs!$F$149/100)^(Time!AX21-2018)/1000000</f>
        <v/>
      </c>
      <c r="AY48" s="11">
        <f>Inputs!$F$146*Time!AY26*Inputs!$F$147*(1+Inputs!$F$149/100)^(Time!AY21-2018)/1000000</f>
        <v/>
      </c>
      <c r="AZ48" s="11">
        <f>Inputs!$F$146*Time!AZ26*Inputs!$F$147*(1+Inputs!$F$149/100)^(Time!AZ21-2018)/1000000</f>
        <v/>
      </c>
      <c r="BA48" s="11">
        <f>Inputs!$F$146*Time!BA26*Inputs!$F$147*(1+Inputs!$F$149/100)^(Time!BA21-2018)/1000000</f>
        <v/>
      </c>
      <c r="BB48" s="11">
        <f>Inputs!$F$146*Time!BB26*Inputs!$F$147*(1+Inputs!$F$149/100)^(Time!BB21-2018)/1000000</f>
        <v/>
      </c>
      <c r="BC48" s="11">
        <f>Inputs!$F$146*Time!BC26*Inputs!$F$147*(1+Inputs!$F$149/100)^(Time!BC21-2018)/1000000</f>
        <v/>
      </c>
      <c r="BD48" s="11">
        <f>Inputs!$F$146*Time!BD26*Inputs!$F$147*(1+Inputs!$F$149/100)^(Time!BD21-2018)/1000000</f>
        <v/>
      </c>
      <c r="BE48" s="11">
        <f>Inputs!$F$146*Time!BE26*Inputs!$F$147*(1+Inputs!$F$149/100)^(Time!BE21-2018)/1000000</f>
        <v/>
      </c>
      <c r="BF48" s="11">
        <f>Inputs!$F$146*Time!BF26*Inputs!$F$147*(1+Inputs!$F$149/100)^(Time!BF21-2018)/1000000</f>
        <v/>
      </c>
      <c r="BG48" s="11">
        <f>Inputs!$F$146*Time!BG26*Inputs!$F$147*(1+Inputs!$F$149/100)^(Time!BG21-2018)/1000000</f>
        <v/>
      </c>
      <c r="BH48" s="11">
        <f>Inputs!$F$146*Time!BH26*Inputs!$F$147*(1+Inputs!$F$149/100)^(Time!BH21-2018)/1000000</f>
        <v/>
      </c>
      <c r="BI48" s="11">
        <f>Inputs!$F$146*Time!BI26*Inputs!$F$147*(1+Inputs!$F$149/100)^(Time!BI21-2018)/1000000</f>
        <v/>
      </c>
      <c r="BJ48" s="11">
        <f>Inputs!$F$146*Time!BJ26*Inputs!$F$147*(1+Inputs!$F$149/100)^(Time!BJ21-2018)/1000000</f>
        <v/>
      </c>
      <c r="BK48" s="11">
        <f>Inputs!$F$146*Time!BK26*Inputs!$F$147*(1+Inputs!$F$149/100)^(Time!BK21-2018)/1000000</f>
        <v/>
      </c>
      <c r="BL48" s="11">
        <f>Inputs!$F$146*Time!BL26*Inputs!$F$147*(1+Inputs!$F$149/100)^(Time!BL21-2018)/1000000</f>
        <v/>
      </c>
      <c r="BM48" s="11">
        <f>Inputs!$F$146*Time!BM26*Inputs!$F$147*(1+Inputs!$F$149/100)^(Time!BM21-2018)/1000000</f>
        <v/>
      </c>
      <c r="BN48" s="11">
        <f>Inputs!$F$146*Time!BN26*Inputs!$F$147*(1+Inputs!$F$149/100)^(Time!BN21-2018)/1000000</f>
        <v/>
      </c>
    </row>
    <row r="49">
      <c r="D49" t="inlineStr">
        <is>
          <t>GTA commodity charge (pass-through)</t>
        </is>
      </c>
      <c r="E49" t="inlineStr">
        <is>
          <t>USD m</t>
        </is>
      </c>
      <c r="G49" s="11">
        <f>SUM(J49:BN49)</f>
        <v/>
      </c>
      <c r="J49" s="11">
        <f>J38*Inputs!$F$148*(1+Inputs!$F$149/100)^(Time!J21-2018)/1000000</f>
        <v/>
      </c>
      <c r="K49" s="11">
        <f>K38*Inputs!$F$148*(1+Inputs!$F$149/100)^(Time!K21-2018)/1000000</f>
        <v/>
      </c>
      <c r="L49" s="11">
        <f>L38*Inputs!$F$148*(1+Inputs!$F$149/100)^(Time!L21-2018)/1000000</f>
        <v/>
      </c>
      <c r="M49" s="11">
        <f>M38*Inputs!$F$148*(1+Inputs!$F$149/100)^(Time!M21-2018)/1000000</f>
        <v/>
      </c>
      <c r="N49" s="11">
        <f>N38*Inputs!$F$148*(1+Inputs!$F$149/100)^(Time!N21-2018)/1000000</f>
        <v/>
      </c>
      <c r="O49" s="11">
        <f>O38*Inputs!$F$148*(1+Inputs!$F$149/100)^(Time!O21-2018)/1000000</f>
        <v/>
      </c>
      <c r="P49" s="11">
        <f>P38*Inputs!$F$148*(1+Inputs!$F$149/100)^(Time!P21-2018)/1000000</f>
        <v/>
      </c>
      <c r="Q49" s="11">
        <f>Q38*Inputs!$F$148*(1+Inputs!$F$149/100)^(Time!Q21-2018)/1000000</f>
        <v/>
      </c>
      <c r="R49" s="11">
        <f>R38*Inputs!$F$148*(1+Inputs!$F$149/100)^(Time!R21-2018)/1000000</f>
        <v/>
      </c>
      <c r="S49" s="11">
        <f>S38*Inputs!$F$148*(1+Inputs!$F$149/100)^(Time!S21-2018)/1000000</f>
        <v/>
      </c>
      <c r="T49" s="11">
        <f>T38*Inputs!$F$148*(1+Inputs!$F$149/100)^(Time!T21-2018)/1000000</f>
        <v/>
      </c>
      <c r="U49" s="11">
        <f>U38*Inputs!$F$148*(1+Inputs!$F$149/100)^(Time!U21-2018)/1000000</f>
        <v/>
      </c>
      <c r="V49" s="11">
        <f>V38*Inputs!$F$148*(1+Inputs!$F$149/100)^(Time!V21-2018)/1000000</f>
        <v/>
      </c>
      <c r="W49" s="11">
        <f>W38*Inputs!$F$148*(1+Inputs!$F$149/100)^(Time!W21-2018)/1000000</f>
        <v/>
      </c>
      <c r="X49" s="11">
        <f>X38*Inputs!$F$148*(1+Inputs!$F$149/100)^(Time!X21-2018)/1000000</f>
        <v/>
      </c>
      <c r="Y49" s="11">
        <f>Y38*Inputs!$F$148*(1+Inputs!$F$149/100)^(Time!Y21-2018)/1000000</f>
        <v/>
      </c>
      <c r="Z49" s="11">
        <f>Z38*Inputs!$F$148*(1+Inputs!$F$149/100)^(Time!Z21-2018)/1000000</f>
        <v/>
      </c>
      <c r="AA49" s="11">
        <f>AA38*Inputs!$F$148*(1+Inputs!$F$149/100)^(Time!AA21-2018)/1000000</f>
        <v/>
      </c>
      <c r="AB49" s="11">
        <f>AB38*Inputs!$F$148*(1+Inputs!$F$149/100)^(Time!AB21-2018)/1000000</f>
        <v/>
      </c>
      <c r="AC49" s="11">
        <f>AC38*Inputs!$F$148*(1+Inputs!$F$149/100)^(Time!AC21-2018)/1000000</f>
        <v/>
      </c>
      <c r="AD49" s="11">
        <f>AD38*Inputs!$F$148*(1+Inputs!$F$149/100)^(Time!AD21-2018)/1000000</f>
        <v/>
      </c>
      <c r="AE49" s="11">
        <f>AE38*Inputs!$F$148*(1+Inputs!$F$149/100)^(Time!AE21-2018)/1000000</f>
        <v/>
      </c>
      <c r="AF49" s="11">
        <f>AF38*Inputs!$F$148*(1+Inputs!$F$149/100)^(Time!AF21-2018)/1000000</f>
        <v/>
      </c>
      <c r="AG49" s="11">
        <f>AG38*Inputs!$F$148*(1+Inputs!$F$149/100)^(Time!AG21-2018)/1000000</f>
        <v/>
      </c>
      <c r="AH49" s="11">
        <f>AH38*Inputs!$F$148*(1+Inputs!$F$149/100)^(Time!AH21-2018)/1000000</f>
        <v/>
      </c>
      <c r="AI49" s="11">
        <f>AI38*Inputs!$F$148*(1+Inputs!$F$149/100)^(Time!AI21-2018)/1000000</f>
        <v/>
      </c>
      <c r="AJ49" s="11">
        <f>AJ38*Inputs!$F$148*(1+Inputs!$F$149/100)^(Time!AJ21-2018)/1000000</f>
        <v/>
      </c>
      <c r="AK49" s="11">
        <f>AK38*Inputs!$F$148*(1+Inputs!$F$149/100)^(Time!AK21-2018)/1000000</f>
        <v/>
      </c>
      <c r="AL49" s="11">
        <f>AL38*Inputs!$F$148*(1+Inputs!$F$149/100)^(Time!AL21-2018)/1000000</f>
        <v/>
      </c>
      <c r="AM49" s="11">
        <f>AM38*Inputs!$F$148*(1+Inputs!$F$149/100)^(Time!AM21-2018)/1000000</f>
        <v/>
      </c>
      <c r="AN49" s="11">
        <f>AN38*Inputs!$F$148*(1+Inputs!$F$149/100)^(Time!AN21-2018)/1000000</f>
        <v/>
      </c>
      <c r="AO49" s="11">
        <f>AO38*Inputs!$F$148*(1+Inputs!$F$149/100)^(Time!AO21-2018)/1000000</f>
        <v/>
      </c>
      <c r="AP49" s="11">
        <f>AP38*Inputs!$F$148*(1+Inputs!$F$149/100)^(Time!AP21-2018)/1000000</f>
        <v/>
      </c>
      <c r="AQ49" s="11">
        <f>AQ38*Inputs!$F$148*(1+Inputs!$F$149/100)^(Time!AQ21-2018)/1000000</f>
        <v/>
      </c>
      <c r="AR49" s="11">
        <f>AR38*Inputs!$F$148*(1+Inputs!$F$149/100)^(Time!AR21-2018)/1000000</f>
        <v/>
      </c>
      <c r="AS49" s="11">
        <f>AS38*Inputs!$F$148*(1+Inputs!$F$149/100)^(Time!AS21-2018)/1000000</f>
        <v/>
      </c>
      <c r="AT49" s="11">
        <f>AT38*Inputs!$F$148*(1+Inputs!$F$149/100)^(Time!AT21-2018)/1000000</f>
        <v/>
      </c>
      <c r="AU49" s="11">
        <f>AU38*Inputs!$F$148*(1+Inputs!$F$149/100)^(Time!AU21-2018)/1000000</f>
        <v/>
      </c>
      <c r="AV49" s="11">
        <f>AV38*Inputs!$F$148*(1+Inputs!$F$149/100)^(Time!AV21-2018)/1000000</f>
        <v/>
      </c>
      <c r="AW49" s="11">
        <f>AW38*Inputs!$F$148*(1+Inputs!$F$149/100)^(Time!AW21-2018)/1000000</f>
        <v/>
      </c>
      <c r="AX49" s="11">
        <f>AX38*Inputs!$F$148*(1+Inputs!$F$149/100)^(Time!AX21-2018)/1000000</f>
        <v/>
      </c>
      <c r="AY49" s="11">
        <f>AY38*Inputs!$F$148*(1+Inputs!$F$149/100)^(Time!AY21-2018)/1000000</f>
        <v/>
      </c>
      <c r="AZ49" s="11">
        <f>AZ38*Inputs!$F$148*(1+Inputs!$F$149/100)^(Time!AZ21-2018)/1000000</f>
        <v/>
      </c>
      <c r="BA49" s="11">
        <f>BA38*Inputs!$F$148*(1+Inputs!$F$149/100)^(Time!BA21-2018)/1000000</f>
        <v/>
      </c>
      <c r="BB49" s="11">
        <f>BB38*Inputs!$F$148*(1+Inputs!$F$149/100)^(Time!BB21-2018)/1000000</f>
        <v/>
      </c>
      <c r="BC49" s="11">
        <f>BC38*Inputs!$F$148*(1+Inputs!$F$149/100)^(Time!BC21-2018)/1000000</f>
        <v/>
      </c>
      <c r="BD49" s="11">
        <f>BD38*Inputs!$F$148*(1+Inputs!$F$149/100)^(Time!BD21-2018)/1000000</f>
        <v/>
      </c>
      <c r="BE49" s="11">
        <f>BE38*Inputs!$F$148*(1+Inputs!$F$149/100)^(Time!BE21-2018)/1000000</f>
        <v/>
      </c>
      <c r="BF49" s="11">
        <f>BF38*Inputs!$F$148*(1+Inputs!$F$149/100)^(Time!BF21-2018)/1000000</f>
        <v/>
      </c>
      <c r="BG49" s="11">
        <f>BG38*Inputs!$F$148*(1+Inputs!$F$149/100)^(Time!BG21-2018)/1000000</f>
        <v/>
      </c>
      <c r="BH49" s="11">
        <f>BH38*Inputs!$F$148*(1+Inputs!$F$149/100)^(Time!BH21-2018)/1000000</f>
        <v/>
      </c>
      <c r="BI49" s="11">
        <f>BI38*Inputs!$F$148*(1+Inputs!$F$149/100)^(Time!BI21-2018)/1000000</f>
        <v/>
      </c>
      <c r="BJ49" s="11">
        <f>BJ38*Inputs!$F$148*(1+Inputs!$F$149/100)^(Time!BJ21-2018)/1000000</f>
        <v/>
      </c>
      <c r="BK49" s="11">
        <f>BK38*Inputs!$F$148*(1+Inputs!$F$149/100)^(Time!BK21-2018)/1000000</f>
        <v/>
      </c>
      <c r="BL49" s="11">
        <f>BL38*Inputs!$F$148*(1+Inputs!$F$149/100)^(Time!BL21-2018)/1000000</f>
        <v/>
      </c>
      <c r="BM49" s="11">
        <f>BM38*Inputs!$F$148*(1+Inputs!$F$149/100)^(Time!BM21-2018)/1000000</f>
        <v/>
      </c>
      <c r="BN49" s="11">
        <f>BN38*Inputs!$F$148*(1+Inputs!$F$149/100)^(Time!BN21-2018)/1000000</f>
        <v/>
      </c>
    </row>
    <row r="50">
      <c r="D50" t="inlineStr">
        <is>
          <t>Take-or-pay payment (pass-through)</t>
        </is>
      </c>
      <c r="E50" t="inlineStr">
        <is>
          <t>USD m</t>
        </is>
      </c>
      <c r="G50" s="11">
        <f>SUM(J50:BN50)</f>
        <v/>
      </c>
      <c r="J50" s="11">
        <f>MAX(0,J39-J38)*J37/1000000</f>
        <v/>
      </c>
      <c r="K50" s="11">
        <f>MAX(0,K39-K38)*K37/1000000</f>
        <v/>
      </c>
      <c r="L50" s="11">
        <f>MAX(0,L39-L38)*L37/1000000</f>
        <v/>
      </c>
      <c r="M50" s="11">
        <f>MAX(0,M39-M38)*M37/1000000</f>
        <v/>
      </c>
      <c r="N50" s="11">
        <f>MAX(0,N39-N38)*N37/1000000</f>
        <v/>
      </c>
      <c r="O50" s="11">
        <f>MAX(0,O39-O38)*O37/1000000</f>
        <v/>
      </c>
      <c r="P50" s="11">
        <f>MAX(0,P39-P38)*P37/1000000</f>
        <v/>
      </c>
      <c r="Q50" s="11">
        <f>MAX(0,Q39-Q38)*Q37/1000000</f>
        <v/>
      </c>
      <c r="R50" s="11">
        <f>MAX(0,R39-R38)*R37/1000000</f>
        <v/>
      </c>
      <c r="S50" s="11">
        <f>MAX(0,S39-S38)*S37/1000000</f>
        <v/>
      </c>
      <c r="T50" s="11">
        <f>MAX(0,T39-T38)*T37/1000000</f>
        <v/>
      </c>
      <c r="U50" s="11">
        <f>MAX(0,U39-U38)*U37/1000000</f>
        <v/>
      </c>
      <c r="V50" s="11">
        <f>MAX(0,V39-V38)*V37/1000000</f>
        <v/>
      </c>
      <c r="W50" s="11">
        <f>MAX(0,W39-W38)*W37/1000000</f>
        <v/>
      </c>
      <c r="X50" s="11">
        <f>MAX(0,X39-X38)*X37/1000000</f>
        <v/>
      </c>
      <c r="Y50" s="11">
        <f>MAX(0,Y39-Y38)*Y37/1000000</f>
        <v/>
      </c>
      <c r="Z50" s="11">
        <f>MAX(0,Z39-Z38)*Z37/1000000</f>
        <v/>
      </c>
      <c r="AA50" s="11">
        <f>MAX(0,AA39-AA38)*AA37/1000000</f>
        <v/>
      </c>
      <c r="AB50" s="11">
        <f>MAX(0,AB39-AB38)*AB37/1000000</f>
        <v/>
      </c>
      <c r="AC50" s="11">
        <f>MAX(0,AC39-AC38)*AC37/1000000</f>
        <v/>
      </c>
      <c r="AD50" s="11">
        <f>MAX(0,AD39-AD38)*AD37/1000000</f>
        <v/>
      </c>
      <c r="AE50" s="11">
        <f>MAX(0,AE39-AE38)*AE37/1000000</f>
        <v/>
      </c>
      <c r="AF50" s="11">
        <f>MAX(0,AF39-AF38)*AF37/1000000</f>
        <v/>
      </c>
      <c r="AG50" s="11">
        <f>MAX(0,AG39-AG38)*AG37/1000000</f>
        <v/>
      </c>
      <c r="AH50" s="11">
        <f>MAX(0,AH39-AH38)*AH37/1000000</f>
        <v/>
      </c>
      <c r="AI50" s="11">
        <f>MAX(0,AI39-AI38)*AI37/1000000</f>
        <v/>
      </c>
      <c r="AJ50" s="11">
        <f>MAX(0,AJ39-AJ38)*AJ37/1000000</f>
        <v/>
      </c>
      <c r="AK50" s="11">
        <f>MAX(0,AK39-AK38)*AK37/1000000</f>
        <v/>
      </c>
      <c r="AL50" s="11">
        <f>MAX(0,AL39-AL38)*AL37/1000000</f>
        <v/>
      </c>
      <c r="AM50" s="11">
        <f>MAX(0,AM39-AM38)*AM37/1000000</f>
        <v/>
      </c>
      <c r="AN50" s="11">
        <f>MAX(0,AN39-AN38)*AN37/1000000</f>
        <v/>
      </c>
      <c r="AO50" s="11">
        <f>MAX(0,AO39-AO38)*AO37/1000000</f>
        <v/>
      </c>
      <c r="AP50" s="11">
        <f>MAX(0,AP39-AP38)*AP37/1000000</f>
        <v/>
      </c>
      <c r="AQ50" s="11">
        <f>MAX(0,AQ39-AQ38)*AQ37/1000000</f>
        <v/>
      </c>
      <c r="AR50" s="11">
        <f>MAX(0,AR39-AR38)*AR37/1000000</f>
        <v/>
      </c>
      <c r="AS50" s="11">
        <f>MAX(0,AS39-AS38)*AS37/1000000</f>
        <v/>
      </c>
      <c r="AT50" s="11">
        <f>MAX(0,AT39-AT38)*AT37/1000000</f>
        <v/>
      </c>
      <c r="AU50" s="11">
        <f>MAX(0,AU39-AU38)*AU37/1000000</f>
        <v/>
      </c>
      <c r="AV50" s="11">
        <f>MAX(0,AV39-AV38)*AV37/1000000</f>
        <v/>
      </c>
      <c r="AW50" s="11">
        <f>MAX(0,AW39-AW38)*AW37/1000000</f>
        <v/>
      </c>
      <c r="AX50" s="11">
        <f>MAX(0,AX39-AX38)*AX37/1000000</f>
        <v/>
      </c>
      <c r="AY50" s="11">
        <f>MAX(0,AY39-AY38)*AY37/1000000</f>
        <v/>
      </c>
      <c r="AZ50" s="11">
        <f>MAX(0,AZ39-AZ38)*AZ37/1000000</f>
        <v/>
      </c>
      <c r="BA50" s="11">
        <f>MAX(0,BA39-BA38)*BA37/1000000</f>
        <v/>
      </c>
      <c r="BB50" s="11">
        <f>MAX(0,BB39-BB38)*BB37/1000000</f>
        <v/>
      </c>
      <c r="BC50" s="11">
        <f>MAX(0,BC39-BC38)*BC37/1000000</f>
        <v/>
      </c>
      <c r="BD50" s="11">
        <f>MAX(0,BD39-BD38)*BD37/1000000</f>
        <v/>
      </c>
      <c r="BE50" s="11">
        <f>MAX(0,BE39-BE38)*BE37/1000000</f>
        <v/>
      </c>
      <c r="BF50" s="11">
        <f>MAX(0,BF39-BF38)*BF37/1000000</f>
        <v/>
      </c>
      <c r="BG50" s="11">
        <f>MAX(0,BG39-BG38)*BG37/1000000</f>
        <v/>
      </c>
      <c r="BH50" s="11">
        <f>MAX(0,BH39-BH38)*BH37/1000000</f>
        <v/>
      </c>
      <c r="BI50" s="11">
        <f>MAX(0,BI39-BI38)*BI37/1000000</f>
        <v/>
      </c>
      <c r="BJ50" s="11">
        <f>MAX(0,BJ39-BJ38)*BJ37/1000000</f>
        <v/>
      </c>
      <c r="BK50" s="11">
        <f>MAX(0,BK39-BK38)*BK37/1000000</f>
        <v/>
      </c>
      <c r="BL50" s="11">
        <f>MAX(0,BL39-BL38)*BL37/1000000</f>
        <v/>
      </c>
      <c r="BM50" s="11">
        <f>MAX(0,BM39-BM38)*BM37/1000000</f>
        <v/>
      </c>
      <c r="BN50" s="11">
        <f>MAX(0,BN39-BN38)*BN37/1000000</f>
        <v/>
      </c>
    </row>
    <row r="51">
      <c r="D51" t="inlineStr">
        <is>
          <t>Non-fuel revenue</t>
        </is>
      </c>
      <c r="E51" t="inlineStr">
        <is>
          <t>USD m</t>
        </is>
      </c>
      <c r="G51" s="11">
        <f>SUM(J51:BN51)</f>
        <v/>
      </c>
      <c r="J51" s="11">
        <f>J44+J46</f>
        <v/>
      </c>
      <c r="K51" s="11">
        <f>K44+K46</f>
        <v/>
      </c>
      <c r="L51" s="11">
        <f>L44+L46</f>
        <v/>
      </c>
      <c r="M51" s="11">
        <f>M44+M46</f>
        <v/>
      </c>
      <c r="N51" s="11">
        <f>N44+N46</f>
        <v/>
      </c>
      <c r="O51" s="11">
        <f>O44+O46</f>
        <v/>
      </c>
      <c r="P51" s="11">
        <f>P44+P46</f>
        <v/>
      </c>
      <c r="Q51" s="11">
        <f>Q44+Q46</f>
        <v/>
      </c>
      <c r="R51" s="11">
        <f>R44+R46</f>
        <v/>
      </c>
      <c r="S51" s="11">
        <f>S44+S46</f>
        <v/>
      </c>
      <c r="T51" s="11">
        <f>T44+T46</f>
        <v/>
      </c>
      <c r="U51" s="11">
        <f>U44+U46</f>
        <v/>
      </c>
      <c r="V51" s="11">
        <f>V44+V46</f>
        <v/>
      </c>
      <c r="W51" s="11">
        <f>W44+W46</f>
        <v/>
      </c>
      <c r="X51" s="11">
        <f>X44+X46</f>
        <v/>
      </c>
      <c r="Y51" s="11">
        <f>Y44+Y46</f>
        <v/>
      </c>
      <c r="Z51" s="11">
        <f>Z44+Z46</f>
        <v/>
      </c>
      <c r="AA51" s="11">
        <f>AA44+AA46</f>
        <v/>
      </c>
      <c r="AB51" s="11">
        <f>AB44+AB46</f>
        <v/>
      </c>
      <c r="AC51" s="11">
        <f>AC44+AC46</f>
        <v/>
      </c>
      <c r="AD51" s="11">
        <f>AD44+AD46</f>
        <v/>
      </c>
      <c r="AE51" s="11">
        <f>AE44+AE46</f>
        <v/>
      </c>
      <c r="AF51" s="11">
        <f>AF44+AF46</f>
        <v/>
      </c>
      <c r="AG51" s="11">
        <f>AG44+AG46</f>
        <v/>
      </c>
      <c r="AH51" s="11">
        <f>AH44+AH46</f>
        <v/>
      </c>
      <c r="AI51" s="11">
        <f>AI44+AI46</f>
        <v/>
      </c>
      <c r="AJ51" s="11">
        <f>AJ44+AJ46</f>
        <v/>
      </c>
      <c r="AK51" s="11">
        <f>AK44+AK46</f>
        <v/>
      </c>
      <c r="AL51" s="11">
        <f>AL44+AL46</f>
        <v/>
      </c>
      <c r="AM51" s="11">
        <f>AM44+AM46</f>
        <v/>
      </c>
      <c r="AN51" s="11">
        <f>AN44+AN46</f>
        <v/>
      </c>
      <c r="AO51" s="11">
        <f>AO44+AO46</f>
        <v/>
      </c>
      <c r="AP51" s="11">
        <f>AP44+AP46</f>
        <v/>
      </c>
      <c r="AQ51" s="11">
        <f>AQ44+AQ46</f>
        <v/>
      </c>
      <c r="AR51" s="11">
        <f>AR44+AR46</f>
        <v/>
      </c>
      <c r="AS51" s="11">
        <f>AS44+AS46</f>
        <v/>
      </c>
      <c r="AT51" s="11">
        <f>AT44+AT46</f>
        <v/>
      </c>
      <c r="AU51" s="11">
        <f>AU44+AU46</f>
        <v/>
      </c>
      <c r="AV51" s="11">
        <f>AV44+AV46</f>
        <v/>
      </c>
      <c r="AW51" s="11">
        <f>AW44+AW46</f>
        <v/>
      </c>
      <c r="AX51" s="11">
        <f>AX44+AX46</f>
        <v/>
      </c>
      <c r="AY51" s="11">
        <f>AY44+AY46</f>
        <v/>
      </c>
      <c r="AZ51" s="11">
        <f>AZ44+AZ46</f>
        <v/>
      </c>
      <c r="BA51" s="11">
        <f>BA44+BA46</f>
        <v/>
      </c>
      <c r="BB51" s="11">
        <f>BB44+BB46</f>
        <v/>
      </c>
      <c r="BC51" s="11">
        <f>BC44+BC46</f>
        <v/>
      </c>
      <c r="BD51" s="11">
        <f>BD44+BD46</f>
        <v/>
      </c>
      <c r="BE51" s="11">
        <f>BE44+BE46</f>
        <v/>
      </c>
      <c r="BF51" s="11">
        <f>BF44+BF46</f>
        <v/>
      </c>
      <c r="BG51" s="11">
        <f>BG44+BG46</f>
        <v/>
      </c>
      <c r="BH51" s="11">
        <f>BH44+BH46</f>
        <v/>
      </c>
      <c r="BI51" s="11">
        <f>BI44+BI46</f>
        <v/>
      </c>
      <c r="BJ51" s="11">
        <f>BJ44+BJ46</f>
        <v/>
      </c>
      <c r="BK51" s="11">
        <f>BK44+BK46</f>
        <v/>
      </c>
      <c r="BL51" s="11">
        <f>BL44+BL46</f>
        <v/>
      </c>
      <c r="BM51" s="11">
        <f>BM44+BM46</f>
        <v/>
      </c>
      <c r="BN51" s="11">
        <f>BN44+BN46</f>
        <v/>
      </c>
    </row>
    <row r="52">
      <c r="D52" t="inlineStr">
        <is>
          <t>Total revenue</t>
        </is>
      </c>
      <c r="E52" t="inlineStr">
        <is>
          <t>USD m</t>
        </is>
      </c>
      <c r="G52" s="11">
        <f>SUM(J52:BN52)</f>
        <v/>
      </c>
      <c r="J52" s="11">
        <f>J51+J47+J48+J49+J50</f>
        <v/>
      </c>
      <c r="K52" s="11">
        <f>K51+K47+K48+K49+K50</f>
        <v/>
      </c>
      <c r="L52" s="11">
        <f>L51+L47+L48+L49+L50</f>
        <v/>
      </c>
      <c r="M52" s="11">
        <f>M51+M47+M48+M49+M50</f>
        <v/>
      </c>
      <c r="N52" s="11">
        <f>N51+N47+N48+N49+N50</f>
        <v/>
      </c>
      <c r="O52" s="11">
        <f>O51+O47+O48+O49+O50</f>
        <v/>
      </c>
      <c r="P52" s="11">
        <f>P51+P47+P48+P49+P50</f>
        <v/>
      </c>
      <c r="Q52" s="11">
        <f>Q51+Q47+Q48+Q49+Q50</f>
        <v/>
      </c>
      <c r="R52" s="11">
        <f>R51+R47+R48+R49+R50</f>
        <v/>
      </c>
      <c r="S52" s="11">
        <f>S51+S47+S48+S49+S50</f>
        <v/>
      </c>
      <c r="T52" s="11">
        <f>T51+T47+T48+T49+T50</f>
        <v/>
      </c>
      <c r="U52" s="11">
        <f>U51+U47+U48+U49+U50</f>
        <v/>
      </c>
      <c r="V52" s="11">
        <f>V51+V47+V48+V49+V50</f>
        <v/>
      </c>
      <c r="W52" s="11">
        <f>W51+W47+W48+W49+W50</f>
        <v/>
      </c>
      <c r="X52" s="11">
        <f>X51+X47+X48+X49+X50</f>
        <v/>
      </c>
      <c r="Y52" s="11">
        <f>Y51+Y47+Y48+Y49+Y50</f>
        <v/>
      </c>
      <c r="Z52" s="11">
        <f>Z51+Z47+Z48+Z49+Z50</f>
        <v/>
      </c>
      <c r="AA52" s="11">
        <f>AA51+AA47+AA48+AA49+AA50</f>
        <v/>
      </c>
      <c r="AB52" s="11">
        <f>AB51+AB47+AB48+AB49+AB50</f>
        <v/>
      </c>
      <c r="AC52" s="11">
        <f>AC51+AC47+AC48+AC49+AC50</f>
        <v/>
      </c>
      <c r="AD52" s="11">
        <f>AD51+AD47+AD48+AD49+AD50</f>
        <v/>
      </c>
      <c r="AE52" s="11">
        <f>AE51+AE47+AE48+AE49+AE50</f>
        <v/>
      </c>
      <c r="AF52" s="11">
        <f>AF51+AF47+AF48+AF49+AF50</f>
        <v/>
      </c>
      <c r="AG52" s="11">
        <f>AG51+AG47+AG48+AG49+AG50</f>
        <v/>
      </c>
      <c r="AH52" s="11">
        <f>AH51+AH47+AH48+AH49+AH50</f>
        <v/>
      </c>
      <c r="AI52" s="11">
        <f>AI51+AI47+AI48+AI49+AI50</f>
        <v/>
      </c>
      <c r="AJ52" s="11">
        <f>AJ51+AJ47+AJ48+AJ49+AJ50</f>
        <v/>
      </c>
      <c r="AK52" s="11">
        <f>AK51+AK47+AK48+AK49+AK50</f>
        <v/>
      </c>
      <c r="AL52" s="11">
        <f>AL51+AL47+AL48+AL49+AL50</f>
        <v/>
      </c>
      <c r="AM52" s="11">
        <f>AM51+AM47+AM48+AM49+AM50</f>
        <v/>
      </c>
      <c r="AN52" s="11">
        <f>AN51+AN47+AN48+AN49+AN50</f>
        <v/>
      </c>
      <c r="AO52" s="11">
        <f>AO51+AO47+AO48+AO49+AO50</f>
        <v/>
      </c>
      <c r="AP52" s="11">
        <f>AP51+AP47+AP48+AP49+AP50</f>
        <v/>
      </c>
      <c r="AQ52" s="11">
        <f>AQ51+AQ47+AQ48+AQ49+AQ50</f>
        <v/>
      </c>
      <c r="AR52" s="11">
        <f>AR51+AR47+AR48+AR49+AR50</f>
        <v/>
      </c>
      <c r="AS52" s="11">
        <f>AS51+AS47+AS48+AS49+AS50</f>
        <v/>
      </c>
      <c r="AT52" s="11">
        <f>AT51+AT47+AT48+AT49+AT50</f>
        <v/>
      </c>
      <c r="AU52" s="11">
        <f>AU51+AU47+AU48+AU49+AU50</f>
        <v/>
      </c>
      <c r="AV52" s="11">
        <f>AV51+AV47+AV48+AV49+AV50</f>
        <v/>
      </c>
      <c r="AW52" s="11">
        <f>AW51+AW47+AW48+AW49+AW50</f>
        <v/>
      </c>
      <c r="AX52" s="11">
        <f>AX51+AX47+AX48+AX49+AX50</f>
        <v/>
      </c>
      <c r="AY52" s="11">
        <f>AY51+AY47+AY48+AY49+AY50</f>
        <v/>
      </c>
      <c r="AZ52" s="11">
        <f>AZ51+AZ47+AZ48+AZ49+AZ50</f>
        <v/>
      </c>
      <c r="BA52" s="11">
        <f>BA51+BA47+BA48+BA49+BA50</f>
        <v/>
      </c>
      <c r="BB52" s="11">
        <f>BB51+BB47+BB48+BB49+BB50</f>
        <v/>
      </c>
      <c r="BC52" s="11">
        <f>BC51+BC47+BC48+BC49+BC50</f>
        <v/>
      </c>
      <c r="BD52" s="11">
        <f>BD51+BD47+BD48+BD49+BD50</f>
        <v/>
      </c>
      <c r="BE52" s="11">
        <f>BE51+BE47+BE48+BE49+BE50</f>
        <v/>
      </c>
      <c r="BF52" s="11">
        <f>BF51+BF47+BF48+BF49+BF50</f>
        <v/>
      </c>
      <c r="BG52" s="11">
        <f>BG51+BG47+BG48+BG49+BG50</f>
        <v/>
      </c>
      <c r="BH52" s="11">
        <f>BH51+BH47+BH48+BH49+BH50</f>
        <v/>
      </c>
      <c r="BI52" s="11">
        <f>BI51+BI47+BI48+BI49+BI50</f>
        <v/>
      </c>
      <c r="BJ52" s="11">
        <f>BJ51+BJ47+BJ48+BJ49+BJ50</f>
        <v/>
      </c>
      <c r="BK52" s="11">
        <f>BK51+BK47+BK48+BK49+BK50</f>
        <v/>
      </c>
      <c r="BL52" s="11">
        <f>BL51+BL47+BL48+BL49+BL50</f>
        <v/>
      </c>
      <c r="BM52" s="11">
        <f>BM51+BM47+BM48+BM49+BM50</f>
        <v/>
      </c>
      <c r="BN52" s="11">
        <f>BN51+BN47+BN48+BN49+BN50</f>
        <v/>
      </c>
    </row>
    <row r="53">
      <c r="D53" t="inlineStr">
        <is>
          <t>Late payment interest accrued (to settlement 2024-03-21)</t>
        </is>
      </c>
      <c r="E53" t="inlineStr">
        <is>
          <t>USD m</t>
        </is>
      </c>
      <c r="G53" s="11">
        <f>SUM(J53:BN53)</f>
        <v/>
      </c>
      <c r="J53" s="11">
        <f>IF(Inputs!$F$45=1,(0+J85)/2*(J9-IF(Time!J17&gt;=10,Inputs!$F$98,0)+Inputs!$F$187)/100*MAX(0,MIN(Time!J20,DATE(2024,3,21)-Time!J18))/360,0)</f>
        <v/>
      </c>
      <c r="K53" s="11">
        <f>IF(Inputs!$F$45=1,(J85+K85)/2*(K9-IF(Time!K17&gt;=10,Inputs!$F$98,0)+Inputs!$F$187)/100*MAX(0,MIN(Time!K20,DATE(2024,3,21)-Time!K18))/360,0)</f>
        <v/>
      </c>
      <c r="L53" s="11">
        <f>IF(Inputs!$F$45=1,(K85+L85)/2*(L9-IF(Time!L17&gt;=10,Inputs!$F$98,0)+Inputs!$F$187)/100*MAX(0,MIN(Time!L20,DATE(2024,3,21)-Time!L18))/360,0)</f>
        <v/>
      </c>
      <c r="M53" s="11">
        <f>IF(Inputs!$F$45=1,(L85+M85)/2*(M9-IF(Time!M17&gt;=10,Inputs!$F$98,0)+Inputs!$F$187)/100*MAX(0,MIN(Time!M20,DATE(2024,3,21)-Time!M18))/360,0)</f>
        <v/>
      </c>
      <c r="N53" s="11">
        <f>IF(Inputs!$F$45=1,(M85+N85)/2*(N9-IF(Time!N17&gt;=10,Inputs!$F$98,0)+Inputs!$F$187)/100*MAX(0,MIN(Time!N20,DATE(2024,3,21)-Time!N18))/360,0)</f>
        <v/>
      </c>
      <c r="O53" s="11">
        <f>IF(Inputs!$F$45=1,(N85+O85)/2*(O9-IF(Time!O17&gt;=10,Inputs!$F$98,0)+Inputs!$F$187)/100*MAX(0,MIN(Time!O20,DATE(2024,3,21)-Time!O18))/360,0)</f>
        <v/>
      </c>
      <c r="P53" s="11">
        <f>IF(Inputs!$F$45=1,(O85+P85)/2*(P9-IF(Time!P17&gt;=10,Inputs!$F$98,0)+Inputs!$F$187)/100*MAX(0,MIN(Time!P20,DATE(2024,3,21)-Time!P18))/360,0)</f>
        <v/>
      </c>
      <c r="Q53" s="11">
        <f>IF(Inputs!$F$45=1,(P85+Q85)/2*(Q9-IF(Time!Q17&gt;=10,Inputs!$F$98,0)+Inputs!$F$187)/100*MAX(0,MIN(Time!Q20,DATE(2024,3,21)-Time!Q18))/360,0)</f>
        <v/>
      </c>
      <c r="R53" s="11">
        <f>IF(Inputs!$F$45=1,(Q85+R85)/2*(R9-IF(Time!R17&gt;=10,Inputs!$F$98,0)+Inputs!$F$187)/100*MAX(0,MIN(Time!R20,DATE(2024,3,21)-Time!R18))/360,0)</f>
        <v/>
      </c>
      <c r="S53" s="11">
        <f>IF(Inputs!$F$45=1,(R85+S85)/2*(S9-IF(Time!S17&gt;=10,Inputs!$F$98,0)+Inputs!$F$187)/100*MAX(0,MIN(Time!S20,DATE(2024,3,21)-Time!S18))/360,0)</f>
        <v/>
      </c>
      <c r="T53" s="11">
        <f>IF(Inputs!$F$45=1,(S85+T85)/2*(T9-IF(Time!T17&gt;=10,Inputs!$F$98,0)+Inputs!$F$187)/100*MAX(0,MIN(Time!T20,DATE(2024,3,21)-Time!T18))/360,0)</f>
        <v/>
      </c>
      <c r="U53" s="11">
        <f>IF(Inputs!$F$45=1,(T85+U85)/2*(U9-IF(Time!U17&gt;=10,Inputs!$F$98,0)+Inputs!$F$187)/100*MAX(0,MIN(Time!U20,DATE(2024,3,21)-Time!U18))/360,0)</f>
        <v/>
      </c>
      <c r="V53" s="11">
        <f>IF(Inputs!$F$45=1,(U85+V85)/2*(V9-IF(Time!V17&gt;=10,Inputs!$F$98,0)+Inputs!$F$187)/100*MAX(0,MIN(Time!V20,DATE(2024,3,21)-Time!V18))/360,0)</f>
        <v/>
      </c>
      <c r="W53" s="11">
        <f>IF(Inputs!$F$45=1,(V85+W85)/2*(W9-IF(Time!W17&gt;=10,Inputs!$F$98,0)+Inputs!$F$187)/100*MAX(0,MIN(Time!W20,DATE(2024,3,21)-Time!W18))/360,0)</f>
        <v/>
      </c>
      <c r="X53" s="11">
        <f>IF(Inputs!$F$45=1,(W85+X85)/2*(X9-IF(Time!X17&gt;=10,Inputs!$F$98,0)+Inputs!$F$187)/100*MAX(0,MIN(Time!X20,DATE(2024,3,21)-Time!X18))/360,0)</f>
        <v/>
      </c>
      <c r="Y53" s="11">
        <f>IF(Inputs!$F$45=1,(X85+Y85)/2*(Y9-IF(Time!Y17&gt;=10,Inputs!$F$98,0)+Inputs!$F$187)/100*MAX(0,MIN(Time!Y20,DATE(2024,3,21)-Time!Y18))/360,0)</f>
        <v/>
      </c>
      <c r="Z53" s="11">
        <f>IF(Inputs!$F$45=1,(Y85+Z85)/2*(Z9-IF(Time!Z17&gt;=10,Inputs!$F$98,0)+Inputs!$F$187)/100*MAX(0,MIN(Time!Z20,DATE(2024,3,21)-Time!Z18))/360,0)</f>
        <v/>
      </c>
      <c r="AA53" s="11">
        <f>IF(Inputs!$F$45=1,(Z85+AA85)/2*(AA9-IF(Time!AA17&gt;=10,Inputs!$F$98,0)+Inputs!$F$187)/100*MAX(0,MIN(Time!AA20,DATE(2024,3,21)-Time!AA18))/360,0)</f>
        <v/>
      </c>
      <c r="AB53" s="11">
        <f>IF(Inputs!$F$45=1,(AA85+AB85)/2*(AB9-IF(Time!AB17&gt;=10,Inputs!$F$98,0)+Inputs!$F$187)/100*MAX(0,MIN(Time!AB20,DATE(2024,3,21)-Time!AB18))/360,0)</f>
        <v/>
      </c>
      <c r="AC53" s="11">
        <f>IF(Inputs!$F$45=1,(AB85+AC85)/2*(AC9-IF(Time!AC17&gt;=10,Inputs!$F$98,0)+Inputs!$F$187)/100*MAX(0,MIN(Time!AC20,DATE(2024,3,21)-Time!AC18))/360,0)</f>
        <v/>
      </c>
      <c r="AD53" s="11">
        <f>IF(Inputs!$F$45=1,(AC85+AD85)/2*(AD9-IF(Time!AD17&gt;=10,Inputs!$F$98,0)+Inputs!$F$187)/100*MAX(0,MIN(Time!AD20,DATE(2024,3,21)-Time!AD18))/360,0)</f>
        <v/>
      </c>
      <c r="AE53" s="11">
        <f>IF(Inputs!$F$45=1,(AD85+AE85)/2*(AE9-IF(Time!AE17&gt;=10,Inputs!$F$98,0)+Inputs!$F$187)/100*MAX(0,MIN(Time!AE20,DATE(2024,3,21)-Time!AE18))/360,0)</f>
        <v/>
      </c>
      <c r="AF53" s="11">
        <f>IF(Inputs!$F$45=1,(AE85+AF85)/2*(AF9-IF(Time!AF17&gt;=10,Inputs!$F$98,0)+Inputs!$F$187)/100*MAX(0,MIN(Time!AF20,DATE(2024,3,21)-Time!AF18))/360,0)</f>
        <v/>
      </c>
      <c r="AG53" s="11">
        <f>IF(Inputs!$F$45=1,(AF85+AG85)/2*(AG9-IF(Time!AG17&gt;=10,Inputs!$F$98,0)+Inputs!$F$187)/100*MAX(0,MIN(Time!AG20,DATE(2024,3,21)-Time!AG18))/360,0)</f>
        <v/>
      </c>
      <c r="AH53" s="11">
        <f>IF(Inputs!$F$45=1,(AG85+AH85)/2*(AH9-IF(Time!AH17&gt;=10,Inputs!$F$98,0)+Inputs!$F$187)/100*MAX(0,MIN(Time!AH20,DATE(2024,3,21)-Time!AH18))/360,0)</f>
        <v/>
      </c>
      <c r="AI53" s="11">
        <f>IF(Inputs!$F$45=1,(AH85+AI85)/2*(AI9-IF(Time!AI17&gt;=10,Inputs!$F$98,0)+Inputs!$F$187)/100*MAX(0,MIN(Time!AI20,DATE(2024,3,21)-Time!AI18))/360,0)</f>
        <v/>
      </c>
      <c r="AJ53" s="11">
        <f>IF(Inputs!$F$45=1,(AI85+AJ85)/2*(AJ9-IF(Time!AJ17&gt;=10,Inputs!$F$98,0)+Inputs!$F$187)/100*MAX(0,MIN(Time!AJ20,DATE(2024,3,21)-Time!AJ18))/360,0)</f>
        <v/>
      </c>
      <c r="AK53" s="11">
        <f>IF(Inputs!$F$45=1,(AJ85+AK85)/2*(AK9-IF(Time!AK17&gt;=10,Inputs!$F$98,0)+Inputs!$F$187)/100*MAX(0,MIN(Time!AK20,DATE(2024,3,21)-Time!AK18))/360,0)</f>
        <v/>
      </c>
      <c r="AL53" s="11">
        <f>IF(Inputs!$F$45=1,(AK85+AL85)/2*(AL9-IF(Time!AL17&gt;=10,Inputs!$F$98,0)+Inputs!$F$187)/100*MAX(0,MIN(Time!AL20,DATE(2024,3,21)-Time!AL18))/360,0)</f>
        <v/>
      </c>
      <c r="AM53" s="11">
        <f>IF(Inputs!$F$45=1,(AL85+AM85)/2*(AM9-IF(Time!AM17&gt;=10,Inputs!$F$98,0)+Inputs!$F$187)/100*MAX(0,MIN(Time!AM20,DATE(2024,3,21)-Time!AM18))/360,0)</f>
        <v/>
      </c>
      <c r="AN53" s="11">
        <f>IF(Inputs!$F$45=1,(AM85+AN85)/2*(AN9-IF(Time!AN17&gt;=10,Inputs!$F$98,0)+Inputs!$F$187)/100*MAX(0,MIN(Time!AN20,DATE(2024,3,21)-Time!AN18))/360,0)</f>
        <v/>
      </c>
      <c r="AO53" s="11">
        <f>IF(Inputs!$F$45=1,(AN85+AO85)/2*(AO9-IF(Time!AO17&gt;=10,Inputs!$F$98,0)+Inputs!$F$187)/100*MAX(0,MIN(Time!AO20,DATE(2024,3,21)-Time!AO18))/360,0)</f>
        <v/>
      </c>
      <c r="AP53" s="11">
        <f>IF(Inputs!$F$45=1,(AO85+AP85)/2*(AP9-IF(Time!AP17&gt;=10,Inputs!$F$98,0)+Inputs!$F$187)/100*MAX(0,MIN(Time!AP20,DATE(2024,3,21)-Time!AP18))/360,0)</f>
        <v/>
      </c>
      <c r="AQ53" s="11">
        <f>IF(Inputs!$F$45=1,(AP85+AQ85)/2*(AQ9-IF(Time!AQ17&gt;=10,Inputs!$F$98,0)+Inputs!$F$187)/100*MAX(0,MIN(Time!AQ20,DATE(2024,3,21)-Time!AQ18))/360,0)</f>
        <v/>
      </c>
      <c r="AR53" s="11">
        <f>IF(Inputs!$F$45=1,(AQ85+AR85)/2*(AR9-IF(Time!AR17&gt;=10,Inputs!$F$98,0)+Inputs!$F$187)/100*MAX(0,MIN(Time!AR20,DATE(2024,3,21)-Time!AR18))/360,0)</f>
        <v/>
      </c>
      <c r="AS53" s="11">
        <f>IF(Inputs!$F$45=1,(AR85+AS85)/2*(AS9-IF(Time!AS17&gt;=10,Inputs!$F$98,0)+Inputs!$F$187)/100*MAX(0,MIN(Time!AS20,DATE(2024,3,21)-Time!AS18))/360,0)</f>
        <v/>
      </c>
      <c r="AT53" s="11">
        <f>IF(Inputs!$F$45=1,(AS85+AT85)/2*(AT9-IF(Time!AT17&gt;=10,Inputs!$F$98,0)+Inputs!$F$187)/100*MAX(0,MIN(Time!AT20,DATE(2024,3,21)-Time!AT18))/360,0)</f>
        <v/>
      </c>
      <c r="AU53" s="11">
        <f>IF(Inputs!$F$45=1,(AT85+AU85)/2*(AU9-IF(Time!AU17&gt;=10,Inputs!$F$98,0)+Inputs!$F$187)/100*MAX(0,MIN(Time!AU20,DATE(2024,3,21)-Time!AU18))/360,0)</f>
        <v/>
      </c>
      <c r="AV53" s="11">
        <f>IF(Inputs!$F$45=1,(AU85+AV85)/2*(AV9-IF(Time!AV17&gt;=10,Inputs!$F$98,0)+Inputs!$F$187)/100*MAX(0,MIN(Time!AV20,DATE(2024,3,21)-Time!AV18))/360,0)</f>
        <v/>
      </c>
      <c r="AW53" s="11">
        <f>IF(Inputs!$F$45=1,(AV85+AW85)/2*(AW9-IF(Time!AW17&gt;=10,Inputs!$F$98,0)+Inputs!$F$187)/100*MAX(0,MIN(Time!AW20,DATE(2024,3,21)-Time!AW18))/360,0)</f>
        <v/>
      </c>
      <c r="AX53" s="11">
        <f>IF(Inputs!$F$45=1,(AW85+AX85)/2*(AX9-IF(Time!AX17&gt;=10,Inputs!$F$98,0)+Inputs!$F$187)/100*MAX(0,MIN(Time!AX20,DATE(2024,3,21)-Time!AX18))/360,0)</f>
        <v/>
      </c>
      <c r="AY53" s="11">
        <f>IF(Inputs!$F$45=1,(AX85+AY85)/2*(AY9-IF(Time!AY17&gt;=10,Inputs!$F$98,0)+Inputs!$F$187)/100*MAX(0,MIN(Time!AY20,DATE(2024,3,21)-Time!AY18))/360,0)</f>
        <v/>
      </c>
      <c r="AZ53" s="11">
        <f>IF(Inputs!$F$45=1,(AY85+AZ85)/2*(AZ9-IF(Time!AZ17&gt;=10,Inputs!$F$98,0)+Inputs!$F$187)/100*MAX(0,MIN(Time!AZ20,DATE(2024,3,21)-Time!AZ18))/360,0)</f>
        <v/>
      </c>
      <c r="BA53" s="11">
        <f>IF(Inputs!$F$45=1,(AZ85+BA85)/2*(BA9-IF(Time!BA17&gt;=10,Inputs!$F$98,0)+Inputs!$F$187)/100*MAX(0,MIN(Time!BA20,DATE(2024,3,21)-Time!BA18))/360,0)</f>
        <v/>
      </c>
      <c r="BB53" s="11">
        <f>IF(Inputs!$F$45=1,(BA85+BB85)/2*(BB9-IF(Time!BB17&gt;=10,Inputs!$F$98,0)+Inputs!$F$187)/100*MAX(0,MIN(Time!BB20,DATE(2024,3,21)-Time!BB18))/360,0)</f>
        <v/>
      </c>
      <c r="BC53" s="11">
        <f>IF(Inputs!$F$45=1,(BB85+BC85)/2*(BC9-IF(Time!BC17&gt;=10,Inputs!$F$98,0)+Inputs!$F$187)/100*MAX(0,MIN(Time!BC20,DATE(2024,3,21)-Time!BC18))/360,0)</f>
        <v/>
      </c>
      <c r="BD53" s="11">
        <f>IF(Inputs!$F$45=1,(BC85+BD85)/2*(BD9-IF(Time!BD17&gt;=10,Inputs!$F$98,0)+Inputs!$F$187)/100*MAX(0,MIN(Time!BD20,DATE(2024,3,21)-Time!BD18))/360,0)</f>
        <v/>
      </c>
      <c r="BE53" s="11">
        <f>IF(Inputs!$F$45=1,(BD85+BE85)/2*(BE9-IF(Time!BE17&gt;=10,Inputs!$F$98,0)+Inputs!$F$187)/100*MAX(0,MIN(Time!BE20,DATE(2024,3,21)-Time!BE18))/360,0)</f>
        <v/>
      </c>
      <c r="BF53" s="11">
        <f>IF(Inputs!$F$45=1,(BE85+BF85)/2*(BF9-IF(Time!BF17&gt;=10,Inputs!$F$98,0)+Inputs!$F$187)/100*MAX(0,MIN(Time!BF20,DATE(2024,3,21)-Time!BF18))/360,0)</f>
        <v/>
      </c>
      <c r="BG53" s="11">
        <f>IF(Inputs!$F$45=1,(BF85+BG85)/2*(BG9-IF(Time!BG17&gt;=10,Inputs!$F$98,0)+Inputs!$F$187)/100*MAX(0,MIN(Time!BG20,DATE(2024,3,21)-Time!BG18))/360,0)</f>
        <v/>
      </c>
      <c r="BH53" s="11">
        <f>IF(Inputs!$F$45=1,(BG85+BH85)/2*(BH9-IF(Time!BH17&gt;=10,Inputs!$F$98,0)+Inputs!$F$187)/100*MAX(0,MIN(Time!BH20,DATE(2024,3,21)-Time!BH18))/360,0)</f>
        <v/>
      </c>
      <c r="BI53" s="11">
        <f>IF(Inputs!$F$45=1,(BH85+BI85)/2*(BI9-IF(Time!BI17&gt;=10,Inputs!$F$98,0)+Inputs!$F$187)/100*MAX(0,MIN(Time!BI20,DATE(2024,3,21)-Time!BI18))/360,0)</f>
        <v/>
      </c>
      <c r="BJ53" s="11">
        <f>IF(Inputs!$F$45=1,(BI85+BJ85)/2*(BJ9-IF(Time!BJ17&gt;=10,Inputs!$F$98,0)+Inputs!$F$187)/100*MAX(0,MIN(Time!BJ20,DATE(2024,3,21)-Time!BJ18))/360,0)</f>
        <v/>
      </c>
      <c r="BK53" s="11">
        <f>IF(Inputs!$F$45=1,(BJ85+BK85)/2*(BK9-IF(Time!BK17&gt;=10,Inputs!$F$98,0)+Inputs!$F$187)/100*MAX(0,MIN(Time!BK20,DATE(2024,3,21)-Time!BK18))/360,0)</f>
        <v/>
      </c>
      <c r="BL53" s="11">
        <f>IF(Inputs!$F$45=1,(BK85+BL85)/2*(BL9-IF(Time!BL17&gt;=10,Inputs!$F$98,0)+Inputs!$F$187)/100*MAX(0,MIN(Time!BL20,DATE(2024,3,21)-Time!BL18))/360,0)</f>
        <v/>
      </c>
      <c r="BM53" s="11">
        <f>IF(Inputs!$F$45=1,(BL85+BM85)/2*(BM9-IF(Time!BM17&gt;=10,Inputs!$F$98,0)+Inputs!$F$187)/100*MAX(0,MIN(Time!BM20,DATE(2024,3,21)-Time!BM18))/360,0)</f>
        <v/>
      </c>
      <c r="BN53" s="11">
        <f>IF(Inputs!$F$45=1,(BM85+BN85)/2*(BN9-IF(Time!BN17&gt;=10,Inputs!$F$98,0)+Inputs!$F$187)/100*MAX(0,MIN(Time!BN20,DATE(2024,3,21)-Time!BN18))/360,0)</f>
        <v/>
      </c>
    </row>
    <row r="54">
      <c r="D54" t="inlineStr">
        <is>
          <t>Late payment interest received (60%, with settlement installments)</t>
        </is>
      </c>
      <c r="E54" t="inlineStr">
        <is>
          <t>USD m</t>
        </is>
      </c>
      <c r="G54" s="11">
        <f>SUM(J54:BN54)</f>
        <v/>
      </c>
      <c r="J54" s="11">
        <f>Inputs!$F$188*SUM($J$53:$BN$53)*Inputs!J221</f>
        <v/>
      </c>
      <c r="K54" s="11">
        <f>Inputs!$F$188*SUM($J$53:$BN$53)*Inputs!K221</f>
        <v/>
      </c>
      <c r="L54" s="11">
        <f>Inputs!$F$188*SUM($J$53:$BN$53)*Inputs!L221</f>
        <v/>
      </c>
      <c r="M54" s="11">
        <f>Inputs!$F$188*SUM($J$53:$BN$53)*Inputs!M221</f>
        <v/>
      </c>
      <c r="N54" s="11">
        <f>Inputs!$F$188*SUM($J$53:$BN$53)*Inputs!N221</f>
        <v/>
      </c>
      <c r="O54" s="11">
        <f>Inputs!$F$188*SUM($J$53:$BN$53)*Inputs!O221</f>
        <v/>
      </c>
      <c r="P54" s="11">
        <f>Inputs!$F$188*SUM($J$53:$BN$53)*Inputs!P221</f>
        <v/>
      </c>
      <c r="Q54" s="11">
        <f>Inputs!$F$188*SUM($J$53:$BN$53)*Inputs!Q221</f>
        <v/>
      </c>
      <c r="R54" s="11">
        <f>Inputs!$F$188*SUM($J$53:$BN$53)*Inputs!R221</f>
        <v/>
      </c>
      <c r="S54" s="11">
        <f>Inputs!$F$188*SUM($J$53:$BN$53)*Inputs!S221</f>
        <v/>
      </c>
      <c r="T54" s="11">
        <f>Inputs!$F$188*SUM($J$53:$BN$53)*Inputs!T221</f>
        <v/>
      </c>
      <c r="U54" s="11">
        <f>Inputs!$F$188*SUM($J$53:$BN$53)*Inputs!U221</f>
        <v/>
      </c>
      <c r="V54" s="11">
        <f>Inputs!$F$188*SUM($J$53:$BN$53)*Inputs!V221</f>
        <v/>
      </c>
      <c r="W54" s="11">
        <f>Inputs!$F$188*SUM($J$53:$BN$53)*Inputs!W221</f>
        <v/>
      </c>
      <c r="X54" s="11">
        <f>Inputs!$F$188*SUM($J$53:$BN$53)*Inputs!X221</f>
        <v/>
      </c>
      <c r="Y54" s="11">
        <f>Inputs!$F$188*SUM($J$53:$BN$53)*Inputs!Y221</f>
        <v/>
      </c>
      <c r="Z54" s="11">
        <f>Inputs!$F$188*SUM($J$53:$BN$53)*Inputs!Z221</f>
        <v/>
      </c>
      <c r="AA54" s="11">
        <f>Inputs!$F$188*SUM($J$53:$BN$53)*Inputs!AA221</f>
        <v/>
      </c>
      <c r="AB54" s="11">
        <f>Inputs!$F$188*SUM($J$53:$BN$53)*Inputs!AB221</f>
        <v/>
      </c>
      <c r="AC54" s="11">
        <f>Inputs!$F$188*SUM($J$53:$BN$53)*Inputs!AC221</f>
        <v/>
      </c>
      <c r="AD54" s="11">
        <f>Inputs!$F$188*SUM($J$53:$BN$53)*Inputs!AD221</f>
        <v/>
      </c>
      <c r="AE54" s="11">
        <f>Inputs!$F$188*SUM($J$53:$BN$53)*Inputs!AE221</f>
        <v/>
      </c>
      <c r="AF54" s="11">
        <f>Inputs!$F$188*SUM($J$53:$BN$53)*Inputs!AF221</f>
        <v/>
      </c>
      <c r="AG54" s="11">
        <f>Inputs!$F$188*SUM($J$53:$BN$53)*Inputs!AG221</f>
        <v/>
      </c>
      <c r="AH54" s="11">
        <f>Inputs!$F$188*SUM($J$53:$BN$53)*Inputs!AH221</f>
        <v/>
      </c>
      <c r="AI54" s="11">
        <f>Inputs!$F$188*SUM($J$53:$BN$53)*Inputs!AI221</f>
        <v/>
      </c>
      <c r="AJ54" s="11">
        <f>Inputs!$F$188*SUM($J$53:$BN$53)*Inputs!AJ221</f>
        <v/>
      </c>
      <c r="AK54" s="11">
        <f>Inputs!$F$188*SUM($J$53:$BN$53)*Inputs!AK221</f>
        <v/>
      </c>
      <c r="AL54" s="11">
        <f>Inputs!$F$188*SUM($J$53:$BN$53)*Inputs!AL221</f>
        <v/>
      </c>
      <c r="AM54" s="11">
        <f>Inputs!$F$188*SUM($J$53:$BN$53)*Inputs!AM221</f>
        <v/>
      </c>
      <c r="AN54" s="11">
        <f>Inputs!$F$188*SUM($J$53:$BN$53)*Inputs!AN221</f>
        <v/>
      </c>
      <c r="AO54" s="11">
        <f>Inputs!$F$188*SUM($J$53:$BN$53)*Inputs!AO221</f>
        <v/>
      </c>
      <c r="AP54" s="11">
        <f>Inputs!$F$188*SUM($J$53:$BN$53)*Inputs!AP221</f>
        <v/>
      </c>
      <c r="AQ54" s="11">
        <f>Inputs!$F$188*SUM($J$53:$BN$53)*Inputs!AQ221</f>
        <v/>
      </c>
      <c r="AR54" s="11">
        <f>Inputs!$F$188*SUM($J$53:$BN$53)*Inputs!AR221</f>
        <v/>
      </c>
      <c r="AS54" s="11">
        <f>Inputs!$F$188*SUM($J$53:$BN$53)*Inputs!AS221</f>
        <v/>
      </c>
      <c r="AT54" s="11">
        <f>Inputs!$F$188*SUM($J$53:$BN$53)*Inputs!AT221</f>
        <v/>
      </c>
      <c r="AU54" s="11">
        <f>Inputs!$F$188*SUM($J$53:$BN$53)*Inputs!AU221</f>
        <v/>
      </c>
      <c r="AV54" s="11">
        <f>Inputs!$F$188*SUM($J$53:$BN$53)*Inputs!AV221</f>
        <v/>
      </c>
      <c r="AW54" s="11">
        <f>Inputs!$F$188*SUM($J$53:$BN$53)*Inputs!AW221</f>
        <v/>
      </c>
      <c r="AX54" s="11">
        <f>Inputs!$F$188*SUM($J$53:$BN$53)*Inputs!AX221</f>
        <v/>
      </c>
      <c r="AY54" s="11">
        <f>Inputs!$F$188*SUM($J$53:$BN$53)*Inputs!AY221</f>
        <v/>
      </c>
      <c r="AZ54" s="11">
        <f>Inputs!$F$188*SUM($J$53:$BN$53)*Inputs!AZ221</f>
        <v/>
      </c>
      <c r="BA54" s="11">
        <f>Inputs!$F$188*SUM($J$53:$BN$53)*Inputs!BA221</f>
        <v/>
      </c>
      <c r="BB54" s="11">
        <f>Inputs!$F$188*SUM($J$53:$BN$53)*Inputs!BB221</f>
        <v/>
      </c>
      <c r="BC54" s="11">
        <f>Inputs!$F$188*SUM($J$53:$BN$53)*Inputs!BC221</f>
        <v/>
      </c>
      <c r="BD54" s="11">
        <f>Inputs!$F$188*SUM($J$53:$BN$53)*Inputs!BD221</f>
        <v/>
      </c>
      <c r="BE54" s="11">
        <f>Inputs!$F$188*SUM($J$53:$BN$53)*Inputs!BE221</f>
        <v/>
      </c>
      <c r="BF54" s="11">
        <f>Inputs!$F$188*SUM($J$53:$BN$53)*Inputs!BF221</f>
        <v/>
      </c>
      <c r="BG54" s="11">
        <f>Inputs!$F$188*SUM($J$53:$BN$53)*Inputs!BG221</f>
        <v/>
      </c>
      <c r="BH54" s="11">
        <f>Inputs!$F$188*SUM($J$53:$BN$53)*Inputs!BH221</f>
        <v/>
      </c>
      <c r="BI54" s="11">
        <f>Inputs!$F$188*SUM($J$53:$BN$53)*Inputs!BI221</f>
        <v/>
      </c>
      <c r="BJ54" s="11">
        <f>Inputs!$F$188*SUM($J$53:$BN$53)*Inputs!BJ221</f>
        <v/>
      </c>
      <c r="BK54" s="11">
        <f>Inputs!$F$188*SUM($J$53:$BN$53)*Inputs!BK221</f>
        <v/>
      </c>
      <c r="BL54" s="11">
        <f>Inputs!$F$188*SUM($J$53:$BN$53)*Inputs!BL221</f>
        <v/>
      </c>
      <c r="BM54" s="11">
        <f>Inputs!$F$188*SUM($J$53:$BN$53)*Inputs!BM221</f>
        <v/>
      </c>
      <c r="BN54" s="11">
        <f>Inputs!$F$188*SUM($J$53:$BN$53)*Inputs!BN221</f>
        <v/>
      </c>
    </row>
    <row r="55">
      <c r="B55" s="2" t="inlineStr">
        <is>
          <t>Operating costs (USD m)</t>
        </is>
      </c>
    </row>
    <row r="56">
      <c r="D56" t="inlineStr">
        <is>
          <t>O&amp;M fixed fee</t>
        </is>
      </c>
      <c r="E56" t="inlineStr">
        <is>
          <t>USD m</t>
        </is>
      </c>
      <c r="G56" s="11">
        <f>SUM(J56:BN56)</f>
        <v/>
      </c>
      <c r="J56" s="11">
        <f>Inputs!$F$151*(Inputs!$F$152*J19+(1-Inputs!$F$152)*J23*Inputs!$F$153/J11)*Time!J25/12*Inputs!$F$40</f>
        <v/>
      </c>
      <c r="K56" s="11">
        <f>Inputs!$F$151*(Inputs!$F$152*K19+(1-Inputs!$F$152)*K23*Inputs!$F$153/K11)*Time!K25/12*Inputs!$F$40</f>
        <v/>
      </c>
      <c r="L56" s="11">
        <f>Inputs!$F$151*(Inputs!$F$152*L19+(1-Inputs!$F$152)*L23*Inputs!$F$153/L11)*Time!L25/12*Inputs!$F$40</f>
        <v/>
      </c>
      <c r="M56" s="11">
        <f>Inputs!$F$151*(Inputs!$F$152*M19+(1-Inputs!$F$152)*M23*Inputs!$F$153/M11)*Time!M25/12*Inputs!$F$40</f>
        <v/>
      </c>
      <c r="N56" s="11">
        <f>Inputs!$F$151*(Inputs!$F$152*N19+(1-Inputs!$F$152)*N23*Inputs!$F$153/N11)*Time!N25/12*Inputs!$F$40</f>
        <v/>
      </c>
      <c r="O56" s="11">
        <f>Inputs!$F$151*(Inputs!$F$152*O19+(1-Inputs!$F$152)*O23*Inputs!$F$153/O11)*Time!O25/12*Inputs!$F$40</f>
        <v/>
      </c>
      <c r="P56" s="11">
        <f>Inputs!$F$151*(Inputs!$F$152*P19+(1-Inputs!$F$152)*P23*Inputs!$F$153/P11)*Time!P25/12*Inputs!$F$40</f>
        <v/>
      </c>
      <c r="Q56" s="11">
        <f>Inputs!$F$151*(Inputs!$F$152*Q19+(1-Inputs!$F$152)*Q23*Inputs!$F$153/Q11)*Time!Q25/12*Inputs!$F$40</f>
        <v/>
      </c>
      <c r="R56" s="11">
        <f>Inputs!$F$151*(Inputs!$F$152*R19+(1-Inputs!$F$152)*R23*Inputs!$F$153/R11)*Time!R25/12*Inputs!$F$40</f>
        <v/>
      </c>
      <c r="S56" s="11">
        <f>Inputs!$F$151*(Inputs!$F$152*S19+(1-Inputs!$F$152)*S23*Inputs!$F$153/S11)*Time!S25/12*Inputs!$F$40</f>
        <v/>
      </c>
      <c r="T56" s="11">
        <f>Inputs!$F$151*(Inputs!$F$152*T19+(1-Inputs!$F$152)*T23*Inputs!$F$153/T11)*Time!T25/12*Inputs!$F$40</f>
        <v/>
      </c>
      <c r="U56" s="11">
        <f>Inputs!$F$151*(Inputs!$F$152*U19+(1-Inputs!$F$152)*U23*Inputs!$F$153/U11)*Time!U25/12*Inputs!$F$40</f>
        <v/>
      </c>
      <c r="V56" s="11">
        <f>Inputs!$F$151*(Inputs!$F$152*V19+(1-Inputs!$F$152)*V23*Inputs!$F$153/V11)*Time!V25/12*Inputs!$F$40</f>
        <v/>
      </c>
      <c r="W56" s="11">
        <f>Inputs!$F$151*(Inputs!$F$152*W19+(1-Inputs!$F$152)*W23*Inputs!$F$153/W11)*Time!W25/12*Inputs!$F$40</f>
        <v/>
      </c>
      <c r="X56" s="11">
        <f>Inputs!$F$151*(Inputs!$F$152*X19+(1-Inputs!$F$152)*X23*Inputs!$F$153/X11)*Time!X25/12*Inputs!$F$40</f>
        <v/>
      </c>
      <c r="Y56" s="11">
        <f>Inputs!$F$151*(Inputs!$F$152*Y19+(1-Inputs!$F$152)*Y23*Inputs!$F$153/Y11)*Time!Y25/12*Inputs!$F$40</f>
        <v/>
      </c>
      <c r="Z56" s="11">
        <f>Inputs!$F$151*(Inputs!$F$152*Z19+(1-Inputs!$F$152)*Z23*Inputs!$F$153/Z11)*Time!Z25/12*Inputs!$F$40</f>
        <v/>
      </c>
      <c r="AA56" s="11">
        <f>Inputs!$F$151*(Inputs!$F$152*AA19+(1-Inputs!$F$152)*AA23*Inputs!$F$153/AA11)*Time!AA25/12*Inputs!$F$40</f>
        <v/>
      </c>
      <c r="AB56" s="11">
        <f>Inputs!$F$151*(Inputs!$F$152*AB19+(1-Inputs!$F$152)*AB23*Inputs!$F$153/AB11)*Time!AB25/12*Inputs!$F$40</f>
        <v/>
      </c>
      <c r="AC56" s="11">
        <f>Inputs!$F$151*(Inputs!$F$152*AC19+(1-Inputs!$F$152)*AC23*Inputs!$F$153/AC11)*Time!AC25/12*Inputs!$F$40</f>
        <v/>
      </c>
      <c r="AD56" s="11">
        <f>Inputs!$F$151*(Inputs!$F$152*AD19+(1-Inputs!$F$152)*AD23*Inputs!$F$153/AD11)*Time!AD25/12*Inputs!$F$40</f>
        <v/>
      </c>
      <c r="AE56" s="11">
        <f>Inputs!$F$151*(Inputs!$F$152*AE19+(1-Inputs!$F$152)*AE23*Inputs!$F$153/AE11)*Time!AE25/12*Inputs!$F$40</f>
        <v/>
      </c>
      <c r="AF56" s="11">
        <f>Inputs!$F$151*(Inputs!$F$152*AF19+(1-Inputs!$F$152)*AF23*Inputs!$F$153/AF11)*Time!AF25/12*Inputs!$F$40</f>
        <v/>
      </c>
      <c r="AG56" s="11">
        <f>Inputs!$F$151*(Inputs!$F$152*AG19+(1-Inputs!$F$152)*AG23*Inputs!$F$153/AG11)*Time!AG25/12*Inputs!$F$40</f>
        <v/>
      </c>
      <c r="AH56" s="11">
        <f>Inputs!$F$151*(Inputs!$F$152*AH19+(1-Inputs!$F$152)*AH23*Inputs!$F$153/AH11)*Time!AH25/12*Inputs!$F$40</f>
        <v/>
      </c>
      <c r="AI56" s="11">
        <f>Inputs!$F$151*(Inputs!$F$152*AI19+(1-Inputs!$F$152)*AI23*Inputs!$F$153/AI11)*Time!AI25/12*Inputs!$F$40</f>
        <v/>
      </c>
      <c r="AJ56" s="11">
        <f>Inputs!$F$151*(Inputs!$F$152*AJ19+(1-Inputs!$F$152)*AJ23*Inputs!$F$153/AJ11)*Time!AJ25/12*Inputs!$F$40</f>
        <v/>
      </c>
      <c r="AK56" s="11">
        <f>Inputs!$F$151*(Inputs!$F$152*AK19+(1-Inputs!$F$152)*AK23*Inputs!$F$153/AK11)*Time!AK25/12*Inputs!$F$40</f>
        <v/>
      </c>
      <c r="AL56" s="11">
        <f>Inputs!$F$151*(Inputs!$F$152*AL19+(1-Inputs!$F$152)*AL23*Inputs!$F$153/AL11)*Time!AL25/12*Inputs!$F$40</f>
        <v/>
      </c>
      <c r="AM56" s="11">
        <f>Inputs!$F$151*(Inputs!$F$152*AM19+(1-Inputs!$F$152)*AM23*Inputs!$F$153/AM11)*Time!AM25/12*Inputs!$F$40</f>
        <v/>
      </c>
      <c r="AN56" s="11">
        <f>Inputs!$F$151*(Inputs!$F$152*AN19+(1-Inputs!$F$152)*AN23*Inputs!$F$153/AN11)*Time!AN25/12*Inputs!$F$40</f>
        <v/>
      </c>
      <c r="AO56" s="11">
        <f>Inputs!$F$151*(Inputs!$F$152*AO19+(1-Inputs!$F$152)*AO23*Inputs!$F$153/AO11)*Time!AO25/12*Inputs!$F$40</f>
        <v/>
      </c>
      <c r="AP56" s="11">
        <f>Inputs!$F$151*(Inputs!$F$152*AP19+(1-Inputs!$F$152)*AP23*Inputs!$F$153/AP11)*Time!AP25/12*Inputs!$F$40</f>
        <v/>
      </c>
      <c r="AQ56" s="11">
        <f>Inputs!$F$151*(Inputs!$F$152*AQ19+(1-Inputs!$F$152)*AQ23*Inputs!$F$153/AQ11)*Time!AQ25/12*Inputs!$F$40</f>
        <v/>
      </c>
      <c r="AR56" s="11">
        <f>Inputs!$F$151*(Inputs!$F$152*AR19+(1-Inputs!$F$152)*AR23*Inputs!$F$153/AR11)*Time!AR25/12*Inputs!$F$40</f>
        <v/>
      </c>
      <c r="AS56" s="11">
        <f>Inputs!$F$151*(Inputs!$F$152*AS19+(1-Inputs!$F$152)*AS23*Inputs!$F$153/AS11)*Time!AS25/12*Inputs!$F$40</f>
        <v/>
      </c>
      <c r="AT56" s="11">
        <f>Inputs!$F$151*(Inputs!$F$152*AT19+(1-Inputs!$F$152)*AT23*Inputs!$F$153/AT11)*Time!AT25/12*Inputs!$F$40</f>
        <v/>
      </c>
      <c r="AU56" s="11">
        <f>Inputs!$F$151*(Inputs!$F$152*AU19+(1-Inputs!$F$152)*AU23*Inputs!$F$153/AU11)*Time!AU25/12*Inputs!$F$40</f>
        <v/>
      </c>
      <c r="AV56" s="11">
        <f>Inputs!$F$151*(Inputs!$F$152*AV19+(1-Inputs!$F$152)*AV23*Inputs!$F$153/AV11)*Time!AV25/12*Inputs!$F$40</f>
        <v/>
      </c>
      <c r="AW56" s="11">
        <f>Inputs!$F$151*(Inputs!$F$152*AW19+(1-Inputs!$F$152)*AW23*Inputs!$F$153/AW11)*Time!AW25/12*Inputs!$F$40</f>
        <v/>
      </c>
      <c r="AX56" s="11">
        <f>Inputs!$F$151*(Inputs!$F$152*AX19+(1-Inputs!$F$152)*AX23*Inputs!$F$153/AX11)*Time!AX25/12*Inputs!$F$40</f>
        <v/>
      </c>
      <c r="AY56" s="11">
        <f>Inputs!$F$151*(Inputs!$F$152*AY19+(1-Inputs!$F$152)*AY23*Inputs!$F$153/AY11)*Time!AY25/12*Inputs!$F$40</f>
        <v/>
      </c>
      <c r="AZ56" s="11">
        <f>Inputs!$F$151*(Inputs!$F$152*AZ19+(1-Inputs!$F$152)*AZ23*Inputs!$F$153/AZ11)*Time!AZ25/12*Inputs!$F$40</f>
        <v/>
      </c>
      <c r="BA56" s="11">
        <f>Inputs!$F$151*(Inputs!$F$152*BA19+(1-Inputs!$F$152)*BA23*Inputs!$F$153/BA11)*Time!BA25/12*Inputs!$F$40</f>
        <v/>
      </c>
      <c r="BB56" s="11">
        <f>Inputs!$F$151*(Inputs!$F$152*BB19+(1-Inputs!$F$152)*BB23*Inputs!$F$153/BB11)*Time!BB25/12*Inputs!$F$40</f>
        <v/>
      </c>
      <c r="BC56" s="11">
        <f>Inputs!$F$151*(Inputs!$F$152*BC19+(1-Inputs!$F$152)*BC23*Inputs!$F$153/BC11)*Time!BC25/12*Inputs!$F$40</f>
        <v/>
      </c>
      <c r="BD56" s="11">
        <f>Inputs!$F$151*(Inputs!$F$152*BD19+(1-Inputs!$F$152)*BD23*Inputs!$F$153/BD11)*Time!BD25/12*Inputs!$F$40</f>
        <v/>
      </c>
      <c r="BE56" s="11">
        <f>Inputs!$F$151*(Inputs!$F$152*BE19+(1-Inputs!$F$152)*BE23*Inputs!$F$153/BE11)*Time!BE25/12*Inputs!$F$40</f>
        <v/>
      </c>
      <c r="BF56" s="11">
        <f>Inputs!$F$151*(Inputs!$F$152*BF19+(1-Inputs!$F$152)*BF23*Inputs!$F$153/BF11)*Time!BF25/12*Inputs!$F$40</f>
        <v/>
      </c>
      <c r="BG56" s="11">
        <f>Inputs!$F$151*(Inputs!$F$152*BG19+(1-Inputs!$F$152)*BG23*Inputs!$F$153/BG11)*Time!BG25/12*Inputs!$F$40</f>
        <v/>
      </c>
      <c r="BH56" s="11">
        <f>Inputs!$F$151*(Inputs!$F$152*BH19+(1-Inputs!$F$152)*BH23*Inputs!$F$153/BH11)*Time!BH25/12*Inputs!$F$40</f>
        <v/>
      </c>
      <c r="BI56" s="11">
        <f>Inputs!$F$151*(Inputs!$F$152*BI19+(1-Inputs!$F$152)*BI23*Inputs!$F$153/BI11)*Time!BI25/12*Inputs!$F$40</f>
        <v/>
      </c>
      <c r="BJ56" s="11">
        <f>Inputs!$F$151*(Inputs!$F$152*BJ19+(1-Inputs!$F$152)*BJ23*Inputs!$F$153/BJ11)*Time!BJ25/12*Inputs!$F$40</f>
        <v/>
      </c>
      <c r="BK56" s="11">
        <f>Inputs!$F$151*(Inputs!$F$152*BK19+(1-Inputs!$F$152)*BK23*Inputs!$F$153/BK11)*Time!BK25/12*Inputs!$F$40</f>
        <v/>
      </c>
      <c r="BL56" s="11">
        <f>Inputs!$F$151*(Inputs!$F$152*BL19+(1-Inputs!$F$152)*BL23*Inputs!$F$153/BL11)*Time!BL25/12*Inputs!$F$40</f>
        <v/>
      </c>
      <c r="BM56" s="11">
        <f>Inputs!$F$151*(Inputs!$F$152*BM19+(1-Inputs!$F$152)*BM23*Inputs!$F$153/BM11)*Time!BM25/12*Inputs!$F$40</f>
        <v/>
      </c>
      <c r="BN56" s="11">
        <f>Inputs!$F$151*(Inputs!$F$152*BN19+(1-Inputs!$F$152)*BN23*Inputs!$F$153/BN11)*Time!BN25/12*Inputs!$F$40</f>
        <v/>
      </c>
    </row>
    <row r="57">
      <c r="D57" t="inlineStr">
        <is>
          <t>O&amp;M availability incentive</t>
        </is>
      </c>
      <c r="E57" t="inlineStr">
        <is>
          <t>USD m</t>
        </is>
      </c>
      <c r="G57" s="11">
        <f>SUM(J57:BN57)</f>
        <v/>
      </c>
      <c r="J57" s="11">
        <f>IF(Time!J25&gt;0,Inputs!$F$154*MAX(-1,MIN(1,(J28-92)/3))*J19*Time!J25/12,0)</f>
        <v/>
      </c>
      <c r="K57" s="11">
        <f>IF(Time!K25&gt;0,Inputs!$F$154*MAX(-1,MIN(1,(K28-92)/3))*K19*Time!K25/12,0)</f>
        <v/>
      </c>
      <c r="L57" s="11">
        <f>IF(Time!L25&gt;0,Inputs!$F$154*MAX(-1,MIN(1,(L28-92)/3))*L19*Time!L25/12,0)</f>
        <v/>
      </c>
      <c r="M57" s="11">
        <f>IF(Time!M25&gt;0,Inputs!$F$154*MAX(-1,MIN(1,(M28-92)/3))*M19*Time!M25/12,0)</f>
        <v/>
      </c>
      <c r="N57" s="11">
        <f>IF(Time!N25&gt;0,Inputs!$F$154*MAX(-1,MIN(1,(N28-92)/3))*N19*Time!N25/12,0)</f>
        <v/>
      </c>
      <c r="O57" s="11">
        <f>IF(Time!O25&gt;0,Inputs!$F$154*MAX(-1,MIN(1,(O28-92)/3))*O19*Time!O25/12,0)</f>
        <v/>
      </c>
      <c r="P57" s="11">
        <f>IF(Time!P25&gt;0,Inputs!$F$154*MAX(-1,MIN(1,(P28-92)/3))*P19*Time!P25/12,0)</f>
        <v/>
      </c>
      <c r="Q57" s="11">
        <f>IF(Time!Q25&gt;0,Inputs!$F$154*MAX(-1,MIN(1,(Q28-92)/3))*Q19*Time!Q25/12,0)</f>
        <v/>
      </c>
      <c r="R57" s="11">
        <f>IF(Time!R25&gt;0,Inputs!$F$154*MAX(-1,MIN(1,(R28-92)/3))*R19*Time!R25/12,0)</f>
        <v/>
      </c>
      <c r="S57" s="11">
        <f>IF(Time!S25&gt;0,Inputs!$F$154*MAX(-1,MIN(1,(S28-92)/3))*S19*Time!S25/12,0)</f>
        <v/>
      </c>
      <c r="T57" s="11">
        <f>IF(Time!T25&gt;0,Inputs!$F$154*MAX(-1,MIN(1,(T28-92)/3))*T19*Time!T25/12,0)</f>
        <v/>
      </c>
      <c r="U57" s="11">
        <f>IF(Time!U25&gt;0,Inputs!$F$154*MAX(-1,MIN(1,(U28-92)/3))*U19*Time!U25/12,0)</f>
        <v/>
      </c>
      <c r="V57" s="11">
        <f>IF(Time!V25&gt;0,Inputs!$F$154*MAX(-1,MIN(1,(V28-92)/3))*V19*Time!V25/12,0)</f>
        <v/>
      </c>
      <c r="W57" s="11">
        <f>IF(Time!W25&gt;0,Inputs!$F$154*MAX(-1,MIN(1,(W28-92)/3))*W19*Time!W25/12,0)</f>
        <v/>
      </c>
      <c r="X57" s="11">
        <f>IF(Time!X25&gt;0,Inputs!$F$154*MAX(-1,MIN(1,(X28-92)/3))*X19*Time!X25/12,0)</f>
        <v/>
      </c>
      <c r="Y57" s="11">
        <f>IF(Time!Y25&gt;0,Inputs!$F$154*MAX(-1,MIN(1,(Y28-92)/3))*Y19*Time!Y25/12,0)</f>
        <v/>
      </c>
      <c r="Z57" s="11">
        <f>IF(Time!Z25&gt;0,Inputs!$F$154*MAX(-1,MIN(1,(Z28-92)/3))*Z19*Time!Z25/12,0)</f>
        <v/>
      </c>
      <c r="AA57" s="11">
        <f>IF(Time!AA25&gt;0,Inputs!$F$154*MAX(-1,MIN(1,(AA28-92)/3))*AA19*Time!AA25/12,0)</f>
        <v/>
      </c>
      <c r="AB57" s="11">
        <f>IF(Time!AB25&gt;0,Inputs!$F$154*MAX(-1,MIN(1,(AB28-92)/3))*AB19*Time!AB25/12,0)</f>
        <v/>
      </c>
      <c r="AC57" s="11">
        <f>IF(Time!AC25&gt;0,Inputs!$F$154*MAX(-1,MIN(1,(AC28-92)/3))*AC19*Time!AC25/12,0)</f>
        <v/>
      </c>
      <c r="AD57" s="11">
        <f>IF(Time!AD25&gt;0,Inputs!$F$154*MAX(-1,MIN(1,(AD28-92)/3))*AD19*Time!AD25/12,0)</f>
        <v/>
      </c>
      <c r="AE57" s="11">
        <f>IF(Time!AE25&gt;0,Inputs!$F$154*MAX(-1,MIN(1,(AE28-92)/3))*AE19*Time!AE25/12,0)</f>
        <v/>
      </c>
      <c r="AF57" s="11">
        <f>IF(Time!AF25&gt;0,Inputs!$F$154*MAX(-1,MIN(1,(AF28-92)/3))*AF19*Time!AF25/12,0)</f>
        <v/>
      </c>
      <c r="AG57" s="11">
        <f>IF(Time!AG25&gt;0,Inputs!$F$154*MAX(-1,MIN(1,(AG28-92)/3))*AG19*Time!AG25/12,0)</f>
        <v/>
      </c>
      <c r="AH57" s="11">
        <f>IF(Time!AH25&gt;0,Inputs!$F$154*MAX(-1,MIN(1,(AH28-92)/3))*AH19*Time!AH25/12,0)</f>
        <v/>
      </c>
      <c r="AI57" s="11">
        <f>IF(Time!AI25&gt;0,Inputs!$F$154*MAX(-1,MIN(1,(AI28-92)/3))*AI19*Time!AI25/12,0)</f>
        <v/>
      </c>
      <c r="AJ57" s="11">
        <f>IF(Time!AJ25&gt;0,Inputs!$F$154*MAX(-1,MIN(1,(AJ28-92)/3))*AJ19*Time!AJ25/12,0)</f>
        <v/>
      </c>
      <c r="AK57" s="11">
        <f>IF(Time!AK25&gt;0,Inputs!$F$154*MAX(-1,MIN(1,(AK28-92)/3))*AK19*Time!AK25/12,0)</f>
        <v/>
      </c>
      <c r="AL57" s="11">
        <f>IF(Time!AL25&gt;0,Inputs!$F$154*MAX(-1,MIN(1,(AL28-92)/3))*AL19*Time!AL25/12,0)</f>
        <v/>
      </c>
      <c r="AM57" s="11">
        <f>IF(Time!AM25&gt;0,Inputs!$F$154*MAX(-1,MIN(1,(AM28-92)/3))*AM19*Time!AM25/12,0)</f>
        <v/>
      </c>
      <c r="AN57" s="11">
        <f>IF(Time!AN25&gt;0,Inputs!$F$154*MAX(-1,MIN(1,(AN28-92)/3))*AN19*Time!AN25/12,0)</f>
        <v/>
      </c>
      <c r="AO57" s="11">
        <f>IF(Time!AO25&gt;0,Inputs!$F$154*MAX(-1,MIN(1,(AO28-92)/3))*AO19*Time!AO25/12,0)</f>
        <v/>
      </c>
      <c r="AP57" s="11">
        <f>IF(Time!AP25&gt;0,Inputs!$F$154*MAX(-1,MIN(1,(AP28-92)/3))*AP19*Time!AP25/12,0)</f>
        <v/>
      </c>
      <c r="AQ57" s="11">
        <f>IF(Time!AQ25&gt;0,Inputs!$F$154*MAX(-1,MIN(1,(AQ28-92)/3))*AQ19*Time!AQ25/12,0)</f>
        <v/>
      </c>
      <c r="AR57" s="11">
        <f>IF(Time!AR25&gt;0,Inputs!$F$154*MAX(-1,MIN(1,(AR28-92)/3))*AR19*Time!AR25/12,0)</f>
        <v/>
      </c>
      <c r="AS57" s="11">
        <f>IF(Time!AS25&gt;0,Inputs!$F$154*MAX(-1,MIN(1,(AS28-92)/3))*AS19*Time!AS25/12,0)</f>
        <v/>
      </c>
      <c r="AT57" s="11">
        <f>IF(Time!AT25&gt;0,Inputs!$F$154*MAX(-1,MIN(1,(AT28-92)/3))*AT19*Time!AT25/12,0)</f>
        <v/>
      </c>
      <c r="AU57" s="11">
        <f>IF(Time!AU25&gt;0,Inputs!$F$154*MAX(-1,MIN(1,(AU28-92)/3))*AU19*Time!AU25/12,0)</f>
        <v/>
      </c>
      <c r="AV57" s="11">
        <f>IF(Time!AV25&gt;0,Inputs!$F$154*MAX(-1,MIN(1,(AV28-92)/3))*AV19*Time!AV25/12,0)</f>
        <v/>
      </c>
      <c r="AW57" s="11">
        <f>IF(Time!AW25&gt;0,Inputs!$F$154*MAX(-1,MIN(1,(AW28-92)/3))*AW19*Time!AW25/12,0)</f>
        <v/>
      </c>
      <c r="AX57" s="11">
        <f>IF(Time!AX25&gt;0,Inputs!$F$154*MAX(-1,MIN(1,(AX28-92)/3))*AX19*Time!AX25/12,0)</f>
        <v/>
      </c>
      <c r="AY57" s="11">
        <f>IF(Time!AY25&gt;0,Inputs!$F$154*MAX(-1,MIN(1,(AY28-92)/3))*AY19*Time!AY25/12,0)</f>
        <v/>
      </c>
      <c r="AZ57" s="11">
        <f>IF(Time!AZ25&gt;0,Inputs!$F$154*MAX(-1,MIN(1,(AZ28-92)/3))*AZ19*Time!AZ25/12,0)</f>
        <v/>
      </c>
      <c r="BA57" s="11">
        <f>IF(Time!BA25&gt;0,Inputs!$F$154*MAX(-1,MIN(1,(BA28-92)/3))*BA19*Time!BA25/12,0)</f>
        <v/>
      </c>
      <c r="BB57" s="11">
        <f>IF(Time!BB25&gt;0,Inputs!$F$154*MAX(-1,MIN(1,(BB28-92)/3))*BB19*Time!BB25/12,0)</f>
        <v/>
      </c>
      <c r="BC57" s="11">
        <f>IF(Time!BC25&gt;0,Inputs!$F$154*MAX(-1,MIN(1,(BC28-92)/3))*BC19*Time!BC25/12,0)</f>
        <v/>
      </c>
      <c r="BD57" s="11">
        <f>IF(Time!BD25&gt;0,Inputs!$F$154*MAX(-1,MIN(1,(BD28-92)/3))*BD19*Time!BD25/12,0)</f>
        <v/>
      </c>
      <c r="BE57" s="11">
        <f>IF(Time!BE25&gt;0,Inputs!$F$154*MAX(-1,MIN(1,(BE28-92)/3))*BE19*Time!BE25/12,0)</f>
        <v/>
      </c>
      <c r="BF57" s="11">
        <f>IF(Time!BF25&gt;0,Inputs!$F$154*MAX(-1,MIN(1,(BF28-92)/3))*BF19*Time!BF25/12,0)</f>
        <v/>
      </c>
      <c r="BG57" s="11">
        <f>IF(Time!BG25&gt;0,Inputs!$F$154*MAX(-1,MIN(1,(BG28-92)/3))*BG19*Time!BG25/12,0)</f>
        <v/>
      </c>
      <c r="BH57" s="11">
        <f>IF(Time!BH25&gt;0,Inputs!$F$154*MAX(-1,MIN(1,(BH28-92)/3))*BH19*Time!BH25/12,0)</f>
        <v/>
      </c>
      <c r="BI57" s="11">
        <f>IF(Time!BI25&gt;0,Inputs!$F$154*MAX(-1,MIN(1,(BI28-92)/3))*BI19*Time!BI25/12,0)</f>
        <v/>
      </c>
      <c r="BJ57" s="11">
        <f>IF(Time!BJ25&gt;0,Inputs!$F$154*MAX(-1,MIN(1,(BJ28-92)/3))*BJ19*Time!BJ25/12,0)</f>
        <v/>
      </c>
      <c r="BK57" s="11">
        <f>IF(Time!BK25&gt;0,Inputs!$F$154*MAX(-1,MIN(1,(BK28-92)/3))*BK19*Time!BK25/12,0)</f>
        <v/>
      </c>
      <c r="BL57" s="11">
        <f>IF(Time!BL25&gt;0,Inputs!$F$154*MAX(-1,MIN(1,(BL28-92)/3))*BL19*Time!BL25/12,0)</f>
        <v/>
      </c>
      <c r="BM57" s="11">
        <f>IF(Time!BM25&gt;0,Inputs!$F$154*MAX(-1,MIN(1,(BM28-92)/3))*BM19*Time!BM25/12,0)</f>
        <v/>
      </c>
      <c r="BN57" s="11">
        <f>IF(Time!BN25&gt;0,Inputs!$F$154*MAX(-1,MIN(1,(BN28-92)/3))*BN19*Time!BN25/12,0)</f>
        <v/>
      </c>
    </row>
    <row r="58">
      <c r="D58" t="inlineStr">
        <is>
          <t>LTSA fixed fee</t>
        </is>
      </c>
      <c r="E58" t="inlineStr">
        <is>
          <t>USD m</t>
        </is>
      </c>
      <c r="G58" s="11">
        <f>SUM(J58:BN58)</f>
        <v/>
      </c>
      <c r="J58" s="11">
        <f>Inputs!$F$155*J19*Time!J25/12*Inputs!$F$40</f>
        <v/>
      </c>
      <c r="K58" s="11">
        <f>Inputs!$F$155*K19*Time!K25/12*Inputs!$F$40</f>
        <v/>
      </c>
      <c r="L58" s="11">
        <f>Inputs!$F$155*L19*Time!L25/12*Inputs!$F$40</f>
        <v/>
      </c>
      <c r="M58" s="11">
        <f>Inputs!$F$155*M19*Time!M25/12*Inputs!$F$40</f>
        <v/>
      </c>
      <c r="N58" s="11">
        <f>Inputs!$F$155*N19*Time!N25/12*Inputs!$F$40</f>
        <v/>
      </c>
      <c r="O58" s="11">
        <f>Inputs!$F$155*O19*Time!O25/12*Inputs!$F$40</f>
        <v/>
      </c>
      <c r="P58" s="11">
        <f>Inputs!$F$155*P19*Time!P25/12*Inputs!$F$40</f>
        <v/>
      </c>
      <c r="Q58" s="11">
        <f>Inputs!$F$155*Q19*Time!Q25/12*Inputs!$F$40</f>
        <v/>
      </c>
      <c r="R58" s="11">
        <f>Inputs!$F$155*R19*Time!R25/12*Inputs!$F$40</f>
        <v/>
      </c>
      <c r="S58" s="11">
        <f>Inputs!$F$155*S19*Time!S25/12*Inputs!$F$40</f>
        <v/>
      </c>
      <c r="T58" s="11">
        <f>Inputs!$F$155*T19*Time!T25/12*Inputs!$F$40</f>
        <v/>
      </c>
      <c r="U58" s="11">
        <f>Inputs!$F$155*U19*Time!U25/12*Inputs!$F$40</f>
        <v/>
      </c>
      <c r="V58" s="11">
        <f>Inputs!$F$155*V19*Time!V25/12*Inputs!$F$40</f>
        <v/>
      </c>
      <c r="W58" s="11">
        <f>Inputs!$F$155*W19*Time!W25/12*Inputs!$F$40</f>
        <v/>
      </c>
      <c r="X58" s="11">
        <f>Inputs!$F$155*X19*Time!X25/12*Inputs!$F$40</f>
        <v/>
      </c>
      <c r="Y58" s="11">
        <f>Inputs!$F$155*Y19*Time!Y25/12*Inputs!$F$40</f>
        <v/>
      </c>
      <c r="Z58" s="11">
        <f>Inputs!$F$155*Z19*Time!Z25/12*Inputs!$F$40</f>
        <v/>
      </c>
      <c r="AA58" s="11">
        <f>Inputs!$F$155*AA19*Time!AA25/12*Inputs!$F$40</f>
        <v/>
      </c>
      <c r="AB58" s="11">
        <f>Inputs!$F$155*AB19*Time!AB25/12*Inputs!$F$40</f>
        <v/>
      </c>
      <c r="AC58" s="11">
        <f>Inputs!$F$155*AC19*Time!AC25/12*Inputs!$F$40</f>
        <v/>
      </c>
      <c r="AD58" s="11">
        <f>Inputs!$F$155*AD19*Time!AD25/12*Inputs!$F$40</f>
        <v/>
      </c>
      <c r="AE58" s="11">
        <f>Inputs!$F$155*AE19*Time!AE25/12*Inputs!$F$40</f>
        <v/>
      </c>
      <c r="AF58" s="11">
        <f>Inputs!$F$155*AF19*Time!AF25/12*Inputs!$F$40</f>
        <v/>
      </c>
      <c r="AG58" s="11">
        <f>Inputs!$F$155*AG19*Time!AG25/12*Inputs!$F$40</f>
        <v/>
      </c>
      <c r="AH58" s="11">
        <f>Inputs!$F$155*AH19*Time!AH25/12*Inputs!$F$40</f>
        <v/>
      </c>
      <c r="AI58" s="11">
        <f>Inputs!$F$155*AI19*Time!AI25/12*Inputs!$F$40</f>
        <v/>
      </c>
      <c r="AJ58" s="11">
        <f>Inputs!$F$155*AJ19*Time!AJ25/12*Inputs!$F$40</f>
        <v/>
      </c>
      <c r="AK58" s="11">
        <f>Inputs!$F$155*AK19*Time!AK25/12*Inputs!$F$40</f>
        <v/>
      </c>
      <c r="AL58" s="11">
        <f>Inputs!$F$155*AL19*Time!AL25/12*Inputs!$F$40</f>
        <v/>
      </c>
      <c r="AM58" s="11">
        <f>Inputs!$F$155*AM19*Time!AM25/12*Inputs!$F$40</f>
        <v/>
      </c>
      <c r="AN58" s="11">
        <f>Inputs!$F$155*AN19*Time!AN25/12*Inputs!$F$40</f>
        <v/>
      </c>
      <c r="AO58" s="11">
        <f>Inputs!$F$155*AO19*Time!AO25/12*Inputs!$F$40</f>
        <v/>
      </c>
      <c r="AP58" s="11">
        <f>Inputs!$F$155*AP19*Time!AP25/12*Inputs!$F$40</f>
        <v/>
      </c>
      <c r="AQ58" s="11">
        <f>Inputs!$F$155*AQ19*Time!AQ25/12*Inputs!$F$40</f>
        <v/>
      </c>
      <c r="AR58" s="11">
        <f>Inputs!$F$155*AR19*Time!AR25/12*Inputs!$F$40</f>
        <v/>
      </c>
      <c r="AS58" s="11">
        <f>Inputs!$F$155*AS19*Time!AS25/12*Inputs!$F$40</f>
        <v/>
      </c>
      <c r="AT58" s="11">
        <f>Inputs!$F$155*AT19*Time!AT25/12*Inputs!$F$40</f>
        <v/>
      </c>
      <c r="AU58" s="11">
        <f>Inputs!$F$155*AU19*Time!AU25/12*Inputs!$F$40</f>
        <v/>
      </c>
      <c r="AV58" s="11">
        <f>Inputs!$F$155*AV19*Time!AV25/12*Inputs!$F$40</f>
        <v/>
      </c>
      <c r="AW58" s="11">
        <f>Inputs!$F$155*AW19*Time!AW25/12*Inputs!$F$40</f>
        <v/>
      </c>
      <c r="AX58" s="11">
        <f>Inputs!$F$155*AX19*Time!AX25/12*Inputs!$F$40</f>
        <v/>
      </c>
      <c r="AY58" s="11">
        <f>Inputs!$F$155*AY19*Time!AY25/12*Inputs!$F$40</f>
        <v/>
      </c>
      <c r="AZ58" s="11">
        <f>Inputs!$F$155*AZ19*Time!AZ25/12*Inputs!$F$40</f>
        <v/>
      </c>
      <c r="BA58" s="11">
        <f>Inputs!$F$155*BA19*Time!BA25/12*Inputs!$F$40</f>
        <v/>
      </c>
      <c r="BB58" s="11">
        <f>Inputs!$F$155*BB19*Time!BB25/12*Inputs!$F$40</f>
        <v/>
      </c>
      <c r="BC58" s="11">
        <f>Inputs!$F$155*BC19*Time!BC25/12*Inputs!$F$40</f>
        <v/>
      </c>
      <c r="BD58" s="11">
        <f>Inputs!$F$155*BD19*Time!BD25/12*Inputs!$F$40</f>
        <v/>
      </c>
      <c r="BE58" s="11">
        <f>Inputs!$F$155*BE19*Time!BE25/12*Inputs!$F$40</f>
        <v/>
      </c>
      <c r="BF58" s="11">
        <f>Inputs!$F$155*BF19*Time!BF25/12*Inputs!$F$40</f>
        <v/>
      </c>
      <c r="BG58" s="11">
        <f>Inputs!$F$155*BG19*Time!BG25/12*Inputs!$F$40</f>
        <v/>
      </c>
      <c r="BH58" s="11">
        <f>Inputs!$F$155*BH19*Time!BH25/12*Inputs!$F$40</f>
        <v/>
      </c>
      <c r="BI58" s="11">
        <f>Inputs!$F$155*BI19*Time!BI25/12*Inputs!$F$40</f>
        <v/>
      </c>
      <c r="BJ58" s="11">
        <f>Inputs!$F$155*BJ19*Time!BJ25/12*Inputs!$F$40</f>
        <v/>
      </c>
      <c r="BK58" s="11">
        <f>Inputs!$F$155*BK19*Time!BK25/12*Inputs!$F$40</f>
        <v/>
      </c>
      <c r="BL58" s="11">
        <f>Inputs!$F$155*BL19*Time!BL25/12*Inputs!$F$40</f>
        <v/>
      </c>
      <c r="BM58" s="11">
        <f>Inputs!$F$155*BM19*Time!BM25/12*Inputs!$F$40</f>
        <v/>
      </c>
      <c r="BN58" s="11">
        <f>Inputs!$F$155*BN19*Time!BN25/12*Inputs!$F$40</f>
        <v/>
      </c>
    </row>
    <row r="59">
      <c r="D59" t="inlineStr">
        <is>
          <t>Equivalent operating hours (2 GTs)</t>
        </is>
      </c>
      <c r="E59" t="inlineStr">
        <is>
          <t>EOH</t>
        </is>
      </c>
      <c r="J59" s="13">
        <f>IF(J27&gt;0,2*(Inputs!$F$129*J28/J27*J33/Inputs!$F$131+Inputs!$F$130*Inputs!$F$132)*Time!J25/12,0)</f>
        <v/>
      </c>
      <c r="K59" s="13">
        <f>IF(K27&gt;0,2*(Inputs!$F$129*K28/K27*K33/Inputs!$F$131+Inputs!$F$130*Inputs!$F$132)*Time!K25/12,0)</f>
        <v/>
      </c>
      <c r="L59" s="13">
        <f>IF(L27&gt;0,2*(Inputs!$F$129*L28/L27*L33/Inputs!$F$131+Inputs!$F$130*Inputs!$F$132)*Time!L25/12,0)</f>
        <v/>
      </c>
      <c r="M59" s="13">
        <f>IF(M27&gt;0,2*(Inputs!$F$129*M28/M27*M33/Inputs!$F$131+Inputs!$F$130*Inputs!$F$132)*Time!M25/12,0)</f>
        <v/>
      </c>
      <c r="N59" s="13">
        <f>IF(N27&gt;0,2*(Inputs!$F$129*N28/N27*N33/Inputs!$F$131+Inputs!$F$130*Inputs!$F$132)*Time!N25/12,0)</f>
        <v/>
      </c>
      <c r="O59" s="13">
        <f>IF(O27&gt;0,2*(Inputs!$F$129*O28/O27*O33/Inputs!$F$131+Inputs!$F$130*Inputs!$F$132)*Time!O25/12,0)</f>
        <v/>
      </c>
      <c r="P59" s="13">
        <f>IF(P27&gt;0,2*(Inputs!$F$129*P28/P27*P33/Inputs!$F$131+Inputs!$F$130*Inputs!$F$132)*Time!P25/12,0)</f>
        <v/>
      </c>
      <c r="Q59" s="13">
        <f>IF(Q27&gt;0,2*(Inputs!$F$129*Q28/Q27*Q33/Inputs!$F$131+Inputs!$F$130*Inputs!$F$132)*Time!Q25/12,0)</f>
        <v/>
      </c>
      <c r="R59" s="13">
        <f>IF(R27&gt;0,2*(Inputs!$F$129*R28/R27*R33/Inputs!$F$131+Inputs!$F$130*Inputs!$F$132)*Time!R25/12,0)</f>
        <v/>
      </c>
      <c r="S59" s="13">
        <f>IF(S27&gt;0,2*(Inputs!$F$129*S28/S27*S33/Inputs!$F$131+Inputs!$F$130*Inputs!$F$132)*Time!S25/12,0)</f>
        <v/>
      </c>
      <c r="T59" s="13">
        <f>IF(T27&gt;0,2*(Inputs!$F$129*T28/T27*T33/Inputs!$F$131+Inputs!$F$130*Inputs!$F$132)*Time!T25/12,0)</f>
        <v/>
      </c>
      <c r="U59" s="13">
        <f>IF(U27&gt;0,2*(Inputs!$F$129*U28/U27*U33/Inputs!$F$131+Inputs!$F$130*Inputs!$F$132)*Time!U25/12,0)</f>
        <v/>
      </c>
      <c r="V59" s="13">
        <f>IF(V27&gt;0,2*(Inputs!$F$129*V28/V27*V33/Inputs!$F$131+Inputs!$F$130*Inputs!$F$132)*Time!V25/12,0)</f>
        <v/>
      </c>
      <c r="W59" s="13">
        <f>IF(W27&gt;0,2*(Inputs!$F$129*W28/W27*W33/Inputs!$F$131+Inputs!$F$130*Inputs!$F$132)*Time!W25/12,0)</f>
        <v/>
      </c>
      <c r="X59" s="13">
        <f>IF(X27&gt;0,2*(Inputs!$F$129*X28/X27*X33/Inputs!$F$131+Inputs!$F$130*Inputs!$F$132)*Time!X25/12,0)</f>
        <v/>
      </c>
      <c r="Y59" s="13">
        <f>IF(Y27&gt;0,2*(Inputs!$F$129*Y28/Y27*Y33/Inputs!$F$131+Inputs!$F$130*Inputs!$F$132)*Time!Y25/12,0)</f>
        <v/>
      </c>
      <c r="Z59" s="13">
        <f>IF(Z27&gt;0,2*(Inputs!$F$129*Z28/Z27*Z33/Inputs!$F$131+Inputs!$F$130*Inputs!$F$132)*Time!Z25/12,0)</f>
        <v/>
      </c>
      <c r="AA59" s="13">
        <f>IF(AA27&gt;0,2*(Inputs!$F$129*AA28/AA27*AA33/Inputs!$F$131+Inputs!$F$130*Inputs!$F$132)*Time!AA25/12,0)</f>
        <v/>
      </c>
      <c r="AB59" s="13">
        <f>IF(AB27&gt;0,2*(Inputs!$F$129*AB28/AB27*AB33/Inputs!$F$131+Inputs!$F$130*Inputs!$F$132)*Time!AB25/12,0)</f>
        <v/>
      </c>
      <c r="AC59" s="13">
        <f>IF(AC27&gt;0,2*(Inputs!$F$129*AC28/AC27*AC33/Inputs!$F$131+Inputs!$F$130*Inputs!$F$132)*Time!AC25/12,0)</f>
        <v/>
      </c>
      <c r="AD59" s="13">
        <f>IF(AD27&gt;0,2*(Inputs!$F$129*AD28/AD27*AD33/Inputs!$F$131+Inputs!$F$130*Inputs!$F$132)*Time!AD25/12,0)</f>
        <v/>
      </c>
      <c r="AE59" s="13">
        <f>IF(AE27&gt;0,2*(Inputs!$F$129*AE28/AE27*AE33/Inputs!$F$131+Inputs!$F$130*Inputs!$F$132)*Time!AE25/12,0)</f>
        <v/>
      </c>
      <c r="AF59" s="13">
        <f>IF(AF27&gt;0,2*(Inputs!$F$129*AF28/AF27*AF33/Inputs!$F$131+Inputs!$F$130*Inputs!$F$132)*Time!AF25/12,0)</f>
        <v/>
      </c>
      <c r="AG59" s="13">
        <f>IF(AG27&gt;0,2*(Inputs!$F$129*AG28/AG27*AG33/Inputs!$F$131+Inputs!$F$130*Inputs!$F$132)*Time!AG25/12,0)</f>
        <v/>
      </c>
      <c r="AH59" s="13">
        <f>IF(AH27&gt;0,2*(Inputs!$F$129*AH28/AH27*AH33/Inputs!$F$131+Inputs!$F$130*Inputs!$F$132)*Time!AH25/12,0)</f>
        <v/>
      </c>
      <c r="AI59" s="13">
        <f>IF(AI27&gt;0,2*(Inputs!$F$129*AI28/AI27*AI33/Inputs!$F$131+Inputs!$F$130*Inputs!$F$132)*Time!AI25/12,0)</f>
        <v/>
      </c>
      <c r="AJ59" s="13">
        <f>IF(AJ27&gt;0,2*(Inputs!$F$129*AJ28/AJ27*AJ33/Inputs!$F$131+Inputs!$F$130*Inputs!$F$132)*Time!AJ25/12,0)</f>
        <v/>
      </c>
      <c r="AK59" s="13">
        <f>IF(AK27&gt;0,2*(Inputs!$F$129*AK28/AK27*AK33/Inputs!$F$131+Inputs!$F$130*Inputs!$F$132)*Time!AK25/12,0)</f>
        <v/>
      </c>
      <c r="AL59" s="13">
        <f>IF(AL27&gt;0,2*(Inputs!$F$129*AL28/AL27*AL33/Inputs!$F$131+Inputs!$F$130*Inputs!$F$132)*Time!AL25/12,0)</f>
        <v/>
      </c>
      <c r="AM59" s="13">
        <f>IF(AM27&gt;0,2*(Inputs!$F$129*AM28/AM27*AM33/Inputs!$F$131+Inputs!$F$130*Inputs!$F$132)*Time!AM25/12,0)</f>
        <v/>
      </c>
      <c r="AN59" s="13">
        <f>IF(AN27&gt;0,2*(Inputs!$F$129*AN28/AN27*AN33/Inputs!$F$131+Inputs!$F$130*Inputs!$F$132)*Time!AN25/12,0)</f>
        <v/>
      </c>
      <c r="AO59" s="13">
        <f>IF(AO27&gt;0,2*(Inputs!$F$129*AO28/AO27*AO33/Inputs!$F$131+Inputs!$F$130*Inputs!$F$132)*Time!AO25/12,0)</f>
        <v/>
      </c>
      <c r="AP59" s="13">
        <f>IF(AP27&gt;0,2*(Inputs!$F$129*AP28/AP27*AP33/Inputs!$F$131+Inputs!$F$130*Inputs!$F$132)*Time!AP25/12,0)</f>
        <v/>
      </c>
      <c r="AQ59" s="13">
        <f>IF(AQ27&gt;0,2*(Inputs!$F$129*AQ28/AQ27*AQ33/Inputs!$F$131+Inputs!$F$130*Inputs!$F$132)*Time!AQ25/12,0)</f>
        <v/>
      </c>
      <c r="AR59" s="13">
        <f>IF(AR27&gt;0,2*(Inputs!$F$129*AR28/AR27*AR33/Inputs!$F$131+Inputs!$F$130*Inputs!$F$132)*Time!AR25/12,0)</f>
        <v/>
      </c>
      <c r="AS59" s="13">
        <f>IF(AS27&gt;0,2*(Inputs!$F$129*AS28/AS27*AS33/Inputs!$F$131+Inputs!$F$130*Inputs!$F$132)*Time!AS25/12,0)</f>
        <v/>
      </c>
      <c r="AT59" s="13">
        <f>IF(AT27&gt;0,2*(Inputs!$F$129*AT28/AT27*AT33/Inputs!$F$131+Inputs!$F$130*Inputs!$F$132)*Time!AT25/12,0)</f>
        <v/>
      </c>
      <c r="AU59" s="13">
        <f>IF(AU27&gt;0,2*(Inputs!$F$129*AU28/AU27*AU33/Inputs!$F$131+Inputs!$F$130*Inputs!$F$132)*Time!AU25/12,0)</f>
        <v/>
      </c>
      <c r="AV59" s="13">
        <f>IF(AV27&gt;0,2*(Inputs!$F$129*AV28/AV27*AV33/Inputs!$F$131+Inputs!$F$130*Inputs!$F$132)*Time!AV25/12,0)</f>
        <v/>
      </c>
      <c r="AW59" s="13">
        <f>IF(AW27&gt;0,2*(Inputs!$F$129*AW28/AW27*AW33/Inputs!$F$131+Inputs!$F$130*Inputs!$F$132)*Time!AW25/12,0)</f>
        <v/>
      </c>
      <c r="AX59" s="13">
        <f>IF(AX27&gt;0,2*(Inputs!$F$129*AX28/AX27*AX33/Inputs!$F$131+Inputs!$F$130*Inputs!$F$132)*Time!AX25/12,0)</f>
        <v/>
      </c>
      <c r="AY59" s="13">
        <f>IF(AY27&gt;0,2*(Inputs!$F$129*AY28/AY27*AY33/Inputs!$F$131+Inputs!$F$130*Inputs!$F$132)*Time!AY25/12,0)</f>
        <v/>
      </c>
      <c r="AZ59" s="13">
        <f>IF(AZ27&gt;0,2*(Inputs!$F$129*AZ28/AZ27*AZ33/Inputs!$F$131+Inputs!$F$130*Inputs!$F$132)*Time!AZ25/12,0)</f>
        <v/>
      </c>
      <c r="BA59" s="13">
        <f>IF(BA27&gt;0,2*(Inputs!$F$129*BA28/BA27*BA33/Inputs!$F$131+Inputs!$F$130*Inputs!$F$132)*Time!BA25/12,0)</f>
        <v/>
      </c>
      <c r="BB59" s="13">
        <f>IF(BB27&gt;0,2*(Inputs!$F$129*BB28/BB27*BB33/Inputs!$F$131+Inputs!$F$130*Inputs!$F$132)*Time!BB25/12,0)</f>
        <v/>
      </c>
      <c r="BC59" s="13">
        <f>IF(BC27&gt;0,2*(Inputs!$F$129*BC28/BC27*BC33/Inputs!$F$131+Inputs!$F$130*Inputs!$F$132)*Time!BC25/12,0)</f>
        <v/>
      </c>
      <c r="BD59" s="13">
        <f>IF(BD27&gt;0,2*(Inputs!$F$129*BD28/BD27*BD33/Inputs!$F$131+Inputs!$F$130*Inputs!$F$132)*Time!BD25/12,0)</f>
        <v/>
      </c>
      <c r="BE59" s="13">
        <f>IF(BE27&gt;0,2*(Inputs!$F$129*BE28/BE27*BE33/Inputs!$F$131+Inputs!$F$130*Inputs!$F$132)*Time!BE25/12,0)</f>
        <v/>
      </c>
      <c r="BF59" s="13">
        <f>IF(BF27&gt;0,2*(Inputs!$F$129*BF28/BF27*BF33/Inputs!$F$131+Inputs!$F$130*Inputs!$F$132)*Time!BF25/12,0)</f>
        <v/>
      </c>
      <c r="BG59" s="13">
        <f>IF(BG27&gt;0,2*(Inputs!$F$129*BG28/BG27*BG33/Inputs!$F$131+Inputs!$F$130*Inputs!$F$132)*Time!BG25/12,0)</f>
        <v/>
      </c>
      <c r="BH59" s="13">
        <f>IF(BH27&gt;0,2*(Inputs!$F$129*BH28/BH27*BH33/Inputs!$F$131+Inputs!$F$130*Inputs!$F$132)*Time!BH25/12,0)</f>
        <v/>
      </c>
      <c r="BI59" s="13">
        <f>IF(BI27&gt;0,2*(Inputs!$F$129*BI28/BI27*BI33/Inputs!$F$131+Inputs!$F$130*Inputs!$F$132)*Time!BI25/12,0)</f>
        <v/>
      </c>
      <c r="BJ59" s="13">
        <f>IF(BJ27&gt;0,2*(Inputs!$F$129*BJ28/BJ27*BJ33/Inputs!$F$131+Inputs!$F$130*Inputs!$F$132)*Time!BJ25/12,0)</f>
        <v/>
      </c>
      <c r="BK59" s="13">
        <f>IF(BK27&gt;0,2*(Inputs!$F$129*BK28/BK27*BK33/Inputs!$F$131+Inputs!$F$130*Inputs!$F$132)*Time!BK25/12,0)</f>
        <v/>
      </c>
      <c r="BL59" s="13">
        <f>IF(BL27&gt;0,2*(Inputs!$F$129*BL28/BL27*BL33/Inputs!$F$131+Inputs!$F$130*Inputs!$F$132)*Time!BL25/12,0)</f>
        <v/>
      </c>
      <c r="BM59" s="13">
        <f>IF(BM27&gt;0,2*(Inputs!$F$129*BM28/BM27*BM33/Inputs!$F$131+Inputs!$F$130*Inputs!$F$132)*Time!BM25/12,0)</f>
        <v/>
      </c>
      <c r="BN59" s="13">
        <f>IF(BN27&gt;0,2*(Inputs!$F$129*BN28/BN27*BN33/Inputs!$F$131+Inputs!$F$130*Inputs!$F$132)*Time!BN25/12,0)</f>
        <v/>
      </c>
    </row>
    <row r="60">
      <c r="D60" t="inlineStr">
        <is>
          <t>LTSA variable fee</t>
        </is>
      </c>
      <c r="E60" t="inlineStr">
        <is>
          <t>USD m</t>
        </is>
      </c>
      <c r="G60" s="11">
        <f>SUM(J60:BN60)</f>
        <v/>
      </c>
      <c r="J60" s="11">
        <f>J59*Inputs!$F$156*J19/1000000</f>
        <v/>
      </c>
      <c r="K60" s="11">
        <f>K59*Inputs!$F$156*K19/1000000</f>
        <v/>
      </c>
      <c r="L60" s="11">
        <f>L59*Inputs!$F$156*L19/1000000</f>
        <v/>
      </c>
      <c r="M60" s="11">
        <f>M59*Inputs!$F$156*M19/1000000</f>
        <v/>
      </c>
      <c r="N60" s="11">
        <f>N59*Inputs!$F$156*N19/1000000</f>
        <v/>
      </c>
      <c r="O60" s="11">
        <f>O59*Inputs!$F$156*O19/1000000</f>
        <v/>
      </c>
      <c r="P60" s="11">
        <f>P59*Inputs!$F$156*P19/1000000</f>
        <v/>
      </c>
      <c r="Q60" s="11">
        <f>Q59*Inputs!$F$156*Q19/1000000</f>
        <v/>
      </c>
      <c r="R60" s="11">
        <f>R59*Inputs!$F$156*R19/1000000</f>
        <v/>
      </c>
      <c r="S60" s="11">
        <f>S59*Inputs!$F$156*S19/1000000</f>
        <v/>
      </c>
      <c r="T60" s="11">
        <f>T59*Inputs!$F$156*T19/1000000</f>
        <v/>
      </c>
      <c r="U60" s="11">
        <f>U59*Inputs!$F$156*U19/1000000</f>
        <v/>
      </c>
      <c r="V60" s="11">
        <f>V59*Inputs!$F$156*V19/1000000</f>
        <v/>
      </c>
      <c r="W60" s="11">
        <f>W59*Inputs!$F$156*W19/1000000</f>
        <v/>
      </c>
      <c r="X60" s="11">
        <f>X59*Inputs!$F$156*X19/1000000</f>
        <v/>
      </c>
      <c r="Y60" s="11">
        <f>Y59*Inputs!$F$156*Y19/1000000</f>
        <v/>
      </c>
      <c r="Z60" s="11">
        <f>Z59*Inputs!$F$156*Z19/1000000</f>
        <v/>
      </c>
      <c r="AA60" s="11">
        <f>AA59*Inputs!$F$156*AA19/1000000</f>
        <v/>
      </c>
      <c r="AB60" s="11">
        <f>AB59*Inputs!$F$156*AB19/1000000</f>
        <v/>
      </c>
      <c r="AC60" s="11">
        <f>AC59*Inputs!$F$156*AC19/1000000</f>
        <v/>
      </c>
      <c r="AD60" s="11">
        <f>AD59*Inputs!$F$156*AD19/1000000</f>
        <v/>
      </c>
      <c r="AE60" s="11">
        <f>AE59*Inputs!$F$156*AE19/1000000</f>
        <v/>
      </c>
      <c r="AF60" s="11">
        <f>AF59*Inputs!$F$156*AF19/1000000</f>
        <v/>
      </c>
      <c r="AG60" s="11">
        <f>AG59*Inputs!$F$156*AG19/1000000</f>
        <v/>
      </c>
      <c r="AH60" s="11">
        <f>AH59*Inputs!$F$156*AH19/1000000</f>
        <v/>
      </c>
      <c r="AI60" s="11">
        <f>AI59*Inputs!$F$156*AI19/1000000</f>
        <v/>
      </c>
      <c r="AJ60" s="11">
        <f>AJ59*Inputs!$F$156*AJ19/1000000</f>
        <v/>
      </c>
      <c r="AK60" s="11">
        <f>AK59*Inputs!$F$156*AK19/1000000</f>
        <v/>
      </c>
      <c r="AL60" s="11">
        <f>AL59*Inputs!$F$156*AL19/1000000</f>
        <v/>
      </c>
      <c r="AM60" s="11">
        <f>AM59*Inputs!$F$156*AM19/1000000</f>
        <v/>
      </c>
      <c r="AN60" s="11">
        <f>AN59*Inputs!$F$156*AN19/1000000</f>
        <v/>
      </c>
      <c r="AO60" s="11">
        <f>AO59*Inputs!$F$156*AO19/1000000</f>
        <v/>
      </c>
      <c r="AP60" s="11">
        <f>AP59*Inputs!$F$156*AP19/1000000</f>
        <v/>
      </c>
      <c r="AQ60" s="11">
        <f>AQ59*Inputs!$F$156*AQ19/1000000</f>
        <v/>
      </c>
      <c r="AR60" s="11">
        <f>AR59*Inputs!$F$156*AR19/1000000</f>
        <v/>
      </c>
      <c r="AS60" s="11">
        <f>AS59*Inputs!$F$156*AS19/1000000</f>
        <v/>
      </c>
      <c r="AT60" s="11">
        <f>AT59*Inputs!$F$156*AT19/1000000</f>
        <v/>
      </c>
      <c r="AU60" s="11">
        <f>AU59*Inputs!$F$156*AU19/1000000</f>
        <v/>
      </c>
      <c r="AV60" s="11">
        <f>AV59*Inputs!$F$156*AV19/1000000</f>
        <v/>
      </c>
      <c r="AW60" s="11">
        <f>AW59*Inputs!$F$156*AW19/1000000</f>
        <v/>
      </c>
      <c r="AX60" s="11">
        <f>AX59*Inputs!$F$156*AX19/1000000</f>
        <v/>
      </c>
      <c r="AY60" s="11">
        <f>AY59*Inputs!$F$156*AY19/1000000</f>
        <v/>
      </c>
      <c r="AZ60" s="11">
        <f>AZ59*Inputs!$F$156*AZ19/1000000</f>
        <v/>
      </c>
      <c r="BA60" s="11">
        <f>BA59*Inputs!$F$156*BA19/1000000</f>
        <v/>
      </c>
      <c r="BB60" s="11">
        <f>BB59*Inputs!$F$156*BB19/1000000</f>
        <v/>
      </c>
      <c r="BC60" s="11">
        <f>BC59*Inputs!$F$156*BC19/1000000</f>
        <v/>
      </c>
      <c r="BD60" s="11">
        <f>BD59*Inputs!$F$156*BD19/1000000</f>
        <v/>
      </c>
      <c r="BE60" s="11">
        <f>BE59*Inputs!$F$156*BE19/1000000</f>
        <v/>
      </c>
      <c r="BF60" s="11">
        <f>BF59*Inputs!$F$156*BF19/1000000</f>
        <v/>
      </c>
      <c r="BG60" s="11">
        <f>BG59*Inputs!$F$156*BG19/1000000</f>
        <v/>
      </c>
      <c r="BH60" s="11">
        <f>BH59*Inputs!$F$156*BH19/1000000</f>
        <v/>
      </c>
      <c r="BI60" s="11">
        <f>BI59*Inputs!$F$156*BI19/1000000</f>
        <v/>
      </c>
      <c r="BJ60" s="11">
        <f>BJ59*Inputs!$F$156*BJ19/1000000</f>
        <v/>
      </c>
      <c r="BK60" s="11">
        <f>BK59*Inputs!$F$156*BK19/1000000</f>
        <v/>
      </c>
      <c r="BL60" s="11">
        <f>BL59*Inputs!$F$156*BL19/1000000</f>
        <v/>
      </c>
      <c r="BM60" s="11">
        <f>BM59*Inputs!$F$156*BM19/1000000</f>
        <v/>
      </c>
      <c r="BN60" s="11">
        <f>BN59*Inputs!$F$156*BN19/1000000</f>
        <v/>
      </c>
    </row>
    <row r="61">
      <c r="D61" t="inlineStr">
        <is>
          <t>Operational insurance</t>
        </is>
      </c>
      <c r="E61" t="inlineStr">
        <is>
          <t>USD m</t>
        </is>
      </c>
      <c r="G61" s="11">
        <f>SUM(J61:BN61)</f>
        <v/>
      </c>
      <c r="J61" s="11">
        <f>Inputs!$F$157*J19*Time!J25/12*(1+Inputs!$F$158*Inputs!$F$46*IF(Time!J17&gt;=9,1,0))*Inputs!$F$40</f>
        <v/>
      </c>
      <c r="K61" s="11">
        <f>Inputs!$F$157*K19*Time!K25/12*(1+Inputs!$F$158*Inputs!$F$46*IF(Time!K17&gt;=9,1,0))*Inputs!$F$40</f>
        <v/>
      </c>
      <c r="L61" s="11">
        <f>Inputs!$F$157*L19*Time!L25/12*(1+Inputs!$F$158*Inputs!$F$46*IF(Time!L17&gt;=9,1,0))*Inputs!$F$40</f>
        <v/>
      </c>
      <c r="M61" s="11">
        <f>Inputs!$F$157*M19*Time!M25/12*(1+Inputs!$F$158*Inputs!$F$46*IF(Time!M17&gt;=9,1,0))*Inputs!$F$40</f>
        <v/>
      </c>
      <c r="N61" s="11">
        <f>Inputs!$F$157*N19*Time!N25/12*(1+Inputs!$F$158*Inputs!$F$46*IF(Time!N17&gt;=9,1,0))*Inputs!$F$40</f>
        <v/>
      </c>
      <c r="O61" s="11">
        <f>Inputs!$F$157*O19*Time!O25/12*(1+Inputs!$F$158*Inputs!$F$46*IF(Time!O17&gt;=9,1,0))*Inputs!$F$40</f>
        <v/>
      </c>
      <c r="P61" s="11">
        <f>Inputs!$F$157*P19*Time!P25/12*(1+Inputs!$F$158*Inputs!$F$46*IF(Time!P17&gt;=9,1,0))*Inputs!$F$40</f>
        <v/>
      </c>
      <c r="Q61" s="11">
        <f>Inputs!$F$157*Q19*Time!Q25/12*(1+Inputs!$F$158*Inputs!$F$46*IF(Time!Q17&gt;=9,1,0))*Inputs!$F$40</f>
        <v/>
      </c>
      <c r="R61" s="11">
        <f>Inputs!$F$157*R19*Time!R25/12*(1+Inputs!$F$158*Inputs!$F$46*IF(Time!R17&gt;=9,1,0))*Inputs!$F$40</f>
        <v/>
      </c>
      <c r="S61" s="11">
        <f>Inputs!$F$157*S19*Time!S25/12*(1+Inputs!$F$158*Inputs!$F$46*IF(Time!S17&gt;=9,1,0))*Inputs!$F$40</f>
        <v/>
      </c>
      <c r="T61" s="11">
        <f>Inputs!$F$157*T19*Time!T25/12*(1+Inputs!$F$158*Inputs!$F$46*IF(Time!T17&gt;=9,1,0))*Inputs!$F$40</f>
        <v/>
      </c>
      <c r="U61" s="11">
        <f>Inputs!$F$157*U19*Time!U25/12*(1+Inputs!$F$158*Inputs!$F$46*IF(Time!U17&gt;=9,1,0))*Inputs!$F$40</f>
        <v/>
      </c>
      <c r="V61" s="11">
        <f>Inputs!$F$157*V19*Time!V25/12*(1+Inputs!$F$158*Inputs!$F$46*IF(Time!V17&gt;=9,1,0))*Inputs!$F$40</f>
        <v/>
      </c>
      <c r="W61" s="11">
        <f>Inputs!$F$157*W19*Time!W25/12*(1+Inputs!$F$158*Inputs!$F$46*IF(Time!W17&gt;=9,1,0))*Inputs!$F$40</f>
        <v/>
      </c>
      <c r="X61" s="11">
        <f>Inputs!$F$157*X19*Time!X25/12*(1+Inputs!$F$158*Inputs!$F$46*IF(Time!X17&gt;=9,1,0))*Inputs!$F$40</f>
        <v/>
      </c>
      <c r="Y61" s="11">
        <f>Inputs!$F$157*Y19*Time!Y25/12*(1+Inputs!$F$158*Inputs!$F$46*IF(Time!Y17&gt;=9,1,0))*Inputs!$F$40</f>
        <v/>
      </c>
      <c r="Z61" s="11">
        <f>Inputs!$F$157*Z19*Time!Z25/12*(1+Inputs!$F$158*Inputs!$F$46*IF(Time!Z17&gt;=9,1,0))*Inputs!$F$40</f>
        <v/>
      </c>
      <c r="AA61" s="11">
        <f>Inputs!$F$157*AA19*Time!AA25/12*(1+Inputs!$F$158*Inputs!$F$46*IF(Time!AA17&gt;=9,1,0))*Inputs!$F$40</f>
        <v/>
      </c>
      <c r="AB61" s="11">
        <f>Inputs!$F$157*AB19*Time!AB25/12*(1+Inputs!$F$158*Inputs!$F$46*IF(Time!AB17&gt;=9,1,0))*Inputs!$F$40</f>
        <v/>
      </c>
      <c r="AC61" s="11">
        <f>Inputs!$F$157*AC19*Time!AC25/12*(1+Inputs!$F$158*Inputs!$F$46*IF(Time!AC17&gt;=9,1,0))*Inputs!$F$40</f>
        <v/>
      </c>
      <c r="AD61" s="11">
        <f>Inputs!$F$157*AD19*Time!AD25/12*(1+Inputs!$F$158*Inputs!$F$46*IF(Time!AD17&gt;=9,1,0))*Inputs!$F$40</f>
        <v/>
      </c>
      <c r="AE61" s="11">
        <f>Inputs!$F$157*AE19*Time!AE25/12*(1+Inputs!$F$158*Inputs!$F$46*IF(Time!AE17&gt;=9,1,0))*Inputs!$F$40</f>
        <v/>
      </c>
      <c r="AF61" s="11">
        <f>Inputs!$F$157*AF19*Time!AF25/12*(1+Inputs!$F$158*Inputs!$F$46*IF(Time!AF17&gt;=9,1,0))*Inputs!$F$40</f>
        <v/>
      </c>
      <c r="AG61" s="11">
        <f>Inputs!$F$157*AG19*Time!AG25/12*(1+Inputs!$F$158*Inputs!$F$46*IF(Time!AG17&gt;=9,1,0))*Inputs!$F$40</f>
        <v/>
      </c>
      <c r="AH61" s="11">
        <f>Inputs!$F$157*AH19*Time!AH25/12*(1+Inputs!$F$158*Inputs!$F$46*IF(Time!AH17&gt;=9,1,0))*Inputs!$F$40</f>
        <v/>
      </c>
      <c r="AI61" s="11">
        <f>Inputs!$F$157*AI19*Time!AI25/12*(1+Inputs!$F$158*Inputs!$F$46*IF(Time!AI17&gt;=9,1,0))*Inputs!$F$40</f>
        <v/>
      </c>
      <c r="AJ61" s="11">
        <f>Inputs!$F$157*AJ19*Time!AJ25/12*(1+Inputs!$F$158*Inputs!$F$46*IF(Time!AJ17&gt;=9,1,0))*Inputs!$F$40</f>
        <v/>
      </c>
      <c r="AK61" s="11">
        <f>Inputs!$F$157*AK19*Time!AK25/12*(1+Inputs!$F$158*Inputs!$F$46*IF(Time!AK17&gt;=9,1,0))*Inputs!$F$40</f>
        <v/>
      </c>
      <c r="AL61" s="11">
        <f>Inputs!$F$157*AL19*Time!AL25/12*(1+Inputs!$F$158*Inputs!$F$46*IF(Time!AL17&gt;=9,1,0))*Inputs!$F$40</f>
        <v/>
      </c>
      <c r="AM61" s="11">
        <f>Inputs!$F$157*AM19*Time!AM25/12*(1+Inputs!$F$158*Inputs!$F$46*IF(Time!AM17&gt;=9,1,0))*Inputs!$F$40</f>
        <v/>
      </c>
      <c r="AN61" s="11">
        <f>Inputs!$F$157*AN19*Time!AN25/12*(1+Inputs!$F$158*Inputs!$F$46*IF(Time!AN17&gt;=9,1,0))*Inputs!$F$40</f>
        <v/>
      </c>
      <c r="AO61" s="11">
        <f>Inputs!$F$157*AO19*Time!AO25/12*(1+Inputs!$F$158*Inputs!$F$46*IF(Time!AO17&gt;=9,1,0))*Inputs!$F$40</f>
        <v/>
      </c>
      <c r="AP61" s="11">
        <f>Inputs!$F$157*AP19*Time!AP25/12*(1+Inputs!$F$158*Inputs!$F$46*IF(Time!AP17&gt;=9,1,0))*Inputs!$F$40</f>
        <v/>
      </c>
      <c r="AQ61" s="11">
        <f>Inputs!$F$157*AQ19*Time!AQ25/12*(1+Inputs!$F$158*Inputs!$F$46*IF(Time!AQ17&gt;=9,1,0))*Inputs!$F$40</f>
        <v/>
      </c>
      <c r="AR61" s="11">
        <f>Inputs!$F$157*AR19*Time!AR25/12*(1+Inputs!$F$158*Inputs!$F$46*IF(Time!AR17&gt;=9,1,0))*Inputs!$F$40</f>
        <v/>
      </c>
      <c r="AS61" s="11">
        <f>Inputs!$F$157*AS19*Time!AS25/12*(1+Inputs!$F$158*Inputs!$F$46*IF(Time!AS17&gt;=9,1,0))*Inputs!$F$40</f>
        <v/>
      </c>
      <c r="AT61" s="11">
        <f>Inputs!$F$157*AT19*Time!AT25/12*(1+Inputs!$F$158*Inputs!$F$46*IF(Time!AT17&gt;=9,1,0))*Inputs!$F$40</f>
        <v/>
      </c>
      <c r="AU61" s="11">
        <f>Inputs!$F$157*AU19*Time!AU25/12*(1+Inputs!$F$158*Inputs!$F$46*IF(Time!AU17&gt;=9,1,0))*Inputs!$F$40</f>
        <v/>
      </c>
      <c r="AV61" s="11">
        <f>Inputs!$F$157*AV19*Time!AV25/12*(1+Inputs!$F$158*Inputs!$F$46*IF(Time!AV17&gt;=9,1,0))*Inputs!$F$40</f>
        <v/>
      </c>
      <c r="AW61" s="11">
        <f>Inputs!$F$157*AW19*Time!AW25/12*(1+Inputs!$F$158*Inputs!$F$46*IF(Time!AW17&gt;=9,1,0))*Inputs!$F$40</f>
        <v/>
      </c>
      <c r="AX61" s="11">
        <f>Inputs!$F$157*AX19*Time!AX25/12*(1+Inputs!$F$158*Inputs!$F$46*IF(Time!AX17&gt;=9,1,0))*Inputs!$F$40</f>
        <v/>
      </c>
      <c r="AY61" s="11">
        <f>Inputs!$F$157*AY19*Time!AY25/12*(1+Inputs!$F$158*Inputs!$F$46*IF(Time!AY17&gt;=9,1,0))*Inputs!$F$40</f>
        <v/>
      </c>
      <c r="AZ61" s="11">
        <f>Inputs!$F$157*AZ19*Time!AZ25/12*(1+Inputs!$F$158*Inputs!$F$46*IF(Time!AZ17&gt;=9,1,0))*Inputs!$F$40</f>
        <v/>
      </c>
      <c r="BA61" s="11">
        <f>Inputs!$F$157*BA19*Time!BA25/12*(1+Inputs!$F$158*Inputs!$F$46*IF(Time!BA17&gt;=9,1,0))*Inputs!$F$40</f>
        <v/>
      </c>
      <c r="BB61" s="11">
        <f>Inputs!$F$157*BB19*Time!BB25/12*(1+Inputs!$F$158*Inputs!$F$46*IF(Time!BB17&gt;=9,1,0))*Inputs!$F$40</f>
        <v/>
      </c>
      <c r="BC61" s="11">
        <f>Inputs!$F$157*BC19*Time!BC25/12*(1+Inputs!$F$158*Inputs!$F$46*IF(Time!BC17&gt;=9,1,0))*Inputs!$F$40</f>
        <v/>
      </c>
      <c r="BD61" s="11">
        <f>Inputs!$F$157*BD19*Time!BD25/12*(1+Inputs!$F$158*Inputs!$F$46*IF(Time!BD17&gt;=9,1,0))*Inputs!$F$40</f>
        <v/>
      </c>
      <c r="BE61" s="11">
        <f>Inputs!$F$157*BE19*Time!BE25/12*(1+Inputs!$F$158*Inputs!$F$46*IF(Time!BE17&gt;=9,1,0))*Inputs!$F$40</f>
        <v/>
      </c>
      <c r="BF61" s="11">
        <f>Inputs!$F$157*BF19*Time!BF25/12*(1+Inputs!$F$158*Inputs!$F$46*IF(Time!BF17&gt;=9,1,0))*Inputs!$F$40</f>
        <v/>
      </c>
      <c r="BG61" s="11">
        <f>Inputs!$F$157*BG19*Time!BG25/12*(1+Inputs!$F$158*Inputs!$F$46*IF(Time!BG17&gt;=9,1,0))*Inputs!$F$40</f>
        <v/>
      </c>
      <c r="BH61" s="11">
        <f>Inputs!$F$157*BH19*Time!BH25/12*(1+Inputs!$F$158*Inputs!$F$46*IF(Time!BH17&gt;=9,1,0))*Inputs!$F$40</f>
        <v/>
      </c>
      <c r="BI61" s="11">
        <f>Inputs!$F$157*BI19*Time!BI25/12*(1+Inputs!$F$158*Inputs!$F$46*IF(Time!BI17&gt;=9,1,0))*Inputs!$F$40</f>
        <v/>
      </c>
      <c r="BJ61" s="11">
        <f>Inputs!$F$157*BJ19*Time!BJ25/12*(1+Inputs!$F$158*Inputs!$F$46*IF(Time!BJ17&gt;=9,1,0))*Inputs!$F$40</f>
        <v/>
      </c>
      <c r="BK61" s="11">
        <f>Inputs!$F$157*BK19*Time!BK25/12*(1+Inputs!$F$158*Inputs!$F$46*IF(Time!BK17&gt;=9,1,0))*Inputs!$F$40</f>
        <v/>
      </c>
      <c r="BL61" s="11">
        <f>Inputs!$F$157*BL19*Time!BL25/12*(1+Inputs!$F$158*Inputs!$F$46*IF(Time!BL17&gt;=9,1,0))*Inputs!$F$40</f>
        <v/>
      </c>
      <c r="BM61" s="11">
        <f>Inputs!$F$157*BM19*Time!BM25/12*(1+Inputs!$F$158*Inputs!$F$46*IF(Time!BM17&gt;=9,1,0))*Inputs!$F$40</f>
        <v/>
      </c>
      <c r="BN61" s="11">
        <f>Inputs!$F$157*BN19*Time!BN25/12*(1+Inputs!$F$158*Inputs!$F$46*IF(Time!BN17&gt;=9,1,0))*Inputs!$F$40</f>
        <v/>
      </c>
    </row>
    <row r="62">
      <c r="D62" t="inlineStr">
        <is>
          <t>G&amp;A</t>
        </is>
      </c>
      <c r="E62" t="inlineStr">
        <is>
          <t>USD m</t>
        </is>
      </c>
      <c r="G62" s="11">
        <f>SUM(J62:BN62)</f>
        <v/>
      </c>
      <c r="J62" s="11">
        <f>Inputs!$F$159*(0.5*J19+0.5*J23*Inputs!$F$153/J11)*Time!J25/12*Inputs!$F$40</f>
        <v/>
      </c>
      <c r="K62" s="11">
        <f>Inputs!$F$159*(0.5*K19+0.5*K23*Inputs!$F$153/K11)*Time!K25/12*Inputs!$F$40</f>
        <v/>
      </c>
      <c r="L62" s="11">
        <f>Inputs!$F$159*(0.5*L19+0.5*L23*Inputs!$F$153/L11)*Time!L25/12*Inputs!$F$40</f>
        <v/>
      </c>
      <c r="M62" s="11">
        <f>Inputs!$F$159*(0.5*M19+0.5*M23*Inputs!$F$153/M11)*Time!M25/12*Inputs!$F$40</f>
        <v/>
      </c>
      <c r="N62" s="11">
        <f>Inputs!$F$159*(0.5*N19+0.5*N23*Inputs!$F$153/N11)*Time!N25/12*Inputs!$F$40</f>
        <v/>
      </c>
      <c r="O62" s="11">
        <f>Inputs!$F$159*(0.5*O19+0.5*O23*Inputs!$F$153/O11)*Time!O25/12*Inputs!$F$40</f>
        <v/>
      </c>
      <c r="P62" s="11">
        <f>Inputs!$F$159*(0.5*P19+0.5*P23*Inputs!$F$153/P11)*Time!P25/12*Inputs!$F$40</f>
        <v/>
      </c>
      <c r="Q62" s="11">
        <f>Inputs!$F$159*(0.5*Q19+0.5*Q23*Inputs!$F$153/Q11)*Time!Q25/12*Inputs!$F$40</f>
        <v/>
      </c>
      <c r="R62" s="11">
        <f>Inputs!$F$159*(0.5*R19+0.5*R23*Inputs!$F$153/R11)*Time!R25/12*Inputs!$F$40</f>
        <v/>
      </c>
      <c r="S62" s="11">
        <f>Inputs!$F$159*(0.5*S19+0.5*S23*Inputs!$F$153/S11)*Time!S25/12*Inputs!$F$40</f>
        <v/>
      </c>
      <c r="T62" s="11">
        <f>Inputs!$F$159*(0.5*T19+0.5*T23*Inputs!$F$153/T11)*Time!T25/12*Inputs!$F$40</f>
        <v/>
      </c>
      <c r="U62" s="11">
        <f>Inputs!$F$159*(0.5*U19+0.5*U23*Inputs!$F$153/U11)*Time!U25/12*Inputs!$F$40</f>
        <v/>
      </c>
      <c r="V62" s="11">
        <f>Inputs!$F$159*(0.5*V19+0.5*V23*Inputs!$F$153/V11)*Time!V25/12*Inputs!$F$40</f>
        <v/>
      </c>
      <c r="W62" s="11">
        <f>Inputs!$F$159*(0.5*W19+0.5*W23*Inputs!$F$153/W11)*Time!W25/12*Inputs!$F$40</f>
        <v/>
      </c>
      <c r="X62" s="11">
        <f>Inputs!$F$159*(0.5*X19+0.5*X23*Inputs!$F$153/X11)*Time!X25/12*Inputs!$F$40</f>
        <v/>
      </c>
      <c r="Y62" s="11">
        <f>Inputs!$F$159*(0.5*Y19+0.5*Y23*Inputs!$F$153/Y11)*Time!Y25/12*Inputs!$F$40</f>
        <v/>
      </c>
      <c r="Z62" s="11">
        <f>Inputs!$F$159*(0.5*Z19+0.5*Z23*Inputs!$F$153/Z11)*Time!Z25/12*Inputs!$F$40</f>
        <v/>
      </c>
      <c r="AA62" s="11">
        <f>Inputs!$F$159*(0.5*AA19+0.5*AA23*Inputs!$F$153/AA11)*Time!AA25/12*Inputs!$F$40</f>
        <v/>
      </c>
      <c r="AB62" s="11">
        <f>Inputs!$F$159*(0.5*AB19+0.5*AB23*Inputs!$F$153/AB11)*Time!AB25/12*Inputs!$F$40</f>
        <v/>
      </c>
      <c r="AC62" s="11">
        <f>Inputs!$F$159*(0.5*AC19+0.5*AC23*Inputs!$F$153/AC11)*Time!AC25/12*Inputs!$F$40</f>
        <v/>
      </c>
      <c r="AD62" s="11">
        <f>Inputs!$F$159*(0.5*AD19+0.5*AD23*Inputs!$F$153/AD11)*Time!AD25/12*Inputs!$F$40</f>
        <v/>
      </c>
      <c r="AE62" s="11">
        <f>Inputs!$F$159*(0.5*AE19+0.5*AE23*Inputs!$F$153/AE11)*Time!AE25/12*Inputs!$F$40</f>
        <v/>
      </c>
      <c r="AF62" s="11">
        <f>Inputs!$F$159*(0.5*AF19+0.5*AF23*Inputs!$F$153/AF11)*Time!AF25/12*Inputs!$F$40</f>
        <v/>
      </c>
      <c r="AG62" s="11">
        <f>Inputs!$F$159*(0.5*AG19+0.5*AG23*Inputs!$F$153/AG11)*Time!AG25/12*Inputs!$F$40</f>
        <v/>
      </c>
      <c r="AH62" s="11">
        <f>Inputs!$F$159*(0.5*AH19+0.5*AH23*Inputs!$F$153/AH11)*Time!AH25/12*Inputs!$F$40</f>
        <v/>
      </c>
      <c r="AI62" s="11">
        <f>Inputs!$F$159*(0.5*AI19+0.5*AI23*Inputs!$F$153/AI11)*Time!AI25/12*Inputs!$F$40</f>
        <v/>
      </c>
      <c r="AJ62" s="11">
        <f>Inputs!$F$159*(0.5*AJ19+0.5*AJ23*Inputs!$F$153/AJ11)*Time!AJ25/12*Inputs!$F$40</f>
        <v/>
      </c>
      <c r="AK62" s="11">
        <f>Inputs!$F$159*(0.5*AK19+0.5*AK23*Inputs!$F$153/AK11)*Time!AK25/12*Inputs!$F$40</f>
        <v/>
      </c>
      <c r="AL62" s="11">
        <f>Inputs!$F$159*(0.5*AL19+0.5*AL23*Inputs!$F$153/AL11)*Time!AL25/12*Inputs!$F$40</f>
        <v/>
      </c>
      <c r="AM62" s="11">
        <f>Inputs!$F$159*(0.5*AM19+0.5*AM23*Inputs!$F$153/AM11)*Time!AM25/12*Inputs!$F$40</f>
        <v/>
      </c>
      <c r="AN62" s="11">
        <f>Inputs!$F$159*(0.5*AN19+0.5*AN23*Inputs!$F$153/AN11)*Time!AN25/12*Inputs!$F$40</f>
        <v/>
      </c>
      <c r="AO62" s="11">
        <f>Inputs!$F$159*(0.5*AO19+0.5*AO23*Inputs!$F$153/AO11)*Time!AO25/12*Inputs!$F$40</f>
        <v/>
      </c>
      <c r="AP62" s="11">
        <f>Inputs!$F$159*(0.5*AP19+0.5*AP23*Inputs!$F$153/AP11)*Time!AP25/12*Inputs!$F$40</f>
        <v/>
      </c>
      <c r="AQ62" s="11">
        <f>Inputs!$F$159*(0.5*AQ19+0.5*AQ23*Inputs!$F$153/AQ11)*Time!AQ25/12*Inputs!$F$40</f>
        <v/>
      </c>
      <c r="AR62" s="11">
        <f>Inputs!$F$159*(0.5*AR19+0.5*AR23*Inputs!$F$153/AR11)*Time!AR25/12*Inputs!$F$40</f>
        <v/>
      </c>
      <c r="AS62" s="11">
        <f>Inputs!$F$159*(0.5*AS19+0.5*AS23*Inputs!$F$153/AS11)*Time!AS25/12*Inputs!$F$40</f>
        <v/>
      </c>
      <c r="AT62" s="11">
        <f>Inputs!$F$159*(0.5*AT19+0.5*AT23*Inputs!$F$153/AT11)*Time!AT25/12*Inputs!$F$40</f>
        <v/>
      </c>
      <c r="AU62" s="11">
        <f>Inputs!$F$159*(0.5*AU19+0.5*AU23*Inputs!$F$153/AU11)*Time!AU25/12*Inputs!$F$40</f>
        <v/>
      </c>
      <c r="AV62" s="11">
        <f>Inputs!$F$159*(0.5*AV19+0.5*AV23*Inputs!$F$153/AV11)*Time!AV25/12*Inputs!$F$40</f>
        <v/>
      </c>
      <c r="AW62" s="11">
        <f>Inputs!$F$159*(0.5*AW19+0.5*AW23*Inputs!$F$153/AW11)*Time!AW25/12*Inputs!$F$40</f>
        <v/>
      </c>
      <c r="AX62" s="11">
        <f>Inputs!$F$159*(0.5*AX19+0.5*AX23*Inputs!$F$153/AX11)*Time!AX25/12*Inputs!$F$40</f>
        <v/>
      </c>
      <c r="AY62" s="11">
        <f>Inputs!$F$159*(0.5*AY19+0.5*AY23*Inputs!$F$153/AY11)*Time!AY25/12*Inputs!$F$40</f>
        <v/>
      </c>
      <c r="AZ62" s="11">
        <f>Inputs!$F$159*(0.5*AZ19+0.5*AZ23*Inputs!$F$153/AZ11)*Time!AZ25/12*Inputs!$F$40</f>
        <v/>
      </c>
      <c r="BA62" s="11">
        <f>Inputs!$F$159*(0.5*BA19+0.5*BA23*Inputs!$F$153/BA11)*Time!BA25/12*Inputs!$F$40</f>
        <v/>
      </c>
      <c r="BB62" s="11">
        <f>Inputs!$F$159*(0.5*BB19+0.5*BB23*Inputs!$F$153/BB11)*Time!BB25/12*Inputs!$F$40</f>
        <v/>
      </c>
      <c r="BC62" s="11">
        <f>Inputs!$F$159*(0.5*BC19+0.5*BC23*Inputs!$F$153/BC11)*Time!BC25/12*Inputs!$F$40</f>
        <v/>
      </c>
      <c r="BD62" s="11">
        <f>Inputs!$F$159*(0.5*BD19+0.5*BD23*Inputs!$F$153/BD11)*Time!BD25/12*Inputs!$F$40</f>
        <v/>
      </c>
      <c r="BE62" s="11">
        <f>Inputs!$F$159*(0.5*BE19+0.5*BE23*Inputs!$F$153/BE11)*Time!BE25/12*Inputs!$F$40</f>
        <v/>
      </c>
      <c r="BF62" s="11">
        <f>Inputs!$F$159*(0.5*BF19+0.5*BF23*Inputs!$F$153/BF11)*Time!BF25/12*Inputs!$F$40</f>
        <v/>
      </c>
      <c r="BG62" s="11">
        <f>Inputs!$F$159*(0.5*BG19+0.5*BG23*Inputs!$F$153/BG11)*Time!BG25/12*Inputs!$F$40</f>
        <v/>
      </c>
      <c r="BH62" s="11">
        <f>Inputs!$F$159*(0.5*BH19+0.5*BH23*Inputs!$F$153/BH11)*Time!BH25/12*Inputs!$F$40</f>
        <v/>
      </c>
      <c r="BI62" s="11">
        <f>Inputs!$F$159*(0.5*BI19+0.5*BI23*Inputs!$F$153/BI11)*Time!BI25/12*Inputs!$F$40</f>
        <v/>
      </c>
      <c r="BJ62" s="11">
        <f>Inputs!$F$159*(0.5*BJ19+0.5*BJ23*Inputs!$F$153/BJ11)*Time!BJ25/12*Inputs!$F$40</f>
        <v/>
      </c>
      <c r="BK62" s="11">
        <f>Inputs!$F$159*(0.5*BK19+0.5*BK23*Inputs!$F$153/BK11)*Time!BK25/12*Inputs!$F$40</f>
        <v/>
      </c>
      <c r="BL62" s="11">
        <f>Inputs!$F$159*(0.5*BL19+0.5*BL23*Inputs!$F$153/BL11)*Time!BL25/12*Inputs!$F$40</f>
        <v/>
      </c>
      <c r="BM62" s="11">
        <f>Inputs!$F$159*(0.5*BM19+0.5*BM23*Inputs!$F$153/BM11)*Time!BM25/12*Inputs!$F$40</f>
        <v/>
      </c>
      <c r="BN62" s="11">
        <f>Inputs!$F$159*(0.5*BN19+0.5*BN23*Inputs!$F$153/BN11)*Time!BN25/12*Inputs!$F$40</f>
        <v/>
      </c>
    </row>
    <row r="63">
      <c r="D63" t="inlineStr">
        <is>
          <t>Land lease and permits</t>
        </is>
      </c>
      <c r="E63" t="inlineStr">
        <is>
          <t>USD m</t>
        </is>
      </c>
      <c r="G63" s="11">
        <f>SUM(J63:BN63)</f>
        <v/>
      </c>
      <c r="J63" s="11">
        <f>Inputs!$F$160*J23/J11*Time!J25/12*Inputs!$F$40</f>
        <v/>
      </c>
      <c r="K63" s="11">
        <f>Inputs!$F$160*K23/K11*Time!K25/12*Inputs!$F$40</f>
        <v/>
      </c>
      <c r="L63" s="11">
        <f>Inputs!$F$160*L23/L11*Time!L25/12*Inputs!$F$40</f>
        <v/>
      </c>
      <c r="M63" s="11">
        <f>Inputs!$F$160*M23/M11*Time!M25/12*Inputs!$F$40</f>
        <v/>
      </c>
      <c r="N63" s="11">
        <f>Inputs!$F$160*N23/N11*Time!N25/12*Inputs!$F$40</f>
        <v/>
      </c>
      <c r="O63" s="11">
        <f>Inputs!$F$160*O23/O11*Time!O25/12*Inputs!$F$40</f>
        <v/>
      </c>
      <c r="P63" s="11">
        <f>Inputs!$F$160*P23/P11*Time!P25/12*Inputs!$F$40</f>
        <v/>
      </c>
      <c r="Q63" s="11">
        <f>Inputs!$F$160*Q23/Q11*Time!Q25/12*Inputs!$F$40</f>
        <v/>
      </c>
      <c r="R63" s="11">
        <f>Inputs!$F$160*R23/R11*Time!R25/12*Inputs!$F$40</f>
        <v/>
      </c>
      <c r="S63" s="11">
        <f>Inputs!$F$160*S23/S11*Time!S25/12*Inputs!$F$40</f>
        <v/>
      </c>
      <c r="T63" s="11">
        <f>Inputs!$F$160*T23/T11*Time!T25/12*Inputs!$F$40</f>
        <v/>
      </c>
      <c r="U63" s="11">
        <f>Inputs!$F$160*U23/U11*Time!U25/12*Inputs!$F$40</f>
        <v/>
      </c>
      <c r="V63" s="11">
        <f>Inputs!$F$160*V23/V11*Time!V25/12*Inputs!$F$40</f>
        <v/>
      </c>
      <c r="W63" s="11">
        <f>Inputs!$F$160*W23/W11*Time!W25/12*Inputs!$F$40</f>
        <v/>
      </c>
      <c r="X63" s="11">
        <f>Inputs!$F$160*X23/X11*Time!X25/12*Inputs!$F$40</f>
        <v/>
      </c>
      <c r="Y63" s="11">
        <f>Inputs!$F$160*Y23/Y11*Time!Y25/12*Inputs!$F$40</f>
        <v/>
      </c>
      <c r="Z63" s="11">
        <f>Inputs!$F$160*Z23/Z11*Time!Z25/12*Inputs!$F$40</f>
        <v/>
      </c>
      <c r="AA63" s="11">
        <f>Inputs!$F$160*AA23/AA11*Time!AA25/12*Inputs!$F$40</f>
        <v/>
      </c>
      <c r="AB63" s="11">
        <f>Inputs!$F$160*AB23/AB11*Time!AB25/12*Inputs!$F$40</f>
        <v/>
      </c>
      <c r="AC63" s="11">
        <f>Inputs!$F$160*AC23/AC11*Time!AC25/12*Inputs!$F$40</f>
        <v/>
      </c>
      <c r="AD63" s="11">
        <f>Inputs!$F$160*AD23/AD11*Time!AD25/12*Inputs!$F$40</f>
        <v/>
      </c>
      <c r="AE63" s="11">
        <f>Inputs!$F$160*AE23/AE11*Time!AE25/12*Inputs!$F$40</f>
        <v/>
      </c>
      <c r="AF63" s="11">
        <f>Inputs!$F$160*AF23/AF11*Time!AF25/12*Inputs!$F$40</f>
        <v/>
      </c>
      <c r="AG63" s="11">
        <f>Inputs!$F$160*AG23/AG11*Time!AG25/12*Inputs!$F$40</f>
        <v/>
      </c>
      <c r="AH63" s="11">
        <f>Inputs!$F$160*AH23/AH11*Time!AH25/12*Inputs!$F$40</f>
        <v/>
      </c>
      <c r="AI63" s="11">
        <f>Inputs!$F$160*AI23/AI11*Time!AI25/12*Inputs!$F$40</f>
        <v/>
      </c>
      <c r="AJ63" s="11">
        <f>Inputs!$F$160*AJ23/AJ11*Time!AJ25/12*Inputs!$F$40</f>
        <v/>
      </c>
      <c r="AK63" s="11">
        <f>Inputs!$F$160*AK23/AK11*Time!AK25/12*Inputs!$F$40</f>
        <v/>
      </c>
      <c r="AL63" s="11">
        <f>Inputs!$F$160*AL23/AL11*Time!AL25/12*Inputs!$F$40</f>
        <v/>
      </c>
      <c r="AM63" s="11">
        <f>Inputs!$F$160*AM23/AM11*Time!AM25/12*Inputs!$F$40</f>
        <v/>
      </c>
      <c r="AN63" s="11">
        <f>Inputs!$F$160*AN23/AN11*Time!AN25/12*Inputs!$F$40</f>
        <v/>
      </c>
      <c r="AO63" s="11">
        <f>Inputs!$F$160*AO23/AO11*Time!AO25/12*Inputs!$F$40</f>
        <v/>
      </c>
      <c r="AP63" s="11">
        <f>Inputs!$F$160*AP23/AP11*Time!AP25/12*Inputs!$F$40</f>
        <v/>
      </c>
      <c r="AQ63" s="11">
        <f>Inputs!$F$160*AQ23/AQ11*Time!AQ25/12*Inputs!$F$40</f>
        <v/>
      </c>
      <c r="AR63" s="11">
        <f>Inputs!$F$160*AR23/AR11*Time!AR25/12*Inputs!$F$40</f>
        <v/>
      </c>
      <c r="AS63" s="11">
        <f>Inputs!$F$160*AS23/AS11*Time!AS25/12*Inputs!$F$40</f>
        <v/>
      </c>
      <c r="AT63" s="11">
        <f>Inputs!$F$160*AT23/AT11*Time!AT25/12*Inputs!$F$40</f>
        <v/>
      </c>
      <c r="AU63" s="11">
        <f>Inputs!$F$160*AU23/AU11*Time!AU25/12*Inputs!$F$40</f>
        <v/>
      </c>
      <c r="AV63" s="11">
        <f>Inputs!$F$160*AV23/AV11*Time!AV25/12*Inputs!$F$40</f>
        <v/>
      </c>
      <c r="AW63" s="11">
        <f>Inputs!$F$160*AW23/AW11*Time!AW25/12*Inputs!$F$40</f>
        <v/>
      </c>
      <c r="AX63" s="11">
        <f>Inputs!$F$160*AX23/AX11*Time!AX25/12*Inputs!$F$40</f>
        <v/>
      </c>
      <c r="AY63" s="11">
        <f>Inputs!$F$160*AY23/AY11*Time!AY25/12*Inputs!$F$40</f>
        <v/>
      </c>
      <c r="AZ63" s="11">
        <f>Inputs!$F$160*AZ23/AZ11*Time!AZ25/12*Inputs!$F$40</f>
        <v/>
      </c>
      <c r="BA63" s="11">
        <f>Inputs!$F$160*BA23/BA11*Time!BA25/12*Inputs!$F$40</f>
        <v/>
      </c>
      <c r="BB63" s="11">
        <f>Inputs!$F$160*BB23/BB11*Time!BB25/12*Inputs!$F$40</f>
        <v/>
      </c>
      <c r="BC63" s="11">
        <f>Inputs!$F$160*BC23/BC11*Time!BC25/12*Inputs!$F$40</f>
        <v/>
      </c>
      <c r="BD63" s="11">
        <f>Inputs!$F$160*BD23/BD11*Time!BD25/12*Inputs!$F$40</f>
        <v/>
      </c>
      <c r="BE63" s="11">
        <f>Inputs!$F$160*BE23/BE11*Time!BE25/12*Inputs!$F$40</f>
        <v/>
      </c>
      <c r="BF63" s="11">
        <f>Inputs!$F$160*BF23/BF11*Time!BF25/12*Inputs!$F$40</f>
        <v/>
      </c>
      <c r="BG63" s="11">
        <f>Inputs!$F$160*BG23/BG11*Time!BG25/12*Inputs!$F$40</f>
        <v/>
      </c>
      <c r="BH63" s="11">
        <f>Inputs!$F$160*BH23/BH11*Time!BH25/12*Inputs!$F$40</f>
        <v/>
      </c>
      <c r="BI63" s="11">
        <f>Inputs!$F$160*BI23/BI11*Time!BI25/12*Inputs!$F$40</f>
        <v/>
      </c>
      <c r="BJ63" s="11">
        <f>Inputs!$F$160*BJ23/BJ11*Time!BJ25/12*Inputs!$F$40</f>
        <v/>
      </c>
      <c r="BK63" s="11">
        <f>Inputs!$F$160*BK23/BK11*Time!BK25/12*Inputs!$F$40</f>
        <v/>
      </c>
      <c r="BL63" s="11">
        <f>Inputs!$F$160*BL23/BL11*Time!BL25/12*Inputs!$F$40</f>
        <v/>
      </c>
      <c r="BM63" s="11">
        <f>Inputs!$F$160*BM23/BM11*Time!BM25/12*Inputs!$F$40</f>
        <v/>
      </c>
      <c r="BN63" s="11">
        <f>Inputs!$F$160*BN23/BN11*Time!BN25/12*Inputs!$F$40</f>
        <v/>
      </c>
    </row>
    <row r="64">
      <c r="D64" t="inlineStr">
        <is>
          <t>Community fund and OREK levy</t>
        </is>
      </c>
      <c r="E64" t="inlineStr">
        <is>
          <t>USD m</t>
        </is>
      </c>
      <c r="G64" s="11">
        <f>SUM(J64:BN64)</f>
        <v/>
      </c>
      <c r="J64" s="11">
        <f>Inputs!$F$161/100*J51</f>
        <v/>
      </c>
      <c r="K64" s="11">
        <f>Inputs!$F$161/100*K51</f>
        <v/>
      </c>
      <c r="L64" s="11">
        <f>Inputs!$F$161/100*L51</f>
        <v/>
      </c>
      <c r="M64" s="11">
        <f>Inputs!$F$161/100*M51</f>
        <v/>
      </c>
      <c r="N64" s="11">
        <f>Inputs!$F$161/100*N51</f>
        <v/>
      </c>
      <c r="O64" s="11">
        <f>Inputs!$F$161/100*O51</f>
        <v/>
      </c>
      <c r="P64" s="11">
        <f>Inputs!$F$161/100*P51</f>
        <v/>
      </c>
      <c r="Q64" s="11">
        <f>Inputs!$F$161/100*Q51</f>
        <v/>
      </c>
      <c r="R64" s="11">
        <f>Inputs!$F$161/100*R51</f>
        <v/>
      </c>
      <c r="S64" s="11">
        <f>Inputs!$F$161/100*S51</f>
        <v/>
      </c>
      <c r="T64" s="11">
        <f>Inputs!$F$161/100*T51</f>
        <v/>
      </c>
      <c r="U64" s="11">
        <f>Inputs!$F$161/100*U51</f>
        <v/>
      </c>
      <c r="V64" s="11">
        <f>Inputs!$F$161/100*V51</f>
        <v/>
      </c>
      <c r="W64" s="11">
        <f>Inputs!$F$161/100*W51</f>
        <v/>
      </c>
      <c r="X64" s="11">
        <f>Inputs!$F$161/100*X51</f>
        <v/>
      </c>
      <c r="Y64" s="11">
        <f>Inputs!$F$161/100*Y51</f>
        <v/>
      </c>
      <c r="Z64" s="11">
        <f>Inputs!$F$161/100*Z51</f>
        <v/>
      </c>
      <c r="AA64" s="11">
        <f>Inputs!$F$161/100*AA51</f>
        <v/>
      </c>
      <c r="AB64" s="11">
        <f>Inputs!$F$161/100*AB51</f>
        <v/>
      </c>
      <c r="AC64" s="11">
        <f>Inputs!$F$161/100*AC51</f>
        <v/>
      </c>
      <c r="AD64" s="11">
        <f>Inputs!$F$161/100*AD51</f>
        <v/>
      </c>
      <c r="AE64" s="11">
        <f>Inputs!$F$161/100*AE51</f>
        <v/>
      </c>
      <c r="AF64" s="11">
        <f>Inputs!$F$161/100*AF51</f>
        <v/>
      </c>
      <c r="AG64" s="11">
        <f>Inputs!$F$161/100*AG51</f>
        <v/>
      </c>
      <c r="AH64" s="11">
        <f>Inputs!$F$161/100*AH51</f>
        <v/>
      </c>
      <c r="AI64" s="11">
        <f>Inputs!$F$161/100*AI51</f>
        <v/>
      </c>
      <c r="AJ64" s="11">
        <f>Inputs!$F$161/100*AJ51</f>
        <v/>
      </c>
      <c r="AK64" s="11">
        <f>Inputs!$F$161/100*AK51</f>
        <v/>
      </c>
      <c r="AL64" s="11">
        <f>Inputs!$F$161/100*AL51</f>
        <v/>
      </c>
      <c r="AM64" s="11">
        <f>Inputs!$F$161/100*AM51</f>
        <v/>
      </c>
      <c r="AN64" s="11">
        <f>Inputs!$F$161/100*AN51</f>
        <v/>
      </c>
      <c r="AO64" s="11">
        <f>Inputs!$F$161/100*AO51</f>
        <v/>
      </c>
      <c r="AP64" s="11">
        <f>Inputs!$F$161/100*AP51</f>
        <v/>
      </c>
      <c r="AQ64" s="11">
        <f>Inputs!$F$161/100*AQ51</f>
        <v/>
      </c>
      <c r="AR64" s="11">
        <f>Inputs!$F$161/100*AR51</f>
        <v/>
      </c>
      <c r="AS64" s="11">
        <f>Inputs!$F$161/100*AS51</f>
        <v/>
      </c>
      <c r="AT64" s="11">
        <f>Inputs!$F$161/100*AT51</f>
        <v/>
      </c>
      <c r="AU64" s="11">
        <f>Inputs!$F$161/100*AU51</f>
        <v/>
      </c>
      <c r="AV64" s="11">
        <f>Inputs!$F$161/100*AV51</f>
        <v/>
      </c>
      <c r="AW64" s="11">
        <f>Inputs!$F$161/100*AW51</f>
        <v/>
      </c>
      <c r="AX64" s="11">
        <f>Inputs!$F$161/100*AX51</f>
        <v/>
      </c>
      <c r="AY64" s="11">
        <f>Inputs!$F$161/100*AY51</f>
        <v/>
      </c>
      <c r="AZ64" s="11">
        <f>Inputs!$F$161/100*AZ51</f>
        <v/>
      </c>
      <c r="BA64" s="11">
        <f>Inputs!$F$161/100*BA51</f>
        <v/>
      </c>
      <c r="BB64" s="11">
        <f>Inputs!$F$161/100*BB51</f>
        <v/>
      </c>
      <c r="BC64" s="11">
        <f>Inputs!$F$161/100*BC51</f>
        <v/>
      </c>
      <c r="BD64" s="11">
        <f>Inputs!$F$161/100*BD51</f>
        <v/>
      </c>
      <c r="BE64" s="11">
        <f>Inputs!$F$161/100*BE51</f>
        <v/>
      </c>
      <c r="BF64" s="11">
        <f>Inputs!$F$161/100*BF51</f>
        <v/>
      </c>
      <c r="BG64" s="11">
        <f>Inputs!$F$161/100*BG51</f>
        <v/>
      </c>
      <c r="BH64" s="11">
        <f>Inputs!$F$161/100*BH51</f>
        <v/>
      </c>
      <c r="BI64" s="11">
        <f>Inputs!$F$161/100*BI51</f>
        <v/>
      </c>
      <c r="BJ64" s="11">
        <f>Inputs!$F$161/100*BJ51</f>
        <v/>
      </c>
      <c r="BK64" s="11">
        <f>Inputs!$F$161/100*BK51</f>
        <v/>
      </c>
      <c r="BL64" s="11">
        <f>Inputs!$F$161/100*BL51</f>
        <v/>
      </c>
      <c r="BM64" s="11">
        <f>Inputs!$F$161/100*BM51</f>
        <v/>
      </c>
      <c r="BN64" s="11">
        <f>Inputs!$F$161/100*BN51</f>
        <v/>
      </c>
    </row>
    <row r="65">
      <c r="D65" t="inlineStr">
        <is>
          <t>Variable consumables</t>
        </is>
      </c>
      <c r="E65" t="inlineStr">
        <is>
          <t>USD m</t>
        </is>
      </c>
      <c r="G65" s="11">
        <f>SUM(J65:BN65)</f>
        <v/>
      </c>
      <c r="J65" s="11">
        <f>Inputs!$F$162*(0.7*J19+0.3*J23*Inputs!$F$153/J11)*J34/1000000</f>
        <v/>
      </c>
      <c r="K65" s="11">
        <f>Inputs!$F$162*(0.7*K19+0.3*K23*Inputs!$F$153/K11)*K34/1000000</f>
        <v/>
      </c>
      <c r="L65" s="11">
        <f>Inputs!$F$162*(0.7*L19+0.3*L23*Inputs!$F$153/L11)*L34/1000000</f>
        <v/>
      </c>
      <c r="M65" s="11">
        <f>Inputs!$F$162*(0.7*M19+0.3*M23*Inputs!$F$153/M11)*M34/1000000</f>
        <v/>
      </c>
      <c r="N65" s="11">
        <f>Inputs!$F$162*(0.7*N19+0.3*N23*Inputs!$F$153/N11)*N34/1000000</f>
        <v/>
      </c>
      <c r="O65" s="11">
        <f>Inputs!$F$162*(0.7*O19+0.3*O23*Inputs!$F$153/O11)*O34/1000000</f>
        <v/>
      </c>
      <c r="P65" s="11">
        <f>Inputs!$F$162*(0.7*P19+0.3*P23*Inputs!$F$153/P11)*P34/1000000</f>
        <v/>
      </c>
      <c r="Q65" s="11">
        <f>Inputs!$F$162*(0.7*Q19+0.3*Q23*Inputs!$F$153/Q11)*Q34/1000000</f>
        <v/>
      </c>
      <c r="R65" s="11">
        <f>Inputs!$F$162*(0.7*R19+0.3*R23*Inputs!$F$153/R11)*R34/1000000</f>
        <v/>
      </c>
      <c r="S65" s="11">
        <f>Inputs!$F$162*(0.7*S19+0.3*S23*Inputs!$F$153/S11)*S34/1000000</f>
        <v/>
      </c>
      <c r="T65" s="11">
        <f>Inputs!$F$162*(0.7*T19+0.3*T23*Inputs!$F$153/T11)*T34/1000000</f>
        <v/>
      </c>
      <c r="U65" s="11">
        <f>Inputs!$F$162*(0.7*U19+0.3*U23*Inputs!$F$153/U11)*U34/1000000</f>
        <v/>
      </c>
      <c r="V65" s="11">
        <f>Inputs!$F$162*(0.7*V19+0.3*V23*Inputs!$F$153/V11)*V34/1000000</f>
        <v/>
      </c>
      <c r="W65" s="11">
        <f>Inputs!$F$162*(0.7*W19+0.3*W23*Inputs!$F$153/W11)*W34/1000000</f>
        <v/>
      </c>
      <c r="X65" s="11">
        <f>Inputs!$F$162*(0.7*X19+0.3*X23*Inputs!$F$153/X11)*X34/1000000</f>
        <v/>
      </c>
      <c r="Y65" s="11">
        <f>Inputs!$F$162*(0.7*Y19+0.3*Y23*Inputs!$F$153/Y11)*Y34/1000000</f>
        <v/>
      </c>
      <c r="Z65" s="11">
        <f>Inputs!$F$162*(0.7*Z19+0.3*Z23*Inputs!$F$153/Z11)*Z34/1000000</f>
        <v/>
      </c>
      <c r="AA65" s="11">
        <f>Inputs!$F$162*(0.7*AA19+0.3*AA23*Inputs!$F$153/AA11)*AA34/1000000</f>
        <v/>
      </c>
      <c r="AB65" s="11">
        <f>Inputs!$F$162*(0.7*AB19+0.3*AB23*Inputs!$F$153/AB11)*AB34/1000000</f>
        <v/>
      </c>
      <c r="AC65" s="11">
        <f>Inputs!$F$162*(0.7*AC19+0.3*AC23*Inputs!$F$153/AC11)*AC34/1000000</f>
        <v/>
      </c>
      <c r="AD65" s="11">
        <f>Inputs!$F$162*(0.7*AD19+0.3*AD23*Inputs!$F$153/AD11)*AD34/1000000</f>
        <v/>
      </c>
      <c r="AE65" s="11">
        <f>Inputs!$F$162*(0.7*AE19+0.3*AE23*Inputs!$F$153/AE11)*AE34/1000000</f>
        <v/>
      </c>
      <c r="AF65" s="11">
        <f>Inputs!$F$162*(0.7*AF19+0.3*AF23*Inputs!$F$153/AF11)*AF34/1000000</f>
        <v/>
      </c>
      <c r="AG65" s="11">
        <f>Inputs!$F$162*(0.7*AG19+0.3*AG23*Inputs!$F$153/AG11)*AG34/1000000</f>
        <v/>
      </c>
      <c r="AH65" s="11">
        <f>Inputs!$F$162*(0.7*AH19+0.3*AH23*Inputs!$F$153/AH11)*AH34/1000000</f>
        <v/>
      </c>
      <c r="AI65" s="11">
        <f>Inputs!$F$162*(0.7*AI19+0.3*AI23*Inputs!$F$153/AI11)*AI34/1000000</f>
        <v/>
      </c>
      <c r="AJ65" s="11">
        <f>Inputs!$F$162*(0.7*AJ19+0.3*AJ23*Inputs!$F$153/AJ11)*AJ34/1000000</f>
        <v/>
      </c>
      <c r="AK65" s="11">
        <f>Inputs!$F$162*(0.7*AK19+0.3*AK23*Inputs!$F$153/AK11)*AK34/1000000</f>
        <v/>
      </c>
      <c r="AL65" s="11">
        <f>Inputs!$F$162*(0.7*AL19+0.3*AL23*Inputs!$F$153/AL11)*AL34/1000000</f>
        <v/>
      </c>
      <c r="AM65" s="11">
        <f>Inputs!$F$162*(0.7*AM19+0.3*AM23*Inputs!$F$153/AM11)*AM34/1000000</f>
        <v/>
      </c>
      <c r="AN65" s="11">
        <f>Inputs!$F$162*(0.7*AN19+0.3*AN23*Inputs!$F$153/AN11)*AN34/1000000</f>
        <v/>
      </c>
      <c r="AO65" s="11">
        <f>Inputs!$F$162*(0.7*AO19+0.3*AO23*Inputs!$F$153/AO11)*AO34/1000000</f>
        <v/>
      </c>
      <c r="AP65" s="11">
        <f>Inputs!$F$162*(0.7*AP19+0.3*AP23*Inputs!$F$153/AP11)*AP34/1000000</f>
        <v/>
      </c>
      <c r="AQ65" s="11">
        <f>Inputs!$F$162*(0.7*AQ19+0.3*AQ23*Inputs!$F$153/AQ11)*AQ34/1000000</f>
        <v/>
      </c>
      <c r="AR65" s="11">
        <f>Inputs!$F$162*(0.7*AR19+0.3*AR23*Inputs!$F$153/AR11)*AR34/1000000</f>
        <v/>
      </c>
      <c r="AS65" s="11">
        <f>Inputs!$F$162*(0.7*AS19+0.3*AS23*Inputs!$F$153/AS11)*AS34/1000000</f>
        <v/>
      </c>
      <c r="AT65" s="11">
        <f>Inputs!$F$162*(0.7*AT19+0.3*AT23*Inputs!$F$153/AT11)*AT34/1000000</f>
        <v/>
      </c>
      <c r="AU65" s="11">
        <f>Inputs!$F$162*(0.7*AU19+0.3*AU23*Inputs!$F$153/AU11)*AU34/1000000</f>
        <v/>
      </c>
      <c r="AV65" s="11">
        <f>Inputs!$F$162*(0.7*AV19+0.3*AV23*Inputs!$F$153/AV11)*AV34/1000000</f>
        <v/>
      </c>
      <c r="AW65" s="11">
        <f>Inputs!$F$162*(0.7*AW19+0.3*AW23*Inputs!$F$153/AW11)*AW34/1000000</f>
        <v/>
      </c>
      <c r="AX65" s="11">
        <f>Inputs!$F$162*(0.7*AX19+0.3*AX23*Inputs!$F$153/AX11)*AX34/1000000</f>
        <v/>
      </c>
      <c r="AY65" s="11">
        <f>Inputs!$F$162*(0.7*AY19+0.3*AY23*Inputs!$F$153/AY11)*AY34/1000000</f>
        <v/>
      </c>
      <c r="AZ65" s="11">
        <f>Inputs!$F$162*(0.7*AZ19+0.3*AZ23*Inputs!$F$153/AZ11)*AZ34/1000000</f>
        <v/>
      </c>
      <c r="BA65" s="11">
        <f>Inputs!$F$162*(0.7*BA19+0.3*BA23*Inputs!$F$153/BA11)*BA34/1000000</f>
        <v/>
      </c>
      <c r="BB65" s="11">
        <f>Inputs!$F$162*(0.7*BB19+0.3*BB23*Inputs!$F$153/BB11)*BB34/1000000</f>
        <v/>
      </c>
      <c r="BC65" s="11">
        <f>Inputs!$F$162*(0.7*BC19+0.3*BC23*Inputs!$F$153/BC11)*BC34/1000000</f>
        <v/>
      </c>
      <c r="BD65" s="11">
        <f>Inputs!$F$162*(0.7*BD19+0.3*BD23*Inputs!$F$153/BD11)*BD34/1000000</f>
        <v/>
      </c>
      <c r="BE65" s="11">
        <f>Inputs!$F$162*(0.7*BE19+0.3*BE23*Inputs!$F$153/BE11)*BE34/1000000</f>
        <v/>
      </c>
      <c r="BF65" s="11">
        <f>Inputs!$F$162*(0.7*BF19+0.3*BF23*Inputs!$F$153/BF11)*BF34/1000000</f>
        <v/>
      </c>
      <c r="BG65" s="11">
        <f>Inputs!$F$162*(0.7*BG19+0.3*BG23*Inputs!$F$153/BG11)*BG34/1000000</f>
        <v/>
      </c>
      <c r="BH65" s="11">
        <f>Inputs!$F$162*(0.7*BH19+0.3*BH23*Inputs!$F$153/BH11)*BH34/1000000</f>
        <v/>
      </c>
      <c r="BI65" s="11">
        <f>Inputs!$F$162*(0.7*BI19+0.3*BI23*Inputs!$F$153/BI11)*BI34/1000000</f>
        <v/>
      </c>
      <c r="BJ65" s="11">
        <f>Inputs!$F$162*(0.7*BJ19+0.3*BJ23*Inputs!$F$153/BJ11)*BJ34/1000000</f>
        <v/>
      </c>
      <c r="BK65" s="11">
        <f>Inputs!$F$162*(0.7*BK19+0.3*BK23*Inputs!$F$153/BK11)*BK34/1000000</f>
        <v/>
      </c>
      <c r="BL65" s="11">
        <f>Inputs!$F$162*(0.7*BL19+0.3*BL23*Inputs!$F$153/BL11)*BL34/1000000</f>
        <v/>
      </c>
      <c r="BM65" s="11">
        <f>Inputs!$F$162*(0.7*BM19+0.3*BM23*Inputs!$F$153/BM11)*BM34/1000000</f>
        <v/>
      </c>
      <c r="BN65" s="11">
        <f>Inputs!$F$162*(0.7*BN19+0.3*BN23*Inputs!$F$153/BN11)*BN34/1000000</f>
        <v/>
      </c>
    </row>
    <row r="66">
      <c r="D66" t="inlineStr">
        <is>
          <t>Agency and account fees</t>
        </is>
      </c>
      <c r="E66" t="inlineStr">
        <is>
          <t>USD m</t>
        </is>
      </c>
      <c r="G66" s="11">
        <f>SUM(J66:BN66)</f>
        <v/>
      </c>
      <c r="J66" s="11">
        <f>Inputs!$F$107*Time!J25/12</f>
        <v/>
      </c>
      <c r="K66" s="11">
        <f>Inputs!$F$107*Time!K25/12</f>
        <v/>
      </c>
      <c r="L66" s="11">
        <f>Inputs!$F$107*Time!L25/12</f>
        <v/>
      </c>
      <c r="M66" s="11">
        <f>Inputs!$F$107*Time!M25/12</f>
        <v/>
      </c>
      <c r="N66" s="11">
        <f>Inputs!$F$107*Time!N25/12</f>
        <v/>
      </c>
      <c r="O66" s="11">
        <f>Inputs!$F$107*Time!O25/12</f>
        <v/>
      </c>
      <c r="P66" s="11">
        <f>Inputs!$F$107*Time!P25/12</f>
        <v/>
      </c>
      <c r="Q66" s="11">
        <f>Inputs!$F$107*Time!Q25/12</f>
        <v/>
      </c>
      <c r="R66" s="11">
        <f>Inputs!$F$107*Time!R25/12</f>
        <v/>
      </c>
      <c r="S66" s="11">
        <f>Inputs!$F$107*Time!S25/12</f>
        <v/>
      </c>
      <c r="T66" s="11">
        <f>Inputs!$F$107*Time!T25/12</f>
        <v/>
      </c>
      <c r="U66" s="11">
        <f>Inputs!$F$107*Time!U25/12</f>
        <v/>
      </c>
      <c r="V66" s="11">
        <f>Inputs!$F$107*Time!V25/12</f>
        <v/>
      </c>
      <c r="W66" s="11">
        <f>Inputs!$F$107*Time!W25/12</f>
        <v/>
      </c>
      <c r="X66" s="11">
        <f>Inputs!$F$107*Time!X25/12</f>
        <v/>
      </c>
      <c r="Y66" s="11">
        <f>Inputs!$F$107*Time!Y25/12</f>
        <v/>
      </c>
      <c r="Z66" s="11">
        <f>Inputs!$F$107*Time!Z25/12</f>
        <v/>
      </c>
      <c r="AA66" s="11">
        <f>Inputs!$F$107*Time!AA25/12</f>
        <v/>
      </c>
      <c r="AB66" s="11">
        <f>Inputs!$F$107*Time!AB25/12</f>
        <v/>
      </c>
      <c r="AC66" s="11">
        <f>Inputs!$F$107*Time!AC25/12</f>
        <v/>
      </c>
      <c r="AD66" s="11">
        <f>Inputs!$F$107*Time!AD25/12</f>
        <v/>
      </c>
      <c r="AE66" s="11">
        <f>Inputs!$F$107*Time!AE25/12</f>
        <v/>
      </c>
      <c r="AF66" s="11">
        <f>Inputs!$F$107*Time!AF25/12</f>
        <v/>
      </c>
      <c r="AG66" s="11">
        <f>Inputs!$F$107*Time!AG25/12</f>
        <v/>
      </c>
      <c r="AH66" s="11">
        <f>Inputs!$F$107*Time!AH25/12</f>
        <v/>
      </c>
      <c r="AI66" s="11">
        <f>Inputs!$F$107*Time!AI25/12</f>
        <v/>
      </c>
      <c r="AJ66" s="11">
        <f>Inputs!$F$107*Time!AJ25/12</f>
        <v/>
      </c>
      <c r="AK66" s="11">
        <f>Inputs!$F$107*Time!AK25/12</f>
        <v/>
      </c>
      <c r="AL66" s="11">
        <f>Inputs!$F$107*Time!AL25/12</f>
        <v/>
      </c>
      <c r="AM66" s="11">
        <f>Inputs!$F$107*Time!AM25/12</f>
        <v/>
      </c>
      <c r="AN66" s="11">
        <f>Inputs!$F$107*Time!AN25/12</f>
        <v/>
      </c>
      <c r="AO66" s="11">
        <f>Inputs!$F$107*Time!AO25/12</f>
        <v/>
      </c>
      <c r="AP66" s="11">
        <f>Inputs!$F$107*Time!AP25/12</f>
        <v/>
      </c>
      <c r="AQ66" s="11">
        <f>Inputs!$F$107*Time!AQ25/12</f>
        <v/>
      </c>
      <c r="AR66" s="11">
        <f>Inputs!$F$107*Time!AR25/12</f>
        <v/>
      </c>
      <c r="AS66" s="11">
        <f>Inputs!$F$107*Time!AS25/12</f>
        <v/>
      </c>
      <c r="AT66" s="11">
        <f>Inputs!$F$107*Time!AT25/12</f>
        <v/>
      </c>
      <c r="AU66" s="11">
        <f>Inputs!$F$107*Time!AU25/12</f>
        <v/>
      </c>
      <c r="AV66" s="11">
        <f>Inputs!$F$107*Time!AV25/12</f>
        <v/>
      </c>
      <c r="AW66" s="11">
        <f>Inputs!$F$107*Time!AW25/12</f>
        <v/>
      </c>
      <c r="AX66" s="11">
        <f>Inputs!$F$107*Time!AX25/12</f>
        <v/>
      </c>
      <c r="AY66" s="11">
        <f>Inputs!$F$107*Time!AY25/12</f>
        <v/>
      </c>
      <c r="AZ66" s="11">
        <f>Inputs!$F$107*Time!AZ25/12</f>
        <v/>
      </c>
      <c r="BA66" s="11">
        <f>Inputs!$F$107*Time!BA25/12</f>
        <v/>
      </c>
      <c r="BB66" s="11">
        <f>Inputs!$F$107*Time!BB25/12</f>
        <v/>
      </c>
      <c r="BC66" s="11">
        <f>Inputs!$F$107*Time!BC25/12</f>
        <v/>
      </c>
      <c r="BD66" s="11">
        <f>Inputs!$F$107*Time!BD25/12</f>
        <v/>
      </c>
      <c r="BE66" s="11">
        <f>Inputs!$F$107*Time!BE25/12</f>
        <v/>
      </c>
      <c r="BF66" s="11">
        <f>Inputs!$F$107*Time!BF25/12</f>
        <v/>
      </c>
      <c r="BG66" s="11">
        <f>Inputs!$F$107*Time!BG25/12</f>
        <v/>
      </c>
      <c r="BH66" s="11">
        <f>Inputs!$F$107*Time!BH25/12</f>
        <v/>
      </c>
      <c r="BI66" s="11">
        <f>Inputs!$F$107*Time!BI25/12</f>
        <v/>
      </c>
      <c r="BJ66" s="11">
        <f>Inputs!$F$107*Time!BJ25/12</f>
        <v/>
      </c>
      <c r="BK66" s="11">
        <f>Inputs!$F$107*Time!BK25/12</f>
        <v/>
      </c>
      <c r="BL66" s="11">
        <f>Inputs!$F$107*Time!BL25/12</f>
        <v/>
      </c>
      <c r="BM66" s="11">
        <f>Inputs!$F$107*Time!BM25/12</f>
        <v/>
      </c>
      <c r="BN66" s="11">
        <f>Inputs!$F$107*Time!BN25/12</f>
        <v/>
      </c>
    </row>
    <row r="67">
      <c r="D67" t="inlineStr">
        <is>
          <t>ABDB PRG fee</t>
        </is>
      </c>
      <c r="E67" t="inlineStr">
        <is>
          <t>USD m</t>
        </is>
      </c>
      <c r="G67" s="11">
        <f>SUM(J67:BN67)</f>
        <v/>
      </c>
      <c r="J67" s="11">
        <f>Inputs!$F$163*Time!J25/12</f>
        <v/>
      </c>
      <c r="K67" s="11">
        <f>Inputs!$F$163*Time!K25/12</f>
        <v/>
      </c>
      <c r="L67" s="11">
        <f>Inputs!$F$163*Time!L25/12</f>
        <v/>
      </c>
      <c r="M67" s="11">
        <f>Inputs!$F$163*Time!M25/12</f>
        <v/>
      </c>
      <c r="N67" s="11">
        <f>Inputs!$F$163*Time!N25/12</f>
        <v/>
      </c>
      <c r="O67" s="11">
        <f>Inputs!$F$163*Time!O25/12</f>
        <v/>
      </c>
      <c r="P67" s="11">
        <f>Inputs!$F$163*Time!P25/12</f>
        <v/>
      </c>
      <c r="Q67" s="11">
        <f>Inputs!$F$163*Time!Q25/12</f>
        <v/>
      </c>
      <c r="R67" s="11">
        <f>Inputs!$F$163*Time!R25/12</f>
        <v/>
      </c>
      <c r="S67" s="11">
        <f>Inputs!$F$163*Time!S25/12</f>
        <v/>
      </c>
      <c r="T67" s="11">
        <f>Inputs!$F$163*Time!T25/12</f>
        <v/>
      </c>
      <c r="U67" s="11">
        <f>Inputs!$F$163*Time!U25/12</f>
        <v/>
      </c>
      <c r="V67" s="11">
        <f>Inputs!$F$163*Time!V25/12</f>
        <v/>
      </c>
      <c r="W67" s="11">
        <f>Inputs!$F$163*Time!W25/12</f>
        <v/>
      </c>
      <c r="X67" s="11">
        <f>Inputs!$F$163*Time!X25/12</f>
        <v/>
      </c>
      <c r="Y67" s="11">
        <f>Inputs!$F$163*Time!Y25/12</f>
        <v/>
      </c>
      <c r="Z67" s="11">
        <f>Inputs!$F$163*Time!Z25/12</f>
        <v/>
      </c>
      <c r="AA67" s="11">
        <f>Inputs!$F$163*Time!AA25/12</f>
        <v/>
      </c>
      <c r="AB67" s="11">
        <f>Inputs!$F$163*Time!AB25/12</f>
        <v/>
      </c>
      <c r="AC67" s="11">
        <f>Inputs!$F$163*Time!AC25/12</f>
        <v/>
      </c>
      <c r="AD67" s="11">
        <f>Inputs!$F$163*Time!AD25/12</f>
        <v/>
      </c>
      <c r="AE67" s="11">
        <f>Inputs!$F$163*Time!AE25/12</f>
        <v/>
      </c>
      <c r="AF67" s="11">
        <f>Inputs!$F$163*Time!AF25/12</f>
        <v/>
      </c>
      <c r="AG67" s="11">
        <f>Inputs!$F$163*Time!AG25/12</f>
        <v/>
      </c>
      <c r="AH67" s="11">
        <f>Inputs!$F$163*Time!AH25/12</f>
        <v/>
      </c>
      <c r="AI67" s="11">
        <f>Inputs!$F$163*Time!AI25/12</f>
        <v/>
      </c>
      <c r="AJ67" s="11">
        <f>Inputs!$F$163*Time!AJ25/12</f>
        <v/>
      </c>
      <c r="AK67" s="11">
        <f>Inputs!$F$163*Time!AK25/12</f>
        <v/>
      </c>
      <c r="AL67" s="11">
        <f>Inputs!$F$163*Time!AL25/12</f>
        <v/>
      </c>
      <c r="AM67" s="11">
        <f>Inputs!$F$163*Time!AM25/12</f>
        <v/>
      </c>
      <c r="AN67" s="11">
        <f>Inputs!$F$163*Time!AN25/12</f>
        <v/>
      </c>
      <c r="AO67" s="11">
        <f>Inputs!$F$163*Time!AO25/12</f>
        <v/>
      </c>
      <c r="AP67" s="11">
        <f>Inputs!$F$163*Time!AP25/12</f>
        <v/>
      </c>
      <c r="AQ67" s="11">
        <f>Inputs!$F$163*Time!AQ25/12</f>
        <v/>
      </c>
      <c r="AR67" s="11">
        <f>Inputs!$F$163*Time!AR25/12</f>
        <v/>
      </c>
      <c r="AS67" s="11">
        <f>Inputs!$F$163*Time!AS25/12</f>
        <v/>
      </c>
      <c r="AT67" s="11">
        <f>Inputs!$F$163*Time!AT25/12</f>
        <v/>
      </c>
      <c r="AU67" s="11">
        <f>Inputs!$F$163*Time!AU25/12</f>
        <v/>
      </c>
      <c r="AV67" s="11">
        <f>Inputs!$F$163*Time!AV25/12</f>
        <v/>
      </c>
      <c r="AW67" s="11">
        <f>Inputs!$F$163*Time!AW25/12</f>
        <v/>
      </c>
      <c r="AX67" s="11">
        <f>Inputs!$F$163*Time!AX25/12</f>
        <v/>
      </c>
      <c r="AY67" s="11">
        <f>Inputs!$F$163*Time!AY25/12</f>
        <v/>
      </c>
      <c r="AZ67" s="11">
        <f>Inputs!$F$163*Time!AZ25/12</f>
        <v/>
      </c>
      <c r="BA67" s="11">
        <f>Inputs!$F$163*Time!BA25/12</f>
        <v/>
      </c>
      <c r="BB67" s="11">
        <f>Inputs!$F$163*Time!BB25/12</f>
        <v/>
      </c>
      <c r="BC67" s="11">
        <f>Inputs!$F$163*Time!BC25/12</f>
        <v/>
      </c>
      <c r="BD67" s="11">
        <f>Inputs!$F$163*Time!BD25/12</f>
        <v/>
      </c>
      <c r="BE67" s="11">
        <f>Inputs!$F$163*Time!BE25/12</f>
        <v/>
      </c>
      <c r="BF67" s="11">
        <f>Inputs!$F$163*Time!BF25/12</f>
        <v/>
      </c>
      <c r="BG67" s="11">
        <f>Inputs!$F$163*Time!BG25/12</f>
        <v/>
      </c>
      <c r="BH67" s="11">
        <f>Inputs!$F$163*Time!BH25/12</f>
        <v/>
      </c>
      <c r="BI67" s="11">
        <f>Inputs!$F$163*Time!BI25/12</f>
        <v/>
      </c>
      <c r="BJ67" s="11">
        <f>Inputs!$F$163*Time!BJ25/12</f>
        <v/>
      </c>
      <c r="BK67" s="11">
        <f>Inputs!$F$163*Time!BK25/12</f>
        <v/>
      </c>
      <c r="BL67" s="11">
        <f>Inputs!$F$163*Time!BL25/12</f>
        <v/>
      </c>
      <c r="BM67" s="11">
        <f>Inputs!$F$163*Time!BM25/12</f>
        <v/>
      </c>
      <c r="BN67" s="11">
        <f>Inputs!$F$163*Time!BN25/12</f>
        <v/>
      </c>
    </row>
    <row r="68">
      <c r="D68" t="inlineStr">
        <is>
          <t>Operating costs before pass-through items</t>
        </is>
      </c>
      <c r="E68" t="inlineStr">
        <is>
          <t>USD m</t>
        </is>
      </c>
      <c r="G68" s="11">
        <f>SUM(J68:BN68)</f>
        <v/>
      </c>
      <c r="J68" s="11">
        <f>J56+J57+J58+J60+J61+J62+J63+J64+J65+J66+J67</f>
        <v/>
      </c>
      <c r="K68" s="11">
        <f>K56+K57+K58+K60+K61+K62+K63+K64+K65+K66+K67</f>
        <v/>
      </c>
      <c r="L68" s="11">
        <f>L56+L57+L58+L60+L61+L62+L63+L64+L65+L66+L67</f>
        <v/>
      </c>
      <c r="M68" s="11">
        <f>M56+M57+M58+M60+M61+M62+M63+M64+M65+M66+M67</f>
        <v/>
      </c>
      <c r="N68" s="11">
        <f>N56+N57+N58+N60+N61+N62+N63+N64+N65+N66+N67</f>
        <v/>
      </c>
      <c r="O68" s="11">
        <f>O56+O57+O58+O60+O61+O62+O63+O64+O65+O66+O67</f>
        <v/>
      </c>
      <c r="P68" s="11">
        <f>P56+P57+P58+P60+P61+P62+P63+P64+P65+P66+P67</f>
        <v/>
      </c>
      <c r="Q68" s="11">
        <f>Q56+Q57+Q58+Q60+Q61+Q62+Q63+Q64+Q65+Q66+Q67</f>
        <v/>
      </c>
      <c r="R68" s="11">
        <f>R56+R57+R58+R60+R61+R62+R63+R64+R65+R66+R67</f>
        <v/>
      </c>
      <c r="S68" s="11">
        <f>S56+S57+S58+S60+S61+S62+S63+S64+S65+S66+S67</f>
        <v/>
      </c>
      <c r="T68" s="11">
        <f>T56+T57+T58+T60+T61+T62+T63+T64+T65+T66+T67</f>
        <v/>
      </c>
      <c r="U68" s="11">
        <f>U56+U57+U58+U60+U61+U62+U63+U64+U65+U66+U67</f>
        <v/>
      </c>
      <c r="V68" s="11">
        <f>V56+V57+V58+V60+V61+V62+V63+V64+V65+V66+V67</f>
        <v/>
      </c>
      <c r="W68" s="11">
        <f>W56+W57+W58+W60+W61+W62+W63+W64+W65+W66+W67</f>
        <v/>
      </c>
      <c r="X68" s="11">
        <f>X56+X57+X58+X60+X61+X62+X63+X64+X65+X66+X67</f>
        <v/>
      </c>
      <c r="Y68" s="11">
        <f>Y56+Y57+Y58+Y60+Y61+Y62+Y63+Y64+Y65+Y66+Y67</f>
        <v/>
      </c>
      <c r="Z68" s="11">
        <f>Z56+Z57+Z58+Z60+Z61+Z62+Z63+Z64+Z65+Z66+Z67</f>
        <v/>
      </c>
      <c r="AA68" s="11">
        <f>AA56+AA57+AA58+AA60+AA61+AA62+AA63+AA64+AA65+AA66+AA67</f>
        <v/>
      </c>
      <c r="AB68" s="11">
        <f>AB56+AB57+AB58+AB60+AB61+AB62+AB63+AB64+AB65+AB66+AB67</f>
        <v/>
      </c>
      <c r="AC68" s="11">
        <f>AC56+AC57+AC58+AC60+AC61+AC62+AC63+AC64+AC65+AC66+AC67</f>
        <v/>
      </c>
      <c r="AD68" s="11">
        <f>AD56+AD57+AD58+AD60+AD61+AD62+AD63+AD64+AD65+AD66+AD67</f>
        <v/>
      </c>
      <c r="AE68" s="11">
        <f>AE56+AE57+AE58+AE60+AE61+AE62+AE63+AE64+AE65+AE66+AE67</f>
        <v/>
      </c>
      <c r="AF68" s="11">
        <f>AF56+AF57+AF58+AF60+AF61+AF62+AF63+AF64+AF65+AF66+AF67</f>
        <v/>
      </c>
      <c r="AG68" s="11">
        <f>AG56+AG57+AG58+AG60+AG61+AG62+AG63+AG64+AG65+AG66+AG67</f>
        <v/>
      </c>
      <c r="AH68" s="11">
        <f>AH56+AH57+AH58+AH60+AH61+AH62+AH63+AH64+AH65+AH66+AH67</f>
        <v/>
      </c>
      <c r="AI68" s="11">
        <f>AI56+AI57+AI58+AI60+AI61+AI62+AI63+AI64+AI65+AI66+AI67</f>
        <v/>
      </c>
      <c r="AJ68" s="11">
        <f>AJ56+AJ57+AJ58+AJ60+AJ61+AJ62+AJ63+AJ64+AJ65+AJ66+AJ67</f>
        <v/>
      </c>
      <c r="AK68" s="11">
        <f>AK56+AK57+AK58+AK60+AK61+AK62+AK63+AK64+AK65+AK66+AK67</f>
        <v/>
      </c>
      <c r="AL68" s="11">
        <f>AL56+AL57+AL58+AL60+AL61+AL62+AL63+AL64+AL65+AL66+AL67</f>
        <v/>
      </c>
      <c r="AM68" s="11">
        <f>AM56+AM57+AM58+AM60+AM61+AM62+AM63+AM64+AM65+AM66+AM67</f>
        <v/>
      </c>
      <c r="AN68" s="11">
        <f>AN56+AN57+AN58+AN60+AN61+AN62+AN63+AN64+AN65+AN66+AN67</f>
        <v/>
      </c>
      <c r="AO68" s="11">
        <f>AO56+AO57+AO58+AO60+AO61+AO62+AO63+AO64+AO65+AO66+AO67</f>
        <v/>
      </c>
      <c r="AP68" s="11">
        <f>AP56+AP57+AP58+AP60+AP61+AP62+AP63+AP64+AP65+AP66+AP67</f>
        <v/>
      </c>
      <c r="AQ68" s="11">
        <f>AQ56+AQ57+AQ58+AQ60+AQ61+AQ62+AQ63+AQ64+AQ65+AQ66+AQ67</f>
        <v/>
      </c>
      <c r="AR68" s="11">
        <f>AR56+AR57+AR58+AR60+AR61+AR62+AR63+AR64+AR65+AR66+AR67</f>
        <v/>
      </c>
      <c r="AS68" s="11">
        <f>AS56+AS57+AS58+AS60+AS61+AS62+AS63+AS64+AS65+AS66+AS67</f>
        <v/>
      </c>
      <c r="AT68" s="11">
        <f>AT56+AT57+AT58+AT60+AT61+AT62+AT63+AT64+AT65+AT66+AT67</f>
        <v/>
      </c>
      <c r="AU68" s="11">
        <f>AU56+AU57+AU58+AU60+AU61+AU62+AU63+AU64+AU65+AU66+AU67</f>
        <v/>
      </c>
      <c r="AV68" s="11">
        <f>AV56+AV57+AV58+AV60+AV61+AV62+AV63+AV64+AV65+AV66+AV67</f>
        <v/>
      </c>
      <c r="AW68" s="11">
        <f>AW56+AW57+AW58+AW60+AW61+AW62+AW63+AW64+AW65+AW66+AW67</f>
        <v/>
      </c>
      <c r="AX68" s="11">
        <f>AX56+AX57+AX58+AX60+AX61+AX62+AX63+AX64+AX65+AX66+AX67</f>
        <v/>
      </c>
      <c r="AY68" s="11">
        <f>AY56+AY57+AY58+AY60+AY61+AY62+AY63+AY64+AY65+AY66+AY67</f>
        <v/>
      </c>
      <c r="AZ68" s="11">
        <f>AZ56+AZ57+AZ58+AZ60+AZ61+AZ62+AZ63+AZ64+AZ65+AZ66+AZ67</f>
        <v/>
      </c>
      <c r="BA68" s="11">
        <f>BA56+BA57+BA58+BA60+BA61+BA62+BA63+BA64+BA65+BA66+BA67</f>
        <v/>
      </c>
      <c r="BB68" s="11">
        <f>BB56+BB57+BB58+BB60+BB61+BB62+BB63+BB64+BB65+BB66+BB67</f>
        <v/>
      </c>
      <c r="BC68" s="11">
        <f>BC56+BC57+BC58+BC60+BC61+BC62+BC63+BC64+BC65+BC66+BC67</f>
        <v/>
      </c>
      <c r="BD68" s="11">
        <f>BD56+BD57+BD58+BD60+BD61+BD62+BD63+BD64+BD65+BD66+BD67</f>
        <v/>
      </c>
      <c r="BE68" s="11">
        <f>BE56+BE57+BE58+BE60+BE61+BE62+BE63+BE64+BE65+BE66+BE67</f>
        <v/>
      </c>
      <c r="BF68" s="11">
        <f>BF56+BF57+BF58+BF60+BF61+BF62+BF63+BF64+BF65+BF66+BF67</f>
        <v/>
      </c>
      <c r="BG68" s="11">
        <f>BG56+BG57+BG58+BG60+BG61+BG62+BG63+BG64+BG65+BG66+BG67</f>
        <v/>
      </c>
      <c r="BH68" s="11">
        <f>BH56+BH57+BH58+BH60+BH61+BH62+BH63+BH64+BH65+BH66+BH67</f>
        <v/>
      </c>
      <c r="BI68" s="11">
        <f>BI56+BI57+BI58+BI60+BI61+BI62+BI63+BI64+BI65+BI66+BI67</f>
        <v/>
      </c>
      <c r="BJ68" s="11">
        <f>BJ56+BJ57+BJ58+BJ60+BJ61+BJ62+BJ63+BJ64+BJ65+BJ66+BJ67</f>
        <v/>
      </c>
      <c r="BK68" s="11">
        <f>BK56+BK57+BK58+BK60+BK61+BK62+BK63+BK64+BK65+BK66+BK67</f>
        <v/>
      </c>
      <c r="BL68" s="11">
        <f>BL56+BL57+BL58+BL60+BL61+BL62+BL63+BL64+BL65+BL66+BL67</f>
        <v/>
      </c>
      <c r="BM68" s="11">
        <f>BM56+BM57+BM58+BM60+BM61+BM62+BM63+BM64+BM65+BM66+BM67</f>
        <v/>
      </c>
      <c r="BN68" s="11">
        <f>BN56+BN57+BN58+BN60+BN61+BN62+BN63+BN64+BN65+BN66+BN67</f>
        <v/>
      </c>
    </row>
    <row r="69">
      <c r="D69" t="inlineStr">
        <is>
          <t>Gas purchases</t>
        </is>
      </c>
      <c r="E69" t="inlineStr">
        <is>
          <t>USD m</t>
        </is>
      </c>
      <c r="G69" s="11">
        <f>SUM(J69:BN69)</f>
        <v/>
      </c>
      <c r="J69" s="11">
        <f>J38*J37/1000000</f>
        <v/>
      </c>
      <c r="K69" s="11">
        <f>K38*K37/1000000</f>
        <v/>
      </c>
      <c r="L69" s="11">
        <f>L38*L37/1000000</f>
        <v/>
      </c>
      <c r="M69" s="11">
        <f>M38*M37/1000000</f>
        <v/>
      </c>
      <c r="N69" s="11">
        <f>N38*N37/1000000</f>
        <v/>
      </c>
      <c r="O69" s="11">
        <f>O38*O37/1000000</f>
        <v/>
      </c>
      <c r="P69" s="11">
        <f>P38*P37/1000000</f>
        <v/>
      </c>
      <c r="Q69" s="11">
        <f>Q38*Q37/1000000</f>
        <v/>
      </c>
      <c r="R69" s="11">
        <f>R38*R37/1000000</f>
        <v/>
      </c>
      <c r="S69" s="11">
        <f>S38*S37/1000000</f>
        <v/>
      </c>
      <c r="T69" s="11">
        <f>T38*T37/1000000</f>
        <v/>
      </c>
      <c r="U69" s="11">
        <f>U38*U37/1000000</f>
        <v/>
      </c>
      <c r="V69" s="11">
        <f>V38*V37/1000000</f>
        <v/>
      </c>
      <c r="W69" s="11">
        <f>W38*W37/1000000</f>
        <v/>
      </c>
      <c r="X69" s="11">
        <f>X38*X37/1000000</f>
        <v/>
      </c>
      <c r="Y69" s="11">
        <f>Y38*Y37/1000000</f>
        <v/>
      </c>
      <c r="Z69" s="11">
        <f>Z38*Z37/1000000</f>
        <v/>
      </c>
      <c r="AA69" s="11">
        <f>AA38*AA37/1000000</f>
        <v/>
      </c>
      <c r="AB69" s="11">
        <f>AB38*AB37/1000000</f>
        <v/>
      </c>
      <c r="AC69" s="11">
        <f>AC38*AC37/1000000</f>
        <v/>
      </c>
      <c r="AD69" s="11">
        <f>AD38*AD37/1000000</f>
        <v/>
      </c>
      <c r="AE69" s="11">
        <f>AE38*AE37/1000000</f>
        <v/>
      </c>
      <c r="AF69" s="11">
        <f>AF38*AF37/1000000</f>
        <v/>
      </c>
      <c r="AG69" s="11">
        <f>AG38*AG37/1000000</f>
        <v/>
      </c>
      <c r="AH69" s="11">
        <f>AH38*AH37/1000000</f>
        <v/>
      </c>
      <c r="AI69" s="11">
        <f>AI38*AI37/1000000</f>
        <v/>
      </c>
      <c r="AJ69" s="11">
        <f>AJ38*AJ37/1000000</f>
        <v/>
      </c>
      <c r="AK69" s="11">
        <f>AK38*AK37/1000000</f>
        <v/>
      </c>
      <c r="AL69" s="11">
        <f>AL38*AL37/1000000</f>
        <v/>
      </c>
      <c r="AM69" s="11">
        <f>AM38*AM37/1000000</f>
        <v/>
      </c>
      <c r="AN69" s="11">
        <f>AN38*AN37/1000000</f>
        <v/>
      </c>
      <c r="AO69" s="11">
        <f>AO38*AO37/1000000</f>
        <v/>
      </c>
      <c r="AP69" s="11">
        <f>AP38*AP37/1000000</f>
        <v/>
      </c>
      <c r="AQ69" s="11">
        <f>AQ38*AQ37/1000000</f>
        <v/>
      </c>
      <c r="AR69" s="11">
        <f>AR38*AR37/1000000</f>
        <v/>
      </c>
      <c r="AS69" s="11">
        <f>AS38*AS37/1000000</f>
        <v/>
      </c>
      <c r="AT69" s="11">
        <f>AT38*AT37/1000000</f>
        <v/>
      </c>
      <c r="AU69" s="11">
        <f>AU38*AU37/1000000</f>
        <v/>
      </c>
      <c r="AV69" s="11">
        <f>AV38*AV37/1000000</f>
        <v/>
      </c>
      <c r="AW69" s="11">
        <f>AW38*AW37/1000000</f>
        <v/>
      </c>
      <c r="AX69" s="11">
        <f>AX38*AX37/1000000</f>
        <v/>
      </c>
      <c r="AY69" s="11">
        <f>AY38*AY37/1000000</f>
        <v/>
      </c>
      <c r="AZ69" s="11">
        <f>AZ38*AZ37/1000000</f>
        <v/>
      </c>
      <c r="BA69" s="11">
        <f>BA38*BA37/1000000</f>
        <v/>
      </c>
      <c r="BB69" s="11">
        <f>BB38*BB37/1000000</f>
        <v/>
      </c>
      <c r="BC69" s="11">
        <f>BC38*BC37/1000000</f>
        <v/>
      </c>
      <c r="BD69" s="11">
        <f>BD38*BD37/1000000</f>
        <v/>
      </c>
      <c r="BE69" s="11">
        <f>BE38*BE37/1000000</f>
        <v/>
      </c>
      <c r="BF69" s="11">
        <f>BF38*BF37/1000000</f>
        <v/>
      </c>
      <c r="BG69" s="11">
        <f>BG38*BG37/1000000</f>
        <v/>
      </c>
      <c r="BH69" s="11">
        <f>BH38*BH37/1000000</f>
        <v/>
      </c>
      <c r="BI69" s="11">
        <f>BI38*BI37/1000000</f>
        <v/>
      </c>
      <c r="BJ69" s="11">
        <f>BJ38*BJ37/1000000</f>
        <v/>
      </c>
      <c r="BK69" s="11">
        <f>BK38*BK37/1000000</f>
        <v/>
      </c>
      <c r="BL69" s="11">
        <f>BL38*BL37/1000000</f>
        <v/>
      </c>
      <c r="BM69" s="11">
        <f>BM38*BM37/1000000</f>
        <v/>
      </c>
      <c r="BN69" s="11">
        <f>BN38*BN37/1000000</f>
        <v/>
      </c>
    </row>
    <row r="70">
      <c r="D70" t="inlineStr">
        <is>
          <t>Pass-through costs (gas, GTA, take-or-pay)</t>
        </is>
      </c>
      <c r="E70" t="inlineStr">
        <is>
          <t>USD m</t>
        </is>
      </c>
      <c r="G70" s="11">
        <f>SUM(J70:BN70)</f>
        <v/>
      </c>
      <c r="J70" s="11">
        <f>J69+J48+J49+J50</f>
        <v/>
      </c>
      <c r="K70" s="11">
        <f>K69+K48+K49+K50</f>
        <v/>
      </c>
      <c r="L70" s="11">
        <f>L69+L48+L49+L50</f>
        <v/>
      </c>
      <c r="M70" s="11">
        <f>M69+M48+M49+M50</f>
        <v/>
      </c>
      <c r="N70" s="11">
        <f>N69+N48+N49+N50</f>
        <v/>
      </c>
      <c r="O70" s="11">
        <f>O69+O48+O49+O50</f>
        <v/>
      </c>
      <c r="P70" s="11">
        <f>P69+P48+P49+P50</f>
        <v/>
      </c>
      <c r="Q70" s="11">
        <f>Q69+Q48+Q49+Q50</f>
        <v/>
      </c>
      <c r="R70" s="11">
        <f>R69+R48+R49+R50</f>
        <v/>
      </c>
      <c r="S70" s="11">
        <f>S69+S48+S49+S50</f>
        <v/>
      </c>
      <c r="T70" s="11">
        <f>T69+T48+T49+T50</f>
        <v/>
      </c>
      <c r="U70" s="11">
        <f>U69+U48+U49+U50</f>
        <v/>
      </c>
      <c r="V70" s="11">
        <f>V69+V48+V49+V50</f>
        <v/>
      </c>
      <c r="W70" s="11">
        <f>W69+W48+W49+W50</f>
        <v/>
      </c>
      <c r="X70" s="11">
        <f>X69+X48+X49+X50</f>
        <v/>
      </c>
      <c r="Y70" s="11">
        <f>Y69+Y48+Y49+Y50</f>
        <v/>
      </c>
      <c r="Z70" s="11">
        <f>Z69+Z48+Z49+Z50</f>
        <v/>
      </c>
      <c r="AA70" s="11">
        <f>AA69+AA48+AA49+AA50</f>
        <v/>
      </c>
      <c r="AB70" s="11">
        <f>AB69+AB48+AB49+AB50</f>
        <v/>
      </c>
      <c r="AC70" s="11">
        <f>AC69+AC48+AC49+AC50</f>
        <v/>
      </c>
      <c r="AD70" s="11">
        <f>AD69+AD48+AD49+AD50</f>
        <v/>
      </c>
      <c r="AE70" s="11">
        <f>AE69+AE48+AE49+AE50</f>
        <v/>
      </c>
      <c r="AF70" s="11">
        <f>AF69+AF48+AF49+AF50</f>
        <v/>
      </c>
      <c r="AG70" s="11">
        <f>AG69+AG48+AG49+AG50</f>
        <v/>
      </c>
      <c r="AH70" s="11">
        <f>AH69+AH48+AH49+AH50</f>
        <v/>
      </c>
      <c r="AI70" s="11">
        <f>AI69+AI48+AI49+AI50</f>
        <v/>
      </c>
      <c r="AJ70" s="11">
        <f>AJ69+AJ48+AJ49+AJ50</f>
        <v/>
      </c>
      <c r="AK70" s="11">
        <f>AK69+AK48+AK49+AK50</f>
        <v/>
      </c>
      <c r="AL70" s="11">
        <f>AL69+AL48+AL49+AL50</f>
        <v/>
      </c>
      <c r="AM70" s="11">
        <f>AM69+AM48+AM49+AM50</f>
        <v/>
      </c>
      <c r="AN70" s="11">
        <f>AN69+AN48+AN49+AN50</f>
        <v/>
      </c>
      <c r="AO70" s="11">
        <f>AO69+AO48+AO49+AO50</f>
        <v/>
      </c>
      <c r="AP70" s="11">
        <f>AP69+AP48+AP49+AP50</f>
        <v/>
      </c>
      <c r="AQ70" s="11">
        <f>AQ69+AQ48+AQ49+AQ50</f>
        <v/>
      </c>
      <c r="AR70" s="11">
        <f>AR69+AR48+AR49+AR50</f>
        <v/>
      </c>
      <c r="AS70" s="11">
        <f>AS69+AS48+AS49+AS50</f>
        <v/>
      </c>
      <c r="AT70" s="11">
        <f>AT69+AT48+AT49+AT50</f>
        <v/>
      </c>
      <c r="AU70" s="11">
        <f>AU69+AU48+AU49+AU50</f>
        <v/>
      </c>
      <c r="AV70" s="11">
        <f>AV69+AV48+AV49+AV50</f>
        <v/>
      </c>
      <c r="AW70" s="11">
        <f>AW69+AW48+AW49+AW50</f>
        <v/>
      </c>
      <c r="AX70" s="11">
        <f>AX69+AX48+AX49+AX50</f>
        <v/>
      </c>
      <c r="AY70" s="11">
        <f>AY69+AY48+AY49+AY50</f>
        <v/>
      </c>
      <c r="AZ70" s="11">
        <f>AZ69+AZ48+AZ49+AZ50</f>
        <v/>
      </c>
      <c r="BA70" s="11">
        <f>BA69+BA48+BA49+BA50</f>
        <v/>
      </c>
      <c r="BB70" s="11">
        <f>BB69+BB48+BB49+BB50</f>
        <v/>
      </c>
      <c r="BC70" s="11">
        <f>BC69+BC48+BC49+BC50</f>
        <v/>
      </c>
      <c r="BD70" s="11">
        <f>BD69+BD48+BD49+BD50</f>
        <v/>
      </c>
      <c r="BE70" s="11">
        <f>BE69+BE48+BE49+BE50</f>
        <v/>
      </c>
      <c r="BF70" s="11">
        <f>BF69+BF48+BF49+BF50</f>
        <v/>
      </c>
      <c r="BG70" s="11">
        <f>BG69+BG48+BG49+BG50</f>
        <v/>
      </c>
      <c r="BH70" s="11">
        <f>BH69+BH48+BH49+BH50</f>
        <v/>
      </c>
      <c r="BI70" s="11">
        <f>BI69+BI48+BI49+BI50</f>
        <v/>
      </c>
      <c r="BJ70" s="11">
        <f>BJ69+BJ48+BJ49+BJ50</f>
        <v/>
      </c>
      <c r="BK70" s="11">
        <f>BK69+BK48+BK49+BK50</f>
        <v/>
      </c>
      <c r="BL70" s="11">
        <f>BL69+BL48+BL49+BL50</f>
        <v/>
      </c>
      <c r="BM70" s="11">
        <f>BM69+BM48+BM49+BM50</f>
        <v/>
      </c>
      <c r="BN70" s="11">
        <f>BN69+BN48+BN49+BN50</f>
        <v/>
      </c>
    </row>
    <row r="71">
      <c r="D71" t="inlineStr">
        <is>
          <t>VAT facility interest after the funding period</t>
        </is>
      </c>
      <c r="E71" t="inlineStr">
        <is>
          <t>USD m</t>
        </is>
      </c>
      <c r="G71" s="11">
        <f>SUM(J71:BN71)</f>
        <v/>
      </c>
      <c r="J71" s="11">
        <f>SUMIFS(Construction!$J$36:$BJ$36,Construction!$J$12:$BJ$12,Time!J17,Construction!$J$8:$BJ$8,"&gt;"&amp;Time!$F$13)</f>
        <v/>
      </c>
      <c r="K71" s="11">
        <f>SUMIFS(Construction!$J$36:$BJ$36,Construction!$J$12:$BJ$12,Time!K17,Construction!$J$8:$BJ$8,"&gt;"&amp;Time!$F$13)</f>
        <v/>
      </c>
      <c r="L71" s="11">
        <f>SUMIFS(Construction!$J$36:$BJ$36,Construction!$J$12:$BJ$12,Time!L17,Construction!$J$8:$BJ$8,"&gt;"&amp;Time!$F$13)</f>
        <v/>
      </c>
      <c r="M71" s="11">
        <f>SUMIFS(Construction!$J$36:$BJ$36,Construction!$J$12:$BJ$12,Time!M17,Construction!$J$8:$BJ$8,"&gt;"&amp;Time!$F$13)</f>
        <v/>
      </c>
      <c r="N71" s="11">
        <f>SUMIFS(Construction!$J$36:$BJ$36,Construction!$J$12:$BJ$12,Time!N17,Construction!$J$8:$BJ$8,"&gt;"&amp;Time!$F$13)</f>
        <v/>
      </c>
      <c r="O71" s="11">
        <f>SUMIFS(Construction!$J$36:$BJ$36,Construction!$J$12:$BJ$12,Time!O17,Construction!$J$8:$BJ$8,"&gt;"&amp;Time!$F$13)</f>
        <v/>
      </c>
      <c r="P71" s="11">
        <f>SUMIFS(Construction!$J$36:$BJ$36,Construction!$J$12:$BJ$12,Time!P17,Construction!$J$8:$BJ$8,"&gt;"&amp;Time!$F$13)</f>
        <v/>
      </c>
      <c r="Q71" s="11">
        <f>SUMIFS(Construction!$J$36:$BJ$36,Construction!$J$12:$BJ$12,Time!Q17,Construction!$J$8:$BJ$8,"&gt;"&amp;Time!$F$13)</f>
        <v/>
      </c>
      <c r="R71" s="11">
        <f>SUMIFS(Construction!$J$36:$BJ$36,Construction!$J$12:$BJ$12,Time!R17,Construction!$J$8:$BJ$8,"&gt;"&amp;Time!$F$13)</f>
        <v/>
      </c>
      <c r="S71" s="11">
        <f>SUMIFS(Construction!$J$36:$BJ$36,Construction!$J$12:$BJ$12,Time!S17,Construction!$J$8:$BJ$8,"&gt;"&amp;Time!$F$13)</f>
        <v/>
      </c>
      <c r="T71" s="11">
        <f>SUMIFS(Construction!$J$36:$BJ$36,Construction!$J$12:$BJ$12,Time!T17,Construction!$J$8:$BJ$8,"&gt;"&amp;Time!$F$13)</f>
        <v/>
      </c>
      <c r="U71" s="11">
        <f>SUMIFS(Construction!$J$36:$BJ$36,Construction!$J$12:$BJ$12,Time!U17,Construction!$J$8:$BJ$8,"&gt;"&amp;Time!$F$13)</f>
        <v/>
      </c>
      <c r="V71" s="11">
        <f>SUMIFS(Construction!$J$36:$BJ$36,Construction!$J$12:$BJ$12,Time!V17,Construction!$J$8:$BJ$8,"&gt;"&amp;Time!$F$13)</f>
        <v/>
      </c>
      <c r="W71" s="11">
        <f>SUMIFS(Construction!$J$36:$BJ$36,Construction!$J$12:$BJ$12,Time!W17,Construction!$J$8:$BJ$8,"&gt;"&amp;Time!$F$13)</f>
        <v/>
      </c>
      <c r="X71" s="11">
        <f>SUMIFS(Construction!$J$36:$BJ$36,Construction!$J$12:$BJ$12,Time!X17,Construction!$J$8:$BJ$8,"&gt;"&amp;Time!$F$13)</f>
        <v/>
      </c>
      <c r="Y71" s="11">
        <f>SUMIFS(Construction!$J$36:$BJ$36,Construction!$J$12:$BJ$12,Time!Y17,Construction!$J$8:$BJ$8,"&gt;"&amp;Time!$F$13)</f>
        <v/>
      </c>
      <c r="Z71" s="11">
        <f>SUMIFS(Construction!$J$36:$BJ$36,Construction!$J$12:$BJ$12,Time!Z17,Construction!$J$8:$BJ$8,"&gt;"&amp;Time!$F$13)</f>
        <v/>
      </c>
      <c r="AA71" s="11">
        <f>SUMIFS(Construction!$J$36:$BJ$36,Construction!$J$12:$BJ$12,Time!AA17,Construction!$J$8:$BJ$8,"&gt;"&amp;Time!$F$13)</f>
        <v/>
      </c>
      <c r="AB71" s="11">
        <f>SUMIFS(Construction!$J$36:$BJ$36,Construction!$J$12:$BJ$12,Time!AB17,Construction!$J$8:$BJ$8,"&gt;"&amp;Time!$F$13)</f>
        <v/>
      </c>
      <c r="AC71" s="11">
        <f>SUMIFS(Construction!$J$36:$BJ$36,Construction!$J$12:$BJ$12,Time!AC17,Construction!$J$8:$BJ$8,"&gt;"&amp;Time!$F$13)</f>
        <v/>
      </c>
      <c r="AD71" s="11">
        <f>SUMIFS(Construction!$J$36:$BJ$36,Construction!$J$12:$BJ$12,Time!AD17,Construction!$J$8:$BJ$8,"&gt;"&amp;Time!$F$13)</f>
        <v/>
      </c>
      <c r="AE71" s="11">
        <f>SUMIFS(Construction!$J$36:$BJ$36,Construction!$J$12:$BJ$12,Time!AE17,Construction!$J$8:$BJ$8,"&gt;"&amp;Time!$F$13)</f>
        <v/>
      </c>
      <c r="AF71" s="11">
        <f>SUMIFS(Construction!$J$36:$BJ$36,Construction!$J$12:$BJ$12,Time!AF17,Construction!$J$8:$BJ$8,"&gt;"&amp;Time!$F$13)</f>
        <v/>
      </c>
      <c r="AG71" s="11">
        <f>SUMIFS(Construction!$J$36:$BJ$36,Construction!$J$12:$BJ$12,Time!AG17,Construction!$J$8:$BJ$8,"&gt;"&amp;Time!$F$13)</f>
        <v/>
      </c>
      <c r="AH71" s="11">
        <f>SUMIFS(Construction!$J$36:$BJ$36,Construction!$J$12:$BJ$12,Time!AH17,Construction!$J$8:$BJ$8,"&gt;"&amp;Time!$F$13)</f>
        <v/>
      </c>
      <c r="AI71" s="11">
        <f>SUMIFS(Construction!$J$36:$BJ$36,Construction!$J$12:$BJ$12,Time!AI17,Construction!$J$8:$BJ$8,"&gt;"&amp;Time!$F$13)</f>
        <v/>
      </c>
      <c r="AJ71" s="11">
        <f>SUMIFS(Construction!$J$36:$BJ$36,Construction!$J$12:$BJ$12,Time!AJ17,Construction!$J$8:$BJ$8,"&gt;"&amp;Time!$F$13)</f>
        <v/>
      </c>
      <c r="AK71" s="11">
        <f>SUMIFS(Construction!$J$36:$BJ$36,Construction!$J$12:$BJ$12,Time!AK17,Construction!$J$8:$BJ$8,"&gt;"&amp;Time!$F$13)</f>
        <v/>
      </c>
      <c r="AL71" s="11">
        <f>SUMIFS(Construction!$J$36:$BJ$36,Construction!$J$12:$BJ$12,Time!AL17,Construction!$J$8:$BJ$8,"&gt;"&amp;Time!$F$13)</f>
        <v/>
      </c>
      <c r="AM71" s="11">
        <f>SUMIFS(Construction!$J$36:$BJ$36,Construction!$J$12:$BJ$12,Time!AM17,Construction!$J$8:$BJ$8,"&gt;"&amp;Time!$F$13)</f>
        <v/>
      </c>
      <c r="AN71" s="11">
        <f>SUMIFS(Construction!$J$36:$BJ$36,Construction!$J$12:$BJ$12,Time!AN17,Construction!$J$8:$BJ$8,"&gt;"&amp;Time!$F$13)</f>
        <v/>
      </c>
      <c r="AO71" s="11">
        <f>SUMIFS(Construction!$J$36:$BJ$36,Construction!$J$12:$BJ$12,Time!AO17,Construction!$J$8:$BJ$8,"&gt;"&amp;Time!$F$13)</f>
        <v/>
      </c>
      <c r="AP71" s="11">
        <f>SUMIFS(Construction!$J$36:$BJ$36,Construction!$J$12:$BJ$12,Time!AP17,Construction!$J$8:$BJ$8,"&gt;"&amp;Time!$F$13)</f>
        <v/>
      </c>
      <c r="AQ71" s="11">
        <f>SUMIFS(Construction!$J$36:$BJ$36,Construction!$J$12:$BJ$12,Time!AQ17,Construction!$J$8:$BJ$8,"&gt;"&amp;Time!$F$13)</f>
        <v/>
      </c>
      <c r="AR71" s="11">
        <f>SUMIFS(Construction!$J$36:$BJ$36,Construction!$J$12:$BJ$12,Time!AR17,Construction!$J$8:$BJ$8,"&gt;"&amp;Time!$F$13)</f>
        <v/>
      </c>
      <c r="AS71" s="11">
        <f>SUMIFS(Construction!$J$36:$BJ$36,Construction!$J$12:$BJ$12,Time!AS17,Construction!$J$8:$BJ$8,"&gt;"&amp;Time!$F$13)</f>
        <v/>
      </c>
      <c r="AT71" s="11">
        <f>SUMIFS(Construction!$J$36:$BJ$36,Construction!$J$12:$BJ$12,Time!AT17,Construction!$J$8:$BJ$8,"&gt;"&amp;Time!$F$13)</f>
        <v/>
      </c>
      <c r="AU71" s="11">
        <f>SUMIFS(Construction!$J$36:$BJ$36,Construction!$J$12:$BJ$12,Time!AU17,Construction!$J$8:$BJ$8,"&gt;"&amp;Time!$F$13)</f>
        <v/>
      </c>
      <c r="AV71" s="11">
        <f>SUMIFS(Construction!$J$36:$BJ$36,Construction!$J$12:$BJ$12,Time!AV17,Construction!$J$8:$BJ$8,"&gt;"&amp;Time!$F$13)</f>
        <v/>
      </c>
      <c r="AW71" s="11">
        <f>SUMIFS(Construction!$J$36:$BJ$36,Construction!$J$12:$BJ$12,Time!AW17,Construction!$J$8:$BJ$8,"&gt;"&amp;Time!$F$13)</f>
        <v/>
      </c>
      <c r="AX71" s="11">
        <f>SUMIFS(Construction!$J$36:$BJ$36,Construction!$J$12:$BJ$12,Time!AX17,Construction!$J$8:$BJ$8,"&gt;"&amp;Time!$F$13)</f>
        <v/>
      </c>
      <c r="AY71" s="11">
        <f>SUMIFS(Construction!$J$36:$BJ$36,Construction!$J$12:$BJ$12,Time!AY17,Construction!$J$8:$BJ$8,"&gt;"&amp;Time!$F$13)</f>
        <v/>
      </c>
      <c r="AZ71" s="11">
        <f>SUMIFS(Construction!$J$36:$BJ$36,Construction!$J$12:$BJ$12,Time!AZ17,Construction!$J$8:$BJ$8,"&gt;"&amp;Time!$F$13)</f>
        <v/>
      </c>
      <c r="BA71" s="11">
        <f>SUMIFS(Construction!$J$36:$BJ$36,Construction!$J$12:$BJ$12,Time!BA17,Construction!$J$8:$BJ$8,"&gt;"&amp;Time!$F$13)</f>
        <v/>
      </c>
      <c r="BB71" s="11">
        <f>SUMIFS(Construction!$J$36:$BJ$36,Construction!$J$12:$BJ$12,Time!BB17,Construction!$J$8:$BJ$8,"&gt;"&amp;Time!$F$13)</f>
        <v/>
      </c>
      <c r="BC71" s="11">
        <f>SUMIFS(Construction!$J$36:$BJ$36,Construction!$J$12:$BJ$12,Time!BC17,Construction!$J$8:$BJ$8,"&gt;"&amp;Time!$F$13)</f>
        <v/>
      </c>
      <c r="BD71" s="11">
        <f>SUMIFS(Construction!$J$36:$BJ$36,Construction!$J$12:$BJ$12,Time!BD17,Construction!$J$8:$BJ$8,"&gt;"&amp;Time!$F$13)</f>
        <v/>
      </c>
      <c r="BE71" s="11">
        <f>SUMIFS(Construction!$J$36:$BJ$36,Construction!$J$12:$BJ$12,Time!BE17,Construction!$J$8:$BJ$8,"&gt;"&amp;Time!$F$13)</f>
        <v/>
      </c>
      <c r="BF71" s="11">
        <f>SUMIFS(Construction!$J$36:$BJ$36,Construction!$J$12:$BJ$12,Time!BF17,Construction!$J$8:$BJ$8,"&gt;"&amp;Time!$F$13)</f>
        <v/>
      </c>
      <c r="BG71" s="11">
        <f>SUMIFS(Construction!$J$36:$BJ$36,Construction!$J$12:$BJ$12,Time!BG17,Construction!$J$8:$BJ$8,"&gt;"&amp;Time!$F$13)</f>
        <v/>
      </c>
      <c r="BH71" s="11">
        <f>SUMIFS(Construction!$J$36:$BJ$36,Construction!$J$12:$BJ$12,Time!BH17,Construction!$J$8:$BJ$8,"&gt;"&amp;Time!$F$13)</f>
        <v/>
      </c>
      <c r="BI71" s="11">
        <f>SUMIFS(Construction!$J$36:$BJ$36,Construction!$J$12:$BJ$12,Time!BI17,Construction!$J$8:$BJ$8,"&gt;"&amp;Time!$F$13)</f>
        <v/>
      </c>
      <c r="BJ71" s="11">
        <f>SUMIFS(Construction!$J$36:$BJ$36,Construction!$J$12:$BJ$12,Time!BJ17,Construction!$J$8:$BJ$8,"&gt;"&amp;Time!$F$13)</f>
        <v/>
      </c>
      <c r="BK71" s="11">
        <f>SUMIFS(Construction!$J$36:$BJ$36,Construction!$J$12:$BJ$12,Time!BK17,Construction!$J$8:$BJ$8,"&gt;"&amp;Time!$F$13)</f>
        <v/>
      </c>
      <c r="BL71" s="11">
        <f>SUMIFS(Construction!$J$36:$BJ$36,Construction!$J$12:$BJ$12,Time!BL17,Construction!$J$8:$BJ$8,"&gt;"&amp;Time!$F$13)</f>
        <v/>
      </c>
      <c r="BM71" s="11">
        <f>SUMIFS(Construction!$J$36:$BJ$36,Construction!$J$12:$BJ$12,Time!BM17,Construction!$J$8:$BJ$8,"&gt;"&amp;Time!$F$13)</f>
        <v/>
      </c>
      <c r="BN71" s="11">
        <f>SUMIFS(Construction!$J$36:$BJ$36,Construction!$J$12:$BJ$12,Time!BN17,Construction!$J$8:$BJ$8,"&gt;"&amp;Time!$F$13)</f>
        <v/>
      </c>
    </row>
    <row r="72">
      <c r="D72" t="inlineStr">
        <is>
          <t>FX conversion losses</t>
        </is>
      </c>
      <c r="E72" t="inlineStr">
        <is>
          <t>USD m</t>
        </is>
      </c>
      <c r="G72" s="11">
        <f>SUM(J72:BN72)</f>
        <v/>
      </c>
      <c r="J72" s="11">
        <f>Inputs!$F$45*Inputs!J220</f>
        <v/>
      </c>
      <c r="K72" s="11">
        <f>Inputs!$F$45*Inputs!K220</f>
        <v/>
      </c>
      <c r="L72" s="11">
        <f>Inputs!$F$45*Inputs!L220</f>
        <v/>
      </c>
      <c r="M72" s="11">
        <f>Inputs!$F$45*Inputs!M220</f>
        <v/>
      </c>
      <c r="N72" s="11">
        <f>Inputs!$F$45*Inputs!N220</f>
        <v/>
      </c>
      <c r="O72" s="11">
        <f>Inputs!$F$45*Inputs!O220</f>
        <v/>
      </c>
      <c r="P72" s="11">
        <f>Inputs!$F$45*Inputs!P220</f>
        <v/>
      </c>
      <c r="Q72" s="11">
        <f>Inputs!$F$45*Inputs!Q220</f>
        <v/>
      </c>
      <c r="R72" s="11">
        <f>Inputs!$F$45*Inputs!R220</f>
        <v/>
      </c>
      <c r="S72" s="11">
        <f>Inputs!$F$45*Inputs!S220</f>
        <v/>
      </c>
      <c r="T72" s="11">
        <f>Inputs!$F$45*Inputs!T220</f>
        <v/>
      </c>
      <c r="U72" s="11">
        <f>Inputs!$F$45*Inputs!U220</f>
        <v/>
      </c>
      <c r="V72" s="11">
        <f>Inputs!$F$45*Inputs!V220</f>
        <v/>
      </c>
      <c r="W72" s="11">
        <f>Inputs!$F$45*Inputs!W220</f>
        <v/>
      </c>
      <c r="X72" s="11">
        <f>Inputs!$F$45*Inputs!X220</f>
        <v/>
      </c>
      <c r="Y72" s="11">
        <f>Inputs!$F$45*Inputs!Y220</f>
        <v/>
      </c>
      <c r="Z72" s="11">
        <f>Inputs!$F$45*Inputs!Z220</f>
        <v/>
      </c>
      <c r="AA72" s="11">
        <f>Inputs!$F$45*Inputs!AA220</f>
        <v/>
      </c>
      <c r="AB72" s="11">
        <f>Inputs!$F$45*Inputs!AB220</f>
        <v/>
      </c>
      <c r="AC72" s="11">
        <f>Inputs!$F$45*Inputs!AC220</f>
        <v/>
      </c>
      <c r="AD72" s="11">
        <f>Inputs!$F$45*Inputs!AD220</f>
        <v/>
      </c>
      <c r="AE72" s="11">
        <f>Inputs!$F$45*Inputs!AE220</f>
        <v/>
      </c>
      <c r="AF72" s="11">
        <f>Inputs!$F$45*Inputs!AF220</f>
        <v/>
      </c>
      <c r="AG72" s="11">
        <f>Inputs!$F$45*Inputs!AG220</f>
        <v/>
      </c>
      <c r="AH72" s="11">
        <f>Inputs!$F$45*Inputs!AH220</f>
        <v/>
      </c>
      <c r="AI72" s="11">
        <f>Inputs!$F$45*Inputs!AI220</f>
        <v/>
      </c>
      <c r="AJ72" s="11">
        <f>Inputs!$F$45*Inputs!AJ220</f>
        <v/>
      </c>
      <c r="AK72" s="11">
        <f>Inputs!$F$45*Inputs!AK220</f>
        <v/>
      </c>
      <c r="AL72" s="11">
        <f>Inputs!$F$45*Inputs!AL220</f>
        <v/>
      </c>
      <c r="AM72" s="11">
        <f>Inputs!$F$45*Inputs!AM220</f>
        <v/>
      </c>
      <c r="AN72" s="11">
        <f>Inputs!$F$45*Inputs!AN220</f>
        <v/>
      </c>
      <c r="AO72" s="11">
        <f>Inputs!$F$45*Inputs!AO220</f>
        <v/>
      </c>
      <c r="AP72" s="11">
        <f>Inputs!$F$45*Inputs!AP220</f>
        <v/>
      </c>
      <c r="AQ72" s="11">
        <f>Inputs!$F$45*Inputs!AQ220</f>
        <v/>
      </c>
      <c r="AR72" s="11">
        <f>Inputs!$F$45*Inputs!AR220</f>
        <v/>
      </c>
      <c r="AS72" s="11">
        <f>Inputs!$F$45*Inputs!AS220</f>
        <v/>
      </c>
      <c r="AT72" s="11">
        <f>Inputs!$F$45*Inputs!AT220</f>
        <v/>
      </c>
      <c r="AU72" s="11">
        <f>Inputs!$F$45*Inputs!AU220</f>
        <v/>
      </c>
      <c r="AV72" s="11">
        <f>Inputs!$F$45*Inputs!AV220</f>
        <v/>
      </c>
      <c r="AW72" s="11">
        <f>Inputs!$F$45*Inputs!AW220</f>
        <v/>
      </c>
      <c r="AX72" s="11">
        <f>Inputs!$F$45*Inputs!AX220</f>
        <v/>
      </c>
      <c r="AY72" s="11">
        <f>Inputs!$F$45*Inputs!AY220</f>
        <v/>
      </c>
      <c r="AZ72" s="11">
        <f>Inputs!$F$45*Inputs!AZ220</f>
        <v/>
      </c>
      <c r="BA72" s="11">
        <f>Inputs!$F$45*Inputs!BA220</f>
        <v/>
      </c>
      <c r="BB72" s="11">
        <f>Inputs!$F$45*Inputs!BB220</f>
        <v/>
      </c>
      <c r="BC72" s="11">
        <f>Inputs!$F$45*Inputs!BC220</f>
        <v/>
      </c>
      <c r="BD72" s="11">
        <f>Inputs!$F$45*Inputs!BD220</f>
        <v/>
      </c>
      <c r="BE72" s="11">
        <f>Inputs!$F$45*Inputs!BE220</f>
        <v/>
      </c>
      <c r="BF72" s="11">
        <f>Inputs!$F$45*Inputs!BF220</f>
        <v/>
      </c>
      <c r="BG72" s="11">
        <f>Inputs!$F$45*Inputs!BG220</f>
        <v/>
      </c>
      <c r="BH72" s="11">
        <f>Inputs!$F$45*Inputs!BH220</f>
        <v/>
      </c>
      <c r="BI72" s="11">
        <f>Inputs!$F$45*Inputs!BI220</f>
        <v/>
      </c>
      <c r="BJ72" s="11">
        <f>Inputs!$F$45*Inputs!BJ220</f>
        <v/>
      </c>
      <c r="BK72" s="11">
        <f>Inputs!$F$45*Inputs!BK220</f>
        <v/>
      </c>
      <c r="BL72" s="11">
        <f>Inputs!$F$45*Inputs!BL220</f>
        <v/>
      </c>
      <c r="BM72" s="11">
        <f>Inputs!$F$45*Inputs!BM220</f>
        <v/>
      </c>
      <c r="BN72" s="11">
        <f>Inputs!$F$45*Inputs!BN220</f>
        <v/>
      </c>
    </row>
    <row r="73">
      <c r="D73" t="inlineStr">
        <is>
          <t>OY whose month 7 could fall in the period</t>
        </is>
      </c>
      <c r="E73" t="inlineStr">
        <is>
          <t>OY</t>
        </is>
      </c>
      <c r="J73" s="9">
        <f>INT((Time!J28-7)/12)+1</f>
        <v/>
      </c>
      <c r="K73" s="9">
        <f>INT((Time!K28-7)/12)+1</f>
        <v/>
      </c>
      <c r="L73" s="9">
        <f>INT((Time!L28-7)/12)+1</f>
        <v/>
      </c>
      <c r="M73" s="9">
        <f>INT((Time!M28-7)/12)+1</f>
        <v/>
      </c>
      <c r="N73" s="9">
        <f>INT((Time!N28-7)/12)+1</f>
        <v/>
      </c>
      <c r="O73" s="9">
        <f>INT((Time!O28-7)/12)+1</f>
        <v/>
      </c>
      <c r="P73" s="9">
        <f>INT((Time!P28-7)/12)+1</f>
        <v/>
      </c>
      <c r="Q73" s="9">
        <f>INT((Time!Q28-7)/12)+1</f>
        <v/>
      </c>
      <c r="R73" s="9">
        <f>INT((Time!R28-7)/12)+1</f>
        <v/>
      </c>
      <c r="S73" s="9">
        <f>INT((Time!S28-7)/12)+1</f>
        <v/>
      </c>
      <c r="T73" s="9">
        <f>INT((Time!T28-7)/12)+1</f>
        <v/>
      </c>
      <c r="U73" s="9">
        <f>INT((Time!U28-7)/12)+1</f>
        <v/>
      </c>
      <c r="V73" s="9">
        <f>INT((Time!V28-7)/12)+1</f>
        <v/>
      </c>
      <c r="W73" s="9">
        <f>INT((Time!W28-7)/12)+1</f>
        <v/>
      </c>
      <c r="X73" s="9">
        <f>INT((Time!X28-7)/12)+1</f>
        <v/>
      </c>
      <c r="Y73" s="9">
        <f>INT((Time!Y28-7)/12)+1</f>
        <v/>
      </c>
      <c r="Z73" s="9">
        <f>INT((Time!Z28-7)/12)+1</f>
        <v/>
      </c>
      <c r="AA73" s="9">
        <f>INT((Time!AA28-7)/12)+1</f>
        <v/>
      </c>
      <c r="AB73" s="9">
        <f>INT((Time!AB28-7)/12)+1</f>
        <v/>
      </c>
      <c r="AC73" s="9">
        <f>INT((Time!AC28-7)/12)+1</f>
        <v/>
      </c>
      <c r="AD73" s="9">
        <f>INT((Time!AD28-7)/12)+1</f>
        <v/>
      </c>
      <c r="AE73" s="9">
        <f>INT((Time!AE28-7)/12)+1</f>
        <v/>
      </c>
      <c r="AF73" s="9">
        <f>INT((Time!AF28-7)/12)+1</f>
        <v/>
      </c>
      <c r="AG73" s="9">
        <f>INT((Time!AG28-7)/12)+1</f>
        <v/>
      </c>
      <c r="AH73" s="9">
        <f>INT((Time!AH28-7)/12)+1</f>
        <v/>
      </c>
      <c r="AI73" s="9">
        <f>INT((Time!AI28-7)/12)+1</f>
        <v/>
      </c>
      <c r="AJ73" s="9">
        <f>INT((Time!AJ28-7)/12)+1</f>
        <v/>
      </c>
      <c r="AK73" s="9">
        <f>INT((Time!AK28-7)/12)+1</f>
        <v/>
      </c>
      <c r="AL73" s="9">
        <f>INT((Time!AL28-7)/12)+1</f>
        <v/>
      </c>
      <c r="AM73" s="9">
        <f>INT((Time!AM28-7)/12)+1</f>
        <v/>
      </c>
      <c r="AN73" s="9">
        <f>INT((Time!AN28-7)/12)+1</f>
        <v/>
      </c>
      <c r="AO73" s="9">
        <f>INT((Time!AO28-7)/12)+1</f>
        <v/>
      </c>
      <c r="AP73" s="9">
        <f>INT((Time!AP28-7)/12)+1</f>
        <v/>
      </c>
      <c r="AQ73" s="9">
        <f>INT((Time!AQ28-7)/12)+1</f>
        <v/>
      </c>
      <c r="AR73" s="9">
        <f>INT((Time!AR28-7)/12)+1</f>
        <v/>
      </c>
      <c r="AS73" s="9">
        <f>INT((Time!AS28-7)/12)+1</f>
        <v/>
      </c>
      <c r="AT73" s="9">
        <f>INT((Time!AT28-7)/12)+1</f>
        <v/>
      </c>
      <c r="AU73" s="9">
        <f>INT((Time!AU28-7)/12)+1</f>
        <v/>
      </c>
      <c r="AV73" s="9">
        <f>INT((Time!AV28-7)/12)+1</f>
        <v/>
      </c>
      <c r="AW73" s="9">
        <f>INT((Time!AW28-7)/12)+1</f>
        <v/>
      </c>
      <c r="AX73" s="9">
        <f>INT((Time!AX28-7)/12)+1</f>
        <v/>
      </c>
      <c r="AY73" s="9">
        <f>INT((Time!AY28-7)/12)+1</f>
        <v/>
      </c>
      <c r="AZ73" s="9">
        <f>INT((Time!AZ28-7)/12)+1</f>
        <v/>
      </c>
      <c r="BA73" s="9">
        <f>INT((Time!BA28-7)/12)+1</f>
        <v/>
      </c>
      <c r="BB73" s="9">
        <f>INT((Time!BB28-7)/12)+1</f>
        <v/>
      </c>
      <c r="BC73" s="9">
        <f>INT((Time!BC28-7)/12)+1</f>
        <v/>
      </c>
      <c r="BD73" s="9">
        <f>INT((Time!BD28-7)/12)+1</f>
        <v/>
      </c>
      <c r="BE73" s="9">
        <f>INT((Time!BE28-7)/12)+1</f>
        <v/>
      </c>
      <c r="BF73" s="9">
        <f>INT((Time!BF28-7)/12)+1</f>
        <v/>
      </c>
      <c r="BG73" s="9">
        <f>INT((Time!BG28-7)/12)+1</f>
        <v/>
      </c>
      <c r="BH73" s="9">
        <f>INT((Time!BH28-7)/12)+1</f>
        <v/>
      </c>
      <c r="BI73" s="9">
        <f>INT((Time!BI28-7)/12)+1</f>
        <v/>
      </c>
      <c r="BJ73" s="9">
        <f>INT((Time!BJ28-7)/12)+1</f>
        <v/>
      </c>
      <c r="BK73" s="9">
        <f>INT((Time!BK28-7)/12)+1</f>
        <v/>
      </c>
      <c r="BL73" s="9">
        <f>INT((Time!BL28-7)/12)+1</f>
        <v/>
      </c>
      <c r="BM73" s="9">
        <f>INT((Time!BM28-7)/12)+1</f>
        <v/>
      </c>
      <c r="BN73" s="9">
        <f>INT((Time!BN28-7)/12)+1</f>
        <v/>
      </c>
    </row>
    <row r="74">
      <c r="D74" t="inlineStr">
        <is>
          <t>Major maintenance outside LTSA (2018 prices)</t>
        </is>
      </c>
      <c r="E74" t="inlineStr">
        <is>
          <t>USD m</t>
        </is>
      </c>
      <c r="J74" s="11">
        <f>IF(AND(Time!J25&gt;0,J73&gt;=1,J73&lt;=24,Time!J27&lt;(J73-1)*12+7,(J73-1)*12+7&lt;=Time!J28),IF(MOD(J73,8)=0,Inputs!$F$164,IF(MOD(J73,4)=0,Inputs!$F$165,0)),0)</f>
        <v/>
      </c>
      <c r="K74" s="11">
        <f>IF(AND(Time!K25&gt;0,K73&gt;=1,K73&lt;=24,Time!K27&lt;(K73-1)*12+7,(K73-1)*12+7&lt;=Time!K28),IF(MOD(K73,8)=0,Inputs!$F$164,IF(MOD(K73,4)=0,Inputs!$F$165,0)),0)</f>
        <v/>
      </c>
      <c r="L74" s="11">
        <f>IF(AND(Time!L25&gt;0,L73&gt;=1,L73&lt;=24,Time!L27&lt;(L73-1)*12+7,(L73-1)*12+7&lt;=Time!L28),IF(MOD(L73,8)=0,Inputs!$F$164,IF(MOD(L73,4)=0,Inputs!$F$165,0)),0)</f>
        <v/>
      </c>
      <c r="M74" s="11">
        <f>IF(AND(Time!M25&gt;0,M73&gt;=1,M73&lt;=24,Time!M27&lt;(M73-1)*12+7,(M73-1)*12+7&lt;=Time!M28),IF(MOD(M73,8)=0,Inputs!$F$164,IF(MOD(M73,4)=0,Inputs!$F$165,0)),0)</f>
        <v/>
      </c>
      <c r="N74" s="11">
        <f>IF(AND(Time!N25&gt;0,N73&gt;=1,N73&lt;=24,Time!N27&lt;(N73-1)*12+7,(N73-1)*12+7&lt;=Time!N28),IF(MOD(N73,8)=0,Inputs!$F$164,IF(MOD(N73,4)=0,Inputs!$F$165,0)),0)</f>
        <v/>
      </c>
      <c r="O74" s="11">
        <f>IF(AND(Time!O25&gt;0,O73&gt;=1,O73&lt;=24,Time!O27&lt;(O73-1)*12+7,(O73-1)*12+7&lt;=Time!O28),IF(MOD(O73,8)=0,Inputs!$F$164,IF(MOD(O73,4)=0,Inputs!$F$165,0)),0)</f>
        <v/>
      </c>
      <c r="P74" s="11">
        <f>IF(AND(Time!P25&gt;0,P73&gt;=1,P73&lt;=24,Time!P27&lt;(P73-1)*12+7,(P73-1)*12+7&lt;=Time!P28),IF(MOD(P73,8)=0,Inputs!$F$164,IF(MOD(P73,4)=0,Inputs!$F$165,0)),0)</f>
        <v/>
      </c>
      <c r="Q74" s="11">
        <f>IF(AND(Time!Q25&gt;0,Q73&gt;=1,Q73&lt;=24,Time!Q27&lt;(Q73-1)*12+7,(Q73-1)*12+7&lt;=Time!Q28),IF(MOD(Q73,8)=0,Inputs!$F$164,IF(MOD(Q73,4)=0,Inputs!$F$165,0)),0)</f>
        <v/>
      </c>
      <c r="R74" s="11">
        <f>IF(AND(Time!R25&gt;0,R73&gt;=1,R73&lt;=24,Time!R27&lt;(R73-1)*12+7,(R73-1)*12+7&lt;=Time!R28),IF(MOD(R73,8)=0,Inputs!$F$164,IF(MOD(R73,4)=0,Inputs!$F$165,0)),0)</f>
        <v/>
      </c>
      <c r="S74" s="11">
        <f>IF(AND(Time!S25&gt;0,S73&gt;=1,S73&lt;=24,Time!S27&lt;(S73-1)*12+7,(S73-1)*12+7&lt;=Time!S28),IF(MOD(S73,8)=0,Inputs!$F$164,IF(MOD(S73,4)=0,Inputs!$F$165,0)),0)</f>
        <v/>
      </c>
      <c r="T74" s="11">
        <f>IF(AND(Time!T25&gt;0,T73&gt;=1,T73&lt;=24,Time!T27&lt;(T73-1)*12+7,(T73-1)*12+7&lt;=Time!T28),IF(MOD(T73,8)=0,Inputs!$F$164,IF(MOD(T73,4)=0,Inputs!$F$165,0)),0)</f>
        <v/>
      </c>
      <c r="U74" s="11">
        <f>IF(AND(Time!U25&gt;0,U73&gt;=1,U73&lt;=24,Time!U27&lt;(U73-1)*12+7,(U73-1)*12+7&lt;=Time!U28),IF(MOD(U73,8)=0,Inputs!$F$164,IF(MOD(U73,4)=0,Inputs!$F$165,0)),0)</f>
        <v/>
      </c>
      <c r="V74" s="11">
        <f>IF(AND(Time!V25&gt;0,V73&gt;=1,V73&lt;=24,Time!V27&lt;(V73-1)*12+7,(V73-1)*12+7&lt;=Time!V28),IF(MOD(V73,8)=0,Inputs!$F$164,IF(MOD(V73,4)=0,Inputs!$F$165,0)),0)</f>
        <v/>
      </c>
      <c r="W74" s="11">
        <f>IF(AND(Time!W25&gt;0,W73&gt;=1,W73&lt;=24,Time!W27&lt;(W73-1)*12+7,(W73-1)*12+7&lt;=Time!W28),IF(MOD(W73,8)=0,Inputs!$F$164,IF(MOD(W73,4)=0,Inputs!$F$165,0)),0)</f>
        <v/>
      </c>
      <c r="X74" s="11">
        <f>IF(AND(Time!X25&gt;0,X73&gt;=1,X73&lt;=24,Time!X27&lt;(X73-1)*12+7,(X73-1)*12+7&lt;=Time!X28),IF(MOD(X73,8)=0,Inputs!$F$164,IF(MOD(X73,4)=0,Inputs!$F$165,0)),0)</f>
        <v/>
      </c>
      <c r="Y74" s="11">
        <f>IF(AND(Time!Y25&gt;0,Y73&gt;=1,Y73&lt;=24,Time!Y27&lt;(Y73-1)*12+7,(Y73-1)*12+7&lt;=Time!Y28),IF(MOD(Y73,8)=0,Inputs!$F$164,IF(MOD(Y73,4)=0,Inputs!$F$165,0)),0)</f>
        <v/>
      </c>
      <c r="Z74" s="11">
        <f>IF(AND(Time!Z25&gt;0,Z73&gt;=1,Z73&lt;=24,Time!Z27&lt;(Z73-1)*12+7,(Z73-1)*12+7&lt;=Time!Z28),IF(MOD(Z73,8)=0,Inputs!$F$164,IF(MOD(Z73,4)=0,Inputs!$F$165,0)),0)</f>
        <v/>
      </c>
      <c r="AA74" s="11">
        <f>IF(AND(Time!AA25&gt;0,AA73&gt;=1,AA73&lt;=24,Time!AA27&lt;(AA73-1)*12+7,(AA73-1)*12+7&lt;=Time!AA28),IF(MOD(AA73,8)=0,Inputs!$F$164,IF(MOD(AA73,4)=0,Inputs!$F$165,0)),0)</f>
        <v/>
      </c>
      <c r="AB74" s="11">
        <f>IF(AND(Time!AB25&gt;0,AB73&gt;=1,AB73&lt;=24,Time!AB27&lt;(AB73-1)*12+7,(AB73-1)*12+7&lt;=Time!AB28),IF(MOD(AB73,8)=0,Inputs!$F$164,IF(MOD(AB73,4)=0,Inputs!$F$165,0)),0)</f>
        <v/>
      </c>
      <c r="AC74" s="11">
        <f>IF(AND(Time!AC25&gt;0,AC73&gt;=1,AC73&lt;=24,Time!AC27&lt;(AC73-1)*12+7,(AC73-1)*12+7&lt;=Time!AC28),IF(MOD(AC73,8)=0,Inputs!$F$164,IF(MOD(AC73,4)=0,Inputs!$F$165,0)),0)</f>
        <v/>
      </c>
      <c r="AD74" s="11">
        <f>IF(AND(Time!AD25&gt;0,AD73&gt;=1,AD73&lt;=24,Time!AD27&lt;(AD73-1)*12+7,(AD73-1)*12+7&lt;=Time!AD28),IF(MOD(AD73,8)=0,Inputs!$F$164,IF(MOD(AD73,4)=0,Inputs!$F$165,0)),0)</f>
        <v/>
      </c>
      <c r="AE74" s="11">
        <f>IF(AND(Time!AE25&gt;0,AE73&gt;=1,AE73&lt;=24,Time!AE27&lt;(AE73-1)*12+7,(AE73-1)*12+7&lt;=Time!AE28),IF(MOD(AE73,8)=0,Inputs!$F$164,IF(MOD(AE73,4)=0,Inputs!$F$165,0)),0)</f>
        <v/>
      </c>
      <c r="AF74" s="11">
        <f>IF(AND(Time!AF25&gt;0,AF73&gt;=1,AF73&lt;=24,Time!AF27&lt;(AF73-1)*12+7,(AF73-1)*12+7&lt;=Time!AF28),IF(MOD(AF73,8)=0,Inputs!$F$164,IF(MOD(AF73,4)=0,Inputs!$F$165,0)),0)</f>
        <v/>
      </c>
      <c r="AG74" s="11">
        <f>IF(AND(Time!AG25&gt;0,AG73&gt;=1,AG73&lt;=24,Time!AG27&lt;(AG73-1)*12+7,(AG73-1)*12+7&lt;=Time!AG28),IF(MOD(AG73,8)=0,Inputs!$F$164,IF(MOD(AG73,4)=0,Inputs!$F$165,0)),0)</f>
        <v/>
      </c>
      <c r="AH74" s="11">
        <f>IF(AND(Time!AH25&gt;0,AH73&gt;=1,AH73&lt;=24,Time!AH27&lt;(AH73-1)*12+7,(AH73-1)*12+7&lt;=Time!AH28),IF(MOD(AH73,8)=0,Inputs!$F$164,IF(MOD(AH73,4)=0,Inputs!$F$165,0)),0)</f>
        <v/>
      </c>
      <c r="AI74" s="11">
        <f>IF(AND(Time!AI25&gt;0,AI73&gt;=1,AI73&lt;=24,Time!AI27&lt;(AI73-1)*12+7,(AI73-1)*12+7&lt;=Time!AI28),IF(MOD(AI73,8)=0,Inputs!$F$164,IF(MOD(AI73,4)=0,Inputs!$F$165,0)),0)</f>
        <v/>
      </c>
      <c r="AJ74" s="11">
        <f>IF(AND(Time!AJ25&gt;0,AJ73&gt;=1,AJ73&lt;=24,Time!AJ27&lt;(AJ73-1)*12+7,(AJ73-1)*12+7&lt;=Time!AJ28),IF(MOD(AJ73,8)=0,Inputs!$F$164,IF(MOD(AJ73,4)=0,Inputs!$F$165,0)),0)</f>
        <v/>
      </c>
      <c r="AK74" s="11">
        <f>IF(AND(Time!AK25&gt;0,AK73&gt;=1,AK73&lt;=24,Time!AK27&lt;(AK73-1)*12+7,(AK73-1)*12+7&lt;=Time!AK28),IF(MOD(AK73,8)=0,Inputs!$F$164,IF(MOD(AK73,4)=0,Inputs!$F$165,0)),0)</f>
        <v/>
      </c>
      <c r="AL74" s="11">
        <f>IF(AND(Time!AL25&gt;0,AL73&gt;=1,AL73&lt;=24,Time!AL27&lt;(AL73-1)*12+7,(AL73-1)*12+7&lt;=Time!AL28),IF(MOD(AL73,8)=0,Inputs!$F$164,IF(MOD(AL73,4)=0,Inputs!$F$165,0)),0)</f>
        <v/>
      </c>
      <c r="AM74" s="11">
        <f>IF(AND(Time!AM25&gt;0,AM73&gt;=1,AM73&lt;=24,Time!AM27&lt;(AM73-1)*12+7,(AM73-1)*12+7&lt;=Time!AM28),IF(MOD(AM73,8)=0,Inputs!$F$164,IF(MOD(AM73,4)=0,Inputs!$F$165,0)),0)</f>
        <v/>
      </c>
      <c r="AN74" s="11">
        <f>IF(AND(Time!AN25&gt;0,AN73&gt;=1,AN73&lt;=24,Time!AN27&lt;(AN73-1)*12+7,(AN73-1)*12+7&lt;=Time!AN28),IF(MOD(AN73,8)=0,Inputs!$F$164,IF(MOD(AN73,4)=0,Inputs!$F$165,0)),0)</f>
        <v/>
      </c>
      <c r="AO74" s="11">
        <f>IF(AND(Time!AO25&gt;0,AO73&gt;=1,AO73&lt;=24,Time!AO27&lt;(AO73-1)*12+7,(AO73-1)*12+7&lt;=Time!AO28),IF(MOD(AO73,8)=0,Inputs!$F$164,IF(MOD(AO73,4)=0,Inputs!$F$165,0)),0)</f>
        <v/>
      </c>
      <c r="AP74" s="11">
        <f>IF(AND(Time!AP25&gt;0,AP73&gt;=1,AP73&lt;=24,Time!AP27&lt;(AP73-1)*12+7,(AP73-1)*12+7&lt;=Time!AP28),IF(MOD(AP73,8)=0,Inputs!$F$164,IF(MOD(AP73,4)=0,Inputs!$F$165,0)),0)</f>
        <v/>
      </c>
      <c r="AQ74" s="11">
        <f>IF(AND(Time!AQ25&gt;0,AQ73&gt;=1,AQ73&lt;=24,Time!AQ27&lt;(AQ73-1)*12+7,(AQ73-1)*12+7&lt;=Time!AQ28),IF(MOD(AQ73,8)=0,Inputs!$F$164,IF(MOD(AQ73,4)=0,Inputs!$F$165,0)),0)</f>
        <v/>
      </c>
      <c r="AR74" s="11">
        <f>IF(AND(Time!AR25&gt;0,AR73&gt;=1,AR73&lt;=24,Time!AR27&lt;(AR73-1)*12+7,(AR73-1)*12+7&lt;=Time!AR28),IF(MOD(AR73,8)=0,Inputs!$F$164,IF(MOD(AR73,4)=0,Inputs!$F$165,0)),0)</f>
        <v/>
      </c>
      <c r="AS74" s="11">
        <f>IF(AND(Time!AS25&gt;0,AS73&gt;=1,AS73&lt;=24,Time!AS27&lt;(AS73-1)*12+7,(AS73-1)*12+7&lt;=Time!AS28),IF(MOD(AS73,8)=0,Inputs!$F$164,IF(MOD(AS73,4)=0,Inputs!$F$165,0)),0)</f>
        <v/>
      </c>
      <c r="AT74" s="11">
        <f>IF(AND(Time!AT25&gt;0,AT73&gt;=1,AT73&lt;=24,Time!AT27&lt;(AT73-1)*12+7,(AT73-1)*12+7&lt;=Time!AT28),IF(MOD(AT73,8)=0,Inputs!$F$164,IF(MOD(AT73,4)=0,Inputs!$F$165,0)),0)</f>
        <v/>
      </c>
      <c r="AU74" s="11">
        <f>IF(AND(Time!AU25&gt;0,AU73&gt;=1,AU73&lt;=24,Time!AU27&lt;(AU73-1)*12+7,(AU73-1)*12+7&lt;=Time!AU28),IF(MOD(AU73,8)=0,Inputs!$F$164,IF(MOD(AU73,4)=0,Inputs!$F$165,0)),0)</f>
        <v/>
      </c>
      <c r="AV74" s="11">
        <f>IF(AND(Time!AV25&gt;0,AV73&gt;=1,AV73&lt;=24,Time!AV27&lt;(AV73-1)*12+7,(AV73-1)*12+7&lt;=Time!AV28),IF(MOD(AV73,8)=0,Inputs!$F$164,IF(MOD(AV73,4)=0,Inputs!$F$165,0)),0)</f>
        <v/>
      </c>
      <c r="AW74" s="11">
        <f>IF(AND(Time!AW25&gt;0,AW73&gt;=1,AW73&lt;=24,Time!AW27&lt;(AW73-1)*12+7,(AW73-1)*12+7&lt;=Time!AW28),IF(MOD(AW73,8)=0,Inputs!$F$164,IF(MOD(AW73,4)=0,Inputs!$F$165,0)),0)</f>
        <v/>
      </c>
      <c r="AX74" s="11">
        <f>IF(AND(Time!AX25&gt;0,AX73&gt;=1,AX73&lt;=24,Time!AX27&lt;(AX73-1)*12+7,(AX73-1)*12+7&lt;=Time!AX28),IF(MOD(AX73,8)=0,Inputs!$F$164,IF(MOD(AX73,4)=0,Inputs!$F$165,0)),0)</f>
        <v/>
      </c>
      <c r="AY74" s="11">
        <f>IF(AND(Time!AY25&gt;0,AY73&gt;=1,AY73&lt;=24,Time!AY27&lt;(AY73-1)*12+7,(AY73-1)*12+7&lt;=Time!AY28),IF(MOD(AY73,8)=0,Inputs!$F$164,IF(MOD(AY73,4)=0,Inputs!$F$165,0)),0)</f>
        <v/>
      </c>
      <c r="AZ74" s="11">
        <f>IF(AND(Time!AZ25&gt;0,AZ73&gt;=1,AZ73&lt;=24,Time!AZ27&lt;(AZ73-1)*12+7,(AZ73-1)*12+7&lt;=Time!AZ28),IF(MOD(AZ73,8)=0,Inputs!$F$164,IF(MOD(AZ73,4)=0,Inputs!$F$165,0)),0)</f>
        <v/>
      </c>
      <c r="BA74" s="11">
        <f>IF(AND(Time!BA25&gt;0,BA73&gt;=1,BA73&lt;=24,Time!BA27&lt;(BA73-1)*12+7,(BA73-1)*12+7&lt;=Time!BA28),IF(MOD(BA73,8)=0,Inputs!$F$164,IF(MOD(BA73,4)=0,Inputs!$F$165,0)),0)</f>
        <v/>
      </c>
      <c r="BB74" s="11">
        <f>IF(AND(Time!BB25&gt;0,BB73&gt;=1,BB73&lt;=24,Time!BB27&lt;(BB73-1)*12+7,(BB73-1)*12+7&lt;=Time!BB28),IF(MOD(BB73,8)=0,Inputs!$F$164,IF(MOD(BB73,4)=0,Inputs!$F$165,0)),0)</f>
        <v/>
      </c>
      <c r="BC74" s="11">
        <f>IF(AND(Time!BC25&gt;0,BC73&gt;=1,BC73&lt;=24,Time!BC27&lt;(BC73-1)*12+7,(BC73-1)*12+7&lt;=Time!BC28),IF(MOD(BC73,8)=0,Inputs!$F$164,IF(MOD(BC73,4)=0,Inputs!$F$165,0)),0)</f>
        <v/>
      </c>
      <c r="BD74" s="11">
        <f>IF(AND(Time!BD25&gt;0,BD73&gt;=1,BD73&lt;=24,Time!BD27&lt;(BD73-1)*12+7,(BD73-1)*12+7&lt;=Time!BD28),IF(MOD(BD73,8)=0,Inputs!$F$164,IF(MOD(BD73,4)=0,Inputs!$F$165,0)),0)</f>
        <v/>
      </c>
      <c r="BE74" s="11">
        <f>IF(AND(Time!BE25&gt;0,BE73&gt;=1,BE73&lt;=24,Time!BE27&lt;(BE73-1)*12+7,(BE73-1)*12+7&lt;=Time!BE28),IF(MOD(BE73,8)=0,Inputs!$F$164,IF(MOD(BE73,4)=0,Inputs!$F$165,0)),0)</f>
        <v/>
      </c>
      <c r="BF74" s="11">
        <f>IF(AND(Time!BF25&gt;0,BF73&gt;=1,BF73&lt;=24,Time!BF27&lt;(BF73-1)*12+7,(BF73-1)*12+7&lt;=Time!BF28),IF(MOD(BF73,8)=0,Inputs!$F$164,IF(MOD(BF73,4)=0,Inputs!$F$165,0)),0)</f>
        <v/>
      </c>
      <c r="BG74" s="11">
        <f>IF(AND(Time!BG25&gt;0,BG73&gt;=1,BG73&lt;=24,Time!BG27&lt;(BG73-1)*12+7,(BG73-1)*12+7&lt;=Time!BG28),IF(MOD(BG73,8)=0,Inputs!$F$164,IF(MOD(BG73,4)=0,Inputs!$F$165,0)),0)</f>
        <v/>
      </c>
      <c r="BH74" s="11">
        <f>IF(AND(Time!BH25&gt;0,BH73&gt;=1,BH73&lt;=24,Time!BH27&lt;(BH73-1)*12+7,(BH73-1)*12+7&lt;=Time!BH28),IF(MOD(BH73,8)=0,Inputs!$F$164,IF(MOD(BH73,4)=0,Inputs!$F$165,0)),0)</f>
        <v/>
      </c>
      <c r="BI74" s="11">
        <f>IF(AND(Time!BI25&gt;0,BI73&gt;=1,BI73&lt;=24,Time!BI27&lt;(BI73-1)*12+7,(BI73-1)*12+7&lt;=Time!BI28),IF(MOD(BI73,8)=0,Inputs!$F$164,IF(MOD(BI73,4)=0,Inputs!$F$165,0)),0)</f>
        <v/>
      </c>
      <c r="BJ74" s="11">
        <f>IF(AND(Time!BJ25&gt;0,BJ73&gt;=1,BJ73&lt;=24,Time!BJ27&lt;(BJ73-1)*12+7,(BJ73-1)*12+7&lt;=Time!BJ28),IF(MOD(BJ73,8)=0,Inputs!$F$164,IF(MOD(BJ73,4)=0,Inputs!$F$165,0)),0)</f>
        <v/>
      </c>
      <c r="BK74" s="11">
        <f>IF(AND(Time!BK25&gt;0,BK73&gt;=1,BK73&lt;=24,Time!BK27&lt;(BK73-1)*12+7,(BK73-1)*12+7&lt;=Time!BK28),IF(MOD(BK73,8)=0,Inputs!$F$164,IF(MOD(BK73,4)=0,Inputs!$F$165,0)),0)</f>
        <v/>
      </c>
      <c r="BL74" s="11">
        <f>IF(AND(Time!BL25&gt;0,BL73&gt;=1,BL73&lt;=24,Time!BL27&lt;(BL73-1)*12+7,(BL73-1)*12+7&lt;=Time!BL28),IF(MOD(BL73,8)=0,Inputs!$F$164,IF(MOD(BL73,4)=0,Inputs!$F$165,0)),0)</f>
        <v/>
      </c>
      <c r="BM74" s="11">
        <f>IF(AND(Time!BM25&gt;0,BM73&gt;=1,BM73&lt;=24,Time!BM27&lt;(BM73-1)*12+7,(BM73-1)*12+7&lt;=Time!BM28),IF(MOD(BM73,8)=0,Inputs!$F$164,IF(MOD(BM73,4)=0,Inputs!$F$165,0)),0)</f>
        <v/>
      </c>
      <c r="BN74" s="11">
        <f>IF(AND(Time!BN25&gt;0,BN73&gt;=1,BN73&lt;=24,Time!BN27&lt;(BN73-1)*12+7,(BN73-1)*12+7&lt;=Time!BN28),IF(MOD(BN73,8)=0,Inputs!$F$164,IF(MOD(BN73,4)=0,Inputs!$F$165,0)),0)</f>
        <v/>
      </c>
    </row>
    <row r="75">
      <c r="D75" t="inlineStr">
        <is>
          <t>Major maintenance spend</t>
        </is>
      </c>
      <c r="E75" t="inlineStr">
        <is>
          <t>USD m</t>
        </is>
      </c>
      <c r="G75" s="11">
        <f>SUM(J75:BN75)</f>
        <v/>
      </c>
      <c r="J75" s="11">
        <f>J74*J19</f>
        <v/>
      </c>
      <c r="K75" s="11">
        <f>K74*K19</f>
        <v/>
      </c>
      <c r="L75" s="11">
        <f>L74*L19</f>
        <v/>
      </c>
      <c r="M75" s="11">
        <f>M74*M19</f>
        <v/>
      </c>
      <c r="N75" s="11">
        <f>N74*N19</f>
        <v/>
      </c>
      <c r="O75" s="11">
        <f>O74*O19</f>
        <v/>
      </c>
      <c r="P75" s="11">
        <f>P74*P19</f>
        <v/>
      </c>
      <c r="Q75" s="11">
        <f>Q74*Q19</f>
        <v/>
      </c>
      <c r="R75" s="11">
        <f>R74*R19</f>
        <v/>
      </c>
      <c r="S75" s="11">
        <f>S74*S19</f>
        <v/>
      </c>
      <c r="T75" s="11">
        <f>T74*T19</f>
        <v/>
      </c>
      <c r="U75" s="11">
        <f>U74*U19</f>
        <v/>
      </c>
      <c r="V75" s="11">
        <f>V74*V19</f>
        <v/>
      </c>
      <c r="W75" s="11">
        <f>W74*W19</f>
        <v/>
      </c>
      <c r="X75" s="11">
        <f>X74*X19</f>
        <v/>
      </c>
      <c r="Y75" s="11">
        <f>Y74*Y19</f>
        <v/>
      </c>
      <c r="Z75" s="11">
        <f>Z74*Z19</f>
        <v/>
      </c>
      <c r="AA75" s="11">
        <f>AA74*AA19</f>
        <v/>
      </c>
      <c r="AB75" s="11">
        <f>AB74*AB19</f>
        <v/>
      </c>
      <c r="AC75" s="11">
        <f>AC74*AC19</f>
        <v/>
      </c>
      <c r="AD75" s="11">
        <f>AD74*AD19</f>
        <v/>
      </c>
      <c r="AE75" s="11">
        <f>AE74*AE19</f>
        <v/>
      </c>
      <c r="AF75" s="11">
        <f>AF74*AF19</f>
        <v/>
      </c>
      <c r="AG75" s="11">
        <f>AG74*AG19</f>
        <v/>
      </c>
      <c r="AH75" s="11">
        <f>AH74*AH19</f>
        <v/>
      </c>
      <c r="AI75" s="11">
        <f>AI74*AI19</f>
        <v/>
      </c>
      <c r="AJ75" s="11">
        <f>AJ74*AJ19</f>
        <v/>
      </c>
      <c r="AK75" s="11">
        <f>AK74*AK19</f>
        <v/>
      </c>
      <c r="AL75" s="11">
        <f>AL74*AL19</f>
        <v/>
      </c>
      <c r="AM75" s="11">
        <f>AM74*AM19</f>
        <v/>
      </c>
      <c r="AN75" s="11">
        <f>AN74*AN19</f>
        <v/>
      </c>
      <c r="AO75" s="11">
        <f>AO74*AO19</f>
        <v/>
      </c>
      <c r="AP75" s="11">
        <f>AP74*AP19</f>
        <v/>
      </c>
      <c r="AQ75" s="11">
        <f>AQ74*AQ19</f>
        <v/>
      </c>
      <c r="AR75" s="11">
        <f>AR74*AR19</f>
        <v/>
      </c>
      <c r="AS75" s="11">
        <f>AS74*AS19</f>
        <v/>
      </c>
      <c r="AT75" s="11">
        <f>AT74*AT19</f>
        <v/>
      </c>
      <c r="AU75" s="11">
        <f>AU74*AU19</f>
        <v/>
      </c>
      <c r="AV75" s="11">
        <f>AV74*AV19</f>
        <v/>
      </c>
      <c r="AW75" s="11">
        <f>AW74*AW19</f>
        <v/>
      </c>
      <c r="AX75" s="11">
        <f>AX74*AX19</f>
        <v/>
      </c>
      <c r="AY75" s="11">
        <f>AY74*AY19</f>
        <v/>
      </c>
      <c r="AZ75" s="11">
        <f>AZ74*AZ19</f>
        <v/>
      </c>
      <c r="BA75" s="11">
        <f>BA74*BA19</f>
        <v/>
      </c>
      <c r="BB75" s="11">
        <f>BB74*BB19</f>
        <v/>
      </c>
      <c r="BC75" s="11">
        <f>BC74*BC19</f>
        <v/>
      </c>
      <c r="BD75" s="11">
        <f>BD74*BD19</f>
        <v/>
      </c>
      <c r="BE75" s="11">
        <f>BE74*BE19</f>
        <v/>
      </c>
      <c r="BF75" s="11">
        <f>BF74*BF19</f>
        <v/>
      </c>
      <c r="BG75" s="11">
        <f>BG74*BG19</f>
        <v/>
      </c>
      <c r="BH75" s="11">
        <f>BH74*BH19</f>
        <v/>
      </c>
      <c r="BI75" s="11">
        <f>BI74*BI19</f>
        <v/>
      </c>
      <c r="BJ75" s="11">
        <f>BJ74*BJ19</f>
        <v/>
      </c>
      <c r="BK75" s="11">
        <f>BK74*BK19</f>
        <v/>
      </c>
      <c r="BL75" s="11">
        <f>BL74*BL19</f>
        <v/>
      </c>
      <c r="BM75" s="11">
        <f>BM74*BM19</f>
        <v/>
      </c>
      <c r="BN75" s="11">
        <f>BN74*BN19</f>
        <v/>
      </c>
    </row>
    <row r="76">
      <c r="D76" t="inlineStr">
        <is>
          <t>Months in period from OY20</t>
        </is>
      </c>
      <c r="E76" t="inlineStr">
        <is>
          <t>months</t>
        </is>
      </c>
      <c r="J76" s="9">
        <f>MAX(0,MIN(Time!J28,300)-MAX(Time!J27,228))</f>
        <v/>
      </c>
      <c r="K76" s="9">
        <f>MAX(0,MIN(Time!K28,300)-MAX(Time!K27,228))</f>
        <v/>
      </c>
      <c r="L76" s="9">
        <f>MAX(0,MIN(Time!L28,300)-MAX(Time!L27,228))</f>
        <v/>
      </c>
      <c r="M76" s="9">
        <f>MAX(0,MIN(Time!M28,300)-MAX(Time!M27,228))</f>
        <v/>
      </c>
      <c r="N76" s="9">
        <f>MAX(0,MIN(Time!N28,300)-MAX(Time!N27,228))</f>
        <v/>
      </c>
      <c r="O76" s="9">
        <f>MAX(0,MIN(Time!O28,300)-MAX(Time!O27,228))</f>
        <v/>
      </c>
      <c r="P76" s="9">
        <f>MAX(0,MIN(Time!P28,300)-MAX(Time!P27,228))</f>
        <v/>
      </c>
      <c r="Q76" s="9">
        <f>MAX(0,MIN(Time!Q28,300)-MAX(Time!Q27,228))</f>
        <v/>
      </c>
      <c r="R76" s="9">
        <f>MAX(0,MIN(Time!R28,300)-MAX(Time!R27,228))</f>
        <v/>
      </c>
      <c r="S76" s="9">
        <f>MAX(0,MIN(Time!S28,300)-MAX(Time!S27,228))</f>
        <v/>
      </c>
      <c r="T76" s="9">
        <f>MAX(0,MIN(Time!T28,300)-MAX(Time!T27,228))</f>
        <v/>
      </c>
      <c r="U76" s="9">
        <f>MAX(0,MIN(Time!U28,300)-MAX(Time!U27,228))</f>
        <v/>
      </c>
      <c r="V76" s="9">
        <f>MAX(0,MIN(Time!V28,300)-MAX(Time!V27,228))</f>
        <v/>
      </c>
      <c r="W76" s="9">
        <f>MAX(0,MIN(Time!W28,300)-MAX(Time!W27,228))</f>
        <v/>
      </c>
      <c r="X76" s="9">
        <f>MAX(0,MIN(Time!X28,300)-MAX(Time!X27,228))</f>
        <v/>
      </c>
      <c r="Y76" s="9">
        <f>MAX(0,MIN(Time!Y28,300)-MAX(Time!Y27,228))</f>
        <v/>
      </c>
      <c r="Z76" s="9">
        <f>MAX(0,MIN(Time!Z28,300)-MAX(Time!Z27,228))</f>
        <v/>
      </c>
      <c r="AA76" s="9">
        <f>MAX(0,MIN(Time!AA28,300)-MAX(Time!AA27,228))</f>
        <v/>
      </c>
      <c r="AB76" s="9">
        <f>MAX(0,MIN(Time!AB28,300)-MAX(Time!AB27,228))</f>
        <v/>
      </c>
      <c r="AC76" s="9">
        <f>MAX(0,MIN(Time!AC28,300)-MAX(Time!AC27,228))</f>
        <v/>
      </c>
      <c r="AD76" s="9">
        <f>MAX(0,MIN(Time!AD28,300)-MAX(Time!AD27,228))</f>
        <v/>
      </c>
      <c r="AE76" s="9">
        <f>MAX(0,MIN(Time!AE28,300)-MAX(Time!AE27,228))</f>
        <v/>
      </c>
      <c r="AF76" s="9">
        <f>MAX(0,MIN(Time!AF28,300)-MAX(Time!AF27,228))</f>
        <v/>
      </c>
      <c r="AG76" s="9">
        <f>MAX(0,MIN(Time!AG28,300)-MAX(Time!AG27,228))</f>
        <v/>
      </c>
      <c r="AH76" s="9">
        <f>MAX(0,MIN(Time!AH28,300)-MAX(Time!AH27,228))</f>
        <v/>
      </c>
      <c r="AI76" s="9">
        <f>MAX(0,MIN(Time!AI28,300)-MAX(Time!AI27,228))</f>
        <v/>
      </c>
      <c r="AJ76" s="9">
        <f>MAX(0,MIN(Time!AJ28,300)-MAX(Time!AJ27,228))</f>
        <v/>
      </c>
      <c r="AK76" s="9">
        <f>MAX(0,MIN(Time!AK28,300)-MAX(Time!AK27,228))</f>
        <v/>
      </c>
      <c r="AL76" s="9">
        <f>MAX(0,MIN(Time!AL28,300)-MAX(Time!AL27,228))</f>
        <v/>
      </c>
      <c r="AM76" s="9">
        <f>MAX(0,MIN(Time!AM28,300)-MAX(Time!AM27,228))</f>
        <v/>
      </c>
      <c r="AN76" s="9">
        <f>MAX(0,MIN(Time!AN28,300)-MAX(Time!AN27,228))</f>
        <v/>
      </c>
      <c r="AO76" s="9">
        <f>MAX(0,MIN(Time!AO28,300)-MAX(Time!AO27,228))</f>
        <v/>
      </c>
      <c r="AP76" s="9">
        <f>MAX(0,MIN(Time!AP28,300)-MAX(Time!AP27,228))</f>
        <v/>
      </c>
      <c r="AQ76" s="9">
        <f>MAX(0,MIN(Time!AQ28,300)-MAX(Time!AQ27,228))</f>
        <v/>
      </c>
      <c r="AR76" s="9">
        <f>MAX(0,MIN(Time!AR28,300)-MAX(Time!AR27,228))</f>
        <v/>
      </c>
      <c r="AS76" s="9">
        <f>MAX(0,MIN(Time!AS28,300)-MAX(Time!AS27,228))</f>
        <v/>
      </c>
      <c r="AT76" s="9">
        <f>MAX(0,MIN(Time!AT28,300)-MAX(Time!AT27,228))</f>
        <v/>
      </c>
      <c r="AU76" s="9">
        <f>MAX(0,MIN(Time!AU28,300)-MAX(Time!AU27,228))</f>
        <v/>
      </c>
      <c r="AV76" s="9">
        <f>MAX(0,MIN(Time!AV28,300)-MAX(Time!AV27,228))</f>
        <v/>
      </c>
      <c r="AW76" s="9">
        <f>MAX(0,MIN(Time!AW28,300)-MAX(Time!AW27,228))</f>
        <v/>
      </c>
      <c r="AX76" s="9">
        <f>MAX(0,MIN(Time!AX28,300)-MAX(Time!AX27,228))</f>
        <v/>
      </c>
      <c r="AY76" s="9">
        <f>MAX(0,MIN(Time!AY28,300)-MAX(Time!AY27,228))</f>
        <v/>
      </c>
      <c r="AZ76" s="9">
        <f>MAX(0,MIN(Time!AZ28,300)-MAX(Time!AZ27,228))</f>
        <v/>
      </c>
      <c r="BA76" s="9">
        <f>MAX(0,MIN(Time!BA28,300)-MAX(Time!BA27,228))</f>
        <v/>
      </c>
      <c r="BB76" s="9">
        <f>MAX(0,MIN(Time!BB28,300)-MAX(Time!BB27,228))</f>
        <v/>
      </c>
      <c r="BC76" s="9">
        <f>MAX(0,MIN(Time!BC28,300)-MAX(Time!BC27,228))</f>
        <v/>
      </c>
      <c r="BD76" s="9">
        <f>MAX(0,MIN(Time!BD28,300)-MAX(Time!BD27,228))</f>
        <v/>
      </c>
      <c r="BE76" s="9">
        <f>MAX(0,MIN(Time!BE28,300)-MAX(Time!BE27,228))</f>
        <v/>
      </c>
      <c r="BF76" s="9">
        <f>MAX(0,MIN(Time!BF28,300)-MAX(Time!BF27,228))</f>
        <v/>
      </c>
      <c r="BG76" s="9">
        <f>MAX(0,MIN(Time!BG28,300)-MAX(Time!BG27,228))</f>
        <v/>
      </c>
      <c r="BH76" s="9">
        <f>MAX(0,MIN(Time!BH28,300)-MAX(Time!BH27,228))</f>
        <v/>
      </c>
      <c r="BI76" s="9">
        <f>MAX(0,MIN(Time!BI28,300)-MAX(Time!BI27,228))</f>
        <v/>
      </c>
      <c r="BJ76" s="9">
        <f>MAX(0,MIN(Time!BJ28,300)-MAX(Time!BJ27,228))</f>
        <v/>
      </c>
      <c r="BK76" s="9">
        <f>MAX(0,MIN(Time!BK28,300)-MAX(Time!BK27,228))</f>
        <v/>
      </c>
      <c r="BL76" s="9">
        <f>MAX(0,MIN(Time!BL28,300)-MAX(Time!BL27,228))</f>
        <v/>
      </c>
      <c r="BM76" s="9">
        <f>MAX(0,MIN(Time!BM28,300)-MAX(Time!BM27,228))</f>
        <v/>
      </c>
      <c r="BN76" s="9">
        <f>MAX(0,MIN(Time!BN28,300)-MAX(Time!BN27,228))</f>
        <v/>
      </c>
    </row>
    <row r="77">
      <c r="D77" t="inlineStr">
        <is>
          <t>Handback reserve contribution required</t>
        </is>
      </c>
      <c r="E77" t="inlineStr">
        <is>
          <t>USD m</t>
        </is>
      </c>
      <c r="G77" s="11">
        <f>SUM(J77:BN77)</f>
        <v/>
      </c>
      <c r="J77" s="11">
        <f>Inputs!$F$166*J19*J76/12</f>
        <v/>
      </c>
      <c r="K77" s="11">
        <f>Inputs!$F$166*K19*K76/12</f>
        <v/>
      </c>
      <c r="L77" s="11">
        <f>Inputs!$F$166*L19*L76/12</f>
        <v/>
      </c>
      <c r="M77" s="11">
        <f>Inputs!$F$166*M19*M76/12</f>
        <v/>
      </c>
      <c r="N77" s="11">
        <f>Inputs!$F$166*N19*N76/12</f>
        <v/>
      </c>
      <c r="O77" s="11">
        <f>Inputs!$F$166*O19*O76/12</f>
        <v/>
      </c>
      <c r="P77" s="11">
        <f>Inputs!$F$166*P19*P76/12</f>
        <v/>
      </c>
      <c r="Q77" s="11">
        <f>Inputs!$F$166*Q19*Q76/12</f>
        <v/>
      </c>
      <c r="R77" s="11">
        <f>Inputs!$F$166*R19*R76/12</f>
        <v/>
      </c>
      <c r="S77" s="11">
        <f>Inputs!$F$166*S19*S76/12</f>
        <v/>
      </c>
      <c r="T77" s="11">
        <f>Inputs!$F$166*T19*T76/12</f>
        <v/>
      </c>
      <c r="U77" s="11">
        <f>Inputs!$F$166*U19*U76/12</f>
        <v/>
      </c>
      <c r="V77" s="11">
        <f>Inputs!$F$166*V19*V76/12</f>
        <v/>
      </c>
      <c r="W77" s="11">
        <f>Inputs!$F$166*W19*W76/12</f>
        <v/>
      </c>
      <c r="X77" s="11">
        <f>Inputs!$F$166*X19*X76/12</f>
        <v/>
      </c>
      <c r="Y77" s="11">
        <f>Inputs!$F$166*Y19*Y76/12</f>
        <v/>
      </c>
      <c r="Z77" s="11">
        <f>Inputs!$F$166*Z19*Z76/12</f>
        <v/>
      </c>
      <c r="AA77" s="11">
        <f>Inputs!$F$166*AA19*AA76/12</f>
        <v/>
      </c>
      <c r="AB77" s="11">
        <f>Inputs!$F$166*AB19*AB76/12</f>
        <v/>
      </c>
      <c r="AC77" s="11">
        <f>Inputs!$F$166*AC19*AC76/12</f>
        <v/>
      </c>
      <c r="AD77" s="11">
        <f>Inputs!$F$166*AD19*AD76/12</f>
        <v/>
      </c>
      <c r="AE77" s="11">
        <f>Inputs!$F$166*AE19*AE76/12</f>
        <v/>
      </c>
      <c r="AF77" s="11">
        <f>Inputs!$F$166*AF19*AF76/12</f>
        <v/>
      </c>
      <c r="AG77" s="11">
        <f>Inputs!$F$166*AG19*AG76/12</f>
        <v/>
      </c>
      <c r="AH77" s="11">
        <f>Inputs!$F$166*AH19*AH76/12</f>
        <v/>
      </c>
      <c r="AI77" s="11">
        <f>Inputs!$F$166*AI19*AI76/12</f>
        <v/>
      </c>
      <c r="AJ77" s="11">
        <f>Inputs!$F$166*AJ19*AJ76/12</f>
        <v/>
      </c>
      <c r="AK77" s="11">
        <f>Inputs!$F$166*AK19*AK76/12</f>
        <v/>
      </c>
      <c r="AL77" s="11">
        <f>Inputs!$F$166*AL19*AL76/12</f>
        <v/>
      </c>
      <c r="AM77" s="11">
        <f>Inputs!$F$166*AM19*AM76/12</f>
        <v/>
      </c>
      <c r="AN77" s="11">
        <f>Inputs!$F$166*AN19*AN76/12</f>
        <v/>
      </c>
      <c r="AO77" s="11">
        <f>Inputs!$F$166*AO19*AO76/12</f>
        <v/>
      </c>
      <c r="AP77" s="11">
        <f>Inputs!$F$166*AP19*AP76/12</f>
        <v/>
      </c>
      <c r="AQ77" s="11">
        <f>Inputs!$F$166*AQ19*AQ76/12</f>
        <v/>
      </c>
      <c r="AR77" s="11">
        <f>Inputs!$F$166*AR19*AR76/12</f>
        <v/>
      </c>
      <c r="AS77" s="11">
        <f>Inputs!$F$166*AS19*AS76/12</f>
        <v/>
      </c>
      <c r="AT77" s="11">
        <f>Inputs!$F$166*AT19*AT76/12</f>
        <v/>
      </c>
      <c r="AU77" s="11">
        <f>Inputs!$F$166*AU19*AU76/12</f>
        <v/>
      </c>
      <c r="AV77" s="11">
        <f>Inputs!$F$166*AV19*AV76/12</f>
        <v/>
      </c>
      <c r="AW77" s="11">
        <f>Inputs!$F$166*AW19*AW76/12</f>
        <v/>
      </c>
      <c r="AX77" s="11">
        <f>Inputs!$F$166*AX19*AX76/12</f>
        <v/>
      </c>
      <c r="AY77" s="11">
        <f>Inputs!$F$166*AY19*AY76/12</f>
        <v/>
      </c>
      <c r="AZ77" s="11">
        <f>Inputs!$F$166*AZ19*AZ76/12</f>
        <v/>
      </c>
      <c r="BA77" s="11">
        <f>Inputs!$F$166*BA19*BA76/12</f>
        <v/>
      </c>
      <c r="BB77" s="11">
        <f>Inputs!$F$166*BB19*BB76/12</f>
        <v/>
      </c>
      <c r="BC77" s="11">
        <f>Inputs!$F$166*BC19*BC76/12</f>
        <v/>
      </c>
      <c r="BD77" s="11">
        <f>Inputs!$F$166*BD19*BD76/12</f>
        <v/>
      </c>
      <c r="BE77" s="11">
        <f>Inputs!$F$166*BE19*BE76/12</f>
        <v/>
      </c>
      <c r="BF77" s="11">
        <f>Inputs!$F$166*BF19*BF76/12</f>
        <v/>
      </c>
      <c r="BG77" s="11">
        <f>Inputs!$F$166*BG19*BG76/12</f>
        <v/>
      </c>
      <c r="BH77" s="11">
        <f>Inputs!$F$166*BH19*BH76/12</f>
        <v/>
      </c>
      <c r="BI77" s="11">
        <f>Inputs!$F$166*BI19*BI76/12</f>
        <v/>
      </c>
      <c r="BJ77" s="11">
        <f>Inputs!$F$166*BJ19*BJ76/12</f>
        <v/>
      </c>
      <c r="BK77" s="11">
        <f>Inputs!$F$166*BK19*BK76/12</f>
        <v/>
      </c>
      <c r="BL77" s="11">
        <f>Inputs!$F$166*BL19*BL76/12</f>
        <v/>
      </c>
      <c r="BM77" s="11">
        <f>Inputs!$F$166*BM19*BM76/12</f>
        <v/>
      </c>
      <c r="BN77" s="11">
        <f>Inputs!$F$166*BN19*BN76/12</f>
        <v/>
      </c>
    </row>
    <row r="78">
      <c r="D78" t="inlineStr">
        <is>
          <t>Handback works at PPA expiry</t>
        </is>
      </c>
      <c r="E78" t="inlineStr">
        <is>
          <t>USD m</t>
        </is>
      </c>
      <c r="G78" s="11">
        <f>SUM(J78:BN78)</f>
        <v/>
      </c>
      <c r="J78" s="11">
        <f>Time!J32*SUM($J$77:$BN$77)</f>
        <v/>
      </c>
      <c r="K78" s="11">
        <f>Time!K32*SUM($J$77:$BN$77)</f>
        <v/>
      </c>
      <c r="L78" s="11">
        <f>Time!L32*SUM($J$77:$BN$77)</f>
        <v/>
      </c>
      <c r="M78" s="11">
        <f>Time!M32*SUM($J$77:$BN$77)</f>
        <v/>
      </c>
      <c r="N78" s="11">
        <f>Time!N32*SUM($J$77:$BN$77)</f>
        <v/>
      </c>
      <c r="O78" s="11">
        <f>Time!O32*SUM($J$77:$BN$77)</f>
        <v/>
      </c>
      <c r="P78" s="11">
        <f>Time!P32*SUM($J$77:$BN$77)</f>
        <v/>
      </c>
      <c r="Q78" s="11">
        <f>Time!Q32*SUM($J$77:$BN$77)</f>
        <v/>
      </c>
      <c r="R78" s="11">
        <f>Time!R32*SUM($J$77:$BN$77)</f>
        <v/>
      </c>
      <c r="S78" s="11">
        <f>Time!S32*SUM($J$77:$BN$77)</f>
        <v/>
      </c>
      <c r="T78" s="11">
        <f>Time!T32*SUM($J$77:$BN$77)</f>
        <v/>
      </c>
      <c r="U78" s="11">
        <f>Time!U32*SUM($J$77:$BN$77)</f>
        <v/>
      </c>
      <c r="V78" s="11">
        <f>Time!V32*SUM($J$77:$BN$77)</f>
        <v/>
      </c>
      <c r="W78" s="11">
        <f>Time!W32*SUM($J$77:$BN$77)</f>
        <v/>
      </c>
      <c r="X78" s="11">
        <f>Time!X32*SUM($J$77:$BN$77)</f>
        <v/>
      </c>
      <c r="Y78" s="11">
        <f>Time!Y32*SUM($J$77:$BN$77)</f>
        <v/>
      </c>
      <c r="Z78" s="11">
        <f>Time!Z32*SUM($J$77:$BN$77)</f>
        <v/>
      </c>
      <c r="AA78" s="11">
        <f>Time!AA32*SUM($J$77:$BN$77)</f>
        <v/>
      </c>
      <c r="AB78" s="11">
        <f>Time!AB32*SUM($J$77:$BN$77)</f>
        <v/>
      </c>
      <c r="AC78" s="11">
        <f>Time!AC32*SUM($J$77:$BN$77)</f>
        <v/>
      </c>
      <c r="AD78" s="11">
        <f>Time!AD32*SUM($J$77:$BN$77)</f>
        <v/>
      </c>
      <c r="AE78" s="11">
        <f>Time!AE32*SUM($J$77:$BN$77)</f>
        <v/>
      </c>
      <c r="AF78" s="11">
        <f>Time!AF32*SUM($J$77:$BN$77)</f>
        <v/>
      </c>
      <c r="AG78" s="11">
        <f>Time!AG32*SUM($J$77:$BN$77)</f>
        <v/>
      </c>
      <c r="AH78" s="11">
        <f>Time!AH32*SUM($J$77:$BN$77)</f>
        <v/>
      </c>
      <c r="AI78" s="11">
        <f>Time!AI32*SUM($J$77:$BN$77)</f>
        <v/>
      </c>
      <c r="AJ78" s="11">
        <f>Time!AJ32*SUM($J$77:$BN$77)</f>
        <v/>
      </c>
      <c r="AK78" s="11">
        <f>Time!AK32*SUM($J$77:$BN$77)</f>
        <v/>
      </c>
      <c r="AL78" s="11">
        <f>Time!AL32*SUM($J$77:$BN$77)</f>
        <v/>
      </c>
      <c r="AM78" s="11">
        <f>Time!AM32*SUM($J$77:$BN$77)</f>
        <v/>
      </c>
      <c r="AN78" s="11">
        <f>Time!AN32*SUM($J$77:$BN$77)</f>
        <v/>
      </c>
      <c r="AO78" s="11">
        <f>Time!AO32*SUM($J$77:$BN$77)</f>
        <v/>
      </c>
      <c r="AP78" s="11">
        <f>Time!AP32*SUM($J$77:$BN$77)</f>
        <v/>
      </c>
      <c r="AQ78" s="11">
        <f>Time!AQ32*SUM($J$77:$BN$77)</f>
        <v/>
      </c>
      <c r="AR78" s="11">
        <f>Time!AR32*SUM($J$77:$BN$77)</f>
        <v/>
      </c>
      <c r="AS78" s="11">
        <f>Time!AS32*SUM($J$77:$BN$77)</f>
        <v/>
      </c>
      <c r="AT78" s="11">
        <f>Time!AT32*SUM($J$77:$BN$77)</f>
        <v/>
      </c>
      <c r="AU78" s="11">
        <f>Time!AU32*SUM($J$77:$BN$77)</f>
        <v/>
      </c>
      <c r="AV78" s="11">
        <f>Time!AV32*SUM($J$77:$BN$77)</f>
        <v/>
      </c>
      <c r="AW78" s="11">
        <f>Time!AW32*SUM($J$77:$BN$77)</f>
        <v/>
      </c>
      <c r="AX78" s="11">
        <f>Time!AX32*SUM($J$77:$BN$77)</f>
        <v/>
      </c>
      <c r="AY78" s="11">
        <f>Time!AY32*SUM($J$77:$BN$77)</f>
        <v/>
      </c>
      <c r="AZ78" s="11">
        <f>Time!AZ32*SUM($J$77:$BN$77)</f>
        <v/>
      </c>
      <c r="BA78" s="11">
        <f>Time!BA32*SUM($J$77:$BN$77)</f>
        <v/>
      </c>
      <c r="BB78" s="11">
        <f>Time!BB32*SUM($J$77:$BN$77)</f>
        <v/>
      </c>
      <c r="BC78" s="11">
        <f>Time!BC32*SUM($J$77:$BN$77)</f>
        <v/>
      </c>
      <c r="BD78" s="11">
        <f>Time!BD32*SUM($J$77:$BN$77)</f>
        <v/>
      </c>
      <c r="BE78" s="11">
        <f>Time!BE32*SUM($J$77:$BN$77)</f>
        <v/>
      </c>
      <c r="BF78" s="11">
        <f>Time!BF32*SUM($J$77:$BN$77)</f>
        <v/>
      </c>
      <c r="BG78" s="11">
        <f>Time!BG32*SUM($J$77:$BN$77)</f>
        <v/>
      </c>
      <c r="BH78" s="11">
        <f>Time!BH32*SUM($J$77:$BN$77)</f>
        <v/>
      </c>
      <c r="BI78" s="11">
        <f>Time!BI32*SUM($J$77:$BN$77)</f>
        <v/>
      </c>
      <c r="BJ78" s="11">
        <f>Time!BJ32*SUM($J$77:$BN$77)</f>
        <v/>
      </c>
      <c r="BK78" s="11">
        <f>Time!BK32*SUM($J$77:$BN$77)</f>
        <v/>
      </c>
      <c r="BL78" s="11">
        <f>Time!BL32*SUM($J$77:$BN$77)</f>
        <v/>
      </c>
      <c r="BM78" s="11">
        <f>Time!BM32*SUM($J$77:$BN$77)</f>
        <v/>
      </c>
      <c r="BN78" s="11">
        <f>Time!BN32*SUM($J$77:$BN$77)</f>
        <v/>
      </c>
    </row>
    <row r="79">
      <c r="D79" t="inlineStr">
        <is>
          <t>Total operating costs</t>
        </is>
      </c>
      <c r="E79" t="inlineStr">
        <is>
          <t>USD m</t>
        </is>
      </c>
      <c r="G79" s="11">
        <f>SUM(J79:BN79)</f>
        <v/>
      </c>
      <c r="J79" s="11">
        <f>J68+J70+J71+J72+J75+J78</f>
        <v/>
      </c>
      <c r="K79" s="11">
        <f>K68+K70+K71+K72+K75+K78</f>
        <v/>
      </c>
      <c r="L79" s="11">
        <f>L68+L70+L71+L72+L75+L78</f>
        <v/>
      </c>
      <c r="M79" s="11">
        <f>M68+M70+M71+M72+M75+M78</f>
        <v/>
      </c>
      <c r="N79" s="11">
        <f>N68+N70+N71+N72+N75+N78</f>
        <v/>
      </c>
      <c r="O79" s="11">
        <f>O68+O70+O71+O72+O75+O78</f>
        <v/>
      </c>
      <c r="P79" s="11">
        <f>P68+P70+P71+P72+P75+P78</f>
        <v/>
      </c>
      <c r="Q79" s="11">
        <f>Q68+Q70+Q71+Q72+Q75+Q78</f>
        <v/>
      </c>
      <c r="R79" s="11">
        <f>R68+R70+R71+R72+R75+R78</f>
        <v/>
      </c>
      <c r="S79" s="11">
        <f>S68+S70+S71+S72+S75+S78</f>
        <v/>
      </c>
      <c r="T79" s="11">
        <f>T68+T70+T71+T72+T75+T78</f>
        <v/>
      </c>
      <c r="U79" s="11">
        <f>U68+U70+U71+U72+U75+U78</f>
        <v/>
      </c>
      <c r="V79" s="11">
        <f>V68+V70+V71+V72+V75+V78</f>
        <v/>
      </c>
      <c r="W79" s="11">
        <f>W68+W70+W71+W72+W75+W78</f>
        <v/>
      </c>
      <c r="X79" s="11">
        <f>X68+X70+X71+X72+X75+X78</f>
        <v/>
      </c>
      <c r="Y79" s="11">
        <f>Y68+Y70+Y71+Y72+Y75+Y78</f>
        <v/>
      </c>
      <c r="Z79" s="11">
        <f>Z68+Z70+Z71+Z72+Z75+Z78</f>
        <v/>
      </c>
      <c r="AA79" s="11">
        <f>AA68+AA70+AA71+AA72+AA75+AA78</f>
        <v/>
      </c>
      <c r="AB79" s="11">
        <f>AB68+AB70+AB71+AB72+AB75+AB78</f>
        <v/>
      </c>
      <c r="AC79" s="11">
        <f>AC68+AC70+AC71+AC72+AC75+AC78</f>
        <v/>
      </c>
      <c r="AD79" s="11">
        <f>AD68+AD70+AD71+AD72+AD75+AD78</f>
        <v/>
      </c>
      <c r="AE79" s="11">
        <f>AE68+AE70+AE71+AE72+AE75+AE78</f>
        <v/>
      </c>
      <c r="AF79" s="11">
        <f>AF68+AF70+AF71+AF72+AF75+AF78</f>
        <v/>
      </c>
      <c r="AG79" s="11">
        <f>AG68+AG70+AG71+AG72+AG75+AG78</f>
        <v/>
      </c>
      <c r="AH79" s="11">
        <f>AH68+AH70+AH71+AH72+AH75+AH78</f>
        <v/>
      </c>
      <c r="AI79" s="11">
        <f>AI68+AI70+AI71+AI72+AI75+AI78</f>
        <v/>
      </c>
      <c r="AJ79" s="11">
        <f>AJ68+AJ70+AJ71+AJ72+AJ75+AJ78</f>
        <v/>
      </c>
      <c r="AK79" s="11">
        <f>AK68+AK70+AK71+AK72+AK75+AK78</f>
        <v/>
      </c>
      <c r="AL79" s="11">
        <f>AL68+AL70+AL71+AL72+AL75+AL78</f>
        <v/>
      </c>
      <c r="AM79" s="11">
        <f>AM68+AM70+AM71+AM72+AM75+AM78</f>
        <v/>
      </c>
      <c r="AN79" s="11">
        <f>AN68+AN70+AN71+AN72+AN75+AN78</f>
        <v/>
      </c>
      <c r="AO79" s="11">
        <f>AO68+AO70+AO71+AO72+AO75+AO78</f>
        <v/>
      </c>
      <c r="AP79" s="11">
        <f>AP68+AP70+AP71+AP72+AP75+AP78</f>
        <v/>
      </c>
      <c r="AQ79" s="11">
        <f>AQ68+AQ70+AQ71+AQ72+AQ75+AQ78</f>
        <v/>
      </c>
      <c r="AR79" s="11">
        <f>AR68+AR70+AR71+AR72+AR75+AR78</f>
        <v/>
      </c>
      <c r="AS79" s="11">
        <f>AS68+AS70+AS71+AS72+AS75+AS78</f>
        <v/>
      </c>
      <c r="AT79" s="11">
        <f>AT68+AT70+AT71+AT72+AT75+AT78</f>
        <v/>
      </c>
      <c r="AU79" s="11">
        <f>AU68+AU70+AU71+AU72+AU75+AU78</f>
        <v/>
      </c>
      <c r="AV79" s="11">
        <f>AV68+AV70+AV71+AV72+AV75+AV78</f>
        <v/>
      </c>
      <c r="AW79" s="11">
        <f>AW68+AW70+AW71+AW72+AW75+AW78</f>
        <v/>
      </c>
      <c r="AX79" s="11">
        <f>AX68+AX70+AX71+AX72+AX75+AX78</f>
        <v/>
      </c>
      <c r="AY79" s="11">
        <f>AY68+AY70+AY71+AY72+AY75+AY78</f>
        <v/>
      </c>
      <c r="AZ79" s="11">
        <f>AZ68+AZ70+AZ71+AZ72+AZ75+AZ78</f>
        <v/>
      </c>
      <c r="BA79" s="11">
        <f>BA68+BA70+BA71+BA72+BA75+BA78</f>
        <v/>
      </c>
      <c r="BB79" s="11">
        <f>BB68+BB70+BB71+BB72+BB75+BB78</f>
        <v/>
      </c>
      <c r="BC79" s="11">
        <f>BC68+BC70+BC71+BC72+BC75+BC78</f>
        <v/>
      </c>
      <c r="BD79" s="11">
        <f>BD68+BD70+BD71+BD72+BD75+BD78</f>
        <v/>
      </c>
      <c r="BE79" s="11">
        <f>BE68+BE70+BE71+BE72+BE75+BE78</f>
        <v/>
      </c>
      <c r="BF79" s="11">
        <f>BF68+BF70+BF71+BF72+BF75+BF78</f>
        <v/>
      </c>
      <c r="BG79" s="11">
        <f>BG68+BG70+BG71+BG72+BG75+BG78</f>
        <v/>
      </c>
      <c r="BH79" s="11">
        <f>BH68+BH70+BH71+BH72+BH75+BH78</f>
        <v/>
      </c>
      <c r="BI79" s="11">
        <f>BI68+BI70+BI71+BI72+BI75+BI78</f>
        <v/>
      </c>
      <c r="BJ79" s="11">
        <f>BJ68+BJ70+BJ71+BJ72+BJ75+BJ78</f>
        <v/>
      </c>
      <c r="BK79" s="11">
        <f>BK68+BK70+BK71+BK72+BK75+BK78</f>
        <v/>
      </c>
      <c r="BL79" s="11">
        <f>BL68+BL70+BL71+BL72+BL75+BL78</f>
        <v/>
      </c>
      <c r="BM79" s="11">
        <f>BM68+BM70+BM71+BM72+BM75+BM78</f>
        <v/>
      </c>
      <c r="BN79" s="11">
        <f>BN68+BN70+BN71+BN72+BN75+BN78</f>
        <v/>
      </c>
    </row>
    <row r="80">
      <c r="D80" t="inlineStr">
        <is>
          <t>EBITDA</t>
        </is>
      </c>
      <c r="E80" t="inlineStr">
        <is>
          <t>USD m</t>
        </is>
      </c>
      <c r="G80" s="11">
        <f>SUM(J80:BN80)</f>
        <v/>
      </c>
      <c r="J80" s="11">
        <f>J52-J79+J54</f>
        <v/>
      </c>
      <c r="K80" s="11">
        <f>K52-K79+K54</f>
        <v/>
      </c>
      <c r="L80" s="11">
        <f>L52-L79+L54</f>
        <v/>
      </c>
      <c r="M80" s="11">
        <f>M52-M79+M54</f>
        <v/>
      </c>
      <c r="N80" s="11">
        <f>N52-N79+N54</f>
        <v/>
      </c>
      <c r="O80" s="11">
        <f>O52-O79+O54</f>
        <v/>
      </c>
      <c r="P80" s="11">
        <f>P52-P79+P54</f>
        <v/>
      </c>
      <c r="Q80" s="11">
        <f>Q52-Q79+Q54</f>
        <v/>
      </c>
      <c r="R80" s="11">
        <f>R52-R79+R54</f>
        <v/>
      </c>
      <c r="S80" s="11">
        <f>S52-S79+S54</f>
        <v/>
      </c>
      <c r="T80" s="11">
        <f>T52-T79+T54</f>
        <v/>
      </c>
      <c r="U80" s="11">
        <f>U52-U79+U54</f>
        <v/>
      </c>
      <c r="V80" s="11">
        <f>V52-V79+V54</f>
        <v/>
      </c>
      <c r="W80" s="11">
        <f>W52-W79+W54</f>
        <v/>
      </c>
      <c r="X80" s="11">
        <f>X52-X79+X54</f>
        <v/>
      </c>
      <c r="Y80" s="11">
        <f>Y52-Y79+Y54</f>
        <v/>
      </c>
      <c r="Z80" s="11">
        <f>Z52-Z79+Z54</f>
        <v/>
      </c>
      <c r="AA80" s="11">
        <f>AA52-AA79+AA54</f>
        <v/>
      </c>
      <c r="AB80" s="11">
        <f>AB52-AB79+AB54</f>
        <v/>
      </c>
      <c r="AC80" s="11">
        <f>AC52-AC79+AC54</f>
        <v/>
      </c>
      <c r="AD80" s="11">
        <f>AD52-AD79+AD54</f>
        <v/>
      </c>
      <c r="AE80" s="11">
        <f>AE52-AE79+AE54</f>
        <v/>
      </c>
      <c r="AF80" s="11">
        <f>AF52-AF79+AF54</f>
        <v/>
      </c>
      <c r="AG80" s="11">
        <f>AG52-AG79+AG54</f>
        <v/>
      </c>
      <c r="AH80" s="11">
        <f>AH52-AH79+AH54</f>
        <v/>
      </c>
      <c r="AI80" s="11">
        <f>AI52-AI79+AI54</f>
        <v/>
      </c>
      <c r="AJ80" s="11">
        <f>AJ52-AJ79+AJ54</f>
        <v/>
      </c>
      <c r="AK80" s="11">
        <f>AK52-AK79+AK54</f>
        <v/>
      </c>
      <c r="AL80" s="11">
        <f>AL52-AL79+AL54</f>
        <v/>
      </c>
      <c r="AM80" s="11">
        <f>AM52-AM79+AM54</f>
        <v/>
      </c>
      <c r="AN80" s="11">
        <f>AN52-AN79+AN54</f>
        <v/>
      </c>
      <c r="AO80" s="11">
        <f>AO52-AO79+AO54</f>
        <v/>
      </c>
      <c r="AP80" s="11">
        <f>AP52-AP79+AP54</f>
        <v/>
      </c>
      <c r="AQ80" s="11">
        <f>AQ52-AQ79+AQ54</f>
        <v/>
      </c>
      <c r="AR80" s="11">
        <f>AR52-AR79+AR54</f>
        <v/>
      </c>
      <c r="AS80" s="11">
        <f>AS52-AS79+AS54</f>
        <v/>
      </c>
      <c r="AT80" s="11">
        <f>AT52-AT79+AT54</f>
        <v/>
      </c>
      <c r="AU80" s="11">
        <f>AU52-AU79+AU54</f>
        <v/>
      </c>
      <c r="AV80" s="11">
        <f>AV52-AV79+AV54</f>
        <v/>
      </c>
      <c r="AW80" s="11">
        <f>AW52-AW79+AW54</f>
        <v/>
      </c>
      <c r="AX80" s="11">
        <f>AX52-AX79+AX54</f>
        <v/>
      </c>
      <c r="AY80" s="11">
        <f>AY52-AY79+AY54</f>
        <v/>
      </c>
      <c r="AZ80" s="11">
        <f>AZ52-AZ79+AZ54</f>
        <v/>
      </c>
      <c r="BA80" s="11">
        <f>BA52-BA79+BA54</f>
        <v/>
      </c>
      <c r="BB80" s="11">
        <f>BB52-BB79+BB54</f>
        <v/>
      </c>
      <c r="BC80" s="11">
        <f>BC52-BC79+BC54</f>
        <v/>
      </c>
      <c r="BD80" s="11">
        <f>BD52-BD79+BD54</f>
        <v/>
      </c>
      <c r="BE80" s="11">
        <f>BE52-BE79+BE54</f>
        <v/>
      </c>
      <c r="BF80" s="11">
        <f>BF52-BF79+BF54</f>
        <v/>
      </c>
      <c r="BG80" s="11">
        <f>BG52-BG79+BG54</f>
        <v/>
      </c>
      <c r="BH80" s="11">
        <f>BH52-BH79+BH54</f>
        <v/>
      </c>
      <c r="BI80" s="11">
        <f>BI52-BI79+BI54</f>
        <v/>
      </c>
      <c r="BJ80" s="11">
        <f>BJ52-BJ79+BJ54</f>
        <v/>
      </c>
      <c r="BK80" s="11">
        <f>BK52-BK79+BK54</f>
        <v/>
      </c>
      <c r="BL80" s="11">
        <f>BL52-BL79+BL54</f>
        <v/>
      </c>
      <c r="BM80" s="11">
        <f>BM52-BM79+BM54</f>
        <v/>
      </c>
      <c r="BN80" s="11">
        <f>BN52-BN79+BN54</f>
        <v/>
      </c>
    </row>
    <row r="81">
      <c r="B81" s="2" t="inlineStr">
        <is>
          <t>Working capital (USD m, period-end balances)</t>
        </is>
      </c>
    </row>
    <row r="82">
      <c r="D82" t="inlineStr">
        <is>
          <t>Flag: final operating period or later (working capital unwinds)</t>
        </is>
      </c>
      <c r="E82" t="inlineStr">
        <is>
          <t>flag</t>
        </is>
      </c>
      <c r="J82" s="9">
        <f>IF(Time!J17&gt;=Time!$F$14,1,0)</f>
        <v/>
      </c>
      <c r="K82" s="9">
        <f>IF(Time!K17&gt;=Time!$F$14,1,0)</f>
        <v/>
      </c>
      <c r="L82" s="9">
        <f>IF(Time!L17&gt;=Time!$F$14,1,0)</f>
        <v/>
      </c>
      <c r="M82" s="9">
        <f>IF(Time!M17&gt;=Time!$F$14,1,0)</f>
        <v/>
      </c>
      <c r="N82" s="9">
        <f>IF(Time!N17&gt;=Time!$F$14,1,0)</f>
        <v/>
      </c>
      <c r="O82" s="9">
        <f>IF(Time!O17&gt;=Time!$F$14,1,0)</f>
        <v/>
      </c>
      <c r="P82" s="9">
        <f>IF(Time!P17&gt;=Time!$F$14,1,0)</f>
        <v/>
      </c>
      <c r="Q82" s="9">
        <f>IF(Time!Q17&gt;=Time!$F$14,1,0)</f>
        <v/>
      </c>
      <c r="R82" s="9">
        <f>IF(Time!R17&gt;=Time!$F$14,1,0)</f>
        <v/>
      </c>
      <c r="S82" s="9">
        <f>IF(Time!S17&gt;=Time!$F$14,1,0)</f>
        <v/>
      </c>
      <c r="T82" s="9">
        <f>IF(Time!T17&gt;=Time!$F$14,1,0)</f>
        <v/>
      </c>
      <c r="U82" s="9">
        <f>IF(Time!U17&gt;=Time!$F$14,1,0)</f>
        <v/>
      </c>
      <c r="V82" s="9">
        <f>IF(Time!V17&gt;=Time!$F$14,1,0)</f>
        <v/>
      </c>
      <c r="W82" s="9">
        <f>IF(Time!W17&gt;=Time!$F$14,1,0)</f>
        <v/>
      </c>
      <c r="X82" s="9">
        <f>IF(Time!X17&gt;=Time!$F$14,1,0)</f>
        <v/>
      </c>
      <c r="Y82" s="9">
        <f>IF(Time!Y17&gt;=Time!$F$14,1,0)</f>
        <v/>
      </c>
      <c r="Z82" s="9">
        <f>IF(Time!Z17&gt;=Time!$F$14,1,0)</f>
        <v/>
      </c>
      <c r="AA82" s="9">
        <f>IF(Time!AA17&gt;=Time!$F$14,1,0)</f>
        <v/>
      </c>
      <c r="AB82" s="9">
        <f>IF(Time!AB17&gt;=Time!$F$14,1,0)</f>
        <v/>
      </c>
      <c r="AC82" s="9">
        <f>IF(Time!AC17&gt;=Time!$F$14,1,0)</f>
        <v/>
      </c>
      <c r="AD82" s="9">
        <f>IF(Time!AD17&gt;=Time!$F$14,1,0)</f>
        <v/>
      </c>
      <c r="AE82" s="9">
        <f>IF(Time!AE17&gt;=Time!$F$14,1,0)</f>
        <v/>
      </c>
      <c r="AF82" s="9">
        <f>IF(Time!AF17&gt;=Time!$F$14,1,0)</f>
        <v/>
      </c>
      <c r="AG82" s="9">
        <f>IF(Time!AG17&gt;=Time!$F$14,1,0)</f>
        <v/>
      </c>
      <c r="AH82" s="9">
        <f>IF(Time!AH17&gt;=Time!$F$14,1,0)</f>
        <v/>
      </c>
      <c r="AI82" s="9">
        <f>IF(Time!AI17&gt;=Time!$F$14,1,0)</f>
        <v/>
      </c>
      <c r="AJ82" s="9">
        <f>IF(Time!AJ17&gt;=Time!$F$14,1,0)</f>
        <v/>
      </c>
      <c r="AK82" s="9">
        <f>IF(Time!AK17&gt;=Time!$F$14,1,0)</f>
        <v/>
      </c>
      <c r="AL82" s="9">
        <f>IF(Time!AL17&gt;=Time!$F$14,1,0)</f>
        <v/>
      </c>
      <c r="AM82" s="9">
        <f>IF(Time!AM17&gt;=Time!$F$14,1,0)</f>
        <v/>
      </c>
      <c r="AN82" s="9">
        <f>IF(Time!AN17&gt;=Time!$F$14,1,0)</f>
        <v/>
      </c>
      <c r="AO82" s="9">
        <f>IF(Time!AO17&gt;=Time!$F$14,1,0)</f>
        <v/>
      </c>
      <c r="AP82" s="9">
        <f>IF(Time!AP17&gt;=Time!$F$14,1,0)</f>
        <v/>
      </c>
      <c r="AQ82" s="9">
        <f>IF(Time!AQ17&gt;=Time!$F$14,1,0)</f>
        <v/>
      </c>
      <c r="AR82" s="9">
        <f>IF(Time!AR17&gt;=Time!$F$14,1,0)</f>
        <v/>
      </c>
      <c r="AS82" s="9">
        <f>IF(Time!AS17&gt;=Time!$F$14,1,0)</f>
        <v/>
      </c>
      <c r="AT82" s="9">
        <f>IF(Time!AT17&gt;=Time!$F$14,1,0)</f>
        <v/>
      </c>
      <c r="AU82" s="9">
        <f>IF(Time!AU17&gt;=Time!$F$14,1,0)</f>
        <v/>
      </c>
      <c r="AV82" s="9">
        <f>IF(Time!AV17&gt;=Time!$F$14,1,0)</f>
        <v/>
      </c>
      <c r="AW82" s="9">
        <f>IF(Time!AW17&gt;=Time!$F$14,1,0)</f>
        <v/>
      </c>
      <c r="AX82" s="9">
        <f>IF(Time!AX17&gt;=Time!$F$14,1,0)</f>
        <v/>
      </c>
      <c r="AY82" s="9">
        <f>IF(Time!AY17&gt;=Time!$F$14,1,0)</f>
        <v/>
      </c>
      <c r="AZ82" s="9">
        <f>IF(Time!AZ17&gt;=Time!$F$14,1,0)</f>
        <v/>
      </c>
      <c r="BA82" s="9">
        <f>IF(Time!BA17&gt;=Time!$F$14,1,0)</f>
        <v/>
      </c>
      <c r="BB82" s="9">
        <f>IF(Time!BB17&gt;=Time!$F$14,1,0)</f>
        <v/>
      </c>
      <c r="BC82" s="9">
        <f>IF(Time!BC17&gt;=Time!$F$14,1,0)</f>
        <v/>
      </c>
      <c r="BD82" s="9">
        <f>IF(Time!BD17&gt;=Time!$F$14,1,0)</f>
        <v/>
      </c>
      <c r="BE82" s="9">
        <f>IF(Time!BE17&gt;=Time!$F$14,1,0)</f>
        <v/>
      </c>
      <c r="BF82" s="9">
        <f>IF(Time!BF17&gt;=Time!$F$14,1,0)</f>
        <v/>
      </c>
      <c r="BG82" s="9">
        <f>IF(Time!BG17&gt;=Time!$F$14,1,0)</f>
        <v/>
      </c>
      <c r="BH82" s="9">
        <f>IF(Time!BH17&gt;=Time!$F$14,1,0)</f>
        <v/>
      </c>
      <c r="BI82" s="9">
        <f>IF(Time!BI17&gt;=Time!$F$14,1,0)</f>
        <v/>
      </c>
      <c r="BJ82" s="9">
        <f>IF(Time!BJ17&gt;=Time!$F$14,1,0)</f>
        <v/>
      </c>
      <c r="BK82" s="9">
        <f>IF(Time!BK17&gt;=Time!$F$14,1,0)</f>
        <v/>
      </c>
      <c r="BL82" s="9">
        <f>IF(Time!BL17&gt;=Time!$F$14,1,0)</f>
        <v/>
      </c>
      <c r="BM82" s="9">
        <f>IF(Time!BM17&gt;=Time!$F$14,1,0)</f>
        <v/>
      </c>
      <c r="BN82" s="9">
        <f>IF(Time!BN17&gt;=Time!$F$14,1,0)</f>
        <v/>
      </c>
    </row>
    <row r="83">
      <c r="D83" t="inlineStr">
        <is>
          <t>Extra receivable days on capacity and VOM (sensitivities)</t>
        </is>
      </c>
      <c r="E83" t="inlineStr">
        <is>
          <t>days</t>
        </is>
      </c>
      <c r="J83" s="9">
        <f>Inputs!$F$44*Time!J33</f>
        <v/>
      </c>
      <c r="K83" s="9">
        <f>Inputs!$F$44*Time!K33</f>
        <v/>
      </c>
      <c r="L83" s="9">
        <f>Inputs!$F$44*Time!L33</f>
        <v/>
      </c>
      <c r="M83" s="9">
        <f>Inputs!$F$44*Time!M33</f>
        <v/>
      </c>
      <c r="N83" s="9">
        <f>Inputs!$F$44*Time!N33</f>
        <v/>
      </c>
      <c r="O83" s="9">
        <f>Inputs!$F$44*Time!O33</f>
        <v/>
      </c>
      <c r="P83" s="9">
        <f>Inputs!$F$44*Time!P33</f>
        <v/>
      </c>
      <c r="Q83" s="9">
        <f>Inputs!$F$44*Time!Q33</f>
        <v/>
      </c>
      <c r="R83" s="9">
        <f>Inputs!$F$44*Time!R33</f>
        <v/>
      </c>
      <c r="S83" s="9">
        <f>Inputs!$F$44*Time!S33</f>
        <v/>
      </c>
      <c r="T83" s="9">
        <f>Inputs!$F$44*Time!T33</f>
        <v/>
      </c>
      <c r="U83" s="9">
        <f>Inputs!$F$44*Time!U33</f>
        <v/>
      </c>
      <c r="V83" s="9">
        <f>Inputs!$F$44*Time!V33</f>
        <v/>
      </c>
      <c r="W83" s="9">
        <f>Inputs!$F$44*Time!W33</f>
        <v/>
      </c>
      <c r="X83" s="9">
        <f>Inputs!$F$44*Time!X33</f>
        <v/>
      </c>
      <c r="Y83" s="9">
        <f>Inputs!$F$44*Time!Y33</f>
        <v/>
      </c>
      <c r="Z83" s="9">
        <f>Inputs!$F$44*Time!Z33</f>
        <v/>
      </c>
      <c r="AA83" s="9">
        <f>Inputs!$F$44*Time!AA33</f>
        <v/>
      </c>
      <c r="AB83" s="9">
        <f>Inputs!$F$44*Time!AB33</f>
        <v/>
      </c>
      <c r="AC83" s="9">
        <f>Inputs!$F$44*Time!AC33</f>
        <v/>
      </c>
      <c r="AD83" s="9">
        <f>Inputs!$F$44*Time!AD33</f>
        <v/>
      </c>
      <c r="AE83" s="9">
        <f>Inputs!$F$44*Time!AE33</f>
        <v/>
      </c>
      <c r="AF83" s="9">
        <f>Inputs!$F$44*Time!AF33</f>
        <v/>
      </c>
      <c r="AG83" s="9">
        <f>Inputs!$F$44*Time!AG33</f>
        <v/>
      </c>
      <c r="AH83" s="9">
        <f>Inputs!$F$44*Time!AH33</f>
        <v/>
      </c>
      <c r="AI83" s="9">
        <f>Inputs!$F$44*Time!AI33</f>
        <v/>
      </c>
      <c r="AJ83" s="9">
        <f>Inputs!$F$44*Time!AJ33</f>
        <v/>
      </c>
      <c r="AK83" s="9">
        <f>Inputs!$F$44*Time!AK33</f>
        <v/>
      </c>
      <c r="AL83" s="9">
        <f>Inputs!$F$44*Time!AL33</f>
        <v/>
      </c>
      <c r="AM83" s="9">
        <f>Inputs!$F$44*Time!AM33</f>
        <v/>
      </c>
      <c r="AN83" s="9">
        <f>Inputs!$F$44*Time!AN33</f>
        <v/>
      </c>
      <c r="AO83" s="9">
        <f>Inputs!$F$44*Time!AO33</f>
        <v/>
      </c>
      <c r="AP83" s="9">
        <f>Inputs!$F$44*Time!AP33</f>
        <v/>
      </c>
      <c r="AQ83" s="9">
        <f>Inputs!$F$44*Time!AQ33</f>
        <v/>
      </c>
      <c r="AR83" s="9">
        <f>Inputs!$F$44*Time!AR33</f>
        <v/>
      </c>
      <c r="AS83" s="9">
        <f>Inputs!$F$44*Time!AS33</f>
        <v/>
      </c>
      <c r="AT83" s="9">
        <f>Inputs!$F$44*Time!AT33</f>
        <v/>
      </c>
      <c r="AU83" s="9">
        <f>Inputs!$F$44*Time!AU33</f>
        <v/>
      </c>
      <c r="AV83" s="9">
        <f>Inputs!$F$44*Time!AV33</f>
        <v/>
      </c>
      <c r="AW83" s="9">
        <f>Inputs!$F$44*Time!AW33</f>
        <v/>
      </c>
      <c r="AX83" s="9">
        <f>Inputs!$F$44*Time!AX33</f>
        <v/>
      </c>
      <c r="AY83" s="9">
        <f>Inputs!$F$44*Time!AY33</f>
        <v/>
      </c>
      <c r="AZ83" s="9">
        <f>Inputs!$F$44*Time!AZ33</f>
        <v/>
      </c>
      <c r="BA83" s="9">
        <f>Inputs!$F$44*Time!BA33</f>
        <v/>
      </c>
      <c r="BB83" s="9">
        <f>Inputs!$F$44*Time!BB33</f>
        <v/>
      </c>
      <c r="BC83" s="9">
        <f>Inputs!$F$44*Time!BC33</f>
        <v/>
      </c>
      <c r="BD83" s="9">
        <f>Inputs!$F$44*Time!BD33</f>
        <v/>
      </c>
      <c r="BE83" s="9">
        <f>Inputs!$F$44*Time!BE33</f>
        <v/>
      </c>
      <c r="BF83" s="9">
        <f>Inputs!$F$44*Time!BF33</f>
        <v/>
      </c>
      <c r="BG83" s="9">
        <f>Inputs!$F$44*Time!BG33</f>
        <v/>
      </c>
      <c r="BH83" s="9">
        <f>Inputs!$F$44*Time!BH33</f>
        <v/>
      </c>
      <c r="BI83" s="9">
        <f>Inputs!$F$44*Time!BI33</f>
        <v/>
      </c>
      <c r="BJ83" s="9">
        <f>Inputs!$F$44*Time!BJ33</f>
        <v/>
      </c>
      <c r="BK83" s="9">
        <f>Inputs!$F$44*Time!BK33</f>
        <v/>
      </c>
      <c r="BL83" s="9">
        <f>Inputs!$F$44*Time!BL33</f>
        <v/>
      </c>
      <c r="BM83" s="9">
        <f>Inputs!$F$44*Time!BM33</f>
        <v/>
      </c>
      <c r="BN83" s="9">
        <f>Inputs!$F$44*Time!BN33</f>
        <v/>
      </c>
    </row>
    <row r="84">
      <c r="D84" t="inlineStr">
        <is>
          <t>Trade receivables (normal terms)</t>
        </is>
      </c>
      <c r="E84" t="inlineStr">
        <is>
          <t>USD m</t>
        </is>
      </c>
      <c r="J84" s="11">
        <f>(1-J82)*(J52/MAX(Time!J26,1)*Inputs!$F$168+J51/MAX(Time!J26,1)*J83)</f>
        <v/>
      </c>
      <c r="K84" s="11">
        <f>(1-K82)*(K52/MAX(Time!K26,1)*Inputs!$F$168+K51/MAX(Time!K26,1)*K83)</f>
        <v/>
      </c>
      <c r="L84" s="11">
        <f>(1-L82)*(L52/MAX(Time!L26,1)*Inputs!$F$168+L51/MAX(Time!L26,1)*L83)</f>
        <v/>
      </c>
      <c r="M84" s="11">
        <f>(1-M82)*(M52/MAX(Time!M26,1)*Inputs!$F$168+M51/MAX(Time!M26,1)*M83)</f>
        <v/>
      </c>
      <c r="N84" s="11">
        <f>(1-N82)*(N52/MAX(Time!N26,1)*Inputs!$F$168+N51/MAX(Time!N26,1)*N83)</f>
        <v/>
      </c>
      <c r="O84" s="11">
        <f>(1-O82)*(O52/MAX(Time!O26,1)*Inputs!$F$168+O51/MAX(Time!O26,1)*O83)</f>
        <v/>
      </c>
      <c r="P84" s="11">
        <f>(1-P82)*(P52/MAX(Time!P26,1)*Inputs!$F$168+P51/MAX(Time!P26,1)*P83)</f>
        <v/>
      </c>
      <c r="Q84" s="11">
        <f>(1-Q82)*(Q52/MAX(Time!Q26,1)*Inputs!$F$168+Q51/MAX(Time!Q26,1)*Q83)</f>
        <v/>
      </c>
      <c r="R84" s="11">
        <f>(1-R82)*(R52/MAX(Time!R26,1)*Inputs!$F$168+R51/MAX(Time!R26,1)*R83)</f>
        <v/>
      </c>
      <c r="S84" s="11">
        <f>(1-S82)*(S52/MAX(Time!S26,1)*Inputs!$F$168+S51/MAX(Time!S26,1)*S83)</f>
        <v/>
      </c>
      <c r="T84" s="11">
        <f>(1-T82)*(T52/MAX(Time!T26,1)*Inputs!$F$168+T51/MAX(Time!T26,1)*T83)</f>
        <v/>
      </c>
      <c r="U84" s="11">
        <f>(1-U82)*(U52/MAX(Time!U26,1)*Inputs!$F$168+U51/MAX(Time!U26,1)*U83)</f>
        <v/>
      </c>
      <c r="V84" s="11">
        <f>(1-V82)*(V52/MAX(Time!V26,1)*Inputs!$F$168+V51/MAX(Time!V26,1)*V83)</f>
        <v/>
      </c>
      <c r="W84" s="11">
        <f>(1-W82)*(W52/MAX(Time!W26,1)*Inputs!$F$168+W51/MAX(Time!W26,1)*W83)</f>
        <v/>
      </c>
      <c r="X84" s="11">
        <f>(1-X82)*(X52/MAX(Time!X26,1)*Inputs!$F$168+X51/MAX(Time!X26,1)*X83)</f>
        <v/>
      </c>
      <c r="Y84" s="11">
        <f>(1-Y82)*(Y52/MAX(Time!Y26,1)*Inputs!$F$168+Y51/MAX(Time!Y26,1)*Y83)</f>
        <v/>
      </c>
      <c r="Z84" s="11">
        <f>(1-Z82)*(Z52/MAX(Time!Z26,1)*Inputs!$F$168+Z51/MAX(Time!Z26,1)*Z83)</f>
        <v/>
      </c>
      <c r="AA84" s="11">
        <f>(1-AA82)*(AA52/MAX(Time!AA26,1)*Inputs!$F$168+AA51/MAX(Time!AA26,1)*AA83)</f>
        <v/>
      </c>
      <c r="AB84" s="11">
        <f>(1-AB82)*(AB52/MAX(Time!AB26,1)*Inputs!$F$168+AB51/MAX(Time!AB26,1)*AB83)</f>
        <v/>
      </c>
      <c r="AC84" s="11">
        <f>(1-AC82)*(AC52/MAX(Time!AC26,1)*Inputs!$F$168+AC51/MAX(Time!AC26,1)*AC83)</f>
        <v/>
      </c>
      <c r="AD84" s="11">
        <f>(1-AD82)*(AD52/MAX(Time!AD26,1)*Inputs!$F$168+AD51/MAX(Time!AD26,1)*AD83)</f>
        <v/>
      </c>
      <c r="AE84" s="11">
        <f>(1-AE82)*(AE52/MAX(Time!AE26,1)*Inputs!$F$168+AE51/MAX(Time!AE26,1)*AE83)</f>
        <v/>
      </c>
      <c r="AF84" s="11">
        <f>(1-AF82)*(AF52/MAX(Time!AF26,1)*Inputs!$F$168+AF51/MAX(Time!AF26,1)*AF83)</f>
        <v/>
      </c>
      <c r="AG84" s="11">
        <f>(1-AG82)*(AG52/MAX(Time!AG26,1)*Inputs!$F$168+AG51/MAX(Time!AG26,1)*AG83)</f>
        <v/>
      </c>
      <c r="AH84" s="11">
        <f>(1-AH82)*(AH52/MAX(Time!AH26,1)*Inputs!$F$168+AH51/MAX(Time!AH26,1)*AH83)</f>
        <v/>
      </c>
      <c r="AI84" s="11">
        <f>(1-AI82)*(AI52/MAX(Time!AI26,1)*Inputs!$F$168+AI51/MAX(Time!AI26,1)*AI83)</f>
        <v/>
      </c>
      <c r="AJ84" s="11">
        <f>(1-AJ82)*(AJ52/MAX(Time!AJ26,1)*Inputs!$F$168+AJ51/MAX(Time!AJ26,1)*AJ83)</f>
        <v/>
      </c>
      <c r="AK84" s="11">
        <f>(1-AK82)*(AK52/MAX(Time!AK26,1)*Inputs!$F$168+AK51/MAX(Time!AK26,1)*AK83)</f>
        <v/>
      </c>
      <c r="AL84" s="11">
        <f>(1-AL82)*(AL52/MAX(Time!AL26,1)*Inputs!$F$168+AL51/MAX(Time!AL26,1)*AL83)</f>
        <v/>
      </c>
      <c r="AM84" s="11">
        <f>(1-AM82)*(AM52/MAX(Time!AM26,1)*Inputs!$F$168+AM51/MAX(Time!AM26,1)*AM83)</f>
        <v/>
      </c>
      <c r="AN84" s="11">
        <f>(1-AN82)*(AN52/MAX(Time!AN26,1)*Inputs!$F$168+AN51/MAX(Time!AN26,1)*AN83)</f>
        <v/>
      </c>
      <c r="AO84" s="11">
        <f>(1-AO82)*(AO52/MAX(Time!AO26,1)*Inputs!$F$168+AO51/MAX(Time!AO26,1)*AO83)</f>
        <v/>
      </c>
      <c r="AP84" s="11">
        <f>(1-AP82)*(AP52/MAX(Time!AP26,1)*Inputs!$F$168+AP51/MAX(Time!AP26,1)*AP83)</f>
        <v/>
      </c>
      <c r="AQ84" s="11">
        <f>(1-AQ82)*(AQ52/MAX(Time!AQ26,1)*Inputs!$F$168+AQ51/MAX(Time!AQ26,1)*AQ83)</f>
        <v/>
      </c>
      <c r="AR84" s="11">
        <f>(1-AR82)*(AR52/MAX(Time!AR26,1)*Inputs!$F$168+AR51/MAX(Time!AR26,1)*AR83)</f>
        <v/>
      </c>
      <c r="AS84" s="11">
        <f>(1-AS82)*(AS52/MAX(Time!AS26,1)*Inputs!$F$168+AS51/MAX(Time!AS26,1)*AS83)</f>
        <v/>
      </c>
      <c r="AT84" s="11">
        <f>(1-AT82)*(AT52/MAX(Time!AT26,1)*Inputs!$F$168+AT51/MAX(Time!AT26,1)*AT83)</f>
        <v/>
      </c>
      <c r="AU84" s="11">
        <f>(1-AU82)*(AU52/MAX(Time!AU26,1)*Inputs!$F$168+AU51/MAX(Time!AU26,1)*AU83)</f>
        <v/>
      </c>
      <c r="AV84" s="11">
        <f>(1-AV82)*(AV52/MAX(Time!AV26,1)*Inputs!$F$168+AV51/MAX(Time!AV26,1)*AV83)</f>
        <v/>
      </c>
      <c r="AW84" s="11">
        <f>(1-AW82)*(AW52/MAX(Time!AW26,1)*Inputs!$F$168+AW51/MAX(Time!AW26,1)*AW83)</f>
        <v/>
      </c>
      <c r="AX84" s="11">
        <f>(1-AX82)*(AX52/MAX(Time!AX26,1)*Inputs!$F$168+AX51/MAX(Time!AX26,1)*AX83)</f>
        <v/>
      </c>
      <c r="AY84" s="11">
        <f>(1-AY82)*(AY52/MAX(Time!AY26,1)*Inputs!$F$168+AY51/MAX(Time!AY26,1)*AY83)</f>
        <v/>
      </c>
      <c r="AZ84" s="11">
        <f>(1-AZ82)*(AZ52/MAX(Time!AZ26,1)*Inputs!$F$168+AZ51/MAX(Time!AZ26,1)*AZ83)</f>
        <v/>
      </c>
      <c r="BA84" s="11">
        <f>(1-BA82)*(BA52/MAX(Time!BA26,1)*Inputs!$F$168+BA51/MAX(Time!BA26,1)*BA83)</f>
        <v/>
      </c>
      <c r="BB84" s="11">
        <f>(1-BB82)*(BB52/MAX(Time!BB26,1)*Inputs!$F$168+BB51/MAX(Time!BB26,1)*BB83)</f>
        <v/>
      </c>
      <c r="BC84" s="11">
        <f>(1-BC82)*(BC52/MAX(Time!BC26,1)*Inputs!$F$168+BC51/MAX(Time!BC26,1)*BC83)</f>
        <v/>
      </c>
      <c r="BD84" s="11">
        <f>(1-BD82)*(BD52/MAX(Time!BD26,1)*Inputs!$F$168+BD51/MAX(Time!BD26,1)*BD83)</f>
        <v/>
      </c>
      <c r="BE84" s="11">
        <f>(1-BE82)*(BE52/MAX(Time!BE26,1)*Inputs!$F$168+BE51/MAX(Time!BE26,1)*BE83)</f>
        <v/>
      </c>
      <c r="BF84" s="11">
        <f>(1-BF82)*(BF52/MAX(Time!BF26,1)*Inputs!$F$168+BF51/MAX(Time!BF26,1)*BF83)</f>
        <v/>
      </c>
      <c r="BG84" s="11">
        <f>(1-BG82)*(BG52/MAX(Time!BG26,1)*Inputs!$F$168+BG51/MAX(Time!BG26,1)*BG83)</f>
        <v/>
      </c>
      <c r="BH84" s="11">
        <f>(1-BH82)*(BH52/MAX(Time!BH26,1)*Inputs!$F$168+BH51/MAX(Time!BH26,1)*BH83)</f>
        <v/>
      </c>
      <c r="BI84" s="11">
        <f>(1-BI82)*(BI52/MAX(Time!BI26,1)*Inputs!$F$168+BI51/MAX(Time!BI26,1)*BI83)</f>
        <v/>
      </c>
      <c r="BJ84" s="11">
        <f>(1-BJ82)*(BJ52/MAX(Time!BJ26,1)*Inputs!$F$168+BJ51/MAX(Time!BJ26,1)*BJ83)</f>
        <v/>
      </c>
      <c r="BK84" s="11">
        <f>(1-BK82)*(BK52/MAX(Time!BK26,1)*Inputs!$F$168+BK51/MAX(Time!BK26,1)*BK83)</f>
        <v/>
      </c>
      <c r="BL84" s="11">
        <f>(1-BL82)*(BL52/MAX(Time!BL26,1)*Inputs!$F$168+BL51/MAX(Time!BL26,1)*BL83)</f>
        <v/>
      </c>
      <c r="BM84" s="11">
        <f>(1-BM82)*(BM52/MAX(Time!BM26,1)*Inputs!$F$168+BM51/MAX(Time!BM26,1)*BM83)</f>
        <v/>
      </c>
      <c r="BN84" s="11">
        <f>(1-BN82)*(BN52/MAX(Time!BN26,1)*Inputs!$F$168+BN51/MAX(Time!BN26,1)*BN83)</f>
        <v/>
      </c>
    </row>
    <row r="85">
      <c r="D85" t="inlineStr">
        <is>
          <t>SEKA overdue receivables</t>
        </is>
      </c>
      <c r="E85" t="inlineStr">
        <is>
          <t>USD m</t>
        </is>
      </c>
      <c r="J85" s="11">
        <f>Inputs!$F$45*Inputs!J219</f>
        <v/>
      </c>
      <c r="K85" s="11">
        <f>Inputs!$F$45*Inputs!K219</f>
        <v/>
      </c>
      <c r="L85" s="11">
        <f>Inputs!$F$45*Inputs!L219</f>
        <v/>
      </c>
      <c r="M85" s="11">
        <f>Inputs!$F$45*Inputs!M219</f>
        <v/>
      </c>
      <c r="N85" s="11">
        <f>Inputs!$F$45*Inputs!N219</f>
        <v/>
      </c>
      <c r="O85" s="11">
        <f>Inputs!$F$45*Inputs!O219</f>
        <v/>
      </c>
      <c r="P85" s="11">
        <f>Inputs!$F$45*Inputs!P219</f>
        <v/>
      </c>
      <c r="Q85" s="11">
        <f>Inputs!$F$45*Inputs!Q219</f>
        <v/>
      </c>
      <c r="R85" s="11">
        <f>Inputs!$F$45*Inputs!R219</f>
        <v/>
      </c>
      <c r="S85" s="11">
        <f>Inputs!$F$45*Inputs!S219</f>
        <v/>
      </c>
      <c r="T85" s="11">
        <f>Inputs!$F$45*Inputs!T219</f>
        <v/>
      </c>
      <c r="U85" s="11">
        <f>Inputs!$F$45*Inputs!U219</f>
        <v/>
      </c>
      <c r="V85" s="11">
        <f>Inputs!$F$45*Inputs!V219</f>
        <v/>
      </c>
      <c r="W85" s="11">
        <f>Inputs!$F$45*Inputs!W219</f>
        <v/>
      </c>
      <c r="X85" s="11">
        <f>Inputs!$F$45*Inputs!X219</f>
        <v/>
      </c>
      <c r="Y85" s="11">
        <f>Inputs!$F$45*Inputs!Y219</f>
        <v/>
      </c>
      <c r="Z85" s="11">
        <f>Inputs!$F$45*Inputs!Z219</f>
        <v/>
      </c>
      <c r="AA85" s="11">
        <f>Inputs!$F$45*Inputs!AA219</f>
        <v/>
      </c>
      <c r="AB85" s="11">
        <f>Inputs!$F$45*Inputs!AB219</f>
        <v/>
      </c>
      <c r="AC85" s="11">
        <f>Inputs!$F$45*Inputs!AC219</f>
        <v/>
      </c>
      <c r="AD85" s="11">
        <f>Inputs!$F$45*Inputs!AD219</f>
        <v/>
      </c>
      <c r="AE85" s="11">
        <f>Inputs!$F$45*Inputs!AE219</f>
        <v/>
      </c>
      <c r="AF85" s="11">
        <f>Inputs!$F$45*Inputs!AF219</f>
        <v/>
      </c>
      <c r="AG85" s="11">
        <f>Inputs!$F$45*Inputs!AG219</f>
        <v/>
      </c>
      <c r="AH85" s="11">
        <f>Inputs!$F$45*Inputs!AH219</f>
        <v/>
      </c>
      <c r="AI85" s="11">
        <f>Inputs!$F$45*Inputs!AI219</f>
        <v/>
      </c>
      <c r="AJ85" s="11">
        <f>Inputs!$F$45*Inputs!AJ219</f>
        <v/>
      </c>
      <c r="AK85" s="11">
        <f>Inputs!$F$45*Inputs!AK219</f>
        <v/>
      </c>
      <c r="AL85" s="11">
        <f>Inputs!$F$45*Inputs!AL219</f>
        <v/>
      </c>
      <c r="AM85" s="11">
        <f>Inputs!$F$45*Inputs!AM219</f>
        <v/>
      </c>
      <c r="AN85" s="11">
        <f>Inputs!$F$45*Inputs!AN219</f>
        <v/>
      </c>
      <c r="AO85" s="11">
        <f>Inputs!$F$45*Inputs!AO219</f>
        <v/>
      </c>
      <c r="AP85" s="11">
        <f>Inputs!$F$45*Inputs!AP219</f>
        <v/>
      </c>
      <c r="AQ85" s="11">
        <f>Inputs!$F$45*Inputs!AQ219</f>
        <v/>
      </c>
      <c r="AR85" s="11">
        <f>Inputs!$F$45*Inputs!AR219</f>
        <v/>
      </c>
      <c r="AS85" s="11">
        <f>Inputs!$F$45*Inputs!AS219</f>
        <v/>
      </c>
      <c r="AT85" s="11">
        <f>Inputs!$F$45*Inputs!AT219</f>
        <v/>
      </c>
      <c r="AU85" s="11">
        <f>Inputs!$F$45*Inputs!AU219</f>
        <v/>
      </c>
      <c r="AV85" s="11">
        <f>Inputs!$F$45*Inputs!AV219</f>
        <v/>
      </c>
      <c r="AW85" s="11">
        <f>Inputs!$F$45*Inputs!AW219</f>
        <v/>
      </c>
      <c r="AX85" s="11">
        <f>Inputs!$F$45*Inputs!AX219</f>
        <v/>
      </c>
      <c r="AY85" s="11">
        <f>Inputs!$F$45*Inputs!AY219</f>
        <v/>
      </c>
      <c r="AZ85" s="11">
        <f>Inputs!$F$45*Inputs!AZ219</f>
        <v/>
      </c>
      <c r="BA85" s="11">
        <f>Inputs!$F$45*Inputs!BA219</f>
        <v/>
      </c>
      <c r="BB85" s="11">
        <f>Inputs!$F$45*Inputs!BB219</f>
        <v/>
      </c>
      <c r="BC85" s="11">
        <f>Inputs!$F$45*Inputs!BC219</f>
        <v/>
      </c>
      <c r="BD85" s="11">
        <f>Inputs!$F$45*Inputs!BD219</f>
        <v/>
      </c>
      <c r="BE85" s="11">
        <f>Inputs!$F$45*Inputs!BE219</f>
        <v/>
      </c>
      <c r="BF85" s="11">
        <f>Inputs!$F$45*Inputs!BF219</f>
        <v/>
      </c>
      <c r="BG85" s="11">
        <f>Inputs!$F$45*Inputs!BG219</f>
        <v/>
      </c>
      <c r="BH85" s="11">
        <f>Inputs!$F$45*Inputs!BH219</f>
        <v/>
      </c>
      <c r="BI85" s="11">
        <f>Inputs!$F$45*Inputs!BI219</f>
        <v/>
      </c>
      <c r="BJ85" s="11">
        <f>Inputs!$F$45*Inputs!BJ219</f>
        <v/>
      </c>
      <c r="BK85" s="11">
        <f>Inputs!$F$45*Inputs!BK219</f>
        <v/>
      </c>
      <c r="BL85" s="11">
        <f>Inputs!$F$45*Inputs!BL219</f>
        <v/>
      </c>
      <c r="BM85" s="11">
        <f>Inputs!$F$45*Inputs!BM219</f>
        <v/>
      </c>
      <c r="BN85" s="11">
        <f>Inputs!$F$45*Inputs!BN219</f>
        <v/>
      </c>
    </row>
    <row r="86">
      <c r="D86" t="inlineStr">
        <is>
          <t>Gas payables</t>
        </is>
      </c>
      <c r="E86" t="inlineStr">
        <is>
          <t>USD m</t>
        </is>
      </c>
      <c r="J86" s="11">
        <f>(1-J82)*(J69+J50)/MAX(Time!J26,1)*Inputs!$F$169</f>
        <v/>
      </c>
      <c r="K86" s="11">
        <f>(1-K82)*(K69+K50)/MAX(Time!K26,1)*Inputs!$F$169</f>
        <v/>
      </c>
      <c r="L86" s="11">
        <f>(1-L82)*(L69+L50)/MAX(Time!L26,1)*Inputs!$F$169</f>
        <v/>
      </c>
      <c r="M86" s="11">
        <f>(1-M82)*(M69+M50)/MAX(Time!M26,1)*Inputs!$F$169</f>
        <v/>
      </c>
      <c r="N86" s="11">
        <f>(1-N82)*(N69+N50)/MAX(Time!N26,1)*Inputs!$F$169</f>
        <v/>
      </c>
      <c r="O86" s="11">
        <f>(1-O82)*(O69+O50)/MAX(Time!O26,1)*Inputs!$F$169</f>
        <v/>
      </c>
      <c r="P86" s="11">
        <f>(1-P82)*(P69+P50)/MAX(Time!P26,1)*Inputs!$F$169</f>
        <v/>
      </c>
      <c r="Q86" s="11">
        <f>(1-Q82)*(Q69+Q50)/MAX(Time!Q26,1)*Inputs!$F$169</f>
        <v/>
      </c>
      <c r="R86" s="11">
        <f>(1-R82)*(R69+R50)/MAX(Time!R26,1)*Inputs!$F$169</f>
        <v/>
      </c>
      <c r="S86" s="11">
        <f>(1-S82)*(S69+S50)/MAX(Time!S26,1)*Inputs!$F$169</f>
        <v/>
      </c>
      <c r="T86" s="11">
        <f>(1-T82)*(T69+T50)/MAX(Time!T26,1)*Inputs!$F$169</f>
        <v/>
      </c>
      <c r="U86" s="11">
        <f>(1-U82)*(U69+U50)/MAX(Time!U26,1)*Inputs!$F$169</f>
        <v/>
      </c>
      <c r="V86" s="11">
        <f>(1-V82)*(V69+V50)/MAX(Time!V26,1)*Inputs!$F$169</f>
        <v/>
      </c>
      <c r="W86" s="11">
        <f>(1-W82)*(W69+W50)/MAX(Time!W26,1)*Inputs!$F$169</f>
        <v/>
      </c>
      <c r="X86" s="11">
        <f>(1-X82)*(X69+X50)/MAX(Time!X26,1)*Inputs!$F$169</f>
        <v/>
      </c>
      <c r="Y86" s="11">
        <f>(1-Y82)*(Y69+Y50)/MAX(Time!Y26,1)*Inputs!$F$169</f>
        <v/>
      </c>
      <c r="Z86" s="11">
        <f>(1-Z82)*(Z69+Z50)/MAX(Time!Z26,1)*Inputs!$F$169</f>
        <v/>
      </c>
      <c r="AA86" s="11">
        <f>(1-AA82)*(AA69+AA50)/MAX(Time!AA26,1)*Inputs!$F$169</f>
        <v/>
      </c>
      <c r="AB86" s="11">
        <f>(1-AB82)*(AB69+AB50)/MAX(Time!AB26,1)*Inputs!$F$169</f>
        <v/>
      </c>
      <c r="AC86" s="11">
        <f>(1-AC82)*(AC69+AC50)/MAX(Time!AC26,1)*Inputs!$F$169</f>
        <v/>
      </c>
      <c r="AD86" s="11">
        <f>(1-AD82)*(AD69+AD50)/MAX(Time!AD26,1)*Inputs!$F$169</f>
        <v/>
      </c>
      <c r="AE86" s="11">
        <f>(1-AE82)*(AE69+AE50)/MAX(Time!AE26,1)*Inputs!$F$169</f>
        <v/>
      </c>
      <c r="AF86" s="11">
        <f>(1-AF82)*(AF69+AF50)/MAX(Time!AF26,1)*Inputs!$F$169</f>
        <v/>
      </c>
      <c r="AG86" s="11">
        <f>(1-AG82)*(AG69+AG50)/MAX(Time!AG26,1)*Inputs!$F$169</f>
        <v/>
      </c>
      <c r="AH86" s="11">
        <f>(1-AH82)*(AH69+AH50)/MAX(Time!AH26,1)*Inputs!$F$169</f>
        <v/>
      </c>
      <c r="AI86" s="11">
        <f>(1-AI82)*(AI69+AI50)/MAX(Time!AI26,1)*Inputs!$F$169</f>
        <v/>
      </c>
      <c r="AJ86" s="11">
        <f>(1-AJ82)*(AJ69+AJ50)/MAX(Time!AJ26,1)*Inputs!$F$169</f>
        <v/>
      </c>
      <c r="AK86" s="11">
        <f>(1-AK82)*(AK69+AK50)/MAX(Time!AK26,1)*Inputs!$F$169</f>
        <v/>
      </c>
      <c r="AL86" s="11">
        <f>(1-AL82)*(AL69+AL50)/MAX(Time!AL26,1)*Inputs!$F$169</f>
        <v/>
      </c>
      <c r="AM86" s="11">
        <f>(1-AM82)*(AM69+AM50)/MAX(Time!AM26,1)*Inputs!$F$169</f>
        <v/>
      </c>
      <c r="AN86" s="11">
        <f>(1-AN82)*(AN69+AN50)/MAX(Time!AN26,1)*Inputs!$F$169</f>
        <v/>
      </c>
      <c r="AO86" s="11">
        <f>(1-AO82)*(AO69+AO50)/MAX(Time!AO26,1)*Inputs!$F$169</f>
        <v/>
      </c>
      <c r="AP86" s="11">
        <f>(1-AP82)*(AP69+AP50)/MAX(Time!AP26,1)*Inputs!$F$169</f>
        <v/>
      </c>
      <c r="AQ86" s="11">
        <f>(1-AQ82)*(AQ69+AQ50)/MAX(Time!AQ26,1)*Inputs!$F$169</f>
        <v/>
      </c>
      <c r="AR86" s="11">
        <f>(1-AR82)*(AR69+AR50)/MAX(Time!AR26,1)*Inputs!$F$169</f>
        <v/>
      </c>
      <c r="AS86" s="11">
        <f>(1-AS82)*(AS69+AS50)/MAX(Time!AS26,1)*Inputs!$F$169</f>
        <v/>
      </c>
      <c r="AT86" s="11">
        <f>(1-AT82)*(AT69+AT50)/MAX(Time!AT26,1)*Inputs!$F$169</f>
        <v/>
      </c>
      <c r="AU86" s="11">
        <f>(1-AU82)*(AU69+AU50)/MAX(Time!AU26,1)*Inputs!$F$169</f>
        <v/>
      </c>
      <c r="AV86" s="11">
        <f>(1-AV82)*(AV69+AV50)/MAX(Time!AV26,1)*Inputs!$F$169</f>
        <v/>
      </c>
      <c r="AW86" s="11">
        <f>(1-AW82)*(AW69+AW50)/MAX(Time!AW26,1)*Inputs!$F$169</f>
        <v/>
      </c>
      <c r="AX86" s="11">
        <f>(1-AX82)*(AX69+AX50)/MAX(Time!AX26,1)*Inputs!$F$169</f>
        <v/>
      </c>
      <c r="AY86" s="11">
        <f>(1-AY82)*(AY69+AY50)/MAX(Time!AY26,1)*Inputs!$F$169</f>
        <v/>
      </c>
      <c r="AZ86" s="11">
        <f>(1-AZ82)*(AZ69+AZ50)/MAX(Time!AZ26,1)*Inputs!$F$169</f>
        <v/>
      </c>
      <c r="BA86" s="11">
        <f>(1-BA82)*(BA69+BA50)/MAX(Time!BA26,1)*Inputs!$F$169</f>
        <v/>
      </c>
      <c r="BB86" s="11">
        <f>(1-BB82)*(BB69+BB50)/MAX(Time!BB26,1)*Inputs!$F$169</f>
        <v/>
      </c>
      <c r="BC86" s="11">
        <f>(1-BC82)*(BC69+BC50)/MAX(Time!BC26,1)*Inputs!$F$169</f>
        <v/>
      </c>
      <c r="BD86" s="11">
        <f>(1-BD82)*(BD69+BD50)/MAX(Time!BD26,1)*Inputs!$F$169</f>
        <v/>
      </c>
      <c r="BE86" s="11">
        <f>(1-BE82)*(BE69+BE50)/MAX(Time!BE26,1)*Inputs!$F$169</f>
        <v/>
      </c>
      <c r="BF86" s="11">
        <f>(1-BF82)*(BF69+BF50)/MAX(Time!BF26,1)*Inputs!$F$169</f>
        <v/>
      </c>
      <c r="BG86" s="11">
        <f>(1-BG82)*(BG69+BG50)/MAX(Time!BG26,1)*Inputs!$F$169</f>
        <v/>
      </c>
      <c r="BH86" s="11">
        <f>(1-BH82)*(BH69+BH50)/MAX(Time!BH26,1)*Inputs!$F$169</f>
        <v/>
      </c>
      <c r="BI86" s="11">
        <f>(1-BI82)*(BI69+BI50)/MAX(Time!BI26,1)*Inputs!$F$169</f>
        <v/>
      </c>
      <c r="BJ86" s="11">
        <f>(1-BJ82)*(BJ69+BJ50)/MAX(Time!BJ26,1)*Inputs!$F$169</f>
        <v/>
      </c>
      <c r="BK86" s="11">
        <f>(1-BK82)*(BK69+BK50)/MAX(Time!BK26,1)*Inputs!$F$169</f>
        <v/>
      </c>
      <c r="BL86" s="11">
        <f>(1-BL82)*(BL69+BL50)/MAX(Time!BL26,1)*Inputs!$F$169</f>
        <v/>
      </c>
      <c r="BM86" s="11">
        <f>(1-BM82)*(BM69+BM50)/MAX(Time!BM26,1)*Inputs!$F$169</f>
        <v/>
      </c>
      <c r="BN86" s="11">
        <f>(1-BN82)*(BN69+BN50)/MAX(Time!BN26,1)*Inputs!$F$169</f>
        <v/>
      </c>
    </row>
    <row r="87">
      <c r="D87" t="inlineStr">
        <is>
          <t>GTA payables</t>
        </is>
      </c>
      <c r="E87" t="inlineStr">
        <is>
          <t>USD m</t>
        </is>
      </c>
      <c r="J87" s="11">
        <f>(1-J82)*(J48+J49)/MAX(Time!J26,1)*Inputs!$F$170</f>
        <v/>
      </c>
      <c r="K87" s="11">
        <f>(1-K82)*(K48+K49)/MAX(Time!K26,1)*Inputs!$F$170</f>
        <v/>
      </c>
      <c r="L87" s="11">
        <f>(1-L82)*(L48+L49)/MAX(Time!L26,1)*Inputs!$F$170</f>
        <v/>
      </c>
      <c r="M87" s="11">
        <f>(1-M82)*(M48+M49)/MAX(Time!M26,1)*Inputs!$F$170</f>
        <v/>
      </c>
      <c r="N87" s="11">
        <f>(1-N82)*(N48+N49)/MAX(Time!N26,1)*Inputs!$F$170</f>
        <v/>
      </c>
      <c r="O87" s="11">
        <f>(1-O82)*(O48+O49)/MAX(Time!O26,1)*Inputs!$F$170</f>
        <v/>
      </c>
      <c r="P87" s="11">
        <f>(1-P82)*(P48+P49)/MAX(Time!P26,1)*Inputs!$F$170</f>
        <v/>
      </c>
      <c r="Q87" s="11">
        <f>(1-Q82)*(Q48+Q49)/MAX(Time!Q26,1)*Inputs!$F$170</f>
        <v/>
      </c>
      <c r="R87" s="11">
        <f>(1-R82)*(R48+R49)/MAX(Time!R26,1)*Inputs!$F$170</f>
        <v/>
      </c>
      <c r="S87" s="11">
        <f>(1-S82)*(S48+S49)/MAX(Time!S26,1)*Inputs!$F$170</f>
        <v/>
      </c>
      <c r="T87" s="11">
        <f>(1-T82)*(T48+T49)/MAX(Time!T26,1)*Inputs!$F$170</f>
        <v/>
      </c>
      <c r="U87" s="11">
        <f>(1-U82)*(U48+U49)/MAX(Time!U26,1)*Inputs!$F$170</f>
        <v/>
      </c>
      <c r="V87" s="11">
        <f>(1-V82)*(V48+V49)/MAX(Time!V26,1)*Inputs!$F$170</f>
        <v/>
      </c>
      <c r="W87" s="11">
        <f>(1-W82)*(W48+W49)/MAX(Time!W26,1)*Inputs!$F$170</f>
        <v/>
      </c>
      <c r="X87" s="11">
        <f>(1-X82)*(X48+X49)/MAX(Time!X26,1)*Inputs!$F$170</f>
        <v/>
      </c>
      <c r="Y87" s="11">
        <f>(1-Y82)*(Y48+Y49)/MAX(Time!Y26,1)*Inputs!$F$170</f>
        <v/>
      </c>
      <c r="Z87" s="11">
        <f>(1-Z82)*(Z48+Z49)/MAX(Time!Z26,1)*Inputs!$F$170</f>
        <v/>
      </c>
      <c r="AA87" s="11">
        <f>(1-AA82)*(AA48+AA49)/MAX(Time!AA26,1)*Inputs!$F$170</f>
        <v/>
      </c>
      <c r="AB87" s="11">
        <f>(1-AB82)*(AB48+AB49)/MAX(Time!AB26,1)*Inputs!$F$170</f>
        <v/>
      </c>
      <c r="AC87" s="11">
        <f>(1-AC82)*(AC48+AC49)/MAX(Time!AC26,1)*Inputs!$F$170</f>
        <v/>
      </c>
      <c r="AD87" s="11">
        <f>(1-AD82)*(AD48+AD49)/MAX(Time!AD26,1)*Inputs!$F$170</f>
        <v/>
      </c>
      <c r="AE87" s="11">
        <f>(1-AE82)*(AE48+AE49)/MAX(Time!AE26,1)*Inputs!$F$170</f>
        <v/>
      </c>
      <c r="AF87" s="11">
        <f>(1-AF82)*(AF48+AF49)/MAX(Time!AF26,1)*Inputs!$F$170</f>
        <v/>
      </c>
      <c r="AG87" s="11">
        <f>(1-AG82)*(AG48+AG49)/MAX(Time!AG26,1)*Inputs!$F$170</f>
        <v/>
      </c>
      <c r="AH87" s="11">
        <f>(1-AH82)*(AH48+AH49)/MAX(Time!AH26,1)*Inputs!$F$170</f>
        <v/>
      </c>
      <c r="AI87" s="11">
        <f>(1-AI82)*(AI48+AI49)/MAX(Time!AI26,1)*Inputs!$F$170</f>
        <v/>
      </c>
      <c r="AJ87" s="11">
        <f>(1-AJ82)*(AJ48+AJ49)/MAX(Time!AJ26,1)*Inputs!$F$170</f>
        <v/>
      </c>
      <c r="AK87" s="11">
        <f>(1-AK82)*(AK48+AK49)/MAX(Time!AK26,1)*Inputs!$F$170</f>
        <v/>
      </c>
      <c r="AL87" s="11">
        <f>(1-AL82)*(AL48+AL49)/MAX(Time!AL26,1)*Inputs!$F$170</f>
        <v/>
      </c>
      <c r="AM87" s="11">
        <f>(1-AM82)*(AM48+AM49)/MAX(Time!AM26,1)*Inputs!$F$170</f>
        <v/>
      </c>
      <c r="AN87" s="11">
        <f>(1-AN82)*(AN48+AN49)/MAX(Time!AN26,1)*Inputs!$F$170</f>
        <v/>
      </c>
      <c r="AO87" s="11">
        <f>(1-AO82)*(AO48+AO49)/MAX(Time!AO26,1)*Inputs!$F$170</f>
        <v/>
      </c>
      <c r="AP87" s="11">
        <f>(1-AP82)*(AP48+AP49)/MAX(Time!AP26,1)*Inputs!$F$170</f>
        <v/>
      </c>
      <c r="AQ87" s="11">
        <f>(1-AQ82)*(AQ48+AQ49)/MAX(Time!AQ26,1)*Inputs!$F$170</f>
        <v/>
      </c>
      <c r="AR87" s="11">
        <f>(1-AR82)*(AR48+AR49)/MAX(Time!AR26,1)*Inputs!$F$170</f>
        <v/>
      </c>
      <c r="AS87" s="11">
        <f>(1-AS82)*(AS48+AS49)/MAX(Time!AS26,1)*Inputs!$F$170</f>
        <v/>
      </c>
      <c r="AT87" s="11">
        <f>(1-AT82)*(AT48+AT49)/MAX(Time!AT26,1)*Inputs!$F$170</f>
        <v/>
      </c>
      <c r="AU87" s="11">
        <f>(1-AU82)*(AU48+AU49)/MAX(Time!AU26,1)*Inputs!$F$170</f>
        <v/>
      </c>
      <c r="AV87" s="11">
        <f>(1-AV82)*(AV48+AV49)/MAX(Time!AV26,1)*Inputs!$F$170</f>
        <v/>
      </c>
      <c r="AW87" s="11">
        <f>(1-AW82)*(AW48+AW49)/MAX(Time!AW26,1)*Inputs!$F$170</f>
        <v/>
      </c>
      <c r="AX87" s="11">
        <f>(1-AX82)*(AX48+AX49)/MAX(Time!AX26,1)*Inputs!$F$170</f>
        <v/>
      </c>
      <c r="AY87" s="11">
        <f>(1-AY82)*(AY48+AY49)/MAX(Time!AY26,1)*Inputs!$F$170</f>
        <v/>
      </c>
      <c r="AZ87" s="11">
        <f>(1-AZ82)*(AZ48+AZ49)/MAX(Time!AZ26,1)*Inputs!$F$170</f>
        <v/>
      </c>
      <c r="BA87" s="11">
        <f>(1-BA82)*(BA48+BA49)/MAX(Time!BA26,1)*Inputs!$F$170</f>
        <v/>
      </c>
      <c r="BB87" s="11">
        <f>(1-BB82)*(BB48+BB49)/MAX(Time!BB26,1)*Inputs!$F$170</f>
        <v/>
      </c>
      <c r="BC87" s="11">
        <f>(1-BC82)*(BC48+BC49)/MAX(Time!BC26,1)*Inputs!$F$170</f>
        <v/>
      </c>
      <c r="BD87" s="11">
        <f>(1-BD82)*(BD48+BD49)/MAX(Time!BD26,1)*Inputs!$F$170</f>
        <v/>
      </c>
      <c r="BE87" s="11">
        <f>(1-BE82)*(BE48+BE49)/MAX(Time!BE26,1)*Inputs!$F$170</f>
        <v/>
      </c>
      <c r="BF87" s="11">
        <f>(1-BF82)*(BF48+BF49)/MAX(Time!BF26,1)*Inputs!$F$170</f>
        <v/>
      </c>
      <c r="BG87" s="11">
        <f>(1-BG82)*(BG48+BG49)/MAX(Time!BG26,1)*Inputs!$F$170</f>
        <v/>
      </c>
      <c r="BH87" s="11">
        <f>(1-BH82)*(BH48+BH49)/MAX(Time!BH26,1)*Inputs!$F$170</f>
        <v/>
      </c>
      <c r="BI87" s="11">
        <f>(1-BI82)*(BI48+BI49)/MAX(Time!BI26,1)*Inputs!$F$170</f>
        <v/>
      </c>
      <c r="BJ87" s="11">
        <f>(1-BJ82)*(BJ48+BJ49)/MAX(Time!BJ26,1)*Inputs!$F$170</f>
        <v/>
      </c>
      <c r="BK87" s="11">
        <f>(1-BK82)*(BK48+BK49)/MAX(Time!BK26,1)*Inputs!$F$170</f>
        <v/>
      </c>
      <c r="BL87" s="11">
        <f>(1-BL82)*(BL48+BL49)/MAX(Time!BL26,1)*Inputs!$F$170</f>
        <v/>
      </c>
      <c r="BM87" s="11">
        <f>(1-BM82)*(BM48+BM49)/MAX(Time!BM26,1)*Inputs!$F$170</f>
        <v/>
      </c>
      <c r="BN87" s="11">
        <f>(1-BN82)*(BN48+BN49)/MAX(Time!BN26,1)*Inputs!$F$170</f>
        <v/>
      </c>
    </row>
    <row r="88">
      <c r="D88" t="inlineStr">
        <is>
          <t>O&amp;M and LTSA payables</t>
        </is>
      </c>
      <c r="E88" t="inlineStr">
        <is>
          <t>USD m</t>
        </is>
      </c>
      <c r="J88" s="11">
        <f>(1-J82)*(J56+J57+J58+J60)/MAX(Time!J26,1)*Inputs!$F$171</f>
        <v/>
      </c>
      <c r="K88" s="11">
        <f>(1-K82)*(K56+K57+K58+K60)/MAX(Time!K26,1)*Inputs!$F$171</f>
        <v/>
      </c>
      <c r="L88" s="11">
        <f>(1-L82)*(L56+L57+L58+L60)/MAX(Time!L26,1)*Inputs!$F$171</f>
        <v/>
      </c>
      <c r="M88" s="11">
        <f>(1-M82)*(M56+M57+M58+M60)/MAX(Time!M26,1)*Inputs!$F$171</f>
        <v/>
      </c>
      <c r="N88" s="11">
        <f>(1-N82)*(N56+N57+N58+N60)/MAX(Time!N26,1)*Inputs!$F$171</f>
        <v/>
      </c>
      <c r="O88" s="11">
        <f>(1-O82)*(O56+O57+O58+O60)/MAX(Time!O26,1)*Inputs!$F$171</f>
        <v/>
      </c>
      <c r="P88" s="11">
        <f>(1-P82)*(P56+P57+P58+P60)/MAX(Time!P26,1)*Inputs!$F$171</f>
        <v/>
      </c>
      <c r="Q88" s="11">
        <f>(1-Q82)*(Q56+Q57+Q58+Q60)/MAX(Time!Q26,1)*Inputs!$F$171</f>
        <v/>
      </c>
      <c r="R88" s="11">
        <f>(1-R82)*(R56+R57+R58+R60)/MAX(Time!R26,1)*Inputs!$F$171</f>
        <v/>
      </c>
      <c r="S88" s="11">
        <f>(1-S82)*(S56+S57+S58+S60)/MAX(Time!S26,1)*Inputs!$F$171</f>
        <v/>
      </c>
      <c r="T88" s="11">
        <f>(1-T82)*(T56+T57+T58+T60)/MAX(Time!T26,1)*Inputs!$F$171</f>
        <v/>
      </c>
      <c r="U88" s="11">
        <f>(1-U82)*(U56+U57+U58+U60)/MAX(Time!U26,1)*Inputs!$F$171</f>
        <v/>
      </c>
      <c r="V88" s="11">
        <f>(1-V82)*(V56+V57+V58+V60)/MAX(Time!V26,1)*Inputs!$F$171</f>
        <v/>
      </c>
      <c r="W88" s="11">
        <f>(1-W82)*(W56+W57+W58+W60)/MAX(Time!W26,1)*Inputs!$F$171</f>
        <v/>
      </c>
      <c r="X88" s="11">
        <f>(1-X82)*(X56+X57+X58+X60)/MAX(Time!X26,1)*Inputs!$F$171</f>
        <v/>
      </c>
      <c r="Y88" s="11">
        <f>(1-Y82)*(Y56+Y57+Y58+Y60)/MAX(Time!Y26,1)*Inputs!$F$171</f>
        <v/>
      </c>
      <c r="Z88" s="11">
        <f>(1-Z82)*(Z56+Z57+Z58+Z60)/MAX(Time!Z26,1)*Inputs!$F$171</f>
        <v/>
      </c>
      <c r="AA88" s="11">
        <f>(1-AA82)*(AA56+AA57+AA58+AA60)/MAX(Time!AA26,1)*Inputs!$F$171</f>
        <v/>
      </c>
      <c r="AB88" s="11">
        <f>(1-AB82)*(AB56+AB57+AB58+AB60)/MAX(Time!AB26,1)*Inputs!$F$171</f>
        <v/>
      </c>
      <c r="AC88" s="11">
        <f>(1-AC82)*(AC56+AC57+AC58+AC60)/MAX(Time!AC26,1)*Inputs!$F$171</f>
        <v/>
      </c>
      <c r="AD88" s="11">
        <f>(1-AD82)*(AD56+AD57+AD58+AD60)/MAX(Time!AD26,1)*Inputs!$F$171</f>
        <v/>
      </c>
      <c r="AE88" s="11">
        <f>(1-AE82)*(AE56+AE57+AE58+AE60)/MAX(Time!AE26,1)*Inputs!$F$171</f>
        <v/>
      </c>
      <c r="AF88" s="11">
        <f>(1-AF82)*(AF56+AF57+AF58+AF60)/MAX(Time!AF26,1)*Inputs!$F$171</f>
        <v/>
      </c>
      <c r="AG88" s="11">
        <f>(1-AG82)*(AG56+AG57+AG58+AG60)/MAX(Time!AG26,1)*Inputs!$F$171</f>
        <v/>
      </c>
      <c r="AH88" s="11">
        <f>(1-AH82)*(AH56+AH57+AH58+AH60)/MAX(Time!AH26,1)*Inputs!$F$171</f>
        <v/>
      </c>
      <c r="AI88" s="11">
        <f>(1-AI82)*(AI56+AI57+AI58+AI60)/MAX(Time!AI26,1)*Inputs!$F$171</f>
        <v/>
      </c>
      <c r="AJ88" s="11">
        <f>(1-AJ82)*(AJ56+AJ57+AJ58+AJ60)/MAX(Time!AJ26,1)*Inputs!$F$171</f>
        <v/>
      </c>
      <c r="AK88" s="11">
        <f>(1-AK82)*(AK56+AK57+AK58+AK60)/MAX(Time!AK26,1)*Inputs!$F$171</f>
        <v/>
      </c>
      <c r="AL88" s="11">
        <f>(1-AL82)*(AL56+AL57+AL58+AL60)/MAX(Time!AL26,1)*Inputs!$F$171</f>
        <v/>
      </c>
      <c r="AM88" s="11">
        <f>(1-AM82)*(AM56+AM57+AM58+AM60)/MAX(Time!AM26,1)*Inputs!$F$171</f>
        <v/>
      </c>
      <c r="AN88" s="11">
        <f>(1-AN82)*(AN56+AN57+AN58+AN60)/MAX(Time!AN26,1)*Inputs!$F$171</f>
        <v/>
      </c>
      <c r="AO88" s="11">
        <f>(1-AO82)*(AO56+AO57+AO58+AO60)/MAX(Time!AO26,1)*Inputs!$F$171</f>
        <v/>
      </c>
      <c r="AP88" s="11">
        <f>(1-AP82)*(AP56+AP57+AP58+AP60)/MAX(Time!AP26,1)*Inputs!$F$171</f>
        <v/>
      </c>
      <c r="AQ88" s="11">
        <f>(1-AQ82)*(AQ56+AQ57+AQ58+AQ60)/MAX(Time!AQ26,1)*Inputs!$F$171</f>
        <v/>
      </c>
      <c r="AR88" s="11">
        <f>(1-AR82)*(AR56+AR57+AR58+AR60)/MAX(Time!AR26,1)*Inputs!$F$171</f>
        <v/>
      </c>
      <c r="AS88" s="11">
        <f>(1-AS82)*(AS56+AS57+AS58+AS60)/MAX(Time!AS26,1)*Inputs!$F$171</f>
        <v/>
      </c>
      <c r="AT88" s="11">
        <f>(1-AT82)*(AT56+AT57+AT58+AT60)/MAX(Time!AT26,1)*Inputs!$F$171</f>
        <v/>
      </c>
      <c r="AU88" s="11">
        <f>(1-AU82)*(AU56+AU57+AU58+AU60)/MAX(Time!AU26,1)*Inputs!$F$171</f>
        <v/>
      </c>
      <c r="AV88" s="11">
        <f>(1-AV82)*(AV56+AV57+AV58+AV60)/MAX(Time!AV26,1)*Inputs!$F$171</f>
        <v/>
      </c>
      <c r="AW88" s="11">
        <f>(1-AW82)*(AW56+AW57+AW58+AW60)/MAX(Time!AW26,1)*Inputs!$F$171</f>
        <v/>
      </c>
      <c r="AX88" s="11">
        <f>(1-AX82)*(AX56+AX57+AX58+AX60)/MAX(Time!AX26,1)*Inputs!$F$171</f>
        <v/>
      </c>
      <c r="AY88" s="11">
        <f>(1-AY82)*(AY56+AY57+AY58+AY60)/MAX(Time!AY26,1)*Inputs!$F$171</f>
        <v/>
      </c>
      <c r="AZ88" s="11">
        <f>(1-AZ82)*(AZ56+AZ57+AZ58+AZ60)/MAX(Time!AZ26,1)*Inputs!$F$171</f>
        <v/>
      </c>
      <c r="BA88" s="11">
        <f>(1-BA82)*(BA56+BA57+BA58+BA60)/MAX(Time!BA26,1)*Inputs!$F$171</f>
        <v/>
      </c>
      <c r="BB88" s="11">
        <f>(1-BB82)*(BB56+BB57+BB58+BB60)/MAX(Time!BB26,1)*Inputs!$F$171</f>
        <v/>
      </c>
      <c r="BC88" s="11">
        <f>(1-BC82)*(BC56+BC57+BC58+BC60)/MAX(Time!BC26,1)*Inputs!$F$171</f>
        <v/>
      </c>
      <c r="BD88" s="11">
        <f>(1-BD82)*(BD56+BD57+BD58+BD60)/MAX(Time!BD26,1)*Inputs!$F$171</f>
        <v/>
      </c>
      <c r="BE88" s="11">
        <f>(1-BE82)*(BE56+BE57+BE58+BE60)/MAX(Time!BE26,1)*Inputs!$F$171</f>
        <v/>
      </c>
      <c r="BF88" s="11">
        <f>(1-BF82)*(BF56+BF57+BF58+BF60)/MAX(Time!BF26,1)*Inputs!$F$171</f>
        <v/>
      </c>
      <c r="BG88" s="11">
        <f>(1-BG82)*(BG56+BG57+BG58+BG60)/MAX(Time!BG26,1)*Inputs!$F$171</f>
        <v/>
      </c>
      <c r="BH88" s="11">
        <f>(1-BH82)*(BH56+BH57+BH58+BH60)/MAX(Time!BH26,1)*Inputs!$F$171</f>
        <v/>
      </c>
      <c r="BI88" s="11">
        <f>(1-BI82)*(BI56+BI57+BI58+BI60)/MAX(Time!BI26,1)*Inputs!$F$171</f>
        <v/>
      </c>
      <c r="BJ88" s="11">
        <f>(1-BJ82)*(BJ56+BJ57+BJ58+BJ60)/MAX(Time!BJ26,1)*Inputs!$F$171</f>
        <v/>
      </c>
      <c r="BK88" s="11">
        <f>(1-BK82)*(BK56+BK57+BK58+BK60)/MAX(Time!BK26,1)*Inputs!$F$171</f>
        <v/>
      </c>
      <c r="BL88" s="11">
        <f>(1-BL82)*(BL56+BL57+BL58+BL60)/MAX(Time!BL26,1)*Inputs!$F$171</f>
        <v/>
      </c>
      <c r="BM88" s="11">
        <f>(1-BM82)*(BM56+BM57+BM58+BM60)/MAX(Time!BM26,1)*Inputs!$F$171</f>
        <v/>
      </c>
      <c r="BN88" s="11">
        <f>(1-BN82)*(BN56+BN57+BN58+BN60)/MAX(Time!BN26,1)*Inputs!$F$171</f>
        <v/>
      </c>
    </row>
    <row r="89">
      <c r="D89" t="inlineStr">
        <is>
          <t>Other payables</t>
        </is>
      </c>
      <c r="E89" t="inlineStr">
        <is>
          <t>USD m</t>
        </is>
      </c>
      <c r="J89" s="11">
        <f>(1-J82)*(J61+J62+J63+J64+J65+J66+J67)/MAX(Time!J26,1)*Inputs!$F$172</f>
        <v/>
      </c>
      <c r="K89" s="11">
        <f>(1-K82)*(K61+K62+K63+K64+K65+K66+K67)/MAX(Time!K26,1)*Inputs!$F$172</f>
        <v/>
      </c>
      <c r="L89" s="11">
        <f>(1-L82)*(L61+L62+L63+L64+L65+L66+L67)/MAX(Time!L26,1)*Inputs!$F$172</f>
        <v/>
      </c>
      <c r="M89" s="11">
        <f>(1-M82)*(M61+M62+M63+M64+M65+M66+M67)/MAX(Time!M26,1)*Inputs!$F$172</f>
        <v/>
      </c>
      <c r="N89" s="11">
        <f>(1-N82)*(N61+N62+N63+N64+N65+N66+N67)/MAX(Time!N26,1)*Inputs!$F$172</f>
        <v/>
      </c>
      <c r="O89" s="11">
        <f>(1-O82)*(O61+O62+O63+O64+O65+O66+O67)/MAX(Time!O26,1)*Inputs!$F$172</f>
        <v/>
      </c>
      <c r="P89" s="11">
        <f>(1-P82)*(P61+P62+P63+P64+P65+P66+P67)/MAX(Time!P26,1)*Inputs!$F$172</f>
        <v/>
      </c>
      <c r="Q89" s="11">
        <f>(1-Q82)*(Q61+Q62+Q63+Q64+Q65+Q66+Q67)/MAX(Time!Q26,1)*Inputs!$F$172</f>
        <v/>
      </c>
      <c r="R89" s="11">
        <f>(1-R82)*(R61+R62+R63+R64+R65+R66+R67)/MAX(Time!R26,1)*Inputs!$F$172</f>
        <v/>
      </c>
      <c r="S89" s="11">
        <f>(1-S82)*(S61+S62+S63+S64+S65+S66+S67)/MAX(Time!S26,1)*Inputs!$F$172</f>
        <v/>
      </c>
      <c r="T89" s="11">
        <f>(1-T82)*(T61+T62+T63+T64+T65+T66+T67)/MAX(Time!T26,1)*Inputs!$F$172</f>
        <v/>
      </c>
      <c r="U89" s="11">
        <f>(1-U82)*(U61+U62+U63+U64+U65+U66+U67)/MAX(Time!U26,1)*Inputs!$F$172</f>
        <v/>
      </c>
      <c r="V89" s="11">
        <f>(1-V82)*(V61+V62+V63+V64+V65+V66+V67)/MAX(Time!V26,1)*Inputs!$F$172</f>
        <v/>
      </c>
      <c r="W89" s="11">
        <f>(1-W82)*(W61+W62+W63+W64+W65+W66+W67)/MAX(Time!W26,1)*Inputs!$F$172</f>
        <v/>
      </c>
      <c r="X89" s="11">
        <f>(1-X82)*(X61+X62+X63+X64+X65+X66+X67)/MAX(Time!X26,1)*Inputs!$F$172</f>
        <v/>
      </c>
      <c r="Y89" s="11">
        <f>(1-Y82)*(Y61+Y62+Y63+Y64+Y65+Y66+Y67)/MAX(Time!Y26,1)*Inputs!$F$172</f>
        <v/>
      </c>
      <c r="Z89" s="11">
        <f>(1-Z82)*(Z61+Z62+Z63+Z64+Z65+Z66+Z67)/MAX(Time!Z26,1)*Inputs!$F$172</f>
        <v/>
      </c>
      <c r="AA89" s="11">
        <f>(1-AA82)*(AA61+AA62+AA63+AA64+AA65+AA66+AA67)/MAX(Time!AA26,1)*Inputs!$F$172</f>
        <v/>
      </c>
      <c r="AB89" s="11">
        <f>(1-AB82)*(AB61+AB62+AB63+AB64+AB65+AB66+AB67)/MAX(Time!AB26,1)*Inputs!$F$172</f>
        <v/>
      </c>
      <c r="AC89" s="11">
        <f>(1-AC82)*(AC61+AC62+AC63+AC64+AC65+AC66+AC67)/MAX(Time!AC26,1)*Inputs!$F$172</f>
        <v/>
      </c>
      <c r="AD89" s="11">
        <f>(1-AD82)*(AD61+AD62+AD63+AD64+AD65+AD66+AD67)/MAX(Time!AD26,1)*Inputs!$F$172</f>
        <v/>
      </c>
      <c r="AE89" s="11">
        <f>(1-AE82)*(AE61+AE62+AE63+AE64+AE65+AE66+AE67)/MAX(Time!AE26,1)*Inputs!$F$172</f>
        <v/>
      </c>
      <c r="AF89" s="11">
        <f>(1-AF82)*(AF61+AF62+AF63+AF64+AF65+AF66+AF67)/MAX(Time!AF26,1)*Inputs!$F$172</f>
        <v/>
      </c>
      <c r="AG89" s="11">
        <f>(1-AG82)*(AG61+AG62+AG63+AG64+AG65+AG66+AG67)/MAX(Time!AG26,1)*Inputs!$F$172</f>
        <v/>
      </c>
      <c r="AH89" s="11">
        <f>(1-AH82)*(AH61+AH62+AH63+AH64+AH65+AH66+AH67)/MAX(Time!AH26,1)*Inputs!$F$172</f>
        <v/>
      </c>
      <c r="AI89" s="11">
        <f>(1-AI82)*(AI61+AI62+AI63+AI64+AI65+AI66+AI67)/MAX(Time!AI26,1)*Inputs!$F$172</f>
        <v/>
      </c>
      <c r="AJ89" s="11">
        <f>(1-AJ82)*(AJ61+AJ62+AJ63+AJ64+AJ65+AJ66+AJ67)/MAX(Time!AJ26,1)*Inputs!$F$172</f>
        <v/>
      </c>
      <c r="AK89" s="11">
        <f>(1-AK82)*(AK61+AK62+AK63+AK64+AK65+AK66+AK67)/MAX(Time!AK26,1)*Inputs!$F$172</f>
        <v/>
      </c>
      <c r="AL89" s="11">
        <f>(1-AL82)*(AL61+AL62+AL63+AL64+AL65+AL66+AL67)/MAX(Time!AL26,1)*Inputs!$F$172</f>
        <v/>
      </c>
      <c r="AM89" s="11">
        <f>(1-AM82)*(AM61+AM62+AM63+AM64+AM65+AM66+AM67)/MAX(Time!AM26,1)*Inputs!$F$172</f>
        <v/>
      </c>
      <c r="AN89" s="11">
        <f>(1-AN82)*(AN61+AN62+AN63+AN64+AN65+AN66+AN67)/MAX(Time!AN26,1)*Inputs!$F$172</f>
        <v/>
      </c>
      <c r="AO89" s="11">
        <f>(1-AO82)*(AO61+AO62+AO63+AO64+AO65+AO66+AO67)/MAX(Time!AO26,1)*Inputs!$F$172</f>
        <v/>
      </c>
      <c r="AP89" s="11">
        <f>(1-AP82)*(AP61+AP62+AP63+AP64+AP65+AP66+AP67)/MAX(Time!AP26,1)*Inputs!$F$172</f>
        <v/>
      </c>
      <c r="AQ89" s="11">
        <f>(1-AQ82)*(AQ61+AQ62+AQ63+AQ64+AQ65+AQ66+AQ67)/MAX(Time!AQ26,1)*Inputs!$F$172</f>
        <v/>
      </c>
      <c r="AR89" s="11">
        <f>(1-AR82)*(AR61+AR62+AR63+AR64+AR65+AR66+AR67)/MAX(Time!AR26,1)*Inputs!$F$172</f>
        <v/>
      </c>
      <c r="AS89" s="11">
        <f>(1-AS82)*(AS61+AS62+AS63+AS64+AS65+AS66+AS67)/MAX(Time!AS26,1)*Inputs!$F$172</f>
        <v/>
      </c>
      <c r="AT89" s="11">
        <f>(1-AT82)*(AT61+AT62+AT63+AT64+AT65+AT66+AT67)/MAX(Time!AT26,1)*Inputs!$F$172</f>
        <v/>
      </c>
      <c r="AU89" s="11">
        <f>(1-AU82)*(AU61+AU62+AU63+AU64+AU65+AU66+AU67)/MAX(Time!AU26,1)*Inputs!$F$172</f>
        <v/>
      </c>
      <c r="AV89" s="11">
        <f>(1-AV82)*(AV61+AV62+AV63+AV64+AV65+AV66+AV67)/MAX(Time!AV26,1)*Inputs!$F$172</f>
        <v/>
      </c>
      <c r="AW89" s="11">
        <f>(1-AW82)*(AW61+AW62+AW63+AW64+AW65+AW66+AW67)/MAX(Time!AW26,1)*Inputs!$F$172</f>
        <v/>
      </c>
      <c r="AX89" s="11">
        <f>(1-AX82)*(AX61+AX62+AX63+AX64+AX65+AX66+AX67)/MAX(Time!AX26,1)*Inputs!$F$172</f>
        <v/>
      </c>
      <c r="AY89" s="11">
        <f>(1-AY82)*(AY61+AY62+AY63+AY64+AY65+AY66+AY67)/MAX(Time!AY26,1)*Inputs!$F$172</f>
        <v/>
      </c>
      <c r="AZ89" s="11">
        <f>(1-AZ82)*(AZ61+AZ62+AZ63+AZ64+AZ65+AZ66+AZ67)/MAX(Time!AZ26,1)*Inputs!$F$172</f>
        <v/>
      </c>
      <c r="BA89" s="11">
        <f>(1-BA82)*(BA61+BA62+BA63+BA64+BA65+BA66+BA67)/MAX(Time!BA26,1)*Inputs!$F$172</f>
        <v/>
      </c>
      <c r="BB89" s="11">
        <f>(1-BB82)*(BB61+BB62+BB63+BB64+BB65+BB66+BB67)/MAX(Time!BB26,1)*Inputs!$F$172</f>
        <v/>
      </c>
      <c r="BC89" s="11">
        <f>(1-BC82)*(BC61+BC62+BC63+BC64+BC65+BC66+BC67)/MAX(Time!BC26,1)*Inputs!$F$172</f>
        <v/>
      </c>
      <c r="BD89" s="11">
        <f>(1-BD82)*(BD61+BD62+BD63+BD64+BD65+BD66+BD67)/MAX(Time!BD26,1)*Inputs!$F$172</f>
        <v/>
      </c>
      <c r="BE89" s="11">
        <f>(1-BE82)*(BE61+BE62+BE63+BE64+BE65+BE66+BE67)/MAX(Time!BE26,1)*Inputs!$F$172</f>
        <v/>
      </c>
      <c r="BF89" s="11">
        <f>(1-BF82)*(BF61+BF62+BF63+BF64+BF65+BF66+BF67)/MAX(Time!BF26,1)*Inputs!$F$172</f>
        <v/>
      </c>
      <c r="BG89" s="11">
        <f>(1-BG82)*(BG61+BG62+BG63+BG64+BG65+BG66+BG67)/MAX(Time!BG26,1)*Inputs!$F$172</f>
        <v/>
      </c>
      <c r="BH89" s="11">
        <f>(1-BH82)*(BH61+BH62+BH63+BH64+BH65+BH66+BH67)/MAX(Time!BH26,1)*Inputs!$F$172</f>
        <v/>
      </c>
      <c r="BI89" s="11">
        <f>(1-BI82)*(BI61+BI62+BI63+BI64+BI65+BI66+BI67)/MAX(Time!BI26,1)*Inputs!$F$172</f>
        <v/>
      </c>
      <c r="BJ89" s="11">
        <f>(1-BJ82)*(BJ61+BJ62+BJ63+BJ64+BJ65+BJ66+BJ67)/MAX(Time!BJ26,1)*Inputs!$F$172</f>
        <v/>
      </c>
      <c r="BK89" s="11">
        <f>(1-BK82)*(BK61+BK62+BK63+BK64+BK65+BK66+BK67)/MAX(Time!BK26,1)*Inputs!$F$172</f>
        <v/>
      </c>
      <c r="BL89" s="11">
        <f>(1-BL82)*(BL61+BL62+BL63+BL64+BL65+BL66+BL67)/MAX(Time!BL26,1)*Inputs!$F$172</f>
        <v/>
      </c>
      <c r="BM89" s="11">
        <f>(1-BM82)*(BM61+BM62+BM63+BM64+BM65+BM66+BM67)/MAX(Time!BM26,1)*Inputs!$F$172</f>
        <v/>
      </c>
      <c r="BN89" s="11">
        <f>(1-BN82)*(BN61+BN62+BN63+BN64+BN65+BN66+BN67)/MAX(Time!BN26,1)*Inputs!$F$172</f>
        <v/>
      </c>
    </row>
    <row r="90">
      <c r="D90" t="inlineStr">
        <is>
          <t>Deferred SNHK/GCK payables matching SEKA energy-charge arrears</t>
        </is>
      </c>
      <c r="E90" t="inlineStr">
        <is>
          <t>USD m</t>
        </is>
      </c>
      <c r="J90" s="11">
        <f>Inputs!$F$186*J85</f>
        <v/>
      </c>
      <c r="K90" s="11">
        <f>Inputs!$F$186*K85</f>
        <v/>
      </c>
      <c r="L90" s="11">
        <f>Inputs!$F$186*L85</f>
        <v/>
      </c>
      <c r="M90" s="11">
        <f>Inputs!$F$186*M85</f>
        <v/>
      </c>
      <c r="N90" s="11">
        <f>Inputs!$F$186*N85</f>
        <v/>
      </c>
      <c r="O90" s="11">
        <f>Inputs!$F$186*O85</f>
        <v/>
      </c>
      <c r="P90" s="11">
        <f>Inputs!$F$186*P85</f>
        <v/>
      </c>
      <c r="Q90" s="11">
        <f>Inputs!$F$186*Q85</f>
        <v/>
      </c>
      <c r="R90" s="11">
        <f>Inputs!$F$186*R85</f>
        <v/>
      </c>
      <c r="S90" s="11">
        <f>Inputs!$F$186*S85</f>
        <v/>
      </c>
      <c r="T90" s="11">
        <f>Inputs!$F$186*T85</f>
        <v/>
      </c>
      <c r="U90" s="11">
        <f>Inputs!$F$186*U85</f>
        <v/>
      </c>
      <c r="V90" s="11">
        <f>Inputs!$F$186*V85</f>
        <v/>
      </c>
      <c r="W90" s="11">
        <f>Inputs!$F$186*W85</f>
        <v/>
      </c>
      <c r="X90" s="11">
        <f>Inputs!$F$186*X85</f>
        <v/>
      </c>
      <c r="Y90" s="11">
        <f>Inputs!$F$186*Y85</f>
        <v/>
      </c>
      <c r="Z90" s="11">
        <f>Inputs!$F$186*Z85</f>
        <v/>
      </c>
      <c r="AA90" s="11">
        <f>Inputs!$F$186*AA85</f>
        <v/>
      </c>
      <c r="AB90" s="11">
        <f>Inputs!$F$186*AB85</f>
        <v/>
      </c>
      <c r="AC90" s="11">
        <f>Inputs!$F$186*AC85</f>
        <v/>
      </c>
      <c r="AD90" s="11">
        <f>Inputs!$F$186*AD85</f>
        <v/>
      </c>
      <c r="AE90" s="11">
        <f>Inputs!$F$186*AE85</f>
        <v/>
      </c>
      <c r="AF90" s="11">
        <f>Inputs!$F$186*AF85</f>
        <v/>
      </c>
      <c r="AG90" s="11">
        <f>Inputs!$F$186*AG85</f>
        <v/>
      </c>
      <c r="AH90" s="11">
        <f>Inputs!$F$186*AH85</f>
        <v/>
      </c>
      <c r="AI90" s="11">
        <f>Inputs!$F$186*AI85</f>
        <v/>
      </c>
      <c r="AJ90" s="11">
        <f>Inputs!$F$186*AJ85</f>
        <v/>
      </c>
      <c r="AK90" s="11">
        <f>Inputs!$F$186*AK85</f>
        <v/>
      </c>
      <c r="AL90" s="11">
        <f>Inputs!$F$186*AL85</f>
        <v/>
      </c>
      <c r="AM90" s="11">
        <f>Inputs!$F$186*AM85</f>
        <v/>
      </c>
      <c r="AN90" s="11">
        <f>Inputs!$F$186*AN85</f>
        <v/>
      </c>
      <c r="AO90" s="11">
        <f>Inputs!$F$186*AO85</f>
        <v/>
      </c>
      <c r="AP90" s="11">
        <f>Inputs!$F$186*AP85</f>
        <v/>
      </c>
      <c r="AQ90" s="11">
        <f>Inputs!$F$186*AQ85</f>
        <v/>
      </c>
      <c r="AR90" s="11">
        <f>Inputs!$F$186*AR85</f>
        <v/>
      </c>
      <c r="AS90" s="11">
        <f>Inputs!$F$186*AS85</f>
        <v/>
      </c>
      <c r="AT90" s="11">
        <f>Inputs!$F$186*AT85</f>
        <v/>
      </c>
      <c r="AU90" s="11">
        <f>Inputs!$F$186*AU85</f>
        <v/>
      </c>
      <c r="AV90" s="11">
        <f>Inputs!$F$186*AV85</f>
        <v/>
      </c>
      <c r="AW90" s="11">
        <f>Inputs!$F$186*AW85</f>
        <v/>
      </c>
      <c r="AX90" s="11">
        <f>Inputs!$F$186*AX85</f>
        <v/>
      </c>
      <c r="AY90" s="11">
        <f>Inputs!$F$186*AY85</f>
        <v/>
      </c>
      <c r="AZ90" s="11">
        <f>Inputs!$F$186*AZ85</f>
        <v/>
      </c>
      <c r="BA90" s="11">
        <f>Inputs!$F$186*BA85</f>
        <v/>
      </c>
      <c r="BB90" s="11">
        <f>Inputs!$F$186*BB85</f>
        <v/>
      </c>
      <c r="BC90" s="11">
        <f>Inputs!$F$186*BC85</f>
        <v/>
      </c>
      <c r="BD90" s="11">
        <f>Inputs!$F$186*BD85</f>
        <v/>
      </c>
      <c r="BE90" s="11">
        <f>Inputs!$F$186*BE85</f>
        <v/>
      </c>
      <c r="BF90" s="11">
        <f>Inputs!$F$186*BF85</f>
        <v/>
      </c>
      <c r="BG90" s="11">
        <f>Inputs!$F$186*BG85</f>
        <v/>
      </c>
      <c r="BH90" s="11">
        <f>Inputs!$F$186*BH85</f>
        <v/>
      </c>
      <c r="BI90" s="11">
        <f>Inputs!$F$186*BI85</f>
        <v/>
      </c>
      <c r="BJ90" s="11">
        <f>Inputs!$F$186*BJ85</f>
        <v/>
      </c>
      <c r="BK90" s="11">
        <f>Inputs!$F$186*BK85</f>
        <v/>
      </c>
      <c r="BL90" s="11">
        <f>Inputs!$F$186*BL85</f>
        <v/>
      </c>
      <c r="BM90" s="11">
        <f>Inputs!$F$186*BM85</f>
        <v/>
      </c>
      <c r="BN90" s="11">
        <f>Inputs!$F$186*BN85</f>
        <v/>
      </c>
    </row>
    <row r="91">
      <c r="D91" t="inlineStr">
        <is>
          <t>Net working capital (excl. spares inventory)</t>
        </is>
      </c>
      <c r="E91" t="inlineStr">
        <is>
          <t>USD m</t>
        </is>
      </c>
      <c r="J91" s="11">
        <f>J84+J85-J86-J87-J88-J89-J90</f>
        <v/>
      </c>
      <c r="K91" s="11">
        <f>K84+K85-K86-K87-K88-K89-K90</f>
        <v/>
      </c>
      <c r="L91" s="11">
        <f>L84+L85-L86-L87-L88-L89-L90</f>
        <v/>
      </c>
      <c r="M91" s="11">
        <f>M84+M85-M86-M87-M88-M89-M90</f>
        <v/>
      </c>
      <c r="N91" s="11">
        <f>N84+N85-N86-N87-N88-N89-N90</f>
        <v/>
      </c>
      <c r="O91" s="11">
        <f>O84+O85-O86-O87-O88-O89-O90</f>
        <v/>
      </c>
      <c r="P91" s="11">
        <f>P84+P85-P86-P87-P88-P89-P90</f>
        <v/>
      </c>
      <c r="Q91" s="11">
        <f>Q84+Q85-Q86-Q87-Q88-Q89-Q90</f>
        <v/>
      </c>
      <c r="R91" s="11">
        <f>R84+R85-R86-R87-R88-R89-R90</f>
        <v/>
      </c>
      <c r="S91" s="11">
        <f>S84+S85-S86-S87-S88-S89-S90</f>
        <v/>
      </c>
      <c r="T91" s="11">
        <f>T84+T85-T86-T87-T88-T89-T90</f>
        <v/>
      </c>
      <c r="U91" s="11">
        <f>U84+U85-U86-U87-U88-U89-U90</f>
        <v/>
      </c>
      <c r="V91" s="11">
        <f>V84+V85-V86-V87-V88-V89-V90</f>
        <v/>
      </c>
      <c r="W91" s="11">
        <f>W84+W85-W86-W87-W88-W89-W90</f>
        <v/>
      </c>
      <c r="X91" s="11">
        <f>X84+X85-X86-X87-X88-X89-X90</f>
        <v/>
      </c>
      <c r="Y91" s="11">
        <f>Y84+Y85-Y86-Y87-Y88-Y89-Y90</f>
        <v/>
      </c>
      <c r="Z91" s="11">
        <f>Z84+Z85-Z86-Z87-Z88-Z89-Z90</f>
        <v/>
      </c>
      <c r="AA91" s="11">
        <f>AA84+AA85-AA86-AA87-AA88-AA89-AA90</f>
        <v/>
      </c>
      <c r="AB91" s="11">
        <f>AB84+AB85-AB86-AB87-AB88-AB89-AB90</f>
        <v/>
      </c>
      <c r="AC91" s="11">
        <f>AC84+AC85-AC86-AC87-AC88-AC89-AC90</f>
        <v/>
      </c>
      <c r="AD91" s="11">
        <f>AD84+AD85-AD86-AD87-AD88-AD89-AD90</f>
        <v/>
      </c>
      <c r="AE91" s="11">
        <f>AE84+AE85-AE86-AE87-AE88-AE89-AE90</f>
        <v/>
      </c>
      <c r="AF91" s="11">
        <f>AF84+AF85-AF86-AF87-AF88-AF89-AF90</f>
        <v/>
      </c>
      <c r="AG91" s="11">
        <f>AG84+AG85-AG86-AG87-AG88-AG89-AG90</f>
        <v/>
      </c>
      <c r="AH91" s="11">
        <f>AH84+AH85-AH86-AH87-AH88-AH89-AH90</f>
        <v/>
      </c>
      <c r="AI91" s="11">
        <f>AI84+AI85-AI86-AI87-AI88-AI89-AI90</f>
        <v/>
      </c>
      <c r="AJ91" s="11">
        <f>AJ84+AJ85-AJ86-AJ87-AJ88-AJ89-AJ90</f>
        <v/>
      </c>
      <c r="AK91" s="11">
        <f>AK84+AK85-AK86-AK87-AK88-AK89-AK90</f>
        <v/>
      </c>
      <c r="AL91" s="11">
        <f>AL84+AL85-AL86-AL87-AL88-AL89-AL90</f>
        <v/>
      </c>
      <c r="AM91" s="11">
        <f>AM84+AM85-AM86-AM87-AM88-AM89-AM90</f>
        <v/>
      </c>
      <c r="AN91" s="11">
        <f>AN84+AN85-AN86-AN87-AN88-AN89-AN90</f>
        <v/>
      </c>
      <c r="AO91" s="11">
        <f>AO84+AO85-AO86-AO87-AO88-AO89-AO90</f>
        <v/>
      </c>
      <c r="AP91" s="11">
        <f>AP84+AP85-AP86-AP87-AP88-AP89-AP90</f>
        <v/>
      </c>
      <c r="AQ91" s="11">
        <f>AQ84+AQ85-AQ86-AQ87-AQ88-AQ89-AQ90</f>
        <v/>
      </c>
      <c r="AR91" s="11">
        <f>AR84+AR85-AR86-AR87-AR88-AR89-AR90</f>
        <v/>
      </c>
      <c r="AS91" s="11">
        <f>AS84+AS85-AS86-AS87-AS88-AS89-AS90</f>
        <v/>
      </c>
      <c r="AT91" s="11">
        <f>AT84+AT85-AT86-AT87-AT88-AT89-AT90</f>
        <v/>
      </c>
      <c r="AU91" s="11">
        <f>AU84+AU85-AU86-AU87-AU88-AU89-AU90</f>
        <v/>
      </c>
      <c r="AV91" s="11">
        <f>AV84+AV85-AV86-AV87-AV88-AV89-AV90</f>
        <v/>
      </c>
      <c r="AW91" s="11">
        <f>AW84+AW85-AW86-AW87-AW88-AW89-AW90</f>
        <v/>
      </c>
      <c r="AX91" s="11">
        <f>AX84+AX85-AX86-AX87-AX88-AX89-AX90</f>
        <v/>
      </c>
      <c r="AY91" s="11">
        <f>AY84+AY85-AY86-AY87-AY88-AY89-AY90</f>
        <v/>
      </c>
      <c r="AZ91" s="11">
        <f>AZ84+AZ85-AZ86-AZ87-AZ88-AZ89-AZ90</f>
        <v/>
      </c>
      <c r="BA91" s="11">
        <f>BA84+BA85-BA86-BA87-BA88-BA89-BA90</f>
        <v/>
      </c>
      <c r="BB91" s="11">
        <f>BB84+BB85-BB86-BB87-BB88-BB89-BB90</f>
        <v/>
      </c>
      <c r="BC91" s="11">
        <f>BC84+BC85-BC86-BC87-BC88-BC89-BC90</f>
        <v/>
      </c>
      <c r="BD91" s="11">
        <f>BD84+BD85-BD86-BD87-BD88-BD89-BD90</f>
        <v/>
      </c>
      <c r="BE91" s="11">
        <f>BE84+BE85-BE86-BE87-BE88-BE89-BE90</f>
        <v/>
      </c>
      <c r="BF91" s="11">
        <f>BF84+BF85-BF86-BF87-BF88-BF89-BF90</f>
        <v/>
      </c>
      <c r="BG91" s="11">
        <f>BG84+BG85-BG86-BG87-BG88-BG89-BG90</f>
        <v/>
      </c>
      <c r="BH91" s="11">
        <f>BH84+BH85-BH86-BH87-BH88-BH89-BH90</f>
        <v/>
      </c>
      <c r="BI91" s="11">
        <f>BI84+BI85-BI86-BI87-BI88-BI89-BI90</f>
        <v/>
      </c>
      <c r="BJ91" s="11">
        <f>BJ84+BJ85-BJ86-BJ87-BJ88-BJ89-BJ90</f>
        <v/>
      </c>
      <c r="BK91" s="11">
        <f>BK84+BK85-BK86-BK87-BK88-BK89-BK90</f>
        <v/>
      </c>
      <c r="BL91" s="11">
        <f>BL84+BL85-BL86-BL87-BL88-BL89-BL90</f>
        <v/>
      </c>
      <c r="BM91" s="11">
        <f>BM84+BM85-BM86-BM87-BM88-BM89-BM90</f>
        <v/>
      </c>
      <c r="BN91" s="11">
        <f>BN84+BN85-BN86-BN87-BN88-BN89-BN90</f>
        <v/>
      </c>
    </row>
    <row r="92">
      <c r="D92" t="inlineStr">
        <is>
          <t>Increase in net working capital</t>
        </is>
      </c>
      <c r="E92" t="inlineStr">
        <is>
          <t>USD m</t>
        </is>
      </c>
      <c r="G92" s="11">
        <f>SUM(J92:BN92)</f>
        <v/>
      </c>
      <c r="J92" s="11">
        <f>J91-0</f>
        <v/>
      </c>
      <c r="K92" s="11">
        <f>K91-J91</f>
        <v/>
      </c>
      <c r="L92" s="11">
        <f>L91-K91</f>
        <v/>
      </c>
      <c r="M92" s="11">
        <f>M91-L91</f>
        <v/>
      </c>
      <c r="N92" s="11">
        <f>N91-M91</f>
        <v/>
      </c>
      <c r="O92" s="11">
        <f>O91-N91</f>
        <v/>
      </c>
      <c r="P92" s="11">
        <f>P91-O91</f>
        <v/>
      </c>
      <c r="Q92" s="11">
        <f>Q91-P91</f>
        <v/>
      </c>
      <c r="R92" s="11">
        <f>R91-Q91</f>
        <v/>
      </c>
      <c r="S92" s="11">
        <f>S91-R91</f>
        <v/>
      </c>
      <c r="T92" s="11">
        <f>T91-S91</f>
        <v/>
      </c>
      <c r="U92" s="11">
        <f>U91-T91</f>
        <v/>
      </c>
      <c r="V92" s="11">
        <f>V91-U91</f>
        <v/>
      </c>
      <c r="W92" s="11">
        <f>W91-V91</f>
        <v/>
      </c>
      <c r="X92" s="11">
        <f>X91-W91</f>
        <v/>
      </c>
      <c r="Y92" s="11">
        <f>Y91-X91</f>
        <v/>
      </c>
      <c r="Z92" s="11">
        <f>Z91-Y91</f>
        <v/>
      </c>
      <c r="AA92" s="11">
        <f>AA91-Z91</f>
        <v/>
      </c>
      <c r="AB92" s="11">
        <f>AB91-AA91</f>
        <v/>
      </c>
      <c r="AC92" s="11">
        <f>AC91-AB91</f>
        <v/>
      </c>
      <c r="AD92" s="11">
        <f>AD91-AC91</f>
        <v/>
      </c>
      <c r="AE92" s="11">
        <f>AE91-AD91</f>
        <v/>
      </c>
      <c r="AF92" s="11">
        <f>AF91-AE91</f>
        <v/>
      </c>
      <c r="AG92" s="11">
        <f>AG91-AF91</f>
        <v/>
      </c>
      <c r="AH92" s="11">
        <f>AH91-AG91</f>
        <v/>
      </c>
      <c r="AI92" s="11">
        <f>AI91-AH91</f>
        <v/>
      </c>
      <c r="AJ92" s="11">
        <f>AJ91-AI91</f>
        <v/>
      </c>
      <c r="AK92" s="11">
        <f>AK91-AJ91</f>
        <v/>
      </c>
      <c r="AL92" s="11">
        <f>AL91-AK91</f>
        <v/>
      </c>
      <c r="AM92" s="11">
        <f>AM91-AL91</f>
        <v/>
      </c>
      <c r="AN92" s="11">
        <f>AN91-AM91</f>
        <v/>
      </c>
      <c r="AO92" s="11">
        <f>AO91-AN91</f>
        <v/>
      </c>
      <c r="AP92" s="11">
        <f>AP91-AO91</f>
        <v/>
      </c>
      <c r="AQ92" s="11">
        <f>AQ91-AP91</f>
        <v/>
      </c>
      <c r="AR92" s="11">
        <f>AR91-AQ91</f>
        <v/>
      </c>
      <c r="AS92" s="11">
        <f>AS91-AR91</f>
        <v/>
      </c>
      <c r="AT92" s="11">
        <f>AT91-AS91</f>
        <v/>
      </c>
      <c r="AU92" s="11">
        <f>AU91-AT91</f>
        <v/>
      </c>
      <c r="AV92" s="11">
        <f>AV91-AU91</f>
        <v/>
      </c>
      <c r="AW92" s="11">
        <f>AW91-AV91</f>
        <v/>
      </c>
      <c r="AX92" s="11">
        <f>AX91-AW91</f>
        <v/>
      </c>
      <c r="AY92" s="11">
        <f>AY91-AX91</f>
        <v/>
      </c>
      <c r="AZ92" s="11">
        <f>AZ91-AY91</f>
        <v/>
      </c>
      <c r="BA92" s="11">
        <f>BA91-AZ91</f>
        <v/>
      </c>
      <c r="BB92" s="11">
        <f>BB91-BA91</f>
        <v/>
      </c>
      <c r="BC92" s="11">
        <f>BC91-BB91</f>
        <v/>
      </c>
      <c r="BD92" s="11">
        <f>BD91-BC91</f>
        <v/>
      </c>
      <c r="BE92" s="11">
        <f>BE91-BD91</f>
        <v/>
      </c>
      <c r="BF92" s="11">
        <f>BF91-BE91</f>
        <v/>
      </c>
      <c r="BG92" s="11">
        <f>BG91-BF91</f>
        <v/>
      </c>
      <c r="BH92" s="11">
        <f>BH91-BG91</f>
        <v/>
      </c>
      <c r="BI92" s="11">
        <f>BI91-BH91</f>
        <v/>
      </c>
      <c r="BJ92" s="11">
        <f>BJ91-BI91</f>
        <v/>
      </c>
      <c r="BK92" s="11">
        <f>BK91-BJ91</f>
        <v/>
      </c>
      <c r="BL92" s="11">
        <f>BL91-BK91</f>
        <v/>
      </c>
      <c r="BM92" s="11">
        <f>BM91-BL91</f>
        <v/>
      </c>
      <c r="BN92" s="11">
        <f>BN91-BM91</f>
        <v/>
      </c>
    </row>
    <row r="93">
      <c r="D93" t="inlineStr">
        <is>
          <t>Release of spares inventory at expiry</t>
        </is>
      </c>
      <c r="E93" t="inlineStr">
        <is>
          <t>USD m</t>
        </is>
      </c>
      <c r="G93" s="11">
        <f>SUM(J93:BN93)</f>
        <v/>
      </c>
      <c r="J93" s="11">
        <f>Time!J32*Inputs!$F$67*Inputs!$F$36</f>
        <v/>
      </c>
      <c r="K93" s="11">
        <f>Time!K32*Inputs!$F$67*Inputs!$F$36</f>
        <v/>
      </c>
      <c r="L93" s="11">
        <f>Time!L32*Inputs!$F$67*Inputs!$F$36</f>
        <v/>
      </c>
      <c r="M93" s="11">
        <f>Time!M32*Inputs!$F$67*Inputs!$F$36</f>
        <v/>
      </c>
      <c r="N93" s="11">
        <f>Time!N32*Inputs!$F$67*Inputs!$F$36</f>
        <v/>
      </c>
      <c r="O93" s="11">
        <f>Time!O32*Inputs!$F$67*Inputs!$F$36</f>
        <v/>
      </c>
      <c r="P93" s="11">
        <f>Time!P32*Inputs!$F$67*Inputs!$F$36</f>
        <v/>
      </c>
      <c r="Q93" s="11">
        <f>Time!Q32*Inputs!$F$67*Inputs!$F$36</f>
        <v/>
      </c>
      <c r="R93" s="11">
        <f>Time!R32*Inputs!$F$67*Inputs!$F$36</f>
        <v/>
      </c>
      <c r="S93" s="11">
        <f>Time!S32*Inputs!$F$67*Inputs!$F$36</f>
        <v/>
      </c>
      <c r="T93" s="11">
        <f>Time!T32*Inputs!$F$67*Inputs!$F$36</f>
        <v/>
      </c>
      <c r="U93" s="11">
        <f>Time!U32*Inputs!$F$67*Inputs!$F$36</f>
        <v/>
      </c>
      <c r="V93" s="11">
        <f>Time!V32*Inputs!$F$67*Inputs!$F$36</f>
        <v/>
      </c>
      <c r="W93" s="11">
        <f>Time!W32*Inputs!$F$67*Inputs!$F$36</f>
        <v/>
      </c>
      <c r="X93" s="11">
        <f>Time!X32*Inputs!$F$67*Inputs!$F$36</f>
        <v/>
      </c>
      <c r="Y93" s="11">
        <f>Time!Y32*Inputs!$F$67*Inputs!$F$36</f>
        <v/>
      </c>
      <c r="Z93" s="11">
        <f>Time!Z32*Inputs!$F$67*Inputs!$F$36</f>
        <v/>
      </c>
      <c r="AA93" s="11">
        <f>Time!AA32*Inputs!$F$67*Inputs!$F$36</f>
        <v/>
      </c>
      <c r="AB93" s="11">
        <f>Time!AB32*Inputs!$F$67*Inputs!$F$36</f>
        <v/>
      </c>
      <c r="AC93" s="11">
        <f>Time!AC32*Inputs!$F$67*Inputs!$F$36</f>
        <v/>
      </c>
      <c r="AD93" s="11">
        <f>Time!AD32*Inputs!$F$67*Inputs!$F$36</f>
        <v/>
      </c>
      <c r="AE93" s="11">
        <f>Time!AE32*Inputs!$F$67*Inputs!$F$36</f>
        <v/>
      </c>
      <c r="AF93" s="11">
        <f>Time!AF32*Inputs!$F$67*Inputs!$F$36</f>
        <v/>
      </c>
      <c r="AG93" s="11">
        <f>Time!AG32*Inputs!$F$67*Inputs!$F$36</f>
        <v/>
      </c>
      <c r="AH93" s="11">
        <f>Time!AH32*Inputs!$F$67*Inputs!$F$36</f>
        <v/>
      </c>
      <c r="AI93" s="11">
        <f>Time!AI32*Inputs!$F$67*Inputs!$F$36</f>
        <v/>
      </c>
      <c r="AJ93" s="11">
        <f>Time!AJ32*Inputs!$F$67*Inputs!$F$36</f>
        <v/>
      </c>
      <c r="AK93" s="11">
        <f>Time!AK32*Inputs!$F$67*Inputs!$F$36</f>
        <v/>
      </c>
      <c r="AL93" s="11">
        <f>Time!AL32*Inputs!$F$67*Inputs!$F$36</f>
        <v/>
      </c>
      <c r="AM93" s="11">
        <f>Time!AM32*Inputs!$F$67*Inputs!$F$36</f>
        <v/>
      </c>
      <c r="AN93" s="11">
        <f>Time!AN32*Inputs!$F$67*Inputs!$F$36</f>
        <v/>
      </c>
      <c r="AO93" s="11">
        <f>Time!AO32*Inputs!$F$67*Inputs!$F$36</f>
        <v/>
      </c>
      <c r="AP93" s="11">
        <f>Time!AP32*Inputs!$F$67*Inputs!$F$36</f>
        <v/>
      </c>
      <c r="AQ93" s="11">
        <f>Time!AQ32*Inputs!$F$67*Inputs!$F$36</f>
        <v/>
      </c>
      <c r="AR93" s="11">
        <f>Time!AR32*Inputs!$F$67*Inputs!$F$36</f>
        <v/>
      </c>
      <c r="AS93" s="11">
        <f>Time!AS32*Inputs!$F$67*Inputs!$F$36</f>
        <v/>
      </c>
      <c r="AT93" s="11">
        <f>Time!AT32*Inputs!$F$67*Inputs!$F$36</f>
        <v/>
      </c>
      <c r="AU93" s="11">
        <f>Time!AU32*Inputs!$F$67*Inputs!$F$36</f>
        <v/>
      </c>
      <c r="AV93" s="11">
        <f>Time!AV32*Inputs!$F$67*Inputs!$F$36</f>
        <v/>
      </c>
      <c r="AW93" s="11">
        <f>Time!AW32*Inputs!$F$67*Inputs!$F$36</f>
        <v/>
      </c>
      <c r="AX93" s="11">
        <f>Time!AX32*Inputs!$F$67*Inputs!$F$36</f>
        <v/>
      </c>
      <c r="AY93" s="11">
        <f>Time!AY32*Inputs!$F$67*Inputs!$F$36</f>
        <v/>
      </c>
      <c r="AZ93" s="11">
        <f>Time!AZ32*Inputs!$F$67*Inputs!$F$36</f>
        <v/>
      </c>
      <c r="BA93" s="11">
        <f>Time!BA32*Inputs!$F$67*Inputs!$F$36</f>
        <v/>
      </c>
      <c r="BB93" s="11">
        <f>Time!BB32*Inputs!$F$67*Inputs!$F$36</f>
        <v/>
      </c>
      <c r="BC93" s="11">
        <f>Time!BC32*Inputs!$F$67*Inputs!$F$36</f>
        <v/>
      </c>
      <c r="BD93" s="11">
        <f>Time!BD32*Inputs!$F$67*Inputs!$F$36</f>
        <v/>
      </c>
      <c r="BE93" s="11">
        <f>Time!BE32*Inputs!$F$67*Inputs!$F$36</f>
        <v/>
      </c>
      <c r="BF93" s="11">
        <f>Time!BF32*Inputs!$F$67*Inputs!$F$36</f>
        <v/>
      </c>
      <c r="BG93" s="11">
        <f>Time!BG32*Inputs!$F$67*Inputs!$F$36</f>
        <v/>
      </c>
      <c r="BH93" s="11">
        <f>Time!BH32*Inputs!$F$67*Inputs!$F$36</f>
        <v/>
      </c>
      <c r="BI93" s="11">
        <f>Time!BI32*Inputs!$F$67*Inputs!$F$36</f>
        <v/>
      </c>
      <c r="BJ93" s="11">
        <f>Time!BJ32*Inputs!$F$67*Inputs!$F$36</f>
        <v/>
      </c>
      <c r="BK93" s="11">
        <f>Time!BK32*Inputs!$F$67*Inputs!$F$36</f>
        <v/>
      </c>
      <c r="BL93" s="11">
        <f>Time!BL32*Inputs!$F$67*Inputs!$F$36</f>
        <v/>
      </c>
      <c r="BM93" s="11">
        <f>Time!BM32*Inputs!$F$67*Inputs!$F$36</f>
        <v/>
      </c>
      <c r="BN93" s="11">
        <f>Time!BN32*Inputs!$F$67*Inputs!$F$36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/>
      </c>
      <c r="K10" s="11">
        <f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/>
      </c>
      <c r="L10" s="11">
        <f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/>
      </c>
      <c r="M10" s="11">
        <f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/>
      </c>
      <c r="N10" s="11">
        <f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/>
      </c>
      <c r="O10" s="11">
        <f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/>
      </c>
      <c r="P10" s="11">
        <f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/>
      </c>
      <c r="Q10" s="11">
        <f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/>
      </c>
      <c r="R10" s="11">
        <f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/>
      </c>
      <c r="S10" s="11">
        <f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/>
      </c>
      <c r="T10" s="11">
        <f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/>
      </c>
      <c r="U10" s="11">
        <f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/>
      </c>
      <c r="V10" s="11">
        <f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/>
      </c>
      <c r="W10" s="11">
        <f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/>
      </c>
      <c r="X10" s="11">
        <f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/>
      </c>
      <c r="Y10" s="11">
        <f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/>
      </c>
      <c r="Z10" s="11">
        <f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/>
      </c>
      <c r="AA10" s="11">
        <f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/>
      </c>
      <c r="AB10" s="11">
        <f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/>
      </c>
      <c r="AC10" s="11">
        <f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/>
      </c>
      <c r="AD10" s="11">
        <f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/>
      </c>
      <c r="AE10" s="11">
        <f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/>
      </c>
      <c r="AF10" s="11">
        <f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/>
      </c>
      <c r="AG10" s="11">
        <f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/>
      </c>
      <c r="AH10" s="11">
        <f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/>
      </c>
      <c r="AI10" s="11">
        <f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/>
      </c>
      <c r="AJ10" s="11">
        <f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/>
      </c>
      <c r="AK10" s="11">
        <f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/>
      </c>
      <c r="AL10" s="11">
        <f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/>
      </c>
      <c r="AM10" s="11">
        <f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/>
      </c>
      <c r="AN10" s="11">
        <f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/>
      </c>
      <c r="AO10" s="11">
        <f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/>
      </c>
      <c r="AP10" s="11">
        <f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/>
      </c>
      <c r="AQ10" s="11">
        <f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/>
      </c>
      <c r="AR10" s="11">
        <f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/>
      </c>
      <c r="AS10" s="11">
        <f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/>
      </c>
      <c r="AT10" s="11">
        <f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/>
      </c>
      <c r="AU10" s="11">
        <f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/>
      </c>
      <c r="AV10" s="11">
        <f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/>
      </c>
      <c r="AW10" s="11">
        <f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/>
      </c>
      <c r="AX10" s="11">
        <f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/>
      </c>
      <c r="AY10" s="11">
        <f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/>
      </c>
      <c r="AZ10" s="11">
        <f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/>
      </c>
      <c r="BA10" s="11">
        <f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/>
      </c>
      <c r="BB10" s="11">
        <f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/>
      </c>
      <c r="BC10" s="11">
        <f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/>
      </c>
      <c r="BD10" s="11">
        <f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/>
      </c>
      <c r="BE10" s="11">
        <f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/>
      </c>
      <c r="BF10" s="11">
        <f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/>
      </c>
      <c r="BG10" s="11">
        <f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/>
      </c>
      <c r="BH10" s="11">
        <f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/>
      </c>
      <c r="BI10" s="11">
        <f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/>
      </c>
      <c r="BJ10" s="11">
        <f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/>
      </c>
      <c r="BK10" s="11">
        <f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/>
      </c>
      <c r="BL10" s="11">
        <f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/>
      </c>
      <c r="BM10" s="11">
        <f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/>
      </c>
      <c r="BN10" s="11">
        <f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(Inputs!$F$177*Funding!$F$76/Inputs!$F$178+Inputs!$F$179*Funding!$F$76/Inputs!$F$180)*J7+Inputs!$F$181*Funding!$F$76/Inputs!$F$182*MAX(0,MIN(Time!J28,60)-MIN(Time!J27,60))</f>
        <v/>
      </c>
      <c r="K11" s="11">
        <f>(Inputs!$F$177*Funding!$F$76/Inputs!$F$178+Inputs!$F$179*Funding!$F$76/Inputs!$F$180)*K7+Inputs!$F$181*Funding!$F$76/Inputs!$F$182*MAX(0,MIN(Time!K28,60)-MIN(Time!K27,60))</f>
        <v/>
      </c>
      <c r="L11" s="11">
        <f>(Inputs!$F$177*Funding!$F$76/Inputs!$F$178+Inputs!$F$179*Funding!$F$76/Inputs!$F$180)*L7+Inputs!$F$181*Funding!$F$76/Inputs!$F$182*MAX(0,MIN(Time!L28,60)-MIN(Time!L27,60))</f>
        <v/>
      </c>
      <c r="M11" s="11">
        <f>(Inputs!$F$177*Funding!$F$76/Inputs!$F$178+Inputs!$F$179*Funding!$F$76/Inputs!$F$180)*M7+Inputs!$F$181*Funding!$F$76/Inputs!$F$182*MAX(0,MIN(Time!M28,60)-MIN(Time!M27,60))</f>
        <v/>
      </c>
      <c r="N11" s="11">
        <f>(Inputs!$F$177*Funding!$F$76/Inputs!$F$178+Inputs!$F$179*Funding!$F$76/Inputs!$F$180)*N7+Inputs!$F$181*Funding!$F$76/Inputs!$F$182*MAX(0,MIN(Time!N28,60)-MIN(Time!N27,60))</f>
        <v/>
      </c>
      <c r="O11" s="11">
        <f>(Inputs!$F$177*Funding!$F$76/Inputs!$F$178+Inputs!$F$179*Funding!$F$76/Inputs!$F$180)*O7+Inputs!$F$181*Funding!$F$76/Inputs!$F$182*MAX(0,MIN(Time!O28,60)-MIN(Time!O27,60))</f>
        <v/>
      </c>
      <c r="P11" s="11">
        <f>(Inputs!$F$177*Funding!$F$76/Inputs!$F$178+Inputs!$F$179*Funding!$F$76/Inputs!$F$180)*P7+Inputs!$F$181*Funding!$F$76/Inputs!$F$182*MAX(0,MIN(Time!P28,60)-MIN(Time!P27,60))</f>
        <v/>
      </c>
      <c r="Q11" s="11">
        <f>(Inputs!$F$177*Funding!$F$76/Inputs!$F$178+Inputs!$F$179*Funding!$F$76/Inputs!$F$180)*Q7+Inputs!$F$181*Funding!$F$76/Inputs!$F$182*MAX(0,MIN(Time!Q28,60)-MIN(Time!Q27,60))</f>
        <v/>
      </c>
      <c r="R11" s="11">
        <f>(Inputs!$F$177*Funding!$F$76/Inputs!$F$178+Inputs!$F$179*Funding!$F$76/Inputs!$F$180)*R7+Inputs!$F$181*Funding!$F$76/Inputs!$F$182*MAX(0,MIN(Time!R28,60)-MIN(Time!R27,60))</f>
        <v/>
      </c>
      <c r="S11" s="11">
        <f>(Inputs!$F$177*Funding!$F$76/Inputs!$F$178+Inputs!$F$179*Funding!$F$76/Inputs!$F$180)*S7+Inputs!$F$181*Funding!$F$76/Inputs!$F$182*MAX(0,MIN(Time!S28,60)-MIN(Time!S27,60))</f>
        <v/>
      </c>
      <c r="T11" s="11">
        <f>(Inputs!$F$177*Funding!$F$76/Inputs!$F$178+Inputs!$F$179*Funding!$F$76/Inputs!$F$180)*T7+Inputs!$F$181*Funding!$F$76/Inputs!$F$182*MAX(0,MIN(Time!T28,60)-MIN(Time!T27,60))</f>
        <v/>
      </c>
      <c r="U11" s="11">
        <f>(Inputs!$F$177*Funding!$F$76/Inputs!$F$178+Inputs!$F$179*Funding!$F$76/Inputs!$F$180)*U7+Inputs!$F$181*Funding!$F$76/Inputs!$F$182*MAX(0,MIN(Time!U28,60)-MIN(Time!U27,60))</f>
        <v/>
      </c>
      <c r="V11" s="11">
        <f>(Inputs!$F$177*Funding!$F$76/Inputs!$F$178+Inputs!$F$179*Funding!$F$76/Inputs!$F$180)*V7+Inputs!$F$181*Funding!$F$76/Inputs!$F$182*MAX(0,MIN(Time!V28,60)-MIN(Time!V27,60))</f>
        <v/>
      </c>
      <c r="W11" s="11">
        <f>(Inputs!$F$177*Funding!$F$76/Inputs!$F$178+Inputs!$F$179*Funding!$F$76/Inputs!$F$180)*W7+Inputs!$F$181*Funding!$F$76/Inputs!$F$182*MAX(0,MIN(Time!W28,60)-MIN(Time!W27,60))</f>
        <v/>
      </c>
      <c r="X11" s="11">
        <f>(Inputs!$F$177*Funding!$F$76/Inputs!$F$178+Inputs!$F$179*Funding!$F$76/Inputs!$F$180)*X7+Inputs!$F$181*Funding!$F$76/Inputs!$F$182*MAX(0,MIN(Time!X28,60)-MIN(Time!X27,60))</f>
        <v/>
      </c>
      <c r="Y11" s="11">
        <f>(Inputs!$F$177*Funding!$F$76/Inputs!$F$178+Inputs!$F$179*Funding!$F$76/Inputs!$F$180)*Y7+Inputs!$F$181*Funding!$F$76/Inputs!$F$182*MAX(0,MIN(Time!Y28,60)-MIN(Time!Y27,60))</f>
        <v/>
      </c>
      <c r="Z11" s="11">
        <f>(Inputs!$F$177*Funding!$F$76/Inputs!$F$178+Inputs!$F$179*Funding!$F$76/Inputs!$F$180)*Z7+Inputs!$F$181*Funding!$F$76/Inputs!$F$182*MAX(0,MIN(Time!Z28,60)-MIN(Time!Z27,60))</f>
        <v/>
      </c>
      <c r="AA11" s="11">
        <f>(Inputs!$F$177*Funding!$F$76/Inputs!$F$178+Inputs!$F$179*Funding!$F$76/Inputs!$F$180)*AA7+Inputs!$F$181*Funding!$F$76/Inputs!$F$182*MAX(0,MIN(Time!AA28,60)-MIN(Time!AA27,60))</f>
        <v/>
      </c>
      <c r="AB11" s="11">
        <f>(Inputs!$F$177*Funding!$F$76/Inputs!$F$178+Inputs!$F$179*Funding!$F$76/Inputs!$F$180)*AB7+Inputs!$F$181*Funding!$F$76/Inputs!$F$182*MAX(0,MIN(Time!AB28,60)-MIN(Time!AB27,60))</f>
        <v/>
      </c>
      <c r="AC11" s="11">
        <f>(Inputs!$F$177*Funding!$F$76/Inputs!$F$178+Inputs!$F$179*Funding!$F$76/Inputs!$F$180)*AC7+Inputs!$F$181*Funding!$F$76/Inputs!$F$182*MAX(0,MIN(Time!AC28,60)-MIN(Time!AC27,60))</f>
        <v/>
      </c>
      <c r="AD11" s="11">
        <f>(Inputs!$F$177*Funding!$F$76/Inputs!$F$178+Inputs!$F$179*Funding!$F$76/Inputs!$F$180)*AD7+Inputs!$F$181*Funding!$F$76/Inputs!$F$182*MAX(0,MIN(Time!AD28,60)-MIN(Time!AD27,60))</f>
        <v/>
      </c>
      <c r="AE11" s="11">
        <f>(Inputs!$F$177*Funding!$F$76/Inputs!$F$178+Inputs!$F$179*Funding!$F$76/Inputs!$F$180)*AE7+Inputs!$F$181*Funding!$F$76/Inputs!$F$182*MAX(0,MIN(Time!AE28,60)-MIN(Time!AE27,60))</f>
        <v/>
      </c>
      <c r="AF11" s="11">
        <f>(Inputs!$F$177*Funding!$F$76/Inputs!$F$178+Inputs!$F$179*Funding!$F$76/Inputs!$F$180)*AF7+Inputs!$F$181*Funding!$F$76/Inputs!$F$182*MAX(0,MIN(Time!AF28,60)-MIN(Time!AF27,60))</f>
        <v/>
      </c>
      <c r="AG11" s="11">
        <f>(Inputs!$F$177*Funding!$F$76/Inputs!$F$178+Inputs!$F$179*Funding!$F$76/Inputs!$F$180)*AG7+Inputs!$F$181*Funding!$F$76/Inputs!$F$182*MAX(0,MIN(Time!AG28,60)-MIN(Time!AG27,60))</f>
        <v/>
      </c>
      <c r="AH11" s="11">
        <f>(Inputs!$F$177*Funding!$F$76/Inputs!$F$178+Inputs!$F$179*Funding!$F$76/Inputs!$F$180)*AH7+Inputs!$F$181*Funding!$F$76/Inputs!$F$182*MAX(0,MIN(Time!AH28,60)-MIN(Time!AH27,60))</f>
        <v/>
      </c>
      <c r="AI11" s="11">
        <f>(Inputs!$F$177*Funding!$F$76/Inputs!$F$178+Inputs!$F$179*Funding!$F$76/Inputs!$F$180)*AI7+Inputs!$F$181*Funding!$F$76/Inputs!$F$182*MAX(0,MIN(Time!AI28,60)-MIN(Time!AI27,60))</f>
        <v/>
      </c>
      <c r="AJ11" s="11">
        <f>(Inputs!$F$177*Funding!$F$76/Inputs!$F$178+Inputs!$F$179*Funding!$F$76/Inputs!$F$180)*AJ7+Inputs!$F$181*Funding!$F$76/Inputs!$F$182*MAX(0,MIN(Time!AJ28,60)-MIN(Time!AJ27,60))</f>
        <v/>
      </c>
      <c r="AK11" s="11">
        <f>(Inputs!$F$177*Funding!$F$76/Inputs!$F$178+Inputs!$F$179*Funding!$F$76/Inputs!$F$180)*AK7+Inputs!$F$181*Funding!$F$76/Inputs!$F$182*MAX(0,MIN(Time!AK28,60)-MIN(Time!AK27,60))</f>
        <v/>
      </c>
      <c r="AL11" s="11">
        <f>(Inputs!$F$177*Funding!$F$76/Inputs!$F$178+Inputs!$F$179*Funding!$F$76/Inputs!$F$180)*AL7+Inputs!$F$181*Funding!$F$76/Inputs!$F$182*MAX(0,MIN(Time!AL28,60)-MIN(Time!AL27,60))</f>
        <v/>
      </c>
      <c r="AM11" s="11">
        <f>(Inputs!$F$177*Funding!$F$76/Inputs!$F$178+Inputs!$F$179*Funding!$F$76/Inputs!$F$180)*AM7+Inputs!$F$181*Funding!$F$76/Inputs!$F$182*MAX(0,MIN(Time!AM28,60)-MIN(Time!AM27,60))</f>
        <v/>
      </c>
      <c r="AN11" s="11">
        <f>(Inputs!$F$177*Funding!$F$76/Inputs!$F$178+Inputs!$F$179*Funding!$F$76/Inputs!$F$180)*AN7+Inputs!$F$181*Funding!$F$76/Inputs!$F$182*MAX(0,MIN(Time!AN28,60)-MIN(Time!AN27,60))</f>
        <v/>
      </c>
      <c r="AO11" s="11">
        <f>(Inputs!$F$177*Funding!$F$76/Inputs!$F$178+Inputs!$F$179*Funding!$F$76/Inputs!$F$180)*AO7+Inputs!$F$181*Funding!$F$76/Inputs!$F$182*MAX(0,MIN(Time!AO28,60)-MIN(Time!AO27,60))</f>
        <v/>
      </c>
      <c r="AP11" s="11">
        <f>(Inputs!$F$177*Funding!$F$76/Inputs!$F$178+Inputs!$F$179*Funding!$F$76/Inputs!$F$180)*AP7+Inputs!$F$181*Funding!$F$76/Inputs!$F$182*MAX(0,MIN(Time!AP28,60)-MIN(Time!AP27,60))</f>
        <v/>
      </c>
      <c r="AQ11" s="11">
        <f>(Inputs!$F$177*Funding!$F$76/Inputs!$F$178+Inputs!$F$179*Funding!$F$76/Inputs!$F$180)*AQ7+Inputs!$F$181*Funding!$F$76/Inputs!$F$182*MAX(0,MIN(Time!AQ28,60)-MIN(Time!AQ27,60))</f>
        <v/>
      </c>
      <c r="AR11" s="11">
        <f>(Inputs!$F$177*Funding!$F$76/Inputs!$F$178+Inputs!$F$179*Funding!$F$76/Inputs!$F$180)*AR7+Inputs!$F$181*Funding!$F$76/Inputs!$F$182*MAX(0,MIN(Time!AR28,60)-MIN(Time!AR27,60))</f>
        <v/>
      </c>
      <c r="AS11" s="11">
        <f>(Inputs!$F$177*Funding!$F$76/Inputs!$F$178+Inputs!$F$179*Funding!$F$76/Inputs!$F$180)*AS7+Inputs!$F$181*Funding!$F$76/Inputs!$F$182*MAX(0,MIN(Time!AS28,60)-MIN(Time!AS27,60))</f>
        <v/>
      </c>
      <c r="AT11" s="11">
        <f>(Inputs!$F$177*Funding!$F$76/Inputs!$F$178+Inputs!$F$179*Funding!$F$76/Inputs!$F$180)*AT7+Inputs!$F$181*Funding!$F$76/Inputs!$F$182*MAX(0,MIN(Time!AT28,60)-MIN(Time!AT27,60))</f>
        <v/>
      </c>
      <c r="AU11" s="11">
        <f>(Inputs!$F$177*Funding!$F$76/Inputs!$F$178+Inputs!$F$179*Funding!$F$76/Inputs!$F$180)*AU7+Inputs!$F$181*Funding!$F$76/Inputs!$F$182*MAX(0,MIN(Time!AU28,60)-MIN(Time!AU27,60))</f>
        <v/>
      </c>
      <c r="AV11" s="11">
        <f>(Inputs!$F$177*Funding!$F$76/Inputs!$F$178+Inputs!$F$179*Funding!$F$76/Inputs!$F$180)*AV7+Inputs!$F$181*Funding!$F$76/Inputs!$F$182*MAX(0,MIN(Time!AV28,60)-MIN(Time!AV27,60))</f>
        <v/>
      </c>
      <c r="AW11" s="11">
        <f>(Inputs!$F$177*Funding!$F$76/Inputs!$F$178+Inputs!$F$179*Funding!$F$76/Inputs!$F$180)*AW7+Inputs!$F$181*Funding!$F$76/Inputs!$F$182*MAX(0,MIN(Time!AW28,60)-MIN(Time!AW27,60))</f>
        <v/>
      </c>
      <c r="AX11" s="11">
        <f>(Inputs!$F$177*Funding!$F$76/Inputs!$F$178+Inputs!$F$179*Funding!$F$76/Inputs!$F$180)*AX7+Inputs!$F$181*Funding!$F$76/Inputs!$F$182*MAX(0,MIN(Time!AX28,60)-MIN(Time!AX27,60))</f>
        <v/>
      </c>
      <c r="AY11" s="11">
        <f>(Inputs!$F$177*Funding!$F$76/Inputs!$F$178+Inputs!$F$179*Funding!$F$76/Inputs!$F$180)*AY7+Inputs!$F$181*Funding!$F$76/Inputs!$F$182*MAX(0,MIN(Time!AY28,60)-MIN(Time!AY27,60))</f>
        <v/>
      </c>
      <c r="AZ11" s="11">
        <f>(Inputs!$F$177*Funding!$F$76/Inputs!$F$178+Inputs!$F$179*Funding!$F$76/Inputs!$F$180)*AZ7+Inputs!$F$181*Funding!$F$76/Inputs!$F$182*MAX(0,MIN(Time!AZ28,60)-MIN(Time!AZ27,60))</f>
        <v/>
      </c>
      <c r="BA11" s="11">
        <f>(Inputs!$F$177*Funding!$F$76/Inputs!$F$178+Inputs!$F$179*Funding!$F$76/Inputs!$F$180)*BA7+Inputs!$F$181*Funding!$F$76/Inputs!$F$182*MAX(0,MIN(Time!BA28,60)-MIN(Time!BA27,60))</f>
        <v/>
      </c>
      <c r="BB11" s="11">
        <f>(Inputs!$F$177*Funding!$F$76/Inputs!$F$178+Inputs!$F$179*Funding!$F$76/Inputs!$F$180)*BB7+Inputs!$F$181*Funding!$F$76/Inputs!$F$182*MAX(0,MIN(Time!BB28,60)-MIN(Time!BB27,60))</f>
        <v/>
      </c>
      <c r="BC11" s="11">
        <f>(Inputs!$F$177*Funding!$F$76/Inputs!$F$178+Inputs!$F$179*Funding!$F$76/Inputs!$F$180)*BC7+Inputs!$F$181*Funding!$F$76/Inputs!$F$182*MAX(0,MIN(Time!BC28,60)-MIN(Time!BC27,60))</f>
        <v/>
      </c>
      <c r="BD11" s="11">
        <f>(Inputs!$F$177*Funding!$F$76/Inputs!$F$178+Inputs!$F$179*Funding!$F$76/Inputs!$F$180)*BD7+Inputs!$F$181*Funding!$F$76/Inputs!$F$182*MAX(0,MIN(Time!BD28,60)-MIN(Time!BD27,60))</f>
        <v/>
      </c>
      <c r="BE11" s="11">
        <f>(Inputs!$F$177*Funding!$F$76/Inputs!$F$178+Inputs!$F$179*Funding!$F$76/Inputs!$F$180)*BE7+Inputs!$F$181*Funding!$F$76/Inputs!$F$182*MAX(0,MIN(Time!BE28,60)-MIN(Time!BE27,60))</f>
        <v/>
      </c>
      <c r="BF11" s="11">
        <f>(Inputs!$F$177*Funding!$F$76/Inputs!$F$178+Inputs!$F$179*Funding!$F$76/Inputs!$F$180)*BF7+Inputs!$F$181*Funding!$F$76/Inputs!$F$182*MAX(0,MIN(Time!BF28,60)-MIN(Time!BF27,60))</f>
        <v/>
      </c>
      <c r="BG11" s="11">
        <f>(Inputs!$F$177*Funding!$F$76/Inputs!$F$178+Inputs!$F$179*Funding!$F$76/Inputs!$F$180)*BG7+Inputs!$F$181*Funding!$F$76/Inputs!$F$182*MAX(0,MIN(Time!BG28,60)-MIN(Time!BG27,60))</f>
        <v/>
      </c>
      <c r="BH11" s="11">
        <f>(Inputs!$F$177*Funding!$F$76/Inputs!$F$178+Inputs!$F$179*Funding!$F$76/Inputs!$F$180)*BH7+Inputs!$F$181*Funding!$F$76/Inputs!$F$182*MAX(0,MIN(Time!BH28,60)-MIN(Time!BH27,60))</f>
        <v/>
      </c>
      <c r="BI11" s="11">
        <f>(Inputs!$F$177*Funding!$F$76/Inputs!$F$178+Inputs!$F$179*Funding!$F$76/Inputs!$F$180)*BI7+Inputs!$F$181*Funding!$F$76/Inputs!$F$182*MAX(0,MIN(Time!BI28,60)-MIN(Time!BI27,60))</f>
        <v/>
      </c>
      <c r="BJ11" s="11">
        <f>(Inputs!$F$177*Funding!$F$76/Inputs!$F$178+Inputs!$F$179*Funding!$F$76/Inputs!$F$180)*BJ7+Inputs!$F$181*Funding!$F$76/Inputs!$F$182*MAX(0,MIN(Time!BJ28,60)-MIN(Time!BJ27,60))</f>
        <v/>
      </c>
      <c r="BK11" s="11">
        <f>(Inputs!$F$177*Funding!$F$76/Inputs!$F$178+Inputs!$F$179*Funding!$F$76/Inputs!$F$180)*BK7+Inputs!$F$181*Funding!$F$76/Inputs!$F$182*MAX(0,MIN(Time!BK28,60)-MIN(Time!BK27,60))</f>
        <v/>
      </c>
      <c r="BL11" s="11">
        <f>(Inputs!$F$177*Funding!$F$76/Inputs!$F$178+Inputs!$F$179*Funding!$F$76/Inputs!$F$180)*BL7+Inputs!$F$181*Funding!$F$76/Inputs!$F$182*MAX(0,MIN(Time!BL28,60)-MIN(Time!BL27,60))</f>
        <v/>
      </c>
      <c r="BM11" s="11">
        <f>(Inputs!$F$177*Funding!$F$76/Inputs!$F$178+Inputs!$F$179*Funding!$F$76/Inputs!$F$180)*BM7+Inputs!$F$181*Funding!$F$76/Inputs!$F$182*MAX(0,MIN(Time!BM28,60)-MIN(Time!BM27,60))</f>
        <v/>
      </c>
      <c r="BN11" s="11">
        <f>(Inputs!$F$177*Funding!$F$76/Inputs!$F$178+Inputs!$F$179*Funding!$F$76/Inputs!$F$180)*BN7+Inputs!$F$181*Funding!$F$76/Inputs!$F$182*MAX(0,MIN(Time!BN28,60)-MIN(Time!BN27,60))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IF(Time!J17&gt;=Time!$F$11,Waterfall!J33*Inputs!$F$104/100*Time!J26/365,0)</f>
        <v/>
      </c>
      <c r="K13" s="11">
        <f>IF(Time!K17&gt;=Time!$F$11,Waterfall!K33*Inputs!$F$104/100*Time!K26/365,0)</f>
        <v/>
      </c>
      <c r="L13" s="11">
        <f>IF(Time!L17&gt;=Time!$F$11,Waterfall!L33*Inputs!$F$104/100*Time!L26/365,0)</f>
        <v/>
      </c>
      <c r="M13" s="11">
        <f>IF(Time!M17&gt;=Time!$F$11,Waterfall!M33*Inputs!$F$104/100*Time!M26/365,0)</f>
        <v/>
      </c>
      <c r="N13" s="11">
        <f>IF(Time!N17&gt;=Time!$F$11,Waterfall!N33*Inputs!$F$104/100*Time!N26/365,0)</f>
        <v/>
      </c>
      <c r="O13" s="11">
        <f>IF(Time!O17&gt;=Time!$F$11,Waterfall!O33*Inputs!$F$104/100*Time!O26/365,0)</f>
        <v/>
      </c>
      <c r="P13" s="11">
        <f>IF(Time!P17&gt;=Time!$F$11,Waterfall!P33*Inputs!$F$104/100*Time!P26/365,0)</f>
        <v/>
      </c>
      <c r="Q13" s="11">
        <f>IF(Time!Q17&gt;=Time!$F$11,Waterfall!Q33*Inputs!$F$104/100*Time!Q26/365,0)</f>
        <v/>
      </c>
      <c r="R13" s="11">
        <f>IF(Time!R17&gt;=Time!$F$11,Waterfall!R33*Inputs!$F$104/100*Time!R26/365,0)</f>
        <v/>
      </c>
      <c r="S13" s="11">
        <f>IF(Time!S17&gt;=Time!$F$11,Waterfall!S33*Inputs!$F$104/100*Time!S26/365,0)</f>
        <v/>
      </c>
      <c r="T13" s="11">
        <f>IF(Time!T17&gt;=Time!$F$11,Waterfall!T33*Inputs!$F$104/100*Time!T26/365,0)</f>
        <v/>
      </c>
      <c r="U13" s="11">
        <f>IF(Time!U17&gt;=Time!$F$11,Waterfall!U33*Inputs!$F$104/100*Time!U26/365,0)</f>
        <v/>
      </c>
      <c r="V13" s="11">
        <f>IF(Time!V17&gt;=Time!$F$11,Waterfall!V33*Inputs!$F$104/100*Time!V26/365,0)</f>
        <v/>
      </c>
      <c r="W13" s="11">
        <f>IF(Time!W17&gt;=Time!$F$11,Waterfall!W33*Inputs!$F$104/100*Time!W26/365,0)</f>
        <v/>
      </c>
      <c r="X13" s="11">
        <f>IF(Time!X17&gt;=Time!$F$11,Waterfall!X33*Inputs!$F$104/100*Time!X26/365,0)</f>
        <v/>
      </c>
      <c r="Y13" s="11">
        <f>IF(Time!Y17&gt;=Time!$F$11,Waterfall!Y33*Inputs!$F$104/100*Time!Y26/365,0)</f>
        <v/>
      </c>
      <c r="Z13" s="11">
        <f>IF(Time!Z17&gt;=Time!$F$11,Waterfall!Z33*Inputs!$F$104/100*Time!Z26/365,0)</f>
        <v/>
      </c>
      <c r="AA13" s="11">
        <f>IF(Time!AA17&gt;=Time!$F$11,Waterfall!AA33*Inputs!$F$104/100*Time!AA26/365,0)</f>
        <v/>
      </c>
      <c r="AB13" s="11">
        <f>IF(Time!AB17&gt;=Time!$F$11,Waterfall!AB33*Inputs!$F$104/100*Time!AB26/365,0)</f>
        <v/>
      </c>
      <c r="AC13" s="11">
        <f>IF(Time!AC17&gt;=Time!$F$11,Waterfall!AC33*Inputs!$F$104/100*Time!AC26/365,0)</f>
        <v/>
      </c>
      <c r="AD13" s="11">
        <f>IF(Time!AD17&gt;=Time!$F$11,Waterfall!AD33*Inputs!$F$104/100*Time!AD26/365,0)</f>
        <v/>
      </c>
      <c r="AE13" s="11">
        <f>IF(Time!AE17&gt;=Time!$F$11,Waterfall!AE33*Inputs!$F$104/100*Time!AE26/365,0)</f>
        <v/>
      </c>
      <c r="AF13" s="11">
        <f>IF(Time!AF17&gt;=Time!$F$11,Waterfall!AF33*Inputs!$F$104/100*Time!AF26/365,0)</f>
        <v/>
      </c>
      <c r="AG13" s="11">
        <f>IF(Time!AG17&gt;=Time!$F$11,Waterfall!AG33*Inputs!$F$104/100*Time!AG26/365,0)</f>
        <v/>
      </c>
      <c r="AH13" s="11">
        <f>IF(Time!AH17&gt;=Time!$F$11,Waterfall!AH33*Inputs!$F$104/100*Time!AH26/365,0)</f>
        <v/>
      </c>
      <c r="AI13" s="11">
        <f>IF(Time!AI17&gt;=Time!$F$11,Waterfall!AI33*Inputs!$F$104/100*Time!AI26/365,0)</f>
        <v/>
      </c>
      <c r="AJ13" s="11">
        <f>IF(Time!AJ17&gt;=Time!$F$11,Waterfall!AJ33*Inputs!$F$104/100*Time!AJ26/365,0)</f>
        <v/>
      </c>
      <c r="AK13" s="11">
        <f>IF(Time!AK17&gt;=Time!$F$11,Waterfall!AK33*Inputs!$F$104/100*Time!AK26/365,0)</f>
        <v/>
      </c>
      <c r="AL13" s="11">
        <f>IF(Time!AL17&gt;=Time!$F$11,Waterfall!AL33*Inputs!$F$104/100*Time!AL26/365,0)</f>
        <v/>
      </c>
      <c r="AM13" s="11">
        <f>IF(Time!AM17&gt;=Time!$F$11,Waterfall!AM33*Inputs!$F$104/100*Time!AM26/365,0)</f>
        <v/>
      </c>
      <c r="AN13" s="11">
        <f>IF(Time!AN17&gt;=Time!$F$11,Waterfall!AN33*Inputs!$F$104/100*Time!AN26/365,0)</f>
        <v/>
      </c>
      <c r="AO13" s="11">
        <f>IF(Time!AO17&gt;=Time!$F$11,Waterfall!AO33*Inputs!$F$104/100*Time!AO26/365,0)</f>
        <v/>
      </c>
      <c r="AP13" s="11">
        <f>IF(Time!AP17&gt;=Time!$F$11,Waterfall!AP33*Inputs!$F$104/100*Time!AP26/365,0)</f>
        <v/>
      </c>
      <c r="AQ13" s="11">
        <f>IF(Time!AQ17&gt;=Time!$F$11,Waterfall!AQ33*Inputs!$F$104/100*Time!AQ26/365,0)</f>
        <v/>
      </c>
      <c r="AR13" s="11">
        <f>IF(Time!AR17&gt;=Time!$F$11,Waterfall!AR33*Inputs!$F$104/100*Time!AR26/365,0)</f>
        <v/>
      </c>
      <c r="AS13" s="11">
        <f>IF(Time!AS17&gt;=Time!$F$11,Waterfall!AS33*Inputs!$F$104/100*Time!AS26/365,0)</f>
        <v/>
      </c>
      <c r="AT13" s="11">
        <f>IF(Time!AT17&gt;=Time!$F$11,Waterfall!AT33*Inputs!$F$104/100*Time!AT26/365,0)</f>
        <v/>
      </c>
      <c r="AU13" s="11">
        <f>IF(Time!AU17&gt;=Time!$F$11,Waterfall!AU33*Inputs!$F$104/100*Time!AU26/365,0)</f>
        <v/>
      </c>
      <c r="AV13" s="11">
        <f>IF(Time!AV17&gt;=Time!$F$11,Waterfall!AV33*Inputs!$F$104/100*Time!AV26/365,0)</f>
        <v/>
      </c>
      <c r="AW13" s="11">
        <f>IF(Time!AW17&gt;=Time!$F$11,Waterfall!AW33*Inputs!$F$104/100*Time!AW26/365,0)</f>
        <v/>
      </c>
      <c r="AX13" s="11">
        <f>IF(Time!AX17&gt;=Time!$F$11,Waterfall!AX33*Inputs!$F$104/100*Time!AX26/365,0)</f>
        <v/>
      </c>
      <c r="AY13" s="11">
        <f>IF(Time!AY17&gt;=Time!$F$11,Waterfall!AY33*Inputs!$F$104/100*Time!AY26/365,0)</f>
        <v/>
      </c>
      <c r="AZ13" s="11">
        <f>IF(Time!AZ17&gt;=Time!$F$11,Waterfall!AZ33*Inputs!$F$104/100*Time!AZ26/365,0)</f>
        <v/>
      </c>
      <c r="BA13" s="11">
        <f>IF(Time!BA17&gt;=Time!$F$11,Waterfall!BA33*Inputs!$F$104/100*Time!BA26/365,0)</f>
        <v/>
      </c>
      <c r="BB13" s="11">
        <f>IF(Time!BB17&gt;=Time!$F$11,Waterfall!BB33*Inputs!$F$104/100*Time!BB26/365,0)</f>
        <v/>
      </c>
      <c r="BC13" s="11">
        <f>IF(Time!BC17&gt;=Time!$F$11,Waterfall!BC33*Inputs!$F$104/100*Time!BC26/365,0)</f>
        <v/>
      </c>
      <c r="BD13" s="11">
        <f>IF(Time!BD17&gt;=Time!$F$11,Waterfall!BD33*Inputs!$F$104/100*Time!BD26/365,0)</f>
        <v/>
      </c>
      <c r="BE13" s="11">
        <f>IF(Time!BE17&gt;=Time!$F$11,Waterfall!BE33*Inputs!$F$104/100*Time!BE26/365,0)</f>
        <v/>
      </c>
      <c r="BF13" s="11">
        <f>IF(Time!BF17&gt;=Time!$F$11,Waterfall!BF33*Inputs!$F$104/100*Time!BF26/365,0)</f>
        <v/>
      </c>
      <c r="BG13" s="11">
        <f>IF(Time!BG17&gt;=Time!$F$11,Waterfall!BG33*Inputs!$F$104/100*Time!BG26/365,0)</f>
        <v/>
      </c>
      <c r="BH13" s="11">
        <f>IF(Time!BH17&gt;=Time!$F$11,Waterfall!BH33*Inputs!$F$104/100*Time!BH26/365,0)</f>
        <v/>
      </c>
      <c r="BI13" s="11">
        <f>IF(Time!BI17&gt;=Time!$F$11,Waterfall!BI33*Inputs!$F$104/100*Time!BI26/365,0)</f>
        <v/>
      </c>
      <c r="BJ13" s="11">
        <f>IF(Time!BJ17&gt;=Time!$F$11,Waterfall!BJ33*Inputs!$F$104/100*Time!BJ26/365,0)</f>
        <v/>
      </c>
      <c r="BK13" s="11">
        <f>IF(Time!BK17&gt;=Time!$F$11,Waterfall!BK33*Inputs!$F$104/100*Time!BK26/365,0)</f>
        <v/>
      </c>
      <c r="BL13" s="11">
        <f>IF(Time!BL17&gt;=Time!$F$11,Waterfall!BL33*Inputs!$F$104/100*Time!BL26/365,0)</f>
        <v/>
      </c>
      <c r="BM13" s="11">
        <f>IF(Time!BM17&gt;=Time!$F$11,Waterfall!BM33*Inputs!$F$104/100*Time!BM26/365,0)</f>
        <v/>
      </c>
      <c r="BN13" s="11">
        <f>IF(Time!BN17&gt;=Time!$F$11,Waterfall!BN33*Inputs!$F$104/100*Time!BN26/365,0)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IF(Waterfall!J33&gt;0,MIN(1,Inputs!$F$183*(Waterfall!$F$32+MAX(0,0))/Waterfall!J33),1)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(Operations!J80-J16-J15)*J17-J12</f>
        <v/>
      </c>
      <c r="K18" s="11">
        <f>(Operations!K80-K16-K15)*K17-K12</f>
        <v/>
      </c>
      <c r="L18" s="11">
        <f>(Operations!L80-L16-L15)*L17-L12</f>
        <v/>
      </c>
      <c r="M18" s="11">
        <f>(Operations!M80-M16-M15)*M17-M12</f>
        <v/>
      </c>
      <c r="N18" s="11">
        <f>(Operations!N80-N16-N15)*N17-N12</f>
        <v/>
      </c>
      <c r="O18" s="11">
        <f>(Operations!O80-O16-O15)*O17-O12</f>
        <v/>
      </c>
      <c r="P18" s="11">
        <f>(Operations!P80-P16-P15)*P17-P12</f>
        <v/>
      </c>
      <c r="Q18" s="11">
        <f>(Operations!Q80-Q16-Q15)*Q17-Q12</f>
        <v/>
      </c>
      <c r="R18" s="11">
        <f>(Operations!R80-R16-R15)*R17-R12</f>
        <v/>
      </c>
      <c r="S18" s="11">
        <f>(Operations!S80-S16-S15)*S17-S12</f>
        <v/>
      </c>
      <c r="T18" s="11">
        <f>(Operations!T80-T16-T15)*T17-T12</f>
        <v/>
      </c>
      <c r="U18" s="11">
        <f>(Operations!U80-U16-U15)*U17-U12</f>
        <v/>
      </c>
      <c r="V18" s="11">
        <f>(Operations!V80-V16-V15)*V17-V12</f>
        <v/>
      </c>
      <c r="W18" s="11">
        <f>(Operations!W80-W16-W15)*W17-W12</f>
        <v/>
      </c>
      <c r="X18" s="11">
        <f>(Operations!X80-X16-X15)*X17-X12</f>
        <v/>
      </c>
      <c r="Y18" s="11">
        <f>(Operations!Y80-Y16-Y15)*Y17-Y12</f>
        <v/>
      </c>
      <c r="Z18" s="11">
        <f>(Operations!Z80-Z16-Z15)*Z17-Z12</f>
        <v/>
      </c>
      <c r="AA18" s="11">
        <f>(Operations!AA80-AA16-AA15)*AA17-AA12</f>
        <v/>
      </c>
      <c r="AB18" s="11">
        <f>(Operations!AB80-AB16-AB15)*AB17-AB12</f>
        <v/>
      </c>
      <c r="AC18" s="11">
        <f>(Operations!AC80-AC16-AC15)*AC17-AC12</f>
        <v/>
      </c>
      <c r="AD18" s="11">
        <f>(Operations!AD80-AD16-AD15)*AD17-AD12</f>
        <v/>
      </c>
      <c r="AE18" s="11">
        <f>(Operations!AE80-AE16-AE15)*AE17-AE12</f>
        <v/>
      </c>
      <c r="AF18" s="11">
        <f>(Operations!AF80-AF16-AF15)*AF17-AF12</f>
        <v/>
      </c>
      <c r="AG18" s="11">
        <f>(Operations!AG80-AG16-AG15)*AG17-AG12</f>
        <v/>
      </c>
      <c r="AH18" s="11">
        <f>(Operations!AH80-AH16-AH15)*AH17-AH12</f>
        <v/>
      </c>
      <c r="AI18" s="11">
        <f>(Operations!AI80-AI16-AI15)*AI17-AI12</f>
        <v/>
      </c>
      <c r="AJ18" s="11">
        <f>(Operations!AJ80-AJ16-AJ15)*AJ17-AJ12</f>
        <v/>
      </c>
      <c r="AK18" s="11">
        <f>(Operations!AK80-AK16-AK15)*AK17-AK12</f>
        <v/>
      </c>
      <c r="AL18" s="11">
        <f>(Operations!AL80-AL16-AL15)*AL17-AL12</f>
        <v/>
      </c>
      <c r="AM18" s="11">
        <f>(Operations!AM80-AM16-AM15)*AM17-AM12</f>
        <v/>
      </c>
      <c r="AN18" s="11">
        <f>(Operations!AN80-AN16-AN15)*AN17-AN12</f>
        <v/>
      </c>
      <c r="AO18" s="11">
        <f>(Operations!AO80-AO16-AO15)*AO17-AO12</f>
        <v/>
      </c>
      <c r="AP18" s="11">
        <f>(Operations!AP80-AP16-AP15)*AP17-AP12</f>
        <v/>
      </c>
      <c r="AQ18" s="11">
        <f>(Operations!AQ80-AQ16-AQ15)*AQ17-AQ12</f>
        <v/>
      </c>
      <c r="AR18" s="11">
        <f>(Operations!AR80-AR16-AR15)*AR17-AR12</f>
        <v/>
      </c>
      <c r="AS18" s="11">
        <f>(Operations!AS80-AS16-AS15)*AS17-AS12</f>
        <v/>
      </c>
      <c r="AT18" s="11">
        <f>(Operations!AT80-AT16-AT15)*AT17-AT12</f>
        <v/>
      </c>
      <c r="AU18" s="11">
        <f>(Operations!AU80-AU16-AU15)*AU17-AU12</f>
        <v/>
      </c>
      <c r="AV18" s="11">
        <f>(Operations!AV80-AV16-AV15)*AV17-AV12</f>
        <v/>
      </c>
      <c r="AW18" s="11">
        <f>(Operations!AW80-AW16-AW15)*AW17-AW12</f>
        <v/>
      </c>
      <c r="AX18" s="11">
        <f>(Operations!AX80-AX16-AX15)*AX17-AX12</f>
        <v/>
      </c>
      <c r="AY18" s="11">
        <f>(Operations!AY80-AY16-AY15)*AY17-AY12</f>
        <v/>
      </c>
      <c r="AZ18" s="11">
        <f>(Operations!AZ80-AZ16-AZ15)*AZ17-AZ12</f>
        <v/>
      </c>
      <c r="BA18" s="11">
        <f>(Operations!BA80-BA16-BA15)*BA17-BA12</f>
        <v/>
      </c>
      <c r="BB18" s="11">
        <f>(Operations!BB80-BB16-BB15)*BB17-BB12</f>
        <v/>
      </c>
      <c r="BC18" s="11">
        <f>(Operations!BC80-BC16-BC15)*BC17-BC12</f>
        <v/>
      </c>
      <c r="BD18" s="11">
        <f>(Operations!BD80-BD16-BD15)*BD17-BD12</f>
        <v/>
      </c>
      <c r="BE18" s="11">
        <f>(Operations!BE80-BE16-BE15)*BE17-BE12</f>
        <v/>
      </c>
      <c r="BF18" s="11">
        <f>(Operations!BF80-BF16-BF15)*BF17-BF12</f>
        <v/>
      </c>
      <c r="BG18" s="11">
        <f>(Operations!BG80-BG16-BG15)*BG17-BG12</f>
        <v/>
      </c>
      <c r="BH18" s="11">
        <f>(Operations!BH80-BH16-BH15)*BH17-BH12</f>
        <v/>
      </c>
      <c r="BI18" s="11">
        <f>(Operations!BI80-BI16-BI15)*BI17-BI12</f>
        <v/>
      </c>
      <c r="BJ18" s="11">
        <f>(Operations!BJ80-BJ16-BJ15)*BJ17-BJ12</f>
        <v/>
      </c>
      <c r="BK18" s="11">
        <f>(Operations!BK80-BK16-BK15)*BK17-BK12</f>
        <v/>
      </c>
      <c r="BL18" s="11">
        <f>(Operations!BL80-BL16-BL15)*BL17-BL12</f>
        <v/>
      </c>
      <c r="BM18" s="11">
        <f>(Operations!BM80-BM16-BM15)*BM17-BM12</f>
        <v/>
      </c>
      <c r="BN18" s="11">
        <f>(Operations!BN80-BN16-BN15)*BN17-BN12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IF(Time!J25&gt;0,Inputs!$F$176/100*Operations!J51*(J8+J9)/Time!J25,0)</f>
        <v/>
      </c>
      <c r="K26" s="11">
        <f>IF(Time!K25&gt;0,Inputs!$F$176/100*Operations!K51*(K8+K9)/Time!K25,0)</f>
        <v/>
      </c>
      <c r="L26" s="11">
        <f>IF(Time!L25&gt;0,Inputs!$F$176/100*Operations!L51*(L8+L9)/Time!L25,0)</f>
        <v/>
      </c>
      <c r="M26" s="11">
        <f>IF(Time!M25&gt;0,Inputs!$F$176/100*Operations!M51*(M8+M9)/Time!M25,0)</f>
        <v/>
      </c>
      <c r="N26" s="11">
        <f>IF(Time!N25&gt;0,Inputs!$F$176/100*Operations!N51*(N8+N9)/Time!N25,0)</f>
        <v/>
      </c>
      <c r="O26" s="11">
        <f>IF(Time!O25&gt;0,Inputs!$F$176/100*Operations!O51*(O8+O9)/Time!O25,0)</f>
        <v/>
      </c>
      <c r="P26" s="11">
        <f>IF(Time!P25&gt;0,Inputs!$F$176/100*Operations!P51*(P8+P9)/Time!P25,0)</f>
        <v/>
      </c>
      <c r="Q26" s="11">
        <f>IF(Time!Q25&gt;0,Inputs!$F$176/100*Operations!Q51*(Q8+Q9)/Time!Q25,0)</f>
        <v/>
      </c>
      <c r="R26" s="11">
        <f>IF(Time!R25&gt;0,Inputs!$F$176/100*Operations!R51*(R8+R9)/Time!R25,0)</f>
        <v/>
      </c>
      <c r="S26" s="11">
        <f>IF(Time!S25&gt;0,Inputs!$F$176/100*Operations!S51*(S8+S9)/Time!S25,0)</f>
        <v/>
      </c>
      <c r="T26" s="11">
        <f>IF(Time!T25&gt;0,Inputs!$F$176/100*Operations!T51*(T8+T9)/Time!T25,0)</f>
        <v/>
      </c>
      <c r="U26" s="11">
        <f>IF(Time!U25&gt;0,Inputs!$F$176/100*Operations!U51*(U8+U9)/Time!U25,0)</f>
        <v/>
      </c>
      <c r="V26" s="11">
        <f>IF(Time!V25&gt;0,Inputs!$F$176/100*Operations!V51*(V8+V9)/Time!V25,0)</f>
        <v/>
      </c>
      <c r="W26" s="11">
        <f>IF(Time!W25&gt;0,Inputs!$F$176/100*Operations!W51*(W8+W9)/Time!W25,0)</f>
        <v/>
      </c>
      <c r="X26" s="11">
        <f>IF(Time!X25&gt;0,Inputs!$F$176/100*Operations!X51*(X8+X9)/Time!X25,0)</f>
        <v/>
      </c>
      <c r="Y26" s="11">
        <f>IF(Time!Y25&gt;0,Inputs!$F$176/100*Operations!Y51*(Y8+Y9)/Time!Y25,0)</f>
        <v/>
      </c>
      <c r="Z26" s="11">
        <f>IF(Time!Z25&gt;0,Inputs!$F$176/100*Operations!Z51*(Z8+Z9)/Time!Z25,0)</f>
        <v/>
      </c>
      <c r="AA26" s="11">
        <f>IF(Time!AA25&gt;0,Inputs!$F$176/100*Operations!AA51*(AA8+AA9)/Time!AA25,0)</f>
        <v/>
      </c>
      <c r="AB26" s="11">
        <f>IF(Time!AB25&gt;0,Inputs!$F$176/100*Operations!AB51*(AB8+AB9)/Time!AB25,0)</f>
        <v/>
      </c>
      <c r="AC26" s="11">
        <f>IF(Time!AC25&gt;0,Inputs!$F$176/100*Operations!AC51*(AC8+AC9)/Time!AC25,0)</f>
        <v/>
      </c>
      <c r="AD26" s="11">
        <f>IF(Time!AD25&gt;0,Inputs!$F$176/100*Operations!AD51*(AD8+AD9)/Time!AD25,0)</f>
        <v/>
      </c>
      <c r="AE26" s="11">
        <f>IF(Time!AE25&gt;0,Inputs!$F$176/100*Operations!AE51*(AE8+AE9)/Time!AE25,0)</f>
        <v/>
      </c>
      <c r="AF26" s="11">
        <f>IF(Time!AF25&gt;0,Inputs!$F$176/100*Operations!AF51*(AF8+AF9)/Time!AF25,0)</f>
        <v/>
      </c>
      <c r="AG26" s="11">
        <f>IF(Time!AG25&gt;0,Inputs!$F$176/100*Operations!AG51*(AG8+AG9)/Time!AG25,0)</f>
        <v/>
      </c>
      <c r="AH26" s="11">
        <f>IF(Time!AH25&gt;0,Inputs!$F$176/100*Operations!AH51*(AH8+AH9)/Time!AH25,0)</f>
        <v/>
      </c>
      <c r="AI26" s="11">
        <f>IF(Time!AI25&gt;0,Inputs!$F$176/100*Operations!AI51*(AI8+AI9)/Time!AI25,0)</f>
        <v/>
      </c>
      <c r="AJ26" s="11">
        <f>IF(Time!AJ25&gt;0,Inputs!$F$176/100*Operations!AJ51*(AJ8+AJ9)/Time!AJ25,0)</f>
        <v/>
      </c>
      <c r="AK26" s="11">
        <f>IF(Time!AK25&gt;0,Inputs!$F$176/100*Operations!AK51*(AK8+AK9)/Time!AK25,0)</f>
        <v/>
      </c>
      <c r="AL26" s="11">
        <f>IF(Time!AL25&gt;0,Inputs!$F$176/100*Operations!AL51*(AL8+AL9)/Time!AL25,0)</f>
        <v/>
      </c>
      <c r="AM26" s="11">
        <f>IF(Time!AM25&gt;0,Inputs!$F$176/100*Operations!AM51*(AM8+AM9)/Time!AM25,0)</f>
        <v/>
      </c>
      <c r="AN26" s="11">
        <f>IF(Time!AN25&gt;0,Inputs!$F$176/100*Operations!AN51*(AN8+AN9)/Time!AN25,0)</f>
        <v/>
      </c>
      <c r="AO26" s="11">
        <f>IF(Time!AO25&gt;0,Inputs!$F$176/100*Operations!AO51*(AO8+AO9)/Time!AO25,0)</f>
        <v/>
      </c>
      <c r="AP26" s="11">
        <f>IF(Time!AP25&gt;0,Inputs!$F$176/100*Operations!AP51*(AP8+AP9)/Time!AP25,0)</f>
        <v/>
      </c>
      <c r="AQ26" s="11">
        <f>IF(Time!AQ25&gt;0,Inputs!$F$176/100*Operations!AQ51*(AQ8+AQ9)/Time!AQ25,0)</f>
        <v/>
      </c>
      <c r="AR26" s="11">
        <f>IF(Time!AR25&gt;0,Inputs!$F$176/100*Operations!AR51*(AR8+AR9)/Time!AR25,0)</f>
        <v/>
      </c>
      <c r="AS26" s="11">
        <f>IF(Time!AS25&gt;0,Inputs!$F$176/100*Operations!AS51*(AS8+AS9)/Time!AS25,0)</f>
        <v/>
      </c>
      <c r="AT26" s="11">
        <f>IF(Time!AT25&gt;0,Inputs!$F$176/100*Operations!AT51*(AT8+AT9)/Time!AT25,0)</f>
        <v/>
      </c>
      <c r="AU26" s="11">
        <f>IF(Time!AU25&gt;0,Inputs!$F$176/100*Operations!AU51*(AU8+AU9)/Time!AU25,0)</f>
        <v/>
      </c>
      <c r="AV26" s="11">
        <f>IF(Time!AV25&gt;0,Inputs!$F$176/100*Operations!AV51*(AV8+AV9)/Time!AV25,0)</f>
        <v/>
      </c>
      <c r="AW26" s="11">
        <f>IF(Time!AW25&gt;0,Inputs!$F$176/100*Operations!AW51*(AW8+AW9)/Time!AW25,0)</f>
        <v/>
      </c>
      <c r="AX26" s="11">
        <f>IF(Time!AX25&gt;0,Inputs!$F$176/100*Operations!AX51*(AX8+AX9)/Time!AX25,0)</f>
        <v/>
      </c>
      <c r="AY26" s="11">
        <f>IF(Time!AY25&gt;0,Inputs!$F$176/100*Operations!AY51*(AY8+AY9)/Time!AY25,0)</f>
        <v/>
      </c>
      <c r="AZ26" s="11">
        <f>IF(Time!AZ25&gt;0,Inputs!$F$176/100*Operations!AZ51*(AZ8+AZ9)/Time!AZ25,0)</f>
        <v/>
      </c>
      <c r="BA26" s="11">
        <f>IF(Time!BA25&gt;0,Inputs!$F$176/100*Operations!BA51*(BA8+BA9)/Time!BA25,0)</f>
        <v/>
      </c>
      <c r="BB26" s="11">
        <f>IF(Time!BB25&gt;0,Inputs!$F$176/100*Operations!BB51*(BB8+BB9)/Time!BB25,0)</f>
        <v/>
      </c>
      <c r="BC26" s="11">
        <f>IF(Time!BC25&gt;0,Inputs!$F$176/100*Operations!BC51*(BC8+BC9)/Time!BC25,0)</f>
        <v/>
      </c>
      <c r="BD26" s="11">
        <f>IF(Time!BD25&gt;0,Inputs!$F$176/100*Operations!BD51*(BD8+BD9)/Time!BD25,0)</f>
        <v/>
      </c>
      <c r="BE26" s="11">
        <f>IF(Time!BE25&gt;0,Inputs!$F$176/100*Operations!BE51*(BE8+BE9)/Time!BE25,0)</f>
        <v/>
      </c>
      <c r="BF26" s="11">
        <f>IF(Time!BF25&gt;0,Inputs!$F$176/100*Operations!BF51*(BF8+BF9)/Time!BF25,0)</f>
        <v/>
      </c>
      <c r="BG26" s="11">
        <f>IF(Time!BG25&gt;0,Inputs!$F$176/100*Operations!BG51*(BG8+BG9)/Time!BG25,0)</f>
        <v/>
      </c>
      <c r="BH26" s="11">
        <f>IF(Time!BH25&gt;0,Inputs!$F$176/100*Operations!BH51*(BH8+BH9)/Time!BH25,0)</f>
        <v/>
      </c>
      <c r="BI26" s="11">
        <f>IF(Time!BI25&gt;0,Inputs!$F$176/100*Operations!BI51*(BI8+BI9)/Time!BI25,0)</f>
        <v/>
      </c>
      <c r="BJ26" s="11">
        <f>IF(Time!BJ25&gt;0,Inputs!$F$176/100*Operations!BJ51*(BJ8+BJ9)/Time!BJ25,0)</f>
        <v/>
      </c>
      <c r="BK26" s="11">
        <f>IF(Time!BK25&gt;0,Inputs!$F$176/100*Operations!BK51*(BK8+BK9)/Time!BK25,0)</f>
        <v/>
      </c>
      <c r="BL26" s="11">
        <f>IF(Time!BL25&gt;0,Inputs!$F$176/100*Operations!BL51*(BL8+BL9)/Time!BL25,0)</f>
        <v/>
      </c>
      <c r="BM26" s="11">
        <f>IF(Time!BM25&gt;0,Inputs!$F$176/100*Operations!BM51*(BM8+BM9)/Time!BM25,0)</f>
        <v/>
      </c>
      <c r="BN26" s="11">
        <f>IF(Time!BN25&gt;0,Inputs!$F$176/100*Operations!BN51*(BN8+BN9)/Time!BN25,0)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IF(Inputs!$F$51=2,Funding!$F$8,Inputs!$F$105)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$F$11+(INDEX(Operations!$J$9:$BN$9,1,Time!$F$12)+Inputs!$F$79)/100*INDEX(Time!$J$20:$BN$20,1,Time!$F$12)/360*1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$F$11+(INDEX(Operations!$J$9:$BN$9,1,Time!$F$12)+Inputs!$F$80)/100*INDEX(Time!$J$20:$BN$20,1,Time!$F$12)/360*1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$F$11+(INDEX(Operations!$J$9:$BN$9,1,Time!$F$12)+Inputs!$F$81)/100*INDEX(Time!$J$20:$BN$20,1,Time!$F$12)/360*1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$F$11+(INDEX(Operations!$J$9:$BN$9,1,Time!$F$12)+INDEX(Debt!$J$8:$BN$8,1,Time!$F$12))/100*INDEX(Time!$J$20:$BN$20,1,Time!$F$12)/360*(1/(1-Inputs!$F$93/100))+(Inputs!$F$95/100*Inputs!$F$96/100)*INDEX(Time!$J$20:$BN$20,1,Time!$F$12)/365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INDEX(Inputs!$J$225:$BN$225,1,Time!$F$12)*(Inputs!$F$97/100*0.5-INDEX(Operations!$J$9:$BN$9,1,Time!$F$12)/100*INDEX(Time!$J$20:$BN$20,1,Time!$F$12)/360)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/>
      </c>
      <c r="K19" s="14">
        <f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/>
      </c>
      <c r="L19" s="14">
        <f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/>
      </c>
      <c r="M19" s="14">
        <f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/>
      </c>
      <c r="N19" s="14">
        <f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/>
      </c>
      <c r="O19" s="14">
        <f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/>
      </c>
      <c r="P19" s="14">
        <f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/>
      </c>
      <c r="Q19" s="14">
        <f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/>
      </c>
      <c r="R19" s="14">
        <f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/>
      </c>
      <c r="S19" s="14">
        <f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/>
      </c>
      <c r="T19" s="14">
        <f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/>
      </c>
      <c r="U19" s="14">
        <f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/>
      </c>
      <c r="V19" s="14">
        <f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/>
      </c>
      <c r="W19" s="14">
        <f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/>
      </c>
      <c r="X19" s="14">
        <f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/>
      </c>
      <c r="Y19" s="14">
        <f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/>
      </c>
      <c r="Z19" s="14">
        <f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/>
      </c>
      <c r="AA19" s="14">
        <f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/>
      </c>
      <c r="AB19" s="14">
        <f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/>
      </c>
      <c r="AC19" s="14">
        <f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/>
      </c>
      <c r="AD19" s="14">
        <f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/>
      </c>
      <c r="AE19" s="14">
        <f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/>
      </c>
      <c r="AF19" s="14">
        <f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/>
      </c>
      <c r="AG19" s="14">
        <f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/>
      </c>
      <c r="AH19" s="14">
        <f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/>
      </c>
      <c r="AI19" s="14">
        <f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/>
      </c>
      <c r="AJ19" s="14">
        <f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/>
      </c>
      <c r="AK19" s="14">
        <f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/>
      </c>
      <c r="AL19" s="14">
        <f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/>
      </c>
      <c r="AM19" s="14">
        <f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/>
      </c>
      <c r="AN19" s="14">
        <f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/>
      </c>
      <c r="AO19" s="14">
        <f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/>
      </c>
      <c r="AP19" s="14">
        <f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/>
      </c>
      <c r="AQ19" s="14">
        <f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/>
      </c>
      <c r="AR19" s="14">
        <f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/>
      </c>
      <c r="AS19" s="14">
        <f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/>
      </c>
      <c r="AT19" s="14">
        <f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/>
      </c>
      <c r="AU19" s="14">
        <f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/>
      </c>
      <c r="AV19" s="14">
        <f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/>
      </c>
      <c r="AW19" s="14">
        <f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/>
      </c>
      <c r="AX19" s="14">
        <f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/>
      </c>
      <c r="AY19" s="14">
        <f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/>
      </c>
      <c r="AZ19" s="14">
        <f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/>
      </c>
      <c r="BA19" s="14">
        <f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/>
      </c>
      <c r="BB19" s="14">
        <f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/>
      </c>
      <c r="BC19" s="14">
        <f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/>
      </c>
      <c r="BD19" s="14">
        <f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/>
      </c>
      <c r="BE19" s="14">
        <f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/>
      </c>
      <c r="BF19" s="14">
        <f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/>
      </c>
      <c r="BG19" s="14">
        <f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/>
      </c>
      <c r="BH19" s="14">
        <f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/>
      </c>
      <c r="BI19" s="14">
        <f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/>
      </c>
      <c r="BJ19" s="14">
        <f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Inputs!$F$75*Inputs!$F$85/100*Construction!J11/360+Inputs!$F$76*Inputs!$F$86/100*Construction!J11/360+Inputs!$F$77*Inputs!$F$87/100*Construction!J11/360+Inputs!$F$78*(Inputs!$F$88/100*Inputs!$F$82)/100*Construction!J11/360</f>
        <v/>
      </c>
      <c r="K20" s="14">
        <f>Inputs!$F$75*Inputs!$F$85/100*Construction!K11/360+Inputs!$F$76*Inputs!$F$86/100*Construction!K11/360+Inputs!$F$77*Inputs!$F$87/100*Construction!K11/360+Inputs!$F$78*(Inputs!$F$88/100*Inputs!$F$82)/100*Construction!K11/360</f>
        <v/>
      </c>
      <c r="L20" s="14">
        <f>Inputs!$F$75*Inputs!$F$85/100*Construction!L11/360+Inputs!$F$76*Inputs!$F$86/100*Construction!L11/360+Inputs!$F$77*Inputs!$F$87/100*Construction!L11/360+Inputs!$F$78*(Inputs!$F$88/100*Inputs!$F$82)/100*Construction!L11/360</f>
        <v/>
      </c>
      <c r="M20" s="14">
        <f>Inputs!$F$75*Inputs!$F$85/100*Construction!M11/360+Inputs!$F$76*Inputs!$F$86/100*Construction!M11/360+Inputs!$F$77*Inputs!$F$87/100*Construction!M11/360+Inputs!$F$78*(Inputs!$F$88/100*Inputs!$F$82)/100*Construction!M11/360</f>
        <v/>
      </c>
      <c r="N20" s="14">
        <f>Inputs!$F$75*Inputs!$F$85/100*Construction!N11/360+Inputs!$F$76*Inputs!$F$86/100*Construction!N11/360+Inputs!$F$77*Inputs!$F$87/100*Construction!N11/360+Inputs!$F$78*(Inputs!$F$88/100*Inputs!$F$82)/100*Construction!N11/360</f>
        <v/>
      </c>
      <c r="O20" s="14">
        <f>Inputs!$F$75*Inputs!$F$85/100*Construction!O11/360+Inputs!$F$76*Inputs!$F$86/100*Construction!O11/360+Inputs!$F$77*Inputs!$F$87/100*Construction!O11/360+Inputs!$F$78*(Inputs!$F$88/100*Inputs!$F$82)/100*Construction!O11/360</f>
        <v/>
      </c>
      <c r="P20" s="14">
        <f>Inputs!$F$75*Inputs!$F$85/100*Construction!P11/360+Inputs!$F$76*Inputs!$F$86/100*Construction!P11/360+Inputs!$F$77*Inputs!$F$87/100*Construction!P11/360+Inputs!$F$78*(Inputs!$F$88/100*Inputs!$F$82)/100*Construction!P11/360</f>
        <v/>
      </c>
      <c r="Q20" s="14">
        <f>Inputs!$F$75*Inputs!$F$85/100*Construction!Q11/360+Inputs!$F$76*Inputs!$F$86/100*Construction!Q11/360+Inputs!$F$77*Inputs!$F$87/100*Construction!Q11/360+Inputs!$F$78*(Inputs!$F$88/100*Inputs!$F$82)/100*Construction!Q11/360</f>
        <v/>
      </c>
      <c r="R20" s="14">
        <f>Inputs!$F$75*Inputs!$F$85/100*Construction!R11/360+Inputs!$F$76*Inputs!$F$86/100*Construction!R11/360+Inputs!$F$77*Inputs!$F$87/100*Construction!R11/360+Inputs!$F$78*(Inputs!$F$88/100*Inputs!$F$82)/100*Construction!R11/360</f>
        <v/>
      </c>
      <c r="S20" s="14">
        <f>Inputs!$F$75*Inputs!$F$85/100*Construction!S11/360+Inputs!$F$76*Inputs!$F$86/100*Construction!S11/360+Inputs!$F$77*Inputs!$F$87/100*Construction!S11/360+Inputs!$F$78*(Inputs!$F$88/100*Inputs!$F$82)/100*Construction!S11/360</f>
        <v/>
      </c>
      <c r="T20" s="14">
        <f>Inputs!$F$75*Inputs!$F$85/100*Construction!T11/360+Inputs!$F$76*Inputs!$F$86/100*Construction!T11/360+Inputs!$F$77*Inputs!$F$87/100*Construction!T11/360+Inputs!$F$78*(Inputs!$F$88/100*Inputs!$F$82)/100*Construction!T11/360</f>
        <v/>
      </c>
      <c r="U20" s="14">
        <f>Inputs!$F$75*Inputs!$F$85/100*Construction!U11/360+Inputs!$F$76*Inputs!$F$86/100*Construction!U11/360+Inputs!$F$77*Inputs!$F$87/100*Construction!U11/360+Inputs!$F$78*(Inputs!$F$88/100*Inputs!$F$82)/100*Construction!U11/360</f>
        <v/>
      </c>
      <c r="V20" s="14">
        <f>Inputs!$F$75*Inputs!$F$85/100*Construction!V11/360+Inputs!$F$76*Inputs!$F$86/100*Construction!V11/360+Inputs!$F$77*Inputs!$F$87/100*Construction!V11/360+Inputs!$F$78*(Inputs!$F$88/100*Inputs!$F$82)/100*Construction!V11/360</f>
        <v/>
      </c>
      <c r="W20" s="14">
        <f>Inputs!$F$75*Inputs!$F$85/100*Construction!W11/360+Inputs!$F$76*Inputs!$F$86/100*Construction!W11/360+Inputs!$F$77*Inputs!$F$87/100*Construction!W11/360+Inputs!$F$78*(Inputs!$F$88/100*Inputs!$F$82)/100*Construction!W11/360</f>
        <v/>
      </c>
      <c r="X20" s="14">
        <f>Inputs!$F$75*Inputs!$F$85/100*Construction!X11/360+Inputs!$F$76*Inputs!$F$86/100*Construction!X11/360+Inputs!$F$77*Inputs!$F$87/100*Construction!X11/360+Inputs!$F$78*(Inputs!$F$88/100*Inputs!$F$82)/100*Construction!X11/360</f>
        <v/>
      </c>
      <c r="Y20" s="14">
        <f>Inputs!$F$75*Inputs!$F$85/100*Construction!Y11/360+Inputs!$F$76*Inputs!$F$86/100*Construction!Y11/360+Inputs!$F$77*Inputs!$F$87/100*Construction!Y11/360+Inputs!$F$78*(Inputs!$F$88/100*Inputs!$F$82)/100*Construction!Y11/360</f>
        <v/>
      </c>
      <c r="Z20" s="14">
        <f>Inputs!$F$75*Inputs!$F$85/100*Construction!Z11/360+Inputs!$F$76*Inputs!$F$86/100*Construction!Z11/360+Inputs!$F$77*Inputs!$F$87/100*Construction!Z11/360+Inputs!$F$78*(Inputs!$F$88/100*Inputs!$F$82)/100*Construction!Z11/360</f>
        <v/>
      </c>
      <c r="AA20" s="14">
        <f>Inputs!$F$75*Inputs!$F$85/100*Construction!AA11/360+Inputs!$F$76*Inputs!$F$86/100*Construction!AA11/360+Inputs!$F$77*Inputs!$F$87/100*Construction!AA11/360+Inputs!$F$78*(Inputs!$F$88/100*Inputs!$F$82)/100*Construction!AA11/360</f>
        <v/>
      </c>
      <c r="AB20" s="14">
        <f>Inputs!$F$75*Inputs!$F$85/100*Construction!AB11/360+Inputs!$F$76*Inputs!$F$86/100*Construction!AB11/360+Inputs!$F$77*Inputs!$F$87/100*Construction!AB11/360+Inputs!$F$78*(Inputs!$F$88/100*Inputs!$F$82)/100*Construction!AB11/360</f>
        <v/>
      </c>
      <c r="AC20" s="14">
        <f>Inputs!$F$75*Inputs!$F$85/100*Construction!AC11/360+Inputs!$F$76*Inputs!$F$86/100*Construction!AC11/360+Inputs!$F$77*Inputs!$F$87/100*Construction!AC11/360+Inputs!$F$78*(Inputs!$F$88/100*Inputs!$F$82)/100*Construction!AC11/360</f>
        <v/>
      </c>
      <c r="AD20" s="14">
        <f>Inputs!$F$75*Inputs!$F$85/100*Construction!AD11/360+Inputs!$F$76*Inputs!$F$86/100*Construction!AD11/360+Inputs!$F$77*Inputs!$F$87/100*Construction!AD11/360+Inputs!$F$78*(Inputs!$F$88/100*Inputs!$F$82)/100*Construction!AD11/360</f>
        <v/>
      </c>
      <c r="AE20" s="14">
        <f>Inputs!$F$75*Inputs!$F$85/100*Construction!AE11/360+Inputs!$F$76*Inputs!$F$86/100*Construction!AE11/360+Inputs!$F$77*Inputs!$F$87/100*Construction!AE11/360+Inputs!$F$78*(Inputs!$F$88/100*Inputs!$F$82)/100*Construction!AE11/360</f>
        <v/>
      </c>
      <c r="AF20" s="14">
        <f>Inputs!$F$75*Inputs!$F$85/100*Construction!AF11/360+Inputs!$F$76*Inputs!$F$86/100*Construction!AF11/360+Inputs!$F$77*Inputs!$F$87/100*Construction!AF11/360+Inputs!$F$78*(Inputs!$F$88/100*Inputs!$F$82)/100*Construction!AF11/360</f>
        <v/>
      </c>
      <c r="AG20" s="14">
        <f>Inputs!$F$75*Inputs!$F$85/100*Construction!AG11/360+Inputs!$F$76*Inputs!$F$86/100*Construction!AG11/360+Inputs!$F$77*Inputs!$F$87/100*Construction!AG11/360+Inputs!$F$78*(Inputs!$F$88/100*Inputs!$F$82)/100*Construction!AG11/360</f>
        <v/>
      </c>
      <c r="AH20" s="14">
        <f>Inputs!$F$75*Inputs!$F$85/100*Construction!AH11/360+Inputs!$F$76*Inputs!$F$86/100*Construction!AH11/360+Inputs!$F$77*Inputs!$F$87/100*Construction!AH11/360+Inputs!$F$78*(Inputs!$F$88/100*Inputs!$F$82)/100*Construction!AH11/360</f>
        <v/>
      </c>
      <c r="AI20" s="14">
        <f>Inputs!$F$75*Inputs!$F$85/100*Construction!AI11/360+Inputs!$F$76*Inputs!$F$86/100*Construction!AI11/360+Inputs!$F$77*Inputs!$F$87/100*Construction!AI11/360+Inputs!$F$78*(Inputs!$F$88/100*Inputs!$F$82)/100*Construction!AI11/360</f>
        <v/>
      </c>
      <c r="AJ20" s="14">
        <f>Inputs!$F$75*Inputs!$F$85/100*Construction!AJ11/360+Inputs!$F$76*Inputs!$F$86/100*Construction!AJ11/360+Inputs!$F$77*Inputs!$F$87/100*Construction!AJ11/360+Inputs!$F$78*(Inputs!$F$88/100*Inputs!$F$82)/100*Construction!AJ11/360</f>
        <v/>
      </c>
      <c r="AK20" s="14">
        <f>Inputs!$F$75*Inputs!$F$85/100*Construction!AK11/360+Inputs!$F$76*Inputs!$F$86/100*Construction!AK11/360+Inputs!$F$77*Inputs!$F$87/100*Construction!AK11/360+Inputs!$F$78*(Inputs!$F$88/100*Inputs!$F$82)/100*Construction!AK11/360</f>
        <v/>
      </c>
      <c r="AL20" s="14">
        <f>Inputs!$F$75*Inputs!$F$85/100*Construction!AL11/360+Inputs!$F$76*Inputs!$F$86/100*Construction!AL11/360+Inputs!$F$77*Inputs!$F$87/100*Construction!AL11/360+Inputs!$F$78*(Inputs!$F$88/100*Inputs!$F$82)/100*Construction!AL11/360</f>
        <v/>
      </c>
      <c r="AM20" s="14">
        <f>Inputs!$F$75*Inputs!$F$85/100*Construction!AM11/360+Inputs!$F$76*Inputs!$F$86/100*Construction!AM11/360+Inputs!$F$77*Inputs!$F$87/100*Construction!AM11/360+Inputs!$F$78*(Inputs!$F$88/100*Inputs!$F$82)/100*Construction!AM11/360</f>
        <v/>
      </c>
      <c r="AN20" s="14">
        <f>Inputs!$F$75*Inputs!$F$85/100*Construction!AN11/360+Inputs!$F$76*Inputs!$F$86/100*Construction!AN11/360+Inputs!$F$77*Inputs!$F$87/100*Construction!AN11/360+Inputs!$F$78*(Inputs!$F$88/100*Inputs!$F$82)/100*Construction!AN11/360</f>
        <v/>
      </c>
      <c r="AO20" s="14">
        <f>Inputs!$F$75*Inputs!$F$85/100*Construction!AO11/360+Inputs!$F$76*Inputs!$F$86/100*Construction!AO11/360+Inputs!$F$77*Inputs!$F$87/100*Construction!AO11/360+Inputs!$F$78*(Inputs!$F$88/100*Inputs!$F$82)/100*Construction!AO11/360</f>
        <v/>
      </c>
      <c r="AP20" s="14">
        <f>Inputs!$F$75*Inputs!$F$85/100*Construction!AP11/360+Inputs!$F$76*Inputs!$F$86/100*Construction!AP11/360+Inputs!$F$77*Inputs!$F$87/100*Construction!AP11/360+Inputs!$F$78*(Inputs!$F$88/100*Inputs!$F$82)/100*Construction!AP11/360</f>
        <v/>
      </c>
      <c r="AQ20" s="14">
        <f>Inputs!$F$75*Inputs!$F$85/100*Construction!AQ11/360+Inputs!$F$76*Inputs!$F$86/100*Construction!AQ11/360+Inputs!$F$77*Inputs!$F$87/100*Construction!AQ11/360+Inputs!$F$78*(Inputs!$F$88/100*Inputs!$F$82)/100*Construction!AQ11/360</f>
        <v/>
      </c>
      <c r="AR20" s="14">
        <f>Inputs!$F$75*Inputs!$F$85/100*Construction!AR11/360+Inputs!$F$76*Inputs!$F$86/100*Construction!AR11/360+Inputs!$F$77*Inputs!$F$87/100*Construction!AR11/360+Inputs!$F$78*(Inputs!$F$88/100*Inputs!$F$82)/100*Construction!AR11/360</f>
        <v/>
      </c>
      <c r="AS20" s="14">
        <f>Inputs!$F$75*Inputs!$F$85/100*Construction!AS11/360+Inputs!$F$76*Inputs!$F$86/100*Construction!AS11/360+Inputs!$F$77*Inputs!$F$87/100*Construction!AS11/360+Inputs!$F$78*(Inputs!$F$88/100*Inputs!$F$82)/100*Construction!AS11/360</f>
        <v/>
      </c>
      <c r="AT20" s="14">
        <f>Inputs!$F$75*Inputs!$F$85/100*Construction!AT11/360+Inputs!$F$76*Inputs!$F$86/100*Construction!AT11/360+Inputs!$F$77*Inputs!$F$87/100*Construction!AT11/360+Inputs!$F$78*(Inputs!$F$88/100*Inputs!$F$82)/100*Construction!AT11/360</f>
        <v/>
      </c>
      <c r="AU20" s="14">
        <f>Inputs!$F$75*Inputs!$F$85/100*Construction!AU11/360+Inputs!$F$76*Inputs!$F$86/100*Construction!AU11/360+Inputs!$F$77*Inputs!$F$87/100*Construction!AU11/360+Inputs!$F$78*(Inputs!$F$88/100*Inputs!$F$82)/100*Construction!AU11/360</f>
        <v/>
      </c>
      <c r="AV20" s="14">
        <f>Inputs!$F$75*Inputs!$F$85/100*Construction!AV11/360+Inputs!$F$76*Inputs!$F$86/100*Construction!AV11/360+Inputs!$F$77*Inputs!$F$87/100*Construction!AV11/360+Inputs!$F$78*(Inputs!$F$88/100*Inputs!$F$82)/100*Construction!AV11/360</f>
        <v/>
      </c>
      <c r="AW20" s="14">
        <f>Inputs!$F$75*Inputs!$F$85/100*Construction!AW11/360+Inputs!$F$76*Inputs!$F$86/100*Construction!AW11/360+Inputs!$F$77*Inputs!$F$87/100*Construction!AW11/360+Inputs!$F$78*(Inputs!$F$88/100*Inputs!$F$82)/100*Construction!AW11/360</f>
        <v/>
      </c>
      <c r="AX20" s="14">
        <f>Inputs!$F$75*Inputs!$F$85/100*Construction!AX11/360+Inputs!$F$76*Inputs!$F$86/100*Construction!AX11/360+Inputs!$F$77*Inputs!$F$87/100*Construction!AX11/360+Inputs!$F$78*(Inputs!$F$88/100*Inputs!$F$82)/100*Construction!AX11/360</f>
        <v/>
      </c>
      <c r="AY20" s="14">
        <f>Inputs!$F$75*Inputs!$F$85/100*Construction!AY11/360+Inputs!$F$76*Inputs!$F$86/100*Construction!AY11/360+Inputs!$F$77*Inputs!$F$87/100*Construction!AY11/360+Inputs!$F$78*(Inputs!$F$88/100*Inputs!$F$82)/100*Construction!AY11/360</f>
        <v/>
      </c>
      <c r="AZ20" s="14">
        <f>Inputs!$F$75*Inputs!$F$85/100*Construction!AZ11/360+Inputs!$F$76*Inputs!$F$86/100*Construction!AZ11/360+Inputs!$F$77*Inputs!$F$87/100*Construction!AZ11/360+Inputs!$F$78*(Inputs!$F$88/100*Inputs!$F$82)/100*Construction!AZ11/360</f>
        <v/>
      </c>
      <c r="BA20" s="14">
        <f>Inputs!$F$75*Inputs!$F$85/100*Construction!BA11/360+Inputs!$F$76*Inputs!$F$86/100*Construction!BA11/360+Inputs!$F$77*Inputs!$F$87/100*Construction!BA11/360+Inputs!$F$78*(Inputs!$F$88/100*Inputs!$F$82)/100*Construction!BA11/360</f>
        <v/>
      </c>
      <c r="BB20" s="14">
        <f>Inputs!$F$75*Inputs!$F$85/100*Construction!BB11/360+Inputs!$F$76*Inputs!$F$86/100*Construction!BB11/360+Inputs!$F$77*Inputs!$F$87/100*Construction!BB11/360+Inputs!$F$78*(Inputs!$F$88/100*Inputs!$F$82)/100*Construction!BB11/360</f>
        <v/>
      </c>
      <c r="BC20" s="14">
        <f>Inputs!$F$75*Inputs!$F$85/100*Construction!BC11/360+Inputs!$F$76*Inputs!$F$86/100*Construction!BC11/360+Inputs!$F$77*Inputs!$F$87/100*Construction!BC11/360+Inputs!$F$78*(Inputs!$F$88/100*Inputs!$F$82)/100*Construction!BC11/360</f>
        <v/>
      </c>
      <c r="BD20" s="14">
        <f>Inputs!$F$75*Inputs!$F$85/100*Construction!BD11/360+Inputs!$F$76*Inputs!$F$86/100*Construction!BD11/360+Inputs!$F$77*Inputs!$F$87/100*Construction!BD11/360+Inputs!$F$78*(Inputs!$F$88/100*Inputs!$F$82)/100*Construction!BD11/360</f>
        <v/>
      </c>
      <c r="BE20" s="14">
        <f>Inputs!$F$75*Inputs!$F$85/100*Construction!BE11/360+Inputs!$F$76*Inputs!$F$86/100*Construction!BE11/360+Inputs!$F$77*Inputs!$F$87/100*Construction!BE11/360+Inputs!$F$78*(Inputs!$F$88/100*Inputs!$F$82)/100*Construction!BE11/360</f>
        <v/>
      </c>
      <c r="BF20" s="14">
        <f>Inputs!$F$75*Inputs!$F$85/100*Construction!BF11/360+Inputs!$F$76*Inputs!$F$86/100*Construction!BF11/360+Inputs!$F$77*Inputs!$F$87/100*Construction!BF11/360+Inputs!$F$78*(Inputs!$F$88/100*Inputs!$F$82)/100*Construction!BF11/360</f>
        <v/>
      </c>
      <c r="BG20" s="14">
        <f>Inputs!$F$75*Inputs!$F$85/100*Construction!BG11/360+Inputs!$F$76*Inputs!$F$86/100*Construction!BG11/360+Inputs!$F$77*Inputs!$F$87/100*Construction!BG11/360+Inputs!$F$78*(Inputs!$F$88/100*Inputs!$F$82)/100*Construction!BG11/360</f>
        <v/>
      </c>
      <c r="BH20" s="14">
        <f>Inputs!$F$75*Inputs!$F$85/100*Construction!BH11/360+Inputs!$F$76*Inputs!$F$86/100*Construction!BH11/360+Inputs!$F$77*Inputs!$F$87/100*Construction!BH11/360+Inputs!$F$78*(Inputs!$F$88/100*Inputs!$F$82)/100*Construction!BH11/360</f>
        <v/>
      </c>
      <c r="BI20" s="14">
        <f>Inputs!$F$75*Inputs!$F$85/100*Construction!BI11/360+Inputs!$F$76*Inputs!$F$86/100*Construction!BI11/360+Inputs!$F$77*Inputs!$F$87/100*Construction!BI11/360+Inputs!$F$78*(Inputs!$F$88/100*Inputs!$F$82)/100*Construction!BI11/360</f>
        <v/>
      </c>
      <c r="BJ20" s="14">
        <f>Inputs!$F$75*Inputs!$F$85/100*Construction!BJ11/360+Inputs!$F$76*Inputs!$F$86/100*Construction!BJ11/360+Inputs!$F$77*Inputs!$F$87/100*Construction!BJ11/360+Inputs!$F$78*(Inputs!$F$88/100*Inputs!$F$82)/100*Construction!BJ11/360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Construction!J14*(Construction!J30+Construction!J36+Inputs!$F$107/12+Inputs!J233*(Inputs!$F$97/100/12-Construction!J17/100*Construction!J11/360)+Inputs!$F$99*Inputs!$F$100/100*Construction!J11/360+Construction!J15*$F$17)</f>
        <v/>
      </c>
      <c r="K21" s="11">
        <f>Construction!K14*(Construction!K30+Construction!K36+Inputs!$F$107/12+Inputs!K233*(Inputs!$F$97/100/12-Construction!K17/100*Construction!K11/360)+Inputs!$F$99*Inputs!$F$100/100*Construction!K11/360+Construction!K15*$F$17)</f>
        <v/>
      </c>
      <c r="L21" s="11">
        <f>Construction!L14*(Construction!L30+Construction!L36+Inputs!$F$107/12+Inputs!L233*(Inputs!$F$97/100/12-Construction!L17/100*Construction!L11/360)+Inputs!$F$99*Inputs!$F$100/100*Construction!L11/360+Construction!L15*$F$17)</f>
        <v/>
      </c>
      <c r="M21" s="11">
        <f>Construction!M14*(Construction!M30+Construction!M36+Inputs!$F$107/12+Inputs!M233*(Inputs!$F$97/100/12-Construction!M17/100*Construction!M11/360)+Inputs!$F$99*Inputs!$F$100/100*Construction!M11/360+Construction!M15*$F$17)</f>
        <v/>
      </c>
      <c r="N21" s="11">
        <f>Construction!N14*(Construction!N30+Construction!N36+Inputs!$F$107/12+Inputs!N233*(Inputs!$F$97/100/12-Construction!N17/100*Construction!N11/360)+Inputs!$F$99*Inputs!$F$100/100*Construction!N11/360+Construction!N15*$F$17)</f>
        <v/>
      </c>
      <c r="O21" s="11">
        <f>Construction!O14*(Construction!O30+Construction!O36+Inputs!$F$107/12+Inputs!O233*(Inputs!$F$97/100/12-Construction!O17/100*Construction!O11/360)+Inputs!$F$99*Inputs!$F$100/100*Construction!O11/360+Construction!O15*$F$17)</f>
        <v/>
      </c>
      <c r="P21" s="11">
        <f>Construction!P14*(Construction!P30+Construction!P36+Inputs!$F$107/12+Inputs!P233*(Inputs!$F$97/100/12-Construction!P17/100*Construction!P11/360)+Inputs!$F$99*Inputs!$F$100/100*Construction!P11/360+Construction!P15*$F$17)</f>
        <v/>
      </c>
      <c r="Q21" s="11">
        <f>Construction!Q14*(Construction!Q30+Construction!Q36+Inputs!$F$107/12+Inputs!Q233*(Inputs!$F$97/100/12-Construction!Q17/100*Construction!Q11/360)+Inputs!$F$99*Inputs!$F$100/100*Construction!Q11/360+Construction!Q15*$F$17)</f>
        <v/>
      </c>
      <c r="R21" s="11">
        <f>Construction!R14*(Construction!R30+Construction!R36+Inputs!$F$107/12+Inputs!R233*(Inputs!$F$97/100/12-Construction!R17/100*Construction!R11/360)+Inputs!$F$99*Inputs!$F$100/100*Construction!R11/360+Construction!R15*$F$17)</f>
        <v/>
      </c>
      <c r="S21" s="11">
        <f>Construction!S14*(Construction!S30+Construction!S36+Inputs!$F$107/12+Inputs!S233*(Inputs!$F$97/100/12-Construction!S17/100*Construction!S11/360)+Inputs!$F$99*Inputs!$F$100/100*Construction!S11/360+Construction!S15*$F$17)</f>
        <v/>
      </c>
      <c r="T21" s="11">
        <f>Construction!T14*(Construction!T30+Construction!T36+Inputs!$F$107/12+Inputs!T233*(Inputs!$F$97/100/12-Construction!T17/100*Construction!T11/360)+Inputs!$F$99*Inputs!$F$100/100*Construction!T11/360+Construction!T15*$F$17)</f>
        <v/>
      </c>
      <c r="U21" s="11">
        <f>Construction!U14*(Construction!U30+Construction!U36+Inputs!$F$107/12+Inputs!U233*(Inputs!$F$97/100/12-Construction!U17/100*Construction!U11/360)+Inputs!$F$99*Inputs!$F$100/100*Construction!U11/360+Construction!U15*$F$17)</f>
        <v/>
      </c>
      <c r="V21" s="11">
        <f>Construction!V14*(Construction!V30+Construction!V36+Inputs!$F$107/12+Inputs!V233*(Inputs!$F$97/100/12-Construction!V17/100*Construction!V11/360)+Inputs!$F$99*Inputs!$F$100/100*Construction!V11/360+Construction!V15*$F$17)</f>
        <v/>
      </c>
      <c r="W21" s="11">
        <f>Construction!W14*(Construction!W30+Construction!W36+Inputs!$F$107/12+Inputs!W233*(Inputs!$F$97/100/12-Construction!W17/100*Construction!W11/360)+Inputs!$F$99*Inputs!$F$100/100*Construction!W11/360+Construction!W15*$F$17)</f>
        <v/>
      </c>
      <c r="X21" s="11">
        <f>Construction!X14*(Construction!X30+Construction!X36+Inputs!$F$107/12+Inputs!X233*(Inputs!$F$97/100/12-Construction!X17/100*Construction!X11/360)+Inputs!$F$99*Inputs!$F$100/100*Construction!X11/360+Construction!X15*$F$17)</f>
        <v/>
      </c>
      <c r="Y21" s="11">
        <f>Construction!Y14*(Construction!Y30+Construction!Y36+Inputs!$F$107/12+Inputs!Y233*(Inputs!$F$97/100/12-Construction!Y17/100*Construction!Y11/360)+Inputs!$F$99*Inputs!$F$100/100*Construction!Y11/360+Construction!Y15*$F$17)</f>
        <v/>
      </c>
      <c r="Z21" s="11">
        <f>Construction!Z14*(Construction!Z30+Construction!Z36+Inputs!$F$107/12+Inputs!Z233*(Inputs!$F$97/100/12-Construction!Z17/100*Construction!Z11/360)+Inputs!$F$99*Inputs!$F$100/100*Construction!Z11/360+Construction!Z15*$F$17)</f>
        <v/>
      </c>
      <c r="AA21" s="11">
        <f>Construction!AA14*(Construction!AA30+Construction!AA36+Inputs!$F$107/12+Inputs!AA233*(Inputs!$F$97/100/12-Construction!AA17/100*Construction!AA11/360)+Inputs!$F$99*Inputs!$F$100/100*Construction!AA11/360+Construction!AA15*$F$17)</f>
        <v/>
      </c>
      <c r="AB21" s="11">
        <f>Construction!AB14*(Construction!AB30+Construction!AB36+Inputs!$F$107/12+Inputs!AB233*(Inputs!$F$97/100/12-Construction!AB17/100*Construction!AB11/360)+Inputs!$F$99*Inputs!$F$100/100*Construction!AB11/360+Construction!AB15*$F$17)</f>
        <v/>
      </c>
      <c r="AC21" s="11">
        <f>Construction!AC14*(Construction!AC30+Construction!AC36+Inputs!$F$107/12+Inputs!AC233*(Inputs!$F$97/100/12-Construction!AC17/100*Construction!AC11/360)+Inputs!$F$99*Inputs!$F$100/100*Construction!AC11/360+Construction!AC15*$F$17)</f>
        <v/>
      </c>
      <c r="AD21" s="11">
        <f>Construction!AD14*(Construction!AD30+Construction!AD36+Inputs!$F$107/12+Inputs!AD233*(Inputs!$F$97/100/12-Construction!AD17/100*Construction!AD11/360)+Inputs!$F$99*Inputs!$F$100/100*Construction!AD11/360+Construction!AD15*$F$17)</f>
        <v/>
      </c>
      <c r="AE21" s="11">
        <f>Construction!AE14*(Construction!AE30+Construction!AE36+Inputs!$F$107/12+Inputs!AE233*(Inputs!$F$97/100/12-Construction!AE17/100*Construction!AE11/360)+Inputs!$F$99*Inputs!$F$100/100*Construction!AE11/360+Construction!AE15*$F$17)</f>
        <v/>
      </c>
      <c r="AF21" s="11">
        <f>Construction!AF14*(Construction!AF30+Construction!AF36+Inputs!$F$107/12+Inputs!AF233*(Inputs!$F$97/100/12-Construction!AF17/100*Construction!AF11/360)+Inputs!$F$99*Inputs!$F$100/100*Construction!AF11/360+Construction!AF15*$F$17)</f>
        <v/>
      </c>
      <c r="AG21" s="11">
        <f>Construction!AG14*(Construction!AG30+Construction!AG36+Inputs!$F$107/12+Inputs!AG233*(Inputs!$F$97/100/12-Construction!AG17/100*Construction!AG11/360)+Inputs!$F$99*Inputs!$F$100/100*Construction!AG11/360+Construction!AG15*$F$17)</f>
        <v/>
      </c>
      <c r="AH21" s="11">
        <f>Construction!AH14*(Construction!AH30+Construction!AH36+Inputs!$F$107/12+Inputs!AH233*(Inputs!$F$97/100/12-Construction!AH17/100*Construction!AH11/360)+Inputs!$F$99*Inputs!$F$100/100*Construction!AH11/360+Construction!AH15*$F$17)</f>
        <v/>
      </c>
      <c r="AI21" s="11">
        <f>Construction!AI14*(Construction!AI30+Construction!AI36+Inputs!$F$107/12+Inputs!AI233*(Inputs!$F$97/100/12-Construction!AI17/100*Construction!AI11/360)+Inputs!$F$99*Inputs!$F$100/100*Construction!AI11/360+Construction!AI15*$F$17)</f>
        <v/>
      </c>
      <c r="AJ21" s="11">
        <f>Construction!AJ14*(Construction!AJ30+Construction!AJ36+Inputs!$F$107/12+Inputs!AJ233*(Inputs!$F$97/100/12-Construction!AJ17/100*Construction!AJ11/360)+Inputs!$F$99*Inputs!$F$100/100*Construction!AJ11/360+Construction!AJ15*$F$17)</f>
        <v/>
      </c>
      <c r="AK21" s="11">
        <f>Construction!AK14*(Construction!AK30+Construction!AK36+Inputs!$F$107/12+Inputs!AK233*(Inputs!$F$97/100/12-Construction!AK17/100*Construction!AK11/360)+Inputs!$F$99*Inputs!$F$100/100*Construction!AK11/360+Construction!AK15*$F$17)</f>
        <v/>
      </c>
      <c r="AL21" s="11">
        <f>Construction!AL14*(Construction!AL30+Construction!AL36+Inputs!$F$107/12+Inputs!AL233*(Inputs!$F$97/100/12-Construction!AL17/100*Construction!AL11/360)+Inputs!$F$99*Inputs!$F$100/100*Construction!AL11/360+Construction!AL15*$F$17)</f>
        <v/>
      </c>
      <c r="AM21" s="11">
        <f>Construction!AM14*(Construction!AM30+Construction!AM36+Inputs!$F$107/12+Inputs!AM233*(Inputs!$F$97/100/12-Construction!AM17/100*Construction!AM11/360)+Inputs!$F$99*Inputs!$F$100/100*Construction!AM11/360+Construction!AM15*$F$17)</f>
        <v/>
      </c>
      <c r="AN21" s="11">
        <f>Construction!AN14*(Construction!AN30+Construction!AN36+Inputs!$F$107/12+Inputs!AN233*(Inputs!$F$97/100/12-Construction!AN17/100*Construction!AN11/360)+Inputs!$F$99*Inputs!$F$100/100*Construction!AN11/360+Construction!AN15*$F$17)</f>
        <v/>
      </c>
      <c r="AO21" s="11">
        <f>Construction!AO14*(Construction!AO30+Construction!AO36+Inputs!$F$107/12+Inputs!AO233*(Inputs!$F$97/100/12-Construction!AO17/100*Construction!AO11/360)+Inputs!$F$99*Inputs!$F$100/100*Construction!AO11/360+Construction!AO15*$F$17)</f>
        <v/>
      </c>
      <c r="AP21" s="11">
        <f>Construction!AP14*(Construction!AP30+Construction!AP36+Inputs!$F$107/12+Inputs!AP233*(Inputs!$F$97/100/12-Construction!AP17/100*Construction!AP11/360)+Inputs!$F$99*Inputs!$F$100/100*Construction!AP11/360+Construction!AP15*$F$17)</f>
        <v/>
      </c>
      <c r="AQ21" s="11">
        <f>Construction!AQ14*(Construction!AQ30+Construction!AQ36+Inputs!$F$107/12+Inputs!AQ233*(Inputs!$F$97/100/12-Construction!AQ17/100*Construction!AQ11/360)+Inputs!$F$99*Inputs!$F$100/100*Construction!AQ11/360+Construction!AQ15*$F$17)</f>
        <v/>
      </c>
      <c r="AR21" s="11">
        <f>Construction!AR14*(Construction!AR30+Construction!AR36+Inputs!$F$107/12+Inputs!AR233*(Inputs!$F$97/100/12-Construction!AR17/100*Construction!AR11/360)+Inputs!$F$99*Inputs!$F$100/100*Construction!AR11/360+Construction!AR15*$F$17)</f>
        <v/>
      </c>
      <c r="AS21" s="11">
        <f>Construction!AS14*(Construction!AS30+Construction!AS36+Inputs!$F$107/12+Inputs!AS233*(Inputs!$F$97/100/12-Construction!AS17/100*Construction!AS11/360)+Inputs!$F$99*Inputs!$F$100/100*Construction!AS11/360+Construction!AS15*$F$17)</f>
        <v/>
      </c>
      <c r="AT21" s="11">
        <f>Construction!AT14*(Construction!AT30+Construction!AT36+Inputs!$F$107/12+Inputs!AT233*(Inputs!$F$97/100/12-Construction!AT17/100*Construction!AT11/360)+Inputs!$F$99*Inputs!$F$100/100*Construction!AT11/360+Construction!AT15*$F$17)</f>
        <v/>
      </c>
      <c r="AU21" s="11">
        <f>Construction!AU14*(Construction!AU30+Construction!AU36+Inputs!$F$107/12+Inputs!AU233*(Inputs!$F$97/100/12-Construction!AU17/100*Construction!AU11/360)+Inputs!$F$99*Inputs!$F$100/100*Construction!AU11/360+Construction!AU15*$F$17)</f>
        <v/>
      </c>
      <c r="AV21" s="11">
        <f>Construction!AV14*(Construction!AV30+Construction!AV36+Inputs!$F$107/12+Inputs!AV233*(Inputs!$F$97/100/12-Construction!AV17/100*Construction!AV11/360)+Inputs!$F$99*Inputs!$F$100/100*Construction!AV11/360+Construction!AV15*$F$17)</f>
        <v/>
      </c>
      <c r="AW21" s="11">
        <f>Construction!AW14*(Construction!AW30+Construction!AW36+Inputs!$F$107/12+Inputs!AW233*(Inputs!$F$97/100/12-Construction!AW17/100*Construction!AW11/360)+Inputs!$F$99*Inputs!$F$100/100*Construction!AW11/360+Construction!AW15*$F$17)</f>
        <v/>
      </c>
      <c r="AX21" s="11">
        <f>Construction!AX14*(Construction!AX30+Construction!AX36+Inputs!$F$107/12+Inputs!AX233*(Inputs!$F$97/100/12-Construction!AX17/100*Construction!AX11/360)+Inputs!$F$99*Inputs!$F$100/100*Construction!AX11/360+Construction!AX15*$F$17)</f>
        <v/>
      </c>
      <c r="AY21" s="11">
        <f>Construction!AY14*(Construction!AY30+Construction!AY36+Inputs!$F$107/12+Inputs!AY233*(Inputs!$F$97/100/12-Construction!AY17/100*Construction!AY11/360)+Inputs!$F$99*Inputs!$F$100/100*Construction!AY11/360+Construction!AY15*$F$17)</f>
        <v/>
      </c>
      <c r="AZ21" s="11">
        <f>Construction!AZ14*(Construction!AZ30+Construction!AZ36+Inputs!$F$107/12+Inputs!AZ233*(Inputs!$F$97/100/12-Construction!AZ17/100*Construction!AZ11/360)+Inputs!$F$99*Inputs!$F$100/100*Construction!AZ11/360+Construction!AZ15*$F$17)</f>
        <v/>
      </c>
      <c r="BA21" s="11">
        <f>Construction!BA14*(Construction!BA30+Construction!BA36+Inputs!$F$107/12+Inputs!BA233*(Inputs!$F$97/100/12-Construction!BA17/100*Construction!BA11/360)+Inputs!$F$99*Inputs!$F$100/100*Construction!BA11/360+Construction!BA15*$F$17)</f>
        <v/>
      </c>
      <c r="BB21" s="11">
        <f>Construction!BB14*(Construction!BB30+Construction!BB36+Inputs!$F$107/12+Inputs!BB233*(Inputs!$F$97/100/12-Construction!BB17/100*Construction!BB11/360)+Inputs!$F$99*Inputs!$F$100/100*Construction!BB11/360+Construction!BB15*$F$17)</f>
        <v/>
      </c>
      <c r="BC21" s="11">
        <f>Construction!BC14*(Construction!BC30+Construction!BC36+Inputs!$F$107/12+Inputs!BC233*(Inputs!$F$97/100/12-Construction!BC17/100*Construction!BC11/360)+Inputs!$F$99*Inputs!$F$100/100*Construction!BC11/360+Construction!BC15*$F$17)</f>
        <v/>
      </c>
      <c r="BD21" s="11">
        <f>Construction!BD14*(Construction!BD30+Construction!BD36+Inputs!$F$107/12+Inputs!BD233*(Inputs!$F$97/100/12-Construction!BD17/100*Construction!BD11/360)+Inputs!$F$99*Inputs!$F$100/100*Construction!BD11/360+Construction!BD15*$F$17)</f>
        <v/>
      </c>
      <c r="BE21" s="11">
        <f>Construction!BE14*(Construction!BE30+Construction!BE36+Inputs!$F$107/12+Inputs!BE233*(Inputs!$F$97/100/12-Construction!BE17/100*Construction!BE11/360)+Inputs!$F$99*Inputs!$F$100/100*Construction!BE11/360+Construction!BE15*$F$17)</f>
        <v/>
      </c>
      <c r="BF21" s="11">
        <f>Construction!BF14*(Construction!BF30+Construction!BF36+Inputs!$F$107/12+Inputs!BF233*(Inputs!$F$97/100/12-Construction!BF17/100*Construction!BF11/360)+Inputs!$F$99*Inputs!$F$100/100*Construction!BF11/360+Construction!BF15*$F$17)</f>
        <v/>
      </c>
      <c r="BG21" s="11">
        <f>Construction!BG14*(Construction!BG30+Construction!BG36+Inputs!$F$107/12+Inputs!BG233*(Inputs!$F$97/100/12-Construction!BG17/100*Construction!BG11/360)+Inputs!$F$99*Inputs!$F$100/100*Construction!BG11/360+Construction!BG15*$F$17)</f>
        <v/>
      </c>
      <c r="BH21" s="11">
        <f>Construction!BH14*(Construction!BH30+Construction!BH36+Inputs!$F$107/12+Inputs!BH233*(Inputs!$F$97/100/12-Construction!BH17/100*Construction!BH11/360)+Inputs!$F$99*Inputs!$F$100/100*Construction!BH11/360+Construction!BH15*$F$17)</f>
        <v/>
      </c>
      <c r="BI21" s="11">
        <f>Construction!BI14*(Construction!BI30+Construction!BI36+Inputs!$F$107/12+Inputs!BI233*(Inputs!$F$97/100/12-Construction!BI17/100*Construction!BI11/360)+Inputs!$F$99*Inputs!$F$100/100*Construction!BI11/360+Construction!BI15*$F$17)</f>
        <v/>
      </c>
      <c r="BJ21" s="11">
        <f>Construction!BJ14*(Construction!BJ30+Construction!BJ36+Inputs!$F$107/12+Inputs!BJ233*(Inputs!$F$97/100/12-Construction!BJ17/100*Construction!BJ11/360)+Inputs!$F$99*Inputs!$F$100/100*Construction!BJ11/360+Construction!BJ15*$F$17)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4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4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4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4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4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4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4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4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4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4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4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4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4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4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4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4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4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4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4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4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4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4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4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4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4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4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4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4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4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4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4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4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4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4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4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4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4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4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4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4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4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4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4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4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4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4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4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4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4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4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4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4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IF(Inputs!$F$51=2,Funding!$F$8*Funding!$F$24,Inputs!$F$113)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Construction!J14*J28*(Construction!J17+Inputs!$F$79)/100*Construction!J11/360*1</f>
        <v/>
      </c>
      <c r="K33" s="11">
        <f>Construction!K14*K28*(Construction!K17+Inputs!$F$79)/100*Construction!K11/360*1</f>
        <v/>
      </c>
      <c r="L33" s="11">
        <f>Construction!L14*L28*(Construction!L17+Inputs!$F$79)/100*Construction!L11/360*1</f>
        <v/>
      </c>
      <c r="M33" s="11">
        <f>Construction!M14*M28*(Construction!M17+Inputs!$F$79)/100*Construction!M11/360*1</f>
        <v/>
      </c>
      <c r="N33" s="11">
        <f>Construction!N14*N28*(Construction!N17+Inputs!$F$79)/100*Construction!N11/360*1</f>
        <v/>
      </c>
      <c r="O33" s="11">
        <f>Construction!O14*O28*(Construction!O17+Inputs!$F$79)/100*Construction!O11/360*1</f>
        <v/>
      </c>
      <c r="P33" s="11">
        <f>Construction!P14*P28*(Construction!P17+Inputs!$F$79)/100*Construction!P11/360*1</f>
        <v/>
      </c>
      <c r="Q33" s="11">
        <f>Construction!Q14*Q28*(Construction!Q17+Inputs!$F$79)/100*Construction!Q11/360*1</f>
        <v/>
      </c>
      <c r="R33" s="11">
        <f>Construction!R14*R28*(Construction!R17+Inputs!$F$79)/100*Construction!R11/360*1</f>
        <v/>
      </c>
      <c r="S33" s="11">
        <f>Construction!S14*S28*(Construction!S17+Inputs!$F$79)/100*Construction!S11/360*1</f>
        <v/>
      </c>
      <c r="T33" s="11">
        <f>Construction!T14*T28*(Construction!T17+Inputs!$F$79)/100*Construction!T11/360*1</f>
        <v/>
      </c>
      <c r="U33" s="11">
        <f>Construction!U14*U28*(Construction!U17+Inputs!$F$79)/100*Construction!U11/360*1</f>
        <v/>
      </c>
      <c r="V33" s="11">
        <f>Construction!V14*V28*(Construction!V17+Inputs!$F$79)/100*Construction!V11/360*1</f>
        <v/>
      </c>
      <c r="W33" s="11">
        <f>Construction!W14*W28*(Construction!W17+Inputs!$F$79)/100*Construction!W11/360*1</f>
        <v/>
      </c>
      <c r="X33" s="11">
        <f>Construction!X14*X28*(Construction!X17+Inputs!$F$79)/100*Construction!X11/360*1</f>
        <v/>
      </c>
      <c r="Y33" s="11">
        <f>Construction!Y14*Y28*(Construction!Y17+Inputs!$F$79)/100*Construction!Y11/360*1</f>
        <v/>
      </c>
      <c r="Z33" s="11">
        <f>Construction!Z14*Z28*(Construction!Z17+Inputs!$F$79)/100*Construction!Z11/360*1</f>
        <v/>
      </c>
      <c r="AA33" s="11">
        <f>Construction!AA14*AA28*(Construction!AA17+Inputs!$F$79)/100*Construction!AA11/360*1</f>
        <v/>
      </c>
      <c r="AB33" s="11">
        <f>Construction!AB14*AB28*(Construction!AB17+Inputs!$F$79)/100*Construction!AB11/360*1</f>
        <v/>
      </c>
      <c r="AC33" s="11">
        <f>Construction!AC14*AC28*(Construction!AC17+Inputs!$F$79)/100*Construction!AC11/360*1</f>
        <v/>
      </c>
      <c r="AD33" s="11">
        <f>Construction!AD14*AD28*(Construction!AD17+Inputs!$F$79)/100*Construction!AD11/360*1</f>
        <v/>
      </c>
      <c r="AE33" s="11">
        <f>Construction!AE14*AE28*(Construction!AE17+Inputs!$F$79)/100*Construction!AE11/360*1</f>
        <v/>
      </c>
      <c r="AF33" s="11">
        <f>Construction!AF14*AF28*(Construction!AF17+Inputs!$F$79)/100*Construction!AF11/360*1</f>
        <v/>
      </c>
      <c r="AG33" s="11">
        <f>Construction!AG14*AG28*(Construction!AG17+Inputs!$F$79)/100*Construction!AG11/360*1</f>
        <v/>
      </c>
      <c r="AH33" s="11">
        <f>Construction!AH14*AH28*(Construction!AH17+Inputs!$F$79)/100*Construction!AH11/360*1</f>
        <v/>
      </c>
      <c r="AI33" s="11">
        <f>Construction!AI14*AI28*(Construction!AI17+Inputs!$F$79)/100*Construction!AI11/360*1</f>
        <v/>
      </c>
      <c r="AJ33" s="11">
        <f>Construction!AJ14*AJ28*(Construction!AJ17+Inputs!$F$79)/100*Construction!AJ11/360*1</f>
        <v/>
      </c>
      <c r="AK33" s="11">
        <f>Construction!AK14*AK28*(Construction!AK17+Inputs!$F$79)/100*Construction!AK11/360*1</f>
        <v/>
      </c>
      <c r="AL33" s="11">
        <f>Construction!AL14*AL28*(Construction!AL17+Inputs!$F$79)/100*Construction!AL11/360*1</f>
        <v/>
      </c>
      <c r="AM33" s="11">
        <f>Construction!AM14*AM28*(Construction!AM17+Inputs!$F$79)/100*Construction!AM11/360*1</f>
        <v/>
      </c>
      <c r="AN33" s="11">
        <f>Construction!AN14*AN28*(Construction!AN17+Inputs!$F$79)/100*Construction!AN11/360*1</f>
        <v/>
      </c>
      <c r="AO33" s="11">
        <f>Construction!AO14*AO28*(Construction!AO17+Inputs!$F$79)/100*Construction!AO11/360*1</f>
        <v/>
      </c>
      <c r="AP33" s="11">
        <f>Construction!AP14*AP28*(Construction!AP17+Inputs!$F$79)/100*Construction!AP11/360*1</f>
        <v/>
      </c>
      <c r="AQ33" s="11">
        <f>Construction!AQ14*AQ28*(Construction!AQ17+Inputs!$F$79)/100*Construction!AQ11/360*1</f>
        <v/>
      </c>
      <c r="AR33" s="11">
        <f>Construction!AR14*AR28*(Construction!AR17+Inputs!$F$79)/100*Construction!AR11/360*1</f>
        <v/>
      </c>
      <c r="AS33" s="11">
        <f>Construction!AS14*AS28*(Construction!AS17+Inputs!$F$79)/100*Construction!AS11/360*1</f>
        <v/>
      </c>
      <c r="AT33" s="11">
        <f>Construction!AT14*AT28*(Construction!AT17+Inputs!$F$79)/100*Construction!AT11/360*1</f>
        <v/>
      </c>
      <c r="AU33" s="11">
        <f>Construction!AU14*AU28*(Construction!AU17+Inputs!$F$79)/100*Construction!AU11/360*1</f>
        <v/>
      </c>
      <c r="AV33" s="11">
        <f>Construction!AV14*AV28*(Construction!AV17+Inputs!$F$79)/100*Construction!AV11/360*1</f>
        <v/>
      </c>
      <c r="AW33" s="11">
        <f>Construction!AW14*AW28*(Construction!AW17+Inputs!$F$79)/100*Construction!AW11/360*1</f>
        <v/>
      </c>
      <c r="AX33" s="11">
        <f>Construction!AX14*AX28*(Construction!AX17+Inputs!$F$79)/100*Construction!AX11/360*1</f>
        <v/>
      </c>
      <c r="AY33" s="11">
        <f>Construction!AY14*AY28*(Construction!AY17+Inputs!$F$79)/100*Construction!AY11/360*1</f>
        <v/>
      </c>
      <c r="AZ33" s="11">
        <f>Construction!AZ14*AZ28*(Construction!AZ17+Inputs!$F$79)/100*Construction!AZ11/360*1</f>
        <v/>
      </c>
      <c r="BA33" s="11">
        <f>Construction!BA14*BA28*(Construction!BA17+Inputs!$F$79)/100*Construction!BA11/360*1</f>
        <v/>
      </c>
      <c r="BB33" s="11">
        <f>Construction!BB14*BB28*(Construction!BB17+Inputs!$F$79)/100*Construction!BB11/360*1</f>
        <v/>
      </c>
      <c r="BC33" s="11">
        <f>Construction!BC14*BC28*(Construction!BC17+Inputs!$F$79)/100*Construction!BC11/360*1</f>
        <v/>
      </c>
      <c r="BD33" s="11">
        <f>Construction!BD14*BD28*(Construction!BD17+Inputs!$F$79)/100*Construction!BD11/360*1</f>
        <v/>
      </c>
      <c r="BE33" s="11">
        <f>Construction!BE14*BE28*(Construction!BE17+Inputs!$F$79)/100*Construction!BE11/360*1</f>
        <v/>
      </c>
      <c r="BF33" s="11">
        <f>Construction!BF14*BF28*(Construction!BF17+Inputs!$F$79)/100*Construction!BF11/360*1</f>
        <v/>
      </c>
      <c r="BG33" s="11">
        <f>Construction!BG14*BG28*(Construction!BG17+Inputs!$F$79)/100*Construction!BG11/360*1</f>
        <v/>
      </c>
      <c r="BH33" s="11">
        <f>Construction!BH14*BH28*(Construction!BH17+Inputs!$F$79)/100*Construction!BH11/360*1</f>
        <v/>
      </c>
      <c r="BI33" s="11">
        <f>Construction!BI14*BI28*(Construction!BI17+Inputs!$F$79)/100*Construction!BI11/360*1</f>
        <v/>
      </c>
      <c r="BJ33" s="11">
        <f>Construction!BJ14*BJ28*(Construction!BJ17+Inputs!$F$79)/100*Construction!BJ11/360*1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Construction!J14*J29*(Construction!J17+Inputs!$F$80)/100*Construction!J11/360*1</f>
        <v/>
      </c>
      <c r="K34" s="11">
        <f>Construction!K14*K29*(Construction!K17+Inputs!$F$80)/100*Construction!K11/360*1</f>
        <v/>
      </c>
      <c r="L34" s="11">
        <f>Construction!L14*L29*(Construction!L17+Inputs!$F$80)/100*Construction!L11/360*1</f>
        <v/>
      </c>
      <c r="M34" s="11">
        <f>Construction!M14*M29*(Construction!M17+Inputs!$F$80)/100*Construction!M11/360*1</f>
        <v/>
      </c>
      <c r="N34" s="11">
        <f>Construction!N14*N29*(Construction!N17+Inputs!$F$80)/100*Construction!N11/360*1</f>
        <v/>
      </c>
      <c r="O34" s="11">
        <f>Construction!O14*O29*(Construction!O17+Inputs!$F$80)/100*Construction!O11/360*1</f>
        <v/>
      </c>
      <c r="P34" s="11">
        <f>Construction!P14*P29*(Construction!P17+Inputs!$F$80)/100*Construction!P11/360*1</f>
        <v/>
      </c>
      <c r="Q34" s="11">
        <f>Construction!Q14*Q29*(Construction!Q17+Inputs!$F$80)/100*Construction!Q11/360*1</f>
        <v/>
      </c>
      <c r="R34" s="11">
        <f>Construction!R14*R29*(Construction!R17+Inputs!$F$80)/100*Construction!R11/360*1</f>
        <v/>
      </c>
      <c r="S34" s="11">
        <f>Construction!S14*S29*(Construction!S17+Inputs!$F$80)/100*Construction!S11/360*1</f>
        <v/>
      </c>
      <c r="T34" s="11">
        <f>Construction!T14*T29*(Construction!T17+Inputs!$F$80)/100*Construction!T11/360*1</f>
        <v/>
      </c>
      <c r="U34" s="11">
        <f>Construction!U14*U29*(Construction!U17+Inputs!$F$80)/100*Construction!U11/360*1</f>
        <v/>
      </c>
      <c r="V34" s="11">
        <f>Construction!V14*V29*(Construction!V17+Inputs!$F$80)/100*Construction!V11/360*1</f>
        <v/>
      </c>
      <c r="W34" s="11">
        <f>Construction!W14*W29*(Construction!W17+Inputs!$F$80)/100*Construction!W11/360*1</f>
        <v/>
      </c>
      <c r="X34" s="11">
        <f>Construction!X14*X29*(Construction!X17+Inputs!$F$80)/100*Construction!X11/360*1</f>
        <v/>
      </c>
      <c r="Y34" s="11">
        <f>Construction!Y14*Y29*(Construction!Y17+Inputs!$F$80)/100*Construction!Y11/360*1</f>
        <v/>
      </c>
      <c r="Z34" s="11">
        <f>Construction!Z14*Z29*(Construction!Z17+Inputs!$F$80)/100*Construction!Z11/360*1</f>
        <v/>
      </c>
      <c r="AA34" s="11">
        <f>Construction!AA14*AA29*(Construction!AA17+Inputs!$F$80)/100*Construction!AA11/360*1</f>
        <v/>
      </c>
      <c r="AB34" s="11">
        <f>Construction!AB14*AB29*(Construction!AB17+Inputs!$F$80)/100*Construction!AB11/360*1</f>
        <v/>
      </c>
      <c r="AC34" s="11">
        <f>Construction!AC14*AC29*(Construction!AC17+Inputs!$F$80)/100*Construction!AC11/360*1</f>
        <v/>
      </c>
      <c r="AD34" s="11">
        <f>Construction!AD14*AD29*(Construction!AD17+Inputs!$F$80)/100*Construction!AD11/360*1</f>
        <v/>
      </c>
      <c r="AE34" s="11">
        <f>Construction!AE14*AE29*(Construction!AE17+Inputs!$F$80)/100*Construction!AE11/360*1</f>
        <v/>
      </c>
      <c r="AF34" s="11">
        <f>Construction!AF14*AF29*(Construction!AF17+Inputs!$F$80)/100*Construction!AF11/360*1</f>
        <v/>
      </c>
      <c r="AG34" s="11">
        <f>Construction!AG14*AG29*(Construction!AG17+Inputs!$F$80)/100*Construction!AG11/360*1</f>
        <v/>
      </c>
      <c r="AH34" s="11">
        <f>Construction!AH14*AH29*(Construction!AH17+Inputs!$F$80)/100*Construction!AH11/360*1</f>
        <v/>
      </c>
      <c r="AI34" s="11">
        <f>Construction!AI14*AI29*(Construction!AI17+Inputs!$F$80)/100*Construction!AI11/360*1</f>
        <v/>
      </c>
      <c r="AJ34" s="11">
        <f>Construction!AJ14*AJ29*(Construction!AJ17+Inputs!$F$80)/100*Construction!AJ11/360*1</f>
        <v/>
      </c>
      <c r="AK34" s="11">
        <f>Construction!AK14*AK29*(Construction!AK17+Inputs!$F$80)/100*Construction!AK11/360*1</f>
        <v/>
      </c>
      <c r="AL34" s="11">
        <f>Construction!AL14*AL29*(Construction!AL17+Inputs!$F$80)/100*Construction!AL11/360*1</f>
        <v/>
      </c>
      <c r="AM34" s="11">
        <f>Construction!AM14*AM29*(Construction!AM17+Inputs!$F$80)/100*Construction!AM11/360*1</f>
        <v/>
      </c>
      <c r="AN34" s="11">
        <f>Construction!AN14*AN29*(Construction!AN17+Inputs!$F$80)/100*Construction!AN11/360*1</f>
        <v/>
      </c>
      <c r="AO34" s="11">
        <f>Construction!AO14*AO29*(Construction!AO17+Inputs!$F$80)/100*Construction!AO11/360*1</f>
        <v/>
      </c>
      <c r="AP34" s="11">
        <f>Construction!AP14*AP29*(Construction!AP17+Inputs!$F$80)/100*Construction!AP11/360*1</f>
        <v/>
      </c>
      <c r="AQ34" s="11">
        <f>Construction!AQ14*AQ29*(Construction!AQ17+Inputs!$F$80)/100*Construction!AQ11/360*1</f>
        <v/>
      </c>
      <c r="AR34" s="11">
        <f>Construction!AR14*AR29*(Construction!AR17+Inputs!$F$80)/100*Construction!AR11/360*1</f>
        <v/>
      </c>
      <c r="AS34" s="11">
        <f>Construction!AS14*AS29*(Construction!AS17+Inputs!$F$80)/100*Construction!AS11/360*1</f>
        <v/>
      </c>
      <c r="AT34" s="11">
        <f>Construction!AT14*AT29*(Construction!AT17+Inputs!$F$80)/100*Construction!AT11/360*1</f>
        <v/>
      </c>
      <c r="AU34" s="11">
        <f>Construction!AU14*AU29*(Construction!AU17+Inputs!$F$80)/100*Construction!AU11/360*1</f>
        <v/>
      </c>
      <c r="AV34" s="11">
        <f>Construction!AV14*AV29*(Construction!AV17+Inputs!$F$80)/100*Construction!AV11/360*1</f>
        <v/>
      </c>
      <c r="AW34" s="11">
        <f>Construction!AW14*AW29*(Construction!AW17+Inputs!$F$80)/100*Construction!AW11/360*1</f>
        <v/>
      </c>
      <c r="AX34" s="11">
        <f>Construction!AX14*AX29*(Construction!AX17+Inputs!$F$80)/100*Construction!AX11/360*1</f>
        <v/>
      </c>
      <c r="AY34" s="11">
        <f>Construction!AY14*AY29*(Construction!AY17+Inputs!$F$80)/100*Construction!AY11/360*1</f>
        <v/>
      </c>
      <c r="AZ34" s="11">
        <f>Construction!AZ14*AZ29*(Construction!AZ17+Inputs!$F$80)/100*Construction!AZ11/360*1</f>
        <v/>
      </c>
      <c r="BA34" s="11">
        <f>Construction!BA14*BA29*(Construction!BA17+Inputs!$F$80)/100*Construction!BA11/360*1</f>
        <v/>
      </c>
      <c r="BB34" s="11">
        <f>Construction!BB14*BB29*(Construction!BB17+Inputs!$F$80)/100*Construction!BB11/360*1</f>
        <v/>
      </c>
      <c r="BC34" s="11">
        <f>Construction!BC14*BC29*(Construction!BC17+Inputs!$F$80)/100*Construction!BC11/360*1</f>
        <v/>
      </c>
      <c r="BD34" s="11">
        <f>Construction!BD14*BD29*(Construction!BD17+Inputs!$F$80)/100*Construction!BD11/360*1</f>
        <v/>
      </c>
      <c r="BE34" s="11">
        <f>Construction!BE14*BE29*(Construction!BE17+Inputs!$F$80)/100*Construction!BE11/360*1</f>
        <v/>
      </c>
      <c r="BF34" s="11">
        <f>Construction!BF14*BF29*(Construction!BF17+Inputs!$F$80)/100*Construction!BF11/360*1</f>
        <v/>
      </c>
      <c r="BG34" s="11">
        <f>Construction!BG14*BG29*(Construction!BG17+Inputs!$F$80)/100*Construction!BG11/360*1</f>
        <v/>
      </c>
      <c r="BH34" s="11">
        <f>Construction!BH14*BH29*(Construction!BH17+Inputs!$F$80)/100*Construction!BH11/360*1</f>
        <v/>
      </c>
      <c r="BI34" s="11">
        <f>Construction!BI14*BI29*(Construction!BI17+Inputs!$F$80)/100*Construction!BI11/360*1</f>
        <v/>
      </c>
      <c r="BJ34" s="11">
        <f>Construction!BJ14*BJ29*(Construction!BJ17+Inputs!$F$80)/100*Construction!BJ11/360*1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Construction!J14*J30*(Construction!J17+Inputs!$F$81)/100*Construction!J11/360*1</f>
        <v/>
      </c>
      <c r="K35" s="11">
        <f>Construction!K14*K30*(Construction!K17+Inputs!$F$81)/100*Construction!K11/360*1</f>
        <v/>
      </c>
      <c r="L35" s="11">
        <f>Construction!L14*L30*(Construction!L17+Inputs!$F$81)/100*Construction!L11/360*1</f>
        <v/>
      </c>
      <c r="M35" s="11">
        <f>Construction!M14*M30*(Construction!M17+Inputs!$F$81)/100*Construction!M11/360*1</f>
        <v/>
      </c>
      <c r="N35" s="11">
        <f>Construction!N14*N30*(Construction!N17+Inputs!$F$81)/100*Construction!N11/360*1</f>
        <v/>
      </c>
      <c r="O35" s="11">
        <f>Construction!O14*O30*(Construction!O17+Inputs!$F$81)/100*Construction!O11/360*1</f>
        <v/>
      </c>
      <c r="P35" s="11">
        <f>Construction!P14*P30*(Construction!P17+Inputs!$F$81)/100*Construction!P11/360*1</f>
        <v/>
      </c>
      <c r="Q35" s="11">
        <f>Construction!Q14*Q30*(Construction!Q17+Inputs!$F$81)/100*Construction!Q11/360*1</f>
        <v/>
      </c>
      <c r="R35" s="11">
        <f>Construction!R14*R30*(Construction!R17+Inputs!$F$81)/100*Construction!R11/360*1</f>
        <v/>
      </c>
      <c r="S35" s="11">
        <f>Construction!S14*S30*(Construction!S17+Inputs!$F$81)/100*Construction!S11/360*1</f>
        <v/>
      </c>
      <c r="T35" s="11">
        <f>Construction!T14*T30*(Construction!T17+Inputs!$F$81)/100*Construction!T11/360*1</f>
        <v/>
      </c>
      <c r="U35" s="11">
        <f>Construction!U14*U30*(Construction!U17+Inputs!$F$81)/100*Construction!U11/360*1</f>
        <v/>
      </c>
      <c r="V35" s="11">
        <f>Construction!V14*V30*(Construction!V17+Inputs!$F$81)/100*Construction!V11/360*1</f>
        <v/>
      </c>
      <c r="W35" s="11">
        <f>Construction!W14*W30*(Construction!W17+Inputs!$F$81)/100*Construction!W11/360*1</f>
        <v/>
      </c>
      <c r="X35" s="11">
        <f>Construction!X14*X30*(Construction!X17+Inputs!$F$81)/100*Construction!X11/360*1</f>
        <v/>
      </c>
      <c r="Y35" s="11">
        <f>Construction!Y14*Y30*(Construction!Y17+Inputs!$F$81)/100*Construction!Y11/360*1</f>
        <v/>
      </c>
      <c r="Z35" s="11">
        <f>Construction!Z14*Z30*(Construction!Z17+Inputs!$F$81)/100*Construction!Z11/360*1</f>
        <v/>
      </c>
      <c r="AA35" s="11">
        <f>Construction!AA14*AA30*(Construction!AA17+Inputs!$F$81)/100*Construction!AA11/360*1</f>
        <v/>
      </c>
      <c r="AB35" s="11">
        <f>Construction!AB14*AB30*(Construction!AB17+Inputs!$F$81)/100*Construction!AB11/360*1</f>
        <v/>
      </c>
      <c r="AC35" s="11">
        <f>Construction!AC14*AC30*(Construction!AC17+Inputs!$F$81)/100*Construction!AC11/360*1</f>
        <v/>
      </c>
      <c r="AD35" s="11">
        <f>Construction!AD14*AD30*(Construction!AD17+Inputs!$F$81)/100*Construction!AD11/360*1</f>
        <v/>
      </c>
      <c r="AE35" s="11">
        <f>Construction!AE14*AE30*(Construction!AE17+Inputs!$F$81)/100*Construction!AE11/360*1</f>
        <v/>
      </c>
      <c r="AF35" s="11">
        <f>Construction!AF14*AF30*(Construction!AF17+Inputs!$F$81)/100*Construction!AF11/360*1</f>
        <v/>
      </c>
      <c r="AG35" s="11">
        <f>Construction!AG14*AG30*(Construction!AG17+Inputs!$F$81)/100*Construction!AG11/360*1</f>
        <v/>
      </c>
      <c r="AH35" s="11">
        <f>Construction!AH14*AH30*(Construction!AH17+Inputs!$F$81)/100*Construction!AH11/360*1</f>
        <v/>
      </c>
      <c r="AI35" s="11">
        <f>Construction!AI14*AI30*(Construction!AI17+Inputs!$F$81)/100*Construction!AI11/360*1</f>
        <v/>
      </c>
      <c r="AJ35" s="11">
        <f>Construction!AJ14*AJ30*(Construction!AJ17+Inputs!$F$81)/100*Construction!AJ11/360*1</f>
        <v/>
      </c>
      <c r="AK35" s="11">
        <f>Construction!AK14*AK30*(Construction!AK17+Inputs!$F$81)/100*Construction!AK11/360*1</f>
        <v/>
      </c>
      <c r="AL35" s="11">
        <f>Construction!AL14*AL30*(Construction!AL17+Inputs!$F$81)/100*Construction!AL11/360*1</f>
        <v/>
      </c>
      <c r="AM35" s="11">
        <f>Construction!AM14*AM30*(Construction!AM17+Inputs!$F$81)/100*Construction!AM11/360*1</f>
        <v/>
      </c>
      <c r="AN35" s="11">
        <f>Construction!AN14*AN30*(Construction!AN17+Inputs!$F$81)/100*Construction!AN11/360*1</f>
        <v/>
      </c>
      <c r="AO35" s="11">
        <f>Construction!AO14*AO30*(Construction!AO17+Inputs!$F$81)/100*Construction!AO11/360*1</f>
        <v/>
      </c>
      <c r="AP35" s="11">
        <f>Construction!AP14*AP30*(Construction!AP17+Inputs!$F$81)/100*Construction!AP11/360*1</f>
        <v/>
      </c>
      <c r="AQ35" s="11">
        <f>Construction!AQ14*AQ30*(Construction!AQ17+Inputs!$F$81)/100*Construction!AQ11/360*1</f>
        <v/>
      </c>
      <c r="AR35" s="11">
        <f>Construction!AR14*AR30*(Construction!AR17+Inputs!$F$81)/100*Construction!AR11/360*1</f>
        <v/>
      </c>
      <c r="AS35" s="11">
        <f>Construction!AS14*AS30*(Construction!AS17+Inputs!$F$81)/100*Construction!AS11/360*1</f>
        <v/>
      </c>
      <c r="AT35" s="11">
        <f>Construction!AT14*AT30*(Construction!AT17+Inputs!$F$81)/100*Construction!AT11/360*1</f>
        <v/>
      </c>
      <c r="AU35" s="11">
        <f>Construction!AU14*AU30*(Construction!AU17+Inputs!$F$81)/100*Construction!AU11/360*1</f>
        <v/>
      </c>
      <c r="AV35" s="11">
        <f>Construction!AV14*AV30*(Construction!AV17+Inputs!$F$81)/100*Construction!AV11/360*1</f>
        <v/>
      </c>
      <c r="AW35" s="11">
        <f>Construction!AW14*AW30*(Construction!AW17+Inputs!$F$81)/100*Construction!AW11/360*1</f>
        <v/>
      </c>
      <c r="AX35" s="11">
        <f>Construction!AX14*AX30*(Construction!AX17+Inputs!$F$81)/100*Construction!AX11/360*1</f>
        <v/>
      </c>
      <c r="AY35" s="11">
        <f>Construction!AY14*AY30*(Construction!AY17+Inputs!$F$81)/100*Construction!AY11/360*1</f>
        <v/>
      </c>
      <c r="AZ35" s="11">
        <f>Construction!AZ14*AZ30*(Construction!AZ17+Inputs!$F$81)/100*Construction!AZ11/360*1</f>
        <v/>
      </c>
      <c r="BA35" s="11">
        <f>Construction!BA14*BA30*(Construction!BA17+Inputs!$F$81)/100*Construction!BA11/360*1</f>
        <v/>
      </c>
      <c r="BB35" s="11">
        <f>Construction!BB14*BB30*(Construction!BB17+Inputs!$F$81)/100*Construction!BB11/360*1</f>
        <v/>
      </c>
      <c r="BC35" s="11">
        <f>Construction!BC14*BC30*(Construction!BC17+Inputs!$F$81)/100*Construction!BC11/360*1</f>
        <v/>
      </c>
      <c r="BD35" s="11">
        <f>Construction!BD14*BD30*(Construction!BD17+Inputs!$F$81)/100*Construction!BD11/360*1</f>
        <v/>
      </c>
      <c r="BE35" s="11">
        <f>Construction!BE14*BE30*(Construction!BE17+Inputs!$F$81)/100*Construction!BE11/360*1</f>
        <v/>
      </c>
      <c r="BF35" s="11">
        <f>Construction!BF14*BF30*(Construction!BF17+Inputs!$F$81)/100*Construction!BF11/360*1</f>
        <v/>
      </c>
      <c r="BG35" s="11">
        <f>Construction!BG14*BG30*(Construction!BG17+Inputs!$F$81)/100*Construction!BG11/360*1</f>
        <v/>
      </c>
      <c r="BH35" s="11">
        <f>Construction!BH14*BH30*(Construction!BH17+Inputs!$F$81)/100*Construction!BH11/360*1</f>
        <v/>
      </c>
      <c r="BI35" s="11">
        <f>Construction!BI14*BI30*(Construction!BI17+Inputs!$F$81)/100*Construction!BI11/360*1</f>
        <v/>
      </c>
      <c r="BJ35" s="11">
        <f>Construction!BJ14*BJ30*(Construction!BJ17+Inputs!$F$81)/100*Construction!BJ11/360*1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Construction!J14*J31*(Construction!J17+Inputs!$F$82)/100*Construction!J11/360*(1/(1-Inputs!$F$93/100))</f>
        <v/>
      </c>
      <c r="K36" s="11">
        <f>Construction!K14*K31*(Construction!K17+Inputs!$F$82)/100*Construction!K11/360*(1/(1-Inputs!$F$93/100))</f>
        <v/>
      </c>
      <c r="L36" s="11">
        <f>Construction!L14*L31*(Construction!L17+Inputs!$F$82)/100*Construction!L11/360*(1/(1-Inputs!$F$93/100))</f>
        <v/>
      </c>
      <c r="M36" s="11">
        <f>Construction!M14*M31*(Construction!M17+Inputs!$F$82)/100*Construction!M11/360*(1/(1-Inputs!$F$93/100))</f>
        <v/>
      </c>
      <c r="N36" s="11">
        <f>Construction!N14*N31*(Construction!N17+Inputs!$F$82)/100*Construction!N11/360*(1/(1-Inputs!$F$93/100))</f>
        <v/>
      </c>
      <c r="O36" s="11">
        <f>Construction!O14*O31*(Construction!O17+Inputs!$F$82)/100*Construction!O11/360*(1/(1-Inputs!$F$93/100))</f>
        <v/>
      </c>
      <c r="P36" s="11">
        <f>Construction!P14*P31*(Construction!P17+Inputs!$F$82)/100*Construction!P11/360*(1/(1-Inputs!$F$93/100))</f>
        <v/>
      </c>
      <c r="Q36" s="11">
        <f>Construction!Q14*Q31*(Construction!Q17+Inputs!$F$82)/100*Construction!Q11/360*(1/(1-Inputs!$F$93/100))</f>
        <v/>
      </c>
      <c r="R36" s="11">
        <f>Construction!R14*R31*(Construction!R17+Inputs!$F$82)/100*Construction!R11/360*(1/(1-Inputs!$F$93/100))</f>
        <v/>
      </c>
      <c r="S36" s="11">
        <f>Construction!S14*S31*(Construction!S17+Inputs!$F$82)/100*Construction!S11/360*(1/(1-Inputs!$F$93/100))</f>
        <v/>
      </c>
      <c r="T36" s="11">
        <f>Construction!T14*T31*(Construction!T17+Inputs!$F$82)/100*Construction!T11/360*(1/(1-Inputs!$F$93/100))</f>
        <v/>
      </c>
      <c r="U36" s="11">
        <f>Construction!U14*U31*(Construction!U17+Inputs!$F$82)/100*Construction!U11/360*(1/(1-Inputs!$F$93/100))</f>
        <v/>
      </c>
      <c r="V36" s="11">
        <f>Construction!V14*V31*(Construction!V17+Inputs!$F$82)/100*Construction!V11/360*(1/(1-Inputs!$F$93/100))</f>
        <v/>
      </c>
      <c r="W36" s="11">
        <f>Construction!W14*W31*(Construction!W17+Inputs!$F$82)/100*Construction!W11/360*(1/(1-Inputs!$F$93/100))</f>
        <v/>
      </c>
      <c r="X36" s="11">
        <f>Construction!X14*X31*(Construction!X17+Inputs!$F$82)/100*Construction!X11/360*(1/(1-Inputs!$F$93/100))</f>
        <v/>
      </c>
      <c r="Y36" s="11">
        <f>Construction!Y14*Y31*(Construction!Y17+Inputs!$F$82)/100*Construction!Y11/360*(1/(1-Inputs!$F$93/100))</f>
        <v/>
      </c>
      <c r="Z36" s="11">
        <f>Construction!Z14*Z31*(Construction!Z17+Inputs!$F$82)/100*Construction!Z11/360*(1/(1-Inputs!$F$93/100))</f>
        <v/>
      </c>
      <c r="AA36" s="11">
        <f>Construction!AA14*AA31*(Construction!AA17+Inputs!$F$82)/100*Construction!AA11/360*(1/(1-Inputs!$F$93/100))</f>
        <v/>
      </c>
      <c r="AB36" s="11">
        <f>Construction!AB14*AB31*(Construction!AB17+Inputs!$F$82)/100*Construction!AB11/360*(1/(1-Inputs!$F$93/100))</f>
        <v/>
      </c>
      <c r="AC36" s="11">
        <f>Construction!AC14*AC31*(Construction!AC17+Inputs!$F$82)/100*Construction!AC11/360*(1/(1-Inputs!$F$93/100))</f>
        <v/>
      </c>
      <c r="AD36" s="11">
        <f>Construction!AD14*AD31*(Construction!AD17+Inputs!$F$82)/100*Construction!AD11/360*(1/(1-Inputs!$F$93/100))</f>
        <v/>
      </c>
      <c r="AE36" s="11">
        <f>Construction!AE14*AE31*(Construction!AE17+Inputs!$F$82)/100*Construction!AE11/360*(1/(1-Inputs!$F$93/100))</f>
        <v/>
      </c>
      <c r="AF36" s="11">
        <f>Construction!AF14*AF31*(Construction!AF17+Inputs!$F$82)/100*Construction!AF11/360*(1/(1-Inputs!$F$93/100))</f>
        <v/>
      </c>
      <c r="AG36" s="11">
        <f>Construction!AG14*AG31*(Construction!AG17+Inputs!$F$82)/100*Construction!AG11/360*(1/(1-Inputs!$F$93/100))</f>
        <v/>
      </c>
      <c r="AH36" s="11">
        <f>Construction!AH14*AH31*(Construction!AH17+Inputs!$F$82)/100*Construction!AH11/360*(1/(1-Inputs!$F$93/100))</f>
        <v/>
      </c>
      <c r="AI36" s="11">
        <f>Construction!AI14*AI31*(Construction!AI17+Inputs!$F$82)/100*Construction!AI11/360*(1/(1-Inputs!$F$93/100))</f>
        <v/>
      </c>
      <c r="AJ36" s="11">
        <f>Construction!AJ14*AJ31*(Construction!AJ17+Inputs!$F$82)/100*Construction!AJ11/360*(1/(1-Inputs!$F$93/100))</f>
        <v/>
      </c>
      <c r="AK36" s="11">
        <f>Construction!AK14*AK31*(Construction!AK17+Inputs!$F$82)/100*Construction!AK11/360*(1/(1-Inputs!$F$93/100))</f>
        <v/>
      </c>
      <c r="AL36" s="11">
        <f>Construction!AL14*AL31*(Construction!AL17+Inputs!$F$82)/100*Construction!AL11/360*(1/(1-Inputs!$F$93/100))</f>
        <v/>
      </c>
      <c r="AM36" s="11">
        <f>Construction!AM14*AM31*(Construction!AM17+Inputs!$F$82)/100*Construction!AM11/360*(1/(1-Inputs!$F$93/100))</f>
        <v/>
      </c>
      <c r="AN36" s="11">
        <f>Construction!AN14*AN31*(Construction!AN17+Inputs!$F$82)/100*Construction!AN11/360*(1/(1-Inputs!$F$93/100))</f>
        <v/>
      </c>
      <c r="AO36" s="11">
        <f>Construction!AO14*AO31*(Construction!AO17+Inputs!$F$82)/100*Construction!AO11/360*(1/(1-Inputs!$F$93/100))</f>
        <v/>
      </c>
      <c r="AP36" s="11">
        <f>Construction!AP14*AP31*(Construction!AP17+Inputs!$F$82)/100*Construction!AP11/360*(1/(1-Inputs!$F$93/100))</f>
        <v/>
      </c>
      <c r="AQ36" s="11">
        <f>Construction!AQ14*AQ31*(Construction!AQ17+Inputs!$F$82)/100*Construction!AQ11/360*(1/(1-Inputs!$F$93/100))</f>
        <v/>
      </c>
      <c r="AR36" s="11">
        <f>Construction!AR14*AR31*(Construction!AR17+Inputs!$F$82)/100*Construction!AR11/360*(1/(1-Inputs!$F$93/100))</f>
        <v/>
      </c>
      <c r="AS36" s="11">
        <f>Construction!AS14*AS31*(Construction!AS17+Inputs!$F$82)/100*Construction!AS11/360*(1/(1-Inputs!$F$93/100))</f>
        <v/>
      </c>
      <c r="AT36" s="11">
        <f>Construction!AT14*AT31*(Construction!AT17+Inputs!$F$82)/100*Construction!AT11/360*(1/(1-Inputs!$F$93/100))</f>
        <v/>
      </c>
      <c r="AU36" s="11">
        <f>Construction!AU14*AU31*(Construction!AU17+Inputs!$F$82)/100*Construction!AU11/360*(1/(1-Inputs!$F$93/100))</f>
        <v/>
      </c>
      <c r="AV36" s="11">
        <f>Construction!AV14*AV31*(Construction!AV17+Inputs!$F$82)/100*Construction!AV11/360*(1/(1-Inputs!$F$93/100))</f>
        <v/>
      </c>
      <c r="AW36" s="11">
        <f>Construction!AW14*AW31*(Construction!AW17+Inputs!$F$82)/100*Construction!AW11/360*(1/(1-Inputs!$F$93/100))</f>
        <v/>
      </c>
      <c r="AX36" s="11">
        <f>Construction!AX14*AX31*(Construction!AX17+Inputs!$F$82)/100*Construction!AX11/360*(1/(1-Inputs!$F$93/100))</f>
        <v/>
      </c>
      <c r="AY36" s="11">
        <f>Construction!AY14*AY31*(Construction!AY17+Inputs!$F$82)/100*Construction!AY11/360*(1/(1-Inputs!$F$93/100))</f>
        <v/>
      </c>
      <c r="AZ36" s="11">
        <f>Construction!AZ14*AZ31*(Construction!AZ17+Inputs!$F$82)/100*Construction!AZ11/360*(1/(1-Inputs!$F$93/100))</f>
        <v/>
      </c>
      <c r="BA36" s="11">
        <f>Construction!BA14*BA31*(Construction!BA17+Inputs!$F$82)/100*Construction!BA11/360*(1/(1-Inputs!$F$93/100))</f>
        <v/>
      </c>
      <c r="BB36" s="11">
        <f>Construction!BB14*BB31*(Construction!BB17+Inputs!$F$82)/100*Construction!BB11/360*(1/(1-Inputs!$F$93/100))</f>
        <v/>
      </c>
      <c r="BC36" s="11">
        <f>Construction!BC14*BC31*(Construction!BC17+Inputs!$F$82)/100*Construction!BC11/360*(1/(1-Inputs!$F$93/100))</f>
        <v/>
      </c>
      <c r="BD36" s="11">
        <f>Construction!BD14*BD31*(Construction!BD17+Inputs!$F$82)/100*Construction!BD11/360*(1/(1-Inputs!$F$93/100))</f>
        <v/>
      </c>
      <c r="BE36" s="11">
        <f>Construction!BE14*BE31*(Construction!BE17+Inputs!$F$82)/100*Construction!BE11/360*(1/(1-Inputs!$F$93/100))</f>
        <v/>
      </c>
      <c r="BF36" s="11">
        <f>Construction!BF14*BF31*(Construction!BF17+Inputs!$F$82)/100*Construction!BF11/360*(1/(1-Inputs!$F$93/100))</f>
        <v/>
      </c>
      <c r="BG36" s="11">
        <f>Construction!BG14*BG31*(Construction!BG17+Inputs!$F$82)/100*Construction!BG11/360*(1/(1-Inputs!$F$93/100))</f>
        <v/>
      </c>
      <c r="BH36" s="11">
        <f>Construction!BH14*BH31*(Construction!BH17+Inputs!$F$82)/100*Construction!BH11/360*(1/(1-Inputs!$F$93/100))</f>
        <v/>
      </c>
      <c r="BI36" s="11">
        <f>Construction!BI14*BI31*(Construction!BI17+Inputs!$F$82)/100*Construction!BI11/360*(1/(1-Inputs!$F$93/100))</f>
        <v/>
      </c>
      <c r="BJ36" s="11">
        <f>Construction!BJ14*BJ31*(Construction!BJ17+Inputs!$F$82)/100*Construction!BJ11/360*(1/(1-Inputs!$F$93/100))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Construction!J14*J32*(Inputs!$F$102*(Construction!J17+Inputs!$F$82+Inputs!$F$101)/(1-Inputs!$F$93/100)+(1-Inputs!$F$102)*(Construction!J17+Inputs!$F$80+Inputs!$F$101))/100*Construction!J11/360</f>
        <v/>
      </c>
      <c r="K37" s="11">
        <f>Construction!K14*K32*(Inputs!$F$102*(Construction!K17+Inputs!$F$82+Inputs!$F$101)/(1-Inputs!$F$93/100)+(1-Inputs!$F$102)*(Construction!K17+Inputs!$F$80+Inputs!$F$101))/100*Construction!K11/360</f>
        <v/>
      </c>
      <c r="L37" s="11">
        <f>Construction!L14*L32*(Inputs!$F$102*(Construction!L17+Inputs!$F$82+Inputs!$F$101)/(1-Inputs!$F$93/100)+(1-Inputs!$F$102)*(Construction!L17+Inputs!$F$80+Inputs!$F$101))/100*Construction!L11/360</f>
        <v/>
      </c>
      <c r="M37" s="11">
        <f>Construction!M14*M32*(Inputs!$F$102*(Construction!M17+Inputs!$F$82+Inputs!$F$101)/(1-Inputs!$F$93/100)+(1-Inputs!$F$102)*(Construction!M17+Inputs!$F$80+Inputs!$F$101))/100*Construction!M11/360</f>
        <v/>
      </c>
      <c r="N37" s="11">
        <f>Construction!N14*N32*(Inputs!$F$102*(Construction!N17+Inputs!$F$82+Inputs!$F$101)/(1-Inputs!$F$93/100)+(1-Inputs!$F$102)*(Construction!N17+Inputs!$F$80+Inputs!$F$101))/100*Construction!N11/360</f>
        <v/>
      </c>
      <c r="O37" s="11">
        <f>Construction!O14*O32*(Inputs!$F$102*(Construction!O17+Inputs!$F$82+Inputs!$F$101)/(1-Inputs!$F$93/100)+(1-Inputs!$F$102)*(Construction!O17+Inputs!$F$80+Inputs!$F$101))/100*Construction!O11/360</f>
        <v/>
      </c>
      <c r="P37" s="11">
        <f>Construction!P14*P32*(Inputs!$F$102*(Construction!P17+Inputs!$F$82+Inputs!$F$101)/(1-Inputs!$F$93/100)+(1-Inputs!$F$102)*(Construction!P17+Inputs!$F$80+Inputs!$F$101))/100*Construction!P11/360</f>
        <v/>
      </c>
      <c r="Q37" s="11">
        <f>Construction!Q14*Q32*(Inputs!$F$102*(Construction!Q17+Inputs!$F$82+Inputs!$F$101)/(1-Inputs!$F$93/100)+(1-Inputs!$F$102)*(Construction!Q17+Inputs!$F$80+Inputs!$F$101))/100*Construction!Q11/360</f>
        <v/>
      </c>
      <c r="R37" s="11">
        <f>Construction!R14*R32*(Inputs!$F$102*(Construction!R17+Inputs!$F$82+Inputs!$F$101)/(1-Inputs!$F$93/100)+(1-Inputs!$F$102)*(Construction!R17+Inputs!$F$80+Inputs!$F$101))/100*Construction!R11/360</f>
        <v/>
      </c>
      <c r="S37" s="11">
        <f>Construction!S14*S32*(Inputs!$F$102*(Construction!S17+Inputs!$F$82+Inputs!$F$101)/(1-Inputs!$F$93/100)+(1-Inputs!$F$102)*(Construction!S17+Inputs!$F$80+Inputs!$F$101))/100*Construction!S11/360</f>
        <v/>
      </c>
      <c r="T37" s="11">
        <f>Construction!T14*T32*(Inputs!$F$102*(Construction!T17+Inputs!$F$82+Inputs!$F$101)/(1-Inputs!$F$93/100)+(1-Inputs!$F$102)*(Construction!T17+Inputs!$F$80+Inputs!$F$101))/100*Construction!T11/360</f>
        <v/>
      </c>
      <c r="U37" s="11">
        <f>Construction!U14*U32*(Inputs!$F$102*(Construction!U17+Inputs!$F$82+Inputs!$F$101)/(1-Inputs!$F$93/100)+(1-Inputs!$F$102)*(Construction!U17+Inputs!$F$80+Inputs!$F$101))/100*Construction!U11/360</f>
        <v/>
      </c>
      <c r="V37" s="11">
        <f>Construction!V14*V32*(Inputs!$F$102*(Construction!V17+Inputs!$F$82+Inputs!$F$101)/(1-Inputs!$F$93/100)+(1-Inputs!$F$102)*(Construction!V17+Inputs!$F$80+Inputs!$F$101))/100*Construction!V11/360</f>
        <v/>
      </c>
      <c r="W37" s="11">
        <f>Construction!W14*W32*(Inputs!$F$102*(Construction!W17+Inputs!$F$82+Inputs!$F$101)/(1-Inputs!$F$93/100)+(1-Inputs!$F$102)*(Construction!W17+Inputs!$F$80+Inputs!$F$101))/100*Construction!W11/360</f>
        <v/>
      </c>
      <c r="X37" s="11">
        <f>Construction!X14*X32*(Inputs!$F$102*(Construction!X17+Inputs!$F$82+Inputs!$F$101)/(1-Inputs!$F$93/100)+(1-Inputs!$F$102)*(Construction!X17+Inputs!$F$80+Inputs!$F$101))/100*Construction!X11/360</f>
        <v/>
      </c>
      <c r="Y37" s="11">
        <f>Construction!Y14*Y32*(Inputs!$F$102*(Construction!Y17+Inputs!$F$82+Inputs!$F$101)/(1-Inputs!$F$93/100)+(1-Inputs!$F$102)*(Construction!Y17+Inputs!$F$80+Inputs!$F$101))/100*Construction!Y11/360</f>
        <v/>
      </c>
      <c r="Z37" s="11">
        <f>Construction!Z14*Z32*(Inputs!$F$102*(Construction!Z17+Inputs!$F$82+Inputs!$F$101)/(1-Inputs!$F$93/100)+(1-Inputs!$F$102)*(Construction!Z17+Inputs!$F$80+Inputs!$F$101))/100*Construction!Z11/360</f>
        <v/>
      </c>
      <c r="AA37" s="11">
        <f>Construction!AA14*AA32*(Inputs!$F$102*(Construction!AA17+Inputs!$F$82+Inputs!$F$101)/(1-Inputs!$F$93/100)+(1-Inputs!$F$102)*(Construction!AA17+Inputs!$F$80+Inputs!$F$101))/100*Construction!AA11/360</f>
        <v/>
      </c>
      <c r="AB37" s="11">
        <f>Construction!AB14*AB32*(Inputs!$F$102*(Construction!AB17+Inputs!$F$82+Inputs!$F$101)/(1-Inputs!$F$93/100)+(1-Inputs!$F$102)*(Construction!AB17+Inputs!$F$80+Inputs!$F$101))/100*Construction!AB11/360</f>
        <v/>
      </c>
      <c r="AC37" s="11">
        <f>Construction!AC14*AC32*(Inputs!$F$102*(Construction!AC17+Inputs!$F$82+Inputs!$F$101)/(1-Inputs!$F$93/100)+(1-Inputs!$F$102)*(Construction!AC17+Inputs!$F$80+Inputs!$F$101))/100*Construction!AC11/360</f>
        <v/>
      </c>
      <c r="AD37" s="11">
        <f>Construction!AD14*AD32*(Inputs!$F$102*(Construction!AD17+Inputs!$F$82+Inputs!$F$101)/(1-Inputs!$F$93/100)+(1-Inputs!$F$102)*(Construction!AD17+Inputs!$F$80+Inputs!$F$101))/100*Construction!AD11/360</f>
        <v/>
      </c>
      <c r="AE37" s="11">
        <f>Construction!AE14*AE32*(Inputs!$F$102*(Construction!AE17+Inputs!$F$82+Inputs!$F$101)/(1-Inputs!$F$93/100)+(1-Inputs!$F$102)*(Construction!AE17+Inputs!$F$80+Inputs!$F$101))/100*Construction!AE11/360</f>
        <v/>
      </c>
      <c r="AF37" s="11">
        <f>Construction!AF14*AF32*(Inputs!$F$102*(Construction!AF17+Inputs!$F$82+Inputs!$F$101)/(1-Inputs!$F$93/100)+(1-Inputs!$F$102)*(Construction!AF17+Inputs!$F$80+Inputs!$F$101))/100*Construction!AF11/360</f>
        <v/>
      </c>
      <c r="AG37" s="11">
        <f>Construction!AG14*AG32*(Inputs!$F$102*(Construction!AG17+Inputs!$F$82+Inputs!$F$101)/(1-Inputs!$F$93/100)+(1-Inputs!$F$102)*(Construction!AG17+Inputs!$F$80+Inputs!$F$101))/100*Construction!AG11/360</f>
        <v/>
      </c>
      <c r="AH37" s="11">
        <f>Construction!AH14*AH32*(Inputs!$F$102*(Construction!AH17+Inputs!$F$82+Inputs!$F$101)/(1-Inputs!$F$93/100)+(1-Inputs!$F$102)*(Construction!AH17+Inputs!$F$80+Inputs!$F$101))/100*Construction!AH11/360</f>
        <v/>
      </c>
      <c r="AI37" s="11">
        <f>Construction!AI14*AI32*(Inputs!$F$102*(Construction!AI17+Inputs!$F$82+Inputs!$F$101)/(1-Inputs!$F$93/100)+(1-Inputs!$F$102)*(Construction!AI17+Inputs!$F$80+Inputs!$F$101))/100*Construction!AI11/360</f>
        <v/>
      </c>
      <c r="AJ37" s="11">
        <f>Construction!AJ14*AJ32*(Inputs!$F$102*(Construction!AJ17+Inputs!$F$82+Inputs!$F$101)/(1-Inputs!$F$93/100)+(1-Inputs!$F$102)*(Construction!AJ17+Inputs!$F$80+Inputs!$F$101))/100*Construction!AJ11/360</f>
        <v/>
      </c>
      <c r="AK37" s="11">
        <f>Construction!AK14*AK32*(Inputs!$F$102*(Construction!AK17+Inputs!$F$82+Inputs!$F$101)/(1-Inputs!$F$93/100)+(1-Inputs!$F$102)*(Construction!AK17+Inputs!$F$80+Inputs!$F$101))/100*Construction!AK11/360</f>
        <v/>
      </c>
      <c r="AL37" s="11">
        <f>Construction!AL14*AL32*(Inputs!$F$102*(Construction!AL17+Inputs!$F$82+Inputs!$F$101)/(1-Inputs!$F$93/100)+(1-Inputs!$F$102)*(Construction!AL17+Inputs!$F$80+Inputs!$F$101))/100*Construction!AL11/360</f>
        <v/>
      </c>
      <c r="AM37" s="11">
        <f>Construction!AM14*AM32*(Inputs!$F$102*(Construction!AM17+Inputs!$F$82+Inputs!$F$101)/(1-Inputs!$F$93/100)+(1-Inputs!$F$102)*(Construction!AM17+Inputs!$F$80+Inputs!$F$101))/100*Construction!AM11/360</f>
        <v/>
      </c>
      <c r="AN37" s="11">
        <f>Construction!AN14*AN32*(Inputs!$F$102*(Construction!AN17+Inputs!$F$82+Inputs!$F$101)/(1-Inputs!$F$93/100)+(1-Inputs!$F$102)*(Construction!AN17+Inputs!$F$80+Inputs!$F$101))/100*Construction!AN11/360</f>
        <v/>
      </c>
      <c r="AO37" s="11">
        <f>Construction!AO14*AO32*(Inputs!$F$102*(Construction!AO17+Inputs!$F$82+Inputs!$F$101)/(1-Inputs!$F$93/100)+(1-Inputs!$F$102)*(Construction!AO17+Inputs!$F$80+Inputs!$F$101))/100*Construction!AO11/360</f>
        <v/>
      </c>
      <c r="AP37" s="11">
        <f>Construction!AP14*AP32*(Inputs!$F$102*(Construction!AP17+Inputs!$F$82+Inputs!$F$101)/(1-Inputs!$F$93/100)+(1-Inputs!$F$102)*(Construction!AP17+Inputs!$F$80+Inputs!$F$101))/100*Construction!AP11/360</f>
        <v/>
      </c>
      <c r="AQ37" s="11">
        <f>Construction!AQ14*AQ32*(Inputs!$F$102*(Construction!AQ17+Inputs!$F$82+Inputs!$F$101)/(1-Inputs!$F$93/100)+(1-Inputs!$F$102)*(Construction!AQ17+Inputs!$F$80+Inputs!$F$101))/100*Construction!AQ11/360</f>
        <v/>
      </c>
      <c r="AR37" s="11">
        <f>Construction!AR14*AR32*(Inputs!$F$102*(Construction!AR17+Inputs!$F$82+Inputs!$F$101)/(1-Inputs!$F$93/100)+(1-Inputs!$F$102)*(Construction!AR17+Inputs!$F$80+Inputs!$F$101))/100*Construction!AR11/360</f>
        <v/>
      </c>
      <c r="AS37" s="11">
        <f>Construction!AS14*AS32*(Inputs!$F$102*(Construction!AS17+Inputs!$F$82+Inputs!$F$101)/(1-Inputs!$F$93/100)+(1-Inputs!$F$102)*(Construction!AS17+Inputs!$F$80+Inputs!$F$101))/100*Construction!AS11/360</f>
        <v/>
      </c>
      <c r="AT37" s="11">
        <f>Construction!AT14*AT32*(Inputs!$F$102*(Construction!AT17+Inputs!$F$82+Inputs!$F$101)/(1-Inputs!$F$93/100)+(1-Inputs!$F$102)*(Construction!AT17+Inputs!$F$80+Inputs!$F$101))/100*Construction!AT11/360</f>
        <v/>
      </c>
      <c r="AU37" s="11">
        <f>Construction!AU14*AU32*(Inputs!$F$102*(Construction!AU17+Inputs!$F$82+Inputs!$F$101)/(1-Inputs!$F$93/100)+(1-Inputs!$F$102)*(Construction!AU17+Inputs!$F$80+Inputs!$F$101))/100*Construction!AU11/360</f>
        <v/>
      </c>
      <c r="AV37" s="11">
        <f>Construction!AV14*AV32*(Inputs!$F$102*(Construction!AV17+Inputs!$F$82+Inputs!$F$101)/(1-Inputs!$F$93/100)+(1-Inputs!$F$102)*(Construction!AV17+Inputs!$F$80+Inputs!$F$101))/100*Construction!AV11/360</f>
        <v/>
      </c>
      <c r="AW37" s="11">
        <f>Construction!AW14*AW32*(Inputs!$F$102*(Construction!AW17+Inputs!$F$82+Inputs!$F$101)/(1-Inputs!$F$93/100)+(1-Inputs!$F$102)*(Construction!AW17+Inputs!$F$80+Inputs!$F$101))/100*Construction!AW11/360</f>
        <v/>
      </c>
      <c r="AX37" s="11">
        <f>Construction!AX14*AX32*(Inputs!$F$102*(Construction!AX17+Inputs!$F$82+Inputs!$F$101)/(1-Inputs!$F$93/100)+(1-Inputs!$F$102)*(Construction!AX17+Inputs!$F$80+Inputs!$F$101))/100*Construction!AX11/360</f>
        <v/>
      </c>
      <c r="AY37" s="11">
        <f>Construction!AY14*AY32*(Inputs!$F$102*(Construction!AY17+Inputs!$F$82+Inputs!$F$101)/(1-Inputs!$F$93/100)+(1-Inputs!$F$102)*(Construction!AY17+Inputs!$F$80+Inputs!$F$101))/100*Construction!AY11/360</f>
        <v/>
      </c>
      <c r="AZ37" s="11">
        <f>Construction!AZ14*AZ32*(Inputs!$F$102*(Construction!AZ17+Inputs!$F$82+Inputs!$F$101)/(1-Inputs!$F$93/100)+(1-Inputs!$F$102)*(Construction!AZ17+Inputs!$F$80+Inputs!$F$101))/100*Construction!AZ11/360</f>
        <v/>
      </c>
      <c r="BA37" s="11">
        <f>Construction!BA14*BA32*(Inputs!$F$102*(Construction!BA17+Inputs!$F$82+Inputs!$F$101)/(1-Inputs!$F$93/100)+(1-Inputs!$F$102)*(Construction!BA17+Inputs!$F$80+Inputs!$F$101))/100*Construction!BA11/360</f>
        <v/>
      </c>
      <c r="BB37" s="11">
        <f>Construction!BB14*BB32*(Inputs!$F$102*(Construction!BB17+Inputs!$F$82+Inputs!$F$101)/(1-Inputs!$F$93/100)+(1-Inputs!$F$102)*(Construction!BB17+Inputs!$F$80+Inputs!$F$101))/100*Construction!BB11/360</f>
        <v/>
      </c>
      <c r="BC37" s="11">
        <f>Construction!BC14*BC32*(Inputs!$F$102*(Construction!BC17+Inputs!$F$82+Inputs!$F$101)/(1-Inputs!$F$93/100)+(1-Inputs!$F$102)*(Construction!BC17+Inputs!$F$80+Inputs!$F$101))/100*Construction!BC11/360</f>
        <v/>
      </c>
      <c r="BD37" s="11">
        <f>Construction!BD14*BD32*(Inputs!$F$102*(Construction!BD17+Inputs!$F$82+Inputs!$F$101)/(1-Inputs!$F$93/100)+(1-Inputs!$F$102)*(Construction!BD17+Inputs!$F$80+Inputs!$F$101))/100*Construction!BD11/360</f>
        <v/>
      </c>
      <c r="BE37" s="11">
        <f>Construction!BE14*BE32*(Inputs!$F$102*(Construction!BE17+Inputs!$F$82+Inputs!$F$101)/(1-Inputs!$F$93/100)+(1-Inputs!$F$102)*(Construction!BE17+Inputs!$F$80+Inputs!$F$101))/100*Construction!BE11/360</f>
        <v/>
      </c>
      <c r="BF37" s="11">
        <f>Construction!BF14*BF32*(Inputs!$F$102*(Construction!BF17+Inputs!$F$82+Inputs!$F$101)/(1-Inputs!$F$93/100)+(1-Inputs!$F$102)*(Construction!BF17+Inputs!$F$80+Inputs!$F$101))/100*Construction!BF11/360</f>
        <v/>
      </c>
      <c r="BG37" s="11">
        <f>Construction!BG14*BG32*(Inputs!$F$102*(Construction!BG17+Inputs!$F$82+Inputs!$F$101)/(1-Inputs!$F$93/100)+(1-Inputs!$F$102)*(Construction!BG17+Inputs!$F$80+Inputs!$F$101))/100*Construction!BG11/360</f>
        <v/>
      </c>
      <c r="BH37" s="11">
        <f>Construction!BH14*BH32*(Inputs!$F$102*(Construction!BH17+Inputs!$F$82+Inputs!$F$101)/(1-Inputs!$F$93/100)+(1-Inputs!$F$102)*(Construction!BH17+Inputs!$F$80+Inputs!$F$101))/100*Construction!BH11/360</f>
        <v/>
      </c>
      <c r="BI37" s="11">
        <f>Construction!BI14*BI32*(Inputs!$F$102*(Construction!BI17+Inputs!$F$82+Inputs!$F$101)/(1-Inputs!$F$93/100)+(1-Inputs!$F$102)*(Construction!BI17+Inputs!$F$80+Inputs!$F$101))/100*Construction!BI11/360</f>
        <v/>
      </c>
      <c r="BJ37" s="11">
        <f>Construction!BJ14*BJ32*(Inputs!$F$102*(Construction!BJ17+Inputs!$F$82+Inputs!$F$101)/(1-Inputs!$F$93/100)+(1-Inputs!$F$102)*(Construction!BJ17+Inputs!$F$80+Inputs!$F$101))/100*Construction!BJ11/360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Construction!J14*(Inputs!$F$95/100*Inputs!$F$96/100)*J31*Construction!J11/365</f>
        <v/>
      </c>
      <c r="K38" s="11">
        <f>Construction!K14*(Inputs!$F$95/100*Inputs!$F$96/100)*K31*Construction!K11/365</f>
        <v/>
      </c>
      <c r="L38" s="11">
        <f>Construction!L14*(Inputs!$F$95/100*Inputs!$F$96/100)*L31*Construction!L11/365</f>
        <v/>
      </c>
      <c r="M38" s="11">
        <f>Construction!M14*(Inputs!$F$95/100*Inputs!$F$96/100)*M31*Construction!M11/365</f>
        <v/>
      </c>
      <c r="N38" s="11">
        <f>Construction!N14*(Inputs!$F$95/100*Inputs!$F$96/100)*N31*Construction!N11/365</f>
        <v/>
      </c>
      <c r="O38" s="11">
        <f>Construction!O14*(Inputs!$F$95/100*Inputs!$F$96/100)*O31*Construction!O11/365</f>
        <v/>
      </c>
      <c r="P38" s="11">
        <f>Construction!P14*(Inputs!$F$95/100*Inputs!$F$96/100)*P31*Construction!P11/365</f>
        <v/>
      </c>
      <c r="Q38" s="11">
        <f>Construction!Q14*(Inputs!$F$95/100*Inputs!$F$96/100)*Q31*Construction!Q11/365</f>
        <v/>
      </c>
      <c r="R38" s="11">
        <f>Construction!R14*(Inputs!$F$95/100*Inputs!$F$96/100)*R31*Construction!R11/365</f>
        <v/>
      </c>
      <c r="S38" s="11">
        <f>Construction!S14*(Inputs!$F$95/100*Inputs!$F$96/100)*S31*Construction!S11/365</f>
        <v/>
      </c>
      <c r="T38" s="11">
        <f>Construction!T14*(Inputs!$F$95/100*Inputs!$F$96/100)*T31*Construction!T11/365</f>
        <v/>
      </c>
      <c r="U38" s="11">
        <f>Construction!U14*(Inputs!$F$95/100*Inputs!$F$96/100)*U31*Construction!U11/365</f>
        <v/>
      </c>
      <c r="V38" s="11">
        <f>Construction!V14*(Inputs!$F$95/100*Inputs!$F$96/100)*V31*Construction!V11/365</f>
        <v/>
      </c>
      <c r="W38" s="11">
        <f>Construction!W14*(Inputs!$F$95/100*Inputs!$F$96/100)*W31*Construction!W11/365</f>
        <v/>
      </c>
      <c r="X38" s="11">
        <f>Construction!X14*(Inputs!$F$95/100*Inputs!$F$96/100)*X31*Construction!X11/365</f>
        <v/>
      </c>
      <c r="Y38" s="11">
        <f>Construction!Y14*(Inputs!$F$95/100*Inputs!$F$96/100)*Y31*Construction!Y11/365</f>
        <v/>
      </c>
      <c r="Z38" s="11">
        <f>Construction!Z14*(Inputs!$F$95/100*Inputs!$F$96/100)*Z31*Construction!Z11/365</f>
        <v/>
      </c>
      <c r="AA38" s="11">
        <f>Construction!AA14*(Inputs!$F$95/100*Inputs!$F$96/100)*AA31*Construction!AA11/365</f>
        <v/>
      </c>
      <c r="AB38" s="11">
        <f>Construction!AB14*(Inputs!$F$95/100*Inputs!$F$96/100)*AB31*Construction!AB11/365</f>
        <v/>
      </c>
      <c r="AC38" s="11">
        <f>Construction!AC14*(Inputs!$F$95/100*Inputs!$F$96/100)*AC31*Construction!AC11/365</f>
        <v/>
      </c>
      <c r="AD38" s="11">
        <f>Construction!AD14*(Inputs!$F$95/100*Inputs!$F$96/100)*AD31*Construction!AD11/365</f>
        <v/>
      </c>
      <c r="AE38" s="11">
        <f>Construction!AE14*(Inputs!$F$95/100*Inputs!$F$96/100)*AE31*Construction!AE11/365</f>
        <v/>
      </c>
      <c r="AF38" s="11">
        <f>Construction!AF14*(Inputs!$F$95/100*Inputs!$F$96/100)*AF31*Construction!AF11/365</f>
        <v/>
      </c>
      <c r="AG38" s="11">
        <f>Construction!AG14*(Inputs!$F$95/100*Inputs!$F$96/100)*AG31*Construction!AG11/365</f>
        <v/>
      </c>
      <c r="AH38" s="11">
        <f>Construction!AH14*(Inputs!$F$95/100*Inputs!$F$96/100)*AH31*Construction!AH11/365</f>
        <v/>
      </c>
      <c r="AI38" s="11">
        <f>Construction!AI14*(Inputs!$F$95/100*Inputs!$F$96/100)*AI31*Construction!AI11/365</f>
        <v/>
      </c>
      <c r="AJ38" s="11">
        <f>Construction!AJ14*(Inputs!$F$95/100*Inputs!$F$96/100)*AJ31*Construction!AJ11/365</f>
        <v/>
      </c>
      <c r="AK38" s="11">
        <f>Construction!AK14*(Inputs!$F$95/100*Inputs!$F$96/100)*AK31*Construction!AK11/365</f>
        <v/>
      </c>
      <c r="AL38" s="11">
        <f>Construction!AL14*(Inputs!$F$95/100*Inputs!$F$96/100)*AL31*Construction!AL11/365</f>
        <v/>
      </c>
      <c r="AM38" s="11">
        <f>Construction!AM14*(Inputs!$F$95/100*Inputs!$F$96/100)*AM31*Construction!AM11/365</f>
        <v/>
      </c>
      <c r="AN38" s="11">
        <f>Construction!AN14*(Inputs!$F$95/100*Inputs!$F$96/100)*AN31*Construction!AN11/365</f>
        <v/>
      </c>
      <c r="AO38" s="11">
        <f>Construction!AO14*(Inputs!$F$95/100*Inputs!$F$96/100)*AO31*Construction!AO11/365</f>
        <v/>
      </c>
      <c r="AP38" s="11">
        <f>Construction!AP14*(Inputs!$F$95/100*Inputs!$F$96/100)*AP31*Construction!AP11/365</f>
        <v/>
      </c>
      <c r="AQ38" s="11">
        <f>Construction!AQ14*(Inputs!$F$95/100*Inputs!$F$96/100)*AQ31*Construction!AQ11/365</f>
        <v/>
      </c>
      <c r="AR38" s="11">
        <f>Construction!AR14*(Inputs!$F$95/100*Inputs!$F$96/100)*AR31*Construction!AR11/365</f>
        <v/>
      </c>
      <c r="AS38" s="11">
        <f>Construction!AS14*(Inputs!$F$95/100*Inputs!$F$96/100)*AS31*Construction!AS11/365</f>
        <v/>
      </c>
      <c r="AT38" s="11">
        <f>Construction!AT14*(Inputs!$F$95/100*Inputs!$F$96/100)*AT31*Construction!AT11/365</f>
        <v/>
      </c>
      <c r="AU38" s="11">
        <f>Construction!AU14*(Inputs!$F$95/100*Inputs!$F$96/100)*AU31*Construction!AU11/365</f>
        <v/>
      </c>
      <c r="AV38" s="11">
        <f>Construction!AV14*(Inputs!$F$95/100*Inputs!$F$96/100)*AV31*Construction!AV11/365</f>
        <v/>
      </c>
      <c r="AW38" s="11">
        <f>Construction!AW14*(Inputs!$F$95/100*Inputs!$F$96/100)*AW31*Construction!AW11/365</f>
        <v/>
      </c>
      <c r="AX38" s="11">
        <f>Construction!AX14*(Inputs!$F$95/100*Inputs!$F$96/100)*AX31*Construction!AX11/365</f>
        <v/>
      </c>
      <c r="AY38" s="11">
        <f>Construction!AY14*(Inputs!$F$95/100*Inputs!$F$96/100)*AY31*Construction!AY11/365</f>
        <v/>
      </c>
      <c r="AZ38" s="11">
        <f>Construction!AZ14*(Inputs!$F$95/100*Inputs!$F$96/100)*AZ31*Construction!AZ11/365</f>
        <v/>
      </c>
      <c r="BA38" s="11">
        <f>Construction!BA14*(Inputs!$F$95/100*Inputs!$F$96/100)*BA31*Construction!BA11/365</f>
        <v/>
      </c>
      <c r="BB38" s="11">
        <f>Construction!BB14*(Inputs!$F$95/100*Inputs!$F$96/100)*BB31*Construction!BB11/365</f>
        <v/>
      </c>
      <c r="BC38" s="11">
        <f>Construction!BC14*(Inputs!$F$95/100*Inputs!$F$96/100)*BC31*Construction!BC11/365</f>
        <v/>
      </c>
      <c r="BD38" s="11">
        <f>Construction!BD14*(Inputs!$F$95/100*Inputs!$F$96/100)*BD31*Construction!BD11/365</f>
        <v/>
      </c>
      <c r="BE38" s="11">
        <f>Construction!BE14*(Inputs!$F$95/100*Inputs!$F$96/100)*BE31*Construction!BE11/365</f>
        <v/>
      </c>
      <c r="BF38" s="11">
        <f>Construction!BF14*(Inputs!$F$95/100*Inputs!$F$96/100)*BF31*Construction!BF11/365</f>
        <v/>
      </c>
      <c r="BG38" s="11">
        <f>Construction!BG14*(Inputs!$F$95/100*Inputs!$F$96/100)*BG31*Construction!BG11/365</f>
        <v/>
      </c>
      <c r="BH38" s="11">
        <f>Construction!BH14*(Inputs!$F$95/100*Inputs!$F$96/100)*BH31*Construction!BH11/365</f>
        <v/>
      </c>
      <c r="BI38" s="11">
        <f>Construction!BI14*(Inputs!$F$95/100*Inputs!$F$96/100)*BI31*Construction!BI11/365</f>
        <v/>
      </c>
      <c r="BJ38" s="11">
        <f>Construction!BJ14*(Inputs!$F$95/100*Inputs!$F$96/100)*BJ31*Construction!BJ11/365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Construction!J14*Inputs!J233*(Inputs!$F$97/100/12-Construction!J17/100*Construction!J11/360)</f>
        <v/>
      </c>
      <c r="K39" s="11">
        <f>Construction!K14*Inputs!K233*(Inputs!$F$97/100/12-Construction!K17/100*Construction!K11/360)</f>
        <v/>
      </c>
      <c r="L39" s="11">
        <f>Construction!L14*Inputs!L233*(Inputs!$F$97/100/12-Construction!L17/100*Construction!L11/360)</f>
        <v/>
      </c>
      <c r="M39" s="11">
        <f>Construction!M14*Inputs!M233*(Inputs!$F$97/100/12-Construction!M17/100*Construction!M11/360)</f>
        <v/>
      </c>
      <c r="N39" s="11">
        <f>Construction!N14*Inputs!N233*(Inputs!$F$97/100/12-Construction!N17/100*Construction!N11/360)</f>
        <v/>
      </c>
      <c r="O39" s="11">
        <f>Construction!O14*Inputs!O233*(Inputs!$F$97/100/12-Construction!O17/100*Construction!O11/360)</f>
        <v/>
      </c>
      <c r="P39" s="11">
        <f>Construction!P14*Inputs!P233*(Inputs!$F$97/100/12-Construction!P17/100*Construction!P11/360)</f>
        <v/>
      </c>
      <c r="Q39" s="11">
        <f>Construction!Q14*Inputs!Q233*(Inputs!$F$97/100/12-Construction!Q17/100*Construction!Q11/360)</f>
        <v/>
      </c>
      <c r="R39" s="11">
        <f>Construction!R14*Inputs!R233*(Inputs!$F$97/100/12-Construction!R17/100*Construction!R11/360)</f>
        <v/>
      </c>
      <c r="S39" s="11">
        <f>Construction!S14*Inputs!S233*(Inputs!$F$97/100/12-Construction!S17/100*Construction!S11/360)</f>
        <v/>
      </c>
      <c r="T39" s="11">
        <f>Construction!T14*Inputs!T233*(Inputs!$F$97/100/12-Construction!T17/100*Construction!T11/360)</f>
        <v/>
      </c>
      <c r="U39" s="11">
        <f>Construction!U14*Inputs!U233*(Inputs!$F$97/100/12-Construction!U17/100*Construction!U11/360)</f>
        <v/>
      </c>
      <c r="V39" s="11">
        <f>Construction!V14*Inputs!V233*(Inputs!$F$97/100/12-Construction!V17/100*Construction!V11/360)</f>
        <v/>
      </c>
      <c r="W39" s="11">
        <f>Construction!W14*Inputs!W233*(Inputs!$F$97/100/12-Construction!W17/100*Construction!W11/360)</f>
        <v/>
      </c>
      <c r="X39" s="11">
        <f>Construction!X14*Inputs!X233*(Inputs!$F$97/100/12-Construction!X17/100*Construction!X11/360)</f>
        <v/>
      </c>
      <c r="Y39" s="11">
        <f>Construction!Y14*Inputs!Y233*(Inputs!$F$97/100/12-Construction!Y17/100*Construction!Y11/360)</f>
        <v/>
      </c>
      <c r="Z39" s="11">
        <f>Construction!Z14*Inputs!Z233*(Inputs!$F$97/100/12-Construction!Z17/100*Construction!Z11/360)</f>
        <v/>
      </c>
      <c r="AA39" s="11">
        <f>Construction!AA14*Inputs!AA233*(Inputs!$F$97/100/12-Construction!AA17/100*Construction!AA11/360)</f>
        <v/>
      </c>
      <c r="AB39" s="11">
        <f>Construction!AB14*Inputs!AB233*(Inputs!$F$97/100/12-Construction!AB17/100*Construction!AB11/360)</f>
        <v/>
      </c>
      <c r="AC39" s="11">
        <f>Construction!AC14*Inputs!AC233*(Inputs!$F$97/100/12-Construction!AC17/100*Construction!AC11/360)</f>
        <v/>
      </c>
      <c r="AD39" s="11">
        <f>Construction!AD14*Inputs!AD233*(Inputs!$F$97/100/12-Construction!AD17/100*Construction!AD11/360)</f>
        <v/>
      </c>
      <c r="AE39" s="11">
        <f>Construction!AE14*Inputs!AE233*(Inputs!$F$97/100/12-Construction!AE17/100*Construction!AE11/360)</f>
        <v/>
      </c>
      <c r="AF39" s="11">
        <f>Construction!AF14*Inputs!AF233*(Inputs!$F$97/100/12-Construction!AF17/100*Construction!AF11/360)</f>
        <v/>
      </c>
      <c r="AG39" s="11">
        <f>Construction!AG14*Inputs!AG233*(Inputs!$F$97/100/12-Construction!AG17/100*Construction!AG11/360)</f>
        <v/>
      </c>
      <c r="AH39" s="11">
        <f>Construction!AH14*Inputs!AH233*(Inputs!$F$97/100/12-Construction!AH17/100*Construction!AH11/360)</f>
        <v/>
      </c>
      <c r="AI39" s="11">
        <f>Construction!AI14*Inputs!AI233*(Inputs!$F$97/100/12-Construction!AI17/100*Construction!AI11/360)</f>
        <v/>
      </c>
      <c r="AJ39" s="11">
        <f>Construction!AJ14*Inputs!AJ233*(Inputs!$F$97/100/12-Construction!AJ17/100*Construction!AJ11/360)</f>
        <v/>
      </c>
      <c r="AK39" s="11">
        <f>Construction!AK14*Inputs!AK233*(Inputs!$F$97/100/12-Construction!AK17/100*Construction!AK11/360)</f>
        <v/>
      </c>
      <c r="AL39" s="11">
        <f>Construction!AL14*Inputs!AL233*(Inputs!$F$97/100/12-Construction!AL17/100*Construction!AL11/360)</f>
        <v/>
      </c>
      <c r="AM39" s="11">
        <f>Construction!AM14*Inputs!AM233*(Inputs!$F$97/100/12-Construction!AM17/100*Construction!AM11/360)</f>
        <v/>
      </c>
      <c r="AN39" s="11">
        <f>Construction!AN14*Inputs!AN233*(Inputs!$F$97/100/12-Construction!AN17/100*Construction!AN11/360)</f>
        <v/>
      </c>
      <c r="AO39" s="11">
        <f>Construction!AO14*Inputs!AO233*(Inputs!$F$97/100/12-Construction!AO17/100*Construction!AO11/360)</f>
        <v/>
      </c>
      <c r="AP39" s="11">
        <f>Construction!AP14*Inputs!AP233*(Inputs!$F$97/100/12-Construction!AP17/100*Construction!AP11/360)</f>
        <v/>
      </c>
      <c r="AQ39" s="11">
        <f>Construction!AQ14*Inputs!AQ233*(Inputs!$F$97/100/12-Construction!AQ17/100*Construction!AQ11/360)</f>
        <v/>
      </c>
      <c r="AR39" s="11">
        <f>Construction!AR14*Inputs!AR233*(Inputs!$F$97/100/12-Construction!AR17/100*Construction!AR11/360)</f>
        <v/>
      </c>
      <c r="AS39" s="11">
        <f>Construction!AS14*Inputs!AS233*(Inputs!$F$97/100/12-Construction!AS17/100*Construction!AS11/360)</f>
        <v/>
      </c>
      <c r="AT39" s="11">
        <f>Construction!AT14*Inputs!AT233*(Inputs!$F$97/100/12-Construction!AT17/100*Construction!AT11/360)</f>
        <v/>
      </c>
      <c r="AU39" s="11">
        <f>Construction!AU14*Inputs!AU233*(Inputs!$F$97/100/12-Construction!AU17/100*Construction!AU11/360)</f>
        <v/>
      </c>
      <c r="AV39" s="11">
        <f>Construction!AV14*Inputs!AV233*(Inputs!$F$97/100/12-Construction!AV17/100*Construction!AV11/360)</f>
        <v/>
      </c>
      <c r="AW39" s="11">
        <f>Construction!AW14*Inputs!AW233*(Inputs!$F$97/100/12-Construction!AW17/100*Construction!AW11/360)</f>
        <v/>
      </c>
      <c r="AX39" s="11">
        <f>Construction!AX14*Inputs!AX233*(Inputs!$F$97/100/12-Construction!AX17/100*Construction!AX11/360)</f>
        <v/>
      </c>
      <c r="AY39" s="11">
        <f>Construction!AY14*Inputs!AY233*(Inputs!$F$97/100/12-Construction!AY17/100*Construction!AY11/360)</f>
        <v/>
      </c>
      <c r="AZ39" s="11">
        <f>Construction!AZ14*Inputs!AZ233*(Inputs!$F$97/100/12-Construction!AZ17/100*Construction!AZ11/360)</f>
        <v/>
      </c>
      <c r="BA39" s="11">
        <f>Construction!BA14*Inputs!BA233*(Inputs!$F$97/100/12-Construction!BA17/100*Construction!BA11/360)</f>
        <v/>
      </c>
      <c r="BB39" s="11">
        <f>Construction!BB14*Inputs!BB233*(Inputs!$F$97/100/12-Construction!BB17/100*Construction!BB11/360)</f>
        <v/>
      </c>
      <c r="BC39" s="11">
        <f>Construction!BC14*Inputs!BC233*(Inputs!$F$97/100/12-Construction!BC17/100*Construction!BC11/360)</f>
        <v/>
      </c>
      <c r="BD39" s="11">
        <f>Construction!BD14*Inputs!BD233*(Inputs!$F$97/100/12-Construction!BD17/100*Construction!BD11/360)</f>
        <v/>
      </c>
      <c r="BE39" s="11">
        <f>Construction!BE14*Inputs!BE233*(Inputs!$F$97/100/12-Construction!BE17/100*Construction!BE11/360)</f>
        <v/>
      </c>
      <c r="BF39" s="11">
        <f>Construction!BF14*Inputs!BF233*(Inputs!$F$97/100/12-Construction!BF17/100*Construction!BF11/360)</f>
        <v/>
      </c>
      <c r="BG39" s="11">
        <f>Construction!BG14*Inputs!BG233*(Inputs!$F$97/100/12-Construction!BG17/100*Construction!BG11/360)</f>
        <v/>
      </c>
      <c r="BH39" s="11">
        <f>Construction!BH14*Inputs!BH233*(Inputs!$F$97/100/12-Construction!BH17/100*Construction!BH11/360)</f>
        <v/>
      </c>
      <c r="BI39" s="11">
        <f>Construction!BI14*Inputs!BI233*(Inputs!$F$97/100/12-Construction!BI17/100*Construction!BI11/360)</f>
        <v/>
      </c>
      <c r="BJ39" s="11">
        <f>Construction!BJ14*Inputs!BJ233*(Inputs!$F$97/100/12-Construction!BJ17/100*Construction!BJ11/360)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Construction!J14*((Inputs!$F$75*$F$25-J28)*Inputs!$F$85/100+(Inputs!$F$76*$F$25-J29)*Inputs!$F$86/100+(Inputs!$F$77*$F$25-J30)*Inputs!$F$87/100+(Inputs!$F$78*$F$25-J31)*(Inputs!$F$88/100*Inputs!$F$82)/100)*Construction!J11/360</f>
        <v/>
      </c>
      <c r="K40" s="11">
        <f>Construction!K14*((Inputs!$F$75*$F$25-K28)*Inputs!$F$85/100+(Inputs!$F$76*$F$25-K29)*Inputs!$F$86/100+(Inputs!$F$77*$F$25-K30)*Inputs!$F$87/100+(Inputs!$F$78*$F$25-K31)*(Inputs!$F$88/100*Inputs!$F$82)/100)*Construction!K11/360</f>
        <v/>
      </c>
      <c r="L40" s="11">
        <f>Construction!L14*((Inputs!$F$75*$F$25-L28)*Inputs!$F$85/100+(Inputs!$F$76*$F$25-L29)*Inputs!$F$86/100+(Inputs!$F$77*$F$25-L30)*Inputs!$F$87/100+(Inputs!$F$78*$F$25-L31)*(Inputs!$F$88/100*Inputs!$F$82)/100)*Construction!L11/360</f>
        <v/>
      </c>
      <c r="M40" s="11">
        <f>Construction!M14*((Inputs!$F$75*$F$25-M28)*Inputs!$F$85/100+(Inputs!$F$76*$F$25-M29)*Inputs!$F$86/100+(Inputs!$F$77*$F$25-M30)*Inputs!$F$87/100+(Inputs!$F$78*$F$25-M31)*(Inputs!$F$88/100*Inputs!$F$82)/100)*Construction!M11/360</f>
        <v/>
      </c>
      <c r="N40" s="11">
        <f>Construction!N14*((Inputs!$F$75*$F$25-N28)*Inputs!$F$85/100+(Inputs!$F$76*$F$25-N29)*Inputs!$F$86/100+(Inputs!$F$77*$F$25-N30)*Inputs!$F$87/100+(Inputs!$F$78*$F$25-N31)*(Inputs!$F$88/100*Inputs!$F$82)/100)*Construction!N11/360</f>
        <v/>
      </c>
      <c r="O40" s="11">
        <f>Construction!O14*((Inputs!$F$75*$F$25-O28)*Inputs!$F$85/100+(Inputs!$F$76*$F$25-O29)*Inputs!$F$86/100+(Inputs!$F$77*$F$25-O30)*Inputs!$F$87/100+(Inputs!$F$78*$F$25-O31)*(Inputs!$F$88/100*Inputs!$F$82)/100)*Construction!O11/360</f>
        <v/>
      </c>
      <c r="P40" s="11">
        <f>Construction!P14*((Inputs!$F$75*$F$25-P28)*Inputs!$F$85/100+(Inputs!$F$76*$F$25-P29)*Inputs!$F$86/100+(Inputs!$F$77*$F$25-P30)*Inputs!$F$87/100+(Inputs!$F$78*$F$25-P31)*(Inputs!$F$88/100*Inputs!$F$82)/100)*Construction!P11/360</f>
        <v/>
      </c>
      <c r="Q40" s="11">
        <f>Construction!Q14*((Inputs!$F$75*$F$25-Q28)*Inputs!$F$85/100+(Inputs!$F$76*$F$25-Q29)*Inputs!$F$86/100+(Inputs!$F$77*$F$25-Q30)*Inputs!$F$87/100+(Inputs!$F$78*$F$25-Q31)*(Inputs!$F$88/100*Inputs!$F$82)/100)*Construction!Q11/360</f>
        <v/>
      </c>
      <c r="R40" s="11">
        <f>Construction!R14*((Inputs!$F$75*$F$25-R28)*Inputs!$F$85/100+(Inputs!$F$76*$F$25-R29)*Inputs!$F$86/100+(Inputs!$F$77*$F$25-R30)*Inputs!$F$87/100+(Inputs!$F$78*$F$25-R31)*(Inputs!$F$88/100*Inputs!$F$82)/100)*Construction!R11/360</f>
        <v/>
      </c>
      <c r="S40" s="11">
        <f>Construction!S14*((Inputs!$F$75*$F$25-S28)*Inputs!$F$85/100+(Inputs!$F$76*$F$25-S29)*Inputs!$F$86/100+(Inputs!$F$77*$F$25-S30)*Inputs!$F$87/100+(Inputs!$F$78*$F$25-S31)*(Inputs!$F$88/100*Inputs!$F$82)/100)*Construction!S11/360</f>
        <v/>
      </c>
      <c r="T40" s="11">
        <f>Construction!T14*((Inputs!$F$75*$F$25-T28)*Inputs!$F$85/100+(Inputs!$F$76*$F$25-T29)*Inputs!$F$86/100+(Inputs!$F$77*$F$25-T30)*Inputs!$F$87/100+(Inputs!$F$78*$F$25-T31)*(Inputs!$F$88/100*Inputs!$F$82)/100)*Construction!T11/360</f>
        <v/>
      </c>
      <c r="U40" s="11">
        <f>Construction!U14*((Inputs!$F$75*$F$25-U28)*Inputs!$F$85/100+(Inputs!$F$76*$F$25-U29)*Inputs!$F$86/100+(Inputs!$F$77*$F$25-U30)*Inputs!$F$87/100+(Inputs!$F$78*$F$25-U31)*(Inputs!$F$88/100*Inputs!$F$82)/100)*Construction!U11/360</f>
        <v/>
      </c>
      <c r="V40" s="11">
        <f>Construction!V14*((Inputs!$F$75*$F$25-V28)*Inputs!$F$85/100+(Inputs!$F$76*$F$25-V29)*Inputs!$F$86/100+(Inputs!$F$77*$F$25-V30)*Inputs!$F$87/100+(Inputs!$F$78*$F$25-V31)*(Inputs!$F$88/100*Inputs!$F$82)/100)*Construction!V11/360</f>
        <v/>
      </c>
      <c r="W40" s="11">
        <f>Construction!W14*((Inputs!$F$75*$F$25-W28)*Inputs!$F$85/100+(Inputs!$F$76*$F$25-W29)*Inputs!$F$86/100+(Inputs!$F$77*$F$25-W30)*Inputs!$F$87/100+(Inputs!$F$78*$F$25-W31)*(Inputs!$F$88/100*Inputs!$F$82)/100)*Construction!W11/360</f>
        <v/>
      </c>
      <c r="X40" s="11">
        <f>Construction!X14*((Inputs!$F$75*$F$25-X28)*Inputs!$F$85/100+(Inputs!$F$76*$F$25-X29)*Inputs!$F$86/100+(Inputs!$F$77*$F$25-X30)*Inputs!$F$87/100+(Inputs!$F$78*$F$25-X31)*(Inputs!$F$88/100*Inputs!$F$82)/100)*Construction!X11/360</f>
        <v/>
      </c>
      <c r="Y40" s="11">
        <f>Construction!Y14*((Inputs!$F$75*$F$25-Y28)*Inputs!$F$85/100+(Inputs!$F$76*$F$25-Y29)*Inputs!$F$86/100+(Inputs!$F$77*$F$25-Y30)*Inputs!$F$87/100+(Inputs!$F$78*$F$25-Y31)*(Inputs!$F$88/100*Inputs!$F$82)/100)*Construction!Y11/360</f>
        <v/>
      </c>
      <c r="Z40" s="11">
        <f>Construction!Z14*((Inputs!$F$75*$F$25-Z28)*Inputs!$F$85/100+(Inputs!$F$76*$F$25-Z29)*Inputs!$F$86/100+(Inputs!$F$77*$F$25-Z30)*Inputs!$F$87/100+(Inputs!$F$78*$F$25-Z31)*(Inputs!$F$88/100*Inputs!$F$82)/100)*Construction!Z11/360</f>
        <v/>
      </c>
      <c r="AA40" s="11">
        <f>Construction!AA14*((Inputs!$F$75*$F$25-AA28)*Inputs!$F$85/100+(Inputs!$F$76*$F$25-AA29)*Inputs!$F$86/100+(Inputs!$F$77*$F$25-AA30)*Inputs!$F$87/100+(Inputs!$F$78*$F$25-AA31)*(Inputs!$F$88/100*Inputs!$F$82)/100)*Construction!AA11/360</f>
        <v/>
      </c>
      <c r="AB40" s="11">
        <f>Construction!AB14*((Inputs!$F$75*$F$25-AB28)*Inputs!$F$85/100+(Inputs!$F$76*$F$25-AB29)*Inputs!$F$86/100+(Inputs!$F$77*$F$25-AB30)*Inputs!$F$87/100+(Inputs!$F$78*$F$25-AB31)*(Inputs!$F$88/100*Inputs!$F$82)/100)*Construction!AB11/360</f>
        <v/>
      </c>
      <c r="AC40" s="11">
        <f>Construction!AC14*((Inputs!$F$75*$F$25-AC28)*Inputs!$F$85/100+(Inputs!$F$76*$F$25-AC29)*Inputs!$F$86/100+(Inputs!$F$77*$F$25-AC30)*Inputs!$F$87/100+(Inputs!$F$78*$F$25-AC31)*(Inputs!$F$88/100*Inputs!$F$82)/100)*Construction!AC11/360</f>
        <v/>
      </c>
      <c r="AD40" s="11">
        <f>Construction!AD14*((Inputs!$F$75*$F$25-AD28)*Inputs!$F$85/100+(Inputs!$F$76*$F$25-AD29)*Inputs!$F$86/100+(Inputs!$F$77*$F$25-AD30)*Inputs!$F$87/100+(Inputs!$F$78*$F$25-AD31)*(Inputs!$F$88/100*Inputs!$F$82)/100)*Construction!AD11/360</f>
        <v/>
      </c>
      <c r="AE40" s="11">
        <f>Construction!AE14*((Inputs!$F$75*$F$25-AE28)*Inputs!$F$85/100+(Inputs!$F$76*$F$25-AE29)*Inputs!$F$86/100+(Inputs!$F$77*$F$25-AE30)*Inputs!$F$87/100+(Inputs!$F$78*$F$25-AE31)*(Inputs!$F$88/100*Inputs!$F$82)/100)*Construction!AE11/360</f>
        <v/>
      </c>
      <c r="AF40" s="11">
        <f>Construction!AF14*((Inputs!$F$75*$F$25-AF28)*Inputs!$F$85/100+(Inputs!$F$76*$F$25-AF29)*Inputs!$F$86/100+(Inputs!$F$77*$F$25-AF30)*Inputs!$F$87/100+(Inputs!$F$78*$F$25-AF31)*(Inputs!$F$88/100*Inputs!$F$82)/100)*Construction!AF11/360</f>
        <v/>
      </c>
      <c r="AG40" s="11">
        <f>Construction!AG14*((Inputs!$F$75*$F$25-AG28)*Inputs!$F$85/100+(Inputs!$F$76*$F$25-AG29)*Inputs!$F$86/100+(Inputs!$F$77*$F$25-AG30)*Inputs!$F$87/100+(Inputs!$F$78*$F$25-AG31)*(Inputs!$F$88/100*Inputs!$F$82)/100)*Construction!AG11/360</f>
        <v/>
      </c>
      <c r="AH40" s="11">
        <f>Construction!AH14*((Inputs!$F$75*$F$25-AH28)*Inputs!$F$85/100+(Inputs!$F$76*$F$25-AH29)*Inputs!$F$86/100+(Inputs!$F$77*$F$25-AH30)*Inputs!$F$87/100+(Inputs!$F$78*$F$25-AH31)*(Inputs!$F$88/100*Inputs!$F$82)/100)*Construction!AH11/360</f>
        <v/>
      </c>
      <c r="AI40" s="11">
        <f>Construction!AI14*((Inputs!$F$75*$F$25-AI28)*Inputs!$F$85/100+(Inputs!$F$76*$F$25-AI29)*Inputs!$F$86/100+(Inputs!$F$77*$F$25-AI30)*Inputs!$F$87/100+(Inputs!$F$78*$F$25-AI31)*(Inputs!$F$88/100*Inputs!$F$82)/100)*Construction!AI11/360</f>
        <v/>
      </c>
      <c r="AJ40" s="11">
        <f>Construction!AJ14*((Inputs!$F$75*$F$25-AJ28)*Inputs!$F$85/100+(Inputs!$F$76*$F$25-AJ29)*Inputs!$F$86/100+(Inputs!$F$77*$F$25-AJ30)*Inputs!$F$87/100+(Inputs!$F$78*$F$25-AJ31)*(Inputs!$F$88/100*Inputs!$F$82)/100)*Construction!AJ11/360</f>
        <v/>
      </c>
      <c r="AK40" s="11">
        <f>Construction!AK14*((Inputs!$F$75*$F$25-AK28)*Inputs!$F$85/100+(Inputs!$F$76*$F$25-AK29)*Inputs!$F$86/100+(Inputs!$F$77*$F$25-AK30)*Inputs!$F$87/100+(Inputs!$F$78*$F$25-AK31)*(Inputs!$F$88/100*Inputs!$F$82)/100)*Construction!AK11/360</f>
        <v/>
      </c>
      <c r="AL40" s="11">
        <f>Construction!AL14*((Inputs!$F$75*$F$25-AL28)*Inputs!$F$85/100+(Inputs!$F$76*$F$25-AL29)*Inputs!$F$86/100+(Inputs!$F$77*$F$25-AL30)*Inputs!$F$87/100+(Inputs!$F$78*$F$25-AL31)*(Inputs!$F$88/100*Inputs!$F$82)/100)*Construction!AL11/360</f>
        <v/>
      </c>
      <c r="AM40" s="11">
        <f>Construction!AM14*((Inputs!$F$75*$F$25-AM28)*Inputs!$F$85/100+(Inputs!$F$76*$F$25-AM29)*Inputs!$F$86/100+(Inputs!$F$77*$F$25-AM30)*Inputs!$F$87/100+(Inputs!$F$78*$F$25-AM31)*(Inputs!$F$88/100*Inputs!$F$82)/100)*Construction!AM11/360</f>
        <v/>
      </c>
      <c r="AN40" s="11">
        <f>Construction!AN14*((Inputs!$F$75*$F$25-AN28)*Inputs!$F$85/100+(Inputs!$F$76*$F$25-AN29)*Inputs!$F$86/100+(Inputs!$F$77*$F$25-AN30)*Inputs!$F$87/100+(Inputs!$F$78*$F$25-AN31)*(Inputs!$F$88/100*Inputs!$F$82)/100)*Construction!AN11/360</f>
        <v/>
      </c>
      <c r="AO40" s="11">
        <f>Construction!AO14*((Inputs!$F$75*$F$25-AO28)*Inputs!$F$85/100+(Inputs!$F$76*$F$25-AO29)*Inputs!$F$86/100+(Inputs!$F$77*$F$25-AO30)*Inputs!$F$87/100+(Inputs!$F$78*$F$25-AO31)*(Inputs!$F$88/100*Inputs!$F$82)/100)*Construction!AO11/360</f>
        <v/>
      </c>
      <c r="AP40" s="11">
        <f>Construction!AP14*((Inputs!$F$75*$F$25-AP28)*Inputs!$F$85/100+(Inputs!$F$76*$F$25-AP29)*Inputs!$F$86/100+(Inputs!$F$77*$F$25-AP30)*Inputs!$F$87/100+(Inputs!$F$78*$F$25-AP31)*(Inputs!$F$88/100*Inputs!$F$82)/100)*Construction!AP11/360</f>
        <v/>
      </c>
      <c r="AQ40" s="11">
        <f>Construction!AQ14*((Inputs!$F$75*$F$25-AQ28)*Inputs!$F$85/100+(Inputs!$F$76*$F$25-AQ29)*Inputs!$F$86/100+(Inputs!$F$77*$F$25-AQ30)*Inputs!$F$87/100+(Inputs!$F$78*$F$25-AQ31)*(Inputs!$F$88/100*Inputs!$F$82)/100)*Construction!AQ11/360</f>
        <v/>
      </c>
      <c r="AR40" s="11">
        <f>Construction!AR14*((Inputs!$F$75*$F$25-AR28)*Inputs!$F$85/100+(Inputs!$F$76*$F$25-AR29)*Inputs!$F$86/100+(Inputs!$F$77*$F$25-AR30)*Inputs!$F$87/100+(Inputs!$F$78*$F$25-AR31)*(Inputs!$F$88/100*Inputs!$F$82)/100)*Construction!AR11/360</f>
        <v/>
      </c>
      <c r="AS40" s="11">
        <f>Construction!AS14*((Inputs!$F$75*$F$25-AS28)*Inputs!$F$85/100+(Inputs!$F$76*$F$25-AS29)*Inputs!$F$86/100+(Inputs!$F$77*$F$25-AS30)*Inputs!$F$87/100+(Inputs!$F$78*$F$25-AS31)*(Inputs!$F$88/100*Inputs!$F$82)/100)*Construction!AS11/360</f>
        <v/>
      </c>
      <c r="AT40" s="11">
        <f>Construction!AT14*((Inputs!$F$75*$F$25-AT28)*Inputs!$F$85/100+(Inputs!$F$76*$F$25-AT29)*Inputs!$F$86/100+(Inputs!$F$77*$F$25-AT30)*Inputs!$F$87/100+(Inputs!$F$78*$F$25-AT31)*(Inputs!$F$88/100*Inputs!$F$82)/100)*Construction!AT11/360</f>
        <v/>
      </c>
      <c r="AU40" s="11">
        <f>Construction!AU14*((Inputs!$F$75*$F$25-AU28)*Inputs!$F$85/100+(Inputs!$F$76*$F$25-AU29)*Inputs!$F$86/100+(Inputs!$F$77*$F$25-AU30)*Inputs!$F$87/100+(Inputs!$F$78*$F$25-AU31)*(Inputs!$F$88/100*Inputs!$F$82)/100)*Construction!AU11/360</f>
        <v/>
      </c>
      <c r="AV40" s="11">
        <f>Construction!AV14*((Inputs!$F$75*$F$25-AV28)*Inputs!$F$85/100+(Inputs!$F$76*$F$25-AV29)*Inputs!$F$86/100+(Inputs!$F$77*$F$25-AV30)*Inputs!$F$87/100+(Inputs!$F$78*$F$25-AV31)*(Inputs!$F$88/100*Inputs!$F$82)/100)*Construction!AV11/360</f>
        <v/>
      </c>
      <c r="AW40" s="11">
        <f>Construction!AW14*((Inputs!$F$75*$F$25-AW28)*Inputs!$F$85/100+(Inputs!$F$76*$F$25-AW29)*Inputs!$F$86/100+(Inputs!$F$77*$F$25-AW30)*Inputs!$F$87/100+(Inputs!$F$78*$F$25-AW31)*(Inputs!$F$88/100*Inputs!$F$82)/100)*Construction!AW11/360</f>
        <v/>
      </c>
      <c r="AX40" s="11">
        <f>Construction!AX14*((Inputs!$F$75*$F$25-AX28)*Inputs!$F$85/100+(Inputs!$F$76*$F$25-AX29)*Inputs!$F$86/100+(Inputs!$F$77*$F$25-AX30)*Inputs!$F$87/100+(Inputs!$F$78*$F$25-AX31)*(Inputs!$F$88/100*Inputs!$F$82)/100)*Construction!AX11/360</f>
        <v/>
      </c>
      <c r="AY40" s="11">
        <f>Construction!AY14*((Inputs!$F$75*$F$25-AY28)*Inputs!$F$85/100+(Inputs!$F$76*$F$25-AY29)*Inputs!$F$86/100+(Inputs!$F$77*$F$25-AY30)*Inputs!$F$87/100+(Inputs!$F$78*$F$25-AY31)*(Inputs!$F$88/100*Inputs!$F$82)/100)*Construction!AY11/360</f>
        <v/>
      </c>
      <c r="AZ40" s="11">
        <f>Construction!AZ14*((Inputs!$F$75*$F$25-AZ28)*Inputs!$F$85/100+(Inputs!$F$76*$F$25-AZ29)*Inputs!$F$86/100+(Inputs!$F$77*$F$25-AZ30)*Inputs!$F$87/100+(Inputs!$F$78*$F$25-AZ31)*(Inputs!$F$88/100*Inputs!$F$82)/100)*Construction!AZ11/360</f>
        <v/>
      </c>
      <c r="BA40" s="11">
        <f>Construction!BA14*((Inputs!$F$75*$F$25-BA28)*Inputs!$F$85/100+(Inputs!$F$76*$F$25-BA29)*Inputs!$F$86/100+(Inputs!$F$77*$F$25-BA30)*Inputs!$F$87/100+(Inputs!$F$78*$F$25-BA31)*(Inputs!$F$88/100*Inputs!$F$82)/100)*Construction!BA11/360</f>
        <v/>
      </c>
      <c r="BB40" s="11">
        <f>Construction!BB14*((Inputs!$F$75*$F$25-BB28)*Inputs!$F$85/100+(Inputs!$F$76*$F$25-BB29)*Inputs!$F$86/100+(Inputs!$F$77*$F$25-BB30)*Inputs!$F$87/100+(Inputs!$F$78*$F$25-BB31)*(Inputs!$F$88/100*Inputs!$F$82)/100)*Construction!BB11/360</f>
        <v/>
      </c>
      <c r="BC40" s="11">
        <f>Construction!BC14*((Inputs!$F$75*$F$25-BC28)*Inputs!$F$85/100+(Inputs!$F$76*$F$25-BC29)*Inputs!$F$86/100+(Inputs!$F$77*$F$25-BC30)*Inputs!$F$87/100+(Inputs!$F$78*$F$25-BC31)*(Inputs!$F$88/100*Inputs!$F$82)/100)*Construction!BC11/360</f>
        <v/>
      </c>
      <c r="BD40" s="11">
        <f>Construction!BD14*((Inputs!$F$75*$F$25-BD28)*Inputs!$F$85/100+(Inputs!$F$76*$F$25-BD29)*Inputs!$F$86/100+(Inputs!$F$77*$F$25-BD30)*Inputs!$F$87/100+(Inputs!$F$78*$F$25-BD31)*(Inputs!$F$88/100*Inputs!$F$82)/100)*Construction!BD11/360</f>
        <v/>
      </c>
      <c r="BE40" s="11">
        <f>Construction!BE14*((Inputs!$F$75*$F$25-BE28)*Inputs!$F$85/100+(Inputs!$F$76*$F$25-BE29)*Inputs!$F$86/100+(Inputs!$F$77*$F$25-BE30)*Inputs!$F$87/100+(Inputs!$F$78*$F$25-BE31)*(Inputs!$F$88/100*Inputs!$F$82)/100)*Construction!BE11/360</f>
        <v/>
      </c>
      <c r="BF40" s="11">
        <f>Construction!BF14*((Inputs!$F$75*$F$25-BF28)*Inputs!$F$85/100+(Inputs!$F$76*$F$25-BF29)*Inputs!$F$86/100+(Inputs!$F$77*$F$25-BF30)*Inputs!$F$87/100+(Inputs!$F$78*$F$25-BF31)*(Inputs!$F$88/100*Inputs!$F$82)/100)*Construction!BF11/360</f>
        <v/>
      </c>
      <c r="BG40" s="11">
        <f>Construction!BG14*((Inputs!$F$75*$F$25-BG28)*Inputs!$F$85/100+(Inputs!$F$76*$F$25-BG29)*Inputs!$F$86/100+(Inputs!$F$77*$F$25-BG30)*Inputs!$F$87/100+(Inputs!$F$78*$F$25-BG31)*(Inputs!$F$88/100*Inputs!$F$82)/100)*Construction!BG11/360</f>
        <v/>
      </c>
      <c r="BH40" s="11">
        <f>Construction!BH14*((Inputs!$F$75*$F$25-BH28)*Inputs!$F$85/100+(Inputs!$F$76*$F$25-BH29)*Inputs!$F$86/100+(Inputs!$F$77*$F$25-BH30)*Inputs!$F$87/100+(Inputs!$F$78*$F$25-BH31)*(Inputs!$F$88/100*Inputs!$F$82)/100)*Construction!BH11/360</f>
        <v/>
      </c>
      <c r="BI40" s="11">
        <f>Construction!BI14*((Inputs!$F$75*$F$25-BI28)*Inputs!$F$85/100+(Inputs!$F$76*$F$25-BI29)*Inputs!$F$86/100+(Inputs!$F$77*$F$25-BI30)*Inputs!$F$87/100+(Inputs!$F$78*$F$25-BI31)*(Inputs!$F$88/100*Inputs!$F$82)/100)*Construction!BI11/360</f>
        <v/>
      </c>
      <c r="BJ40" s="11">
        <f>Construction!BJ14*((Inputs!$F$75*$F$25-BJ28)*Inputs!$F$85/100+(Inputs!$F$76*$F$25-BJ29)*Inputs!$F$86/100+(Inputs!$F$77*$F$25-BJ30)*Inputs!$F$87/100+(Inputs!$F$78*$F$25-BJ31)*(Inputs!$F$88/100*Inputs!$F$82)/100)*Construction!BJ11/360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Construction!J14*(Inputs!$F$99-J32)*Inputs!$F$100/100*Construction!J11/360</f>
        <v/>
      </c>
      <c r="K41" s="11">
        <f>Construction!K14*(Inputs!$F$99-K32)*Inputs!$F$100/100*Construction!K11/360</f>
        <v/>
      </c>
      <c r="L41" s="11">
        <f>Construction!L14*(Inputs!$F$99-L32)*Inputs!$F$100/100*Construction!L11/360</f>
        <v/>
      </c>
      <c r="M41" s="11">
        <f>Construction!M14*(Inputs!$F$99-M32)*Inputs!$F$100/100*Construction!M11/360</f>
        <v/>
      </c>
      <c r="N41" s="11">
        <f>Construction!N14*(Inputs!$F$99-N32)*Inputs!$F$100/100*Construction!N11/360</f>
        <v/>
      </c>
      <c r="O41" s="11">
        <f>Construction!O14*(Inputs!$F$99-O32)*Inputs!$F$100/100*Construction!O11/360</f>
        <v/>
      </c>
      <c r="P41" s="11">
        <f>Construction!P14*(Inputs!$F$99-P32)*Inputs!$F$100/100*Construction!P11/360</f>
        <v/>
      </c>
      <c r="Q41" s="11">
        <f>Construction!Q14*(Inputs!$F$99-Q32)*Inputs!$F$100/100*Construction!Q11/360</f>
        <v/>
      </c>
      <c r="R41" s="11">
        <f>Construction!R14*(Inputs!$F$99-R32)*Inputs!$F$100/100*Construction!R11/360</f>
        <v/>
      </c>
      <c r="S41" s="11">
        <f>Construction!S14*(Inputs!$F$99-S32)*Inputs!$F$100/100*Construction!S11/360</f>
        <v/>
      </c>
      <c r="T41" s="11">
        <f>Construction!T14*(Inputs!$F$99-T32)*Inputs!$F$100/100*Construction!T11/360</f>
        <v/>
      </c>
      <c r="U41" s="11">
        <f>Construction!U14*(Inputs!$F$99-U32)*Inputs!$F$100/100*Construction!U11/360</f>
        <v/>
      </c>
      <c r="V41" s="11">
        <f>Construction!V14*(Inputs!$F$99-V32)*Inputs!$F$100/100*Construction!V11/360</f>
        <v/>
      </c>
      <c r="W41" s="11">
        <f>Construction!W14*(Inputs!$F$99-W32)*Inputs!$F$100/100*Construction!W11/360</f>
        <v/>
      </c>
      <c r="X41" s="11">
        <f>Construction!X14*(Inputs!$F$99-X32)*Inputs!$F$100/100*Construction!X11/360</f>
        <v/>
      </c>
      <c r="Y41" s="11">
        <f>Construction!Y14*(Inputs!$F$99-Y32)*Inputs!$F$100/100*Construction!Y11/360</f>
        <v/>
      </c>
      <c r="Z41" s="11">
        <f>Construction!Z14*(Inputs!$F$99-Z32)*Inputs!$F$100/100*Construction!Z11/360</f>
        <v/>
      </c>
      <c r="AA41" s="11">
        <f>Construction!AA14*(Inputs!$F$99-AA32)*Inputs!$F$100/100*Construction!AA11/360</f>
        <v/>
      </c>
      <c r="AB41" s="11">
        <f>Construction!AB14*(Inputs!$F$99-AB32)*Inputs!$F$100/100*Construction!AB11/360</f>
        <v/>
      </c>
      <c r="AC41" s="11">
        <f>Construction!AC14*(Inputs!$F$99-AC32)*Inputs!$F$100/100*Construction!AC11/360</f>
        <v/>
      </c>
      <c r="AD41" s="11">
        <f>Construction!AD14*(Inputs!$F$99-AD32)*Inputs!$F$100/100*Construction!AD11/360</f>
        <v/>
      </c>
      <c r="AE41" s="11">
        <f>Construction!AE14*(Inputs!$F$99-AE32)*Inputs!$F$100/100*Construction!AE11/360</f>
        <v/>
      </c>
      <c r="AF41" s="11">
        <f>Construction!AF14*(Inputs!$F$99-AF32)*Inputs!$F$100/100*Construction!AF11/360</f>
        <v/>
      </c>
      <c r="AG41" s="11">
        <f>Construction!AG14*(Inputs!$F$99-AG32)*Inputs!$F$100/100*Construction!AG11/360</f>
        <v/>
      </c>
      <c r="AH41" s="11">
        <f>Construction!AH14*(Inputs!$F$99-AH32)*Inputs!$F$100/100*Construction!AH11/360</f>
        <v/>
      </c>
      <c r="AI41" s="11">
        <f>Construction!AI14*(Inputs!$F$99-AI32)*Inputs!$F$100/100*Construction!AI11/360</f>
        <v/>
      </c>
      <c r="AJ41" s="11">
        <f>Construction!AJ14*(Inputs!$F$99-AJ32)*Inputs!$F$100/100*Construction!AJ11/360</f>
        <v/>
      </c>
      <c r="AK41" s="11">
        <f>Construction!AK14*(Inputs!$F$99-AK32)*Inputs!$F$100/100*Construction!AK11/360</f>
        <v/>
      </c>
      <c r="AL41" s="11">
        <f>Construction!AL14*(Inputs!$F$99-AL32)*Inputs!$F$100/100*Construction!AL11/360</f>
        <v/>
      </c>
      <c r="AM41" s="11">
        <f>Construction!AM14*(Inputs!$F$99-AM32)*Inputs!$F$100/100*Construction!AM11/360</f>
        <v/>
      </c>
      <c r="AN41" s="11">
        <f>Construction!AN14*(Inputs!$F$99-AN32)*Inputs!$F$100/100*Construction!AN11/360</f>
        <v/>
      </c>
      <c r="AO41" s="11">
        <f>Construction!AO14*(Inputs!$F$99-AO32)*Inputs!$F$100/100*Construction!AO11/360</f>
        <v/>
      </c>
      <c r="AP41" s="11">
        <f>Construction!AP14*(Inputs!$F$99-AP32)*Inputs!$F$100/100*Construction!AP11/360</f>
        <v/>
      </c>
      <c r="AQ41" s="11">
        <f>Construction!AQ14*(Inputs!$F$99-AQ32)*Inputs!$F$100/100*Construction!AQ11/360</f>
        <v/>
      </c>
      <c r="AR41" s="11">
        <f>Construction!AR14*(Inputs!$F$99-AR32)*Inputs!$F$100/100*Construction!AR11/360</f>
        <v/>
      </c>
      <c r="AS41" s="11">
        <f>Construction!AS14*(Inputs!$F$99-AS32)*Inputs!$F$100/100*Construction!AS11/360</f>
        <v/>
      </c>
      <c r="AT41" s="11">
        <f>Construction!AT14*(Inputs!$F$99-AT32)*Inputs!$F$100/100*Construction!AT11/360</f>
        <v/>
      </c>
      <c r="AU41" s="11">
        <f>Construction!AU14*(Inputs!$F$99-AU32)*Inputs!$F$100/100*Construction!AU11/360</f>
        <v/>
      </c>
      <c r="AV41" s="11">
        <f>Construction!AV14*(Inputs!$F$99-AV32)*Inputs!$F$100/100*Construction!AV11/360</f>
        <v/>
      </c>
      <c r="AW41" s="11">
        <f>Construction!AW14*(Inputs!$F$99-AW32)*Inputs!$F$100/100*Construction!AW11/360</f>
        <v/>
      </c>
      <c r="AX41" s="11">
        <f>Construction!AX14*(Inputs!$F$99-AX32)*Inputs!$F$100/100*Construction!AX11/360</f>
        <v/>
      </c>
      <c r="AY41" s="11">
        <f>Construction!AY14*(Inputs!$F$99-AY32)*Inputs!$F$100/100*Construction!AY11/360</f>
        <v/>
      </c>
      <c r="AZ41" s="11">
        <f>Construction!AZ14*(Inputs!$F$99-AZ32)*Inputs!$F$100/100*Construction!AZ11/360</f>
        <v/>
      </c>
      <c r="BA41" s="11">
        <f>Construction!BA14*(Inputs!$F$99-BA32)*Inputs!$F$100/100*Construction!BA11/360</f>
        <v/>
      </c>
      <c r="BB41" s="11">
        <f>Construction!BB14*(Inputs!$F$99-BB32)*Inputs!$F$100/100*Construction!BB11/360</f>
        <v/>
      </c>
      <c r="BC41" s="11">
        <f>Construction!BC14*(Inputs!$F$99-BC32)*Inputs!$F$100/100*Construction!BC11/360</f>
        <v/>
      </c>
      <c r="BD41" s="11">
        <f>Construction!BD14*(Inputs!$F$99-BD32)*Inputs!$F$100/100*Construction!BD11/360</f>
        <v/>
      </c>
      <c r="BE41" s="11">
        <f>Construction!BE14*(Inputs!$F$99-BE32)*Inputs!$F$100/100*Construction!BE11/360</f>
        <v/>
      </c>
      <c r="BF41" s="11">
        <f>Construction!BF14*(Inputs!$F$99-BF32)*Inputs!$F$100/100*Construction!BF11/360</f>
        <v/>
      </c>
      <c r="BG41" s="11">
        <f>Construction!BG14*(Inputs!$F$99-BG32)*Inputs!$F$100/100*Construction!BG11/360</f>
        <v/>
      </c>
      <c r="BH41" s="11">
        <f>Construction!BH14*(Inputs!$F$99-BH32)*Inputs!$F$100/100*Construction!BH11/360</f>
        <v/>
      </c>
      <c r="BI41" s="11">
        <f>Construction!BI14*(Inputs!$F$99-BI32)*Inputs!$F$100/100*Construction!BI11/360</f>
        <v/>
      </c>
      <c r="BJ41" s="11">
        <f>Construction!BJ14*(Inputs!$F$99-BJ32)*Inputs!$F$100/100*Construction!BJ11/360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IF(Construction!J8=1,Inputs!$F$75*$F$25*Inputs!$F$89/100+Inputs!$F$76*$F$25*Inputs!$F$90/100+Inputs!$F$77*$F$25*Inputs!$F$91/100+Inputs!$F$78*$F$25*Inputs!$F$92/100,0)</f>
        <v/>
      </c>
      <c r="K42" s="11">
        <f>IF(Construction!K8=1,Inputs!$F$75*$F$25*Inputs!$F$89/100+Inputs!$F$76*$F$25*Inputs!$F$90/100+Inputs!$F$77*$F$25*Inputs!$F$91/100+Inputs!$F$78*$F$25*Inputs!$F$92/100,0)</f>
        <v/>
      </c>
      <c r="L42" s="11">
        <f>IF(Construction!L8=1,Inputs!$F$75*$F$25*Inputs!$F$89/100+Inputs!$F$76*$F$25*Inputs!$F$90/100+Inputs!$F$77*$F$25*Inputs!$F$91/100+Inputs!$F$78*$F$25*Inputs!$F$92/100,0)</f>
        <v/>
      </c>
      <c r="M42" s="11">
        <f>IF(Construction!M8=1,Inputs!$F$75*$F$25*Inputs!$F$89/100+Inputs!$F$76*$F$25*Inputs!$F$90/100+Inputs!$F$77*$F$25*Inputs!$F$91/100+Inputs!$F$78*$F$25*Inputs!$F$92/100,0)</f>
        <v/>
      </c>
      <c r="N42" s="11">
        <f>IF(Construction!N8=1,Inputs!$F$75*$F$25*Inputs!$F$89/100+Inputs!$F$76*$F$25*Inputs!$F$90/100+Inputs!$F$77*$F$25*Inputs!$F$91/100+Inputs!$F$78*$F$25*Inputs!$F$92/100,0)</f>
        <v/>
      </c>
      <c r="O42" s="11">
        <f>IF(Construction!O8=1,Inputs!$F$75*$F$25*Inputs!$F$89/100+Inputs!$F$76*$F$25*Inputs!$F$90/100+Inputs!$F$77*$F$25*Inputs!$F$91/100+Inputs!$F$78*$F$25*Inputs!$F$92/100,0)</f>
        <v/>
      </c>
      <c r="P42" s="11">
        <f>IF(Construction!P8=1,Inputs!$F$75*$F$25*Inputs!$F$89/100+Inputs!$F$76*$F$25*Inputs!$F$90/100+Inputs!$F$77*$F$25*Inputs!$F$91/100+Inputs!$F$78*$F$25*Inputs!$F$92/100,0)</f>
        <v/>
      </c>
      <c r="Q42" s="11">
        <f>IF(Construction!Q8=1,Inputs!$F$75*$F$25*Inputs!$F$89/100+Inputs!$F$76*$F$25*Inputs!$F$90/100+Inputs!$F$77*$F$25*Inputs!$F$91/100+Inputs!$F$78*$F$25*Inputs!$F$92/100,0)</f>
        <v/>
      </c>
      <c r="R42" s="11">
        <f>IF(Construction!R8=1,Inputs!$F$75*$F$25*Inputs!$F$89/100+Inputs!$F$76*$F$25*Inputs!$F$90/100+Inputs!$F$77*$F$25*Inputs!$F$91/100+Inputs!$F$78*$F$25*Inputs!$F$92/100,0)</f>
        <v/>
      </c>
      <c r="S42" s="11">
        <f>IF(Construction!S8=1,Inputs!$F$75*$F$25*Inputs!$F$89/100+Inputs!$F$76*$F$25*Inputs!$F$90/100+Inputs!$F$77*$F$25*Inputs!$F$91/100+Inputs!$F$78*$F$25*Inputs!$F$92/100,0)</f>
        <v/>
      </c>
      <c r="T42" s="11">
        <f>IF(Construction!T8=1,Inputs!$F$75*$F$25*Inputs!$F$89/100+Inputs!$F$76*$F$25*Inputs!$F$90/100+Inputs!$F$77*$F$25*Inputs!$F$91/100+Inputs!$F$78*$F$25*Inputs!$F$92/100,0)</f>
        <v/>
      </c>
      <c r="U42" s="11">
        <f>IF(Construction!U8=1,Inputs!$F$75*$F$25*Inputs!$F$89/100+Inputs!$F$76*$F$25*Inputs!$F$90/100+Inputs!$F$77*$F$25*Inputs!$F$91/100+Inputs!$F$78*$F$25*Inputs!$F$92/100,0)</f>
        <v/>
      </c>
      <c r="V42" s="11">
        <f>IF(Construction!V8=1,Inputs!$F$75*$F$25*Inputs!$F$89/100+Inputs!$F$76*$F$25*Inputs!$F$90/100+Inputs!$F$77*$F$25*Inputs!$F$91/100+Inputs!$F$78*$F$25*Inputs!$F$92/100,0)</f>
        <v/>
      </c>
      <c r="W42" s="11">
        <f>IF(Construction!W8=1,Inputs!$F$75*$F$25*Inputs!$F$89/100+Inputs!$F$76*$F$25*Inputs!$F$90/100+Inputs!$F$77*$F$25*Inputs!$F$91/100+Inputs!$F$78*$F$25*Inputs!$F$92/100,0)</f>
        <v/>
      </c>
      <c r="X42" s="11">
        <f>IF(Construction!X8=1,Inputs!$F$75*$F$25*Inputs!$F$89/100+Inputs!$F$76*$F$25*Inputs!$F$90/100+Inputs!$F$77*$F$25*Inputs!$F$91/100+Inputs!$F$78*$F$25*Inputs!$F$92/100,0)</f>
        <v/>
      </c>
      <c r="Y42" s="11">
        <f>IF(Construction!Y8=1,Inputs!$F$75*$F$25*Inputs!$F$89/100+Inputs!$F$76*$F$25*Inputs!$F$90/100+Inputs!$F$77*$F$25*Inputs!$F$91/100+Inputs!$F$78*$F$25*Inputs!$F$92/100,0)</f>
        <v/>
      </c>
      <c r="Z42" s="11">
        <f>IF(Construction!Z8=1,Inputs!$F$75*$F$25*Inputs!$F$89/100+Inputs!$F$76*$F$25*Inputs!$F$90/100+Inputs!$F$77*$F$25*Inputs!$F$91/100+Inputs!$F$78*$F$25*Inputs!$F$92/100,0)</f>
        <v/>
      </c>
      <c r="AA42" s="11">
        <f>IF(Construction!AA8=1,Inputs!$F$75*$F$25*Inputs!$F$89/100+Inputs!$F$76*$F$25*Inputs!$F$90/100+Inputs!$F$77*$F$25*Inputs!$F$91/100+Inputs!$F$78*$F$25*Inputs!$F$92/100,0)</f>
        <v/>
      </c>
      <c r="AB42" s="11">
        <f>IF(Construction!AB8=1,Inputs!$F$75*$F$25*Inputs!$F$89/100+Inputs!$F$76*$F$25*Inputs!$F$90/100+Inputs!$F$77*$F$25*Inputs!$F$91/100+Inputs!$F$78*$F$25*Inputs!$F$92/100,0)</f>
        <v/>
      </c>
      <c r="AC42" s="11">
        <f>IF(Construction!AC8=1,Inputs!$F$75*$F$25*Inputs!$F$89/100+Inputs!$F$76*$F$25*Inputs!$F$90/100+Inputs!$F$77*$F$25*Inputs!$F$91/100+Inputs!$F$78*$F$25*Inputs!$F$92/100,0)</f>
        <v/>
      </c>
      <c r="AD42" s="11">
        <f>IF(Construction!AD8=1,Inputs!$F$75*$F$25*Inputs!$F$89/100+Inputs!$F$76*$F$25*Inputs!$F$90/100+Inputs!$F$77*$F$25*Inputs!$F$91/100+Inputs!$F$78*$F$25*Inputs!$F$92/100,0)</f>
        <v/>
      </c>
      <c r="AE42" s="11">
        <f>IF(Construction!AE8=1,Inputs!$F$75*$F$25*Inputs!$F$89/100+Inputs!$F$76*$F$25*Inputs!$F$90/100+Inputs!$F$77*$F$25*Inputs!$F$91/100+Inputs!$F$78*$F$25*Inputs!$F$92/100,0)</f>
        <v/>
      </c>
      <c r="AF42" s="11">
        <f>IF(Construction!AF8=1,Inputs!$F$75*$F$25*Inputs!$F$89/100+Inputs!$F$76*$F$25*Inputs!$F$90/100+Inputs!$F$77*$F$25*Inputs!$F$91/100+Inputs!$F$78*$F$25*Inputs!$F$92/100,0)</f>
        <v/>
      </c>
      <c r="AG42" s="11">
        <f>IF(Construction!AG8=1,Inputs!$F$75*$F$25*Inputs!$F$89/100+Inputs!$F$76*$F$25*Inputs!$F$90/100+Inputs!$F$77*$F$25*Inputs!$F$91/100+Inputs!$F$78*$F$25*Inputs!$F$92/100,0)</f>
        <v/>
      </c>
      <c r="AH42" s="11">
        <f>IF(Construction!AH8=1,Inputs!$F$75*$F$25*Inputs!$F$89/100+Inputs!$F$76*$F$25*Inputs!$F$90/100+Inputs!$F$77*$F$25*Inputs!$F$91/100+Inputs!$F$78*$F$25*Inputs!$F$92/100,0)</f>
        <v/>
      </c>
      <c r="AI42" s="11">
        <f>IF(Construction!AI8=1,Inputs!$F$75*$F$25*Inputs!$F$89/100+Inputs!$F$76*$F$25*Inputs!$F$90/100+Inputs!$F$77*$F$25*Inputs!$F$91/100+Inputs!$F$78*$F$25*Inputs!$F$92/100,0)</f>
        <v/>
      </c>
      <c r="AJ42" s="11">
        <f>IF(Construction!AJ8=1,Inputs!$F$75*$F$25*Inputs!$F$89/100+Inputs!$F$76*$F$25*Inputs!$F$90/100+Inputs!$F$77*$F$25*Inputs!$F$91/100+Inputs!$F$78*$F$25*Inputs!$F$92/100,0)</f>
        <v/>
      </c>
      <c r="AK42" s="11">
        <f>IF(Construction!AK8=1,Inputs!$F$75*$F$25*Inputs!$F$89/100+Inputs!$F$76*$F$25*Inputs!$F$90/100+Inputs!$F$77*$F$25*Inputs!$F$91/100+Inputs!$F$78*$F$25*Inputs!$F$92/100,0)</f>
        <v/>
      </c>
      <c r="AL42" s="11">
        <f>IF(Construction!AL8=1,Inputs!$F$75*$F$25*Inputs!$F$89/100+Inputs!$F$76*$F$25*Inputs!$F$90/100+Inputs!$F$77*$F$25*Inputs!$F$91/100+Inputs!$F$78*$F$25*Inputs!$F$92/100,0)</f>
        <v/>
      </c>
      <c r="AM42" s="11">
        <f>IF(Construction!AM8=1,Inputs!$F$75*$F$25*Inputs!$F$89/100+Inputs!$F$76*$F$25*Inputs!$F$90/100+Inputs!$F$77*$F$25*Inputs!$F$91/100+Inputs!$F$78*$F$25*Inputs!$F$92/100,0)</f>
        <v/>
      </c>
      <c r="AN42" s="11">
        <f>IF(Construction!AN8=1,Inputs!$F$75*$F$25*Inputs!$F$89/100+Inputs!$F$76*$F$25*Inputs!$F$90/100+Inputs!$F$77*$F$25*Inputs!$F$91/100+Inputs!$F$78*$F$25*Inputs!$F$92/100,0)</f>
        <v/>
      </c>
      <c r="AO42" s="11">
        <f>IF(Construction!AO8=1,Inputs!$F$75*$F$25*Inputs!$F$89/100+Inputs!$F$76*$F$25*Inputs!$F$90/100+Inputs!$F$77*$F$25*Inputs!$F$91/100+Inputs!$F$78*$F$25*Inputs!$F$92/100,0)</f>
        <v/>
      </c>
      <c r="AP42" s="11">
        <f>IF(Construction!AP8=1,Inputs!$F$75*$F$25*Inputs!$F$89/100+Inputs!$F$76*$F$25*Inputs!$F$90/100+Inputs!$F$77*$F$25*Inputs!$F$91/100+Inputs!$F$78*$F$25*Inputs!$F$92/100,0)</f>
        <v/>
      </c>
      <c r="AQ42" s="11">
        <f>IF(Construction!AQ8=1,Inputs!$F$75*$F$25*Inputs!$F$89/100+Inputs!$F$76*$F$25*Inputs!$F$90/100+Inputs!$F$77*$F$25*Inputs!$F$91/100+Inputs!$F$78*$F$25*Inputs!$F$92/100,0)</f>
        <v/>
      </c>
      <c r="AR42" s="11">
        <f>IF(Construction!AR8=1,Inputs!$F$75*$F$25*Inputs!$F$89/100+Inputs!$F$76*$F$25*Inputs!$F$90/100+Inputs!$F$77*$F$25*Inputs!$F$91/100+Inputs!$F$78*$F$25*Inputs!$F$92/100,0)</f>
        <v/>
      </c>
      <c r="AS42" s="11">
        <f>IF(Construction!AS8=1,Inputs!$F$75*$F$25*Inputs!$F$89/100+Inputs!$F$76*$F$25*Inputs!$F$90/100+Inputs!$F$77*$F$25*Inputs!$F$91/100+Inputs!$F$78*$F$25*Inputs!$F$92/100,0)</f>
        <v/>
      </c>
      <c r="AT42" s="11">
        <f>IF(Construction!AT8=1,Inputs!$F$75*$F$25*Inputs!$F$89/100+Inputs!$F$76*$F$25*Inputs!$F$90/100+Inputs!$F$77*$F$25*Inputs!$F$91/100+Inputs!$F$78*$F$25*Inputs!$F$92/100,0)</f>
        <v/>
      </c>
      <c r="AU42" s="11">
        <f>IF(Construction!AU8=1,Inputs!$F$75*$F$25*Inputs!$F$89/100+Inputs!$F$76*$F$25*Inputs!$F$90/100+Inputs!$F$77*$F$25*Inputs!$F$91/100+Inputs!$F$78*$F$25*Inputs!$F$92/100,0)</f>
        <v/>
      </c>
      <c r="AV42" s="11">
        <f>IF(Construction!AV8=1,Inputs!$F$75*$F$25*Inputs!$F$89/100+Inputs!$F$76*$F$25*Inputs!$F$90/100+Inputs!$F$77*$F$25*Inputs!$F$91/100+Inputs!$F$78*$F$25*Inputs!$F$92/100,0)</f>
        <v/>
      </c>
      <c r="AW42" s="11">
        <f>IF(Construction!AW8=1,Inputs!$F$75*$F$25*Inputs!$F$89/100+Inputs!$F$76*$F$25*Inputs!$F$90/100+Inputs!$F$77*$F$25*Inputs!$F$91/100+Inputs!$F$78*$F$25*Inputs!$F$92/100,0)</f>
        <v/>
      </c>
      <c r="AX42" s="11">
        <f>IF(Construction!AX8=1,Inputs!$F$75*$F$25*Inputs!$F$89/100+Inputs!$F$76*$F$25*Inputs!$F$90/100+Inputs!$F$77*$F$25*Inputs!$F$91/100+Inputs!$F$78*$F$25*Inputs!$F$92/100,0)</f>
        <v/>
      </c>
      <c r="AY42" s="11">
        <f>IF(Construction!AY8=1,Inputs!$F$75*$F$25*Inputs!$F$89/100+Inputs!$F$76*$F$25*Inputs!$F$90/100+Inputs!$F$77*$F$25*Inputs!$F$91/100+Inputs!$F$78*$F$25*Inputs!$F$92/100,0)</f>
        <v/>
      </c>
      <c r="AZ42" s="11">
        <f>IF(Construction!AZ8=1,Inputs!$F$75*$F$25*Inputs!$F$89/100+Inputs!$F$76*$F$25*Inputs!$F$90/100+Inputs!$F$77*$F$25*Inputs!$F$91/100+Inputs!$F$78*$F$25*Inputs!$F$92/100,0)</f>
        <v/>
      </c>
      <c r="BA42" s="11">
        <f>IF(Construction!BA8=1,Inputs!$F$75*$F$25*Inputs!$F$89/100+Inputs!$F$76*$F$25*Inputs!$F$90/100+Inputs!$F$77*$F$25*Inputs!$F$91/100+Inputs!$F$78*$F$25*Inputs!$F$92/100,0)</f>
        <v/>
      </c>
      <c r="BB42" s="11">
        <f>IF(Construction!BB8=1,Inputs!$F$75*$F$25*Inputs!$F$89/100+Inputs!$F$76*$F$25*Inputs!$F$90/100+Inputs!$F$77*$F$25*Inputs!$F$91/100+Inputs!$F$78*$F$25*Inputs!$F$92/100,0)</f>
        <v/>
      </c>
      <c r="BC42" s="11">
        <f>IF(Construction!BC8=1,Inputs!$F$75*$F$25*Inputs!$F$89/100+Inputs!$F$76*$F$25*Inputs!$F$90/100+Inputs!$F$77*$F$25*Inputs!$F$91/100+Inputs!$F$78*$F$25*Inputs!$F$92/100,0)</f>
        <v/>
      </c>
      <c r="BD42" s="11">
        <f>IF(Construction!BD8=1,Inputs!$F$75*$F$25*Inputs!$F$89/100+Inputs!$F$76*$F$25*Inputs!$F$90/100+Inputs!$F$77*$F$25*Inputs!$F$91/100+Inputs!$F$78*$F$25*Inputs!$F$92/100,0)</f>
        <v/>
      </c>
      <c r="BE42" s="11">
        <f>IF(Construction!BE8=1,Inputs!$F$75*$F$25*Inputs!$F$89/100+Inputs!$F$76*$F$25*Inputs!$F$90/100+Inputs!$F$77*$F$25*Inputs!$F$91/100+Inputs!$F$78*$F$25*Inputs!$F$92/100,0)</f>
        <v/>
      </c>
      <c r="BF42" s="11">
        <f>IF(Construction!BF8=1,Inputs!$F$75*$F$25*Inputs!$F$89/100+Inputs!$F$76*$F$25*Inputs!$F$90/100+Inputs!$F$77*$F$25*Inputs!$F$91/100+Inputs!$F$78*$F$25*Inputs!$F$92/100,0)</f>
        <v/>
      </c>
      <c r="BG42" s="11">
        <f>IF(Construction!BG8=1,Inputs!$F$75*$F$25*Inputs!$F$89/100+Inputs!$F$76*$F$25*Inputs!$F$90/100+Inputs!$F$77*$F$25*Inputs!$F$91/100+Inputs!$F$78*$F$25*Inputs!$F$92/100,0)</f>
        <v/>
      </c>
      <c r="BH42" s="11">
        <f>IF(Construction!BH8=1,Inputs!$F$75*$F$25*Inputs!$F$89/100+Inputs!$F$76*$F$25*Inputs!$F$90/100+Inputs!$F$77*$F$25*Inputs!$F$91/100+Inputs!$F$78*$F$25*Inputs!$F$92/100,0)</f>
        <v/>
      </c>
      <c r="BI42" s="11">
        <f>IF(Construction!BI8=1,Inputs!$F$75*$F$25*Inputs!$F$89/100+Inputs!$F$76*$F$25*Inputs!$F$90/100+Inputs!$F$77*$F$25*Inputs!$F$91/100+Inputs!$F$78*$F$25*Inputs!$F$92/100,0)</f>
        <v/>
      </c>
      <c r="BJ42" s="11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Construction!J14*Inputs!$F$107/12</f>
        <v/>
      </c>
      <c r="K43" s="11">
        <f>Construction!K14*Inputs!$F$107/12</f>
        <v/>
      </c>
      <c r="L43" s="11">
        <f>Construction!L14*Inputs!$F$107/12</f>
        <v/>
      </c>
      <c r="M43" s="11">
        <f>Construction!M14*Inputs!$F$107/12</f>
        <v/>
      </c>
      <c r="N43" s="11">
        <f>Construction!N14*Inputs!$F$107/12</f>
        <v/>
      </c>
      <c r="O43" s="11">
        <f>Construction!O14*Inputs!$F$107/12</f>
        <v/>
      </c>
      <c r="P43" s="11">
        <f>Construction!P14*Inputs!$F$107/12</f>
        <v/>
      </c>
      <c r="Q43" s="11">
        <f>Construction!Q14*Inputs!$F$107/12</f>
        <v/>
      </c>
      <c r="R43" s="11">
        <f>Construction!R14*Inputs!$F$107/12</f>
        <v/>
      </c>
      <c r="S43" s="11">
        <f>Construction!S14*Inputs!$F$107/12</f>
        <v/>
      </c>
      <c r="T43" s="11">
        <f>Construction!T14*Inputs!$F$107/12</f>
        <v/>
      </c>
      <c r="U43" s="11">
        <f>Construction!U14*Inputs!$F$107/12</f>
        <v/>
      </c>
      <c r="V43" s="11">
        <f>Construction!V14*Inputs!$F$107/12</f>
        <v/>
      </c>
      <c r="W43" s="11">
        <f>Construction!W14*Inputs!$F$107/12</f>
        <v/>
      </c>
      <c r="X43" s="11">
        <f>Construction!X14*Inputs!$F$107/12</f>
        <v/>
      </c>
      <c r="Y43" s="11">
        <f>Construction!Y14*Inputs!$F$107/12</f>
        <v/>
      </c>
      <c r="Z43" s="11">
        <f>Construction!Z14*Inputs!$F$107/12</f>
        <v/>
      </c>
      <c r="AA43" s="11">
        <f>Construction!AA14*Inputs!$F$107/12</f>
        <v/>
      </c>
      <c r="AB43" s="11">
        <f>Construction!AB14*Inputs!$F$107/12</f>
        <v/>
      </c>
      <c r="AC43" s="11">
        <f>Construction!AC14*Inputs!$F$107/12</f>
        <v/>
      </c>
      <c r="AD43" s="11">
        <f>Construction!AD14*Inputs!$F$107/12</f>
        <v/>
      </c>
      <c r="AE43" s="11">
        <f>Construction!AE14*Inputs!$F$107/12</f>
        <v/>
      </c>
      <c r="AF43" s="11">
        <f>Construction!AF14*Inputs!$F$107/12</f>
        <v/>
      </c>
      <c r="AG43" s="11">
        <f>Construction!AG14*Inputs!$F$107/12</f>
        <v/>
      </c>
      <c r="AH43" s="11">
        <f>Construction!AH14*Inputs!$F$107/12</f>
        <v/>
      </c>
      <c r="AI43" s="11">
        <f>Construction!AI14*Inputs!$F$107/12</f>
        <v/>
      </c>
      <c r="AJ43" s="11">
        <f>Construction!AJ14*Inputs!$F$107/12</f>
        <v/>
      </c>
      <c r="AK43" s="11">
        <f>Construction!AK14*Inputs!$F$107/12</f>
        <v/>
      </c>
      <c r="AL43" s="11">
        <f>Construction!AL14*Inputs!$F$107/12</f>
        <v/>
      </c>
      <c r="AM43" s="11">
        <f>Construction!AM14*Inputs!$F$107/12</f>
        <v/>
      </c>
      <c r="AN43" s="11">
        <f>Construction!AN14*Inputs!$F$107/12</f>
        <v/>
      </c>
      <c r="AO43" s="11">
        <f>Construction!AO14*Inputs!$F$107/12</f>
        <v/>
      </c>
      <c r="AP43" s="11">
        <f>Construction!AP14*Inputs!$F$107/12</f>
        <v/>
      </c>
      <c r="AQ43" s="11">
        <f>Construction!AQ14*Inputs!$F$107/12</f>
        <v/>
      </c>
      <c r="AR43" s="11">
        <f>Construction!AR14*Inputs!$F$107/12</f>
        <v/>
      </c>
      <c r="AS43" s="11">
        <f>Construction!AS14*Inputs!$F$107/12</f>
        <v/>
      </c>
      <c r="AT43" s="11">
        <f>Construction!AT14*Inputs!$F$107/12</f>
        <v/>
      </c>
      <c r="AU43" s="11">
        <f>Construction!AU14*Inputs!$F$107/12</f>
        <v/>
      </c>
      <c r="AV43" s="11">
        <f>Construction!AV14*Inputs!$F$107/12</f>
        <v/>
      </c>
      <c r="AW43" s="11">
        <f>Construction!AW14*Inputs!$F$107/12</f>
        <v/>
      </c>
      <c r="AX43" s="11">
        <f>Construction!AX14*Inputs!$F$107/12</f>
        <v/>
      </c>
      <c r="AY43" s="11">
        <f>Construction!AY14*Inputs!$F$107/12</f>
        <v/>
      </c>
      <c r="AZ43" s="11">
        <f>Construction!AZ14*Inputs!$F$107/12</f>
        <v/>
      </c>
      <c r="BA43" s="11">
        <f>Construction!BA14*Inputs!$F$107/12</f>
        <v/>
      </c>
      <c r="BB43" s="11">
        <f>Construction!BB14*Inputs!$F$107/12</f>
        <v/>
      </c>
      <c r="BC43" s="11">
        <f>Construction!BC14*Inputs!$F$107/12</f>
        <v/>
      </c>
      <c r="BD43" s="11">
        <f>Construction!BD14*Inputs!$F$107/12</f>
        <v/>
      </c>
      <c r="BE43" s="11">
        <f>Construction!BE14*Inputs!$F$107/12</f>
        <v/>
      </c>
      <c r="BF43" s="11">
        <f>Construction!BF14*Inputs!$F$107/12</f>
        <v/>
      </c>
      <c r="BG43" s="11">
        <f>Construction!BG14*Inputs!$F$107/12</f>
        <v/>
      </c>
      <c r="BH43" s="11">
        <f>Construction!BH14*Inputs!$F$107/12</f>
        <v/>
      </c>
      <c r="BI43" s="11">
        <f>Construction!BI14*Inputs!$F$107/12</f>
        <v/>
      </c>
      <c r="BJ43" s="11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Construction!J15*IF(Inputs!$F$34=1,$F$12*Inputs!$F$75*$F$25+$F$13*Inputs!$F$76*$F$25+$F$14*Inputs!$F$77*$F$25+$F$15*Inputs!$F$78*$F$25+$F$17,$F$12*J28+$F$13*J29+$F$14*J30+$F$15*J31+$F$16*J32+$F$17)</f>
        <v/>
      </c>
      <c r="K44" s="11">
        <f>Construction!K15*IF(Inputs!$F$34=1,$F$12*Inputs!$F$75*$F$25+$F$13*Inputs!$F$76*$F$25+$F$14*Inputs!$F$77*$F$25+$F$15*Inputs!$F$78*$F$25+$F$17,$F$12*K28+$F$13*K29+$F$14*K30+$F$15*K31+$F$16*K32+$F$17)</f>
        <v/>
      </c>
      <c r="L44" s="11">
        <f>Construction!L15*IF(Inputs!$F$34=1,$F$12*Inputs!$F$75*$F$25+$F$13*Inputs!$F$76*$F$25+$F$14*Inputs!$F$77*$F$25+$F$15*Inputs!$F$78*$F$25+$F$17,$F$12*L28+$F$13*L29+$F$14*L30+$F$15*L31+$F$16*L32+$F$17)</f>
        <v/>
      </c>
      <c r="M44" s="11">
        <f>Construction!M15*IF(Inputs!$F$34=1,$F$12*Inputs!$F$75*$F$25+$F$13*Inputs!$F$76*$F$25+$F$14*Inputs!$F$77*$F$25+$F$15*Inputs!$F$78*$F$25+$F$17,$F$12*M28+$F$13*M29+$F$14*M30+$F$15*M31+$F$16*M32+$F$17)</f>
        <v/>
      </c>
      <c r="N44" s="11">
        <f>Construction!N15*IF(Inputs!$F$34=1,$F$12*Inputs!$F$75*$F$25+$F$13*Inputs!$F$76*$F$25+$F$14*Inputs!$F$77*$F$25+$F$15*Inputs!$F$78*$F$25+$F$17,$F$12*N28+$F$13*N29+$F$14*N30+$F$15*N31+$F$16*N32+$F$17)</f>
        <v/>
      </c>
      <c r="O44" s="11">
        <f>Construction!O15*IF(Inputs!$F$34=1,$F$12*Inputs!$F$75*$F$25+$F$13*Inputs!$F$76*$F$25+$F$14*Inputs!$F$77*$F$25+$F$15*Inputs!$F$78*$F$25+$F$17,$F$12*O28+$F$13*O29+$F$14*O30+$F$15*O31+$F$16*O32+$F$17)</f>
        <v/>
      </c>
      <c r="P44" s="11">
        <f>Construction!P15*IF(Inputs!$F$34=1,$F$12*Inputs!$F$75*$F$25+$F$13*Inputs!$F$76*$F$25+$F$14*Inputs!$F$77*$F$25+$F$15*Inputs!$F$78*$F$25+$F$17,$F$12*P28+$F$13*P29+$F$14*P30+$F$15*P31+$F$16*P32+$F$17)</f>
        <v/>
      </c>
      <c r="Q44" s="11">
        <f>Construction!Q15*IF(Inputs!$F$34=1,$F$12*Inputs!$F$75*$F$25+$F$13*Inputs!$F$76*$F$25+$F$14*Inputs!$F$77*$F$25+$F$15*Inputs!$F$78*$F$25+$F$17,$F$12*Q28+$F$13*Q29+$F$14*Q30+$F$15*Q31+$F$16*Q32+$F$17)</f>
        <v/>
      </c>
      <c r="R44" s="11">
        <f>Construction!R15*IF(Inputs!$F$34=1,$F$12*Inputs!$F$75*$F$25+$F$13*Inputs!$F$76*$F$25+$F$14*Inputs!$F$77*$F$25+$F$15*Inputs!$F$78*$F$25+$F$17,$F$12*R28+$F$13*R29+$F$14*R30+$F$15*R31+$F$16*R32+$F$17)</f>
        <v/>
      </c>
      <c r="S44" s="11">
        <f>Construction!S15*IF(Inputs!$F$34=1,$F$12*Inputs!$F$75*$F$25+$F$13*Inputs!$F$76*$F$25+$F$14*Inputs!$F$77*$F$25+$F$15*Inputs!$F$78*$F$25+$F$17,$F$12*S28+$F$13*S29+$F$14*S30+$F$15*S31+$F$16*S32+$F$17)</f>
        <v/>
      </c>
      <c r="T44" s="11">
        <f>Construction!T15*IF(Inputs!$F$34=1,$F$12*Inputs!$F$75*$F$25+$F$13*Inputs!$F$76*$F$25+$F$14*Inputs!$F$77*$F$25+$F$15*Inputs!$F$78*$F$25+$F$17,$F$12*T28+$F$13*T29+$F$14*T30+$F$15*T31+$F$16*T32+$F$17)</f>
        <v/>
      </c>
      <c r="U44" s="11">
        <f>Construction!U15*IF(Inputs!$F$34=1,$F$12*Inputs!$F$75*$F$25+$F$13*Inputs!$F$76*$F$25+$F$14*Inputs!$F$77*$F$25+$F$15*Inputs!$F$78*$F$25+$F$17,$F$12*U28+$F$13*U29+$F$14*U30+$F$15*U31+$F$16*U32+$F$17)</f>
        <v/>
      </c>
      <c r="V44" s="11">
        <f>Construction!V15*IF(Inputs!$F$34=1,$F$12*Inputs!$F$75*$F$25+$F$13*Inputs!$F$76*$F$25+$F$14*Inputs!$F$77*$F$25+$F$15*Inputs!$F$78*$F$25+$F$17,$F$12*V28+$F$13*V29+$F$14*V30+$F$15*V31+$F$16*V32+$F$17)</f>
        <v/>
      </c>
      <c r="W44" s="11">
        <f>Construction!W15*IF(Inputs!$F$34=1,$F$12*Inputs!$F$75*$F$25+$F$13*Inputs!$F$76*$F$25+$F$14*Inputs!$F$77*$F$25+$F$15*Inputs!$F$78*$F$25+$F$17,$F$12*W28+$F$13*W29+$F$14*W30+$F$15*W31+$F$16*W32+$F$17)</f>
        <v/>
      </c>
      <c r="X44" s="11">
        <f>Construction!X15*IF(Inputs!$F$34=1,$F$12*Inputs!$F$75*$F$25+$F$13*Inputs!$F$76*$F$25+$F$14*Inputs!$F$77*$F$25+$F$15*Inputs!$F$78*$F$25+$F$17,$F$12*X28+$F$13*X29+$F$14*X30+$F$15*X31+$F$16*X32+$F$17)</f>
        <v/>
      </c>
      <c r="Y44" s="11">
        <f>Construction!Y15*IF(Inputs!$F$34=1,$F$12*Inputs!$F$75*$F$25+$F$13*Inputs!$F$76*$F$25+$F$14*Inputs!$F$77*$F$25+$F$15*Inputs!$F$78*$F$25+$F$17,$F$12*Y28+$F$13*Y29+$F$14*Y30+$F$15*Y31+$F$16*Y32+$F$17)</f>
        <v/>
      </c>
      <c r="Z44" s="11">
        <f>Construction!Z15*IF(Inputs!$F$34=1,$F$12*Inputs!$F$75*$F$25+$F$13*Inputs!$F$76*$F$25+$F$14*Inputs!$F$77*$F$25+$F$15*Inputs!$F$78*$F$25+$F$17,$F$12*Z28+$F$13*Z29+$F$14*Z30+$F$15*Z31+$F$16*Z32+$F$17)</f>
        <v/>
      </c>
      <c r="AA44" s="11">
        <f>Construction!AA15*IF(Inputs!$F$34=1,$F$12*Inputs!$F$75*$F$25+$F$13*Inputs!$F$76*$F$25+$F$14*Inputs!$F$77*$F$25+$F$15*Inputs!$F$78*$F$25+$F$17,$F$12*AA28+$F$13*AA29+$F$14*AA30+$F$15*AA31+$F$16*AA32+$F$17)</f>
        <v/>
      </c>
      <c r="AB44" s="11">
        <f>Construction!AB15*IF(Inputs!$F$34=1,$F$12*Inputs!$F$75*$F$25+$F$13*Inputs!$F$76*$F$25+$F$14*Inputs!$F$77*$F$25+$F$15*Inputs!$F$78*$F$25+$F$17,$F$12*AB28+$F$13*AB29+$F$14*AB30+$F$15*AB31+$F$16*AB32+$F$17)</f>
        <v/>
      </c>
      <c r="AC44" s="11">
        <f>Construction!AC15*IF(Inputs!$F$34=1,$F$12*Inputs!$F$75*$F$25+$F$13*Inputs!$F$76*$F$25+$F$14*Inputs!$F$77*$F$25+$F$15*Inputs!$F$78*$F$25+$F$17,$F$12*AC28+$F$13*AC29+$F$14*AC30+$F$15*AC31+$F$16*AC32+$F$17)</f>
        <v/>
      </c>
      <c r="AD44" s="11">
        <f>Construction!AD15*IF(Inputs!$F$34=1,$F$12*Inputs!$F$75*$F$25+$F$13*Inputs!$F$76*$F$25+$F$14*Inputs!$F$77*$F$25+$F$15*Inputs!$F$78*$F$25+$F$17,$F$12*AD28+$F$13*AD29+$F$14*AD30+$F$15*AD31+$F$16*AD32+$F$17)</f>
        <v/>
      </c>
      <c r="AE44" s="11">
        <f>Construction!AE15*IF(Inputs!$F$34=1,$F$12*Inputs!$F$75*$F$25+$F$13*Inputs!$F$76*$F$25+$F$14*Inputs!$F$77*$F$25+$F$15*Inputs!$F$78*$F$25+$F$17,$F$12*AE28+$F$13*AE29+$F$14*AE30+$F$15*AE31+$F$16*AE32+$F$17)</f>
        <v/>
      </c>
      <c r="AF44" s="11">
        <f>Construction!AF15*IF(Inputs!$F$34=1,$F$12*Inputs!$F$75*$F$25+$F$13*Inputs!$F$76*$F$25+$F$14*Inputs!$F$77*$F$25+$F$15*Inputs!$F$78*$F$25+$F$17,$F$12*AF28+$F$13*AF29+$F$14*AF30+$F$15*AF31+$F$16*AF32+$F$17)</f>
        <v/>
      </c>
      <c r="AG44" s="11">
        <f>Construction!AG15*IF(Inputs!$F$34=1,$F$12*Inputs!$F$75*$F$25+$F$13*Inputs!$F$76*$F$25+$F$14*Inputs!$F$77*$F$25+$F$15*Inputs!$F$78*$F$25+$F$17,$F$12*AG28+$F$13*AG29+$F$14*AG30+$F$15*AG31+$F$16*AG32+$F$17)</f>
        <v/>
      </c>
      <c r="AH44" s="11">
        <f>Construction!AH15*IF(Inputs!$F$34=1,$F$12*Inputs!$F$75*$F$25+$F$13*Inputs!$F$76*$F$25+$F$14*Inputs!$F$77*$F$25+$F$15*Inputs!$F$78*$F$25+$F$17,$F$12*AH28+$F$13*AH29+$F$14*AH30+$F$15*AH31+$F$16*AH32+$F$17)</f>
        <v/>
      </c>
      <c r="AI44" s="11">
        <f>Construction!AI15*IF(Inputs!$F$34=1,$F$12*Inputs!$F$75*$F$25+$F$13*Inputs!$F$76*$F$25+$F$14*Inputs!$F$77*$F$25+$F$15*Inputs!$F$78*$F$25+$F$17,$F$12*AI28+$F$13*AI29+$F$14*AI30+$F$15*AI31+$F$16*AI32+$F$17)</f>
        <v/>
      </c>
      <c r="AJ44" s="11">
        <f>Construction!AJ15*IF(Inputs!$F$34=1,$F$12*Inputs!$F$75*$F$25+$F$13*Inputs!$F$76*$F$25+$F$14*Inputs!$F$77*$F$25+$F$15*Inputs!$F$78*$F$25+$F$17,$F$12*AJ28+$F$13*AJ29+$F$14*AJ30+$F$15*AJ31+$F$16*AJ32+$F$17)</f>
        <v/>
      </c>
      <c r="AK44" s="11">
        <f>Construction!AK15*IF(Inputs!$F$34=1,$F$12*Inputs!$F$75*$F$25+$F$13*Inputs!$F$76*$F$25+$F$14*Inputs!$F$77*$F$25+$F$15*Inputs!$F$78*$F$25+$F$17,$F$12*AK28+$F$13*AK29+$F$14*AK30+$F$15*AK31+$F$16*AK32+$F$17)</f>
        <v/>
      </c>
      <c r="AL44" s="11">
        <f>Construction!AL15*IF(Inputs!$F$34=1,$F$12*Inputs!$F$75*$F$25+$F$13*Inputs!$F$76*$F$25+$F$14*Inputs!$F$77*$F$25+$F$15*Inputs!$F$78*$F$25+$F$17,$F$12*AL28+$F$13*AL29+$F$14*AL30+$F$15*AL31+$F$16*AL32+$F$17)</f>
        <v/>
      </c>
      <c r="AM44" s="11">
        <f>Construction!AM15*IF(Inputs!$F$34=1,$F$12*Inputs!$F$75*$F$25+$F$13*Inputs!$F$76*$F$25+$F$14*Inputs!$F$77*$F$25+$F$15*Inputs!$F$78*$F$25+$F$17,$F$12*AM28+$F$13*AM29+$F$14*AM30+$F$15*AM31+$F$16*AM32+$F$17)</f>
        <v/>
      </c>
      <c r="AN44" s="11">
        <f>Construction!AN15*IF(Inputs!$F$34=1,$F$12*Inputs!$F$75*$F$25+$F$13*Inputs!$F$76*$F$25+$F$14*Inputs!$F$77*$F$25+$F$15*Inputs!$F$78*$F$25+$F$17,$F$12*AN28+$F$13*AN29+$F$14*AN30+$F$15*AN31+$F$16*AN32+$F$17)</f>
        <v/>
      </c>
      <c r="AO44" s="11">
        <f>Construction!AO15*IF(Inputs!$F$34=1,$F$12*Inputs!$F$75*$F$25+$F$13*Inputs!$F$76*$F$25+$F$14*Inputs!$F$77*$F$25+$F$15*Inputs!$F$78*$F$25+$F$17,$F$12*AO28+$F$13*AO29+$F$14*AO30+$F$15*AO31+$F$16*AO32+$F$17)</f>
        <v/>
      </c>
      <c r="AP44" s="11">
        <f>Construction!AP15*IF(Inputs!$F$34=1,$F$12*Inputs!$F$75*$F$25+$F$13*Inputs!$F$76*$F$25+$F$14*Inputs!$F$77*$F$25+$F$15*Inputs!$F$78*$F$25+$F$17,$F$12*AP28+$F$13*AP29+$F$14*AP30+$F$15*AP31+$F$16*AP32+$F$17)</f>
        <v/>
      </c>
      <c r="AQ44" s="11">
        <f>Construction!AQ15*IF(Inputs!$F$34=1,$F$12*Inputs!$F$75*$F$25+$F$13*Inputs!$F$76*$F$25+$F$14*Inputs!$F$77*$F$25+$F$15*Inputs!$F$78*$F$25+$F$17,$F$12*AQ28+$F$13*AQ29+$F$14*AQ30+$F$15*AQ31+$F$16*AQ32+$F$17)</f>
        <v/>
      </c>
      <c r="AR44" s="11">
        <f>Construction!AR15*IF(Inputs!$F$34=1,$F$12*Inputs!$F$75*$F$25+$F$13*Inputs!$F$76*$F$25+$F$14*Inputs!$F$77*$F$25+$F$15*Inputs!$F$78*$F$25+$F$17,$F$12*AR28+$F$13*AR29+$F$14*AR30+$F$15*AR31+$F$16*AR32+$F$17)</f>
        <v/>
      </c>
      <c r="AS44" s="11">
        <f>Construction!AS15*IF(Inputs!$F$34=1,$F$12*Inputs!$F$75*$F$25+$F$13*Inputs!$F$76*$F$25+$F$14*Inputs!$F$77*$F$25+$F$15*Inputs!$F$78*$F$25+$F$17,$F$12*AS28+$F$13*AS29+$F$14*AS30+$F$15*AS31+$F$16*AS32+$F$17)</f>
        <v/>
      </c>
      <c r="AT44" s="11">
        <f>Construction!AT15*IF(Inputs!$F$34=1,$F$12*Inputs!$F$75*$F$25+$F$13*Inputs!$F$76*$F$25+$F$14*Inputs!$F$77*$F$25+$F$15*Inputs!$F$78*$F$25+$F$17,$F$12*AT28+$F$13*AT29+$F$14*AT30+$F$15*AT31+$F$16*AT32+$F$17)</f>
        <v/>
      </c>
      <c r="AU44" s="11">
        <f>Construction!AU15*IF(Inputs!$F$34=1,$F$12*Inputs!$F$75*$F$25+$F$13*Inputs!$F$76*$F$25+$F$14*Inputs!$F$77*$F$25+$F$15*Inputs!$F$78*$F$25+$F$17,$F$12*AU28+$F$13*AU29+$F$14*AU30+$F$15*AU31+$F$16*AU32+$F$17)</f>
        <v/>
      </c>
      <c r="AV44" s="11">
        <f>Construction!AV15*IF(Inputs!$F$34=1,$F$12*Inputs!$F$75*$F$25+$F$13*Inputs!$F$76*$F$25+$F$14*Inputs!$F$77*$F$25+$F$15*Inputs!$F$78*$F$25+$F$17,$F$12*AV28+$F$13*AV29+$F$14*AV30+$F$15*AV31+$F$16*AV32+$F$17)</f>
        <v/>
      </c>
      <c r="AW44" s="11">
        <f>Construction!AW15*IF(Inputs!$F$34=1,$F$12*Inputs!$F$75*$F$25+$F$13*Inputs!$F$76*$F$25+$F$14*Inputs!$F$77*$F$25+$F$15*Inputs!$F$78*$F$25+$F$17,$F$12*AW28+$F$13*AW29+$F$14*AW30+$F$15*AW31+$F$16*AW32+$F$17)</f>
        <v/>
      </c>
      <c r="AX44" s="11">
        <f>Construction!AX15*IF(Inputs!$F$34=1,$F$12*Inputs!$F$75*$F$25+$F$13*Inputs!$F$76*$F$25+$F$14*Inputs!$F$77*$F$25+$F$15*Inputs!$F$78*$F$25+$F$17,$F$12*AX28+$F$13*AX29+$F$14*AX30+$F$15*AX31+$F$16*AX32+$F$17)</f>
        <v/>
      </c>
      <c r="AY44" s="11">
        <f>Construction!AY15*IF(Inputs!$F$34=1,$F$12*Inputs!$F$75*$F$25+$F$13*Inputs!$F$76*$F$25+$F$14*Inputs!$F$77*$F$25+$F$15*Inputs!$F$78*$F$25+$F$17,$F$12*AY28+$F$13*AY29+$F$14*AY30+$F$15*AY31+$F$16*AY32+$F$17)</f>
        <v/>
      </c>
      <c r="AZ44" s="11">
        <f>Construction!AZ15*IF(Inputs!$F$34=1,$F$12*Inputs!$F$75*$F$25+$F$13*Inputs!$F$76*$F$25+$F$14*Inputs!$F$77*$F$25+$F$15*Inputs!$F$78*$F$25+$F$17,$F$12*AZ28+$F$13*AZ29+$F$14*AZ30+$F$15*AZ31+$F$16*AZ32+$F$17)</f>
        <v/>
      </c>
      <c r="BA44" s="11">
        <f>Construction!BA15*IF(Inputs!$F$34=1,$F$12*Inputs!$F$75*$F$25+$F$13*Inputs!$F$76*$F$25+$F$14*Inputs!$F$77*$F$25+$F$15*Inputs!$F$78*$F$25+$F$17,$F$12*BA28+$F$13*BA29+$F$14*BA30+$F$15*BA31+$F$16*BA32+$F$17)</f>
        <v/>
      </c>
      <c r="BB44" s="11">
        <f>Construction!BB15*IF(Inputs!$F$34=1,$F$12*Inputs!$F$75*$F$25+$F$13*Inputs!$F$76*$F$25+$F$14*Inputs!$F$77*$F$25+$F$15*Inputs!$F$78*$F$25+$F$17,$F$12*BB28+$F$13*BB29+$F$14*BB30+$F$15*BB31+$F$16*BB32+$F$17)</f>
        <v/>
      </c>
      <c r="BC44" s="11">
        <f>Construction!BC15*IF(Inputs!$F$34=1,$F$12*Inputs!$F$75*$F$25+$F$13*Inputs!$F$76*$F$25+$F$14*Inputs!$F$77*$F$25+$F$15*Inputs!$F$78*$F$25+$F$17,$F$12*BC28+$F$13*BC29+$F$14*BC30+$F$15*BC31+$F$16*BC32+$F$17)</f>
        <v/>
      </c>
      <c r="BD44" s="11">
        <f>Construction!BD15*IF(Inputs!$F$34=1,$F$12*Inputs!$F$75*$F$25+$F$13*Inputs!$F$76*$F$25+$F$14*Inputs!$F$77*$F$25+$F$15*Inputs!$F$78*$F$25+$F$17,$F$12*BD28+$F$13*BD29+$F$14*BD30+$F$15*BD31+$F$16*BD32+$F$17)</f>
        <v/>
      </c>
      <c r="BE44" s="11">
        <f>Construction!BE15*IF(Inputs!$F$34=1,$F$12*Inputs!$F$75*$F$25+$F$13*Inputs!$F$76*$F$25+$F$14*Inputs!$F$77*$F$25+$F$15*Inputs!$F$78*$F$25+$F$17,$F$12*BE28+$F$13*BE29+$F$14*BE30+$F$15*BE31+$F$16*BE32+$F$17)</f>
        <v/>
      </c>
      <c r="BF44" s="11">
        <f>Construction!BF15*IF(Inputs!$F$34=1,$F$12*Inputs!$F$75*$F$25+$F$13*Inputs!$F$76*$F$25+$F$14*Inputs!$F$77*$F$25+$F$15*Inputs!$F$78*$F$25+$F$17,$F$12*BF28+$F$13*BF29+$F$14*BF30+$F$15*BF31+$F$16*BF32+$F$17)</f>
        <v/>
      </c>
      <c r="BG44" s="11">
        <f>Construction!BG15*IF(Inputs!$F$34=1,$F$12*Inputs!$F$75*$F$25+$F$13*Inputs!$F$76*$F$25+$F$14*Inputs!$F$77*$F$25+$F$15*Inputs!$F$78*$F$25+$F$17,$F$12*BG28+$F$13*BG29+$F$14*BG30+$F$15*BG31+$F$16*BG32+$F$17)</f>
        <v/>
      </c>
      <c r="BH44" s="11">
        <f>Construction!BH15*IF(Inputs!$F$34=1,$F$12*Inputs!$F$75*$F$25+$F$13*Inputs!$F$76*$F$25+$F$14*Inputs!$F$77*$F$25+$F$15*Inputs!$F$78*$F$25+$F$17,$F$12*BH28+$F$13*BH29+$F$14*BH30+$F$15*BH31+$F$16*BH32+$F$17)</f>
        <v/>
      </c>
      <c r="BI44" s="11">
        <f>Construction!BI15*IF(Inputs!$F$34=1,$F$12*Inputs!$F$75*$F$25+$F$13*Inputs!$F$76*$F$25+$F$14*Inputs!$F$77*$F$25+$F$15*Inputs!$F$78*$F$25+$F$17,$F$12*BI28+$F$13*BI29+$F$14*BI30+$F$15*BI31+$F$16*BI32+$F$17)</f>
        <v/>
      </c>
      <c r="BJ44" s="11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MIN($F$26*J45/(1-Inputs!$F$94/100*Inputs!$F$75*$F$26),J46)</f>
        <v/>
      </c>
      <c r="K47" s="11">
        <f>MIN($F$26*K45/(1-Inputs!$F$94/100*Inputs!$F$75*$F$26),K46)</f>
        <v/>
      </c>
      <c r="L47" s="11">
        <f>MIN($F$26*L45/(1-Inputs!$F$94/100*Inputs!$F$75*$F$26),L46)</f>
        <v/>
      </c>
      <c r="M47" s="11">
        <f>MIN($F$26*M45/(1-Inputs!$F$94/100*Inputs!$F$75*$F$26),M46)</f>
        <v/>
      </c>
      <c r="N47" s="11">
        <f>MIN($F$26*N45/(1-Inputs!$F$94/100*Inputs!$F$75*$F$26),N46)</f>
        <v/>
      </c>
      <c r="O47" s="11">
        <f>MIN($F$26*O45/(1-Inputs!$F$94/100*Inputs!$F$75*$F$26),O46)</f>
        <v/>
      </c>
      <c r="P47" s="11">
        <f>MIN($F$26*P45/(1-Inputs!$F$94/100*Inputs!$F$75*$F$26),P46)</f>
        <v/>
      </c>
      <c r="Q47" s="11">
        <f>MIN($F$26*Q45/(1-Inputs!$F$94/100*Inputs!$F$75*$F$26),Q46)</f>
        <v/>
      </c>
      <c r="R47" s="11">
        <f>MIN($F$26*R45/(1-Inputs!$F$94/100*Inputs!$F$75*$F$26),R46)</f>
        <v/>
      </c>
      <c r="S47" s="11">
        <f>MIN($F$26*S45/(1-Inputs!$F$94/100*Inputs!$F$75*$F$26),S46)</f>
        <v/>
      </c>
      <c r="T47" s="11">
        <f>MIN($F$26*T45/(1-Inputs!$F$94/100*Inputs!$F$75*$F$26),T46)</f>
        <v/>
      </c>
      <c r="U47" s="11">
        <f>MIN($F$26*U45/(1-Inputs!$F$94/100*Inputs!$F$75*$F$26),U46)</f>
        <v/>
      </c>
      <c r="V47" s="11">
        <f>MIN($F$26*V45/(1-Inputs!$F$94/100*Inputs!$F$75*$F$26),V46)</f>
        <v/>
      </c>
      <c r="W47" s="11">
        <f>MIN($F$26*W45/(1-Inputs!$F$94/100*Inputs!$F$75*$F$26),W46)</f>
        <v/>
      </c>
      <c r="X47" s="11">
        <f>MIN($F$26*X45/(1-Inputs!$F$94/100*Inputs!$F$75*$F$26),X46)</f>
        <v/>
      </c>
      <c r="Y47" s="11">
        <f>MIN($F$26*Y45/(1-Inputs!$F$94/100*Inputs!$F$75*$F$26),Y46)</f>
        <v/>
      </c>
      <c r="Z47" s="11">
        <f>MIN($F$26*Z45/(1-Inputs!$F$94/100*Inputs!$F$75*$F$26),Z46)</f>
        <v/>
      </c>
      <c r="AA47" s="11">
        <f>MIN($F$26*AA45/(1-Inputs!$F$94/100*Inputs!$F$75*$F$26),AA46)</f>
        <v/>
      </c>
      <c r="AB47" s="11">
        <f>MIN($F$26*AB45/(1-Inputs!$F$94/100*Inputs!$F$75*$F$26),AB46)</f>
        <v/>
      </c>
      <c r="AC47" s="11">
        <f>MIN($F$26*AC45/(1-Inputs!$F$94/100*Inputs!$F$75*$F$26),AC46)</f>
        <v/>
      </c>
      <c r="AD47" s="11">
        <f>MIN($F$26*AD45/(1-Inputs!$F$94/100*Inputs!$F$75*$F$26),AD46)</f>
        <v/>
      </c>
      <c r="AE47" s="11">
        <f>MIN($F$26*AE45/(1-Inputs!$F$94/100*Inputs!$F$75*$F$26),AE46)</f>
        <v/>
      </c>
      <c r="AF47" s="11">
        <f>MIN($F$26*AF45/(1-Inputs!$F$94/100*Inputs!$F$75*$F$26),AF46)</f>
        <v/>
      </c>
      <c r="AG47" s="11">
        <f>MIN($F$26*AG45/(1-Inputs!$F$94/100*Inputs!$F$75*$F$26),AG46)</f>
        <v/>
      </c>
      <c r="AH47" s="11">
        <f>MIN($F$26*AH45/(1-Inputs!$F$94/100*Inputs!$F$75*$F$26),AH46)</f>
        <v/>
      </c>
      <c r="AI47" s="11">
        <f>MIN($F$26*AI45/(1-Inputs!$F$94/100*Inputs!$F$75*$F$26),AI46)</f>
        <v/>
      </c>
      <c r="AJ47" s="11">
        <f>MIN($F$26*AJ45/(1-Inputs!$F$94/100*Inputs!$F$75*$F$26),AJ46)</f>
        <v/>
      </c>
      <c r="AK47" s="11">
        <f>MIN($F$26*AK45/(1-Inputs!$F$94/100*Inputs!$F$75*$F$26),AK46)</f>
        <v/>
      </c>
      <c r="AL47" s="11">
        <f>MIN($F$26*AL45/(1-Inputs!$F$94/100*Inputs!$F$75*$F$26),AL46)</f>
        <v/>
      </c>
      <c r="AM47" s="11">
        <f>MIN($F$26*AM45/(1-Inputs!$F$94/100*Inputs!$F$75*$F$26),AM46)</f>
        <v/>
      </c>
      <c r="AN47" s="11">
        <f>MIN($F$26*AN45/(1-Inputs!$F$94/100*Inputs!$F$75*$F$26),AN46)</f>
        <v/>
      </c>
      <c r="AO47" s="11">
        <f>MIN($F$26*AO45/(1-Inputs!$F$94/100*Inputs!$F$75*$F$26),AO46)</f>
        <v/>
      </c>
      <c r="AP47" s="11">
        <f>MIN($F$26*AP45/(1-Inputs!$F$94/100*Inputs!$F$75*$F$26),AP46)</f>
        <v/>
      </c>
      <c r="AQ47" s="11">
        <f>MIN($F$26*AQ45/(1-Inputs!$F$94/100*Inputs!$F$75*$F$26),AQ46)</f>
        <v/>
      </c>
      <c r="AR47" s="11">
        <f>MIN($F$26*AR45/(1-Inputs!$F$94/100*Inputs!$F$75*$F$26),AR46)</f>
        <v/>
      </c>
      <c r="AS47" s="11">
        <f>MIN($F$26*AS45/(1-Inputs!$F$94/100*Inputs!$F$75*$F$26),AS46)</f>
        <v/>
      </c>
      <c r="AT47" s="11">
        <f>MIN($F$26*AT45/(1-Inputs!$F$94/100*Inputs!$F$75*$F$26),AT46)</f>
        <v/>
      </c>
      <c r="AU47" s="11">
        <f>MIN($F$26*AU45/(1-Inputs!$F$94/100*Inputs!$F$75*$F$26),AU46)</f>
        <v/>
      </c>
      <c r="AV47" s="11">
        <f>MIN($F$26*AV45/(1-Inputs!$F$94/100*Inputs!$F$75*$F$26),AV46)</f>
        <v/>
      </c>
      <c r="AW47" s="11">
        <f>MIN($F$26*AW45/(1-Inputs!$F$94/100*Inputs!$F$75*$F$26),AW46)</f>
        <v/>
      </c>
      <c r="AX47" s="11">
        <f>MIN($F$26*AX45/(1-Inputs!$F$94/100*Inputs!$F$75*$F$26),AX46)</f>
        <v/>
      </c>
      <c r="AY47" s="11">
        <f>MIN($F$26*AY45/(1-Inputs!$F$94/100*Inputs!$F$75*$F$26),AY46)</f>
        <v/>
      </c>
      <c r="AZ47" s="11">
        <f>MIN($F$26*AZ45/(1-Inputs!$F$94/100*Inputs!$F$75*$F$26),AZ46)</f>
        <v/>
      </c>
      <c r="BA47" s="11">
        <f>MIN($F$26*BA45/(1-Inputs!$F$94/100*Inputs!$F$75*$F$26),BA46)</f>
        <v/>
      </c>
      <c r="BB47" s="11">
        <f>MIN($F$26*BB45/(1-Inputs!$F$94/100*Inputs!$F$75*$F$26),BB46)</f>
        <v/>
      </c>
      <c r="BC47" s="11">
        <f>MIN($F$26*BC45/(1-Inputs!$F$94/100*Inputs!$F$75*$F$26),BC46)</f>
        <v/>
      </c>
      <c r="BD47" s="11">
        <f>MIN($F$26*BD45/(1-Inputs!$F$94/100*Inputs!$F$75*$F$26),BD46)</f>
        <v/>
      </c>
      <c r="BE47" s="11">
        <f>MIN($F$26*BE45/(1-Inputs!$F$94/100*Inputs!$F$75*$F$26),BE46)</f>
        <v/>
      </c>
      <c r="BF47" s="11">
        <f>MIN($F$26*BF45/(1-Inputs!$F$94/100*Inputs!$F$75*$F$26),BF46)</f>
        <v/>
      </c>
      <c r="BG47" s="11">
        <f>MIN($F$26*BG45/(1-Inputs!$F$94/100*Inputs!$F$75*$F$26),BG46)</f>
        <v/>
      </c>
      <c r="BH47" s="11">
        <f>MIN($F$26*BH45/(1-Inputs!$F$94/100*Inputs!$F$75*$F$26),BH46)</f>
        <v/>
      </c>
      <c r="BI47" s="11">
        <f>MIN($F$26*BI45/(1-Inputs!$F$94/100*Inputs!$F$75*$F$26),BI46)</f>
        <v/>
      </c>
      <c r="BJ47" s="11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Inputs!$F$94/100*Inputs!$F$75*J47</f>
        <v/>
      </c>
      <c r="K48" s="11">
        <f>Inputs!$F$94/100*Inputs!$F$75*K47</f>
        <v/>
      </c>
      <c r="L48" s="11">
        <f>Inputs!$F$94/100*Inputs!$F$75*L47</f>
        <v/>
      </c>
      <c r="M48" s="11">
        <f>Inputs!$F$94/100*Inputs!$F$75*M47</f>
        <v/>
      </c>
      <c r="N48" s="11">
        <f>Inputs!$F$94/100*Inputs!$F$75*N47</f>
        <v/>
      </c>
      <c r="O48" s="11">
        <f>Inputs!$F$94/100*Inputs!$F$75*O47</f>
        <v/>
      </c>
      <c r="P48" s="11">
        <f>Inputs!$F$94/100*Inputs!$F$75*P47</f>
        <v/>
      </c>
      <c r="Q48" s="11">
        <f>Inputs!$F$94/100*Inputs!$F$75*Q47</f>
        <v/>
      </c>
      <c r="R48" s="11">
        <f>Inputs!$F$94/100*Inputs!$F$75*R47</f>
        <v/>
      </c>
      <c r="S48" s="11">
        <f>Inputs!$F$94/100*Inputs!$F$75*S47</f>
        <v/>
      </c>
      <c r="T48" s="11">
        <f>Inputs!$F$94/100*Inputs!$F$75*T47</f>
        <v/>
      </c>
      <c r="U48" s="11">
        <f>Inputs!$F$94/100*Inputs!$F$75*U47</f>
        <v/>
      </c>
      <c r="V48" s="11">
        <f>Inputs!$F$94/100*Inputs!$F$75*V47</f>
        <v/>
      </c>
      <c r="W48" s="11">
        <f>Inputs!$F$94/100*Inputs!$F$75*W47</f>
        <v/>
      </c>
      <c r="X48" s="11">
        <f>Inputs!$F$94/100*Inputs!$F$75*X47</f>
        <v/>
      </c>
      <c r="Y48" s="11">
        <f>Inputs!$F$94/100*Inputs!$F$75*Y47</f>
        <v/>
      </c>
      <c r="Z48" s="11">
        <f>Inputs!$F$94/100*Inputs!$F$75*Z47</f>
        <v/>
      </c>
      <c r="AA48" s="11">
        <f>Inputs!$F$94/100*Inputs!$F$75*AA47</f>
        <v/>
      </c>
      <c r="AB48" s="11">
        <f>Inputs!$F$94/100*Inputs!$F$75*AB47</f>
        <v/>
      </c>
      <c r="AC48" s="11">
        <f>Inputs!$F$94/100*Inputs!$F$75*AC47</f>
        <v/>
      </c>
      <c r="AD48" s="11">
        <f>Inputs!$F$94/100*Inputs!$F$75*AD47</f>
        <v/>
      </c>
      <c r="AE48" s="11">
        <f>Inputs!$F$94/100*Inputs!$F$75*AE47</f>
        <v/>
      </c>
      <c r="AF48" s="11">
        <f>Inputs!$F$94/100*Inputs!$F$75*AF47</f>
        <v/>
      </c>
      <c r="AG48" s="11">
        <f>Inputs!$F$94/100*Inputs!$F$75*AG47</f>
        <v/>
      </c>
      <c r="AH48" s="11">
        <f>Inputs!$F$94/100*Inputs!$F$75*AH47</f>
        <v/>
      </c>
      <c r="AI48" s="11">
        <f>Inputs!$F$94/100*Inputs!$F$75*AI47</f>
        <v/>
      </c>
      <c r="AJ48" s="11">
        <f>Inputs!$F$94/100*Inputs!$F$75*AJ47</f>
        <v/>
      </c>
      <c r="AK48" s="11">
        <f>Inputs!$F$94/100*Inputs!$F$75*AK47</f>
        <v/>
      </c>
      <c r="AL48" s="11">
        <f>Inputs!$F$94/100*Inputs!$F$75*AL47</f>
        <v/>
      </c>
      <c r="AM48" s="11">
        <f>Inputs!$F$94/100*Inputs!$F$75*AM47</f>
        <v/>
      </c>
      <c r="AN48" s="11">
        <f>Inputs!$F$94/100*Inputs!$F$75*AN47</f>
        <v/>
      </c>
      <c r="AO48" s="11">
        <f>Inputs!$F$94/100*Inputs!$F$75*AO47</f>
        <v/>
      </c>
      <c r="AP48" s="11">
        <f>Inputs!$F$94/100*Inputs!$F$75*AP47</f>
        <v/>
      </c>
      <c r="AQ48" s="11">
        <f>Inputs!$F$94/100*Inputs!$F$75*AQ47</f>
        <v/>
      </c>
      <c r="AR48" s="11">
        <f>Inputs!$F$94/100*Inputs!$F$75*AR47</f>
        <v/>
      </c>
      <c r="AS48" s="11">
        <f>Inputs!$F$94/100*Inputs!$F$75*AS47</f>
        <v/>
      </c>
      <c r="AT48" s="11">
        <f>Inputs!$F$94/100*Inputs!$F$75*AT47</f>
        <v/>
      </c>
      <c r="AU48" s="11">
        <f>Inputs!$F$94/100*Inputs!$F$75*AU47</f>
        <v/>
      </c>
      <c r="AV48" s="11">
        <f>Inputs!$F$94/100*Inputs!$F$75*AV47</f>
        <v/>
      </c>
      <c r="AW48" s="11">
        <f>Inputs!$F$94/100*Inputs!$F$75*AW47</f>
        <v/>
      </c>
      <c r="AX48" s="11">
        <f>Inputs!$F$94/100*Inputs!$F$75*AX47</f>
        <v/>
      </c>
      <c r="AY48" s="11">
        <f>Inputs!$F$94/100*Inputs!$F$75*AY47</f>
        <v/>
      </c>
      <c r="AZ48" s="11">
        <f>Inputs!$F$94/100*Inputs!$F$75*AZ47</f>
        <v/>
      </c>
      <c r="BA48" s="11">
        <f>Inputs!$F$94/100*Inputs!$F$75*BA47</f>
        <v/>
      </c>
      <c r="BB48" s="11">
        <f>Inputs!$F$94/100*Inputs!$F$75*BB47</f>
        <v/>
      </c>
      <c r="BC48" s="11">
        <f>Inputs!$F$94/100*Inputs!$F$75*BC47</f>
        <v/>
      </c>
      <c r="BD48" s="11">
        <f>Inputs!$F$94/100*Inputs!$F$75*BD47</f>
        <v/>
      </c>
      <c r="BE48" s="11">
        <f>Inputs!$F$94/100*Inputs!$F$75*BE47</f>
        <v/>
      </c>
      <c r="BF48" s="11">
        <f>Inputs!$F$94/100*Inputs!$F$75*BF47</f>
        <v/>
      </c>
      <c r="BG48" s="11">
        <f>Inputs!$F$94/100*Inputs!$F$75*BG47</f>
        <v/>
      </c>
      <c r="BH48" s="11">
        <f>Inputs!$F$94/100*Inputs!$F$75*BH47</f>
        <v/>
      </c>
      <c r="BI48" s="11">
        <f>Inputs!$F$94/100*Inputs!$F$75*BI47</f>
        <v/>
      </c>
      <c r="BJ48" s="11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IF(AND(Inputs!$F$34=2,Construction!J8=40),Inputs!$F$189+Inputs!$F$190,0)</f>
        <v/>
      </c>
      <c r="K52" s="11">
        <f>IF(AND(Inputs!$F$34=2,Construction!K8=40),Inputs!$F$189+Inputs!$F$190,0)</f>
        <v/>
      </c>
      <c r="L52" s="11">
        <f>IF(AND(Inputs!$F$34=2,Construction!L8=40),Inputs!$F$189+Inputs!$F$190,0)</f>
        <v/>
      </c>
      <c r="M52" s="11">
        <f>IF(AND(Inputs!$F$34=2,Construction!M8=40),Inputs!$F$189+Inputs!$F$190,0)</f>
        <v/>
      </c>
      <c r="N52" s="11">
        <f>IF(AND(Inputs!$F$34=2,Construction!N8=40),Inputs!$F$189+Inputs!$F$190,0)</f>
        <v/>
      </c>
      <c r="O52" s="11">
        <f>IF(AND(Inputs!$F$34=2,Construction!O8=40),Inputs!$F$189+Inputs!$F$190,0)</f>
        <v/>
      </c>
      <c r="P52" s="11">
        <f>IF(AND(Inputs!$F$34=2,Construction!P8=40),Inputs!$F$189+Inputs!$F$190,0)</f>
        <v/>
      </c>
      <c r="Q52" s="11">
        <f>IF(AND(Inputs!$F$34=2,Construction!Q8=40),Inputs!$F$189+Inputs!$F$190,0)</f>
        <v/>
      </c>
      <c r="R52" s="11">
        <f>IF(AND(Inputs!$F$34=2,Construction!R8=40),Inputs!$F$189+Inputs!$F$190,0)</f>
        <v/>
      </c>
      <c r="S52" s="11">
        <f>IF(AND(Inputs!$F$34=2,Construction!S8=40),Inputs!$F$189+Inputs!$F$190,0)</f>
        <v/>
      </c>
      <c r="T52" s="11">
        <f>IF(AND(Inputs!$F$34=2,Construction!T8=40),Inputs!$F$189+Inputs!$F$190,0)</f>
        <v/>
      </c>
      <c r="U52" s="11">
        <f>IF(AND(Inputs!$F$34=2,Construction!U8=40),Inputs!$F$189+Inputs!$F$190,0)</f>
        <v/>
      </c>
      <c r="V52" s="11">
        <f>IF(AND(Inputs!$F$34=2,Construction!V8=40),Inputs!$F$189+Inputs!$F$190,0)</f>
        <v/>
      </c>
      <c r="W52" s="11">
        <f>IF(AND(Inputs!$F$34=2,Construction!W8=40),Inputs!$F$189+Inputs!$F$190,0)</f>
        <v/>
      </c>
      <c r="X52" s="11">
        <f>IF(AND(Inputs!$F$34=2,Construction!X8=40),Inputs!$F$189+Inputs!$F$190,0)</f>
        <v/>
      </c>
      <c r="Y52" s="11">
        <f>IF(AND(Inputs!$F$34=2,Construction!Y8=40),Inputs!$F$189+Inputs!$F$190,0)</f>
        <v/>
      </c>
      <c r="Z52" s="11">
        <f>IF(AND(Inputs!$F$34=2,Construction!Z8=40),Inputs!$F$189+Inputs!$F$190,0)</f>
        <v/>
      </c>
      <c r="AA52" s="11">
        <f>IF(AND(Inputs!$F$34=2,Construction!AA8=40),Inputs!$F$189+Inputs!$F$190,0)</f>
        <v/>
      </c>
      <c r="AB52" s="11">
        <f>IF(AND(Inputs!$F$34=2,Construction!AB8=40),Inputs!$F$189+Inputs!$F$190,0)</f>
        <v/>
      </c>
      <c r="AC52" s="11">
        <f>IF(AND(Inputs!$F$34=2,Construction!AC8=40),Inputs!$F$189+Inputs!$F$190,0)</f>
        <v/>
      </c>
      <c r="AD52" s="11">
        <f>IF(AND(Inputs!$F$34=2,Construction!AD8=40),Inputs!$F$189+Inputs!$F$190,0)</f>
        <v/>
      </c>
      <c r="AE52" s="11">
        <f>IF(AND(Inputs!$F$34=2,Construction!AE8=40),Inputs!$F$189+Inputs!$F$190,0)</f>
        <v/>
      </c>
      <c r="AF52" s="11">
        <f>IF(AND(Inputs!$F$34=2,Construction!AF8=40),Inputs!$F$189+Inputs!$F$190,0)</f>
        <v/>
      </c>
      <c r="AG52" s="11">
        <f>IF(AND(Inputs!$F$34=2,Construction!AG8=40),Inputs!$F$189+Inputs!$F$190,0)</f>
        <v/>
      </c>
      <c r="AH52" s="11">
        <f>IF(AND(Inputs!$F$34=2,Construction!AH8=40),Inputs!$F$189+Inputs!$F$190,0)</f>
        <v/>
      </c>
      <c r="AI52" s="11">
        <f>IF(AND(Inputs!$F$34=2,Construction!AI8=40),Inputs!$F$189+Inputs!$F$190,0)</f>
        <v/>
      </c>
      <c r="AJ52" s="11">
        <f>IF(AND(Inputs!$F$34=2,Construction!AJ8=40),Inputs!$F$189+Inputs!$F$190,0)</f>
        <v/>
      </c>
      <c r="AK52" s="11">
        <f>IF(AND(Inputs!$F$34=2,Construction!AK8=40),Inputs!$F$189+Inputs!$F$190,0)</f>
        <v/>
      </c>
      <c r="AL52" s="11">
        <f>IF(AND(Inputs!$F$34=2,Construction!AL8=40),Inputs!$F$189+Inputs!$F$190,0)</f>
        <v/>
      </c>
      <c r="AM52" s="11">
        <f>IF(AND(Inputs!$F$34=2,Construction!AM8=40),Inputs!$F$189+Inputs!$F$190,0)</f>
        <v/>
      </c>
      <c r="AN52" s="11">
        <f>IF(AND(Inputs!$F$34=2,Construction!AN8=40),Inputs!$F$189+Inputs!$F$190,0)</f>
        <v/>
      </c>
      <c r="AO52" s="11">
        <f>IF(AND(Inputs!$F$34=2,Construction!AO8=40),Inputs!$F$189+Inputs!$F$190,0)</f>
        <v/>
      </c>
      <c r="AP52" s="11">
        <f>IF(AND(Inputs!$F$34=2,Construction!AP8=40),Inputs!$F$189+Inputs!$F$190,0)</f>
        <v/>
      </c>
      <c r="AQ52" s="11">
        <f>IF(AND(Inputs!$F$34=2,Construction!AQ8=40),Inputs!$F$189+Inputs!$F$190,0)</f>
        <v/>
      </c>
      <c r="AR52" s="11">
        <f>IF(AND(Inputs!$F$34=2,Construction!AR8=40),Inputs!$F$189+Inputs!$F$190,0)</f>
        <v/>
      </c>
      <c r="AS52" s="11">
        <f>IF(AND(Inputs!$F$34=2,Construction!AS8=40),Inputs!$F$189+Inputs!$F$190,0)</f>
        <v/>
      </c>
      <c r="AT52" s="11">
        <f>IF(AND(Inputs!$F$34=2,Construction!AT8=40),Inputs!$F$189+Inputs!$F$190,0)</f>
        <v/>
      </c>
      <c r="AU52" s="11">
        <f>IF(AND(Inputs!$F$34=2,Construction!AU8=40),Inputs!$F$189+Inputs!$F$190,0)</f>
        <v/>
      </c>
      <c r="AV52" s="11">
        <f>IF(AND(Inputs!$F$34=2,Construction!AV8=40),Inputs!$F$189+Inputs!$F$190,0)</f>
        <v/>
      </c>
      <c r="AW52" s="11">
        <f>IF(AND(Inputs!$F$34=2,Construction!AW8=40),Inputs!$F$189+Inputs!$F$190,0)</f>
        <v/>
      </c>
      <c r="AX52" s="11">
        <f>IF(AND(Inputs!$F$34=2,Construction!AX8=40),Inputs!$F$189+Inputs!$F$190,0)</f>
        <v/>
      </c>
      <c r="AY52" s="11">
        <f>IF(AND(Inputs!$F$34=2,Construction!AY8=40),Inputs!$F$189+Inputs!$F$190,0)</f>
        <v/>
      </c>
      <c r="AZ52" s="11">
        <f>IF(AND(Inputs!$F$34=2,Construction!AZ8=40),Inputs!$F$189+Inputs!$F$190,0)</f>
        <v/>
      </c>
      <c r="BA52" s="11">
        <f>IF(AND(Inputs!$F$34=2,Construction!BA8=40),Inputs!$F$189+Inputs!$F$190,0)</f>
        <v/>
      </c>
      <c r="BB52" s="11">
        <f>IF(AND(Inputs!$F$34=2,Construction!BB8=40),Inputs!$F$189+Inputs!$F$190,0)</f>
        <v/>
      </c>
      <c r="BC52" s="11">
        <f>IF(AND(Inputs!$F$34=2,Construction!BC8=40),Inputs!$F$189+Inputs!$F$190,0)</f>
        <v/>
      </c>
      <c r="BD52" s="11">
        <f>IF(AND(Inputs!$F$34=2,Construction!BD8=40),Inputs!$F$189+Inputs!$F$190,0)</f>
        <v/>
      </c>
      <c r="BE52" s="11">
        <f>IF(AND(Inputs!$F$34=2,Construction!BE8=40),Inputs!$F$189+Inputs!$F$190,0)</f>
        <v/>
      </c>
      <c r="BF52" s="11">
        <f>IF(AND(Inputs!$F$34=2,Construction!BF8=40),Inputs!$F$189+Inputs!$F$190,0)</f>
        <v/>
      </c>
      <c r="BG52" s="11">
        <f>IF(AND(Inputs!$F$34=2,Construction!BG8=40),Inputs!$F$189+Inputs!$F$190,0)</f>
        <v/>
      </c>
      <c r="BH52" s="11">
        <f>IF(AND(Inputs!$F$34=2,Construction!BH8=40),Inputs!$F$189+Inputs!$F$190,0)</f>
        <v/>
      </c>
      <c r="BI52" s="11">
        <f>IF(AND(Inputs!$F$34=2,Construction!BI8=40),Inputs!$F$189+Inputs!$F$190,0)</f>
        <v/>
      </c>
      <c r="BJ52" s="11">
        <f>IF(AND(Inputs!$F$34=2,Construction!BJ8=40),Inputs!$F$189+Inputs!$F$190,0)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Inputs!$F$75*J47</f>
        <v/>
      </c>
      <c r="K57" s="11">
        <f>Inputs!$F$75*K47</f>
        <v/>
      </c>
      <c r="L57" s="11">
        <f>Inputs!$F$75*L47</f>
        <v/>
      </c>
      <c r="M57" s="11">
        <f>Inputs!$F$75*M47</f>
        <v/>
      </c>
      <c r="N57" s="11">
        <f>Inputs!$F$75*N47</f>
        <v/>
      </c>
      <c r="O57" s="11">
        <f>Inputs!$F$75*O47</f>
        <v/>
      </c>
      <c r="P57" s="11">
        <f>Inputs!$F$75*P47</f>
        <v/>
      </c>
      <c r="Q57" s="11">
        <f>Inputs!$F$75*Q47</f>
        <v/>
      </c>
      <c r="R57" s="11">
        <f>Inputs!$F$75*R47</f>
        <v/>
      </c>
      <c r="S57" s="11">
        <f>Inputs!$F$75*S47</f>
        <v/>
      </c>
      <c r="T57" s="11">
        <f>Inputs!$F$75*T47</f>
        <v/>
      </c>
      <c r="U57" s="11">
        <f>Inputs!$F$75*U47</f>
        <v/>
      </c>
      <c r="V57" s="11">
        <f>Inputs!$F$75*V47</f>
        <v/>
      </c>
      <c r="W57" s="11">
        <f>Inputs!$F$75*W47</f>
        <v/>
      </c>
      <c r="X57" s="11">
        <f>Inputs!$F$75*X47</f>
        <v/>
      </c>
      <c r="Y57" s="11">
        <f>Inputs!$F$75*Y47</f>
        <v/>
      </c>
      <c r="Z57" s="11">
        <f>Inputs!$F$75*Z47</f>
        <v/>
      </c>
      <c r="AA57" s="11">
        <f>Inputs!$F$75*AA47</f>
        <v/>
      </c>
      <c r="AB57" s="11">
        <f>Inputs!$F$75*AB47</f>
        <v/>
      </c>
      <c r="AC57" s="11">
        <f>Inputs!$F$75*AC47</f>
        <v/>
      </c>
      <c r="AD57" s="11">
        <f>Inputs!$F$75*AD47</f>
        <v/>
      </c>
      <c r="AE57" s="11">
        <f>Inputs!$F$75*AE47</f>
        <v/>
      </c>
      <c r="AF57" s="11">
        <f>Inputs!$F$75*AF47</f>
        <v/>
      </c>
      <c r="AG57" s="11">
        <f>Inputs!$F$75*AG47</f>
        <v/>
      </c>
      <c r="AH57" s="11">
        <f>Inputs!$F$75*AH47</f>
        <v/>
      </c>
      <c r="AI57" s="11">
        <f>Inputs!$F$75*AI47</f>
        <v/>
      </c>
      <c r="AJ57" s="11">
        <f>Inputs!$F$75*AJ47</f>
        <v/>
      </c>
      <c r="AK57" s="11">
        <f>Inputs!$F$75*AK47</f>
        <v/>
      </c>
      <c r="AL57" s="11">
        <f>Inputs!$F$75*AL47</f>
        <v/>
      </c>
      <c r="AM57" s="11">
        <f>Inputs!$F$75*AM47</f>
        <v/>
      </c>
      <c r="AN57" s="11">
        <f>Inputs!$F$75*AN47</f>
        <v/>
      </c>
      <c r="AO57" s="11">
        <f>Inputs!$F$75*AO47</f>
        <v/>
      </c>
      <c r="AP57" s="11">
        <f>Inputs!$F$75*AP47</f>
        <v/>
      </c>
      <c r="AQ57" s="11">
        <f>Inputs!$F$75*AQ47</f>
        <v/>
      </c>
      <c r="AR57" s="11">
        <f>Inputs!$F$75*AR47</f>
        <v/>
      </c>
      <c r="AS57" s="11">
        <f>Inputs!$F$75*AS47</f>
        <v/>
      </c>
      <c r="AT57" s="11">
        <f>Inputs!$F$75*AT47</f>
        <v/>
      </c>
      <c r="AU57" s="11">
        <f>Inputs!$F$75*AU47</f>
        <v/>
      </c>
      <c r="AV57" s="11">
        <f>Inputs!$F$75*AV47</f>
        <v/>
      </c>
      <c r="AW57" s="11">
        <f>Inputs!$F$75*AW47</f>
        <v/>
      </c>
      <c r="AX57" s="11">
        <f>Inputs!$F$75*AX47</f>
        <v/>
      </c>
      <c r="AY57" s="11">
        <f>Inputs!$F$75*AY47</f>
        <v/>
      </c>
      <c r="AZ57" s="11">
        <f>Inputs!$F$75*AZ47</f>
        <v/>
      </c>
      <c r="BA57" s="11">
        <f>Inputs!$F$75*BA47</f>
        <v/>
      </c>
      <c r="BB57" s="11">
        <f>Inputs!$F$75*BB47</f>
        <v/>
      </c>
      <c r="BC57" s="11">
        <f>Inputs!$F$75*BC47</f>
        <v/>
      </c>
      <c r="BD57" s="11">
        <f>Inputs!$F$75*BD47</f>
        <v/>
      </c>
      <c r="BE57" s="11">
        <f>Inputs!$F$75*BE47</f>
        <v/>
      </c>
      <c r="BF57" s="11">
        <f>Inputs!$F$75*BF47</f>
        <v/>
      </c>
      <c r="BG57" s="11">
        <f>Inputs!$F$75*BG47</f>
        <v/>
      </c>
      <c r="BH57" s="11">
        <f>Inputs!$F$75*BH47</f>
        <v/>
      </c>
      <c r="BI57" s="11">
        <f>Inputs!$F$75*BI47</f>
        <v/>
      </c>
      <c r="BJ57" s="11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Inputs!$F$76*J47</f>
        <v/>
      </c>
      <c r="K58" s="11">
        <f>Inputs!$F$76*K47</f>
        <v/>
      </c>
      <c r="L58" s="11">
        <f>Inputs!$F$76*L47</f>
        <v/>
      </c>
      <c r="M58" s="11">
        <f>Inputs!$F$76*M47</f>
        <v/>
      </c>
      <c r="N58" s="11">
        <f>Inputs!$F$76*N47</f>
        <v/>
      </c>
      <c r="O58" s="11">
        <f>Inputs!$F$76*O47</f>
        <v/>
      </c>
      <c r="P58" s="11">
        <f>Inputs!$F$76*P47</f>
        <v/>
      </c>
      <c r="Q58" s="11">
        <f>Inputs!$F$76*Q47</f>
        <v/>
      </c>
      <c r="R58" s="11">
        <f>Inputs!$F$76*R47</f>
        <v/>
      </c>
      <c r="S58" s="11">
        <f>Inputs!$F$76*S47</f>
        <v/>
      </c>
      <c r="T58" s="11">
        <f>Inputs!$F$76*T47</f>
        <v/>
      </c>
      <c r="U58" s="11">
        <f>Inputs!$F$76*U47</f>
        <v/>
      </c>
      <c r="V58" s="11">
        <f>Inputs!$F$76*V47</f>
        <v/>
      </c>
      <c r="W58" s="11">
        <f>Inputs!$F$76*W47</f>
        <v/>
      </c>
      <c r="X58" s="11">
        <f>Inputs!$F$76*X47</f>
        <v/>
      </c>
      <c r="Y58" s="11">
        <f>Inputs!$F$76*Y47</f>
        <v/>
      </c>
      <c r="Z58" s="11">
        <f>Inputs!$F$76*Z47</f>
        <v/>
      </c>
      <c r="AA58" s="11">
        <f>Inputs!$F$76*AA47</f>
        <v/>
      </c>
      <c r="AB58" s="11">
        <f>Inputs!$F$76*AB47</f>
        <v/>
      </c>
      <c r="AC58" s="11">
        <f>Inputs!$F$76*AC47</f>
        <v/>
      </c>
      <c r="AD58" s="11">
        <f>Inputs!$F$76*AD47</f>
        <v/>
      </c>
      <c r="AE58" s="11">
        <f>Inputs!$F$76*AE47</f>
        <v/>
      </c>
      <c r="AF58" s="11">
        <f>Inputs!$F$76*AF47</f>
        <v/>
      </c>
      <c r="AG58" s="11">
        <f>Inputs!$F$76*AG47</f>
        <v/>
      </c>
      <c r="AH58" s="11">
        <f>Inputs!$F$76*AH47</f>
        <v/>
      </c>
      <c r="AI58" s="11">
        <f>Inputs!$F$76*AI47</f>
        <v/>
      </c>
      <c r="AJ58" s="11">
        <f>Inputs!$F$76*AJ47</f>
        <v/>
      </c>
      <c r="AK58" s="11">
        <f>Inputs!$F$76*AK47</f>
        <v/>
      </c>
      <c r="AL58" s="11">
        <f>Inputs!$F$76*AL47</f>
        <v/>
      </c>
      <c r="AM58" s="11">
        <f>Inputs!$F$76*AM47</f>
        <v/>
      </c>
      <c r="AN58" s="11">
        <f>Inputs!$F$76*AN47</f>
        <v/>
      </c>
      <c r="AO58" s="11">
        <f>Inputs!$F$76*AO47</f>
        <v/>
      </c>
      <c r="AP58" s="11">
        <f>Inputs!$F$76*AP47</f>
        <v/>
      </c>
      <c r="AQ58" s="11">
        <f>Inputs!$F$76*AQ47</f>
        <v/>
      </c>
      <c r="AR58" s="11">
        <f>Inputs!$F$76*AR47</f>
        <v/>
      </c>
      <c r="AS58" s="11">
        <f>Inputs!$F$76*AS47</f>
        <v/>
      </c>
      <c r="AT58" s="11">
        <f>Inputs!$F$76*AT47</f>
        <v/>
      </c>
      <c r="AU58" s="11">
        <f>Inputs!$F$76*AU47</f>
        <v/>
      </c>
      <c r="AV58" s="11">
        <f>Inputs!$F$76*AV47</f>
        <v/>
      </c>
      <c r="AW58" s="11">
        <f>Inputs!$F$76*AW47</f>
        <v/>
      </c>
      <c r="AX58" s="11">
        <f>Inputs!$F$76*AX47</f>
        <v/>
      </c>
      <c r="AY58" s="11">
        <f>Inputs!$F$76*AY47</f>
        <v/>
      </c>
      <c r="AZ58" s="11">
        <f>Inputs!$F$76*AZ47</f>
        <v/>
      </c>
      <c r="BA58" s="11">
        <f>Inputs!$F$76*BA47</f>
        <v/>
      </c>
      <c r="BB58" s="11">
        <f>Inputs!$F$76*BB47</f>
        <v/>
      </c>
      <c r="BC58" s="11">
        <f>Inputs!$F$76*BC47</f>
        <v/>
      </c>
      <c r="BD58" s="11">
        <f>Inputs!$F$76*BD47</f>
        <v/>
      </c>
      <c r="BE58" s="11">
        <f>Inputs!$F$76*BE47</f>
        <v/>
      </c>
      <c r="BF58" s="11">
        <f>Inputs!$F$76*BF47</f>
        <v/>
      </c>
      <c r="BG58" s="11">
        <f>Inputs!$F$76*BG47</f>
        <v/>
      </c>
      <c r="BH58" s="11">
        <f>Inputs!$F$76*BH47</f>
        <v/>
      </c>
      <c r="BI58" s="11">
        <f>Inputs!$F$76*BI47</f>
        <v/>
      </c>
      <c r="BJ58" s="11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Inputs!$F$77*J47</f>
        <v/>
      </c>
      <c r="K59" s="11">
        <f>Inputs!$F$77*K47</f>
        <v/>
      </c>
      <c r="L59" s="11">
        <f>Inputs!$F$77*L47</f>
        <v/>
      </c>
      <c r="M59" s="11">
        <f>Inputs!$F$77*M47</f>
        <v/>
      </c>
      <c r="N59" s="11">
        <f>Inputs!$F$77*N47</f>
        <v/>
      </c>
      <c r="O59" s="11">
        <f>Inputs!$F$77*O47</f>
        <v/>
      </c>
      <c r="P59" s="11">
        <f>Inputs!$F$77*P47</f>
        <v/>
      </c>
      <c r="Q59" s="11">
        <f>Inputs!$F$77*Q47</f>
        <v/>
      </c>
      <c r="R59" s="11">
        <f>Inputs!$F$77*R47</f>
        <v/>
      </c>
      <c r="S59" s="11">
        <f>Inputs!$F$77*S47</f>
        <v/>
      </c>
      <c r="T59" s="11">
        <f>Inputs!$F$77*T47</f>
        <v/>
      </c>
      <c r="U59" s="11">
        <f>Inputs!$F$77*U47</f>
        <v/>
      </c>
      <c r="V59" s="11">
        <f>Inputs!$F$77*V47</f>
        <v/>
      </c>
      <c r="W59" s="11">
        <f>Inputs!$F$77*W47</f>
        <v/>
      </c>
      <c r="X59" s="11">
        <f>Inputs!$F$77*X47</f>
        <v/>
      </c>
      <c r="Y59" s="11">
        <f>Inputs!$F$77*Y47</f>
        <v/>
      </c>
      <c r="Z59" s="11">
        <f>Inputs!$F$77*Z47</f>
        <v/>
      </c>
      <c r="AA59" s="11">
        <f>Inputs!$F$77*AA47</f>
        <v/>
      </c>
      <c r="AB59" s="11">
        <f>Inputs!$F$77*AB47</f>
        <v/>
      </c>
      <c r="AC59" s="11">
        <f>Inputs!$F$77*AC47</f>
        <v/>
      </c>
      <c r="AD59" s="11">
        <f>Inputs!$F$77*AD47</f>
        <v/>
      </c>
      <c r="AE59" s="11">
        <f>Inputs!$F$77*AE47</f>
        <v/>
      </c>
      <c r="AF59" s="11">
        <f>Inputs!$F$77*AF47</f>
        <v/>
      </c>
      <c r="AG59" s="11">
        <f>Inputs!$F$77*AG47</f>
        <v/>
      </c>
      <c r="AH59" s="11">
        <f>Inputs!$F$77*AH47</f>
        <v/>
      </c>
      <c r="AI59" s="11">
        <f>Inputs!$F$77*AI47</f>
        <v/>
      </c>
      <c r="AJ59" s="11">
        <f>Inputs!$F$77*AJ47</f>
        <v/>
      </c>
      <c r="AK59" s="11">
        <f>Inputs!$F$77*AK47</f>
        <v/>
      </c>
      <c r="AL59" s="11">
        <f>Inputs!$F$77*AL47</f>
        <v/>
      </c>
      <c r="AM59" s="11">
        <f>Inputs!$F$77*AM47</f>
        <v/>
      </c>
      <c r="AN59" s="11">
        <f>Inputs!$F$77*AN47</f>
        <v/>
      </c>
      <c r="AO59" s="11">
        <f>Inputs!$F$77*AO47</f>
        <v/>
      </c>
      <c r="AP59" s="11">
        <f>Inputs!$F$77*AP47</f>
        <v/>
      </c>
      <c r="AQ59" s="11">
        <f>Inputs!$F$77*AQ47</f>
        <v/>
      </c>
      <c r="AR59" s="11">
        <f>Inputs!$F$77*AR47</f>
        <v/>
      </c>
      <c r="AS59" s="11">
        <f>Inputs!$F$77*AS47</f>
        <v/>
      </c>
      <c r="AT59" s="11">
        <f>Inputs!$F$77*AT47</f>
        <v/>
      </c>
      <c r="AU59" s="11">
        <f>Inputs!$F$77*AU47</f>
        <v/>
      </c>
      <c r="AV59" s="11">
        <f>Inputs!$F$77*AV47</f>
        <v/>
      </c>
      <c r="AW59" s="11">
        <f>Inputs!$F$77*AW47</f>
        <v/>
      </c>
      <c r="AX59" s="11">
        <f>Inputs!$F$77*AX47</f>
        <v/>
      </c>
      <c r="AY59" s="11">
        <f>Inputs!$F$77*AY47</f>
        <v/>
      </c>
      <c r="AZ59" s="11">
        <f>Inputs!$F$77*AZ47</f>
        <v/>
      </c>
      <c r="BA59" s="11">
        <f>Inputs!$F$77*BA47</f>
        <v/>
      </c>
      <c r="BB59" s="11">
        <f>Inputs!$F$77*BB47</f>
        <v/>
      </c>
      <c r="BC59" s="11">
        <f>Inputs!$F$77*BC47</f>
        <v/>
      </c>
      <c r="BD59" s="11">
        <f>Inputs!$F$77*BD47</f>
        <v/>
      </c>
      <c r="BE59" s="11">
        <f>Inputs!$F$77*BE47</f>
        <v/>
      </c>
      <c r="BF59" s="11">
        <f>Inputs!$F$77*BF47</f>
        <v/>
      </c>
      <c r="BG59" s="11">
        <f>Inputs!$F$77*BG47</f>
        <v/>
      </c>
      <c r="BH59" s="11">
        <f>Inputs!$F$77*BH47</f>
        <v/>
      </c>
      <c r="BI59" s="11">
        <f>Inputs!$F$77*BI47</f>
        <v/>
      </c>
      <c r="BJ59" s="11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Inputs!$F$78*J47</f>
        <v/>
      </c>
      <c r="K60" s="11">
        <f>Inputs!$F$78*K47</f>
        <v/>
      </c>
      <c r="L60" s="11">
        <f>Inputs!$F$78*L47</f>
        <v/>
      </c>
      <c r="M60" s="11">
        <f>Inputs!$F$78*M47</f>
        <v/>
      </c>
      <c r="N60" s="11">
        <f>Inputs!$F$78*N47</f>
        <v/>
      </c>
      <c r="O60" s="11">
        <f>Inputs!$F$78*O47</f>
        <v/>
      </c>
      <c r="P60" s="11">
        <f>Inputs!$F$78*P47</f>
        <v/>
      </c>
      <c r="Q60" s="11">
        <f>Inputs!$F$78*Q47</f>
        <v/>
      </c>
      <c r="R60" s="11">
        <f>Inputs!$F$78*R47</f>
        <v/>
      </c>
      <c r="S60" s="11">
        <f>Inputs!$F$78*S47</f>
        <v/>
      </c>
      <c r="T60" s="11">
        <f>Inputs!$F$78*T47</f>
        <v/>
      </c>
      <c r="U60" s="11">
        <f>Inputs!$F$78*U47</f>
        <v/>
      </c>
      <c r="V60" s="11">
        <f>Inputs!$F$78*V47</f>
        <v/>
      </c>
      <c r="W60" s="11">
        <f>Inputs!$F$78*W47</f>
        <v/>
      </c>
      <c r="X60" s="11">
        <f>Inputs!$F$78*X47</f>
        <v/>
      </c>
      <c r="Y60" s="11">
        <f>Inputs!$F$78*Y47</f>
        <v/>
      </c>
      <c r="Z60" s="11">
        <f>Inputs!$F$78*Z47</f>
        <v/>
      </c>
      <c r="AA60" s="11">
        <f>Inputs!$F$78*AA47</f>
        <v/>
      </c>
      <c r="AB60" s="11">
        <f>Inputs!$F$78*AB47</f>
        <v/>
      </c>
      <c r="AC60" s="11">
        <f>Inputs!$F$78*AC47</f>
        <v/>
      </c>
      <c r="AD60" s="11">
        <f>Inputs!$F$78*AD47</f>
        <v/>
      </c>
      <c r="AE60" s="11">
        <f>Inputs!$F$78*AE47</f>
        <v/>
      </c>
      <c r="AF60" s="11">
        <f>Inputs!$F$78*AF47</f>
        <v/>
      </c>
      <c r="AG60" s="11">
        <f>Inputs!$F$78*AG47</f>
        <v/>
      </c>
      <c r="AH60" s="11">
        <f>Inputs!$F$78*AH47</f>
        <v/>
      </c>
      <c r="AI60" s="11">
        <f>Inputs!$F$78*AI47</f>
        <v/>
      </c>
      <c r="AJ60" s="11">
        <f>Inputs!$F$78*AJ47</f>
        <v/>
      </c>
      <c r="AK60" s="11">
        <f>Inputs!$F$78*AK47</f>
        <v/>
      </c>
      <c r="AL60" s="11">
        <f>Inputs!$F$78*AL47</f>
        <v/>
      </c>
      <c r="AM60" s="11">
        <f>Inputs!$F$78*AM47</f>
        <v/>
      </c>
      <c r="AN60" s="11">
        <f>Inputs!$F$78*AN47</f>
        <v/>
      </c>
      <c r="AO60" s="11">
        <f>Inputs!$F$78*AO47</f>
        <v/>
      </c>
      <c r="AP60" s="11">
        <f>Inputs!$F$78*AP47</f>
        <v/>
      </c>
      <c r="AQ60" s="11">
        <f>Inputs!$F$78*AQ47</f>
        <v/>
      </c>
      <c r="AR60" s="11">
        <f>Inputs!$F$78*AR47</f>
        <v/>
      </c>
      <c r="AS60" s="11">
        <f>Inputs!$F$78*AS47</f>
        <v/>
      </c>
      <c r="AT60" s="11">
        <f>Inputs!$F$78*AT47</f>
        <v/>
      </c>
      <c r="AU60" s="11">
        <f>Inputs!$F$78*AU47</f>
        <v/>
      </c>
      <c r="AV60" s="11">
        <f>Inputs!$F$78*AV47</f>
        <v/>
      </c>
      <c r="AW60" s="11">
        <f>Inputs!$F$78*AW47</f>
        <v/>
      </c>
      <c r="AX60" s="11">
        <f>Inputs!$F$78*AX47</f>
        <v/>
      </c>
      <c r="AY60" s="11">
        <f>Inputs!$F$78*AY47</f>
        <v/>
      </c>
      <c r="AZ60" s="11">
        <f>Inputs!$F$78*AZ47</f>
        <v/>
      </c>
      <c r="BA60" s="11">
        <f>Inputs!$F$78*BA47</f>
        <v/>
      </c>
      <c r="BB60" s="11">
        <f>Inputs!$F$78*BB47</f>
        <v/>
      </c>
      <c r="BC60" s="11">
        <f>Inputs!$F$78*BC47</f>
        <v/>
      </c>
      <c r="BD60" s="11">
        <f>Inputs!$F$78*BD47</f>
        <v/>
      </c>
      <c r="BE60" s="11">
        <f>Inputs!$F$78*BE47</f>
        <v/>
      </c>
      <c r="BF60" s="11">
        <f>Inputs!$F$78*BF47</f>
        <v/>
      </c>
      <c r="BG60" s="11">
        <f>Inputs!$F$78*BG47</f>
        <v/>
      </c>
      <c r="BH60" s="11">
        <f>Inputs!$F$78*BH47</f>
        <v/>
      </c>
      <c r="BI60" s="11">
        <f>Inputs!$F$78*BI47</f>
        <v/>
      </c>
      <c r="BJ60" s="11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J67-IF(Construction!J8=1,Inputs!$F$68,0)</f>
        <v/>
      </c>
      <c r="K68" s="11">
        <f>K67-IF(Construction!K8=1,Inputs!$F$68,0)</f>
        <v/>
      </c>
      <c r="L68" s="11">
        <f>L67-IF(Construction!L8=1,Inputs!$F$68,0)</f>
        <v/>
      </c>
      <c r="M68" s="11">
        <f>M67-IF(Construction!M8=1,Inputs!$F$68,0)</f>
        <v/>
      </c>
      <c r="N68" s="11">
        <f>N67-IF(Construction!N8=1,Inputs!$F$68,0)</f>
        <v/>
      </c>
      <c r="O68" s="11">
        <f>O67-IF(Construction!O8=1,Inputs!$F$68,0)</f>
        <v/>
      </c>
      <c r="P68" s="11">
        <f>P67-IF(Construction!P8=1,Inputs!$F$68,0)</f>
        <v/>
      </c>
      <c r="Q68" s="11">
        <f>Q67-IF(Construction!Q8=1,Inputs!$F$68,0)</f>
        <v/>
      </c>
      <c r="R68" s="11">
        <f>R67-IF(Construction!R8=1,Inputs!$F$68,0)</f>
        <v/>
      </c>
      <c r="S68" s="11">
        <f>S67-IF(Construction!S8=1,Inputs!$F$68,0)</f>
        <v/>
      </c>
      <c r="T68" s="11">
        <f>T67-IF(Construction!T8=1,Inputs!$F$68,0)</f>
        <v/>
      </c>
      <c r="U68" s="11">
        <f>U67-IF(Construction!U8=1,Inputs!$F$68,0)</f>
        <v/>
      </c>
      <c r="V68" s="11">
        <f>V67-IF(Construction!V8=1,Inputs!$F$68,0)</f>
        <v/>
      </c>
      <c r="W68" s="11">
        <f>W67-IF(Construction!W8=1,Inputs!$F$68,0)</f>
        <v/>
      </c>
      <c r="X68" s="11">
        <f>X67-IF(Construction!X8=1,Inputs!$F$68,0)</f>
        <v/>
      </c>
      <c r="Y68" s="11">
        <f>Y67-IF(Construction!Y8=1,Inputs!$F$68,0)</f>
        <v/>
      </c>
      <c r="Z68" s="11">
        <f>Z67-IF(Construction!Z8=1,Inputs!$F$68,0)</f>
        <v/>
      </c>
      <c r="AA68" s="11">
        <f>AA67-IF(Construction!AA8=1,Inputs!$F$68,0)</f>
        <v/>
      </c>
      <c r="AB68" s="11">
        <f>AB67-IF(Construction!AB8=1,Inputs!$F$68,0)</f>
        <v/>
      </c>
      <c r="AC68" s="11">
        <f>AC67-IF(Construction!AC8=1,Inputs!$F$68,0)</f>
        <v/>
      </c>
      <c r="AD68" s="11">
        <f>AD67-IF(Construction!AD8=1,Inputs!$F$68,0)</f>
        <v/>
      </c>
      <c r="AE68" s="11">
        <f>AE67-IF(Construction!AE8=1,Inputs!$F$68,0)</f>
        <v/>
      </c>
      <c r="AF68" s="11">
        <f>AF67-IF(Construction!AF8=1,Inputs!$F$68,0)</f>
        <v/>
      </c>
      <c r="AG68" s="11">
        <f>AG67-IF(Construction!AG8=1,Inputs!$F$68,0)</f>
        <v/>
      </c>
      <c r="AH68" s="11">
        <f>AH67-IF(Construction!AH8=1,Inputs!$F$68,0)</f>
        <v/>
      </c>
      <c r="AI68" s="11">
        <f>AI67-IF(Construction!AI8=1,Inputs!$F$68,0)</f>
        <v/>
      </c>
      <c r="AJ68" s="11">
        <f>AJ67-IF(Construction!AJ8=1,Inputs!$F$68,0)</f>
        <v/>
      </c>
      <c r="AK68" s="11">
        <f>AK67-IF(Construction!AK8=1,Inputs!$F$68,0)</f>
        <v/>
      </c>
      <c r="AL68" s="11">
        <f>AL67-IF(Construction!AL8=1,Inputs!$F$68,0)</f>
        <v/>
      </c>
      <c r="AM68" s="11">
        <f>AM67-IF(Construction!AM8=1,Inputs!$F$68,0)</f>
        <v/>
      </c>
      <c r="AN68" s="11">
        <f>AN67-IF(Construction!AN8=1,Inputs!$F$68,0)</f>
        <v/>
      </c>
      <c r="AO68" s="11">
        <f>AO67-IF(Construction!AO8=1,Inputs!$F$68,0)</f>
        <v/>
      </c>
      <c r="AP68" s="11">
        <f>AP67-IF(Construction!AP8=1,Inputs!$F$68,0)</f>
        <v/>
      </c>
      <c r="AQ68" s="11">
        <f>AQ67-IF(Construction!AQ8=1,Inputs!$F$68,0)</f>
        <v/>
      </c>
      <c r="AR68" s="11">
        <f>AR67-IF(Construction!AR8=1,Inputs!$F$68,0)</f>
        <v/>
      </c>
      <c r="AS68" s="11">
        <f>AS67-IF(Construction!AS8=1,Inputs!$F$68,0)</f>
        <v/>
      </c>
      <c r="AT68" s="11">
        <f>AT67-IF(Construction!AT8=1,Inputs!$F$68,0)</f>
        <v/>
      </c>
      <c r="AU68" s="11">
        <f>AU67-IF(Construction!AU8=1,Inputs!$F$68,0)</f>
        <v/>
      </c>
      <c r="AV68" s="11">
        <f>AV67-IF(Construction!AV8=1,Inputs!$F$68,0)</f>
        <v/>
      </c>
      <c r="AW68" s="11">
        <f>AW67-IF(Construction!AW8=1,Inputs!$F$68,0)</f>
        <v/>
      </c>
      <c r="AX68" s="11">
        <f>AX67-IF(Construction!AX8=1,Inputs!$F$68,0)</f>
        <v/>
      </c>
      <c r="AY68" s="11">
        <f>AY67-IF(Construction!AY8=1,Inputs!$F$68,0)</f>
        <v/>
      </c>
      <c r="AZ68" s="11">
        <f>AZ67-IF(Construction!AZ8=1,Inputs!$F$68,0)</f>
        <v/>
      </c>
      <c r="BA68" s="11">
        <f>BA67-IF(Construction!BA8=1,Inputs!$F$68,0)</f>
        <v/>
      </c>
      <c r="BB68" s="11">
        <f>BB67-IF(Construction!BB8=1,Inputs!$F$68,0)</f>
        <v/>
      </c>
      <c r="BC68" s="11">
        <f>BC67-IF(Construction!BC8=1,Inputs!$F$68,0)</f>
        <v/>
      </c>
      <c r="BD68" s="11">
        <f>BD67-IF(Construction!BD8=1,Inputs!$F$68,0)</f>
        <v/>
      </c>
      <c r="BE68" s="11">
        <f>BE67-IF(Construction!BE8=1,Inputs!$F$68,0)</f>
        <v/>
      </c>
      <c r="BF68" s="11">
        <f>BF67-IF(Construction!BF8=1,Inputs!$F$68,0)</f>
        <v/>
      </c>
      <c r="BG68" s="11">
        <f>BG67-IF(Construction!BG8=1,Inputs!$F$68,0)</f>
        <v/>
      </c>
      <c r="BH68" s="11">
        <f>BH67-IF(Construction!BH8=1,Inputs!$F$68,0)</f>
        <v/>
      </c>
      <c r="BI68" s="11">
        <f>BI67-IF(Construction!BI8=1,Inputs!$F$68,0)</f>
        <v/>
      </c>
      <c r="BJ68" s="11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(1-Inputs!$F$53)*J67</f>
        <v/>
      </c>
      <c r="K69" s="11">
        <f>(1-Inputs!$F$53)*K67</f>
        <v/>
      </c>
      <c r="L69" s="11">
        <f>(1-Inputs!$F$53)*L67</f>
        <v/>
      </c>
      <c r="M69" s="11">
        <f>(1-Inputs!$F$53)*M67</f>
        <v/>
      </c>
      <c r="N69" s="11">
        <f>(1-Inputs!$F$53)*N67</f>
        <v/>
      </c>
      <c r="O69" s="11">
        <f>(1-Inputs!$F$53)*O67</f>
        <v/>
      </c>
      <c r="P69" s="11">
        <f>(1-Inputs!$F$53)*P67</f>
        <v/>
      </c>
      <c r="Q69" s="11">
        <f>(1-Inputs!$F$53)*Q67</f>
        <v/>
      </c>
      <c r="R69" s="11">
        <f>(1-Inputs!$F$53)*R67</f>
        <v/>
      </c>
      <c r="S69" s="11">
        <f>(1-Inputs!$F$53)*S67</f>
        <v/>
      </c>
      <c r="T69" s="11">
        <f>(1-Inputs!$F$53)*T67</f>
        <v/>
      </c>
      <c r="U69" s="11">
        <f>(1-Inputs!$F$53)*U67</f>
        <v/>
      </c>
      <c r="V69" s="11">
        <f>(1-Inputs!$F$53)*V67</f>
        <v/>
      </c>
      <c r="W69" s="11">
        <f>(1-Inputs!$F$53)*W67</f>
        <v/>
      </c>
      <c r="X69" s="11">
        <f>(1-Inputs!$F$53)*X67</f>
        <v/>
      </c>
      <c r="Y69" s="11">
        <f>(1-Inputs!$F$53)*Y67</f>
        <v/>
      </c>
      <c r="Z69" s="11">
        <f>(1-Inputs!$F$53)*Z67</f>
        <v/>
      </c>
      <c r="AA69" s="11">
        <f>(1-Inputs!$F$53)*AA67</f>
        <v/>
      </c>
      <c r="AB69" s="11">
        <f>(1-Inputs!$F$53)*AB67</f>
        <v/>
      </c>
      <c r="AC69" s="11">
        <f>(1-Inputs!$F$53)*AC67</f>
        <v/>
      </c>
      <c r="AD69" s="11">
        <f>(1-Inputs!$F$53)*AD67</f>
        <v/>
      </c>
      <c r="AE69" s="11">
        <f>(1-Inputs!$F$53)*AE67</f>
        <v/>
      </c>
      <c r="AF69" s="11">
        <f>(1-Inputs!$F$53)*AF67</f>
        <v/>
      </c>
      <c r="AG69" s="11">
        <f>(1-Inputs!$F$53)*AG67</f>
        <v/>
      </c>
      <c r="AH69" s="11">
        <f>(1-Inputs!$F$53)*AH67</f>
        <v/>
      </c>
      <c r="AI69" s="11">
        <f>(1-Inputs!$F$53)*AI67</f>
        <v/>
      </c>
      <c r="AJ69" s="11">
        <f>(1-Inputs!$F$53)*AJ67</f>
        <v/>
      </c>
      <c r="AK69" s="11">
        <f>(1-Inputs!$F$53)*AK67</f>
        <v/>
      </c>
      <c r="AL69" s="11">
        <f>(1-Inputs!$F$53)*AL67</f>
        <v/>
      </c>
      <c r="AM69" s="11">
        <f>(1-Inputs!$F$53)*AM67</f>
        <v/>
      </c>
      <c r="AN69" s="11">
        <f>(1-Inputs!$F$53)*AN67</f>
        <v/>
      </c>
      <c r="AO69" s="11">
        <f>(1-Inputs!$F$53)*AO67</f>
        <v/>
      </c>
      <c r="AP69" s="11">
        <f>(1-Inputs!$F$53)*AP67</f>
        <v/>
      </c>
      <c r="AQ69" s="11">
        <f>(1-Inputs!$F$53)*AQ67</f>
        <v/>
      </c>
      <c r="AR69" s="11">
        <f>(1-Inputs!$F$53)*AR67</f>
        <v/>
      </c>
      <c r="AS69" s="11">
        <f>(1-Inputs!$F$53)*AS67</f>
        <v/>
      </c>
      <c r="AT69" s="11">
        <f>(1-Inputs!$F$53)*AT67</f>
        <v/>
      </c>
      <c r="AU69" s="11">
        <f>(1-Inputs!$F$53)*AU67</f>
        <v/>
      </c>
      <c r="AV69" s="11">
        <f>(1-Inputs!$F$53)*AV67</f>
        <v/>
      </c>
      <c r="AW69" s="11">
        <f>(1-Inputs!$F$53)*AW67</f>
        <v/>
      </c>
      <c r="AX69" s="11">
        <f>(1-Inputs!$F$53)*AX67</f>
        <v/>
      </c>
      <c r="AY69" s="11">
        <f>(1-Inputs!$F$53)*AY67</f>
        <v/>
      </c>
      <c r="AZ69" s="11">
        <f>(1-Inputs!$F$53)*AZ67</f>
        <v/>
      </c>
      <c r="BA69" s="11">
        <f>(1-Inputs!$F$53)*BA67</f>
        <v/>
      </c>
      <c r="BB69" s="11">
        <f>(1-Inputs!$F$53)*BB67</f>
        <v/>
      </c>
      <c r="BC69" s="11">
        <f>(1-Inputs!$F$53)*BC67</f>
        <v/>
      </c>
      <c r="BD69" s="11">
        <f>(1-Inputs!$F$53)*BD67</f>
        <v/>
      </c>
      <c r="BE69" s="11">
        <f>(1-Inputs!$F$53)*BE67</f>
        <v/>
      </c>
      <c r="BF69" s="11">
        <f>(1-Inputs!$F$53)*BF67</f>
        <v/>
      </c>
      <c r="BG69" s="11">
        <f>(1-Inputs!$F$53)*BG67</f>
        <v/>
      </c>
      <c r="BH69" s="11">
        <f>(1-Inputs!$F$53)*BH67</f>
        <v/>
      </c>
      <c r="BI69" s="11">
        <f>(1-Inputs!$F$53)*BI67</f>
        <v/>
      </c>
      <c r="BJ69" s="11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Inputs!$F$53*J67</f>
        <v/>
      </c>
      <c r="K70" s="11">
        <f>Inputs!$F$53*K67</f>
        <v/>
      </c>
      <c r="L70" s="11">
        <f>Inputs!$F$53*L67</f>
        <v/>
      </c>
      <c r="M70" s="11">
        <f>Inputs!$F$53*M67</f>
        <v/>
      </c>
      <c r="N70" s="11">
        <f>Inputs!$F$53*N67</f>
        <v/>
      </c>
      <c r="O70" s="11">
        <f>Inputs!$F$53*O67</f>
        <v/>
      </c>
      <c r="P70" s="11">
        <f>Inputs!$F$53*P67</f>
        <v/>
      </c>
      <c r="Q70" s="11">
        <f>Inputs!$F$53*Q67</f>
        <v/>
      </c>
      <c r="R70" s="11">
        <f>Inputs!$F$53*R67</f>
        <v/>
      </c>
      <c r="S70" s="11">
        <f>Inputs!$F$53*S67</f>
        <v/>
      </c>
      <c r="T70" s="11">
        <f>Inputs!$F$53*T67</f>
        <v/>
      </c>
      <c r="U70" s="11">
        <f>Inputs!$F$53*U67</f>
        <v/>
      </c>
      <c r="V70" s="11">
        <f>Inputs!$F$53*V67</f>
        <v/>
      </c>
      <c r="W70" s="11">
        <f>Inputs!$F$53*W67</f>
        <v/>
      </c>
      <c r="X70" s="11">
        <f>Inputs!$F$53*X67</f>
        <v/>
      </c>
      <c r="Y70" s="11">
        <f>Inputs!$F$53*Y67</f>
        <v/>
      </c>
      <c r="Z70" s="11">
        <f>Inputs!$F$53*Z67</f>
        <v/>
      </c>
      <c r="AA70" s="11">
        <f>Inputs!$F$53*AA67</f>
        <v/>
      </c>
      <c r="AB70" s="11">
        <f>Inputs!$F$53*AB67</f>
        <v/>
      </c>
      <c r="AC70" s="11">
        <f>Inputs!$F$53*AC67</f>
        <v/>
      </c>
      <c r="AD70" s="11">
        <f>Inputs!$F$53*AD67</f>
        <v/>
      </c>
      <c r="AE70" s="11">
        <f>Inputs!$F$53*AE67</f>
        <v/>
      </c>
      <c r="AF70" s="11">
        <f>Inputs!$F$53*AF67</f>
        <v/>
      </c>
      <c r="AG70" s="11">
        <f>Inputs!$F$53*AG67</f>
        <v/>
      </c>
      <c r="AH70" s="11">
        <f>Inputs!$F$53*AH67</f>
        <v/>
      </c>
      <c r="AI70" s="11">
        <f>Inputs!$F$53*AI67</f>
        <v/>
      </c>
      <c r="AJ70" s="11">
        <f>Inputs!$F$53*AJ67</f>
        <v/>
      </c>
      <c r="AK70" s="11">
        <f>Inputs!$F$53*AK67</f>
        <v/>
      </c>
      <c r="AL70" s="11">
        <f>Inputs!$F$53*AL67</f>
        <v/>
      </c>
      <c r="AM70" s="11">
        <f>Inputs!$F$53*AM67</f>
        <v/>
      </c>
      <c r="AN70" s="11">
        <f>Inputs!$F$53*AN67</f>
        <v/>
      </c>
      <c r="AO70" s="11">
        <f>Inputs!$F$53*AO67</f>
        <v/>
      </c>
      <c r="AP70" s="11">
        <f>Inputs!$F$53*AP67</f>
        <v/>
      </c>
      <c r="AQ70" s="11">
        <f>Inputs!$F$53*AQ67</f>
        <v/>
      </c>
      <c r="AR70" s="11">
        <f>Inputs!$F$53*AR67</f>
        <v/>
      </c>
      <c r="AS70" s="11">
        <f>Inputs!$F$53*AS67</f>
        <v/>
      </c>
      <c r="AT70" s="11">
        <f>Inputs!$F$53*AT67</f>
        <v/>
      </c>
      <c r="AU70" s="11">
        <f>Inputs!$F$53*AU67</f>
        <v/>
      </c>
      <c r="AV70" s="11">
        <f>Inputs!$F$53*AV67</f>
        <v/>
      </c>
      <c r="AW70" s="11">
        <f>Inputs!$F$53*AW67</f>
        <v/>
      </c>
      <c r="AX70" s="11">
        <f>Inputs!$F$53*AX67</f>
        <v/>
      </c>
      <c r="AY70" s="11">
        <f>Inputs!$F$53*AY67</f>
        <v/>
      </c>
      <c r="AZ70" s="11">
        <f>Inputs!$F$53*AZ67</f>
        <v/>
      </c>
      <c r="BA70" s="11">
        <f>Inputs!$F$53*BA67</f>
        <v/>
      </c>
      <c r="BB70" s="11">
        <f>Inputs!$F$53*BB67</f>
        <v/>
      </c>
      <c r="BC70" s="11">
        <f>Inputs!$F$53*BC67</f>
        <v/>
      </c>
      <c r="BD70" s="11">
        <f>Inputs!$F$53*BD67</f>
        <v/>
      </c>
      <c r="BE70" s="11">
        <f>Inputs!$F$53*BE67</f>
        <v/>
      </c>
      <c r="BF70" s="11">
        <f>Inputs!$F$53*BF67</f>
        <v/>
      </c>
      <c r="BG70" s="11">
        <f>Inputs!$F$53*BG67</f>
        <v/>
      </c>
      <c r="BH70" s="11">
        <f>Inputs!$F$53*BH67</f>
        <v/>
      </c>
      <c r="BI70" s="11">
        <f>Inputs!$F$53*BI67</f>
        <v/>
      </c>
      <c r="BJ70" s="11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IF(Construction!J8&lt;=Time!$F$10,0*Inputs!$F$104/100*Construction!J11/365,0)</f>
        <v/>
      </c>
      <c r="K71" s="11">
        <f>IF(Construction!K8&lt;=Time!$F$10,J72*Inputs!$F$104/100*Construction!K11/365,0)</f>
        <v/>
      </c>
      <c r="L71" s="11">
        <f>IF(Construction!L8&lt;=Time!$F$10,K72*Inputs!$F$104/100*Construction!L11/365,0)</f>
        <v/>
      </c>
      <c r="M71" s="11">
        <f>IF(Construction!M8&lt;=Time!$F$10,L72*Inputs!$F$104/100*Construction!M11/365,0)</f>
        <v/>
      </c>
      <c r="N71" s="11">
        <f>IF(Construction!N8&lt;=Time!$F$10,M72*Inputs!$F$104/100*Construction!N11/365,0)</f>
        <v/>
      </c>
      <c r="O71" s="11">
        <f>IF(Construction!O8&lt;=Time!$F$10,N72*Inputs!$F$104/100*Construction!O11/365,0)</f>
        <v/>
      </c>
      <c r="P71" s="11">
        <f>IF(Construction!P8&lt;=Time!$F$10,O72*Inputs!$F$104/100*Construction!P11/365,0)</f>
        <v/>
      </c>
      <c r="Q71" s="11">
        <f>IF(Construction!Q8&lt;=Time!$F$10,P72*Inputs!$F$104/100*Construction!Q11/365,0)</f>
        <v/>
      </c>
      <c r="R71" s="11">
        <f>IF(Construction!R8&lt;=Time!$F$10,Q72*Inputs!$F$104/100*Construction!R11/365,0)</f>
        <v/>
      </c>
      <c r="S71" s="11">
        <f>IF(Construction!S8&lt;=Time!$F$10,R72*Inputs!$F$104/100*Construction!S11/365,0)</f>
        <v/>
      </c>
      <c r="T71" s="11">
        <f>IF(Construction!T8&lt;=Time!$F$10,S72*Inputs!$F$104/100*Construction!T11/365,0)</f>
        <v/>
      </c>
      <c r="U71" s="11">
        <f>IF(Construction!U8&lt;=Time!$F$10,T72*Inputs!$F$104/100*Construction!U11/365,0)</f>
        <v/>
      </c>
      <c r="V71" s="11">
        <f>IF(Construction!V8&lt;=Time!$F$10,U72*Inputs!$F$104/100*Construction!V11/365,0)</f>
        <v/>
      </c>
      <c r="W71" s="11">
        <f>IF(Construction!W8&lt;=Time!$F$10,V72*Inputs!$F$104/100*Construction!W11/365,0)</f>
        <v/>
      </c>
      <c r="X71" s="11">
        <f>IF(Construction!X8&lt;=Time!$F$10,W72*Inputs!$F$104/100*Construction!X11/365,0)</f>
        <v/>
      </c>
      <c r="Y71" s="11">
        <f>IF(Construction!Y8&lt;=Time!$F$10,X72*Inputs!$F$104/100*Construction!Y11/365,0)</f>
        <v/>
      </c>
      <c r="Z71" s="11">
        <f>IF(Construction!Z8&lt;=Time!$F$10,Y72*Inputs!$F$104/100*Construction!Z11/365,0)</f>
        <v/>
      </c>
      <c r="AA71" s="11">
        <f>IF(Construction!AA8&lt;=Time!$F$10,Z72*Inputs!$F$104/100*Construction!AA11/365,0)</f>
        <v/>
      </c>
      <c r="AB71" s="11">
        <f>IF(Construction!AB8&lt;=Time!$F$10,AA72*Inputs!$F$104/100*Construction!AB11/365,0)</f>
        <v/>
      </c>
      <c r="AC71" s="11">
        <f>IF(Construction!AC8&lt;=Time!$F$10,AB72*Inputs!$F$104/100*Construction!AC11/365,0)</f>
        <v/>
      </c>
      <c r="AD71" s="11">
        <f>IF(Construction!AD8&lt;=Time!$F$10,AC72*Inputs!$F$104/100*Construction!AD11/365,0)</f>
        <v/>
      </c>
      <c r="AE71" s="11">
        <f>IF(Construction!AE8&lt;=Time!$F$10,AD72*Inputs!$F$104/100*Construction!AE11/365,0)</f>
        <v/>
      </c>
      <c r="AF71" s="11">
        <f>IF(Construction!AF8&lt;=Time!$F$10,AE72*Inputs!$F$104/100*Construction!AF11/365,0)</f>
        <v/>
      </c>
      <c r="AG71" s="11">
        <f>IF(Construction!AG8&lt;=Time!$F$10,AF72*Inputs!$F$104/100*Construction!AG11/365,0)</f>
        <v/>
      </c>
      <c r="AH71" s="11">
        <f>IF(Construction!AH8&lt;=Time!$F$10,AG72*Inputs!$F$104/100*Construction!AH11/365,0)</f>
        <v/>
      </c>
      <c r="AI71" s="11">
        <f>IF(Construction!AI8&lt;=Time!$F$10,AH72*Inputs!$F$104/100*Construction!AI11/365,0)</f>
        <v/>
      </c>
      <c r="AJ71" s="11">
        <f>IF(Construction!AJ8&lt;=Time!$F$10,AI72*Inputs!$F$104/100*Construction!AJ11/365,0)</f>
        <v/>
      </c>
      <c r="AK71" s="11">
        <f>IF(Construction!AK8&lt;=Time!$F$10,AJ72*Inputs!$F$104/100*Construction!AK11/365,0)</f>
        <v/>
      </c>
      <c r="AL71" s="11">
        <f>IF(Construction!AL8&lt;=Time!$F$10,AK72*Inputs!$F$104/100*Construction!AL11/365,0)</f>
        <v/>
      </c>
      <c r="AM71" s="11">
        <f>IF(Construction!AM8&lt;=Time!$F$10,AL72*Inputs!$F$104/100*Construction!AM11/365,0)</f>
        <v/>
      </c>
      <c r="AN71" s="11">
        <f>IF(Construction!AN8&lt;=Time!$F$10,AM72*Inputs!$F$104/100*Construction!AN11/365,0)</f>
        <v/>
      </c>
      <c r="AO71" s="11">
        <f>IF(Construction!AO8&lt;=Time!$F$10,AN72*Inputs!$F$104/100*Construction!AO11/365,0)</f>
        <v/>
      </c>
      <c r="AP71" s="11">
        <f>IF(Construction!AP8&lt;=Time!$F$10,AO72*Inputs!$F$104/100*Construction!AP11/365,0)</f>
        <v/>
      </c>
      <c r="AQ71" s="11">
        <f>IF(Construction!AQ8&lt;=Time!$F$10,AP72*Inputs!$F$104/100*Construction!AQ11/365,0)</f>
        <v/>
      </c>
      <c r="AR71" s="11">
        <f>IF(Construction!AR8&lt;=Time!$F$10,AQ72*Inputs!$F$104/100*Construction!AR11/365,0)</f>
        <v/>
      </c>
      <c r="AS71" s="11">
        <f>IF(Construction!AS8&lt;=Time!$F$10,AR72*Inputs!$F$104/100*Construction!AS11/365,0)</f>
        <v/>
      </c>
      <c r="AT71" s="11">
        <f>IF(Construction!AT8&lt;=Time!$F$10,AS72*Inputs!$F$104/100*Construction!AT11/365,0)</f>
        <v/>
      </c>
      <c r="AU71" s="11">
        <f>IF(Construction!AU8&lt;=Time!$F$10,AT72*Inputs!$F$104/100*Construction!AU11/365,0)</f>
        <v/>
      </c>
      <c r="AV71" s="11">
        <f>IF(Construction!AV8&lt;=Time!$F$10,AU72*Inputs!$F$104/100*Construction!AV11/365,0)</f>
        <v/>
      </c>
      <c r="AW71" s="11">
        <f>IF(Construction!AW8&lt;=Time!$F$10,AV72*Inputs!$F$104/100*Construction!AW11/365,0)</f>
        <v/>
      </c>
      <c r="AX71" s="11">
        <f>IF(Construction!AX8&lt;=Time!$F$10,AW72*Inputs!$F$104/100*Construction!AX11/365,0)</f>
        <v/>
      </c>
      <c r="AY71" s="11">
        <f>IF(Construction!AY8&lt;=Time!$F$10,AX72*Inputs!$F$104/100*Construction!AY11/365,0)</f>
        <v/>
      </c>
      <c r="AZ71" s="11">
        <f>IF(Construction!AZ8&lt;=Time!$F$10,AY72*Inputs!$F$104/100*Construction!AZ11/365,0)</f>
        <v/>
      </c>
      <c r="BA71" s="11">
        <f>IF(Construction!BA8&lt;=Time!$F$10,AZ72*Inputs!$F$104/100*Construction!BA11/365,0)</f>
        <v/>
      </c>
      <c r="BB71" s="11">
        <f>IF(Construction!BB8&lt;=Time!$F$10,BA72*Inputs!$F$104/100*Construction!BB11/365,0)</f>
        <v/>
      </c>
      <c r="BC71" s="11">
        <f>IF(Construction!BC8&lt;=Time!$F$10,BB72*Inputs!$F$104/100*Construction!BC11/365,0)</f>
        <v/>
      </c>
      <c r="BD71" s="11">
        <f>IF(Construction!BD8&lt;=Time!$F$10,BC72*Inputs!$F$104/100*Construction!BD11/365,0)</f>
        <v/>
      </c>
      <c r="BE71" s="11">
        <f>IF(Construction!BE8&lt;=Time!$F$10,BD72*Inputs!$F$104/100*Construction!BE11/365,0)</f>
        <v/>
      </c>
      <c r="BF71" s="11">
        <f>IF(Construction!BF8&lt;=Time!$F$10,BE72*Inputs!$F$104/100*Construction!BF11/365,0)</f>
        <v/>
      </c>
      <c r="BG71" s="11">
        <f>IF(Construction!BG8&lt;=Time!$F$10,BF72*Inputs!$F$104/100*Construction!BG11/365,0)</f>
        <v/>
      </c>
      <c r="BH71" s="11">
        <f>IF(Construction!BH8&lt;=Time!$F$10,BG72*Inputs!$F$104/100*Construction!BH11/365,0)</f>
        <v/>
      </c>
      <c r="BI71" s="11">
        <f>IF(Construction!BI8&lt;=Time!$F$10,BH72*Inputs!$F$104/100*Construction!BI11/365,0)</f>
        <v/>
      </c>
      <c r="BJ71" s="11">
        <f>IF(Construction!BJ8&lt;=Time!$F$10,BI72*Inputs!$F$104/100*Construction!BJ11/365,0)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SUM(Funding!$J$49:$BJ$49)-SUM(Funding!$J$44:$BJ$44)-SUM(Construction!$J$28:$BJ$28)+SUM(Funding!$J$71:$BJ$71)-SUM(Funding!$J$52:$BJ$52)-Inputs!$F$48*Inputs!$F$191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IF(Time!J21&lt;=2025,Inputs!$F$82,IF(Time!J21&lt;=2029,Inputs!$F$83,Inputs!$F$84))</f>
        <v/>
      </c>
      <c r="K8" s="11">
        <f>IF(Time!K21&lt;=2025,Inputs!$F$82,IF(Time!K21&lt;=2029,Inputs!$F$83,Inputs!$F$84))</f>
        <v/>
      </c>
      <c r="L8" s="11">
        <f>IF(Time!L21&lt;=2025,Inputs!$F$82,IF(Time!L21&lt;=2029,Inputs!$F$83,Inputs!$F$84))</f>
        <v/>
      </c>
      <c r="M8" s="11">
        <f>IF(Time!M21&lt;=2025,Inputs!$F$82,IF(Time!M21&lt;=2029,Inputs!$F$83,Inputs!$F$84))</f>
        <v/>
      </c>
      <c r="N8" s="11">
        <f>IF(Time!N21&lt;=2025,Inputs!$F$82,IF(Time!N21&lt;=2029,Inputs!$F$83,Inputs!$F$84))</f>
        <v/>
      </c>
      <c r="O8" s="11">
        <f>IF(Time!O21&lt;=2025,Inputs!$F$82,IF(Time!O21&lt;=2029,Inputs!$F$83,Inputs!$F$84))</f>
        <v/>
      </c>
      <c r="P8" s="11">
        <f>IF(Time!P21&lt;=2025,Inputs!$F$82,IF(Time!P21&lt;=2029,Inputs!$F$83,Inputs!$F$84))</f>
        <v/>
      </c>
      <c r="Q8" s="11">
        <f>IF(Time!Q21&lt;=2025,Inputs!$F$82,IF(Time!Q21&lt;=2029,Inputs!$F$83,Inputs!$F$84))</f>
        <v/>
      </c>
      <c r="R8" s="11">
        <f>IF(Time!R21&lt;=2025,Inputs!$F$82,IF(Time!R21&lt;=2029,Inputs!$F$83,Inputs!$F$84))</f>
        <v/>
      </c>
      <c r="S8" s="11">
        <f>IF(Time!S21&lt;=2025,Inputs!$F$82,IF(Time!S21&lt;=2029,Inputs!$F$83,Inputs!$F$84))</f>
        <v/>
      </c>
      <c r="T8" s="11">
        <f>IF(Time!T21&lt;=2025,Inputs!$F$82,IF(Time!T21&lt;=2029,Inputs!$F$83,Inputs!$F$84))</f>
        <v/>
      </c>
      <c r="U8" s="11">
        <f>IF(Time!U21&lt;=2025,Inputs!$F$82,IF(Time!U21&lt;=2029,Inputs!$F$83,Inputs!$F$84))</f>
        <v/>
      </c>
      <c r="V8" s="11">
        <f>IF(Time!V21&lt;=2025,Inputs!$F$82,IF(Time!V21&lt;=2029,Inputs!$F$83,Inputs!$F$84))</f>
        <v/>
      </c>
      <c r="W8" s="11">
        <f>IF(Time!W21&lt;=2025,Inputs!$F$82,IF(Time!W21&lt;=2029,Inputs!$F$83,Inputs!$F$84))</f>
        <v/>
      </c>
      <c r="X8" s="11">
        <f>IF(Time!X21&lt;=2025,Inputs!$F$82,IF(Time!X21&lt;=2029,Inputs!$F$83,Inputs!$F$84))</f>
        <v/>
      </c>
      <c r="Y8" s="11">
        <f>IF(Time!Y21&lt;=2025,Inputs!$F$82,IF(Time!Y21&lt;=2029,Inputs!$F$83,Inputs!$F$84))</f>
        <v/>
      </c>
      <c r="Z8" s="11">
        <f>IF(Time!Z21&lt;=2025,Inputs!$F$82,IF(Time!Z21&lt;=2029,Inputs!$F$83,Inputs!$F$84))</f>
        <v/>
      </c>
      <c r="AA8" s="11">
        <f>IF(Time!AA21&lt;=2025,Inputs!$F$82,IF(Time!AA21&lt;=2029,Inputs!$F$83,Inputs!$F$84))</f>
        <v/>
      </c>
      <c r="AB8" s="11">
        <f>IF(Time!AB21&lt;=2025,Inputs!$F$82,IF(Time!AB21&lt;=2029,Inputs!$F$83,Inputs!$F$84))</f>
        <v/>
      </c>
      <c r="AC8" s="11">
        <f>IF(Time!AC21&lt;=2025,Inputs!$F$82,IF(Time!AC21&lt;=2029,Inputs!$F$83,Inputs!$F$84))</f>
        <v/>
      </c>
      <c r="AD8" s="11">
        <f>IF(Time!AD21&lt;=2025,Inputs!$F$82,IF(Time!AD21&lt;=2029,Inputs!$F$83,Inputs!$F$84))</f>
        <v/>
      </c>
      <c r="AE8" s="11">
        <f>IF(Time!AE21&lt;=2025,Inputs!$F$82,IF(Time!AE21&lt;=2029,Inputs!$F$83,Inputs!$F$84))</f>
        <v/>
      </c>
      <c r="AF8" s="11">
        <f>IF(Time!AF21&lt;=2025,Inputs!$F$82,IF(Time!AF21&lt;=2029,Inputs!$F$83,Inputs!$F$84))</f>
        <v/>
      </c>
      <c r="AG8" s="11">
        <f>IF(Time!AG21&lt;=2025,Inputs!$F$82,IF(Time!AG21&lt;=2029,Inputs!$F$83,Inputs!$F$84))</f>
        <v/>
      </c>
      <c r="AH8" s="11">
        <f>IF(Time!AH21&lt;=2025,Inputs!$F$82,IF(Time!AH21&lt;=2029,Inputs!$F$83,Inputs!$F$84))</f>
        <v/>
      </c>
      <c r="AI8" s="11">
        <f>IF(Time!AI21&lt;=2025,Inputs!$F$82,IF(Time!AI21&lt;=2029,Inputs!$F$83,Inputs!$F$84))</f>
        <v/>
      </c>
      <c r="AJ8" s="11">
        <f>IF(Time!AJ21&lt;=2025,Inputs!$F$82,IF(Time!AJ21&lt;=2029,Inputs!$F$83,Inputs!$F$84))</f>
        <v/>
      </c>
      <c r="AK8" s="11">
        <f>IF(Time!AK21&lt;=2025,Inputs!$F$82,IF(Time!AK21&lt;=2029,Inputs!$F$83,Inputs!$F$84))</f>
        <v/>
      </c>
      <c r="AL8" s="11">
        <f>IF(Time!AL21&lt;=2025,Inputs!$F$82,IF(Time!AL21&lt;=2029,Inputs!$F$83,Inputs!$F$84))</f>
        <v/>
      </c>
      <c r="AM8" s="11">
        <f>IF(Time!AM21&lt;=2025,Inputs!$F$82,IF(Time!AM21&lt;=2029,Inputs!$F$83,Inputs!$F$84))</f>
        <v/>
      </c>
      <c r="AN8" s="11">
        <f>IF(Time!AN21&lt;=2025,Inputs!$F$82,IF(Time!AN21&lt;=2029,Inputs!$F$83,Inputs!$F$84))</f>
        <v/>
      </c>
      <c r="AO8" s="11">
        <f>IF(Time!AO21&lt;=2025,Inputs!$F$82,IF(Time!AO21&lt;=2029,Inputs!$F$83,Inputs!$F$84))</f>
        <v/>
      </c>
      <c r="AP8" s="11">
        <f>IF(Time!AP21&lt;=2025,Inputs!$F$82,IF(Time!AP21&lt;=2029,Inputs!$F$83,Inputs!$F$84))</f>
        <v/>
      </c>
      <c r="AQ8" s="11">
        <f>IF(Time!AQ21&lt;=2025,Inputs!$F$82,IF(Time!AQ21&lt;=2029,Inputs!$F$83,Inputs!$F$84))</f>
        <v/>
      </c>
      <c r="AR8" s="11">
        <f>IF(Time!AR21&lt;=2025,Inputs!$F$82,IF(Time!AR21&lt;=2029,Inputs!$F$83,Inputs!$F$84))</f>
        <v/>
      </c>
      <c r="AS8" s="11">
        <f>IF(Time!AS21&lt;=2025,Inputs!$F$82,IF(Time!AS21&lt;=2029,Inputs!$F$83,Inputs!$F$84))</f>
        <v/>
      </c>
      <c r="AT8" s="11">
        <f>IF(Time!AT21&lt;=2025,Inputs!$F$82,IF(Time!AT21&lt;=2029,Inputs!$F$83,Inputs!$F$84))</f>
        <v/>
      </c>
      <c r="AU8" s="11">
        <f>IF(Time!AU21&lt;=2025,Inputs!$F$82,IF(Time!AU21&lt;=2029,Inputs!$F$83,Inputs!$F$84))</f>
        <v/>
      </c>
      <c r="AV8" s="11">
        <f>IF(Time!AV21&lt;=2025,Inputs!$F$82,IF(Time!AV21&lt;=2029,Inputs!$F$83,Inputs!$F$84))</f>
        <v/>
      </c>
      <c r="AW8" s="11">
        <f>IF(Time!AW21&lt;=2025,Inputs!$F$82,IF(Time!AW21&lt;=2029,Inputs!$F$83,Inputs!$F$84))</f>
        <v/>
      </c>
      <c r="AX8" s="11">
        <f>IF(Time!AX21&lt;=2025,Inputs!$F$82,IF(Time!AX21&lt;=2029,Inputs!$F$83,Inputs!$F$84))</f>
        <v/>
      </c>
      <c r="AY8" s="11">
        <f>IF(Time!AY21&lt;=2025,Inputs!$F$82,IF(Time!AY21&lt;=2029,Inputs!$F$83,Inputs!$F$84))</f>
        <v/>
      </c>
      <c r="AZ8" s="11">
        <f>IF(Time!AZ21&lt;=2025,Inputs!$F$82,IF(Time!AZ21&lt;=2029,Inputs!$F$83,Inputs!$F$84))</f>
        <v/>
      </c>
      <c r="BA8" s="11">
        <f>IF(Time!BA21&lt;=2025,Inputs!$F$82,IF(Time!BA21&lt;=2029,Inputs!$F$83,Inputs!$F$84))</f>
        <v/>
      </c>
      <c r="BB8" s="11">
        <f>IF(Time!BB21&lt;=2025,Inputs!$F$82,IF(Time!BB21&lt;=2029,Inputs!$F$83,Inputs!$F$84))</f>
        <v/>
      </c>
      <c r="BC8" s="11">
        <f>IF(Time!BC21&lt;=2025,Inputs!$F$82,IF(Time!BC21&lt;=2029,Inputs!$F$83,Inputs!$F$84))</f>
        <v/>
      </c>
      <c r="BD8" s="11">
        <f>IF(Time!BD21&lt;=2025,Inputs!$F$82,IF(Time!BD21&lt;=2029,Inputs!$F$83,Inputs!$F$84))</f>
        <v/>
      </c>
      <c r="BE8" s="11">
        <f>IF(Time!BE21&lt;=2025,Inputs!$F$82,IF(Time!BE21&lt;=2029,Inputs!$F$83,Inputs!$F$84))</f>
        <v/>
      </c>
      <c r="BF8" s="11">
        <f>IF(Time!BF21&lt;=2025,Inputs!$F$82,IF(Time!BF21&lt;=2029,Inputs!$F$83,Inputs!$F$84))</f>
        <v/>
      </c>
      <c r="BG8" s="11">
        <f>IF(Time!BG21&lt;=2025,Inputs!$F$82,IF(Time!BG21&lt;=2029,Inputs!$F$83,Inputs!$F$84))</f>
        <v/>
      </c>
      <c r="BH8" s="11">
        <f>IF(Time!BH21&lt;=2025,Inputs!$F$82,IF(Time!BH21&lt;=2029,Inputs!$F$83,Inputs!$F$84))</f>
        <v/>
      </c>
      <c r="BI8" s="11">
        <f>IF(Time!BI21&lt;=2025,Inputs!$F$82,IF(Time!BI21&lt;=2029,Inputs!$F$83,Inputs!$F$84))</f>
        <v/>
      </c>
      <c r="BJ8" s="11">
        <f>IF(Time!BJ21&lt;=2025,Inputs!$F$82,IF(Time!BJ21&lt;=2029,Inputs!$F$83,Inputs!$F$84))</f>
        <v/>
      </c>
      <c r="BK8" s="11">
        <f>IF(Time!BK21&lt;=2025,Inputs!$F$82,IF(Time!BK21&lt;=2029,Inputs!$F$83,Inputs!$F$84))</f>
        <v/>
      </c>
      <c r="BL8" s="11">
        <f>IF(Time!BL21&lt;=2025,Inputs!$F$82,IF(Time!BL21&lt;=2029,Inputs!$F$83,Inputs!$F$84))</f>
        <v/>
      </c>
      <c r="BM8" s="11">
        <f>IF(Time!BM21&lt;=2025,Inputs!$F$82,IF(Time!BM21&lt;=2029,Inputs!$F$83,Inputs!$F$84))</f>
        <v/>
      </c>
      <c r="BN8" s="11">
        <f>IF(Time!BN21&lt;=2025,Inputs!$F$82,IF(Time!BN21&lt;=2029,Inputs!$F$83,Inputs!$F$84))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Inputs!$F$49*IF(AND(Time!J17&gt;=11,Time!J17&lt;=13),Inputs!$F$193,0)</f>
        <v/>
      </c>
      <c r="K9" s="11">
        <f>Inputs!$F$49*IF(AND(Time!K17&gt;=11,Time!K17&lt;=13),Inputs!$F$193,0)</f>
        <v/>
      </c>
      <c r="L9" s="11">
        <f>Inputs!$F$49*IF(AND(Time!L17&gt;=11,Time!L17&lt;=13),Inputs!$F$193,0)</f>
        <v/>
      </c>
      <c r="M9" s="11">
        <f>Inputs!$F$49*IF(AND(Time!M17&gt;=11,Time!M17&lt;=13),Inputs!$F$193,0)</f>
        <v/>
      </c>
      <c r="N9" s="11">
        <f>Inputs!$F$49*IF(AND(Time!N17&gt;=11,Time!N17&lt;=13),Inputs!$F$193,0)</f>
        <v/>
      </c>
      <c r="O9" s="11">
        <f>Inputs!$F$49*IF(AND(Time!O17&gt;=11,Time!O17&lt;=13),Inputs!$F$193,0)</f>
        <v/>
      </c>
      <c r="P9" s="11">
        <f>Inputs!$F$49*IF(AND(Time!P17&gt;=11,Time!P17&lt;=13),Inputs!$F$193,0)</f>
        <v/>
      </c>
      <c r="Q9" s="11">
        <f>Inputs!$F$49*IF(AND(Time!Q17&gt;=11,Time!Q17&lt;=13),Inputs!$F$193,0)</f>
        <v/>
      </c>
      <c r="R9" s="11">
        <f>Inputs!$F$49*IF(AND(Time!R17&gt;=11,Time!R17&lt;=13),Inputs!$F$193,0)</f>
        <v/>
      </c>
      <c r="S9" s="11">
        <f>Inputs!$F$49*IF(AND(Time!S17&gt;=11,Time!S17&lt;=13),Inputs!$F$193,0)</f>
        <v/>
      </c>
      <c r="T9" s="11">
        <f>Inputs!$F$49*IF(AND(Time!T17&gt;=11,Time!T17&lt;=13),Inputs!$F$193,0)</f>
        <v/>
      </c>
      <c r="U9" s="11">
        <f>Inputs!$F$49*IF(AND(Time!U17&gt;=11,Time!U17&lt;=13),Inputs!$F$193,0)</f>
        <v/>
      </c>
      <c r="V9" s="11">
        <f>Inputs!$F$49*IF(AND(Time!V17&gt;=11,Time!V17&lt;=13),Inputs!$F$193,0)</f>
        <v/>
      </c>
      <c r="W9" s="11">
        <f>Inputs!$F$49*IF(AND(Time!W17&gt;=11,Time!W17&lt;=13),Inputs!$F$193,0)</f>
        <v/>
      </c>
      <c r="X9" s="11">
        <f>Inputs!$F$49*IF(AND(Time!X17&gt;=11,Time!X17&lt;=13),Inputs!$F$193,0)</f>
        <v/>
      </c>
      <c r="Y9" s="11">
        <f>Inputs!$F$49*IF(AND(Time!Y17&gt;=11,Time!Y17&lt;=13),Inputs!$F$193,0)</f>
        <v/>
      </c>
      <c r="Z9" s="11">
        <f>Inputs!$F$49*IF(AND(Time!Z17&gt;=11,Time!Z17&lt;=13),Inputs!$F$193,0)</f>
        <v/>
      </c>
      <c r="AA9" s="11">
        <f>Inputs!$F$49*IF(AND(Time!AA17&gt;=11,Time!AA17&lt;=13),Inputs!$F$193,0)</f>
        <v/>
      </c>
      <c r="AB9" s="11">
        <f>Inputs!$F$49*IF(AND(Time!AB17&gt;=11,Time!AB17&lt;=13),Inputs!$F$193,0)</f>
        <v/>
      </c>
      <c r="AC9" s="11">
        <f>Inputs!$F$49*IF(AND(Time!AC17&gt;=11,Time!AC17&lt;=13),Inputs!$F$193,0)</f>
        <v/>
      </c>
      <c r="AD9" s="11">
        <f>Inputs!$F$49*IF(AND(Time!AD17&gt;=11,Time!AD17&lt;=13),Inputs!$F$193,0)</f>
        <v/>
      </c>
      <c r="AE9" s="11">
        <f>Inputs!$F$49*IF(AND(Time!AE17&gt;=11,Time!AE17&lt;=13),Inputs!$F$193,0)</f>
        <v/>
      </c>
      <c r="AF9" s="11">
        <f>Inputs!$F$49*IF(AND(Time!AF17&gt;=11,Time!AF17&lt;=13),Inputs!$F$193,0)</f>
        <v/>
      </c>
      <c r="AG9" s="11">
        <f>Inputs!$F$49*IF(AND(Time!AG17&gt;=11,Time!AG17&lt;=13),Inputs!$F$193,0)</f>
        <v/>
      </c>
      <c r="AH9" s="11">
        <f>Inputs!$F$49*IF(AND(Time!AH17&gt;=11,Time!AH17&lt;=13),Inputs!$F$193,0)</f>
        <v/>
      </c>
      <c r="AI9" s="11">
        <f>Inputs!$F$49*IF(AND(Time!AI17&gt;=11,Time!AI17&lt;=13),Inputs!$F$193,0)</f>
        <v/>
      </c>
      <c r="AJ9" s="11">
        <f>Inputs!$F$49*IF(AND(Time!AJ17&gt;=11,Time!AJ17&lt;=13),Inputs!$F$193,0)</f>
        <v/>
      </c>
      <c r="AK9" s="11">
        <f>Inputs!$F$49*IF(AND(Time!AK17&gt;=11,Time!AK17&lt;=13),Inputs!$F$193,0)</f>
        <v/>
      </c>
      <c r="AL9" s="11">
        <f>Inputs!$F$49*IF(AND(Time!AL17&gt;=11,Time!AL17&lt;=13),Inputs!$F$193,0)</f>
        <v/>
      </c>
      <c r="AM9" s="11">
        <f>Inputs!$F$49*IF(AND(Time!AM17&gt;=11,Time!AM17&lt;=13),Inputs!$F$193,0)</f>
        <v/>
      </c>
      <c r="AN9" s="11">
        <f>Inputs!$F$49*IF(AND(Time!AN17&gt;=11,Time!AN17&lt;=13),Inputs!$F$193,0)</f>
        <v/>
      </c>
      <c r="AO9" s="11">
        <f>Inputs!$F$49*IF(AND(Time!AO17&gt;=11,Time!AO17&lt;=13),Inputs!$F$193,0)</f>
        <v/>
      </c>
      <c r="AP9" s="11">
        <f>Inputs!$F$49*IF(AND(Time!AP17&gt;=11,Time!AP17&lt;=13),Inputs!$F$193,0)</f>
        <v/>
      </c>
      <c r="AQ9" s="11">
        <f>Inputs!$F$49*IF(AND(Time!AQ17&gt;=11,Time!AQ17&lt;=13),Inputs!$F$193,0)</f>
        <v/>
      </c>
      <c r="AR9" s="11">
        <f>Inputs!$F$49*IF(AND(Time!AR17&gt;=11,Time!AR17&lt;=13),Inputs!$F$193,0)</f>
        <v/>
      </c>
      <c r="AS9" s="11">
        <f>Inputs!$F$49*IF(AND(Time!AS17&gt;=11,Time!AS17&lt;=13),Inputs!$F$193,0)</f>
        <v/>
      </c>
      <c r="AT9" s="11">
        <f>Inputs!$F$49*IF(AND(Time!AT17&gt;=11,Time!AT17&lt;=13),Inputs!$F$193,0)</f>
        <v/>
      </c>
      <c r="AU9" s="11">
        <f>Inputs!$F$49*IF(AND(Time!AU17&gt;=11,Time!AU17&lt;=13),Inputs!$F$193,0)</f>
        <v/>
      </c>
      <c r="AV9" s="11">
        <f>Inputs!$F$49*IF(AND(Time!AV17&gt;=11,Time!AV17&lt;=13),Inputs!$F$193,0)</f>
        <v/>
      </c>
      <c r="AW9" s="11">
        <f>Inputs!$F$49*IF(AND(Time!AW17&gt;=11,Time!AW17&lt;=13),Inputs!$F$193,0)</f>
        <v/>
      </c>
      <c r="AX9" s="11">
        <f>Inputs!$F$49*IF(AND(Time!AX17&gt;=11,Time!AX17&lt;=13),Inputs!$F$193,0)</f>
        <v/>
      </c>
      <c r="AY9" s="11">
        <f>Inputs!$F$49*IF(AND(Time!AY17&gt;=11,Time!AY17&lt;=13),Inputs!$F$193,0)</f>
        <v/>
      </c>
      <c r="AZ9" s="11">
        <f>Inputs!$F$49*IF(AND(Time!AZ17&gt;=11,Time!AZ17&lt;=13),Inputs!$F$193,0)</f>
        <v/>
      </c>
      <c r="BA9" s="11">
        <f>Inputs!$F$49*IF(AND(Time!BA17&gt;=11,Time!BA17&lt;=13),Inputs!$F$193,0)</f>
        <v/>
      </c>
      <c r="BB9" s="11">
        <f>Inputs!$F$49*IF(AND(Time!BB17&gt;=11,Time!BB17&lt;=13),Inputs!$F$193,0)</f>
        <v/>
      </c>
      <c r="BC9" s="11">
        <f>Inputs!$F$49*IF(AND(Time!BC17&gt;=11,Time!BC17&lt;=13),Inputs!$F$193,0)</f>
        <v/>
      </c>
      <c r="BD9" s="11">
        <f>Inputs!$F$49*IF(AND(Time!BD17&gt;=11,Time!BD17&lt;=13),Inputs!$F$193,0)</f>
        <v/>
      </c>
      <c r="BE9" s="11">
        <f>Inputs!$F$49*IF(AND(Time!BE17&gt;=11,Time!BE17&lt;=13),Inputs!$F$193,0)</f>
        <v/>
      </c>
      <c r="BF9" s="11">
        <f>Inputs!$F$49*IF(AND(Time!BF17&gt;=11,Time!BF17&lt;=13),Inputs!$F$193,0)</f>
        <v/>
      </c>
      <c r="BG9" s="11">
        <f>Inputs!$F$49*IF(AND(Time!BG17&gt;=11,Time!BG17&lt;=13),Inputs!$F$193,0)</f>
        <v/>
      </c>
      <c r="BH9" s="11">
        <f>Inputs!$F$49*IF(AND(Time!BH17&gt;=11,Time!BH17&lt;=13),Inputs!$F$193,0)</f>
        <v/>
      </c>
      <c r="BI9" s="11">
        <f>Inputs!$F$49*IF(AND(Time!BI17&gt;=11,Time!BI17&lt;=13),Inputs!$F$193,0)</f>
        <v/>
      </c>
      <c r="BJ9" s="11">
        <f>Inputs!$F$49*IF(AND(Time!BJ17&gt;=11,Time!BJ17&lt;=13),Inputs!$F$193,0)</f>
        <v/>
      </c>
      <c r="BK9" s="11">
        <f>Inputs!$F$49*IF(AND(Time!BK17&gt;=11,Time!BK17&lt;=13),Inputs!$F$193,0)</f>
        <v/>
      </c>
      <c r="BL9" s="11">
        <f>Inputs!$F$49*IF(AND(Time!BL17&gt;=11,Time!BL17&lt;=13),Inputs!$F$193,0)</f>
        <v/>
      </c>
      <c r="BM9" s="11">
        <f>Inputs!$F$49*IF(AND(Time!BM17&gt;=11,Time!BM17&lt;=13),Inputs!$F$193,0)</f>
        <v/>
      </c>
      <c r="BN9" s="11">
        <f>Inputs!$F$49*IF(AND(Time!BN17&gt;=11,Time!BN17&lt;=13),Inputs!$F$193,0)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(Operations!J9+Inputs!$F$79+J9)/100*Time!J20/360</f>
        <v/>
      </c>
      <c r="K10" s="14">
        <f>(Operations!K9+Inputs!$F$79+K9)/100*Time!K20/360</f>
        <v/>
      </c>
      <c r="L10" s="14">
        <f>(Operations!L9+Inputs!$F$79+L9)/100*Time!L20/360</f>
        <v/>
      </c>
      <c r="M10" s="14">
        <f>(Operations!M9+Inputs!$F$79+M9)/100*Time!M20/360</f>
        <v/>
      </c>
      <c r="N10" s="14">
        <f>(Operations!N9+Inputs!$F$79+N9)/100*Time!N20/360</f>
        <v/>
      </c>
      <c r="O10" s="14">
        <f>(Operations!O9+Inputs!$F$79+O9)/100*Time!O20/360</f>
        <v/>
      </c>
      <c r="P10" s="14">
        <f>(Operations!P9+Inputs!$F$79+P9)/100*Time!P20/360</f>
        <v/>
      </c>
      <c r="Q10" s="14">
        <f>(Operations!Q9+Inputs!$F$79+Q9)/100*Time!Q20/360</f>
        <v/>
      </c>
      <c r="R10" s="14">
        <f>(Operations!R9+Inputs!$F$79+R9)/100*Time!R20/360</f>
        <v/>
      </c>
      <c r="S10" s="14">
        <f>(Operations!S9+Inputs!$F$79+S9)/100*Time!S20/360</f>
        <v/>
      </c>
      <c r="T10" s="14">
        <f>(Operations!T9+Inputs!$F$79+T9)/100*Time!T20/360</f>
        <v/>
      </c>
      <c r="U10" s="14">
        <f>(Operations!U9+Inputs!$F$79+U9)/100*Time!U20/360</f>
        <v/>
      </c>
      <c r="V10" s="14">
        <f>(Operations!V9+Inputs!$F$79+V9)/100*Time!V20/360</f>
        <v/>
      </c>
      <c r="W10" s="14">
        <f>(Operations!W9+Inputs!$F$79+W9)/100*Time!W20/360</f>
        <v/>
      </c>
      <c r="X10" s="14">
        <f>(Operations!X9+Inputs!$F$79+X9)/100*Time!X20/360</f>
        <v/>
      </c>
      <c r="Y10" s="14">
        <f>(Operations!Y9+Inputs!$F$79+Y9)/100*Time!Y20/360</f>
        <v/>
      </c>
      <c r="Z10" s="14">
        <f>(Operations!Z9+Inputs!$F$79+Z9)/100*Time!Z20/360</f>
        <v/>
      </c>
      <c r="AA10" s="14">
        <f>(Operations!AA9+Inputs!$F$79+AA9)/100*Time!AA20/360</f>
        <v/>
      </c>
      <c r="AB10" s="14">
        <f>(Operations!AB9+Inputs!$F$79+AB9)/100*Time!AB20/360</f>
        <v/>
      </c>
      <c r="AC10" s="14">
        <f>(Operations!AC9+Inputs!$F$79+AC9)/100*Time!AC20/360</f>
        <v/>
      </c>
      <c r="AD10" s="14">
        <f>(Operations!AD9+Inputs!$F$79+AD9)/100*Time!AD20/360</f>
        <v/>
      </c>
      <c r="AE10" s="14">
        <f>(Operations!AE9+Inputs!$F$79+AE9)/100*Time!AE20/360</f>
        <v/>
      </c>
      <c r="AF10" s="14">
        <f>(Operations!AF9+Inputs!$F$79+AF9)/100*Time!AF20/360</f>
        <v/>
      </c>
      <c r="AG10" s="14">
        <f>(Operations!AG9+Inputs!$F$79+AG9)/100*Time!AG20/360</f>
        <v/>
      </c>
      <c r="AH10" s="14">
        <f>(Operations!AH9+Inputs!$F$79+AH9)/100*Time!AH20/360</f>
        <v/>
      </c>
      <c r="AI10" s="14">
        <f>(Operations!AI9+Inputs!$F$79+AI9)/100*Time!AI20/360</f>
        <v/>
      </c>
      <c r="AJ10" s="14">
        <f>(Operations!AJ9+Inputs!$F$79+AJ9)/100*Time!AJ20/360</f>
        <v/>
      </c>
      <c r="AK10" s="14">
        <f>(Operations!AK9+Inputs!$F$79+AK9)/100*Time!AK20/360</f>
        <v/>
      </c>
      <c r="AL10" s="14">
        <f>(Operations!AL9+Inputs!$F$79+AL9)/100*Time!AL20/360</f>
        <v/>
      </c>
      <c r="AM10" s="14">
        <f>(Operations!AM9+Inputs!$F$79+AM9)/100*Time!AM20/360</f>
        <v/>
      </c>
      <c r="AN10" s="14">
        <f>(Operations!AN9+Inputs!$F$79+AN9)/100*Time!AN20/360</f>
        <v/>
      </c>
      <c r="AO10" s="14">
        <f>(Operations!AO9+Inputs!$F$79+AO9)/100*Time!AO20/360</f>
        <v/>
      </c>
      <c r="AP10" s="14">
        <f>(Operations!AP9+Inputs!$F$79+AP9)/100*Time!AP20/360</f>
        <v/>
      </c>
      <c r="AQ10" s="14">
        <f>(Operations!AQ9+Inputs!$F$79+AQ9)/100*Time!AQ20/360</f>
        <v/>
      </c>
      <c r="AR10" s="14">
        <f>(Operations!AR9+Inputs!$F$79+AR9)/100*Time!AR20/360</f>
        <v/>
      </c>
      <c r="AS10" s="14">
        <f>(Operations!AS9+Inputs!$F$79+AS9)/100*Time!AS20/360</f>
        <v/>
      </c>
      <c r="AT10" s="14">
        <f>(Operations!AT9+Inputs!$F$79+AT9)/100*Time!AT20/360</f>
        <v/>
      </c>
      <c r="AU10" s="14">
        <f>(Operations!AU9+Inputs!$F$79+AU9)/100*Time!AU20/360</f>
        <v/>
      </c>
      <c r="AV10" s="14">
        <f>(Operations!AV9+Inputs!$F$79+AV9)/100*Time!AV20/360</f>
        <v/>
      </c>
      <c r="AW10" s="14">
        <f>(Operations!AW9+Inputs!$F$79+AW9)/100*Time!AW20/360</f>
        <v/>
      </c>
      <c r="AX10" s="14">
        <f>(Operations!AX9+Inputs!$F$79+AX9)/100*Time!AX20/360</f>
        <v/>
      </c>
      <c r="AY10" s="14">
        <f>(Operations!AY9+Inputs!$F$79+AY9)/100*Time!AY20/360</f>
        <v/>
      </c>
      <c r="AZ10" s="14">
        <f>(Operations!AZ9+Inputs!$F$79+AZ9)/100*Time!AZ20/360</f>
        <v/>
      </c>
      <c r="BA10" s="14">
        <f>(Operations!BA9+Inputs!$F$79+BA9)/100*Time!BA20/360</f>
        <v/>
      </c>
      <c r="BB10" s="14">
        <f>(Operations!BB9+Inputs!$F$79+BB9)/100*Time!BB20/360</f>
        <v/>
      </c>
      <c r="BC10" s="14">
        <f>(Operations!BC9+Inputs!$F$79+BC9)/100*Time!BC20/360</f>
        <v/>
      </c>
      <c r="BD10" s="14">
        <f>(Operations!BD9+Inputs!$F$79+BD9)/100*Time!BD20/360</f>
        <v/>
      </c>
      <c r="BE10" s="14">
        <f>(Operations!BE9+Inputs!$F$79+BE9)/100*Time!BE20/360</f>
        <v/>
      </c>
      <c r="BF10" s="14">
        <f>(Operations!BF9+Inputs!$F$79+BF9)/100*Time!BF20/360</f>
        <v/>
      </c>
      <c r="BG10" s="14">
        <f>(Operations!BG9+Inputs!$F$79+BG9)/100*Time!BG20/360</f>
        <v/>
      </c>
      <c r="BH10" s="14">
        <f>(Operations!BH9+Inputs!$F$79+BH9)/100*Time!BH20/360</f>
        <v/>
      </c>
      <c r="BI10" s="14">
        <f>(Operations!BI9+Inputs!$F$79+BI9)/100*Time!BI20/360</f>
        <v/>
      </c>
      <c r="BJ10" s="14">
        <f>(Operations!BJ9+Inputs!$F$79+BJ9)/100*Time!BJ20/360</f>
        <v/>
      </c>
      <c r="BK10" s="14">
        <f>(Operations!BK9+Inputs!$F$79+BK9)/100*Time!BK20/360</f>
        <v/>
      </c>
      <c r="BL10" s="14">
        <f>(Operations!BL9+Inputs!$F$79+BL9)/100*Time!BL20/360</f>
        <v/>
      </c>
      <c r="BM10" s="14">
        <f>(Operations!BM9+Inputs!$F$79+BM9)/100*Time!BM20/360</f>
        <v/>
      </c>
      <c r="BN10" s="14">
        <f>(Operations!BN9+Inputs!$F$79+BN9)/100*Time!BN20/360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(Operations!J9+Inputs!$F$80+J9)/100*Time!J20/360</f>
        <v/>
      </c>
      <c r="K11" s="14">
        <f>(Operations!K9+Inputs!$F$80+K9)/100*Time!K20/360</f>
        <v/>
      </c>
      <c r="L11" s="14">
        <f>(Operations!L9+Inputs!$F$80+L9)/100*Time!L20/360</f>
        <v/>
      </c>
      <c r="M11" s="14">
        <f>(Operations!M9+Inputs!$F$80+M9)/100*Time!M20/360</f>
        <v/>
      </c>
      <c r="N11" s="14">
        <f>(Operations!N9+Inputs!$F$80+N9)/100*Time!N20/360</f>
        <v/>
      </c>
      <c r="O11" s="14">
        <f>(Operations!O9+Inputs!$F$80+O9)/100*Time!O20/360</f>
        <v/>
      </c>
      <c r="P11" s="14">
        <f>(Operations!P9+Inputs!$F$80+P9)/100*Time!P20/360</f>
        <v/>
      </c>
      <c r="Q11" s="14">
        <f>(Operations!Q9+Inputs!$F$80+Q9)/100*Time!Q20/360</f>
        <v/>
      </c>
      <c r="R11" s="14">
        <f>(Operations!R9+Inputs!$F$80+R9)/100*Time!R20/360</f>
        <v/>
      </c>
      <c r="S11" s="14">
        <f>(Operations!S9+Inputs!$F$80+S9)/100*Time!S20/360</f>
        <v/>
      </c>
      <c r="T11" s="14">
        <f>(Operations!T9+Inputs!$F$80+T9)/100*Time!T20/360</f>
        <v/>
      </c>
      <c r="U11" s="14">
        <f>(Operations!U9+Inputs!$F$80+U9)/100*Time!U20/360</f>
        <v/>
      </c>
      <c r="V11" s="14">
        <f>(Operations!V9+Inputs!$F$80+V9)/100*Time!V20/360</f>
        <v/>
      </c>
      <c r="W11" s="14">
        <f>(Operations!W9+Inputs!$F$80+W9)/100*Time!W20/360</f>
        <v/>
      </c>
      <c r="X11" s="14">
        <f>(Operations!X9+Inputs!$F$80+X9)/100*Time!X20/360</f>
        <v/>
      </c>
      <c r="Y11" s="14">
        <f>(Operations!Y9+Inputs!$F$80+Y9)/100*Time!Y20/360</f>
        <v/>
      </c>
      <c r="Z11" s="14">
        <f>(Operations!Z9+Inputs!$F$80+Z9)/100*Time!Z20/360</f>
        <v/>
      </c>
      <c r="AA11" s="14">
        <f>(Operations!AA9+Inputs!$F$80+AA9)/100*Time!AA20/360</f>
        <v/>
      </c>
      <c r="AB11" s="14">
        <f>(Operations!AB9+Inputs!$F$80+AB9)/100*Time!AB20/360</f>
        <v/>
      </c>
      <c r="AC11" s="14">
        <f>(Operations!AC9+Inputs!$F$80+AC9)/100*Time!AC20/360</f>
        <v/>
      </c>
      <c r="AD11" s="14">
        <f>(Operations!AD9+Inputs!$F$80+AD9)/100*Time!AD20/360</f>
        <v/>
      </c>
      <c r="AE11" s="14">
        <f>(Operations!AE9+Inputs!$F$80+AE9)/100*Time!AE20/360</f>
        <v/>
      </c>
      <c r="AF11" s="14">
        <f>(Operations!AF9+Inputs!$F$80+AF9)/100*Time!AF20/360</f>
        <v/>
      </c>
      <c r="AG11" s="14">
        <f>(Operations!AG9+Inputs!$F$80+AG9)/100*Time!AG20/360</f>
        <v/>
      </c>
      <c r="AH11" s="14">
        <f>(Operations!AH9+Inputs!$F$80+AH9)/100*Time!AH20/360</f>
        <v/>
      </c>
      <c r="AI11" s="14">
        <f>(Operations!AI9+Inputs!$F$80+AI9)/100*Time!AI20/360</f>
        <v/>
      </c>
      <c r="AJ11" s="14">
        <f>(Operations!AJ9+Inputs!$F$80+AJ9)/100*Time!AJ20/360</f>
        <v/>
      </c>
      <c r="AK11" s="14">
        <f>(Operations!AK9+Inputs!$F$80+AK9)/100*Time!AK20/360</f>
        <v/>
      </c>
      <c r="AL11" s="14">
        <f>(Operations!AL9+Inputs!$F$80+AL9)/100*Time!AL20/360</f>
        <v/>
      </c>
      <c r="AM11" s="14">
        <f>(Operations!AM9+Inputs!$F$80+AM9)/100*Time!AM20/360</f>
        <v/>
      </c>
      <c r="AN11" s="14">
        <f>(Operations!AN9+Inputs!$F$80+AN9)/100*Time!AN20/360</f>
        <v/>
      </c>
      <c r="AO11" s="14">
        <f>(Operations!AO9+Inputs!$F$80+AO9)/100*Time!AO20/360</f>
        <v/>
      </c>
      <c r="AP11" s="14">
        <f>(Operations!AP9+Inputs!$F$80+AP9)/100*Time!AP20/360</f>
        <v/>
      </c>
      <c r="AQ11" s="14">
        <f>(Operations!AQ9+Inputs!$F$80+AQ9)/100*Time!AQ20/360</f>
        <v/>
      </c>
      <c r="AR11" s="14">
        <f>(Operations!AR9+Inputs!$F$80+AR9)/100*Time!AR20/360</f>
        <v/>
      </c>
      <c r="AS11" s="14">
        <f>(Operations!AS9+Inputs!$F$80+AS9)/100*Time!AS20/360</f>
        <v/>
      </c>
      <c r="AT11" s="14">
        <f>(Operations!AT9+Inputs!$F$80+AT9)/100*Time!AT20/360</f>
        <v/>
      </c>
      <c r="AU11" s="14">
        <f>(Operations!AU9+Inputs!$F$80+AU9)/100*Time!AU20/360</f>
        <v/>
      </c>
      <c r="AV11" s="14">
        <f>(Operations!AV9+Inputs!$F$80+AV9)/100*Time!AV20/360</f>
        <v/>
      </c>
      <c r="AW11" s="14">
        <f>(Operations!AW9+Inputs!$F$80+AW9)/100*Time!AW20/360</f>
        <v/>
      </c>
      <c r="AX11" s="14">
        <f>(Operations!AX9+Inputs!$F$80+AX9)/100*Time!AX20/360</f>
        <v/>
      </c>
      <c r="AY11" s="14">
        <f>(Operations!AY9+Inputs!$F$80+AY9)/100*Time!AY20/360</f>
        <v/>
      </c>
      <c r="AZ11" s="14">
        <f>(Operations!AZ9+Inputs!$F$80+AZ9)/100*Time!AZ20/360</f>
        <v/>
      </c>
      <c r="BA11" s="14">
        <f>(Operations!BA9+Inputs!$F$80+BA9)/100*Time!BA20/360</f>
        <v/>
      </c>
      <c r="BB11" s="14">
        <f>(Operations!BB9+Inputs!$F$80+BB9)/100*Time!BB20/360</f>
        <v/>
      </c>
      <c r="BC11" s="14">
        <f>(Operations!BC9+Inputs!$F$80+BC9)/100*Time!BC20/360</f>
        <v/>
      </c>
      <c r="BD11" s="14">
        <f>(Operations!BD9+Inputs!$F$80+BD9)/100*Time!BD20/360</f>
        <v/>
      </c>
      <c r="BE11" s="14">
        <f>(Operations!BE9+Inputs!$F$80+BE9)/100*Time!BE20/360</f>
        <v/>
      </c>
      <c r="BF11" s="14">
        <f>(Operations!BF9+Inputs!$F$80+BF9)/100*Time!BF20/360</f>
        <v/>
      </c>
      <c r="BG11" s="14">
        <f>(Operations!BG9+Inputs!$F$80+BG9)/100*Time!BG20/360</f>
        <v/>
      </c>
      <c r="BH11" s="14">
        <f>(Operations!BH9+Inputs!$F$80+BH9)/100*Time!BH20/360</f>
        <v/>
      </c>
      <c r="BI11" s="14">
        <f>(Operations!BI9+Inputs!$F$80+BI9)/100*Time!BI20/360</f>
        <v/>
      </c>
      <c r="BJ11" s="14">
        <f>(Operations!BJ9+Inputs!$F$80+BJ9)/100*Time!BJ20/360</f>
        <v/>
      </c>
      <c r="BK11" s="14">
        <f>(Operations!BK9+Inputs!$F$80+BK9)/100*Time!BK20/360</f>
        <v/>
      </c>
      <c r="BL11" s="14">
        <f>(Operations!BL9+Inputs!$F$80+BL9)/100*Time!BL20/360</f>
        <v/>
      </c>
      <c r="BM11" s="14">
        <f>(Operations!BM9+Inputs!$F$80+BM9)/100*Time!BM20/360</f>
        <v/>
      </c>
      <c r="BN11" s="14">
        <f>(Operations!BN9+Inputs!$F$80+BN9)/100*Time!BN20/360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(Operations!J9+Inputs!$F$81+J9)/100*Time!J20/360</f>
        <v/>
      </c>
      <c r="K12" s="14">
        <f>(Operations!K9+Inputs!$F$81+K9)/100*Time!K20/360</f>
        <v/>
      </c>
      <c r="L12" s="14">
        <f>(Operations!L9+Inputs!$F$81+L9)/100*Time!L20/360</f>
        <v/>
      </c>
      <c r="M12" s="14">
        <f>(Operations!M9+Inputs!$F$81+M9)/100*Time!M20/360</f>
        <v/>
      </c>
      <c r="N12" s="14">
        <f>(Operations!N9+Inputs!$F$81+N9)/100*Time!N20/360</f>
        <v/>
      </c>
      <c r="O12" s="14">
        <f>(Operations!O9+Inputs!$F$81+O9)/100*Time!O20/360</f>
        <v/>
      </c>
      <c r="P12" s="14">
        <f>(Operations!P9+Inputs!$F$81+P9)/100*Time!P20/360</f>
        <v/>
      </c>
      <c r="Q12" s="14">
        <f>(Operations!Q9+Inputs!$F$81+Q9)/100*Time!Q20/360</f>
        <v/>
      </c>
      <c r="R12" s="14">
        <f>(Operations!R9+Inputs!$F$81+R9)/100*Time!R20/360</f>
        <v/>
      </c>
      <c r="S12" s="14">
        <f>(Operations!S9+Inputs!$F$81+S9)/100*Time!S20/360</f>
        <v/>
      </c>
      <c r="T12" s="14">
        <f>(Operations!T9+Inputs!$F$81+T9)/100*Time!T20/360</f>
        <v/>
      </c>
      <c r="U12" s="14">
        <f>(Operations!U9+Inputs!$F$81+U9)/100*Time!U20/360</f>
        <v/>
      </c>
      <c r="V12" s="14">
        <f>(Operations!V9+Inputs!$F$81+V9)/100*Time!V20/360</f>
        <v/>
      </c>
      <c r="W12" s="14">
        <f>(Operations!W9+Inputs!$F$81+W9)/100*Time!W20/360</f>
        <v/>
      </c>
      <c r="X12" s="14">
        <f>(Operations!X9+Inputs!$F$81+X9)/100*Time!X20/360</f>
        <v/>
      </c>
      <c r="Y12" s="14">
        <f>(Operations!Y9+Inputs!$F$81+Y9)/100*Time!Y20/360</f>
        <v/>
      </c>
      <c r="Z12" s="14">
        <f>(Operations!Z9+Inputs!$F$81+Z9)/100*Time!Z20/360</f>
        <v/>
      </c>
      <c r="AA12" s="14">
        <f>(Operations!AA9+Inputs!$F$81+AA9)/100*Time!AA20/360</f>
        <v/>
      </c>
      <c r="AB12" s="14">
        <f>(Operations!AB9+Inputs!$F$81+AB9)/100*Time!AB20/360</f>
        <v/>
      </c>
      <c r="AC12" s="14">
        <f>(Operations!AC9+Inputs!$F$81+AC9)/100*Time!AC20/360</f>
        <v/>
      </c>
      <c r="AD12" s="14">
        <f>(Operations!AD9+Inputs!$F$81+AD9)/100*Time!AD20/360</f>
        <v/>
      </c>
      <c r="AE12" s="14">
        <f>(Operations!AE9+Inputs!$F$81+AE9)/100*Time!AE20/360</f>
        <v/>
      </c>
      <c r="AF12" s="14">
        <f>(Operations!AF9+Inputs!$F$81+AF9)/100*Time!AF20/360</f>
        <v/>
      </c>
      <c r="AG12" s="14">
        <f>(Operations!AG9+Inputs!$F$81+AG9)/100*Time!AG20/360</f>
        <v/>
      </c>
      <c r="AH12" s="14">
        <f>(Operations!AH9+Inputs!$F$81+AH9)/100*Time!AH20/360</f>
        <v/>
      </c>
      <c r="AI12" s="14">
        <f>(Operations!AI9+Inputs!$F$81+AI9)/100*Time!AI20/360</f>
        <v/>
      </c>
      <c r="AJ12" s="14">
        <f>(Operations!AJ9+Inputs!$F$81+AJ9)/100*Time!AJ20/360</f>
        <v/>
      </c>
      <c r="AK12" s="14">
        <f>(Operations!AK9+Inputs!$F$81+AK9)/100*Time!AK20/360</f>
        <v/>
      </c>
      <c r="AL12" s="14">
        <f>(Operations!AL9+Inputs!$F$81+AL9)/100*Time!AL20/360</f>
        <v/>
      </c>
      <c r="AM12" s="14">
        <f>(Operations!AM9+Inputs!$F$81+AM9)/100*Time!AM20/360</f>
        <v/>
      </c>
      <c r="AN12" s="14">
        <f>(Operations!AN9+Inputs!$F$81+AN9)/100*Time!AN20/360</f>
        <v/>
      </c>
      <c r="AO12" s="14">
        <f>(Operations!AO9+Inputs!$F$81+AO9)/100*Time!AO20/360</f>
        <v/>
      </c>
      <c r="AP12" s="14">
        <f>(Operations!AP9+Inputs!$F$81+AP9)/100*Time!AP20/360</f>
        <v/>
      </c>
      <c r="AQ12" s="14">
        <f>(Operations!AQ9+Inputs!$F$81+AQ9)/100*Time!AQ20/360</f>
        <v/>
      </c>
      <c r="AR12" s="14">
        <f>(Operations!AR9+Inputs!$F$81+AR9)/100*Time!AR20/360</f>
        <v/>
      </c>
      <c r="AS12" s="14">
        <f>(Operations!AS9+Inputs!$F$81+AS9)/100*Time!AS20/360</f>
        <v/>
      </c>
      <c r="AT12" s="14">
        <f>(Operations!AT9+Inputs!$F$81+AT9)/100*Time!AT20/360</f>
        <v/>
      </c>
      <c r="AU12" s="14">
        <f>(Operations!AU9+Inputs!$F$81+AU9)/100*Time!AU20/360</f>
        <v/>
      </c>
      <c r="AV12" s="14">
        <f>(Operations!AV9+Inputs!$F$81+AV9)/100*Time!AV20/360</f>
        <v/>
      </c>
      <c r="AW12" s="14">
        <f>(Operations!AW9+Inputs!$F$81+AW9)/100*Time!AW20/360</f>
        <v/>
      </c>
      <c r="AX12" s="14">
        <f>(Operations!AX9+Inputs!$F$81+AX9)/100*Time!AX20/360</f>
        <v/>
      </c>
      <c r="AY12" s="14">
        <f>(Operations!AY9+Inputs!$F$81+AY9)/100*Time!AY20/360</f>
        <v/>
      </c>
      <c r="AZ12" s="14">
        <f>(Operations!AZ9+Inputs!$F$81+AZ9)/100*Time!AZ20/360</f>
        <v/>
      </c>
      <c r="BA12" s="14">
        <f>(Operations!BA9+Inputs!$F$81+BA9)/100*Time!BA20/360</f>
        <v/>
      </c>
      <c r="BB12" s="14">
        <f>(Operations!BB9+Inputs!$F$81+BB9)/100*Time!BB20/360</f>
        <v/>
      </c>
      <c r="BC12" s="14">
        <f>(Operations!BC9+Inputs!$F$81+BC9)/100*Time!BC20/360</f>
        <v/>
      </c>
      <c r="BD12" s="14">
        <f>(Operations!BD9+Inputs!$F$81+BD9)/100*Time!BD20/360</f>
        <v/>
      </c>
      <c r="BE12" s="14">
        <f>(Operations!BE9+Inputs!$F$81+BE9)/100*Time!BE20/360</f>
        <v/>
      </c>
      <c r="BF12" s="14">
        <f>(Operations!BF9+Inputs!$F$81+BF9)/100*Time!BF20/360</f>
        <v/>
      </c>
      <c r="BG12" s="14">
        <f>(Operations!BG9+Inputs!$F$81+BG9)/100*Time!BG20/360</f>
        <v/>
      </c>
      <c r="BH12" s="14">
        <f>(Operations!BH9+Inputs!$F$81+BH9)/100*Time!BH20/360</f>
        <v/>
      </c>
      <c r="BI12" s="14">
        <f>(Operations!BI9+Inputs!$F$81+BI9)/100*Time!BI20/360</f>
        <v/>
      </c>
      <c r="BJ12" s="14">
        <f>(Operations!BJ9+Inputs!$F$81+BJ9)/100*Time!BJ20/360</f>
        <v/>
      </c>
      <c r="BK12" s="14">
        <f>(Operations!BK9+Inputs!$F$81+BK9)/100*Time!BK20/360</f>
        <v/>
      </c>
      <c r="BL12" s="14">
        <f>(Operations!BL9+Inputs!$F$81+BL9)/100*Time!BL20/360</f>
        <v/>
      </c>
      <c r="BM12" s="14">
        <f>(Operations!BM9+Inputs!$F$81+BM9)/100*Time!BM20/360</f>
        <v/>
      </c>
      <c r="BN12" s="14">
        <f>(Operations!BN9+Inputs!$F$81+BN9)/100*Time!BN20/360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(Operations!J9+J8+J9)/100*Time!J20/360/(1-Inputs!$F$93/100)</f>
        <v/>
      </c>
      <c r="K13" s="14">
        <f>(Operations!K9+K8+K9)/100*Time!K20/360/(1-Inputs!$F$93/100)</f>
        <v/>
      </c>
      <c r="L13" s="14">
        <f>(Operations!L9+L8+L9)/100*Time!L20/360/(1-Inputs!$F$93/100)</f>
        <v/>
      </c>
      <c r="M13" s="14">
        <f>(Operations!M9+M8+M9)/100*Time!M20/360/(1-Inputs!$F$93/100)</f>
        <v/>
      </c>
      <c r="N13" s="14">
        <f>(Operations!N9+N8+N9)/100*Time!N20/360/(1-Inputs!$F$93/100)</f>
        <v/>
      </c>
      <c r="O13" s="14">
        <f>(Operations!O9+O8+O9)/100*Time!O20/360/(1-Inputs!$F$93/100)</f>
        <v/>
      </c>
      <c r="P13" s="14">
        <f>(Operations!P9+P8+P9)/100*Time!P20/360/(1-Inputs!$F$93/100)</f>
        <v/>
      </c>
      <c r="Q13" s="14">
        <f>(Operations!Q9+Q8+Q9)/100*Time!Q20/360/(1-Inputs!$F$93/100)</f>
        <v/>
      </c>
      <c r="R13" s="14">
        <f>(Operations!R9+R8+R9)/100*Time!R20/360/(1-Inputs!$F$93/100)</f>
        <v/>
      </c>
      <c r="S13" s="14">
        <f>(Operations!S9+S8+S9)/100*Time!S20/360/(1-Inputs!$F$93/100)</f>
        <v/>
      </c>
      <c r="T13" s="14">
        <f>(Operations!T9+T8+T9)/100*Time!T20/360/(1-Inputs!$F$93/100)</f>
        <v/>
      </c>
      <c r="U13" s="14">
        <f>(Operations!U9+U8+U9)/100*Time!U20/360/(1-Inputs!$F$93/100)</f>
        <v/>
      </c>
      <c r="V13" s="14">
        <f>(Operations!V9+V8+V9)/100*Time!V20/360/(1-Inputs!$F$93/100)</f>
        <v/>
      </c>
      <c r="W13" s="14">
        <f>(Operations!W9+W8+W9)/100*Time!W20/360/(1-Inputs!$F$93/100)</f>
        <v/>
      </c>
      <c r="X13" s="14">
        <f>(Operations!X9+X8+X9)/100*Time!X20/360/(1-Inputs!$F$93/100)</f>
        <v/>
      </c>
      <c r="Y13" s="14">
        <f>(Operations!Y9+Y8+Y9)/100*Time!Y20/360/(1-Inputs!$F$93/100)</f>
        <v/>
      </c>
      <c r="Z13" s="14">
        <f>(Operations!Z9+Z8+Z9)/100*Time!Z20/360/(1-Inputs!$F$93/100)</f>
        <v/>
      </c>
      <c r="AA13" s="14">
        <f>(Operations!AA9+AA8+AA9)/100*Time!AA20/360/(1-Inputs!$F$93/100)</f>
        <v/>
      </c>
      <c r="AB13" s="14">
        <f>(Operations!AB9+AB8+AB9)/100*Time!AB20/360/(1-Inputs!$F$93/100)</f>
        <v/>
      </c>
      <c r="AC13" s="14">
        <f>(Operations!AC9+AC8+AC9)/100*Time!AC20/360/(1-Inputs!$F$93/100)</f>
        <v/>
      </c>
      <c r="AD13" s="14">
        <f>(Operations!AD9+AD8+AD9)/100*Time!AD20/360/(1-Inputs!$F$93/100)</f>
        <v/>
      </c>
      <c r="AE13" s="14">
        <f>(Operations!AE9+AE8+AE9)/100*Time!AE20/360/(1-Inputs!$F$93/100)</f>
        <v/>
      </c>
      <c r="AF13" s="14">
        <f>(Operations!AF9+AF8+AF9)/100*Time!AF20/360/(1-Inputs!$F$93/100)</f>
        <v/>
      </c>
      <c r="AG13" s="14">
        <f>(Operations!AG9+AG8+AG9)/100*Time!AG20/360/(1-Inputs!$F$93/100)</f>
        <v/>
      </c>
      <c r="AH13" s="14">
        <f>(Operations!AH9+AH8+AH9)/100*Time!AH20/360/(1-Inputs!$F$93/100)</f>
        <v/>
      </c>
      <c r="AI13" s="14">
        <f>(Operations!AI9+AI8+AI9)/100*Time!AI20/360/(1-Inputs!$F$93/100)</f>
        <v/>
      </c>
      <c r="AJ13" s="14">
        <f>(Operations!AJ9+AJ8+AJ9)/100*Time!AJ20/360/(1-Inputs!$F$93/100)</f>
        <v/>
      </c>
      <c r="AK13" s="14">
        <f>(Operations!AK9+AK8+AK9)/100*Time!AK20/360/(1-Inputs!$F$93/100)</f>
        <v/>
      </c>
      <c r="AL13" s="14">
        <f>(Operations!AL9+AL8+AL9)/100*Time!AL20/360/(1-Inputs!$F$93/100)</f>
        <v/>
      </c>
      <c r="AM13" s="14">
        <f>(Operations!AM9+AM8+AM9)/100*Time!AM20/360/(1-Inputs!$F$93/100)</f>
        <v/>
      </c>
      <c r="AN13" s="14">
        <f>(Operations!AN9+AN8+AN9)/100*Time!AN20/360/(1-Inputs!$F$93/100)</f>
        <v/>
      </c>
      <c r="AO13" s="14">
        <f>(Operations!AO9+AO8+AO9)/100*Time!AO20/360/(1-Inputs!$F$93/100)</f>
        <v/>
      </c>
      <c r="AP13" s="14">
        <f>(Operations!AP9+AP8+AP9)/100*Time!AP20/360/(1-Inputs!$F$93/100)</f>
        <v/>
      </c>
      <c r="AQ13" s="14">
        <f>(Operations!AQ9+AQ8+AQ9)/100*Time!AQ20/360/(1-Inputs!$F$93/100)</f>
        <v/>
      </c>
      <c r="AR13" s="14">
        <f>(Operations!AR9+AR8+AR9)/100*Time!AR20/360/(1-Inputs!$F$93/100)</f>
        <v/>
      </c>
      <c r="AS13" s="14">
        <f>(Operations!AS9+AS8+AS9)/100*Time!AS20/360/(1-Inputs!$F$93/100)</f>
        <v/>
      </c>
      <c r="AT13" s="14">
        <f>(Operations!AT9+AT8+AT9)/100*Time!AT20/360/(1-Inputs!$F$93/100)</f>
        <v/>
      </c>
      <c r="AU13" s="14">
        <f>(Operations!AU9+AU8+AU9)/100*Time!AU20/360/(1-Inputs!$F$93/100)</f>
        <v/>
      </c>
      <c r="AV13" s="14">
        <f>(Operations!AV9+AV8+AV9)/100*Time!AV20/360/(1-Inputs!$F$93/100)</f>
        <v/>
      </c>
      <c r="AW13" s="14">
        <f>(Operations!AW9+AW8+AW9)/100*Time!AW20/360/(1-Inputs!$F$93/100)</f>
        <v/>
      </c>
      <c r="AX13" s="14">
        <f>(Operations!AX9+AX8+AX9)/100*Time!AX20/360/(1-Inputs!$F$93/100)</f>
        <v/>
      </c>
      <c r="AY13" s="14">
        <f>(Operations!AY9+AY8+AY9)/100*Time!AY20/360/(1-Inputs!$F$93/100)</f>
        <v/>
      </c>
      <c r="AZ13" s="14">
        <f>(Operations!AZ9+AZ8+AZ9)/100*Time!AZ20/360/(1-Inputs!$F$93/100)</f>
        <v/>
      </c>
      <c r="BA13" s="14">
        <f>(Operations!BA9+BA8+BA9)/100*Time!BA20/360/(1-Inputs!$F$93/100)</f>
        <v/>
      </c>
      <c r="BB13" s="14">
        <f>(Operations!BB9+BB8+BB9)/100*Time!BB20/360/(1-Inputs!$F$93/100)</f>
        <v/>
      </c>
      <c r="BC13" s="14">
        <f>(Operations!BC9+BC8+BC9)/100*Time!BC20/360/(1-Inputs!$F$93/100)</f>
        <v/>
      </c>
      <c r="BD13" s="14">
        <f>(Operations!BD9+BD8+BD9)/100*Time!BD20/360/(1-Inputs!$F$93/100)</f>
        <v/>
      </c>
      <c r="BE13" s="14">
        <f>(Operations!BE9+BE8+BE9)/100*Time!BE20/360/(1-Inputs!$F$93/100)</f>
        <v/>
      </c>
      <c r="BF13" s="14">
        <f>(Operations!BF9+BF8+BF9)/100*Time!BF20/360/(1-Inputs!$F$93/100)</f>
        <v/>
      </c>
      <c r="BG13" s="14">
        <f>(Operations!BG9+BG8+BG9)/100*Time!BG20/360/(1-Inputs!$F$93/100)</f>
        <v/>
      </c>
      <c r="BH13" s="14">
        <f>(Operations!BH9+BH8+BH9)/100*Time!BH20/360/(1-Inputs!$F$93/100)</f>
        <v/>
      </c>
      <c r="BI13" s="14">
        <f>(Operations!BI9+BI8+BI9)/100*Time!BI20/360/(1-Inputs!$F$93/100)</f>
        <v/>
      </c>
      <c r="BJ13" s="14">
        <f>(Operations!BJ9+BJ8+BJ9)/100*Time!BJ20/360/(1-Inputs!$F$93/100)</f>
        <v/>
      </c>
      <c r="BK13" s="14">
        <f>(Operations!BK9+BK8+BK9)/100*Time!BK20/360/(1-Inputs!$F$93/100)</f>
        <v/>
      </c>
      <c r="BL13" s="14">
        <f>(Operations!BL9+BL8+BL9)/100*Time!BL20/360/(1-Inputs!$F$93/100)</f>
        <v/>
      </c>
      <c r="BM13" s="14">
        <f>(Operations!BM9+BM8+BM9)/100*Time!BM20/360/(1-Inputs!$F$93/100)</f>
        <v/>
      </c>
      <c r="BN13" s="14">
        <f>(Operations!BN9+BN8+BN9)/100*Time!BN20/360/(1-Inputs!$F$93/100)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(Inputs!$F$102*(Operations!J9+J8+Inputs!$F$101+J9)/(1-Inputs!$F$93/100)+(1-Inputs!$F$102)*(Operations!J9+Inputs!$F$80+Inputs!$F$101+J9))/100*Time!J20/360</f>
        <v/>
      </c>
      <c r="K14" s="14">
        <f>(Inputs!$F$102*(Operations!K9+K8+Inputs!$F$101+K9)/(1-Inputs!$F$93/100)+(1-Inputs!$F$102)*(Operations!K9+Inputs!$F$80+Inputs!$F$101+K9))/100*Time!K20/360</f>
        <v/>
      </c>
      <c r="L14" s="14">
        <f>(Inputs!$F$102*(Operations!L9+L8+Inputs!$F$101+L9)/(1-Inputs!$F$93/100)+(1-Inputs!$F$102)*(Operations!L9+Inputs!$F$80+Inputs!$F$101+L9))/100*Time!L20/360</f>
        <v/>
      </c>
      <c r="M14" s="14">
        <f>(Inputs!$F$102*(Operations!M9+M8+Inputs!$F$101+M9)/(1-Inputs!$F$93/100)+(1-Inputs!$F$102)*(Operations!M9+Inputs!$F$80+Inputs!$F$101+M9))/100*Time!M20/360</f>
        <v/>
      </c>
      <c r="N14" s="14">
        <f>(Inputs!$F$102*(Operations!N9+N8+Inputs!$F$101+N9)/(1-Inputs!$F$93/100)+(1-Inputs!$F$102)*(Operations!N9+Inputs!$F$80+Inputs!$F$101+N9))/100*Time!N20/360</f>
        <v/>
      </c>
      <c r="O14" s="14">
        <f>(Inputs!$F$102*(Operations!O9+O8+Inputs!$F$101+O9)/(1-Inputs!$F$93/100)+(1-Inputs!$F$102)*(Operations!O9+Inputs!$F$80+Inputs!$F$101+O9))/100*Time!O20/360</f>
        <v/>
      </c>
      <c r="P14" s="14">
        <f>(Inputs!$F$102*(Operations!P9+P8+Inputs!$F$101+P9)/(1-Inputs!$F$93/100)+(1-Inputs!$F$102)*(Operations!P9+Inputs!$F$80+Inputs!$F$101+P9))/100*Time!P20/360</f>
        <v/>
      </c>
      <c r="Q14" s="14">
        <f>(Inputs!$F$102*(Operations!Q9+Q8+Inputs!$F$101+Q9)/(1-Inputs!$F$93/100)+(1-Inputs!$F$102)*(Operations!Q9+Inputs!$F$80+Inputs!$F$101+Q9))/100*Time!Q20/360</f>
        <v/>
      </c>
      <c r="R14" s="14">
        <f>(Inputs!$F$102*(Operations!R9+R8+Inputs!$F$101+R9)/(1-Inputs!$F$93/100)+(1-Inputs!$F$102)*(Operations!R9+Inputs!$F$80+Inputs!$F$101+R9))/100*Time!R20/360</f>
        <v/>
      </c>
      <c r="S14" s="14">
        <f>(Inputs!$F$102*(Operations!S9+S8+Inputs!$F$101+S9)/(1-Inputs!$F$93/100)+(1-Inputs!$F$102)*(Operations!S9+Inputs!$F$80+Inputs!$F$101+S9))/100*Time!S20/360</f>
        <v/>
      </c>
      <c r="T14" s="14">
        <f>(Inputs!$F$102*(Operations!T9+T8+Inputs!$F$101+T9)/(1-Inputs!$F$93/100)+(1-Inputs!$F$102)*(Operations!T9+Inputs!$F$80+Inputs!$F$101+T9))/100*Time!T20/360</f>
        <v/>
      </c>
      <c r="U14" s="14">
        <f>(Inputs!$F$102*(Operations!U9+U8+Inputs!$F$101+U9)/(1-Inputs!$F$93/100)+(1-Inputs!$F$102)*(Operations!U9+Inputs!$F$80+Inputs!$F$101+U9))/100*Time!U20/360</f>
        <v/>
      </c>
      <c r="V14" s="14">
        <f>(Inputs!$F$102*(Operations!V9+V8+Inputs!$F$101+V9)/(1-Inputs!$F$93/100)+(1-Inputs!$F$102)*(Operations!V9+Inputs!$F$80+Inputs!$F$101+V9))/100*Time!V20/360</f>
        <v/>
      </c>
      <c r="W14" s="14">
        <f>(Inputs!$F$102*(Operations!W9+W8+Inputs!$F$101+W9)/(1-Inputs!$F$93/100)+(1-Inputs!$F$102)*(Operations!W9+Inputs!$F$80+Inputs!$F$101+W9))/100*Time!W20/360</f>
        <v/>
      </c>
      <c r="X14" s="14">
        <f>(Inputs!$F$102*(Operations!X9+X8+Inputs!$F$101+X9)/(1-Inputs!$F$93/100)+(1-Inputs!$F$102)*(Operations!X9+Inputs!$F$80+Inputs!$F$101+X9))/100*Time!X20/360</f>
        <v/>
      </c>
      <c r="Y14" s="14">
        <f>(Inputs!$F$102*(Operations!Y9+Y8+Inputs!$F$101+Y9)/(1-Inputs!$F$93/100)+(1-Inputs!$F$102)*(Operations!Y9+Inputs!$F$80+Inputs!$F$101+Y9))/100*Time!Y20/360</f>
        <v/>
      </c>
      <c r="Z14" s="14">
        <f>(Inputs!$F$102*(Operations!Z9+Z8+Inputs!$F$101+Z9)/(1-Inputs!$F$93/100)+(1-Inputs!$F$102)*(Operations!Z9+Inputs!$F$80+Inputs!$F$101+Z9))/100*Time!Z20/360</f>
        <v/>
      </c>
      <c r="AA14" s="14">
        <f>(Inputs!$F$102*(Operations!AA9+AA8+Inputs!$F$101+AA9)/(1-Inputs!$F$93/100)+(1-Inputs!$F$102)*(Operations!AA9+Inputs!$F$80+Inputs!$F$101+AA9))/100*Time!AA20/360</f>
        <v/>
      </c>
      <c r="AB14" s="14">
        <f>(Inputs!$F$102*(Operations!AB9+AB8+Inputs!$F$101+AB9)/(1-Inputs!$F$93/100)+(1-Inputs!$F$102)*(Operations!AB9+Inputs!$F$80+Inputs!$F$101+AB9))/100*Time!AB20/360</f>
        <v/>
      </c>
      <c r="AC14" s="14">
        <f>(Inputs!$F$102*(Operations!AC9+AC8+Inputs!$F$101+AC9)/(1-Inputs!$F$93/100)+(1-Inputs!$F$102)*(Operations!AC9+Inputs!$F$80+Inputs!$F$101+AC9))/100*Time!AC20/360</f>
        <v/>
      </c>
      <c r="AD14" s="14">
        <f>(Inputs!$F$102*(Operations!AD9+AD8+Inputs!$F$101+AD9)/(1-Inputs!$F$93/100)+(1-Inputs!$F$102)*(Operations!AD9+Inputs!$F$80+Inputs!$F$101+AD9))/100*Time!AD20/360</f>
        <v/>
      </c>
      <c r="AE14" s="14">
        <f>(Inputs!$F$102*(Operations!AE9+AE8+Inputs!$F$101+AE9)/(1-Inputs!$F$93/100)+(1-Inputs!$F$102)*(Operations!AE9+Inputs!$F$80+Inputs!$F$101+AE9))/100*Time!AE20/360</f>
        <v/>
      </c>
      <c r="AF14" s="14">
        <f>(Inputs!$F$102*(Operations!AF9+AF8+Inputs!$F$101+AF9)/(1-Inputs!$F$93/100)+(1-Inputs!$F$102)*(Operations!AF9+Inputs!$F$80+Inputs!$F$101+AF9))/100*Time!AF20/360</f>
        <v/>
      </c>
      <c r="AG14" s="14">
        <f>(Inputs!$F$102*(Operations!AG9+AG8+Inputs!$F$101+AG9)/(1-Inputs!$F$93/100)+(1-Inputs!$F$102)*(Operations!AG9+Inputs!$F$80+Inputs!$F$101+AG9))/100*Time!AG20/360</f>
        <v/>
      </c>
      <c r="AH14" s="14">
        <f>(Inputs!$F$102*(Operations!AH9+AH8+Inputs!$F$101+AH9)/(1-Inputs!$F$93/100)+(1-Inputs!$F$102)*(Operations!AH9+Inputs!$F$80+Inputs!$F$101+AH9))/100*Time!AH20/360</f>
        <v/>
      </c>
      <c r="AI14" s="14">
        <f>(Inputs!$F$102*(Operations!AI9+AI8+Inputs!$F$101+AI9)/(1-Inputs!$F$93/100)+(1-Inputs!$F$102)*(Operations!AI9+Inputs!$F$80+Inputs!$F$101+AI9))/100*Time!AI20/360</f>
        <v/>
      </c>
      <c r="AJ14" s="14">
        <f>(Inputs!$F$102*(Operations!AJ9+AJ8+Inputs!$F$101+AJ9)/(1-Inputs!$F$93/100)+(1-Inputs!$F$102)*(Operations!AJ9+Inputs!$F$80+Inputs!$F$101+AJ9))/100*Time!AJ20/360</f>
        <v/>
      </c>
      <c r="AK14" s="14">
        <f>(Inputs!$F$102*(Operations!AK9+AK8+Inputs!$F$101+AK9)/(1-Inputs!$F$93/100)+(1-Inputs!$F$102)*(Operations!AK9+Inputs!$F$80+Inputs!$F$101+AK9))/100*Time!AK20/360</f>
        <v/>
      </c>
      <c r="AL14" s="14">
        <f>(Inputs!$F$102*(Operations!AL9+AL8+Inputs!$F$101+AL9)/(1-Inputs!$F$93/100)+(1-Inputs!$F$102)*(Operations!AL9+Inputs!$F$80+Inputs!$F$101+AL9))/100*Time!AL20/360</f>
        <v/>
      </c>
      <c r="AM14" s="14">
        <f>(Inputs!$F$102*(Operations!AM9+AM8+Inputs!$F$101+AM9)/(1-Inputs!$F$93/100)+(1-Inputs!$F$102)*(Operations!AM9+Inputs!$F$80+Inputs!$F$101+AM9))/100*Time!AM20/360</f>
        <v/>
      </c>
      <c r="AN14" s="14">
        <f>(Inputs!$F$102*(Operations!AN9+AN8+Inputs!$F$101+AN9)/(1-Inputs!$F$93/100)+(1-Inputs!$F$102)*(Operations!AN9+Inputs!$F$80+Inputs!$F$101+AN9))/100*Time!AN20/360</f>
        <v/>
      </c>
      <c r="AO14" s="14">
        <f>(Inputs!$F$102*(Operations!AO9+AO8+Inputs!$F$101+AO9)/(1-Inputs!$F$93/100)+(1-Inputs!$F$102)*(Operations!AO9+Inputs!$F$80+Inputs!$F$101+AO9))/100*Time!AO20/360</f>
        <v/>
      </c>
      <c r="AP14" s="14">
        <f>(Inputs!$F$102*(Operations!AP9+AP8+Inputs!$F$101+AP9)/(1-Inputs!$F$93/100)+(1-Inputs!$F$102)*(Operations!AP9+Inputs!$F$80+Inputs!$F$101+AP9))/100*Time!AP20/360</f>
        <v/>
      </c>
      <c r="AQ14" s="14">
        <f>(Inputs!$F$102*(Operations!AQ9+AQ8+Inputs!$F$101+AQ9)/(1-Inputs!$F$93/100)+(1-Inputs!$F$102)*(Operations!AQ9+Inputs!$F$80+Inputs!$F$101+AQ9))/100*Time!AQ20/360</f>
        <v/>
      </c>
      <c r="AR14" s="14">
        <f>(Inputs!$F$102*(Operations!AR9+AR8+Inputs!$F$101+AR9)/(1-Inputs!$F$93/100)+(1-Inputs!$F$102)*(Operations!AR9+Inputs!$F$80+Inputs!$F$101+AR9))/100*Time!AR20/360</f>
        <v/>
      </c>
      <c r="AS14" s="14">
        <f>(Inputs!$F$102*(Operations!AS9+AS8+Inputs!$F$101+AS9)/(1-Inputs!$F$93/100)+(1-Inputs!$F$102)*(Operations!AS9+Inputs!$F$80+Inputs!$F$101+AS9))/100*Time!AS20/360</f>
        <v/>
      </c>
      <c r="AT14" s="14">
        <f>(Inputs!$F$102*(Operations!AT9+AT8+Inputs!$F$101+AT9)/(1-Inputs!$F$93/100)+(1-Inputs!$F$102)*(Operations!AT9+Inputs!$F$80+Inputs!$F$101+AT9))/100*Time!AT20/360</f>
        <v/>
      </c>
      <c r="AU14" s="14">
        <f>(Inputs!$F$102*(Operations!AU9+AU8+Inputs!$F$101+AU9)/(1-Inputs!$F$93/100)+(1-Inputs!$F$102)*(Operations!AU9+Inputs!$F$80+Inputs!$F$101+AU9))/100*Time!AU20/360</f>
        <v/>
      </c>
      <c r="AV14" s="14">
        <f>(Inputs!$F$102*(Operations!AV9+AV8+Inputs!$F$101+AV9)/(1-Inputs!$F$93/100)+(1-Inputs!$F$102)*(Operations!AV9+Inputs!$F$80+Inputs!$F$101+AV9))/100*Time!AV20/360</f>
        <v/>
      </c>
      <c r="AW14" s="14">
        <f>(Inputs!$F$102*(Operations!AW9+AW8+Inputs!$F$101+AW9)/(1-Inputs!$F$93/100)+(1-Inputs!$F$102)*(Operations!AW9+Inputs!$F$80+Inputs!$F$101+AW9))/100*Time!AW20/360</f>
        <v/>
      </c>
      <c r="AX14" s="14">
        <f>(Inputs!$F$102*(Operations!AX9+AX8+Inputs!$F$101+AX9)/(1-Inputs!$F$93/100)+(1-Inputs!$F$102)*(Operations!AX9+Inputs!$F$80+Inputs!$F$101+AX9))/100*Time!AX20/360</f>
        <v/>
      </c>
      <c r="AY14" s="14">
        <f>(Inputs!$F$102*(Operations!AY9+AY8+Inputs!$F$101+AY9)/(1-Inputs!$F$93/100)+(1-Inputs!$F$102)*(Operations!AY9+Inputs!$F$80+Inputs!$F$101+AY9))/100*Time!AY20/360</f>
        <v/>
      </c>
      <c r="AZ14" s="14">
        <f>(Inputs!$F$102*(Operations!AZ9+AZ8+Inputs!$F$101+AZ9)/(1-Inputs!$F$93/100)+(1-Inputs!$F$102)*(Operations!AZ9+Inputs!$F$80+Inputs!$F$101+AZ9))/100*Time!AZ20/360</f>
        <v/>
      </c>
      <c r="BA14" s="14">
        <f>(Inputs!$F$102*(Operations!BA9+BA8+Inputs!$F$101+BA9)/(1-Inputs!$F$93/100)+(1-Inputs!$F$102)*(Operations!BA9+Inputs!$F$80+Inputs!$F$101+BA9))/100*Time!BA20/360</f>
        <v/>
      </c>
      <c r="BB14" s="14">
        <f>(Inputs!$F$102*(Operations!BB9+BB8+Inputs!$F$101+BB9)/(1-Inputs!$F$93/100)+(1-Inputs!$F$102)*(Operations!BB9+Inputs!$F$80+Inputs!$F$101+BB9))/100*Time!BB20/360</f>
        <v/>
      </c>
      <c r="BC14" s="14">
        <f>(Inputs!$F$102*(Operations!BC9+BC8+Inputs!$F$101+BC9)/(1-Inputs!$F$93/100)+(1-Inputs!$F$102)*(Operations!BC9+Inputs!$F$80+Inputs!$F$101+BC9))/100*Time!BC20/360</f>
        <v/>
      </c>
      <c r="BD14" s="14">
        <f>(Inputs!$F$102*(Operations!BD9+BD8+Inputs!$F$101+BD9)/(1-Inputs!$F$93/100)+(1-Inputs!$F$102)*(Operations!BD9+Inputs!$F$80+Inputs!$F$101+BD9))/100*Time!BD20/360</f>
        <v/>
      </c>
      <c r="BE14" s="14">
        <f>(Inputs!$F$102*(Operations!BE9+BE8+Inputs!$F$101+BE9)/(1-Inputs!$F$93/100)+(1-Inputs!$F$102)*(Operations!BE9+Inputs!$F$80+Inputs!$F$101+BE9))/100*Time!BE20/360</f>
        <v/>
      </c>
      <c r="BF14" s="14">
        <f>(Inputs!$F$102*(Operations!BF9+BF8+Inputs!$F$101+BF9)/(1-Inputs!$F$93/100)+(1-Inputs!$F$102)*(Operations!BF9+Inputs!$F$80+Inputs!$F$101+BF9))/100*Time!BF20/360</f>
        <v/>
      </c>
      <c r="BG14" s="14">
        <f>(Inputs!$F$102*(Operations!BG9+BG8+Inputs!$F$101+BG9)/(1-Inputs!$F$93/100)+(1-Inputs!$F$102)*(Operations!BG9+Inputs!$F$80+Inputs!$F$101+BG9))/100*Time!BG20/360</f>
        <v/>
      </c>
      <c r="BH14" s="14">
        <f>(Inputs!$F$102*(Operations!BH9+BH8+Inputs!$F$101+BH9)/(1-Inputs!$F$93/100)+(1-Inputs!$F$102)*(Operations!BH9+Inputs!$F$80+Inputs!$F$101+BH9))/100*Time!BH20/360</f>
        <v/>
      </c>
      <c r="BI14" s="14">
        <f>(Inputs!$F$102*(Operations!BI9+BI8+Inputs!$F$101+BI9)/(1-Inputs!$F$93/100)+(1-Inputs!$F$102)*(Operations!BI9+Inputs!$F$80+Inputs!$F$101+BI9))/100*Time!BI20/360</f>
        <v/>
      </c>
      <c r="BJ14" s="14">
        <f>(Inputs!$F$102*(Operations!BJ9+BJ8+Inputs!$F$101+BJ9)/(1-Inputs!$F$93/100)+(1-Inputs!$F$102)*(Operations!BJ9+Inputs!$F$80+Inputs!$F$101+BJ9))/100*Time!BJ20/360</f>
        <v/>
      </c>
      <c r="BK14" s="14">
        <f>(Inputs!$F$102*(Operations!BK9+BK8+Inputs!$F$101+BK9)/(1-Inputs!$F$93/100)+(1-Inputs!$F$102)*(Operations!BK9+Inputs!$F$80+Inputs!$F$101+BK9))/100*Time!BK20/360</f>
        <v/>
      </c>
      <c r="BL14" s="14">
        <f>(Inputs!$F$102*(Operations!BL9+BL8+Inputs!$F$101+BL9)/(1-Inputs!$F$93/100)+(1-Inputs!$F$102)*(Operations!BL9+Inputs!$F$80+Inputs!$F$101+BL9))/100*Time!BL20/360</f>
        <v/>
      </c>
      <c r="BM14" s="14">
        <f>(Inputs!$F$102*(Operations!BM9+BM8+Inputs!$F$101+BM9)/(1-Inputs!$F$93/100)+(1-Inputs!$F$102)*(Operations!BM9+Inputs!$F$80+Inputs!$F$101+BM9))/100*Time!BM20/360</f>
        <v/>
      </c>
      <c r="BN14" s="14">
        <f>(Inputs!$F$102*(Operations!BN9+BN8+Inputs!$F$101+BN9)/(1-Inputs!$F$93/100)+(1-Inputs!$F$102)*(Operations!BN9+Inputs!$F$80+Inputs!$F$101+BN9))/100*Time!BN20/360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Inputs!$F$195/100*0.5</f>
        <v/>
      </c>
      <c r="K15" s="14">
        <f>Inputs!$F$195/100*0.5</f>
        <v/>
      </c>
      <c r="L15" s="14">
        <f>Inputs!$F$195/100*0.5</f>
        <v/>
      </c>
      <c r="M15" s="14">
        <f>Inputs!$F$195/100*0.5</f>
        <v/>
      </c>
      <c r="N15" s="14">
        <f>Inputs!$F$195/100*0.5</f>
        <v/>
      </c>
      <c r="O15" s="14">
        <f>Inputs!$F$195/100*0.5</f>
        <v/>
      </c>
      <c r="P15" s="14">
        <f>Inputs!$F$195/100*0.5</f>
        <v/>
      </c>
      <c r="Q15" s="14">
        <f>Inputs!$F$195/100*0.5</f>
        <v/>
      </c>
      <c r="R15" s="14">
        <f>Inputs!$F$195/100*0.5</f>
        <v/>
      </c>
      <c r="S15" s="14">
        <f>Inputs!$F$195/100*0.5</f>
        <v/>
      </c>
      <c r="T15" s="14">
        <f>Inputs!$F$195/100*0.5</f>
        <v/>
      </c>
      <c r="U15" s="14">
        <f>Inputs!$F$195/100*0.5</f>
        <v/>
      </c>
      <c r="V15" s="14">
        <f>Inputs!$F$195/100*0.5</f>
        <v/>
      </c>
      <c r="W15" s="14">
        <f>Inputs!$F$195/100*0.5</f>
        <v/>
      </c>
      <c r="X15" s="14">
        <f>Inputs!$F$195/100*0.5</f>
        <v/>
      </c>
      <c r="Y15" s="14">
        <f>Inputs!$F$195/100*0.5</f>
        <v/>
      </c>
      <c r="Z15" s="14">
        <f>Inputs!$F$195/100*0.5</f>
        <v/>
      </c>
      <c r="AA15" s="14">
        <f>Inputs!$F$195/100*0.5</f>
        <v/>
      </c>
      <c r="AB15" s="14">
        <f>Inputs!$F$195/100*0.5</f>
        <v/>
      </c>
      <c r="AC15" s="14">
        <f>Inputs!$F$195/100*0.5</f>
        <v/>
      </c>
      <c r="AD15" s="14">
        <f>Inputs!$F$195/100*0.5</f>
        <v/>
      </c>
      <c r="AE15" s="14">
        <f>Inputs!$F$195/100*0.5</f>
        <v/>
      </c>
      <c r="AF15" s="14">
        <f>Inputs!$F$195/100*0.5</f>
        <v/>
      </c>
      <c r="AG15" s="14">
        <f>Inputs!$F$195/100*0.5</f>
        <v/>
      </c>
      <c r="AH15" s="14">
        <f>Inputs!$F$195/100*0.5</f>
        <v/>
      </c>
      <c r="AI15" s="14">
        <f>Inputs!$F$195/100*0.5</f>
        <v/>
      </c>
      <c r="AJ15" s="14">
        <f>Inputs!$F$195/100*0.5</f>
        <v/>
      </c>
      <c r="AK15" s="14">
        <f>Inputs!$F$195/100*0.5</f>
        <v/>
      </c>
      <c r="AL15" s="14">
        <f>Inputs!$F$195/100*0.5</f>
        <v/>
      </c>
      <c r="AM15" s="14">
        <f>Inputs!$F$195/100*0.5</f>
        <v/>
      </c>
      <c r="AN15" s="14">
        <f>Inputs!$F$195/100*0.5</f>
        <v/>
      </c>
      <c r="AO15" s="14">
        <f>Inputs!$F$195/100*0.5</f>
        <v/>
      </c>
      <c r="AP15" s="14">
        <f>Inputs!$F$195/100*0.5</f>
        <v/>
      </c>
      <c r="AQ15" s="14">
        <f>Inputs!$F$195/100*0.5</f>
        <v/>
      </c>
      <c r="AR15" s="14">
        <f>Inputs!$F$195/100*0.5</f>
        <v/>
      </c>
      <c r="AS15" s="14">
        <f>Inputs!$F$195/100*0.5</f>
        <v/>
      </c>
      <c r="AT15" s="14">
        <f>Inputs!$F$195/100*0.5</f>
        <v/>
      </c>
      <c r="AU15" s="14">
        <f>Inputs!$F$195/100*0.5</f>
        <v/>
      </c>
      <c r="AV15" s="14">
        <f>Inputs!$F$195/100*0.5</f>
        <v/>
      </c>
      <c r="AW15" s="14">
        <f>Inputs!$F$195/100*0.5</f>
        <v/>
      </c>
      <c r="AX15" s="14">
        <f>Inputs!$F$195/100*0.5</f>
        <v/>
      </c>
      <c r="AY15" s="14">
        <f>Inputs!$F$195/100*0.5</f>
        <v/>
      </c>
      <c r="AZ15" s="14">
        <f>Inputs!$F$195/100*0.5</f>
        <v/>
      </c>
      <c r="BA15" s="14">
        <f>Inputs!$F$195/100*0.5</f>
        <v/>
      </c>
      <c r="BB15" s="14">
        <f>Inputs!$F$195/100*0.5</f>
        <v/>
      </c>
      <c r="BC15" s="14">
        <f>Inputs!$F$195/100*0.5</f>
        <v/>
      </c>
      <c r="BD15" s="14">
        <f>Inputs!$F$195/100*0.5</f>
        <v/>
      </c>
      <c r="BE15" s="14">
        <f>Inputs!$F$195/100*0.5</f>
        <v/>
      </c>
      <c r="BF15" s="14">
        <f>Inputs!$F$195/100*0.5</f>
        <v/>
      </c>
      <c r="BG15" s="14">
        <f>Inputs!$F$195/100*0.5</f>
        <v/>
      </c>
      <c r="BH15" s="14">
        <f>Inputs!$F$195/100*0.5</f>
        <v/>
      </c>
      <c r="BI15" s="14">
        <f>Inputs!$F$195/100*0.5</f>
        <v/>
      </c>
      <c r="BJ15" s="14">
        <f>Inputs!$F$195/100*0.5</f>
        <v/>
      </c>
      <c r="BK15" s="14">
        <f>Inputs!$F$195/100*0.5</f>
        <v/>
      </c>
      <c r="BL15" s="14">
        <f>Inputs!$F$195/100*0.5</f>
        <v/>
      </c>
      <c r="BM15" s="14">
        <f>Inputs!$F$195/100*0.5</f>
        <v/>
      </c>
      <c r="BN15" s="14">
        <f>Inputs!$F$195/100*0.5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IF(Inputs!$F$47=1,Inputs!J222,Inputs!J223)</f>
        <v/>
      </c>
      <c r="K17" s="10">
        <f>IF(Inputs!$F$47=1,Inputs!K222,Inputs!K223)</f>
        <v/>
      </c>
      <c r="L17" s="10">
        <f>IF(Inputs!$F$47=1,Inputs!L222,Inputs!L223)</f>
        <v/>
      </c>
      <c r="M17" s="10">
        <f>IF(Inputs!$F$47=1,Inputs!M222,Inputs!M223)</f>
        <v/>
      </c>
      <c r="N17" s="10">
        <f>IF(Inputs!$F$47=1,Inputs!N222,Inputs!N223)</f>
        <v/>
      </c>
      <c r="O17" s="10">
        <f>IF(Inputs!$F$47=1,Inputs!O222,Inputs!O223)</f>
        <v/>
      </c>
      <c r="P17" s="10">
        <f>IF(Inputs!$F$47=1,Inputs!P222,Inputs!P223)</f>
        <v/>
      </c>
      <c r="Q17" s="10">
        <f>IF(Inputs!$F$47=1,Inputs!Q222,Inputs!Q223)</f>
        <v/>
      </c>
      <c r="R17" s="10">
        <f>IF(Inputs!$F$47=1,Inputs!R222,Inputs!R223)</f>
        <v/>
      </c>
      <c r="S17" s="10">
        <f>IF(Inputs!$F$47=1,Inputs!S222,Inputs!S223)</f>
        <v/>
      </c>
      <c r="T17" s="10">
        <f>IF(Inputs!$F$47=1,Inputs!T222,Inputs!T223)</f>
        <v/>
      </c>
      <c r="U17" s="10">
        <f>IF(Inputs!$F$47=1,Inputs!U222,Inputs!U223)</f>
        <v/>
      </c>
      <c r="V17" s="10">
        <f>IF(Inputs!$F$47=1,Inputs!V222,Inputs!V223)</f>
        <v/>
      </c>
      <c r="W17" s="10">
        <f>IF(Inputs!$F$47=1,Inputs!W222,Inputs!W223)</f>
        <v/>
      </c>
      <c r="X17" s="10">
        <f>IF(Inputs!$F$47=1,Inputs!X222,Inputs!X223)</f>
        <v/>
      </c>
      <c r="Y17" s="10">
        <f>IF(Inputs!$F$47=1,Inputs!Y222,Inputs!Y223)</f>
        <v/>
      </c>
      <c r="Z17" s="10">
        <f>IF(Inputs!$F$47=1,Inputs!Z222,Inputs!Z223)</f>
        <v/>
      </c>
      <c r="AA17" s="10">
        <f>IF(Inputs!$F$47=1,Inputs!AA222,Inputs!AA223)</f>
        <v/>
      </c>
      <c r="AB17" s="10">
        <f>IF(Inputs!$F$47=1,Inputs!AB222,Inputs!AB223)</f>
        <v/>
      </c>
      <c r="AC17" s="10">
        <f>IF(Inputs!$F$47=1,Inputs!AC222,Inputs!AC223)</f>
        <v/>
      </c>
      <c r="AD17" s="10">
        <f>IF(Inputs!$F$47=1,Inputs!AD222,Inputs!AD223)</f>
        <v/>
      </c>
      <c r="AE17" s="10">
        <f>IF(Inputs!$F$47=1,Inputs!AE222,Inputs!AE223)</f>
        <v/>
      </c>
      <c r="AF17" s="10">
        <f>IF(Inputs!$F$47=1,Inputs!AF222,Inputs!AF223)</f>
        <v/>
      </c>
      <c r="AG17" s="10">
        <f>IF(Inputs!$F$47=1,Inputs!AG222,Inputs!AG223)</f>
        <v/>
      </c>
      <c r="AH17" s="10">
        <f>IF(Inputs!$F$47=1,Inputs!AH222,Inputs!AH223)</f>
        <v/>
      </c>
      <c r="AI17" s="10">
        <f>IF(Inputs!$F$47=1,Inputs!AI222,Inputs!AI223)</f>
        <v/>
      </c>
      <c r="AJ17" s="10">
        <f>IF(Inputs!$F$47=1,Inputs!AJ222,Inputs!AJ223)</f>
        <v/>
      </c>
      <c r="AK17" s="10">
        <f>IF(Inputs!$F$47=1,Inputs!AK222,Inputs!AK223)</f>
        <v/>
      </c>
      <c r="AL17" s="10">
        <f>IF(Inputs!$F$47=1,Inputs!AL222,Inputs!AL223)</f>
        <v/>
      </c>
      <c r="AM17" s="10">
        <f>IF(Inputs!$F$47=1,Inputs!AM222,Inputs!AM223)</f>
        <v/>
      </c>
      <c r="AN17" s="10">
        <f>IF(Inputs!$F$47=1,Inputs!AN222,Inputs!AN223)</f>
        <v/>
      </c>
      <c r="AO17" s="10">
        <f>IF(Inputs!$F$47=1,Inputs!AO222,Inputs!AO223)</f>
        <v/>
      </c>
      <c r="AP17" s="10">
        <f>IF(Inputs!$F$47=1,Inputs!AP222,Inputs!AP223)</f>
        <v/>
      </c>
      <c r="AQ17" s="10">
        <f>IF(Inputs!$F$47=1,Inputs!AQ222,Inputs!AQ223)</f>
        <v/>
      </c>
      <c r="AR17" s="10">
        <f>IF(Inputs!$F$47=1,Inputs!AR222,Inputs!AR223)</f>
        <v/>
      </c>
      <c r="AS17" s="10">
        <f>IF(Inputs!$F$47=1,Inputs!AS222,Inputs!AS223)</f>
        <v/>
      </c>
      <c r="AT17" s="10">
        <f>IF(Inputs!$F$47=1,Inputs!AT222,Inputs!AT223)</f>
        <v/>
      </c>
      <c r="AU17" s="10">
        <f>IF(Inputs!$F$47=1,Inputs!AU222,Inputs!AU223)</f>
        <v/>
      </c>
      <c r="AV17" s="10">
        <f>IF(Inputs!$F$47=1,Inputs!AV222,Inputs!AV223)</f>
        <v/>
      </c>
      <c r="AW17" s="10">
        <f>IF(Inputs!$F$47=1,Inputs!AW222,Inputs!AW223)</f>
        <v/>
      </c>
      <c r="AX17" s="10">
        <f>IF(Inputs!$F$47=1,Inputs!AX222,Inputs!AX223)</f>
        <v/>
      </c>
      <c r="AY17" s="10">
        <f>IF(Inputs!$F$47=1,Inputs!AY222,Inputs!AY223)</f>
        <v/>
      </c>
      <c r="AZ17" s="10">
        <f>IF(Inputs!$F$47=1,Inputs!AZ222,Inputs!AZ223)</f>
        <v/>
      </c>
      <c r="BA17" s="10">
        <f>IF(Inputs!$F$47=1,Inputs!BA222,Inputs!BA223)</f>
        <v/>
      </c>
      <c r="BB17" s="10">
        <f>IF(Inputs!$F$47=1,Inputs!BB222,Inputs!BB223)</f>
        <v/>
      </c>
      <c r="BC17" s="10">
        <f>IF(Inputs!$F$47=1,Inputs!BC222,Inputs!BC223)</f>
        <v/>
      </c>
      <c r="BD17" s="10">
        <f>IF(Inputs!$F$47=1,Inputs!BD222,Inputs!BD223)</f>
        <v/>
      </c>
      <c r="BE17" s="10">
        <f>IF(Inputs!$F$47=1,Inputs!BE222,Inputs!BE223)</f>
        <v/>
      </c>
      <c r="BF17" s="10">
        <f>IF(Inputs!$F$47=1,Inputs!BF222,Inputs!BF223)</f>
        <v/>
      </c>
      <c r="BG17" s="10">
        <f>IF(Inputs!$F$47=1,Inputs!BG222,Inputs!BG223)</f>
        <v/>
      </c>
      <c r="BH17" s="10">
        <f>IF(Inputs!$F$47=1,Inputs!BH222,Inputs!BH223)</f>
        <v/>
      </c>
      <c r="BI17" s="10">
        <f>IF(Inputs!$F$47=1,Inputs!BI222,Inputs!BI223)</f>
        <v/>
      </c>
      <c r="BJ17" s="10">
        <f>IF(Inputs!$F$47=1,Inputs!BJ222,Inputs!BJ223)</f>
        <v/>
      </c>
      <c r="BK17" s="10">
        <f>IF(Inputs!$F$47=1,Inputs!BK222,Inputs!BK223)</f>
        <v/>
      </c>
      <c r="BL17" s="10">
        <f>IF(Inputs!$F$47=1,Inputs!BL222,Inputs!BL223)</f>
        <v/>
      </c>
      <c r="BM17" s="10">
        <f>IF(Inputs!$F$47=1,Inputs!BM222,Inputs!BM223)</f>
        <v/>
      </c>
      <c r="BN17" s="10">
        <f>IF(Inputs!$F$47=1,Inputs!BN222,Inputs!BN223)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Inputs!$F$50*IF(Time!J17=14,1,0)</f>
        <v/>
      </c>
      <c r="K20" s="9">
        <f>Inputs!$F$50*IF(Time!K17=14,1,0)</f>
        <v/>
      </c>
      <c r="L20" s="9">
        <f>Inputs!$F$50*IF(Time!L17=14,1,0)</f>
        <v/>
      </c>
      <c r="M20" s="9">
        <f>Inputs!$F$50*IF(Time!M17=14,1,0)</f>
        <v/>
      </c>
      <c r="N20" s="9">
        <f>Inputs!$F$50*IF(Time!N17=14,1,0)</f>
        <v/>
      </c>
      <c r="O20" s="9">
        <f>Inputs!$F$50*IF(Time!O17=14,1,0)</f>
        <v/>
      </c>
      <c r="P20" s="9">
        <f>Inputs!$F$50*IF(Time!P17=14,1,0)</f>
        <v/>
      </c>
      <c r="Q20" s="9">
        <f>Inputs!$F$50*IF(Time!Q17=14,1,0)</f>
        <v/>
      </c>
      <c r="R20" s="9">
        <f>Inputs!$F$50*IF(Time!R17=14,1,0)</f>
        <v/>
      </c>
      <c r="S20" s="9">
        <f>Inputs!$F$50*IF(Time!S17=14,1,0)</f>
        <v/>
      </c>
      <c r="T20" s="9">
        <f>Inputs!$F$50*IF(Time!T17=14,1,0)</f>
        <v/>
      </c>
      <c r="U20" s="9">
        <f>Inputs!$F$50*IF(Time!U17=14,1,0)</f>
        <v/>
      </c>
      <c r="V20" s="9">
        <f>Inputs!$F$50*IF(Time!V17=14,1,0)</f>
        <v/>
      </c>
      <c r="W20" s="9">
        <f>Inputs!$F$50*IF(Time!W17=14,1,0)</f>
        <v/>
      </c>
      <c r="X20" s="9">
        <f>Inputs!$F$50*IF(Time!X17=14,1,0)</f>
        <v/>
      </c>
      <c r="Y20" s="9">
        <f>Inputs!$F$50*IF(Time!Y17=14,1,0)</f>
        <v/>
      </c>
      <c r="Z20" s="9">
        <f>Inputs!$F$50*IF(Time!Z17=14,1,0)</f>
        <v/>
      </c>
      <c r="AA20" s="9">
        <f>Inputs!$F$50*IF(Time!AA17=14,1,0)</f>
        <v/>
      </c>
      <c r="AB20" s="9">
        <f>Inputs!$F$50*IF(Time!AB17=14,1,0)</f>
        <v/>
      </c>
      <c r="AC20" s="9">
        <f>Inputs!$F$50*IF(Time!AC17=14,1,0)</f>
        <v/>
      </c>
      <c r="AD20" s="9">
        <f>Inputs!$F$50*IF(Time!AD17=14,1,0)</f>
        <v/>
      </c>
      <c r="AE20" s="9">
        <f>Inputs!$F$50*IF(Time!AE17=14,1,0)</f>
        <v/>
      </c>
      <c r="AF20" s="9">
        <f>Inputs!$F$50*IF(Time!AF17=14,1,0)</f>
        <v/>
      </c>
      <c r="AG20" s="9">
        <f>Inputs!$F$50*IF(Time!AG17=14,1,0)</f>
        <v/>
      </c>
      <c r="AH20" s="9">
        <f>Inputs!$F$50*IF(Time!AH17=14,1,0)</f>
        <v/>
      </c>
      <c r="AI20" s="9">
        <f>Inputs!$F$50*IF(Time!AI17=14,1,0)</f>
        <v/>
      </c>
      <c r="AJ20" s="9">
        <f>Inputs!$F$50*IF(Time!AJ17=14,1,0)</f>
        <v/>
      </c>
      <c r="AK20" s="9">
        <f>Inputs!$F$50*IF(Time!AK17=14,1,0)</f>
        <v/>
      </c>
      <c r="AL20" s="9">
        <f>Inputs!$F$50*IF(Time!AL17=14,1,0)</f>
        <v/>
      </c>
      <c r="AM20" s="9">
        <f>Inputs!$F$50*IF(Time!AM17=14,1,0)</f>
        <v/>
      </c>
      <c r="AN20" s="9">
        <f>Inputs!$F$50*IF(Time!AN17=14,1,0)</f>
        <v/>
      </c>
      <c r="AO20" s="9">
        <f>Inputs!$F$50*IF(Time!AO17=14,1,0)</f>
        <v/>
      </c>
      <c r="AP20" s="9">
        <f>Inputs!$F$50*IF(Time!AP17=14,1,0)</f>
        <v/>
      </c>
      <c r="AQ20" s="9">
        <f>Inputs!$F$50*IF(Time!AQ17=14,1,0)</f>
        <v/>
      </c>
      <c r="AR20" s="9">
        <f>Inputs!$F$50*IF(Time!AR17=14,1,0)</f>
        <v/>
      </c>
      <c r="AS20" s="9">
        <f>Inputs!$F$50*IF(Time!AS17=14,1,0)</f>
        <v/>
      </c>
      <c r="AT20" s="9">
        <f>Inputs!$F$50*IF(Time!AT17=14,1,0)</f>
        <v/>
      </c>
      <c r="AU20" s="9">
        <f>Inputs!$F$50*IF(Time!AU17=14,1,0)</f>
        <v/>
      </c>
      <c r="AV20" s="9">
        <f>Inputs!$F$50*IF(Time!AV17=14,1,0)</f>
        <v/>
      </c>
      <c r="AW20" s="9">
        <f>Inputs!$F$50*IF(Time!AW17=14,1,0)</f>
        <v/>
      </c>
      <c r="AX20" s="9">
        <f>Inputs!$F$50*IF(Time!AX17=14,1,0)</f>
        <v/>
      </c>
      <c r="AY20" s="9">
        <f>Inputs!$F$50*IF(Time!AY17=14,1,0)</f>
        <v/>
      </c>
      <c r="AZ20" s="9">
        <f>Inputs!$F$50*IF(Time!AZ17=14,1,0)</f>
        <v/>
      </c>
      <c r="BA20" s="9">
        <f>Inputs!$F$50*IF(Time!BA17=14,1,0)</f>
        <v/>
      </c>
      <c r="BB20" s="9">
        <f>Inputs!$F$50*IF(Time!BB17=14,1,0)</f>
        <v/>
      </c>
      <c r="BC20" s="9">
        <f>Inputs!$F$50*IF(Time!BC17=14,1,0)</f>
        <v/>
      </c>
      <c r="BD20" s="9">
        <f>Inputs!$F$50*IF(Time!BD17=14,1,0)</f>
        <v/>
      </c>
      <c r="BE20" s="9">
        <f>Inputs!$F$50*IF(Time!BE17=14,1,0)</f>
        <v/>
      </c>
      <c r="BF20" s="9">
        <f>Inputs!$F$50*IF(Time!BF17=14,1,0)</f>
        <v/>
      </c>
      <c r="BG20" s="9">
        <f>Inputs!$F$50*IF(Time!BG17=14,1,0)</f>
        <v/>
      </c>
      <c r="BH20" s="9">
        <f>Inputs!$F$50*IF(Time!BH17=14,1,0)</f>
        <v/>
      </c>
      <c r="BI20" s="9">
        <f>Inputs!$F$50*IF(Time!BI17=14,1,0)</f>
        <v/>
      </c>
      <c r="BJ20" s="9">
        <f>Inputs!$F$50*IF(Time!BJ17=14,1,0)</f>
        <v/>
      </c>
      <c r="BK20" s="9">
        <f>Inputs!$F$50*IF(Time!BK17=14,1,0)</f>
        <v/>
      </c>
      <c r="BL20" s="9">
        <f>Inputs!$F$50*IF(Time!BL17=14,1,0)</f>
        <v/>
      </c>
      <c r="BM20" s="9">
        <f>Inputs!$F$50*IF(Time!BM17=14,1,0)</f>
        <v/>
      </c>
      <c r="BN20" s="9">
        <f>Inputs!$F$50*IF(Time!BN17=14,1,0)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Inputs!$F$49*IF(Time!J17=11,1,0)</f>
        <v/>
      </c>
      <c r="K21" s="9">
        <f>Inputs!$F$49*IF(Time!K17=11,1,0)</f>
        <v/>
      </c>
      <c r="L21" s="9">
        <f>Inputs!$F$49*IF(Time!L17=11,1,0)</f>
        <v/>
      </c>
      <c r="M21" s="9">
        <f>Inputs!$F$49*IF(Time!M17=11,1,0)</f>
        <v/>
      </c>
      <c r="N21" s="9">
        <f>Inputs!$F$49*IF(Time!N17=11,1,0)</f>
        <v/>
      </c>
      <c r="O21" s="9">
        <f>Inputs!$F$49*IF(Time!O17=11,1,0)</f>
        <v/>
      </c>
      <c r="P21" s="9">
        <f>Inputs!$F$49*IF(Time!P17=11,1,0)</f>
        <v/>
      </c>
      <c r="Q21" s="9">
        <f>Inputs!$F$49*IF(Time!Q17=11,1,0)</f>
        <v/>
      </c>
      <c r="R21" s="9">
        <f>Inputs!$F$49*IF(Time!R17=11,1,0)</f>
        <v/>
      </c>
      <c r="S21" s="9">
        <f>Inputs!$F$49*IF(Time!S17=11,1,0)</f>
        <v/>
      </c>
      <c r="T21" s="9">
        <f>Inputs!$F$49*IF(Time!T17=11,1,0)</f>
        <v/>
      </c>
      <c r="U21" s="9">
        <f>Inputs!$F$49*IF(Time!U17=11,1,0)</f>
        <v/>
      </c>
      <c r="V21" s="9">
        <f>Inputs!$F$49*IF(Time!V17=11,1,0)</f>
        <v/>
      </c>
      <c r="W21" s="9">
        <f>Inputs!$F$49*IF(Time!W17=11,1,0)</f>
        <v/>
      </c>
      <c r="X21" s="9">
        <f>Inputs!$F$49*IF(Time!X17=11,1,0)</f>
        <v/>
      </c>
      <c r="Y21" s="9">
        <f>Inputs!$F$49*IF(Time!Y17=11,1,0)</f>
        <v/>
      </c>
      <c r="Z21" s="9">
        <f>Inputs!$F$49*IF(Time!Z17=11,1,0)</f>
        <v/>
      </c>
      <c r="AA21" s="9">
        <f>Inputs!$F$49*IF(Time!AA17=11,1,0)</f>
        <v/>
      </c>
      <c r="AB21" s="9">
        <f>Inputs!$F$49*IF(Time!AB17=11,1,0)</f>
        <v/>
      </c>
      <c r="AC21" s="9">
        <f>Inputs!$F$49*IF(Time!AC17=11,1,0)</f>
        <v/>
      </c>
      <c r="AD21" s="9">
        <f>Inputs!$F$49*IF(Time!AD17=11,1,0)</f>
        <v/>
      </c>
      <c r="AE21" s="9">
        <f>Inputs!$F$49*IF(Time!AE17=11,1,0)</f>
        <v/>
      </c>
      <c r="AF21" s="9">
        <f>Inputs!$F$49*IF(Time!AF17=11,1,0)</f>
        <v/>
      </c>
      <c r="AG21" s="9">
        <f>Inputs!$F$49*IF(Time!AG17=11,1,0)</f>
        <v/>
      </c>
      <c r="AH21" s="9">
        <f>Inputs!$F$49*IF(Time!AH17=11,1,0)</f>
        <v/>
      </c>
      <c r="AI21" s="9">
        <f>Inputs!$F$49*IF(Time!AI17=11,1,0)</f>
        <v/>
      </c>
      <c r="AJ21" s="9">
        <f>Inputs!$F$49*IF(Time!AJ17=11,1,0)</f>
        <v/>
      </c>
      <c r="AK21" s="9">
        <f>Inputs!$F$49*IF(Time!AK17=11,1,0)</f>
        <v/>
      </c>
      <c r="AL21" s="9">
        <f>Inputs!$F$49*IF(Time!AL17=11,1,0)</f>
        <v/>
      </c>
      <c r="AM21" s="9">
        <f>Inputs!$F$49*IF(Time!AM17=11,1,0)</f>
        <v/>
      </c>
      <c r="AN21" s="9">
        <f>Inputs!$F$49*IF(Time!AN17=11,1,0)</f>
        <v/>
      </c>
      <c r="AO21" s="9">
        <f>Inputs!$F$49*IF(Time!AO17=11,1,0)</f>
        <v/>
      </c>
      <c r="AP21" s="9">
        <f>Inputs!$F$49*IF(Time!AP17=11,1,0)</f>
        <v/>
      </c>
      <c r="AQ21" s="9">
        <f>Inputs!$F$49*IF(Time!AQ17=11,1,0)</f>
        <v/>
      </c>
      <c r="AR21" s="9">
        <f>Inputs!$F$49*IF(Time!AR17=11,1,0)</f>
        <v/>
      </c>
      <c r="AS21" s="9">
        <f>Inputs!$F$49*IF(Time!AS17=11,1,0)</f>
        <v/>
      </c>
      <c r="AT21" s="9">
        <f>Inputs!$F$49*IF(Time!AT17=11,1,0)</f>
        <v/>
      </c>
      <c r="AU21" s="9">
        <f>Inputs!$F$49*IF(Time!AU17=11,1,0)</f>
        <v/>
      </c>
      <c r="AV21" s="9">
        <f>Inputs!$F$49*IF(Time!AV17=11,1,0)</f>
        <v/>
      </c>
      <c r="AW21" s="9">
        <f>Inputs!$F$49*IF(Time!AW17=11,1,0)</f>
        <v/>
      </c>
      <c r="AX21" s="9">
        <f>Inputs!$F$49*IF(Time!AX17=11,1,0)</f>
        <v/>
      </c>
      <c r="AY21" s="9">
        <f>Inputs!$F$49*IF(Time!AY17=11,1,0)</f>
        <v/>
      </c>
      <c r="AZ21" s="9">
        <f>Inputs!$F$49*IF(Time!AZ17=11,1,0)</f>
        <v/>
      </c>
      <c r="BA21" s="9">
        <f>Inputs!$F$49*IF(Time!BA17=11,1,0)</f>
        <v/>
      </c>
      <c r="BB21" s="9">
        <f>Inputs!$F$49*IF(Time!BB17=11,1,0)</f>
        <v/>
      </c>
      <c r="BC21" s="9">
        <f>Inputs!$F$49*IF(Time!BC17=11,1,0)</f>
        <v/>
      </c>
      <c r="BD21" s="9">
        <f>Inputs!$F$49*IF(Time!BD17=11,1,0)</f>
        <v/>
      </c>
      <c r="BE21" s="9">
        <f>Inputs!$F$49*IF(Time!BE17=11,1,0)</f>
        <v/>
      </c>
      <c r="BF21" s="9">
        <f>Inputs!$F$49*IF(Time!BF17=11,1,0)</f>
        <v/>
      </c>
      <c r="BG21" s="9">
        <f>Inputs!$F$49*IF(Time!BG17=11,1,0)</f>
        <v/>
      </c>
      <c r="BH21" s="9">
        <f>Inputs!$F$49*IF(Time!BH17=11,1,0)</f>
        <v/>
      </c>
      <c r="BI21" s="9">
        <f>Inputs!$F$49*IF(Time!BI17=11,1,0)</f>
        <v/>
      </c>
      <c r="BJ21" s="9">
        <f>Inputs!$F$49*IF(Time!BJ17=11,1,0)</f>
        <v/>
      </c>
      <c r="BK21" s="9">
        <f>Inputs!$F$49*IF(Time!BK17=11,1,0)</f>
        <v/>
      </c>
      <c r="BL21" s="9">
        <f>Inputs!$F$49*IF(Time!BL17=11,1,0)</f>
        <v/>
      </c>
      <c r="BM21" s="9">
        <f>Inputs!$F$49*IF(Time!BM17=11,1,0)</f>
        <v/>
      </c>
      <c r="BN21" s="9">
        <f>Inputs!$F$49*IF(Time!BN17=11,1,0)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Inputs!$F$49*IF(AND(Time!J17&gt;=12,Time!J17&lt;=15),1,0)</f>
        <v/>
      </c>
      <c r="K22" s="9">
        <f>Inputs!$F$49*IF(AND(Time!K17&gt;=12,Time!K17&lt;=15),1,0)</f>
        <v/>
      </c>
      <c r="L22" s="9">
        <f>Inputs!$F$49*IF(AND(Time!L17&gt;=12,Time!L17&lt;=15),1,0)</f>
        <v/>
      </c>
      <c r="M22" s="9">
        <f>Inputs!$F$49*IF(AND(Time!M17&gt;=12,Time!M17&lt;=15),1,0)</f>
        <v/>
      </c>
      <c r="N22" s="9">
        <f>Inputs!$F$49*IF(AND(Time!N17&gt;=12,Time!N17&lt;=15),1,0)</f>
        <v/>
      </c>
      <c r="O22" s="9">
        <f>Inputs!$F$49*IF(AND(Time!O17&gt;=12,Time!O17&lt;=15),1,0)</f>
        <v/>
      </c>
      <c r="P22" s="9">
        <f>Inputs!$F$49*IF(AND(Time!P17&gt;=12,Time!P17&lt;=15),1,0)</f>
        <v/>
      </c>
      <c r="Q22" s="9">
        <f>Inputs!$F$49*IF(AND(Time!Q17&gt;=12,Time!Q17&lt;=15),1,0)</f>
        <v/>
      </c>
      <c r="R22" s="9">
        <f>Inputs!$F$49*IF(AND(Time!R17&gt;=12,Time!R17&lt;=15),1,0)</f>
        <v/>
      </c>
      <c r="S22" s="9">
        <f>Inputs!$F$49*IF(AND(Time!S17&gt;=12,Time!S17&lt;=15),1,0)</f>
        <v/>
      </c>
      <c r="T22" s="9">
        <f>Inputs!$F$49*IF(AND(Time!T17&gt;=12,Time!T17&lt;=15),1,0)</f>
        <v/>
      </c>
      <c r="U22" s="9">
        <f>Inputs!$F$49*IF(AND(Time!U17&gt;=12,Time!U17&lt;=15),1,0)</f>
        <v/>
      </c>
      <c r="V22" s="9">
        <f>Inputs!$F$49*IF(AND(Time!V17&gt;=12,Time!V17&lt;=15),1,0)</f>
        <v/>
      </c>
      <c r="W22" s="9">
        <f>Inputs!$F$49*IF(AND(Time!W17&gt;=12,Time!W17&lt;=15),1,0)</f>
        <v/>
      </c>
      <c r="X22" s="9">
        <f>Inputs!$F$49*IF(AND(Time!X17&gt;=12,Time!X17&lt;=15),1,0)</f>
        <v/>
      </c>
      <c r="Y22" s="9">
        <f>Inputs!$F$49*IF(AND(Time!Y17&gt;=12,Time!Y17&lt;=15),1,0)</f>
        <v/>
      </c>
      <c r="Z22" s="9">
        <f>Inputs!$F$49*IF(AND(Time!Z17&gt;=12,Time!Z17&lt;=15),1,0)</f>
        <v/>
      </c>
      <c r="AA22" s="9">
        <f>Inputs!$F$49*IF(AND(Time!AA17&gt;=12,Time!AA17&lt;=15),1,0)</f>
        <v/>
      </c>
      <c r="AB22" s="9">
        <f>Inputs!$F$49*IF(AND(Time!AB17&gt;=12,Time!AB17&lt;=15),1,0)</f>
        <v/>
      </c>
      <c r="AC22" s="9">
        <f>Inputs!$F$49*IF(AND(Time!AC17&gt;=12,Time!AC17&lt;=15),1,0)</f>
        <v/>
      </c>
      <c r="AD22" s="9">
        <f>Inputs!$F$49*IF(AND(Time!AD17&gt;=12,Time!AD17&lt;=15),1,0)</f>
        <v/>
      </c>
      <c r="AE22" s="9">
        <f>Inputs!$F$49*IF(AND(Time!AE17&gt;=12,Time!AE17&lt;=15),1,0)</f>
        <v/>
      </c>
      <c r="AF22" s="9">
        <f>Inputs!$F$49*IF(AND(Time!AF17&gt;=12,Time!AF17&lt;=15),1,0)</f>
        <v/>
      </c>
      <c r="AG22" s="9">
        <f>Inputs!$F$49*IF(AND(Time!AG17&gt;=12,Time!AG17&lt;=15),1,0)</f>
        <v/>
      </c>
      <c r="AH22" s="9">
        <f>Inputs!$F$49*IF(AND(Time!AH17&gt;=12,Time!AH17&lt;=15),1,0)</f>
        <v/>
      </c>
      <c r="AI22" s="9">
        <f>Inputs!$F$49*IF(AND(Time!AI17&gt;=12,Time!AI17&lt;=15),1,0)</f>
        <v/>
      </c>
      <c r="AJ22" s="9">
        <f>Inputs!$F$49*IF(AND(Time!AJ17&gt;=12,Time!AJ17&lt;=15),1,0)</f>
        <v/>
      </c>
      <c r="AK22" s="9">
        <f>Inputs!$F$49*IF(AND(Time!AK17&gt;=12,Time!AK17&lt;=15),1,0)</f>
        <v/>
      </c>
      <c r="AL22" s="9">
        <f>Inputs!$F$49*IF(AND(Time!AL17&gt;=12,Time!AL17&lt;=15),1,0)</f>
        <v/>
      </c>
      <c r="AM22" s="9">
        <f>Inputs!$F$49*IF(AND(Time!AM17&gt;=12,Time!AM17&lt;=15),1,0)</f>
        <v/>
      </c>
      <c r="AN22" s="9">
        <f>Inputs!$F$49*IF(AND(Time!AN17&gt;=12,Time!AN17&lt;=15),1,0)</f>
        <v/>
      </c>
      <c r="AO22" s="9">
        <f>Inputs!$F$49*IF(AND(Time!AO17&gt;=12,Time!AO17&lt;=15),1,0)</f>
        <v/>
      </c>
      <c r="AP22" s="9">
        <f>Inputs!$F$49*IF(AND(Time!AP17&gt;=12,Time!AP17&lt;=15),1,0)</f>
        <v/>
      </c>
      <c r="AQ22" s="9">
        <f>Inputs!$F$49*IF(AND(Time!AQ17&gt;=12,Time!AQ17&lt;=15),1,0)</f>
        <v/>
      </c>
      <c r="AR22" s="9">
        <f>Inputs!$F$49*IF(AND(Time!AR17&gt;=12,Time!AR17&lt;=15),1,0)</f>
        <v/>
      </c>
      <c r="AS22" s="9">
        <f>Inputs!$F$49*IF(AND(Time!AS17&gt;=12,Time!AS17&lt;=15),1,0)</f>
        <v/>
      </c>
      <c r="AT22" s="9">
        <f>Inputs!$F$49*IF(AND(Time!AT17&gt;=12,Time!AT17&lt;=15),1,0)</f>
        <v/>
      </c>
      <c r="AU22" s="9">
        <f>Inputs!$F$49*IF(AND(Time!AU17&gt;=12,Time!AU17&lt;=15),1,0)</f>
        <v/>
      </c>
      <c r="AV22" s="9">
        <f>Inputs!$F$49*IF(AND(Time!AV17&gt;=12,Time!AV17&lt;=15),1,0)</f>
        <v/>
      </c>
      <c r="AW22" s="9">
        <f>Inputs!$F$49*IF(AND(Time!AW17&gt;=12,Time!AW17&lt;=15),1,0)</f>
        <v/>
      </c>
      <c r="AX22" s="9">
        <f>Inputs!$F$49*IF(AND(Time!AX17&gt;=12,Time!AX17&lt;=15),1,0)</f>
        <v/>
      </c>
      <c r="AY22" s="9">
        <f>Inputs!$F$49*IF(AND(Time!AY17&gt;=12,Time!AY17&lt;=15),1,0)</f>
        <v/>
      </c>
      <c r="AZ22" s="9">
        <f>Inputs!$F$49*IF(AND(Time!AZ17&gt;=12,Time!AZ17&lt;=15),1,0)</f>
        <v/>
      </c>
      <c r="BA22" s="9">
        <f>Inputs!$F$49*IF(AND(Time!BA17&gt;=12,Time!BA17&lt;=15),1,0)</f>
        <v/>
      </c>
      <c r="BB22" s="9">
        <f>Inputs!$F$49*IF(AND(Time!BB17&gt;=12,Time!BB17&lt;=15),1,0)</f>
        <v/>
      </c>
      <c r="BC22" s="9">
        <f>Inputs!$F$49*IF(AND(Time!BC17&gt;=12,Time!BC17&lt;=15),1,0)</f>
        <v/>
      </c>
      <c r="BD22" s="9">
        <f>Inputs!$F$49*IF(AND(Time!BD17&gt;=12,Time!BD17&lt;=15),1,0)</f>
        <v/>
      </c>
      <c r="BE22" s="9">
        <f>Inputs!$F$49*IF(AND(Time!BE17&gt;=12,Time!BE17&lt;=15),1,0)</f>
        <v/>
      </c>
      <c r="BF22" s="9">
        <f>Inputs!$F$49*IF(AND(Time!BF17&gt;=12,Time!BF17&lt;=15),1,0)</f>
        <v/>
      </c>
      <c r="BG22" s="9">
        <f>Inputs!$F$49*IF(AND(Time!BG17&gt;=12,Time!BG17&lt;=15),1,0)</f>
        <v/>
      </c>
      <c r="BH22" s="9">
        <f>Inputs!$F$49*IF(AND(Time!BH17&gt;=12,Time!BH17&lt;=15),1,0)</f>
        <v/>
      </c>
      <c r="BI22" s="9">
        <f>Inputs!$F$49*IF(AND(Time!BI17&gt;=12,Time!BI17&lt;=15),1,0)</f>
        <v/>
      </c>
      <c r="BJ22" s="9">
        <f>Inputs!$F$49*IF(AND(Time!BJ17&gt;=12,Time!BJ17&lt;=15),1,0)</f>
        <v/>
      </c>
      <c r="BK22" s="9">
        <f>Inputs!$F$49*IF(AND(Time!BK17&gt;=12,Time!BK17&lt;=15),1,0)</f>
        <v/>
      </c>
      <c r="BL22" s="9">
        <f>Inputs!$F$49*IF(AND(Time!BL17&gt;=12,Time!BL17&lt;=15),1,0)</f>
        <v/>
      </c>
      <c r="BM22" s="9">
        <f>Inputs!$F$49*IF(AND(Time!BM17&gt;=12,Time!BM17&lt;=15),1,0)</f>
        <v/>
      </c>
      <c r="BN22" s="9">
        <f>Inputs!$F$49*IF(AND(Time!BN17&gt;=12,Time!BN17&lt;=15),1,0)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Inputs!$F$48*IF(Time!J17=8,1,0)</f>
        <v/>
      </c>
      <c r="K23" s="9">
        <f>Inputs!$F$48*IF(Time!K17=8,1,0)</f>
        <v/>
      </c>
      <c r="L23" s="9">
        <f>Inputs!$F$48*IF(Time!L17=8,1,0)</f>
        <v/>
      </c>
      <c r="M23" s="9">
        <f>Inputs!$F$48*IF(Time!M17=8,1,0)</f>
        <v/>
      </c>
      <c r="N23" s="9">
        <f>Inputs!$F$48*IF(Time!N17=8,1,0)</f>
        <v/>
      </c>
      <c r="O23" s="9">
        <f>Inputs!$F$48*IF(Time!O17=8,1,0)</f>
        <v/>
      </c>
      <c r="P23" s="9">
        <f>Inputs!$F$48*IF(Time!P17=8,1,0)</f>
        <v/>
      </c>
      <c r="Q23" s="9">
        <f>Inputs!$F$48*IF(Time!Q17=8,1,0)</f>
        <v/>
      </c>
      <c r="R23" s="9">
        <f>Inputs!$F$48*IF(Time!R17=8,1,0)</f>
        <v/>
      </c>
      <c r="S23" s="9">
        <f>Inputs!$F$48*IF(Time!S17=8,1,0)</f>
        <v/>
      </c>
      <c r="T23" s="9">
        <f>Inputs!$F$48*IF(Time!T17=8,1,0)</f>
        <v/>
      </c>
      <c r="U23" s="9">
        <f>Inputs!$F$48*IF(Time!U17=8,1,0)</f>
        <v/>
      </c>
      <c r="V23" s="9">
        <f>Inputs!$F$48*IF(Time!V17=8,1,0)</f>
        <v/>
      </c>
      <c r="W23" s="9">
        <f>Inputs!$F$48*IF(Time!W17=8,1,0)</f>
        <v/>
      </c>
      <c r="X23" s="9">
        <f>Inputs!$F$48*IF(Time!X17=8,1,0)</f>
        <v/>
      </c>
      <c r="Y23" s="9">
        <f>Inputs!$F$48*IF(Time!Y17=8,1,0)</f>
        <v/>
      </c>
      <c r="Z23" s="9">
        <f>Inputs!$F$48*IF(Time!Z17=8,1,0)</f>
        <v/>
      </c>
      <c r="AA23" s="9">
        <f>Inputs!$F$48*IF(Time!AA17=8,1,0)</f>
        <v/>
      </c>
      <c r="AB23" s="9">
        <f>Inputs!$F$48*IF(Time!AB17=8,1,0)</f>
        <v/>
      </c>
      <c r="AC23" s="9">
        <f>Inputs!$F$48*IF(Time!AC17=8,1,0)</f>
        <v/>
      </c>
      <c r="AD23" s="9">
        <f>Inputs!$F$48*IF(Time!AD17=8,1,0)</f>
        <v/>
      </c>
      <c r="AE23" s="9">
        <f>Inputs!$F$48*IF(Time!AE17=8,1,0)</f>
        <v/>
      </c>
      <c r="AF23" s="9">
        <f>Inputs!$F$48*IF(Time!AF17=8,1,0)</f>
        <v/>
      </c>
      <c r="AG23" s="9">
        <f>Inputs!$F$48*IF(Time!AG17=8,1,0)</f>
        <v/>
      </c>
      <c r="AH23" s="9">
        <f>Inputs!$F$48*IF(Time!AH17=8,1,0)</f>
        <v/>
      </c>
      <c r="AI23" s="9">
        <f>Inputs!$F$48*IF(Time!AI17=8,1,0)</f>
        <v/>
      </c>
      <c r="AJ23" s="9">
        <f>Inputs!$F$48*IF(Time!AJ17=8,1,0)</f>
        <v/>
      </c>
      <c r="AK23" s="9">
        <f>Inputs!$F$48*IF(Time!AK17=8,1,0)</f>
        <v/>
      </c>
      <c r="AL23" s="9">
        <f>Inputs!$F$48*IF(Time!AL17=8,1,0)</f>
        <v/>
      </c>
      <c r="AM23" s="9">
        <f>Inputs!$F$48*IF(Time!AM17=8,1,0)</f>
        <v/>
      </c>
      <c r="AN23" s="9">
        <f>Inputs!$F$48*IF(Time!AN17=8,1,0)</f>
        <v/>
      </c>
      <c r="AO23" s="9">
        <f>Inputs!$F$48*IF(Time!AO17=8,1,0)</f>
        <v/>
      </c>
      <c r="AP23" s="9">
        <f>Inputs!$F$48*IF(Time!AP17=8,1,0)</f>
        <v/>
      </c>
      <c r="AQ23" s="9">
        <f>Inputs!$F$48*IF(Time!AQ17=8,1,0)</f>
        <v/>
      </c>
      <c r="AR23" s="9">
        <f>Inputs!$F$48*IF(Time!AR17=8,1,0)</f>
        <v/>
      </c>
      <c r="AS23" s="9">
        <f>Inputs!$F$48*IF(Time!AS17=8,1,0)</f>
        <v/>
      </c>
      <c r="AT23" s="9">
        <f>Inputs!$F$48*IF(Time!AT17=8,1,0)</f>
        <v/>
      </c>
      <c r="AU23" s="9">
        <f>Inputs!$F$48*IF(Time!AU17=8,1,0)</f>
        <v/>
      </c>
      <c r="AV23" s="9">
        <f>Inputs!$F$48*IF(Time!AV17=8,1,0)</f>
        <v/>
      </c>
      <c r="AW23" s="9">
        <f>Inputs!$F$48*IF(Time!AW17=8,1,0)</f>
        <v/>
      </c>
      <c r="AX23" s="9">
        <f>Inputs!$F$48*IF(Time!AX17=8,1,0)</f>
        <v/>
      </c>
      <c r="AY23" s="9">
        <f>Inputs!$F$48*IF(Time!AY17=8,1,0)</f>
        <v/>
      </c>
      <c r="AZ23" s="9">
        <f>Inputs!$F$48*IF(Time!AZ17=8,1,0)</f>
        <v/>
      </c>
      <c r="BA23" s="9">
        <f>Inputs!$F$48*IF(Time!BA17=8,1,0)</f>
        <v/>
      </c>
      <c r="BB23" s="9">
        <f>Inputs!$F$48*IF(Time!BB17=8,1,0)</f>
        <v/>
      </c>
      <c r="BC23" s="9">
        <f>Inputs!$F$48*IF(Time!BC17=8,1,0)</f>
        <v/>
      </c>
      <c r="BD23" s="9">
        <f>Inputs!$F$48*IF(Time!BD17=8,1,0)</f>
        <v/>
      </c>
      <c r="BE23" s="9">
        <f>Inputs!$F$48*IF(Time!BE17=8,1,0)</f>
        <v/>
      </c>
      <c r="BF23" s="9">
        <f>Inputs!$F$48*IF(Time!BF17=8,1,0)</f>
        <v/>
      </c>
      <c r="BG23" s="9">
        <f>Inputs!$F$48*IF(Time!BG17=8,1,0)</f>
        <v/>
      </c>
      <c r="BH23" s="9">
        <f>Inputs!$F$48*IF(Time!BH17=8,1,0)</f>
        <v/>
      </c>
      <c r="BI23" s="9">
        <f>Inputs!$F$48*IF(Time!BI17=8,1,0)</f>
        <v/>
      </c>
      <c r="BJ23" s="9">
        <f>Inputs!$F$48*IF(Time!BJ17=8,1,0)</f>
        <v/>
      </c>
      <c r="BK23" s="9">
        <f>Inputs!$F$48*IF(Time!BK17=8,1,0)</f>
        <v/>
      </c>
      <c r="BL23" s="9">
        <f>Inputs!$F$48*IF(Time!BL17=8,1,0)</f>
        <v/>
      </c>
      <c r="BM23" s="9">
        <f>Inputs!$F$48*IF(Time!BM17=8,1,0)</f>
        <v/>
      </c>
      <c r="BN23" s="9">
        <f>Inputs!$F$48*IF(Time!BN17=8,1,0)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J21*Inputs!$F$194*J28</f>
        <v/>
      </c>
      <c r="K29" s="11">
        <f>K21*Inputs!$F$194*K28</f>
        <v/>
      </c>
      <c r="L29" s="11">
        <f>L21*Inputs!$F$194*L28</f>
        <v/>
      </c>
      <c r="M29" s="11">
        <f>M21*Inputs!$F$194*M28</f>
        <v/>
      </c>
      <c r="N29" s="11">
        <f>N21*Inputs!$F$194*N28</f>
        <v/>
      </c>
      <c r="O29" s="11">
        <f>O21*Inputs!$F$194*O28</f>
        <v/>
      </c>
      <c r="P29" s="11">
        <f>P21*Inputs!$F$194*P28</f>
        <v/>
      </c>
      <c r="Q29" s="11">
        <f>Q21*Inputs!$F$194*Q28</f>
        <v/>
      </c>
      <c r="R29" s="11">
        <f>R21*Inputs!$F$194*R28</f>
        <v/>
      </c>
      <c r="S29" s="11">
        <f>S21*Inputs!$F$194*S28</f>
        <v/>
      </c>
      <c r="T29" s="11">
        <f>T21*Inputs!$F$194*T28</f>
        <v/>
      </c>
      <c r="U29" s="11">
        <f>U21*Inputs!$F$194*U28</f>
        <v/>
      </c>
      <c r="V29" s="11">
        <f>V21*Inputs!$F$194*V28</f>
        <v/>
      </c>
      <c r="W29" s="11">
        <f>W21*Inputs!$F$194*W28</f>
        <v/>
      </c>
      <c r="X29" s="11">
        <f>X21*Inputs!$F$194*X28</f>
        <v/>
      </c>
      <c r="Y29" s="11">
        <f>Y21*Inputs!$F$194*Y28</f>
        <v/>
      </c>
      <c r="Z29" s="11">
        <f>Z21*Inputs!$F$194*Z28</f>
        <v/>
      </c>
      <c r="AA29" s="11">
        <f>AA21*Inputs!$F$194*AA28</f>
        <v/>
      </c>
      <c r="AB29" s="11">
        <f>AB21*Inputs!$F$194*AB28</f>
        <v/>
      </c>
      <c r="AC29" s="11">
        <f>AC21*Inputs!$F$194*AC28</f>
        <v/>
      </c>
      <c r="AD29" s="11">
        <f>AD21*Inputs!$F$194*AD28</f>
        <v/>
      </c>
      <c r="AE29" s="11">
        <f>AE21*Inputs!$F$194*AE28</f>
        <v/>
      </c>
      <c r="AF29" s="11">
        <f>AF21*Inputs!$F$194*AF28</f>
        <v/>
      </c>
      <c r="AG29" s="11">
        <f>AG21*Inputs!$F$194*AG28</f>
        <v/>
      </c>
      <c r="AH29" s="11">
        <f>AH21*Inputs!$F$194*AH28</f>
        <v/>
      </c>
      <c r="AI29" s="11">
        <f>AI21*Inputs!$F$194*AI28</f>
        <v/>
      </c>
      <c r="AJ29" s="11">
        <f>AJ21*Inputs!$F$194*AJ28</f>
        <v/>
      </c>
      <c r="AK29" s="11">
        <f>AK21*Inputs!$F$194*AK28</f>
        <v/>
      </c>
      <c r="AL29" s="11">
        <f>AL21*Inputs!$F$194*AL28</f>
        <v/>
      </c>
      <c r="AM29" s="11">
        <f>AM21*Inputs!$F$194*AM28</f>
        <v/>
      </c>
      <c r="AN29" s="11">
        <f>AN21*Inputs!$F$194*AN28</f>
        <v/>
      </c>
      <c r="AO29" s="11">
        <f>AO21*Inputs!$F$194*AO28</f>
        <v/>
      </c>
      <c r="AP29" s="11">
        <f>AP21*Inputs!$F$194*AP28</f>
        <v/>
      </c>
      <c r="AQ29" s="11">
        <f>AQ21*Inputs!$F$194*AQ28</f>
        <v/>
      </c>
      <c r="AR29" s="11">
        <f>AR21*Inputs!$F$194*AR28</f>
        <v/>
      </c>
      <c r="AS29" s="11">
        <f>AS21*Inputs!$F$194*AS28</f>
        <v/>
      </c>
      <c r="AT29" s="11">
        <f>AT21*Inputs!$F$194*AT28</f>
        <v/>
      </c>
      <c r="AU29" s="11">
        <f>AU21*Inputs!$F$194*AU28</f>
        <v/>
      </c>
      <c r="AV29" s="11">
        <f>AV21*Inputs!$F$194*AV28</f>
        <v/>
      </c>
      <c r="AW29" s="11">
        <f>AW21*Inputs!$F$194*AW28</f>
        <v/>
      </c>
      <c r="AX29" s="11">
        <f>AX21*Inputs!$F$194*AX28</f>
        <v/>
      </c>
      <c r="AY29" s="11">
        <f>AY21*Inputs!$F$194*AY28</f>
        <v/>
      </c>
      <c r="AZ29" s="11">
        <f>AZ21*Inputs!$F$194*AZ28</f>
        <v/>
      </c>
      <c r="BA29" s="11">
        <f>BA21*Inputs!$F$194*BA28</f>
        <v/>
      </c>
      <c r="BB29" s="11">
        <f>BB21*Inputs!$F$194*BB28</f>
        <v/>
      </c>
      <c r="BC29" s="11">
        <f>BC21*Inputs!$F$194*BC28</f>
        <v/>
      </c>
      <c r="BD29" s="11">
        <f>BD21*Inputs!$F$194*BD28</f>
        <v/>
      </c>
      <c r="BE29" s="11">
        <f>BE21*Inputs!$F$194*BE28</f>
        <v/>
      </c>
      <c r="BF29" s="11">
        <f>BF21*Inputs!$F$194*BF28</f>
        <v/>
      </c>
      <c r="BG29" s="11">
        <f>BG21*Inputs!$F$194*BG28</f>
        <v/>
      </c>
      <c r="BH29" s="11">
        <f>BH21*Inputs!$F$194*BH28</f>
        <v/>
      </c>
      <c r="BI29" s="11">
        <f>BI21*Inputs!$F$194*BI28</f>
        <v/>
      </c>
      <c r="BJ29" s="11">
        <f>BJ21*Inputs!$F$194*BJ28</f>
        <v/>
      </c>
      <c r="BK29" s="11">
        <f>BK21*Inputs!$F$194*BK28</f>
        <v/>
      </c>
      <c r="BL29" s="11">
        <f>BL21*Inputs!$F$194*BL28</f>
        <v/>
      </c>
      <c r="BM29" s="11">
        <f>BM21*Inputs!$F$194*BM28</f>
        <v/>
      </c>
      <c r="BN29" s="11">
        <f>BN21*Inputs!$F$194*BN28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J23*Inputs!$F$191*(J25-J32)/(J25-J32+J40-J47+J55-J62+J70-J77+J85-J92+0.000000001)</f>
        <v/>
      </c>
      <c r="K33" s="11">
        <f>K23*Inputs!$F$191*(K25-K32)/(K25-K32+K40-K47+K55-K62+K70-K77+K85-K92+0.000000001)</f>
        <v/>
      </c>
      <c r="L33" s="11">
        <f>L23*Inputs!$F$191*(L25-L32)/(L25-L32+L40-L47+L55-L62+L70-L77+L85-L92+0.000000001)</f>
        <v/>
      </c>
      <c r="M33" s="11">
        <f>M23*Inputs!$F$191*(M25-M32)/(M25-M32+M40-M47+M55-M62+M70-M77+M85-M92+0.000000001)</f>
        <v/>
      </c>
      <c r="N33" s="11">
        <f>N23*Inputs!$F$191*(N25-N32)/(N25-N32+N40-N47+N55-N62+N70-N77+N85-N92+0.000000001)</f>
        <v/>
      </c>
      <c r="O33" s="11">
        <f>O23*Inputs!$F$191*(O25-O32)/(O25-O32+O40-O47+O55-O62+O70-O77+O85-O92+0.000000001)</f>
        <v/>
      </c>
      <c r="P33" s="11">
        <f>P23*Inputs!$F$191*(P25-P32)/(P25-P32+P40-P47+P55-P62+P70-P77+P85-P92+0.000000001)</f>
        <v/>
      </c>
      <c r="Q33" s="11">
        <f>Q23*Inputs!$F$191*(Q25-Q32)/(Q25-Q32+Q40-Q47+Q55-Q62+Q70-Q77+Q85-Q92+0.000000001)</f>
        <v/>
      </c>
      <c r="R33" s="11">
        <f>R23*Inputs!$F$191*(R25-R32)/(R25-R32+R40-R47+R55-R62+R70-R77+R85-R92+0.000000001)</f>
        <v/>
      </c>
      <c r="S33" s="11">
        <f>S23*Inputs!$F$191*(S25-S32)/(S25-S32+S40-S47+S55-S62+S70-S77+S85-S92+0.000000001)</f>
        <v/>
      </c>
      <c r="T33" s="11">
        <f>T23*Inputs!$F$191*(T25-T32)/(T25-T32+T40-T47+T55-T62+T70-T77+T85-T92+0.000000001)</f>
        <v/>
      </c>
      <c r="U33" s="11">
        <f>U23*Inputs!$F$191*(U25-U32)/(U25-U32+U40-U47+U55-U62+U70-U77+U85-U92+0.000000001)</f>
        <v/>
      </c>
      <c r="V33" s="11">
        <f>V23*Inputs!$F$191*(V25-V32)/(V25-V32+V40-V47+V55-V62+V70-V77+V85-V92+0.000000001)</f>
        <v/>
      </c>
      <c r="W33" s="11">
        <f>W23*Inputs!$F$191*(W25-W32)/(W25-W32+W40-W47+W55-W62+W70-W77+W85-W92+0.000000001)</f>
        <v/>
      </c>
      <c r="X33" s="11">
        <f>X23*Inputs!$F$191*(X25-X32)/(X25-X32+X40-X47+X55-X62+X70-X77+X85-X92+0.000000001)</f>
        <v/>
      </c>
      <c r="Y33" s="11">
        <f>Y23*Inputs!$F$191*(Y25-Y32)/(Y25-Y32+Y40-Y47+Y55-Y62+Y70-Y77+Y85-Y92+0.000000001)</f>
        <v/>
      </c>
      <c r="Z33" s="11">
        <f>Z23*Inputs!$F$191*(Z25-Z32)/(Z25-Z32+Z40-Z47+Z55-Z62+Z70-Z77+Z85-Z92+0.000000001)</f>
        <v/>
      </c>
      <c r="AA33" s="11">
        <f>AA23*Inputs!$F$191*(AA25-AA32)/(AA25-AA32+AA40-AA47+AA55-AA62+AA70-AA77+AA85-AA92+0.000000001)</f>
        <v/>
      </c>
      <c r="AB33" s="11">
        <f>AB23*Inputs!$F$191*(AB25-AB32)/(AB25-AB32+AB40-AB47+AB55-AB62+AB70-AB77+AB85-AB92+0.000000001)</f>
        <v/>
      </c>
      <c r="AC33" s="11">
        <f>AC23*Inputs!$F$191*(AC25-AC32)/(AC25-AC32+AC40-AC47+AC55-AC62+AC70-AC77+AC85-AC92+0.000000001)</f>
        <v/>
      </c>
      <c r="AD33" s="11">
        <f>AD23*Inputs!$F$191*(AD25-AD32)/(AD25-AD32+AD40-AD47+AD55-AD62+AD70-AD77+AD85-AD92+0.000000001)</f>
        <v/>
      </c>
      <c r="AE33" s="11">
        <f>AE23*Inputs!$F$191*(AE25-AE32)/(AE25-AE32+AE40-AE47+AE55-AE62+AE70-AE77+AE85-AE92+0.000000001)</f>
        <v/>
      </c>
      <c r="AF33" s="11">
        <f>AF23*Inputs!$F$191*(AF25-AF32)/(AF25-AF32+AF40-AF47+AF55-AF62+AF70-AF77+AF85-AF92+0.000000001)</f>
        <v/>
      </c>
      <c r="AG33" s="11">
        <f>AG23*Inputs!$F$191*(AG25-AG32)/(AG25-AG32+AG40-AG47+AG55-AG62+AG70-AG77+AG85-AG92+0.000000001)</f>
        <v/>
      </c>
      <c r="AH33" s="11">
        <f>AH23*Inputs!$F$191*(AH25-AH32)/(AH25-AH32+AH40-AH47+AH55-AH62+AH70-AH77+AH85-AH92+0.000000001)</f>
        <v/>
      </c>
      <c r="AI33" s="11">
        <f>AI23*Inputs!$F$191*(AI25-AI32)/(AI25-AI32+AI40-AI47+AI55-AI62+AI70-AI77+AI85-AI92+0.000000001)</f>
        <v/>
      </c>
      <c r="AJ33" s="11">
        <f>AJ23*Inputs!$F$191*(AJ25-AJ32)/(AJ25-AJ32+AJ40-AJ47+AJ55-AJ62+AJ70-AJ77+AJ85-AJ92+0.000000001)</f>
        <v/>
      </c>
      <c r="AK33" s="11">
        <f>AK23*Inputs!$F$191*(AK25-AK32)/(AK25-AK32+AK40-AK47+AK55-AK62+AK70-AK77+AK85-AK92+0.000000001)</f>
        <v/>
      </c>
      <c r="AL33" s="11">
        <f>AL23*Inputs!$F$191*(AL25-AL32)/(AL25-AL32+AL40-AL47+AL55-AL62+AL70-AL77+AL85-AL92+0.000000001)</f>
        <v/>
      </c>
      <c r="AM33" s="11">
        <f>AM23*Inputs!$F$191*(AM25-AM32)/(AM25-AM32+AM40-AM47+AM55-AM62+AM70-AM77+AM85-AM92+0.000000001)</f>
        <v/>
      </c>
      <c r="AN33" s="11">
        <f>AN23*Inputs!$F$191*(AN25-AN32)/(AN25-AN32+AN40-AN47+AN55-AN62+AN70-AN77+AN85-AN92+0.000000001)</f>
        <v/>
      </c>
      <c r="AO33" s="11">
        <f>AO23*Inputs!$F$191*(AO25-AO32)/(AO25-AO32+AO40-AO47+AO55-AO62+AO70-AO77+AO85-AO92+0.000000001)</f>
        <v/>
      </c>
      <c r="AP33" s="11">
        <f>AP23*Inputs!$F$191*(AP25-AP32)/(AP25-AP32+AP40-AP47+AP55-AP62+AP70-AP77+AP85-AP92+0.000000001)</f>
        <v/>
      </c>
      <c r="AQ33" s="11">
        <f>AQ23*Inputs!$F$191*(AQ25-AQ32)/(AQ25-AQ32+AQ40-AQ47+AQ55-AQ62+AQ70-AQ77+AQ85-AQ92+0.000000001)</f>
        <v/>
      </c>
      <c r="AR33" s="11">
        <f>AR23*Inputs!$F$191*(AR25-AR32)/(AR25-AR32+AR40-AR47+AR55-AR62+AR70-AR77+AR85-AR92+0.000000001)</f>
        <v/>
      </c>
      <c r="AS33" s="11">
        <f>AS23*Inputs!$F$191*(AS25-AS32)/(AS25-AS32+AS40-AS47+AS55-AS62+AS70-AS77+AS85-AS92+0.000000001)</f>
        <v/>
      </c>
      <c r="AT33" s="11">
        <f>AT23*Inputs!$F$191*(AT25-AT32)/(AT25-AT32+AT40-AT47+AT55-AT62+AT70-AT77+AT85-AT92+0.000000001)</f>
        <v/>
      </c>
      <c r="AU33" s="11">
        <f>AU23*Inputs!$F$191*(AU25-AU32)/(AU25-AU32+AU40-AU47+AU55-AU62+AU70-AU77+AU85-AU92+0.000000001)</f>
        <v/>
      </c>
      <c r="AV33" s="11">
        <f>AV23*Inputs!$F$191*(AV25-AV32)/(AV25-AV32+AV40-AV47+AV55-AV62+AV70-AV77+AV85-AV92+0.000000001)</f>
        <v/>
      </c>
      <c r="AW33" s="11">
        <f>AW23*Inputs!$F$191*(AW25-AW32)/(AW25-AW32+AW40-AW47+AW55-AW62+AW70-AW77+AW85-AW92+0.000000001)</f>
        <v/>
      </c>
      <c r="AX33" s="11">
        <f>AX23*Inputs!$F$191*(AX25-AX32)/(AX25-AX32+AX40-AX47+AX55-AX62+AX70-AX77+AX85-AX92+0.000000001)</f>
        <v/>
      </c>
      <c r="AY33" s="11">
        <f>AY23*Inputs!$F$191*(AY25-AY32)/(AY25-AY32+AY40-AY47+AY55-AY62+AY70-AY77+AY85-AY92+0.000000001)</f>
        <v/>
      </c>
      <c r="AZ33" s="11">
        <f>AZ23*Inputs!$F$191*(AZ25-AZ32)/(AZ25-AZ32+AZ40-AZ47+AZ55-AZ62+AZ70-AZ77+AZ85-AZ92+0.000000001)</f>
        <v/>
      </c>
      <c r="BA33" s="11">
        <f>BA23*Inputs!$F$191*(BA25-BA32)/(BA25-BA32+BA40-BA47+BA55-BA62+BA70-BA77+BA85-BA92+0.000000001)</f>
        <v/>
      </c>
      <c r="BB33" s="11">
        <f>BB23*Inputs!$F$191*(BB25-BB32)/(BB25-BB32+BB40-BB47+BB55-BB62+BB70-BB77+BB85-BB92+0.000000001)</f>
        <v/>
      </c>
      <c r="BC33" s="11">
        <f>BC23*Inputs!$F$191*(BC25-BC32)/(BC25-BC32+BC40-BC47+BC55-BC62+BC70-BC77+BC85-BC92+0.000000001)</f>
        <v/>
      </c>
      <c r="BD33" s="11">
        <f>BD23*Inputs!$F$191*(BD25-BD32)/(BD25-BD32+BD40-BD47+BD55-BD62+BD70-BD77+BD85-BD92+0.000000001)</f>
        <v/>
      </c>
      <c r="BE33" s="11">
        <f>BE23*Inputs!$F$191*(BE25-BE32)/(BE25-BE32+BE40-BE47+BE55-BE62+BE70-BE77+BE85-BE92+0.000000001)</f>
        <v/>
      </c>
      <c r="BF33" s="11">
        <f>BF23*Inputs!$F$191*(BF25-BF32)/(BF25-BF32+BF40-BF47+BF55-BF62+BF70-BF77+BF85-BF92+0.000000001)</f>
        <v/>
      </c>
      <c r="BG33" s="11">
        <f>BG23*Inputs!$F$191*(BG25-BG32)/(BG25-BG32+BG40-BG47+BG55-BG62+BG70-BG77+BG85-BG92+0.000000001)</f>
        <v/>
      </c>
      <c r="BH33" s="11">
        <f>BH23*Inputs!$F$191*(BH25-BH32)/(BH25-BH32+BH40-BH47+BH55-BH62+BH70-BH77+BH85-BH92+0.000000001)</f>
        <v/>
      </c>
      <c r="BI33" s="11">
        <f>BI23*Inputs!$F$191*(BI25-BI32)/(BI25-BI32+BI40-BI47+BI55-BI62+BI70-BI77+BI85-BI92+0.000000001)</f>
        <v/>
      </c>
      <c r="BJ33" s="11">
        <f>BJ23*Inputs!$F$191*(BJ25-BJ32)/(BJ25-BJ32+BJ40-BJ47+BJ55-BJ62+BJ70-BJ77+BJ85-BJ92+0.000000001)</f>
        <v/>
      </c>
      <c r="BK33" s="11">
        <f>BK23*Inputs!$F$191*(BK25-BK32)/(BK25-BK32+BK40-BK47+BK55-BK62+BK70-BK77+BK85-BK92+0.000000001)</f>
        <v/>
      </c>
      <c r="BL33" s="11">
        <f>BL23*Inputs!$F$191*(BL25-BL32)/(BL25-BL32+BL40-BL47+BL55-BL62+BL70-BL77+BL85-BL92+0.000000001)</f>
        <v/>
      </c>
      <c r="BM33" s="11">
        <f>BM23*Inputs!$F$191*(BM25-BM32)/(BM25-BM32+BM40-BM47+BM55-BM62+BM70-BM77+BM85-BM92+0.000000001)</f>
        <v/>
      </c>
      <c r="BN33" s="11">
        <f>BN23*Inputs!$F$191*(BN25-BN32)/(BN25-BN32+BN40-BN47+BN55-BN62+BN70-BN77+BN85-BN92+0.000000001)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J21*Inputs!$F$194*J43</f>
        <v/>
      </c>
      <c r="K44" s="11">
        <f>K21*Inputs!$F$194*K43</f>
        <v/>
      </c>
      <c r="L44" s="11">
        <f>L21*Inputs!$F$194*L43</f>
        <v/>
      </c>
      <c r="M44" s="11">
        <f>M21*Inputs!$F$194*M43</f>
        <v/>
      </c>
      <c r="N44" s="11">
        <f>N21*Inputs!$F$194*N43</f>
        <v/>
      </c>
      <c r="O44" s="11">
        <f>O21*Inputs!$F$194*O43</f>
        <v/>
      </c>
      <c r="P44" s="11">
        <f>P21*Inputs!$F$194*P43</f>
        <v/>
      </c>
      <c r="Q44" s="11">
        <f>Q21*Inputs!$F$194*Q43</f>
        <v/>
      </c>
      <c r="R44" s="11">
        <f>R21*Inputs!$F$194*R43</f>
        <v/>
      </c>
      <c r="S44" s="11">
        <f>S21*Inputs!$F$194*S43</f>
        <v/>
      </c>
      <c r="T44" s="11">
        <f>T21*Inputs!$F$194*T43</f>
        <v/>
      </c>
      <c r="U44" s="11">
        <f>U21*Inputs!$F$194*U43</f>
        <v/>
      </c>
      <c r="V44" s="11">
        <f>V21*Inputs!$F$194*V43</f>
        <v/>
      </c>
      <c r="W44" s="11">
        <f>W21*Inputs!$F$194*W43</f>
        <v/>
      </c>
      <c r="X44" s="11">
        <f>X21*Inputs!$F$194*X43</f>
        <v/>
      </c>
      <c r="Y44" s="11">
        <f>Y21*Inputs!$F$194*Y43</f>
        <v/>
      </c>
      <c r="Z44" s="11">
        <f>Z21*Inputs!$F$194*Z43</f>
        <v/>
      </c>
      <c r="AA44" s="11">
        <f>AA21*Inputs!$F$194*AA43</f>
        <v/>
      </c>
      <c r="AB44" s="11">
        <f>AB21*Inputs!$F$194*AB43</f>
        <v/>
      </c>
      <c r="AC44" s="11">
        <f>AC21*Inputs!$F$194*AC43</f>
        <v/>
      </c>
      <c r="AD44" s="11">
        <f>AD21*Inputs!$F$194*AD43</f>
        <v/>
      </c>
      <c r="AE44" s="11">
        <f>AE21*Inputs!$F$194*AE43</f>
        <v/>
      </c>
      <c r="AF44" s="11">
        <f>AF21*Inputs!$F$194*AF43</f>
        <v/>
      </c>
      <c r="AG44" s="11">
        <f>AG21*Inputs!$F$194*AG43</f>
        <v/>
      </c>
      <c r="AH44" s="11">
        <f>AH21*Inputs!$F$194*AH43</f>
        <v/>
      </c>
      <c r="AI44" s="11">
        <f>AI21*Inputs!$F$194*AI43</f>
        <v/>
      </c>
      <c r="AJ44" s="11">
        <f>AJ21*Inputs!$F$194*AJ43</f>
        <v/>
      </c>
      <c r="AK44" s="11">
        <f>AK21*Inputs!$F$194*AK43</f>
        <v/>
      </c>
      <c r="AL44" s="11">
        <f>AL21*Inputs!$F$194*AL43</f>
        <v/>
      </c>
      <c r="AM44" s="11">
        <f>AM21*Inputs!$F$194*AM43</f>
        <v/>
      </c>
      <c r="AN44" s="11">
        <f>AN21*Inputs!$F$194*AN43</f>
        <v/>
      </c>
      <c r="AO44" s="11">
        <f>AO21*Inputs!$F$194*AO43</f>
        <v/>
      </c>
      <c r="AP44" s="11">
        <f>AP21*Inputs!$F$194*AP43</f>
        <v/>
      </c>
      <c r="AQ44" s="11">
        <f>AQ21*Inputs!$F$194*AQ43</f>
        <v/>
      </c>
      <c r="AR44" s="11">
        <f>AR21*Inputs!$F$194*AR43</f>
        <v/>
      </c>
      <c r="AS44" s="11">
        <f>AS21*Inputs!$F$194*AS43</f>
        <v/>
      </c>
      <c r="AT44" s="11">
        <f>AT21*Inputs!$F$194*AT43</f>
        <v/>
      </c>
      <c r="AU44" s="11">
        <f>AU21*Inputs!$F$194*AU43</f>
        <v/>
      </c>
      <c r="AV44" s="11">
        <f>AV21*Inputs!$F$194*AV43</f>
        <v/>
      </c>
      <c r="AW44" s="11">
        <f>AW21*Inputs!$F$194*AW43</f>
        <v/>
      </c>
      <c r="AX44" s="11">
        <f>AX21*Inputs!$F$194*AX43</f>
        <v/>
      </c>
      <c r="AY44" s="11">
        <f>AY21*Inputs!$F$194*AY43</f>
        <v/>
      </c>
      <c r="AZ44" s="11">
        <f>AZ21*Inputs!$F$194*AZ43</f>
        <v/>
      </c>
      <c r="BA44" s="11">
        <f>BA21*Inputs!$F$194*BA43</f>
        <v/>
      </c>
      <c r="BB44" s="11">
        <f>BB21*Inputs!$F$194*BB43</f>
        <v/>
      </c>
      <c r="BC44" s="11">
        <f>BC21*Inputs!$F$194*BC43</f>
        <v/>
      </c>
      <c r="BD44" s="11">
        <f>BD21*Inputs!$F$194*BD43</f>
        <v/>
      </c>
      <c r="BE44" s="11">
        <f>BE21*Inputs!$F$194*BE43</f>
        <v/>
      </c>
      <c r="BF44" s="11">
        <f>BF21*Inputs!$F$194*BF43</f>
        <v/>
      </c>
      <c r="BG44" s="11">
        <f>BG21*Inputs!$F$194*BG43</f>
        <v/>
      </c>
      <c r="BH44" s="11">
        <f>BH21*Inputs!$F$194*BH43</f>
        <v/>
      </c>
      <c r="BI44" s="11">
        <f>BI21*Inputs!$F$194*BI43</f>
        <v/>
      </c>
      <c r="BJ44" s="11">
        <f>BJ21*Inputs!$F$194*BJ43</f>
        <v/>
      </c>
      <c r="BK44" s="11">
        <f>BK21*Inputs!$F$194*BK43</f>
        <v/>
      </c>
      <c r="BL44" s="11">
        <f>BL21*Inputs!$F$194*BL43</f>
        <v/>
      </c>
      <c r="BM44" s="11">
        <f>BM21*Inputs!$F$194*BM43</f>
        <v/>
      </c>
      <c r="BN44" s="11">
        <f>BN21*Inputs!$F$194*BN43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J23*Inputs!$F$191*(J40-J47)/(J25-J32+J40-J47+J55-J62+J70-J77+J85-J92+0.000000001)</f>
        <v/>
      </c>
      <c r="K48" s="11">
        <f>K23*Inputs!$F$191*(K40-K47)/(K25-K32+K40-K47+K55-K62+K70-K77+K85-K92+0.000000001)</f>
        <v/>
      </c>
      <c r="L48" s="11">
        <f>L23*Inputs!$F$191*(L40-L47)/(L25-L32+L40-L47+L55-L62+L70-L77+L85-L92+0.000000001)</f>
        <v/>
      </c>
      <c r="M48" s="11">
        <f>M23*Inputs!$F$191*(M40-M47)/(M25-M32+M40-M47+M55-M62+M70-M77+M85-M92+0.000000001)</f>
        <v/>
      </c>
      <c r="N48" s="11">
        <f>N23*Inputs!$F$191*(N40-N47)/(N25-N32+N40-N47+N55-N62+N70-N77+N85-N92+0.000000001)</f>
        <v/>
      </c>
      <c r="O48" s="11">
        <f>O23*Inputs!$F$191*(O40-O47)/(O25-O32+O40-O47+O55-O62+O70-O77+O85-O92+0.000000001)</f>
        <v/>
      </c>
      <c r="P48" s="11">
        <f>P23*Inputs!$F$191*(P40-P47)/(P25-P32+P40-P47+P55-P62+P70-P77+P85-P92+0.000000001)</f>
        <v/>
      </c>
      <c r="Q48" s="11">
        <f>Q23*Inputs!$F$191*(Q40-Q47)/(Q25-Q32+Q40-Q47+Q55-Q62+Q70-Q77+Q85-Q92+0.000000001)</f>
        <v/>
      </c>
      <c r="R48" s="11">
        <f>R23*Inputs!$F$191*(R40-R47)/(R25-R32+R40-R47+R55-R62+R70-R77+R85-R92+0.000000001)</f>
        <v/>
      </c>
      <c r="S48" s="11">
        <f>S23*Inputs!$F$191*(S40-S47)/(S25-S32+S40-S47+S55-S62+S70-S77+S85-S92+0.000000001)</f>
        <v/>
      </c>
      <c r="T48" s="11">
        <f>T23*Inputs!$F$191*(T40-T47)/(T25-T32+T40-T47+T55-T62+T70-T77+T85-T92+0.000000001)</f>
        <v/>
      </c>
      <c r="U48" s="11">
        <f>U23*Inputs!$F$191*(U40-U47)/(U25-U32+U40-U47+U55-U62+U70-U77+U85-U92+0.000000001)</f>
        <v/>
      </c>
      <c r="V48" s="11">
        <f>V23*Inputs!$F$191*(V40-V47)/(V25-V32+V40-V47+V55-V62+V70-V77+V85-V92+0.000000001)</f>
        <v/>
      </c>
      <c r="W48" s="11">
        <f>W23*Inputs!$F$191*(W40-W47)/(W25-W32+W40-W47+W55-W62+W70-W77+W85-W92+0.000000001)</f>
        <v/>
      </c>
      <c r="X48" s="11">
        <f>X23*Inputs!$F$191*(X40-X47)/(X25-X32+X40-X47+X55-X62+X70-X77+X85-X92+0.000000001)</f>
        <v/>
      </c>
      <c r="Y48" s="11">
        <f>Y23*Inputs!$F$191*(Y40-Y47)/(Y25-Y32+Y40-Y47+Y55-Y62+Y70-Y77+Y85-Y92+0.000000001)</f>
        <v/>
      </c>
      <c r="Z48" s="11">
        <f>Z23*Inputs!$F$191*(Z40-Z47)/(Z25-Z32+Z40-Z47+Z55-Z62+Z70-Z77+Z85-Z92+0.000000001)</f>
        <v/>
      </c>
      <c r="AA48" s="11">
        <f>AA23*Inputs!$F$191*(AA40-AA47)/(AA25-AA32+AA40-AA47+AA55-AA62+AA70-AA77+AA85-AA92+0.000000001)</f>
        <v/>
      </c>
      <c r="AB48" s="11">
        <f>AB23*Inputs!$F$191*(AB40-AB47)/(AB25-AB32+AB40-AB47+AB55-AB62+AB70-AB77+AB85-AB92+0.000000001)</f>
        <v/>
      </c>
      <c r="AC48" s="11">
        <f>AC23*Inputs!$F$191*(AC40-AC47)/(AC25-AC32+AC40-AC47+AC55-AC62+AC70-AC77+AC85-AC92+0.000000001)</f>
        <v/>
      </c>
      <c r="AD48" s="11">
        <f>AD23*Inputs!$F$191*(AD40-AD47)/(AD25-AD32+AD40-AD47+AD55-AD62+AD70-AD77+AD85-AD92+0.000000001)</f>
        <v/>
      </c>
      <c r="AE48" s="11">
        <f>AE23*Inputs!$F$191*(AE40-AE47)/(AE25-AE32+AE40-AE47+AE55-AE62+AE70-AE77+AE85-AE92+0.000000001)</f>
        <v/>
      </c>
      <c r="AF48" s="11">
        <f>AF23*Inputs!$F$191*(AF40-AF47)/(AF25-AF32+AF40-AF47+AF55-AF62+AF70-AF77+AF85-AF92+0.000000001)</f>
        <v/>
      </c>
      <c r="AG48" s="11">
        <f>AG23*Inputs!$F$191*(AG40-AG47)/(AG25-AG32+AG40-AG47+AG55-AG62+AG70-AG77+AG85-AG92+0.000000001)</f>
        <v/>
      </c>
      <c r="AH48" s="11">
        <f>AH23*Inputs!$F$191*(AH40-AH47)/(AH25-AH32+AH40-AH47+AH55-AH62+AH70-AH77+AH85-AH92+0.000000001)</f>
        <v/>
      </c>
      <c r="AI48" s="11">
        <f>AI23*Inputs!$F$191*(AI40-AI47)/(AI25-AI32+AI40-AI47+AI55-AI62+AI70-AI77+AI85-AI92+0.000000001)</f>
        <v/>
      </c>
      <c r="AJ48" s="11">
        <f>AJ23*Inputs!$F$191*(AJ40-AJ47)/(AJ25-AJ32+AJ40-AJ47+AJ55-AJ62+AJ70-AJ77+AJ85-AJ92+0.000000001)</f>
        <v/>
      </c>
      <c r="AK48" s="11">
        <f>AK23*Inputs!$F$191*(AK40-AK47)/(AK25-AK32+AK40-AK47+AK55-AK62+AK70-AK77+AK85-AK92+0.000000001)</f>
        <v/>
      </c>
      <c r="AL48" s="11">
        <f>AL23*Inputs!$F$191*(AL40-AL47)/(AL25-AL32+AL40-AL47+AL55-AL62+AL70-AL77+AL85-AL92+0.000000001)</f>
        <v/>
      </c>
      <c r="AM48" s="11">
        <f>AM23*Inputs!$F$191*(AM40-AM47)/(AM25-AM32+AM40-AM47+AM55-AM62+AM70-AM77+AM85-AM92+0.000000001)</f>
        <v/>
      </c>
      <c r="AN48" s="11">
        <f>AN23*Inputs!$F$191*(AN40-AN47)/(AN25-AN32+AN40-AN47+AN55-AN62+AN70-AN77+AN85-AN92+0.000000001)</f>
        <v/>
      </c>
      <c r="AO48" s="11">
        <f>AO23*Inputs!$F$191*(AO40-AO47)/(AO25-AO32+AO40-AO47+AO55-AO62+AO70-AO77+AO85-AO92+0.000000001)</f>
        <v/>
      </c>
      <c r="AP48" s="11">
        <f>AP23*Inputs!$F$191*(AP40-AP47)/(AP25-AP32+AP40-AP47+AP55-AP62+AP70-AP77+AP85-AP92+0.000000001)</f>
        <v/>
      </c>
      <c r="AQ48" s="11">
        <f>AQ23*Inputs!$F$191*(AQ40-AQ47)/(AQ25-AQ32+AQ40-AQ47+AQ55-AQ62+AQ70-AQ77+AQ85-AQ92+0.000000001)</f>
        <v/>
      </c>
      <c r="AR48" s="11">
        <f>AR23*Inputs!$F$191*(AR40-AR47)/(AR25-AR32+AR40-AR47+AR55-AR62+AR70-AR77+AR85-AR92+0.000000001)</f>
        <v/>
      </c>
      <c r="AS48" s="11">
        <f>AS23*Inputs!$F$191*(AS40-AS47)/(AS25-AS32+AS40-AS47+AS55-AS62+AS70-AS77+AS85-AS92+0.000000001)</f>
        <v/>
      </c>
      <c r="AT48" s="11">
        <f>AT23*Inputs!$F$191*(AT40-AT47)/(AT25-AT32+AT40-AT47+AT55-AT62+AT70-AT77+AT85-AT92+0.000000001)</f>
        <v/>
      </c>
      <c r="AU48" s="11">
        <f>AU23*Inputs!$F$191*(AU40-AU47)/(AU25-AU32+AU40-AU47+AU55-AU62+AU70-AU77+AU85-AU92+0.000000001)</f>
        <v/>
      </c>
      <c r="AV48" s="11">
        <f>AV23*Inputs!$F$191*(AV40-AV47)/(AV25-AV32+AV40-AV47+AV55-AV62+AV70-AV77+AV85-AV92+0.000000001)</f>
        <v/>
      </c>
      <c r="AW48" s="11">
        <f>AW23*Inputs!$F$191*(AW40-AW47)/(AW25-AW32+AW40-AW47+AW55-AW62+AW70-AW77+AW85-AW92+0.000000001)</f>
        <v/>
      </c>
      <c r="AX48" s="11">
        <f>AX23*Inputs!$F$191*(AX40-AX47)/(AX25-AX32+AX40-AX47+AX55-AX62+AX70-AX77+AX85-AX92+0.000000001)</f>
        <v/>
      </c>
      <c r="AY48" s="11">
        <f>AY23*Inputs!$F$191*(AY40-AY47)/(AY25-AY32+AY40-AY47+AY55-AY62+AY70-AY77+AY85-AY92+0.000000001)</f>
        <v/>
      </c>
      <c r="AZ48" s="11">
        <f>AZ23*Inputs!$F$191*(AZ40-AZ47)/(AZ25-AZ32+AZ40-AZ47+AZ55-AZ62+AZ70-AZ77+AZ85-AZ92+0.000000001)</f>
        <v/>
      </c>
      <c r="BA48" s="11">
        <f>BA23*Inputs!$F$191*(BA40-BA47)/(BA25-BA32+BA40-BA47+BA55-BA62+BA70-BA77+BA85-BA92+0.000000001)</f>
        <v/>
      </c>
      <c r="BB48" s="11">
        <f>BB23*Inputs!$F$191*(BB40-BB47)/(BB25-BB32+BB40-BB47+BB55-BB62+BB70-BB77+BB85-BB92+0.000000001)</f>
        <v/>
      </c>
      <c r="BC48" s="11">
        <f>BC23*Inputs!$F$191*(BC40-BC47)/(BC25-BC32+BC40-BC47+BC55-BC62+BC70-BC77+BC85-BC92+0.000000001)</f>
        <v/>
      </c>
      <c r="BD48" s="11">
        <f>BD23*Inputs!$F$191*(BD40-BD47)/(BD25-BD32+BD40-BD47+BD55-BD62+BD70-BD77+BD85-BD92+0.000000001)</f>
        <v/>
      </c>
      <c r="BE48" s="11">
        <f>BE23*Inputs!$F$191*(BE40-BE47)/(BE25-BE32+BE40-BE47+BE55-BE62+BE70-BE77+BE85-BE92+0.000000001)</f>
        <v/>
      </c>
      <c r="BF48" s="11">
        <f>BF23*Inputs!$F$191*(BF40-BF47)/(BF25-BF32+BF40-BF47+BF55-BF62+BF70-BF77+BF85-BF92+0.000000001)</f>
        <v/>
      </c>
      <c r="BG48" s="11">
        <f>BG23*Inputs!$F$191*(BG40-BG47)/(BG25-BG32+BG40-BG47+BG55-BG62+BG70-BG77+BG85-BG92+0.000000001)</f>
        <v/>
      </c>
      <c r="BH48" s="11">
        <f>BH23*Inputs!$F$191*(BH40-BH47)/(BH25-BH32+BH40-BH47+BH55-BH62+BH70-BH77+BH85-BH92+0.000000001)</f>
        <v/>
      </c>
      <c r="BI48" s="11">
        <f>BI23*Inputs!$F$191*(BI40-BI47)/(BI25-BI32+BI40-BI47+BI55-BI62+BI70-BI77+BI85-BI92+0.000000001)</f>
        <v/>
      </c>
      <c r="BJ48" s="11">
        <f>BJ23*Inputs!$F$191*(BJ40-BJ47)/(BJ25-BJ32+BJ40-BJ47+BJ55-BJ62+BJ70-BJ77+BJ85-BJ92+0.000000001)</f>
        <v/>
      </c>
      <c r="BK48" s="11">
        <f>BK23*Inputs!$F$191*(BK40-BK47)/(BK25-BK32+BK40-BK47+BK55-BK62+BK70-BK77+BK85-BK92+0.000000001)</f>
        <v/>
      </c>
      <c r="BL48" s="11">
        <f>BL23*Inputs!$F$191*(BL40-BL47)/(BL25-BL32+BL40-BL47+BL55-BL62+BL70-BL77+BL85-BL92+0.000000001)</f>
        <v/>
      </c>
      <c r="BM48" s="11">
        <f>BM23*Inputs!$F$191*(BM40-BM47)/(BM25-BM32+BM40-BM47+BM55-BM62+BM70-BM77+BM85-BM92+0.000000001)</f>
        <v/>
      </c>
      <c r="BN48" s="11">
        <f>BN23*Inputs!$F$191*(BN40-BN47)/(BN25-BN32+BN40-BN47+BN55-BN62+BN70-BN77+BN85-BN92+0.000000001)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J21*Inputs!$F$194*J58</f>
        <v/>
      </c>
      <c r="K59" s="11">
        <f>K21*Inputs!$F$194*K58</f>
        <v/>
      </c>
      <c r="L59" s="11">
        <f>L21*Inputs!$F$194*L58</f>
        <v/>
      </c>
      <c r="M59" s="11">
        <f>M21*Inputs!$F$194*M58</f>
        <v/>
      </c>
      <c r="N59" s="11">
        <f>N21*Inputs!$F$194*N58</f>
        <v/>
      </c>
      <c r="O59" s="11">
        <f>O21*Inputs!$F$194*O58</f>
        <v/>
      </c>
      <c r="P59" s="11">
        <f>P21*Inputs!$F$194*P58</f>
        <v/>
      </c>
      <c r="Q59" s="11">
        <f>Q21*Inputs!$F$194*Q58</f>
        <v/>
      </c>
      <c r="R59" s="11">
        <f>R21*Inputs!$F$194*R58</f>
        <v/>
      </c>
      <c r="S59" s="11">
        <f>S21*Inputs!$F$194*S58</f>
        <v/>
      </c>
      <c r="T59" s="11">
        <f>T21*Inputs!$F$194*T58</f>
        <v/>
      </c>
      <c r="U59" s="11">
        <f>U21*Inputs!$F$194*U58</f>
        <v/>
      </c>
      <c r="V59" s="11">
        <f>V21*Inputs!$F$194*V58</f>
        <v/>
      </c>
      <c r="W59" s="11">
        <f>W21*Inputs!$F$194*W58</f>
        <v/>
      </c>
      <c r="X59" s="11">
        <f>X21*Inputs!$F$194*X58</f>
        <v/>
      </c>
      <c r="Y59" s="11">
        <f>Y21*Inputs!$F$194*Y58</f>
        <v/>
      </c>
      <c r="Z59" s="11">
        <f>Z21*Inputs!$F$194*Z58</f>
        <v/>
      </c>
      <c r="AA59" s="11">
        <f>AA21*Inputs!$F$194*AA58</f>
        <v/>
      </c>
      <c r="AB59" s="11">
        <f>AB21*Inputs!$F$194*AB58</f>
        <v/>
      </c>
      <c r="AC59" s="11">
        <f>AC21*Inputs!$F$194*AC58</f>
        <v/>
      </c>
      <c r="AD59" s="11">
        <f>AD21*Inputs!$F$194*AD58</f>
        <v/>
      </c>
      <c r="AE59" s="11">
        <f>AE21*Inputs!$F$194*AE58</f>
        <v/>
      </c>
      <c r="AF59" s="11">
        <f>AF21*Inputs!$F$194*AF58</f>
        <v/>
      </c>
      <c r="AG59" s="11">
        <f>AG21*Inputs!$F$194*AG58</f>
        <v/>
      </c>
      <c r="AH59" s="11">
        <f>AH21*Inputs!$F$194*AH58</f>
        <v/>
      </c>
      <c r="AI59" s="11">
        <f>AI21*Inputs!$F$194*AI58</f>
        <v/>
      </c>
      <c r="AJ59" s="11">
        <f>AJ21*Inputs!$F$194*AJ58</f>
        <v/>
      </c>
      <c r="AK59" s="11">
        <f>AK21*Inputs!$F$194*AK58</f>
        <v/>
      </c>
      <c r="AL59" s="11">
        <f>AL21*Inputs!$F$194*AL58</f>
        <v/>
      </c>
      <c r="AM59" s="11">
        <f>AM21*Inputs!$F$194*AM58</f>
        <v/>
      </c>
      <c r="AN59" s="11">
        <f>AN21*Inputs!$F$194*AN58</f>
        <v/>
      </c>
      <c r="AO59" s="11">
        <f>AO21*Inputs!$F$194*AO58</f>
        <v/>
      </c>
      <c r="AP59" s="11">
        <f>AP21*Inputs!$F$194*AP58</f>
        <v/>
      </c>
      <c r="AQ59" s="11">
        <f>AQ21*Inputs!$F$194*AQ58</f>
        <v/>
      </c>
      <c r="AR59" s="11">
        <f>AR21*Inputs!$F$194*AR58</f>
        <v/>
      </c>
      <c r="AS59" s="11">
        <f>AS21*Inputs!$F$194*AS58</f>
        <v/>
      </c>
      <c r="AT59" s="11">
        <f>AT21*Inputs!$F$194*AT58</f>
        <v/>
      </c>
      <c r="AU59" s="11">
        <f>AU21*Inputs!$F$194*AU58</f>
        <v/>
      </c>
      <c r="AV59" s="11">
        <f>AV21*Inputs!$F$194*AV58</f>
        <v/>
      </c>
      <c r="AW59" s="11">
        <f>AW21*Inputs!$F$194*AW58</f>
        <v/>
      </c>
      <c r="AX59" s="11">
        <f>AX21*Inputs!$F$194*AX58</f>
        <v/>
      </c>
      <c r="AY59" s="11">
        <f>AY21*Inputs!$F$194*AY58</f>
        <v/>
      </c>
      <c r="AZ59" s="11">
        <f>AZ21*Inputs!$F$194*AZ58</f>
        <v/>
      </c>
      <c r="BA59" s="11">
        <f>BA21*Inputs!$F$194*BA58</f>
        <v/>
      </c>
      <c r="BB59" s="11">
        <f>BB21*Inputs!$F$194*BB58</f>
        <v/>
      </c>
      <c r="BC59" s="11">
        <f>BC21*Inputs!$F$194*BC58</f>
        <v/>
      </c>
      <c r="BD59" s="11">
        <f>BD21*Inputs!$F$194*BD58</f>
        <v/>
      </c>
      <c r="BE59" s="11">
        <f>BE21*Inputs!$F$194*BE58</f>
        <v/>
      </c>
      <c r="BF59" s="11">
        <f>BF21*Inputs!$F$194*BF58</f>
        <v/>
      </c>
      <c r="BG59" s="11">
        <f>BG21*Inputs!$F$194*BG58</f>
        <v/>
      </c>
      <c r="BH59" s="11">
        <f>BH21*Inputs!$F$194*BH58</f>
        <v/>
      </c>
      <c r="BI59" s="11">
        <f>BI21*Inputs!$F$194*BI58</f>
        <v/>
      </c>
      <c r="BJ59" s="11">
        <f>BJ21*Inputs!$F$194*BJ58</f>
        <v/>
      </c>
      <c r="BK59" s="11">
        <f>BK21*Inputs!$F$194*BK58</f>
        <v/>
      </c>
      <c r="BL59" s="11">
        <f>BL21*Inputs!$F$194*BL58</f>
        <v/>
      </c>
      <c r="BM59" s="11">
        <f>BM21*Inputs!$F$194*BM58</f>
        <v/>
      </c>
      <c r="BN59" s="11">
        <f>BN21*Inputs!$F$194*BN58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J23*Inputs!$F$191*(J55-J62)/(J25-J32+J40-J47+J55-J62+J70-J77+J85-J92+0.000000001)</f>
        <v/>
      </c>
      <c r="K63" s="11">
        <f>K23*Inputs!$F$191*(K55-K62)/(K25-K32+K40-K47+K55-K62+K70-K77+K85-K92+0.000000001)</f>
        <v/>
      </c>
      <c r="L63" s="11">
        <f>L23*Inputs!$F$191*(L55-L62)/(L25-L32+L40-L47+L55-L62+L70-L77+L85-L92+0.000000001)</f>
        <v/>
      </c>
      <c r="M63" s="11">
        <f>M23*Inputs!$F$191*(M55-M62)/(M25-M32+M40-M47+M55-M62+M70-M77+M85-M92+0.000000001)</f>
        <v/>
      </c>
      <c r="N63" s="11">
        <f>N23*Inputs!$F$191*(N55-N62)/(N25-N32+N40-N47+N55-N62+N70-N77+N85-N92+0.000000001)</f>
        <v/>
      </c>
      <c r="O63" s="11">
        <f>O23*Inputs!$F$191*(O55-O62)/(O25-O32+O40-O47+O55-O62+O70-O77+O85-O92+0.000000001)</f>
        <v/>
      </c>
      <c r="P63" s="11">
        <f>P23*Inputs!$F$191*(P55-P62)/(P25-P32+P40-P47+P55-P62+P70-P77+P85-P92+0.000000001)</f>
        <v/>
      </c>
      <c r="Q63" s="11">
        <f>Q23*Inputs!$F$191*(Q55-Q62)/(Q25-Q32+Q40-Q47+Q55-Q62+Q70-Q77+Q85-Q92+0.000000001)</f>
        <v/>
      </c>
      <c r="R63" s="11">
        <f>R23*Inputs!$F$191*(R55-R62)/(R25-R32+R40-R47+R55-R62+R70-R77+R85-R92+0.000000001)</f>
        <v/>
      </c>
      <c r="S63" s="11">
        <f>S23*Inputs!$F$191*(S55-S62)/(S25-S32+S40-S47+S55-S62+S70-S77+S85-S92+0.000000001)</f>
        <v/>
      </c>
      <c r="T63" s="11">
        <f>T23*Inputs!$F$191*(T55-T62)/(T25-T32+T40-T47+T55-T62+T70-T77+T85-T92+0.000000001)</f>
        <v/>
      </c>
      <c r="U63" s="11">
        <f>U23*Inputs!$F$191*(U55-U62)/(U25-U32+U40-U47+U55-U62+U70-U77+U85-U92+0.000000001)</f>
        <v/>
      </c>
      <c r="V63" s="11">
        <f>V23*Inputs!$F$191*(V55-V62)/(V25-V32+V40-V47+V55-V62+V70-V77+V85-V92+0.000000001)</f>
        <v/>
      </c>
      <c r="W63" s="11">
        <f>W23*Inputs!$F$191*(W55-W62)/(W25-W32+W40-W47+W55-W62+W70-W77+W85-W92+0.000000001)</f>
        <v/>
      </c>
      <c r="X63" s="11">
        <f>X23*Inputs!$F$191*(X55-X62)/(X25-X32+X40-X47+X55-X62+X70-X77+X85-X92+0.000000001)</f>
        <v/>
      </c>
      <c r="Y63" s="11">
        <f>Y23*Inputs!$F$191*(Y55-Y62)/(Y25-Y32+Y40-Y47+Y55-Y62+Y70-Y77+Y85-Y92+0.000000001)</f>
        <v/>
      </c>
      <c r="Z63" s="11">
        <f>Z23*Inputs!$F$191*(Z55-Z62)/(Z25-Z32+Z40-Z47+Z55-Z62+Z70-Z77+Z85-Z92+0.000000001)</f>
        <v/>
      </c>
      <c r="AA63" s="11">
        <f>AA23*Inputs!$F$191*(AA55-AA62)/(AA25-AA32+AA40-AA47+AA55-AA62+AA70-AA77+AA85-AA92+0.000000001)</f>
        <v/>
      </c>
      <c r="AB63" s="11">
        <f>AB23*Inputs!$F$191*(AB55-AB62)/(AB25-AB32+AB40-AB47+AB55-AB62+AB70-AB77+AB85-AB92+0.000000001)</f>
        <v/>
      </c>
      <c r="AC63" s="11">
        <f>AC23*Inputs!$F$191*(AC55-AC62)/(AC25-AC32+AC40-AC47+AC55-AC62+AC70-AC77+AC85-AC92+0.000000001)</f>
        <v/>
      </c>
      <c r="AD63" s="11">
        <f>AD23*Inputs!$F$191*(AD55-AD62)/(AD25-AD32+AD40-AD47+AD55-AD62+AD70-AD77+AD85-AD92+0.000000001)</f>
        <v/>
      </c>
      <c r="AE63" s="11">
        <f>AE23*Inputs!$F$191*(AE55-AE62)/(AE25-AE32+AE40-AE47+AE55-AE62+AE70-AE77+AE85-AE92+0.000000001)</f>
        <v/>
      </c>
      <c r="AF63" s="11">
        <f>AF23*Inputs!$F$191*(AF55-AF62)/(AF25-AF32+AF40-AF47+AF55-AF62+AF70-AF77+AF85-AF92+0.000000001)</f>
        <v/>
      </c>
      <c r="AG63" s="11">
        <f>AG23*Inputs!$F$191*(AG55-AG62)/(AG25-AG32+AG40-AG47+AG55-AG62+AG70-AG77+AG85-AG92+0.000000001)</f>
        <v/>
      </c>
      <c r="AH63" s="11">
        <f>AH23*Inputs!$F$191*(AH55-AH62)/(AH25-AH32+AH40-AH47+AH55-AH62+AH70-AH77+AH85-AH92+0.000000001)</f>
        <v/>
      </c>
      <c r="AI63" s="11">
        <f>AI23*Inputs!$F$191*(AI55-AI62)/(AI25-AI32+AI40-AI47+AI55-AI62+AI70-AI77+AI85-AI92+0.000000001)</f>
        <v/>
      </c>
      <c r="AJ63" s="11">
        <f>AJ23*Inputs!$F$191*(AJ55-AJ62)/(AJ25-AJ32+AJ40-AJ47+AJ55-AJ62+AJ70-AJ77+AJ85-AJ92+0.000000001)</f>
        <v/>
      </c>
      <c r="AK63" s="11">
        <f>AK23*Inputs!$F$191*(AK55-AK62)/(AK25-AK32+AK40-AK47+AK55-AK62+AK70-AK77+AK85-AK92+0.000000001)</f>
        <v/>
      </c>
      <c r="AL63" s="11">
        <f>AL23*Inputs!$F$191*(AL55-AL62)/(AL25-AL32+AL40-AL47+AL55-AL62+AL70-AL77+AL85-AL92+0.000000001)</f>
        <v/>
      </c>
      <c r="AM63" s="11">
        <f>AM23*Inputs!$F$191*(AM55-AM62)/(AM25-AM32+AM40-AM47+AM55-AM62+AM70-AM77+AM85-AM92+0.000000001)</f>
        <v/>
      </c>
      <c r="AN63" s="11">
        <f>AN23*Inputs!$F$191*(AN55-AN62)/(AN25-AN32+AN40-AN47+AN55-AN62+AN70-AN77+AN85-AN92+0.000000001)</f>
        <v/>
      </c>
      <c r="AO63" s="11">
        <f>AO23*Inputs!$F$191*(AO55-AO62)/(AO25-AO32+AO40-AO47+AO55-AO62+AO70-AO77+AO85-AO92+0.000000001)</f>
        <v/>
      </c>
      <c r="AP63" s="11">
        <f>AP23*Inputs!$F$191*(AP55-AP62)/(AP25-AP32+AP40-AP47+AP55-AP62+AP70-AP77+AP85-AP92+0.000000001)</f>
        <v/>
      </c>
      <c r="AQ63" s="11">
        <f>AQ23*Inputs!$F$191*(AQ55-AQ62)/(AQ25-AQ32+AQ40-AQ47+AQ55-AQ62+AQ70-AQ77+AQ85-AQ92+0.000000001)</f>
        <v/>
      </c>
      <c r="AR63" s="11">
        <f>AR23*Inputs!$F$191*(AR55-AR62)/(AR25-AR32+AR40-AR47+AR55-AR62+AR70-AR77+AR85-AR92+0.000000001)</f>
        <v/>
      </c>
      <c r="AS63" s="11">
        <f>AS23*Inputs!$F$191*(AS55-AS62)/(AS25-AS32+AS40-AS47+AS55-AS62+AS70-AS77+AS85-AS92+0.000000001)</f>
        <v/>
      </c>
      <c r="AT63" s="11">
        <f>AT23*Inputs!$F$191*(AT55-AT62)/(AT25-AT32+AT40-AT47+AT55-AT62+AT70-AT77+AT85-AT92+0.000000001)</f>
        <v/>
      </c>
      <c r="AU63" s="11">
        <f>AU23*Inputs!$F$191*(AU55-AU62)/(AU25-AU32+AU40-AU47+AU55-AU62+AU70-AU77+AU85-AU92+0.000000001)</f>
        <v/>
      </c>
      <c r="AV63" s="11">
        <f>AV23*Inputs!$F$191*(AV55-AV62)/(AV25-AV32+AV40-AV47+AV55-AV62+AV70-AV77+AV85-AV92+0.000000001)</f>
        <v/>
      </c>
      <c r="AW63" s="11">
        <f>AW23*Inputs!$F$191*(AW55-AW62)/(AW25-AW32+AW40-AW47+AW55-AW62+AW70-AW77+AW85-AW92+0.000000001)</f>
        <v/>
      </c>
      <c r="AX63" s="11">
        <f>AX23*Inputs!$F$191*(AX55-AX62)/(AX25-AX32+AX40-AX47+AX55-AX62+AX70-AX77+AX85-AX92+0.000000001)</f>
        <v/>
      </c>
      <c r="AY63" s="11">
        <f>AY23*Inputs!$F$191*(AY55-AY62)/(AY25-AY32+AY40-AY47+AY55-AY62+AY70-AY77+AY85-AY92+0.000000001)</f>
        <v/>
      </c>
      <c r="AZ63" s="11">
        <f>AZ23*Inputs!$F$191*(AZ55-AZ62)/(AZ25-AZ32+AZ40-AZ47+AZ55-AZ62+AZ70-AZ77+AZ85-AZ92+0.000000001)</f>
        <v/>
      </c>
      <c r="BA63" s="11">
        <f>BA23*Inputs!$F$191*(BA55-BA62)/(BA25-BA32+BA40-BA47+BA55-BA62+BA70-BA77+BA85-BA92+0.000000001)</f>
        <v/>
      </c>
      <c r="BB63" s="11">
        <f>BB23*Inputs!$F$191*(BB55-BB62)/(BB25-BB32+BB40-BB47+BB55-BB62+BB70-BB77+BB85-BB92+0.000000001)</f>
        <v/>
      </c>
      <c r="BC63" s="11">
        <f>BC23*Inputs!$F$191*(BC55-BC62)/(BC25-BC32+BC40-BC47+BC55-BC62+BC70-BC77+BC85-BC92+0.000000001)</f>
        <v/>
      </c>
      <c r="BD63" s="11">
        <f>BD23*Inputs!$F$191*(BD55-BD62)/(BD25-BD32+BD40-BD47+BD55-BD62+BD70-BD77+BD85-BD92+0.000000001)</f>
        <v/>
      </c>
      <c r="BE63" s="11">
        <f>BE23*Inputs!$F$191*(BE55-BE62)/(BE25-BE32+BE40-BE47+BE55-BE62+BE70-BE77+BE85-BE92+0.000000001)</f>
        <v/>
      </c>
      <c r="BF63" s="11">
        <f>BF23*Inputs!$F$191*(BF55-BF62)/(BF25-BF32+BF40-BF47+BF55-BF62+BF70-BF77+BF85-BF92+0.000000001)</f>
        <v/>
      </c>
      <c r="BG63" s="11">
        <f>BG23*Inputs!$F$191*(BG55-BG62)/(BG25-BG32+BG40-BG47+BG55-BG62+BG70-BG77+BG85-BG92+0.000000001)</f>
        <v/>
      </c>
      <c r="BH63" s="11">
        <f>BH23*Inputs!$F$191*(BH55-BH62)/(BH25-BH32+BH40-BH47+BH55-BH62+BH70-BH77+BH85-BH92+0.000000001)</f>
        <v/>
      </c>
      <c r="BI63" s="11">
        <f>BI23*Inputs!$F$191*(BI55-BI62)/(BI25-BI32+BI40-BI47+BI55-BI62+BI70-BI77+BI85-BI92+0.000000001)</f>
        <v/>
      </c>
      <c r="BJ63" s="11">
        <f>BJ23*Inputs!$F$191*(BJ55-BJ62)/(BJ25-BJ32+BJ40-BJ47+BJ55-BJ62+BJ70-BJ77+BJ85-BJ92+0.000000001)</f>
        <v/>
      </c>
      <c r="BK63" s="11">
        <f>BK23*Inputs!$F$191*(BK55-BK62)/(BK25-BK32+BK40-BK47+BK55-BK62+BK70-BK77+BK85-BK92+0.000000001)</f>
        <v/>
      </c>
      <c r="BL63" s="11">
        <f>BL23*Inputs!$F$191*(BL55-BL62)/(BL25-BL32+BL40-BL47+BL55-BL62+BL70-BL77+BL85-BL92+0.000000001)</f>
        <v/>
      </c>
      <c r="BM63" s="11">
        <f>BM23*Inputs!$F$191*(BM55-BM62)/(BM25-BM32+BM40-BM47+BM55-BM62+BM70-BM77+BM85-BM92+0.000000001)</f>
        <v/>
      </c>
      <c r="BN63" s="11">
        <f>BN23*Inputs!$F$191*(BN55-BN62)/(BN25-BN32+BN40-BN47+BN55-BN62+BN70-BN77+BN85-BN92+0.000000001)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J21*Inputs!$F$194*J73</f>
        <v/>
      </c>
      <c r="K74" s="11">
        <f>K21*Inputs!$F$194*K73</f>
        <v/>
      </c>
      <c r="L74" s="11">
        <f>L21*Inputs!$F$194*L73</f>
        <v/>
      </c>
      <c r="M74" s="11">
        <f>M21*Inputs!$F$194*M73</f>
        <v/>
      </c>
      <c r="N74" s="11">
        <f>N21*Inputs!$F$194*N73</f>
        <v/>
      </c>
      <c r="O74" s="11">
        <f>O21*Inputs!$F$194*O73</f>
        <v/>
      </c>
      <c r="P74" s="11">
        <f>P21*Inputs!$F$194*P73</f>
        <v/>
      </c>
      <c r="Q74" s="11">
        <f>Q21*Inputs!$F$194*Q73</f>
        <v/>
      </c>
      <c r="R74" s="11">
        <f>R21*Inputs!$F$194*R73</f>
        <v/>
      </c>
      <c r="S74" s="11">
        <f>S21*Inputs!$F$194*S73</f>
        <v/>
      </c>
      <c r="T74" s="11">
        <f>T21*Inputs!$F$194*T73</f>
        <v/>
      </c>
      <c r="U74" s="11">
        <f>U21*Inputs!$F$194*U73</f>
        <v/>
      </c>
      <c r="V74" s="11">
        <f>V21*Inputs!$F$194*V73</f>
        <v/>
      </c>
      <c r="W74" s="11">
        <f>W21*Inputs!$F$194*W73</f>
        <v/>
      </c>
      <c r="X74" s="11">
        <f>X21*Inputs!$F$194*X73</f>
        <v/>
      </c>
      <c r="Y74" s="11">
        <f>Y21*Inputs!$F$194*Y73</f>
        <v/>
      </c>
      <c r="Z74" s="11">
        <f>Z21*Inputs!$F$194*Z73</f>
        <v/>
      </c>
      <c r="AA74" s="11">
        <f>AA21*Inputs!$F$194*AA73</f>
        <v/>
      </c>
      <c r="AB74" s="11">
        <f>AB21*Inputs!$F$194*AB73</f>
        <v/>
      </c>
      <c r="AC74" s="11">
        <f>AC21*Inputs!$F$194*AC73</f>
        <v/>
      </c>
      <c r="AD74" s="11">
        <f>AD21*Inputs!$F$194*AD73</f>
        <v/>
      </c>
      <c r="AE74" s="11">
        <f>AE21*Inputs!$F$194*AE73</f>
        <v/>
      </c>
      <c r="AF74" s="11">
        <f>AF21*Inputs!$F$194*AF73</f>
        <v/>
      </c>
      <c r="AG74" s="11">
        <f>AG21*Inputs!$F$194*AG73</f>
        <v/>
      </c>
      <c r="AH74" s="11">
        <f>AH21*Inputs!$F$194*AH73</f>
        <v/>
      </c>
      <c r="AI74" s="11">
        <f>AI21*Inputs!$F$194*AI73</f>
        <v/>
      </c>
      <c r="AJ74" s="11">
        <f>AJ21*Inputs!$F$194*AJ73</f>
        <v/>
      </c>
      <c r="AK74" s="11">
        <f>AK21*Inputs!$F$194*AK73</f>
        <v/>
      </c>
      <c r="AL74" s="11">
        <f>AL21*Inputs!$F$194*AL73</f>
        <v/>
      </c>
      <c r="AM74" s="11">
        <f>AM21*Inputs!$F$194*AM73</f>
        <v/>
      </c>
      <c r="AN74" s="11">
        <f>AN21*Inputs!$F$194*AN73</f>
        <v/>
      </c>
      <c r="AO74" s="11">
        <f>AO21*Inputs!$F$194*AO73</f>
        <v/>
      </c>
      <c r="AP74" s="11">
        <f>AP21*Inputs!$F$194*AP73</f>
        <v/>
      </c>
      <c r="AQ74" s="11">
        <f>AQ21*Inputs!$F$194*AQ73</f>
        <v/>
      </c>
      <c r="AR74" s="11">
        <f>AR21*Inputs!$F$194*AR73</f>
        <v/>
      </c>
      <c r="AS74" s="11">
        <f>AS21*Inputs!$F$194*AS73</f>
        <v/>
      </c>
      <c r="AT74" s="11">
        <f>AT21*Inputs!$F$194*AT73</f>
        <v/>
      </c>
      <c r="AU74" s="11">
        <f>AU21*Inputs!$F$194*AU73</f>
        <v/>
      </c>
      <c r="AV74" s="11">
        <f>AV21*Inputs!$F$194*AV73</f>
        <v/>
      </c>
      <c r="AW74" s="11">
        <f>AW21*Inputs!$F$194*AW73</f>
        <v/>
      </c>
      <c r="AX74" s="11">
        <f>AX21*Inputs!$F$194*AX73</f>
        <v/>
      </c>
      <c r="AY74" s="11">
        <f>AY21*Inputs!$F$194*AY73</f>
        <v/>
      </c>
      <c r="AZ74" s="11">
        <f>AZ21*Inputs!$F$194*AZ73</f>
        <v/>
      </c>
      <c r="BA74" s="11">
        <f>BA21*Inputs!$F$194*BA73</f>
        <v/>
      </c>
      <c r="BB74" s="11">
        <f>BB21*Inputs!$F$194*BB73</f>
        <v/>
      </c>
      <c r="BC74" s="11">
        <f>BC21*Inputs!$F$194*BC73</f>
        <v/>
      </c>
      <c r="BD74" s="11">
        <f>BD21*Inputs!$F$194*BD73</f>
        <v/>
      </c>
      <c r="BE74" s="11">
        <f>BE21*Inputs!$F$194*BE73</f>
        <v/>
      </c>
      <c r="BF74" s="11">
        <f>BF21*Inputs!$F$194*BF73</f>
        <v/>
      </c>
      <c r="BG74" s="11">
        <f>BG21*Inputs!$F$194*BG73</f>
        <v/>
      </c>
      <c r="BH74" s="11">
        <f>BH21*Inputs!$F$194*BH73</f>
        <v/>
      </c>
      <c r="BI74" s="11">
        <f>BI21*Inputs!$F$194*BI73</f>
        <v/>
      </c>
      <c r="BJ74" s="11">
        <f>BJ21*Inputs!$F$194*BJ73</f>
        <v/>
      </c>
      <c r="BK74" s="11">
        <f>BK21*Inputs!$F$194*BK73</f>
        <v/>
      </c>
      <c r="BL74" s="11">
        <f>BL21*Inputs!$F$194*BL73</f>
        <v/>
      </c>
      <c r="BM74" s="11">
        <f>BM21*Inputs!$F$194*BM73</f>
        <v/>
      </c>
      <c r="BN74" s="11">
        <f>BN21*Inputs!$F$194*BN73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J23*Inputs!$F$191*(J70-J77)/(J25-J32+J40-J47+J55-J62+J70-J77+J85-J92+0.000000001)</f>
        <v/>
      </c>
      <c r="K78" s="11">
        <f>K23*Inputs!$F$191*(K70-K77)/(K25-K32+K40-K47+K55-K62+K70-K77+K85-K92+0.000000001)</f>
        <v/>
      </c>
      <c r="L78" s="11">
        <f>L23*Inputs!$F$191*(L70-L77)/(L25-L32+L40-L47+L55-L62+L70-L77+L85-L92+0.000000001)</f>
        <v/>
      </c>
      <c r="M78" s="11">
        <f>M23*Inputs!$F$191*(M70-M77)/(M25-M32+M40-M47+M55-M62+M70-M77+M85-M92+0.000000001)</f>
        <v/>
      </c>
      <c r="N78" s="11">
        <f>N23*Inputs!$F$191*(N70-N77)/(N25-N32+N40-N47+N55-N62+N70-N77+N85-N92+0.000000001)</f>
        <v/>
      </c>
      <c r="O78" s="11">
        <f>O23*Inputs!$F$191*(O70-O77)/(O25-O32+O40-O47+O55-O62+O70-O77+O85-O92+0.000000001)</f>
        <v/>
      </c>
      <c r="P78" s="11">
        <f>P23*Inputs!$F$191*(P70-P77)/(P25-P32+P40-P47+P55-P62+P70-P77+P85-P92+0.000000001)</f>
        <v/>
      </c>
      <c r="Q78" s="11">
        <f>Q23*Inputs!$F$191*(Q70-Q77)/(Q25-Q32+Q40-Q47+Q55-Q62+Q70-Q77+Q85-Q92+0.000000001)</f>
        <v/>
      </c>
      <c r="R78" s="11">
        <f>R23*Inputs!$F$191*(R70-R77)/(R25-R32+R40-R47+R55-R62+R70-R77+R85-R92+0.000000001)</f>
        <v/>
      </c>
      <c r="S78" s="11">
        <f>S23*Inputs!$F$191*(S70-S77)/(S25-S32+S40-S47+S55-S62+S70-S77+S85-S92+0.000000001)</f>
        <v/>
      </c>
      <c r="T78" s="11">
        <f>T23*Inputs!$F$191*(T70-T77)/(T25-T32+T40-T47+T55-T62+T70-T77+T85-T92+0.000000001)</f>
        <v/>
      </c>
      <c r="U78" s="11">
        <f>U23*Inputs!$F$191*(U70-U77)/(U25-U32+U40-U47+U55-U62+U70-U77+U85-U92+0.000000001)</f>
        <v/>
      </c>
      <c r="V78" s="11">
        <f>V23*Inputs!$F$191*(V70-V77)/(V25-V32+V40-V47+V55-V62+V70-V77+V85-V92+0.000000001)</f>
        <v/>
      </c>
      <c r="W78" s="11">
        <f>W23*Inputs!$F$191*(W70-W77)/(W25-W32+W40-W47+W55-W62+W70-W77+W85-W92+0.000000001)</f>
        <v/>
      </c>
      <c r="X78" s="11">
        <f>X23*Inputs!$F$191*(X70-X77)/(X25-X32+X40-X47+X55-X62+X70-X77+X85-X92+0.000000001)</f>
        <v/>
      </c>
      <c r="Y78" s="11">
        <f>Y23*Inputs!$F$191*(Y70-Y77)/(Y25-Y32+Y40-Y47+Y55-Y62+Y70-Y77+Y85-Y92+0.000000001)</f>
        <v/>
      </c>
      <c r="Z78" s="11">
        <f>Z23*Inputs!$F$191*(Z70-Z77)/(Z25-Z32+Z40-Z47+Z55-Z62+Z70-Z77+Z85-Z92+0.000000001)</f>
        <v/>
      </c>
      <c r="AA78" s="11">
        <f>AA23*Inputs!$F$191*(AA70-AA77)/(AA25-AA32+AA40-AA47+AA55-AA62+AA70-AA77+AA85-AA92+0.000000001)</f>
        <v/>
      </c>
      <c r="AB78" s="11">
        <f>AB23*Inputs!$F$191*(AB70-AB77)/(AB25-AB32+AB40-AB47+AB55-AB62+AB70-AB77+AB85-AB92+0.000000001)</f>
        <v/>
      </c>
      <c r="AC78" s="11">
        <f>AC23*Inputs!$F$191*(AC70-AC77)/(AC25-AC32+AC40-AC47+AC55-AC62+AC70-AC77+AC85-AC92+0.000000001)</f>
        <v/>
      </c>
      <c r="AD78" s="11">
        <f>AD23*Inputs!$F$191*(AD70-AD77)/(AD25-AD32+AD40-AD47+AD55-AD62+AD70-AD77+AD85-AD92+0.000000001)</f>
        <v/>
      </c>
      <c r="AE78" s="11">
        <f>AE23*Inputs!$F$191*(AE70-AE77)/(AE25-AE32+AE40-AE47+AE55-AE62+AE70-AE77+AE85-AE92+0.000000001)</f>
        <v/>
      </c>
      <c r="AF78" s="11">
        <f>AF23*Inputs!$F$191*(AF70-AF77)/(AF25-AF32+AF40-AF47+AF55-AF62+AF70-AF77+AF85-AF92+0.000000001)</f>
        <v/>
      </c>
      <c r="AG78" s="11">
        <f>AG23*Inputs!$F$191*(AG70-AG77)/(AG25-AG32+AG40-AG47+AG55-AG62+AG70-AG77+AG85-AG92+0.000000001)</f>
        <v/>
      </c>
      <c r="AH78" s="11">
        <f>AH23*Inputs!$F$191*(AH70-AH77)/(AH25-AH32+AH40-AH47+AH55-AH62+AH70-AH77+AH85-AH92+0.000000001)</f>
        <v/>
      </c>
      <c r="AI78" s="11">
        <f>AI23*Inputs!$F$191*(AI70-AI77)/(AI25-AI32+AI40-AI47+AI55-AI62+AI70-AI77+AI85-AI92+0.000000001)</f>
        <v/>
      </c>
      <c r="AJ78" s="11">
        <f>AJ23*Inputs!$F$191*(AJ70-AJ77)/(AJ25-AJ32+AJ40-AJ47+AJ55-AJ62+AJ70-AJ77+AJ85-AJ92+0.000000001)</f>
        <v/>
      </c>
      <c r="AK78" s="11">
        <f>AK23*Inputs!$F$191*(AK70-AK77)/(AK25-AK32+AK40-AK47+AK55-AK62+AK70-AK77+AK85-AK92+0.000000001)</f>
        <v/>
      </c>
      <c r="AL78" s="11">
        <f>AL23*Inputs!$F$191*(AL70-AL77)/(AL25-AL32+AL40-AL47+AL55-AL62+AL70-AL77+AL85-AL92+0.000000001)</f>
        <v/>
      </c>
      <c r="AM78" s="11">
        <f>AM23*Inputs!$F$191*(AM70-AM77)/(AM25-AM32+AM40-AM47+AM55-AM62+AM70-AM77+AM85-AM92+0.000000001)</f>
        <v/>
      </c>
      <c r="AN78" s="11">
        <f>AN23*Inputs!$F$191*(AN70-AN77)/(AN25-AN32+AN40-AN47+AN55-AN62+AN70-AN77+AN85-AN92+0.000000001)</f>
        <v/>
      </c>
      <c r="AO78" s="11">
        <f>AO23*Inputs!$F$191*(AO70-AO77)/(AO25-AO32+AO40-AO47+AO55-AO62+AO70-AO77+AO85-AO92+0.000000001)</f>
        <v/>
      </c>
      <c r="AP78" s="11">
        <f>AP23*Inputs!$F$191*(AP70-AP77)/(AP25-AP32+AP40-AP47+AP55-AP62+AP70-AP77+AP85-AP92+0.000000001)</f>
        <v/>
      </c>
      <c r="AQ78" s="11">
        <f>AQ23*Inputs!$F$191*(AQ70-AQ77)/(AQ25-AQ32+AQ40-AQ47+AQ55-AQ62+AQ70-AQ77+AQ85-AQ92+0.000000001)</f>
        <v/>
      </c>
      <c r="AR78" s="11">
        <f>AR23*Inputs!$F$191*(AR70-AR77)/(AR25-AR32+AR40-AR47+AR55-AR62+AR70-AR77+AR85-AR92+0.000000001)</f>
        <v/>
      </c>
      <c r="AS78" s="11">
        <f>AS23*Inputs!$F$191*(AS70-AS77)/(AS25-AS32+AS40-AS47+AS55-AS62+AS70-AS77+AS85-AS92+0.000000001)</f>
        <v/>
      </c>
      <c r="AT78" s="11">
        <f>AT23*Inputs!$F$191*(AT70-AT77)/(AT25-AT32+AT40-AT47+AT55-AT62+AT70-AT77+AT85-AT92+0.000000001)</f>
        <v/>
      </c>
      <c r="AU78" s="11">
        <f>AU23*Inputs!$F$191*(AU70-AU77)/(AU25-AU32+AU40-AU47+AU55-AU62+AU70-AU77+AU85-AU92+0.000000001)</f>
        <v/>
      </c>
      <c r="AV78" s="11">
        <f>AV23*Inputs!$F$191*(AV70-AV77)/(AV25-AV32+AV40-AV47+AV55-AV62+AV70-AV77+AV85-AV92+0.000000001)</f>
        <v/>
      </c>
      <c r="AW78" s="11">
        <f>AW23*Inputs!$F$191*(AW70-AW77)/(AW25-AW32+AW40-AW47+AW55-AW62+AW70-AW77+AW85-AW92+0.000000001)</f>
        <v/>
      </c>
      <c r="AX78" s="11">
        <f>AX23*Inputs!$F$191*(AX70-AX77)/(AX25-AX32+AX40-AX47+AX55-AX62+AX70-AX77+AX85-AX92+0.000000001)</f>
        <v/>
      </c>
      <c r="AY78" s="11">
        <f>AY23*Inputs!$F$191*(AY70-AY77)/(AY25-AY32+AY40-AY47+AY55-AY62+AY70-AY77+AY85-AY92+0.000000001)</f>
        <v/>
      </c>
      <c r="AZ78" s="11">
        <f>AZ23*Inputs!$F$191*(AZ70-AZ77)/(AZ25-AZ32+AZ40-AZ47+AZ55-AZ62+AZ70-AZ77+AZ85-AZ92+0.000000001)</f>
        <v/>
      </c>
      <c r="BA78" s="11">
        <f>BA23*Inputs!$F$191*(BA70-BA77)/(BA25-BA32+BA40-BA47+BA55-BA62+BA70-BA77+BA85-BA92+0.000000001)</f>
        <v/>
      </c>
      <c r="BB78" s="11">
        <f>BB23*Inputs!$F$191*(BB70-BB77)/(BB25-BB32+BB40-BB47+BB55-BB62+BB70-BB77+BB85-BB92+0.000000001)</f>
        <v/>
      </c>
      <c r="BC78" s="11">
        <f>BC23*Inputs!$F$191*(BC70-BC77)/(BC25-BC32+BC40-BC47+BC55-BC62+BC70-BC77+BC85-BC92+0.000000001)</f>
        <v/>
      </c>
      <c r="BD78" s="11">
        <f>BD23*Inputs!$F$191*(BD70-BD77)/(BD25-BD32+BD40-BD47+BD55-BD62+BD70-BD77+BD85-BD92+0.000000001)</f>
        <v/>
      </c>
      <c r="BE78" s="11">
        <f>BE23*Inputs!$F$191*(BE70-BE77)/(BE25-BE32+BE40-BE47+BE55-BE62+BE70-BE77+BE85-BE92+0.000000001)</f>
        <v/>
      </c>
      <c r="BF78" s="11">
        <f>BF23*Inputs!$F$191*(BF70-BF77)/(BF25-BF32+BF40-BF47+BF55-BF62+BF70-BF77+BF85-BF92+0.000000001)</f>
        <v/>
      </c>
      <c r="BG78" s="11">
        <f>BG23*Inputs!$F$191*(BG70-BG77)/(BG25-BG32+BG40-BG47+BG55-BG62+BG70-BG77+BG85-BG92+0.000000001)</f>
        <v/>
      </c>
      <c r="BH78" s="11">
        <f>BH23*Inputs!$F$191*(BH70-BH77)/(BH25-BH32+BH40-BH47+BH55-BH62+BH70-BH77+BH85-BH92+0.000000001)</f>
        <v/>
      </c>
      <c r="BI78" s="11">
        <f>BI23*Inputs!$F$191*(BI70-BI77)/(BI25-BI32+BI40-BI47+BI55-BI62+BI70-BI77+BI85-BI92+0.000000001)</f>
        <v/>
      </c>
      <c r="BJ78" s="11">
        <f>BJ23*Inputs!$F$191*(BJ70-BJ77)/(BJ25-BJ32+BJ40-BJ47+BJ55-BJ62+BJ70-BJ77+BJ85-BJ92+0.000000001)</f>
        <v/>
      </c>
      <c r="BK78" s="11">
        <f>BK23*Inputs!$F$191*(BK70-BK77)/(BK25-BK32+BK40-BK47+BK55-BK62+BK70-BK77+BK85-BK92+0.000000001)</f>
        <v/>
      </c>
      <c r="BL78" s="11">
        <f>BL23*Inputs!$F$191*(BL70-BL77)/(BL25-BL32+BL40-BL47+BL55-BL62+BL70-BL77+BL85-BL92+0.000000001)</f>
        <v/>
      </c>
      <c r="BM78" s="11">
        <f>BM23*Inputs!$F$191*(BM70-BM77)/(BM25-BM32+BM40-BM47+BM55-BM62+BM70-BM77+BM85-BM92+0.000000001)</f>
        <v/>
      </c>
      <c r="BN78" s="11">
        <f>BN23*Inputs!$F$191*(BN70-BN77)/(BN25-BN32+BN40-BN47+BN55-BN62+BN70-BN77+BN85-BN92+0.000000001)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J21*Inputs!$F$194*J88</f>
        <v/>
      </c>
      <c r="K89" s="11">
        <f>K21*Inputs!$F$194*K88</f>
        <v/>
      </c>
      <c r="L89" s="11">
        <f>L21*Inputs!$F$194*L88</f>
        <v/>
      </c>
      <c r="M89" s="11">
        <f>M21*Inputs!$F$194*M88</f>
        <v/>
      </c>
      <c r="N89" s="11">
        <f>N21*Inputs!$F$194*N88</f>
        <v/>
      </c>
      <c r="O89" s="11">
        <f>O21*Inputs!$F$194*O88</f>
        <v/>
      </c>
      <c r="P89" s="11">
        <f>P21*Inputs!$F$194*P88</f>
        <v/>
      </c>
      <c r="Q89" s="11">
        <f>Q21*Inputs!$F$194*Q88</f>
        <v/>
      </c>
      <c r="R89" s="11">
        <f>R21*Inputs!$F$194*R88</f>
        <v/>
      </c>
      <c r="S89" s="11">
        <f>S21*Inputs!$F$194*S88</f>
        <v/>
      </c>
      <c r="T89" s="11">
        <f>T21*Inputs!$F$194*T88</f>
        <v/>
      </c>
      <c r="U89" s="11">
        <f>U21*Inputs!$F$194*U88</f>
        <v/>
      </c>
      <c r="V89" s="11">
        <f>V21*Inputs!$F$194*V88</f>
        <v/>
      </c>
      <c r="W89" s="11">
        <f>W21*Inputs!$F$194*W88</f>
        <v/>
      </c>
      <c r="X89" s="11">
        <f>X21*Inputs!$F$194*X88</f>
        <v/>
      </c>
      <c r="Y89" s="11">
        <f>Y21*Inputs!$F$194*Y88</f>
        <v/>
      </c>
      <c r="Z89" s="11">
        <f>Z21*Inputs!$F$194*Z88</f>
        <v/>
      </c>
      <c r="AA89" s="11">
        <f>AA21*Inputs!$F$194*AA88</f>
        <v/>
      </c>
      <c r="AB89" s="11">
        <f>AB21*Inputs!$F$194*AB88</f>
        <v/>
      </c>
      <c r="AC89" s="11">
        <f>AC21*Inputs!$F$194*AC88</f>
        <v/>
      </c>
      <c r="AD89" s="11">
        <f>AD21*Inputs!$F$194*AD88</f>
        <v/>
      </c>
      <c r="AE89" s="11">
        <f>AE21*Inputs!$F$194*AE88</f>
        <v/>
      </c>
      <c r="AF89" s="11">
        <f>AF21*Inputs!$F$194*AF88</f>
        <v/>
      </c>
      <c r="AG89" s="11">
        <f>AG21*Inputs!$F$194*AG88</f>
        <v/>
      </c>
      <c r="AH89" s="11">
        <f>AH21*Inputs!$F$194*AH88</f>
        <v/>
      </c>
      <c r="AI89" s="11">
        <f>AI21*Inputs!$F$194*AI88</f>
        <v/>
      </c>
      <c r="AJ89" s="11">
        <f>AJ21*Inputs!$F$194*AJ88</f>
        <v/>
      </c>
      <c r="AK89" s="11">
        <f>AK21*Inputs!$F$194*AK88</f>
        <v/>
      </c>
      <c r="AL89" s="11">
        <f>AL21*Inputs!$F$194*AL88</f>
        <v/>
      </c>
      <c r="AM89" s="11">
        <f>AM21*Inputs!$F$194*AM88</f>
        <v/>
      </c>
      <c r="AN89" s="11">
        <f>AN21*Inputs!$F$194*AN88</f>
        <v/>
      </c>
      <c r="AO89" s="11">
        <f>AO21*Inputs!$F$194*AO88</f>
        <v/>
      </c>
      <c r="AP89" s="11">
        <f>AP21*Inputs!$F$194*AP88</f>
        <v/>
      </c>
      <c r="AQ89" s="11">
        <f>AQ21*Inputs!$F$194*AQ88</f>
        <v/>
      </c>
      <c r="AR89" s="11">
        <f>AR21*Inputs!$F$194*AR88</f>
        <v/>
      </c>
      <c r="AS89" s="11">
        <f>AS21*Inputs!$F$194*AS88</f>
        <v/>
      </c>
      <c r="AT89" s="11">
        <f>AT21*Inputs!$F$194*AT88</f>
        <v/>
      </c>
      <c r="AU89" s="11">
        <f>AU21*Inputs!$F$194*AU88</f>
        <v/>
      </c>
      <c r="AV89" s="11">
        <f>AV21*Inputs!$F$194*AV88</f>
        <v/>
      </c>
      <c r="AW89" s="11">
        <f>AW21*Inputs!$F$194*AW88</f>
        <v/>
      </c>
      <c r="AX89" s="11">
        <f>AX21*Inputs!$F$194*AX88</f>
        <v/>
      </c>
      <c r="AY89" s="11">
        <f>AY21*Inputs!$F$194*AY88</f>
        <v/>
      </c>
      <c r="AZ89" s="11">
        <f>AZ21*Inputs!$F$194*AZ88</f>
        <v/>
      </c>
      <c r="BA89" s="11">
        <f>BA21*Inputs!$F$194*BA88</f>
        <v/>
      </c>
      <c r="BB89" s="11">
        <f>BB21*Inputs!$F$194*BB88</f>
        <v/>
      </c>
      <c r="BC89" s="11">
        <f>BC21*Inputs!$F$194*BC88</f>
        <v/>
      </c>
      <c r="BD89" s="11">
        <f>BD21*Inputs!$F$194*BD88</f>
        <v/>
      </c>
      <c r="BE89" s="11">
        <f>BE21*Inputs!$F$194*BE88</f>
        <v/>
      </c>
      <c r="BF89" s="11">
        <f>BF21*Inputs!$F$194*BF88</f>
        <v/>
      </c>
      <c r="BG89" s="11">
        <f>BG21*Inputs!$F$194*BG88</f>
        <v/>
      </c>
      <c r="BH89" s="11">
        <f>BH21*Inputs!$F$194*BH88</f>
        <v/>
      </c>
      <c r="BI89" s="11">
        <f>BI21*Inputs!$F$194*BI88</f>
        <v/>
      </c>
      <c r="BJ89" s="11">
        <f>BJ21*Inputs!$F$194*BJ88</f>
        <v/>
      </c>
      <c r="BK89" s="11">
        <f>BK21*Inputs!$F$194*BK88</f>
        <v/>
      </c>
      <c r="BL89" s="11">
        <f>BL21*Inputs!$F$194*BL88</f>
        <v/>
      </c>
      <c r="BM89" s="11">
        <f>BM21*Inputs!$F$194*BM88</f>
        <v/>
      </c>
      <c r="BN89" s="11">
        <f>BN21*Inputs!$F$194*BN88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J23*Inputs!$F$191*(J85-J92)/(J25-J32+J40-J47+J55-J62+J70-J77+J85-J92+0.000000001)</f>
        <v/>
      </c>
      <c r="K93" s="11">
        <f>K23*Inputs!$F$191*(K85-K92)/(K25-K32+K40-K47+K55-K62+K70-K77+K85-K92+0.000000001)</f>
        <v/>
      </c>
      <c r="L93" s="11">
        <f>L23*Inputs!$F$191*(L85-L92)/(L25-L32+L40-L47+L55-L62+L70-L77+L85-L92+0.000000001)</f>
        <v/>
      </c>
      <c r="M93" s="11">
        <f>M23*Inputs!$F$191*(M85-M92)/(M25-M32+M40-M47+M55-M62+M70-M77+M85-M92+0.000000001)</f>
        <v/>
      </c>
      <c r="N93" s="11">
        <f>N23*Inputs!$F$191*(N85-N92)/(N25-N32+N40-N47+N55-N62+N70-N77+N85-N92+0.000000001)</f>
        <v/>
      </c>
      <c r="O93" s="11">
        <f>O23*Inputs!$F$191*(O85-O92)/(O25-O32+O40-O47+O55-O62+O70-O77+O85-O92+0.000000001)</f>
        <v/>
      </c>
      <c r="P93" s="11">
        <f>P23*Inputs!$F$191*(P85-P92)/(P25-P32+P40-P47+P55-P62+P70-P77+P85-P92+0.000000001)</f>
        <v/>
      </c>
      <c r="Q93" s="11">
        <f>Q23*Inputs!$F$191*(Q85-Q92)/(Q25-Q32+Q40-Q47+Q55-Q62+Q70-Q77+Q85-Q92+0.000000001)</f>
        <v/>
      </c>
      <c r="R93" s="11">
        <f>R23*Inputs!$F$191*(R85-R92)/(R25-R32+R40-R47+R55-R62+R70-R77+R85-R92+0.000000001)</f>
        <v/>
      </c>
      <c r="S93" s="11">
        <f>S23*Inputs!$F$191*(S85-S92)/(S25-S32+S40-S47+S55-S62+S70-S77+S85-S92+0.000000001)</f>
        <v/>
      </c>
      <c r="T93" s="11">
        <f>T23*Inputs!$F$191*(T85-T92)/(T25-T32+T40-T47+T55-T62+T70-T77+T85-T92+0.000000001)</f>
        <v/>
      </c>
      <c r="U93" s="11">
        <f>U23*Inputs!$F$191*(U85-U92)/(U25-U32+U40-U47+U55-U62+U70-U77+U85-U92+0.000000001)</f>
        <v/>
      </c>
      <c r="V93" s="11">
        <f>V23*Inputs!$F$191*(V85-V92)/(V25-V32+V40-V47+V55-V62+V70-V77+V85-V92+0.000000001)</f>
        <v/>
      </c>
      <c r="W93" s="11">
        <f>W23*Inputs!$F$191*(W85-W92)/(W25-W32+W40-W47+W55-W62+W70-W77+W85-W92+0.000000001)</f>
        <v/>
      </c>
      <c r="X93" s="11">
        <f>X23*Inputs!$F$191*(X85-X92)/(X25-X32+X40-X47+X55-X62+X70-X77+X85-X92+0.000000001)</f>
        <v/>
      </c>
      <c r="Y93" s="11">
        <f>Y23*Inputs!$F$191*(Y85-Y92)/(Y25-Y32+Y40-Y47+Y55-Y62+Y70-Y77+Y85-Y92+0.000000001)</f>
        <v/>
      </c>
      <c r="Z93" s="11">
        <f>Z23*Inputs!$F$191*(Z85-Z92)/(Z25-Z32+Z40-Z47+Z55-Z62+Z70-Z77+Z85-Z92+0.000000001)</f>
        <v/>
      </c>
      <c r="AA93" s="11">
        <f>AA23*Inputs!$F$191*(AA85-AA92)/(AA25-AA32+AA40-AA47+AA55-AA62+AA70-AA77+AA85-AA92+0.000000001)</f>
        <v/>
      </c>
      <c r="AB93" s="11">
        <f>AB23*Inputs!$F$191*(AB85-AB92)/(AB25-AB32+AB40-AB47+AB55-AB62+AB70-AB77+AB85-AB92+0.000000001)</f>
        <v/>
      </c>
      <c r="AC93" s="11">
        <f>AC23*Inputs!$F$191*(AC85-AC92)/(AC25-AC32+AC40-AC47+AC55-AC62+AC70-AC77+AC85-AC92+0.000000001)</f>
        <v/>
      </c>
      <c r="AD93" s="11">
        <f>AD23*Inputs!$F$191*(AD85-AD92)/(AD25-AD32+AD40-AD47+AD55-AD62+AD70-AD77+AD85-AD92+0.000000001)</f>
        <v/>
      </c>
      <c r="AE93" s="11">
        <f>AE23*Inputs!$F$191*(AE85-AE92)/(AE25-AE32+AE40-AE47+AE55-AE62+AE70-AE77+AE85-AE92+0.000000001)</f>
        <v/>
      </c>
      <c r="AF93" s="11">
        <f>AF23*Inputs!$F$191*(AF85-AF92)/(AF25-AF32+AF40-AF47+AF55-AF62+AF70-AF77+AF85-AF92+0.000000001)</f>
        <v/>
      </c>
      <c r="AG93" s="11">
        <f>AG23*Inputs!$F$191*(AG85-AG92)/(AG25-AG32+AG40-AG47+AG55-AG62+AG70-AG77+AG85-AG92+0.000000001)</f>
        <v/>
      </c>
      <c r="AH93" s="11">
        <f>AH23*Inputs!$F$191*(AH85-AH92)/(AH25-AH32+AH40-AH47+AH55-AH62+AH70-AH77+AH85-AH92+0.000000001)</f>
        <v/>
      </c>
      <c r="AI93" s="11">
        <f>AI23*Inputs!$F$191*(AI85-AI92)/(AI25-AI32+AI40-AI47+AI55-AI62+AI70-AI77+AI85-AI92+0.000000001)</f>
        <v/>
      </c>
      <c r="AJ93" s="11">
        <f>AJ23*Inputs!$F$191*(AJ85-AJ92)/(AJ25-AJ32+AJ40-AJ47+AJ55-AJ62+AJ70-AJ77+AJ85-AJ92+0.000000001)</f>
        <v/>
      </c>
      <c r="AK93" s="11">
        <f>AK23*Inputs!$F$191*(AK85-AK92)/(AK25-AK32+AK40-AK47+AK55-AK62+AK70-AK77+AK85-AK92+0.000000001)</f>
        <v/>
      </c>
      <c r="AL93" s="11">
        <f>AL23*Inputs!$F$191*(AL85-AL92)/(AL25-AL32+AL40-AL47+AL55-AL62+AL70-AL77+AL85-AL92+0.000000001)</f>
        <v/>
      </c>
      <c r="AM93" s="11">
        <f>AM23*Inputs!$F$191*(AM85-AM92)/(AM25-AM32+AM40-AM47+AM55-AM62+AM70-AM77+AM85-AM92+0.000000001)</f>
        <v/>
      </c>
      <c r="AN93" s="11">
        <f>AN23*Inputs!$F$191*(AN85-AN92)/(AN25-AN32+AN40-AN47+AN55-AN62+AN70-AN77+AN85-AN92+0.000000001)</f>
        <v/>
      </c>
      <c r="AO93" s="11">
        <f>AO23*Inputs!$F$191*(AO85-AO92)/(AO25-AO32+AO40-AO47+AO55-AO62+AO70-AO77+AO85-AO92+0.000000001)</f>
        <v/>
      </c>
      <c r="AP93" s="11">
        <f>AP23*Inputs!$F$191*(AP85-AP92)/(AP25-AP32+AP40-AP47+AP55-AP62+AP70-AP77+AP85-AP92+0.000000001)</f>
        <v/>
      </c>
      <c r="AQ93" s="11">
        <f>AQ23*Inputs!$F$191*(AQ85-AQ92)/(AQ25-AQ32+AQ40-AQ47+AQ55-AQ62+AQ70-AQ77+AQ85-AQ92+0.000000001)</f>
        <v/>
      </c>
      <c r="AR93" s="11">
        <f>AR23*Inputs!$F$191*(AR85-AR92)/(AR25-AR32+AR40-AR47+AR55-AR62+AR70-AR77+AR85-AR92+0.000000001)</f>
        <v/>
      </c>
      <c r="AS93" s="11">
        <f>AS23*Inputs!$F$191*(AS85-AS92)/(AS25-AS32+AS40-AS47+AS55-AS62+AS70-AS77+AS85-AS92+0.000000001)</f>
        <v/>
      </c>
      <c r="AT93" s="11">
        <f>AT23*Inputs!$F$191*(AT85-AT92)/(AT25-AT32+AT40-AT47+AT55-AT62+AT70-AT77+AT85-AT92+0.000000001)</f>
        <v/>
      </c>
      <c r="AU93" s="11">
        <f>AU23*Inputs!$F$191*(AU85-AU92)/(AU25-AU32+AU40-AU47+AU55-AU62+AU70-AU77+AU85-AU92+0.000000001)</f>
        <v/>
      </c>
      <c r="AV93" s="11">
        <f>AV23*Inputs!$F$191*(AV85-AV92)/(AV25-AV32+AV40-AV47+AV55-AV62+AV70-AV77+AV85-AV92+0.000000001)</f>
        <v/>
      </c>
      <c r="AW93" s="11">
        <f>AW23*Inputs!$F$191*(AW85-AW92)/(AW25-AW32+AW40-AW47+AW55-AW62+AW70-AW77+AW85-AW92+0.000000001)</f>
        <v/>
      </c>
      <c r="AX93" s="11">
        <f>AX23*Inputs!$F$191*(AX85-AX92)/(AX25-AX32+AX40-AX47+AX55-AX62+AX70-AX77+AX85-AX92+0.000000001)</f>
        <v/>
      </c>
      <c r="AY93" s="11">
        <f>AY23*Inputs!$F$191*(AY85-AY92)/(AY25-AY32+AY40-AY47+AY55-AY62+AY70-AY77+AY85-AY92+0.000000001)</f>
        <v/>
      </c>
      <c r="AZ93" s="11">
        <f>AZ23*Inputs!$F$191*(AZ85-AZ92)/(AZ25-AZ32+AZ40-AZ47+AZ55-AZ62+AZ70-AZ77+AZ85-AZ92+0.000000001)</f>
        <v/>
      </c>
      <c r="BA93" s="11">
        <f>BA23*Inputs!$F$191*(BA85-BA92)/(BA25-BA32+BA40-BA47+BA55-BA62+BA70-BA77+BA85-BA92+0.000000001)</f>
        <v/>
      </c>
      <c r="BB93" s="11">
        <f>BB23*Inputs!$F$191*(BB85-BB92)/(BB25-BB32+BB40-BB47+BB55-BB62+BB70-BB77+BB85-BB92+0.000000001)</f>
        <v/>
      </c>
      <c r="BC93" s="11">
        <f>BC23*Inputs!$F$191*(BC85-BC92)/(BC25-BC32+BC40-BC47+BC55-BC62+BC70-BC77+BC85-BC92+0.000000001)</f>
        <v/>
      </c>
      <c r="BD93" s="11">
        <f>BD23*Inputs!$F$191*(BD85-BD92)/(BD25-BD32+BD40-BD47+BD55-BD62+BD70-BD77+BD85-BD92+0.000000001)</f>
        <v/>
      </c>
      <c r="BE93" s="11">
        <f>BE23*Inputs!$F$191*(BE85-BE92)/(BE25-BE32+BE40-BE47+BE55-BE62+BE70-BE77+BE85-BE92+0.000000001)</f>
        <v/>
      </c>
      <c r="BF93" s="11">
        <f>BF23*Inputs!$F$191*(BF85-BF92)/(BF25-BF32+BF40-BF47+BF55-BF62+BF70-BF77+BF85-BF92+0.000000001)</f>
        <v/>
      </c>
      <c r="BG93" s="11">
        <f>BG23*Inputs!$F$191*(BG85-BG92)/(BG25-BG32+BG40-BG47+BG55-BG62+BG70-BG77+BG85-BG92+0.000000001)</f>
        <v/>
      </c>
      <c r="BH93" s="11">
        <f>BH23*Inputs!$F$191*(BH85-BH92)/(BH25-BH32+BH40-BH47+BH55-BH62+BH70-BH77+BH85-BH92+0.000000001)</f>
        <v/>
      </c>
      <c r="BI93" s="11">
        <f>BI23*Inputs!$F$191*(BI85-BI92)/(BI25-BI32+BI40-BI47+BI55-BI62+BI70-BI77+BI85-BI92+0.000000001)</f>
        <v/>
      </c>
      <c r="BJ93" s="11">
        <f>BJ23*Inputs!$F$191*(BJ85-BJ92)/(BJ25-BJ32+BJ40-BJ47+BJ55-BJ62+BJ70-BJ77+BJ85-BJ92+0.000000001)</f>
        <v/>
      </c>
      <c r="BK93" s="11">
        <f>BK23*Inputs!$F$191*(BK85-BK92)/(BK25-BK32+BK40-BK47+BK55-BK62+BK70-BK77+BK85-BK92+0.000000001)</f>
        <v/>
      </c>
      <c r="BL93" s="11">
        <f>BL23*Inputs!$F$191*(BL85-BL92)/(BL25-BL32+BL40-BL47+BL55-BL62+BL70-BL77+BL85-BL92+0.000000001)</f>
        <v/>
      </c>
      <c r="BM93" s="11">
        <f>BM23*Inputs!$F$191*(BM85-BM92)/(BM25-BM32+BM40-BM47+BM55-BM62+BM70-BM77+BM85-BM92+0.000000001)</f>
        <v/>
      </c>
      <c r="BN93" s="11">
        <f>BN23*Inputs!$F$191*(BN85-BN92)/(BN25-BN32+BN40-BN47+BN55-BN62+BN70-BN77+BN85-BN92+0.000000001)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IF(W100&gt;0,MIN($F$109*Inputs!W224,W100),0)</f>
        <v/>
      </c>
      <c r="X102" s="11">
        <f>IF(X100&gt;0,MIN($F$109*Inputs!X224,X100),0)</f>
        <v/>
      </c>
      <c r="Y102" s="11">
        <f>IF(Y100&gt;0,MIN($F$109*Inputs!Y224,Y100),0)</f>
        <v/>
      </c>
      <c r="Z102" s="11">
        <f>IF(Z100&gt;0,MIN($F$109*Inputs!Z224,Z100),0)</f>
        <v/>
      </c>
      <c r="AA102" s="11">
        <f>IF(AA100&gt;0,MIN($F$109*Inputs!AA224,AA100),0)</f>
        <v/>
      </c>
      <c r="AB102" s="11">
        <f>IF(AB100&gt;0,MIN($F$109*Inputs!AB224,AB100),0)</f>
        <v/>
      </c>
      <c r="AC102" s="11">
        <f>IF(AC100&gt;0,MIN($F$109*Inputs!AC224,AC100),0)</f>
        <v/>
      </c>
      <c r="AD102" s="11">
        <f>IF(AD100&gt;0,MIN($F$109*Inputs!AD224,AD100),0)</f>
        <v/>
      </c>
      <c r="AE102" s="11">
        <f>IF(AE100&gt;0,MIN($F$109*Inputs!AE224,AE100),0)</f>
        <v/>
      </c>
      <c r="AF102" s="11">
        <f>IF(AF100&gt;0,MIN($F$109*Inputs!AF224,AF100),0)</f>
        <v/>
      </c>
      <c r="AG102" s="11">
        <f>IF(AG100&gt;0,MIN($F$109*Inputs!AG224,AG100),0)</f>
        <v/>
      </c>
      <c r="AH102" s="11">
        <f>IF(AH100&gt;0,MIN($F$109*Inputs!AH224,AH100),0)</f>
        <v/>
      </c>
      <c r="AI102" s="11">
        <f>IF(AI100&gt;0,MIN($F$109*Inputs!AI224,AI100),0)</f>
        <v/>
      </c>
      <c r="AJ102" s="11">
        <f>IF(AJ100&gt;0,MIN($F$109*Inputs!AJ224,AJ100),0)</f>
        <v/>
      </c>
      <c r="AK102" s="11">
        <f>IF(AK100&gt;0,MIN($F$109*Inputs!AK224,AK100),0)</f>
        <v/>
      </c>
      <c r="AL102" s="11">
        <f>IF(AL100&gt;0,MIN($F$109*Inputs!AL224,AL100),0)</f>
        <v/>
      </c>
      <c r="AM102" s="11">
        <f>IF(AM100&gt;0,MIN($F$109*Inputs!AM224,AM100),0)</f>
        <v/>
      </c>
      <c r="AN102" s="11">
        <f>IF(AN100&gt;0,MIN($F$109*Inputs!AN224,AN100),0)</f>
        <v/>
      </c>
      <c r="AO102" s="11">
        <f>IF(AO100&gt;0,MIN($F$109*Inputs!AO224,AO100),0)</f>
        <v/>
      </c>
      <c r="AP102" s="11">
        <f>IF(AP100&gt;0,MIN($F$109*Inputs!AP224,AP100),0)</f>
        <v/>
      </c>
      <c r="AQ102" s="11">
        <f>IF(AQ100&gt;0,MIN($F$109*Inputs!AQ224,AQ100),0)</f>
        <v/>
      </c>
      <c r="AR102" s="11">
        <f>IF(AR100&gt;0,MIN($F$109*Inputs!AR224,AR100),0)</f>
        <v/>
      </c>
      <c r="AS102" s="11">
        <f>IF(AS100&gt;0,MIN($F$109*Inputs!AS224,AS100),0)</f>
        <v/>
      </c>
      <c r="AT102" s="11">
        <f>IF(AT100&gt;0,MIN($F$109*Inputs!AT224,AT100),0)</f>
        <v/>
      </c>
      <c r="AU102" s="11">
        <f>IF(AU100&gt;0,MIN($F$109*Inputs!AU224,AU100),0)</f>
        <v/>
      </c>
      <c r="AV102" s="11">
        <f>IF(AV100&gt;0,MIN($F$109*Inputs!AV224,AV100),0)</f>
        <v/>
      </c>
      <c r="AW102" s="11">
        <f>IF(AW100&gt;0,MIN($F$109*Inputs!AW224,AW100),0)</f>
        <v/>
      </c>
      <c r="AX102" s="11">
        <f>IF(AX100&gt;0,MIN($F$109*Inputs!AX224,AX100),0)</f>
        <v/>
      </c>
      <c r="AY102" s="11">
        <f>IF(AY100&gt;0,MIN($F$109*Inputs!AY224,AY100),0)</f>
        <v/>
      </c>
      <c r="AZ102" s="11">
        <f>IF(AZ100&gt;0,MIN($F$109*Inputs!AZ224,AZ100),0)</f>
        <v/>
      </c>
      <c r="BA102" s="11">
        <f>IF(BA100&gt;0,MIN($F$109*Inputs!BA224,BA100),0)</f>
        <v/>
      </c>
      <c r="BB102" s="11">
        <f>IF(BB100&gt;0,MIN($F$109*Inputs!BB224,BB100),0)</f>
        <v/>
      </c>
      <c r="BC102" s="11">
        <f>IF(BC100&gt;0,MIN($F$109*Inputs!BC224,BC100),0)</f>
        <v/>
      </c>
      <c r="BD102" s="11">
        <f>IF(BD100&gt;0,MIN($F$109*Inputs!BD224,BD100),0)</f>
        <v/>
      </c>
      <c r="BE102" s="11">
        <f>IF(BE100&gt;0,MIN($F$109*Inputs!BE224,BE100),0)</f>
        <v/>
      </c>
      <c r="BF102" s="11">
        <f>IF(BF100&gt;0,MIN($F$109*Inputs!BF224,BF100),0)</f>
        <v/>
      </c>
      <c r="BG102" s="11">
        <f>IF(BG100&gt;0,MIN($F$109*Inputs!BG224,BG100),0)</f>
        <v/>
      </c>
      <c r="BH102" s="11">
        <f>IF(BH100&gt;0,MIN($F$109*Inputs!BH224,BH100),0)</f>
        <v/>
      </c>
      <c r="BI102" s="11">
        <f>IF(BI100&gt;0,MIN($F$109*Inputs!BI224,BI100),0)</f>
        <v/>
      </c>
      <c r="BJ102" s="11">
        <f>IF(BJ100&gt;0,MIN($F$109*Inputs!BJ224,BJ100),0)</f>
        <v/>
      </c>
      <c r="BK102" s="11">
        <f>IF(BK100&gt;0,MIN($F$109*Inputs!BK224,BK100),0)</f>
        <v/>
      </c>
      <c r="BL102" s="11">
        <f>IF(BL100&gt;0,MIN($F$109*Inputs!BL224,BL100),0)</f>
        <v/>
      </c>
      <c r="BM102" s="11">
        <f>IF(BM100&gt;0,MIN($F$109*Inputs!BM224,BM100),0)</f>
        <v/>
      </c>
      <c r="BN102" s="11">
        <f>IF(BN100&gt;0,MIN($F$109*Inputs!BN224,BN100),0)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IF(Time!J17&gt;14,(1+Inputs!$F$202/200)^-(Time!J17-14),0)</f>
        <v/>
      </c>
      <c r="K106" s="10">
        <f>IF(Time!K17&gt;14,(1+Inputs!$F$202/200)^-(Time!K17-14),0)</f>
        <v/>
      </c>
      <c r="L106" s="10">
        <f>IF(Time!L17&gt;14,(1+Inputs!$F$202/200)^-(Time!L17-14),0)</f>
        <v/>
      </c>
      <c r="M106" s="10">
        <f>IF(Time!M17&gt;14,(1+Inputs!$F$202/200)^-(Time!M17-14),0)</f>
        <v/>
      </c>
      <c r="N106" s="10">
        <f>IF(Time!N17&gt;14,(1+Inputs!$F$202/200)^-(Time!N17-14),0)</f>
        <v/>
      </c>
      <c r="O106" s="10">
        <f>IF(Time!O17&gt;14,(1+Inputs!$F$202/200)^-(Time!O17-14),0)</f>
        <v/>
      </c>
      <c r="P106" s="10">
        <f>IF(Time!P17&gt;14,(1+Inputs!$F$202/200)^-(Time!P17-14),0)</f>
        <v/>
      </c>
      <c r="Q106" s="10">
        <f>IF(Time!Q17&gt;14,(1+Inputs!$F$202/200)^-(Time!Q17-14),0)</f>
        <v/>
      </c>
      <c r="R106" s="10">
        <f>IF(Time!R17&gt;14,(1+Inputs!$F$202/200)^-(Time!R17-14),0)</f>
        <v/>
      </c>
      <c r="S106" s="10">
        <f>IF(Time!S17&gt;14,(1+Inputs!$F$202/200)^-(Time!S17-14),0)</f>
        <v/>
      </c>
      <c r="T106" s="10">
        <f>IF(Time!T17&gt;14,(1+Inputs!$F$202/200)^-(Time!T17-14),0)</f>
        <v/>
      </c>
      <c r="U106" s="10">
        <f>IF(Time!U17&gt;14,(1+Inputs!$F$202/200)^-(Time!U17-14),0)</f>
        <v/>
      </c>
      <c r="V106" s="10">
        <f>IF(Time!V17&gt;14,(1+Inputs!$F$202/200)^-(Time!V17-14),0)</f>
        <v/>
      </c>
      <c r="W106" s="10">
        <f>IF(Time!W17&gt;14,(1+Inputs!$F$202/200)^-(Time!W17-14),0)</f>
        <v/>
      </c>
      <c r="X106" s="10">
        <f>IF(Time!X17&gt;14,(1+Inputs!$F$202/200)^-(Time!X17-14),0)</f>
        <v/>
      </c>
      <c r="Y106" s="10">
        <f>IF(Time!Y17&gt;14,(1+Inputs!$F$202/200)^-(Time!Y17-14),0)</f>
        <v/>
      </c>
      <c r="Z106" s="10">
        <f>IF(Time!Z17&gt;14,(1+Inputs!$F$202/200)^-(Time!Z17-14),0)</f>
        <v/>
      </c>
      <c r="AA106" s="10">
        <f>IF(Time!AA17&gt;14,(1+Inputs!$F$202/200)^-(Time!AA17-14),0)</f>
        <v/>
      </c>
      <c r="AB106" s="10">
        <f>IF(Time!AB17&gt;14,(1+Inputs!$F$202/200)^-(Time!AB17-14),0)</f>
        <v/>
      </c>
      <c r="AC106" s="10">
        <f>IF(Time!AC17&gt;14,(1+Inputs!$F$202/200)^-(Time!AC17-14),0)</f>
        <v/>
      </c>
      <c r="AD106" s="10">
        <f>IF(Time!AD17&gt;14,(1+Inputs!$F$202/200)^-(Time!AD17-14),0)</f>
        <v/>
      </c>
      <c r="AE106" s="10">
        <f>IF(Time!AE17&gt;14,(1+Inputs!$F$202/200)^-(Time!AE17-14),0)</f>
        <v/>
      </c>
      <c r="AF106" s="10">
        <f>IF(Time!AF17&gt;14,(1+Inputs!$F$202/200)^-(Time!AF17-14),0)</f>
        <v/>
      </c>
      <c r="AG106" s="10">
        <f>IF(Time!AG17&gt;14,(1+Inputs!$F$202/200)^-(Time!AG17-14),0)</f>
        <v/>
      </c>
      <c r="AH106" s="10">
        <f>IF(Time!AH17&gt;14,(1+Inputs!$F$202/200)^-(Time!AH17-14),0)</f>
        <v/>
      </c>
      <c r="AI106" s="10">
        <f>IF(Time!AI17&gt;14,(1+Inputs!$F$202/200)^-(Time!AI17-14),0)</f>
        <v/>
      </c>
      <c r="AJ106" s="10">
        <f>IF(Time!AJ17&gt;14,(1+Inputs!$F$202/200)^-(Time!AJ17-14),0)</f>
        <v/>
      </c>
      <c r="AK106" s="10">
        <f>IF(Time!AK17&gt;14,(1+Inputs!$F$202/200)^-(Time!AK17-14),0)</f>
        <v/>
      </c>
      <c r="AL106" s="10">
        <f>IF(Time!AL17&gt;14,(1+Inputs!$F$202/200)^-(Time!AL17-14),0)</f>
        <v/>
      </c>
      <c r="AM106" s="10">
        <f>IF(Time!AM17&gt;14,(1+Inputs!$F$202/200)^-(Time!AM17-14),0)</f>
        <v/>
      </c>
      <c r="AN106" s="10">
        <f>IF(Time!AN17&gt;14,(1+Inputs!$F$202/200)^-(Time!AN17-14),0)</f>
        <v/>
      </c>
      <c r="AO106" s="10">
        <f>IF(Time!AO17&gt;14,(1+Inputs!$F$202/200)^-(Time!AO17-14),0)</f>
        <v/>
      </c>
      <c r="AP106" s="10">
        <f>IF(Time!AP17&gt;14,(1+Inputs!$F$202/200)^-(Time!AP17-14),0)</f>
        <v/>
      </c>
      <c r="AQ106" s="10">
        <f>IF(Time!AQ17&gt;14,(1+Inputs!$F$202/200)^-(Time!AQ17-14),0)</f>
        <v/>
      </c>
      <c r="AR106" s="10">
        <f>IF(Time!AR17&gt;14,(1+Inputs!$F$202/200)^-(Time!AR17-14),0)</f>
        <v/>
      </c>
      <c r="AS106" s="10">
        <f>IF(Time!AS17&gt;14,(1+Inputs!$F$202/200)^-(Time!AS17-14),0)</f>
        <v/>
      </c>
      <c r="AT106" s="10">
        <f>IF(Time!AT17&gt;14,(1+Inputs!$F$202/200)^-(Time!AT17-14),0)</f>
        <v/>
      </c>
      <c r="AU106" s="10">
        <f>IF(Time!AU17&gt;14,(1+Inputs!$F$202/200)^-(Time!AU17-14),0)</f>
        <v/>
      </c>
      <c r="AV106" s="10">
        <f>IF(Time!AV17&gt;14,(1+Inputs!$F$202/200)^-(Time!AV17-14),0)</f>
        <v/>
      </c>
      <c r="AW106" s="10">
        <f>IF(Time!AW17&gt;14,(1+Inputs!$F$202/200)^-(Time!AW17-14),0)</f>
        <v/>
      </c>
      <c r="AX106" s="10">
        <f>IF(Time!AX17&gt;14,(1+Inputs!$F$202/200)^-(Time!AX17-14),0)</f>
        <v/>
      </c>
      <c r="AY106" s="10">
        <f>IF(Time!AY17&gt;14,(1+Inputs!$F$202/200)^-(Time!AY17-14),0)</f>
        <v/>
      </c>
      <c r="AZ106" s="10">
        <f>IF(Time!AZ17&gt;14,(1+Inputs!$F$202/200)^-(Time!AZ17-14),0)</f>
        <v/>
      </c>
      <c r="BA106" s="10">
        <f>IF(Time!BA17&gt;14,(1+Inputs!$F$202/200)^-(Time!BA17-14),0)</f>
        <v/>
      </c>
      <c r="BB106" s="10">
        <f>IF(Time!BB17&gt;14,(1+Inputs!$F$202/200)^-(Time!BB17-14),0)</f>
        <v/>
      </c>
      <c r="BC106" s="10">
        <f>IF(Time!BC17&gt;14,(1+Inputs!$F$202/200)^-(Time!BC17-14),0)</f>
        <v/>
      </c>
      <c r="BD106" s="10">
        <f>IF(Time!BD17&gt;14,(1+Inputs!$F$202/200)^-(Time!BD17-14),0)</f>
        <v/>
      </c>
      <c r="BE106" s="10">
        <f>IF(Time!BE17&gt;14,(1+Inputs!$F$202/200)^-(Time!BE17-14),0)</f>
        <v/>
      </c>
      <c r="BF106" s="10">
        <f>IF(Time!BF17&gt;14,(1+Inputs!$F$202/200)^-(Time!BF17-14),0)</f>
        <v/>
      </c>
      <c r="BG106" s="10">
        <f>IF(Time!BG17&gt;14,(1+Inputs!$F$202/200)^-(Time!BG17-14),0)</f>
        <v/>
      </c>
      <c r="BH106" s="10">
        <f>IF(Time!BH17&gt;14,(1+Inputs!$F$202/200)^-(Time!BH17-14),0)</f>
        <v/>
      </c>
      <c r="BI106" s="10">
        <f>IF(Time!BI17&gt;14,(1+Inputs!$F$202/200)^-(Time!BI17-14),0)</f>
        <v/>
      </c>
      <c r="BJ106" s="10">
        <f>IF(Time!BJ17&gt;14,(1+Inputs!$F$202/200)^-(Time!BJ17-14),0)</f>
        <v/>
      </c>
      <c r="BK106" s="10">
        <f>IF(Time!BK17&gt;14,(1+Inputs!$F$202/200)^-(Time!BK17-14),0)</f>
        <v/>
      </c>
      <c r="BL106" s="10">
        <f>IF(Time!BL17&gt;14,(1+Inputs!$F$202/200)^-(Time!BL17-14),0)</f>
        <v/>
      </c>
      <c r="BM106" s="10">
        <f>IF(Time!BM17&gt;14,(1+Inputs!$F$202/200)^-(Time!BM17-14),0)</f>
        <v/>
      </c>
      <c r="BN106" s="10">
        <f>IF(Time!BN17&gt;14,(1+Inputs!$F$202/200)^-(Time!BN17-14),0)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Inputs!$F$50*Inputs!$F$203*(Inputs!$F$202-Inputs!$F$97)/100*0.5*SUMPRODUCT(Inputs!$J$225:$BN$225,Debt!$J$106:$BN$106)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Inputs!$F$50*(Debt!$F$108+Inputs!$F$198+Inputs!$F$201/100*Inputs!$F$199-Debt!$F$107)/(Inputs!$F$196-Inputs!$F$197)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W20*($F$109*(1-Inputs!$F$196)+Inputs!$F$197*$F$109+Inputs!$F$198+Inputs!$F$201/100*Inputs!$F$199)</f>
        <v/>
      </c>
      <c r="X111" s="11">
        <f>X20*($F$109*(1-Inputs!$F$196)+Inputs!$F$197*$F$109+Inputs!$F$198+Inputs!$F$201/100*Inputs!$F$199)</f>
        <v/>
      </c>
      <c r="Y111" s="11">
        <f>Y20*($F$109*(1-Inputs!$F$196)+Inputs!$F$197*$F$109+Inputs!$F$198+Inputs!$F$201/100*Inputs!$F$199)</f>
        <v/>
      </c>
      <c r="Z111" s="11">
        <f>Z20*($F$109*(1-Inputs!$F$196)+Inputs!$F$197*$F$109+Inputs!$F$198+Inputs!$F$201/100*Inputs!$F$199)</f>
        <v/>
      </c>
      <c r="AA111" s="11">
        <f>AA20*($F$109*(1-Inputs!$F$196)+Inputs!$F$197*$F$109+Inputs!$F$198+Inputs!$F$201/100*Inputs!$F$199)</f>
        <v/>
      </c>
      <c r="AB111" s="11">
        <f>AB20*($F$109*(1-Inputs!$F$196)+Inputs!$F$197*$F$109+Inputs!$F$198+Inputs!$F$201/100*Inputs!$F$199)</f>
        <v/>
      </c>
      <c r="AC111" s="11">
        <f>AC20*($F$109*(1-Inputs!$F$196)+Inputs!$F$197*$F$109+Inputs!$F$198+Inputs!$F$201/100*Inputs!$F$199)</f>
        <v/>
      </c>
      <c r="AD111" s="11">
        <f>AD20*($F$109*(1-Inputs!$F$196)+Inputs!$F$197*$F$109+Inputs!$F$198+Inputs!$F$201/100*Inputs!$F$199)</f>
        <v/>
      </c>
      <c r="AE111" s="11">
        <f>AE20*($F$109*(1-Inputs!$F$196)+Inputs!$F$197*$F$109+Inputs!$F$198+Inputs!$F$201/100*Inputs!$F$199)</f>
        <v/>
      </c>
      <c r="AF111" s="11">
        <f>AF20*($F$109*(1-Inputs!$F$196)+Inputs!$F$197*$F$109+Inputs!$F$198+Inputs!$F$201/100*Inputs!$F$199)</f>
        <v/>
      </c>
      <c r="AG111" s="11">
        <f>AG20*($F$109*(1-Inputs!$F$196)+Inputs!$F$197*$F$109+Inputs!$F$198+Inputs!$F$201/100*Inputs!$F$199)</f>
        <v/>
      </c>
      <c r="AH111" s="11">
        <f>AH20*($F$109*(1-Inputs!$F$196)+Inputs!$F$197*$F$109+Inputs!$F$198+Inputs!$F$201/100*Inputs!$F$199)</f>
        <v/>
      </c>
      <c r="AI111" s="11">
        <f>AI20*($F$109*(1-Inputs!$F$196)+Inputs!$F$197*$F$109+Inputs!$F$198+Inputs!$F$201/100*Inputs!$F$199)</f>
        <v/>
      </c>
      <c r="AJ111" s="11">
        <f>AJ20*($F$109*(1-Inputs!$F$196)+Inputs!$F$197*$F$109+Inputs!$F$198+Inputs!$F$201/100*Inputs!$F$199)</f>
        <v/>
      </c>
      <c r="AK111" s="11">
        <f>AK20*($F$109*(1-Inputs!$F$196)+Inputs!$F$197*$F$109+Inputs!$F$198+Inputs!$F$201/100*Inputs!$F$199)</f>
        <v/>
      </c>
      <c r="AL111" s="11">
        <f>AL20*($F$109*(1-Inputs!$F$196)+Inputs!$F$197*$F$109+Inputs!$F$198+Inputs!$F$201/100*Inputs!$F$199)</f>
        <v/>
      </c>
      <c r="AM111" s="11">
        <f>AM20*($F$109*(1-Inputs!$F$196)+Inputs!$F$197*$F$109+Inputs!$F$198+Inputs!$F$201/100*Inputs!$F$199)</f>
        <v/>
      </c>
      <c r="AN111" s="11">
        <f>AN20*($F$109*(1-Inputs!$F$196)+Inputs!$F$197*$F$109+Inputs!$F$198+Inputs!$F$201/100*Inputs!$F$199)</f>
        <v/>
      </c>
      <c r="AO111" s="11">
        <f>AO20*($F$109*(1-Inputs!$F$196)+Inputs!$F$197*$F$109+Inputs!$F$198+Inputs!$F$201/100*Inputs!$F$199)</f>
        <v/>
      </c>
      <c r="AP111" s="11">
        <f>AP20*($F$109*(1-Inputs!$F$196)+Inputs!$F$197*$F$109+Inputs!$F$198+Inputs!$F$201/100*Inputs!$F$199)</f>
        <v/>
      </c>
      <c r="AQ111" s="11">
        <f>AQ20*($F$109*(1-Inputs!$F$196)+Inputs!$F$197*$F$109+Inputs!$F$198+Inputs!$F$201/100*Inputs!$F$199)</f>
        <v/>
      </c>
      <c r="AR111" s="11">
        <f>AR20*($F$109*(1-Inputs!$F$196)+Inputs!$F$197*$F$109+Inputs!$F$198+Inputs!$F$201/100*Inputs!$F$199)</f>
        <v/>
      </c>
      <c r="AS111" s="11">
        <f>AS20*($F$109*(1-Inputs!$F$196)+Inputs!$F$197*$F$109+Inputs!$F$198+Inputs!$F$201/100*Inputs!$F$199)</f>
        <v/>
      </c>
      <c r="AT111" s="11">
        <f>AT20*($F$109*(1-Inputs!$F$196)+Inputs!$F$197*$F$109+Inputs!$F$198+Inputs!$F$201/100*Inputs!$F$199)</f>
        <v/>
      </c>
      <c r="AU111" s="11">
        <f>AU20*($F$109*(1-Inputs!$F$196)+Inputs!$F$197*$F$109+Inputs!$F$198+Inputs!$F$201/100*Inputs!$F$199)</f>
        <v/>
      </c>
      <c r="AV111" s="11">
        <f>AV20*($F$109*(1-Inputs!$F$196)+Inputs!$F$197*$F$109+Inputs!$F$198+Inputs!$F$201/100*Inputs!$F$199)</f>
        <v/>
      </c>
      <c r="AW111" s="11">
        <f>AW20*($F$109*(1-Inputs!$F$196)+Inputs!$F$197*$F$109+Inputs!$F$198+Inputs!$F$201/100*Inputs!$F$199)</f>
        <v/>
      </c>
      <c r="AX111" s="11">
        <f>AX20*($F$109*(1-Inputs!$F$196)+Inputs!$F$197*$F$109+Inputs!$F$198+Inputs!$F$201/100*Inputs!$F$199)</f>
        <v/>
      </c>
      <c r="AY111" s="11">
        <f>AY20*($F$109*(1-Inputs!$F$196)+Inputs!$F$197*$F$109+Inputs!$F$198+Inputs!$F$201/100*Inputs!$F$199)</f>
        <v/>
      </c>
      <c r="AZ111" s="11">
        <f>AZ20*($F$109*(1-Inputs!$F$196)+Inputs!$F$197*$F$109+Inputs!$F$198+Inputs!$F$201/100*Inputs!$F$199)</f>
        <v/>
      </c>
      <c r="BA111" s="11">
        <f>BA20*($F$109*(1-Inputs!$F$196)+Inputs!$F$197*$F$109+Inputs!$F$198+Inputs!$F$201/100*Inputs!$F$199)</f>
        <v/>
      </c>
      <c r="BB111" s="11">
        <f>BB20*($F$109*(1-Inputs!$F$196)+Inputs!$F$197*$F$109+Inputs!$F$198+Inputs!$F$201/100*Inputs!$F$199)</f>
        <v/>
      </c>
      <c r="BC111" s="11">
        <f>BC20*($F$109*(1-Inputs!$F$196)+Inputs!$F$197*$F$109+Inputs!$F$198+Inputs!$F$201/100*Inputs!$F$199)</f>
        <v/>
      </c>
      <c r="BD111" s="11">
        <f>BD20*($F$109*(1-Inputs!$F$196)+Inputs!$F$197*$F$109+Inputs!$F$198+Inputs!$F$201/100*Inputs!$F$199)</f>
        <v/>
      </c>
      <c r="BE111" s="11">
        <f>BE20*($F$109*(1-Inputs!$F$196)+Inputs!$F$197*$F$109+Inputs!$F$198+Inputs!$F$201/100*Inputs!$F$199)</f>
        <v/>
      </c>
      <c r="BF111" s="11">
        <f>BF20*($F$109*(1-Inputs!$F$196)+Inputs!$F$197*$F$109+Inputs!$F$198+Inputs!$F$201/100*Inputs!$F$199)</f>
        <v/>
      </c>
      <c r="BG111" s="11">
        <f>BG20*($F$109*(1-Inputs!$F$196)+Inputs!$F$197*$F$109+Inputs!$F$198+Inputs!$F$201/100*Inputs!$F$199)</f>
        <v/>
      </c>
      <c r="BH111" s="11">
        <f>BH20*($F$109*(1-Inputs!$F$196)+Inputs!$F$197*$F$109+Inputs!$F$198+Inputs!$F$201/100*Inputs!$F$199)</f>
        <v/>
      </c>
      <c r="BI111" s="11">
        <f>BI20*($F$109*(1-Inputs!$F$196)+Inputs!$F$197*$F$109+Inputs!$F$198+Inputs!$F$201/100*Inputs!$F$199)</f>
        <v/>
      </c>
      <c r="BJ111" s="11">
        <f>BJ20*($F$109*(1-Inputs!$F$196)+Inputs!$F$197*$F$109+Inputs!$F$198+Inputs!$F$201/100*Inputs!$F$199)</f>
        <v/>
      </c>
      <c r="BK111" s="11">
        <f>BK20*($F$109*(1-Inputs!$F$196)+Inputs!$F$197*$F$109+Inputs!$F$198+Inputs!$F$201/100*Inputs!$F$199)</f>
        <v/>
      </c>
      <c r="BL111" s="11">
        <f>BL20*($F$109*(1-Inputs!$F$196)+Inputs!$F$197*$F$109+Inputs!$F$198+Inputs!$F$201/100*Inputs!$F$199)</f>
        <v/>
      </c>
      <c r="BM111" s="11">
        <f>BM20*($F$109*(1-Inputs!$F$196)+Inputs!$F$197*$F$109+Inputs!$F$198+Inputs!$F$201/100*Inputs!$F$199)</f>
        <v/>
      </c>
      <c r="BN111" s="11">
        <f>BN20*($F$109*(1-Inputs!$F$196)+Inputs!$F$197*$F$109+Inputs!$F$198+Inputs!$F$201/100*Inputs!$F$199)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IF(AND(Inputs!$F$50=1,Time!J17&gt;14),Inputs!$F$204,1)</f>
        <v/>
      </c>
      <c r="K113" s="11">
        <f>IF(AND(Inputs!$F$50=1,Time!K17&gt;14),Inputs!$F$204,1)</f>
        <v/>
      </c>
      <c r="L113" s="11">
        <f>IF(AND(Inputs!$F$50=1,Time!L17&gt;14),Inputs!$F$204,1)</f>
        <v/>
      </c>
      <c r="M113" s="11">
        <f>IF(AND(Inputs!$F$50=1,Time!M17&gt;14),Inputs!$F$204,1)</f>
        <v/>
      </c>
      <c r="N113" s="11">
        <f>IF(AND(Inputs!$F$50=1,Time!N17&gt;14),Inputs!$F$204,1)</f>
        <v/>
      </c>
      <c r="O113" s="11">
        <f>IF(AND(Inputs!$F$50=1,Time!O17&gt;14),Inputs!$F$204,1)</f>
        <v/>
      </c>
      <c r="P113" s="11">
        <f>IF(AND(Inputs!$F$50=1,Time!P17&gt;14),Inputs!$F$204,1)</f>
        <v/>
      </c>
      <c r="Q113" s="11">
        <f>IF(AND(Inputs!$F$50=1,Time!Q17&gt;14),Inputs!$F$204,1)</f>
        <v/>
      </c>
      <c r="R113" s="11">
        <f>IF(AND(Inputs!$F$50=1,Time!R17&gt;14),Inputs!$F$204,1)</f>
        <v/>
      </c>
      <c r="S113" s="11">
        <f>IF(AND(Inputs!$F$50=1,Time!S17&gt;14),Inputs!$F$204,1)</f>
        <v/>
      </c>
      <c r="T113" s="11">
        <f>IF(AND(Inputs!$F$50=1,Time!T17&gt;14),Inputs!$F$204,1)</f>
        <v/>
      </c>
      <c r="U113" s="11">
        <f>IF(AND(Inputs!$F$50=1,Time!U17&gt;14),Inputs!$F$204,1)</f>
        <v/>
      </c>
      <c r="V113" s="11">
        <f>IF(AND(Inputs!$F$50=1,Time!V17&gt;14),Inputs!$F$204,1)</f>
        <v/>
      </c>
      <c r="W113" s="11">
        <f>IF(AND(Inputs!$F$50=1,Time!W17&gt;14),Inputs!$F$204,1)</f>
        <v/>
      </c>
      <c r="X113" s="11">
        <f>IF(AND(Inputs!$F$50=1,Time!X17&gt;14),Inputs!$F$204,1)</f>
        <v/>
      </c>
      <c r="Y113" s="11">
        <f>IF(AND(Inputs!$F$50=1,Time!Y17&gt;14),Inputs!$F$204,1)</f>
        <v/>
      </c>
      <c r="Z113" s="11">
        <f>IF(AND(Inputs!$F$50=1,Time!Z17&gt;14),Inputs!$F$204,1)</f>
        <v/>
      </c>
      <c r="AA113" s="11">
        <f>IF(AND(Inputs!$F$50=1,Time!AA17&gt;14),Inputs!$F$204,1)</f>
        <v/>
      </c>
      <c r="AB113" s="11">
        <f>IF(AND(Inputs!$F$50=1,Time!AB17&gt;14),Inputs!$F$204,1)</f>
        <v/>
      </c>
      <c r="AC113" s="11">
        <f>IF(AND(Inputs!$F$50=1,Time!AC17&gt;14),Inputs!$F$204,1)</f>
        <v/>
      </c>
      <c r="AD113" s="11">
        <f>IF(AND(Inputs!$F$50=1,Time!AD17&gt;14),Inputs!$F$204,1)</f>
        <v/>
      </c>
      <c r="AE113" s="11">
        <f>IF(AND(Inputs!$F$50=1,Time!AE17&gt;14),Inputs!$F$204,1)</f>
        <v/>
      </c>
      <c r="AF113" s="11">
        <f>IF(AND(Inputs!$F$50=1,Time!AF17&gt;14),Inputs!$F$204,1)</f>
        <v/>
      </c>
      <c r="AG113" s="11">
        <f>IF(AND(Inputs!$F$50=1,Time!AG17&gt;14),Inputs!$F$204,1)</f>
        <v/>
      </c>
      <c r="AH113" s="11">
        <f>IF(AND(Inputs!$F$50=1,Time!AH17&gt;14),Inputs!$F$204,1)</f>
        <v/>
      </c>
      <c r="AI113" s="11">
        <f>IF(AND(Inputs!$F$50=1,Time!AI17&gt;14),Inputs!$F$204,1)</f>
        <v/>
      </c>
      <c r="AJ113" s="11">
        <f>IF(AND(Inputs!$F$50=1,Time!AJ17&gt;14),Inputs!$F$204,1)</f>
        <v/>
      </c>
      <c r="AK113" s="11">
        <f>IF(AND(Inputs!$F$50=1,Time!AK17&gt;14),Inputs!$F$204,1)</f>
        <v/>
      </c>
      <c r="AL113" s="11">
        <f>IF(AND(Inputs!$F$50=1,Time!AL17&gt;14),Inputs!$F$204,1)</f>
        <v/>
      </c>
      <c r="AM113" s="11">
        <f>IF(AND(Inputs!$F$50=1,Time!AM17&gt;14),Inputs!$F$204,1)</f>
        <v/>
      </c>
      <c r="AN113" s="11">
        <f>IF(AND(Inputs!$F$50=1,Time!AN17&gt;14),Inputs!$F$204,1)</f>
        <v/>
      </c>
      <c r="AO113" s="11">
        <f>IF(AND(Inputs!$F$50=1,Time!AO17&gt;14),Inputs!$F$204,1)</f>
        <v/>
      </c>
      <c r="AP113" s="11">
        <f>IF(AND(Inputs!$F$50=1,Time!AP17&gt;14),Inputs!$F$204,1)</f>
        <v/>
      </c>
      <c r="AQ113" s="11">
        <f>IF(AND(Inputs!$F$50=1,Time!AQ17&gt;14),Inputs!$F$204,1)</f>
        <v/>
      </c>
      <c r="AR113" s="11">
        <f>IF(AND(Inputs!$F$50=1,Time!AR17&gt;14),Inputs!$F$204,1)</f>
        <v/>
      </c>
      <c r="AS113" s="11">
        <f>IF(AND(Inputs!$F$50=1,Time!AS17&gt;14),Inputs!$F$204,1)</f>
        <v/>
      </c>
      <c r="AT113" s="11">
        <f>IF(AND(Inputs!$F$50=1,Time!AT17&gt;14),Inputs!$F$204,1)</f>
        <v/>
      </c>
      <c r="AU113" s="11">
        <f>IF(AND(Inputs!$F$50=1,Time!AU17&gt;14),Inputs!$F$204,1)</f>
        <v/>
      </c>
      <c r="AV113" s="11">
        <f>IF(AND(Inputs!$F$50=1,Time!AV17&gt;14),Inputs!$F$204,1)</f>
        <v/>
      </c>
      <c r="AW113" s="11">
        <f>IF(AND(Inputs!$F$50=1,Time!AW17&gt;14),Inputs!$F$204,1)</f>
        <v/>
      </c>
      <c r="AX113" s="11">
        <f>IF(AND(Inputs!$F$50=1,Time!AX17&gt;14),Inputs!$F$204,1)</f>
        <v/>
      </c>
      <c r="AY113" s="11">
        <f>IF(AND(Inputs!$F$50=1,Time!AY17&gt;14),Inputs!$F$204,1)</f>
        <v/>
      </c>
      <c r="AZ113" s="11">
        <f>IF(AND(Inputs!$F$50=1,Time!AZ17&gt;14),Inputs!$F$204,1)</f>
        <v/>
      </c>
      <c r="BA113" s="11">
        <f>IF(AND(Inputs!$F$50=1,Time!BA17&gt;14),Inputs!$F$204,1)</f>
        <v/>
      </c>
      <c r="BB113" s="11">
        <f>IF(AND(Inputs!$F$50=1,Time!BB17&gt;14),Inputs!$F$204,1)</f>
        <v/>
      </c>
      <c r="BC113" s="11">
        <f>IF(AND(Inputs!$F$50=1,Time!BC17&gt;14),Inputs!$F$204,1)</f>
        <v/>
      </c>
      <c r="BD113" s="11">
        <f>IF(AND(Inputs!$F$50=1,Time!BD17&gt;14),Inputs!$F$204,1)</f>
        <v/>
      </c>
      <c r="BE113" s="11">
        <f>IF(AND(Inputs!$F$50=1,Time!BE17&gt;14),Inputs!$F$204,1)</f>
        <v/>
      </c>
      <c r="BF113" s="11">
        <f>IF(AND(Inputs!$F$50=1,Time!BF17&gt;14),Inputs!$F$204,1)</f>
        <v/>
      </c>
      <c r="BG113" s="11">
        <f>IF(AND(Inputs!$F$50=1,Time!BG17&gt;14),Inputs!$F$204,1)</f>
        <v/>
      </c>
      <c r="BH113" s="11">
        <f>IF(AND(Inputs!$F$50=1,Time!BH17&gt;14),Inputs!$F$204,1)</f>
        <v/>
      </c>
      <c r="BI113" s="11">
        <f>IF(AND(Inputs!$F$50=1,Time!BI17&gt;14),Inputs!$F$204,1)</f>
        <v/>
      </c>
      <c r="BJ113" s="11">
        <f>IF(AND(Inputs!$F$50=1,Time!BJ17&gt;14),Inputs!$F$204,1)</f>
        <v/>
      </c>
      <c r="BK113" s="11">
        <f>IF(AND(Inputs!$F$50=1,Time!BK17&gt;14),Inputs!$F$204,1)</f>
        <v/>
      </c>
      <c r="BL113" s="11">
        <f>IF(AND(Inputs!$F$50=1,Time!BL17&gt;14),Inputs!$F$204,1)</f>
        <v/>
      </c>
      <c r="BM113" s="11">
        <f>IF(AND(Inputs!$F$50=1,Time!BM17&gt;14),Inputs!$F$204,1)</f>
        <v/>
      </c>
      <c r="BN113" s="11">
        <f>IF(AND(Inputs!$F$50=1,Time!BN17&gt;14),Inputs!$F$204,1)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Time!J30*Inputs!J225*J113*(Inputs!$F$97/100*0.5-Operations!J9/100*Time!J20/360)</f>
        <v/>
      </c>
      <c r="K114" s="11">
        <f>Time!K30*Inputs!K225*K113*(Inputs!$F$97/100*0.5-Operations!K9/100*Time!K20/360)</f>
        <v/>
      </c>
      <c r="L114" s="11">
        <f>Time!L30*Inputs!L225*L113*(Inputs!$F$97/100*0.5-Operations!L9/100*Time!L20/360)</f>
        <v/>
      </c>
      <c r="M114" s="11">
        <f>Time!M30*Inputs!M225*M113*(Inputs!$F$97/100*0.5-Operations!M9/100*Time!M20/360)</f>
        <v/>
      </c>
      <c r="N114" s="11">
        <f>Time!N30*Inputs!N225*N113*(Inputs!$F$97/100*0.5-Operations!N9/100*Time!N20/360)</f>
        <v/>
      </c>
      <c r="O114" s="11">
        <f>Time!O30*Inputs!O225*O113*(Inputs!$F$97/100*0.5-Operations!O9/100*Time!O20/360)</f>
        <v/>
      </c>
      <c r="P114" s="11">
        <f>Time!P30*Inputs!P225*P113*(Inputs!$F$97/100*0.5-Operations!P9/100*Time!P20/360)</f>
        <v/>
      </c>
      <c r="Q114" s="11">
        <f>Time!Q30*Inputs!Q225*Q113*(Inputs!$F$97/100*0.5-Operations!Q9/100*Time!Q20/360)</f>
        <v/>
      </c>
      <c r="R114" s="11">
        <f>Time!R30*Inputs!R225*R113*(Inputs!$F$97/100*0.5-Operations!R9/100*Time!R20/360)</f>
        <v/>
      </c>
      <c r="S114" s="11">
        <f>Time!S30*Inputs!S225*S113*(Inputs!$F$97/100*0.5-Operations!S9/100*Time!S20/360)</f>
        <v/>
      </c>
      <c r="T114" s="11">
        <f>Time!T30*Inputs!T225*T113*(Inputs!$F$97/100*0.5-Operations!T9/100*Time!T20/360)</f>
        <v/>
      </c>
      <c r="U114" s="11">
        <f>Time!U30*Inputs!U225*U113*(Inputs!$F$97/100*0.5-Operations!U9/100*Time!U20/360)</f>
        <v/>
      </c>
      <c r="V114" s="11">
        <f>Time!V30*Inputs!V225*V113*(Inputs!$F$97/100*0.5-Operations!V9/100*Time!V20/360)</f>
        <v/>
      </c>
      <c r="W114" s="11">
        <f>Time!W30*Inputs!W225*W113*(Inputs!$F$97/100*0.5-Operations!W9/100*Time!W20/360)</f>
        <v/>
      </c>
      <c r="X114" s="11">
        <f>Time!X30*Inputs!X225*X113*(Inputs!$F$97/100*0.5-Operations!X9/100*Time!X20/360)</f>
        <v/>
      </c>
      <c r="Y114" s="11">
        <f>Time!Y30*Inputs!Y225*Y113*(Inputs!$F$97/100*0.5-Operations!Y9/100*Time!Y20/360)</f>
        <v/>
      </c>
      <c r="Z114" s="11">
        <f>Time!Z30*Inputs!Z225*Z113*(Inputs!$F$97/100*0.5-Operations!Z9/100*Time!Z20/360)</f>
        <v/>
      </c>
      <c r="AA114" s="11">
        <f>Time!AA30*Inputs!AA225*AA113*(Inputs!$F$97/100*0.5-Operations!AA9/100*Time!AA20/360)</f>
        <v/>
      </c>
      <c r="AB114" s="11">
        <f>Time!AB30*Inputs!AB225*AB113*(Inputs!$F$97/100*0.5-Operations!AB9/100*Time!AB20/360)</f>
        <v/>
      </c>
      <c r="AC114" s="11">
        <f>Time!AC30*Inputs!AC225*AC113*(Inputs!$F$97/100*0.5-Operations!AC9/100*Time!AC20/360)</f>
        <v/>
      </c>
      <c r="AD114" s="11">
        <f>Time!AD30*Inputs!AD225*AD113*(Inputs!$F$97/100*0.5-Operations!AD9/100*Time!AD20/360)</f>
        <v/>
      </c>
      <c r="AE114" s="11">
        <f>Time!AE30*Inputs!AE225*AE113*(Inputs!$F$97/100*0.5-Operations!AE9/100*Time!AE20/360)</f>
        <v/>
      </c>
      <c r="AF114" s="11">
        <f>Time!AF30*Inputs!AF225*AF113*(Inputs!$F$97/100*0.5-Operations!AF9/100*Time!AF20/360)</f>
        <v/>
      </c>
      <c r="AG114" s="11">
        <f>Time!AG30*Inputs!AG225*AG113*(Inputs!$F$97/100*0.5-Operations!AG9/100*Time!AG20/360)</f>
        <v/>
      </c>
      <c r="AH114" s="11">
        <f>Time!AH30*Inputs!AH225*AH113*(Inputs!$F$97/100*0.5-Operations!AH9/100*Time!AH20/360)</f>
        <v/>
      </c>
      <c r="AI114" s="11">
        <f>Time!AI30*Inputs!AI225*AI113*(Inputs!$F$97/100*0.5-Operations!AI9/100*Time!AI20/360)</f>
        <v/>
      </c>
      <c r="AJ114" s="11">
        <f>Time!AJ30*Inputs!AJ225*AJ113*(Inputs!$F$97/100*0.5-Operations!AJ9/100*Time!AJ20/360)</f>
        <v/>
      </c>
      <c r="AK114" s="11">
        <f>Time!AK30*Inputs!AK225*AK113*(Inputs!$F$97/100*0.5-Operations!AK9/100*Time!AK20/360)</f>
        <v/>
      </c>
      <c r="AL114" s="11">
        <f>Time!AL30*Inputs!AL225*AL113*(Inputs!$F$97/100*0.5-Operations!AL9/100*Time!AL20/360)</f>
        <v/>
      </c>
      <c r="AM114" s="11">
        <f>Time!AM30*Inputs!AM225*AM113*(Inputs!$F$97/100*0.5-Operations!AM9/100*Time!AM20/360)</f>
        <v/>
      </c>
      <c r="AN114" s="11">
        <f>Time!AN30*Inputs!AN225*AN113*(Inputs!$F$97/100*0.5-Operations!AN9/100*Time!AN20/360)</f>
        <v/>
      </c>
      <c r="AO114" s="11">
        <f>Time!AO30*Inputs!AO225*AO113*(Inputs!$F$97/100*0.5-Operations!AO9/100*Time!AO20/360)</f>
        <v/>
      </c>
      <c r="AP114" s="11">
        <f>Time!AP30*Inputs!AP225*AP113*(Inputs!$F$97/100*0.5-Operations!AP9/100*Time!AP20/360)</f>
        <v/>
      </c>
      <c r="AQ114" s="11">
        <f>Time!AQ30*Inputs!AQ225*AQ113*(Inputs!$F$97/100*0.5-Operations!AQ9/100*Time!AQ20/360)</f>
        <v/>
      </c>
      <c r="AR114" s="11">
        <f>Time!AR30*Inputs!AR225*AR113*(Inputs!$F$97/100*0.5-Operations!AR9/100*Time!AR20/360)</f>
        <v/>
      </c>
      <c r="AS114" s="11">
        <f>Time!AS30*Inputs!AS225*AS113*(Inputs!$F$97/100*0.5-Operations!AS9/100*Time!AS20/360)</f>
        <v/>
      </c>
      <c r="AT114" s="11">
        <f>Time!AT30*Inputs!AT225*AT113*(Inputs!$F$97/100*0.5-Operations!AT9/100*Time!AT20/360)</f>
        <v/>
      </c>
      <c r="AU114" s="11">
        <f>Time!AU30*Inputs!AU225*AU113*(Inputs!$F$97/100*0.5-Operations!AU9/100*Time!AU20/360)</f>
        <v/>
      </c>
      <c r="AV114" s="11">
        <f>Time!AV30*Inputs!AV225*AV113*(Inputs!$F$97/100*0.5-Operations!AV9/100*Time!AV20/360)</f>
        <v/>
      </c>
      <c r="AW114" s="11">
        <f>Time!AW30*Inputs!AW225*AW113*(Inputs!$F$97/100*0.5-Operations!AW9/100*Time!AW20/360)</f>
        <v/>
      </c>
      <c r="AX114" s="11">
        <f>Time!AX30*Inputs!AX225*AX113*(Inputs!$F$97/100*0.5-Operations!AX9/100*Time!AX20/360)</f>
        <v/>
      </c>
      <c r="AY114" s="11">
        <f>Time!AY30*Inputs!AY225*AY113*(Inputs!$F$97/100*0.5-Operations!AY9/100*Time!AY20/360)</f>
        <v/>
      </c>
      <c r="AZ114" s="11">
        <f>Time!AZ30*Inputs!AZ225*AZ113*(Inputs!$F$97/100*0.5-Operations!AZ9/100*Time!AZ20/360)</f>
        <v/>
      </c>
      <c r="BA114" s="11">
        <f>Time!BA30*Inputs!BA225*BA113*(Inputs!$F$97/100*0.5-Operations!BA9/100*Time!BA20/360)</f>
        <v/>
      </c>
      <c r="BB114" s="11">
        <f>Time!BB30*Inputs!BB225*BB113*(Inputs!$F$97/100*0.5-Operations!BB9/100*Time!BB20/360)</f>
        <v/>
      </c>
      <c r="BC114" s="11">
        <f>Time!BC30*Inputs!BC225*BC113*(Inputs!$F$97/100*0.5-Operations!BC9/100*Time!BC20/360)</f>
        <v/>
      </c>
      <c r="BD114" s="11">
        <f>Time!BD30*Inputs!BD225*BD113*(Inputs!$F$97/100*0.5-Operations!BD9/100*Time!BD20/360)</f>
        <v/>
      </c>
      <c r="BE114" s="11">
        <f>Time!BE30*Inputs!BE225*BE113*(Inputs!$F$97/100*0.5-Operations!BE9/100*Time!BE20/360)</f>
        <v/>
      </c>
      <c r="BF114" s="11">
        <f>Time!BF30*Inputs!BF225*BF113*(Inputs!$F$97/100*0.5-Operations!BF9/100*Time!BF20/360)</f>
        <v/>
      </c>
      <c r="BG114" s="11">
        <f>Time!BG30*Inputs!BG225*BG113*(Inputs!$F$97/100*0.5-Operations!BG9/100*Time!BG20/360)</f>
        <v/>
      </c>
      <c r="BH114" s="11">
        <f>Time!BH30*Inputs!BH225*BH113*(Inputs!$F$97/100*0.5-Operations!BH9/100*Time!BH20/360)</f>
        <v/>
      </c>
      <c r="BI114" s="11">
        <f>Time!BI30*Inputs!BI225*BI113*(Inputs!$F$97/100*0.5-Operations!BI9/100*Time!BI20/360)</f>
        <v/>
      </c>
      <c r="BJ114" s="11">
        <f>Time!BJ30*Inputs!BJ225*BJ113*(Inputs!$F$97/100*0.5-Operations!BJ9/100*Time!BJ20/360)</f>
        <v/>
      </c>
      <c r="BK114" s="11">
        <f>Time!BK30*Inputs!BK225*BK113*(Inputs!$F$97/100*0.5-Operations!BK9/100*Time!BK20/360)</f>
        <v/>
      </c>
      <c r="BL114" s="11">
        <f>Time!BL30*Inputs!BL225*BL113*(Inputs!$F$97/100*0.5-Operations!BL9/100*Time!BL20/360)</f>
        <v/>
      </c>
      <c r="BM114" s="11">
        <f>Time!BM30*Inputs!BM225*BM113*(Inputs!$F$97/100*0.5-Operations!BM9/100*Time!BM20/360)</f>
        <v/>
      </c>
      <c r="BN114" s="11">
        <f>Time!BN30*Inputs!BN225*BN113*(Inputs!$F$97/100*0.5-Operations!BN9/100*Time!BN20/360)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(Inputs!$F$95/100*Inputs!$F$96/100)*J70*Time!J20/365</f>
        <v/>
      </c>
      <c r="K115" s="11">
        <f>(Inputs!$F$95/100*Inputs!$F$96/100)*K70*Time!K20/365</f>
        <v/>
      </c>
      <c r="L115" s="11">
        <f>(Inputs!$F$95/100*Inputs!$F$96/100)*L70*Time!L20/365</f>
        <v/>
      </c>
      <c r="M115" s="11">
        <f>(Inputs!$F$95/100*Inputs!$F$96/100)*M70*Time!M20/365</f>
        <v/>
      </c>
      <c r="N115" s="11">
        <f>(Inputs!$F$95/100*Inputs!$F$96/100)*N70*Time!N20/365</f>
        <v/>
      </c>
      <c r="O115" s="11">
        <f>(Inputs!$F$95/100*Inputs!$F$96/100)*O70*Time!O20/365</f>
        <v/>
      </c>
      <c r="P115" s="11">
        <f>(Inputs!$F$95/100*Inputs!$F$96/100)*P70*Time!P20/365</f>
        <v/>
      </c>
      <c r="Q115" s="11">
        <f>(Inputs!$F$95/100*Inputs!$F$96/100)*Q70*Time!Q20/365</f>
        <v/>
      </c>
      <c r="R115" s="11">
        <f>(Inputs!$F$95/100*Inputs!$F$96/100)*R70*Time!R20/365</f>
        <v/>
      </c>
      <c r="S115" s="11">
        <f>(Inputs!$F$95/100*Inputs!$F$96/100)*S70*Time!S20/365</f>
        <v/>
      </c>
      <c r="T115" s="11">
        <f>(Inputs!$F$95/100*Inputs!$F$96/100)*T70*Time!T20/365</f>
        <v/>
      </c>
      <c r="U115" s="11">
        <f>(Inputs!$F$95/100*Inputs!$F$96/100)*U70*Time!U20/365</f>
        <v/>
      </c>
      <c r="V115" s="11">
        <f>(Inputs!$F$95/100*Inputs!$F$96/100)*V70*Time!V20/365</f>
        <v/>
      </c>
      <c r="W115" s="11">
        <f>(Inputs!$F$95/100*Inputs!$F$96/100)*W70*Time!W20/365</f>
        <v/>
      </c>
      <c r="X115" s="11">
        <f>(Inputs!$F$95/100*Inputs!$F$96/100)*X70*Time!X20/365</f>
        <v/>
      </c>
      <c r="Y115" s="11">
        <f>(Inputs!$F$95/100*Inputs!$F$96/100)*Y70*Time!Y20/365</f>
        <v/>
      </c>
      <c r="Z115" s="11">
        <f>(Inputs!$F$95/100*Inputs!$F$96/100)*Z70*Time!Z20/365</f>
        <v/>
      </c>
      <c r="AA115" s="11">
        <f>(Inputs!$F$95/100*Inputs!$F$96/100)*AA70*Time!AA20/365</f>
        <v/>
      </c>
      <c r="AB115" s="11">
        <f>(Inputs!$F$95/100*Inputs!$F$96/100)*AB70*Time!AB20/365</f>
        <v/>
      </c>
      <c r="AC115" s="11">
        <f>(Inputs!$F$95/100*Inputs!$F$96/100)*AC70*Time!AC20/365</f>
        <v/>
      </c>
      <c r="AD115" s="11">
        <f>(Inputs!$F$95/100*Inputs!$F$96/100)*AD70*Time!AD20/365</f>
        <v/>
      </c>
      <c r="AE115" s="11">
        <f>(Inputs!$F$95/100*Inputs!$F$96/100)*AE70*Time!AE20/365</f>
        <v/>
      </c>
      <c r="AF115" s="11">
        <f>(Inputs!$F$95/100*Inputs!$F$96/100)*AF70*Time!AF20/365</f>
        <v/>
      </c>
      <c r="AG115" s="11">
        <f>(Inputs!$F$95/100*Inputs!$F$96/100)*AG70*Time!AG20/365</f>
        <v/>
      </c>
      <c r="AH115" s="11">
        <f>(Inputs!$F$95/100*Inputs!$F$96/100)*AH70*Time!AH20/365</f>
        <v/>
      </c>
      <c r="AI115" s="11">
        <f>(Inputs!$F$95/100*Inputs!$F$96/100)*AI70*Time!AI20/365</f>
        <v/>
      </c>
      <c r="AJ115" s="11">
        <f>(Inputs!$F$95/100*Inputs!$F$96/100)*AJ70*Time!AJ20/365</f>
        <v/>
      </c>
      <c r="AK115" s="11">
        <f>(Inputs!$F$95/100*Inputs!$F$96/100)*AK70*Time!AK20/365</f>
        <v/>
      </c>
      <c r="AL115" s="11">
        <f>(Inputs!$F$95/100*Inputs!$F$96/100)*AL70*Time!AL20/365</f>
        <v/>
      </c>
      <c r="AM115" s="11">
        <f>(Inputs!$F$95/100*Inputs!$F$96/100)*AM70*Time!AM20/365</f>
        <v/>
      </c>
      <c r="AN115" s="11">
        <f>(Inputs!$F$95/100*Inputs!$F$96/100)*AN70*Time!AN20/365</f>
        <v/>
      </c>
      <c r="AO115" s="11">
        <f>(Inputs!$F$95/100*Inputs!$F$96/100)*AO70*Time!AO20/365</f>
        <v/>
      </c>
      <c r="AP115" s="11">
        <f>(Inputs!$F$95/100*Inputs!$F$96/100)*AP70*Time!AP20/365</f>
        <v/>
      </c>
      <c r="AQ115" s="11">
        <f>(Inputs!$F$95/100*Inputs!$F$96/100)*AQ70*Time!AQ20/365</f>
        <v/>
      </c>
      <c r="AR115" s="11">
        <f>(Inputs!$F$95/100*Inputs!$F$96/100)*AR70*Time!AR20/365</f>
        <v/>
      </c>
      <c r="AS115" s="11">
        <f>(Inputs!$F$95/100*Inputs!$F$96/100)*AS70*Time!AS20/365</f>
        <v/>
      </c>
      <c r="AT115" s="11">
        <f>(Inputs!$F$95/100*Inputs!$F$96/100)*AT70*Time!AT20/365</f>
        <v/>
      </c>
      <c r="AU115" s="11">
        <f>(Inputs!$F$95/100*Inputs!$F$96/100)*AU70*Time!AU20/365</f>
        <v/>
      </c>
      <c r="AV115" s="11">
        <f>(Inputs!$F$95/100*Inputs!$F$96/100)*AV70*Time!AV20/365</f>
        <v/>
      </c>
      <c r="AW115" s="11">
        <f>(Inputs!$F$95/100*Inputs!$F$96/100)*AW70*Time!AW20/365</f>
        <v/>
      </c>
      <c r="AX115" s="11">
        <f>(Inputs!$F$95/100*Inputs!$F$96/100)*AX70*Time!AX20/365</f>
        <v/>
      </c>
      <c r="AY115" s="11">
        <f>(Inputs!$F$95/100*Inputs!$F$96/100)*AY70*Time!AY20/365</f>
        <v/>
      </c>
      <c r="AZ115" s="11">
        <f>(Inputs!$F$95/100*Inputs!$F$96/100)*AZ70*Time!AZ20/365</f>
        <v/>
      </c>
      <c r="BA115" s="11">
        <f>(Inputs!$F$95/100*Inputs!$F$96/100)*BA70*Time!BA20/365</f>
        <v/>
      </c>
      <c r="BB115" s="11">
        <f>(Inputs!$F$95/100*Inputs!$F$96/100)*BB70*Time!BB20/365</f>
        <v/>
      </c>
      <c r="BC115" s="11">
        <f>(Inputs!$F$95/100*Inputs!$F$96/100)*BC70*Time!BC20/365</f>
        <v/>
      </c>
      <c r="BD115" s="11">
        <f>(Inputs!$F$95/100*Inputs!$F$96/100)*BD70*Time!BD20/365</f>
        <v/>
      </c>
      <c r="BE115" s="11">
        <f>(Inputs!$F$95/100*Inputs!$F$96/100)*BE70*Time!BE20/365</f>
        <v/>
      </c>
      <c r="BF115" s="11">
        <f>(Inputs!$F$95/100*Inputs!$F$96/100)*BF70*Time!BF20/365</f>
        <v/>
      </c>
      <c r="BG115" s="11">
        <f>(Inputs!$F$95/100*Inputs!$F$96/100)*BG70*Time!BG20/365</f>
        <v/>
      </c>
      <c r="BH115" s="11">
        <f>(Inputs!$F$95/100*Inputs!$F$96/100)*BH70*Time!BH20/365</f>
        <v/>
      </c>
      <c r="BI115" s="11">
        <f>(Inputs!$F$95/100*Inputs!$F$96/100)*BI70*Time!BI20/365</f>
        <v/>
      </c>
      <c r="BJ115" s="11">
        <f>(Inputs!$F$95/100*Inputs!$F$96/100)*BJ70*Time!BJ20/365</f>
        <v/>
      </c>
      <c r="BK115" s="11">
        <f>(Inputs!$F$95/100*Inputs!$F$96/100)*BK70*Time!BK20/365</f>
        <v/>
      </c>
      <c r="BL115" s="11">
        <f>(Inputs!$F$95/100*Inputs!$F$96/100)*BL70*Time!BL20/365</f>
        <v/>
      </c>
      <c r="BM115" s="11">
        <f>(Inputs!$F$95/100*Inputs!$F$96/100)*BM70*Time!BM20/365</f>
        <v/>
      </c>
      <c r="BN115" s="11">
        <f>(Inputs!$F$95/100*Inputs!$F$96/100)*BN70*Time!BN20/365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IF($F$109&gt;0,Inputs!$F$200/100*0.5*W100*Inputs!$F$199/$F$109,0)</f>
        <v/>
      </c>
      <c r="X116" s="11">
        <f>IF($F$109&gt;0,Inputs!$F$200/100*0.5*X100*Inputs!$F$199/$F$109,0)</f>
        <v/>
      </c>
      <c r="Y116" s="11">
        <f>IF($F$109&gt;0,Inputs!$F$200/100*0.5*Y100*Inputs!$F$199/$F$109,0)</f>
        <v/>
      </c>
      <c r="Z116" s="11">
        <f>IF($F$109&gt;0,Inputs!$F$200/100*0.5*Z100*Inputs!$F$199/$F$109,0)</f>
        <v/>
      </c>
      <c r="AA116" s="11">
        <f>IF($F$109&gt;0,Inputs!$F$200/100*0.5*AA100*Inputs!$F$199/$F$109,0)</f>
        <v/>
      </c>
      <c r="AB116" s="11">
        <f>IF($F$109&gt;0,Inputs!$F$200/100*0.5*AB100*Inputs!$F$199/$F$109,0)</f>
        <v/>
      </c>
      <c r="AC116" s="11">
        <f>IF($F$109&gt;0,Inputs!$F$200/100*0.5*AC100*Inputs!$F$199/$F$109,0)</f>
        <v/>
      </c>
      <c r="AD116" s="11">
        <f>IF($F$109&gt;0,Inputs!$F$200/100*0.5*AD100*Inputs!$F$199/$F$109,0)</f>
        <v/>
      </c>
      <c r="AE116" s="11">
        <f>IF($F$109&gt;0,Inputs!$F$200/100*0.5*AE100*Inputs!$F$199/$F$109,0)</f>
        <v/>
      </c>
      <c r="AF116" s="11">
        <f>IF($F$109&gt;0,Inputs!$F$200/100*0.5*AF100*Inputs!$F$199/$F$109,0)</f>
        <v/>
      </c>
      <c r="AG116" s="11">
        <f>IF($F$109&gt;0,Inputs!$F$200/100*0.5*AG100*Inputs!$F$199/$F$109,0)</f>
        <v/>
      </c>
      <c r="AH116" s="11">
        <f>IF($F$109&gt;0,Inputs!$F$200/100*0.5*AH100*Inputs!$F$199/$F$109,0)</f>
        <v/>
      </c>
      <c r="AI116" s="11">
        <f>IF($F$109&gt;0,Inputs!$F$200/100*0.5*AI100*Inputs!$F$199/$F$109,0)</f>
        <v/>
      </c>
      <c r="AJ116" s="11">
        <f>IF($F$109&gt;0,Inputs!$F$200/100*0.5*AJ100*Inputs!$F$199/$F$109,0)</f>
        <v/>
      </c>
      <c r="AK116" s="11">
        <f>IF($F$109&gt;0,Inputs!$F$200/100*0.5*AK100*Inputs!$F$199/$F$109,0)</f>
        <v/>
      </c>
      <c r="AL116" s="11">
        <f>IF($F$109&gt;0,Inputs!$F$200/100*0.5*AL100*Inputs!$F$199/$F$109,0)</f>
        <v/>
      </c>
      <c r="AM116" s="11">
        <f>IF($F$109&gt;0,Inputs!$F$200/100*0.5*AM100*Inputs!$F$199/$F$109,0)</f>
        <v/>
      </c>
      <c r="AN116" s="11">
        <f>IF($F$109&gt;0,Inputs!$F$200/100*0.5*AN100*Inputs!$F$199/$F$109,0)</f>
        <v/>
      </c>
      <c r="AO116" s="11">
        <f>IF($F$109&gt;0,Inputs!$F$200/100*0.5*AO100*Inputs!$F$199/$F$109,0)</f>
        <v/>
      </c>
      <c r="AP116" s="11">
        <f>IF($F$109&gt;0,Inputs!$F$200/100*0.5*AP100*Inputs!$F$199/$F$109,0)</f>
        <v/>
      </c>
      <c r="AQ116" s="11">
        <f>IF($F$109&gt;0,Inputs!$F$200/100*0.5*AQ100*Inputs!$F$199/$F$109,0)</f>
        <v/>
      </c>
      <c r="AR116" s="11">
        <f>IF($F$109&gt;0,Inputs!$F$200/100*0.5*AR100*Inputs!$F$199/$F$109,0)</f>
        <v/>
      </c>
      <c r="AS116" s="11">
        <f>IF($F$109&gt;0,Inputs!$F$200/100*0.5*AS100*Inputs!$F$199/$F$109,0)</f>
        <v/>
      </c>
      <c r="AT116" s="11">
        <f>IF($F$109&gt;0,Inputs!$F$200/100*0.5*AT100*Inputs!$F$199/$F$109,0)</f>
        <v/>
      </c>
      <c r="AU116" s="11">
        <f>IF($F$109&gt;0,Inputs!$F$200/100*0.5*AU100*Inputs!$F$199/$F$109,0)</f>
        <v/>
      </c>
      <c r="AV116" s="11">
        <f>IF($F$109&gt;0,Inputs!$F$200/100*0.5*AV100*Inputs!$F$199/$F$109,0)</f>
        <v/>
      </c>
      <c r="AW116" s="11">
        <f>IF($F$109&gt;0,Inputs!$F$200/100*0.5*AW100*Inputs!$F$199/$F$109,0)</f>
        <v/>
      </c>
      <c r="AX116" s="11">
        <f>IF($F$109&gt;0,Inputs!$F$200/100*0.5*AX100*Inputs!$F$199/$F$109,0)</f>
        <v/>
      </c>
      <c r="AY116" s="11">
        <f>IF($F$109&gt;0,Inputs!$F$200/100*0.5*AY100*Inputs!$F$199/$F$109,0)</f>
        <v/>
      </c>
      <c r="AZ116" s="11">
        <f>IF($F$109&gt;0,Inputs!$F$200/100*0.5*AZ100*Inputs!$F$199/$F$109,0)</f>
        <v/>
      </c>
      <c r="BA116" s="11">
        <f>IF($F$109&gt;0,Inputs!$F$200/100*0.5*BA100*Inputs!$F$199/$F$109,0)</f>
        <v/>
      </c>
      <c r="BB116" s="11">
        <f>IF($F$109&gt;0,Inputs!$F$200/100*0.5*BB100*Inputs!$F$199/$F$109,0)</f>
        <v/>
      </c>
      <c r="BC116" s="11">
        <f>IF($F$109&gt;0,Inputs!$F$200/100*0.5*BC100*Inputs!$F$199/$F$109,0)</f>
        <v/>
      </c>
      <c r="BD116" s="11">
        <f>IF($F$109&gt;0,Inputs!$F$200/100*0.5*BD100*Inputs!$F$199/$F$109,0)</f>
        <v/>
      </c>
      <c r="BE116" s="11">
        <f>IF($F$109&gt;0,Inputs!$F$200/100*0.5*BE100*Inputs!$F$199/$F$109,0)</f>
        <v/>
      </c>
      <c r="BF116" s="11">
        <f>IF($F$109&gt;0,Inputs!$F$200/100*0.5*BF100*Inputs!$F$199/$F$109,0)</f>
        <v/>
      </c>
      <c r="BG116" s="11">
        <f>IF($F$109&gt;0,Inputs!$F$200/100*0.5*BG100*Inputs!$F$199/$F$109,0)</f>
        <v/>
      </c>
      <c r="BH116" s="11">
        <f>IF($F$109&gt;0,Inputs!$F$200/100*0.5*BH100*Inputs!$F$199/$F$109,0)</f>
        <v/>
      </c>
      <c r="BI116" s="11">
        <f>IF($F$109&gt;0,Inputs!$F$200/100*0.5*BI100*Inputs!$F$199/$F$109,0)</f>
        <v/>
      </c>
      <c r="BJ116" s="11">
        <f>IF($F$109&gt;0,Inputs!$F$200/100*0.5*BJ100*Inputs!$F$199/$F$109,0)</f>
        <v/>
      </c>
      <c r="BK116" s="11">
        <f>IF($F$109&gt;0,Inputs!$F$200/100*0.5*BK100*Inputs!$F$199/$F$109,0)</f>
        <v/>
      </c>
      <c r="BL116" s="11">
        <f>IF($F$109&gt;0,Inputs!$F$200/100*0.5*BL100*Inputs!$F$199/$F$109,0)</f>
        <v/>
      </c>
      <c r="BM116" s="11">
        <f>IF($F$109&gt;0,Inputs!$F$200/100*0.5*BM100*Inputs!$F$199/$F$109,0)</f>
        <v/>
      </c>
      <c r="BN116" s="11">
        <f>IF($F$109&gt;0,Inputs!$F$200/100*0.5*BN100*Inputs!$F$199/$F$109,0)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J21*Inputs!$F$192/100*(J25+J40+J55+J70+J85)</f>
        <v/>
      </c>
      <c r="K117" s="11">
        <f>K21*Inputs!$F$192/100*(K25+K40+K55+K70+K85)</f>
        <v/>
      </c>
      <c r="L117" s="11">
        <f>L21*Inputs!$F$192/100*(L25+L40+L55+L70+L85)</f>
        <v/>
      </c>
      <c r="M117" s="11">
        <f>M21*Inputs!$F$192/100*(M25+M40+M55+M70+M85)</f>
        <v/>
      </c>
      <c r="N117" s="11">
        <f>N21*Inputs!$F$192/100*(N25+N40+N55+N70+N85)</f>
        <v/>
      </c>
      <c r="O117" s="11">
        <f>O21*Inputs!$F$192/100*(O25+O40+O55+O70+O85)</f>
        <v/>
      </c>
      <c r="P117" s="11">
        <f>P21*Inputs!$F$192/100*(P25+P40+P55+P70+P85)</f>
        <v/>
      </c>
      <c r="Q117" s="11">
        <f>Q21*Inputs!$F$192/100*(Q25+Q40+Q55+Q70+Q85)</f>
        <v/>
      </c>
      <c r="R117" s="11">
        <f>R21*Inputs!$F$192/100*(R25+R40+R55+R70+R85)</f>
        <v/>
      </c>
      <c r="S117" s="11">
        <f>S21*Inputs!$F$192/100*(S25+S40+S55+S70+S85)</f>
        <v/>
      </c>
      <c r="T117" s="11">
        <f>T21*Inputs!$F$192/100*(T25+T40+T55+T70+T85)</f>
        <v/>
      </c>
      <c r="U117" s="11">
        <f>U21*Inputs!$F$192/100*(U25+U40+U55+U70+U85)</f>
        <v/>
      </c>
      <c r="V117" s="11">
        <f>V21*Inputs!$F$192/100*(V25+V40+V55+V70+V85)</f>
        <v/>
      </c>
      <c r="W117" s="11">
        <f>W21*Inputs!$F$192/100*(W25+W40+W55+W70+W85)</f>
        <v/>
      </c>
      <c r="X117" s="11">
        <f>X21*Inputs!$F$192/100*(X25+X40+X55+X70+X85)</f>
        <v/>
      </c>
      <c r="Y117" s="11">
        <f>Y21*Inputs!$F$192/100*(Y25+Y40+Y55+Y70+Y85)</f>
        <v/>
      </c>
      <c r="Z117" s="11">
        <f>Z21*Inputs!$F$192/100*(Z25+Z40+Z55+Z70+Z85)</f>
        <v/>
      </c>
      <c r="AA117" s="11">
        <f>AA21*Inputs!$F$192/100*(AA25+AA40+AA55+AA70+AA85)</f>
        <v/>
      </c>
      <c r="AB117" s="11">
        <f>AB21*Inputs!$F$192/100*(AB25+AB40+AB55+AB70+AB85)</f>
        <v/>
      </c>
      <c r="AC117" s="11">
        <f>AC21*Inputs!$F$192/100*(AC25+AC40+AC55+AC70+AC85)</f>
        <v/>
      </c>
      <c r="AD117" s="11">
        <f>AD21*Inputs!$F$192/100*(AD25+AD40+AD55+AD70+AD85)</f>
        <v/>
      </c>
      <c r="AE117" s="11">
        <f>AE21*Inputs!$F$192/100*(AE25+AE40+AE55+AE70+AE85)</f>
        <v/>
      </c>
      <c r="AF117" s="11">
        <f>AF21*Inputs!$F$192/100*(AF25+AF40+AF55+AF70+AF85)</f>
        <v/>
      </c>
      <c r="AG117" s="11">
        <f>AG21*Inputs!$F$192/100*(AG25+AG40+AG55+AG70+AG85)</f>
        <v/>
      </c>
      <c r="AH117" s="11">
        <f>AH21*Inputs!$F$192/100*(AH25+AH40+AH55+AH70+AH85)</f>
        <v/>
      </c>
      <c r="AI117" s="11">
        <f>AI21*Inputs!$F$192/100*(AI25+AI40+AI55+AI70+AI85)</f>
        <v/>
      </c>
      <c r="AJ117" s="11">
        <f>AJ21*Inputs!$F$192/100*(AJ25+AJ40+AJ55+AJ70+AJ85)</f>
        <v/>
      </c>
      <c r="AK117" s="11">
        <f>AK21*Inputs!$F$192/100*(AK25+AK40+AK55+AK70+AK85)</f>
        <v/>
      </c>
      <c r="AL117" s="11">
        <f>AL21*Inputs!$F$192/100*(AL25+AL40+AL55+AL70+AL85)</f>
        <v/>
      </c>
      <c r="AM117" s="11">
        <f>AM21*Inputs!$F$192/100*(AM25+AM40+AM55+AM70+AM85)</f>
        <v/>
      </c>
      <c r="AN117" s="11">
        <f>AN21*Inputs!$F$192/100*(AN25+AN40+AN55+AN70+AN85)</f>
        <v/>
      </c>
      <c r="AO117" s="11">
        <f>AO21*Inputs!$F$192/100*(AO25+AO40+AO55+AO70+AO85)</f>
        <v/>
      </c>
      <c r="AP117" s="11">
        <f>AP21*Inputs!$F$192/100*(AP25+AP40+AP55+AP70+AP85)</f>
        <v/>
      </c>
      <c r="AQ117" s="11">
        <f>AQ21*Inputs!$F$192/100*(AQ25+AQ40+AQ55+AQ70+AQ85)</f>
        <v/>
      </c>
      <c r="AR117" s="11">
        <f>AR21*Inputs!$F$192/100*(AR25+AR40+AR55+AR70+AR85)</f>
        <v/>
      </c>
      <c r="AS117" s="11">
        <f>AS21*Inputs!$F$192/100*(AS25+AS40+AS55+AS70+AS85)</f>
        <v/>
      </c>
      <c r="AT117" s="11">
        <f>AT21*Inputs!$F$192/100*(AT25+AT40+AT55+AT70+AT85)</f>
        <v/>
      </c>
      <c r="AU117" s="11">
        <f>AU21*Inputs!$F$192/100*(AU25+AU40+AU55+AU70+AU85)</f>
        <v/>
      </c>
      <c r="AV117" s="11">
        <f>AV21*Inputs!$F$192/100*(AV25+AV40+AV55+AV70+AV85)</f>
        <v/>
      </c>
      <c r="AW117" s="11">
        <f>AW21*Inputs!$F$192/100*(AW25+AW40+AW55+AW70+AW85)</f>
        <v/>
      </c>
      <c r="AX117" s="11">
        <f>AX21*Inputs!$F$192/100*(AX25+AX40+AX55+AX70+AX85)</f>
        <v/>
      </c>
      <c r="AY117" s="11">
        <f>AY21*Inputs!$F$192/100*(AY25+AY40+AY55+AY70+AY85)</f>
        <v/>
      </c>
      <c r="AZ117" s="11">
        <f>AZ21*Inputs!$F$192/100*(AZ25+AZ40+AZ55+AZ70+AZ85)</f>
        <v/>
      </c>
      <c r="BA117" s="11">
        <f>BA21*Inputs!$F$192/100*(BA25+BA40+BA55+BA70+BA85)</f>
        <v/>
      </c>
      <c r="BB117" s="11">
        <f>BB21*Inputs!$F$192/100*(BB25+BB40+BB55+BB70+BB85)</f>
        <v/>
      </c>
      <c r="BC117" s="11">
        <f>BC21*Inputs!$F$192/100*(BC25+BC40+BC55+BC70+BC85)</f>
        <v/>
      </c>
      <c r="BD117" s="11">
        <f>BD21*Inputs!$F$192/100*(BD25+BD40+BD55+BD70+BD85)</f>
        <v/>
      </c>
      <c r="BE117" s="11">
        <f>BE21*Inputs!$F$192/100*(BE25+BE40+BE55+BE70+BE85)</f>
        <v/>
      </c>
      <c r="BF117" s="11">
        <f>BF21*Inputs!$F$192/100*(BF25+BF40+BF55+BF70+BF85)</f>
        <v/>
      </c>
      <c r="BG117" s="11">
        <f>BG21*Inputs!$F$192/100*(BG25+BG40+BG55+BG70+BG85)</f>
        <v/>
      </c>
      <c r="BH117" s="11">
        <f>BH21*Inputs!$F$192/100*(BH25+BH40+BH55+BH70+BH85)</f>
        <v/>
      </c>
      <c r="BI117" s="11">
        <f>BI21*Inputs!$F$192/100*(BI25+BI40+BI55+BI70+BI85)</f>
        <v/>
      </c>
      <c r="BJ117" s="11">
        <f>BJ21*Inputs!$F$192/100*(BJ25+BJ40+BJ55+BJ70+BJ85)</f>
        <v/>
      </c>
      <c r="BK117" s="11">
        <f>BK21*Inputs!$F$192/100*(BK25+BK40+BK55+BK70+BK85)</f>
        <v/>
      </c>
      <c r="BL117" s="11">
        <f>BL21*Inputs!$F$192/100*(BL25+BL40+BL55+BL70+BL85)</f>
        <v/>
      </c>
      <c r="BM117" s="11">
        <f>BM21*Inputs!$F$192/100*(BM25+BM40+BM55+BM70+BM85)</f>
        <v/>
      </c>
      <c r="BN117" s="11">
        <f>BN21*Inputs!$F$192/100*(BN25+BN40+BN55+BN70+BN85)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IF(AND(Time!W17&gt;=Time!$F$11,Time!W17&lt;57,W103+W20*$F$109&gt;0.000000001),MIN($F$109*Inputs!X224,W103+W20*$F$109)+(W103+W20*$F$109)*(X15+Inputs!$F$200/100*0.5*Inputs!$F$199/$F$109),0)</f>
        <v/>
      </c>
      <c r="X131" s="11">
        <f>IF(AND(Time!X17&gt;=Time!$F$11,Time!X17&lt;57,X103+X20*$F$109&gt;0.000000001),MIN($F$109*Inputs!Y224,X103+X20*$F$109)+(X103+X20*$F$109)*(Y15+Inputs!$F$200/100*0.5*Inputs!$F$199/$F$109),0)</f>
        <v/>
      </c>
      <c r="Y131" s="11">
        <f>IF(AND(Time!Y17&gt;=Time!$F$11,Time!Y17&lt;57,Y103+Y20*$F$109&gt;0.000000001),MIN($F$109*Inputs!Z224,Y103+Y20*$F$109)+(Y103+Y20*$F$109)*(Z15+Inputs!$F$200/100*0.5*Inputs!$F$199/$F$109),0)</f>
        <v/>
      </c>
      <c r="Z131" s="11">
        <f>IF(AND(Time!Z17&gt;=Time!$F$11,Time!Z17&lt;57,Z103+Z20*$F$109&gt;0.000000001),MIN($F$109*Inputs!AA224,Z103+Z20*$F$109)+(Z103+Z20*$F$109)*(AA15+Inputs!$F$200/100*0.5*Inputs!$F$199/$F$109),0)</f>
        <v/>
      </c>
      <c r="AA131" s="11">
        <f>IF(AND(Time!AA17&gt;=Time!$F$11,Time!AA17&lt;57,AA103+AA20*$F$109&gt;0.000000001),MIN($F$109*Inputs!AB224,AA103+AA20*$F$109)+(AA103+AA20*$F$109)*(AB15+Inputs!$F$200/100*0.5*Inputs!$F$199/$F$109),0)</f>
        <v/>
      </c>
      <c r="AB131" s="11">
        <f>IF(AND(Time!AB17&gt;=Time!$F$11,Time!AB17&lt;57,AB103+AB20*$F$109&gt;0.000000001),MIN($F$109*Inputs!AC224,AB103+AB20*$F$109)+(AB103+AB20*$F$109)*(AC15+Inputs!$F$200/100*0.5*Inputs!$F$199/$F$109),0)</f>
        <v/>
      </c>
      <c r="AC131" s="11">
        <f>IF(AND(Time!AC17&gt;=Time!$F$11,Time!AC17&lt;57,AC103+AC20*$F$109&gt;0.000000001),MIN($F$109*Inputs!AD224,AC103+AC20*$F$109)+(AC103+AC20*$F$109)*(AD15+Inputs!$F$200/100*0.5*Inputs!$F$199/$F$109),0)</f>
        <v/>
      </c>
      <c r="AD131" s="11">
        <f>IF(AND(Time!AD17&gt;=Time!$F$11,Time!AD17&lt;57,AD103+AD20*$F$109&gt;0.000000001),MIN($F$109*Inputs!AE224,AD103+AD20*$F$109)+(AD103+AD20*$F$109)*(AE15+Inputs!$F$200/100*0.5*Inputs!$F$199/$F$109),0)</f>
        <v/>
      </c>
      <c r="AE131" s="11">
        <f>IF(AND(Time!AE17&gt;=Time!$F$11,Time!AE17&lt;57,AE103+AE20*$F$109&gt;0.000000001),MIN($F$109*Inputs!AF224,AE103+AE20*$F$109)+(AE103+AE20*$F$109)*(AF15+Inputs!$F$200/100*0.5*Inputs!$F$199/$F$109),0)</f>
        <v/>
      </c>
      <c r="AF131" s="11">
        <f>IF(AND(Time!AF17&gt;=Time!$F$11,Time!AF17&lt;57,AF103+AF20*$F$109&gt;0.000000001),MIN($F$109*Inputs!AG224,AF103+AF20*$F$109)+(AF103+AF20*$F$109)*(AG15+Inputs!$F$200/100*0.5*Inputs!$F$199/$F$109),0)</f>
        <v/>
      </c>
      <c r="AG131" s="11">
        <f>IF(AND(Time!AG17&gt;=Time!$F$11,Time!AG17&lt;57,AG103+AG20*$F$109&gt;0.000000001),MIN($F$109*Inputs!AH224,AG103+AG20*$F$109)+(AG103+AG20*$F$109)*(AH15+Inputs!$F$200/100*0.5*Inputs!$F$199/$F$109),0)</f>
        <v/>
      </c>
      <c r="AH131" s="11">
        <f>IF(AND(Time!AH17&gt;=Time!$F$11,Time!AH17&lt;57,AH103+AH20*$F$109&gt;0.000000001),MIN($F$109*Inputs!AI224,AH103+AH20*$F$109)+(AH103+AH20*$F$109)*(AI15+Inputs!$F$200/100*0.5*Inputs!$F$199/$F$109),0)</f>
        <v/>
      </c>
      <c r="AI131" s="11">
        <f>IF(AND(Time!AI17&gt;=Time!$F$11,Time!AI17&lt;57,AI103+AI20*$F$109&gt;0.000000001),MIN($F$109*Inputs!AJ224,AI103+AI20*$F$109)+(AI103+AI20*$F$109)*(AJ15+Inputs!$F$200/100*0.5*Inputs!$F$199/$F$109),0)</f>
        <v/>
      </c>
      <c r="AJ131" s="11">
        <f>IF(AND(Time!AJ17&gt;=Time!$F$11,Time!AJ17&lt;57,AJ103+AJ20*$F$109&gt;0.000000001),MIN($F$109*Inputs!AK224,AJ103+AJ20*$F$109)+(AJ103+AJ20*$F$109)*(AK15+Inputs!$F$200/100*0.5*Inputs!$F$199/$F$109),0)</f>
        <v/>
      </c>
      <c r="AK131" s="11">
        <f>IF(AND(Time!AK17&gt;=Time!$F$11,Time!AK17&lt;57,AK103+AK20*$F$109&gt;0.000000001),MIN($F$109*Inputs!AL224,AK103+AK20*$F$109)+(AK103+AK20*$F$109)*(AL15+Inputs!$F$200/100*0.5*Inputs!$F$199/$F$109),0)</f>
        <v/>
      </c>
      <c r="AL131" s="11">
        <f>IF(AND(Time!AL17&gt;=Time!$F$11,Time!AL17&lt;57,AL103+AL20*$F$109&gt;0.000000001),MIN($F$109*Inputs!AM224,AL103+AL20*$F$109)+(AL103+AL20*$F$109)*(AM15+Inputs!$F$200/100*0.5*Inputs!$F$199/$F$109),0)</f>
        <v/>
      </c>
      <c r="AM131" s="11">
        <f>IF(AND(Time!AM17&gt;=Time!$F$11,Time!AM17&lt;57,AM103+AM20*$F$109&gt;0.000000001),MIN($F$109*Inputs!AN224,AM103+AM20*$F$109)+(AM103+AM20*$F$109)*(AN15+Inputs!$F$200/100*0.5*Inputs!$F$199/$F$109),0)</f>
        <v/>
      </c>
      <c r="AN131" s="11">
        <f>IF(AND(Time!AN17&gt;=Time!$F$11,Time!AN17&lt;57,AN103+AN20*$F$109&gt;0.000000001),MIN($F$109*Inputs!AO224,AN103+AN20*$F$109)+(AN103+AN20*$F$109)*(AO15+Inputs!$F$200/100*0.5*Inputs!$F$199/$F$109),0)</f>
        <v/>
      </c>
      <c r="AO131" s="11">
        <f>IF(AND(Time!AO17&gt;=Time!$F$11,Time!AO17&lt;57,AO103+AO20*$F$109&gt;0.000000001),MIN($F$109*Inputs!AP224,AO103+AO20*$F$109)+(AO103+AO20*$F$109)*(AP15+Inputs!$F$200/100*0.5*Inputs!$F$199/$F$109),0)</f>
        <v/>
      </c>
      <c r="AP131" s="11">
        <f>IF(AND(Time!AP17&gt;=Time!$F$11,Time!AP17&lt;57,AP103+AP20*$F$109&gt;0.000000001),MIN($F$109*Inputs!AQ224,AP103+AP20*$F$109)+(AP103+AP20*$F$109)*(AQ15+Inputs!$F$200/100*0.5*Inputs!$F$199/$F$109),0)</f>
        <v/>
      </c>
      <c r="AQ131" s="11">
        <f>IF(AND(Time!AQ17&gt;=Time!$F$11,Time!AQ17&lt;57,AQ103+AQ20*$F$109&gt;0.000000001),MIN($F$109*Inputs!AR224,AQ103+AQ20*$F$109)+(AQ103+AQ20*$F$109)*(AR15+Inputs!$F$200/100*0.5*Inputs!$F$199/$F$109),0)</f>
        <v/>
      </c>
      <c r="AR131" s="11">
        <f>IF(AND(Time!AR17&gt;=Time!$F$11,Time!AR17&lt;57,AR103+AR20*$F$109&gt;0.000000001),MIN($F$109*Inputs!AS224,AR103+AR20*$F$109)+(AR103+AR20*$F$109)*(AS15+Inputs!$F$200/100*0.5*Inputs!$F$199/$F$109),0)</f>
        <v/>
      </c>
      <c r="AS131" s="11">
        <f>IF(AND(Time!AS17&gt;=Time!$F$11,Time!AS17&lt;57,AS103+AS20*$F$109&gt;0.000000001),MIN($F$109*Inputs!AT224,AS103+AS20*$F$109)+(AS103+AS20*$F$109)*(AT15+Inputs!$F$200/100*0.5*Inputs!$F$199/$F$109),0)</f>
        <v/>
      </c>
      <c r="AT131" s="11">
        <f>IF(AND(Time!AT17&gt;=Time!$F$11,Time!AT17&lt;57,AT103+AT20*$F$109&gt;0.000000001),MIN($F$109*Inputs!AU224,AT103+AT20*$F$109)+(AT103+AT20*$F$109)*(AU15+Inputs!$F$200/100*0.5*Inputs!$F$199/$F$109),0)</f>
        <v/>
      </c>
      <c r="AU131" s="11">
        <f>IF(AND(Time!AU17&gt;=Time!$F$11,Time!AU17&lt;57,AU103+AU20*$F$109&gt;0.000000001),MIN($F$109*Inputs!AV224,AU103+AU20*$F$109)+(AU103+AU20*$F$109)*(AV15+Inputs!$F$200/100*0.5*Inputs!$F$199/$F$109),0)</f>
        <v/>
      </c>
      <c r="AV131" s="11">
        <f>IF(AND(Time!AV17&gt;=Time!$F$11,Time!AV17&lt;57,AV103+AV20*$F$109&gt;0.000000001),MIN($F$109*Inputs!AW224,AV103+AV20*$F$109)+(AV103+AV20*$F$109)*(AW15+Inputs!$F$200/100*0.5*Inputs!$F$199/$F$109),0)</f>
        <v/>
      </c>
      <c r="AW131" s="11">
        <f>IF(AND(Time!AW17&gt;=Time!$F$11,Time!AW17&lt;57,AW103+AW20*$F$109&gt;0.000000001),MIN($F$109*Inputs!AX224,AW103+AW20*$F$109)+(AW103+AW20*$F$109)*(AX15+Inputs!$F$200/100*0.5*Inputs!$F$199/$F$109),0)</f>
        <v/>
      </c>
      <c r="AX131" s="11">
        <f>IF(AND(Time!AX17&gt;=Time!$F$11,Time!AX17&lt;57,AX103+AX20*$F$109&gt;0.000000001),MIN($F$109*Inputs!AY224,AX103+AX20*$F$109)+(AX103+AX20*$F$109)*(AY15+Inputs!$F$200/100*0.5*Inputs!$F$199/$F$109),0)</f>
        <v/>
      </c>
      <c r="AY131" s="11">
        <f>IF(AND(Time!AY17&gt;=Time!$F$11,Time!AY17&lt;57,AY103+AY20*$F$109&gt;0.000000001),MIN($F$109*Inputs!AZ224,AY103+AY20*$F$109)+(AY103+AY20*$F$109)*(AZ15+Inputs!$F$200/100*0.5*Inputs!$F$199/$F$109),0)</f>
        <v/>
      </c>
      <c r="AZ131" s="11">
        <f>IF(AND(Time!AZ17&gt;=Time!$F$11,Time!AZ17&lt;57,AZ103+AZ20*$F$109&gt;0.000000001),MIN($F$109*Inputs!BA224,AZ103+AZ20*$F$109)+(AZ103+AZ20*$F$109)*(BA15+Inputs!$F$200/100*0.5*Inputs!$F$199/$F$109),0)</f>
        <v/>
      </c>
      <c r="BA131" s="11">
        <f>IF(AND(Time!BA17&gt;=Time!$F$11,Time!BA17&lt;57,BA103+BA20*$F$109&gt;0.000000001),MIN($F$109*Inputs!BB224,BA103+BA20*$F$109)+(BA103+BA20*$F$109)*(BB15+Inputs!$F$200/100*0.5*Inputs!$F$199/$F$109),0)</f>
        <v/>
      </c>
      <c r="BB131" s="11">
        <f>IF(AND(Time!BB17&gt;=Time!$F$11,Time!BB17&lt;57,BB103+BB20*$F$109&gt;0.000000001),MIN($F$109*Inputs!BC224,BB103+BB20*$F$109)+(BB103+BB20*$F$109)*(BC15+Inputs!$F$200/100*0.5*Inputs!$F$199/$F$109),0)</f>
        <v/>
      </c>
      <c r="BC131" s="11">
        <f>IF(AND(Time!BC17&gt;=Time!$F$11,Time!BC17&lt;57,BC103+BC20*$F$109&gt;0.000000001),MIN($F$109*Inputs!BD224,BC103+BC20*$F$109)+(BC103+BC20*$F$109)*(BD15+Inputs!$F$200/100*0.5*Inputs!$F$199/$F$109),0)</f>
        <v/>
      </c>
      <c r="BD131" s="11">
        <f>IF(AND(Time!BD17&gt;=Time!$F$11,Time!BD17&lt;57,BD103+BD20*$F$109&gt;0.000000001),MIN($F$109*Inputs!BE224,BD103+BD20*$F$109)+(BD103+BD20*$F$109)*(BE15+Inputs!$F$200/100*0.5*Inputs!$F$199/$F$109),0)</f>
        <v/>
      </c>
      <c r="BE131" s="11">
        <f>IF(AND(Time!BE17&gt;=Time!$F$11,Time!BE17&lt;57,BE103+BE20*$F$109&gt;0.000000001),MIN($F$109*Inputs!BF224,BE103+BE20*$F$109)+(BE103+BE20*$F$109)*(BF15+Inputs!$F$200/100*0.5*Inputs!$F$199/$F$109),0)</f>
        <v/>
      </c>
      <c r="BF131" s="11">
        <f>IF(AND(Time!BF17&gt;=Time!$F$11,Time!BF17&lt;57,BF103+BF20*$F$109&gt;0.000000001),MIN($F$109*Inputs!BG224,BF103+BF20*$F$109)+(BF103+BF20*$F$109)*(BG15+Inputs!$F$200/100*0.5*Inputs!$F$199/$F$109),0)</f>
        <v/>
      </c>
      <c r="BG131" s="11">
        <f>IF(AND(Time!BG17&gt;=Time!$F$11,Time!BG17&lt;57,BG103+BG20*$F$109&gt;0.000000001),MIN($F$109*Inputs!BH224,BG103+BG20*$F$109)+(BG103+BG20*$F$109)*(BH15+Inputs!$F$200/100*0.5*Inputs!$F$199/$F$109),0)</f>
        <v/>
      </c>
      <c r="BH131" s="11">
        <f>IF(AND(Time!BH17&gt;=Time!$F$11,Time!BH17&lt;57,BH103+BH20*$F$109&gt;0.000000001),MIN($F$109*Inputs!BI224,BH103+BH20*$F$109)+(BH103+BH20*$F$109)*(BI15+Inputs!$F$200/100*0.5*Inputs!$F$199/$F$109),0)</f>
        <v/>
      </c>
      <c r="BI131" s="11">
        <f>IF(AND(Time!BI17&gt;=Time!$F$11,Time!BI17&lt;57,BI103+BI20*$F$109&gt;0.000000001),MIN($F$109*Inputs!BJ224,BI103+BI20*$F$109)+(BI103+BI20*$F$109)*(BJ15+Inputs!$F$200/100*0.5*Inputs!$F$199/$F$109),0)</f>
        <v/>
      </c>
      <c r="BJ131" s="11">
        <f>IF(AND(Time!BJ17&gt;=Time!$F$11,Time!BJ17&lt;57,BJ103+BJ20*$F$109&gt;0.000000001),MIN($F$109*Inputs!BK224,BJ103+BJ20*$F$109)+(BJ103+BJ20*$F$109)*(BK15+Inputs!$F$200/100*0.5*Inputs!$F$199/$F$109),0)</f>
        <v/>
      </c>
      <c r="BK131" s="11">
        <f>IF(AND(Time!BK17&gt;=Time!$F$11,Time!BK17&lt;57,BK103+BK20*$F$109&gt;0.000000001),MIN($F$109*Inputs!BL224,BK103+BK20*$F$109)+(BK103+BK20*$F$109)*(BL15+Inputs!$F$200/100*0.5*Inputs!$F$199/$F$109),0)</f>
        <v/>
      </c>
      <c r="BL131" s="11">
        <f>IF(AND(Time!BL17&gt;=Time!$F$11,Time!BL17&lt;57,BL103+BL20*$F$109&gt;0.000000001),MIN($F$109*Inputs!BM224,BL103+BL20*$F$109)+(BL103+BL20*$F$109)*(BM15+Inputs!$F$200/100*0.5*Inputs!$F$199/$F$109),0)</f>
        <v/>
      </c>
      <c r="BM131" s="11">
        <f>IF(AND(Time!BM17&gt;=Time!$F$11,Time!BM17&lt;57,BM103+BM20*$F$109&gt;0.000000001),MIN($F$109*Inputs!BN224,BM103+BM20*$F$109)+(BM103+BM20*$F$109)*(BN15+Inputs!$F$200/100*0.5*Inputs!$F$199/$F$109),0)</f>
        <v/>
      </c>
      <c r="BN131" s="11">
        <f>IF(AND(Time!BN17&gt;=Time!$F$11,Time!BN17&lt;57,BN103+BN20*$F$109&gt;0.000000001),MIN($F$109*0,BN103+BN20*$F$109)+(BN103+BN20*$F$109)*(0+Inputs!$F$200/100*0.5*Inputs!$F$199/$F$109),0)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IF(AND(Time!J17&gt;=Time!$F$11,Time!J17&lt;57),J126+J127+J128+J129+J130+J131+Inputs!K225*K113*(Inputs!$F$97/100*0.5-Operations!K9/100*Time!K20/360)+(Inputs!$F$95/100*Inputs!$F$96/100)*J125*Time!K20/365,0)</f>
        <v/>
      </c>
      <c r="K132" s="11">
        <f>IF(AND(Time!K17&gt;=Time!$F$11,Time!K17&lt;57),K126+K127+K128+K129+K130+K131+Inputs!L225*L113*(Inputs!$F$97/100*0.5-Operations!L9/100*Time!L20/360)+(Inputs!$F$95/100*Inputs!$F$96/100)*K125*Time!L20/365,0)</f>
        <v/>
      </c>
      <c r="L132" s="11">
        <f>IF(AND(Time!L17&gt;=Time!$F$11,Time!L17&lt;57),L126+L127+L128+L129+L130+L131+Inputs!M225*M113*(Inputs!$F$97/100*0.5-Operations!M9/100*Time!M20/360)+(Inputs!$F$95/100*Inputs!$F$96/100)*L125*Time!M20/365,0)</f>
        <v/>
      </c>
      <c r="M132" s="11">
        <f>IF(AND(Time!M17&gt;=Time!$F$11,Time!M17&lt;57),M126+M127+M128+M129+M130+M131+Inputs!N225*N113*(Inputs!$F$97/100*0.5-Operations!N9/100*Time!N20/360)+(Inputs!$F$95/100*Inputs!$F$96/100)*M125*Time!N20/365,0)</f>
        <v/>
      </c>
      <c r="N132" s="11">
        <f>IF(AND(Time!N17&gt;=Time!$F$11,Time!N17&lt;57),N126+N127+N128+N129+N130+N131+Inputs!O225*O113*(Inputs!$F$97/100*0.5-Operations!O9/100*Time!O20/360)+(Inputs!$F$95/100*Inputs!$F$96/100)*N125*Time!O20/365,0)</f>
        <v/>
      </c>
      <c r="O132" s="11">
        <f>IF(AND(Time!O17&gt;=Time!$F$11,Time!O17&lt;57),O126+O127+O128+O129+O130+O131+Inputs!P225*P113*(Inputs!$F$97/100*0.5-Operations!P9/100*Time!P20/360)+(Inputs!$F$95/100*Inputs!$F$96/100)*O125*Time!P20/365,0)</f>
        <v/>
      </c>
      <c r="P132" s="11">
        <f>IF(AND(Time!P17&gt;=Time!$F$11,Time!P17&lt;57),P126+P127+P128+P129+P130+P131+Inputs!Q225*Q113*(Inputs!$F$97/100*0.5-Operations!Q9/100*Time!Q20/360)+(Inputs!$F$95/100*Inputs!$F$96/100)*P125*Time!Q20/365,0)</f>
        <v/>
      </c>
      <c r="Q132" s="11">
        <f>IF(AND(Time!Q17&gt;=Time!$F$11,Time!Q17&lt;57),Q126+Q127+Q128+Q129+Q130+Q131+Inputs!R225*R113*(Inputs!$F$97/100*0.5-Operations!R9/100*Time!R20/360)+(Inputs!$F$95/100*Inputs!$F$96/100)*Q125*Time!R20/365,0)</f>
        <v/>
      </c>
      <c r="R132" s="11">
        <f>IF(AND(Time!R17&gt;=Time!$F$11,Time!R17&lt;57),R126+R127+R128+R129+R130+R131+Inputs!S225*S113*(Inputs!$F$97/100*0.5-Operations!S9/100*Time!S20/360)+(Inputs!$F$95/100*Inputs!$F$96/100)*R125*Time!S20/365,0)</f>
        <v/>
      </c>
      <c r="S132" s="11">
        <f>IF(AND(Time!S17&gt;=Time!$F$11,Time!S17&lt;57),S126+S127+S128+S129+S130+S131+Inputs!T225*T113*(Inputs!$F$97/100*0.5-Operations!T9/100*Time!T20/360)+(Inputs!$F$95/100*Inputs!$F$96/100)*S125*Time!T20/365,0)</f>
        <v/>
      </c>
      <c r="T132" s="11">
        <f>IF(AND(Time!T17&gt;=Time!$F$11,Time!T17&lt;57),T126+T127+T128+T129+T130+T131+Inputs!U225*U113*(Inputs!$F$97/100*0.5-Operations!U9/100*Time!U20/360)+(Inputs!$F$95/100*Inputs!$F$96/100)*T125*Time!U20/365,0)</f>
        <v/>
      </c>
      <c r="U132" s="11">
        <f>IF(AND(Time!U17&gt;=Time!$F$11,Time!U17&lt;57),U126+U127+U128+U129+U130+U131+Inputs!V225*V113*(Inputs!$F$97/100*0.5-Operations!V9/100*Time!V20/360)+(Inputs!$F$95/100*Inputs!$F$96/100)*U125*Time!V20/365,0)</f>
        <v/>
      </c>
      <c r="V132" s="11">
        <f>IF(AND(Time!V17&gt;=Time!$F$11,Time!V17&lt;57),V126+V127+V128+V129+V130+V131+Inputs!W225*W113*(Inputs!$F$97/100*0.5-Operations!W9/100*Time!W20/360)+(Inputs!$F$95/100*Inputs!$F$96/100)*V125*Time!W20/365,0)</f>
        <v/>
      </c>
      <c r="W132" s="11">
        <f>IF(AND(Time!W17&gt;=Time!$F$11,Time!W17&lt;57),W126+W127+W128+W129+W130+W131+Inputs!X225*X113*(Inputs!$F$97/100*0.5-Operations!X9/100*Time!X20/360)+(Inputs!$F$95/100*Inputs!$F$96/100)*W125*Time!X20/365,0)</f>
        <v/>
      </c>
      <c r="X132" s="11">
        <f>IF(AND(Time!X17&gt;=Time!$F$11,Time!X17&lt;57),X126+X127+X128+X129+X130+X131+Inputs!Y225*Y113*(Inputs!$F$97/100*0.5-Operations!Y9/100*Time!Y20/360)+(Inputs!$F$95/100*Inputs!$F$96/100)*X125*Time!Y20/365,0)</f>
        <v/>
      </c>
      <c r="Y132" s="11">
        <f>IF(AND(Time!Y17&gt;=Time!$F$11,Time!Y17&lt;57),Y126+Y127+Y128+Y129+Y130+Y131+Inputs!Z225*Z113*(Inputs!$F$97/100*0.5-Operations!Z9/100*Time!Z20/360)+(Inputs!$F$95/100*Inputs!$F$96/100)*Y125*Time!Z20/365,0)</f>
        <v/>
      </c>
      <c r="Z132" s="11">
        <f>IF(AND(Time!Z17&gt;=Time!$F$11,Time!Z17&lt;57),Z126+Z127+Z128+Z129+Z130+Z131+Inputs!AA225*AA113*(Inputs!$F$97/100*0.5-Operations!AA9/100*Time!AA20/360)+(Inputs!$F$95/100*Inputs!$F$96/100)*Z125*Time!AA20/365,0)</f>
        <v/>
      </c>
      <c r="AA132" s="11">
        <f>IF(AND(Time!AA17&gt;=Time!$F$11,Time!AA17&lt;57),AA126+AA127+AA128+AA129+AA130+AA131+Inputs!AB225*AB113*(Inputs!$F$97/100*0.5-Operations!AB9/100*Time!AB20/360)+(Inputs!$F$95/100*Inputs!$F$96/100)*AA125*Time!AB20/365,0)</f>
        <v/>
      </c>
      <c r="AB132" s="11">
        <f>IF(AND(Time!AB17&gt;=Time!$F$11,Time!AB17&lt;57),AB126+AB127+AB128+AB129+AB130+AB131+Inputs!AC225*AC113*(Inputs!$F$97/100*0.5-Operations!AC9/100*Time!AC20/360)+(Inputs!$F$95/100*Inputs!$F$96/100)*AB125*Time!AC20/365,0)</f>
        <v/>
      </c>
      <c r="AC132" s="11">
        <f>IF(AND(Time!AC17&gt;=Time!$F$11,Time!AC17&lt;57),AC126+AC127+AC128+AC129+AC130+AC131+Inputs!AD225*AD113*(Inputs!$F$97/100*0.5-Operations!AD9/100*Time!AD20/360)+(Inputs!$F$95/100*Inputs!$F$96/100)*AC125*Time!AD20/365,0)</f>
        <v/>
      </c>
      <c r="AD132" s="11">
        <f>IF(AND(Time!AD17&gt;=Time!$F$11,Time!AD17&lt;57),AD126+AD127+AD128+AD129+AD130+AD131+Inputs!AE225*AE113*(Inputs!$F$97/100*0.5-Operations!AE9/100*Time!AE20/360)+(Inputs!$F$95/100*Inputs!$F$96/100)*AD125*Time!AE20/365,0)</f>
        <v/>
      </c>
      <c r="AE132" s="11">
        <f>IF(AND(Time!AE17&gt;=Time!$F$11,Time!AE17&lt;57),AE126+AE127+AE128+AE129+AE130+AE131+Inputs!AF225*AF113*(Inputs!$F$97/100*0.5-Operations!AF9/100*Time!AF20/360)+(Inputs!$F$95/100*Inputs!$F$96/100)*AE125*Time!AF20/365,0)</f>
        <v/>
      </c>
      <c r="AF132" s="11">
        <f>IF(AND(Time!AF17&gt;=Time!$F$11,Time!AF17&lt;57),AF126+AF127+AF128+AF129+AF130+AF131+Inputs!AG225*AG113*(Inputs!$F$97/100*0.5-Operations!AG9/100*Time!AG20/360)+(Inputs!$F$95/100*Inputs!$F$96/100)*AF125*Time!AG20/365,0)</f>
        <v/>
      </c>
      <c r="AG132" s="11">
        <f>IF(AND(Time!AG17&gt;=Time!$F$11,Time!AG17&lt;57),AG126+AG127+AG128+AG129+AG130+AG131+Inputs!AH225*AH113*(Inputs!$F$97/100*0.5-Operations!AH9/100*Time!AH20/360)+(Inputs!$F$95/100*Inputs!$F$96/100)*AG125*Time!AH20/365,0)</f>
        <v/>
      </c>
      <c r="AH132" s="11">
        <f>IF(AND(Time!AH17&gt;=Time!$F$11,Time!AH17&lt;57),AH126+AH127+AH128+AH129+AH130+AH131+Inputs!AI225*AI113*(Inputs!$F$97/100*0.5-Operations!AI9/100*Time!AI20/360)+(Inputs!$F$95/100*Inputs!$F$96/100)*AH125*Time!AI20/365,0)</f>
        <v/>
      </c>
      <c r="AI132" s="11">
        <f>IF(AND(Time!AI17&gt;=Time!$F$11,Time!AI17&lt;57),AI126+AI127+AI128+AI129+AI130+AI131+Inputs!AJ225*AJ113*(Inputs!$F$97/100*0.5-Operations!AJ9/100*Time!AJ20/360)+(Inputs!$F$95/100*Inputs!$F$96/100)*AI125*Time!AJ20/365,0)</f>
        <v/>
      </c>
      <c r="AJ132" s="11">
        <f>IF(AND(Time!AJ17&gt;=Time!$F$11,Time!AJ17&lt;57),AJ126+AJ127+AJ128+AJ129+AJ130+AJ131+Inputs!AK225*AK113*(Inputs!$F$97/100*0.5-Operations!AK9/100*Time!AK20/360)+(Inputs!$F$95/100*Inputs!$F$96/100)*AJ125*Time!AK20/365,0)</f>
        <v/>
      </c>
      <c r="AK132" s="11">
        <f>IF(AND(Time!AK17&gt;=Time!$F$11,Time!AK17&lt;57),AK126+AK127+AK128+AK129+AK130+AK131+Inputs!AL225*AL113*(Inputs!$F$97/100*0.5-Operations!AL9/100*Time!AL20/360)+(Inputs!$F$95/100*Inputs!$F$96/100)*AK125*Time!AL20/365,0)</f>
        <v/>
      </c>
      <c r="AL132" s="11">
        <f>IF(AND(Time!AL17&gt;=Time!$F$11,Time!AL17&lt;57),AL126+AL127+AL128+AL129+AL130+AL131+Inputs!AM225*AM113*(Inputs!$F$97/100*0.5-Operations!AM9/100*Time!AM20/360)+(Inputs!$F$95/100*Inputs!$F$96/100)*AL125*Time!AM20/365,0)</f>
        <v/>
      </c>
      <c r="AM132" s="11">
        <f>IF(AND(Time!AM17&gt;=Time!$F$11,Time!AM17&lt;57),AM126+AM127+AM128+AM129+AM130+AM131+Inputs!AN225*AN113*(Inputs!$F$97/100*0.5-Operations!AN9/100*Time!AN20/360)+(Inputs!$F$95/100*Inputs!$F$96/100)*AM125*Time!AN20/365,0)</f>
        <v/>
      </c>
      <c r="AN132" s="11">
        <f>IF(AND(Time!AN17&gt;=Time!$F$11,Time!AN17&lt;57),AN126+AN127+AN128+AN129+AN130+AN131+Inputs!AO225*AO113*(Inputs!$F$97/100*0.5-Operations!AO9/100*Time!AO20/360)+(Inputs!$F$95/100*Inputs!$F$96/100)*AN125*Time!AO20/365,0)</f>
        <v/>
      </c>
      <c r="AO132" s="11">
        <f>IF(AND(Time!AO17&gt;=Time!$F$11,Time!AO17&lt;57),AO126+AO127+AO128+AO129+AO130+AO131+Inputs!AP225*AP113*(Inputs!$F$97/100*0.5-Operations!AP9/100*Time!AP20/360)+(Inputs!$F$95/100*Inputs!$F$96/100)*AO125*Time!AP20/365,0)</f>
        <v/>
      </c>
      <c r="AP132" s="11">
        <f>IF(AND(Time!AP17&gt;=Time!$F$11,Time!AP17&lt;57),AP126+AP127+AP128+AP129+AP130+AP131+Inputs!AQ225*AQ113*(Inputs!$F$97/100*0.5-Operations!AQ9/100*Time!AQ20/360)+(Inputs!$F$95/100*Inputs!$F$96/100)*AP125*Time!AQ20/365,0)</f>
        <v/>
      </c>
      <c r="AQ132" s="11">
        <f>IF(AND(Time!AQ17&gt;=Time!$F$11,Time!AQ17&lt;57),AQ126+AQ127+AQ128+AQ129+AQ130+AQ131+Inputs!AR225*AR113*(Inputs!$F$97/100*0.5-Operations!AR9/100*Time!AR20/360)+(Inputs!$F$95/100*Inputs!$F$96/100)*AQ125*Time!AR20/365,0)</f>
        <v/>
      </c>
      <c r="AR132" s="11">
        <f>IF(AND(Time!AR17&gt;=Time!$F$11,Time!AR17&lt;57),AR126+AR127+AR128+AR129+AR130+AR131+Inputs!AS225*AS113*(Inputs!$F$97/100*0.5-Operations!AS9/100*Time!AS20/360)+(Inputs!$F$95/100*Inputs!$F$96/100)*AR125*Time!AS20/365,0)</f>
        <v/>
      </c>
      <c r="AS132" s="11">
        <f>IF(AND(Time!AS17&gt;=Time!$F$11,Time!AS17&lt;57),AS126+AS127+AS128+AS129+AS130+AS131+Inputs!AT225*AT113*(Inputs!$F$97/100*0.5-Operations!AT9/100*Time!AT20/360)+(Inputs!$F$95/100*Inputs!$F$96/100)*AS125*Time!AT20/365,0)</f>
        <v/>
      </c>
      <c r="AT132" s="11">
        <f>IF(AND(Time!AT17&gt;=Time!$F$11,Time!AT17&lt;57),AT126+AT127+AT128+AT129+AT130+AT131+Inputs!AU225*AU113*(Inputs!$F$97/100*0.5-Operations!AU9/100*Time!AU20/360)+(Inputs!$F$95/100*Inputs!$F$96/100)*AT125*Time!AU20/365,0)</f>
        <v/>
      </c>
      <c r="AU132" s="11">
        <f>IF(AND(Time!AU17&gt;=Time!$F$11,Time!AU17&lt;57),AU126+AU127+AU128+AU129+AU130+AU131+Inputs!AV225*AV113*(Inputs!$F$97/100*0.5-Operations!AV9/100*Time!AV20/360)+(Inputs!$F$95/100*Inputs!$F$96/100)*AU125*Time!AV20/365,0)</f>
        <v/>
      </c>
      <c r="AV132" s="11">
        <f>IF(AND(Time!AV17&gt;=Time!$F$11,Time!AV17&lt;57),AV126+AV127+AV128+AV129+AV130+AV131+Inputs!AW225*AW113*(Inputs!$F$97/100*0.5-Operations!AW9/100*Time!AW20/360)+(Inputs!$F$95/100*Inputs!$F$96/100)*AV125*Time!AW20/365,0)</f>
        <v/>
      </c>
      <c r="AW132" s="11">
        <f>IF(AND(Time!AW17&gt;=Time!$F$11,Time!AW17&lt;57),AW126+AW127+AW128+AW129+AW130+AW131+Inputs!AX225*AX113*(Inputs!$F$97/100*0.5-Operations!AX9/100*Time!AX20/360)+(Inputs!$F$95/100*Inputs!$F$96/100)*AW125*Time!AX20/365,0)</f>
        <v/>
      </c>
      <c r="AX132" s="11">
        <f>IF(AND(Time!AX17&gt;=Time!$F$11,Time!AX17&lt;57),AX126+AX127+AX128+AX129+AX130+AX131+Inputs!AY225*AY113*(Inputs!$F$97/100*0.5-Operations!AY9/100*Time!AY20/360)+(Inputs!$F$95/100*Inputs!$F$96/100)*AX125*Time!AY20/365,0)</f>
        <v/>
      </c>
      <c r="AY132" s="11">
        <f>IF(AND(Time!AY17&gt;=Time!$F$11,Time!AY17&lt;57),AY126+AY127+AY128+AY129+AY130+AY131+Inputs!AZ225*AZ113*(Inputs!$F$97/100*0.5-Operations!AZ9/100*Time!AZ20/360)+(Inputs!$F$95/100*Inputs!$F$96/100)*AY125*Time!AZ20/365,0)</f>
        <v/>
      </c>
      <c r="AZ132" s="11">
        <f>IF(AND(Time!AZ17&gt;=Time!$F$11,Time!AZ17&lt;57),AZ126+AZ127+AZ128+AZ129+AZ130+AZ131+Inputs!BA225*BA113*(Inputs!$F$97/100*0.5-Operations!BA9/100*Time!BA20/360)+(Inputs!$F$95/100*Inputs!$F$96/100)*AZ125*Time!BA20/365,0)</f>
        <v/>
      </c>
      <c r="BA132" s="11">
        <f>IF(AND(Time!BA17&gt;=Time!$F$11,Time!BA17&lt;57),BA126+BA127+BA128+BA129+BA130+BA131+Inputs!BB225*BB113*(Inputs!$F$97/100*0.5-Operations!BB9/100*Time!BB20/360)+(Inputs!$F$95/100*Inputs!$F$96/100)*BA125*Time!BB20/365,0)</f>
        <v/>
      </c>
      <c r="BB132" s="11">
        <f>IF(AND(Time!BB17&gt;=Time!$F$11,Time!BB17&lt;57),BB126+BB127+BB128+BB129+BB130+BB131+Inputs!BC225*BC113*(Inputs!$F$97/100*0.5-Operations!BC9/100*Time!BC20/360)+(Inputs!$F$95/100*Inputs!$F$96/100)*BB125*Time!BC20/365,0)</f>
        <v/>
      </c>
      <c r="BC132" s="11">
        <f>IF(AND(Time!BC17&gt;=Time!$F$11,Time!BC17&lt;57),BC126+BC127+BC128+BC129+BC130+BC131+Inputs!BD225*BD113*(Inputs!$F$97/100*0.5-Operations!BD9/100*Time!BD20/360)+(Inputs!$F$95/100*Inputs!$F$96/100)*BC125*Time!BD20/365,0)</f>
        <v/>
      </c>
      <c r="BD132" s="11">
        <f>IF(AND(Time!BD17&gt;=Time!$F$11,Time!BD17&lt;57),BD126+BD127+BD128+BD129+BD130+BD131+Inputs!BE225*BE113*(Inputs!$F$97/100*0.5-Operations!BE9/100*Time!BE20/360)+(Inputs!$F$95/100*Inputs!$F$96/100)*BD125*Time!BE20/365,0)</f>
        <v/>
      </c>
      <c r="BE132" s="11">
        <f>IF(AND(Time!BE17&gt;=Time!$F$11,Time!BE17&lt;57),BE126+BE127+BE128+BE129+BE130+BE131+Inputs!BF225*BF113*(Inputs!$F$97/100*0.5-Operations!BF9/100*Time!BF20/360)+(Inputs!$F$95/100*Inputs!$F$96/100)*BE125*Time!BF20/365,0)</f>
        <v/>
      </c>
      <c r="BF132" s="11">
        <f>IF(AND(Time!BF17&gt;=Time!$F$11,Time!BF17&lt;57),BF126+BF127+BF128+BF129+BF130+BF131+Inputs!BG225*BG113*(Inputs!$F$97/100*0.5-Operations!BG9/100*Time!BG20/360)+(Inputs!$F$95/100*Inputs!$F$96/100)*BF125*Time!BG20/365,0)</f>
        <v/>
      </c>
      <c r="BG132" s="11">
        <f>IF(AND(Time!BG17&gt;=Time!$F$11,Time!BG17&lt;57),BG126+BG127+BG128+BG129+BG130+BG131+Inputs!BH225*BH113*(Inputs!$F$97/100*0.5-Operations!BH9/100*Time!BH20/360)+(Inputs!$F$95/100*Inputs!$F$96/100)*BG125*Time!BH20/365,0)</f>
        <v/>
      </c>
      <c r="BH132" s="11">
        <f>IF(AND(Time!BH17&gt;=Time!$F$11,Time!BH17&lt;57),BH126+BH127+BH128+BH129+BH130+BH131+Inputs!BI225*BI113*(Inputs!$F$97/100*0.5-Operations!BI9/100*Time!BI20/360)+(Inputs!$F$95/100*Inputs!$F$96/100)*BH125*Time!BI20/365,0)</f>
        <v/>
      </c>
      <c r="BI132" s="11">
        <f>IF(AND(Time!BI17&gt;=Time!$F$11,Time!BI17&lt;57),BI126+BI127+BI128+BI129+BI130+BI131+Inputs!BJ225*BJ113*(Inputs!$F$97/100*0.5-Operations!BJ9/100*Time!BJ20/360)+(Inputs!$F$95/100*Inputs!$F$96/100)*BI125*Time!BJ20/365,0)</f>
        <v/>
      </c>
      <c r="BJ132" s="11">
        <f>IF(AND(Time!BJ17&gt;=Time!$F$11,Time!BJ17&lt;57),BJ126+BJ127+BJ128+BJ129+BJ130+BJ131+Inputs!BK225*BK113*(Inputs!$F$97/100*0.5-Operations!BK9/100*Time!BK20/360)+(Inputs!$F$95/100*Inputs!$F$96/100)*BJ125*Time!BK20/365,0)</f>
        <v/>
      </c>
      <c r="BK132" s="11">
        <f>IF(AND(Time!BK17&gt;=Time!$F$11,Time!BK17&lt;57),BK126+BK127+BK128+BK129+BK130+BK131+Inputs!BL225*BL113*(Inputs!$F$97/100*0.5-Operations!BL9/100*Time!BL20/360)+(Inputs!$F$95/100*Inputs!$F$96/100)*BK125*Time!BL20/365,0)</f>
        <v/>
      </c>
      <c r="BL132" s="11">
        <f>IF(AND(Time!BL17&gt;=Time!$F$11,Time!BL17&lt;57),BL126+BL127+BL128+BL129+BL130+BL131+Inputs!BM225*BM113*(Inputs!$F$97/100*0.5-Operations!BM9/100*Time!BM20/360)+(Inputs!$F$95/100*Inputs!$F$96/100)*BL125*Time!BM20/365,0)</f>
        <v/>
      </c>
      <c r="BM132" s="11">
        <f>IF(AND(Time!BM17&gt;=Time!$F$11,Time!BM17&lt;57),BM126+BM127+BM128+BM129+BM130+BM131+Inputs!BN225*BN113*(Inputs!$F$97/100*0.5-Operations!BN9/100*Time!BN20/360)+(Inputs!$F$95/100*Inputs!$F$96/100)*BM125*Time!BN20/365,0)</f>
        <v/>
      </c>
      <c r="BN132" s="11">
        <f>IF(AND(Time!BN17&gt;=Time!$F$11,Time!BN17&lt;57),BN126+BN127+BN128+BN129+BN130+BN131+0*0*(Inputs!$F$97/100*0.5-0/100*0/360)+(Inputs!$F$95/100*Inputs!$F$96/100)*BN125*0/365,0)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IF(J134=1,Inputs!$F$75*J10+Inputs!$F$76*J11+Inputs!$F$77*J12+Inputs!$F$78*(J13+(Inputs!$F$95/100*Inputs!$F$96/100)*Time!J20/365)+Inputs!J225/(Funding!$F$25*J18)*(Inputs!$F$97/100*0.5-Operations!J9/100*Time!J20/360),0)</f>
        <v/>
      </c>
      <c r="K135" s="14">
        <f>IF(K134=1,Inputs!$F$75*K10+Inputs!$F$76*K11+Inputs!$F$77*K12+Inputs!$F$78*(K13+(Inputs!$F$95/100*Inputs!$F$96/100)*Time!K20/365)+Inputs!K225/(Funding!$F$25*K18)*(Inputs!$F$97/100*0.5-Operations!K9/100*Time!K20/360),0)</f>
        <v/>
      </c>
      <c r="L135" s="14">
        <f>IF(L134=1,Inputs!$F$75*L10+Inputs!$F$76*L11+Inputs!$F$77*L12+Inputs!$F$78*(L13+(Inputs!$F$95/100*Inputs!$F$96/100)*Time!L20/365)+Inputs!L225/(Funding!$F$25*L18)*(Inputs!$F$97/100*0.5-Operations!L9/100*Time!L20/360),0)</f>
        <v/>
      </c>
      <c r="M135" s="14">
        <f>IF(M134=1,Inputs!$F$75*M10+Inputs!$F$76*M11+Inputs!$F$77*M12+Inputs!$F$78*(M13+(Inputs!$F$95/100*Inputs!$F$96/100)*Time!M20/365)+Inputs!M225/(Funding!$F$25*M18)*(Inputs!$F$97/100*0.5-Operations!M9/100*Time!M20/360),0)</f>
        <v/>
      </c>
      <c r="N135" s="14">
        <f>IF(N134=1,Inputs!$F$75*N10+Inputs!$F$76*N11+Inputs!$F$77*N12+Inputs!$F$78*(N13+(Inputs!$F$95/100*Inputs!$F$96/100)*Time!N20/365)+Inputs!N225/(Funding!$F$25*N18)*(Inputs!$F$97/100*0.5-Operations!N9/100*Time!N20/360),0)</f>
        <v/>
      </c>
      <c r="O135" s="14">
        <f>IF(O134=1,Inputs!$F$75*O10+Inputs!$F$76*O11+Inputs!$F$77*O12+Inputs!$F$78*(O13+(Inputs!$F$95/100*Inputs!$F$96/100)*Time!O20/365)+Inputs!O225/(Funding!$F$25*O18)*(Inputs!$F$97/100*0.5-Operations!O9/100*Time!O20/360),0)</f>
        <v/>
      </c>
      <c r="P135" s="14">
        <f>IF(P134=1,Inputs!$F$75*P10+Inputs!$F$76*P11+Inputs!$F$77*P12+Inputs!$F$78*(P13+(Inputs!$F$95/100*Inputs!$F$96/100)*Time!P20/365)+Inputs!P225/(Funding!$F$25*P18)*(Inputs!$F$97/100*0.5-Operations!P9/100*Time!P20/360),0)</f>
        <v/>
      </c>
      <c r="Q135" s="14">
        <f>IF(Q134=1,Inputs!$F$75*Q10+Inputs!$F$76*Q11+Inputs!$F$77*Q12+Inputs!$F$78*(Q13+(Inputs!$F$95/100*Inputs!$F$96/100)*Time!Q20/365)+Inputs!Q225/(Funding!$F$25*Q18)*(Inputs!$F$97/100*0.5-Operations!Q9/100*Time!Q20/360),0)</f>
        <v/>
      </c>
      <c r="R135" s="14">
        <f>IF(R134=1,Inputs!$F$75*R10+Inputs!$F$76*R11+Inputs!$F$77*R12+Inputs!$F$78*(R13+(Inputs!$F$95/100*Inputs!$F$96/100)*Time!R20/365)+Inputs!R225/(Funding!$F$25*R18)*(Inputs!$F$97/100*0.5-Operations!R9/100*Time!R20/360),0)</f>
        <v/>
      </c>
      <c r="S135" s="14">
        <f>IF(S134=1,Inputs!$F$75*S10+Inputs!$F$76*S11+Inputs!$F$77*S12+Inputs!$F$78*(S13+(Inputs!$F$95/100*Inputs!$F$96/100)*Time!S20/365)+Inputs!S225/(Funding!$F$25*S18)*(Inputs!$F$97/100*0.5-Operations!S9/100*Time!S20/360),0)</f>
        <v/>
      </c>
      <c r="T135" s="14">
        <f>IF(T134=1,Inputs!$F$75*T10+Inputs!$F$76*T11+Inputs!$F$77*T12+Inputs!$F$78*(T13+(Inputs!$F$95/100*Inputs!$F$96/100)*Time!T20/365)+Inputs!T225/(Funding!$F$25*T18)*(Inputs!$F$97/100*0.5-Operations!T9/100*Time!T20/360),0)</f>
        <v/>
      </c>
      <c r="U135" s="14">
        <f>IF(U134=1,Inputs!$F$75*U10+Inputs!$F$76*U11+Inputs!$F$77*U12+Inputs!$F$78*(U13+(Inputs!$F$95/100*Inputs!$F$96/100)*Time!U20/365)+Inputs!U225/(Funding!$F$25*U18)*(Inputs!$F$97/100*0.5-Operations!U9/100*Time!U20/360),0)</f>
        <v/>
      </c>
      <c r="V135" s="14">
        <f>IF(V134=1,Inputs!$F$75*V10+Inputs!$F$76*V11+Inputs!$F$77*V12+Inputs!$F$78*(V13+(Inputs!$F$95/100*Inputs!$F$96/100)*Time!V20/365)+Inputs!V225/(Funding!$F$25*V18)*(Inputs!$F$97/100*0.5-Operations!V9/100*Time!V20/360),0)</f>
        <v/>
      </c>
      <c r="W135" s="14">
        <f>IF(W134=1,Inputs!$F$75*W10+Inputs!$F$76*W11+Inputs!$F$77*W12+Inputs!$F$78*(W13+(Inputs!$F$95/100*Inputs!$F$96/100)*Time!W20/365)+Inputs!W225/(Funding!$F$25*W18)*(Inputs!$F$97/100*0.5-Operations!W9/100*Time!W20/360),0)</f>
        <v/>
      </c>
      <c r="X135" s="14">
        <f>IF(X134=1,Inputs!$F$75*X10+Inputs!$F$76*X11+Inputs!$F$77*X12+Inputs!$F$78*(X13+(Inputs!$F$95/100*Inputs!$F$96/100)*Time!X20/365)+Inputs!X225/(Funding!$F$25*X18)*(Inputs!$F$97/100*0.5-Operations!X9/100*Time!X20/360),0)</f>
        <v/>
      </c>
      <c r="Y135" s="14">
        <f>IF(Y134=1,Inputs!$F$75*Y10+Inputs!$F$76*Y11+Inputs!$F$77*Y12+Inputs!$F$78*(Y13+(Inputs!$F$95/100*Inputs!$F$96/100)*Time!Y20/365)+Inputs!Y225/(Funding!$F$25*Y18)*(Inputs!$F$97/100*0.5-Operations!Y9/100*Time!Y20/360),0)</f>
        <v/>
      </c>
      <c r="Z135" s="14">
        <f>IF(Z134=1,Inputs!$F$75*Z10+Inputs!$F$76*Z11+Inputs!$F$77*Z12+Inputs!$F$78*(Z13+(Inputs!$F$95/100*Inputs!$F$96/100)*Time!Z20/365)+Inputs!Z225/(Funding!$F$25*Z18)*(Inputs!$F$97/100*0.5-Operations!Z9/100*Time!Z20/360),0)</f>
        <v/>
      </c>
      <c r="AA135" s="14">
        <f>IF(AA134=1,Inputs!$F$75*AA10+Inputs!$F$76*AA11+Inputs!$F$77*AA12+Inputs!$F$78*(AA13+(Inputs!$F$95/100*Inputs!$F$96/100)*Time!AA20/365)+Inputs!AA225/(Funding!$F$25*AA18)*(Inputs!$F$97/100*0.5-Operations!AA9/100*Time!AA20/360),0)</f>
        <v/>
      </c>
      <c r="AB135" s="14">
        <f>IF(AB134=1,Inputs!$F$75*AB10+Inputs!$F$76*AB11+Inputs!$F$77*AB12+Inputs!$F$78*(AB13+(Inputs!$F$95/100*Inputs!$F$96/100)*Time!AB20/365)+Inputs!AB225/(Funding!$F$25*AB18)*(Inputs!$F$97/100*0.5-Operations!AB9/100*Time!AB20/360),0)</f>
        <v/>
      </c>
      <c r="AC135" s="14">
        <f>IF(AC134=1,Inputs!$F$75*AC10+Inputs!$F$76*AC11+Inputs!$F$77*AC12+Inputs!$F$78*(AC13+(Inputs!$F$95/100*Inputs!$F$96/100)*Time!AC20/365)+Inputs!AC225/(Funding!$F$25*AC18)*(Inputs!$F$97/100*0.5-Operations!AC9/100*Time!AC20/360),0)</f>
        <v/>
      </c>
      <c r="AD135" s="14">
        <f>IF(AD134=1,Inputs!$F$75*AD10+Inputs!$F$76*AD11+Inputs!$F$77*AD12+Inputs!$F$78*(AD13+(Inputs!$F$95/100*Inputs!$F$96/100)*Time!AD20/365)+Inputs!AD225/(Funding!$F$25*AD18)*(Inputs!$F$97/100*0.5-Operations!AD9/100*Time!AD20/360),0)</f>
        <v/>
      </c>
      <c r="AE135" s="14">
        <f>IF(AE134=1,Inputs!$F$75*AE10+Inputs!$F$76*AE11+Inputs!$F$77*AE12+Inputs!$F$78*(AE13+(Inputs!$F$95/100*Inputs!$F$96/100)*Time!AE20/365)+Inputs!AE225/(Funding!$F$25*AE18)*(Inputs!$F$97/100*0.5-Operations!AE9/100*Time!AE20/360),0)</f>
        <v/>
      </c>
      <c r="AF135" s="14">
        <f>IF(AF134=1,Inputs!$F$75*AF10+Inputs!$F$76*AF11+Inputs!$F$77*AF12+Inputs!$F$78*(AF13+(Inputs!$F$95/100*Inputs!$F$96/100)*Time!AF20/365)+Inputs!AF225/(Funding!$F$25*AF18)*(Inputs!$F$97/100*0.5-Operations!AF9/100*Time!AF20/360),0)</f>
        <v/>
      </c>
      <c r="AG135" s="14">
        <f>IF(AG134=1,Inputs!$F$75*AG10+Inputs!$F$76*AG11+Inputs!$F$77*AG12+Inputs!$F$78*(AG13+(Inputs!$F$95/100*Inputs!$F$96/100)*Time!AG20/365)+Inputs!AG225/(Funding!$F$25*AG18)*(Inputs!$F$97/100*0.5-Operations!AG9/100*Time!AG20/360),0)</f>
        <v/>
      </c>
      <c r="AH135" s="14">
        <f>IF(AH134=1,Inputs!$F$75*AH10+Inputs!$F$76*AH11+Inputs!$F$77*AH12+Inputs!$F$78*(AH13+(Inputs!$F$95/100*Inputs!$F$96/100)*Time!AH20/365)+Inputs!AH225/(Funding!$F$25*AH18)*(Inputs!$F$97/100*0.5-Operations!AH9/100*Time!AH20/360),0)</f>
        <v/>
      </c>
      <c r="AI135" s="14">
        <f>IF(AI134=1,Inputs!$F$75*AI10+Inputs!$F$76*AI11+Inputs!$F$77*AI12+Inputs!$F$78*(AI13+(Inputs!$F$95/100*Inputs!$F$96/100)*Time!AI20/365)+Inputs!AI225/(Funding!$F$25*AI18)*(Inputs!$F$97/100*0.5-Operations!AI9/100*Time!AI20/360),0)</f>
        <v/>
      </c>
      <c r="AJ135" s="14">
        <f>IF(AJ134=1,Inputs!$F$75*AJ10+Inputs!$F$76*AJ11+Inputs!$F$77*AJ12+Inputs!$F$78*(AJ13+(Inputs!$F$95/100*Inputs!$F$96/100)*Time!AJ20/365)+Inputs!AJ225/(Funding!$F$25*AJ18)*(Inputs!$F$97/100*0.5-Operations!AJ9/100*Time!AJ20/360),0)</f>
        <v/>
      </c>
      <c r="AK135" s="14">
        <f>IF(AK134=1,Inputs!$F$75*AK10+Inputs!$F$76*AK11+Inputs!$F$77*AK12+Inputs!$F$78*(AK13+(Inputs!$F$95/100*Inputs!$F$96/100)*Time!AK20/365)+Inputs!AK225/(Funding!$F$25*AK18)*(Inputs!$F$97/100*0.5-Operations!AK9/100*Time!AK20/360),0)</f>
        <v/>
      </c>
      <c r="AL135" s="14">
        <f>IF(AL134=1,Inputs!$F$75*AL10+Inputs!$F$76*AL11+Inputs!$F$77*AL12+Inputs!$F$78*(AL13+(Inputs!$F$95/100*Inputs!$F$96/100)*Time!AL20/365)+Inputs!AL225/(Funding!$F$25*AL18)*(Inputs!$F$97/100*0.5-Operations!AL9/100*Time!AL20/360),0)</f>
        <v/>
      </c>
      <c r="AM135" s="14">
        <f>IF(AM134=1,Inputs!$F$75*AM10+Inputs!$F$76*AM11+Inputs!$F$77*AM12+Inputs!$F$78*(AM13+(Inputs!$F$95/100*Inputs!$F$96/100)*Time!AM20/365)+Inputs!AM225/(Funding!$F$25*AM18)*(Inputs!$F$97/100*0.5-Operations!AM9/100*Time!AM20/360),0)</f>
        <v/>
      </c>
      <c r="AN135" s="14">
        <f>IF(AN134=1,Inputs!$F$75*AN10+Inputs!$F$76*AN11+Inputs!$F$77*AN12+Inputs!$F$78*(AN13+(Inputs!$F$95/100*Inputs!$F$96/100)*Time!AN20/365)+Inputs!AN225/(Funding!$F$25*AN18)*(Inputs!$F$97/100*0.5-Operations!AN9/100*Time!AN20/360),0)</f>
        <v/>
      </c>
      <c r="AO135" s="14">
        <f>IF(AO134=1,Inputs!$F$75*AO10+Inputs!$F$76*AO11+Inputs!$F$77*AO12+Inputs!$F$78*(AO13+(Inputs!$F$95/100*Inputs!$F$96/100)*Time!AO20/365)+Inputs!AO225/(Funding!$F$25*AO18)*(Inputs!$F$97/100*0.5-Operations!AO9/100*Time!AO20/360),0)</f>
        <v/>
      </c>
      <c r="AP135" s="14">
        <f>IF(AP134=1,Inputs!$F$75*AP10+Inputs!$F$76*AP11+Inputs!$F$77*AP12+Inputs!$F$78*(AP13+(Inputs!$F$95/100*Inputs!$F$96/100)*Time!AP20/365)+Inputs!AP225/(Funding!$F$25*AP18)*(Inputs!$F$97/100*0.5-Operations!AP9/100*Time!AP20/360),0)</f>
        <v/>
      </c>
      <c r="AQ135" s="14">
        <f>IF(AQ134=1,Inputs!$F$75*AQ10+Inputs!$F$76*AQ11+Inputs!$F$77*AQ12+Inputs!$F$78*(AQ13+(Inputs!$F$95/100*Inputs!$F$96/100)*Time!AQ20/365)+Inputs!AQ225/(Funding!$F$25*AQ18)*(Inputs!$F$97/100*0.5-Operations!AQ9/100*Time!AQ20/360),0)</f>
        <v/>
      </c>
      <c r="AR135" s="14">
        <f>IF(AR134=1,Inputs!$F$75*AR10+Inputs!$F$76*AR11+Inputs!$F$77*AR12+Inputs!$F$78*(AR13+(Inputs!$F$95/100*Inputs!$F$96/100)*Time!AR20/365)+Inputs!AR225/(Funding!$F$25*AR18)*(Inputs!$F$97/100*0.5-Operations!AR9/100*Time!AR20/360),0)</f>
        <v/>
      </c>
      <c r="AS135" s="14">
        <f>IF(AS134=1,Inputs!$F$75*AS10+Inputs!$F$76*AS11+Inputs!$F$77*AS12+Inputs!$F$78*(AS13+(Inputs!$F$95/100*Inputs!$F$96/100)*Time!AS20/365)+Inputs!AS225/(Funding!$F$25*AS18)*(Inputs!$F$97/100*0.5-Operations!AS9/100*Time!AS20/360),0)</f>
        <v/>
      </c>
      <c r="AT135" s="14">
        <f>IF(AT134=1,Inputs!$F$75*AT10+Inputs!$F$76*AT11+Inputs!$F$77*AT12+Inputs!$F$78*(AT13+(Inputs!$F$95/100*Inputs!$F$96/100)*Time!AT20/365)+Inputs!AT225/(Funding!$F$25*AT18)*(Inputs!$F$97/100*0.5-Operations!AT9/100*Time!AT20/360),0)</f>
        <v/>
      </c>
      <c r="AU135" s="14">
        <f>IF(AU134=1,Inputs!$F$75*AU10+Inputs!$F$76*AU11+Inputs!$F$77*AU12+Inputs!$F$78*(AU13+(Inputs!$F$95/100*Inputs!$F$96/100)*Time!AU20/365)+Inputs!AU225/(Funding!$F$25*AU18)*(Inputs!$F$97/100*0.5-Operations!AU9/100*Time!AU20/360),0)</f>
        <v/>
      </c>
      <c r="AV135" s="14">
        <f>IF(AV134=1,Inputs!$F$75*AV10+Inputs!$F$76*AV11+Inputs!$F$77*AV12+Inputs!$F$78*(AV13+(Inputs!$F$95/100*Inputs!$F$96/100)*Time!AV20/365)+Inputs!AV225/(Funding!$F$25*AV18)*(Inputs!$F$97/100*0.5-Operations!AV9/100*Time!AV20/360),0)</f>
        <v/>
      </c>
      <c r="AW135" s="14">
        <f>IF(AW134=1,Inputs!$F$75*AW10+Inputs!$F$76*AW11+Inputs!$F$77*AW12+Inputs!$F$78*(AW13+(Inputs!$F$95/100*Inputs!$F$96/100)*Time!AW20/365)+Inputs!AW225/(Funding!$F$25*AW18)*(Inputs!$F$97/100*0.5-Operations!AW9/100*Time!AW20/360),0)</f>
        <v/>
      </c>
      <c r="AX135" s="14">
        <f>IF(AX134=1,Inputs!$F$75*AX10+Inputs!$F$76*AX11+Inputs!$F$77*AX12+Inputs!$F$78*(AX13+(Inputs!$F$95/100*Inputs!$F$96/100)*Time!AX20/365)+Inputs!AX225/(Funding!$F$25*AX18)*(Inputs!$F$97/100*0.5-Operations!AX9/100*Time!AX20/360),0)</f>
        <v/>
      </c>
      <c r="AY135" s="14">
        <f>IF(AY134=1,Inputs!$F$75*AY10+Inputs!$F$76*AY11+Inputs!$F$77*AY12+Inputs!$F$78*(AY13+(Inputs!$F$95/100*Inputs!$F$96/100)*Time!AY20/365)+Inputs!AY225/(Funding!$F$25*AY18)*(Inputs!$F$97/100*0.5-Operations!AY9/100*Time!AY20/360),0)</f>
        <v/>
      </c>
      <c r="AZ135" s="14">
        <f>IF(AZ134=1,Inputs!$F$75*AZ10+Inputs!$F$76*AZ11+Inputs!$F$77*AZ12+Inputs!$F$78*(AZ13+(Inputs!$F$95/100*Inputs!$F$96/100)*Time!AZ20/365)+Inputs!AZ225/(Funding!$F$25*AZ18)*(Inputs!$F$97/100*0.5-Operations!AZ9/100*Time!AZ20/360),0)</f>
        <v/>
      </c>
      <c r="BA135" s="14">
        <f>IF(BA134=1,Inputs!$F$75*BA10+Inputs!$F$76*BA11+Inputs!$F$77*BA12+Inputs!$F$78*(BA13+(Inputs!$F$95/100*Inputs!$F$96/100)*Time!BA20/365)+Inputs!BA225/(Funding!$F$25*BA18)*(Inputs!$F$97/100*0.5-Operations!BA9/100*Time!BA20/360),0)</f>
        <v/>
      </c>
      <c r="BB135" s="14">
        <f>IF(BB134=1,Inputs!$F$75*BB10+Inputs!$F$76*BB11+Inputs!$F$77*BB12+Inputs!$F$78*(BB13+(Inputs!$F$95/100*Inputs!$F$96/100)*Time!BB20/365)+Inputs!BB225/(Funding!$F$25*BB18)*(Inputs!$F$97/100*0.5-Operations!BB9/100*Time!BB20/360),0)</f>
        <v/>
      </c>
      <c r="BC135" s="14">
        <f>IF(BC134=1,Inputs!$F$75*BC10+Inputs!$F$76*BC11+Inputs!$F$77*BC12+Inputs!$F$78*(BC13+(Inputs!$F$95/100*Inputs!$F$96/100)*Time!BC20/365)+Inputs!BC225/(Funding!$F$25*BC18)*(Inputs!$F$97/100*0.5-Operations!BC9/100*Time!BC20/360),0)</f>
        <v/>
      </c>
      <c r="BD135" s="14">
        <f>IF(BD134=1,Inputs!$F$75*BD10+Inputs!$F$76*BD11+Inputs!$F$77*BD12+Inputs!$F$78*(BD13+(Inputs!$F$95/100*Inputs!$F$96/100)*Time!BD20/365)+Inputs!BD225/(Funding!$F$25*BD18)*(Inputs!$F$97/100*0.5-Operations!BD9/100*Time!BD20/360),0)</f>
        <v/>
      </c>
      <c r="BE135" s="14">
        <f>IF(BE134=1,Inputs!$F$75*BE10+Inputs!$F$76*BE11+Inputs!$F$77*BE12+Inputs!$F$78*(BE13+(Inputs!$F$95/100*Inputs!$F$96/100)*Time!BE20/365)+Inputs!BE225/(Funding!$F$25*BE18)*(Inputs!$F$97/100*0.5-Operations!BE9/100*Time!BE20/360),0)</f>
        <v/>
      </c>
      <c r="BF135" s="14">
        <f>IF(BF134=1,Inputs!$F$75*BF10+Inputs!$F$76*BF11+Inputs!$F$77*BF12+Inputs!$F$78*(BF13+(Inputs!$F$95/100*Inputs!$F$96/100)*Time!BF20/365)+Inputs!BF225/(Funding!$F$25*BF18)*(Inputs!$F$97/100*0.5-Operations!BF9/100*Time!BF20/360),0)</f>
        <v/>
      </c>
      <c r="BG135" s="14">
        <f>IF(BG134=1,Inputs!$F$75*BG10+Inputs!$F$76*BG11+Inputs!$F$77*BG12+Inputs!$F$78*(BG13+(Inputs!$F$95/100*Inputs!$F$96/100)*Time!BG20/365)+Inputs!BG225/(Funding!$F$25*BG18)*(Inputs!$F$97/100*0.5-Operations!BG9/100*Time!BG20/360),0)</f>
        <v/>
      </c>
      <c r="BH135" s="14">
        <f>IF(BH134=1,Inputs!$F$75*BH10+Inputs!$F$76*BH11+Inputs!$F$77*BH12+Inputs!$F$78*(BH13+(Inputs!$F$95/100*Inputs!$F$96/100)*Time!BH20/365)+Inputs!BH225/(Funding!$F$25*BH18)*(Inputs!$F$97/100*0.5-Operations!BH9/100*Time!BH20/360),0)</f>
        <v/>
      </c>
      <c r="BI135" s="14">
        <f>IF(BI134=1,Inputs!$F$75*BI10+Inputs!$F$76*BI11+Inputs!$F$77*BI12+Inputs!$F$78*(BI13+(Inputs!$F$95/100*Inputs!$F$96/100)*Time!BI20/365)+Inputs!BI225/(Funding!$F$25*BI18)*(Inputs!$F$97/100*0.5-Operations!BI9/100*Time!BI20/360),0)</f>
        <v/>
      </c>
      <c r="BJ135" s="14">
        <f>IF(BJ134=1,Inputs!$F$75*BJ10+Inputs!$F$76*BJ11+Inputs!$F$77*BJ12+Inputs!$F$78*(BJ13+(Inputs!$F$95/100*Inputs!$F$96/100)*Time!BJ20/365)+Inputs!BJ225/(Funding!$F$25*BJ18)*(Inputs!$F$97/100*0.5-Operations!BJ9/100*Time!BJ20/360),0)</f>
        <v/>
      </c>
      <c r="BK135" s="14">
        <f>IF(BK134=1,Inputs!$F$75*BK10+Inputs!$F$76*BK11+Inputs!$F$77*BK12+Inputs!$F$78*(BK13+(Inputs!$F$95/100*Inputs!$F$96/100)*Time!BK20/365)+Inputs!BK225/(Funding!$F$25*BK18)*(Inputs!$F$97/100*0.5-Operations!BK9/100*Time!BK20/360),0)</f>
        <v/>
      </c>
      <c r="BL135" s="14">
        <f>IF(BL134=1,Inputs!$F$75*BL10+Inputs!$F$76*BL11+Inputs!$F$77*BL12+Inputs!$F$78*(BL13+(Inputs!$F$95/100*Inputs!$F$96/100)*Time!BL20/365)+Inputs!BL225/(Funding!$F$25*BL18)*(Inputs!$F$97/100*0.5-Operations!BL9/100*Time!BL20/360),0)</f>
        <v/>
      </c>
      <c r="BM135" s="14">
        <f>IF(BM134=1,Inputs!$F$75*BM10+Inputs!$F$76*BM11+Inputs!$F$77*BM12+Inputs!$F$78*(BM13+(Inputs!$F$95/100*Inputs!$F$96/100)*Time!BM20/365)+Inputs!BM225/(Funding!$F$25*BM18)*(Inputs!$F$97/100*0.5-Operations!BM9/100*Time!BM20/360),0)</f>
        <v/>
      </c>
      <c r="BN135" s="14">
        <f>IF(BN134=1,Inputs!$F$75*BN10+Inputs!$F$76*BN11+Inputs!$F$77*BN12+Inputs!$F$78*(BN13+(Inputs!$F$95/100*Inputs!$F$96/100)*Time!BN20/365)+Inputs!BN225/(Funding!$F$25*BN18)*(Inputs!$F$97/100*0.5-Operations!BN9/100*Time!BN20/360),0)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INDEX(Debt!$J$136:$BN$136,1,Time!$F$12)/Inputs!$F$106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Inputs!$F$105*Funding!$F$24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IF(Inputs!$F$8=1,J142-J134*Inputs!J222*Funding!$F$25,0)</f>
        <v/>
      </c>
      <c r="K143" s="11">
        <f>IF(Inputs!$F$8=1,K142-K134*Inputs!K222*Funding!$F$25,0)</f>
        <v/>
      </c>
      <c r="L143" s="11">
        <f>IF(Inputs!$F$8=1,L142-L134*Inputs!L222*Funding!$F$25,0)</f>
        <v/>
      </c>
      <c r="M143" s="11">
        <f>IF(Inputs!$F$8=1,M142-M134*Inputs!M222*Funding!$F$25,0)</f>
        <v/>
      </c>
      <c r="N143" s="11">
        <f>IF(Inputs!$F$8=1,N142-N134*Inputs!N222*Funding!$F$25,0)</f>
        <v/>
      </c>
      <c r="O143" s="11">
        <f>IF(Inputs!$F$8=1,O142-O134*Inputs!O222*Funding!$F$25,0)</f>
        <v/>
      </c>
      <c r="P143" s="11">
        <f>IF(Inputs!$F$8=1,P142-P134*Inputs!P222*Funding!$F$25,0)</f>
        <v/>
      </c>
      <c r="Q143" s="11">
        <f>IF(Inputs!$F$8=1,Q142-Q134*Inputs!Q222*Funding!$F$25,0)</f>
        <v/>
      </c>
      <c r="R143" s="11">
        <f>IF(Inputs!$F$8=1,R142-R134*Inputs!R222*Funding!$F$25,0)</f>
        <v/>
      </c>
      <c r="S143" s="11">
        <f>IF(Inputs!$F$8=1,S142-S134*Inputs!S222*Funding!$F$25,0)</f>
        <v/>
      </c>
      <c r="T143" s="11">
        <f>IF(Inputs!$F$8=1,T142-T134*Inputs!T222*Funding!$F$25,0)</f>
        <v/>
      </c>
      <c r="U143" s="11">
        <f>IF(Inputs!$F$8=1,U142-U134*Inputs!U222*Funding!$F$25,0)</f>
        <v/>
      </c>
      <c r="V143" s="11">
        <f>IF(Inputs!$F$8=1,V142-V134*Inputs!V222*Funding!$F$25,0)</f>
        <v/>
      </c>
      <c r="W143" s="11">
        <f>IF(Inputs!$F$8=1,W142-W134*Inputs!W222*Funding!$F$25,0)</f>
        <v/>
      </c>
      <c r="X143" s="11">
        <f>IF(Inputs!$F$8=1,X142-X134*Inputs!X222*Funding!$F$25,0)</f>
        <v/>
      </c>
      <c r="Y143" s="11">
        <f>IF(Inputs!$F$8=1,Y142-Y134*Inputs!Y222*Funding!$F$25,0)</f>
        <v/>
      </c>
      <c r="Z143" s="11">
        <f>IF(Inputs!$F$8=1,Z142-Z134*Inputs!Z222*Funding!$F$25,0)</f>
        <v/>
      </c>
      <c r="AA143" s="11">
        <f>IF(Inputs!$F$8=1,AA142-AA134*Inputs!AA222*Funding!$F$25,0)</f>
        <v/>
      </c>
      <c r="AB143" s="11">
        <f>IF(Inputs!$F$8=1,AB142-AB134*Inputs!AB222*Funding!$F$25,0)</f>
        <v/>
      </c>
      <c r="AC143" s="11">
        <f>IF(Inputs!$F$8=1,AC142-AC134*Inputs!AC222*Funding!$F$25,0)</f>
        <v/>
      </c>
      <c r="AD143" s="11">
        <f>IF(Inputs!$F$8=1,AD142-AD134*Inputs!AD222*Funding!$F$25,0)</f>
        <v/>
      </c>
      <c r="AE143" s="11">
        <f>IF(Inputs!$F$8=1,AE142-AE134*Inputs!AE222*Funding!$F$25,0)</f>
        <v/>
      </c>
      <c r="AF143" s="11">
        <f>IF(Inputs!$F$8=1,AF142-AF134*Inputs!AF222*Funding!$F$25,0)</f>
        <v/>
      </c>
      <c r="AG143" s="11">
        <f>IF(Inputs!$F$8=1,AG142-AG134*Inputs!AG222*Funding!$F$25,0)</f>
        <v/>
      </c>
      <c r="AH143" s="11">
        <f>IF(Inputs!$F$8=1,AH142-AH134*Inputs!AH222*Funding!$F$25,0)</f>
        <v/>
      </c>
      <c r="AI143" s="11">
        <f>IF(Inputs!$F$8=1,AI142-AI134*Inputs!AI222*Funding!$F$25,0)</f>
        <v/>
      </c>
      <c r="AJ143" s="11">
        <f>IF(Inputs!$F$8=1,AJ142-AJ134*Inputs!AJ222*Funding!$F$25,0)</f>
        <v/>
      </c>
      <c r="AK143" s="11">
        <f>IF(Inputs!$F$8=1,AK142-AK134*Inputs!AK222*Funding!$F$25,0)</f>
        <v/>
      </c>
      <c r="AL143" s="11">
        <f>IF(Inputs!$F$8=1,AL142-AL134*Inputs!AL222*Funding!$F$25,0)</f>
        <v/>
      </c>
      <c r="AM143" s="11">
        <f>IF(Inputs!$F$8=1,AM142-AM134*Inputs!AM222*Funding!$F$25,0)</f>
        <v/>
      </c>
      <c r="AN143" s="11">
        <f>IF(Inputs!$F$8=1,AN142-AN134*Inputs!AN222*Funding!$F$25,0)</f>
        <v/>
      </c>
      <c r="AO143" s="11">
        <f>IF(Inputs!$F$8=1,AO142-AO134*Inputs!AO222*Funding!$F$25,0)</f>
        <v/>
      </c>
      <c r="AP143" s="11">
        <f>IF(Inputs!$F$8=1,AP142-AP134*Inputs!AP222*Funding!$F$25,0)</f>
        <v/>
      </c>
      <c r="AQ143" s="11">
        <f>IF(Inputs!$F$8=1,AQ142-AQ134*Inputs!AQ222*Funding!$F$25,0)</f>
        <v/>
      </c>
      <c r="AR143" s="11">
        <f>IF(Inputs!$F$8=1,AR142-AR134*Inputs!AR222*Funding!$F$25,0)</f>
        <v/>
      </c>
      <c r="AS143" s="11">
        <f>IF(Inputs!$F$8=1,AS142-AS134*Inputs!AS222*Funding!$F$25,0)</f>
        <v/>
      </c>
      <c r="AT143" s="11">
        <f>IF(Inputs!$F$8=1,AT142-AT134*Inputs!AT222*Funding!$F$25,0)</f>
        <v/>
      </c>
      <c r="AU143" s="11">
        <f>IF(Inputs!$F$8=1,AU142-AU134*Inputs!AU222*Funding!$F$25,0)</f>
        <v/>
      </c>
      <c r="AV143" s="11">
        <f>IF(Inputs!$F$8=1,AV142-AV134*Inputs!AV222*Funding!$F$25,0)</f>
        <v/>
      </c>
      <c r="AW143" s="11">
        <f>IF(Inputs!$F$8=1,AW142-AW134*Inputs!AW222*Funding!$F$25,0)</f>
        <v/>
      </c>
      <c r="AX143" s="11">
        <f>IF(Inputs!$F$8=1,AX142-AX134*Inputs!AX222*Funding!$F$25,0)</f>
        <v/>
      </c>
      <c r="AY143" s="11">
        <f>IF(Inputs!$F$8=1,AY142-AY134*Inputs!AY222*Funding!$F$25,0)</f>
        <v/>
      </c>
      <c r="AZ143" s="11">
        <f>IF(Inputs!$F$8=1,AZ142-AZ134*Inputs!AZ222*Funding!$F$25,0)</f>
        <v/>
      </c>
      <c r="BA143" s="11">
        <f>IF(Inputs!$F$8=1,BA142-BA134*Inputs!BA222*Funding!$F$25,0)</f>
        <v/>
      </c>
      <c r="BB143" s="11">
        <f>IF(Inputs!$F$8=1,BB142-BB134*Inputs!BB222*Funding!$F$25,0)</f>
        <v/>
      </c>
      <c r="BC143" s="11">
        <f>IF(Inputs!$F$8=1,BC142-BC134*Inputs!BC222*Funding!$F$25,0)</f>
        <v/>
      </c>
      <c r="BD143" s="11">
        <f>IF(Inputs!$F$8=1,BD142-BD134*Inputs!BD222*Funding!$F$25,0)</f>
        <v/>
      </c>
      <c r="BE143" s="11">
        <f>IF(Inputs!$F$8=1,BE142-BE134*Inputs!BE222*Funding!$F$25,0)</f>
        <v/>
      </c>
      <c r="BF143" s="11">
        <f>IF(Inputs!$F$8=1,BF142-BF134*Inputs!BF222*Funding!$F$25,0)</f>
        <v/>
      </c>
      <c r="BG143" s="11">
        <f>IF(Inputs!$F$8=1,BG142-BG134*Inputs!BG222*Funding!$F$25,0)</f>
        <v/>
      </c>
      <c r="BH143" s="11">
        <f>IF(Inputs!$F$8=1,BH142-BH134*Inputs!BH222*Funding!$F$25,0)</f>
        <v/>
      </c>
      <c r="BI143" s="11">
        <f>IF(Inputs!$F$8=1,BI142-BI134*Inputs!BI222*Funding!$F$25,0)</f>
        <v/>
      </c>
      <c r="BJ143" s="11">
        <f>IF(Inputs!$F$8=1,BJ142-BJ134*Inputs!BJ222*Funding!$F$25,0)</f>
        <v/>
      </c>
      <c r="BK143" s="11">
        <f>IF(Inputs!$F$8=1,BK142-BK134*Inputs!BK222*Funding!$F$25,0)</f>
        <v/>
      </c>
      <c r="BL143" s="11">
        <f>IF(Inputs!$F$8=1,BL142-BL134*Inputs!BL222*Funding!$F$25,0)</f>
        <v/>
      </c>
      <c r="BM143" s="11">
        <f>IF(Inputs!$F$8=1,BM142-BM134*Inputs!BM222*Funding!$F$25,0)</f>
        <v/>
      </c>
      <c r="BN143" s="11">
        <f>IF(Inputs!$F$8=1,BN142-BN134*Inputs!BN222*Funding!$F$25,0)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SUM(Operations!K75:P75)/6</f>
        <v/>
      </c>
      <c r="K7" s="11">
        <f>SUM(Operations!L75:Q75)/6</f>
        <v/>
      </c>
      <c r="L7" s="11">
        <f>SUM(Operations!M75:R75)/6</f>
        <v/>
      </c>
      <c r="M7" s="11">
        <f>SUM(Operations!N75:S75)/6</f>
        <v/>
      </c>
      <c r="N7" s="11">
        <f>SUM(Operations!O75:T75)/6</f>
        <v/>
      </c>
      <c r="O7" s="11">
        <f>SUM(Operations!P75:U75)/6</f>
        <v/>
      </c>
      <c r="P7" s="11">
        <f>SUM(Operations!Q75:V75)/6</f>
        <v/>
      </c>
      <c r="Q7" s="11">
        <f>SUM(Operations!R75:W75)/6</f>
        <v/>
      </c>
      <c r="R7" s="11">
        <f>SUM(Operations!S75:X75)/6</f>
        <v/>
      </c>
      <c r="S7" s="11">
        <f>SUM(Operations!T75:Y75)/6</f>
        <v/>
      </c>
      <c r="T7" s="11">
        <f>SUM(Operations!U75:Z75)/6</f>
        <v/>
      </c>
      <c r="U7" s="11">
        <f>SUM(Operations!V75:AA75)/6</f>
        <v/>
      </c>
      <c r="V7" s="11">
        <f>SUM(Operations!W75:AB75)/6</f>
        <v/>
      </c>
      <c r="W7" s="11">
        <f>SUM(Operations!X75:AC75)/6</f>
        <v/>
      </c>
      <c r="X7" s="11">
        <f>SUM(Operations!Y75:AD75)/6</f>
        <v/>
      </c>
      <c r="Y7" s="11">
        <f>SUM(Operations!Z75:AE75)/6</f>
        <v/>
      </c>
      <c r="Z7" s="11">
        <f>SUM(Operations!AA75:AF75)/6</f>
        <v/>
      </c>
      <c r="AA7" s="11">
        <f>SUM(Operations!AB75:AG75)/6</f>
        <v/>
      </c>
      <c r="AB7" s="11">
        <f>SUM(Operations!AC75:AH75)/6</f>
        <v/>
      </c>
      <c r="AC7" s="11">
        <f>SUM(Operations!AD75:AI75)/6</f>
        <v/>
      </c>
      <c r="AD7" s="11">
        <f>SUM(Operations!AE75:AJ75)/6</f>
        <v/>
      </c>
      <c r="AE7" s="11">
        <f>SUM(Operations!AF75:AK75)/6</f>
        <v/>
      </c>
      <c r="AF7" s="11">
        <f>SUM(Operations!AG75:AL75)/6</f>
        <v/>
      </c>
      <c r="AG7" s="11">
        <f>SUM(Operations!AH75:AM75)/6</f>
        <v/>
      </c>
      <c r="AH7" s="11">
        <f>SUM(Operations!AI75:AN75)/6</f>
        <v/>
      </c>
      <c r="AI7" s="11">
        <f>SUM(Operations!AJ75:AO75)/6</f>
        <v/>
      </c>
      <c r="AJ7" s="11">
        <f>SUM(Operations!AK75:AP75)/6</f>
        <v/>
      </c>
      <c r="AK7" s="11">
        <f>SUM(Operations!AL75:AQ75)/6</f>
        <v/>
      </c>
      <c r="AL7" s="11">
        <f>SUM(Operations!AM75:AR75)/6</f>
        <v/>
      </c>
      <c r="AM7" s="11">
        <f>SUM(Operations!AN75:AS75)/6</f>
        <v/>
      </c>
      <c r="AN7" s="11">
        <f>SUM(Operations!AO75:AT75)/6</f>
        <v/>
      </c>
      <c r="AO7" s="11">
        <f>SUM(Operations!AP75:AU75)/6</f>
        <v/>
      </c>
      <c r="AP7" s="11">
        <f>SUM(Operations!AQ75:AV75)/6</f>
        <v/>
      </c>
      <c r="AQ7" s="11">
        <f>SUM(Operations!AR75:AW75)/6</f>
        <v/>
      </c>
      <c r="AR7" s="11">
        <f>SUM(Operations!AS75:AX75)/6</f>
        <v/>
      </c>
      <c r="AS7" s="11">
        <f>SUM(Operations!AT75:AY75)/6</f>
        <v/>
      </c>
      <c r="AT7" s="11">
        <f>SUM(Operations!AU75:AZ75)/6</f>
        <v/>
      </c>
      <c r="AU7" s="11">
        <f>SUM(Operations!AV75:BA75)/6</f>
        <v/>
      </c>
      <c r="AV7" s="11">
        <f>SUM(Operations!AW75:BB75)/6</f>
        <v/>
      </c>
      <c r="AW7" s="11">
        <f>SUM(Operations!AX75:BC75)/6</f>
        <v/>
      </c>
      <c r="AX7" s="11">
        <f>SUM(Operations!AY75:BD75)/6</f>
        <v/>
      </c>
      <c r="AY7" s="11">
        <f>SUM(Operations!AZ75:BE75)/6</f>
        <v/>
      </c>
      <c r="AZ7" s="11">
        <f>SUM(Operations!BA75:BF75)/6</f>
        <v/>
      </c>
      <c r="BA7" s="11">
        <f>SUM(Operations!BB75:BG75)/6</f>
        <v/>
      </c>
      <c r="BB7" s="11">
        <f>SUM(Operations!BC75:BH75)/6</f>
        <v/>
      </c>
      <c r="BC7" s="11">
        <f>SUM(Operations!BD75:BI75)/6</f>
        <v/>
      </c>
      <c r="BD7" s="11">
        <f>SUM(Operations!BE75:BJ75)/6</f>
        <v/>
      </c>
      <c r="BE7" s="11">
        <f>SUM(Operations!BF75:BK75)/6</f>
        <v/>
      </c>
      <c r="BF7" s="11">
        <f>SUM(Operations!BG75:BL75)/6</f>
        <v/>
      </c>
      <c r="BG7" s="11">
        <f>SUM(Operations!BH75:BM75)/6</f>
        <v/>
      </c>
      <c r="BH7" s="11">
        <f>SUM(Operations!BI75:BN75)/6</f>
        <v/>
      </c>
      <c r="BI7" s="11">
        <f>SUM(Operations!BJ75:BN75)/6</f>
        <v/>
      </c>
      <c r="BJ7" s="11">
        <f>SUM(Operations!BK75:BN75)/6</f>
        <v/>
      </c>
      <c r="BK7" s="11">
        <f>SUM(Operations!BL75:BN75)/6</f>
        <v/>
      </c>
      <c r="BL7" s="11">
        <f>SUM(Operations!BM75:BN75)/6</f>
        <v/>
      </c>
      <c r="BM7" s="11">
        <f>SUM(Operations!BN75:BN75)/6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0+J7-Operations!J75</f>
        <v/>
      </c>
      <c r="K8" s="11">
        <f>J8+K7-Operations!K75</f>
        <v/>
      </c>
      <c r="L8" s="11">
        <f>K8+L7-Operations!L75</f>
        <v/>
      </c>
      <c r="M8" s="11">
        <f>L8+M7-Operations!M75</f>
        <v/>
      </c>
      <c r="N8" s="11">
        <f>M8+N7-Operations!N75</f>
        <v/>
      </c>
      <c r="O8" s="11">
        <f>N8+O7-Operations!O75</f>
        <v/>
      </c>
      <c r="P8" s="11">
        <f>O8+P7-Operations!P75</f>
        <v/>
      </c>
      <c r="Q8" s="11">
        <f>P8+Q7-Operations!Q75</f>
        <v/>
      </c>
      <c r="R8" s="11">
        <f>Q8+R7-Operations!R75</f>
        <v/>
      </c>
      <c r="S8" s="11">
        <f>R8+S7-Operations!S75</f>
        <v/>
      </c>
      <c r="T8" s="11">
        <f>S8+T7-Operations!T75</f>
        <v/>
      </c>
      <c r="U8" s="11">
        <f>T8+U7-Operations!U75</f>
        <v/>
      </c>
      <c r="V8" s="11">
        <f>U8+V7-Operations!V75</f>
        <v/>
      </c>
      <c r="W8" s="11">
        <f>V8+W7-Operations!W75</f>
        <v/>
      </c>
      <c r="X8" s="11">
        <f>W8+X7-Operations!X75</f>
        <v/>
      </c>
      <c r="Y8" s="11">
        <f>X8+Y7-Operations!Y75</f>
        <v/>
      </c>
      <c r="Z8" s="11">
        <f>Y8+Z7-Operations!Z75</f>
        <v/>
      </c>
      <c r="AA8" s="11">
        <f>Z8+AA7-Operations!AA75</f>
        <v/>
      </c>
      <c r="AB8" s="11">
        <f>AA8+AB7-Operations!AB75</f>
        <v/>
      </c>
      <c r="AC8" s="11">
        <f>AB8+AC7-Operations!AC75</f>
        <v/>
      </c>
      <c r="AD8" s="11">
        <f>AC8+AD7-Operations!AD75</f>
        <v/>
      </c>
      <c r="AE8" s="11">
        <f>AD8+AE7-Operations!AE75</f>
        <v/>
      </c>
      <c r="AF8" s="11">
        <f>AE8+AF7-Operations!AF75</f>
        <v/>
      </c>
      <c r="AG8" s="11">
        <f>AF8+AG7-Operations!AG75</f>
        <v/>
      </c>
      <c r="AH8" s="11">
        <f>AG8+AH7-Operations!AH75</f>
        <v/>
      </c>
      <c r="AI8" s="11">
        <f>AH8+AI7-Operations!AI75</f>
        <v/>
      </c>
      <c r="AJ8" s="11">
        <f>AI8+AJ7-Operations!AJ75</f>
        <v/>
      </c>
      <c r="AK8" s="11">
        <f>AJ8+AK7-Operations!AK75</f>
        <v/>
      </c>
      <c r="AL8" s="11">
        <f>AK8+AL7-Operations!AL75</f>
        <v/>
      </c>
      <c r="AM8" s="11">
        <f>AL8+AM7-Operations!AM75</f>
        <v/>
      </c>
      <c r="AN8" s="11">
        <f>AM8+AN7-Operations!AN75</f>
        <v/>
      </c>
      <c r="AO8" s="11">
        <f>AN8+AO7-Operations!AO75</f>
        <v/>
      </c>
      <c r="AP8" s="11">
        <f>AO8+AP7-Operations!AP75</f>
        <v/>
      </c>
      <c r="AQ8" s="11">
        <f>AP8+AQ7-Operations!AQ75</f>
        <v/>
      </c>
      <c r="AR8" s="11">
        <f>AQ8+AR7-Operations!AR75</f>
        <v/>
      </c>
      <c r="AS8" s="11">
        <f>AR8+AS7-Operations!AS75</f>
        <v/>
      </c>
      <c r="AT8" s="11">
        <f>AS8+AT7-Operations!AT75</f>
        <v/>
      </c>
      <c r="AU8" s="11">
        <f>AT8+AU7-Operations!AU75</f>
        <v/>
      </c>
      <c r="AV8" s="11">
        <f>AU8+AV7-Operations!AV75</f>
        <v/>
      </c>
      <c r="AW8" s="11">
        <f>AV8+AW7-Operations!AW75</f>
        <v/>
      </c>
      <c r="AX8" s="11">
        <f>AW8+AX7-Operations!AX75</f>
        <v/>
      </c>
      <c r="AY8" s="11">
        <f>AX8+AY7-Operations!AY75</f>
        <v/>
      </c>
      <c r="AZ8" s="11">
        <f>AY8+AZ7-Operations!AZ75</f>
        <v/>
      </c>
      <c r="BA8" s="11">
        <f>AZ8+BA7-Operations!BA75</f>
        <v/>
      </c>
      <c r="BB8" s="11">
        <f>BA8+BB7-Operations!BB75</f>
        <v/>
      </c>
      <c r="BC8" s="11">
        <f>BB8+BC7-Operations!BC75</f>
        <v/>
      </c>
      <c r="BD8" s="11">
        <f>BC8+BD7-Operations!BD75</f>
        <v/>
      </c>
      <c r="BE8" s="11">
        <f>BD8+BE7-Operations!BE75</f>
        <v/>
      </c>
      <c r="BF8" s="11">
        <f>BE8+BF7-Operations!BF75</f>
        <v/>
      </c>
      <c r="BG8" s="11">
        <f>BF8+BG7-Operations!BG75</f>
        <v/>
      </c>
      <c r="BH8" s="11">
        <f>BG8+BH7-Operations!BH75</f>
        <v/>
      </c>
      <c r="BI8" s="11">
        <f>BH8+BI7-Operations!BI75</f>
        <v/>
      </c>
      <c r="BJ8" s="11">
        <f>BI8+BJ7-Operations!BJ75</f>
        <v/>
      </c>
      <c r="BK8" s="11">
        <f>BJ8+BK7-Operations!BK75</f>
        <v/>
      </c>
      <c r="BL8" s="11">
        <f>BK8+BL7-Operations!BL75</f>
        <v/>
      </c>
      <c r="BM8" s="11">
        <f>BL8+BM7-Operations!BM75</f>
        <v/>
      </c>
      <c r="BN8" s="11">
        <f>BM8+BN7-Operations!BN75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MIN(Waterfall!J14,Operations!J77)</f>
        <v/>
      </c>
      <c r="K14" s="11">
        <f>MIN(Waterfall!K14,Operations!K77)</f>
        <v/>
      </c>
      <c r="L14" s="11">
        <f>MIN(Waterfall!L14,Operations!L77)</f>
        <v/>
      </c>
      <c r="M14" s="11">
        <f>MIN(Waterfall!M14,Operations!M77)</f>
        <v/>
      </c>
      <c r="N14" s="11">
        <f>MIN(Waterfall!N14,Operations!N77)</f>
        <v/>
      </c>
      <c r="O14" s="11">
        <f>MIN(Waterfall!O14,Operations!O77)</f>
        <v/>
      </c>
      <c r="P14" s="11">
        <f>MIN(Waterfall!P14,Operations!P77)</f>
        <v/>
      </c>
      <c r="Q14" s="11">
        <f>MIN(Waterfall!Q14,Operations!Q77)</f>
        <v/>
      </c>
      <c r="R14" s="11">
        <f>MIN(Waterfall!R14,Operations!R77)</f>
        <v/>
      </c>
      <c r="S14" s="11">
        <f>MIN(Waterfall!S14,Operations!S77)</f>
        <v/>
      </c>
      <c r="T14" s="11">
        <f>MIN(Waterfall!T14,Operations!T77)</f>
        <v/>
      </c>
      <c r="U14" s="11">
        <f>MIN(Waterfall!U14,Operations!U77)</f>
        <v/>
      </c>
      <c r="V14" s="11">
        <f>MIN(Waterfall!V14,Operations!V77)</f>
        <v/>
      </c>
      <c r="W14" s="11">
        <f>MIN(Waterfall!W14,Operations!W77)</f>
        <v/>
      </c>
      <c r="X14" s="11">
        <f>MIN(Waterfall!X14,Operations!X77)</f>
        <v/>
      </c>
      <c r="Y14" s="11">
        <f>MIN(Waterfall!Y14,Operations!Y77)</f>
        <v/>
      </c>
      <c r="Z14" s="11">
        <f>MIN(Waterfall!Z14,Operations!Z77)</f>
        <v/>
      </c>
      <c r="AA14" s="11">
        <f>MIN(Waterfall!AA14,Operations!AA77)</f>
        <v/>
      </c>
      <c r="AB14" s="11">
        <f>MIN(Waterfall!AB14,Operations!AB77)</f>
        <v/>
      </c>
      <c r="AC14" s="11">
        <f>MIN(Waterfall!AC14,Operations!AC77)</f>
        <v/>
      </c>
      <c r="AD14" s="11">
        <f>MIN(Waterfall!AD14,Operations!AD77)</f>
        <v/>
      </c>
      <c r="AE14" s="11">
        <f>MIN(Waterfall!AE14,Operations!AE77)</f>
        <v/>
      </c>
      <c r="AF14" s="11">
        <f>MIN(Waterfall!AF14,Operations!AF77)</f>
        <v/>
      </c>
      <c r="AG14" s="11">
        <f>MIN(Waterfall!AG14,Operations!AG77)</f>
        <v/>
      </c>
      <c r="AH14" s="11">
        <f>MIN(Waterfall!AH14,Operations!AH77)</f>
        <v/>
      </c>
      <c r="AI14" s="11">
        <f>MIN(Waterfall!AI14,Operations!AI77)</f>
        <v/>
      </c>
      <c r="AJ14" s="11">
        <f>MIN(Waterfall!AJ14,Operations!AJ77)</f>
        <v/>
      </c>
      <c r="AK14" s="11">
        <f>MIN(Waterfall!AK14,Operations!AK77)</f>
        <v/>
      </c>
      <c r="AL14" s="11">
        <f>MIN(Waterfall!AL14,Operations!AL77)</f>
        <v/>
      </c>
      <c r="AM14" s="11">
        <f>MIN(Waterfall!AM14,Operations!AM77)</f>
        <v/>
      </c>
      <c r="AN14" s="11">
        <f>MIN(Waterfall!AN14,Operations!AN77)</f>
        <v/>
      </c>
      <c r="AO14" s="11">
        <f>MIN(Waterfall!AO14,Operations!AO77)</f>
        <v/>
      </c>
      <c r="AP14" s="11">
        <f>MIN(Waterfall!AP14,Operations!AP77)</f>
        <v/>
      </c>
      <c r="AQ14" s="11">
        <f>MIN(Waterfall!AQ14,Operations!AQ77)</f>
        <v/>
      </c>
      <c r="AR14" s="11">
        <f>MIN(Waterfall!AR14,Operations!AR77)</f>
        <v/>
      </c>
      <c r="AS14" s="11">
        <f>MIN(Waterfall!AS14,Operations!AS77)</f>
        <v/>
      </c>
      <c r="AT14" s="11">
        <f>MIN(Waterfall!AT14,Operations!AT77)</f>
        <v/>
      </c>
      <c r="AU14" s="11">
        <f>MIN(Waterfall!AU14,Operations!AU77)</f>
        <v/>
      </c>
      <c r="AV14" s="11">
        <f>MIN(Waterfall!AV14,Operations!AV77)</f>
        <v/>
      </c>
      <c r="AW14" s="11">
        <f>MIN(Waterfall!AW14,Operations!AW77)</f>
        <v/>
      </c>
      <c r="AX14" s="11">
        <f>MIN(Waterfall!AX14,Operations!AX77)</f>
        <v/>
      </c>
      <c r="AY14" s="11">
        <f>MIN(Waterfall!AY14,Operations!AY77)</f>
        <v/>
      </c>
      <c r="AZ14" s="11">
        <f>MIN(Waterfall!AZ14,Operations!AZ77)</f>
        <v/>
      </c>
      <c r="BA14" s="11">
        <f>MIN(Waterfall!BA14,Operations!BA77)</f>
        <v/>
      </c>
      <c r="BB14" s="11">
        <f>MIN(Waterfall!BB14,Operations!BB77)</f>
        <v/>
      </c>
      <c r="BC14" s="11">
        <f>MIN(Waterfall!BC14,Operations!BC77)</f>
        <v/>
      </c>
      <c r="BD14" s="11">
        <f>MIN(Waterfall!BD14,Operations!BD77)</f>
        <v/>
      </c>
      <c r="BE14" s="11">
        <f>MIN(Waterfall!BE14,Operations!BE77)</f>
        <v/>
      </c>
      <c r="BF14" s="11">
        <f>MIN(Waterfall!BF14,Operations!BF77)</f>
        <v/>
      </c>
      <c r="BG14" s="11">
        <f>MIN(Waterfall!BG14,Operations!BG77)</f>
        <v/>
      </c>
      <c r="BH14" s="11">
        <f>MIN(Waterfall!BH14,Operations!BH77)</f>
        <v/>
      </c>
      <c r="BI14" s="11">
        <f>MIN(Waterfall!BI14,Operations!BI77)</f>
        <v/>
      </c>
      <c r="BJ14" s="11">
        <f>MIN(Waterfall!BJ14,Operations!BJ77)</f>
        <v/>
      </c>
      <c r="BK14" s="11">
        <f>MIN(Waterfall!BK14,Operations!BK77)</f>
        <v/>
      </c>
      <c r="BL14" s="11">
        <f>MIN(Waterfall!BL14,Operations!BL77)</f>
        <v/>
      </c>
      <c r="BM14" s="11">
        <f>MIN(Waterfall!BM14,Operations!BM77)</f>
        <v/>
      </c>
      <c r="BN14" s="11">
        <f>MIN(Waterfall!BN14,Operations!BN77)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Inputs!$F$48*IF(AND(Time!J17&gt;=Time!$F$11,Time!J17&lt;8),Inputs!$F$191,0)</f>
        <v/>
      </c>
      <c r="K17" s="11">
        <f>Inputs!$F$48*IF(AND(Time!K17&gt;=Time!$F$11,Time!K17&lt;8),Inputs!$F$191,0)</f>
        <v/>
      </c>
      <c r="L17" s="11">
        <f>Inputs!$F$48*IF(AND(Time!L17&gt;=Time!$F$11,Time!L17&lt;8),Inputs!$F$191,0)</f>
        <v/>
      </c>
      <c r="M17" s="11">
        <f>Inputs!$F$48*IF(AND(Time!M17&gt;=Time!$F$11,Time!M17&lt;8),Inputs!$F$191,0)</f>
        <v/>
      </c>
      <c r="N17" s="11">
        <f>Inputs!$F$48*IF(AND(Time!N17&gt;=Time!$F$11,Time!N17&lt;8),Inputs!$F$191,0)</f>
        <v/>
      </c>
      <c r="O17" s="11">
        <f>Inputs!$F$48*IF(AND(Time!O17&gt;=Time!$F$11,Time!O17&lt;8),Inputs!$F$191,0)</f>
        <v/>
      </c>
      <c r="P17" s="11">
        <f>Inputs!$F$48*IF(AND(Time!P17&gt;=Time!$F$11,Time!P17&lt;8),Inputs!$F$191,0)</f>
        <v/>
      </c>
      <c r="Q17" s="11">
        <f>Inputs!$F$48*IF(AND(Time!Q17&gt;=Time!$F$11,Time!Q17&lt;8),Inputs!$F$191,0)</f>
        <v/>
      </c>
      <c r="R17" s="11">
        <f>Inputs!$F$48*IF(AND(Time!R17&gt;=Time!$F$11,Time!R17&lt;8),Inputs!$F$191,0)</f>
        <v/>
      </c>
      <c r="S17" s="11">
        <f>Inputs!$F$48*IF(AND(Time!S17&gt;=Time!$F$11,Time!S17&lt;8),Inputs!$F$191,0)</f>
        <v/>
      </c>
      <c r="T17" s="11">
        <f>Inputs!$F$48*IF(AND(Time!T17&gt;=Time!$F$11,Time!T17&lt;8),Inputs!$F$191,0)</f>
        <v/>
      </c>
      <c r="U17" s="11">
        <f>Inputs!$F$48*IF(AND(Time!U17&gt;=Time!$F$11,Time!U17&lt;8),Inputs!$F$191,0)</f>
        <v/>
      </c>
      <c r="V17" s="11">
        <f>Inputs!$F$48*IF(AND(Time!V17&gt;=Time!$F$11,Time!V17&lt;8),Inputs!$F$191,0)</f>
        <v/>
      </c>
      <c r="W17" s="11">
        <f>Inputs!$F$48*IF(AND(Time!W17&gt;=Time!$F$11,Time!W17&lt;8),Inputs!$F$191,0)</f>
        <v/>
      </c>
      <c r="X17" s="11">
        <f>Inputs!$F$48*IF(AND(Time!X17&gt;=Time!$F$11,Time!X17&lt;8),Inputs!$F$191,0)</f>
        <v/>
      </c>
      <c r="Y17" s="11">
        <f>Inputs!$F$48*IF(AND(Time!Y17&gt;=Time!$F$11,Time!Y17&lt;8),Inputs!$F$191,0)</f>
        <v/>
      </c>
      <c r="Z17" s="11">
        <f>Inputs!$F$48*IF(AND(Time!Z17&gt;=Time!$F$11,Time!Z17&lt;8),Inputs!$F$191,0)</f>
        <v/>
      </c>
      <c r="AA17" s="11">
        <f>Inputs!$F$48*IF(AND(Time!AA17&gt;=Time!$F$11,Time!AA17&lt;8),Inputs!$F$191,0)</f>
        <v/>
      </c>
      <c r="AB17" s="11">
        <f>Inputs!$F$48*IF(AND(Time!AB17&gt;=Time!$F$11,Time!AB17&lt;8),Inputs!$F$191,0)</f>
        <v/>
      </c>
      <c r="AC17" s="11">
        <f>Inputs!$F$48*IF(AND(Time!AC17&gt;=Time!$F$11,Time!AC17&lt;8),Inputs!$F$191,0)</f>
        <v/>
      </c>
      <c r="AD17" s="11">
        <f>Inputs!$F$48*IF(AND(Time!AD17&gt;=Time!$F$11,Time!AD17&lt;8),Inputs!$F$191,0)</f>
        <v/>
      </c>
      <c r="AE17" s="11">
        <f>Inputs!$F$48*IF(AND(Time!AE17&gt;=Time!$F$11,Time!AE17&lt;8),Inputs!$F$191,0)</f>
        <v/>
      </c>
      <c r="AF17" s="11">
        <f>Inputs!$F$48*IF(AND(Time!AF17&gt;=Time!$F$11,Time!AF17&lt;8),Inputs!$F$191,0)</f>
        <v/>
      </c>
      <c r="AG17" s="11">
        <f>Inputs!$F$48*IF(AND(Time!AG17&gt;=Time!$F$11,Time!AG17&lt;8),Inputs!$F$191,0)</f>
        <v/>
      </c>
      <c r="AH17" s="11">
        <f>Inputs!$F$48*IF(AND(Time!AH17&gt;=Time!$F$11,Time!AH17&lt;8),Inputs!$F$191,0)</f>
        <v/>
      </c>
      <c r="AI17" s="11">
        <f>Inputs!$F$48*IF(AND(Time!AI17&gt;=Time!$F$11,Time!AI17&lt;8),Inputs!$F$191,0)</f>
        <v/>
      </c>
      <c r="AJ17" s="11">
        <f>Inputs!$F$48*IF(AND(Time!AJ17&gt;=Time!$F$11,Time!AJ17&lt;8),Inputs!$F$191,0)</f>
        <v/>
      </c>
      <c r="AK17" s="11">
        <f>Inputs!$F$48*IF(AND(Time!AK17&gt;=Time!$F$11,Time!AK17&lt;8),Inputs!$F$191,0)</f>
        <v/>
      </c>
      <c r="AL17" s="11">
        <f>Inputs!$F$48*IF(AND(Time!AL17&gt;=Time!$F$11,Time!AL17&lt;8),Inputs!$F$191,0)</f>
        <v/>
      </c>
      <c r="AM17" s="11">
        <f>Inputs!$F$48*IF(AND(Time!AM17&gt;=Time!$F$11,Time!AM17&lt;8),Inputs!$F$191,0)</f>
        <v/>
      </c>
      <c r="AN17" s="11">
        <f>Inputs!$F$48*IF(AND(Time!AN17&gt;=Time!$F$11,Time!AN17&lt;8),Inputs!$F$191,0)</f>
        <v/>
      </c>
      <c r="AO17" s="11">
        <f>Inputs!$F$48*IF(AND(Time!AO17&gt;=Time!$F$11,Time!AO17&lt;8),Inputs!$F$191,0)</f>
        <v/>
      </c>
      <c r="AP17" s="11">
        <f>Inputs!$F$48*IF(AND(Time!AP17&gt;=Time!$F$11,Time!AP17&lt;8),Inputs!$F$191,0)</f>
        <v/>
      </c>
      <c r="AQ17" s="11">
        <f>Inputs!$F$48*IF(AND(Time!AQ17&gt;=Time!$F$11,Time!AQ17&lt;8),Inputs!$F$191,0)</f>
        <v/>
      </c>
      <c r="AR17" s="11">
        <f>Inputs!$F$48*IF(AND(Time!AR17&gt;=Time!$F$11,Time!AR17&lt;8),Inputs!$F$191,0)</f>
        <v/>
      </c>
      <c r="AS17" s="11">
        <f>Inputs!$F$48*IF(AND(Time!AS17&gt;=Time!$F$11,Time!AS17&lt;8),Inputs!$F$191,0)</f>
        <v/>
      </c>
      <c r="AT17" s="11">
        <f>Inputs!$F$48*IF(AND(Time!AT17&gt;=Time!$F$11,Time!AT17&lt;8),Inputs!$F$191,0)</f>
        <v/>
      </c>
      <c r="AU17" s="11">
        <f>Inputs!$F$48*IF(AND(Time!AU17&gt;=Time!$F$11,Time!AU17&lt;8),Inputs!$F$191,0)</f>
        <v/>
      </c>
      <c r="AV17" s="11">
        <f>Inputs!$F$48*IF(AND(Time!AV17&gt;=Time!$F$11,Time!AV17&lt;8),Inputs!$F$191,0)</f>
        <v/>
      </c>
      <c r="AW17" s="11">
        <f>Inputs!$F$48*IF(AND(Time!AW17&gt;=Time!$F$11,Time!AW17&lt;8),Inputs!$F$191,0)</f>
        <v/>
      </c>
      <c r="AX17" s="11">
        <f>Inputs!$F$48*IF(AND(Time!AX17&gt;=Time!$F$11,Time!AX17&lt;8),Inputs!$F$191,0)</f>
        <v/>
      </c>
      <c r="AY17" s="11">
        <f>Inputs!$F$48*IF(AND(Time!AY17&gt;=Time!$F$11,Time!AY17&lt;8),Inputs!$F$191,0)</f>
        <v/>
      </c>
      <c r="AZ17" s="11">
        <f>Inputs!$F$48*IF(AND(Time!AZ17&gt;=Time!$F$11,Time!AZ17&lt;8),Inputs!$F$191,0)</f>
        <v/>
      </c>
      <c r="BA17" s="11">
        <f>Inputs!$F$48*IF(AND(Time!BA17&gt;=Time!$F$11,Time!BA17&lt;8),Inputs!$F$191,0)</f>
        <v/>
      </c>
      <c r="BB17" s="11">
        <f>Inputs!$F$48*IF(AND(Time!BB17&gt;=Time!$F$11,Time!BB17&lt;8),Inputs!$F$191,0)</f>
        <v/>
      </c>
      <c r="BC17" s="11">
        <f>Inputs!$F$48*IF(AND(Time!BC17&gt;=Time!$F$11,Time!BC17&lt;8),Inputs!$F$191,0)</f>
        <v/>
      </c>
      <c r="BD17" s="11">
        <f>Inputs!$F$48*IF(AND(Time!BD17&gt;=Time!$F$11,Time!BD17&lt;8),Inputs!$F$191,0)</f>
        <v/>
      </c>
      <c r="BE17" s="11">
        <f>Inputs!$F$48*IF(AND(Time!BE17&gt;=Time!$F$11,Time!BE17&lt;8),Inputs!$F$191,0)</f>
        <v/>
      </c>
      <c r="BF17" s="11">
        <f>Inputs!$F$48*IF(AND(Time!BF17&gt;=Time!$F$11,Time!BF17&lt;8),Inputs!$F$191,0)</f>
        <v/>
      </c>
      <c r="BG17" s="11">
        <f>Inputs!$F$48*IF(AND(Time!BG17&gt;=Time!$F$11,Time!BG17&lt;8),Inputs!$F$191,0)</f>
        <v/>
      </c>
      <c r="BH17" s="11">
        <f>Inputs!$F$48*IF(AND(Time!BH17&gt;=Time!$F$11,Time!BH17&lt;8),Inputs!$F$191,0)</f>
        <v/>
      </c>
      <c r="BI17" s="11">
        <f>Inputs!$F$48*IF(AND(Time!BI17&gt;=Time!$F$11,Time!BI17&lt;8),Inputs!$F$191,0)</f>
        <v/>
      </c>
      <c r="BJ17" s="11">
        <f>Inputs!$F$48*IF(AND(Time!BJ17&gt;=Time!$F$11,Time!BJ17&lt;8),Inputs!$F$191,0)</f>
        <v/>
      </c>
      <c r="BK17" s="11">
        <f>Inputs!$F$48*IF(AND(Time!BK17&gt;=Time!$F$11,Time!BK17&lt;8),Inputs!$F$191,0)</f>
        <v/>
      </c>
      <c r="BL17" s="11">
        <f>Inputs!$F$48*IF(AND(Time!BL17&gt;=Time!$F$11,Time!BL17&lt;8),Inputs!$F$191,0)</f>
        <v/>
      </c>
      <c r="BM17" s="11">
        <f>Inputs!$F$48*IF(AND(Time!BM17&gt;=Time!$F$11,Time!BM17&lt;8),Inputs!$F$191,0)</f>
        <v/>
      </c>
      <c r="BN17" s="11">
        <f>Inputs!$F$48*IF(AND(Time!BN17&gt;=Time!$F$11,Time!BN17&lt;8),Inputs!$F$191,0)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Operations!J80-Tax!J27-Operations!J92-Reserves!J7+Operations!J75+Operations!J93</f>
        <v/>
      </c>
      <c r="K7" s="11">
        <f>Operations!K80-Tax!K27-Operations!K92-Reserves!K7+Operations!K75+Operations!K93</f>
        <v/>
      </c>
      <c r="L7" s="11">
        <f>Operations!L80-Tax!L27-Operations!L92-Reserves!L7+Operations!L75+Operations!L93</f>
        <v/>
      </c>
      <c r="M7" s="11">
        <f>Operations!M80-Tax!M27-Operations!M92-Reserves!M7+Operations!M75+Operations!M93</f>
        <v/>
      </c>
      <c r="N7" s="11">
        <f>Operations!N80-Tax!N27-Operations!N92-Reserves!N7+Operations!N75+Operations!N93</f>
        <v/>
      </c>
      <c r="O7" s="11">
        <f>Operations!O80-Tax!O27-Operations!O92-Reserves!O7+Operations!O75+Operations!O93</f>
        <v/>
      </c>
      <c r="P7" s="11">
        <f>Operations!P80-Tax!P27-Operations!P92-Reserves!P7+Operations!P75+Operations!P93</f>
        <v/>
      </c>
      <c r="Q7" s="11">
        <f>Operations!Q80-Tax!Q27-Operations!Q92-Reserves!Q7+Operations!Q75+Operations!Q93</f>
        <v/>
      </c>
      <c r="R7" s="11">
        <f>Operations!R80-Tax!R27-Operations!R92-Reserves!R7+Operations!R75+Operations!R93</f>
        <v/>
      </c>
      <c r="S7" s="11">
        <f>Operations!S80-Tax!S27-Operations!S92-Reserves!S7+Operations!S75+Operations!S93</f>
        <v/>
      </c>
      <c r="T7" s="11">
        <f>Operations!T80-Tax!T27-Operations!T92-Reserves!T7+Operations!T75+Operations!T93</f>
        <v/>
      </c>
      <c r="U7" s="11">
        <f>Operations!U80-Tax!U27-Operations!U92-Reserves!U7+Operations!U75+Operations!U93</f>
        <v/>
      </c>
      <c r="V7" s="11">
        <f>Operations!V80-Tax!V27-Operations!V92-Reserves!V7+Operations!V75+Operations!V93</f>
        <v/>
      </c>
      <c r="W7" s="11">
        <f>Operations!W80-Tax!W27-Operations!W92-Reserves!W7+Operations!W75+Operations!W93</f>
        <v/>
      </c>
      <c r="X7" s="11">
        <f>Operations!X80-Tax!X27-Operations!X92-Reserves!X7+Operations!X75+Operations!X93</f>
        <v/>
      </c>
      <c r="Y7" s="11">
        <f>Operations!Y80-Tax!Y27-Operations!Y92-Reserves!Y7+Operations!Y75+Operations!Y93</f>
        <v/>
      </c>
      <c r="Z7" s="11">
        <f>Operations!Z80-Tax!Z27-Operations!Z92-Reserves!Z7+Operations!Z75+Operations!Z93</f>
        <v/>
      </c>
      <c r="AA7" s="11">
        <f>Operations!AA80-Tax!AA27-Operations!AA92-Reserves!AA7+Operations!AA75+Operations!AA93</f>
        <v/>
      </c>
      <c r="AB7" s="11">
        <f>Operations!AB80-Tax!AB27-Operations!AB92-Reserves!AB7+Operations!AB75+Operations!AB93</f>
        <v/>
      </c>
      <c r="AC7" s="11">
        <f>Operations!AC80-Tax!AC27-Operations!AC92-Reserves!AC7+Operations!AC75+Operations!AC93</f>
        <v/>
      </c>
      <c r="AD7" s="11">
        <f>Operations!AD80-Tax!AD27-Operations!AD92-Reserves!AD7+Operations!AD75+Operations!AD93</f>
        <v/>
      </c>
      <c r="AE7" s="11">
        <f>Operations!AE80-Tax!AE27-Operations!AE92-Reserves!AE7+Operations!AE75+Operations!AE93</f>
        <v/>
      </c>
      <c r="AF7" s="11">
        <f>Operations!AF80-Tax!AF27-Operations!AF92-Reserves!AF7+Operations!AF75+Operations!AF93</f>
        <v/>
      </c>
      <c r="AG7" s="11">
        <f>Operations!AG80-Tax!AG27-Operations!AG92-Reserves!AG7+Operations!AG75+Operations!AG93</f>
        <v/>
      </c>
      <c r="AH7" s="11">
        <f>Operations!AH80-Tax!AH27-Operations!AH92-Reserves!AH7+Operations!AH75+Operations!AH93</f>
        <v/>
      </c>
      <c r="AI7" s="11">
        <f>Operations!AI80-Tax!AI27-Operations!AI92-Reserves!AI7+Operations!AI75+Operations!AI93</f>
        <v/>
      </c>
      <c r="AJ7" s="11">
        <f>Operations!AJ80-Tax!AJ27-Operations!AJ92-Reserves!AJ7+Operations!AJ75+Operations!AJ93</f>
        <v/>
      </c>
      <c r="AK7" s="11">
        <f>Operations!AK80-Tax!AK27-Operations!AK92-Reserves!AK7+Operations!AK75+Operations!AK93</f>
        <v/>
      </c>
      <c r="AL7" s="11">
        <f>Operations!AL80-Tax!AL27-Operations!AL92-Reserves!AL7+Operations!AL75+Operations!AL93</f>
        <v/>
      </c>
      <c r="AM7" s="11">
        <f>Operations!AM80-Tax!AM27-Operations!AM92-Reserves!AM7+Operations!AM75+Operations!AM93</f>
        <v/>
      </c>
      <c r="AN7" s="11">
        <f>Operations!AN80-Tax!AN27-Operations!AN92-Reserves!AN7+Operations!AN75+Operations!AN93</f>
        <v/>
      </c>
      <c r="AO7" s="11">
        <f>Operations!AO80-Tax!AO27-Operations!AO92-Reserves!AO7+Operations!AO75+Operations!AO93</f>
        <v/>
      </c>
      <c r="AP7" s="11">
        <f>Operations!AP80-Tax!AP27-Operations!AP92-Reserves!AP7+Operations!AP75+Operations!AP93</f>
        <v/>
      </c>
      <c r="AQ7" s="11">
        <f>Operations!AQ80-Tax!AQ27-Operations!AQ92-Reserves!AQ7+Operations!AQ75+Operations!AQ93</f>
        <v/>
      </c>
      <c r="AR7" s="11">
        <f>Operations!AR80-Tax!AR27-Operations!AR92-Reserves!AR7+Operations!AR75+Operations!AR93</f>
        <v/>
      </c>
      <c r="AS7" s="11">
        <f>Operations!AS80-Tax!AS27-Operations!AS92-Reserves!AS7+Operations!AS75+Operations!AS93</f>
        <v/>
      </c>
      <c r="AT7" s="11">
        <f>Operations!AT80-Tax!AT27-Operations!AT92-Reserves!AT7+Operations!AT75+Operations!AT93</f>
        <v/>
      </c>
      <c r="AU7" s="11">
        <f>Operations!AU80-Tax!AU27-Operations!AU92-Reserves!AU7+Operations!AU75+Operations!AU93</f>
        <v/>
      </c>
      <c r="AV7" s="11">
        <f>Operations!AV80-Tax!AV27-Operations!AV92-Reserves!AV7+Operations!AV75+Operations!AV93</f>
        <v/>
      </c>
      <c r="AW7" s="11">
        <f>Operations!AW80-Tax!AW27-Operations!AW92-Reserves!AW7+Operations!AW75+Operations!AW93</f>
        <v/>
      </c>
      <c r="AX7" s="11">
        <f>Operations!AX80-Tax!AX27-Operations!AX92-Reserves!AX7+Operations!AX75+Operations!AX93</f>
        <v/>
      </c>
      <c r="AY7" s="11">
        <f>Operations!AY80-Tax!AY27-Operations!AY92-Reserves!AY7+Operations!AY75+Operations!AY93</f>
        <v/>
      </c>
      <c r="AZ7" s="11">
        <f>Operations!AZ80-Tax!AZ27-Operations!AZ92-Reserves!AZ7+Operations!AZ75+Operations!AZ93</f>
        <v/>
      </c>
      <c r="BA7" s="11">
        <f>Operations!BA80-Tax!BA27-Operations!BA92-Reserves!BA7+Operations!BA75+Operations!BA93</f>
        <v/>
      </c>
      <c r="BB7" s="11">
        <f>Operations!BB80-Tax!BB27-Operations!BB92-Reserves!BB7+Operations!BB75+Operations!BB93</f>
        <v/>
      </c>
      <c r="BC7" s="11">
        <f>Operations!BC80-Tax!BC27-Operations!BC92-Reserves!BC7+Operations!BC75+Operations!BC93</f>
        <v/>
      </c>
      <c r="BD7" s="11">
        <f>Operations!BD80-Tax!BD27-Operations!BD92-Reserves!BD7+Operations!BD75+Operations!BD93</f>
        <v/>
      </c>
      <c r="BE7" s="11">
        <f>Operations!BE80-Tax!BE27-Operations!BE92-Reserves!BE7+Operations!BE75+Operations!BE93</f>
        <v/>
      </c>
      <c r="BF7" s="11">
        <f>Operations!BF80-Tax!BF27-Operations!BF92-Reserves!BF7+Operations!BF75+Operations!BF93</f>
        <v/>
      </c>
      <c r="BG7" s="11">
        <f>Operations!BG80-Tax!BG27-Operations!BG92-Reserves!BG7+Operations!BG75+Operations!BG93</f>
        <v/>
      </c>
      <c r="BH7" s="11">
        <f>Operations!BH80-Tax!BH27-Operations!BH92-Reserves!BH7+Operations!BH75+Operations!BH93</f>
        <v/>
      </c>
      <c r="BI7" s="11">
        <f>Operations!BI80-Tax!BI27-Operations!BI92-Reserves!BI7+Operations!BI75+Operations!BI93</f>
        <v/>
      </c>
      <c r="BJ7" s="11">
        <f>Operations!BJ80-Tax!BJ27-Operations!BJ92-Reserves!BJ7+Operations!BJ75+Operations!BJ93</f>
        <v/>
      </c>
      <c r="BK7" s="11">
        <f>Operations!BK80-Tax!BK27-Operations!BK92-Reserves!BK7+Operations!BK75+Operations!BK93</f>
        <v/>
      </c>
      <c r="BL7" s="11">
        <f>Operations!BL80-Tax!BL27-Operations!BL92-Reserves!BL7+Operations!BL75+Operations!BL93</f>
        <v/>
      </c>
      <c r="BM7" s="11">
        <f>Operations!BM80-Tax!BM27-Operations!BM92-Reserves!BM7+Operations!BM75+Operations!BM93</f>
        <v/>
      </c>
      <c r="BN7" s="11">
        <f>Operations!BN80-Tax!BN27-Operations!BN92-Reserves!BN7+Operations!BN75+Operations!BN93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IF(AND(Debt!J121&gt;0.000000001,J18&lt;Inputs!$F$109),1,0)</f>
        <v/>
      </c>
      <c r="K20" s="9">
        <f>IF(AND(Debt!K121&gt;0.000000001,K18&lt;Inputs!$F$109),1,0)</f>
        <v/>
      </c>
      <c r="L20" s="9">
        <f>IF(AND(Debt!L121&gt;0.000000001,L18&lt;Inputs!$F$109),1,0)</f>
        <v/>
      </c>
      <c r="M20" s="9">
        <f>IF(AND(Debt!M121&gt;0.000000001,M18&lt;Inputs!$F$109),1,0)</f>
        <v/>
      </c>
      <c r="N20" s="9">
        <f>IF(AND(Debt!N121&gt;0.000000001,N18&lt;Inputs!$F$109),1,0)</f>
        <v/>
      </c>
      <c r="O20" s="9">
        <f>IF(AND(Debt!O121&gt;0.000000001,O18&lt;Inputs!$F$109),1,0)</f>
        <v/>
      </c>
      <c r="P20" s="9">
        <f>IF(AND(Debt!P121&gt;0.000000001,P18&lt;Inputs!$F$109),1,0)</f>
        <v/>
      </c>
      <c r="Q20" s="9">
        <f>IF(AND(Debt!Q121&gt;0.000000001,Q18&lt;Inputs!$F$109),1,0)</f>
        <v/>
      </c>
      <c r="R20" s="9">
        <f>IF(AND(Debt!R121&gt;0.000000001,R18&lt;Inputs!$F$109),1,0)</f>
        <v/>
      </c>
      <c r="S20" s="9">
        <f>IF(AND(Debt!S121&gt;0.000000001,S18&lt;Inputs!$F$109),1,0)</f>
        <v/>
      </c>
      <c r="T20" s="9">
        <f>IF(AND(Debt!T121&gt;0.000000001,T18&lt;Inputs!$F$109),1,0)</f>
        <v/>
      </c>
      <c r="U20" s="9">
        <f>IF(AND(Debt!U121&gt;0.000000001,U18&lt;Inputs!$F$109),1,0)</f>
        <v/>
      </c>
      <c r="V20" s="9">
        <f>IF(AND(Debt!V121&gt;0.000000001,V18&lt;Inputs!$F$109),1,0)</f>
        <v/>
      </c>
      <c r="W20" s="9">
        <f>IF(AND(Debt!W121&gt;0.000000001,W18&lt;Inputs!$F$109),1,0)</f>
        <v/>
      </c>
      <c r="X20" s="9">
        <f>IF(AND(Debt!X121&gt;0.000000001,X18&lt;Inputs!$F$109),1,0)</f>
        <v/>
      </c>
      <c r="Y20" s="9">
        <f>IF(AND(Debt!Y121&gt;0.000000001,Y18&lt;Inputs!$F$109),1,0)</f>
        <v/>
      </c>
      <c r="Z20" s="9">
        <f>IF(AND(Debt!Z121&gt;0.000000001,Z18&lt;Inputs!$F$109),1,0)</f>
        <v/>
      </c>
      <c r="AA20" s="9">
        <f>IF(AND(Debt!AA121&gt;0.000000001,AA18&lt;Inputs!$F$109),1,0)</f>
        <v/>
      </c>
      <c r="AB20" s="9">
        <f>IF(AND(Debt!AB121&gt;0.000000001,AB18&lt;Inputs!$F$109),1,0)</f>
        <v/>
      </c>
      <c r="AC20" s="9">
        <f>IF(AND(Debt!AC121&gt;0.000000001,AC18&lt;Inputs!$F$109),1,0)</f>
        <v/>
      </c>
      <c r="AD20" s="9">
        <f>IF(AND(Debt!AD121&gt;0.000000001,AD18&lt;Inputs!$F$109),1,0)</f>
        <v/>
      </c>
      <c r="AE20" s="9">
        <f>IF(AND(Debt!AE121&gt;0.000000001,AE18&lt;Inputs!$F$109),1,0)</f>
        <v/>
      </c>
      <c r="AF20" s="9">
        <f>IF(AND(Debt!AF121&gt;0.000000001,AF18&lt;Inputs!$F$109),1,0)</f>
        <v/>
      </c>
      <c r="AG20" s="9">
        <f>IF(AND(Debt!AG121&gt;0.000000001,AG18&lt;Inputs!$F$109),1,0)</f>
        <v/>
      </c>
      <c r="AH20" s="9">
        <f>IF(AND(Debt!AH121&gt;0.000000001,AH18&lt;Inputs!$F$109),1,0)</f>
        <v/>
      </c>
      <c r="AI20" s="9">
        <f>IF(AND(Debt!AI121&gt;0.000000001,AI18&lt;Inputs!$F$109),1,0)</f>
        <v/>
      </c>
      <c r="AJ20" s="9">
        <f>IF(AND(Debt!AJ121&gt;0.000000001,AJ18&lt;Inputs!$F$109),1,0)</f>
        <v/>
      </c>
      <c r="AK20" s="9">
        <f>IF(AND(Debt!AK121&gt;0.000000001,AK18&lt;Inputs!$F$109),1,0)</f>
        <v/>
      </c>
      <c r="AL20" s="9">
        <f>IF(AND(Debt!AL121&gt;0.000000001,AL18&lt;Inputs!$F$109),1,0)</f>
        <v/>
      </c>
      <c r="AM20" s="9">
        <f>IF(AND(Debt!AM121&gt;0.000000001,AM18&lt;Inputs!$F$109),1,0)</f>
        <v/>
      </c>
      <c r="AN20" s="9">
        <f>IF(AND(Debt!AN121&gt;0.000000001,AN18&lt;Inputs!$F$109),1,0)</f>
        <v/>
      </c>
      <c r="AO20" s="9">
        <f>IF(AND(Debt!AO121&gt;0.000000001,AO18&lt;Inputs!$F$109),1,0)</f>
        <v/>
      </c>
      <c r="AP20" s="9">
        <f>IF(AND(Debt!AP121&gt;0.000000001,AP18&lt;Inputs!$F$109),1,0)</f>
        <v/>
      </c>
      <c r="AQ20" s="9">
        <f>IF(AND(Debt!AQ121&gt;0.000000001,AQ18&lt;Inputs!$F$109),1,0)</f>
        <v/>
      </c>
      <c r="AR20" s="9">
        <f>IF(AND(Debt!AR121&gt;0.000000001,AR18&lt;Inputs!$F$109),1,0)</f>
        <v/>
      </c>
      <c r="AS20" s="9">
        <f>IF(AND(Debt!AS121&gt;0.000000001,AS18&lt;Inputs!$F$109),1,0)</f>
        <v/>
      </c>
      <c r="AT20" s="9">
        <f>IF(AND(Debt!AT121&gt;0.000000001,AT18&lt;Inputs!$F$109),1,0)</f>
        <v/>
      </c>
      <c r="AU20" s="9">
        <f>IF(AND(Debt!AU121&gt;0.000000001,AU18&lt;Inputs!$F$109),1,0)</f>
        <v/>
      </c>
      <c r="AV20" s="9">
        <f>IF(AND(Debt!AV121&gt;0.000000001,AV18&lt;Inputs!$F$109),1,0)</f>
        <v/>
      </c>
      <c r="AW20" s="9">
        <f>IF(AND(Debt!AW121&gt;0.000000001,AW18&lt;Inputs!$F$109),1,0)</f>
        <v/>
      </c>
      <c r="AX20" s="9">
        <f>IF(AND(Debt!AX121&gt;0.000000001,AX18&lt;Inputs!$F$109),1,0)</f>
        <v/>
      </c>
      <c r="AY20" s="9">
        <f>IF(AND(Debt!AY121&gt;0.000000001,AY18&lt;Inputs!$F$109),1,0)</f>
        <v/>
      </c>
      <c r="AZ20" s="9">
        <f>IF(AND(Debt!AZ121&gt;0.000000001,AZ18&lt;Inputs!$F$109),1,0)</f>
        <v/>
      </c>
      <c r="BA20" s="9">
        <f>IF(AND(Debt!BA121&gt;0.000000001,BA18&lt;Inputs!$F$109),1,0)</f>
        <v/>
      </c>
      <c r="BB20" s="9">
        <f>IF(AND(Debt!BB121&gt;0.000000001,BB18&lt;Inputs!$F$109),1,0)</f>
        <v/>
      </c>
      <c r="BC20" s="9">
        <f>IF(AND(Debt!BC121&gt;0.000000001,BC18&lt;Inputs!$F$109),1,0)</f>
        <v/>
      </c>
      <c r="BD20" s="9">
        <f>IF(AND(Debt!BD121&gt;0.000000001,BD18&lt;Inputs!$F$109),1,0)</f>
        <v/>
      </c>
      <c r="BE20" s="9">
        <f>IF(AND(Debt!BE121&gt;0.000000001,BE18&lt;Inputs!$F$109),1,0)</f>
        <v/>
      </c>
      <c r="BF20" s="9">
        <f>IF(AND(Debt!BF121&gt;0.000000001,BF18&lt;Inputs!$F$109),1,0)</f>
        <v/>
      </c>
      <c r="BG20" s="9">
        <f>IF(AND(Debt!BG121&gt;0.000000001,BG18&lt;Inputs!$F$109),1,0)</f>
        <v/>
      </c>
      <c r="BH20" s="9">
        <f>IF(AND(Debt!BH121&gt;0.000000001,BH18&lt;Inputs!$F$109),1,0)</f>
        <v/>
      </c>
      <c r="BI20" s="9">
        <f>IF(AND(Debt!BI121&gt;0.000000001,BI18&lt;Inputs!$F$109),1,0)</f>
        <v/>
      </c>
      <c r="BJ20" s="9">
        <f>IF(AND(Debt!BJ121&gt;0.000000001,BJ18&lt;Inputs!$F$109),1,0)</f>
        <v/>
      </c>
      <c r="BK20" s="9">
        <f>IF(AND(Debt!BK121&gt;0.000000001,BK18&lt;Inputs!$F$109),1,0)</f>
        <v/>
      </c>
      <c r="BL20" s="9">
        <f>IF(AND(Debt!BL121&gt;0.000000001,BL18&lt;Inputs!$F$109),1,0)</f>
        <v/>
      </c>
      <c r="BM20" s="9">
        <f>IF(AND(Debt!BM121&gt;0.000000001,BM18&lt;Inputs!$F$109),1,0)</f>
        <v/>
      </c>
      <c r="BN20" s="9">
        <f>IF(AND(Debt!BN121&gt;0.000000001,BN18&lt;Inputs!$F$109),1,0)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Inputs!$F$49*IF(OR(Time!J17=10,Time!J17=11),1,0)</f>
        <v/>
      </c>
      <c r="K21" s="9">
        <f>Inputs!$F$49*IF(OR(Time!K17=10,Time!K17=11),1,0)</f>
        <v/>
      </c>
      <c r="L21" s="9">
        <f>Inputs!$F$49*IF(OR(Time!L17=10,Time!L17=11),1,0)</f>
        <v/>
      </c>
      <c r="M21" s="9">
        <f>Inputs!$F$49*IF(OR(Time!M17=10,Time!M17=11),1,0)</f>
        <v/>
      </c>
      <c r="N21" s="9">
        <f>Inputs!$F$49*IF(OR(Time!N17=10,Time!N17=11),1,0)</f>
        <v/>
      </c>
      <c r="O21" s="9">
        <f>Inputs!$F$49*IF(OR(Time!O17=10,Time!O17=11),1,0)</f>
        <v/>
      </c>
      <c r="P21" s="9">
        <f>Inputs!$F$49*IF(OR(Time!P17=10,Time!P17=11),1,0)</f>
        <v/>
      </c>
      <c r="Q21" s="9">
        <f>Inputs!$F$49*IF(OR(Time!Q17=10,Time!Q17=11),1,0)</f>
        <v/>
      </c>
      <c r="R21" s="9">
        <f>Inputs!$F$49*IF(OR(Time!R17=10,Time!R17=11),1,0)</f>
        <v/>
      </c>
      <c r="S21" s="9">
        <f>Inputs!$F$49*IF(OR(Time!S17=10,Time!S17=11),1,0)</f>
        <v/>
      </c>
      <c r="T21" s="9">
        <f>Inputs!$F$49*IF(OR(Time!T17=10,Time!T17=11),1,0)</f>
        <v/>
      </c>
      <c r="U21" s="9">
        <f>Inputs!$F$49*IF(OR(Time!U17=10,Time!U17=11),1,0)</f>
        <v/>
      </c>
      <c r="V21" s="9">
        <f>Inputs!$F$49*IF(OR(Time!V17=10,Time!V17=11),1,0)</f>
        <v/>
      </c>
      <c r="W21" s="9">
        <f>Inputs!$F$49*IF(OR(Time!W17=10,Time!W17=11),1,0)</f>
        <v/>
      </c>
      <c r="X21" s="9">
        <f>Inputs!$F$49*IF(OR(Time!X17=10,Time!X17=11),1,0)</f>
        <v/>
      </c>
      <c r="Y21" s="9">
        <f>Inputs!$F$49*IF(OR(Time!Y17=10,Time!Y17=11),1,0)</f>
        <v/>
      </c>
      <c r="Z21" s="9">
        <f>Inputs!$F$49*IF(OR(Time!Z17=10,Time!Z17=11),1,0)</f>
        <v/>
      </c>
      <c r="AA21" s="9">
        <f>Inputs!$F$49*IF(OR(Time!AA17=10,Time!AA17=11),1,0)</f>
        <v/>
      </c>
      <c r="AB21" s="9">
        <f>Inputs!$F$49*IF(OR(Time!AB17=10,Time!AB17=11),1,0)</f>
        <v/>
      </c>
      <c r="AC21" s="9">
        <f>Inputs!$F$49*IF(OR(Time!AC17=10,Time!AC17=11),1,0)</f>
        <v/>
      </c>
      <c r="AD21" s="9">
        <f>Inputs!$F$49*IF(OR(Time!AD17=10,Time!AD17=11),1,0)</f>
        <v/>
      </c>
      <c r="AE21" s="9">
        <f>Inputs!$F$49*IF(OR(Time!AE17=10,Time!AE17=11),1,0)</f>
        <v/>
      </c>
      <c r="AF21" s="9">
        <f>Inputs!$F$49*IF(OR(Time!AF17=10,Time!AF17=11),1,0)</f>
        <v/>
      </c>
      <c r="AG21" s="9">
        <f>Inputs!$F$49*IF(OR(Time!AG17=10,Time!AG17=11),1,0)</f>
        <v/>
      </c>
      <c r="AH21" s="9">
        <f>Inputs!$F$49*IF(OR(Time!AH17=10,Time!AH17=11),1,0)</f>
        <v/>
      </c>
      <c r="AI21" s="9">
        <f>Inputs!$F$49*IF(OR(Time!AI17=10,Time!AI17=11),1,0)</f>
        <v/>
      </c>
      <c r="AJ21" s="9">
        <f>Inputs!$F$49*IF(OR(Time!AJ17=10,Time!AJ17=11),1,0)</f>
        <v/>
      </c>
      <c r="AK21" s="9">
        <f>Inputs!$F$49*IF(OR(Time!AK17=10,Time!AK17=11),1,0)</f>
        <v/>
      </c>
      <c r="AL21" s="9">
        <f>Inputs!$F$49*IF(OR(Time!AL17=10,Time!AL17=11),1,0)</f>
        <v/>
      </c>
      <c r="AM21" s="9">
        <f>Inputs!$F$49*IF(OR(Time!AM17=10,Time!AM17=11),1,0)</f>
        <v/>
      </c>
      <c r="AN21" s="9">
        <f>Inputs!$F$49*IF(OR(Time!AN17=10,Time!AN17=11),1,0)</f>
        <v/>
      </c>
      <c r="AO21" s="9">
        <f>Inputs!$F$49*IF(OR(Time!AO17=10,Time!AO17=11),1,0)</f>
        <v/>
      </c>
      <c r="AP21" s="9">
        <f>Inputs!$F$49*IF(OR(Time!AP17=10,Time!AP17=11),1,0)</f>
        <v/>
      </c>
      <c r="AQ21" s="9">
        <f>Inputs!$F$49*IF(OR(Time!AQ17=10,Time!AQ17=11),1,0)</f>
        <v/>
      </c>
      <c r="AR21" s="9">
        <f>Inputs!$F$49*IF(OR(Time!AR17=10,Time!AR17=11),1,0)</f>
        <v/>
      </c>
      <c r="AS21" s="9">
        <f>Inputs!$F$49*IF(OR(Time!AS17=10,Time!AS17=11),1,0)</f>
        <v/>
      </c>
      <c r="AT21" s="9">
        <f>Inputs!$F$49*IF(OR(Time!AT17=10,Time!AT17=11),1,0)</f>
        <v/>
      </c>
      <c r="AU21" s="9">
        <f>Inputs!$F$49*IF(OR(Time!AU17=10,Time!AU17=11),1,0)</f>
        <v/>
      </c>
      <c r="AV21" s="9">
        <f>Inputs!$F$49*IF(OR(Time!AV17=10,Time!AV17=11),1,0)</f>
        <v/>
      </c>
      <c r="AW21" s="9">
        <f>Inputs!$F$49*IF(OR(Time!AW17=10,Time!AW17=11),1,0)</f>
        <v/>
      </c>
      <c r="AX21" s="9">
        <f>Inputs!$F$49*IF(OR(Time!AX17=10,Time!AX17=11),1,0)</f>
        <v/>
      </c>
      <c r="AY21" s="9">
        <f>Inputs!$F$49*IF(OR(Time!AY17=10,Time!AY17=11),1,0)</f>
        <v/>
      </c>
      <c r="AZ21" s="9">
        <f>Inputs!$F$49*IF(OR(Time!AZ17=10,Time!AZ17=11),1,0)</f>
        <v/>
      </c>
      <c r="BA21" s="9">
        <f>Inputs!$F$49*IF(OR(Time!BA17=10,Time!BA17=11),1,0)</f>
        <v/>
      </c>
      <c r="BB21" s="9">
        <f>Inputs!$F$49*IF(OR(Time!BB17=10,Time!BB17=11),1,0)</f>
        <v/>
      </c>
      <c r="BC21" s="9">
        <f>Inputs!$F$49*IF(OR(Time!BC17=10,Time!BC17=11),1,0)</f>
        <v/>
      </c>
      <c r="BD21" s="9">
        <f>Inputs!$F$49*IF(OR(Time!BD17=10,Time!BD17=11),1,0)</f>
        <v/>
      </c>
      <c r="BE21" s="9">
        <f>Inputs!$F$49*IF(OR(Time!BE17=10,Time!BE17=11),1,0)</f>
        <v/>
      </c>
      <c r="BF21" s="9">
        <f>Inputs!$F$49*IF(OR(Time!BF17=10,Time!BF17=11),1,0)</f>
        <v/>
      </c>
      <c r="BG21" s="9">
        <f>Inputs!$F$49*IF(OR(Time!BG17=10,Time!BG17=11),1,0)</f>
        <v/>
      </c>
      <c r="BH21" s="9">
        <f>Inputs!$F$49*IF(OR(Time!BH17=10,Time!BH17=11),1,0)</f>
        <v/>
      </c>
      <c r="BI21" s="9">
        <f>Inputs!$F$49*IF(OR(Time!BI17=10,Time!BI17=11),1,0)</f>
        <v/>
      </c>
      <c r="BJ21" s="9">
        <f>Inputs!$F$49*IF(OR(Time!BJ17=10,Time!BJ17=11),1,0)</f>
        <v/>
      </c>
      <c r="BK21" s="9">
        <f>Inputs!$F$49*IF(OR(Time!BK17=10,Time!BK17=11),1,0)</f>
        <v/>
      </c>
      <c r="BL21" s="9">
        <f>Inputs!$F$49*IF(OR(Time!BL17=10,Time!BL17=11),1,0)</f>
        <v/>
      </c>
      <c r="BM21" s="9">
        <f>Inputs!$F$49*IF(OR(Time!BM17=10,Time!BM17=11),1,0)</f>
        <v/>
      </c>
      <c r="BN21" s="9">
        <f>Inputs!$F$49*IF(OR(Time!BN17=10,Time!BN17=11),1,0)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Inputs!$F$49*IF(Time!J17&gt;=10,1,0)</f>
        <v/>
      </c>
      <c r="K22" s="9">
        <f>Inputs!$F$49*IF(Time!K17&gt;=10,1,0)</f>
        <v/>
      </c>
      <c r="L22" s="9">
        <f>Inputs!$F$49*IF(Time!L17&gt;=10,1,0)</f>
        <v/>
      </c>
      <c r="M22" s="9">
        <f>Inputs!$F$49*IF(Time!M17&gt;=10,1,0)</f>
        <v/>
      </c>
      <c r="N22" s="9">
        <f>Inputs!$F$49*IF(Time!N17&gt;=10,1,0)</f>
        <v/>
      </c>
      <c r="O22" s="9">
        <f>Inputs!$F$49*IF(Time!O17&gt;=10,1,0)</f>
        <v/>
      </c>
      <c r="P22" s="9">
        <f>Inputs!$F$49*IF(Time!P17&gt;=10,1,0)</f>
        <v/>
      </c>
      <c r="Q22" s="9">
        <f>Inputs!$F$49*IF(Time!Q17&gt;=10,1,0)</f>
        <v/>
      </c>
      <c r="R22" s="9">
        <f>Inputs!$F$49*IF(Time!R17&gt;=10,1,0)</f>
        <v/>
      </c>
      <c r="S22" s="9">
        <f>Inputs!$F$49*IF(Time!S17&gt;=10,1,0)</f>
        <v/>
      </c>
      <c r="T22" s="9">
        <f>Inputs!$F$49*IF(Time!T17&gt;=10,1,0)</f>
        <v/>
      </c>
      <c r="U22" s="9">
        <f>Inputs!$F$49*IF(Time!U17&gt;=10,1,0)</f>
        <v/>
      </c>
      <c r="V22" s="9">
        <f>Inputs!$F$49*IF(Time!V17&gt;=10,1,0)</f>
        <v/>
      </c>
      <c r="W22" s="9">
        <f>Inputs!$F$49*IF(Time!W17&gt;=10,1,0)</f>
        <v/>
      </c>
      <c r="X22" s="9">
        <f>Inputs!$F$49*IF(Time!X17&gt;=10,1,0)</f>
        <v/>
      </c>
      <c r="Y22" s="9">
        <f>Inputs!$F$49*IF(Time!Y17&gt;=10,1,0)</f>
        <v/>
      </c>
      <c r="Z22" s="9">
        <f>Inputs!$F$49*IF(Time!Z17&gt;=10,1,0)</f>
        <v/>
      </c>
      <c r="AA22" s="9">
        <f>Inputs!$F$49*IF(Time!AA17&gt;=10,1,0)</f>
        <v/>
      </c>
      <c r="AB22" s="9">
        <f>Inputs!$F$49*IF(Time!AB17&gt;=10,1,0)</f>
        <v/>
      </c>
      <c r="AC22" s="9">
        <f>Inputs!$F$49*IF(Time!AC17&gt;=10,1,0)</f>
        <v/>
      </c>
      <c r="AD22" s="9">
        <f>Inputs!$F$49*IF(Time!AD17&gt;=10,1,0)</f>
        <v/>
      </c>
      <c r="AE22" s="9">
        <f>Inputs!$F$49*IF(Time!AE17&gt;=10,1,0)</f>
        <v/>
      </c>
      <c r="AF22" s="9">
        <f>Inputs!$F$49*IF(Time!AF17&gt;=10,1,0)</f>
        <v/>
      </c>
      <c r="AG22" s="9">
        <f>Inputs!$F$49*IF(Time!AG17&gt;=10,1,0)</f>
        <v/>
      </c>
      <c r="AH22" s="9">
        <f>Inputs!$F$49*IF(Time!AH17&gt;=10,1,0)</f>
        <v/>
      </c>
      <c r="AI22" s="9">
        <f>Inputs!$F$49*IF(Time!AI17&gt;=10,1,0)</f>
        <v/>
      </c>
      <c r="AJ22" s="9">
        <f>Inputs!$F$49*IF(Time!AJ17&gt;=10,1,0)</f>
        <v/>
      </c>
      <c r="AK22" s="9">
        <f>Inputs!$F$49*IF(Time!AK17&gt;=10,1,0)</f>
        <v/>
      </c>
      <c r="AL22" s="9">
        <f>Inputs!$F$49*IF(Time!AL17&gt;=10,1,0)</f>
        <v/>
      </c>
      <c r="AM22" s="9">
        <f>Inputs!$F$49*IF(Time!AM17&gt;=10,1,0)</f>
        <v/>
      </c>
      <c r="AN22" s="9">
        <f>Inputs!$F$49*IF(Time!AN17&gt;=10,1,0)</f>
        <v/>
      </c>
      <c r="AO22" s="9">
        <f>Inputs!$F$49*IF(Time!AO17&gt;=10,1,0)</f>
        <v/>
      </c>
      <c r="AP22" s="9">
        <f>Inputs!$F$49*IF(Time!AP17&gt;=10,1,0)</f>
        <v/>
      </c>
      <c r="AQ22" s="9">
        <f>Inputs!$F$49*IF(Time!AQ17&gt;=10,1,0)</f>
        <v/>
      </c>
      <c r="AR22" s="9">
        <f>Inputs!$F$49*IF(Time!AR17&gt;=10,1,0)</f>
        <v/>
      </c>
      <c r="AS22" s="9">
        <f>Inputs!$F$49*IF(Time!AS17&gt;=10,1,0)</f>
        <v/>
      </c>
      <c r="AT22" s="9">
        <f>Inputs!$F$49*IF(Time!AT17&gt;=10,1,0)</f>
        <v/>
      </c>
      <c r="AU22" s="9">
        <f>Inputs!$F$49*IF(Time!AU17&gt;=10,1,0)</f>
        <v/>
      </c>
      <c r="AV22" s="9">
        <f>Inputs!$F$49*IF(Time!AV17&gt;=10,1,0)</f>
        <v/>
      </c>
      <c r="AW22" s="9">
        <f>Inputs!$F$49*IF(Time!AW17&gt;=10,1,0)</f>
        <v/>
      </c>
      <c r="AX22" s="9">
        <f>Inputs!$F$49*IF(Time!AX17&gt;=10,1,0)</f>
        <v/>
      </c>
      <c r="AY22" s="9">
        <f>Inputs!$F$49*IF(Time!AY17&gt;=10,1,0)</f>
        <v/>
      </c>
      <c r="AZ22" s="9">
        <f>Inputs!$F$49*IF(Time!AZ17&gt;=10,1,0)</f>
        <v/>
      </c>
      <c r="BA22" s="9">
        <f>Inputs!$F$49*IF(Time!BA17&gt;=10,1,0)</f>
        <v/>
      </c>
      <c r="BB22" s="9">
        <f>Inputs!$F$49*IF(Time!BB17&gt;=10,1,0)</f>
        <v/>
      </c>
      <c r="BC22" s="9">
        <f>Inputs!$F$49*IF(Time!BC17&gt;=10,1,0)</f>
        <v/>
      </c>
      <c r="BD22" s="9">
        <f>Inputs!$F$49*IF(Time!BD17&gt;=10,1,0)</f>
        <v/>
      </c>
      <c r="BE22" s="9">
        <f>Inputs!$F$49*IF(Time!BE17&gt;=10,1,0)</f>
        <v/>
      </c>
      <c r="BF22" s="9">
        <f>Inputs!$F$49*IF(Time!BF17&gt;=10,1,0)</f>
        <v/>
      </c>
      <c r="BG22" s="9">
        <f>Inputs!$F$49*IF(Time!BG17&gt;=10,1,0)</f>
        <v/>
      </c>
      <c r="BH22" s="9">
        <f>Inputs!$F$49*IF(Time!BH17&gt;=10,1,0)</f>
        <v/>
      </c>
      <c r="BI22" s="9">
        <f>Inputs!$F$49*IF(Time!BI17&gt;=10,1,0)</f>
        <v/>
      </c>
      <c r="BJ22" s="9">
        <f>Inputs!$F$49*IF(Time!BJ17&gt;=10,1,0)</f>
        <v/>
      </c>
      <c r="BK22" s="9">
        <f>Inputs!$F$49*IF(Time!BK17&gt;=10,1,0)</f>
        <v/>
      </c>
      <c r="BL22" s="9">
        <f>Inputs!$F$49*IF(Time!BL17&gt;=10,1,0)</f>
        <v/>
      </c>
      <c r="BM22" s="9">
        <f>Inputs!$F$49*IF(Time!BM17&gt;=10,1,0)</f>
        <v/>
      </c>
      <c r="BN22" s="9">
        <f>Inputs!$F$49*IF(Time!BN17&gt;=10,1,0)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MAX(0,IF(AND(J22=1,Time!J17&gt;11,J18&gt;=Inputs!$F$110,Time!J17-1&gt;11,0&gt;=Inputs!$F$110,Reserves!J13&gt;=Debt!J132-0.000001),1,0))</f>
        <v/>
      </c>
      <c r="K23" s="9">
        <f>MAX(J23,IF(AND(K22=1,Time!K17&gt;11,K18&gt;=Inputs!$F$110,Time!K17-1&gt;11,J18&gt;=Inputs!$F$110,Reserves!K13&gt;=Debt!K132-0.000001),1,0))</f>
        <v/>
      </c>
      <c r="L23" s="9">
        <f>MAX(K23,IF(AND(L22=1,Time!L17&gt;11,L18&gt;=Inputs!$F$110,Time!L17-1&gt;11,K18&gt;=Inputs!$F$110,Reserves!L13&gt;=Debt!L132-0.000001),1,0))</f>
        <v/>
      </c>
      <c r="M23" s="9">
        <f>MAX(L23,IF(AND(M22=1,Time!M17&gt;11,M18&gt;=Inputs!$F$110,Time!M17-1&gt;11,L18&gt;=Inputs!$F$110,Reserves!M13&gt;=Debt!M132-0.000001),1,0))</f>
        <v/>
      </c>
      <c r="N23" s="9">
        <f>MAX(M23,IF(AND(N22=1,Time!N17&gt;11,N18&gt;=Inputs!$F$110,Time!N17-1&gt;11,M18&gt;=Inputs!$F$110,Reserves!N13&gt;=Debt!N132-0.000001),1,0))</f>
        <v/>
      </c>
      <c r="O23" s="9">
        <f>MAX(N23,IF(AND(O22=1,Time!O17&gt;11,O18&gt;=Inputs!$F$110,Time!O17-1&gt;11,N18&gt;=Inputs!$F$110,Reserves!O13&gt;=Debt!O132-0.000001),1,0))</f>
        <v/>
      </c>
      <c r="P23" s="9">
        <f>MAX(O23,IF(AND(P22=1,Time!P17&gt;11,P18&gt;=Inputs!$F$110,Time!P17-1&gt;11,O18&gt;=Inputs!$F$110,Reserves!P13&gt;=Debt!P132-0.000001),1,0))</f>
        <v/>
      </c>
      <c r="Q23" s="9">
        <f>MAX(P23,IF(AND(Q22=1,Time!Q17&gt;11,Q18&gt;=Inputs!$F$110,Time!Q17-1&gt;11,P18&gt;=Inputs!$F$110,Reserves!Q13&gt;=Debt!Q132-0.000001),1,0))</f>
        <v/>
      </c>
      <c r="R23" s="9">
        <f>MAX(Q23,IF(AND(R22=1,Time!R17&gt;11,R18&gt;=Inputs!$F$110,Time!R17-1&gt;11,Q18&gt;=Inputs!$F$110,Reserves!R13&gt;=Debt!R132-0.000001),1,0))</f>
        <v/>
      </c>
      <c r="S23" s="9">
        <f>MAX(R23,IF(AND(S22=1,Time!S17&gt;11,S18&gt;=Inputs!$F$110,Time!S17-1&gt;11,R18&gt;=Inputs!$F$110,Reserves!S13&gt;=Debt!S132-0.000001),1,0))</f>
        <v/>
      </c>
      <c r="T23" s="9">
        <f>MAX(S23,IF(AND(T22=1,Time!T17&gt;11,T18&gt;=Inputs!$F$110,Time!T17-1&gt;11,S18&gt;=Inputs!$F$110,Reserves!T13&gt;=Debt!T132-0.000001),1,0))</f>
        <v/>
      </c>
      <c r="U23" s="9">
        <f>MAX(T23,IF(AND(U22=1,Time!U17&gt;11,U18&gt;=Inputs!$F$110,Time!U17-1&gt;11,T18&gt;=Inputs!$F$110,Reserves!U13&gt;=Debt!U132-0.000001),1,0))</f>
        <v/>
      </c>
      <c r="V23" s="9">
        <f>MAX(U23,IF(AND(V22=1,Time!V17&gt;11,V18&gt;=Inputs!$F$110,Time!V17-1&gt;11,U18&gt;=Inputs!$F$110,Reserves!V13&gt;=Debt!V132-0.000001),1,0))</f>
        <v/>
      </c>
      <c r="W23" s="9">
        <f>MAX(V23,IF(AND(W22=1,Time!W17&gt;11,W18&gt;=Inputs!$F$110,Time!W17-1&gt;11,V18&gt;=Inputs!$F$110,Reserves!W13&gt;=Debt!W132-0.000001),1,0))</f>
        <v/>
      </c>
      <c r="X23" s="9">
        <f>MAX(W23,IF(AND(X22=1,Time!X17&gt;11,X18&gt;=Inputs!$F$110,Time!X17-1&gt;11,W18&gt;=Inputs!$F$110,Reserves!X13&gt;=Debt!X132-0.000001),1,0))</f>
        <v/>
      </c>
      <c r="Y23" s="9">
        <f>MAX(X23,IF(AND(Y22=1,Time!Y17&gt;11,Y18&gt;=Inputs!$F$110,Time!Y17-1&gt;11,X18&gt;=Inputs!$F$110,Reserves!Y13&gt;=Debt!Y132-0.000001),1,0))</f>
        <v/>
      </c>
      <c r="Z23" s="9">
        <f>MAX(Y23,IF(AND(Z22=1,Time!Z17&gt;11,Z18&gt;=Inputs!$F$110,Time!Z17-1&gt;11,Y18&gt;=Inputs!$F$110,Reserves!Z13&gt;=Debt!Z132-0.000001),1,0))</f>
        <v/>
      </c>
      <c r="AA23" s="9">
        <f>MAX(Z23,IF(AND(AA22=1,Time!AA17&gt;11,AA18&gt;=Inputs!$F$110,Time!AA17-1&gt;11,Z18&gt;=Inputs!$F$110,Reserves!AA13&gt;=Debt!AA132-0.000001),1,0))</f>
        <v/>
      </c>
      <c r="AB23" s="9">
        <f>MAX(AA23,IF(AND(AB22=1,Time!AB17&gt;11,AB18&gt;=Inputs!$F$110,Time!AB17-1&gt;11,AA18&gt;=Inputs!$F$110,Reserves!AB13&gt;=Debt!AB132-0.000001),1,0))</f>
        <v/>
      </c>
      <c r="AC23" s="9">
        <f>MAX(AB23,IF(AND(AC22=1,Time!AC17&gt;11,AC18&gt;=Inputs!$F$110,Time!AC17-1&gt;11,AB18&gt;=Inputs!$F$110,Reserves!AC13&gt;=Debt!AC132-0.000001),1,0))</f>
        <v/>
      </c>
      <c r="AD23" s="9">
        <f>MAX(AC23,IF(AND(AD22=1,Time!AD17&gt;11,AD18&gt;=Inputs!$F$110,Time!AD17-1&gt;11,AC18&gt;=Inputs!$F$110,Reserves!AD13&gt;=Debt!AD132-0.000001),1,0))</f>
        <v/>
      </c>
      <c r="AE23" s="9">
        <f>MAX(AD23,IF(AND(AE22=1,Time!AE17&gt;11,AE18&gt;=Inputs!$F$110,Time!AE17-1&gt;11,AD18&gt;=Inputs!$F$110,Reserves!AE13&gt;=Debt!AE132-0.000001),1,0))</f>
        <v/>
      </c>
      <c r="AF23" s="9">
        <f>MAX(AE23,IF(AND(AF22=1,Time!AF17&gt;11,AF18&gt;=Inputs!$F$110,Time!AF17-1&gt;11,AE18&gt;=Inputs!$F$110,Reserves!AF13&gt;=Debt!AF132-0.000001),1,0))</f>
        <v/>
      </c>
      <c r="AG23" s="9">
        <f>MAX(AF23,IF(AND(AG22=1,Time!AG17&gt;11,AG18&gt;=Inputs!$F$110,Time!AG17-1&gt;11,AF18&gt;=Inputs!$F$110,Reserves!AG13&gt;=Debt!AG132-0.000001),1,0))</f>
        <v/>
      </c>
      <c r="AH23" s="9">
        <f>MAX(AG23,IF(AND(AH22=1,Time!AH17&gt;11,AH18&gt;=Inputs!$F$110,Time!AH17-1&gt;11,AG18&gt;=Inputs!$F$110,Reserves!AH13&gt;=Debt!AH132-0.000001),1,0))</f>
        <v/>
      </c>
      <c r="AI23" s="9">
        <f>MAX(AH23,IF(AND(AI22=1,Time!AI17&gt;11,AI18&gt;=Inputs!$F$110,Time!AI17-1&gt;11,AH18&gt;=Inputs!$F$110,Reserves!AI13&gt;=Debt!AI132-0.000001),1,0))</f>
        <v/>
      </c>
      <c r="AJ23" s="9">
        <f>MAX(AI23,IF(AND(AJ22=1,Time!AJ17&gt;11,AJ18&gt;=Inputs!$F$110,Time!AJ17-1&gt;11,AI18&gt;=Inputs!$F$110,Reserves!AJ13&gt;=Debt!AJ132-0.000001),1,0))</f>
        <v/>
      </c>
      <c r="AK23" s="9">
        <f>MAX(AJ23,IF(AND(AK22=1,Time!AK17&gt;11,AK18&gt;=Inputs!$F$110,Time!AK17-1&gt;11,AJ18&gt;=Inputs!$F$110,Reserves!AK13&gt;=Debt!AK132-0.000001),1,0))</f>
        <v/>
      </c>
      <c r="AL23" s="9">
        <f>MAX(AK23,IF(AND(AL22=1,Time!AL17&gt;11,AL18&gt;=Inputs!$F$110,Time!AL17-1&gt;11,AK18&gt;=Inputs!$F$110,Reserves!AL13&gt;=Debt!AL132-0.000001),1,0))</f>
        <v/>
      </c>
      <c r="AM23" s="9">
        <f>MAX(AL23,IF(AND(AM22=1,Time!AM17&gt;11,AM18&gt;=Inputs!$F$110,Time!AM17-1&gt;11,AL18&gt;=Inputs!$F$110,Reserves!AM13&gt;=Debt!AM132-0.000001),1,0))</f>
        <v/>
      </c>
      <c r="AN23" s="9">
        <f>MAX(AM23,IF(AND(AN22=1,Time!AN17&gt;11,AN18&gt;=Inputs!$F$110,Time!AN17-1&gt;11,AM18&gt;=Inputs!$F$110,Reserves!AN13&gt;=Debt!AN132-0.000001),1,0))</f>
        <v/>
      </c>
      <c r="AO23" s="9">
        <f>MAX(AN23,IF(AND(AO22=1,Time!AO17&gt;11,AO18&gt;=Inputs!$F$110,Time!AO17-1&gt;11,AN18&gt;=Inputs!$F$110,Reserves!AO13&gt;=Debt!AO132-0.000001),1,0))</f>
        <v/>
      </c>
      <c r="AP23" s="9">
        <f>MAX(AO23,IF(AND(AP22=1,Time!AP17&gt;11,AP18&gt;=Inputs!$F$110,Time!AP17-1&gt;11,AO18&gt;=Inputs!$F$110,Reserves!AP13&gt;=Debt!AP132-0.000001),1,0))</f>
        <v/>
      </c>
      <c r="AQ23" s="9">
        <f>MAX(AP23,IF(AND(AQ22=1,Time!AQ17&gt;11,AQ18&gt;=Inputs!$F$110,Time!AQ17-1&gt;11,AP18&gt;=Inputs!$F$110,Reserves!AQ13&gt;=Debt!AQ132-0.000001),1,0))</f>
        <v/>
      </c>
      <c r="AR23" s="9">
        <f>MAX(AQ23,IF(AND(AR22=1,Time!AR17&gt;11,AR18&gt;=Inputs!$F$110,Time!AR17-1&gt;11,AQ18&gt;=Inputs!$F$110,Reserves!AR13&gt;=Debt!AR132-0.000001),1,0))</f>
        <v/>
      </c>
      <c r="AS23" s="9">
        <f>MAX(AR23,IF(AND(AS22=1,Time!AS17&gt;11,AS18&gt;=Inputs!$F$110,Time!AS17-1&gt;11,AR18&gt;=Inputs!$F$110,Reserves!AS13&gt;=Debt!AS132-0.000001),1,0))</f>
        <v/>
      </c>
      <c r="AT23" s="9">
        <f>MAX(AS23,IF(AND(AT22=1,Time!AT17&gt;11,AT18&gt;=Inputs!$F$110,Time!AT17-1&gt;11,AS18&gt;=Inputs!$F$110,Reserves!AT13&gt;=Debt!AT132-0.000001),1,0))</f>
        <v/>
      </c>
      <c r="AU23" s="9">
        <f>MAX(AT23,IF(AND(AU22=1,Time!AU17&gt;11,AU18&gt;=Inputs!$F$110,Time!AU17-1&gt;11,AT18&gt;=Inputs!$F$110,Reserves!AU13&gt;=Debt!AU132-0.000001),1,0))</f>
        <v/>
      </c>
      <c r="AV23" s="9">
        <f>MAX(AU23,IF(AND(AV22=1,Time!AV17&gt;11,AV18&gt;=Inputs!$F$110,Time!AV17-1&gt;11,AU18&gt;=Inputs!$F$110,Reserves!AV13&gt;=Debt!AV132-0.000001),1,0))</f>
        <v/>
      </c>
      <c r="AW23" s="9">
        <f>MAX(AV23,IF(AND(AW22=1,Time!AW17&gt;11,AW18&gt;=Inputs!$F$110,Time!AW17-1&gt;11,AV18&gt;=Inputs!$F$110,Reserves!AW13&gt;=Debt!AW132-0.000001),1,0))</f>
        <v/>
      </c>
      <c r="AX23" s="9">
        <f>MAX(AW23,IF(AND(AX22=1,Time!AX17&gt;11,AX18&gt;=Inputs!$F$110,Time!AX17-1&gt;11,AW18&gt;=Inputs!$F$110,Reserves!AX13&gt;=Debt!AX132-0.000001),1,0))</f>
        <v/>
      </c>
      <c r="AY23" s="9">
        <f>MAX(AX23,IF(AND(AY22=1,Time!AY17&gt;11,AY18&gt;=Inputs!$F$110,Time!AY17-1&gt;11,AX18&gt;=Inputs!$F$110,Reserves!AY13&gt;=Debt!AY132-0.000001),1,0))</f>
        <v/>
      </c>
      <c r="AZ23" s="9">
        <f>MAX(AY23,IF(AND(AZ22=1,Time!AZ17&gt;11,AZ18&gt;=Inputs!$F$110,Time!AZ17-1&gt;11,AY18&gt;=Inputs!$F$110,Reserves!AZ13&gt;=Debt!AZ132-0.000001),1,0))</f>
        <v/>
      </c>
      <c r="BA23" s="9">
        <f>MAX(AZ23,IF(AND(BA22=1,Time!BA17&gt;11,BA18&gt;=Inputs!$F$110,Time!BA17-1&gt;11,AZ18&gt;=Inputs!$F$110,Reserves!BA13&gt;=Debt!BA132-0.000001),1,0))</f>
        <v/>
      </c>
      <c r="BB23" s="9">
        <f>MAX(BA23,IF(AND(BB22=1,Time!BB17&gt;11,BB18&gt;=Inputs!$F$110,Time!BB17-1&gt;11,BA18&gt;=Inputs!$F$110,Reserves!BB13&gt;=Debt!BB132-0.000001),1,0))</f>
        <v/>
      </c>
      <c r="BC23" s="9">
        <f>MAX(BB23,IF(AND(BC22=1,Time!BC17&gt;11,BC18&gt;=Inputs!$F$110,Time!BC17-1&gt;11,BB18&gt;=Inputs!$F$110,Reserves!BC13&gt;=Debt!BC132-0.000001),1,0))</f>
        <v/>
      </c>
      <c r="BD23" s="9">
        <f>MAX(BC23,IF(AND(BD22=1,Time!BD17&gt;11,BD18&gt;=Inputs!$F$110,Time!BD17-1&gt;11,BC18&gt;=Inputs!$F$110,Reserves!BD13&gt;=Debt!BD132-0.000001),1,0))</f>
        <v/>
      </c>
      <c r="BE23" s="9">
        <f>MAX(BD23,IF(AND(BE22=1,Time!BE17&gt;11,BE18&gt;=Inputs!$F$110,Time!BE17-1&gt;11,BD18&gt;=Inputs!$F$110,Reserves!BE13&gt;=Debt!BE132-0.000001),1,0))</f>
        <v/>
      </c>
      <c r="BF23" s="9">
        <f>MAX(BE23,IF(AND(BF22=1,Time!BF17&gt;11,BF18&gt;=Inputs!$F$110,Time!BF17-1&gt;11,BE18&gt;=Inputs!$F$110,Reserves!BF13&gt;=Debt!BF132-0.000001),1,0))</f>
        <v/>
      </c>
      <c r="BG23" s="9">
        <f>MAX(BF23,IF(AND(BG22=1,Time!BG17&gt;11,BG18&gt;=Inputs!$F$110,Time!BG17-1&gt;11,BF18&gt;=Inputs!$F$110,Reserves!BG13&gt;=Debt!BG132-0.000001),1,0))</f>
        <v/>
      </c>
      <c r="BH23" s="9">
        <f>MAX(BG23,IF(AND(BH22=1,Time!BH17&gt;11,BH18&gt;=Inputs!$F$110,Time!BH17-1&gt;11,BG18&gt;=Inputs!$F$110,Reserves!BH13&gt;=Debt!BH132-0.000001),1,0))</f>
        <v/>
      </c>
      <c r="BI23" s="9">
        <f>MAX(BH23,IF(AND(BI22=1,Time!BI17&gt;11,BI18&gt;=Inputs!$F$110,Time!BI17-1&gt;11,BH18&gt;=Inputs!$F$110,Reserves!BI13&gt;=Debt!BI132-0.000001),1,0))</f>
        <v/>
      </c>
      <c r="BJ23" s="9">
        <f>MAX(BI23,IF(AND(BJ22=1,Time!BJ17&gt;11,BJ18&gt;=Inputs!$F$110,Time!BJ17-1&gt;11,BI18&gt;=Inputs!$F$110,Reserves!BJ13&gt;=Debt!BJ132-0.000001),1,0))</f>
        <v/>
      </c>
      <c r="BK23" s="9">
        <f>MAX(BJ23,IF(AND(BK22=1,Time!BK17&gt;11,BK18&gt;=Inputs!$F$110,Time!BK17-1&gt;11,BJ18&gt;=Inputs!$F$110,Reserves!BK13&gt;=Debt!BK132-0.000001),1,0))</f>
        <v/>
      </c>
      <c r="BL23" s="9">
        <f>MAX(BK23,IF(AND(BL22=1,Time!BL17&gt;11,BL18&gt;=Inputs!$F$110,Time!BL17-1&gt;11,BK18&gt;=Inputs!$F$110,Reserves!BL13&gt;=Debt!BL132-0.000001),1,0))</f>
        <v/>
      </c>
      <c r="BM23" s="9">
        <f>MAX(BL23,IF(AND(BM22=1,Time!BM17&gt;11,BM18&gt;=Inputs!$F$110,Time!BM17-1&gt;11,BL18&gt;=Inputs!$F$110,Reserves!BM13&gt;=Debt!BM132-0.000001),1,0))</f>
        <v/>
      </c>
      <c r="BN23" s="9">
        <f>MAX(BM23,IF(AND(BN22=1,Time!BN17&gt;11,BN18&gt;=Inputs!$F$110,Time!BN17-1&gt;11,BM18&gt;=Inputs!$F$110,Reserves!BN13&gt;=Debt!BN132-0.000001),1,0))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IF(OR(AND(K19=1,K18&gt;=Inputs!$F$108,Reserves!K13&gt;=Debt!K132-0.000001,OR(K20=0,K21=1),Debt!K121&gt;0.000000001,OR(K22=0,K23=1)),AND(Time!K32=1,Debt!K121&lt;=0.000000001),AND(Debt!K121&lt;=0.000000001,Time!K30=1,Debt!K122&lt;0.000000001)),1,0)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IF(OR(AND(L19=1,L18&gt;=Inputs!$F$108,Reserves!L13&gt;=Debt!L132-0.000001,OR(L20=0,L21=1),Debt!L121&gt;0.000000001,OR(L22=0,L23=1)),AND(Time!L32=1,Debt!L121&lt;=0.000000001),AND(Debt!L121&lt;=0.000000001,Time!L30=1,Debt!L122&lt;0.000000001)),1,0)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IF(OR(AND(M19=1,M18&gt;=Inputs!$F$108,Reserves!M13&gt;=Debt!M132-0.000001,OR(M20=0,M21=1),Debt!M121&gt;0.000000001,OR(M22=0,M23=1)),AND(Time!M32=1,Debt!M121&lt;=0.000000001),AND(Debt!M121&lt;=0.000000001,Time!M30=1,Debt!M122&lt;0.000000001)),1,0)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IF(OR(AND(N19=1,N18&gt;=Inputs!$F$108,Reserves!N13&gt;=Debt!N132-0.000001,OR(N20=0,N21=1),Debt!N121&gt;0.000000001,OR(N22=0,N23=1)),AND(Time!N32=1,Debt!N121&lt;=0.000000001),AND(Debt!N121&lt;=0.000000001,Time!N30=1,Debt!N122&lt;0.000000001)),1,0)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IF(OR(AND(O19=1,O18&gt;=Inputs!$F$108,Reserves!O13&gt;=Debt!O132-0.000001,OR(O20=0,O21=1),Debt!O121&gt;0.000000001,OR(O22=0,O23=1)),AND(Time!O32=1,Debt!O121&lt;=0.000000001),AND(Debt!O121&lt;=0.000000001,Time!O30=1,Debt!O122&lt;0.000000001)),1,0)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IF(OR(AND(P19=1,P18&gt;=Inputs!$F$108,Reserves!P13&gt;=Debt!P132-0.000001,OR(P20=0,P21=1),Debt!P121&gt;0.000000001,OR(P22=0,P23=1)),AND(Time!P32=1,Debt!P121&lt;=0.000000001),AND(Debt!P121&lt;=0.000000001,Time!P30=1,Debt!P122&lt;0.000000001)),1,0)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IF(OR(AND(Q19=1,Q18&gt;=Inputs!$F$108,Reserves!Q13&gt;=Debt!Q132-0.000001,OR(Q20=0,Q21=1),Debt!Q121&gt;0.000000001,OR(Q22=0,Q23=1)),AND(Time!Q32=1,Debt!Q121&lt;=0.000000001),AND(Debt!Q121&lt;=0.000000001,Time!Q30=1,Debt!Q122&lt;0.000000001)),1,0)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IF(OR(AND(R19=1,R18&gt;=Inputs!$F$108,Reserves!R13&gt;=Debt!R132-0.000001,OR(R20=0,R21=1),Debt!R121&gt;0.000000001,OR(R22=0,R23=1)),AND(Time!R32=1,Debt!R121&lt;=0.000000001),AND(Debt!R121&lt;=0.000000001,Time!R30=1,Debt!R122&lt;0.000000001)),1,0)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IF(OR(AND(S19=1,S18&gt;=Inputs!$F$108,Reserves!S13&gt;=Debt!S132-0.000001,OR(S20=0,S21=1),Debt!S121&gt;0.000000001,OR(S22=0,S23=1)),AND(Time!S32=1,Debt!S121&lt;=0.000000001),AND(Debt!S121&lt;=0.000000001,Time!S30=1,Debt!S122&lt;0.000000001)),1,0)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IF(OR(AND(T19=1,T18&gt;=Inputs!$F$108,Reserves!T13&gt;=Debt!T132-0.000001,OR(T20=0,T21=1),Debt!T121&gt;0.000000001,OR(T22=0,T23=1)),AND(Time!T32=1,Debt!T121&lt;=0.000000001),AND(Debt!T121&lt;=0.000000001,Time!T30=1,Debt!T122&lt;0.000000001)),1,0)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IF(OR(AND(U19=1,U18&gt;=Inputs!$F$108,Reserves!U13&gt;=Debt!U132-0.000001,OR(U20=0,U21=1),Debt!U121&gt;0.000000001,OR(U22=0,U23=1)),AND(Time!U32=1,Debt!U121&lt;=0.000000001),AND(Debt!U121&lt;=0.000000001,Time!U30=1,Debt!U122&lt;0.000000001)),1,0)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IF(OR(AND(V19=1,V18&gt;=Inputs!$F$108,Reserves!V13&gt;=Debt!V132-0.000001,OR(V20=0,V21=1),Debt!V121&gt;0.000000001,OR(V22=0,V23=1)),AND(Time!V32=1,Debt!V121&lt;=0.000000001),AND(Debt!V121&lt;=0.000000001,Time!V30=1,Debt!V122&lt;0.000000001)),1,0)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IF(OR(AND(W19=1,W18&gt;=Inputs!$F$108,Reserves!W13&gt;=Debt!W132-0.000001,OR(W20=0,W21=1),Debt!W121&gt;0.000000001,OR(W22=0,W23=1)),AND(Time!W32=1,Debt!W121&lt;=0.000000001),AND(Debt!W121&lt;=0.000000001,Time!W30=1,Debt!W122&lt;0.000000001)),1,0)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IF(OR(AND(X19=1,X18&gt;=Inputs!$F$108,Reserves!X13&gt;=Debt!X132-0.000001,OR(X20=0,X21=1),Debt!X121&gt;0.000000001,OR(X22=0,X23=1)),AND(Time!X32=1,Debt!X121&lt;=0.000000001),AND(Debt!X121&lt;=0.000000001,Time!X30=1,Debt!X122&lt;0.000000001)),1,0)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IF(OR(AND(Y19=1,Y18&gt;=Inputs!$F$108,Reserves!Y13&gt;=Debt!Y132-0.000001,OR(Y20=0,Y21=1),Debt!Y121&gt;0.000000001,OR(Y22=0,Y23=1)),AND(Time!Y32=1,Debt!Y121&lt;=0.000000001),AND(Debt!Y121&lt;=0.000000001,Time!Y30=1,Debt!Y122&lt;0.000000001)),1,0)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IF(OR(AND(Z19=1,Z18&gt;=Inputs!$F$108,Reserves!Z13&gt;=Debt!Z132-0.000001,OR(Z20=0,Z21=1),Debt!Z121&gt;0.000000001,OR(Z22=0,Z23=1)),AND(Time!Z32=1,Debt!Z121&lt;=0.000000001),AND(Debt!Z121&lt;=0.000000001,Time!Z30=1,Debt!Z122&lt;0.000000001)),1,0)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IF(OR(AND(AA19=1,AA18&gt;=Inputs!$F$108,Reserves!AA13&gt;=Debt!AA132-0.000001,OR(AA20=0,AA21=1),Debt!AA121&gt;0.000000001,OR(AA22=0,AA23=1)),AND(Time!AA32=1,Debt!AA121&lt;=0.000000001),AND(Debt!AA121&lt;=0.000000001,Time!AA30=1,Debt!AA122&lt;0.000000001)),1,0)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IF(OR(AND(AB19=1,AB18&gt;=Inputs!$F$108,Reserves!AB13&gt;=Debt!AB132-0.000001,OR(AB20=0,AB21=1),Debt!AB121&gt;0.000000001,OR(AB22=0,AB23=1)),AND(Time!AB32=1,Debt!AB121&lt;=0.000000001),AND(Debt!AB121&lt;=0.000000001,Time!AB30=1,Debt!AB122&lt;0.000000001)),1,0)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IF(OR(AND(AC19=1,AC18&gt;=Inputs!$F$108,Reserves!AC13&gt;=Debt!AC132-0.000001,OR(AC20=0,AC21=1),Debt!AC121&gt;0.000000001,OR(AC22=0,AC23=1)),AND(Time!AC32=1,Debt!AC121&lt;=0.000000001),AND(Debt!AC121&lt;=0.000000001,Time!AC30=1,Debt!AC122&lt;0.000000001)),1,0)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IF(OR(AND(AD19=1,AD18&gt;=Inputs!$F$108,Reserves!AD13&gt;=Debt!AD132-0.000001,OR(AD20=0,AD21=1),Debt!AD121&gt;0.000000001,OR(AD22=0,AD23=1)),AND(Time!AD32=1,Debt!AD121&lt;=0.000000001),AND(Debt!AD121&lt;=0.000000001,Time!AD30=1,Debt!AD122&lt;0.000000001)),1,0)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IF(OR(AND(AE19=1,AE18&gt;=Inputs!$F$108,Reserves!AE13&gt;=Debt!AE132-0.000001,OR(AE20=0,AE21=1),Debt!AE121&gt;0.000000001,OR(AE22=0,AE23=1)),AND(Time!AE32=1,Debt!AE121&lt;=0.000000001),AND(Debt!AE121&lt;=0.000000001,Time!AE30=1,Debt!AE122&lt;0.000000001)),1,0)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IF(OR(AND(AF19=1,AF18&gt;=Inputs!$F$108,Reserves!AF13&gt;=Debt!AF132-0.000001,OR(AF20=0,AF21=1),Debt!AF121&gt;0.000000001,OR(AF22=0,AF23=1)),AND(Time!AF32=1,Debt!AF121&lt;=0.000000001),AND(Debt!AF121&lt;=0.000000001,Time!AF30=1,Debt!AF122&lt;0.000000001)),1,0)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IF(OR(AND(AG19=1,AG18&gt;=Inputs!$F$108,Reserves!AG13&gt;=Debt!AG132-0.000001,OR(AG20=0,AG21=1),Debt!AG121&gt;0.000000001,OR(AG22=0,AG23=1)),AND(Time!AG32=1,Debt!AG121&lt;=0.000000001),AND(Debt!AG121&lt;=0.000000001,Time!AG30=1,Debt!AG122&lt;0.000000001)),1,0)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IF(OR(AND(AH19=1,AH18&gt;=Inputs!$F$108,Reserves!AH13&gt;=Debt!AH132-0.000001,OR(AH20=0,AH21=1),Debt!AH121&gt;0.000000001,OR(AH22=0,AH23=1)),AND(Time!AH32=1,Debt!AH121&lt;=0.000000001),AND(Debt!AH121&lt;=0.000000001,Time!AH30=1,Debt!AH122&lt;0.000000001)),1,0)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IF(OR(AND(AI19=1,AI18&gt;=Inputs!$F$108,Reserves!AI13&gt;=Debt!AI132-0.000001,OR(AI20=0,AI21=1),Debt!AI121&gt;0.000000001,OR(AI22=0,AI23=1)),AND(Time!AI32=1,Debt!AI121&lt;=0.000000001),AND(Debt!AI121&lt;=0.000000001,Time!AI30=1,Debt!AI122&lt;0.000000001)),1,0)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IF(OR(AND(AJ19=1,AJ18&gt;=Inputs!$F$108,Reserves!AJ13&gt;=Debt!AJ132-0.000001,OR(AJ20=0,AJ21=1),Debt!AJ121&gt;0.000000001,OR(AJ22=0,AJ23=1)),AND(Time!AJ32=1,Debt!AJ121&lt;=0.000000001),AND(Debt!AJ121&lt;=0.000000001,Time!AJ30=1,Debt!AJ122&lt;0.000000001)),1,0)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IF(OR(AND(AK19=1,AK18&gt;=Inputs!$F$108,Reserves!AK13&gt;=Debt!AK132-0.000001,OR(AK20=0,AK21=1),Debt!AK121&gt;0.000000001,OR(AK22=0,AK23=1)),AND(Time!AK32=1,Debt!AK121&lt;=0.000000001),AND(Debt!AK121&lt;=0.000000001,Time!AK30=1,Debt!AK122&lt;0.000000001)),1,0)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IF(OR(AND(AL19=1,AL18&gt;=Inputs!$F$108,Reserves!AL13&gt;=Debt!AL132-0.000001,OR(AL20=0,AL21=1),Debt!AL121&gt;0.000000001,OR(AL22=0,AL23=1)),AND(Time!AL32=1,Debt!AL121&lt;=0.000000001),AND(Debt!AL121&lt;=0.000000001,Time!AL30=1,Debt!AL122&lt;0.000000001)),1,0)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IF(OR(AND(AM19=1,AM18&gt;=Inputs!$F$108,Reserves!AM13&gt;=Debt!AM132-0.000001,OR(AM20=0,AM21=1),Debt!AM121&gt;0.000000001,OR(AM22=0,AM23=1)),AND(Time!AM32=1,Debt!AM121&lt;=0.000000001),AND(Debt!AM121&lt;=0.000000001,Time!AM30=1,Debt!AM122&lt;0.000000001)),1,0)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IF(OR(AND(AN19=1,AN18&gt;=Inputs!$F$108,Reserves!AN13&gt;=Debt!AN132-0.000001,OR(AN20=0,AN21=1),Debt!AN121&gt;0.000000001,OR(AN22=0,AN23=1)),AND(Time!AN32=1,Debt!AN121&lt;=0.000000001),AND(Debt!AN121&lt;=0.000000001,Time!AN30=1,Debt!AN122&lt;0.000000001)),1,0)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IF(OR(AND(AO19=1,AO18&gt;=Inputs!$F$108,Reserves!AO13&gt;=Debt!AO132-0.000001,OR(AO20=0,AO21=1),Debt!AO121&gt;0.000000001,OR(AO22=0,AO23=1)),AND(Time!AO32=1,Debt!AO121&lt;=0.000000001),AND(Debt!AO121&lt;=0.000000001,Time!AO30=1,Debt!AO122&lt;0.000000001)),1,0)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IF(OR(AND(AP19=1,AP18&gt;=Inputs!$F$108,Reserves!AP13&gt;=Debt!AP132-0.000001,OR(AP20=0,AP21=1),Debt!AP121&gt;0.000000001,OR(AP22=0,AP23=1)),AND(Time!AP32=1,Debt!AP121&lt;=0.000000001),AND(Debt!AP121&lt;=0.000000001,Time!AP30=1,Debt!AP122&lt;0.000000001)),1,0)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IF(OR(AND(AQ19=1,AQ18&gt;=Inputs!$F$108,Reserves!AQ13&gt;=Debt!AQ132-0.000001,OR(AQ20=0,AQ21=1),Debt!AQ121&gt;0.000000001,OR(AQ22=0,AQ23=1)),AND(Time!AQ32=1,Debt!AQ121&lt;=0.000000001),AND(Debt!AQ121&lt;=0.000000001,Time!AQ30=1,Debt!AQ122&lt;0.000000001)),1,0)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IF(OR(AND(AR19=1,AR18&gt;=Inputs!$F$108,Reserves!AR13&gt;=Debt!AR132-0.000001,OR(AR20=0,AR21=1),Debt!AR121&gt;0.000000001,OR(AR22=0,AR23=1)),AND(Time!AR32=1,Debt!AR121&lt;=0.000000001),AND(Debt!AR121&lt;=0.000000001,Time!AR30=1,Debt!AR122&lt;0.000000001)),1,0)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IF(OR(AND(AS19=1,AS18&gt;=Inputs!$F$108,Reserves!AS13&gt;=Debt!AS132-0.000001,OR(AS20=0,AS21=1),Debt!AS121&gt;0.000000001,OR(AS22=0,AS23=1)),AND(Time!AS32=1,Debt!AS121&lt;=0.000000001),AND(Debt!AS121&lt;=0.000000001,Time!AS30=1,Debt!AS122&lt;0.000000001)),1,0)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IF(OR(AND(AT19=1,AT18&gt;=Inputs!$F$108,Reserves!AT13&gt;=Debt!AT132-0.000001,OR(AT20=0,AT21=1),Debt!AT121&gt;0.000000001,OR(AT22=0,AT23=1)),AND(Time!AT32=1,Debt!AT121&lt;=0.000000001),AND(Debt!AT121&lt;=0.000000001,Time!AT30=1,Debt!AT122&lt;0.000000001)),1,0)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IF(OR(AND(AU19=1,AU18&gt;=Inputs!$F$108,Reserves!AU13&gt;=Debt!AU132-0.000001,OR(AU20=0,AU21=1),Debt!AU121&gt;0.000000001,OR(AU22=0,AU23=1)),AND(Time!AU32=1,Debt!AU121&lt;=0.000000001),AND(Debt!AU121&lt;=0.000000001,Time!AU30=1,Debt!AU122&lt;0.000000001)),1,0)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IF(OR(AND(AV19=1,AV18&gt;=Inputs!$F$108,Reserves!AV13&gt;=Debt!AV132-0.000001,OR(AV20=0,AV21=1),Debt!AV121&gt;0.000000001,OR(AV22=0,AV23=1)),AND(Time!AV32=1,Debt!AV121&lt;=0.000000001),AND(Debt!AV121&lt;=0.000000001,Time!AV30=1,Debt!AV122&lt;0.000000001)),1,0)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IF(OR(AND(AW19=1,AW18&gt;=Inputs!$F$108,Reserves!AW13&gt;=Debt!AW132-0.000001,OR(AW20=0,AW21=1),Debt!AW121&gt;0.000000001,OR(AW22=0,AW23=1)),AND(Time!AW32=1,Debt!AW121&lt;=0.000000001),AND(Debt!AW121&lt;=0.000000001,Time!AW30=1,Debt!AW122&lt;0.000000001)),1,0)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IF(OR(AND(AX19=1,AX18&gt;=Inputs!$F$108,Reserves!AX13&gt;=Debt!AX132-0.000001,OR(AX20=0,AX21=1),Debt!AX121&gt;0.000000001,OR(AX22=0,AX23=1)),AND(Time!AX32=1,Debt!AX121&lt;=0.000000001),AND(Debt!AX121&lt;=0.000000001,Time!AX30=1,Debt!AX122&lt;0.000000001)),1,0)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IF(OR(AND(AY19=1,AY18&gt;=Inputs!$F$108,Reserves!AY13&gt;=Debt!AY132-0.000001,OR(AY20=0,AY21=1),Debt!AY121&gt;0.000000001,OR(AY22=0,AY23=1)),AND(Time!AY32=1,Debt!AY121&lt;=0.000000001),AND(Debt!AY121&lt;=0.000000001,Time!AY30=1,Debt!AY122&lt;0.000000001)),1,0)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IF(OR(AND(AZ19=1,AZ18&gt;=Inputs!$F$108,Reserves!AZ13&gt;=Debt!AZ132-0.000001,OR(AZ20=0,AZ21=1),Debt!AZ121&gt;0.000000001,OR(AZ22=0,AZ23=1)),AND(Time!AZ32=1,Debt!AZ121&lt;=0.000000001),AND(Debt!AZ121&lt;=0.000000001,Time!AZ30=1,Debt!AZ122&lt;0.000000001)),1,0)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IF(OR(AND(BA19=1,BA18&gt;=Inputs!$F$108,Reserves!BA13&gt;=Debt!BA132-0.000001,OR(BA20=0,BA21=1),Debt!BA121&gt;0.000000001,OR(BA22=0,BA23=1)),AND(Time!BA32=1,Debt!BA121&lt;=0.000000001),AND(Debt!BA121&lt;=0.000000001,Time!BA30=1,Debt!BA122&lt;0.000000001)),1,0)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IF(OR(AND(BB19=1,BB18&gt;=Inputs!$F$108,Reserves!BB13&gt;=Debt!BB132-0.000001,OR(BB20=0,BB21=1),Debt!BB121&gt;0.000000001,OR(BB22=0,BB23=1)),AND(Time!BB32=1,Debt!BB121&lt;=0.000000001),AND(Debt!BB121&lt;=0.000000001,Time!BB30=1,Debt!BB122&lt;0.000000001)),1,0)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IF(OR(AND(BC19=1,BC18&gt;=Inputs!$F$108,Reserves!BC13&gt;=Debt!BC132-0.000001,OR(BC20=0,BC21=1),Debt!BC121&gt;0.000000001,OR(BC22=0,BC23=1)),AND(Time!BC32=1,Debt!BC121&lt;=0.000000001),AND(Debt!BC121&lt;=0.000000001,Time!BC30=1,Debt!BC122&lt;0.000000001)),1,0)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IF(OR(AND(BD19=1,BD18&gt;=Inputs!$F$108,Reserves!BD13&gt;=Debt!BD132-0.000001,OR(BD20=0,BD21=1),Debt!BD121&gt;0.000000001,OR(BD22=0,BD23=1)),AND(Time!BD32=1,Debt!BD121&lt;=0.000000001),AND(Debt!BD121&lt;=0.000000001,Time!BD30=1,Debt!BD122&lt;0.000000001)),1,0)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IF(OR(AND(BE19=1,BE18&gt;=Inputs!$F$108,Reserves!BE13&gt;=Debt!BE132-0.000001,OR(BE20=0,BE21=1),Debt!BE121&gt;0.000000001,OR(BE22=0,BE23=1)),AND(Time!BE32=1,Debt!BE121&lt;=0.000000001),AND(Debt!BE121&lt;=0.000000001,Time!BE30=1,Debt!BE122&lt;0.000000001)),1,0)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IF(OR(AND(BF19=1,BF18&gt;=Inputs!$F$108,Reserves!BF13&gt;=Debt!BF132-0.000001,OR(BF20=0,BF21=1),Debt!BF121&gt;0.000000001,OR(BF22=0,BF23=1)),AND(Time!BF32=1,Debt!BF121&lt;=0.000000001),AND(Debt!BF121&lt;=0.000000001,Time!BF30=1,Debt!BF122&lt;0.000000001)),1,0)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IF(OR(AND(BG19=1,BG18&gt;=Inputs!$F$108,Reserves!BG13&gt;=Debt!BG132-0.000001,OR(BG20=0,BG21=1),Debt!BG121&gt;0.000000001,OR(BG22=0,BG23=1)),AND(Time!BG32=1,Debt!BG121&lt;=0.000000001),AND(Debt!BG121&lt;=0.000000001,Time!BG30=1,Debt!BG122&lt;0.000000001)),1,0)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IF(OR(AND(BH19=1,BH18&gt;=Inputs!$F$108,Reserves!BH13&gt;=Debt!BH132-0.000001,OR(BH20=0,BH21=1),Debt!BH121&gt;0.000000001,OR(BH22=0,BH23=1)),AND(Time!BH32=1,Debt!BH121&lt;=0.000000001),AND(Debt!BH121&lt;=0.000000001,Time!BH30=1,Debt!BH122&lt;0.000000001)),1,0)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IF(OR(AND(BI19=1,BI18&gt;=Inputs!$F$108,Reserves!BI13&gt;=Debt!BI132-0.000001,OR(BI20=0,BI21=1),Debt!BI121&gt;0.000000001,OR(BI22=0,BI23=1)),AND(Time!BI32=1,Debt!BI121&lt;=0.000000001),AND(Debt!BI121&lt;=0.000000001,Time!BI30=1,Debt!BI122&lt;0.000000001)),1,0)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IF(OR(AND(BJ19=1,BJ18&gt;=Inputs!$F$108,Reserves!BJ13&gt;=Debt!BJ132-0.000001,OR(BJ20=0,BJ21=1),Debt!BJ121&gt;0.000000001,OR(BJ22=0,BJ23=1)),AND(Time!BJ32=1,Debt!BJ121&lt;=0.000000001),AND(Debt!BJ121&lt;=0.000000001,Time!BJ30=1,Debt!BJ122&lt;0.000000001)),1,0)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IF(OR(AND(BK19=1,BK18&gt;=Inputs!$F$108,Reserves!BK13&gt;=Debt!BK132-0.000001,OR(BK20=0,BK21=1),Debt!BK121&gt;0.000000001,OR(BK22=0,BK23=1)),AND(Time!BK32=1,Debt!BK121&lt;=0.000000001),AND(Debt!BK121&lt;=0.000000001,Time!BK30=1,Debt!BK122&lt;0.000000001)),1,0)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IF(OR(AND(BL19=1,BL18&gt;=Inputs!$F$108,Reserves!BL13&gt;=Debt!BL132-0.000001,OR(BL20=0,BL21=1),Debt!BL121&gt;0.000000001,OR(BL22=0,BL23=1)),AND(Time!BL32=1,Debt!BL121&lt;=0.000000001),AND(Debt!BL121&lt;=0.000000001,Time!BL30=1,Debt!BL122&lt;0.000000001)),1,0)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IF(OR(AND(BM19=1,BM18&gt;=Inputs!$F$108,Reserves!BM13&gt;=Debt!BM132-0.000001,OR(BM20=0,BM21=1),Debt!BM121&gt;0.000000001,OR(BM22=0,BM23=1)),AND(Time!BM32=1,Debt!BM121&lt;=0.000000001),AND(Debt!BM121&lt;=0.000000001,Time!BM30=1,Debt!BM122&lt;0.000000001)),1,0)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IF(OR(AND(BN19=1,BN18&gt;=Inputs!$F$108,Reserves!BN13&gt;=Debt!BN132-0.000001,OR(BN20=0,BN21=1),Debt!BN121&gt;0.000000001,OR(BN22=0,BN23=1)),AND(Time!BN32=1,Debt!BN121&lt;=0.000000001),AND(Debt!BN121&lt;=0.000000001,Time!BN30=1,Debt!BN122&lt;0.000000001)),1,0)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IF(AND(J24=1,Time!J21&gt;=2027,Inputs!$F$52=1),MIN(Inputs!$F$111*J15,Debt!J81),0)</f>
        <v/>
      </c>
      <c r="K29" s="11">
        <f>IF(AND(K24=1,Time!K21&gt;=2027,Inputs!$F$52=1),MIN(Inputs!$F$111*K15,Debt!K81),0)</f>
        <v/>
      </c>
      <c r="L29" s="11">
        <f>IF(AND(L24=1,Time!L21&gt;=2027,Inputs!$F$52=1),MIN(Inputs!$F$111*L15,Debt!L81),0)</f>
        <v/>
      </c>
      <c r="M29" s="11">
        <f>IF(AND(M24=1,Time!M21&gt;=2027,Inputs!$F$52=1),MIN(Inputs!$F$111*M15,Debt!M81),0)</f>
        <v/>
      </c>
      <c r="N29" s="11">
        <f>IF(AND(N24=1,Time!N21&gt;=2027,Inputs!$F$52=1),MIN(Inputs!$F$111*N15,Debt!N81),0)</f>
        <v/>
      </c>
      <c r="O29" s="11">
        <f>IF(AND(O24=1,Time!O21&gt;=2027,Inputs!$F$52=1),MIN(Inputs!$F$111*O15,Debt!O81),0)</f>
        <v/>
      </c>
      <c r="P29" s="11">
        <f>IF(AND(P24=1,Time!P21&gt;=2027,Inputs!$F$52=1),MIN(Inputs!$F$111*P15,Debt!P81),0)</f>
        <v/>
      </c>
      <c r="Q29" s="11">
        <f>IF(AND(Q24=1,Time!Q21&gt;=2027,Inputs!$F$52=1),MIN(Inputs!$F$111*Q15,Debt!Q81),0)</f>
        <v/>
      </c>
      <c r="R29" s="11">
        <f>IF(AND(R24=1,Time!R21&gt;=2027,Inputs!$F$52=1),MIN(Inputs!$F$111*R15,Debt!R81),0)</f>
        <v/>
      </c>
      <c r="S29" s="11">
        <f>IF(AND(S24=1,Time!S21&gt;=2027,Inputs!$F$52=1),MIN(Inputs!$F$111*S15,Debt!S81),0)</f>
        <v/>
      </c>
      <c r="T29" s="11">
        <f>IF(AND(T24=1,Time!T21&gt;=2027,Inputs!$F$52=1),MIN(Inputs!$F$111*T15,Debt!T81),0)</f>
        <v/>
      </c>
      <c r="U29" s="11">
        <f>IF(AND(U24=1,Time!U21&gt;=2027,Inputs!$F$52=1),MIN(Inputs!$F$111*U15,Debt!U81),0)</f>
        <v/>
      </c>
      <c r="V29" s="11">
        <f>IF(AND(V24=1,Time!V21&gt;=2027,Inputs!$F$52=1),MIN(Inputs!$F$111*V15,Debt!V81),0)</f>
        <v/>
      </c>
      <c r="W29" s="11">
        <f>IF(AND(W24=1,Time!W21&gt;=2027,Inputs!$F$52=1),MIN(Inputs!$F$111*W15,Debt!W81),0)</f>
        <v/>
      </c>
      <c r="X29" s="11">
        <f>IF(AND(X24=1,Time!X21&gt;=2027,Inputs!$F$52=1),MIN(Inputs!$F$111*X15,Debt!X81),0)</f>
        <v/>
      </c>
      <c r="Y29" s="11">
        <f>IF(AND(Y24=1,Time!Y21&gt;=2027,Inputs!$F$52=1),MIN(Inputs!$F$111*Y15,Debt!Y81),0)</f>
        <v/>
      </c>
      <c r="Z29" s="11">
        <f>IF(AND(Z24=1,Time!Z21&gt;=2027,Inputs!$F$52=1),MIN(Inputs!$F$111*Z15,Debt!Z81),0)</f>
        <v/>
      </c>
      <c r="AA29" s="11">
        <f>IF(AND(AA24=1,Time!AA21&gt;=2027,Inputs!$F$52=1),MIN(Inputs!$F$111*AA15,Debt!AA81),0)</f>
        <v/>
      </c>
      <c r="AB29" s="11">
        <f>IF(AND(AB24=1,Time!AB21&gt;=2027,Inputs!$F$52=1),MIN(Inputs!$F$111*AB15,Debt!AB81),0)</f>
        <v/>
      </c>
      <c r="AC29" s="11">
        <f>IF(AND(AC24=1,Time!AC21&gt;=2027,Inputs!$F$52=1),MIN(Inputs!$F$111*AC15,Debt!AC81),0)</f>
        <v/>
      </c>
      <c r="AD29" s="11">
        <f>IF(AND(AD24=1,Time!AD21&gt;=2027,Inputs!$F$52=1),MIN(Inputs!$F$111*AD15,Debt!AD81),0)</f>
        <v/>
      </c>
      <c r="AE29" s="11">
        <f>IF(AND(AE24=1,Time!AE21&gt;=2027,Inputs!$F$52=1),MIN(Inputs!$F$111*AE15,Debt!AE81),0)</f>
        <v/>
      </c>
      <c r="AF29" s="11">
        <f>IF(AND(AF24=1,Time!AF21&gt;=2027,Inputs!$F$52=1),MIN(Inputs!$F$111*AF15,Debt!AF81),0)</f>
        <v/>
      </c>
      <c r="AG29" s="11">
        <f>IF(AND(AG24=1,Time!AG21&gt;=2027,Inputs!$F$52=1),MIN(Inputs!$F$111*AG15,Debt!AG81),0)</f>
        <v/>
      </c>
      <c r="AH29" s="11">
        <f>IF(AND(AH24=1,Time!AH21&gt;=2027,Inputs!$F$52=1),MIN(Inputs!$F$111*AH15,Debt!AH81),0)</f>
        <v/>
      </c>
      <c r="AI29" s="11">
        <f>IF(AND(AI24=1,Time!AI21&gt;=2027,Inputs!$F$52=1),MIN(Inputs!$F$111*AI15,Debt!AI81),0)</f>
        <v/>
      </c>
      <c r="AJ29" s="11">
        <f>IF(AND(AJ24=1,Time!AJ21&gt;=2027,Inputs!$F$52=1),MIN(Inputs!$F$111*AJ15,Debt!AJ81),0)</f>
        <v/>
      </c>
      <c r="AK29" s="11">
        <f>IF(AND(AK24=1,Time!AK21&gt;=2027,Inputs!$F$52=1),MIN(Inputs!$F$111*AK15,Debt!AK81),0)</f>
        <v/>
      </c>
      <c r="AL29" s="11">
        <f>IF(AND(AL24=1,Time!AL21&gt;=2027,Inputs!$F$52=1),MIN(Inputs!$F$111*AL15,Debt!AL81),0)</f>
        <v/>
      </c>
      <c r="AM29" s="11">
        <f>IF(AND(AM24=1,Time!AM21&gt;=2027,Inputs!$F$52=1),MIN(Inputs!$F$111*AM15,Debt!AM81),0)</f>
        <v/>
      </c>
      <c r="AN29" s="11">
        <f>IF(AND(AN24=1,Time!AN21&gt;=2027,Inputs!$F$52=1),MIN(Inputs!$F$111*AN15,Debt!AN81),0)</f>
        <v/>
      </c>
      <c r="AO29" s="11">
        <f>IF(AND(AO24=1,Time!AO21&gt;=2027,Inputs!$F$52=1),MIN(Inputs!$F$111*AO15,Debt!AO81),0)</f>
        <v/>
      </c>
      <c r="AP29" s="11">
        <f>IF(AND(AP24=1,Time!AP21&gt;=2027,Inputs!$F$52=1),MIN(Inputs!$F$111*AP15,Debt!AP81),0)</f>
        <v/>
      </c>
      <c r="AQ29" s="11">
        <f>IF(AND(AQ24=1,Time!AQ21&gt;=2027,Inputs!$F$52=1),MIN(Inputs!$F$111*AQ15,Debt!AQ81),0)</f>
        <v/>
      </c>
      <c r="AR29" s="11">
        <f>IF(AND(AR24=1,Time!AR21&gt;=2027,Inputs!$F$52=1),MIN(Inputs!$F$111*AR15,Debt!AR81),0)</f>
        <v/>
      </c>
      <c r="AS29" s="11">
        <f>IF(AND(AS24=1,Time!AS21&gt;=2027,Inputs!$F$52=1),MIN(Inputs!$F$111*AS15,Debt!AS81),0)</f>
        <v/>
      </c>
      <c r="AT29" s="11">
        <f>IF(AND(AT24=1,Time!AT21&gt;=2027,Inputs!$F$52=1),MIN(Inputs!$F$111*AT15,Debt!AT81),0)</f>
        <v/>
      </c>
      <c r="AU29" s="11">
        <f>IF(AND(AU24=1,Time!AU21&gt;=2027,Inputs!$F$52=1),MIN(Inputs!$F$111*AU15,Debt!AU81),0)</f>
        <v/>
      </c>
      <c r="AV29" s="11">
        <f>IF(AND(AV24=1,Time!AV21&gt;=2027,Inputs!$F$52=1),MIN(Inputs!$F$111*AV15,Debt!AV81),0)</f>
        <v/>
      </c>
      <c r="AW29" s="11">
        <f>IF(AND(AW24=1,Time!AW21&gt;=2027,Inputs!$F$52=1),MIN(Inputs!$F$111*AW15,Debt!AW81),0)</f>
        <v/>
      </c>
      <c r="AX29" s="11">
        <f>IF(AND(AX24=1,Time!AX21&gt;=2027,Inputs!$F$52=1),MIN(Inputs!$F$111*AX15,Debt!AX81),0)</f>
        <v/>
      </c>
      <c r="AY29" s="11">
        <f>IF(AND(AY24=1,Time!AY21&gt;=2027,Inputs!$F$52=1),MIN(Inputs!$F$111*AY15,Debt!AY81),0)</f>
        <v/>
      </c>
      <c r="AZ29" s="11">
        <f>IF(AND(AZ24=1,Time!AZ21&gt;=2027,Inputs!$F$52=1),MIN(Inputs!$F$111*AZ15,Debt!AZ81),0)</f>
        <v/>
      </c>
      <c r="BA29" s="11">
        <f>IF(AND(BA24=1,Time!BA21&gt;=2027,Inputs!$F$52=1),MIN(Inputs!$F$111*BA15,Debt!BA81),0)</f>
        <v/>
      </c>
      <c r="BB29" s="11">
        <f>IF(AND(BB24=1,Time!BB21&gt;=2027,Inputs!$F$52=1),MIN(Inputs!$F$111*BB15,Debt!BB81),0)</f>
        <v/>
      </c>
      <c r="BC29" s="11">
        <f>IF(AND(BC24=1,Time!BC21&gt;=2027,Inputs!$F$52=1),MIN(Inputs!$F$111*BC15,Debt!BC81),0)</f>
        <v/>
      </c>
      <c r="BD29" s="11">
        <f>IF(AND(BD24=1,Time!BD21&gt;=2027,Inputs!$F$52=1),MIN(Inputs!$F$111*BD15,Debt!BD81),0)</f>
        <v/>
      </c>
      <c r="BE29" s="11">
        <f>IF(AND(BE24=1,Time!BE21&gt;=2027,Inputs!$F$52=1),MIN(Inputs!$F$111*BE15,Debt!BE81),0)</f>
        <v/>
      </c>
      <c r="BF29" s="11">
        <f>IF(AND(BF24=1,Time!BF21&gt;=2027,Inputs!$F$52=1),MIN(Inputs!$F$111*BF15,Debt!BF81),0)</f>
        <v/>
      </c>
      <c r="BG29" s="11">
        <f>IF(AND(BG24=1,Time!BG21&gt;=2027,Inputs!$F$52=1),MIN(Inputs!$F$111*BG15,Debt!BG81),0)</f>
        <v/>
      </c>
      <c r="BH29" s="11">
        <f>IF(AND(BH24=1,Time!BH21&gt;=2027,Inputs!$F$52=1),MIN(Inputs!$F$111*BH15,Debt!BH81),0)</f>
        <v/>
      </c>
      <c r="BI29" s="11">
        <f>IF(AND(BI24=1,Time!BI21&gt;=2027,Inputs!$F$52=1),MIN(Inputs!$F$111*BI15,Debt!BI81),0)</f>
        <v/>
      </c>
      <c r="BJ29" s="11">
        <f>IF(AND(BJ24=1,Time!BJ21&gt;=2027,Inputs!$F$52=1),MIN(Inputs!$F$111*BJ15,Debt!BJ81),0)</f>
        <v/>
      </c>
      <c r="BK29" s="11">
        <f>IF(AND(BK24=1,Time!BK21&gt;=2027,Inputs!$F$52=1),MIN(Inputs!$F$111*BK15,Debt!BK81),0)</f>
        <v/>
      </c>
      <c r="BL29" s="11">
        <f>IF(AND(BL24=1,Time!BL21&gt;=2027,Inputs!$F$52=1),MIN(Inputs!$F$111*BL15,Debt!BL81),0)</f>
        <v/>
      </c>
      <c r="BM29" s="11">
        <f>IF(AND(BM24=1,Time!BM21&gt;=2027,Inputs!$F$52=1),MIN(Inputs!$F$111*BM15,Debt!BM81),0)</f>
        <v/>
      </c>
      <c r="BN29" s="11">
        <f>IF(AND(BN24=1,Time!BN21&gt;=2027,Inputs!$F$52=1),MIN(Inputs!$F$111*BN15,Debt!BN81),0)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IF(Time!J17&gt;=Time!$F$11,Inputs!$F$184/100*(J11-J10-Tax!J21),0)</f>
        <v/>
      </c>
      <c r="K12" s="11">
        <f>IF(Time!K17&gt;=Time!$F$11,Inputs!$F$184/100*(K11-K10-Tax!K21),0)</f>
        <v/>
      </c>
      <c r="L12" s="11">
        <f>IF(Time!L17&gt;=Time!$F$11,Inputs!$F$184/100*(L11-L10-Tax!L21),0)</f>
        <v/>
      </c>
      <c r="M12" s="11">
        <f>IF(Time!M17&gt;=Time!$F$11,Inputs!$F$184/100*(M11-M10-Tax!M21),0)</f>
        <v/>
      </c>
      <c r="N12" s="11">
        <f>IF(Time!N17&gt;=Time!$F$11,Inputs!$F$184/100*(N11-N10-Tax!N21),0)</f>
        <v/>
      </c>
      <c r="O12" s="11">
        <f>IF(Time!O17&gt;=Time!$F$11,Inputs!$F$184/100*(O11-O10-Tax!O21),0)</f>
        <v/>
      </c>
      <c r="P12" s="11">
        <f>IF(Time!P17&gt;=Time!$F$11,Inputs!$F$184/100*(P11-P10-Tax!P21),0)</f>
        <v/>
      </c>
      <c r="Q12" s="11">
        <f>IF(Time!Q17&gt;=Time!$F$11,Inputs!$F$184/100*(Q11-Q10-Tax!Q21),0)</f>
        <v/>
      </c>
      <c r="R12" s="11">
        <f>IF(Time!R17&gt;=Time!$F$11,Inputs!$F$184/100*(R11-R10-Tax!R21),0)</f>
        <v/>
      </c>
      <c r="S12" s="11">
        <f>IF(Time!S17&gt;=Time!$F$11,Inputs!$F$184/100*(S11-S10-Tax!S21),0)</f>
        <v/>
      </c>
      <c r="T12" s="11">
        <f>IF(Time!T17&gt;=Time!$F$11,Inputs!$F$184/100*(T11-T10-Tax!T21),0)</f>
        <v/>
      </c>
      <c r="U12" s="11">
        <f>IF(Time!U17&gt;=Time!$F$11,Inputs!$F$184/100*(U11-U10-Tax!U21),0)</f>
        <v/>
      </c>
      <c r="V12" s="11">
        <f>IF(Time!V17&gt;=Time!$F$11,Inputs!$F$184/100*(V11-V10-Tax!V21),0)</f>
        <v/>
      </c>
      <c r="W12" s="11">
        <f>IF(Time!W17&gt;=Time!$F$11,Inputs!$F$184/100*(W11-W10-Tax!W21),0)</f>
        <v/>
      </c>
      <c r="X12" s="11">
        <f>IF(Time!X17&gt;=Time!$F$11,Inputs!$F$184/100*(X11-X10-Tax!X21),0)</f>
        <v/>
      </c>
      <c r="Y12" s="11">
        <f>IF(Time!Y17&gt;=Time!$F$11,Inputs!$F$184/100*(Y11-Y10-Tax!Y21),0)</f>
        <v/>
      </c>
      <c r="Z12" s="11">
        <f>IF(Time!Z17&gt;=Time!$F$11,Inputs!$F$184/100*(Z11-Z10-Tax!Z21),0)</f>
        <v/>
      </c>
      <c r="AA12" s="11">
        <f>IF(Time!AA17&gt;=Time!$F$11,Inputs!$F$184/100*(AA11-AA10-Tax!AA21),0)</f>
        <v/>
      </c>
      <c r="AB12" s="11">
        <f>IF(Time!AB17&gt;=Time!$F$11,Inputs!$F$184/100*(AB11-AB10-Tax!AB21),0)</f>
        <v/>
      </c>
      <c r="AC12" s="11">
        <f>IF(Time!AC17&gt;=Time!$F$11,Inputs!$F$184/100*(AC11-AC10-Tax!AC21),0)</f>
        <v/>
      </c>
      <c r="AD12" s="11">
        <f>IF(Time!AD17&gt;=Time!$F$11,Inputs!$F$184/100*(AD11-AD10-Tax!AD21),0)</f>
        <v/>
      </c>
      <c r="AE12" s="11">
        <f>IF(Time!AE17&gt;=Time!$F$11,Inputs!$F$184/100*(AE11-AE10-Tax!AE21),0)</f>
        <v/>
      </c>
      <c r="AF12" s="11">
        <f>IF(Time!AF17&gt;=Time!$F$11,Inputs!$F$184/100*(AF11-AF10-Tax!AF21),0)</f>
        <v/>
      </c>
      <c r="AG12" s="11">
        <f>IF(Time!AG17&gt;=Time!$F$11,Inputs!$F$184/100*(AG11-AG10-Tax!AG21),0)</f>
        <v/>
      </c>
      <c r="AH12" s="11">
        <f>IF(Time!AH17&gt;=Time!$F$11,Inputs!$F$184/100*(AH11-AH10-Tax!AH21),0)</f>
        <v/>
      </c>
      <c r="AI12" s="11">
        <f>IF(Time!AI17&gt;=Time!$F$11,Inputs!$F$184/100*(AI11-AI10-Tax!AI21),0)</f>
        <v/>
      </c>
      <c r="AJ12" s="11">
        <f>IF(Time!AJ17&gt;=Time!$F$11,Inputs!$F$184/100*(AJ11-AJ10-Tax!AJ21),0)</f>
        <v/>
      </c>
      <c r="AK12" s="11">
        <f>IF(Time!AK17&gt;=Time!$F$11,Inputs!$F$184/100*(AK11-AK10-Tax!AK21),0)</f>
        <v/>
      </c>
      <c r="AL12" s="11">
        <f>IF(Time!AL17&gt;=Time!$F$11,Inputs!$F$184/100*(AL11-AL10-Tax!AL21),0)</f>
        <v/>
      </c>
      <c r="AM12" s="11">
        <f>IF(Time!AM17&gt;=Time!$F$11,Inputs!$F$184/100*(AM11-AM10-Tax!AM21),0)</f>
        <v/>
      </c>
      <c r="AN12" s="11">
        <f>IF(Time!AN17&gt;=Time!$F$11,Inputs!$F$184/100*(AN11-AN10-Tax!AN21),0)</f>
        <v/>
      </c>
      <c r="AO12" s="11">
        <f>IF(Time!AO17&gt;=Time!$F$11,Inputs!$F$184/100*(AO11-AO10-Tax!AO21),0)</f>
        <v/>
      </c>
      <c r="AP12" s="11">
        <f>IF(Time!AP17&gt;=Time!$F$11,Inputs!$F$184/100*(AP11-AP10-Tax!AP21),0)</f>
        <v/>
      </c>
      <c r="AQ12" s="11">
        <f>IF(Time!AQ17&gt;=Time!$F$11,Inputs!$F$184/100*(AQ11-AQ10-Tax!AQ21),0)</f>
        <v/>
      </c>
      <c r="AR12" s="11">
        <f>IF(Time!AR17&gt;=Time!$F$11,Inputs!$F$184/100*(AR11-AR10-Tax!AR21),0)</f>
        <v/>
      </c>
      <c r="AS12" s="11">
        <f>IF(Time!AS17&gt;=Time!$F$11,Inputs!$F$184/100*(AS11-AS10-Tax!AS21),0)</f>
        <v/>
      </c>
      <c r="AT12" s="11">
        <f>IF(Time!AT17&gt;=Time!$F$11,Inputs!$F$184/100*(AT11-AT10-Tax!AT21),0)</f>
        <v/>
      </c>
      <c r="AU12" s="11">
        <f>IF(Time!AU17&gt;=Time!$F$11,Inputs!$F$184/100*(AU11-AU10-Tax!AU21),0)</f>
        <v/>
      </c>
      <c r="AV12" s="11">
        <f>IF(Time!AV17&gt;=Time!$F$11,Inputs!$F$184/100*(AV11-AV10-Tax!AV21),0)</f>
        <v/>
      </c>
      <c r="AW12" s="11">
        <f>IF(Time!AW17&gt;=Time!$F$11,Inputs!$F$184/100*(AW11-AW10-Tax!AW21),0)</f>
        <v/>
      </c>
      <c r="AX12" s="11">
        <f>IF(Time!AX17&gt;=Time!$F$11,Inputs!$F$184/100*(AX11-AX10-Tax!AX21),0)</f>
        <v/>
      </c>
      <c r="AY12" s="11">
        <f>IF(Time!AY17&gt;=Time!$F$11,Inputs!$F$184/100*(AY11-AY10-Tax!AY21),0)</f>
        <v/>
      </c>
      <c r="AZ12" s="11">
        <f>IF(Time!AZ17&gt;=Time!$F$11,Inputs!$F$184/100*(AZ11-AZ10-Tax!AZ21),0)</f>
        <v/>
      </c>
      <c r="BA12" s="11">
        <f>IF(Time!BA17&gt;=Time!$F$11,Inputs!$F$184/100*(BA11-BA10-Tax!BA21),0)</f>
        <v/>
      </c>
      <c r="BB12" s="11">
        <f>IF(Time!BB17&gt;=Time!$F$11,Inputs!$F$184/100*(BB11-BB10-Tax!BB21),0)</f>
        <v/>
      </c>
      <c r="BC12" s="11">
        <f>IF(Time!BC17&gt;=Time!$F$11,Inputs!$F$184/100*(BC11-BC10-Tax!BC21),0)</f>
        <v/>
      </c>
      <c r="BD12" s="11">
        <f>IF(Time!BD17&gt;=Time!$F$11,Inputs!$F$184/100*(BD11-BD10-Tax!BD21),0)</f>
        <v/>
      </c>
      <c r="BE12" s="11">
        <f>IF(Time!BE17&gt;=Time!$F$11,Inputs!$F$184/100*(BE11-BE10-Tax!BE21),0)</f>
        <v/>
      </c>
      <c r="BF12" s="11">
        <f>IF(Time!BF17&gt;=Time!$F$11,Inputs!$F$184/100*(BF11-BF10-Tax!BF21),0)</f>
        <v/>
      </c>
      <c r="BG12" s="11">
        <f>IF(Time!BG17&gt;=Time!$F$11,Inputs!$F$184/100*(BG11-BG10-Tax!BG21),0)</f>
        <v/>
      </c>
      <c r="BH12" s="11">
        <f>IF(Time!BH17&gt;=Time!$F$11,Inputs!$F$184/100*(BH11-BH10-Tax!BH21),0)</f>
        <v/>
      </c>
      <c r="BI12" s="11">
        <f>IF(Time!BI17&gt;=Time!$F$11,Inputs!$F$184/100*(BI11-BI10-Tax!BI21),0)</f>
        <v/>
      </c>
      <c r="BJ12" s="11">
        <f>IF(Time!BJ17&gt;=Time!$F$11,Inputs!$F$184/100*(BJ11-BJ10-Tax!BJ21),0)</f>
        <v/>
      </c>
      <c r="BK12" s="11">
        <f>IF(Time!BK17&gt;=Time!$F$11,Inputs!$F$184/100*(BK11-BK10-Tax!BK21),0)</f>
        <v/>
      </c>
      <c r="BL12" s="11">
        <f>IF(Time!BL17&gt;=Time!$F$11,Inputs!$F$184/100*(BL11-BL10-Tax!BL21),0)</f>
        <v/>
      </c>
      <c r="BM12" s="11">
        <f>IF(Time!BM17&gt;=Time!$F$11,Inputs!$F$184/100*(BM11-BM10-Tax!BM21),0)</f>
        <v/>
      </c>
      <c r="BN12" s="11">
        <f>IF(Time!BN17&gt;=Time!$F$11,Inputs!$F$184/100*(BN11-BN10-Tax!BN21),0)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Operations!J80-J8-J9-Tax!J27-J13</f>
        <v/>
      </c>
      <c r="K14" s="11">
        <f>Operations!K80-K8-K9-Tax!K27-K13</f>
        <v/>
      </c>
      <c r="L14" s="11">
        <f>Operations!L80-L8-L9-Tax!L27-L13</f>
        <v/>
      </c>
      <c r="M14" s="11">
        <f>Operations!M80-M8-M9-Tax!M27-M13</f>
        <v/>
      </c>
      <c r="N14" s="11">
        <f>Operations!N80-N8-N9-Tax!N27-N13</f>
        <v/>
      </c>
      <c r="O14" s="11">
        <f>Operations!O80-O8-O9-Tax!O27-O13</f>
        <v/>
      </c>
      <c r="P14" s="11">
        <f>Operations!P80-P8-P9-Tax!P27-P13</f>
        <v/>
      </c>
      <c r="Q14" s="11">
        <f>Operations!Q80-Q8-Q9-Tax!Q27-Q13</f>
        <v/>
      </c>
      <c r="R14" s="11">
        <f>Operations!R80-R8-R9-Tax!R27-R13</f>
        <v/>
      </c>
      <c r="S14" s="11">
        <f>Operations!S80-S8-S9-Tax!S27-S13</f>
        <v/>
      </c>
      <c r="T14" s="11">
        <f>Operations!T80-T8-T9-Tax!T27-T13</f>
        <v/>
      </c>
      <c r="U14" s="11">
        <f>Operations!U80-U8-U9-Tax!U27-U13</f>
        <v/>
      </c>
      <c r="V14" s="11">
        <f>Operations!V80-V8-V9-Tax!V27-V13</f>
        <v/>
      </c>
      <c r="W14" s="11">
        <f>Operations!W80-W8-W9-Tax!W27-W13</f>
        <v/>
      </c>
      <c r="X14" s="11">
        <f>Operations!X80-X8-X9-Tax!X27-X13</f>
        <v/>
      </c>
      <c r="Y14" s="11">
        <f>Operations!Y80-Y8-Y9-Tax!Y27-Y13</f>
        <v/>
      </c>
      <c r="Z14" s="11">
        <f>Operations!Z80-Z8-Z9-Tax!Z27-Z13</f>
        <v/>
      </c>
      <c r="AA14" s="11">
        <f>Operations!AA80-AA8-AA9-Tax!AA27-AA13</f>
        <v/>
      </c>
      <c r="AB14" s="11">
        <f>Operations!AB80-AB8-AB9-Tax!AB27-AB13</f>
        <v/>
      </c>
      <c r="AC14" s="11">
        <f>Operations!AC80-AC8-AC9-Tax!AC27-AC13</f>
        <v/>
      </c>
      <c r="AD14" s="11">
        <f>Operations!AD80-AD8-AD9-Tax!AD27-AD13</f>
        <v/>
      </c>
      <c r="AE14" s="11">
        <f>Operations!AE80-AE8-AE9-Tax!AE27-AE13</f>
        <v/>
      </c>
      <c r="AF14" s="11">
        <f>Operations!AF80-AF8-AF9-Tax!AF27-AF13</f>
        <v/>
      </c>
      <c r="AG14" s="11">
        <f>Operations!AG80-AG8-AG9-Tax!AG27-AG13</f>
        <v/>
      </c>
      <c r="AH14" s="11">
        <f>Operations!AH80-AH8-AH9-Tax!AH27-AH13</f>
        <v/>
      </c>
      <c r="AI14" s="11">
        <f>Operations!AI80-AI8-AI9-Tax!AI27-AI13</f>
        <v/>
      </c>
      <c r="AJ14" s="11">
        <f>Operations!AJ80-AJ8-AJ9-Tax!AJ27-AJ13</f>
        <v/>
      </c>
      <c r="AK14" s="11">
        <f>Operations!AK80-AK8-AK9-Tax!AK27-AK13</f>
        <v/>
      </c>
      <c r="AL14" s="11">
        <f>Operations!AL80-AL8-AL9-Tax!AL27-AL13</f>
        <v/>
      </c>
      <c r="AM14" s="11">
        <f>Operations!AM80-AM8-AM9-Tax!AM27-AM13</f>
        <v/>
      </c>
      <c r="AN14" s="11">
        <f>Operations!AN80-AN8-AN9-Tax!AN27-AN13</f>
        <v/>
      </c>
      <c r="AO14" s="11">
        <f>Operations!AO80-AO8-AO9-Tax!AO27-AO13</f>
        <v/>
      </c>
      <c r="AP14" s="11">
        <f>Operations!AP80-AP8-AP9-Tax!AP27-AP13</f>
        <v/>
      </c>
      <c r="AQ14" s="11">
        <f>Operations!AQ80-AQ8-AQ9-Tax!AQ27-AQ13</f>
        <v/>
      </c>
      <c r="AR14" s="11">
        <f>Operations!AR80-AR8-AR9-Tax!AR27-AR13</f>
        <v/>
      </c>
      <c r="AS14" s="11">
        <f>Operations!AS80-AS8-AS9-Tax!AS27-AS13</f>
        <v/>
      </c>
      <c r="AT14" s="11">
        <f>Operations!AT80-AT8-AT9-Tax!AT27-AT13</f>
        <v/>
      </c>
      <c r="AU14" s="11">
        <f>Operations!AU80-AU8-AU9-Tax!AU27-AU13</f>
        <v/>
      </c>
      <c r="AV14" s="11">
        <f>Operations!AV80-AV8-AV9-Tax!AV27-AV13</f>
        <v/>
      </c>
      <c r="AW14" s="11">
        <f>Operations!AW80-AW8-AW9-Tax!AW27-AW13</f>
        <v/>
      </c>
      <c r="AX14" s="11">
        <f>Operations!AX80-AX8-AX9-Tax!AX27-AX13</f>
        <v/>
      </c>
      <c r="AY14" s="11">
        <f>Operations!AY80-AY8-AY9-Tax!AY27-AY13</f>
        <v/>
      </c>
      <c r="AZ14" s="11">
        <f>Operations!AZ80-AZ8-AZ9-Tax!AZ27-AZ13</f>
        <v/>
      </c>
      <c r="BA14" s="11">
        <f>Operations!BA80-BA8-BA9-Tax!BA27-BA13</f>
        <v/>
      </c>
      <c r="BB14" s="11">
        <f>Operations!BB80-BB8-BB9-Tax!BB27-BB13</f>
        <v/>
      </c>
      <c r="BC14" s="11">
        <f>Operations!BC80-BC8-BC9-Tax!BC27-BC13</f>
        <v/>
      </c>
      <c r="BD14" s="11">
        <f>Operations!BD80-BD8-BD9-Tax!BD27-BD13</f>
        <v/>
      </c>
      <c r="BE14" s="11">
        <f>Operations!BE80-BE8-BE9-Tax!BE27-BE13</f>
        <v/>
      </c>
      <c r="BF14" s="11">
        <f>Operations!BF80-BF8-BF9-Tax!BF27-BF13</f>
        <v/>
      </c>
      <c r="BG14" s="11">
        <f>Operations!BG80-BG8-BG9-Tax!BG27-BG13</f>
        <v/>
      </c>
      <c r="BH14" s="11">
        <f>Operations!BH80-BH8-BH9-Tax!BH27-BH13</f>
        <v/>
      </c>
      <c r="BI14" s="11">
        <f>Operations!BI80-BI8-BI9-Tax!BI27-BI13</f>
        <v/>
      </c>
      <c r="BJ14" s="11">
        <f>Operations!BJ80-BJ8-BJ9-Tax!BJ27-BJ13</f>
        <v/>
      </c>
      <c r="BK14" s="11">
        <f>Operations!BK80-BK8-BK9-Tax!BK27-BK13</f>
        <v/>
      </c>
      <c r="BL14" s="11">
        <f>Operations!BL80-BL8-BL9-Tax!BL27-BL13</f>
        <v/>
      </c>
      <c r="BM14" s="11">
        <f>Operations!BM80-BM8-BM9-Tax!BM27-BM13</f>
        <v/>
      </c>
      <c r="BN14" s="11">
        <f>Operations!BN80-BN8-BN9-Tax!BN27-BN13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Operations!J84+Operations!J85</f>
        <v/>
      </c>
      <c r="K18" s="11">
        <f>Operations!K84+Operations!K85</f>
        <v/>
      </c>
      <c r="L18" s="11">
        <f>Operations!L84+Operations!L85</f>
        <v/>
      </c>
      <c r="M18" s="11">
        <f>Operations!M84+Operations!M85</f>
        <v/>
      </c>
      <c r="N18" s="11">
        <f>Operations!N84+Operations!N85</f>
        <v/>
      </c>
      <c r="O18" s="11">
        <f>Operations!O84+Operations!O85</f>
        <v/>
      </c>
      <c r="P18" s="11">
        <f>Operations!P84+Operations!P85</f>
        <v/>
      </c>
      <c r="Q18" s="11">
        <f>Operations!Q84+Operations!Q85</f>
        <v/>
      </c>
      <c r="R18" s="11">
        <f>Operations!R84+Operations!R85</f>
        <v/>
      </c>
      <c r="S18" s="11">
        <f>Operations!S84+Operations!S85</f>
        <v/>
      </c>
      <c r="T18" s="11">
        <f>Operations!T84+Operations!T85</f>
        <v/>
      </c>
      <c r="U18" s="11">
        <f>Operations!U84+Operations!U85</f>
        <v/>
      </c>
      <c r="V18" s="11">
        <f>Operations!V84+Operations!V85</f>
        <v/>
      </c>
      <c r="W18" s="11">
        <f>Operations!W84+Operations!W85</f>
        <v/>
      </c>
      <c r="X18" s="11">
        <f>Operations!X84+Operations!X85</f>
        <v/>
      </c>
      <c r="Y18" s="11">
        <f>Operations!Y84+Operations!Y85</f>
        <v/>
      </c>
      <c r="Z18" s="11">
        <f>Operations!Z84+Operations!Z85</f>
        <v/>
      </c>
      <c r="AA18" s="11">
        <f>Operations!AA84+Operations!AA85</f>
        <v/>
      </c>
      <c r="AB18" s="11">
        <f>Operations!AB84+Operations!AB85</f>
        <v/>
      </c>
      <c r="AC18" s="11">
        <f>Operations!AC84+Operations!AC85</f>
        <v/>
      </c>
      <c r="AD18" s="11">
        <f>Operations!AD84+Operations!AD85</f>
        <v/>
      </c>
      <c r="AE18" s="11">
        <f>Operations!AE84+Operations!AE85</f>
        <v/>
      </c>
      <c r="AF18" s="11">
        <f>Operations!AF84+Operations!AF85</f>
        <v/>
      </c>
      <c r="AG18" s="11">
        <f>Operations!AG84+Operations!AG85</f>
        <v/>
      </c>
      <c r="AH18" s="11">
        <f>Operations!AH84+Operations!AH85</f>
        <v/>
      </c>
      <c r="AI18" s="11">
        <f>Operations!AI84+Operations!AI85</f>
        <v/>
      </c>
      <c r="AJ18" s="11">
        <f>Operations!AJ84+Operations!AJ85</f>
        <v/>
      </c>
      <c r="AK18" s="11">
        <f>Operations!AK84+Operations!AK85</f>
        <v/>
      </c>
      <c r="AL18" s="11">
        <f>Operations!AL84+Operations!AL85</f>
        <v/>
      </c>
      <c r="AM18" s="11">
        <f>Operations!AM84+Operations!AM85</f>
        <v/>
      </c>
      <c r="AN18" s="11">
        <f>Operations!AN84+Operations!AN85</f>
        <v/>
      </c>
      <c r="AO18" s="11">
        <f>Operations!AO84+Operations!AO85</f>
        <v/>
      </c>
      <c r="AP18" s="11">
        <f>Operations!AP84+Operations!AP85</f>
        <v/>
      </c>
      <c r="AQ18" s="11">
        <f>Operations!AQ84+Operations!AQ85</f>
        <v/>
      </c>
      <c r="AR18" s="11">
        <f>Operations!AR84+Operations!AR85</f>
        <v/>
      </c>
      <c r="AS18" s="11">
        <f>Operations!AS84+Operations!AS85</f>
        <v/>
      </c>
      <c r="AT18" s="11">
        <f>Operations!AT84+Operations!AT85</f>
        <v/>
      </c>
      <c r="AU18" s="11">
        <f>Operations!AU84+Operations!AU85</f>
        <v/>
      </c>
      <c r="AV18" s="11">
        <f>Operations!AV84+Operations!AV85</f>
        <v/>
      </c>
      <c r="AW18" s="11">
        <f>Operations!AW84+Operations!AW85</f>
        <v/>
      </c>
      <c r="AX18" s="11">
        <f>Operations!AX84+Operations!AX85</f>
        <v/>
      </c>
      <c r="AY18" s="11">
        <f>Operations!AY84+Operations!AY85</f>
        <v/>
      </c>
      <c r="AZ18" s="11">
        <f>Operations!AZ84+Operations!AZ85</f>
        <v/>
      </c>
      <c r="BA18" s="11">
        <f>Operations!BA84+Operations!BA85</f>
        <v/>
      </c>
      <c r="BB18" s="11">
        <f>Operations!BB84+Operations!BB85</f>
        <v/>
      </c>
      <c r="BC18" s="11">
        <f>Operations!BC84+Operations!BC85</f>
        <v/>
      </c>
      <c r="BD18" s="11">
        <f>Operations!BD84+Operations!BD85</f>
        <v/>
      </c>
      <c r="BE18" s="11">
        <f>Operations!BE84+Operations!BE85</f>
        <v/>
      </c>
      <c r="BF18" s="11">
        <f>Operations!BF84+Operations!BF85</f>
        <v/>
      </c>
      <c r="BG18" s="11">
        <f>Operations!BG84+Operations!BG85</f>
        <v/>
      </c>
      <c r="BH18" s="11">
        <f>Operations!BH84+Operations!BH85</f>
        <v/>
      </c>
      <c r="BI18" s="11">
        <f>Operations!BI84+Operations!BI85</f>
        <v/>
      </c>
      <c r="BJ18" s="11">
        <f>Operations!BJ84+Operations!BJ85</f>
        <v/>
      </c>
      <c r="BK18" s="11">
        <f>Operations!BK84+Operations!BK85</f>
        <v/>
      </c>
      <c r="BL18" s="11">
        <f>Operations!BL84+Operations!BL85</f>
        <v/>
      </c>
      <c r="BM18" s="11">
        <f>Operations!BM84+Operations!BM85</f>
        <v/>
      </c>
      <c r="BN18" s="11">
        <f>Operations!BN84+Operations!BN85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IF(Time!J17&lt;Time!$F$11,SUMIFS(Construction!$J$28:$BJ$28,Construction!$J$12:$BJ$12,"&lt;="&amp;Time!J17),IF(Time!J17&lt;Time!$F$14,Inputs!$F$67*Inputs!$F$36,0))</f>
        <v/>
      </c>
      <c r="K19" s="11">
        <f>IF(Time!K17&lt;Time!$F$11,SUMIFS(Construction!$J$28:$BJ$28,Construction!$J$12:$BJ$12,"&lt;="&amp;Time!K17),IF(Time!K17&lt;Time!$F$14,Inputs!$F$67*Inputs!$F$36,0))</f>
        <v/>
      </c>
      <c r="L19" s="11">
        <f>IF(Time!L17&lt;Time!$F$11,SUMIFS(Construction!$J$28:$BJ$28,Construction!$J$12:$BJ$12,"&lt;="&amp;Time!L17),IF(Time!L17&lt;Time!$F$14,Inputs!$F$67*Inputs!$F$36,0))</f>
        <v/>
      </c>
      <c r="M19" s="11">
        <f>IF(Time!M17&lt;Time!$F$11,SUMIFS(Construction!$J$28:$BJ$28,Construction!$J$12:$BJ$12,"&lt;="&amp;Time!M17),IF(Time!M17&lt;Time!$F$14,Inputs!$F$67*Inputs!$F$36,0))</f>
        <v/>
      </c>
      <c r="N19" s="11">
        <f>IF(Time!N17&lt;Time!$F$11,SUMIFS(Construction!$J$28:$BJ$28,Construction!$J$12:$BJ$12,"&lt;="&amp;Time!N17),IF(Time!N17&lt;Time!$F$14,Inputs!$F$67*Inputs!$F$36,0))</f>
        <v/>
      </c>
      <c r="O19" s="11">
        <f>IF(Time!O17&lt;Time!$F$11,SUMIFS(Construction!$J$28:$BJ$28,Construction!$J$12:$BJ$12,"&lt;="&amp;Time!O17),IF(Time!O17&lt;Time!$F$14,Inputs!$F$67*Inputs!$F$36,0))</f>
        <v/>
      </c>
      <c r="P19" s="11">
        <f>IF(Time!P17&lt;Time!$F$11,SUMIFS(Construction!$J$28:$BJ$28,Construction!$J$12:$BJ$12,"&lt;="&amp;Time!P17),IF(Time!P17&lt;Time!$F$14,Inputs!$F$67*Inputs!$F$36,0))</f>
        <v/>
      </c>
      <c r="Q19" s="11">
        <f>IF(Time!Q17&lt;Time!$F$11,SUMIFS(Construction!$J$28:$BJ$28,Construction!$J$12:$BJ$12,"&lt;="&amp;Time!Q17),IF(Time!Q17&lt;Time!$F$14,Inputs!$F$67*Inputs!$F$36,0))</f>
        <v/>
      </c>
      <c r="R19" s="11">
        <f>IF(Time!R17&lt;Time!$F$11,SUMIFS(Construction!$J$28:$BJ$28,Construction!$J$12:$BJ$12,"&lt;="&amp;Time!R17),IF(Time!R17&lt;Time!$F$14,Inputs!$F$67*Inputs!$F$36,0))</f>
        <v/>
      </c>
      <c r="S19" s="11">
        <f>IF(Time!S17&lt;Time!$F$11,SUMIFS(Construction!$J$28:$BJ$28,Construction!$J$12:$BJ$12,"&lt;="&amp;Time!S17),IF(Time!S17&lt;Time!$F$14,Inputs!$F$67*Inputs!$F$36,0))</f>
        <v/>
      </c>
      <c r="T19" s="11">
        <f>IF(Time!T17&lt;Time!$F$11,SUMIFS(Construction!$J$28:$BJ$28,Construction!$J$12:$BJ$12,"&lt;="&amp;Time!T17),IF(Time!T17&lt;Time!$F$14,Inputs!$F$67*Inputs!$F$36,0))</f>
        <v/>
      </c>
      <c r="U19" s="11">
        <f>IF(Time!U17&lt;Time!$F$11,SUMIFS(Construction!$J$28:$BJ$28,Construction!$J$12:$BJ$12,"&lt;="&amp;Time!U17),IF(Time!U17&lt;Time!$F$14,Inputs!$F$67*Inputs!$F$36,0))</f>
        <v/>
      </c>
      <c r="V19" s="11">
        <f>IF(Time!V17&lt;Time!$F$11,SUMIFS(Construction!$J$28:$BJ$28,Construction!$J$12:$BJ$12,"&lt;="&amp;Time!V17),IF(Time!V17&lt;Time!$F$14,Inputs!$F$67*Inputs!$F$36,0))</f>
        <v/>
      </c>
      <c r="W19" s="11">
        <f>IF(Time!W17&lt;Time!$F$11,SUMIFS(Construction!$J$28:$BJ$28,Construction!$J$12:$BJ$12,"&lt;="&amp;Time!W17),IF(Time!W17&lt;Time!$F$14,Inputs!$F$67*Inputs!$F$36,0))</f>
        <v/>
      </c>
      <c r="X19" s="11">
        <f>IF(Time!X17&lt;Time!$F$11,SUMIFS(Construction!$J$28:$BJ$28,Construction!$J$12:$BJ$12,"&lt;="&amp;Time!X17),IF(Time!X17&lt;Time!$F$14,Inputs!$F$67*Inputs!$F$36,0))</f>
        <v/>
      </c>
      <c r="Y19" s="11">
        <f>IF(Time!Y17&lt;Time!$F$11,SUMIFS(Construction!$J$28:$BJ$28,Construction!$J$12:$BJ$12,"&lt;="&amp;Time!Y17),IF(Time!Y17&lt;Time!$F$14,Inputs!$F$67*Inputs!$F$36,0))</f>
        <v/>
      </c>
      <c r="Z19" s="11">
        <f>IF(Time!Z17&lt;Time!$F$11,SUMIFS(Construction!$J$28:$BJ$28,Construction!$J$12:$BJ$12,"&lt;="&amp;Time!Z17),IF(Time!Z17&lt;Time!$F$14,Inputs!$F$67*Inputs!$F$36,0))</f>
        <v/>
      </c>
      <c r="AA19" s="11">
        <f>IF(Time!AA17&lt;Time!$F$11,SUMIFS(Construction!$J$28:$BJ$28,Construction!$J$12:$BJ$12,"&lt;="&amp;Time!AA17),IF(Time!AA17&lt;Time!$F$14,Inputs!$F$67*Inputs!$F$36,0))</f>
        <v/>
      </c>
      <c r="AB19" s="11">
        <f>IF(Time!AB17&lt;Time!$F$11,SUMIFS(Construction!$J$28:$BJ$28,Construction!$J$12:$BJ$12,"&lt;="&amp;Time!AB17),IF(Time!AB17&lt;Time!$F$14,Inputs!$F$67*Inputs!$F$36,0))</f>
        <v/>
      </c>
      <c r="AC19" s="11">
        <f>IF(Time!AC17&lt;Time!$F$11,SUMIFS(Construction!$J$28:$BJ$28,Construction!$J$12:$BJ$12,"&lt;="&amp;Time!AC17),IF(Time!AC17&lt;Time!$F$14,Inputs!$F$67*Inputs!$F$36,0))</f>
        <v/>
      </c>
      <c r="AD19" s="11">
        <f>IF(Time!AD17&lt;Time!$F$11,SUMIFS(Construction!$J$28:$BJ$28,Construction!$J$12:$BJ$12,"&lt;="&amp;Time!AD17),IF(Time!AD17&lt;Time!$F$14,Inputs!$F$67*Inputs!$F$36,0))</f>
        <v/>
      </c>
      <c r="AE19" s="11">
        <f>IF(Time!AE17&lt;Time!$F$11,SUMIFS(Construction!$J$28:$BJ$28,Construction!$J$12:$BJ$12,"&lt;="&amp;Time!AE17),IF(Time!AE17&lt;Time!$F$14,Inputs!$F$67*Inputs!$F$36,0))</f>
        <v/>
      </c>
      <c r="AF19" s="11">
        <f>IF(Time!AF17&lt;Time!$F$11,SUMIFS(Construction!$J$28:$BJ$28,Construction!$J$12:$BJ$12,"&lt;="&amp;Time!AF17),IF(Time!AF17&lt;Time!$F$14,Inputs!$F$67*Inputs!$F$36,0))</f>
        <v/>
      </c>
      <c r="AG19" s="11">
        <f>IF(Time!AG17&lt;Time!$F$11,SUMIFS(Construction!$J$28:$BJ$28,Construction!$J$12:$BJ$12,"&lt;="&amp;Time!AG17),IF(Time!AG17&lt;Time!$F$14,Inputs!$F$67*Inputs!$F$36,0))</f>
        <v/>
      </c>
      <c r="AH19" s="11">
        <f>IF(Time!AH17&lt;Time!$F$11,SUMIFS(Construction!$J$28:$BJ$28,Construction!$J$12:$BJ$12,"&lt;="&amp;Time!AH17),IF(Time!AH17&lt;Time!$F$14,Inputs!$F$67*Inputs!$F$36,0))</f>
        <v/>
      </c>
      <c r="AI19" s="11">
        <f>IF(Time!AI17&lt;Time!$F$11,SUMIFS(Construction!$J$28:$BJ$28,Construction!$J$12:$BJ$12,"&lt;="&amp;Time!AI17),IF(Time!AI17&lt;Time!$F$14,Inputs!$F$67*Inputs!$F$36,0))</f>
        <v/>
      </c>
      <c r="AJ19" s="11">
        <f>IF(Time!AJ17&lt;Time!$F$11,SUMIFS(Construction!$J$28:$BJ$28,Construction!$J$12:$BJ$12,"&lt;="&amp;Time!AJ17),IF(Time!AJ17&lt;Time!$F$14,Inputs!$F$67*Inputs!$F$36,0))</f>
        <v/>
      </c>
      <c r="AK19" s="11">
        <f>IF(Time!AK17&lt;Time!$F$11,SUMIFS(Construction!$J$28:$BJ$28,Construction!$J$12:$BJ$12,"&lt;="&amp;Time!AK17),IF(Time!AK17&lt;Time!$F$14,Inputs!$F$67*Inputs!$F$36,0))</f>
        <v/>
      </c>
      <c r="AL19" s="11">
        <f>IF(Time!AL17&lt;Time!$F$11,SUMIFS(Construction!$J$28:$BJ$28,Construction!$J$12:$BJ$12,"&lt;="&amp;Time!AL17),IF(Time!AL17&lt;Time!$F$14,Inputs!$F$67*Inputs!$F$36,0))</f>
        <v/>
      </c>
      <c r="AM19" s="11">
        <f>IF(Time!AM17&lt;Time!$F$11,SUMIFS(Construction!$J$28:$BJ$28,Construction!$J$12:$BJ$12,"&lt;="&amp;Time!AM17),IF(Time!AM17&lt;Time!$F$14,Inputs!$F$67*Inputs!$F$36,0))</f>
        <v/>
      </c>
      <c r="AN19" s="11">
        <f>IF(Time!AN17&lt;Time!$F$11,SUMIFS(Construction!$J$28:$BJ$28,Construction!$J$12:$BJ$12,"&lt;="&amp;Time!AN17),IF(Time!AN17&lt;Time!$F$14,Inputs!$F$67*Inputs!$F$36,0))</f>
        <v/>
      </c>
      <c r="AO19" s="11">
        <f>IF(Time!AO17&lt;Time!$F$11,SUMIFS(Construction!$J$28:$BJ$28,Construction!$J$12:$BJ$12,"&lt;="&amp;Time!AO17),IF(Time!AO17&lt;Time!$F$14,Inputs!$F$67*Inputs!$F$36,0))</f>
        <v/>
      </c>
      <c r="AP19" s="11">
        <f>IF(Time!AP17&lt;Time!$F$11,SUMIFS(Construction!$J$28:$BJ$28,Construction!$J$12:$BJ$12,"&lt;="&amp;Time!AP17),IF(Time!AP17&lt;Time!$F$14,Inputs!$F$67*Inputs!$F$36,0))</f>
        <v/>
      </c>
      <c r="AQ19" s="11">
        <f>IF(Time!AQ17&lt;Time!$F$11,SUMIFS(Construction!$J$28:$BJ$28,Construction!$J$12:$BJ$12,"&lt;="&amp;Time!AQ17),IF(Time!AQ17&lt;Time!$F$14,Inputs!$F$67*Inputs!$F$36,0))</f>
        <v/>
      </c>
      <c r="AR19" s="11">
        <f>IF(Time!AR17&lt;Time!$F$11,SUMIFS(Construction!$J$28:$BJ$28,Construction!$J$12:$BJ$12,"&lt;="&amp;Time!AR17),IF(Time!AR17&lt;Time!$F$14,Inputs!$F$67*Inputs!$F$36,0))</f>
        <v/>
      </c>
      <c r="AS19" s="11">
        <f>IF(Time!AS17&lt;Time!$F$11,SUMIFS(Construction!$J$28:$BJ$28,Construction!$J$12:$BJ$12,"&lt;="&amp;Time!AS17),IF(Time!AS17&lt;Time!$F$14,Inputs!$F$67*Inputs!$F$36,0))</f>
        <v/>
      </c>
      <c r="AT19" s="11">
        <f>IF(Time!AT17&lt;Time!$F$11,SUMIFS(Construction!$J$28:$BJ$28,Construction!$J$12:$BJ$12,"&lt;="&amp;Time!AT17),IF(Time!AT17&lt;Time!$F$14,Inputs!$F$67*Inputs!$F$36,0))</f>
        <v/>
      </c>
      <c r="AU19" s="11">
        <f>IF(Time!AU17&lt;Time!$F$11,SUMIFS(Construction!$J$28:$BJ$28,Construction!$J$12:$BJ$12,"&lt;="&amp;Time!AU17),IF(Time!AU17&lt;Time!$F$14,Inputs!$F$67*Inputs!$F$36,0))</f>
        <v/>
      </c>
      <c r="AV19" s="11">
        <f>IF(Time!AV17&lt;Time!$F$11,SUMIFS(Construction!$J$28:$BJ$28,Construction!$J$12:$BJ$12,"&lt;="&amp;Time!AV17),IF(Time!AV17&lt;Time!$F$14,Inputs!$F$67*Inputs!$F$36,0))</f>
        <v/>
      </c>
      <c r="AW19" s="11">
        <f>IF(Time!AW17&lt;Time!$F$11,SUMIFS(Construction!$J$28:$BJ$28,Construction!$J$12:$BJ$12,"&lt;="&amp;Time!AW17),IF(Time!AW17&lt;Time!$F$14,Inputs!$F$67*Inputs!$F$36,0))</f>
        <v/>
      </c>
      <c r="AX19" s="11">
        <f>IF(Time!AX17&lt;Time!$F$11,SUMIFS(Construction!$J$28:$BJ$28,Construction!$J$12:$BJ$12,"&lt;="&amp;Time!AX17),IF(Time!AX17&lt;Time!$F$14,Inputs!$F$67*Inputs!$F$36,0))</f>
        <v/>
      </c>
      <c r="AY19" s="11">
        <f>IF(Time!AY17&lt;Time!$F$11,SUMIFS(Construction!$J$28:$BJ$28,Construction!$J$12:$BJ$12,"&lt;="&amp;Time!AY17),IF(Time!AY17&lt;Time!$F$14,Inputs!$F$67*Inputs!$F$36,0))</f>
        <v/>
      </c>
      <c r="AZ19" s="11">
        <f>IF(Time!AZ17&lt;Time!$F$11,SUMIFS(Construction!$J$28:$BJ$28,Construction!$J$12:$BJ$12,"&lt;="&amp;Time!AZ17),IF(Time!AZ17&lt;Time!$F$14,Inputs!$F$67*Inputs!$F$36,0))</f>
        <v/>
      </c>
      <c r="BA19" s="11">
        <f>IF(Time!BA17&lt;Time!$F$11,SUMIFS(Construction!$J$28:$BJ$28,Construction!$J$12:$BJ$12,"&lt;="&amp;Time!BA17),IF(Time!BA17&lt;Time!$F$14,Inputs!$F$67*Inputs!$F$36,0))</f>
        <v/>
      </c>
      <c r="BB19" s="11">
        <f>IF(Time!BB17&lt;Time!$F$11,SUMIFS(Construction!$J$28:$BJ$28,Construction!$J$12:$BJ$12,"&lt;="&amp;Time!BB17),IF(Time!BB17&lt;Time!$F$14,Inputs!$F$67*Inputs!$F$36,0))</f>
        <v/>
      </c>
      <c r="BC19" s="11">
        <f>IF(Time!BC17&lt;Time!$F$11,SUMIFS(Construction!$J$28:$BJ$28,Construction!$J$12:$BJ$12,"&lt;="&amp;Time!BC17),IF(Time!BC17&lt;Time!$F$14,Inputs!$F$67*Inputs!$F$36,0))</f>
        <v/>
      </c>
      <c r="BD19" s="11">
        <f>IF(Time!BD17&lt;Time!$F$11,SUMIFS(Construction!$J$28:$BJ$28,Construction!$J$12:$BJ$12,"&lt;="&amp;Time!BD17),IF(Time!BD17&lt;Time!$F$14,Inputs!$F$67*Inputs!$F$36,0))</f>
        <v/>
      </c>
      <c r="BE19" s="11">
        <f>IF(Time!BE17&lt;Time!$F$11,SUMIFS(Construction!$J$28:$BJ$28,Construction!$J$12:$BJ$12,"&lt;="&amp;Time!BE17),IF(Time!BE17&lt;Time!$F$14,Inputs!$F$67*Inputs!$F$36,0))</f>
        <v/>
      </c>
      <c r="BF19" s="11">
        <f>IF(Time!BF17&lt;Time!$F$11,SUMIFS(Construction!$J$28:$BJ$28,Construction!$J$12:$BJ$12,"&lt;="&amp;Time!BF17),IF(Time!BF17&lt;Time!$F$14,Inputs!$F$67*Inputs!$F$36,0))</f>
        <v/>
      </c>
      <c r="BG19" s="11">
        <f>IF(Time!BG17&lt;Time!$F$11,SUMIFS(Construction!$J$28:$BJ$28,Construction!$J$12:$BJ$12,"&lt;="&amp;Time!BG17),IF(Time!BG17&lt;Time!$F$14,Inputs!$F$67*Inputs!$F$36,0))</f>
        <v/>
      </c>
      <c r="BH19" s="11">
        <f>IF(Time!BH17&lt;Time!$F$11,SUMIFS(Construction!$J$28:$BJ$28,Construction!$J$12:$BJ$12,"&lt;="&amp;Time!BH17),IF(Time!BH17&lt;Time!$F$14,Inputs!$F$67*Inputs!$F$36,0))</f>
        <v/>
      </c>
      <c r="BI19" s="11">
        <f>IF(Time!BI17&lt;Time!$F$11,SUMIFS(Construction!$J$28:$BJ$28,Construction!$J$12:$BJ$12,"&lt;="&amp;Time!BI17),IF(Time!BI17&lt;Time!$F$14,Inputs!$F$67*Inputs!$F$36,0))</f>
        <v/>
      </c>
      <c r="BJ19" s="11">
        <f>IF(Time!BJ17&lt;Time!$F$11,SUMIFS(Construction!$J$28:$BJ$28,Construction!$J$12:$BJ$12,"&lt;="&amp;Time!BJ17),IF(Time!BJ17&lt;Time!$F$14,Inputs!$F$67*Inputs!$F$36,0))</f>
        <v/>
      </c>
      <c r="BK19" s="11">
        <f>IF(Time!BK17&lt;Time!$F$11,SUMIFS(Construction!$J$28:$BJ$28,Construction!$J$12:$BJ$12,"&lt;="&amp;Time!BK17),IF(Time!BK17&lt;Time!$F$14,Inputs!$F$67*Inputs!$F$36,0))</f>
        <v/>
      </c>
      <c r="BL19" s="11">
        <f>IF(Time!BL17&lt;Time!$F$11,SUMIFS(Construction!$J$28:$BJ$28,Construction!$J$12:$BJ$12,"&lt;="&amp;Time!BL17),IF(Time!BL17&lt;Time!$F$14,Inputs!$F$67*Inputs!$F$36,0))</f>
        <v/>
      </c>
      <c r="BM19" s="11">
        <f>IF(Time!BM17&lt;Time!$F$11,SUMIFS(Construction!$J$28:$BJ$28,Construction!$J$12:$BJ$12,"&lt;="&amp;Time!BM17),IF(Time!BM17&lt;Time!$F$14,Inputs!$F$67*Inputs!$F$36,0))</f>
        <v/>
      </c>
      <c r="BN19" s="11">
        <f>IF(Time!BN17&lt;Time!$F$11,SUMIFS(Construction!$J$28:$BJ$28,Construction!$J$12:$BJ$12,"&lt;="&amp;Time!BN17),IF(Time!BN17&lt;Time!$F$14,Inputs!$F$67*Inputs!$F$36,0))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Operations!J86+Operations!J87+Operations!J88+Operations!J89+Operations!J90</f>
        <v/>
      </c>
      <c r="K24" s="11">
        <f>Operations!K86+Operations!K87+Operations!K88+Operations!K89+Operations!K90</f>
        <v/>
      </c>
      <c r="L24" s="11">
        <f>Operations!L86+Operations!L87+Operations!L88+Operations!L89+Operations!L90</f>
        <v/>
      </c>
      <c r="M24" s="11">
        <f>Operations!M86+Operations!M87+Operations!M88+Operations!M89+Operations!M90</f>
        <v/>
      </c>
      <c r="N24" s="11">
        <f>Operations!N86+Operations!N87+Operations!N88+Operations!N89+Operations!N90</f>
        <v/>
      </c>
      <c r="O24" s="11">
        <f>Operations!O86+Operations!O87+Operations!O88+Operations!O89+Operations!O90</f>
        <v/>
      </c>
      <c r="P24" s="11">
        <f>Operations!P86+Operations!P87+Operations!P88+Operations!P89+Operations!P90</f>
        <v/>
      </c>
      <c r="Q24" s="11">
        <f>Operations!Q86+Operations!Q87+Operations!Q88+Operations!Q89+Operations!Q90</f>
        <v/>
      </c>
      <c r="R24" s="11">
        <f>Operations!R86+Operations!R87+Operations!R88+Operations!R89+Operations!R90</f>
        <v/>
      </c>
      <c r="S24" s="11">
        <f>Operations!S86+Operations!S87+Operations!S88+Operations!S89+Operations!S90</f>
        <v/>
      </c>
      <c r="T24" s="11">
        <f>Operations!T86+Operations!T87+Operations!T88+Operations!T89+Operations!T90</f>
        <v/>
      </c>
      <c r="U24" s="11">
        <f>Operations!U86+Operations!U87+Operations!U88+Operations!U89+Operations!U90</f>
        <v/>
      </c>
      <c r="V24" s="11">
        <f>Operations!V86+Operations!V87+Operations!V88+Operations!V89+Operations!V90</f>
        <v/>
      </c>
      <c r="W24" s="11">
        <f>Operations!W86+Operations!W87+Operations!W88+Operations!W89+Operations!W90</f>
        <v/>
      </c>
      <c r="X24" s="11">
        <f>Operations!X86+Operations!X87+Operations!X88+Operations!X89+Operations!X90</f>
        <v/>
      </c>
      <c r="Y24" s="11">
        <f>Operations!Y86+Operations!Y87+Operations!Y88+Operations!Y89+Operations!Y90</f>
        <v/>
      </c>
      <c r="Z24" s="11">
        <f>Operations!Z86+Operations!Z87+Operations!Z88+Operations!Z89+Operations!Z90</f>
        <v/>
      </c>
      <c r="AA24" s="11">
        <f>Operations!AA86+Operations!AA87+Operations!AA88+Operations!AA89+Operations!AA90</f>
        <v/>
      </c>
      <c r="AB24" s="11">
        <f>Operations!AB86+Operations!AB87+Operations!AB88+Operations!AB89+Operations!AB90</f>
        <v/>
      </c>
      <c r="AC24" s="11">
        <f>Operations!AC86+Operations!AC87+Operations!AC88+Operations!AC89+Operations!AC90</f>
        <v/>
      </c>
      <c r="AD24" s="11">
        <f>Operations!AD86+Operations!AD87+Operations!AD88+Operations!AD89+Operations!AD90</f>
        <v/>
      </c>
      <c r="AE24" s="11">
        <f>Operations!AE86+Operations!AE87+Operations!AE88+Operations!AE89+Operations!AE90</f>
        <v/>
      </c>
      <c r="AF24" s="11">
        <f>Operations!AF86+Operations!AF87+Operations!AF88+Operations!AF89+Operations!AF90</f>
        <v/>
      </c>
      <c r="AG24" s="11">
        <f>Operations!AG86+Operations!AG87+Operations!AG88+Operations!AG89+Operations!AG90</f>
        <v/>
      </c>
      <c r="AH24" s="11">
        <f>Operations!AH86+Operations!AH87+Operations!AH88+Operations!AH89+Operations!AH90</f>
        <v/>
      </c>
      <c r="AI24" s="11">
        <f>Operations!AI86+Operations!AI87+Operations!AI88+Operations!AI89+Operations!AI90</f>
        <v/>
      </c>
      <c r="AJ24" s="11">
        <f>Operations!AJ86+Operations!AJ87+Operations!AJ88+Operations!AJ89+Operations!AJ90</f>
        <v/>
      </c>
      <c r="AK24" s="11">
        <f>Operations!AK86+Operations!AK87+Operations!AK88+Operations!AK89+Operations!AK90</f>
        <v/>
      </c>
      <c r="AL24" s="11">
        <f>Operations!AL86+Operations!AL87+Operations!AL88+Operations!AL89+Operations!AL90</f>
        <v/>
      </c>
      <c r="AM24" s="11">
        <f>Operations!AM86+Operations!AM87+Operations!AM88+Operations!AM89+Operations!AM90</f>
        <v/>
      </c>
      <c r="AN24" s="11">
        <f>Operations!AN86+Operations!AN87+Operations!AN88+Operations!AN89+Operations!AN90</f>
        <v/>
      </c>
      <c r="AO24" s="11">
        <f>Operations!AO86+Operations!AO87+Operations!AO88+Operations!AO89+Operations!AO90</f>
        <v/>
      </c>
      <c r="AP24" s="11">
        <f>Operations!AP86+Operations!AP87+Operations!AP88+Operations!AP89+Operations!AP90</f>
        <v/>
      </c>
      <c r="AQ24" s="11">
        <f>Operations!AQ86+Operations!AQ87+Operations!AQ88+Operations!AQ89+Operations!AQ90</f>
        <v/>
      </c>
      <c r="AR24" s="11">
        <f>Operations!AR86+Operations!AR87+Operations!AR88+Operations!AR89+Operations!AR90</f>
        <v/>
      </c>
      <c r="AS24" s="11">
        <f>Operations!AS86+Operations!AS87+Operations!AS88+Operations!AS89+Operations!AS90</f>
        <v/>
      </c>
      <c r="AT24" s="11">
        <f>Operations!AT86+Operations!AT87+Operations!AT88+Operations!AT89+Operations!AT90</f>
        <v/>
      </c>
      <c r="AU24" s="11">
        <f>Operations!AU86+Operations!AU87+Operations!AU88+Operations!AU89+Operations!AU90</f>
        <v/>
      </c>
      <c r="AV24" s="11">
        <f>Operations!AV86+Operations!AV87+Operations!AV88+Operations!AV89+Operations!AV90</f>
        <v/>
      </c>
      <c r="AW24" s="11">
        <f>Operations!AW86+Operations!AW87+Operations!AW88+Operations!AW89+Operations!AW90</f>
        <v/>
      </c>
      <c r="AX24" s="11">
        <f>Operations!AX86+Operations!AX87+Operations!AX88+Operations!AX89+Operations!AX90</f>
        <v/>
      </c>
      <c r="AY24" s="11">
        <f>Operations!AY86+Operations!AY87+Operations!AY88+Operations!AY89+Operations!AY90</f>
        <v/>
      </c>
      <c r="AZ24" s="11">
        <f>Operations!AZ86+Operations!AZ87+Operations!AZ88+Operations!AZ89+Operations!AZ90</f>
        <v/>
      </c>
      <c r="BA24" s="11">
        <f>Operations!BA86+Operations!BA87+Operations!BA88+Operations!BA89+Operations!BA90</f>
        <v/>
      </c>
      <c r="BB24" s="11">
        <f>Operations!BB86+Operations!BB87+Operations!BB88+Operations!BB89+Operations!BB90</f>
        <v/>
      </c>
      <c r="BC24" s="11">
        <f>Operations!BC86+Operations!BC87+Operations!BC88+Operations!BC89+Operations!BC90</f>
        <v/>
      </c>
      <c r="BD24" s="11">
        <f>Operations!BD86+Operations!BD87+Operations!BD88+Operations!BD89+Operations!BD90</f>
        <v/>
      </c>
      <c r="BE24" s="11">
        <f>Operations!BE86+Operations!BE87+Operations!BE88+Operations!BE89+Operations!BE90</f>
        <v/>
      </c>
      <c r="BF24" s="11">
        <f>Operations!BF86+Operations!BF87+Operations!BF88+Operations!BF89+Operations!BF90</f>
        <v/>
      </c>
      <c r="BG24" s="11">
        <f>Operations!BG86+Operations!BG87+Operations!BG88+Operations!BG89+Operations!BG90</f>
        <v/>
      </c>
      <c r="BH24" s="11">
        <f>Operations!BH86+Operations!BH87+Operations!BH88+Operations!BH89+Operations!BH90</f>
        <v/>
      </c>
      <c r="BI24" s="11">
        <f>Operations!BI86+Operations!BI87+Operations!BI88+Operations!BI89+Operations!BI90</f>
        <v/>
      </c>
      <c r="BJ24" s="11">
        <f>Operations!BJ86+Operations!BJ87+Operations!BJ88+Operations!BJ89+Operations!BJ90</f>
        <v/>
      </c>
      <c r="BK24" s="11">
        <f>Operations!BK86+Operations!BK87+Operations!BK88+Operations!BK89+Operations!BK90</f>
        <v/>
      </c>
      <c r="BL24" s="11">
        <f>Operations!BL86+Operations!BL87+Operations!BL88+Operations!BL89+Operations!BL90</f>
        <v/>
      </c>
      <c r="BM24" s="11">
        <f>Operations!BM86+Operations!BM87+Operations!BM88+Operations!BM89+Operations!BM90</f>
        <v/>
      </c>
      <c r="BN24" s="11">
        <f>Operations!BN86+Operations!BN87+Operations!BN88+Operations!BN89+Operations!BN90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-Inputs!$F$68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IF(AND(SUM(Funding!$J$55:$BJ$55)&lt;=Inputs!$F$99+0.000001,SUM(Funding!$J$56:$BJ$56)&lt;=Inputs!$F$103+0.000001),0,1)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IF(Inputs!$F$75*Funding!$F$25&lt;=224.1,0,1)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2026-10-03T21:13:23Z</dcterms:created>
  <dcterms:modified xsi:type="dcterms:W3CDTF">2026-10-03T21:13:23Z</dcterms:modified>
</cp:coreProperties>
</file>