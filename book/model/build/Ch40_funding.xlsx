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Funding" sheetId="6" state="visible" r:id="rId6"/>
    <sheet name="Debt" sheetId="7" state="visible" r:id="rId7"/>
    <sheet name="Checks" sheetId="8" state="visible" r:id="rId8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4" fontId="3" fillId="3" borderId="0" pivotButton="0" quotePrefix="0" xfId="0"/>
    <xf numFmtId="172" fontId="3" fillId="3" borderId="0" pivotButton="0" quotePrefix="0" xfId="0"/>
    <xf numFmtId="168" fontId="3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s="2" t="inlineStr">
        <is>
          <t>Master check (0 = all pass)</t>
        </is>
      </c>
      <c r="F22" s="3">
        <f>Checks!$F$19</f>
        <v/>
      </c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  <row r="31">
      <c r="D31" s="2" t="inlineStr">
        <is>
          <t>Build-along file Ch40_funding.xlsx: the companion model at the end of Chapter 40 (u09 Section 0.4 rows of Chapters 39 to 40; model version 1.4).</t>
        </is>
      </c>
    </row>
    <row r="32">
      <c r="D32" t="inlineStr">
        <is>
          <t>Provisional rows: Construction row 38 (VAT facility interest), replaced by its formula in Chapter 41. They hold FC base (Scenario 1) values pasted in input color.</t>
        </is>
      </c>
    </row>
    <row r="33">
      <c r="D33" t="inlineStr">
        <is>
          <t>Reconciles on Scenario 1 only (the provisional rows hold Scenario 1 values); other scenarios reconcile from Ch42_waterfall.xlsx.</t>
        </is>
      </c>
    </row>
    <row r="34">
      <c r="D34" t="inlineStr">
        <is>
          <t>Next file: Ch41_operations.xlsx.</t>
        </is>
      </c>
    </row>
    <row r="35">
      <c r="D35" t="inlineStr">
        <is>
          <t>Verification: model/build/verification.md.</t>
        </is>
      </c>
    </row>
  </sheetData>
  <conditionalFormatting sqref="F2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309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5" t="n">
        <v>1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3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3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3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3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3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3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3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3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3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3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3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3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3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3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3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3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3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3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3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3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3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3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3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633.2559755427742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221.8337675840513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6" t="n">
        <v>8.699999999999999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6" t="n">
        <v>8.699999999999999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9.800000000000001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6" t="n">
        <v>8.699999999999999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9.800000000000001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8">
      <c r="D298" t="inlineStr">
        <is>
          <t>Contract repayment profile at FC (share of debt)</t>
        </is>
      </c>
      <c r="E298" t="inlineStr">
        <is>
          <t>fraction</t>
        </is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0.02446043211430804</v>
      </c>
      <c r="Q298" s="6" t="n">
        <v>0.02549563991993633</v>
      </c>
      <c r="R298" s="6" t="n">
        <v>0.02675152229066621</v>
      </c>
      <c r="S298" s="6" t="n">
        <v>0.02753984637468513</v>
      </c>
      <c r="T298" s="6" t="n">
        <v>0.0288066694390464</v>
      </c>
      <c r="U298" s="6" t="n">
        <v>0.02972536483920772</v>
      </c>
      <c r="V298" s="6" t="n">
        <v>0.03166730192250924</v>
      </c>
      <c r="W298" s="6" t="n">
        <v>0.03263535190708168</v>
      </c>
      <c r="X298" s="6" t="n">
        <v>0.0317294685115491</v>
      </c>
      <c r="Y298" s="6" t="n">
        <v>0.03174439879630291</v>
      </c>
      <c r="Z298" s="6" t="n">
        <v>0.03305950431870376</v>
      </c>
      <c r="AA298" s="6" t="n">
        <v>0.03402426353926975</v>
      </c>
      <c r="AB298" s="6" t="n">
        <v>0.03564974851234601</v>
      </c>
      <c r="AC298" s="6" t="n">
        <v>0.03683076964636899</v>
      </c>
      <c r="AD298" s="6" t="n">
        <v>0.0402165127561107</v>
      </c>
      <c r="AE298" s="6" t="n">
        <v>0.04194504016536777</v>
      </c>
      <c r="AF298" s="6" t="n">
        <v>0.04341654712966558</v>
      </c>
      <c r="AG298" s="6" t="n">
        <v>0.04422683953596448</v>
      </c>
      <c r="AH298" s="6" t="n">
        <v>0.0464470950071792</v>
      </c>
      <c r="AI298" s="6" t="n">
        <v>0.04781089882837024</v>
      </c>
      <c r="AJ298" s="6" t="n">
        <v>0.05011909730654722</v>
      </c>
      <c r="AK298" s="6" t="n">
        <v>0.05174136373715012</v>
      </c>
      <c r="AL298" s="6" t="n">
        <v>0.05486337334066368</v>
      </c>
      <c r="AM298" s="6" t="n">
        <v>0.05600370673381757</v>
      </c>
      <c r="AN298" s="6" t="n">
        <v>0.04620239321839347</v>
      </c>
      <c r="AO298" s="6" t="n">
        <v>0.04688685010878882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>
      <c r="D299" t="inlineStr">
        <is>
          <t>COD re-sculpted repayment profile (share of debt at COD)</t>
        </is>
      </c>
      <c r="E299" t="inlineStr">
        <is>
          <t>fraction</t>
        </is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0.02492121667112088</v>
      </c>
      <c r="R299" s="6" t="n">
        <v>0.02664660047040042</v>
      </c>
      <c r="S299" s="6" t="n">
        <v>0.02759604458467765</v>
      </c>
      <c r="T299" s="6" t="n">
        <v>0.02888825064959648</v>
      </c>
      <c r="U299" s="6" t="n">
        <v>0.0296987112931962</v>
      </c>
      <c r="V299" s="6" t="n">
        <v>0.03105885768561841</v>
      </c>
      <c r="W299" s="6" t="n">
        <v>0.03277706730010246</v>
      </c>
      <c r="X299" s="6" t="n">
        <v>0.03427956112200796</v>
      </c>
      <c r="Y299" s="6" t="n">
        <v>0.03185352351247105</v>
      </c>
      <c r="Z299" s="6" t="n">
        <v>0.03335144112570533</v>
      </c>
      <c r="AA299" s="6" t="n">
        <v>0.03404882778677493</v>
      </c>
      <c r="AB299" s="6" t="n">
        <v>0.03570569600105964</v>
      </c>
      <c r="AC299" s="6" t="n">
        <v>0.03672091019892312</v>
      </c>
      <c r="AD299" s="6" t="n">
        <v>0.0384689461355592</v>
      </c>
      <c r="AE299" s="6" t="n">
        <v>0.04158438492613827</v>
      </c>
      <c r="AF299" s="6" t="n">
        <v>0.04382240991310483</v>
      </c>
      <c r="AG299" s="6" t="n">
        <v>0.04413949061350413</v>
      </c>
      <c r="AH299" s="6" t="n">
        <v>0.04642087223316833</v>
      </c>
      <c r="AI299" s="6" t="n">
        <v>0.04787232137396746</v>
      </c>
      <c r="AJ299" s="6" t="n">
        <v>0.0502195640539474</v>
      </c>
      <c r="AK299" s="6" t="n">
        <v>0.05170891802557741</v>
      </c>
      <c r="AL299" s="6" t="n">
        <v>0.0541382044749565</v>
      </c>
      <c r="AM299" s="6" t="n">
        <v>0.05666149382313952</v>
      </c>
      <c r="AN299" s="6" t="n">
        <v>0.05940104456083106</v>
      </c>
      <c r="AO299" s="6" t="n">
        <v>0.05801564146445255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0.01109281170584355</v>
      </c>
      <c r="Y300" s="6" t="n">
        <v>0.01611192821167361</v>
      </c>
      <c r="Z300" s="6" t="n">
        <v>0.01761625979950614</v>
      </c>
      <c r="AA300" s="6" t="n">
        <v>0.01756090365083943</v>
      </c>
      <c r="AB300" s="6" t="n">
        <v>0.01888075218483377</v>
      </c>
      <c r="AC300" s="6" t="n">
        <v>0.01890834059725892</v>
      </c>
      <c r="AD300" s="6" t="n">
        <v>0.02002427691925613</v>
      </c>
      <c r="AE300" s="6" t="n">
        <v>0.0220425537786885</v>
      </c>
      <c r="AF300" s="6" t="n">
        <v>0.02353641033974216</v>
      </c>
      <c r="AG300" s="6" t="n">
        <v>0.02376200405504096</v>
      </c>
      <c r="AH300" s="6" t="n">
        <v>0.02514405847890659</v>
      </c>
      <c r="AI300" s="6" t="n">
        <v>0.02522742917041925</v>
      </c>
      <c r="AJ300" s="6" t="n">
        <v>0.02649633835540665</v>
      </c>
      <c r="AK300" s="6" t="n">
        <v>0.02661192441658703</v>
      </c>
      <c r="AL300" s="6" t="n">
        <v>0.02773427333606693</v>
      </c>
      <c r="AM300" s="6" t="n">
        <v>0.02874043283146949</v>
      </c>
      <c r="AN300" s="6" t="n">
        <v>0.0299976714643956</v>
      </c>
      <c r="AO300" s="6" t="n">
        <v>0.02696870435180381</v>
      </c>
      <c r="AP300" s="6" t="n">
        <v>0.09367671694203662</v>
      </c>
      <c r="AQ300" s="6" t="n">
        <v>0.08896197241765595</v>
      </c>
      <c r="AR300" s="6" t="n">
        <v>0.09361458458293083</v>
      </c>
      <c r="AS300" s="6" t="n">
        <v>0.09576367135514924</v>
      </c>
      <c r="AT300" s="6" t="n">
        <v>0.1003452008485892</v>
      </c>
      <c r="AU300" s="6" t="n">
        <v>0.1211807802058968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506.6047800584543</v>
      </c>
      <c r="Q301" s="6" t="n">
        <v>494.2130082270505</v>
      </c>
      <c r="R301" s="6" t="n">
        <v>481.2967951729616</v>
      </c>
      <c r="S301" s="6" t="n">
        <v>467.7443461066698</v>
      </c>
      <c r="T301" s="6" t="n">
        <v>453.7925282911789</v>
      </c>
      <c r="U301" s="6" t="n">
        <v>439.1989318557941</v>
      </c>
      <c r="V301" s="6" t="n">
        <v>424.13991993927</v>
      </c>
      <c r="W301" s="6" t="n">
        <v>408.0971134137725</v>
      </c>
      <c r="X301" s="6" t="n">
        <v>391.5638881387553</v>
      </c>
      <c r="Y301" s="6" t="n">
        <v>375.4895877220902</v>
      </c>
      <c r="Z301" s="6" t="n">
        <v>359.4077235518013</v>
      </c>
      <c r="AA301" s="6" t="n">
        <v>342.6596206375829</v>
      </c>
      <c r="AB301" s="6" t="n">
        <v>325.4227660906203</v>
      </c>
      <c r="AC301" s="6" t="n">
        <v>307.362433086384</v>
      </c>
      <c r="AD301" s="6" t="n">
        <v>288.7037891303016</v>
      </c>
      <c r="AE301" s="6" t="n">
        <v>268.3299115307742</v>
      </c>
      <c r="AF301" s="6" t="n">
        <v>247.080353683255</v>
      </c>
      <c r="AG301" s="6" t="n">
        <v>225.0853233737332</v>
      </c>
      <c r="AH301" s="6" t="n">
        <v>202.6797950579354</v>
      </c>
      <c r="AI301" s="6" t="n">
        <v>179.1494747074693</v>
      </c>
      <c r="AJ301" s="6" t="n">
        <v>154.9282448221257</v>
      </c>
      <c r="AK301" s="6" t="n">
        <v>129.5376705544141</v>
      </c>
      <c r="AL301" s="6" t="n">
        <v>103.3252483584307</v>
      </c>
      <c r="AM301" s="6" t="n">
        <v>75.53120117391893</v>
      </c>
      <c r="AN301" s="6" t="n">
        <v>47.15945564157511</v>
      </c>
      <c r="AO301" s="6" t="n">
        <v>23.75310238699667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1.909166666666667</v>
      </c>
      <c r="AK308" s="6" t="n">
        <v>1.909166666666667</v>
      </c>
      <c r="AL308" s="6" t="n">
        <v>1.909166666666667</v>
      </c>
      <c r="AM308" s="6" t="n">
        <v>2.454166666666667</v>
      </c>
      <c r="AN308" s="6" t="n">
        <v>2.454166666666667</v>
      </c>
      <c r="AO308" s="6" t="n">
        <v>2.454166666666667</v>
      </c>
      <c r="AP308" s="6" t="n">
        <v>0.545</v>
      </c>
      <c r="AQ308" s="6" t="n">
        <v>8.112142857142857</v>
      </c>
      <c r="AR308" s="6" t="n">
        <v>6.692142857142858</v>
      </c>
      <c r="AS308" s="6" t="n">
        <v>7.147142857142857</v>
      </c>
      <c r="AT308" s="6" t="n">
        <v>6.147142857142857</v>
      </c>
      <c r="AU308" s="6" t="n">
        <v>8.787142857142857</v>
      </c>
      <c r="AV308" s="6" t="n">
        <v>6.832142857142857</v>
      </c>
      <c r="AW308" s="6" t="n">
        <v>15.10214285714286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6" t="n">
        <v>0</v>
      </c>
      <c r="K309" s="6" t="n">
        <v>72.03829474521896</v>
      </c>
      <c r="L309" s="6" t="n">
        <v>73.51887276343012</v>
      </c>
      <c r="M309" s="6" t="n">
        <v>75.40617553902828</v>
      </c>
      <c r="N309" s="6" t="n">
        <v>78.07421473717562</v>
      </c>
      <c r="O309" s="6" t="n">
        <v>81.91599308048065</v>
      </c>
      <c r="P309" s="6" t="n">
        <v>87.21000268067854</v>
      </c>
      <c r="Q309" s="6" t="n">
        <v>94.11618703202072</v>
      </c>
      <c r="R309" s="6" t="n">
        <v>102.8823415907884</v>
      </c>
      <c r="S309" s="6" t="n">
        <v>113.5022413334215</v>
      </c>
      <c r="T309" s="6" t="n">
        <v>126.0097195597594</v>
      </c>
      <c r="U309" s="6" t="n">
        <v>140.2836182208805</v>
      </c>
      <c r="V309" s="6" t="n">
        <v>156.2511438360465</v>
      </c>
      <c r="W309" s="6" t="n">
        <v>173.7077024568702</v>
      </c>
      <c r="X309" s="6" t="n">
        <v>192.4025609545302</v>
      </c>
      <c r="Y309" s="6" t="n">
        <v>212.1224961922896</v>
      </c>
      <c r="Z309" s="6" t="n">
        <v>232.5249987992842</v>
      </c>
      <c r="AA309" s="6" t="n">
        <v>253.3550550829947</v>
      </c>
      <c r="AB309" s="6" t="n">
        <v>274.9625112136583</v>
      </c>
      <c r="AC309" s="6" t="n">
        <v>295.573347969675</v>
      </c>
      <c r="AD309" s="6" t="n">
        <v>315.6942886417129</v>
      </c>
      <c r="AE309" s="6" t="n">
        <v>334.9285707017309</v>
      </c>
      <c r="AF309" s="6" t="n">
        <v>353.0762113009259</v>
      </c>
      <c r="AG309" s="6" t="n">
        <v>369.8270855783692</v>
      </c>
      <c r="AH309" s="6" t="n">
        <v>385.0658631524328</v>
      </c>
      <c r="AI309" s="6" t="n">
        <v>398.6100572520498</v>
      </c>
      <c r="AJ309" s="6" t="n">
        <v>410.3341888433459</v>
      </c>
      <c r="AK309" s="6" t="n">
        <v>420.3015849535684</v>
      </c>
      <c r="AL309" s="6" t="n">
        <v>428.480478068478</v>
      </c>
      <c r="AM309" s="6" t="n">
        <v>435.0832520222062</v>
      </c>
      <c r="AN309" s="6" t="n">
        <v>440.2743361688925</v>
      </c>
      <c r="AO309" s="6" t="n">
        <v>444.2027041636388</v>
      </c>
      <c r="AP309" s="6" t="n">
        <v>447.4816350572161</v>
      </c>
      <c r="AQ309" s="6" t="n">
        <v>479.6249919693773</v>
      </c>
      <c r="AR309" s="6" t="n">
        <v>504.4002583438451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10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9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10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9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9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9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9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9">
        <f>SUMPRODUCT($J$37:$BN$37,$J$20:$BN$20)</f>
        <v/>
      </c>
    </row>
    <row r="16">
      <c r="D16" t="inlineStr">
        <is>
          <t>FC FX drift per year (Kessara / US CPI expectations)</t>
        </is>
      </c>
      <c r="E16" t="inlineStr">
        <is>
          <t>factor</t>
        </is>
      </c>
      <c r="F16" s="11">
        <f>(1+Inputs!$F$213/100)/(1+Inputs!$F$214/100)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9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9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9">
        <f>I20+1</f>
        <v/>
      </c>
      <c r="K20" s="9">
        <f>J20+1</f>
        <v/>
      </c>
      <c r="L20" s="9">
        <f>K20+1</f>
        <v/>
      </c>
      <c r="M20" s="9">
        <f>L20+1</f>
        <v/>
      </c>
      <c r="N20" s="9">
        <f>M20+1</f>
        <v/>
      </c>
      <c r="O20" s="9">
        <f>N20+1</f>
        <v/>
      </c>
      <c r="P20" s="9">
        <f>O20+1</f>
        <v/>
      </c>
      <c r="Q20" s="9">
        <f>P20+1</f>
        <v/>
      </c>
      <c r="R20" s="9">
        <f>Q20+1</f>
        <v/>
      </c>
      <c r="S20" s="9">
        <f>R20+1</f>
        <v/>
      </c>
      <c r="T20" s="9">
        <f>S20+1</f>
        <v/>
      </c>
      <c r="U20" s="9">
        <f>T20+1</f>
        <v/>
      </c>
      <c r="V20" s="9">
        <f>U20+1</f>
        <v/>
      </c>
      <c r="W20" s="9">
        <f>V20+1</f>
        <v/>
      </c>
      <c r="X20" s="9">
        <f>W20+1</f>
        <v/>
      </c>
      <c r="Y20" s="9">
        <f>X20+1</f>
        <v/>
      </c>
      <c r="Z20" s="9">
        <f>Y20+1</f>
        <v/>
      </c>
      <c r="AA20" s="9">
        <f>Z20+1</f>
        <v/>
      </c>
      <c r="AB20" s="9">
        <f>AA20+1</f>
        <v/>
      </c>
      <c r="AC20" s="9">
        <f>AB20+1</f>
        <v/>
      </c>
      <c r="AD20" s="9">
        <f>AC20+1</f>
        <v/>
      </c>
      <c r="AE20" s="9">
        <f>AD20+1</f>
        <v/>
      </c>
      <c r="AF20" s="9">
        <f>AE20+1</f>
        <v/>
      </c>
      <c r="AG20" s="9">
        <f>AF20+1</f>
        <v/>
      </c>
      <c r="AH20" s="9">
        <f>AG20+1</f>
        <v/>
      </c>
      <c r="AI20" s="9">
        <f>AH20+1</f>
        <v/>
      </c>
      <c r="AJ20" s="9">
        <f>AI20+1</f>
        <v/>
      </c>
      <c r="AK20" s="9">
        <f>AJ20+1</f>
        <v/>
      </c>
      <c r="AL20" s="9">
        <f>AK20+1</f>
        <v/>
      </c>
      <c r="AM20" s="9">
        <f>AL20+1</f>
        <v/>
      </c>
      <c r="AN20" s="9">
        <f>AM20+1</f>
        <v/>
      </c>
      <c r="AO20" s="9">
        <f>AN20+1</f>
        <v/>
      </c>
      <c r="AP20" s="9">
        <f>AO20+1</f>
        <v/>
      </c>
      <c r="AQ20" s="9">
        <f>AP20+1</f>
        <v/>
      </c>
      <c r="AR20" s="9">
        <f>AQ20+1</f>
        <v/>
      </c>
      <c r="AS20" s="9">
        <f>AR20+1</f>
        <v/>
      </c>
      <c r="AT20" s="9">
        <f>AS20+1</f>
        <v/>
      </c>
      <c r="AU20" s="9">
        <f>AT20+1</f>
        <v/>
      </c>
      <c r="AV20" s="9">
        <f>AU20+1</f>
        <v/>
      </c>
      <c r="AW20" s="9">
        <f>AV20+1</f>
        <v/>
      </c>
      <c r="AX20" s="9">
        <f>AW20+1</f>
        <v/>
      </c>
      <c r="AY20" s="9">
        <f>AX20+1</f>
        <v/>
      </c>
      <c r="AZ20" s="9">
        <f>AY20+1</f>
        <v/>
      </c>
      <c r="BA20" s="9">
        <f>AZ20+1</f>
        <v/>
      </c>
      <c r="BB20" s="9">
        <f>BA20+1</f>
        <v/>
      </c>
      <c r="BC20" s="9">
        <f>BB20+1</f>
        <v/>
      </c>
      <c r="BD20" s="9">
        <f>BC20+1</f>
        <v/>
      </c>
      <c r="BE20" s="9">
        <f>BD20+1</f>
        <v/>
      </c>
      <c r="BF20" s="9">
        <f>BE20+1</f>
        <v/>
      </c>
      <c r="BG20" s="9">
        <f>BF20+1</f>
        <v/>
      </c>
      <c r="BH20" s="9">
        <f>BG20+1</f>
        <v/>
      </c>
      <c r="BI20" s="9">
        <f>BH20+1</f>
        <v/>
      </c>
      <c r="BJ20" s="9">
        <f>BI20+1</f>
        <v/>
      </c>
      <c r="BK20" s="9">
        <f>BJ20+1</f>
        <v/>
      </c>
      <c r="BL20" s="9">
        <f>BK20+1</f>
        <v/>
      </c>
      <c r="BM20" s="9">
        <f>BL20+1</f>
        <v/>
      </c>
      <c r="BN20" s="9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10">
        <f>IF(J20=1,Inputs!$F$189,EDATE(I22,J21))</f>
        <v/>
      </c>
      <c r="K22" s="10">
        <f>IF(K20=1,Inputs!$F$189,EDATE(J22,K21))</f>
        <v/>
      </c>
      <c r="L22" s="10">
        <f>IF(L20=1,Inputs!$F$189,EDATE(K22,L21))</f>
        <v/>
      </c>
      <c r="M22" s="10">
        <f>IF(M20=1,Inputs!$F$189,EDATE(L22,M21))</f>
        <v/>
      </c>
      <c r="N22" s="10">
        <f>IF(N20=1,Inputs!$F$189,EDATE(M22,N21))</f>
        <v/>
      </c>
      <c r="O22" s="10">
        <f>IF(O20=1,Inputs!$F$189,EDATE(N22,O21))</f>
        <v/>
      </c>
      <c r="P22" s="10">
        <f>IF(P20=1,Inputs!$F$189,EDATE(O22,P21))</f>
        <v/>
      </c>
      <c r="Q22" s="10">
        <f>IF(Q20=1,Inputs!$F$189,EDATE(P22,Q21))</f>
        <v/>
      </c>
      <c r="R22" s="10">
        <f>IF(R20=1,Inputs!$F$189,EDATE(Q22,R21))</f>
        <v/>
      </c>
      <c r="S22" s="10">
        <f>IF(S20=1,Inputs!$F$189,EDATE(R22,S21))</f>
        <v/>
      </c>
      <c r="T22" s="10">
        <f>IF(T20=1,Inputs!$F$189,EDATE(S22,T21))</f>
        <v/>
      </c>
      <c r="U22" s="10">
        <f>IF(U20=1,Inputs!$F$189,EDATE(T22,U21))</f>
        <v/>
      </c>
      <c r="V22" s="10">
        <f>IF(V20=1,Inputs!$F$189,EDATE(U22,V21))</f>
        <v/>
      </c>
      <c r="W22" s="10">
        <f>IF(W20=1,Inputs!$F$189,EDATE(V22,W21))</f>
        <v/>
      </c>
      <c r="X22" s="10">
        <f>IF(X20=1,Inputs!$F$189,EDATE(W22,X21))</f>
        <v/>
      </c>
      <c r="Y22" s="10">
        <f>IF(Y20=1,Inputs!$F$189,EDATE(X22,Y21))</f>
        <v/>
      </c>
      <c r="Z22" s="10">
        <f>IF(Z20=1,Inputs!$F$189,EDATE(Y22,Z21))</f>
        <v/>
      </c>
      <c r="AA22" s="10">
        <f>IF(AA20=1,Inputs!$F$189,EDATE(Z22,AA21))</f>
        <v/>
      </c>
      <c r="AB22" s="10">
        <f>IF(AB20=1,Inputs!$F$189,EDATE(AA22,AB21))</f>
        <v/>
      </c>
      <c r="AC22" s="10">
        <f>IF(AC20=1,Inputs!$F$189,EDATE(AB22,AC21))</f>
        <v/>
      </c>
      <c r="AD22" s="10">
        <f>IF(AD20=1,Inputs!$F$189,EDATE(AC22,AD21))</f>
        <v/>
      </c>
      <c r="AE22" s="10">
        <f>IF(AE20=1,Inputs!$F$189,EDATE(AD22,AE21))</f>
        <v/>
      </c>
      <c r="AF22" s="10">
        <f>IF(AF20=1,Inputs!$F$189,EDATE(AE22,AF21))</f>
        <v/>
      </c>
      <c r="AG22" s="10">
        <f>IF(AG20=1,Inputs!$F$189,EDATE(AF22,AG21))</f>
        <v/>
      </c>
      <c r="AH22" s="10">
        <f>IF(AH20=1,Inputs!$F$189,EDATE(AG22,AH21))</f>
        <v/>
      </c>
      <c r="AI22" s="10">
        <f>IF(AI20=1,Inputs!$F$189,EDATE(AH22,AI21))</f>
        <v/>
      </c>
      <c r="AJ22" s="10">
        <f>IF(AJ20=1,Inputs!$F$189,EDATE(AI22,AJ21))</f>
        <v/>
      </c>
      <c r="AK22" s="10">
        <f>IF(AK20=1,Inputs!$F$189,EDATE(AJ22,AK21))</f>
        <v/>
      </c>
      <c r="AL22" s="10">
        <f>IF(AL20=1,Inputs!$F$189,EDATE(AK22,AL21))</f>
        <v/>
      </c>
      <c r="AM22" s="10">
        <f>IF(AM20=1,Inputs!$F$189,EDATE(AL22,AM21))</f>
        <v/>
      </c>
      <c r="AN22" s="10">
        <f>IF(AN20=1,Inputs!$F$189,EDATE(AM22,AN21))</f>
        <v/>
      </c>
      <c r="AO22" s="10">
        <f>IF(AO20=1,Inputs!$F$189,EDATE(AN22,AO21))</f>
        <v/>
      </c>
      <c r="AP22" s="10">
        <f>IF(AP20=1,Inputs!$F$189,EDATE(AO22,AP21))</f>
        <v/>
      </c>
      <c r="AQ22" s="10">
        <f>IF(AQ20=1,Inputs!$F$189,EDATE(AP22,AQ21))</f>
        <v/>
      </c>
      <c r="AR22" s="10">
        <f>IF(AR20=1,Inputs!$F$189,EDATE(AQ22,AR21))</f>
        <v/>
      </c>
      <c r="AS22" s="10">
        <f>IF(AS20=1,Inputs!$F$189,EDATE(AR22,AS21))</f>
        <v/>
      </c>
      <c r="AT22" s="10">
        <f>IF(AT20=1,Inputs!$F$189,EDATE(AS22,AT21))</f>
        <v/>
      </c>
      <c r="AU22" s="10">
        <f>IF(AU20=1,Inputs!$F$189,EDATE(AT22,AU21))</f>
        <v/>
      </c>
      <c r="AV22" s="10">
        <f>IF(AV20=1,Inputs!$F$189,EDATE(AU22,AV21))</f>
        <v/>
      </c>
      <c r="AW22" s="10">
        <f>IF(AW20=1,Inputs!$F$189,EDATE(AV22,AW21))</f>
        <v/>
      </c>
      <c r="AX22" s="10">
        <f>IF(AX20=1,Inputs!$F$189,EDATE(AW22,AX21))</f>
        <v/>
      </c>
      <c r="AY22" s="10">
        <f>IF(AY20=1,Inputs!$F$189,EDATE(AX22,AY21))</f>
        <v/>
      </c>
      <c r="AZ22" s="10">
        <f>IF(AZ20=1,Inputs!$F$189,EDATE(AY22,AZ21))</f>
        <v/>
      </c>
      <c r="BA22" s="10">
        <f>IF(BA20=1,Inputs!$F$189,EDATE(AZ22,BA21))</f>
        <v/>
      </c>
      <c r="BB22" s="10">
        <f>IF(BB20=1,Inputs!$F$189,EDATE(BA22,BB21))</f>
        <v/>
      </c>
      <c r="BC22" s="10">
        <f>IF(BC20=1,Inputs!$F$189,EDATE(BB22,BC21))</f>
        <v/>
      </c>
      <c r="BD22" s="10">
        <f>IF(BD20=1,Inputs!$F$189,EDATE(BC22,BD21))</f>
        <v/>
      </c>
      <c r="BE22" s="10">
        <f>IF(BE20=1,Inputs!$F$189,EDATE(BD22,BE21))</f>
        <v/>
      </c>
      <c r="BF22" s="10">
        <f>IF(BF20=1,Inputs!$F$189,EDATE(BE22,BF21))</f>
        <v/>
      </c>
      <c r="BG22" s="10">
        <f>IF(BG20=1,Inputs!$F$189,EDATE(BF22,BG21))</f>
        <v/>
      </c>
      <c r="BH22" s="10">
        <f>IF(BH20=1,Inputs!$F$189,EDATE(BG22,BH21))</f>
        <v/>
      </c>
      <c r="BI22" s="10">
        <f>IF(BI20=1,Inputs!$F$189,EDATE(BH22,BI21))</f>
        <v/>
      </c>
      <c r="BJ22" s="10">
        <f>IF(BJ20=1,Inputs!$F$189,EDATE(BI22,BJ21))</f>
        <v/>
      </c>
      <c r="BK22" s="10">
        <f>IF(BK20=1,Inputs!$F$189,EDATE(BJ22,BK21))</f>
        <v/>
      </c>
      <c r="BL22" s="10">
        <f>IF(BL20=1,Inputs!$F$189,EDATE(BK22,BL21))</f>
        <v/>
      </c>
      <c r="BM22" s="10">
        <f>IF(BM20=1,Inputs!$F$189,EDATE(BL22,BM21))</f>
        <v/>
      </c>
      <c r="BN22" s="10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10">
        <f>EOMONTH(J22,J21-1)</f>
        <v/>
      </c>
      <c r="K23" s="10">
        <f>EOMONTH(K22,K21-1)</f>
        <v/>
      </c>
      <c r="L23" s="10">
        <f>EOMONTH(L22,L21-1)</f>
        <v/>
      </c>
      <c r="M23" s="10">
        <f>EOMONTH(M22,M21-1)</f>
        <v/>
      </c>
      <c r="N23" s="10">
        <f>EOMONTH(N22,N21-1)</f>
        <v/>
      </c>
      <c r="O23" s="10">
        <f>EOMONTH(O22,O21-1)</f>
        <v/>
      </c>
      <c r="P23" s="10">
        <f>EOMONTH(P22,P21-1)</f>
        <v/>
      </c>
      <c r="Q23" s="10">
        <f>EOMONTH(Q22,Q21-1)</f>
        <v/>
      </c>
      <c r="R23" s="10">
        <f>EOMONTH(R22,R21-1)</f>
        <v/>
      </c>
      <c r="S23" s="10">
        <f>EOMONTH(S22,S21-1)</f>
        <v/>
      </c>
      <c r="T23" s="10">
        <f>EOMONTH(T22,T21-1)</f>
        <v/>
      </c>
      <c r="U23" s="10">
        <f>EOMONTH(U22,U21-1)</f>
        <v/>
      </c>
      <c r="V23" s="10">
        <f>EOMONTH(V22,V21-1)</f>
        <v/>
      </c>
      <c r="W23" s="10">
        <f>EOMONTH(W22,W21-1)</f>
        <v/>
      </c>
      <c r="X23" s="10">
        <f>EOMONTH(X22,X21-1)</f>
        <v/>
      </c>
      <c r="Y23" s="10">
        <f>EOMONTH(Y22,Y21-1)</f>
        <v/>
      </c>
      <c r="Z23" s="10">
        <f>EOMONTH(Z22,Z21-1)</f>
        <v/>
      </c>
      <c r="AA23" s="10">
        <f>EOMONTH(AA22,AA21-1)</f>
        <v/>
      </c>
      <c r="AB23" s="10">
        <f>EOMONTH(AB22,AB21-1)</f>
        <v/>
      </c>
      <c r="AC23" s="10">
        <f>EOMONTH(AC22,AC21-1)</f>
        <v/>
      </c>
      <c r="AD23" s="10">
        <f>EOMONTH(AD22,AD21-1)</f>
        <v/>
      </c>
      <c r="AE23" s="10">
        <f>EOMONTH(AE22,AE21-1)</f>
        <v/>
      </c>
      <c r="AF23" s="10">
        <f>EOMONTH(AF22,AF21-1)</f>
        <v/>
      </c>
      <c r="AG23" s="10">
        <f>EOMONTH(AG22,AG21-1)</f>
        <v/>
      </c>
      <c r="AH23" s="10">
        <f>EOMONTH(AH22,AH21-1)</f>
        <v/>
      </c>
      <c r="AI23" s="10">
        <f>EOMONTH(AI22,AI21-1)</f>
        <v/>
      </c>
      <c r="AJ23" s="10">
        <f>EOMONTH(AJ22,AJ21-1)</f>
        <v/>
      </c>
      <c r="AK23" s="10">
        <f>EOMONTH(AK22,AK21-1)</f>
        <v/>
      </c>
      <c r="AL23" s="10">
        <f>EOMONTH(AL22,AL21-1)</f>
        <v/>
      </c>
      <c r="AM23" s="10">
        <f>EOMONTH(AM22,AM21-1)</f>
        <v/>
      </c>
      <c r="AN23" s="10">
        <f>EOMONTH(AN22,AN21-1)</f>
        <v/>
      </c>
      <c r="AO23" s="10">
        <f>EOMONTH(AO22,AO21-1)</f>
        <v/>
      </c>
      <c r="AP23" s="10">
        <f>EOMONTH(AP22,AP21-1)</f>
        <v/>
      </c>
      <c r="AQ23" s="10">
        <f>EOMONTH(AQ22,AQ21-1)</f>
        <v/>
      </c>
      <c r="AR23" s="10">
        <f>EOMONTH(AR22,AR21-1)</f>
        <v/>
      </c>
      <c r="AS23" s="10">
        <f>EOMONTH(AS22,AS21-1)</f>
        <v/>
      </c>
      <c r="AT23" s="10">
        <f>EOMONTH(AT22,AT21-1)</f>
        <v/>
      </c>
      <c r="AU23" s="10">
        <f>EOMONTH(AU22,AU21-1)</f>
        <v/>
      </c>
      <c r="AV23" s="10">
        <f>EOMONTH(AV22,AV21-1)</f>
        <v/>
      </c>
      <c r="AW23" s="10">
        <f>EOMONTH(AW22,AW21-1)</f>
        <v/>
      </c>
      <c r="AX23" s="10">
        <f>EOMONTH(AX22,AX21-1)</f>
        <v/>
      </c>
      <c r="AY23" s="10">
        <f>EOMONTH(AY22,AY21-1)</f>
        <v/>
      </c>
      <c r="AZ23" s="10">
        <f>EOMONTH(AZ22,AZ21-1)</f>
        <v/>
      </c>
      <c r="BA23" s="10">
        <f>EOMONTH(BA22,BA21-1)</f>
        <v/>
      </c>
      <c r="BB23" s="10">
        <f>EOMONTH(BB22,BB21-1)</f>
        <v/>
      </c>
      <c r="BC23" s="10">
        <f>EOMONTH(BC22,BC21-1)</f>
        <v/>
      </c>
      <c r="BD23" s="10">
        <f>EOMONTH(BD22,BD21-1)</f>
        <v/>
      </c>
      <c r="BE23" s="10">
        <f>EOMONTH(BE22,BE21-1)</f>
        <v/>
      </c>
      <c r="BF23" s="10">
        <f>EOMONTH(BF22,BF21-1)</f>
        <v/>
      </c>
      <c r="BG23" s="10">
        <f>EOMONTH(BG22,BG21-1)</f>
        <v/>
      </c>
      <c r="BH23" s="10">
        <f>EOMONTH(BH22,BH21-1)</f>
        <v/>
      </c>
      <c r="BI23" s="10">
        <f>EOMONTH(BI22,BI21-1)</f>
        <v/>
      </c>
      <c r="BJ23" s="10">
        <f>EOMONTH(BJ22,BJ21-1)</f>
        <v/>
      </c>
      <c r="BK23" s="10">
        <f>EOMONTH(BK22,BK21-1)</f>
        <v/>
      </c>
      <c r="BL23" s="10">
        <f>EOMONTH(BL22,BL21-1)</f>
        <v/>
      </c>
      <c r="BM23" s="10">
        <f>EOMONTH(BM22,BM21-1)</f>
        <v/>
      </c>
      <c r="BN23" s="10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3">
        <f>J21/12</f>
        <v/>
      </c>
      <c r="K24" s="3">
        <f>K21/12</f>
        <v/>
      </c>
      <c r="L24" s="3">
        <f>L21/12</f>
        <v/>
      </c>
      <c r="M24" s="3">
        <f>M21/12</f>
        <v/>
      </c>
      <c r="N24" s="3">
        <f>N21/12</f>
        <v/>
      </c>
      <c r="O24" s="3">
        <f>O21/12</f>
        <v/>
      </c>
      <c r="P24" s="3">
        <f>P21/12</f>
        <v/>
      </c>
      <c r="Q24" s="3">
        <f>Q21/12</f>
        <v/>
      </c>
      <c r="R24" s="3">
        <f>R21/12</f>
        <v/>
      </c>
      <c r="S24" s="3">
        <f>S21/12</f>
        <v/>
      </c>
      <c r="T24" s="3">
        <f>T21/12</f>
        <v/>
      </c>
      <c r="U24" s="3">
        <f>U21/12</f>
        <v/>
      </c>
      <c r="V24" s="3">
        <f>V21/12</f>
        <v/>
      </c>
      <c r="W24" s="3">
        <f>W21/12</f>
        <v/>
      </c>
      <c r="X24" s="3">
        <f>X21/12</f>
        <v/>
      </c>
      <c r="Y24" s="3">
        <f>Y21/12</f>
        <v/>
      </c>
      <c r="Z24" s="3">
        <f>Z21/12</f>
        <v/>
      </c>
      <c r="AA24" s="3">
        <f>AA21/12</f>
        <v/>
      </c>
      <c r="AB24" s="3">
        <f>AB21/12</f>
        <v/>
      </c>
      <c r="AC24" s="3">
        <f>AC21/12</f>
        <v/>
      </c>
      <c r="AD24" s="3">
        <f>AD21/12</f>
        <v/>
      </c>
      <c r="AE24" s="3">
        <f>AE21/12</f>
        <v/>
      </c>
      <c r="AF24" s="3">
        <f>AF21/12</f>
        <v/>
      </c>
      <c r="AG24" s="3">
        <f>AG21/12</f>
        <v/>
      </c>
      <c r="AH24" s="3">
        <f>AH21/12</f>
        <v/>
      </c>
      <c r="AI24" s="3">
        <f>AI21/12</f>
        <v/>
      </c>
      <c r="AJ24" s="3">
        <f>AJ21/12</f>
        <v/>
      </c>
      <c r="AK24" s="3">
        <f>AK21/12</f>
        <v/>
      </c>
      <c r="AL24" s="3">
        <f>AL21/12</f>
        <v/>
      </c>
      <c r="AM24" s="3">
        <f>AM21/12</f>
        <v/>
      </c>
      <c r="AN24" s="3">
        <f>AN21/12</f>
        <v/>
      </c>
      <c r="AO24" s="3">
        <f>AO21/12</f>
        <v/>
      </c>
      <c r="AP24" s="3">
        <f>AP21/12</f>
        <v/>
      </c>
      <c r="AQ24" s="3">
        <f>AQ21/12</f>
        <v/>
      </c>
      <c r="AR24" s="3">
        <f>AR21/12</f>
        <v/>
      </c>
      <c r="AS24" s="3">
        <f>AS21/12</f>
        <v/>
      </c>
      <c r="AT24" s="3">
        <f>AT21/12</f>
        <v/>
      </c>
      <c r="AU24" s="3">
        <f>AU21/12</f>
        <v/>
      </c>
      <c r="AV24" s="3">
        <f>AV21/12</f>
        <v/>
      </c>
      <c r="AW24" s="3">
        <f>AW21/12</f>
        <v/>
      </c>
      <c r="AX24" s="3">
        <f>AX21/12</f>
        <v/>
      </c>
      <c r="AY24" s="3">
        <f>AY21/12</f>
        <v/>
      </c>
      <c r="AZ24" s="3">
        <f>AZ21/12</f>
        <v/>
      </c>
      <c r="BA24" s="3">
        <f>BA21/12</f>
        <v/>
      </c>
      <c r="BB24" s="3">
        <f>BB21/12</f>
        <v/>
      </c>
      <c r="BC24" s="3">
        <f>BC21/12</f>
        <v/>
      </c>
      <c r="BD24" s="3">
        <f>BD21/12</f>
        <v/>
      </c>
      <c r="BE24" s="3">
        <f>BE21/12</f>
        <v/>
      </c>
      <c r="BF24" s="3">
        <f>BF21/12</f>
        <v/>
      </c>
      <c r="BG24" s="3">
        <f>BG21/12</f>
        <v/>
      </c>
      <c r="BH24" s="3">
        <f>BH21/12</f>
        <v/>
      </c>
      <c r="BI24" s="3">
        <f>BI21/12</f>
        <v/>
      </c>
      <c r="BJ24" s="3">
        <f>BJ21/12</f>
        <v/>
      </c>
      <c r="BK24" s="3">
        <f>BK21/12</f>
        <v/>
      </c>
      <c r="BL24" s="3">
        <f>BL21/12</f>
        <v/>
      </c>
      <c r="BM24" s="3">
        <f>BM21/12</f>
        <v/>
      </c>
      <c r="BN24" s="3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9">
        <f>J23-J22+1</f>
        <v/>
      </c>
      <c r="K25" s="9">
        <f>K23-K22+1</f>
        <v/>
      </c>
      <c r="L25" s="9">
        <f>L23-L22+1</f>
        <v/>
      </c>
      <c r="M25" s="9">
        <f>M23-M22+1</f>
        <v/>
      </c>
      <c r="N25" s="9">
        <f>N23-N22+1</f>
        <v/>
      </c>
      <c r="O25" s="9">
        <f>O23-O22+1</f>
        <v/>
      </c>
      <c r="P25" s="9">
        <f>P23-P22+1</f>
        <v/>
      </c>
      <c r="Q25" s="9">
        <f>Q23-Q22+1</f>
        <v/>
      </c>
      <c r="R25" s="9">
        <f>R23-R22+1</f>
        <v/>
      </c>
      <c r="S25" s="9">
        <f>S23-S22+1</f>
        <v/>
      </c>
      <c r="T25" s="9">
        <f>T23-T22+1</f>
        <v/>
      </c>
      <c r="U25" s="9">
        <f>U23-U22+1</f>
        <v/>
      </c>
      <c r="V25" s="9">
        <f>V23-V22+1</f>
        <v/>
      </c>
      <c r="W25" s="9">
        <f>W23-W22+1</f>
        <v/>
      </c>
      <c r="X25" s="9">
        <f>X23-X22+1</f>
        <v/>
      </c>
      <c r="Y25" s="9">
        <f>Y23-Y22+1</f>
        <v/>
      </c>
      <c r="Z25" s="9">
        <f>Z23-Z22+1</f>
        <v/>
      </c>
      <c r="AA25" s="9">
        <f>AA23-AA22+1</f>
        <v/>
      </c>
      <c r="AB25" s="9">
        <f>AB23-AB22+1</f>
        <v/>
      </c>
      <c r="AC25" s="9">
        <f>AC23-AC22+1</f>
        <v/>
      </c>
      <c r="AD25" s="9">
        <f>AD23-AD22+1</f>
        <v/>
      </c>
      <c r="AE25" s="9">
        <f>AE23-AE22+1</f>
        <v/>
      </c>
      <c r="AF25" s="9">
        <f>AF23-AF22+1</f>
        <v/>
      </c>
      <c r="AG25" s="9">
        <f>AG23-AG22+1</f>
        <v/>
      </c>
      <c r="AH25" s="9">
        <f>AH23-AH22+1</f>
        <v/>
      </c>
      <c r="AI25" s="9">
        <f>AI23-AI22+1</f>
        <v/>
      </c>
      <c r="AJ25" s="9">
        <f>AJ23-AJ22+1</f>
        <v/>
      </c>
      <c r="AK25" s="9">
        <f>AK23-AK22+1</f>
        <v/>
      </c>
      <c r="AL25" s="9">
        <f>AL23-AL22+1</f>
        <v/>
      </c>
      <c r="AM25" s="9">
        <f>AM23-AM22+1</f>
        <v/>
      </c>
      <c r="AN25" s="9">
        <f>AN23-AN22+1</f>
        <v/>
      </c>
      <c r="AO25" s="9">
        <f>AO23-AO22+1</f>
        <v/>
      </c>
      <c r="AP25" s="9">
        <f>AP23-AP22+1</f>
        <v/>
      </c>
      <c r="AQ25" s="9">
        <f>AQ23-AQ22+1</f>
        <v/>
      </c>
      <c r="AR25" s="9">
        <f>AR23-AR22+1</f>
        <v/>
      </c>
      <c r="AS25" s="9">
        <f>AS23-AS22+1</f>
        <v/>
      </c>
      <c r="AT25" s="9">
        <f>AT23-AT22+1</f>
        <v/>
      </c>
      <c r="AU25" s="9">
        <f>AU23-AU22+1</f>
        <v/>
      </c>
      <c r="AV25" s="9">
        <f>AV23-AV22+1</f>
        <v/>
      </c>
      <c r="AW25" s="9">
        <f>AW23-AW22+1</f>
        <v/>
      </c>
      <c r="AX25" s="9">
        <f>AX23-AX22+1</f>
        <v/>
      </c>
      <c r="AY25" s="9">
        <f>AY23-AY22+1</f>
        <v/>
      </c>
      <c r="AZ25" s="9">
        <f>AZ23-AZ22+1</f>
        <v/>
      </c>
      <c r="BA25" s="9">
        <f>BA23-BA22+1</f>
        <v/>
      </c>
      <c r="BB25" s="9">
        <f>BB23-BB22+1</f>
        <v/>
      </c>
      <c r="BC25" s="9">
        <f>BC23-BC22+1</f>
        <v/>
      </c>
      <c r="BD25" s="9">
        <f>BD23-BD22+1</f>
        <v/>
      </c>
      <c r="BE25" s="9">
        <f>BE23-BE22+1</f>
        <v/>
      </c>
      <c r="BF25" s="9">
        <f>BF23-BF22+1</f>
        <v/>
      </c>
      <c r="BG25" s="9">
        <f>BG23-BG22+1</f>
        <v/>
      </c>
      <c r="BH25" s="9">
        <f>BH23-BH22+1</f>
        <v/>
      </c>
      <c r="BI25" s="9">
        <f>BI23-BI22+1</f>
        <v/>
      </c>
      <c r="BJ25" s="9">
        <f>BJ23-BJ22+1</f>
        <v/>
      </c>
      <c r="BK25" s="9">
        <f>BK23-BK22+1</f>
        <v/>
      </c>
      <c r="BL25" s="9">
        <f>BL23-BL22+1</f>
        <v/>
      </c>
      <c r="BM25" s="9">
        <f>BM23-BM22+1</f>
        <v/>
      </c>
      <c r="BN25" s="9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9">
        <f>YEAR(J22)</f>
        <v/>
      </c>
      <c r="K26" s="9">
        <f>YEAR(K22)</f>
        <v/>
      </c>
      <c r="L26" s="9">
        <f>YEAR(L22)</f>
        <v/>
      </c>
      <c r="M26" s="9">
        <f>YEAR(M22)</f>
        <v/>
      </c>
      <c r="N26" s="9">
        <f>YEAR(N22)</f>
        <v/>
      </c>
      <c r="O26" s="9">
        <f>YEAR(O22)</f>
        <v/>
      </c>
      <c r="P26" s="9">
        <f>YEAR(P22)</f>
        <v/>
      </c>
      <c r="Q26" s="9">
        <f>YEAR(Q22)</f>
        <v/>
      </c>
      <c r="R26" s="9">
        <f>YEAR(R22)</f>
        <v/>
      </c>
      <c r="S26" s="9">
        <f>YEAR(S22)</f>
        <v/>
      </c>
      <c r="T26" s="9">
        <f>YEAR(T22)</f>
        <v/>
      </c>
      <c r="U26" s="9">
        <f>YEAR(U22)</f>
        <v/>
      </c>
      <c r="V26" s="9">
        <f>YEAR(V22)</f>
        <v/>
      </c>
      <c r="W26" s="9">
        <f>YEAR(W22)</f>
        <v/>
      </c>
      <c r="X26" s="9">
        <f>YEAR(X22)</f>
        <v/>
      </c>
      <c r="Y26" s="9">
        <f>YEAR(Y22)</f>
        <v/>
      </c>
      <c r="Z26" s="9">
        <f>YEAR(Z22)</f>
        <v/>
      </c>
      <c r="AA26" s="9">
        <f>YEAR(AA22)</f>
        <v/>
      </c>
      <c r="AB26" s="9">
        <f>YEAR(AB22)</f>
        <v/>
      </c>
      <c r="AC26" s="9">
        <f>YEAR(AC22)</f>
        <v/>
      </c>
      <c r="AD26" s="9">
        <f>YEAR(AD22)</f>
        <v/>
      </c>
      <c r="AE26" s="9">
        <f>YEAR(AE22)</f>
        <v/>
      </c>
      <c r="AF26" s="9">
        <f>YEAR(AF22)</f>
        <v/>
      </c>
      <c r="AG26" s="9">
        <f>YEAR(AG22)</f>
        <v/>
      </c>
      <c r="AH26" s="9">
        <f>YEAR(AH22)</f>
        <v/>
      </c>
      <c r="AI26" s="9">
        <f>YEAR(AI22)</f>
        <v/>
      </c>
      <c r="AJ26" s="9">
        <f>YEAR(AJ22)</f>
        <v/>
      </c>
      <c r="AK26" s="9">
        <f>YEAR(AK22)</f>
        <v/>
      </c>
      <c r="AL26" s="9">
        <f>YEAR(AL22)</f>
        <v/>
      </c>
      <c r="AM26" s="9">
        <f>YEAR(AM22)</f>
        <v/>
      </c>
      <c r="AN26" s="9">
        <f>YEAR(AN22)</f>
        <v/>
      </c>
      <c r="AO26" s="9">
        <f>YEAR(AO22)</f>
        <v/>
      </c>
      <c r="AP26" s="9">
        <f>YEAR(AP22)</f>
        <v/>
      </c>
      <c r="AQ26" s="9">
        <f>YEAR(AQ22)</f>
        <v/>
      </c>
      <c r="AR26" s="9">
        <f>YEAR(AR22)</f>
        <v/>
      </c>
      <c r="AS26" s="9">
        <f>YEAR(AS22)</f>
        <v/>
      </c>
      <c r="AT26" s="9">
        <f>YEAR(AT22)</f>
        <v/>
      </c>
      <c r="AU26" s="9">
        <f>YEAR(AU22)</f>
        <v/>
      </c>
      <c r="AV26" s="9">
        <f>YEAR(AV22)</f>
        <v/>
      </c>
      <c r="AW26" s="9">
        <f>YEAR(AW22)</f>
        <v/>
      </c>
      <c r="AX26" s="9">
        <f>YEAR(AX22)</f>
        <v/>
      </c>
      <c r="AY26" s="9">
        <f>YEAR(AY22)</f>
        <v/>
      </c>
      <c r="AZ26" s="9">
        <f>YEAR(AZ22)</f>
        <v/>
      </c>
      <c r="BA26" s="9">
        <f>YEAR(BA22)</f>
        <v/>
      </c>
      <c r="BB26" s="9">
        <f>YEAR(BB22)</f>
        <v/>
      </c>
      <c r="BC26" s="9">
        <f>YEAR(BC22)</f>
        <v/>
      </c>
      <c r="BD26" s="9">
        <f>YEAR(BD22)</f>
        <v/>
      </c>
      <c r="BE26" s="9">
        <f>YEAR(BE22)</f>
        <v/>
      </c>
      <c r="BF26" s="9">
        <f>YEAR(BF22)</f>
        <v/>
      </c>
      <c r="BG26" s="9">
        <f>YEAR(BG22)</f>
        <v/>
      </c>
      <c r="BH26" s="9">
        <f>YEAR(BH22)</f>
        <v/>
      </c>
      <c r="BI26" s="9">
        <f>YEAR(BI22)</f>
        <v/>
      </c>
      <c r="BJ26" s="9">
        <f>YEAR(BJ22)</f>
        <v/>
      </c>
      <c r="BK26" s="9">
        <f>YEAR(BK22)</f>
        <v/>
      </c>
      <c r="BL26" s="9">
        <f>YEAR(BL22)</f>
        <v/>
      </c>
      <c r="BM26" s="9">
        <f>YEAR(BM22)</f>
        <v/>
      </c>
      <c r="BN26" s="9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9">
        <f>IF(MONTH(J22)=1,1,0)</f>
        <v/>
      </c>
      <c r="K27" s="9">
        <f>IF(MONTH(K22)=1,1,0)</f>
        <v/>
      </c>
      <c r="L27" s="9">
        <f>IF(MONTH(L22)=1,1,0)</f>
        <v/>
      </c>
      <c r="M27" s="9">
        <f>IF(MONTH(M22)=1,1,0)</f>
        <v/>
      </c>
      <c r="N27" s="9">
        <f>IF(MONTH(N22)=1,1,0)</f>
        <v/>
      </c>
      <c r="O27" s="9">
        <f>IF(MONTH(O22)=1,1,0)</f>
        <v/>
      </c>
      <c r="P27" s="9">
        <f>IF(MONTH(P22)=1,1,0)</f>
        <v/>
      </c>
      <c r="Q27" s="9">
        <f>IF(MONTH(Q22)=1,1,0)</f>
        <v/>
      </c>
      <c r="R27" s="9">
        <f>IF(MONTH(R22)=1,1,0)</f>
        <v/>
      </c>
      <c r="S27" s="9">
        <f>IF(MONTH(S22)=1,1,0)</f>
        <v/>
      </c>
      <c r="T27" s="9">
        <f>IF(MONTH(T22)=1,1,0)</f>
        <v/>
      </c>
      <c r="U27" s="9">
        <f>IF(MONTH(U22)=1,1,0)</f>
        <v/>
      </c>
      <c r="V27" s="9">
        <f>IF(MONTH(V22)=1,1,0)</f>
        <v/>
      </c>
      <c r="W27" s="9">
        <f>IF(MONTH(W22)=1,1,0)</f>
        <v/>
      </c>
      <c r="X27" s="9">
        <f>IF(MONTH(X22)=1,1,0)</f>
        <v/>
      </c>
      <c r="Y27" s="9">
        <f>IF(MONTH(Y22)=1,1,0)</f>
        <v/>
      </c>
      <c r="Z27" s="9">
        <f>IF(MONTH(Z22)=1,1,0)</f>
        <v/>
      </c>
      <c r="AA27" s="9">
        <f>IF(MONTH(AA22)=1,1,0)</f>
        <v/>
      </c>
      <c r="AB27" s="9">
        <f>IF(MONTH(AB22)=1,1,0)</f>
        <v/>
      </c>
      <c r="AC27" s="9">
        <f>IF(MONTH(AC22)=1,1,0)</f>
        <v/>
      </c>
      <c r="AD27" s="9">
        <f>IF(MONTH(AD22)=1,1,0)</f>
        <v/>
      </c>
      <c r="AE27" s="9">
        <f>IF(MONTH(AE22)=1,1,0)</f>
        <v/>
      </c>
      <c r="AF27" s="9">
        <f>IF(MONTH(AF22)=1,1,0)</f>
        <v/>
      </c>
      <c r="AG27" s="9">
        <f>IF(MONTH(AG22)=1,1,0)</f>
        <v/>
      </c>
      <c r="AH27" s="9">
        <f>IF(MONTH(AH22)=1,1,0)</f>
        <v/>
      </c>
      <c r="AI27" s="9">
        <f>IF(MONTH(AI22)=1,1,0)</f>
        <v/>
      </c>
      <c r="AJ27" s="9">
        <f>IF(MONTH(AJ22)=1,1,0)</f>
        <v/>
      </c>
      <c r="AK27" s="9">
        <f>IF(MONTH(AK22)=1,1,0)</f>
        <v/>
      </c>
      <c r="AL27" s="9">
        <f>IF(MONTH(AL22)=1,1,0)</f>
        <v/>
      </c>
      <c r="AM27" s="9">
        <f>IF(MONTH(AM22)=1,1,0)</f>
        <v/>
      </c>
      <c r="AN27" s="9">
        <f>IF(MONTH(AN22)=1,1,0)</f>
        <v/>
      </c>
      <c r="AO27" s="9">
        <f>IF(MONTH(AO22)=1,1,0)</f>
        <v/>
      </c>
      <c r="AP27" s="9">
        <f>IF(MONTH(AP22)=1,1,0)</f>
        <v/>
      </c>
      <c r="AQ27" s="9">
        <f>IF(MONTH(AQ22)=1,1,0)</f>
        <v/>
      </c>
      <c r="AR27" s="9">
        <f>IF(MONTH(AR22)=1,1,0)</f>
        <v/>
      </c>
      <c r="AS27" s="9">
        <f>IF(MONTH(AS22)=1,1,0)</f>
        <v/>
      </c>
      <c r="AT27" s="9">
        <f>IF(MONTH(AT22)=1,1,0)</f>
        <v/>
      </c>
      <c r="AU27" s="9">
        <f>IF(MONTH(AU22)=1,1,0)</f>
        <v/>
      </c>
      <c r="AV27" s="9">
        <f>IF(MONTH(AV22)=1,1,0)</f>
        <v/>
      </c>
      <c r="AW27" s="9">
        <f>IF(MONTH(AW22)=1,1,0)</f>
        <v/>
      </c>
      <c r="AX27" s="9">
        <f>IF(MONTH(AX22)=1,1,0)</f>
        <v/>
      </c>
      <c r="AY27" s="9">
        <f>IF(MONTH(AY22)=1,1,0)</f>
        <v/>
      </c>
      <c r="AZ27" s="9">
        <f>IF(MONTH(AZ22)=1,1,0)</f>
        <v/>
      </c>
      <c r="BA27" s="9">
        <f>IF(MONTH(BA22)=1,1,0)</f>
        <v/>
      </c>
      <c r="BB27" s="9">
        <f>IF(MONTH(BB22)=1,1,0)</f>
        <v/>
      </c>
      <c r="BC27" s="9">
        <f>IF(MONTH(BC22)=1,1,0)</f>
        <v/>
      </c>
      <c r="BD27" s="9">
        <f>IF(MONTH(BD22)=1,1,0)</f>
        <v/>
      </c>
      <c r="BE27" s="9">
        <f>IF(MONTH(BE22)=1,1,0)</f>
        <v/>
      </c>
      <c r="BF27" s="9">
        <f>IF(MONTH(BF22)=1,1,0)</f>
        <v/>
      </c>
      <c r="BG27" s="9">
        <f>IF(MONTH(BG22)=1,1,0)</f>
        <v/>
      </c>
      <c r="BH27" s="9">
        <f>IF(MONTH(BH22)=1,1,0)</f>
        <v/>
      </c>
      <c r="BI27" s="9">
        <f>IF(MONTH(BI22)=1,1,0)</f>
        <v/>
      </c>
      <c r="BJ27" s="9">
        <f>IF(MONTH(BJ22)=1,1,0)</f>
        <v/>
      </c>
      <c r="BK27" s="9">
        <f>IF(MONTH(BK22)=1,1,0)</f>
        <v/>
      </c>
      <c r="BL27" s="9">
        <f>IF(MONTH(BL22)=1,1,0)</f>
        <v/>
      </c>
      <c r="BM27" s="9">
        <f>IF(MONTH(BM22)=1,1,0)</f>
        <v/>
      </c>
      <c r="BN27" s="9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10">
        <f>MAX(J22,$F$8)</f>
        <v/>
      </c>
      <c r="K28" s="10">
        <f>MAX(K22,$F$8)</f>
        <v/>
      </c>
      <c r="L28" s="10">
        <f>MAX(L22,$F$8)</f>
        <v/>
      </c>
      <c r="M28" s="10">
        <f>MAX(M22,$F$8)</f>
        <v/>
      </c>
      <c r="N28" s="10">
        <f>MAX(N22,$F$8)</f>
        <v/>
      </c>
      <c r="O28" s="10">
        <f>MAX(O22,$F$8)</f>
        <v/>
      </c>
      <c r="P28" s="10">
        <f>MAX(P22,$F$8)</f>
        <v/>
      </c>
      <c r="Q28" s="10">
        <f>MAX(Q22,$F$8)</f>
        <v/>
      </c>
      <c r="R28" s="10">
        <f>MAX(R22,$F$8)</f>
        <v/>
      </c>
      <c r="S28" s="10">
        <f>MAX(S22,$F$8)</f>
        <v/>
      </c>
      <c r="T28" s="10">
        <f>MAX(T22,$F$8)</f>
        <v/>
      </c>
      <c r="U28" s="10">
        <f>MAX(U22,$F$8)</f>
        <v/>
      </c>
      <c r="V28" s="10">
        <f>MAX(V22,$F$8)</f>
        <v/>
      </c>
      <c r="W28" s="10">
        <f>MAX(W22,$F$8)</f>
        <v/>
      </c>
      <c r="X28" s="10">
        <f>MAX(X22,$F$8)</f>
        <v/>
      </c>
      <c r="Y28" s="10">
        <f>MAX(Y22,$F$8)</f>
        <v/>
      </c>
      <c r="Z28" s="10">
        <f>MAX(Z22,$F$8)</f>
        <v/>
      </c>
      <c r="AA28" s="10">
        <f>MAX(AA22,$F$8)</f>
        <v/>
      </c>
      <c r="AB28" s="10">
        <f>MAX(AB22,$F$8)</f>
        <v/>
      </c>
      <c r="AC28" s="10">
        <f>MAX(AC22,$F$8)</f>
        <v/>
      </c>
      <c r="AD28" s="10">
        <f>MAX(AD22,$F$8)</f>
        <v/>
      </c>
      <c r="AE28" s="10">
        <f>MAX(AE22,$F$8)</f>
        <v/>
      </c>
      <c r="AF28" s="10">
        <f>MAX(AF22,$F$8)</f>
        <v/>
      </c>
      <c r="AG28" s="10">
        <f>MAX(AG22,$F$8)</f>
        <v/>
      </c>
      <c r="AH28" s="10">
        <f>MAX(AH22,$F$8)</f>
        <v/>
      </c>
      <c r="AI28" s="10">
        <f>MAX(AI22,$F$8)</f>
        <v/>
      </c>
      <c r="AJ28" s="10">
        <f>MAX(AJ22,$F$8)</f>
        <v/>
      </c>
      <c r="AK28" s="10">
        <f>MAX(AK22,$F$8)</f>
        <v/>
      </c>
      <c r="AL28" s="10">
        <f>MAX(AL22,$F$8)</f>
        <v/>
      </c>
      <c r="AM28" s="10">
        <f>MAX(AM22,$F$8)</f>
        <v/>
      </c>
      <c r="AN28" s="10">
        <f>MAX(AN22,$F$8)</f>
        <v/>
      </c>
      <c r="AO28" s="10">
        <f>MAX(AO22,$F$8)</f>
        <v/>
      </c>
      <c r="AP28" s="10">
        <f>MAX(AP22,$F$8)</f>
        <v/>
      </c>
      <c r="AQ28" s="10">
        <f>MAX(AQ22,$F$8)</f>
        <v/>
      </c>
      <c r="AR28" s="10">
        <f>MAX(AR22,$F$8)</f>
        <v/>
      </c>
      <c r="AS28" s="10">
        <f>MAX(AS22,$F$8)</f>
        <v/>
      </c>
      <c r="AT28" s="10">
        <f>MAX(AT22,$F$8)</f>
        <v/>
      </c>
      <c r="AU28" s="10">
        <f>MAX(AU22,$F$8)</f>
        <v/>
      </c>
      <c r="AV28" s="10">
        <f>MAX(AV22,$F$8)</f>
        <v/>
      </c>
      <c r="AW28" s="10">
        <f>MAX(AW22,$F$8)</f>
        <v/>
      </c>
      <c r="AX28" s="10">
        <f>MAX(AX22,$F$8)</f>
        <v/>
      </c>
      <c r="AY28" s="10">
        <f>MAX(AY22,$F$8)</f>
        <v/>
      </c>
      <c r="AZ28" s="10">
        <f>MAX(AZ22,$F$8)</f>
        <v/>
      </c>
      <c r="BA28" s="10">
        <f>MAX(BA22,$F$8)</f>
        <v/>
      </c>
      <c r="BB28" s="10">
        <f>MAX(BB22,$F$8)</f>
        <v/>
      </c>
      <c r="BC28" s="10">
        <f>MAX(BC22,$F$8)</f>
        <v/>
      </c>
      <c r="BD28" s="10">
        <f>MAX(BD22,$F$8)</f>
        <v/>
      </c>
      <c r="BE28" s="10">
        <f>MAX(BE22,$F$8)</f>
        <v/>
      </c>
      <c r="BF28" s="10">
        <f>MAX(BF22,$F$8)</f>
        <v/>
      </c>
      <c r="BG28" s="10">
        <f>MAX(BG22,$F$8)</f>
        <v/>
      </c>
      <c r="BH28" s="10">
        <f>MAX(BH22,$F$8)</f>
        <v/>
      </c>
      <c r="BI28" s="10">
        <f>MAX(BI22,$F$8)</f>
        <v/>
      </c>
      <c r="BJ28" s="10">
        <f>MAX(BJ22,$F$8)</f>
        <v/>
      </c>
      <c r="BK28" s="10">
        <f>MAX(BK22,$F$8)</f>
        <v/>
      </c>
      <c r="BL28" s="10">
        <f>MAX(BL22,$F$8)</f>
        <v/>
      </c>
      <c r="BM28" s="10">
        <f>MAX(BM22,$F$8)</f>
        <v/>
      </c>
      <c r="BN28" s="10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10">
        <f>MIN(J23,$F$10)</f>
        <v/>
      </c>
      <c r="K29" s="10">
        <f>MIN(K23,$F$10)</f>
        <v/>
      </c>
      <c r="L29" s="10">
        <f>MIN(L23,$F$10)</f>
        <v/>
      </c>
      <c r="M29" s="10">
        <f>MIN(M23,$F$10)</f>
        <v/>
      </c>
      <c r="N29" s="10">
        <f>MIN(N23,$F$10)</f>
        <v/>
      </c>
      <c r="O29" s="10">
        <f>MIN(O23,$F$10)</f>
        <v/>
      </c>
      <c r="P29" s="10">
        <f>MIN(P23,$F$10)</f>
        <v/>
      </c>
      <c r="Q29" s="10">
        <f>MIN(Q23,$F$10)</f>
        <v/>
      </c>
      <c r="R29" s="10">
        <f>MIN(R23,$F$10)</f>
        <v/>
      </c>
      <c r="S29" s="10">
        <f>MIN(S23,$F$10)</f>
        <v/>
      </c>
      <c r="T29" s="10">
        <f>MIN(T23,$F$10)</f>
        <v/>
      </c>
      <c r="U29" s="10">
        <f>MIN(U23,$F$10)</f>
        <v/>
      </c>
      <c r="V29" s="10">
        <f>MIN(V23,$F$10)</f>
        <v/>
      </c>
      <c r="W29" s="10">
        <f>MIN(W23,$F$10)</f>
        <v/>
      </c>
      <c r="X29" s="10">
        <f>MIN(X23,$F$10)</f>
        <v/>
      </c>
      <c r="Y29" s="10">
        <f>MIN(Y23,$F$10)</f>
        <v/>
      </c>
      <c r="Z29" s="10">
        <f>MIN(Z23,$F$10)</f>
        <v/>
      </c>
      <c r="AA29" s="10">
        <f>MIN(AA23,$F$10)</f>
        <v/>
      </c>
      <c r="AB29" s="10">
        <f>MIN(AB23,$F$10)</f>
        <v/>
      </c>
      <c r="AC29" s="10">
        <f>MIN(AC23,$F$10)</f>
        <v/>
      </c>
      <c r="AD29" s="10">
        <f>MIN(AD23,$F$10)</f>
        <v/>
      </c>
      <c r="AE29" s="10">
        <f>MIN(AE23,$F$10)</f>
        <v/>
      </c>
      <c r="AF29" s="10">
        <f>MIN(AF23,$F$10)</f>
        <v/>
      </c>
      <c r="AG29" s="10">
        <f>MIN(AG23,$F$10)</f>
        <v/>
      </c>
      <c r="AH29" s="10">
        <f>MIN(AH23,$F$10)</f>
        <v/>
      </c>
      <c r="AI29" s="10">
        <f>MIN(AI23,$F$10)</f>
        <v/>
      </c>
      <c r="AJ29" s="10">
        <f>MIN(AJ23,$F$10)</f>
        <v/>
      </c>
      <c r="AK29" s="10">
        <f>MIN(AK23,$F$10)</f>
        <v/>
      </c>
      <c r="AL29" s="10">
        <f>MIN(AL23,$F$10)</f>
        <v/>
      </c>
      <c r="AM29" s="10">
        <f>MIN(AM23,$F$10)</f>
        <v/>
      </c>
      <c r="AN29" s="10">
        <f>MIN(AN23,$F$10)</f>
        <v/>
      </c>
      <c r="AO29" s="10">
        <f>MIN(AO23,$F$10)</f>
        <v/>
      </c>
      <c r="AP29" s="10">
        <f>MIN(AP23,$F$10)</f>
        <v/>
      </c>
      <c r="AQ29" s="10">
        <f>MIN(AQ23,$F$10)</f>
        <v/>
      </c>
      <c r="AR29" s="10">
        <f>MIN(AR23,$F$10)</f>
        <v/>
      </c>
      <c r="AS29" s="10">
        <f>MIN(AS23,$F$10)</f>
        <v/>
      </c>
      <c r="AT29" s="10">
        <f>MIN(AT23,$F$10)</f>
        <v/>
      </c>
      <c r="AU29" s="10">
        <f>MIN(AU23,$F$10)</f>
        <v/>
      </c>
      <c r="AV29" s="10">
        <f>MIN(AV23,$F$10)</f>
        <v/>
      </c>
      <c r="AW29" s="10">
        <f>MIN(AW23,$F$10)</f>
        <v/>
      </c>
      <c r="AX29" s="10">
        <f>MIN(AX23,$F$10)</f>
        <v/>
      </c>
      <c r="AY29" s="10">
        <f>MIN(AY23,$F$10)</f>
        <v/>
      </c>
      <c r="AZ29" s="10">
        <f>MIN(AZ23,$F$10)</f>
        <v/>
      </c>
      <c r="BA29" s="10">
        <f>MIN(BA23,$F$10)</f>
        <v/>
      </c>
      <c r="BB29" s="10">
        <f>MIN(BB23,$F$10)</f>
        <v/>
      </c>
      <c r="BC29" s="10">
        <f>MIN(BC23,$F$10)</f>
        <v/>
      </c>
      <c r="BD29" s="10">
        <f>MIN(BD23,$F$10)</f>
        <v/>
      </c>
      <c r="BE29" s="10">
        <f>MIN(BE23,$F$10)</f>
        <v/>
      </c>
      <c r="BF29" s="10">
        <f>MIN(BF23,$F$10)</f>
        <v/>
      </c>
      <c r="BG29" s="10">
        <f>MIN(BG23,$F$10)</f>
        <v/>
      </c>
      <c r="BH29" s="10">
        <f>MIN(BH23,$F$10)</f>
        <v/>
      </c>
      <c r="BI29" s="10">
        <f>MIN(BI23,$F$10)</f>
        <v/>
      </c>
      <c r="BJ29" s="10">
        <f>MIN(BJ23,$F$10)</f>
        <v/>
      </c>
      <c r="BK29" s="10">
        <f>MIN(BK23,$F$10)</f>
        <v/>
      </c>
      <c r="BL29" s="10">
        <f>MIN(BL23,$F$10)</f>
        <v/>
      </c>
      <c r="BM29" s="10">
        <f>MIN(BM23,$F$10)</f>
        <v/>
      </c>
      <c r="BN29" s="10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9">
        <f>IF(J29&gt;=J28,(YEAR(J29)-YEAR(J28))*12+MONTH(J29)-MONTH(J28)+1,0)</f>
        <v/>
      </c>
      <c r="K30" s="9">
        <f>IF(K29&gt;=K28,(YEAR(K29)-YEAR(K28))*12+MONTH(K29)-MONTH(K28)+1,0)</f>
        <v/>
      </c>
      <c r="L30" s="9">
        <f>IF(L29&gt;=L28,(YEAR(L29)-YEAR(L28))*12+MONTH(L29)-MONTH(L28)+1,0)</f>
        <v/>
      </c>
      <c r="M30" s="9">
        <f>IF(M29&gt;=M28,(YEAR(M29)-YEAR(M28))*12+MONTH(M29)-MONTH(M28)+1,0)</f>
        <v/>
      </c>
      <c r="N30" s="9">
        <f>IF(N29&gt;=N28,(YEAR(N29)-YEAR(N28))*12+MONTH(N29)-MONTH(N28)+1,0)</f>
        <v/>
      </c>
      <c r="O30" s="9">
        <f>IF(O29&gt;=O28,(YEAR(O29)-YEAR(O28))*12+MONTH(O29)-MONTH(O28)+1,0)</f>
        <v/>
      </c>
      <c r="P30" s="9">
        <f>IF(P29&gt;=P28,(YEAR(P29)-YEAR(P28))*12+MONTH(P29)-MONTH(P28)+1,0)</f>
        <v/>
      </c>
      <c r="Q30" s="9">
        <f>IF(Q29&gt;=Q28,(YEAR(Q29)-YEAR(Q28))*12+MONTH(Q29)-MONTH(Q28)+1,0)</f>
        <v/>
      </c>
      <c r="R30" s="9">
        <f>IF(R29&gt;=R28,(YEAR(R29)-YEAR(R28))*12+MONTH(R29)-MONTH(R28)+1,0)</f>
        <v/>
      </c>
      <c r="S30" s="9">
        <f>IF(S29&gt;=S28,(YEAR(S29)-YEAR(S28))*12+MONTH(S29)-MONTH(S28)+1,0)</f>
        <v/>
      </c>
      <c r="T30" s="9">
        <f>IF(T29&gt;=T28,(YEAR(T29)-YEAR(T28))*12+MONTH(T29)-MONTH(T28)+1,0)</f>
        <v/>
      </c>
      <c r="U30" s="9">
        <f>IF(U29&gt;=U28,(YEAR(U29)-YEAR(U28))*12+MONTH(U29)-MONTH(U28)+1,0)</f>
        <v/>
      </c>
      <c r="V30" s="9">
        <f>IF(V29&gt;=V28,(YEAR(V29)-YEAR(V28))*12+MONTH(V29)-MONTH(V28)+1,0)</f>
        <v/>
      </c>
      <c r="W30" s="9">
        <f>IF(W29&gt;=W28,(YEAR(W29)-YEAR(W28))*12+MONTH(W29)-MONTH(W28)+1,0)</f>
        <v/>
      </c>
      <c r="X30" s="9">
        <f>IF(X29&gt;=X28,(YEAR(X29)-YEAR(X28))*12+MONTH(X29)-MONTH(X28)+1,0)</f>
        <v/>
      </c>
      <c r="Y30" s="9">
        <f>IF(Y29&gt;=Y28,(YEAR(Y29)-YEAR(Y28))*12+MONTH(Y29)-MONTH(Y28)+1,0)</f>
        <v/>
      </c>
      <c r="Z30" s="9">
        <f>IF(Z29&gt;=Z28,(YEAR(Z29)-YEAR(Z28))*12+MONTH(Z29)-MONTH(Z28)+1,0)</f>
        <v/>
      </c>
      <c r="AA30" s="9">
        <f>IF(AA29&gt;=AA28,(YEAR(AA29)-YEAR(AA28))*12+MONTH(AA29)-MONTH(AA28)+1,0)</f>
        <v/>
      </c>
      <c r="AB30" s="9">
        <f>IF(AB29&gt;=AB28,(YEAR(AB29)-YEAR(AB28))*12+MONTH(AB29)-MONTH(AB28)+1,0)</f>
        <v/>
      </c>
      <c r="AC30" s="9">
        <f>IF(AC29&gt;=AC28,(YEAR(AC29)-YEAR(AC28))*12+MONTH(AC29)-MONTH(AC28)+1,0)</f>
        <v/>
      </c>
      <c r="AD30" s="9">
        <f>IF(AD29&gt;=AD28,(YEAR(AD29)-YEAR(AD28))*12+MONTH(AD29)-MONTH(AD28)+1,0)</f>
        <v/>
      </c>
      <c r="AE30" s="9">
        <f>IF(AE29&gt;=AE28,(YEAR(AE29)-YEAR(AE28))*12+MONTH(AE29)-MONTH(AE28)+1,0)</f>
        <v/>
      </c>
      <c r="AF30" s="9">
        <f>IF(AF29&gt;=AF28,(YEAR(AF29)-YEAR(AF28))*12+MONTH(AF29)-MONTH(AF28)+1,0)</f>
        <v/>
      </c>
      <c r="AG30" s="9">
        <f>IF(AG29&gt;=AG28,(YEAR(AG29)-YEAR(AG28))*12+MONTH(AG29)-MONTH(AG28)+1,0)</f>
        <v/>
      </c>
      <c r="AH30" s="9">
        <f>IF(AH29&gt;=AH28,(YEAR(AH29)-YEAR(AH28))*12+MONTH(AH29)-MONTH(AH28)+1,0)</f>
        <v/>
      </c>
      <c r="AI30" s="9">
        <f>IF(AI29&gt;=AI28,(YEAR(AI29)-YEAR(AI28))*12+MONTH(AI29)-MONTH(AI28)+1,0)</f>
        <v/>
      </c>
      <c r="AJ30" s="9">
        <f>IF(AJ29&gt;=AJ28,(YEAR(AJ29)-YEAR(AJ28))*12+MONTH(AJ29)-MONTH(AJ28)+1,0)</f>
        <v/>
      </c>
      <c r="AK30" s="9">
        <f>IF(AK29&gt;=AK28,(YEAR(AK29)-YEAR(AK28))*12+MONTH(AK29)-MONTH(AK28)+1,0)</f>
        <v/>
      </c>
      <c r="AL30" s="9">
        <f>IF(AL29&gt;=AL28,(YEAR(AL29)-YEAR(AL28))*12+MONTH(AL29)-MONTH(AL28)+1,0)</f>
        <v/>
      </c>
      <c r="AM30" s="9">
        <f>IF(AM29&gt;=AM28,(YEAR(AM29)-YEAR(AM28))*12+MONTH(AM29)-MONTH(AM28)+1,0)</f>
        <v/>
      </c>
      <c r="AN30" s="9">
        <f>IF(AN29&gt;=AN28,(YEAR(AN29)-YEAR(AN28))*12+MONTH(AN29)-MONTH(AN28)+1,0)</f>
        <v/>
      </c>
      <c r="AO30" s="9">
        <f>IF(AO29&gt;=AO28,(YEAR(AO29)-YEAR(AO28))*12+MONTH(AO29)-MONTH(AO28)+1,0)</f>
        <v/>
      </c>
      <c r="AP30" s="9">
        <f>IF(AP29&gt;=AP28,(YEAR(AP29)-YEAR(AP28))*12+MONTH(AP29)-MONTH(AP28)+1,0)</f>
        <v/>
      </c>
      <c r="AQ30" s="9">
        <f>IF(AQ29&gt;=AQ28,(YEAR(AQ29)-YEAR(AQ28))*12+MONTH(AQ29)-MONTH(AQ28)+1,0)</f>
        <v/>
      </c>
      <c r="AR30" s="9">
        <f>IF(AR29&gt;=AR28,(YEAR(AR29)-YEAR(AR28))*12+MONTH(AR29)-MONTH(AR28)+1,0)</f>
        <v/>
      </c>
      <c r="AS30" s="9">
        <f>IF(AS29&gt;=AS28,(YEAR(AS29)-YEAR(AS28))*12+MONTH(AS29)-MONTH(AS28)+1,0)</f>
        <v/>
      </c>
      <c r="AT30" s="9">
        <f>IF(AT29&gt;=AT28,(YEAR(AT29)-YEAR(AT28))*12+MONTH(AT29)-MONTH(AT28)+1,0)</f>
        <v/>
      </c>
      <c r="AU30" s="9">
        <f>IF(AU29&gt;=AU28,(YEAR(AU29)-YEAR(AU28))*12+MONTH(AU29)-MONTH(AU28)+1,0)</f>
        <v/>
      </c>
      <c r="AV30" s="9">
        <f>IF(AV29&gt;=AV28,(YEAR(AV29)-YEAR(AV28))*12+MONTH(AV29)-MONTH(AV28)+1,0)</f>
        <v/>
      </c>
      <c r="AW30" s="9">
        <f>IF(AW29&gt;=AW28,(YEAR(AW29)-YEAR(AW28))*12+MONTH(AW29)-MONTH(AW28)+1,0)</f>
        <v/>
      </c>
      <c r="AX30" s="9">
        <f>IF(AX29&gt;=AX28,(YEAR(AX29)-YEAR(AX28))*12+MONTH(AX29)-MONTH(AX28)+1,0)</f>
        <v/>
      </c>
      <c r="AY30" s="9">
        <f>IF(AY29&gt;=AY28,(YEAR(AY29)-YEAR(AY28))*12+MONTH(AY29)-MONTH(AY28)+1,0)</f>
        <v/>
      </c>
      <c r="AZ30" s="9">
        <f>IF(AZ29&gt;=AZ28,(YEAR(AZ29)-YEAR(AZ28))*12+MONTH(AZ29)-MONTH(AZ28)+1,0)</f>
        <v/>
      </c>
      <c r="BA30" s="9">
        <f>IF(BA29&gt;=BA28,(YEAR(BA29)-YEAR(BA28))*12+MONTH(BA29)-MONTH(BA28)+1,0)</f>
        <v/>
      </c>
      <c r="BB30" s="9">
        <f>IF(BB29&gt;=BB28,(YEAR(BB29)-YEAR(BB28))*12+MONTH(BB29)-MONTH(BB28)+1,0)</f>
        <v/>
      </c>
      <c r="BC30" s="9">
        <f>IF(BC29&gt;=BC28,(YEAR(BC29)-YEAR(BC28))*12+MONTH(BC29)-MONTH(BC28)+1,0)</f>
        <v/>
      </c>
      <c r="BD30" s="9">
        <f>IF(BD29&gt;=BD28,(YEAR(BD29)-YEAR(BD28))*12+MONTH(BD29)-MONTH(BD28)+1,0)</f>
        <v/>
      </c>
      <c r="BE30" s="9">
        <f>IF(BE29&gt;=BE28,(YEAR(BE29)-YEAR(BE28))*12+MONTH(BE29)-MONTH(BE28)+1,0)</f>
        <v/>
      </c>
      <c r="BF30" s="9">
        <f>IF(BF29&gt;=BF28,(YEAR(BF29)-YEAR(BF28))*12+MONTH(BF29)-MONTH(BF28)+1,0)</f>
        <v/>
      </c>
      <c r="BG30" s="9">
        <f>IF(BG29&gt;=BG28,(YEAR(BG29)-YEAR(BG28))*12+MONTH(BG29)-MONTH(BG28)+1,0)</f>
        <v/>
      </c>
      <c r="BH30" s="9">
        <f>IF(BH29&gt;=BH28,(YEAR(BH29)-YEAR(BH28))*12+MONTH(BH29)-MONTH(BH28)+1,0)</f>
        <v/>
      </c>
      <c r="BI30" s="9">
        <f>IF(BI29&gt;=BI28,(YEAR(BI29)-YEAR(BI28))*12+MONTH(BI29)-MONTH(BI28)+1,0)</f>
        <v/>
      </c>
      <c r="BJ30" s="9">
        <f>IF(BJ29&gt;=BJ28,(YEAR(BJ29)-YEAR(BJ28))*12+MONTH(BJ29)-MONTH(BJ28)+1,0)</f>
        <v/>
      </c>
      <c r="BK30" s="9">
        <f>IF(BK29&gt;=BK28,(YEAR(BK29)-YEAR(BK28))*12+MONTH(BK29)-MONTH(BK28)+1,0)</f>
        <v/>
      </c>
      <c r="BL30" s="9">
        <f>IF(BL29&gt;=BL28,(YEAR(BL29)-YEAR(BL28))*12+MONTH(BL29)-MONTH(BL28)+1,0)</f>
        <v/>
      </c>
      <c r="BM30" s="9">
        <f>IF(BM29&gt;=BM28,(YEAR(BM29)-YEAR(BM28))*12+MONTH(BM29)-MONTH(BM28)+1,0)</f>
        <v/>
      </c>
      <c r="BN30" s="9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9">
        <f>IF(J29&gt;=J28,J29-J28+1,0)</f>
        <v/>
      </c>
      <c r="K31" s="9">
        <f>IF(K29&gt;=K28,K29-K28+1,0)</f>
        <v/>
      </c>
      <c r="L31" s="9">
        <f>IF(L29&gt;=L28,L29-L28+1,0)</f>
        <v/>
      </c>
      <c r="M31" s="9">
        <f>IF(M29&gt;=M28,M29-M28+1,0)</f>
        <v/>
      </c>
      <c r="N31" s="9">
        <f>IF(N29&gt;=N28,N29-N28+1,0)</f>
        <v/>
      </c>
      <c r="O31" s="9">
        <f>IF(O29&gt;=O28,O29-O28+1,0)</f>
        <v/>
      </c>
      <c r="P31" s="9">
        <f>IF(P29&gt;=P28,P29-P28+1,0)</f>
        <v/>
      </c>
      <c r="Q31" s="9">
        <f>IF(Q29&gt;=Q28,Q29-Q28+1,0)</f>
        <v/>
      </c>
      <c r="R31" s="9">
        <f>IF(R29&gt;=R28,R29-R28+1,0)</f>
        <v/>
      </c>
      <c r="S31" s="9">
        <f>IF(S29&gt;=S28,S29-S28+1,0)</f>
        <v/>
      </c>
      <c r="T31" s="9">
        <f>IF(T29&gt;=T28,T29-T28+1,0)</f>
        <v/>
      </c>
      <c r="U31" s="9">
        <f>IF(U29&gt;=U28,U29-U28+1,0)</f>
        <v/>
      </c>
      <c r="V31" s="9">
        <f>IF(V29&gt;=V28,V29-V28+1,0)</f>
        <v/>
      </c>
      <c r="W31" s="9">
        <f>IF(W29&gt;=W28,W29-W28+1,0)</f>
        <v/>
      </c>
      <c r="X31" s="9">
        <f>IF(X29&gt;=X28,X29-X28+1,0)</f>
        <v/>
      </c>
      <c r="Y31" s="9">
        <f>IF(Y29&gt;=Y28,Y29-Y28+1,0)</f>
        <v/>
      </c>
      <c r="Z31" s="9">
        <f>IF(Z29&gt;=Z28,Z29-Z28+1,0)</f>
        <v/>
      </c>
      <c r="AA31" s="9">
        <f>IF(AA29&gt;=AA28,AA29-AA28+1,0)</f>
        <v/>
      </c>
      <c r="AB31" s="9">
        <f>IF(AB29&gt;=AB28,AB29-AB28+1,0)</f>
        <v/>
      </c>
      <c r="AC31" s="9">
        <f>IF(AC29&gt;=AC28,AC29-AC28+1,0)</f>
        <v/>
      </c>
      <c r="AD31" s="9">
        <f>IF(AD29&gt;=AD28,AD29-AD28+1,0)</f>
        <v/>
      </c>
      <c r="AE31" s="9">
        <f>IF(AE29&gt;=AE28,AE29-AE28+1,0)</f>
        <v/>
      </c>
      <c r="AF31" s="9">
        <f>IF(AF29&gt;=AF28,AF29-AF28+1,0)</f>
        <v/>
      </c>
      <c r="AG31" s="9">
        <f>IF(AG29&gt;=AG28,AG29-AG28+1,0)</f>
        <v/>
      </c>
      <c r="AH31" s="9">
        <f>IF(AH29&gt;=AH28,AH29-AH28+1,0)</f>
        <v/>
      </c>
      <c r="AI31" s="9">
        <f>IF(AI29&gt;=AI28,AI29-AI28+1,0)</f>
        <v/>
      </c>
      <c r="AJ31" s="9">
        <f>IF(AJ29&gt;=AJ28,AJ29-AJ28+1,0)</f>
        <v/>
      </c>
      <c r="AK31" s="9">
        <f>IF(AK29&gt;=AK28,AK29-AK28+1,0)</f>
        <v/>
      </c>
      <c r="AL31" s="9">
        <f>IF(AL29&gt;=AL28,AL29-AL28+1,0)</f>
        <v/>
      </c>
      <c r="AM31" s="9">
        <f>IF(AM29&gt;=AM28,AM29-AM28+1,0)</f>
        <v/>
      </c>
      <c r="AN31" s="9">
        <f>IF(AN29&gt;=AN28,AN29-AN28+1,0)</f>
        <v/>
      </c>
      <c r="AO31" s="9">
        <f>IF(AO29&gt;=AO28,AO29-AO28+1,0)</f>
        <v/>
      </c>
      <c r="AP31" s="9">
        <f>IF(AP29&gt;=AP28,AP29-AP28+1,0)</f>
        <v/>
      </c>
      <c r="AQ31" s="9">
        <f>IF(AQ29&gt;=AQ28,AQ29-AQ28+1,0)</f>
        <v/>
      </c>
      <c r="AR31" s="9">
        <f>IF(AR29&gt;=AR28,AR29-AR28+1,0)</f>
        <v/>
      </c>
      <c r="AS31" s="9">
        <f>IF(AS29&gt;=AS28,AS29-AS28+1,0)</f>
        <v/>
      </c>
      <c r="AT31" s="9">
        <f>IF(AT29&gt;=AT28,AT29-AT28+1,0)</f>
        <v/>
      </c>
      <c r="AU31" s="9">
        <f>IF(AU29&gt;=AU28,AU29-AU28+1,0)</f>
        <v/>
      </c>
      <c r="AV31" s="9">
        <f>IF(AV29&gt;=AV28,AV29-AV28+1,0)</f>
        <v/>
      </c>
      <c r="AW31" s="9">
        <f>IF(AW29&gt;=AW28,AW29-AW28+1,0)</f>
        <v/>
      </c>
      <c r="AX31" s="9">
        <f>IF(AX29&gt;=AX28,AX29-AX28+1,0)</f>
        <v/>
      </c>
      <c r="AY31" s="9">
        <f>IF(AY29&gt;=AY28,AY29-AY28+1,0)</f>
        <v/>
      </c>
      <c r="AZ31" s="9">
        <f>IF(AZ29&gt;=AZ28,AZ29-AZ28+1,0)</f>
        <v/>
      </c>
      <c r="BA31" s="9">
        <f>IF(BA29&gt;=BA28,BA29-BA28+1,0)</f>
        <v/>
      </c>
      <c r="BB31" s="9">
        <f>IF(BB29&gt;=BB28,BB29-BB28+1,0)</f>
        <v/>
      </c>
      <c r="BC31" s="9">
        <f>IF(BC29&gt;=BC28,BC29-BC28+1,0)</f>
        <v/>
      </c>
      <c r="BD31" s="9">
        <f>IF(BD29&gt;=BD28,BD29-BD28+1,0)</f>
        <v/>
      </c>
      <c r="BE31" s="9">
        <f>IF(BE29&gt;=BE28,BE29-BE28+1,0)</f>
        <v/>
      </c>
      <c r="BF31" s="9">
        <f>IF(BF29&gt;=BF28,BF29-BF28+1,0)</f>
        <v/>
      </c>
      <c r="BG31" s="9">
        <f>IF(BG29&gt;=BG28,BG29-BG28+1,0)</f>
        <v/>
      </c>
      <c r="BH31" s="9">
        <f>IF(BH29&gt;=BH28,BH29-BH28+1,0)</f>
        <v/>
      </c>
      <c r="BI31" s="9">
        <f>IF(BI29&gt;=BI28,BI29-BI28+1,0)</f>
        <v/>
      </c>
      <c r="BJ31" s="9">
        <f>IF(BJ29&gt;=BJ28,BJ29-BJ28+1,0)</f>
        <v/>
      </c>
      <c r="BK31" s="9">
        <f>IF(BK29&gt;=BK28,BK29-BK28+1,0)</f>
        <v/>
      </c>
      <c r="BL31" s="9">
        <f>IF(BL29&gt;=BL28,BL29-BL28+1,0)</f>
        <v/>
      </c>
      <c r="BM31" s="9">
        <f>IF(BM29&gt;=BM28,BM29-BM28+1,0)</f>
        <v/>
      </c>
      <c r="BN31" s="9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9">
        <f>MIN(MAX((YEAR(J22)-YEAR($F$8))*12+MONTH(J22)-MONTH($F$8),0),$F$9)</f>
        <v/>
      </c>
      <c r="K32" s="9">
        <f>MIN(MAX((YEAR(K22)-YEAR($F$8))*12+MONTH(K22)-MONTH($F$8),0),$F$9)</f>
        <v/>
      </c>
      <c r="L32" s="9">
        <f>MIN(MAX((YEAR(L22)-YEAR($F$8))*12+MONTH(L22)-MONTH($F$8),0),$F$9)</f>
        <v/>
      </c>
      <c r="M32" s="9">
        <f>MIN(MAX((YEAR(M22)-YEAR($F$8))*12+MONTH(M22)-MONTH($F$8),0),$F$9)</f>
        <v/>
      </c>
      <c r="N32" s="9">
        <f>MIN(MAX((YEAR(N22)-YEAR($F$8))*12+MONTH(N22)-MONTH($F$8),0),$F$9)</f>
        <v/>
      </c>
      <c r="O32" s="9">
        <f>MIN(MAX((YEAR(O22)-YEAR($F$8))*12+MONTH(O22)-MONTH($F$8),0),$F$9)</f>
        <v/>
      </c>
      <c r="P32" s="9">
        <f>MIN(MAX((YEAR(P22)-YEAR($F$8))*12+MONTH(P22)-MONTH($F$8),0),$F$9)</f>
        <v/>
      </c>
      <c r="Q32" s="9">
        <f>MIN(MAX((YEAR(Q22)-YEAR($F$8))*12+MONTH(Q22)-MONTH($F$8),0),$F$9)</f>
        <v/>
      </c>
      <c r="R32" s="9">
        <f>MIN(MAX((YEAR(R22)-YEAR($F$8))*12+MONTH(R22)-MONTH($F$8),0),$F$9)</f>
        <v/>
      </c>
      <c r="S32" s="9">
        <f>MIN(MAX((YEAR(S22)-YEAR($F$8))*12+MONTH(S22)-MONTH($F$8),0),$F$9)</f>
        <v/>
      </c>
      <c r="T32" s="9">
        <f>MIN(MAX((YEAR(T22)-YEAR($F$8))*12+MONTH(T22)-MONTH($F$8),0),$F$9)</f>
        <v/>
      </c>
      <c r="U32" s="9">
        <f>MIN(MAX((YEAR(U22)-YEAR($F$8))*12+MONTH(U22)-MONTH($F$8),0),$F$9)</f>
        <v/>
      </c>
      <c r="V32" s="9">
        <f>MIN(MAX((YEAR(V22)-YEAR($F$8))*12+MONTH(V22)-MONTH($F$8),0),$F$9)</f>
        <v/>
      </c>
      <c r="W32" s="9">
        <f>MIN(MAX((YEAR(W22)-YEAR($F$8))*12+MONTH(W22)-MONTH($F$8),0),$F$9)</f>
        <v/>
      </c>
      <c r="X32" s="9">
        <f>MIN(MAX((YEAR(X22)-YEAR($F$8))*12+MONTH(X22)-MONTH($F$8),0),$F$9)</f>
        <v/>
      </c>
      <c r="Y32" s="9">
        <f>MIN(MAX((YEAR(Y22)-YEAR($F$8))*12+MONTH(Y22)-MONTH($F$8),0),$F$9)</f>
        <v/>
      </c>
      <c r="Z32" s="9">
        <f>MIN(MAX((YEAR(Z22)-YEAR($F$8))*12+MONTH(Z22)-MONTH($F$8),0),$F$9)</f>
        <v/>
      </c>
      <c r="AA32" s="9">
        <f>MIN(MAX((YEAR(AA22)-YEAR($F$8))*12+MONTH(AA22)-MONTH($F$8),0),$F$9)</f>
        <v/>
      </c>
      <c r="AB32" s="9">
        <f>MIN(MAX((YEAR(AB22)-YEAR($F$8))*12+MONTH(AB22)-MONTH($F$8),0),$F$9)</f>
        <v/>
      </c>
      <c r="AC32" s="9">
        <f>MIN(MAX((YEAR(AC22)-YEAR($F$8))*12+MONTH(AC22)-MONTH($F$8),0),$F$9)</f>
        <v/>
      </c>
      <c r="AD32" s="9">
        <f>MIN(MAX((YEAR(AD22)-YEAR($F$8))*12+MONTH(AD22)-MONTH($F$8),0),$F$9)</f>
        <v/>
      </c>
      <c r="AE32" s="9">
        <f>MIN(MAX((YEAR(AE22)-YEAR($F$8))*12+MONTH(AE22)-MONTH($F$8),0),$F$9)</f>
        <v/>
      </c>
      <c r="AF32" s="9">
        <f>MIN(MAX((YEAR(AF22)-YEAR($F$8))*12+MONTH(AF22)-MONTH($F$8),0),$F$9)</f>
        <v/>
      </c>
      <c r="AG32" s="9">
        <f>MIN(MAX((YEAR(AG22)-YEAR($F$8))*12+MONTH(AG22)-MONTH($F$8),0),$F$9)</f>
        <v/>
      </c>
      <c r="AH32" s="9">
        <f>MIN(MAX((YEAR(AH22)-YEAR($F$8))*12+MONTH(AH22)-MONTH($F$8),0),$F$9)</f>
        <v/>
      </c>
      <c r="AI32" s="9">
        <f>MIN(MAX((YEAR(AI22)-YEAR($F$8))*12+MONTH(AI22)-MONTH($F$8),0),$F$9)</f>
        <v/>
      </c>
      <c r="AJ32" s="9">
        <f>MIN(MAX((YEAR(AJ22)-YEAR($F$8))*12+MONTH(AJ22)-MONTH($F$8),0),$F$9)</f>
        <v/>
      </c>
      <c r="AK32" s="9">
        <f>MIN(MAX((YEAR(AK22)-YEAR($F$8))*12+MONTH(AK22)-MONTH($F$8),0),$F$9)</f>
        <v/>
      </c>
      <c r="AL32" s="9">
        <f>MIN(MAX((YEAR(AL22)-YEAR($F$8))*12+MONTH(AL22)-MONTH($F$8),0),$F$9)</f>
        <v/>
      </c>
      <c r="AM32" s="9">
        <f>MIN(MAX((YEAR(AM22)-YEAR($F$8))*12+MONTH(AM22)-MONTH($F$8),0),$F$9)</f>
        <v/>
      </c>
      <c r="AN32" s="9">
        <f>MIN(MAX((YEAR(AN22)-YEAR($F$8))*12+MONTH(AN22)-MONTH($F$8),0),$F$9)</f>
        <v/>
      </c>
      <c r="AO32" s="9">
        <f>MIN(MAX((YEAR(AO22)-YEAR($F$8))*12+MONTH(AO22)-MONTH($F$8),0),$F$9)</f>
        <v/>
      </c>
      <c r="AP32" s="9">
        <f>MIN(MAX((YEAR(AP22)-YEAR($F$8))*12+MONTH(AP22)-MONTH($F$8),0),$F$9)</f>
        <v/>
      </c>
      <c r="AQ32" s="9">
        <f>MIN(MAX((YEAR(AQ22)-YEAR($F$8))*12+MONTH(AQ22)-MONTH($F$8),0),$F$9)</f>
        <v/>
      </c>
      <c r="AR32" s="9">
        <f>MIN(MAX((YEAR(AR22)-YEAR($F$8))*12+MONTH(AR22)-MONTH($F$8),0),$F$9)</f>
        <v/>
      </c>
      <c r="AS32" s="9">
        <f>MIN(MAX((YEAR(AS22)-YEAR($F$8))*12+MONTH(AS22)-MONTH($F$8),0),$F$9)</f>
        <v/>
      </c>
      <c r="AT32" s="9">
        <f>MIN(MAX((YEAR(AT22)-YEAR($F$8))*12+MONTH(AT22)-MONTH($F$8),0),$F$9)</f>
        <v/>
      </c>
      <c r="AU32" s="9">
        <f>MIN(MAX((YEAR(AU22)-YEAR($F$8))*12+MONTH(AU22)-MONTH($F$8),0),$F$9)</f>
        <v/>
      </c>
      <c r="AV32" s="9">
        <f>MIN(MAX((YEAR(AV22)-YEAR($F$8))*12+MONTH(AV22)-MONTH($F$8),0),$F$9)</f>
        <v/>
      </c>
      <c r="AW32" s="9">
        <f>MIN(MAX((YEAR(AW22)-YEAR($F$8))*12+MONTH(AW22)-MONTH($F$8),0),$F$9)</f>
        <v/>
      </c>
      <c r="AX32" s="9">
        <f>MIN(MAX((YEAR(AX22)-YEAR($F$8))*12+MONTH(AX22)-MONTH($F$8),0),$F$9)</f>
        <v/>
      </c>
      <c r="AY32" s="9">
        <f>MIN(MAX((YEAR(AY22)-YEAR($F$8))*12+MONTH(AY22)-MONTH($F$8),0),$F$9)</f>
        <v/>
      </c>
      <c r="AZ32" s="9">
        <f>MIN(MAX((YEAR(AZ22)-YEAR($F$8))*12+MONTH(AZ22)-MONTH($F$8),0),$F$9)</f>
        <v/>
      </c>
      <c r="BA32" s="9">
        <f>MIN(MAX((YEAR(BA22)-YEAR($F$8))*12+MONTH(BA22)-MONTH($F$8),0),$F$9)</f>
        <v/>
      </c>
      <c r="BB32" s="9">
        <f>MIN(MAX((YEAR(BB22)-YEAR($F$8))*12+MONTH(BB22)-MONTH($F$8),0),$F$9)</f>
        <v/>
      </c>
      <c r="BC32" s="9">
        <f>MIN(MAX((YEAR(BC22)-YEAR($F$8))*12+MONTH(BC22)-MONTH($F$8),0),$F$9)</f>
        <v/>
      </c>
      <c r="BD32" s="9">
        <f>MIN(MAX((YEAR(BD22)-YEAR($F$8))*12+MONTH(BD22)-MONTH($F$8),0),$F$9)</f>
        <v/>
      </c>
      <c r="BE32" s="9">
        <f>MIN(MAX((YEAR(BE22)-YEAR($F$8))*12+MONTH(BE22)-MONTH($F$8),0),$F$9)</f>
        <v/>
      </c>
      <c r="BF32" s="9">
        <f>MIN(MAX((YEAR(BF22)-YEAR($F$8))*12+MONTH(BF22)-MONTH($F$8),0),$F$9)</f>
        <v/>
      </c>
      <c r="BG32" s="9">
        <f>MIN(MAX((YEAR(BG22)-YEAR($F$8))*12+MONTH(BG22)-MONTH($F$8),0),$F$9)</f>
        <v/>
      </c>
      <c r="BH32" s="9">
        <f>MIN(MAX((YEAR(BH22)-YEAR($F$8))*12+MONTH(BH22)-MONTH($F$8),0),$F$9)</f>
        <v/>
      </c>
      <c r="BI32" s="9">
        <f>MIN(MAX((YEAR(BI22)-YEAR($F$8))*12+MONTH(BI22)-MONTH($F$8),0),$F$9)</f>
        <v/>
      </c>
      <c r="BJ32" s="9">
        <f>MIN(MAX((YEAR(BJ22)-YEAR($F$8))*12+MONTH(BJ22)-MONTH($F$8),0),$F$9)</f>
        <v/>
      </c>
      <c r="BK32" s="9">
        <f>MIN(MAX((YEAR(BK22)-YEAR($F$8))*12+MONTH(BK22)-MONTH($F$8),0),$F$9)</f>
        <v/>
      </c>
      <c r="BL32" s="9">
        <f>MIN(MAX((YEAR(BL22)-YEAR($F$8))*12+MONTH(BL22)-MONTH($F$8),0),$F$9)</f>
        <v/>
      </c>
      <c r="BM32" s="9">
        <f>MIN(MAX((YEAR(BM22)-YEAR($F$8))*12+MONTH(BM22)-MONTH($F$8),0),$F$9)</f>
        <v/>
      </c>
      <c r="BN32" s="9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9">
        <f>J32+J30</f>
        <v/>
      </c>
      <c r="K33" s="9">
        <f>K32+K30</f>
        <v/>
      </c>
      <c r="L33" s="9">
        <f>L32+L30</f>
        <v/>
      </c>
      <c r="M33" s="9">
        <f>M32+M30</f>
        <v/>
      </c>
      <c r="N33" s="9">
        <f>N32+N30</f>
        <v/>
      </c>
      <c r="O33" s="9">
        <f>O32+O30</f>
        <v/>
      </c>
      <c r="P33" s="9">
        <f>P32+P30</f>
        <v/>
      </c>
      <c r="Q33" s="9">
        <f>Q32+Q30</f>
        <v/>
      </c>
      <c r="R33" s="9">
        <f>R32+R30</f>
        <v/>
      </c>
      <c r="S33" s="9">
        <f>S32+S30</f>
        <v/>
      </c>
      <c r="T33" s="9">
        <f>T32+T30</f>
        <v/>
      </c>
      <c r="U33" s="9">
        <f>U32+U30</f>
        <v/>
      </c>
      <c r="V33" s="9">
        <f>V32+V30</f>
        <v/>
      </c>
      <c r="W33" s="9">
        <f>W32+W30</f>
        <v/>
      </c>
      <c r="X33" s="9">
        <f>X32+X30</f>
        <v/>
      </c>
      <c r="Y33" s="9">
        <f>Y32+Y30</f>
        <v/>
      </c>
      <c r="Z33" s="9">
        <f>Z32+Z30</f>
        <v/>
      </c>
      <c r="AA33" s="9">
        <f>AA32+AA30</f>
        <v/>
      </c>
      <c r="AB33" s="9">
        <f>AB32+AB30</f>
        <v/>
      </c>
      <c r="AC33" s="9">
        <f>AC32+AC30</f>
        <v/>
      </c>
      <c r="AD33" s="9">
        <f>AD32+AD30</f>
        <v/>
      </c>
      <c r="AE33" s="9">
        <f>AE32+AE30</f>
        <v/>
      </c>
      <c r="AF33" s="9">
        <f>AF32+AF30</f>
        <v/>
      </c>
      <c r="AG33" s="9">
        <f>AG32+AG30</f>
        <v/>
      </c>
      <c r="AH33" s="9">
        <f>AH32+AH30</f>
        <v/>
      </c>
      <c r="AI33" s="9">
        <f>AI32+AI30</f>
        <v/>
      </c>
      <c r="AJ33" s="9">
        <f>AJ32+AJ30</f>
        <v/>
      </c>
      <c r="AK33" s="9">
        <f>AK32+AK30</f>
        <v/>
      </c>
      <c r="AL33" s="9">
        <f>AL32+AL30</f>
        <v/>
      </c>
      <c r="AM33" s="9">
        <f>AM32+AM30</f>
        <v/>
      </c>
      <c r="AN33" s="9">
        <f>AN32+AN30</f>
        <v/>
      </c>
      <c r="AO33" s="9">
        <f>AO32+AO30</f>
        <v/>
      </c>
      <c r="AP33" s="9">
        <f>AP32+AP30</f>
        <v/>
      </c>
      <c r="AQ33" s="9">
        <f>AQ32+AQ30</f>
        <v/>
      </c>
      <c r="AR33" s="9">
        <f>AR32+AR30</f>
        <v/>
      </c>
      <c r="AS33" s="9">
        <f>AS32+AS30</f>
        <v/>
      </c>
      <c r="AT33" s="9">
        <f>AT32+AT30</f>
        <v/>
      </c>
      <c r="AU33" s="9">
        <f>AU32+AU30</f>
        <v/>
      </c>
      <c r="AV33" s="9">
        <f>AV32+AV30</f>
        <v/>
      </c>
      <c r="AW33" s="9">
        <f>AW32+AW30</f>
        <v/>
      </c>
      <c r="AX33" s="9">
        <f>AX32+AX30</f>
        <v/>
      </c>
      <c r="AY33" s="9">
        <f>AY32+AY30</f>
        <v/>
      </c>
      <c r="AZ33" s="9">
        <f>AZ32+AZ30</f>
        <v/>
      </c>
      <c r="BA33" s="9">
        <f>BA32+BA30</f>
        <v/>
      </c>
      <c r="BB33" s="9">
        <f>BB32+BB30</f>
        <v/>
      </c>
      <c r="BC33" s="9">
        <f>BC32+BC30</f>
        <v/>
      </c>
      <c r="BD33" s="9">
        <f>BD32+BD30</f>
        <v/>
      </c>
      <c r="BE33" s="9">
        <f>BE32+BE30</f>
        <v/>
      </c>
      <c r="BF33" s="9">
        <f>BF32+BF30</f>
        <v/>
      </c>
      <c r="BG33" s="9">
        <f>BG32+BG30</f>
        <v/>
      </c>
      <c r="BH33" s="9">
        <f>BH32+BH30</f>
        <v/>
      </c>
      <c r="BI33" s="9">
        <f>BI32+BI30</f>
        <v/>
      </c>
      <c r="BJ33" s="9">
        <f>BJ32+BJ30</f>
        <v/>
      </c>
      <c r="BK33" s="9">
        <f>BK32+BK30</f>
        <v/>
      </c>
      <c r="BL33" s="9">
        <f>BL32+BL30</f>
        <v/>
      </c>
      <c r="BM33" s="9">
        <f>BM32+BM30</f>
        <v/>
      </c>
      <c r="BN33" s="9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9">
        <f>IF(J20=$F$12,1,0)</f>
        <v/>
      </c>
      <c r="K34" s="9">
        <f>IF(K20=$F$12,1,0)</f>
        <v/>
      </c>
      <c r="L34" s="9">
        <f>IF(L20=$F$12,1,0)</f>
        <v/>
      </c>
      <c r="M34" s="9">
        <f>IF(M20=$F$12,1,0)</f>
        <v/>
      </c>
      <c r="N34" s="9">
        <f>IF(N20=$F$12,1,0)</f>
        <v/>
      </c>
      <c r="O34" s="9">
        <f>IF(O20=$F$12,1,0)</f>
        <v/>
      </c>
      <c r="P34" s="9">
        <f>IF(P20=$F$12,1,0)</f>
        <v/>
      </c>
      <c r="Q34" s="9">
        <f>IF(Q20=$F$12,1,0)</f>
        <v/>
      </c>
      <c r="R34" s="9">
        <f>IF(R20=$F$12,1,0)</f>
        <v/>
      </c>
      <c r="S34" s="9">
        <f>IF(S20=$F$12,1,0)</f>
        <v/>
      </c>
      <c r="T34" s="9">
        <f>IF(T20=$F$12,1,0)</f>
        <v/>
      </c>
      <c r="U34" s="9">
        <f>IF(U20=$F$12,1,0)</f>
        <v/>
      </c>
      <c r="V34" s="9">
        <f>IF(V20=$F$12,1,0)</f>
        <v/>
      </c>
      <c r="W34" s="9">
        <f>IF(W20=$F$12,1,0)</f>
        <v/>
      </c>
      <c r="X34" s="9">
        <f>IF(X20=$F$12,1,0)</f>
        <v/>
      </c>
      <c r="Y34" s="9">
        <f>IF(Y20=$F$12,1,0)</f>
        <v/>
      </c>
      <c r="Z34" s="9">
        <f>IF(Z20=$F$12,1,0)</f>
        <v/>
      </c>
      <c r="AA34" s="9">
        <f>IF(AA20=$F$12,1,0)</f>
        <v/>
      </c>
      <c r="AB34" s="9">
        <f>IF(AB20=$F$12,1,0)</f>
        <v/>
      </c>
      <c r="AC34" s="9">
        <f>IF(AC20=$F$12,1,0)</f>
        <v/>
      </c>
      <c r="AD34" s="9">
        <f>IF(AD20=$F$12,1,0)</f>
        <v/>
      </c>
      <c r="AE34" s="9">
        <f>IF(AE20=$F$12,1,0)</f>
        <v/>
      </c>
      <c r="AF34" s="9">
        <f>IF(AF20=$F$12,1,0)</f>
        <v/>
      </c>
      <c r="AG34" s="9">
        <f>IF(AG20=$F$12,1,0)</f>
        <v/>
      </c>
      <c r="AH34" s="9">
        <f>IF(AH20=$F$12,1,0)</f>
        <v/>
      </c>
      <c r="AI34" s="9">
        <f>IF(AI20=$F$12,1,0)</f>
        <v/>
      </c>
      <c r="AJ34" s="9">
        <f>IF(AJ20=$F$12,1,0)</f>
        <v/>
      </c>
      <c r="AK34" s="9">
        <f>IF(AK20=$F$12,1,0)</f>
        <v/>
      </c>
      <c r="AL34" s="9">
        <f>IF(AL20=$F$12,1,0)</f>
        <v/>
      </c>
      <c r="AM34" s="9">
        <f>IF(AM20=$F$12,1,0)</f>
        <v/>
      </c>
      <c r="AN34" s="9">
        <f>IF(AN20=$F$12,1,0)</f>
        <v/>
      </c>
      <c r="AO34" s="9">
        <f>IF(AO20=$F$12,1,0)</f>
        <v/>
      </c>
      <c r="AP34" s="9">
        <f>IF(AP20=$F$12,1,0)</f>
        <v/>
      </c>
      <c r="AQ34" s="9">
        <f>IF(AQ20=$F$12,1,0)</f>
        <v/>
      </c>
      <c r="AR34" s="9">
        <f>IF(AR20=$F$12,1,0)</f>
        <v/>
      </c>
      <c r="AS34" s="9">
        <f>IF(AS20=$F$12,1,0)</f>
        <v/>
      </c>
      <c r="AT34" s="9">
        <f>IF(AT20=$F$12,1,0)</f>
        <v/>
      </c>
      <c r="AU34" s="9">
        <f>IF(AU20=$F$12,1,0)</f>
        <v/>
      </c>
      <c r="AV34" s="9">
        <f>IF(AV20=$F$12,1,0)</f>
        <v/>
      </c>
      <c r="AW34" s="9">
        <f>IF(AW20=$F$12,1,0)</f>
        <v/>
      </c>
      <c r="AX34" s="9">
        <f>IF(AX20=$F$12,1,0)</f>
        <v/>
      </c>
      <c r="AY34" s="9">
        <f>IF(AY20=$F$12,1,0)</f>
        <v/>
      </c>
      <c r="AZ34" s="9">
        <f>IF(AZ20=$F$12,1,0)</f>
        <v/>
      </c>
      <c r="BA34" s="9">
        <f>IF(BA20=$F$12,1,0)</f>
        <v/>
      </c>
      <c r="BB34" s="9">
        <f>IF(BB20=$F$12,1,0)</f>
        <v/>
      </c>
      <c r="BC34" s="9">
        <f>IF(BC20=$F$12,1,0)</f>
        <v/>
      </c>
      <c r="BD34" s="9">
        <f>IF(BD20=$F$12,1,0)</f>
        <v/>
      </c>
      <c r="BE34" s="9">
        <f>IF(BE20=$F$12,1,0)</f>
        <v/>
      </c>
      <c r="BF34" s="9">
        <f>IF(BF20=$F$12,1,0)</f>
        <v/>
      </c>
      <c r="BG34" s="9">
        <f>IF(BG20=$F$12,1,0)</f>
        <v/>
      </c>
      <c r="BH34" s="9">
        <f>IF(BH20=$F$12,1,0)</f>
        <v/>
      </c>
      <c r="BI34" s="9">
        <f>IF(BI20=$F$12,1,0)</f>
        <v/>
      </c>
      <c r="BJ34" s="9">
        <f>IF(BJ20=$F$12,1,0)</f>
        <v/>
      </c>
      <c r="BK34" s="9">
        <f>IF(BK20=$F$12,1,0)</f>
        <v/>
      </c>
      <c r="BL34" s="9">
        <f>IF(BL20=$F$12,1,0)</f>
        <v/>
      </c>
      <c r="BM34" s="9">
        <f>IF(BM20=$F$12,1,0)</f>
        <v/>
      </c>
      <c r="BN34" s="9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9">
        <f>IF(J20&gt;$F$12,1,0)</f>
        <v/>
      </c>
      <c r="K35" s="9">
        <f>IF(K20&gt;$F$12,1,0)</f>
        <v/>
      </c>
      <c r="L35" s="9">
        <f>IF(L20&gt;$F$12,1,0)</f>
        <v/>
      </c>
      <c r="M35" s="9">
        <f>IF(M20&gt;$F$12,1,0)</f>
        <v/>
      </c>
      <c r="N35" s="9">
        <f>IF(N20&gt;$F$12,1,0)</f>
        <v/>
      </c>
      <c r="O35" s="9">
        <f>IF(O20&gt;$F$12,1,0)</f>
        <v/>
      </c>
      <c r="P35" s="9">
        <f>IF(P20&gt;$F$12,1,0)</f>
        <v/>
      </c>
      <c r="Q35" s="9">
        <f>IF(Q20&gt;$F$12,1,0)</f>
        <v/>
      </c>
      <c r="R35" s="9">
        <f>IF(R20&gt;$F$12,1,0)</f>
        <v/>
      </c>
      <c r="S35" s="9">
        <f>IF(S20&gt;$F$12,1,0)</f>
        <v/>
      </c>
      <c r="T35" s="9">
        <f>IF(T20&gt;$F$12,1,0)</f>
        <v/>
      </c>
      <c r="U35" s="9">
        <f>IF(U20&gt;$F$12,1,0)</f>
        <v/>
      </c>
      <c r="V35" s="9">
        <f>IF(V20&gt;$F$12,1,0)</f>
        <v/>
      </c>
      <c r="W35" s="9">
        <f>IF(W20&gt;$F$12,1,0)</f>
        <v/>
      </c>
      <c r="X35" s="9">
        <f>IF(X20&gt;$F$12,1,0)</f>
        <v/>
      </c>
      <c r="Y35" s="9">
        <f>IF(Y20&gt;$F$12,1,0)</f>
        <v/>
      </c>
      <c r="Z35" s="9">
        <f>IF(Z20&gt;$F$12,1,0)</f>
        <v/>
      </c>
      <c r="AA35" s="9">
        <f>IF(AA20&gt;$F$12,1,0)</f>
        <v/>
      </c>
      <c r="AB35" s="9">
        <f>IF(AB20&gt;$F$12,1,0)</f>
        <v/>
      </c>
      <c r="AC35" s="9">
        <f>IF(AC20&gt;$F$12,1,0)</f>
        <v/>
      </c>
      <c r="AD35" s="9">
        <f>IF(AD20&gt;$F$12,1,0)</f>
        <v/>
      </c>
      <c r="AE35" s="9">
        <f>IF(AE20&gt;$F$12,1,0)</f>
        <v/>
      </c>
      <c r="AF35" s="9">
        <f>IF(AF20&gt;$F$12,1,0)</f>
        <v/>
      </c>
      <c r="AG35" s="9">
        <f>IF(AG20&gt;$F$12,1,0)</f>
        <v/>
      </c>
      <c r="AH35" s="9">
        <f>IF(AH20&gt;$F$12,1,0)</f>
        <v/>
      </c>
      <c r="AI35" s="9">
        <f>IF(AI20&gt;$F$12,1,0)</f>
        <v/>
      </c>
      <c r="AJ35" s="9">
        <f>IF(AJ20&gt;$F$12,1,0)</f>
        <v/>
      </c>
      <c r="AK35" s="9">
        <f>IF(AK20&gt;$F$12,1,0)</f>
        <v/>
      </c>
      <c r="AL35" s="9">
        <f>IF(AL20&gt;$F$12,1,0)</f>
        <v/>
      </c>
      <c r="AM35" s="9">
        <f>IF(AM20&gt;$F$12,1,0)</f>
        <v/>
      </c>
      <c r="AN35" s="9">
        <f>IF(AN20&gt;$F$12,1,0)</f>
        <v/>
      </c>
      <c r="AO35" s="9">
        <f>IF(AO20&gt;$F$12,1,0)</f>
        <v/>
      </c>
      <c r="AP35" s="9">
        <f>IF(AP20&gt;$F$12,1,0)</f>
        <v/>
      </c>
      <c r="AQ35" s="9">
        <f>IF(AQ20&gt;$F$12,1,0)</f>
        <v/>
      </c>
      <c r="AR35" s="9">
        <f>IF(AR20&gt;$F$12,1,0)</f>
        <v/>
      </c>
      <c r="AS35" s="9">
        <f>IF(AS20&gt;$F$12,1,0)</f>
        <v/>
      </c>
      <c r="AT35" s="9">
        <f>IF(AT20&gt;$F$12,1,0)</f>
        <v/>
      </c>
      <c r="AU35" s="9">
        <f>IF(AU20&gt;$F$12,1,0)</f>
        <v/>
      </c>
      <c r="AV35" s="9">
        <f>IF(AV20&gt;$F$12,1,0)</f>
        <v/>
      </c>
      <c r="AW35" s="9">
        <f>IF(AW20&gt;$F$12,1,0)</f>
        <v/>
      </c>
      <c r="AX35" s="9">
        <f>IF(AX20&gt;$F$12,1,0)</f>
        <v/>
      </c>
      <c r="AY35" s="9">
        <f>IF(AY20&gt;$F$12,1,0)</f>
        <v/>
      </c>
      <c r="AZ35" s="9">
        <f>IF(AZ20&gt;$F$12,1,0)</f>
        <v/>
      </c>
      <c r="BA35" s="9">
        <f>IF(BA20&gt;$F$12,1,0)</f>
        <v/>
      </c>
      <c r="BB35" s="9">
        <f>IF(BB20&gt;$F$12,1,0)</f>
        <v/>
      </c>
      <c r="BC35" s="9">
        <f>IF(BC20&gt;$F$12,1,0)</f>
        <v/>
      </c>
      <c r="BD35" s="9">
        <f>IF(BD20&gt;$F$12,1,0)</f>
        <v/>
      </c>
      <c r="BE35" s="9">
        <f>IF(BE20&gt;$F$12,1,0)</f>
        <v/>
      </c>
      <c r="BF35" s="9">
        <f>IF(BF20&gt;$F$12,1,0)</f>
        <v/>
      </c>
      <c r="BG35" s="9">
        <f>IF(BG20&gt;$F$12,1,0)</f>
        <v/>
      </c>
      <c r="BH35" s="9">
        <f>IF(BH20&gt;$F$12,1,0)</f>
        <v/>
      </c>
      <c r="BI35" s="9">
        <f>IF(BI20&gt;$F$12,1,0)</f>
        <v/>
      </c>
      <c r="BJ35" s="9">
        <f>IF(BJ20&gt;$F$12,1,0)</f>
        <v/>
      </c>
      <c r="BK35" s="9">
        <f>IF(BK20&gt;$F$12,1,0)</f>
        <v/>
      </c>
      <c r="BL35" s="9">
        <f>IF(BL20&gt;$F$12,1,0)</f>
        <v/>
      </c>
      <c r="BM35" s="9">
        <f>IF(BM20&gt;$F$12,1,0)</f>
        <v/>
      </c>
      <c r="BN35" s="9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9">
        <f>IF(J30&gt;0,1,0)</f>
        <v/>
      </c>
      <c r="K36" s="9">
        <f>IF(K30&gt;0,1,0)</f>
        <v/>
      </c>
      <c r="L36" s="9">
        <f>IF(L30&gt;0,1,0)</f>
        <v/>
      </c>
      <c r="M36" s="9">
        <f>IF(M30&gt;0,1,0)</f>
        <v/>
      </c>
      <c r="N36" s="9">
        <f>IF(N30&gt;0,1,0)</f>
        <v/>
      </c>
      <c r="O36" s="9">
        <f>IF(O30&gt;0,1,0)</f>
        <v/>
      </c>
      <c r="P36" s="9">
        <f>IF(P30&gt;0,1,0)</f>
        <v/>
      </c>
      <c r="Q36" s="9">
        <f>IF(Q30&gt;0,1,0)</f>
        <v/>
      </c>
      <c r="R36" s="9">
        <f>IF(R30&gt;0,1,0)</f>
        <v/>
      </c>
      <c r="S36" s="9">
        <f>IF(S30&gt;0,1,0)</f>
        <v/>
      </c>
      <c r="T36" s="9">
        <f>IF(T30&gt;0,1,0)</f>
        <v/>
      </c>
      <c r="U36" s="9">
        <f>IF(U30&gt;0,1,0)</f>
        <v/>
      </c>
      <c r="V36" s="9">
        <f>IF(V30&gt;0,1,0)</f>
        <v/>
      </c>
      <c r="W36" s="9">
        <f>IF(W30&gt;0,1,0)</f>
        <v/>
      </c>
      <c r="X36" s="9">
        <f>IF(X30&gt;0,1,0)</f>
        <v/>
      </c>
      <c r="Y36" s="9">
        <f>IF(Y30&gt;0,1,0)</f>
        <v/>
      </c>
      <c r="Z36" s="9">
        <f>IF(Z30&gt;0,1,0)</f>
        <v/>
      </c>
      <c r="AA36" s="9">
        <f>IF(AA30&gt;0,1,0)</f>
        <v/>
      </c>
      <c r="AB36" s="9">
        <f>IF(AB30&gt;0,1,0)</f>
        <v/>
      </c>
      <c r="AC36" s="9">
        <f>IF(AC30&gt;0,1,0)</f>
        <v/>
      </c>
      <c r="AD36" s="9">
        <f>IF(AD30&gt;0,1,0)</f>
        <v/>
      </c>
      <c r="AE36" s="9">
        <f>IF(AE30&gt;0,1,0)</f>
        <v/>
      </c>
      <c r="AF36" s="9">
        <f>IF(AF30&gt;0,1,0)</f>
        <v/>
      </c>
      <c r="AG36" s="9">
        <f>IF(AG30&gt;0,1,0)</f>
        <v/>
      </c>
      <c r="AH36" s="9">
        <f>IF(AH30&gt;0,1,0)</f>
        <v/>
      </c>
      <c r="AI36" s="9">
        <f>IF(AI30&gt;0,1,0)</f>
        <v/>
      </c>
      <c r="AJ36" s="9">
        <f>IF(AJ30&gt;0,1,0)</f>
        <v/>
      </c>
      <c r="AK36" s="9">
        <f>IF(AK30&gt;0,1,0)</f>
        <v/>
      </c>
      <c r="AL36" s="9">
        <f>IF(AL30&gt;0,1,0)</f>
        <v/>
      </c>
      <c r="AM36" s="9">
        <f>IF(AM30&gt;0,1,0)</f>
        <v/>
      </c>
      <c r="AN36" s="9">
        <f>IF(AN30&gt;0,1,0)</f>
        <v/>
      </c>
      <c r="AO36" s="9">
        <f>IF(AO30&gt;0,1,0)</f>
        <v/>
      </c>
      <c r="AP36" s="9">
        <f>IF(AP30&gt;0,1,0)</f>
        <v/>
      </c>
      <c r="AQ36" s="9">
        <f>IF(AQ30&gt;0,1,0)</f>
        <v/>
      </c>
      <c r="AR36" s="9">
        <f>IF(AR30&gt;0,1,0)</f>
        <v/>
      </c>
      <c r="AS36" s="9">
        <f>IF(AS30&gt;0,1,0)</f>
        <v/>
      </c>
      <c r="AT36" s="9">
        <f>IF(AT30&gt;0,1,0)</f>
        <v/>
      </c>
      <c r="AU36" s="9">
        <f>IF(AU30&gt;0,1,0)</f>
        <v/>
      </c>
      <c r="AV36" s="9">
        <f>IF(AV30&gt;0,1,0)</f>
        <v/>
      </c>
      <c r="AW36" s="9">
        <f>IF(AW30&gt;0,1,0)</f>
        <v/>
      </c>
      <c r="AX36" s="9">
        <f>IF(AX30&gt;0,1,0)</f>
        <v/>
      </c>
      <c r="AY36" s="9">
        <f>IF(AY30&gt;0,1,0)</f>
        <v/>
      </c>
      <c r="AZ36" s="9">
        <f>IF(AZ30&gt;0,1,0)</f>
        <v/>
      </c>
      <c r="BA36" s="9">
        <f>IF(BA30&gt;0,1,0)</f>
        <v/>
      </c>
      <c r="BB36" s="9">
        <f>IF(BB30&gt;0,1,0)</f>
        <v/>
      </c>
      <c r="BC36" s="9">
        <f>IF(BC30&gt;0,1,0)</f>
        <v/>
      </c>
      <c r="BD36" s="9">
        <f>IF(BD30&gt;0,1,0)</f>
        <v/>
      </c>
      <c r="BE36" s="9">
        <f>IF(BE30&gt;0,1,0)</f>
        <v/>
      </c>
      <c r="BF36" s="9">
        <f>IF(BF30&gt;0,1,0)</f>
        <v/>
      </c>
      <c r="BG36" s="9">
        <f>IF(BG30&gt;0,1,0)</f>
        <v/>
      </c>
      <c r="BH36" s="9">
        <f>IF(BH30&gt;0,1,0)</f>
        <v/>
      </c>
      <c r="BI36" s="9">
        <f>IF(BI30&gt;0,1,0)</f>
        <v/>
      </c>
      <c r="BJ36" s="9">
        <f>IF(BJ30&gt;0,1,0)</f>
        <v/>
      </c>
      <c r="BK36" s="9">
        <f>IF(BK30&gt;0,1,0)</f>
        <v/>
      </c>
      <c r="BL36" s="9">
        <f>IF(BL30&gt;0,1,0)</f>
        <v/>
      </c>
      <c r="BM36" s="9">
        <f>IF(BM30&gt;0,1,0)</f>
        <v/>
      </c>
      <c r="BN36" s="9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9">
        <f>IF(AND(J30&gt;0,K30=0),1,0)</f>
        <v/>
      </c>
      <c r="K37" s="9">
        <f>IF(AND(K30&gt;0,L30=0),1,0)</f>
        <v/>
      </c>
      <c r="L37" s="9">
        <f>IF(AND(L30&gt;0,M30=0),1,0)</f>
        <v/>
      </c>
      <c r="M37" s="9">
        <f>IF(AND(M30&gt;0,N30=0),1,0)</f>
        <v/>
      </c>
      <c r="N37" s="9">
        <f>IF(AND(N30&gt;0,O30=0),1,0)</f>
        <v/>
      </c>
      <c r="O37" s="9">
        <f>IF(AND(O30&gt;0,P30=0),1,0)</f>
        <v/>
      </c>
      <c r="P37" s="9">
        <f>IF(AND(P30&gt;0,Q30=0),1,0)</f>
        <v/>
      </c>
      <c r="Q37" s="9">
        <f>IF(AND(Q30&gt;0,R30=0),1,0)</f>
        <v/>
      </c>
      <c r="R37" s="9">
        <f>IF(AND(R30&gt;0,S30=0),1,0)</f>
        <v/>
      </c>
      <c r="S37" s="9">
        <f>IF(AND(S30&gt;0,T30=0),1,0)</f>
        <v/>
      </c>
      <c r="T37" s="9">
        <f>IF(AND(T30&gt;0,U30=0),1,0)</f>
        <v/>
      </c>
      <c r="U37" s="9">
        <f>IF(AND(U30&gt;0,V30=0),1,0)</f>
        <v/>
      </c>
      <c r="V37" s="9">
        <f>IF(AND(V30&gt;0,W30=0),1,0)</f>
        <v/>
      </c>
      <c r="W37" s="9">
        <f>IF(AND(W30&gt;0,X30=0),1,0)</f>
        <v/>
      </c>
      <c r="X37" s="9">
        <f>IF(AND(X30&gt;0,Y30=0),1,0)</f>
        <v/>
      </c>
      <c r="Y37" s="9">
        <f>IF(AND(Y30&gt;0,Z30=0),1,0)</f>
        <v/>
      </c>
      <c r="Z37" s="9">
        <f>IF(AND(Z30&gt;0,AA30=0),1,0)</f>
        <v/>
      </c>
      <c r="AA37" s="9">
        <f>IF(AND(AA30&gt;0,AB30=0),1,0)</f>
        <v/>
      </c>
      <c r="AB37" s="9">
        <f>IF(AND(AB30&gt;0,AC30=0),1,0)</f>
        <v/>
      </c>
      <c r="AC37" s="9">
        <f>IF(AND(AC30&gt;0,AD30=0),1,0)</f>
        <v/>
      </c>
      <c r="AD37" s="9">
        <f>IF(AND(AD30&gt;0,AE30=0),1,0)</f>
        <v/>
      </c>
      <c r="AE37" s="9">
        <f>IF(AND(AE30&gt;0,AF30=0),1,0)</f>
        <v/>
      </c>
      <c r="AF37" s="9">
        <f>IF(AND(AF30&gt;0,AG30=0),1,0)</f>
        <v/>
      </c>
      <c r="AG37" s="9">
        <f>IF(AND(AG30&gt;0,AH30=0),1,0)</f>
        <v/>
      </c>
      <c r="AH37" s="9">
        <f>IF(AND(AH30&gt;0,AI30=0),1,0)</f>
        <v/>
      </c>
      <c r="AI37" s="9">
        <f>IF(AND(AI30&gt;0,AJ30=0),1,0)</f>
        <v/>
      </c>
      <c r="AJ37" s="9">
        <f>IF(AND(AJ30&gt;0,AK30=0),1,0)</f>
        <v/>
      </c>
      <c r="AK37" s="9">
        <f>IF(AND(AK30&gt;0,AL30=0),1,0)</f>
        <v/>
      </c>
      <c r="AL37" s="9">
        <f>IF(AND(AL30&gt;0,AM30=0),1,0)</f>
        <v/>
      </c>
      <c r="AM37" s="9">
        <f>IF(AND(AM30&gt;0,AN30=0),1,0)</f>
        <v/>
      </c>
      <c r="AN37" s="9">
        <f>IF(AND(AN30&gt;0,AO30=0),1,0)</f>
        <v/>
      </c>
      <c r="AO37" s="9">
        <f>IF(AND(AO30&gt;0,AP30=0),1,0)</f>
        <v/>
      </c>
      <c r="AP37" s="9">
        <f>IF(AND(AP30&gt;0,AQ30=0),1,0)</f>
        <v/>
      </c>
      <c r="AQ37" s="9">
        <f>IF(AND(AQ30&gt;0,AR30=0),1,0)</f>
        <v/>
      </c>
      <c r="AR37" s="9">
        <f>IF(AND(AR30&gt;0,AS30=0),1,0)</f>
        <v/>
      </c>
      <c r="AS37" s="9">
        <f>IF(AND(AS30&gt;0,AT30=0),1,0)</f>
        <v/>
      </c>
      <c r="AT37" s="9">
        <f>IF(AND(AT30&gt;0,AU30=0),1,0)</f>
        <v/>
      </c>
      <c r="AU37" s="9">
        <f>IF(AND(AU30&gt;0,AV30=0),1,0)</f>
        <v/>
      </c>
      <c r="AV37" s="9">
        <f>IF(AND(AV30&gt;0,AW30=0),1,0)</f>
        <v/>
      </c>
      <c r="AW37" s="9">
        <f>IF(AND(AW30&gt;0,AX30=0),1,0)</f>
        <v/>
      </c>
      <c r="AX37" s="9">
        <f>IF(AND(AX30&gt;0,AY30=0),1,0)</f>
        <v/>
      </c>
      <c r="AY37" s="9">
        <f>IF(AND(AY30&gt;0,AZ30=0),1,0)</f>
        <v/>
      </c>
      <c r="AZ37" s="9">
        <f>IF(AND(AZ30&gt;0,BA30=0),1,0)</f>
        <v/>
      </c>
      <c r="BA37" s="9">
        <f>IF(AND(BA30&gt;0,BB30=0),1,0)</f>
        <v/>
      </c>
      <c r="BB37" s="9">
        <f>IF(AND(BB30&gt;0,BC30=0),1,0)</f>
        <v/>
      </c>
      <c r="BC37" s="9">
        <f>IF(AND(BC30&gt;0,BD30=0),1,0)</f>
        <v/>
      </c>
      <c r="BD37" s="9">
        <f>IF(AND(BD30&gt;0,BE30=0),1,0)</f>
        <v/>
      </c>
      <c r="BE37" s="9">
        <f>IF(AND(BE30&gt;0,BF30=0),1,0)</f>
        <v/>
      </c>
      <c r="BF37" s="9">
        <f>IF(AND(BF30&gt;0,BG30=0),1,0)</f>
        <v/>
      </c>
      <c r="BG37" s="9">
        <f>IF(AND(BG30&gt;0,BH30=0),1,0)</f>
        <v/>
      </c>
      <c r="BH37" s="9">
        <f>IF(AND(BH30&gt;0,BI30=0),1,0)</f>
        <v/>
      </c>
      <c r="BI37" s="9">
        <f>IF(AND(BI30&gt;0,BJ30=0),1,0)</f>
        <v/>
      </c>
      <c r="BJ37" s="9">
        <f>IF(AND(BJ30&gt;0,BK30=0),1,0)</f>
        <v/>
      </c>
      <c r="BK37" s="9">
        <f>IF(AND(BK30&gt;0,BL30=0),1,0)</f>
        <v/>
      </c>
      <c r="BL37" s="9">
        <f>IF(AND(BL30&gt;0,BM30=0),1,0)</f>
        <v/>
      </c>
      <c r="BM37" s="9">
        <f>IF(AND(BM30&gt;0,BN30=0),1,0)</f>
        <v/>
      </c>
      <c r="BN37" s="9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9">
        <f>IF(AND(J22&gt;=Inputs!$F$193,J22&lt;EDATE(Inputs!$F$193,Inputs!$F$211)),1,0)</f>
        <v/>
      </c>
      <c r="K38" s="9">
        <f>IF(AND(K22&gt;=Inputs!$F$193,K22&lt;EDATE(Inputs!$F$193,Inputs!$F$211)),1,0)</f>
        <v/>
      </c>
      <c r="L38" s="9">
        <f>IF(AND(L22&gt;=Inputs!$F$193,L22&lt;EDATE(Inputs!$F$193,Inputs!$F$211)),1,0)</f>
        <v/>
      </c>
      <c r="M38" s="9">
        <f>IF(AND(M22&gt;=Inputs!$F$193,M22&lt;EDATE(Inputs!$F$193,Inputs!$F$211)),1,0)</f>
        <v/>
      </c>
      <c r="N38" s="9">
        <f>IF(AND(N22&gt;=Inputs!$F$193,N22&lt;EDATE(Inputs!$F$193,Inputs!$F$211)),1,0)</f>
        <v/>
      </c>
      <c r="O38" s="9">
        <f>IF(AND(O22&gt;=Inputs!$F$193,O22&lt;EDATE(Inputs!$F$193,Inputs!$F$211)),1,0)</f>
        <v/>
      </c>
      <c r="P38" s="9">
        <f>IF(AND(P22&gt;=Inputs!$F$193,P22&lt;EDATE(Inputs!$F$193,Inputs!$F$211)),1,0)</f>
        <v/>
      </c>
      <c r="Q38" s="9">
        <f>IF(AND(Q22&gt;=Inputs!$F$193,Q22&lt;EDATE(Inputs!$F$193,Inputs!$F$211)),1,0)</f>
        <v/>
      </c>
      <c r="R38" s="9">
        <f>IF(AND(R22&gt;=Inputs!$F$193,R22&lt;EDATE(Inputs!$F$193,Inputs!$F$211)),1,0)</f>
        <v/>
      </c>
      <c r="S38" s="9">
        <f>IF(AND(S22&gt;=Inputs!$F$193,S22&lt;EDATE(Inputs!$F$193,Inputs!$F$211)),1,0)</f>
        <v/>
      </c>
      <c r="T38" s="9">
        <f>IF(AND(T22&gt;=Inputs!$F$193,T22&lt;EDATE(Inputs!$F$193,Inputs!$F$211)),1,0)</f>
        <v/>
      </c>
      <c r="U38" s="9">
        <f>IF(AND(U22&gt;=Inputs!$F$193,U22&lt;EDATE(Inputs!$F$193,Inputs!$F$211)),1,0)</f>
        <v/>
      </c>
      <c r="V38" s="9">
        <f>IF(AND(V22&gt;=Inputs!$F$193,V22&lt;EDATE(Inputs!$F$193,Inputs!$F$211)),1,0)</f>
        <v/>
      </c>
      <c r="W38" s="9">
        <f>IF(AND(W22&gt;=Inputs!$F$193,W22&lt;EDATE(Inputs!$F$193,Inputs!$F$211)),1,0)</f>
        <v/>
      </c>
      <c r="X38" s="9">
        <f>IF(AND(X22&gt;=Inputs!$F$193,X22&lt;EDATE(Inputs!$F$193,Inputs!$F$211)),1,0)</f>
        <v/>
      </c>
      <c r="Y38" s="9">
        <f>IF(AND(Y22&gt;=Inputs!$F$193,Y22&lt;EDATE(Inputs!$F$193,Inputs!$F$211)),1,0)</f>
        <v/>
      </c>
      <c r="Z38" s="9">
        <f>IF(AND(Z22&gt;=Inputs!$F$193,Z22&lt;EDATE(Inputs!$F$193,Inputs!$F$211)),1,0)</f>
        <v/>
      </c>
      <c r="AA38" s="9">
        <f>IF(AND(AA22&gt;=Inputs!$F$193,AA22&lt;EDATE(Inputs!$F$193,Inputs!$F$211)),1,0)</f>
        <v/>
      </c>
      <c r="AB38" s="9">
        <f>IF(AND(AB22&gt;=Inputs!$F$193,AB22&lt;EDATE(Inputs!$F$193,Inputs!$F$211)),1,0)</f>
        <v/>
      </c>
      <c r="AC38" s="9">
        <f>IF(AND(AC22&gt;=Inputs!$F$193,AC22&lt;EDATE(Inputs!$F$193,Inputs!$F$211)),1,0)</f>
        <v/>
      </c>
      <c r="AD38" s="9">
        <f>IF(AND(AD22&gt;=Inputs!$F$193,AD22&lt;EDATE(Inputs!$F$193,Inputs!$F$211)),1,0)</f>
        <v/>
      </c>
      <c r="AE38" s="9">
        <f>IF(AND(AE22&gt;=Inputs!$F$193,AE22&lt;EDATE(Inputs!$F$193,Inputs!$F$211)),1,0)</f>
        <v/>
      </c>
      <c r="AF38" s="9">
        <f>IF(AND(AF22&gt;=Inputs!$F$193,AF22&lt;EDATE(Inputs!$F$193,Inputs!$F$211)),1,0)</f>
        <v/>
      </c>
      <c r="AG38" s="9">
        <f>IF(AND(AG22&gt;=Inputs!$F$193,AG22&lt;EDATE(Inputs!$F$193,Inputs!$F$211)),1,0)</f>
        <v/>
      </c>
      <c r="AH38" s="9">
        <f>IF(AND(AH22&gt;=Inputs!$F$193,AH22&lt;EDATE(Inputs!$F$193,Inputs!$F$211)),1,0)</f>
        <v/>
      </c>
      <c r="AI38" s="9">
        <f>IF(AND(AI22&gt;=Inputs!$F$193,AI22&lt;EDATE(Inputs!$F$193,Inputs!$F$211)),1,0)</f>
        <v/>
      </c>
      <c r="AJ38" s="9">
        <f>IF(AND(AJ22&gt;=Inputs!$F$193,AJ22&lt;EDATE(Inputs!$F$193,Inputs!$F$211)),1,0)</f>
        <v/>
      </c>
      <c r="AK38" s="9">
        <f>IF(AND(AK22&gt;=Inputs!$F$193,AK22&lt;EDATE(Inputs!$F$193,Inputs!$F$211)),1,0)</f>
        <v/>
      </c>
      <c r="AL38" s="9">
        <f>IF(AND(AL22&gt;=Inputs!$F$193,AL22&lt;EDATE(Inputs!$F$193,Inputs!$F$211)),1,0)</f>
        <v/>
      </c>
      <c r="AM38" s="9">
        <f>IF(AND(AM22&gt;=Inputs!$F$193,AM22&lt;EDATE(Inputs!$F$193,Inputs!$F$211)),1,0)</f>
        <v/>
      </c>
      <c r="AN38" s="9">
        <f>IF(AND(AN22&gt;=Inputs!$F$193,AN22&lt;EDATE(Inputs!$F$193,Inputs!$F$211)),1,0)</f>
        <v/>
      </c>
      <c r="AO38" s="9">
        <f>IF(AND(AO22&gt;=Inputs!$F$193,AO22&lt;EDATE(Inputs!$F$193,Inputs!$F$211)),1,0)</f>
        <v/>
      </c>
      <c r="AP38" s="9">
        <f>IF(AND(AP22&gt;=Inputs!$F$193,AP22&lt;EDATE(Inputs!$F$193,Inputs!$F$211)),1,0)</f>
        <v/>
      </c>
      <c r="AQ38" s="9">
        <f>IF(AND(AQ22&gt;=Inputs!$F$193,AQ22&lt;EDATE(Inputs!$F$193,Inputs!$F$211)),1,0)</f>
        <v/>
      </c>
      <c r="AR38" s="9">
        <f>IF(AND(AR22&gt;=Inputs!$F$193,AR22&lt;EDATE(Inputs!$F$193,Inputs!$F$211)),1,0)</f>
        <v/>
      </c>
      <c r="AS38" s="9">
        <f>IF(AND(AS22&gt;=Inputs!$F$193,AS22&lt;EDATE(Inputs!$F$193,Inputs!$F$211)),1,0)</f>
        <v/>
      </c>
      <c r="AT38" s="9">
        <f>IF(AND(AT22&gt;=Inputs!$F$193,AT22&lt;EDATE(Inputs!$F$193,Inputs!$F$211)),1,0)</f>
        <v/>
      </c>
      <c r="AU38" s="9">
        <f>IF(AND(AU22&gt;=Inputs!$F$193,AU22&lt;EDATE(Inputs!$F$193,Inputs!$F$211)),1,0)</f>
        <v/>
      </c>
      <c r="AV38" s="9">
        <f>IF(AND(AV22&gt;=Inputs!$F$193,AV22&lt;EDATE(Inputs!$F$193,Inputs!$F$211)),1,0)</f>
        <v/>
      </c>
      <c r="AW38" s="9">
        <f>IF(AND(AW22&gt;=Inputs!$F$193,AW22&lt;EDATE(Inputs!$F$193,Inputs!$F$211)),1,0)</f>
        <v/>
      </c>
      <c r="AX38" s="9">
        <f>IF(AND(AX22&gt;=Inputs!$F$193,AX22&lt;EDATE(Inputs!$F$193,Inputs!$F$211)),1,0)</f>
        <v/>
      </c>
      <c r="AY38" s="9">
        <f>IF(AND(AY22&gt;=Inputs!$F$193,AY22&lt;EDATE(Inputs!$F$193,Inputs!$F$211)),1,0)</f>
        <v/>
      </c>
      <c r="AZ38" s="9">
        <f>IF(AND(AZ22&gt;=Inputs!$F$193,AZ22&lt;EDATE(Inputs!$F$193,Inputs!$F$211)),1,0)</f>
        <v/>
      </c>
      <c r="BA38" s="9">
        <f>IF(AND(BA22&gt;=Inputs!$F$193,BA22&lt;EDATE(Inputs!$F$193,Inputs!$F$211)),1,0)</f>
        <v/>
      </c>
      <c r="BB38" s="9">
        <f>IF(AND(BB22&gt;=Inputs!$F$193,BB22&lt;EDATE(Inputs!$F$193,Inputs!$F$211)),1,0)</f>
        <v/>
      </c>
      <c r="BC38" s="9">
        <f>IF(AND(BC22&gt;=Inputs!$F$193,BC22&lt;EDATE(Inputs!$F$193,Inputs!$F$211)),1,0)</f>
        <v/>
      </c>
      <c r="BD38" s="9">
        <f>IF(AND(BD22&gt;=Inputs!$F$193,BD22&lt;EDATE(Inputs!$F$193,Inputs!$F$211)),1,0)</f>
        <v/>
      </c>
      <c r="BE38" s="9">
        <f>IF(AND(BE22&gt;=Inputs!$F$193,BE22&lt;EDATE(Inputs!$F$193,Inputs!$F$211)),1,0)</f>
        <v/>
      </c>
      <c r="BF38" s="9">
        <f>IF(AND(BF22&gt;=Inputs!$F$193,BF22&lt;EDATE(Inputs!$F$193,Inputs!$F$211)),1,0)</f>
        <v/>
      </c>
      <c r="BG38" s="9">
        <f>IF(AND(BG22&gt;=Inputs!$F$193,BG22&lt;EDATE(Inputs!$F$193,Inputs!$F$211)),1,0)</f>
        <v/>
      </c>
      <c r="BH38" s="9">
        <f>IF(AND(BH22&gt;=Inputs!$F$193,BH22&lt;EDATE(Inputs!$F$193,Inputs!$F$211)),1,0)</f>
        <v/>
      </c>
      <c r="BI38" s="9">
        <f>IF(AND(BI22&gt;=Inputs!$F$193,BI22&lt;EDATE(Inputs!$F$193,Inputs!$F$211)),1,0)</f>
        <v/>
      </c>
      <c r="BJ38" s="9">
        <f>IF(AND(BJ22&gt;=Inputs!$F$193,BJ22&lt;EDATE(Inputs!$F$193,Inputs!$F$211)),1,0)</f>
        <v/>
      </c>
      <c r="BK38" s="9">
        <f>IF(AND(BK22&gt;=Inputs!$F$193,BK22&lt;EDATE(Inputs!$F$193,Inputs!$F$211)),1,0)</f>
        <v/>
      </c>
      <c r="BL38" s="9">
        <f>IF(AND(BL22&gt;=Inputs!$F$193,BL22&lt;EDATE(Inputs!$F$193,Inputs!$F$211)),1,0)</f>
        <v/>
      </c>
      <c r="BM38" s="9">
        <f>IF(AND(BM22&gt;=Inputs!$F$193,BM22&lt;EDATE(Inputs!$F$193,Inputs!$F$211)),1,0)</f>
        <v/>
      </c>
      <c r="BN38" s="9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9">
        <f>IF(J22&gt;=Inputs!$F$193,1,0)</f>
        <v/>
      </c>
      <c r="K39" s="9">
        <f>IF(K22&gt;=Inputs!$F$193,1,0)</f>
        <v/>
      </c>
      <c r="L39" s="9">
        <f>IF(L22&gt;=Inputs!$F$193,1,0)</f>
        <v/>
      </c>
      <c r="M39" s="9">
        <f>IF(M22&gt;=Inputs!$F$193,1,0)</f>
        <v/>
      </c>
      <c r="N39" s="9">
        <f>IF(N22&gt;=Inputs!$F$193,1,0)</f>
        <v/>
      </c>
      <c r="O39" s="9">
        <f>IF(O22&gt;=Inputs!$F$193,1,0)</f>
        <v/>
      </c>
      <c r="P39" s="9">
        <f>IF(P22&gt;=Inputs!$F$193,1,0)</f>
        <v/>
      </c>
      <c r="Q39" s="9">
        <f>IF(Q22&gt;=Inputs!$F$193,1,0)</f>
        <v/>
      </c>
      <c r="R39" s="9">
        <f>IF(R22&gt;=Inputs!$F$193,1,0)</f>
        <v/>
      </c>
      <c r="S39" s="9">
        <f>IF(S22&gt;=Inputs!$F$193,1,0)</f>
        <v/>
      </c>
      <c r="T39" s="9">
        <f>IF(T22&gt;=Inputs!$F$193,1,0)</f>
        <v/>
      </c>
      <c r="U39" s="9">
        <f>IF(U22&gt;=Inputs!$F$193,1,0)</f>
        <v/>
      </c>
      <c r="V39" s="9">
        <f>IF(V22&gt;=Inputs!$F$193,1,0)</f>
        <v/>
      </c>
      <c r="W39" s="9">
        <f>IF(W22&gt;=Inputs!$F$193,1,0)</f>
        <v/>
      </c>
      <c r="X39" s="9">
        <f>IF(X22&gt;=Inputs!$F$193,1,0)</f>
        <v/>
      </c>
      <c r="Y39" s="9">
        <f>IF(Y22&gt;=Inputs!$F$193,1,0)</f>
        <v/>
      </c>
      <c r="Z39" s="9">
        <f>IF(Z22&gt;=Inputs!$F$193,1,0)</f>
        <v/>
      </c>
      <c r="AA39" s="9">
        <f>IF(AA22&gt;=Inputs!$F$193,1,0)</f>
        <v/>
      </c>
      <c r="AB39" s="9">
        <f>IF(AB22&gt;=Inputs!$F$193,1,0)</f>
        <v/>
      </c>
      <c r="AC39" s="9">
        <f>IF(AC22&gt;=Inputs!$F$193,1,0)</f>
        <v/>
      </c>
      <c r="AD39" s="9">
        <f>IF(AD22&gt;=Inputs!$F$193,1,0)</f>
        <v/>
      </c>
      <c r="AE39" s="9">
        <f>IF(AE22&gt;=Inputs!$F$193,1,0)</f>
        <v/>
      </c>
      <c r="AF39" s="9">
        <f>IF(AF22&gt;=Inputs!$F$193,1,0)</f>
        <v/>
      </c>
      <c r="AG39" s="9">
        <f>IF(AG22&gt;=Inputs!$F$193,1,0)</f>
        <v/>
      </c>
      <c r="AH39" s="9">
        <f>IF(AH22&gt;=Inputs!$F$193,1,0)</f>
        <v/>
      </c>
      <c r="AI39" s="9">
        <f>IF(AI22&gt;=Inputs!$F$193,1,0)</f>
        <v/>
      </c>
      <c r="AJ39" s="9">
        <f>IF(AJ22&gt;=Inputs!$F$193,1,0)</f>
        <v/>
      </c>
      <c r="AK39" s="9">
        <f>IF(AK22&gt;=Inputs!$F$193,1,0)</f>
        <v/>
      </c>
      <c r="AL39" s="9">
        <f>IF(AL22&gt;=Inputs!$F$193,1,0)</f>
        <v/>
      </c>
      <c r="AM39" s="9">
        <f>IF(AM22&gt;=Inputs!$F$193,1,0)</f>
        <v/>
      </c>
      <c r="AN39" s="9">
        <f>IF(AN22&gt;=Inputs!$F$193,1,0)</f>
        <v/>
      </c>
      <c r="AO39" s="9">
        <f>IF(AO22&gt;=Inputs!$F$193,1,0)</f>
        <v/>
      </c>
      <c r="AP39" s="9">
        <f>IF(AP22&gt;=Inputs!$F$193,1,0)</f>
        <v/>
      </c>
      <c r="AQ39" s="9">
        <f>IF(AQ22&gt;=Inputs!$F$193,1,0)</f>
        <v/>
      </c>
      <c r="AR39" s="9">
        <f>IF(AR22&gt;=Inputs!$F$193,1,0)</f>
        <v/>
      </c>
      <c r="AS39" s="9">
        <f>IF(AS22&gt;=Inputs!$F$193,1,0)</f>
        <v/>
      </c>
      <c r="AT39" s="9">
        <f>IF(AT22&gt;=Inputs!$F$193,1,0)</f>
        <v/>
      </c>
      <c r="AU39" s="9">
        <f>IF(AU22&gt;=Inputs!$F$193,1,0)</f>
        <v/>
      </c>
      <c r="AV39" s="9">
        <f>IF(AV22&gt;=Inputs!$F$193,1,0)</f>
        <v/>
      </c>
      <c r="AW39" s="9">
        <f>IF(AW22&gt;=Inputs!$F$193,1,0)</f>
        <v/>
      </c>
      <c r="AX39" s="9">
        <f>IF(AX22&gt;=Inputs!$F$193,1,0)</f>
        <v/>
      </c>
      <c r="AY39" s="9">
        <f>IF(AY22&gt;=Inputs!$F$193,1,0)</f>
        <v/>
      </c>
      <c r="AZ39" s="9">
        <f>IF(AZ22&gt;=Inputs!$F$193,1,0)</f>
        <v/>
      </c>
      <c r="BA39" s="9">
        <f>IF(BA22&gt;=Inputs!$F$193,1,0)</f>
        <v/>
      </c>
      <c r="BB39" s="9">
        <f>IF(BB22&gt;=Inputs!$F$193,1,0)</f>
        <v/>
      </c>
      <c r="BC39" s="9">
        <f>IF(BC22&gt;=Inputs!$F$193,1,0)</f>
        <v/>
      </c>
      <c r="BD39" s="9">
        <f>IF(BD22&gt;=Inputs!$F$193,1,0)</f>
        <v/>
      </c>
      <c r="BE39" s="9">
        <f>IF(BE22&gt;=Inputs!$F$193,1,0)</f>
        <v/>
      </c>
      <c r="BF39" s="9">
        <f>IF(BF22&gt;=Inputs!$F$193,1,0)</f>
        <v/>
      </c>
      <c r="BG39" s="9">
        <f>IF(BG22&gt;=Inputs!$F$193,1,0)</f>
        <v/>
      </c>
      <c r="BH39" s="9">
        <f>IF(BH22&gt;=Inputs!$F$193,1,0)</f>
        <v/>
      </c>
      <c r="BI39" s="9">
        <f>IF(BI22&gt;=Inputs!$F$193,1,0)</f>
        <v/>
      </c>
      <c r="BJ39" s="9">
        <f>IF(BJ22&gt;=Inputs!$F$193,1,0)</f>
        <v/>
      </c>
      <c r="BK39" s="9">
        <f>IF(BK22&gt;=Inputs!$F$193,1,0)</f>
        <v/>
      </c>
      <c r="BL39" s="9">
        <f>IF(BL22&gt;=Inputs!$F$193,1,0)</f>
        <v/>
      </c>
      <c r="BM39" s="9">
        <f>IF(BM22&gt;=Inputs!$F$193,1,0)</f>
        <v/>
      </c>
      <c r="BN39" s="9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9">
        <f>IF(J22&gt;=Inputs!$F$196,1,0)</f>
        <v/>
      </c>
      <c r="K40" s="9">
        <f>IF(K22&gt;=Inputs!$F$196,1,0)</f>
        <v/>
      </c>
      <c r="L40" s="9">
        <f>IF(L22&gt;=Inputs!$F$196,1,0)</f>
        <v/>
      </c>
      <c r="M40" s="9">
        <f>IF(M22&gt;=Inputs!$F$196,1,0)</f>
        <v/>
      </c>
      <c r="N40" s="9">
        <f>IF(N22&gt;=Inputs!$F$196,1,0)</f>
        <v/>
      </c>
      <c r="O40" s="9">
        <f>IF(O22&gt;=Inputs!$F$196,1,0)</f>
        <v/>
      </c>
      <c r="P40" s="9">
        <f>IF(P22&gt;=Inputs!$F$196,1,0)</f>
        <v/>
      </c>
      <c r="Q40" s="9">
        <f>IF(Q22&gt;=Inputs!$F$196,1,0)</f>
        <v/>
      </c>
      <c r="R40" s="9">
        <f>IF(R22&gt;=Inputs!$F$196,1,0)</f>
        <v/>
      </c>
      <c r="S40" s="9">
        <f>IF(S22&gt;=Inputs!$F$196,1,0)</f>
        <v/>
      </c>
      <c r="T40" s="9">
        <f>IF(T22&gt;=Inputs!$F$196,1,0)</f>
        <v/>
      </c>
      <c r="U40" s="9">
        <f>IF(U22&gt;=Inputs!$F$196,1,0)</f>
        <v/>
      </c>
      <c r="V40" s="9">
        <f>IF(V22&gt;=Inputs!$F$196,1,0)</f>
        <v/>
      </c>
      <c r="W40" s="9">
        <f>IF(W22&gt;=Inputs!$F$196,1,0)</f>
        <v/>
      </c>
      <c r="X40" s="9">
        <f>IF(X22&gt;=Inputs!$F$196,1,0)</f>
        <v/>
      </c>
      <c r="Y40" s="9">
        <f>IF(Y22&gt;=Inputs!$F$196,1,0)</f>
        <v/>
      </c>
      <c r="Z40" s="9">
        <f>IF(Z22&gt;=Inputs!$F$196,1,0)</f>
        <v/>
      </c>
      <c r="AA40" s="9">
        <f>IF(AA22&gt;=Inputs!$F$196,1,0)</f>
        <v/>
      </c>
      <c r="AB40" s="9">
        <f>IF(AB22&gt;=Inputs!$F$196,1,0)</f>
        <v/>
      </c>
      <c r="AC40" s="9">
        <f>IF(AC22&gt;=Inputs!$F$196,1,0)</f>
        <v/>
      </c>
      <c r="AD40" s="9">
        <f>IF(AD22&gt;=Inputs!$F$196,1,0)</f>
        <v/>
      </c>
      <c r="AE40" s="9">
        <f>IF(AE22&gt;=Inputs!$F$196,1,0)</f>
        <v/>
      </c>
      <c r="AF40" s="9">
        <f>IF(AF22&gt;=Inputs!$F$196,1,0)</f>
        <v/>
      </c>
      <c r="AG40" s="9">
        <f>IF(AG22&gt;=Inputs!$F$196,1,0)</f>
        <v/>
      </c>
      <c r="AH40" s="9">
        <f>IF(AH22&gt;=Inputs!$F$196,1,0)</f>
        <v/>
      </c>
      <c r="AI40" s="9">
        <f>IF(AI22&gt;=Inputs!$F$196,1,0)</f>
        <v/>
      </c>
      <c r="AJ40" s="9">
        <f>IF(AJ22&gt;=Inputs!$F$196,1,0)</f>
        <v/>
      </c>
      <c r="AK40" s="9">
        <f>IF(AK22&gt;=Inputs!$F$196,1,0)</f>
        <v/>
      </c>
      <c r="AL40" s="9">
        <f>IF(AL22&gt;=Inputs!$F$196,1,0)</f>
        <v/>
      </c>
      <c r="AM40" s="9">
        <f>IF(AM22&gt;=Inputs!$F$196,1,0)</f>
        <v/>
      </c>
      <c r="AN40" s="9">
        <f>IF(AN22&gt;=Inputs!$F$196,1,0)</f>
        <v/>
      </c>
      <c r="AO40" s="9">
        <f>IF(AO22&gt;=Inputs!$F$196,1,0)</f>
        <v/>
      </c>
      <c r="AP40" s="9">
        <f>IF(AP22&gt;=Inputs!$F$196,1,0)</f>
        <v/>
      </c>
      <c r="AQ40" s="9">
        <f>IF(AQ22&gt;=Inputs!$F$196,1,0)</f>
        <v/>
      </c>
      <c r="AR40" s="9">
        <f>IF(AR22&gt;=Inputs!$F$196,1,0)</f>
        <v/>
      </c>
      <c r="AS40" s="9">
        <f>IF(AS22&gt;=Inputs!$F$196,1,0)</f>
        <v/>
      </c>
      <c r="AT40" s="9">
        <f>IF(AT22&gt;=Inputs!$F$196,1,0)</f>
        <v/>
      </c>
      <c r="AU40" s="9">
        <f>IF(AU22&gt;=Inputs!$F$196,1,0)</f>
        <v/>
      </c>
      <c r="AV40" s="9">
        <f>IF(AV22&gt;=Inputs!$F$196,1,0)</f>
        <v/>
      </c>
      <c r="AW40" s="9">
        <f>IF(AW22&gt;=Inputs!$F$196,1,0)</f>
        <v/>
      </c>
      <c r="AX40" s="9">
        <f>IF(AX22&gt;=Inputs!$F$196,1,0)</f>
        <v/>
      </c>
      <c r="AY40" s="9">
        <f>IF(AY22&gt;=Inputs!$F$196,1,0)</f>
        <v/>
      </c>
      <c r="AZ40" s="9">
        <f>IF(AZ22&gt;=Inputs!$F$196,1,0)</f>
        <v/>
      </c>
      <c r="BA40" s="9">
        <f>IF(BA22&gt;=Inputs!$F$196,1,0)</f>
        <v/>
      </c>
      <c r="BB40" s="9">
        <f>IF(BB22&gt;=Inputs!$F$196,1,0)</f>
        <v/>
      </c>
      <c r="BC40" s="9">
        <f>IF(BC22&gt;=Inputs!$F$196,1,0)</f>
        <v/>
      </c>
      <c r="BD40" s="9">
        <f>IF(BD22&gt;=Inputs!$F$196,1,0)</f>
        <v/>
      </c>
      <c r="BE40" s="9">
        <f>IF(BE22&gt;=Inputs!$F$196,1,0)</f>
        <v/>
      </c>
      <c r="BF40" s="9">
        <f>IF(BF22&gt;=Inputs!$F$196,1,0)</f>
        <v/>
      </c>
      <c r="BG40" s="9">
        <f>IF(BG22&gt;=Inputs!$F$196,1,0)</f>
        <v/>
      </c>
      <c r="BH40" s="9">
        <f>IF(BH22&gt;=Inputs!$F$196,1,0)</f>
        <v/>
      </c>
      <c r="BI40" s="9">
        <f>IF(BI22&gt;=Inputs!$F$196,1,0)</f>
        <v/>
      </c>
      <c r="BJ40" s="9">
        <f>IF(BJ22&gt;=Inputs!$F$196,1,0)</f>
        <v/>
      </c>
      <c r="BK40" s="9">
        <f>IF(BK22&gt;=Inputs!$F$196,1,0)</f>
        <v/>
      </c>
      <c r="BL40" s="9">
        <f>IF(BL22&gt;=Inputs!$F$196,1,0)</f>
        <v/>
      </c>
      <c r="BM40" s="9">
        <f>IF(BM22&gt;=Inputs!$F$196,1,0)</f>
        <v/>
      </c>
      <c r="BN40" s="9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9">
        <f>IF(J22&gt;=Inputs!$F$195,1,0)</f>
        <v/>
      </c>
      <c r="K41" s="9">
        <f>IF(K22&gt;=Inputs!$F$195,1,0)</f>
        <v/>
      </c>
      <c r="L41" s="9">
        <f>IF(L22&gt;=Inputs!$F$195,1,0)</f>
        <v/>
      </c>
      <c r="M41" s="9">
        <f>IF(M22&gt;=Inputs!$F$195,1,0)</f>
        <v/>
      </c>
      <c r="N41" s="9">
        <f>IF(N22&gt;=Inputs!$F$195,1,0)</f>
        <v/>
      </c>
      <c r="O41" s="9">
        <f>IF(O22&gt;=Inputs!$F$195,1,0)</f>
        <v/>
      </c>
      <c r="P41" s="9">
        <f>IF(P22&gt;=Inputs!$F$195,1,0)</f>
        <v/>
      </c>
      <c r="Q41" s="9">
        <f>IF(Q22&gt;=Inputs!$F$195,1,0)</f>
        <v/>
      </c>
      <c r="R41" s="9">
        <f>IF(R22&gt;=Inputs!$F$195,1,0)</f>
        <v/>
      </c>
      <c r="S41" s="9">
        <f>IF(S22&gt;=Inputs!$F$195,1,0)</f>
        <v/>
      </c>
      <c r="T41" s="9">
        <f>IF(T22&gt;=Inputs!$F$195,1,0)</f>
        <v/>
      </c>
      <c r="U41" s="9">
        <f>IF(U22&gt;=Inputs!$F$195,1,0)</f>
        <v/>
      </c>
      <c r="V41" s="9">
        <f>IF(V22&gt;=Inputs!$F$195,1,0)</f>
        <v/>
      </c>
      <c r="W41" s="9">
        <f>IF(W22&gt;=Inputs!$F$195,1,0)</f>
        <v/>
      </c>
      <c r="X41" s="9">
        <f>IF(X22&gt;=Inputs!$F$195,1,0)</f>
        <v/>
      </c>
      <c r="Y41" s="9">
        <f>IF(Y22&gt;=Inputs!$F$195,1,0)</f>
        <v/>
      </c>
      <c r="Z41" s="9">
        <f>IF(Z22&gt;=Inputs!$F$195,1,0)</f>
        <v/>
      </c>
      <c r="AA41" s="9">
        <f>IF(AA22&gt;=Inputs!$F$195,1,0)</f>
        <v/>
      </c>
      <c r="AB41" s="9">
        <f>IF(AB22&gt;=Inputs!$F$195,1,0)</f>
        <v/>
      </c>
      <c r="AC41" s="9">
        <f>IF(AC22&gt;=Inputs!$F$195,1,0)</f>
        <v/>
      </c>
      <c r="AD41" s="9">
        <f>IF(AD22&gt;=Inputs!$F$195,1,0)</f>
        <v/>
      </c>
      <c r="AE41" s="9">
        <f>IF(AE22&gt;=Inputs!$F$195,1,0)</f>
        <v/>
      </c>
      <c r="AF41" s="9">
        <f>IF(AF22&gt;=Inputs!$F$195,1,0)</f>
        <v/>
      </c>
      <c r="AG41" s="9">
        <f>IF(AG22&gt;=Inputs!$F$195,1,0)</f>
        <v/>
      </c>
      <c r="AH41" s="9">
        <f>IF(AH22&gt;=Inputs!$F$195,1,0)</f>
        <v/>
      </c>
      <c r="AI41" s="9">
        <f>IF(AI22&gt;=Inputs!$F$195,1,0)</f>
        <v/>
      </c>
      <c r="AJ41" s="9">
        <f>IF(AJ22&gt;=Inputs!$F$195,1,0)</f>
        <v/>
      </c>
      <c r="AK41" s="9">
        <f>IF(AK22&gt;=Inputs!$F$195,1,0)</f>
        <v/>
      </c>
      <c r="AL41" s="9">
        <f>IF(AL22&gt;=Inputs!$F$195,1,0)</f>
        <v/>
      </c>
      <c r="AM41" s="9">
        <f>IF(AM22&gt;=Inputs!$F$195,1,0)</f>
        <v/>
      </c>
      <c r="AN41" s="9">
        <f>IF(AN22&gt;=Inputs!$F$195,1,0)</f>
        <v/>
      </c>
      <c r="AO41" s="9">
        <f>IF(AO22&gt;=Inputs!$F$195,1,0)</f>
        <v/>
      </c>
      <c r="AP41" s="9">
        <f>IF(AP22&gt;=Inputs!$F$195,1,0)</f>
        <v/>
      </c>
      <c r="AQ41" s="9">
        <f>IF(AQ22&gt;=Inputs!$F$195,1,0)</f>
        <v/>
      </c>
      <c r="AR41" s="9">
        <f>IF(AR22&gt;=Inputs!$F$195,1,0)</f>
        <v/>
      </c>
      <c r="AS41" s="9">
        <f>IF(AS22&gt;=Inputs!$F$195,1,0)</f>
        <v/>
      </c>
      <c r="AT41" s="9">
        <f>IF(AT22&gt;=Inputs!$F$195,1,0)</f>
        <v/>
      </c>
      <c r="AU41" s="9">
        <f>IF(AU22&gt;=Inputs!$F$195,1,0)</f>
        <v/>
      </c>
      <c r="AV41" s="9">
        <f>IF(AV22&gt;=Inputs!$F$195,1,0)</f>
        <v/>
      </c>
      <c r="AW41" s="9">
        <f>IF(AW22&gt;=Inputs!$F$195,1,0)</f>
        <v/>
      </c>
      <c r="AX41" s="9">
        <f>IF(AX22&gt;=Inputs!$F$195,1,0)</f>
        <v/>
      </c>
      <c r="AY41" s="9">
        <f>IF(AY22&gt;=Inputs!$F$195,1,0)</f>
        <v/>
      </c>
      <c r="AZ41" s="9">
        <f>IF(AZ22&gt;=Inputs!$F$195,1,0)</f>
        <v/>
      </c>
      <c r="BA41" s="9">
        <f>IF(BA22&gt;=Inputs!$F$195,1,0)</f>
        <v/>
      </c>
      <c r="BB41" s="9">
        <f>IF(BB22&gt;=Inputs!$F$195,1,0)</f>
        <v/>
      </c>
      <c r="BC41" s="9">
        <f>IF(BC22&gt;=Inputs!$F$195,1,0)</f>
        <v/>
      </c>
      <c r="BD41" s="9">
        <f>IF(BD22&gt;=Inputs!$F$195,1,0)</f>
        <v/>
      </c>
      <c r="BE41" s="9">
        <f>IF(BE22&gt;=Inputs!$F$195,1,0)</f>
        <v/>
      </c>
      <c r="BF41" s="9">
        <f>IF(BF22&gt;=Inputs!$F$195,1,0)</f>
        <v/>
      </c>
      <c r="BG41" s="9">
        <f>IF(BG22&gt;=Inputs!$F$195,1,0)</f>
        <v/>
      </c>
      <c r="BH41" s="9">
        <f>IF(BH22&gt;=Inputs!$F$195,1,0)</f>
        <v/>
      </c>
      <c r="BI41" s="9">
        <f>IF(BI22&gt;=Inputs!$F$195,1,0)</f>
        <v/>
      </c>
      <c r="BJ41" s="9">
        <f>IF(BJ22&gt;=Inputs!$F$195,1,0)</f>
        <v/>
      </c>
      <c r="BK41" s="9">
        <f>IF(BK22&gt;=Inputs!$F$195,1,0)</f>
        <v/>
      </c>
      <c r="BL41" s="9">
        <f>IF(BL22&gt;=Inputs!$F$195,1,0)</f>
        <v/>
      </c>
      <c r="BM41" s="9">
        <f>IF(BM22&gt;=Inputs!$F$195,1,0)</f>
        <v/>
      </c>
      <c r="BN41" s="9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9">
        <f>Inputs!$F$48*IF(J23=Inputs!$F$198,1,0)</f>
        <v/>
      </c>
      <c r="K42" s="9">
        <f>Inputs!$F$48*IF(K23=Inputs!$F$198,1,0)</f>
        <v/>
      </c>
      <c r="L42" s="9">
        <f>Inputs!$F$48*IF(L23=Inputs!$F$198,1,0)</f>
        <v/>
      </c>
      <c r="M42" s="9">
        <f>Inputs!$F$48*IF(M23=Inputs!$F$198,1,0)</f>
        <v/>
      </c>
      <c r="N42" s="9">
        <f>Inputs!$F$48*IF(N23=Inputs!$F$198,1,0)</f>
        <v/>
      </c>
      <c r="O42" s="9">
        <f>Inputs!$F$48*IF(O23=Inputs!$F$198,1,0)</f>
        <v/>
      </c>
      <c r="P42" s="9">
        <f>Inputs!$F$48*IF(P23=Inputs!$F$198,1,0)</f>
        <v/>
      </c>
      <c r="Q42" s="9">
        <f>Inputs!$F$48*IF(Q23=Inputs!$F$198,1,0)</f>
        <v/>
      </c>
      <c r="R42" s="9">
        <f>Inputs!$F$48*IF(R23=Inputs!$F$198,1,0)</f>
        <v/>
      </c>
      <c r="S42" s="9">
        <f>Inputs!$F$48*IF(S23=Inputs!$F$198,1,0)</f>
        <v/>
      </c>
      <c r="T42" s="9">
        <f>Inputs!$F$48*IF(T23=Inputs!$F$198,1,0)</f>
        <v/>
      </c>
      <c r="U42" s="9">
        <f>Inputs!$F$48*IF(U23=Inputs!$F$198,1,0)</f>
        <v/>
      </c>
      <c r="V42" s="9">
        <f>Inputs!$F$48*IF(V23=Inputs!$F$198,1,0)</f>
        <v/>
      </c>
      <c r="W42" s="9">
        <f>Inputs!$F$48*IF(W23=Inputs!$F$198,1,0)</f>
        <v/>
      </c>
      <c r="X42" s="9">
        <f>Inputs!$F$48*IF(X23=Inputs!$F$198,1,0)</f>
        <v/>
      </c>
      <c r="Y42" s="9">
        <f>Inputs!$F$48*IF(Y23=Inputs!$F$198,1,0)</f>
        <v/>
      </c>
      <c r="Z42" s="9">
        <f>Inputs!$F$48*IF(Z23=Inputs!$F$198,1,0)</f>
        <v/>
      </c>
      <c r="AA42" s="9">
        <f>Inputs!$F$48*IF(AA23=Inputs!$F$198,1,0)</f>
        <v/>
      </c>
      <c r="AB42" s="9">
        <f>Inputs!$F$48*IF(AB23=Inputs!$F$198,1,0)</f>
        <v/>
      </c>
      <c r="AC42" s="9">
        <f>Inputs!$F$48*IF(AC23=Inputs!$F$198,1,0)</f>
        <v/>
      </c>
      <c r="AD42" s="9">
        <f>Inputs!$F$48*IF(AD23=Inputs!$F$198,1,0)</f>
        <v/>
      </c>
      <c r="AE42" s="9">
        <f>Inputs!$F$48*IF(AE23=Inputs!$F$198,1,0)</f>
        <v/>
      </c>
      <c r="AF42" s="9">
        <f>Inputs!$F$48*IF(AF23=Inputs!$F$198,1,0)</f>
        <v/>
      </c>
      <c r="AG42" s="9">
        <f>Inputs!$F$48*IF(AG23=Inputs!$F$198,1,0)</f>
        <v/>
      </c>
      <c r="AH42" s="9">
        <f>Inputs!$F$48*IF(AH23=Inputs!$F$198,1,0)</f>
        <v/>
      </c>
      <c r="AI42" s="9">
        <f>Inputs!$F$48*IF(AI23=Inputs!$F$198,1,0)</f>
        <v/>
      </c>
      <c r="AJ42" s="9">
        <f>Inputs!$F$48*IF(AJ23=Inputs!$F$198,1,0)</f>
        <v/>
      </c>
      <c r="AK42" s="9">
        <f>Inputs!$F$48*IF(AK23=Inputs!$F$198,1,0)</f>
        <v/>
      </c>
      <c r="AL42" s="9">
        <f>Inputs!$F$48*IF(AL23=Inputs!$F$198,1,0)</f>
        <v/>
      </c>
      <c r="AM42" s="9">
        <f>Inputs!$F$48*IF(AM23=Inputs!$F$198,1,0)</f>
        <v/>
      </c>
      <c r="AN42" s="9">
        <f>Inputs!$F$48*IF(AN23=Inputs!$F$198,1,0)</f>
        <v/>
      </c>
      <c r="AO42" s="9">
        <f>Inputs!$F$48*IF(AO23=Inputs!$F$198,1,0)</f>
        <v/>
      </c>
      <c r="AP42" s="9">
        <f>Inputs!$F$48*IF(AP23=Inputs!$F$198,1,0)</f>
        <v/>
      </c>
      <c r="AQ42" s="9">
        <f>Inputs!$F$48*IF(AQ23=Inputs!$F$198,1,0)</f>
        <v/>
      </c>
      <c r="AR42" s="9">
        <f>Inputs!$F$48*IF(AR23=Inputs!$F$198,1,0)</f>
        <v/>
      </c>
      <c r="AS42" s="9">
        <f>Inputs!$F$48*IF(AS23=Inputs!$F$198,1,0)</f>
        <v/>
      </c>
      <c r="AT42" s="9">
        <f>Inputs!$F$48*IF(AT23=Inputs!$F$198,1,0)</f>
        <v/>
      </c>
      <c r="AU42" s="9">
        <f>Inputs!$F$48*IF(AU23=Inputs!$F$198,1,0)</f>
        <v/>
      </c>
      <c r="AV42" s="9">
        <f>Inputs!$F$48*IF(AV23=Inputs!$F$198,1,0)</f>
        <v/>
      </c>
      <c r="AW42" s="9">
        <f>Inputs!$F$48*IF(AW23=Inputs!$F$198,1,0)</f>
        <v/>
      </c>
      <c r="AX42" s="9">
        <f>Inputs!$F$48*IF(AX23=Inputs!$F$198,1,0)</f>
        <v/>
      </c>
      <c r="AY42" s="9">
        <f>Inputs!$F$48*IF(AY23=Inputs!$F$198,1,0)</f>
        <v/>
      </c>
      <c r="AZ42" s="9">
        <f>Inputs!$F$48*IF(AZ23=Inputs!$F$198,1,0)</f>
        <v/>
      </c>
      <c r="BA42" s="9">
        <f>Inputs!$F$48*IF(BA23=Inputs!$F$198,1,0)</f>
        <v/>
      </c>
      <c r="BB42" s="9">
        <f>Inputs!$F$48*IF(BB23=Inputs!$F$198,1,0)</f>
        <v/>
      </c>
      <c r="BC42" s="9">
        <f>Inputs!$F$48*IF(BC23=Inputs!$F$198,1,0)</f>
        <v/>
      </c>
      <c r="BD42" s="9">
        <f>Inputs!$F$48*IF(BD23=Inputs!$F$198,1,0)</f>
        <v/>
      </c>
      <c r="BE42" s="9">
        <f>Inputs!$F$48*IF(BE23=Inputs!$F$198,1,0)</f>
        <v/>
      </c>
      <c r="BF42" s="9">
        <f>Inputs!$F$48*IF(BF23=Inputs!$F$198,1,0)</f>
        <v/>
      </c>
      <c r="BG42" s="9">
        <f>Inputs!$F$48*IF(BG23=Inputs!$F$198,1,0)</f>
        <v/>
      </c>
      <c r="BH42" s="9">
        <f>Inputs!$F$48*IF(BH23=Inputs!$F$198,1,0)</f>
        <v/>
      </c>
      <c r="BI42" s="9">
        <f>Inputs!$F$48*IF(BI23=Inputs!$F$198,1,0)</f>
        <v/>
      </c>
      <c r="BJ42" s="9">
        <f>Inputs!$F$48*IF(BJ23=Inputs!$F$198,1,0)</f>
        <v/>
      </c>
      <c r="BK42" s="9">
        <f>Inputs!$F$48*IF(BK23=Inputs!$F$198,1,0)</f>
        <v/>
      </c>
      <c r="BL42" s="9">
        <f>Inputs!$F$48*IF(BL23=Inputs!$F$198,1,0)</f>
        <v/>
      </c>
      <c r="BM42" s="9">
        <f>Inputs!$F$48*IF(BM23=Inputs!$F$198,1,0)</f>
        <v/>
      </c>
      <c r="BN42" s="9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9">
        <f>Inputs!$F$49*IF(J23=Inputs!$F$200,1,0)</f>
        <v/>
      </c>
      <c r="K43" s="9">
        <f>Inputs!$F$49*IF(K23=Inputs!$F$200,1,0)</f>
        <v/>
      </c>
      <c r="L43" s="9">
        <f>Inputs!$F$49*IF(L23=Inputs!$F$200,1,0)</f>
        <v/>
      </c>
      <c r="M43" s="9">
        <f>Inputs!$F$49*IF(M23=Inputs!$F$200,1,0)</f>
        <v/>
      </c>
      <c r="N43" s="9">
        <f>Inputs!$F$49*IF(N23=Inputs!$F$200,1,0)</f>
        <v/>
      </c>
      <c r="O43" s="9">
        <f>Inputs!$F$49*IF(O23=Inputs!$F$200,1,0)</f>
        <v/>
      </c>
      <c r="P43" s="9">
        <f>Inputs!$F$49*IF(P23=Inputs!$F$200,1,0)</f>
        <v/>
      </c>
      <c r="Q43" s="9">
        <f>Inputs!$F$49*IF(Q23=Inputs!$F$200,1,0)</f>
        <v/>
      </c>
      <c r="R43" s="9">
        <f>Inputs!$F$49*IF(R23=Inputs!$F$200,1,0)</f>
        <v/>
      </c>
      <c r="S43" s="9">
        <f>Inputs!$F$49*IF(S23=Inputs!$F$200,1,0)</f>
        <v/>
      </c>
      <c r="T43" s="9">
        <f>Inputs!$F$49*IF(T23=Inputs!$F$200,1,0)</f>
        <v/>
      </c>
      <c r="U43" s="9">
        <f>Inputs!$F$49*IF(U23=Inputs!$F$200,1,0)</f>
        <v/>
      </c>
      <c r="V43" s="9">
        <f>Inputs!$F$49*IF(V23=Inputs!$F$200,1,0)</f>
        <v/>
      </c>
      <c r="W43" s="9">
        <f>Inputs!$F$49*IF(W23=Inputs!$F$200,1,0)</f>
        <v/>
      </c>
      <c r="X43" s="9">
        <f>Inputs!$F$49*IF(X23=Inputs!$F$200,1,0)</f>
        <v/>
      </c>
      <c r="Y43" s="9">
        <f>Inputs!$F$49*IF(Y23=Inputs!$F$200,1,0)</f>
        <v/>
      </c>
      <c r="Z43" s="9">
        <f>Inputs!$F$49*IF(Z23=Inputs!$F$200,1,0)</f>
        <v/>
      </c>
      <c r="AA43" s="9">
        <f>Inputs!$F$49*IF(AA23=Inputs!$F$200,1,0)</f>
        <v/>
      </c>
      <c r="AB43" s="9">
        <f>Inputs!$F$49*IF(AB23=Inputs!$F$200,1,0)</f>
        <v/>
      </c>
      <c r="AC43" s="9">
        <f>Inputs!$F$49*IF(AC23=Inputs!$F$200,1,0)</f>
        <v/>
      </c>
      <c r="AD43" s="9">
        <f>Inputs!$F$49*IF(AD23=Inputs!$F$200,1,0)</f>
        <v/>
      </c>
      <c r="AE43" s="9">
        <f>Inputs!$F$49*IF(AE23=Inputs!$F$200,1,0)</f>
        <v/>
      </c>
      <c r="AF43" s="9">
        <f>Inputs!$F$49*IF(AF23=Inputs!$F$200,1,0)</f>
        <v/>
      </c>
      <c r="AG43" s="9">
        <f>Inputs!$F$49*IF(AG23=Inputs!$F$200,1,0)</f>
        <v/>
      </c>
      <c r="AH43" s="9">
        <f>Inputs!$F$49*IF(AH23=Inputs!$F$200,1,0)</f>
        <v/>
      </c>
      <c r="AI43" s="9">
        <f>Inputs!$F$49*IF(AI23=Inputs!$F$200,1,0)</f>
        <v/>
      </c>
      <c r="AJ43" s="9">
        <f>Inputs!$F$49*IF(AJ23=Inputs!$F$200,1,0)</f>
        <v/>
      </c>
      <c r="AK43" s="9">
        <f>Inputs!$F$49*IF(AK23=Inputs!$F$200,1,0)</f>
        <v/>
      </c>
      <c r="AL43" s="9">
        <f>Inputs!$F$49*IF(AL23=Inputs!$F$200,1,0)</f>
        <v/>
      </c>
      <c r="AM43" s="9">
        <f>Inputs!$F$49*IF(AM23=Inputs!$F$200,1,0)</f>
        <v/>
      </c>
      <c r="AN43" s="9">
        <f>Inputs!$F$49*IF(AN23=Inputs!$F$200,1,0)</f>
        <v/>
      </c>
      <c r="AO43" s="9">
        <f>Inputs!$F$49*IF(AO23=Inputs!$F$200,1,0)</f>
        <v/>
      </c>
      <c r="AP43" s="9">
        <f>Inputs!$F$49*IF(AP23=Inputs!$F$200,1,0)</f>
        <v/>
      </c>
      <c r="AQ43" s="9">
        <f>Inputs!$F$49*IF(AQ23=Inputs!$F$200,1,0)</f>
        <v/>
      </c>
      <c r="AR43" s="9">
        <f>Inputs!$F$49*IF(AR23=Inputs!$F$200,1,0)</f>
        <v/>
      </c>
      <c r="AS43" s="9">
        <f>Inputs!$F$49*IF(AS23=Inputs!$F$200,1,0)</f>
        <v/>
      </c>
      <c r="AT43" s="9">
        <f>Inputs!$F$49*IF(AT23=Inputs!$F$200,1,0)</f>
        <v/>
      </c>
      <c r="AU43" s="9">
        <f>Inputs!$F$49*IF(AU23=Inputs!$F$200,1,0)</f>
        <v/>
      </c>
      <c r="AV43" s="9">
        <f>Inputs!$F$49*IF(AV23=Inputs!$F$200,1,0)</f>
        <v/>
      </c>
      <c r="AW43" s="9">
        <f>Inputs!$F$49*IF(AW23=Inputs!$F$200,1,0)</f>
        <v/>
      </c>
      <c r="AX43" s="9">
        <f>Inputs!$F$49*IF(AX23=Inputs!$F$200,1,0)</f>
        <v/>
      </c>
      <c r="AY43" s="9">
        <f>Inputs!$F$49*IF(AY23=Inputs!$F$200,1,0)</f>
        <v/>
      </c>
      <c r="AZ43" s="9">
        <f>Inputs!$F$49*IF(AZ23=Inputs!$F$200,1,0)</f>
        <v/>
      </c>
      <c r="BA43" s="9">
        <f>Inputs!$F$49*IF(BA23=Inputs!$F$200,1,0)</f>
        <v/>
      </c>
      <c r="BB43" s="9">
        <f>Inputs!$F$49*IF(BB23=Inputs!$F$200,1,0)</f>
        <v/>
      </c>
      <c r="BC43" s="9">
        <f>Inputs!$F$49*IF(BC23=Inputs!$F$200,1,0)</f>
        <v/>
      </c>
      <c r="BD43" s="9">
        <f>Inputs!$F$49*IF(BD23=Inputs!$F$200,1,0)</f>
        <v/>
      </c>
      <c r="BE43" s="9">
        <f>Inputs!$F$49*IF(BE23=Inputs!$F$200,1,0)</f>
        <v/>
      </c>
      <c r="BF43" s="9">
        <f>Inputs!$F$49*IF(BF23=Inputs!$F$200,1,0)</f>
        <v/>
      </c>
      <c r="BG43" s="9">
        <f>Inputs!$F$49*IF(BG23=Inputs!$F$200,1,0)</f>
        <v/>
      </c>
      <c r="BH43" s="9">
        <f>Inputs!$F$49*IF(BH23=Inputs!$F$200,1,0)</f>
        <v/>
      </c>
      <c r="BI43" s="9">
        <f>Inputs!$F$49*IF(BI23=Inputs!$F$200,1,0)</f>
        <v/>
      </c>
      <c r="BJ43" s="9">
        <f>Inputs!$F$49*IF(BJ23=Inputs!$F$200,1,0)</f>
        <v/>
      </c>
      <c r="BK43" s="9">
        <f>Inputs!$F$49*IF(BK23=Inputs!$F$200,1,0)</f>
        <v/>
      </c>
      <c r="BL43" s="9">
        <f>Inputs!$F$49*IF(BL23=Inputs!$F$200,1,0)</f>
        <v/>
      </c>
      <c r="BM43" s="9">
        <f>Inputs!$F$49*IF(BM23=Inputs!$F$200,1,0)</f>
        <v/>
      </c>
      <c r="BN43" s="9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9">
        <f>Inputs!$F$49*IF(AND(J22&gt;=Inputs!$F$201,J23&lt;=Inputs!$F$202),1,0)</f>
        <v/>
      </c>
      <c r="K44" s="9">
        <f>Inputs!$F$49*IF(AND(K22&gt;=Inputs!$F$201,K23&lt;=Inputs!$F$202),1,0)</f>
        <v/>
      </c>
      <c r="L44" s="9">
        <f>Inputs!$F$49*IF(AND(L22&gt;=Inputs!$F$201,L23&lt;=Inputs!$F$202),1,0)</f>
        <v/>
      </c>
      <c r="M44" s="9">
        <f>Inputs!$F$49*IF(AND(M22&gt;=Inputs!$F$201,M23&lt;=Inputs!$F$202),1,0)</f>
        <v/>
      </c>
      <c r="N44" s="9">
        <f>Inputs!$F$49*IF(AND(N22&gt;=Inputs!$F$201,N23&lt;=Inputs!$F$202),1,0)</f>
        <v/>
      </c>
      <c r="O44" s="9">
        <f>Inputs!$F$49*IF(AND(O22&gt;=Inputs!$F$201,O23&lt;=Inputs!$F$202),1,0)</f>
        <v/>
      </c>
      <c r="P44" s="9">
        <f>Inputs!$F$49*IF(AND(P22&gt;=Inputs!$F$201,P23&lt;=Inputs!$F$202),1,0)</f>
        <v/>
      </c>
      <c r="Q44" s="9">
        <f>Inputs!$F$49*IF(AND(Q22&gt;=Inputs!$F$201,Q23&lt;=Inputs!$F$202),1,0)</f>
        <v/>
      </c>
      <c r="R44" s="9">
        <f>Inputs!$F$49*IF(AND(R22&gt;=Inputs!$F$201,R23&lt;=Inputs!$F$202),1,0)</f>
        <v/>
      </c>
      <c r="S44" s="9">
        <f>Inputs!$F$49*IF(AND(S22&gt;=Inputs!$F$201,S23&lt;=Inputs!$F$202),1,0)</f>
        <v/>
      </c>
      <c r="T44" s="9">
        <f>Inputs!$F$49*IF(AND(T22&gt;=Inputs!$F$201,T23&lt;=Inputs!$F$202),1,0)</f>
        <v/>
      </c>
      <c r="U44" s="9">
        <f>Inputs!$F$49*IF(AND(U22&gt;=Inputs!$F$201,U23&lt;=Inputs!$F$202),1,0)</f>
        <v/>
      </c>
      <c r="V44" s="9">
        <f>Inputs!$F$49*IF(AND(V22&gt;=Inputs!$F$201,V23&lt;=Inputs!$F$202),1,0)</f>
        <v/>
      </c>
      <c r="W44" s="9">
        <f>Inputs!$F$49*IF(AND(W22&gt;=Inputs!$F$201,W23&lt;=Inputs!$F$202),1,0)</f>
        <v/>
      </c>
      <c r="X44" s="9">
        <f>Inputs!$F$49*IF(AND(X22&gt;=Inputs!$F$201,X23&lt;=Inputs!$F$202),1,0)</f>
        <v/>
      </c>
      <c r="Y44" s="9">
        <f>Inputs!$F$49*IF(AND(Y22&gt;=Inputs!$F$201,Y23&lt;=Inputs!$F$202),1,0)</f>
        <v/>
      </c>
      <c r="Z44" s="9">
        <f>Inputs!$F$49*IF(AND(Z22&gt;=Inputs!$F$201,Z23&lt;=Inputs!$F$202),1,0)</f>
        <v/>
      </c>
      <c r="AA44" s="9">
        <f>Inputs!$F$49*IF(AND(AA22&gt;=Inputs!$F$201,AA23&lt;=Inputs!$F$202),1,0)</f>
        <v/>
      </c>
      <c r="AB44" s="9">
        <f>Inputs!$F$49*IF(AND(AB22&gt;=Inputs!$F$201,AB23&lt;=Inputs!$F$202),1,0)</f>
        <v/>
      </c>
      <c r="AC44" s="9">
        <f>Inputs!$F$49*IF(AND(AC22&gt;=Inputs!$F$201,AC23&lt;=Inputs!$F$202),1,0)</f>
        <v/>
      </c>
      <c r="AD44" s="9">
        <f>Inputs!$F$49*IF(AND(AD22&gt;=Inputs!$F$201,AD23&lt;=Inputs!$F$202),1,0)</f>
        <v/>
      </c>
      <c r="AE44" s="9">
        <f>Inputs!$F$49*IF(AND(AE22&gt;=Inputs!$F$201,AE23&lt;=Inputs!$F$202),1,0)</f>
        <v/>
      </c>
      <c r="AF44" s="9">
        <f>Inputs!$F$49*IF(AND(AF22&gt;=Inputs!$F$201,AF23&lt;=Inputs!$F$202),1,0)</f>
        <v/>
      </c>
      <c r="AG44" s="9">
        <f>Inputs!$F$49*IF(AND(AG22&gt;=Inputs!$F$201,AG23&lt;=Inputs!$F$202),1,0)</f>
        <v/>
      </c>
      <c r="AH44" s="9">
        <f>Inputs!$F$49*IF(AND(AH22&gt;=Inputs!$F$201,AH23&lt;=Inputs!$F$202),1,0)</f>
        <v/>
      </c>
      <c r="AI44" s="9">
        <f>Inputs!$F$49*IF(AND(AI22&gt;=Inputs!$F$201,AI23&lt;=Inputs!$F$202),1,0)</f>
        <v/>
      </c>
      <c r="AJ44" s="9">
        <f>Inputs!$F$49*IF(AND(AJ22&gt;=Inputs!$F$201,AJ23&lt;=Inputs!$F$202),1,0)</f>
        <v/>
      </c>
      <c r="AK44" s="9">
        <f>Inputs!$F$49*IF(AND(AK22&gt;=Inputs!$F$201,AK23&lt;=Inputs!$F$202),1,0)</f>
        <v/>
      </c>
      <c r="AL44" s="9">
        <f>Inputs!$F$49*IF(AND(AL22&gt;=Inputs!$F$201,AL23&lt;=Inputs!$F$202),1,0)</f>
        <v/>
      </c>
      <c r="AM44" s="9">
        <f>Inputs!$F$49*IF(AND(AM22&gt;=Inputs!$F$201,AM23&lt;=Inputs!$F$202),1,0)</f>
        <v/>
      </c>
      <c r="AN44" s="9">
        <f>Inputs!$F$49*IF(AND(AN22&gt;=Inputs!$F$201,AN23&lt;=Inputs!$F$202),1,0)</f>
        <v/>
      </c>
      <c r="AO44" s="9">
        <f>Inputs!$F$49*IF(AND(AO22&gt;=Inputs!$F$201,AO23&lt;=Inputs!$F$202),1,0)</f>
        <v/>
      </c>
      <c r="AP44" s="9">
        <f>Inputs!$F$49*IF(AND(AP22&gt;=Inputs!$F$201,AP23&lt;=Inputs!$F$202),1,0)</f>
        <v/>
      </c>
      <c r="AQ44" s="9">
        <f>Inputs!$F$49*IF(AND(AQ22&gt;=Inputs!$F$201,AQ23&lt;=Inputs!$F$202),1,0)</f>
        <v/>
      </c>
      <c r="AR44" s="9">
        <f>Inputs!$F$49*IF(AND(AR22&gt;=Inputs!$F$201,AR23&lt;=Inputs!$F$202),1,0)</f>
        <v/>
      </c>
      <c r="AS44" s="9">
        <f>Inputs!$F$49*IF(AND(AS22&gt;=Inputs!$F$201,AS23&lt;=Inputs!$F$202),1,0)</f>
        <v/>
      </c>
      <c r="AT44" s="9">
        <f>Inputs!$F$49*IF(AND(AT22&gt;=Inputs!$F$201,AT23&lt;=Inputs!$F$202),1,0)</f>
        <v/>
      </c>
      <c r="AU44" s="9">
        <f>Inputs!$F$49*IF(AND(AU22&gt;=Inputs!$F$201,AU23&lt;=Inputs!$F$202),1,0)</f>
        <v/>
      </c>
      <c r="AV44" s="9">
        <f>Inputs!$F$49*IF(AND(AV22&gt;=Inputs!$F$201,AV23&lt;=Inputs!$F$202),1,0)</f>
        <v/>
      </c>
      <c r="AW44" s="9">
        <f>Inputs!$F$49*IF(AND(AW22&gt;=Inputs!$F$201,AW23&lt;=Inputs!$F$202),1,0)</f>
        <v/>
      </c>
      <c r="AX44" s="9">
        <f>Inputs!$F$49*IF(AND(AX22&gt;=Inputs!$F$201,AX23&lt;=Inputs!$F$202),1,0)</f>
        <v/>
      </c>
      <c r="AY44" s="9">
        <f>Inputs!$F$49*IF(AND(AY22&gt;=Inputs!$F$201,AY23&lt;=Inputs!$F$202),1,0)</f>
        <v/>
      </c>
      <c r="AZ44" s="9">
        <f>Inputs!$F$49*IF(AND(AZ22&gt;=Inputs!$F$201,AZ23&lt;=Inputs!$F$202),1,0)</f>
        <v/>
      </c>
      <c r="BA44" s="9">
        <f>Inputs!$F$49*IF(AND(BA22&gt;=Inputs!$F$201,BA23&lt;=Inputs!$F$202),1,0)</f>
        <v/>
      </c>
      <c r="BB44" s="9">
        <f>Inputs!$F$49*IF(AND(BB22&gt;=Inputs!$F$201,BB23&lt;=Inputs!$F$202),1,0)</f>
        <v/>
      </c>
      <c r="BC44" s="9">
        <f>Inputs!$F$49*IF(AND(BC22&gt;=Inputs!$F$201,BC23&lt;=Inputs!$F$202),1,0)</f>
        <v/>
      </c>
      <c r="BD44" s="9">
        <f>Inputs!$F$49*IF(AND(BD22&gt;=Inputs!$F$201,BD23&lt;=Inputs!$F$202),1,0)</f>
        <v/>
      </c>
      <c r="BE44" s="9">
        <f>Inputs!$F$49*IF(AND(BE22&gt;=Inputs!$F$201,BE23&lt;=Inputs!$F$202),1,0)</f>
        <v/>
      </c>
      <c r="BF44" s="9">
        <f>Inputs!$F$49*IF(AND(BF22&gt;=Inputs!$F$201,BF23&lt;=Inputs!$F$202),1,0)</f>
        <v/>
      </c>
      <c r="BG44" s="9">
        <f>Inputs!$F$49*IF(AND(BG22&gt;=Inputs!$F$201,BG23&lt;=Inputs!$F$202),1,0)</f>
        <v/>
      </c>
      <c r="BH44" s="9">
        <f>Inputs!$F$49*IF(AND(BH22&gt;=Inputs!$F$201,BH23&lt;=Inputs!$F$202),1,0)</f>
        <v/>
      </c>
      <c r="BI44" s="9">
        <f>Inputs!$F$49*IF(AND(BI22&gt;=Inputs!$F$201,BI23&lt;=Inputs!$F$202),1,0)</f>
        <v/>
      </c>
      <c r="BJ44" s="9">
        <f>Inputs!$F$49*IF(AND(BJ22&gt;=Inputs!$F$201,BJ23&lt;=Inputs!$F$202),1,0)</f>
        <v/>
      </c>
      <c r="BK44" s="9">
        <f>Inputs!$F$49*IF(AND(BK22&gt;=Inputs!$F$201,BK23&lt;=Inputs!$F$202),1,0)</f>
        <v/>
      </c>
      <c r="BL44" s="9">
        <f>Inputs!$F$49*IF(AND(BL22&gt;=Inputs!$F$201,BL23&lt;=Inputs!$F$202),1,0)</f>
        <v/>
      </c>
      <c r="BM44" s="9">
        <f>Inputs!$F$49*IF(AND(BM22&gt;=Inputs!$F$201,BM23&lt;=Inputs!$F$202),1,0)</f>
        <v/>
      </c>
      <c r="BN44" s="9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9">
        <f>Inputs!$F$49*IF(AND(J23&gt;=Inputs!$F$203,J23&lt;=Inputs!$F$204),1,0)</f>
        <v/>
      </c>
      <c r="K45" s="9">
        <f>Inputs!$F$49*IF(AND(K23&gt;=Inputs!$F$203,K23&lt;=Inputs!$F$204),1,0)</f>
        <v/>
      </c>
      <c r="L45" s="9">
        <f>Inputs!$F$49*IF(AND(L23&gt;=Inputs!$F$203,L23&lt;=Inputs!$F$204),1,0)</f>
        <v/>
      </c>
      <c r="M45" s="9">
        <f>Inputs!$F$49*IF(AND(M23&gt;=Inputs!$F$203,M23&lt;=Inputs!$F$204),1,0)</f>
        <v/>
      </c>
      <c r="N45" s="9">
        <f>Inputs!$F$49*IF(AND(N23&gt;=Inputs!$F$203,N23&lt;=Inputs!$F$204),1,0)</f>
        <v/>
      </c>
      <c r="O45" s="9">
        <f>Inputs!$F$49*IF(AND(O23&gt;=Inputs!$F$203,O23&lt;=Inputs!$F$204),1,0)</f>
        <v/>
      </c>
      <c r="P45" s="9">
        <f>Inputs!$F$49*IF(AND(P23&gt;=Inputs!$F$203,P23&lt;=Inputs!$F$204),1,0)</f>
        <v/>
      </c>
      <c r="Q45" s="9">
        <f>Inputs!$F$49*IF(AND(Q23&gt;=Inputs!$F$203,Q23&lt;=Inputs!$F$204),1,0)</f>
        <v/>
      </c>
      <c r="R45" s="9">
        <f>Inputs!$F$49*IF(AND(R23&gt;=Inputs!$F$203,R23&lt;=Inputs!$F$204),1,0)</f>
        <v/>
      </c>
      <c r="S45" s="9">
        <f>Inputs!$F$49*IF(AND(S23&gt;=Inputs!$F$203,S23&lt;=Inputs!$F$204),1,0)</f>
        <v/>
      </c>
      <c r="T45" s="9">
        <f>Inputs!$F$49*IF(AND(T23&gt;=Inputs!$F$203,T23&lt;=Inputs!$F$204),1,0)</f>
        <v/>
      </c>
      <c r="U45" s="9">
        <f>Inputs!$F$49*IF(AND(U23&gt;=Inputs!$F$203,U23&lt;=Inputs!$F$204),1,0)</f>
        <v/>
      </c>
      <c r="V45" s="9">
        <f>Inputs!$F$49*IF(AND(V23&gt;=Inputs!$F$203,V23&lt;=Inputs!$F$204),1,0)</f>
        <v/>
      </c>
      <c r="W45" s="9">
        <f>Inputs!$F$49*IF(AND(W23&gt;=Inputs!$F$203,W23&lt;=Inputs!$F$204),1,0)</f>
        <v/>
      </c>
      <c r="X45" s="9">
        <f>Inputs!$F$49*IF(AND(X23&gt;=Inputs!$F$203,X23&lt;=Inputs!$F$204),1,0)</f>
        <v/>
      </c>
      <c r="Y45" s="9">
        <f>Inputs!$F$49*IF(AND(Y23&gt;=Inputs!$F$203,Y23&lt;=Inputs!$F$204),1,0)</f>
        <v/>
      </c>
      <c r="Z45" s="9">
        <f>Inputs!$F$49*IF(AND(Z23&gt;=Inputs!$F$203,Z23&lt;=Inputs!$F$204),1,0)</f>
        <v/>
      </c>
      <c r="AA45" s="9">
        <f>Inputs!$F$49*IF(AND(AA23&gt;=Inputs!$F$203,AA23&lt;=Inputs!$F$204),1,0)</f>
        <v/>
      </c>
      <c r="AB45" s="9">
        <f>Inputs!$F$49*IF(AND(AB23&gt;=Inputs!$F$203,AB23&lt;=Inputs!$F$204),1,0)</f>
        <v/>
      </c>
      <c r="AC45" s="9">
        <f>Inputs!$F$49*IF(AND(AC23&gt;=Inputs!$F$203,AC23&lt;=Inputs!$F$204),1,0)</f>
        <v/>
      </c>
      <c r="AD45" s="9">
        <f>Inputs!$F$49*IF(AND(AD23&gt;=Inputs!$F$203,AD23&lt;=Inputs!$F$204),1,0)</f>
        <v/>
      </c>
      <c r="AE45" s="9">
        <f>Inputs!$F$49*IF(AND(AE23&gt;=Inputs!$F$203,AE23&lt;=Inputs!$F$204),1,0)</f>
        <v/>
      </c>
      <c r="AF45" s="9">
        <f>Inputs!$F$49*IF(AND(AF23&gt;=Inputs!$F$203,AF23&lt;=Inputs!$F$204),1,0)</f>
        <v/>
      </c>
      <c r="AG45" s="9">
        <f>Inputs!$F$49*IF(AND(AG23&gt;=Inputs!$F$203,AG23&lt;=Inputs!$F$204),1,0)</f>
        <v/>
      </c>
      <c r="AH45" s="9">
        <f>Inputs!$F$49*IF(AND(AH23&gt;=Inputs!$F$203,AH23&lt;=Inputs!$F$204),1,0)</f>
        <v/>
      </c>
      <c r="AI45" s="9">
        <f>Inputs!$F$49*IF(AND(AI23&gt;=Inputs!$F$203,AI23&lt;=Inputs!$F$204),1,0)</f>
        <v/>
      </c>
      <c r="AJ45" s="9">
        <f>Inputs!$F$49*IF(AND(AJ23&gt;=Inputs!$F$203,AJ23&lt;=Inputs!$F$204),1,0)</f>
        <v/>
      </c>
      <c r="AK45" s="9">
        <f>Inputs!$F$49*IF(AND(AK23&gt;=Inputs!$F$203,AK23&lt;=Inputs!$F$204),1,0)</f>
        <v/>
      </c>
      <c r="AL45" s="9">
        <f>Inputs!$F$49*IF(AND(AL23&gt;=Inputs!$F$203,AL23&lt;=Inputs!$F$204),1,0)</f>
        <v/>
      </c>
      <c r="AM45" s="9">
        <f>Inputs!$F$49*IF(AND(AM23&gt;=Inputs!$F$203,AM23&lt;=Inputs!$F$204),1,0)</f>
        <v/>
      </c>
      <c r="AN45" s="9">
        <f>Inputs!$F$49*IF(AND(AN23&gt;=Inputs!$F$203,AN23&lt;=Inputs!$F$204),1,0)</f>
        <v/>
      </c>
      <c r="AO45" s="9">
        <f>Inputs!$F$49*IF(AND(AO23&gt;=Inputs!$F$203,AO23&lt;=Inputs!$F$204),1,0)</f>
        <v/>
      </c>
      <c r="AP45" s="9">
        <f>Inputs!$F$49*IF(AND(AP23&gt;=Inputs!$F$203,AP23&lt;=Inputs!$F$204),1,0)</f>
        <v/>
      </c>
      <c r="AQ45" s="9">
        <f>Inputs!$F$49*IF(AND(AQ23&gt;=Inputs!$F$203,AQ23&lt;=Inputs!$F$204),1,0)</f>
        <v/>
      </c>
      <c r="AR45" s="9">
        <f>Inputs!$F$49*IF(AND(AR23&gt;=Inputs!$F$203,AR23&lt;=Inputs!$F$204),1,0)</f>
        <v/>
      </c>
      <c r="AS45" s="9">
        <f>Inputs!$F$49*IF(AND(AS23&gt;=Inputs!$F$203,AS23&lt;=Inputs!$F$204),1,0)</f>
        <v/>
      </c>
      <c r="AT45" s="9">
        <f>Inputs!$F$49*IF(AND(AT23&gt;=Inputs!$F$203,AT23&lt;=Inputs!$F$204),1,0)</f>
        <v/>
      </c>
      <c r="AU45" s="9">
        <f>Inputs!$F$49*IF(AND(AU23&gt;=Inputs!$F$203,AU23&lt;=Inputs!$F$204),1,0)</f>
        <v/>
      </c>
      <c r="AV45" s="9">
        <f>Inputs!$F$49*IF(AND(AV23&gt;=Inputs!$F$203,AV23&lt;=Inputs!$F$204),1,0)</f>
        <v/>
      </c>
      <c r="AW45" s="9">
        <f>Inputs!$F$49*IF(AND(AW23&gt;=Inputs!$F$203,AW23&lt;=Inputs!$F$204),1,0)</f>
        <v/>
      </c>
      <c r="AX45" s="9">
        <f>Inputs!$F$49*IF(AND(AX23&gt;=Inputs!$F$203,AX23&lt;=Inputs!$F$204),1,0)</f>
        <v/>
      </c>
      <c r="AY45" s="9">
        <f>Inputs!$F$49*IF(AND(AY23&gt;=Inputs!$F$203,AY23&lt;=Inputs!$F$204),1,0)</f>
        <v/>
      </c>
      <c r="AZ45" s="9">
        <f>Inputs!$F$49*IF(AND(AZ23&gt;=Inputs!$F$203,AZ23&lt;=Inputs!$F$204),1,0)</f>
        <v/>
      </c>
      <c r="BA45" s="9">
        <f>Inputs!$F$49*IF(AND(BA23&gt;=Inputs!$F$203,BA23&lt;=Inputs!$F$204),1,0)</f>
        <v/>
      </c>
      <c r="BB45" s="9">
        <f>Inputs!$F$49*IF(AND(BB23&gt;=Inputs!$F$203,BB23&lt;=Inputs!$F$204),1,0)</f>
        <v/>
      </c>
      <c r="BC45" s="9">
        <f>Inputs!$F$49*IF(AND(BC23&gt;=Inputs!$F$203,BC23&lt;=Inputs!$F$204),1,0)</f>
        <v/>
      </c>
      <c r="BD45" s="9">
        <f>Inputs!$F$49*IF(AND(BD23&gt;=Inputs!$F$203,BD23&lt;=Inputs!$F$204),1,0)</f>
        <v/>
      </c>
      <c r="BE45" s="9">
        <f>Inputs!$F$49*IF(AND(BE23&gt;=Inputs!$F$203,BE23&lt;=Inputs!$F$204),1,0)</f>
        <v/>
      </c>
      <c r="BF45" s="9">
        <f>Inputs!$F$49*IF(AND(BF23&gt;=Inputs!$F$203,BF23&lt;=Inputs!$F$204),1,0)</f>
        <v/>
      </c>
      <c r="BG45" s="9">
        <f>Inputs!$F$49*IF(AND(BG23&gt;=Inputs!$F$203,BG23&lt;=Inputs!$F$204),1,0)</f>
        <v/>
      </c>
      <c r="BH45" s="9">
        <f>Inputs!$F$49*IF(AND(BH23&gt;=Inputs!$F$203,BH23&lt;=Inputs!$F$204),1,0)</f>
        <v/>
      </c>
      <c r="BI45" s="9">
        <f>Inputs!$F$49*IF(AND(BI23&gt;=Inputs!$F$203,BI23&lt;=Inputs!$F$204),1,0)</f>
        <v/>
      </c>
      <c r="BJ45" s="9">
        <f>Inputs!$F$49*IF(AND(BJ23&gt;=Inputs!$F$203,BJ23&lt;=Inputs!$F$204),1,0)</f>
        <v/>
      </c>
      <c r="BK45" s="9">
        <f>Inputs!$F$49*IF(AND(BK23&gt;=Inputs!$F$203,BK23&lt;=Inputs!$F$204),1,0)</f>
        <v/>
      </c>
      <c r="BL45" s="9">
        <f>Inputs!$F$49*IF(AND(BL23&gt;=Inputs!$F$203,BL23&lt;=Inputs!$F$204),1,0)</f>
        <v/>
      </c>
      <c r="BM45" s="9">
        <f>Inputs!$F$49*IF(AND(BM23&gt;=Inputs!$F$203,BM23&lt;=Inputs!$F$204),1,0)</f>
        <v/>
      </c>
      <c r="BN45" s="9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9">
        <f>SUM(J45:BN45)</f>
        <v/>
      </c>
      <c r="K46" s="9">
        <f>SUM(K45:BN45)</f>
        <v/>
      </c>
      <c r="L46" s="9">
        <f>SUM(L45:BN45)</f>
        <v/>
      </c>
      <c r="M46" s="9">
        <f>SUM(M45:BN45)</f>
        <v/>
      </c>
      <c r="N46" s="9">
        <f>SUM(N45:BN45)</f>
        <v/>
      </c>
      <c r="O46" s="9">
        <f>SUM(O45:BN45)</f>
        <v/>
      </c>
      <c r="P46" s="9">
        <f>SUM(P45:BN45)</f>
        <v/>
      </c>
      <c r="Q46" s="9">
        <f>SUM(Q45:BN45)</f>
        <v/>
      </c>
      <c r="R46" s="9">
        <f>SUM(R45:BN45)</f>
        <v/>
      </c>
      <c r="S46" s="9">
        <f>SUM(S45:BN45)</f>
        <v/>
      </c>
      <c r="T46" s="9">
        <f>SUM(T45:BN45)</f>
        <v/>
      </c>
      <c r="U46" s="9">
        <f>SUM(U45:BN45)</f>
        <v/>
      </c>
      <c r="V46" s="9">
        <f>SUM(V45:BN45)</f>
        <v/>
      </c>
      <c r="W46" s="9">
        <f>SUM(W45:BN45)</f>
        <v/>
      </c>
      <c r="X46" s="9">
        <f>SUM(X45:BN45)</f>
        <v/>
      </c>
      <c r="Y46" s="9">
        <f>SUM(Y45:BN45)</f>
        <v/>
      </c>
      <c r="Z46" s="9">
        <f>SUM(Z45:BN45)</f>
        <v/>
      </c>
      <c r="AA46" s="9">
        <f>SUM(AA45:BN45)</f>
        <v/>
      </c>
      <c r="AB46" s="9">
        <f>SUM(AB45:BN45)</f>
        <v/>
      </c>
      <c r="AC46" s="9">
        <f>SUM(AC45:BN45)</f>
        <v/>
      </c>
      <c r="AD46" s="9">
        <f>SUM(AD45:BN45)</f>
        <v/>
      </c>
      <c r="AE46" s="9">
        <f>SUM(AE45:BN45)</f>
        <v/>
      </c>
      <c r="AF46" s="9">
        <f>SUM(AF45:BN45)</f>
        <v/>
      </c>
      <c r="AG46" s="9">
        <f>SUM(AG45:BN45)</f>
        <v/>
      </c>
      <c r="AH46" s="9">
        <f>SUM(AH45:BN45)</f>
        <v/>
      </c>
      <c r="AI46" s="9">
        <f>SUM(AI45:BN45)</f>
        <v/>
      </c>
      <c r="AJ46" s="9">
        <f>SUM(AJ45:BN45)</f>
        <v/>
      </c>
      <c r="AK46" s="9">
        <f>SUM(AK45:BN45)</f>
        <v/>
      </c>
      <c r="AL46" s="9">
        <f>SUM(AL45:BN45)</f>
        <v/>
      </c>
      <c r="AM46" s="9">
        <f>SUM(AM45:BN45)</f>
        <v/>
      </c>
      <c r="AN46" s="9">
        <f>SUM(AN45:BN45)</f>
        <v/>
      </c>
      <c r="AO46" s="9">
        <f>SUM(AO45:BN45)</f>
        <v/>
      </c>
      <c r="AP46" s="9">
        <f>SUM(AP45:BN45)</f>
        <v/>
      </c>
      <c r="AQ46" s="9">
        <f>SUM(AQ45:BN45)</f>
        <v/>
      </c>
      <c r="AR46" s="9">
        <f>SUM(AR45:BN45)</f>
        <v/>
      </c>
      <c r="AS46" s="9">
        <f>SUM(AS45:BN45)</f>
        <v/>
      </c>
      <c r="AT46" s="9">
        <f>SUM(AT45:BN45)</f>
        <v/>
      </c>
      <c r="AU46" s="9">
        <f>SUM(AU45:BN45)</f>
        <v/>
      </c>
      <c r="AV46" s="9">
        <f>SUM(AV45:BN45)</f>
        <v/>
      </c>
      <c r="AW46" s="9">
        <f>SUM(AW45:BN45)</f>
        <v/>
      </c>
      <c r="AX46" s="9">
        <f>SUM(AX45:BN45)</f>
        <v/>
      </c>
      <c r="AY46" s="9">
        <f>SUM(AY45:BN45)</f>
        <v/>
      </c>
      <c r="AZ46" s="9">
        <f>SUM(AZ45:BN45)</f>
        <v/>
      </c>
      <c r="BA46" s="9">
        <f>SUM(BA45:BN45)</f>
        <v/>
      </c>
      <c r="BB46" s="9">
        <f>SUM(BB45:BN45)</f>
        <v/>
      </c>
      <c r="BC46" s="9">
        <f>SUM(BC45:BN45)</f>
        <v/>
      </c>
      <c r="BD46" s="9">
        <f>SUM(BD45:BN45)</f>
        <v/>
      </c>
      <c r="BE46" s="9">
        <f>SUM(BE45:BN45)</f>
        <v/>
      </c>
      <c r="BF46" s="9">
        <f>SUM(BF45:BN45)</f>
        <v/>
      </c>
      <c r="BG46" s="9">
        <f>SUM(BG45:BN45)</f>
        <v/>
      </c>
      <c r="BH46" s="9">
        <f>SUM(BH45:BN45)</f>
        <v/>
      </c>
      <c r="BI46" s="9">
        <f>SUM(BI45:BN45)</f>
        <v/>
      </c>
      <c r="BJ46" s="9">
        <f>SUM(BJ45:BN45)</f>
        <v/>
      </c>
      <c r="BK46" s="9">
        <f>SUM(BK45:BN45)</f>
        <v/>
      </c>
      <c r="BL46" s="9">
        <f>SUM(BL45:BN45)</f>
        <v/>
      </c>
      <c r="BM46" s="9">
        <f>SUM(BM45:BN45)</f>
        <v/>
      </c>
      <c r="BN46" s="9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9">
        <f>Inputs!$F$50*IF(J23=Inputs!$F$205,1,0)</f>
        <v/>
      </c>
      <c r="K47" s="9">
        <f>Inputs!$F$50*IF(K23=Inputs!$F$205,1,0)</f>
        <v/>
      </c>
      <c r="L47" s="9">
        <f>Inputs!$F$50*IF(L23=Inputs!$F$205,1,0)</f>
        <v/>
      </c>
      <c r="M47" s="9">
        <f>Inputs!$F$50*IF(M23=Inputs!$F$205,1,0)</f>
        <v/>
      </c>
      <c r="N47" s="9">
        <f>Inputs!$F$50*IF(N23=Inputs!$F$205,1,0)</f>
        <v/>
      </c>
      <c r="O47" s="9">
        <f>Inputs!$F$50*IF(O23=Inputs!$F$205,1,0)</f>
        <v/>
      </c>
      <c r="P47" s="9">
        <f>Inputs!$F$50*IF(P23=Inputs!$F$205,1,0)</f>
        <v/>
      </c>
      <c r="Q47" s="9">
        <f>Inputs!$F$50*IF(Q23=Inputs!$F$205,1,0)</f>
        <v/>
      </c>
      <c r="R47" s="9">
        <f>Inputs!$F$50*IF(R23=Inputs!$F$205,1,0)</f>
        <v/>
      </c>
      <c r="S47" s="9">
        <f>Inputs!$F$50*IF(S23=Inputs!$F$205,1,0)</f>
        <v/>
      </c>
      <c r="T47" s="9">
        <f>Inputs!$F$50*IF(T23=Inputs!$F$205,1,0)</f>
        <v/>
      </c>
      <c r="U47" s="9">
        <f>Inputs!$F$50*IF(U23=Inputs!$F$205,1,0)</f>
        <v/>
      </c>
      <c r="V47" s="9">
        <f>Inputs!$F$50*IF(V23=Inputs!$F$205,1,0)</f>
        <v/>
      </c>
      <c r="W47" s="9">
        <f>Inputs!$F$50*IF(W23=Inputs!$F$205,1,0)</f>
        <v/>
      </c>
      <c r="X47" s="9">
        <f>Inputs!$F$50*IF(X23=Inputs!$F$205,1,0)</f>
        <v/>
      </c>
      <c r="Y47" s="9">
        <f>Inputs!$F$50*IF(Y23=Inputs!$F$205,1,0)</f>
        <v/>
      </c>
      <c r="Z47" s="9">
        <f>Inputs!$F$50*IF(Z23=Inputs!$F$205,1,0)</f>
        <v/>
      </c>
      <c r="AA47" s="9">
        <f>Inputs!$F$50*IF(AA23=Inputs!$F$205,1,0)</f>
        <v/>
      </c>
      <c r="AB47" s="9">
        <f>Inputs!$F$50*IF(AB23=Inputs!$F$205,1,0)</f>
        <v/>
      </c>
      <c r="AC47" s="9">
        <f>Inputs!$F$50*IF(AC23=Inputs!$F$205,1,0)</f>
        <v/>
      </c>
      <c r="AD47" s="9">
        <f>Inputs!$F$50*IF(AD23=Inputs!$F$205,1,0)</f>
        <v/>
      </c>
      <c r="AE47" s="9">
        <f>Inputs!$F$50*IF(AE23=Inputs!$F$205,1,0)</f>
        <v/>
      </c>
      <c r="AF47" s="9">
        <f>Inputs!$F$50*IF(AF23=Inputs!$F$205,1,0)</f>
        <v/>
      </c>
      <c r="AG47" s="9">
        <f>Inputs!$F$50*IF(AG23=Inputs!$F$205,1,0)</f>
        <v/>
      </c>
      <c r="AH47" s="9">
        <f>Inputs!$F$50*IF(AH23=Inputs!$F$205,1,0)</f>
        <v/>
      </c>
      <c r="AI47" s="9">
        <f>Inputs!$F$50*IF(AI23=Inputs!$F$205,1,0)</f>
        <v/>
      </c>
      <c r="AJ47" s="9">
        <f>Inputs!$F$50*IF(AJ23=Inputs!$F$205,1,0)</f>
        <v/>
      </c>
      <c r="AK47" s="9">
        <f>Inputs!$F$50*IF(AK23=Inputs!$F$205,1,0)</f>
        <v/>
      </c>
      <c r="AL47" s="9">
        <f>Inputs!$F$50*IF(AL23=Inputs!$F$205,1,0)</f>
        <v/>
      </c>
      <c r="AM47" s="9">
        <f>Inputs!$F$50*IF(AM23=Inputs!$F$205,1,0)</f>
        <v/>
      </c>
      <c r="AN47" s="9">
        <f>Inputs!$F$50*IF(AN23=Inputs!$F$205,1,0)</f>
        <v/>
      </c>
      <c r="AO47" s="9">
        <f>Inputs!$F$50*IF(AO23=Inputs!$F$205,1,0)</f>
        <v/>
      </c>
      <c r="AP47" s="9">
        <f>Inputs!$F$50*IF(AP23=Inputs!$F$205,1,0)</f>
        <v/>
      </c>
      <c r="AQ47" s="9">
        <f>Inputs!$F$50*IF(AQ23=Inputs!$F$205,1,0)</f>
        <v/>
      </c>
      <c r="AR47" s="9">
        <f>Inputs!$F$50*IF(AR23=Inputs!$F$205,1,0)</f>
        <v/>
      </c>
      <c r="AS47" s="9">
        <f>Inputs!$F$50*IF(AS23=Inputs!$F$205,1,0)</f>
        <v/>
      </c>
      <c r="AT47" s="9">
        <f>Inputs!$F$50*IF(AT23=Inputs!$F$205,1,0)</f>
        <v/>
      </c>
      <c r="AU47" s="9">
        <f>Inputs!$F$50*IF(AU23=Inputs!$F$205,1,0)</f>
        <v/>
      </c>
      <c r="AV47" s="9">
        <f>Inputs!$F$50*IF(AV23=Inputs!$F$205,1,0)</f>
        <v/>
      </c>
      <c r="AW47" s="9">
        <f>Inputs!$F$50*IF(AW23=Inputs!$F$205,1,0)</f>
        <v/>
      </c>
      <c r="AX47" s="9">
        <f>Inputs!$F$50*IF(AX23=Inputs!$F$205,1,0)</f>
        <v/>
      </c>
      <c r="AY47" s="9">
        <f>Inputs!$F$50*IF(AY23=Inputs!$F$205,1,0)</f>
        <v/>
      </c>
      <c r="AZ47" s="9">
        <f>Inputs!$F$50*IF(AZ23=Inputs!$F$205,1,0)</f>
        <v/>
      </c>
      <c r="BA47" s="9">
        <f>Inputs!$F$50*IF(BA23=Inputs!$F$205,1,0)</f>
        <v/>
      </c>
      <c r="BB47" s="9">
        <f>Inputs!$F$50*IF(BB23=Inputs!$F$205,1,0)</f>
        <v/>
      </c>
      <c r="BC47" s="9">
        <f>Inputs!$F$50*IF(BC23=Inputs!$F$205,1,0)</f>
        <v/>
      </c>
      <c r="BD47" s="9">
        <f>Inputs!$F$50*IF(BD23=Inputs!$F$205,1,0)</f>
        <v/>
      </c>
      <c r="BE47" s="9">
        <f>Inputs!$F$50*IF(BE23=Inputs!$F$205,1,0)</f>
        <v/>
      </c>
      <c r="BF47" s="9">
        <f>Inputs!$F$50*IF(BF23=Inputs!$F$205,1,0)</f>
        <v/>
      </c>
      <c r="BG47" s="9">
        <f>Inputs!$F$50*IF(BG23=Inputs!$F$205,1,0)</f>
        <v/>
      </c>
      <c r="BH47" s="9">
        <f>Inputs!$F$50*IF(BH23=Inputs!$F$205,1,0)</f>
        <v/>
      </c>
      <c r="BI47" s="9">
        <f>Inputs!$F$50*IF(BI23=Inputs!$F$205,1,0)</f>
        <v/>
      </c>
      <c r="BJ47" s="9">
        <f>Inputs!$F$50*IF(BJ23=Inputs!$F$205,1,0)</f>
        <v/>
      </c>
      <c r="BK47" s="9">
        <f>Inputs!$F$50*IF(BK23=Inputs!$F$205,1,0)</f>
        <v/>
      </c>
      <c r="BL47" s="9">
        <f>Inputs!$F$50*IF(BL23=Inputs!$F$205,1,0)</f>
        <v/>
      </c>
      <c r="BM47" s="9">
        <f>Inputs!$F$50*IF(BM23=Inputs!$F$205,1,0)</f>
        <v/>
      </c>
      <c r="BN47" s="9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9">
        <f>Inputs!$F$50*IF(J23&gt;Inputs!$F$205,1,0)</f>
        <v/>
      </c>
      <c r="K48" s="9">
        <f>Inputs!$F$50*IF(K23&gt;Inputs!$F$205,1,0)</f>
        <v/>
      </c>
      <c r="L48" s="9">
        <f>Inputs!$F$50*IF(L23&gt;Inputs!$F$205,1,0)</f>
        <v/>
      </c>
      <c r="M48" s="9">
        <f>Inputs!$F$50*IF(M23&gt;Inputs!$F$205,1,0)</f>
        <v/>
      </c>
      <c r="N48" s="9">
        <f>Inputs!$F$50*IF(N23&gt;Inputs!$F$205,1,0)</f>
        <v/>
      </c>
      <c r="O48" s="9">
        <f>Inputs!$F$50*IF(O23&gt;Inputs!$F$205,1,0)</f>
        <v/>
      </c>
      <c r="P48" s="9">
        <f>Inputs!$F$50*IF(P23&gt;Inputs!$F$205,1,0)</f>
        <v/>
      </c>
      <c r="Q48" s="9">
        <f>Inputs!$F$50*IF(Q23&gt;Inputs!$F$205,1,0)</f>
        <v/>
      </c>
      <c r="R48" s="9">
        <f>Inputs!$F$50*IF(R23&gt;Inputs!$F$205,1,0)</f>
        <v/>
      </c>
      <c r="S48" s="9">
        <f>Inputs!$F$50*IF(S23&gt;Inputs!$F$205,1,0)</f>
        <v/>
      </c>
      <c r="T48" s="9">
        <f>Inputs!$F$50*IF(T23&gt;Inputs!$F$205,1,0)</f>
        <v/>
      </c>
      <c r="U48" s="9">
        <f>Inputs!$F$50*IF(U23&gt;Inputs!$F$205,1,0)</f>
        <v/>
      </c>
      <c r="V48" s="9">
        <f>Inputs!$F$50*IF(V23&gt;Inputs!$F$205,1,0)</f>
        <v/>
      </c>
      <c r="W48" s="9">
        <f>Inputs!$F$50*IF(W23&gt;Inputs!$F$205,1,0)</f>
        <v/>
      </c>
      <c r="X48" s="9">
        <f>Inputs!$F$50*IF(X23&gt;Inputs!$F$205,1,0)</f>
        <v/>
      </c>
      <c r="Y48" s="9">
        <f>Inputs!$F$50*IF(Y23&gt;Inputs!$F$205,1,0)</f>
        <v/>
      </c>
      <c r="Z48" s="9">
        <f>Inputs!$F$50*IF(Z23&gt;Inputs!$F$205,1,0)</f>
        <v/>
      </c>
      <c r="AA48" s="9">
        <f>Inputs!$F$50*IF(AA23&gt;Inputs!$F$205,1,0)</f>
        <v/>
      </c>
      <c r="AB48" s="9">
        <f>Inputs!$F$50*IF(AB23&gt;Inputs!$F$205,1,0)</f>
        <v/>
      </c>
      <c r="AC48" s="9">
        <f>Inputs!$F$50*IF(AC23&gt;Inputs!$F$205,1,0)</f>
        <v/>
      </c>
      <c r="AD48" s="9">
        <f>Inputs!$F$50*IF(AD23&gt;Inputs!$F$205,1,0)</f>
        <v/>
      </c>
      <c r="AE48" s="9">
        <f>Inputs!$F$50*IF(AE23&gt;Inputs!$F$205,1,0)</f>
        <v/>
      </c>
      <c r="AF48" s="9">
        <f>Inputs!$F$50*IF(AF23&gt;Inputs!$F$205,1,0)</f>
        <v/>
      </c>
      <c r="AG48" s="9">
        <f>Inputs!$F$50*IF(AG23&gt;Inputs!$F$205,1,0)</f>
        <v/>
      </c>
      <c r="AH48" s="9">
        <f>Inputs!$F$50*IF(AH23&gt;Inputs!$F$205,1,0)</f>
        <v/>
      </c>
      <c r="AI48" s="9">
        <f>Inputs!$F$50*IF(AI23&gt;Inputs!$F$205,1,0)</f>
        <v/>
      </c>
      <c r="AJ48" s="9">
        <f>Inputs!$F$50*IF(AJ23&gt;Inputs!$F$205,1,0)</f>
        <v/>
      </c>
      <c r="AK48" s="9">
        <f>Inputs!$F$50*IF(AK23&gt;Inputs!$F$205,1,0)</f>
        <v/>
      </c>
      <c r="AL48" s="9">
        <f>Inputs!$F$50*IF(AL23&gt;Inputs!$F$205,1,0)</f>
        <v/>
      </c>
      <c r="AM48" s="9">
        <f>Inputs!$F$50*IF(AM23&gt;Inputs!$F$205,1,0)</f>
        <v/>
      </c>
      <c r="AN48" s="9">
        <f>Inputs!$F$50*IF(AN23&gt;Inputs!$F$205,1,0)</f>
        <v/>
      </c>
      <c r="AO48" s="9">
        <f>Inputs!$F$50*IF(AO23&gt;Inputs!$F$205,1,0)</f>
        <v/>
      </c>
      <c r="AP48" s="9">
        <f>Inputs!$F$50*IF(AP23&gt;Inputs!$F$205,1,0)</f>
        <v/>
      </c>
      <c r="AQ48" s="9">
        <f>Inputs!$F$50*IF(AQ23&gt;Inputs!$F$205,1,0)</f>
        <v/>
      </c>
      <c r="AR48" s="9">
        <f>Inputs!$F$50*IF(AR23&gt;Inputs!$F$205,1,0)</f>
        <v/>
      </c>
      <c r="AS48" s="9">
        <f>Inputs!$F$50*IF(AS23&gt;Inputs!$F$205,1,0)</f>
        <v/>
      </c>
      <c r="AT48" s="9">
        <f>Inputs!$F$50*IF(AT23&gt;Inputs!$F$205,1,0)</f>
        <v/>
      </c>
      <c r="AU48" s="9">
        <f>Inputs!$F$50*IF(AU23&gt;Inputs!$F$205,1,0)</f>
        <v/>
      </c>
      <c r="AV48" s="9">
        <f>Inputs!$F$50*IF(AV23&gt;Inputs!$F$205,1,0)</f>
        <v/>
      </c>
      <c r="AW48" s="9">
        <f>Inputs!$F$50*IF(AW23&gt;Inputs!$F$205,1,0)</f>
        <v/>
      </c>
      <c r="AX48" s="9">
        <f>Inputs!$F$50*IF(AX23&gt;Inputs!$F$205,1,0)</f>
        <v/>
      </c>
      <c r="AY48" s="9">
        <f>Inputs!$F$50*IF(AY23&gt;Inputs!$F$205,1,0)</f>
        <v/>
      </c>
      <c r="AZ48" s="9">
        <f>Inputs!$F$50*IF(AZ23&gt;Inputs!$F$205,1,0)</f>
        <v/>
      </c>
      <c r="BA48" s="9">
        <f>Inputs!$F$50*IF(BA23&gt;Inputs!$F$205,1,0)</f>
        <v/>
      </c>
      <c r="BB48" s="9">
        <f>Inputs!$F$50*IF(BB23&gt;Inputs!$F$205,1,0)</f>
        <v/>
      </c>
      <c r="BC48" s="9">
        <f>Inputs!$F$50*IF(BC23&gt;Inputs!$F$205,1,0)</f>
        <v/>
      </c>
      <c r="BD48" s="9">
        <f>Inputs!$F$50*IF(BD23&gt;Inputs!$F$205,1,0)</f>
        <v/>
      </c>
      <c r="BE48" s="9">
        <f>Inputs!$F$50*IF(BE23&gt;Inputs!$F$205,1,0)</f>
        <v/>
      </c>
      <c r="BF48" s="9">
        <f>Inputs!$F$50*IF(BF23&gt;Inputs!$F$205,1,0)</f>
        <v/>
      </c>
      <c r="BG48" s="9">
        <f>Inputs!$F$50*IF(BG23&gt;Inputs!$F$205,1,0)</f>
        <v/>
      </c>
      <c r="BH48" s="9">
        <f>Inputs!$F$50*IF(BH23&gt;Inputs!$F$205,1,0)</f>
        <v/>
      </c>
      <c r="BI48" s="9">
        <f>Inputs!$F$50*IF(BI23&gt;Inputs!$F$205,1,0)</f>
        <v/>
      </c>
      <c r="BJ48" s="9">
        <f>Inputs!$F$50*IF(BJ23&gt;Inputs!$F$205,1,0)</f>
        <v/>
      </c>
      <c r="BK48" s="9">
        <f>Inputs!$F$50*IF(BK23&gt;Inputs!$F$205,1,0)</f>
        <v/>
      </c>
      <c r="BL48" s="9">
        <f>Inputs!$F$50*IF(BL23&gt;Inputs!$F$205,1,0)</f>
        <v/>
      </c>
      <c r="BM48" s="9">
        <f>Inputs!$F$50*IF(BM23&gt;Inputs!$F$205,1,0)</f>
        <v/>
      </c>
      <c r="BN48" s="9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9">
        <f>Inputs!$F$49*IF(AND(J23&gt;=Inputs!$F$199,J23&lt;=Inputs!$F$200),1,0)</f>
        <v/>
      </c>
      <c r="K49" s="9">
        <f>Inputs!$F$49*IF(AND(K23&gt;=Inputs!$F$199,K23&lt;=Inputs!$F$200),1,0)</f>
        <v/>
      </c>
      <c r="L49" s="9">
        <f>Inputs!$F$49*IF(AND(L23&gt;=Inputs!$F$199,L23&lt;=Inputs!$F$200),1,0)</f>
        <v/>
      </c>
      <c r="M49" s="9">
        <f>Inputs!$F$49*IF(AND(M23&gt;=Inputs!$F$199,M23&lt;=Inputs!$F$200),1,0)</f>
        <v/>
      </c>
      <c r="N49" s="9">
        <f>Inputs!$F$49*IF(AND(N23&gt;=Inputs!$F$199,N23&lt;=Inputs!$F$200),1,0)</f>
        <v/>
      </c>
      <c r="O49" s="9">
        <f>Inputs!$F$49*IF(AND(O23&gt;=Inputs!$F$199,O23&lt;=Inputs!$F$200),1,0)</f>
        <v/>
      </c>
      <c r="P49" s="9">
        <f>Inputs!$F$49*IF(AND(P23&gt;=Inputs!$F$199,P23&lt;=Inputs!$F$200),1,0)</f>
        <v/>
      </c>
      <c r="Q49" s="9">
        <f>Inputs!$F$49*IF(AND(Q23&gt;=Inputs!$F$199,Q23&lt;=Inputs!$F$200),1,0)</f>
        <v/>
      </c>
      <c r="R49" s="9">
        <f>Inputs!$F$49*IF(AND(R23&gt;=Inputs!$F$199,R23&lt;=Inputs!$F$200),1,0)</f>
        <v/>
      </c>
      <c r="S49" s="9">
        <f>Inputs!$F$49*IF(AND(S23&gt;=Inputs!$F$199,S23&lt;=Inputs!$F$200),1,0)</f>
        <v/>
      </c>
      <c r="T49" s="9">
        <f>Inputs!$F$49*IF(AND(T23&gt;=Inputs!$F$199,T23&lt;=Inputs!$F$200),1,0)</f>
        <v/>
      </c>
      <c r="U49" s="9">
        <f>Inputs!$F$49*IF(AND(U23&gt;=Inputs!$F$199,U23&lt;=Inputs!$F$200),1,0)</f>
        <v/>
      </c>
      <c r="V49" s="9">
        <f>Inputs!$F$49*IF(AND(V23&gt;=Inputs!$F$199,V23&lt;=Inputs!$F$200),1,0)</f>
        <v/>
      </c>
      <c r="W49" s="9">
        <f>Inputs!$F$49*IF(AND(W23&gt;=Inputs!$F$199,W23&lt;=Inputs!$F$200),1,0)</f>
        <v/>
      </c>
      <c r="X49" s="9">
        <f>Inputs!$F$49*IF(AND(X23&gt;=Inputs!$F$199,X23&lt;=Inputs!$F$200),1,0)</f>
        <v/>
      </c>
      <c r="Y49" s="9">
        <f>Inputs!$F$49*IF(AND(Y23&gt;=Inputs!$F$199,Y23&lt;=Inputs!$F$200),1,0)</f>
        <v/>
      </c>
      <c r="Z49" s="9">
        <f>Inputs!$F$49*IF(AND(Z23&gt;=Inputs!$F$199,Z23&lt;=Inputs!$F$200),1,0)</f>
        <v/>
      </c>
      <c r="AA49" s="9">
        <f>Inputs!$F$49*IF(AND(AA23&gt;=Inputs!$F$199,AA23&lt;=Inputs!$F$200),1,0)</f>
        <v/>
      </c>
      <c r="AB49" s="9">
        <f>Inputs!$F$49*IF(AND(AB23&gt;=Inputs!$F$199,AB23&lt;=Inputs!$F$200),1,0)</f>
        <v/>
      </c>
      <c r="AC49" s="9">
        <f>Inputs!$F$49*IF(AND(AC23&gt;=Inputs!$F$199,AC23&lt;=Inputs!$F$200),1,0)</f>
        <v/>
      </c>
      <c r="AD49" s="9">
        <f>Inputs!$F$49*IF(AND(AD23&gt;=Inputs!$F$199,AD23&lt;=Inputs!$F$200),1,0)</f>
        <v/>
      </c>
      <c r="AE49" s="9">
        <f>Inputs!$F$49*IF(AND(AE23&gt;=Inputs!$F$199,AE23&lt;=Inputs!$F$200),1,0)</f>
        <v/>
      </c>
      <c r="AF49" s="9">
        <f>Inputs!$F$49*IF(AND(AF23&gt;=Inputs!$F$199,AF23&lt;=Inputs!$F$200),1,0)</f>
        <v/>
      </c>
      <c r="AG49" s="9">
        <f>Inputs!$F$49*IF(AND(AG23&gt;=Inputs!$F$199,AG23&lt;=Inputs!$F$200),1,0)</f>
        <v/>
      </c>
      <c r="AH49" s="9">
        <f>Inputs!$F$49*IF(AND(AH23&gt;=Inputs!$F$199,AH23&lt;=Inputs!$F$200),1,0)</f>
        <v/>
      </c>
      <c r="AI49" s="9">
        <f>Inputs!$F$49*IF(AND(AI23&gt;=Inputs!$F$199,AI23&lt;=Inputs!$F$200),1,0)</f>
        <v/>
      </c>
      <c r="AJ49" s="9">
        <f>Inputs!$F$49*IF(AND(AJ23&gt;=Inputs!$F$199,AJ23&lt;=Inputs!$F$200),1,0)</f>
        <v/>
      </c>
      <c r="AK49" s="9">
        <f>Inputs!$F$49*IF(AND(AK23&gt;=Inputs!$F$199,AK23&lt;=Inputs!$F$200),1,0)</f>
        <v/>
      </c>
      <c r="AL49" s="9">
        <f>Inputs!$F$49*IF(AND(AL23&gt;=Inputs!$F$199,AL23&lt;=Inputs!$F$200),1,0)</f>
        <v/>
      </c>
      <c r="AM49" s="9">
        <f>Inputs!$F$49*IF(AND(AM23&gt;=Inputs!$F$199,AM23&lt;=Inputs!$F$200),1,0)</f>
        <v/>
      </c>
      <c r="AN49" s="9">
        <f>Inputs!$F$49*IF(AND(AN23&gt;=Inputs!$F$199,AN23&lt;=Inputs!$F$200),1,0)</f>
        <v/>
      </c>
      <c r="AO49" s="9">
        <f>Inputs!$F$49*IF(AND(AO23&gt;=Inputs!$F$199,AO23&lt;=Inputs!$F$200),1,0)</f>
        <v/>
      </c>
      <c r="AP49" s="9">
        <f>Inputs!$F$49*IF(AND(AP23&gt;=Inputs!$F$199,AP23&lt;=Inputs!$F$200),1,0)</f>
        <v/>
      </c>
      <c r="AQ49" s="9">
        <f>Inputs!$F$49*IF(AND(AQ23&gt;=Inputs!$F$199,AQ23&lt;=Inputs!$F$200),1,0)</f>
        <v/>
      </c>
      <c r="AR49" s="9">
        <f>Inputs!$F$49*IF(AND(AR23&gt;=Inputs!$F$199,AR23&lt;=Inputs!$F$200),1,0)</f>
        <v/>
      </c>
      <c r="AS49" s="9">
        <f>Inputs!$F$49*IF(AND(AS23&gt;=Inputs!$F$199,AS23&lt;=Inputs!$F$200),1,0)</f>
        <v/>
      </c>
      <c r="AT49" s="9">
        <f>Inputs!$F$49*IF(AND(AT23&gt;=Inputs!$F$199,AT23&lt;=Inputs!$F$200),1,0)</f>
        <v/>
      </c>
      <c r="AU49" s="9">
        <f>Inputs!$F$49*IF(AND(AU23&gt;=Inputs!$F$199,AU23&lt;=Inputs!$F$200),1,0)</f>
        <v/>
      </c>
      <c r="AV49" s="9">
        <f>Inputs!$F$49*IF(AND(AV23&gt;=Inputs!$F$199,AV23&lt;=Inputs!$F$200),1,0)</f>
        <v/>
      </c>
      <c r="AW49" s="9">
        <f>Inputs!$F$49*IF(AND(AW23&gt;=Inputs!$F$199,AW23&lt;=Inputs!$F$200),1,0)</f>
        <v/>
      </c>
      <c r="AX49" s="9">
        <f>Inputs!$F$49*IF(AND(AX23&gt;=Inputs!$F$199,AX23&lt;=Inputs!$F$200),1,0)</f>
        <v/>
      </c>
      <c r="AY49" s="9">
        <f>Inputs!$F$49*IF(AND(AY23&gt;=Inputs!$F$199,AY23&lt;=Inputs!$F$200),1,0)</f>
        <v/>
      </c>
      <c r="AZ49" s="9">
        <f>Inputs!$F$49*IF(AND(AZ23&gt;=Inputs!$F$199,AZ23&lt;=Inputs!$F$200),1,0)</f>
        <v/>
      </c>
      <c r="BA49" s="9">
        <f>Inputs!$F$49*IF(AND(BA23&gt;=Inputs!$F$199,BA23&lt;=Inputs!$F$200),1,0)</f>
        <v/>
      </c>
      <c r="BB49" s="9">
        <f>Inputs!$F$49*IF(AND(BB23&gt;=Inputs!$F$199,BB23&lt;=Inputs!$F$200),1,0)</f>
        <v/>
      </c>
      <c r="BC49" s="9">
        <f>Inputs!$F$49*IF(AND(BC23&gt;=Inputs!$F$199,BC23&lt;=Inputs!$F$200),1,0)</f>
        <v/>
      </c>
      <c r="BD49" s="9">
        <f>Inputs!$F$49*IF(AND(BD23&gt;=Inputs!$F$199,BD23&lt;=Inputs!$F$200),1,0)</f>
        <v/>
      </c>
      <c r="BE49" s="9">
        <f>Inputs!$F$49*IF(AND(BE23&gt;=Inputs!$F$199,BE23&lt;=Inputs!$F$200),1,0)</f>
        <v/>
      </c>
      <c r="BF49" s="9">
        <f>Inputs!$F$49*IF(AND(BF23&gt;=Inputs!$F$199,BF23&lt;=Inputs!$F$200),1,0)</f>
        <v/>
      </c>
      <c r="BG49" s="9">
        <f>Inputs!$F$49*IF(AND(BG23&gt;=Inputs!$F$199,BG23&lt;=Inputs!$F$200),1,0)</f>
        <v/>
      </c>
      <c r="BH49" s="9">
        <f>Inputs!$F$49*IF(AND(BH23&gt;=Inputs!$F$199,BH23&lt;=Inputs!$F$200),1,0)</f>
        <v/>
      </c>
      <c r="BI49" s="9">
        <f>Inputs!$F$49*IF(AND(BI23&gt;=Inputs!$F$199,BI23&lt;=Inputs!$F$200),1,0)</f>
        <v/>
      </c>
      <c r="BJ49" s="9">
        <f>Inputs!$F$49*IF(AND(BJ23&gt;=Inputs!$F$199,BJ23&lt;=Inputs!$F$200),1,0)</f>
        <v/>
      </c>
      <c r="BK49" s="9">
        <f>Inputs!$F$49*IF(AND(BK23&gt;=Inputs!$F$199,BK23&lt;=Inputs!$F$200),1,0)</f>
        <v/>
      </c>
      <c r="BL49" s="9">
        <f>Inputs!$F$49*IF(AND(BL23&gt;=Inputs!$F$199,BL23&lt;=Inputs!$F$200),1,0)</f>
        <v/>
      </c>
      <c r="BM49" s="9">
        <f>Inputs!$F$49*IF(AND(BM23&gt;=Inputs!$F$199,BM23&lt;=Inputs!$F$200),1,0)</f>
        <v/>
      </c>
      <c r="BN49" s="9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9">
        <f>Inputs!$F$49*IF(J23&gt;=Inputs!$F$199,1,0)</f>
        <v/>
      </c>
      <c r="K50" s="9">
        <f>Inputs!$F$49*IF(K23&gt;=Inputs!$F$199,1,0)</f>
        <v/>
      </c>
      <c r="L50" s="9">
        <f>Inputs!$F$49*IF(L23&gt;=Inputs!$F$199,1,0)</f>
        <v/>
      </c>
      <c r="M50" s="9">
        <f>Inputs!$F$49*IF(M23&gt;=Inputs!$F$199,1,0)</f>
        <v/>
      </c>
      <c r="N50" s="9">
        <f>Inputs!$F$49*IF(N23&gt;=Inputs!$F$199,1,0)</f>
        <v/>
      </c>
      <c r="O50" s="9">
        <f>Inputs!$F$49*IF(O23&gt;=Inputs!$F$199,1,0)</f>
        <v/>
      </c>
      <c r="P50" s="9">
        <f>Inputs!$F$49*IF(P23&gt;=Inputs!$F$199,1,0)</f>
        <v/>
      </c>
      <c r="Q50" s="9">
        <f>Inputs!$F$49*IF(Q23&gt;=Inputs!$F$199,1,0)</f>
        <v/>
      </c>
      <c r="R50" s="9">
        <f>Inputs!$F$49*IF(R23&gt;=Inputs!$F$199,1,0)</f>
        <v/>
      </c>
      <c r="S50" s="9">
        <f>Inputs!$F$49*IF(S23&gt;=Inputs!$F$199,1,0)</f>
        <v/>
      </c>
      <c r="T50" s="9">
        <f>Inputs!$F$49*IF(T23&gt;=Inputs!$F$199,1,0)</f>
        <v/>
      </c>
      <c r="U50" s="9">
        <f>Inputs!$F$49*IF(U23&gt;=Inputs!$F$199,1,0)</f>
        <v/>
      </c>
      <c r="V50" s="9">
        <f>Inputs!$F$49*IF(V23&gt;=Inputs!$F$199,1,0)</f>
        <v/>
      </c>
      <c r="W50" s="9">
        <f>Inputs!$F$49*IF(W23&gt;=Inputs!$F$199,1,0)</f>
        <v/>
      </c>
      <c r="X50" s="9">
        <f>Inputs!$F$49*IF(X23&gt;=Inputs!$F$199,1,0)</f>
        <v/>
      </c>
      <c r="Y50" s="9">
        <f>Inputs!$F$49*IF(Y23&gt;=Inputs!$F$199,1,0)</f>
        <v/>
      </c>
      <c r="Z50" s="9">
        <f>Inputs!$F$49*IF(Z23&gt;=Inputs!$F$199,1,0)</f>
        <v/>
      </c>
      <c r="AA50" s="9">
        <f>Inputs!$F$49*IF(AA23&gt;=Inputs!$F$199,1,0)</f>
        <v/>
      </c>
      <c r="AB50" s="9">
        <f>Inputs!$F$49*IF(AB23&gt;=Inputs!$F$199,1,0)</f>
        <v/>
      </c>
      <c r="AC50" s="9">
        <f>Inputs!$F$49*IF(AC23&gt;=Inputs!$F$199,1,0)</f>
        <v/>
      </c>
      <c r="AD50" s="9">
        <f>Inputs!$F$49*IF(AD23&gt;=Inputs!$F$199,1,0)</f>
        <v/>
      </c>
      <c r="AE50" s="9">
        <f>Inputs!$F$49*IF(AE23&gt;=Inputs!$F$199,1,0)</f>
        <v/>
      </c>
      <c r="AF50" s="9">
        <f>Inputs!$F$49*IF(AF23&gt;=Inputs!$F$199,1,0)</f>
        <v/>
      </c>
      <c r="AG50" s="9">
        <f>Inputs!$F$49*IF(AG23&gt;=Inputs!$F$199,1,0)</f>
        <v/>
      </c>
      <c r="AH50" s="9">
        <f>Inputs!$F$49*IF(AH23&gt;=Inputs!$F$199,1,0)</f>
        <v/>
      </c>
      <c r="AI50" s="9">
        <f>Inputs!$F$49*IF(AI23&gt;=Inputs!$F$199,1,0)</f>
        <v/>
      </c>
      <c r="AJ50" s="9">
        <f>Inputs!$F$49*IF(AJ23&gt;=Inputs!$F$199,1,0)</f>
        <v/>
      </c>
      <c r="AK50" s="9">
        <f>Inputs!$F$49*IF(AK23&gt;=Inputs!$F$199,1,0)</f>
        <v/>
      </c>
      <c r="AL50" s="9">
        <f>Inputs!$F$49*IF(AL23&gt;=Inputs!$F$199,1,0)</f>
        <v/>
      </c>
      <c r="AM50" s="9">
        <f>Inputs!$F$49*IF(AM23&gt;=Inputs!$F$199,1,0)</f>
        <v/>
      </c>
      <c r="AN50" s="9">
        <f>Inputs!$F$49*IF(AN23&gt;=Inputs!$F$199,1,0)</f>
        <v/>
      </c>
      <c r="AO50" s="9">
        <f>Inputs!$F$49*IF(AO23&gt;=Inputs!$F$199,1,0)</f>
        <v/>
      </c>
      <c r="AP50" s="9">
        <f>Inputs!$F$49*IF(AP23&gt;=Inputs!$F$199,1,0)</f>
        <v/>
      </c>
      <c r="AQ50" s="9">
        <f>Inputs!$F$49*IF(AQ23&gt;=Inputs!$F$199,1,0)</f>
        <v/>
      </c>
      <c r="AR50" s="9">
        <f>Inputs!$F$49*IF(AR23&gt;=Inputs!$F$199,1,0)</f>
        <v/>
      </c>
      <c r="AS50" s="9">
        <f>Inputs!$F$49*IF(AS23&gt;=Inputs!$F$199,1,0)</f>
        <v/>
      </c>
      <c r="AT50" s="9">
        <f>Inputs!$F$49*IF(AT23&gt;=Inputs!$F$199,1,0)</f>
        <v/>
      </c>
      <c r="AU50" s="9">
        <f>Inputs!$F$49*IF(AU23&gt;=Inputs!$F$199,1,0)</f>
        <v/>
      </c>
      <c r="AV50" s="9">
        <f>Inputs!$F$49*IF(AV23&gt;=Inputs!$F$199,1,0)</f>
        <v/>
      </c>
      <c r="AW50" s="9">
        <f>Inputs!$F$49*IF(AW23&gt;=Inputs!$F$199,1,0)</f>
        <v/>
      </c>
      <c r="AX50" s="9">
        <f>Inputs!$F$49*IF(AX23&gt;=Inputs!$F$199,1,0)</f>
        <v/>
      </c>
      <c r="AY50" s="9">
        <f>Inputs!$F$49*IF(AY23&gt;=Inputs!$F$199,1,0)</f>
        <v/>
      </c>
      <c r="AZ50" s="9">
        <f>Inputs!$F$49*IF(AZ23&gt;=Inputs!$F$199,1,0)</f>
        <v/>
      </c>
      <c r="BA50" s="9">
        <f>Inputs!$F$49*IF(BA23&gt;=Inputs!$F$199,1,0)</f>
        <v/>
      </c>
      <c r="BB50" s="9">
        <f>Inputs!$F$49*IF(BB23&gt;=Inputs!$F$199,1,0)</f>
        <v/>
      </c>
      <c r="BC50" s="9">
        <f>Inputs!$F$49*IF(BC23&gt;=Inputs!$F$199,1,0)</f>
        <v/>
      </c>
      <c r="BD50" s="9">
        <f>Inputs!$F$49*IF(BD23&gt;=Inputs!$F$199,1,0)</f>
        <v/>
      </c>
      <c r="BE50" s="9">
        <f>Inputs!$F$49*IF(BE23&gt;=Inputs!$F$199,1,0)</f>
        <v/>
      </c>
      <c r="BF50" s="9">
        <f>Inputs!$F$49*IF(BF23&gt;=Inputs!$F$199,1,0)</f>
        <v/>
      </c>
      <c r="BG50" s="9">
        <f>Inputs!$F$49*IF(BG23&gt;=Inputs!$F$199,1,0)</f>
        <v/>
      </c>
      <c r="BH50" s="9">
        <f>Inputs!$F$49*IF(BH23&gt;=Inputs!$F$199,1,0)</f>
        <v/>
      </c>
      <c r="BI50" s="9">
        <f>Inputs!$F$49*IF(BI23&gt;=Inputs!$F$199,1,0)</f>
        <v/>
      </c>
      <c r="BJ50" s="9">
        <f>Inputs!$F$49*IF(BJ23&gt;=Inputs!$F$199,1,0)</f>
        <v/>
      </c>
      <c r="BK50" s="9">
        <f>Inputs!$F$49*IF(BK23&gt;=Inputs!$F$199,1,0)</f>
        <v/>
      </c>
      <c r="BL50" s="9">
        <f>Inputs!$F$49*IF(BL23&gt;=Inputs!$F$199,1,0)</f>
        <v/>
      </c>
      <c r="BM50" s="9">
        <f>Inputs!$F$49*IF(BM23&gt;=Inputs!$F$199,1,0)</f>
        <v/>
      </c>
      <c r="BN50" s="9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9">
        <f>Inputs!$F$49*IF(J23&gt;Inputs!$F$200,1,0)</f>
        <v/>
      </c>
      <c r="K51" s="9">
        <f>Inputs!$F$49*IF(K23&gt;Inputs!$F$200,1,0)</f>
        <v/>
      </c>
      <c r="L51" s="9">
        <f>Inputs!$F$49*IF(L23&gt;Inputs!$F$200,1,0)</f>
        <v/>
      </c>
      <c r="M51" s="9">
        <f>Inputs!$F$49*IF(M23&gt;Inputs!$F$200,1,0)</f>
        <v/>
      </c>
      <c r="N51" s="9">
        <f>Inputs!$F$49*IF(N23&gt;Inputs!$F$200,1,0)</f>
        <v/>
      </c>
      <c r="O51" s="9">
        <f>Inputs!$F$49*IF(O23&gt;Inputs!$F$200,1,0)</f>
        <v/>
      </c>
      <c r="P51" s="9">
        <f>Inputs!$F$49*IF(P23&gt;Inputs!$F$200,1,0)</f>
        <v/>
      </c>
      <c r="Q51" s="9">
        <f>Inputs!$F$49*IF(Q23&gt;Inputs!$F$200,1,0)</f>
        <v/>
      </c>
      <c r="R51" s="9">
        <f>Inputs!$F$49*IF(R23&gt;Inputs!$F$200,1,0)</f>
        <v/>
      </c>
      <c r="S51" s="9">
        <f>Inputs!$F$49*IF(S23&gt;Inputs!$F$200,1,0)</f>
        <v/>
      </c>
      <c r="T51" s="9">
        <f>Inputs!$F$49*IF(T23&gt;Inputs!$F$200,1,0)</f>
        <v/>
      </c>
      <c r="U51" s="9">
        <f>Inputs!$F$49*IF(U23&gt;Inputs!$F$200,1,0)</f>
        <v/>
      </c>
      <c r="V51" s="9">
        <f>Inputs!$F$49*IF(V23&gt;Inputs!$F$200,1,0)</f>
        <v/>
      </c>
      <c r="W51" s="9">
        <f>Inputs!$F$49*IF(W23&gt;Inputs!$F$200,1,0)</f>
        <v/>
      </c>
      <c r="X51" s="9">
        <f>Inputs!$F$49*IF(X23&gt;Inputs!$F$200,1,0)</f>
        <v/>
      </c>
      <c r="Y51" s="9">
        <f>Inputs!$F$49*IF(Y23&gt;Inputs!$F$200,1,0)</f>
        <v/>
      </c>
      <c r="Z51" s="9">
        <f>Inputs!$F$49*IF(Z23&gt;Inputs!$F$200,1,0)</f>
        <v/>
      </c>
      <c r="AA51" s="9">
        <f>Inputs!$F$49*IF(AA23&gt;Inputs!$F$200,1,0)</f>
        <v/>
      </c>
      <c r="AB51" s="9">
        <f>Inputs!$F$49*IF(AB23&gt;Inputs!$F$200,1,0)</f>
        <v/>
      </c>
      <c r="AC51" s="9">
        <f>Inputs!$F$49*IF(AC23&gt;Inputs!$F$200,1,0)</f>
        <v/>
      </c>
      <c r="AD51" s="9">
        <f>Inputs!$F$49*IF(AD23&gt;Inputs!$F$200,1,0)</f>
        <v/>
      </c>
      <c r="AE51" s="9">
        <f>Inputs!$F$49*IF(AE23&gt;Inputs!$F$200,1,0)</f>
        <v/>
      </c>
      <c r="AF51" s="9">
        <f>Inputs!$F$49*IF(AF23&gt;Inputs!$F$200,1,0)</f>
        <v/>
      </c>
      <c r="AG51" s="9">
        <f>Inputs!$F$49*IF(AG23&gt;Inputs!$F$200,1,0)</f>
        <v/>
      </c>
      <c r="AH51" s="9">
        <f>Inputs!$F$49*IF(AH23&gt;Inputs!$F$200,1,0)</f>
        <v/>
      </c>
      <c r="AI51" s="9">
        <f>Inputs!$F$49*IF(AI23&gt;Inputs!$F$200,1,0)</f>
        <v/>
      </c>
      <c r="AJ51" s="9">
        <f>Inputs!$F$49*IF(AJ23&gt;Inputs!$F$200,1,0)</f>
        <v/>
      </c>
      <c r="AK51" s="9">
        <f>Inputs!$F$49*IF(AK23&gt;Inputs!$F$200,1,0)</f>
        <v/>
      </c>
      <c r="AL51" s="9">
        <f>Inputs!$F$49*IF(AL23&gt;Inputs!$F$200,1,0)</f>
        <v/>
      </c>
      <c r="AM51" s="9">
        <f>Inputs!$F$49*IF(AM23&gt;Inputs!$F$200,1,0)</f>
        <v/>
      </c>
      <c r="AN51" s="9">
        <f>Inputs!$F$49*IF(AN23&gt;Inputs!$F$200,1,0)</f>
        <v/>
      </c>
      <c r="AO51" s="9">
        <f>Inputs!$F$49*IF(AO23&gt;Inputs!$F$200,1,0)</f>
        <v/>
      </c>
      <c r="AP51" s="9">
        <f>Inputs!$F$49*IF(AP23&gt;Inputs!$F$200,1,0)</f>
        <v/>
      </c>
      <c r="AQ51" s="9">
        <f>Inputs!$F$49*IF(AQ23&gt;Inputs!$F$200,1,0)</f>
        <v/>
      </c>
      <c r="AR51" s="9">
        <f>Inputs!$F$49*IF(AR23&gt;Inputs!$F$200,1,0)</f>
        <v/>
      </c>
      <c r="AS51" s="9">
        <f>Inputs!$F$49*IF(AS23&gt;Inputs!$F$200,1,0)</f>
        <v/>
      </c>
      <c r="AT51" s="9">
        <f>Inputs!$F$49*IF(AT23&gt;Inputs!$F$200,1,0)</f>
        <v/>
      </c>
      <c r="AU51" s="9">
        <f>Inputs!$F$49*IF(AU23&gt;Inputs!$F$200,1,0)</f>
        <v/>
      </c>
      <c r="AV51" s="9">
        <f>Inputs!$F$49*IF(AV23&gt;Inputs!$F$200,1,0)</f>
        <v/>
      </c>
      <c r="AW51" s="9">
        <f>Inputs!$F$49*IF(AW23&gt;Inputs!$F$200,1,0)</f>
        <v/>
      </c>
      <c r="AX51" s="9">
        <f>Inputs!$F$49*IF(AX23&gt;Inputs!$F$200,1,0)</f>
        <v/>
      </c>
      <c r="AY51" s="9">
        <f>Inputs!$F$49*IF(AY23&gt;Inputs!$F$200,1,0)</f>
        <v/>
      </c>
      <c r="AZ51" s="9">
        <f>Inputs!$F$49*IF(AZ23&gt;Inputs!$F$200,1,0)</f>
        <v/>
      </c>
      <c r="BA51" s="9">
        <f>Inputs!$F$49*IF(BA23&gt;Inputs!$F$200,1,0)</f>
        <v/>
      </c>
      <c r="BB51" s="9">
        <f>Inputs!$F$49*IF(BB23&gt;Inputs!$F$200,1,0)</f>
        <v/>
      </c>
      <c r="BC51" s="9">
        <f>Inputs!$F$49*IF(BC23&gt;Inputs!$F$200,1,0)</f>
        <v/>
      </c>
      <c r="BD51" s="9">
        <f>Inputs!$F$49*IF(BD23&gt;Inputs!$F$200,1,0)</f>
        <v/>
      </c>
      <c r="BE51" s="9">
        <f>Inputs!$F$49*IF(BE23&gt;Inputs!$F$200,1,0)</f>
        <v/>
      </c>
      <c r="BF51" s="9">
        <f>Inputs!$F$49*IF(BF23&gt;Inputs!$F$200,1,0)</f>
        <v/>
      </c>
      <c r="BG51" s="9">
        <f>Inputs!$F$49*IF(BG23&gt;Inputs!$F$200,1,0)</f>
        <v/>
      </c>
      <c r="BH51" s="9">
        <f>Inputs!$F$49*IF(BH23&gt;Inputs!$F$200,1,0)</f>
        <v/>
      </c>
      <c r="BI51" s="9">
        <f>Inputs!$F$49*IF(BI23&gt;Inputs!$F$200,1,0)</f>
        <v/>
      </c>
      <c r="BJ51" s="9">
        <f>Inputs!$F$49*IF(BJ23&gt;Inputs!$F$200,1,0)</f>
        <v/>
      </c>
      <c r="BK51" s="9">
        <f>Inputs!$F$49*IF(BK23&gt;Inputs!$F$200,1,0)</f>
        <v/>
      </c>
      <c r="BL51" s="9">
        <f>Inputs!$F$49*IF(BL23&gt;Inputs!$F$200,1,0)</f>
        <v/>
      </c>
      <c r="BM51" s="9">
        <f>Inputs!$F$49*IF(BM23&gt;Inputs!$F$200,1,0)</f>
        <v/>
      </c>
      <c r="BN51" s="9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9">
        <f>IF(J22&gt;=Inputs!$F$206,1,0)</f>
        <v/>
      </c>
      <c r="K52" s="9">
        <f>IF(K22&gt;=Inputs!$F$206,1,0)</f>
        <v/>
      </c>
      <c r="L52" s="9">
        <f>IF(L22&gt;=Inputs!$F$206,1,0)</f>
        <v/>
      </c>
      <c r="M52" s="9">
        <f>IF(M22&gt;=Inputs!$F$206,1,0)</f>
        <v/>
      </c>
      <c r="N52" s="9">
        <f>IF(N22&gt;=Inputs!$F$206,1,0)</f>
        <v/>
      </c>
      <c r="O52" s="9">
        <f>IF(O22&gt;=Inputs!$F$206,1,0)</f>
        <v/>
      </c>
      <c r="P52" s="9">
        <f>IF(P22&gt;=Inputs!$F$206,1,0)</f>
        <v/>
      </c>
      <c r="Q52" s="9">
        <f>IF(Q22&gt;=Inputs!$F$206,1,0)</f>
        <v/>
      </c>
      <c r="R52" s="9">
        <f>IF(R22&gt;=Inputs!$F$206,1,0)</f>
        <v/>
      </c>
      <c r="S52" s="9">
        <f>IF(S22&gt;=Inputs!$F$206,1,0)</f>
        <v/>
      </c>
      <c r="T52" s="9">
        <f>IF(T22&gt;=Inputs!$F$206,1,0)</f>
        <v/>
      </c>
      <c r="U52" s="9">
        <f>IF(U22&gt;=Inputs!$F$206,1,0)</f>
        <v/>
      </c>
      <c r="V52" s="9">
        <f>IF(V22&gt;=Inputs!$F$206,1,0)</f>
        <v/>
      </c>
      <c r="W52" s="9">
        <f>IF(W22&gt;=Inputs!$F$206,1,0)</f>
        <v/>
      </c>
      <c r="X52" s="9">
        <f>IF(X22&gt;=Inputs!$F$206,1,0)</f>
        <v/>
      </c>
      <c r="Y52" s="9">
        <f>IF(Y22&gt;=Inputs!$F$206,1,0)</f>
        <v/>
      </c>
      <c r="Z52" s="9">
        <f>IF(Z22&gt;=Inputs!$F$206,1,0)</f>
        <v/>
      </c>
      <c r="AA52" s="9">
        <f>IF(AA22&gt;=Inputs!$F$206,1,0)</f>
        <v/>
      </c>
      <c r="AB52" s="9">
        <f>IF(AB22&gt;=Inputs!$F$206,1,0)</f>
        <v/>
      </c>
      <c r="AC52" s="9">
        <f>IF(AC22&gt;=Inputs!$F$206,1,0)</f>
        <v/>
      </c>
      <c r="AD52" s="9">
        <f>IF(AD22&gt;=Inputs!$F$206,1,0)</f>
        <v/>
      </c>
      <c r="AE52" s="9">
        <f>IF(AE22&gt;=Inputs!$F$206,1,0)</f>
        <v/>
      </c>
      <c r="AF52" s="9">
        <f>IF(AF22&gt;=Inputs!$F$206,1,0)</f>
        <v/>
      </c>
      <c r="AG52" s="9">
        <f>IF(AG22&gt;=Inputs!$F$206,1,0)</f>
        <v/>
      </c>
      <c r="AH52" s="9">
        <f>IF(AH22&gt;=Inputs!$F$206,1,0)</f>
        <v/>
      </c>
      <c r="AI52" s="9">
        <f>IF(AI22&gt;=Inputs!$F$206,1,0)</f>
        <v/>
      </c>
      <c r="AJ52" s="9">
        <f>IF(AJ22&gt;=Inputs!$F$206,1,0)</f>
        <v/>
      </c>
      <c r="AK52" s="9">
        <f>IF(AK22&gt;=Inputs!$F$206,1,0)</f>
        <v/>
      </c>
      <c r="AL52" s="9">
        <f>IF(AL22&gt;=Inputs!$F$206,1,0)</f>
        <v/>
      </c>
      <c r="AM52" s="9">
        <f>IF(AM22&gt;=Inputs!$F$206,1,0)</f>
        <v/>
      </c>
      <c r="AN52" s="9">
        <f>IF(AN22&gt;=Inputs!$F$206,1,0)</f>
        <v/>
      </c>
      <c r="AO52" s="9">
        <f>IF(AO22&gt;=Inputs!$F$206,1,0)</f>
        <v/>
      </c>
      <c r="AP52" s="9">
        <f>IF(AP22&gt;=Inputs!$F$206,1,0)</f>
        <v/>
      </c>
      <c r="AQ52" s="9">
        <f>IF(AQ22&gt;=Inputs!$F$206,1,0)</f>
        <v/>
      </c>
      <c r="AR52" s="9">
        <f>IF(AR22&gt;=Inputs!$F$206,1,0)</f>
        <v/>
      </c>
      <c r="AS52" s="9">
        <f>IF(AS22&gt;=Inputs!$F$206,1,0)</f>
        <v/>
      </c>
      <c r="AT52" s="9">
        <f>IF(AT22&gt;=Inputs!$F$206,1,0)</f>
        <v/>
      </c>
      <c r="AU52" s="9">
        <f>IF(AU22&gt;=Inputs!$F$206,1,0)</f>
        <v/>
      </c>
      <c r="AV52" s="9">
        <f>IF(AV22&gt;=Inputs!$F$206,1,0)</f>
        <v/>
      </c>
      <c r="AW52" s="9">
        <f>IF(AW22&gt;=Inputs!$F$206,1,0)</f>
        <v/>
      </c>
      <c r="AX52" s="9">
        <f>IF(AX22&gt;=Inputs!$F$206,1,0)</f>
        <v/>
      </c>
      <c r="AY52" s="9">
        <f>IF(AY22&gt;=Inputs!$F$206,1,0)</f>
        <v/>
      </c>
      <c r="AZ52" s="9">
        <f>IF(AZ22&gt;=Inputs!$F$206,1,0)</f>
        <v/>
      </c>
      <c r="BA52" s="9">
        <f>IF(BA22&gt;=Inputs!$F$206,1,0)</f>
        <v/>
      </c>
      <c r="BB52" s="9">
        <f>IF(BB22&gt;=Inputs!$F$206,1,0)</f>
        <v/>
      </c>
      <c r="BC52" s="9">
        <f>IF(BC22&gt;=Inputs!$F$206,1,0)</f>
        <v/>
      </c>
      <c r="BD52" s="9">
        <f>IF(BD22&gt;=Inputs!$F$206,1,0)</f>
        <v/>
      </c>
      <c r="BE52" s="9">
        <f>IF(BE22&gt;=Inputs!$F$206,1,0)</f>
        <v/>
      </c>
      <c r="BF52" s="9">
        <f>IF(BF22&gt;=Inputs!$F$206,1,0)</f>
        <v/>
      </c>
      <c r="BG52" s="9">
        <f>IF(BG22&gt;=Inputs!$F$206,1,0)</f>
        <v/>
      </c>
      <c r="BH52" s="9">
        <f>IF(BH22&gt;=Inputs!$F$206,1,0)</f>
        <v/>
      </c>
      <c r="BI52" s="9">
        <f>IF(BI22&gt;=Inputs!$F$206,1,0)</f>
        <v/>
      </c>
      <c r="BJ52" s="9">
        <f>IF(BJ22&gt;=Inputs!$F$206,1,0)</f>
        <v/>
      </c>
      <c r="BK52" s="9">
        <f>IF(BK22&gt;=Inputs!$F$206,1,0)</f>
        <v/>
      </c>
      <c r="BL52" s="9">
        <f>IF(BL22&gt;=Inputs!$F$206,1,0)</f>
        <v/>
      </c>
      <c r="BM52" s="9">
        <f>IF(BM22&gt;=Inputs!$F$206,1,0)</f>
        <v/>
      </c>
      <c r="BN52" s="9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9">
        <f>IF(AND(J20&gt;=$F$13,J23&lt;=Inputs!$F$192),1,0)</f>
        <v/>
      </c>
      <c r="K53" s="9">
        <f>IF(AND(K20&gt;=$F$13,K23&lt;=Inputs!$F$192),1,0)</f>
        <v/>
      </c>
      <c r="L53" s="9">
        <f>IF(AND(L20&gt;=$F$13,L23&lt;=Inputs!$F$192),1,0)</f>
        <v/>
      </c>
      <c r="M53" s="9">
        <f>IF(AND(M20&gt;=$F$13,M23&lt;=Inputs!$F$192),1,0)</f>
        <v/>
      </c>
      <c r="N53" s="9">
        <f>IF(AND(N20&gt;=$F$13,N23&lt;=Inputs!$F$192),1,0)</f>
        <v/>
      </c>
      <c r="O53" s="9">
        <f>IF(AND(O20&gt;=$F$13,O23&lt;=Inputs!$F$192),1,0)</f>
        <v/>
      </c>
      <c r="P53" s="9">
        <f>IF(AND(P20&gt;=$F$13,P23&lt;=Inputs!$F$192),1,0)</f>
        <v/>
      </c>
      <c r="Q53" s="9">
        <f>IF(AND(Q20&gt;=$F$13,Q23&lt;=Inputs!$F$192),1,0)</f>
        <v/>
      </c>
      <c r="R53" s="9">
        <f>IF(AND(R20&gt;=$F$13,R23&lt;=Inputs!$F$192),1,0)</f>
        <v/>
      </c>
      <c r="S53" s="9">
        <f>IF(AND(S20&gt;=$F$13,S23&lt;=Inputs!$F$192),1,0)</f>
        <v/>
      </c>
      <c r="T53" s="9">
        <f>IF(AND(T20&gt;=$F$13,T23&lt;=Inputs!$F$192),1,0)</f>
        <v/>
      </c>
      <c r="U53" s="9">
        <f>IF(AND(U20&gt;=$F$13,U23&lt;=Inputs!$F$192),1,0)</f>
        <v/>
      </c>
      <c r="V53" s="9">
        <f>IF(AND(V20&gt;=$F$13,V23&lt;=Inputs!$F$192),1,0)</f>
        <v/>
      </c>
      <c r="W53" s="9">
        <f>IF(AND(W20&gt;=$F$13,W23&lt;=Inputs!$F$192),1,0)</f>
        <v/>
      </c>
      <c r="X53" s="9">
        <f>IF(AND(X20&gt;=$F$13,X23&lt;=Inputs!$F$192),1,0)</f>
        <v/>
      </c>
      <c r="Y53" s="9">
        <f>IF(AND(Y20&gt;=$F$13,Y23&lt;=Inputs!$F$192),1,0)</f>
        <v/>
      </c>
      <c r="Z53" s="9">
        <f>IF(AND(Z20&gt;=$F$13,Z23&lt;=Inputs!$F$192),1,0)</f>
        <v/>
      </c>
      <c r="AA53" s="9">
        <f>IF(AND(AA20&gt;=$F$13,AA23&lt;=Inputs!$F$192),1,0)</f>
        <v/>
      </c>
      <c r="AB53" s="9">
        <f>IF(AND(AB20&gt;=$F$13,AB23&lt;=Inputs!$F$192),1,0)</f>
        <v/>
      </c>
      <c r="AC53" s="9">
        <f>IF(AND(AC20&gt;=$F$13,AC23&lt;=Inputs!$F$192),1,0)</f>
        <v/>
      </c>
      <c r="AD53" s="9">
        <f>IF(AND(AD20&gt;=$F$13,AD23&lt;=Inputs!$F$192),1,0)</f>
        <v/>
      </c>
      <c r="AE53" s="9">
        <f>IF(AND(AE20&gt;=$F$13,AE23&lt;=Inputs!$F$192),1,0)</f>
        <v/>
      </c>
      <c r="AF53" s="9">
        <f>IF(AND(AF20&gt;=$F$13,AF23&lt;=Inputs!$F$192),1,0)</f>
        <v/>
      </c>
      <c r="AG53" s="9">
        <f>IF(AND(AG20&gt;=$F$13,AG23&lt;=Inputs!$F$192),1,0)</f>
        <v/>
      </c>
      <c r="AH53" s="9">
        <f>IF(AND(AH20&gt;=$F$13,AH23&lt;=Inputs!$F$192),1,0)</f>
        <v/>
      </c>
      <c r="AI53" s="9">
        <f>IF(AND(AI20&gt;=$F$13,AI23&lt;=Inputs!$F$192),1,0)</f>
        <v/>
      </c>
      <c r="AJ53" s="9">
        <f>IF(AND(AJ20&gt;=$F$13,AJ23&lt;=Inputs!$F$192),1,0)</f>
        <v/>
      </c>
      <c r="AK53" s="9">
        <f>IF(AND(AK20&gt;=$F$13,AK23&lt;=Inputs!$F$192),1,0)</f>
        <v/>
      </c>
      <c r="AL53" s="9">
        <f>IF(AND(AL20&gt;=$F$13,AL23&lt;=Inputs!$F$192),1,0)</f>
        <v/>
      </c>
      <c r="AM53" s="9">
        <f>IF(AND(AM20&gt;=$F$13,AM23&lt;=Inputs!$F$192),1,0)</f>
        <v/>
      </c>
      <c r="AN53" s="9">
        <f>IF(AND(AN20&gt;=$F$13,AN23&lt;=Inputs!$F$192),1,0)</f>
        <v/>
      </c>
      <c r="AO53" s="9">
        <f>IF(AND(AO20&gt;=$F$13,AO23&lt;=Inputs!$F$192),1,0)</f>
        <v/>
      </c>
      <c r="AP53" s="9">
        <f>IF(AND(AP20&gt;=$F$13,AP23&lt;=Inputs!$F$192),1,0)</f>
        <v/>
      </c>
      <c r="AQ53" s="9">
        <f>IF(AND(AQ20&gt;=$F$13,AQ23&lt;=Inputs!$F$192),1,0)</f>
        <v/>
      </c>
      <c r="AR53" s="9">
        <f>IF(AND(AR20&gt;=$F$13,AR23&lt;=Inputs!$F$192),1,0)</f>
        <v/>
      </c>
      <c r="AS53" s="9">
        <f>IF(AND(AS20&gt;=$F$13,AS23&lt;=Inputs!$F$192),1,0)</f>
        <v/>
      </c>
      <c r="AT53" s="9">
        <f>IF(AND(AT20&gt;=$F$13,AT23&lt;=Inputs!$F$192),1,0)</f>
        <v/>
      </c>
      <c r="AU53" s="9">
        <f>IF(AND(AU20&gt;=$F$13,AU23&lt;=Inputs!$F$192),1,0)</f>
        <v/>
      </c>
      <c r="AV53" s="9">
        <f>IF(AND(AV20&gt;=$F$13,AV23&lt;=Inputs!$F$192),1,0)</f>
        <v/>
      </c>
      <c r="AW53" s="9">
        <f>IF(AND(AW20&gt;=$F$13,AW23&lt;=Inputs!$F$192),1,0)</f>
        <v/>
      </c>
      <c r="AX53" s="9">
        <f>IF(AND(AX20&gt;=$F$13,AX23&lt;=Inputs!$F$192),1,0)</f>
        <v/>
      </c>
      <c r="AY53" s="9">
        <f>IF(AND(AY20&gt;=$F$13,AY23&lt;=Inputs!$F$192),1,0)</f>
        <v/>
      </c>
      <c r="AZ53" s="9">
        <f>IF(AND(AZ20&gt;=$F$13,AZ23&lt;=Inputs!$F$192),1,0)</f>
        <v/>
      </c>
      <c r="BA53" s="9">
        <f>IF(AND(BA20&gt;=$F$13,BA23&lt;=Inputs!$F$192),1,0)</f>
        <v/>
      </c>
      <c r="BB53" s="9">
        <f>IF(AND(BB20&gt;=$F$13,BB23&lt;=Inputs!$F$192),1,0)</f>
        <v/>
      </c>
      <c r="BC53" s="9">
        <f>IF(AND(BC20&gt;=$F$13,BC23&lt;=Inputs!$F$192),1,0)</f>
        <v/>
      </c>
      <c r="BD53" s="9">
        <f>IF(AND(BD20&gt;=$F$13,BD23&lt;=Inputs!$F$192),1,0)</f>
        <v/>
      </c>
      <c r="BE53" s="9">
        <f>IF(AND(BE20&gt;=$F$13,BE23&lt;=Inputs!$F$192),1,0)</f>
        <v/>
      </c>
      <c r="BF53" s="9">
        <f>IF(AND(BF20&gt;=$F$13,BF23&lt;=Inputs!$F$192),1,0)</f>
        <v/>
      </c>
      <c r="BG53" s="9">
        <f>IF(AND(BG20&gt;=$F$13,BG23&lt;=Inputs!$F$192),1,0)</f>
        <v/>
      </c>
      <c r="BH53" s="9">
        <f>IF(AND(BH20&gt;=$F$13,BH23&lt;=Inputs!$F$192),1,0)</f>
        <v/>
      </c>
      <c r="BI53" s="9">
        <f>IF(AND(BI20&gt;=$F$13,BI23&lt;=Inputs!$F$192),1,0)</f>
        <v/>
      </c>
      <c r="BJ53" s="9">
        <f>IF(AND(BJ20&gt;=$F$13,BJ23&lt;=Inputs!$F$192),1,0)</f>
        <v/>
      </c>
      <c r="BK53" s="9">
        <f>IF(AND(BK20&gt;=$F$13,BK23&lt;=Inputs!$F$192),1,0)</f>
        <v/>
      </c>
      <c r="BL53" s="9">
        <f>IF(AND(BL20&gt;=$F$13,BL23&lt;=Inputs!$F$192),1,0)</f>
        <v/>
      </c>
      <c r="BM53" s="9">
        <f>IF(AND(BM20&gt;=$F$13,BM23&lt;=Inputs!$F$192),1,0)</f>
        <v/>
      </c>
      <c r="BN53" s="9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9">
        <f>IF(J22&gt;=Inputs!$F$194,1,0)</f>
        <v/>
      </c>
      <c r="K54" s="9">
        <f>IF(K22&gt;=Inputs!$F$194,1,0)</f>
        <v/>
      </c>
      <c r="L54" s="9">
        <f>IF(L22&gt;=Inputs!$F$194,1,0)</f>
        <v/>
      </c>
      <c r="M54" s="9">
        <f>IF(M22&gt;=Inputs!$F$194,1,0)</f>
        <v/>
      </c>
      <c r="N54" s="9">
        <f>IF(N22&gt;=Inputs!$F$194,1,0)</f>
        <v/>
      </c>
      <c r="O54" s="9">
        <f>IF(O22&gt;=Inputs!$F$194,1,0)</f>
        <v/>
      </c>
      <c r="P54" s="9">
        <f>IF(P22&gt;=Inputs!$F$194,1,0)</f>
        <v/>
      </c>
      <c r="Q54" s="9">
        <f>IF(Q22&gt;=Inputs!$F$194,1,0)</f>
        <v/>
      </c>
      <c r="R54" s="9">
        <f>IF(R22&gt;=Inputs!$F$194,1,0)</f>
        <v/>
      </c>
      <c r="S54" s="9">
        <f>IF(S22&gt;=Inputs!$F$194,1,0)</f>
        <v/>
      </c>
      <c r="T54" s="9">
        <f>IF(T22&gt;=Inputs!$F$194,1,0)</f>
        <v/>
      </c>
      <c r="U54" s="9">
        <f>IF(U22&gt;=Inputs!$F$194,1,0)</f>
        <v/>
      </c>
      <c r="V54" s="9">
        <f>IF(V22&gt;=Inputs!$F$194,1,0)</f>
        <v/>
      </c>
      <c r="W54" s="9">
        <f>IF(W22&gt;=Inputs!$F$194,1,0)</f>
        <v/>
      </c>
      <c r="X54" s="9">
        <f>IF(X22&gt;=Inputs!$F$194,1,0)</f>
        <v/>
      </c>
      <c r="Y54" s="9">
        <f>IF(Y22&gt;=Inputs!$F$194,1,0)</f>
        <v/>
      </c>
      <c r="Z54" s="9">
        <f>IF(Z22&gt;=Inputs!$F$194,1,0)</f>
        <v/>
      </c>
      <c r="AA54" s="9">
        <f>IF(AA22&gt;=Inputs!$F$194,1,0)</f>
        <v/>
      </c>
      <c r="AB54" s="9">
        <f>IF(AB22&gt;=Inputs!$F$194,1,0)</f>
        <v/>
      </c>
      <c r="AC54" s="9">
        <f>IF(AC22&gt;=Inputs!$F$194,1,0)</f>
        <v/>
      </c>
      <c r="AD54" s="9">
        <f>IF(AD22&gt;=Inputs!$F$194,1,0)</f>
        <v/>
      </c>
      <c r="AE54" s="9">
        <f>IF(AE22&gt;=Inputs!$F$194,1,0)</f>
        <v/>
      </c>
      <c r="AF54" s="9">
        <f>IF(AF22&gt;=Inputs!$F$194,1,0)</f>
        <v/>
      </c>
      <c r="AG54" s="9">
        <f>IF(AG22&gt;=Inputs!$F$194,1,0)</f>
        <v/>
      </c>
      <c r="AH54" s="9">
        <f>IF(AH22&gt;=Inputs!$F$194,1,0)</f>
        <v/>
      </c>
      <c r="AI54" s="9">
        <f>IF(AI22&gt;=Inputs!$F$194,1,0)</f>
        <v/>
      </c>
      <c r="AJ54" s="9">
        <f>IF(AJ22&gt;=Inputs!$F$194,1,0)</f>
        <v/>
      </c>
      <c r="AK54" s="9">
        <f>IF(AK22&gt;=Inputs!$F$194,1,0)</f>
        <v/>
      </c>
      <c r="AL54" s="9">
        <f>IF(AL22&gt;=Inputs!$F$194,1,0)</f>
        <v/>
      </c>
      <c r="AM54" s="9">
        <f>IF(AM22&gt;=Inputs!$F$194,1,0)</f>
        <v/>
      </c>
      <c r="AN54" s="9">
        <f>IF(AN22&gt;=Inputs!$F$194,1,0)</f>
        <v/>
      </c>
      <c r="AO54" s="9">
        <f>IF(AO22&gt;=Inputs!$F$194,1,0)</f>
        <v/>
      </c>
      <c r="AP54" s="9">
        <f>IF(AP22&gt;=Inputs!$F$194,1,0)</f>
        <v/>
      </c>
      <c r="AQ54" s="9">
        <f>IF(AQ22&gt;=Inputs!$F$194,1,0)</f>
        <v/>
      </c>
      <c r="AR54" s="9">
        <f>IF(AR22&gt;=Inputs!$F$194,1,0)</f>
        <v/>
      </c>
      <c r="AS54" s="9">
        <f>IF(AS22&gt;=Inputs!$F$194,1,0)</f>
        <v/>
      </c>
      <c r="AT54" s="9">
        <f>IF(AT22&gt;=Inputs!$F$194,1,0)</f>
        <v/>
      </c>
      <c r="AU54" s="9">
        <f>IF(AU22&gt;=Inputs!$F$194,1,0)</f>
        <v/>
      </c>
      <c r="AV54" s="9">
        <f>IF(AV22&gt;=Inputs!$F$194,1,0)</f>
        <v/>
      </c>
      <c r="AW54" s="9">
        <f>IF(AW22&gt;=Inputs!$F$194,1,0)</f>
        <v/>
      </c>
      <c r="AX54" s="9">
        <f>IF(AX22&gt;=Inputs!$F$194,1,0)</f>
        <v/>
      </c>
      <c r="AY54" s="9">
        <f>IF(AY22&gt;=Inputs!$F$194,1,0)</f>
        <v/>
      </c>
      <c r="AZ54" s="9">
        <f>IF(AZ22&gt;=Inputs!$F$194,1,0)</f>
        <v/>
      </c>
      <c r="BA54" s="9">
        <f>IF(BA22&gt;=Inputs!$F$194,1,0)</f>
        <v/>
      </c>
      <c r="BB54" s="9">
        <f>IF(BB22&gt;=Inputs!$F$194,1,0)</f>
        <v/>
      </c>
      <c r="BC54" s="9">
        <f>IF(BC22&gt;=Inputs!$F$194,1,0)</f>
        <v/>
      </c>
      <c r="BD54" s="9">
        <f>IF(BD22&gt;=Inputs!$F$194,1,0)</f>
        <v/>
      </c>
      <c r="BE54" s="9">
        <f>IF(BE22&gt;=Inputs!$F$194,1,0)</f>
        <v/>
      </c>
      <c r="BF54" s="9">
        <f>IF(BF22&gt;=Inputs!$F$194,1,0)</f>
        <v/>
      </c>
      <c r="BG54" s="9">
        <f>IF(BG22&gt;=Inputs!$F$194,1,0)</f>
        <v/>
      </c>
      <c r="BH54" s="9">
        <f>IF(BH22&gt;=Inputs!$F$194,1,0)</f>
        <v/>
      </c>
      <c r="BI54" s="9">
        <f>IF(BI22&gt;=Inputs!$F$194,1,0)</f>
        <v/>
      </c>
      <c r="BJ54" s="9">
        <f>IF(BJ22&gt;=Inputs!$F$194,1,0)</f>
        <v/>
      </c>
      <c r="BK54" s="9">
        <f>IF(BK22&gt;=Inputs!$F$194,1,0)</f>
        <v/>
      </c>
      <c r="BL54" s="9">
        <f>IF(BL22&gt;=Inputs!$F$194,1,0)</f>
        <v/>
      </c>
      <c r="BM54" s="9">
        <f>IF(BM22&gt;=Inputs!$F$194,1,0)</f>
        <v/>
      </c>
      <c r="BN54" s="9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9">
        <f>MAX(0,MIN(J25,Inputs!$F$197-J22))</f>
        <v/>
      </c>
      <c r="K55" s="9">
        <f>MAX(0,MIN(K25,Inputs!$F$197-K22))</f>
        <v/>
      </c>
      <c r="L55" s="9">
        <f>MAX(0,MIN(L25,Inputs!$F$197-L22))</f>
        <v/>
      </c>
      <c r="M55" s="9">
        <f>MAX(0,MIN(M25,Inputs!$F$197-M22))</f>
        <v/>
      </c>
      <c r="N55" s="9">
        <f>MAX(0,MIN(N25,Inputs!$F$197-N22))</f>
        <v/>
      </c>
      <c r="O55" s="9">
        <f>MAX(0,MIN(O25,Inputs!$F$197-O22))</f>
        <v/>
      </c>
      <c r="P55" s="9">
        <f>MAX(0,MIN(P25,Inputs!$F$197-P22))</f>
        <v/>
      </c>
      <c r="Q55" s="9">
        <f>MAX(0,MIN(Q25,Inputs!$F$197-Q22))</f>
        <v/>
      </c>
      <c r="R55" s="9">
        <f>MAX(0,MIN(R25,Inputs!$F$197-R22))</f>
        <v/>
      </c>
      <c r="S55" s="9">
        <f>MAX(0,MIN(S25,Inputs!$F$197-S22))</f>
        <v/>
      </c>
      <c r="T55" s="9">
        <f>MAX(0,MIN(T25,Inputs!$F$197-T22))</f>
        <v/>
      </c>
      <c r="U55" s="9">
        <f>MAX(0,MIN(U25,Inputs!$F$197-U22))</f>
        <v/>
      </c>
      <c r="V55" s="9">
        <f>MAX(0,MIN(V25,Inputs!$F$197-V22))</f>
        <v/>
      </c>
      <c r="W55" s="9">
        <f>MAX(0,MIN(W25,Inputs!$F$197-W22))</f>
        <v/>
      </c>
      <c r="X55" s="9">
        <f>MAX(0,MIN(X25,Inputs!$F$197-X22))</f>
        <v/>
      </c>
      <c r="Y55" s="9">
        <f>MAX(0,MIN(Y25,Inputs!$F$197-Y22))</f>
        <v/>
      </c>
      <c r="Z55" s="9">
        <f>MAX(0,MIN(Z25,Inputs!$F$197-Z22))</f>
        <v/>
      </c>
      <c r="AA55" s="9">
        <f>MAX(0,MIN(AA25,Inputs!$F$197-AA22))</f>
        <v/>
      </c>
      <c r="AB55" s="9">
        <f>MAX(0,MIN(AB25,Inputs!$F$197-AB22))</f>
        <v/>
      </c>
      <c r="AC55" s="9">
        <f>MAX(0,MIN(AC25,Inputs!$F$197-AC22))</f>
        <v/>
      </c>
      <c r="AD55" s="9">
        <f>MAX(0,MIN(AD25,Inputs!$F$197-AD22))</f>
        <v/>
      </c>
      <c r="AE55" s="9">
        <f>MAX(0,MIN(AE25,Inputs!$F$197-AE22))</f>
        <v/>
      </c>
      <c r="AF55" s="9">
        <f>MAX(0,MIN(AF25,Inputs!$F$197-AF22))</f>
        <v/>
      </c>
      <c r="AG55" s="9">
        <f>MAX(0,MIN(AG25,Inputs!$F$197-AG22))</f>
        <v/>
      </c>
      <c r="AH55" s="9">
        <f>MAX(0,MIN(AH25,Inputs!$F$197-AH22))</f>
        <v/>
      </c>
      <c r="AI55" s="9">
        <f>MAX(0,MIN(AI25,Inputs!$F$197-AI22))</f>
        <v/>
      </c>
      <c r="AJ55" s="9">
        <f>MAX(0,MIN(AJ25,Inputs!$F$197-AJ22))</f>
        <v/>
      </c>
      <c r="AK55" s="9">
        <f>MAX(0,MIN(AK25,Inputs!$F$197-AK22))</f>
        <v/>
      </c>
      <c r="AL55" s="9">
        <f>MAX(0,MIN(AL25,Inputs!$F$197-AL22))</f>
        <v/>
      </c>
      <c r="AM55" s="9">
        <f>MAX(0,MIN(AM25,Inputs!$F$197-AM22))</f>
        <v/>
      </c>
      <c r="AN55" s="9">
        <f>MAX(0,MIN(AN25,Inputs!$F$197-AN22))</f>
        <v/>
      </c>
      <c r="AO55" s="9">
        <f>MAX(0,MIN(AO25,Inputs!$F$197-AO22))</f>
        <v/>
      </c>
      <c r="AP55" s="9">
        <f>MAX(0,MIN(AP25,Inputs!$F$197-AP22))</f>
        <v/>
      </c>
      <c r="AQ55" s="9">
        <f>MAX(0,MIN(AQ25,Inputs!$F$197-AQ22))</f>
        <v/>
      </c>
      <c r="AR55" s="9">
        <f>MAX(0,MIN(AR25,Inputs!$F$197-AR22))</f>
        <v/>
      </c>
      <c r="AS55" s="9">
        <f>MAX(0,MIN(AS25,Inputs!$F$197-AS22))</f>
        <v/>
      </c>
      <c r="AT55" s="9">
        <f>MAX(0,MIN(AT25,Inputs!$F$197-AT22))</f>
        <v/>
      </c>
      <c r="AU55" s="9">
        <f>MAX(0,MIN(AU25,Inputs!$F$197-AU22))</f>
        <v/>
      </c>
      <c r="AV55" s="9">
        <f>MAX(0,MIN(AV25,Inputs!$F$197-AV22))</f>
        <v/>
      </c>
      <c r="AW55" s="9">
        <f>MAX(0,MIN(AW25,Inputs!$F$197-AW22))</f>
        <v/>
      </c>
      <c r="AX55" s="9">
        <f>MAX(0,MIN(AX25,Inputs!$F$197-AX22))</f>
        <v/>
      </c>
      <c r="AY55" s="9">
        <f>MAX(0,MIN(AY25,Inputs!$F$197-AY22))</f>
        <v/>
      </c>
      <c r="AZ55" s="9">
        <f>MAX(0,MIN(AZ25,Inputs!$F$197-AZ22))</f>
        <v/>
      </c>
      <c r="BA55" s="9">
        <f>MAX(0,MIN(BA25,Inputs!$F$197-BA22))</f>
        <v/>
      </c>
      <c r="BB55" s="9">
        <f>MAX(0,MIN(BB25,Inputs!$F$197-BB22))</f>
        <v/>
      </c>
      <c r="BC55" s="9">
        <f>MAX(0,MIN(BC25,Inputs!$F$197-BC22))</f>
        <v/>
      </c>
      <c r="BD55" s="9">
        <f>MAX(0,MIN(BD25,Inputs!$F$197-BD22))</f>
        <v/>
      </c>
      <c r="BE55" s="9">
        <f>MAX(0,MIN(BE25,Inputs!$F$197-BE22))</f>
        <v/>
      </c>
      <c r="BF55" s="9">
        <f>MAX(0,MIN(BF25,Inputs!$F$197-BF22))</f>
        <v/>
      </c>
      <c r="BG55" s="9">
        <f>MAX(0,MIN(BG25,Inputs!$F$197-BG22))</f>
        <v/>
      </c>
      <c r="BH55" s="9">
        <f>MAX(0,MIN(BH25,Inputs!$F$197-BH22))</f>
        <v/>
      </c>
      <c r="BI55" s="9">
        <f>MAX(0,MIN(BI25,Inputs!$F$197-BI22))</f>
        <v/>
      </c>
      <c r="BJ55" s="9">
        <f>MAX(0,MIN(BJ25,Inputs!$F$197-BJ22))</f>
        <v/>
      </c>
      <c r="BK55" s="9">
        <f>MAX(0,MIN(BK25,Inputs!$F$197-BK22))</f>
        <v/>
      </c>
      <c r="BL55" s="9">
        <f>MAX(0,MIN(BL25,Inputs!$F$197-BL22))</f>
        <v/>
      </c>
      <c r="BM55" s="9">
        <f>MAX(0,MIN(BM25,Inputs!$F$197-BM22))</f>
        <v/>
      </c>
      <c r="BN55" s="9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I8+1</f>
        <v/>
      </c>
      <c r="K8" s="9">
        <f>J8+1</f>
        <v/>
      </c>
      <c r="L8" s="9">
        <f>K8+1</f>
        <v/>
      </c>
      <c r="M8" s="9">
        <f>L8+1</f>
        <v/>
      </c>
      <c r="N8" s="9">
        <f>M8+1</f>
        <v/>
      </c>
      <c r="O8" s="9">
        <f>N8+1</f>
        <v/>
      </c>
      <c r="P8" s="9">
        <f>O8+1</f>
        <v/>
      </c>
      <c r="Q8" s="9">
        <f>P8+1</f>
        <v/>
      </c>
      <c r="R8" s="9">
        <f>Q8+1</f>
        <v/>
      </c>
      <c r="S8" s="9">
        <f>R8+1</f>
        <v/>
      </c>
      <c r="T8" s="9">
        <f>S8+1</f>
        <v/>
      </c>
      <c r="U8" s="9">
        <f>T8+1</f>
        <v/>
      </c>
      <c r="V8" s="9">
        <f>U8+1</f>
        <v/>
      </c>
      <c r="W8" s="9">
        <f>V8+1</f>
        <v/>
      </c>
      <c r="X8" s="9">
        <f>W8+1</f>
        <v/>
      </c>
      <c r="Y8" s="9">
        <f>X8+1</f>
        <v/>
      </c>
      <c r="Z8" s="9">
        <f>Y8+1</f>
        <v/>
      </c>
      <c r="AA8" s="9">
        <f>Z8+1</f>
        <v/>
      </c>
      <c r="AB8" s="9">
        <f>AA8+1</f>
        <v/>
      </c>
      <c r="AC8" s="9">
        <f>AB8+1</f>
        <v/>
      </c>
      <c r="AD8" s="9">
        <f>AC8+1</f>
        <v/>
      </c>
      <c r="AE8" s="9">
        <f>AD8+1</f>
        <v/>
      </c>
      <c r="AF8" s="9">
        <f>AE8+1</f>
        <v/>
      </c>
      <c r="AG8" s="9">
        <f>AF8+1</f>
        <v/>
      </c>
      <c r="AH8" s="9">
        <f>AG8+1</f>
        <v/>
      </c>
      <c r="AI8" s="9">
        <f>AH8+1</f>
        <v/>
      </c>
      <c r="AJ8" s="9">
        <f>AI8+1</f>
        <v/>
      </c>
      <c r="AK8" s="9">
        <f>AJ8+1</f>
        <v/>
      </c>
      <c r="AL8" s="9">
        <f>AK8+1</f>
        <v/>
      </c>
      <c r="AM8" s="9">
        <f>AL8+1</f>
        <v/>
      </c>
      <c r="AN8" s="9">
        <f>AM8+1</f>
        <v/>
      </c>
      <c r="AO8" s="9">
        <f>AN8+1</f>
        <v/>
      </c>
      <c r="AP8" s="9">
        <f>AO8+1</f>
        <v/>
      </c>
      <c r="AQ8" s="9">
        <f>AP8+1</f>
        <v/>
      </c>
      <c r="AR8" s="9">
        <f>AQ8+1</f>
        <v/>
      </c>
      <c r="AS8" s="9">
        <f>AR8+1</f>
        <v/>
      </c>
      <c r="AT8" s="9">
        <f>AS8+1</f>
        <v/>
      </c>
      <c r="AU8" s="9">
        <f>AT8+1</f>
        <v/>
      </c>
      <c r="AV8" s="9">
        <f>AU8+1</f>
        <v/>
      </c>
      <c r="AW8" s="9">
        <f>AV8+1</f>
        <v/>
      </c>
      <c r="AX8" s="9">
        <f>AW8+1</f>
        <v/>
      </c>
      <c r="AY8" s="9">
        <f>AX8+1</f>
        <v/>
      </c>
      <c r="AZ8" s="9">
        <f>AY8+1</f>
        <v/>
      </c>
      <c r="BA8" s="9">
        <f>AZ8+1</f>
        <v/>
      </c>
      <c r="BB8" s="9">
        <f>BA8+1</f>
        <v/>
      </c>
      <c r="BC8" s="9">
        <f>BB8+1</f>
        <v/>
      </c>
      <c r="BD8" s="9">
        <f>BC8+1</f>
        <v/>
      </c>
      <c r="BE8" s="9">
        <f>BD8+1</f>
        <v/>
      </c>
      <c r="BF8" s="9">
        <f>BE8+1</f>
        <v/>
      </c>
      <c r="BG8" s="9">
        <f>BF8+1</f>
        <v/>
      </c>
      <c r="BH8" s="9">
        <f>BG8+1</f>
        <v/>
      </c>
      <c r="BI8" s="9">
        <f>BH8+1</f>
        <v/>
      </c>
      <c r="BJ8" s="9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10">
        <f>IF(J8=1,Inputs!$F$188,EDATE(I9,1))</f>
        <v/>
      </c>
      <c r="K9" s="10">
        <f>IF(K8=1,Inputs!$F$188,EDATE(J9,1))</f>
        <v/>
      </c>
      <c r="L9" s="10">
        <f>IF(L8=1,Inputs!$F$188,EDATE(K9,1))</f>
        <v/>
      </c>
      <c r="M9" s="10">
        <f>IF(M8=1,Inputs!$F$188,EDATE(L9,1))</f>
        <v/>
      </c>
      <c r="N9" s="10">
        <f>IF(N8=1,Inputs!$F$188,EDATE(M9,1))</f>
        <v/>
      </c>
      <c r="O9" s="10">
        <f>IF(O8=1,Inputs!$F$188,EDATE(N9,1))</f>
        <v/>
      </c>
      <c r="P9" s="10">
        <f>IF(P8=1,Inputs!$F$188,EDATE(O9,1))</f>
        <v/>
      </c>
      <c r="Q9" s="10">
        <f>IF(Q8=1,Inputs!$F$188,EDATE(P9,1))</f>
        <v/>
      </c>
      <c r="R9" s="10">
        <f>IF(R8=1,Inputs!$F$188,EDATE(Q9,1))</f>
        <v/>
      </c>
      <c r="S9" s="10">
        <f>IF(S8=1,Inputs!$F$188,EDATE(R9,1))</f>
        <v/>
      </c>
      <c r="T9" s="10">
        <f>IF(T8=1,Inputs!$F$188,EDATE(S9,1))</f>
        <v/>
      </c>
      <c r="U9" s="10">
        <f>IF(U8=1,Inputs!$F$188,EDATE(T9,1))</f>
        <v/>
      </c>
      <c r="V9" s="10">
        <f>IF(V8=1,Inputs!$F$188,EDATE(U9,1))</f>
        <v/>
      </c>
      <c r="W9" s="10">
        <f>IF(W8=1,Inputs!$F$188,EDATE(V9,1))</f>
        <v/>
      </c>
      <c r="X9" s="10">
        <f>IF(X8=1,Inputs!$F$188,EDATE(W9,1))</f>
        <v/>
      </c>
      <c r="Y9" s="10">
        <f>IF(Y8=1,Inputs!$F$188,EDATE(X9,1))</f>
        <v/>
      </c>
      <c r="Z9" s="10">
        <f>IF(Z8=1,Inputs!$F$188,EDATE(Y9,1))</f>
        <v/>
      </c>
      <c r="AA9" s="10">
        <f>IF(AA8=1,Inputs!$F$188,EDATE(Z9,1))</f>
        <v/>
      </c>
      <c r="AB9" s="10">
        <f>IF(AB8=1,Inputs!$F$188,EDATE(AA9,1))</f>
        <v/>
      </c>
      <c r="AC9" s="10">
        <f>IF(AC8=1,Inputs!$F$188,EDATE(AB9,1))</f>
        <v/>
      </c>
      <c r="AD9" s="10">
        <f>IF(AD8=1,Inputs!$F$188,EDATE(AC9,1))</f>
        <v/>
      </c>
      <c r="AE9" s="10">
        <f>IF(AE8=1,Inputs!$F$188,EDATE(AD9,1))</f>
        <v/>
      </c>
      <c r="AF9" s="10">
        <f>IF(AF8=1,Inputs!$F$188,EDATE(AE9,1))</f>
        <v/>
      </c>
      <c r="AG9" s="10">
        <f>IF(AG8=1,Inputs!$F$188,EDATE(AF9,1))</f>
        <v/>
      </c>
      <c r="AH9" s="10">
        <f>IF(AH8=1,Inputs!$F$188,EDATE(AG9,1))</f>
        <v/>
      </c>
      <c r="AI9" s="10">
        <f>IF(AI8=1,Inputs!$F$188,EDATE(AH9,1))</f>
        <v/>
      </c>
      <c r="AJ9" s="10">
        <f>IF(AJ8=1,Inputs!$F$188,EDATE(AI9,1))</f>
        <v/>
      </c>
      <c r="AK9" s="10">
        <f>IF(AK8=1,Inputs!$F$188,EDATE(AJ9,1))</f>
        <v/>
      </c>
      <c r="AL9" s="10">
        <f>IF(AL8=1,Inputs!$F$188,EDATE(AK9,1))</f>
        <v/>
      </c>
      <c r="AM9" s="10">
        <f>IF(AM8=1,Inputs!$F$188,EDATE(AL9,1))</f>
        <v/>
      </c>
      <c r="AN9" s="10">
        <f>IF(AN8=1,Inputs!$F$188,EDATE(AM9,1))</f>
        <v/>
      </c>
      <c r="AO9" s="10">
        <f>IF(AO8=1,Inputs!$F$188,EDATE(AN9,1))</f>
        <v/>
      </c>
      <c r="AP9" s="10">
        <f>IF(AP8=1,Inputs!$F$188,EDATE(AO9,1))</f>
        <v/>
      </c>
      <c r="AQ9" s="10">
        <f>IF(AQ8=1,Inputs!$F$188,EDATE(AP9,1))</f>
        <v/>
      </c>
      <c r="AR9" s="10">
        <f>IF(AR8=1,Inputs!$F$188,EDATE(AQ9,1))</f>
        <v/>
      </c>
      <c r="AS9" s="10">
        <f>IF(AS8=1,Inputs!$F$188,EDATE(AR9,1))</f>
        <v/>
      </c>
      <c r="AT9" s="10">
        <f>IF(AT8=1,Inputs!$F$188,EDATE(AS9,1))</f>
        <v/>
      </c>
      <c r="AU9" s="10">
        <f>IF(AU8=1,Inputs!$F$188,EDATE(AT9,1))</f>
        <v/>
      </c>
      <c r="AV9" s="10">
        <f>IF(AV8=1,Inputs!$F$188,EDATE(AU9,1))</f>
        <v/>
      </c>
      <c r="AW9" s="10">
        <f>IF(AW8=1,Inputs!$F$188,EDATE(AV9,1))</f>
        <v/>
      </c>
      <c r="AX9" s="10">
        <f>IF(AX8=1,Inputs!$F$188,EDATE(AW9,1))</f>
        <v/>
      </c>
      <c r="AY9" s="10">
        <f>IF(AY8=1,Inputs!$F$188,EDATE(AX9,1))</f>
        <v/>
      </c>
      <c r="AZ9" s="10">
        <f>IF(AZ8=1,Inputs!$F$188,EDATE(AY9,1))</f>
        <v/>
      </c>
      <c r="BA9" s="10">
        <f>IF(BA8=1,Inputs!$F$188,EDATE(AZ9,1))</f>
        <v/>
      </c>
      <c r="BB9" s="10">
        <f>IF(BB8=1,Inputs!$F$188,EDATE(BA9,1))</f>
        <v/>
      </c>
      <c r="BC9" s="10">
        <f>IF(BC8=1,Inputs!$F$188,EDATE(BB9,1))</f>
        <v/>
      </c>
      <c r="BD9" s="10">
        <f>IF(BD8=1,Inputs!$F$188,EDATE(BC9,1))</f>
        <v/>
      </c>
      <c r="BE9" s="10">
        <f>IF(BE8=1,Inputs!$F$188,EDATE(BD9,1))</f>
        <v/>
      </c>
      <c r="BF9" s="10">
        <f>IF(BF8=1,Inputs!$F$188,EDATE(BE9,1))</f>
        <v/>
      </c>
      <c r="BG9" s="10">
        <f>IF(BG8=1,Inputs!$F$188,EDATE(BF9,1))</f>
        <v/>
      </c>
      <c r="BH9" s="10">
        <f>IF(BH8=1,Inputs!$F$188,EDATE(BG9,1))</f>
        <v/>
      </c>
      <c r="BI9" s="10">
        <f>IF(BI8=1,Inputs!$F$188,EDATE(BH9,1))</f>
        <v/>
      </c>
      <c r="BJ9" s="10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10">
        <f>EOMONTH(J9,0)</f>
        <v/>
      </c>
      <c r="K10" s="10">
        <f>EOMONTH(K9,0)</f>
        <v/>
      </c>
      <c r="L10" s="10">
        <f>EOMONTH(L9,0)</f>
        <v/>
      </c>
      <c r="M10" s="10">
        <f>EOMONTH(M9,0)</f>
        <v/>
      </c>
      <c r="N10" s="10">
        <f>EOMONTH(N9,0)</f>
        <v/>
      </c>
      <c r="O10" s="10">
        <f>EOMONTH(O9,0)</f>
        <v/>
      </c>
      <c r="P10" s="10">
        <f>EOMONTH(P9,0)</f>
        <v/>
      </c>
      <c r="Q10" s="10">
        <f>EOMONTH(Q9,0)</f>
        <v/>
      </c>
      <c r="R10" s="10">
        <f>EOMONTH(R9,0)</f>
        <v/>
      </c>
      <c r="S10" s="10">
        <f>EOMONTH(S9,0)</f>
        <v/>
      </c>
      <c r="T10" s="10">
        <f>EOMONTH(T9,0)</f>
        <v/>
      </c>
      <c r="U10" s="10">
        <f>EOMONTH(U9,0)</f>
        <v/>
      </c>
      <c r="V10" s="10">
        <f>EOMONTH(V9,0)</f>
        <v/>
      </c>
      <c r="W10" s="10">
        <f>EOMONTH(W9,0)</f>
        <v/>
      </c>
      <c r="X10" s="10">
        <f>EOMONTH(X9,0)</f>
        <v/>
      </c>
      <c r="Y10" s="10">
        <f>EOMONTH(Y9,0)</f>
        <v/>
      </c>
      <c r="Z10" s="10">
        <f>EOMONTH(Z9,0)</f>
        <v/>
      </c>
      <c r="AA10" s="10">
        <f>EOMONTH(AA9,0)</f>
        <v/>
      </c>
      <c r="AB10" s="10">
        <f>EOMONTH(AB9,0)</f>
        <v/>
      </c>
      <c r="AC10" s="10">
        <f>EOMONTH(AC9,0)</f>
        <v/>
      </c>
      <c r="AD10" s="10">
        <f>EOMONTH(AD9,0)</f>
        <v/>
      </c>
      <c r="AE10" s="10">
        <f>EOMONTH(AE9,0)</f>
        <v/>
      </c>
      <c r="AF10" s="10">
        <f>EOMONTH(AF9,0)</f>
        <v/>
      </c>
      <c r="AG10" s="10">
        <f>EOMONTH(AG9,0)</f>
        <v/>
      </c>
      <c r="AH10" s="10">
        <f>EOMONTH(AH9,0)</f>
        <v/>
      </c>
      <c r="AI10" s="10">
        <f>EOMONTH(AI9,0)</f>
        <v/>
      </c>
      <c r="AJ10" s="10">
        <f>EOMONTH(AJ9,0)</f>
        <v/>
      </c>
      <c r="AK10" s="10">
        <f>EOMONTH(AK9,0)</f>
        <v/>
      </c>
      <c r="AL10" s="10">
        <f>EOMONTH(AL9,0)</f>
        <v/>
      </c>
      <c r="AM10" s="10">
        <f>EOMONTH(AM9,0)</f>
        <v/>
      </c>
      <c r="AN10" s="10">
        <f>EOMONTH(AN9,0)</f>
        <v/>
      </c>
      <c r="AO10" s="10">
        <f>EOMONTH(AO9,0)</f>
        <v/>
      </c>
      <c r="AP10" s="10">
        <f>EOMONTH(AP9,0)</f>
        <v/>
      </c>
      <c r="AQ10" s="10">
        <f>EOMONTH(AQ9,0)</f>
        <v/>
      </c>
      <c r="AR10" s="10">
        <f>EOMONTH(AR9,0)</f>
        <v/>
      </c>
      <c r="AS10" s="10">
        <f>EOMONTH(AS9,0)</f>
        <v/>
      </c>
      <c r="AT10" s="10">
        <f>EOMONTH(AT9,0)</f>
        <v/>
      </c>
      <c r="AU10" s="10">
        <f>EOMONTH(AU9,0)</f>
        <v/>
      </c>
      <c r="AV10" s="10">
        <f>EOMONTH(AV9,0)</f>
        <v/>
      </c>
      <c r="AW10" s="10">
        <f>EOMONTH(AW9,0)</f>
        <v/>
      </c>
      <c r="AX10" s="10">
        <f>EOMONTH(AX9,0)</f>
        <v/>
      </c>
      <c r="AY10" s="10">
        <f>EOMONTH(AY9,0)</f>
        <v/>
      </c>
      <c r="AZ10" s="10">
        <f>EOMONTH(AZ9,0)</f>
        <v/>
      </c>
      <c r="BA10" s="10">
        <f>EOMONTH(BA9,0)</f>
        <v/>
      </c>
      <c r="BB10" s="10">
        <f>EOMONTH(BB9,0)</f>
        <v/>
      </c>
      <c r="BC10" s="10">
        <f>EOMONTH(BC9,0)</f>
        <v/>
      </c>
      <c r="BD10" s="10">
        <f>EOMONTH(BD9,0)</f>
        <v/>
      </c>
      <c r="BE10" s="10">
        <f>EOMONTH(BE9,0)</f>
        <v/>
      </c>
      <c r="BF10" s="10">
        <f>EOMONTH(BF9,0)</f>
        <v/>
      </c>
      <c r="BG10" s="10">
        <f>EOMONTH(BG9,0)</f>
        <v/>
      </c>
      <c r="BH10" s="10">
        <f>EOMONTH(BH9,0)</f>
        <v/>
      </c>
      <c r="BI10" s="10">
        <f>EOMONTH(BI9,0)</f>
        <v/>
      </c>
      <c r="BJ10" s="10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MATCH(J9,Time!$J$22:$BN$22,1)</f>
        <v/>
      </c>
      <c r="K12" s="9">
        <f>MATCH(K9,Time!$J$22:$BN$22,1)</f>
        <v/>
      </c>
      <c r="L12" s="9">
        <f>MATCH(L9,Time!$J$22:$BN$22,1)</f>
        <v/>
      </c>
      <c r="M12" s="9">
        <f>MATCH(M9,Time!$J$22:$BN$22,1)</f>
        <v/>
      </c>
      <c r="N12" s="9">
        <f>MATCH(N9,Time!$J$22:$BN$22,1)</f>
        <v/>
      </c>
      <c r="O12" s="9">
        <f>MATCH(O9,Time!$J$22:$BN$22,1)</f>
        <v/>
      </c>
      <c r="P12" s="9">
        <f>MATCH(P9,Time!$J$22:$BN$22,1)</f>
        <v/>
      </c>
      <c r="Q12" s="9">
        <f>MATCH(Q9,Time!$J$22:$BN$22,1)</f>
        <v/>
      </c>
      <c r="R12" s="9">
        <f>MATCH(R9,Time!$J$22:$BN$22,1)</f>
        <v/>
      </c>
      <c r="S12" s="9">
        <f>MATCH(S9,Time!$J$22:$BN$22,1)</f>
        <v/>
      </c>
      <c r="T12" s="9">
        <f>MATCH(T9,Time!$J$22:$BN$22,1)</f>
        <v/>
      </c>
      <c r="U12" s="9">
        <f>MATCH(U9,Time!$J$22:$BN$22,1)</f>
        <v/>
      </c>
      <c r="V12" s="9">
        <f>MATCH(V9,Time!$J$22:$BN$22,1)</f>
        <v/>
      </c>
      <c r="W12" s="9">
        <f>MATCH(W9,Time!$J$22:$BN$22,1)</f>
        <v/>
      </c>
      <c r="X12" s="9">
        <f>MATCH(X9,Time!$J$22:$BN$22,1)</f>
        <v/>
      </c>
      <c r="Y12" s="9">
        <f>MATCH(Y9,Time!$J$22:$BN$22,1)</f>
        <v/>
      </c>
      <c r="Z12" s="9">
        <f>MATCH(Z9,Time!$J$22:$BN$22,1)</f>
        <v/>
      </c>
      <c r="AA12" s="9">
        <f>MATCH(AA9,Time!$J$22:$BN$22,1)</f>
        <v/>
      </c>
      <c r="AB12" s="9">
        <f>MATCH(AB9,Time!$J$22:$BN$22,1)</f>
        <v/>
      </c>
      <c r="AC12" s="9">
        <f>MATCH(AC9,Time!$J$22:$BN$22,1)</f>
        <v/>
      </c>
      <c r="AD12" s="9">
        <f>MATCH(AD9,Time!$J$22:$BN$22,1)</f>
        <v/>
      </c>
      <c r="AE12" s="9">
        <f>MATCH(AE9,Time!$J$22:$BN$22,1)</f>
        <v/>
      </c>
      <c r="AF12" s="9">
        <f>MATCH(AF9,Time!$J$22:$BN$22,1)</f>
        <v/>
      </c>
      <c r="AG12" s="9">
        <f>MATCH(AG9,Time!$J$22:$BN$22,1)</f>
        <v/>
      </c>
      <c r="AH12" s="9">
        <f>MATCH(AH9,Time!$J$22:$BN$22,1)</f>
        <v/>
      </c>
      <c r="AI12" s="9">
        <f>MATCH(AI9,Time!$J$22:$BN$22,1)</f>
        <v/>
      </c>
      <c r="AJ12" s="9">
        <f>MATCH(AJ9,Time!$J$22:$BN$22,1)</f>
        <v/>
      </c>
      <c r="AK12" s="9">
        <f>MATCH(AK9,Time!$J$22:$BN$22,1)</f>
        <v/>
      </c>
      <c r="AL12" s="9">
        <f>MATCH(AL9,Time!$J$22:$BN$22,1)</f>
        <v/>
      </c>
      <c r="AM12" s="9">
        <f>MATCH(AM9,Time!$J$22:$BN$22,1)</f>
        <v/>
      </c>
      <c r="AN12" s="9">
        <f>MATCH(AN9,Time!$J$22:$BN$22,1)</f>
        <v/>
      </c>
      <c r="AO12" s="9">
        <f>MATCH(AO9,Time!$J$22:$BN$22,1)</f>
        <v/>
      </c>
      <c r="AP12" s="9">
        <f>MATCH(AP9,Time!$J$22:$BN$22,1)</f>
        <v/>
      </c>
      <c r="AQ12" s="9">
        <f>MATCH(AQ9,Time!$J$22:$BN$22,1)</f>
        <v/>
      </c>
      <c r="AR12" s="9">
        <f>MATCH(AR9,Time!$J$22:$BN$22,1)</f>
        <v/>
      </c>
      <c r="AS12" s="9">
        <f>MATCH(AS9,Time!$J$22:$BN$22,1)</f>
        <v/>
      </c>
      <c r="AT12" s="9">
        <f>MATCH(AT9,Time!$J$22:$BN$22,1)</f>
        <v/>
      </c>
      <c r="AU12" s="9">
        <f>MATCH(AU9,Time!$J$22:$BN$22,1)</f>
        <v/>
      </c>
      <c r="AV12" s="9">
        <f>MATCH(AV9,Time!$J$22:$BN$22,1)</f>
        <v/>
      </c>
      <c r="AW12" s="9">
        <f>MATCH(AW9,Time!$J$22:$BN$22,1)</f>
        <v/>
      </c>
      <c r="AX12" s="9">
        <f>MATCH(AX9,Time!$J$22:$BN$22,1)</f>
        <v/>
      </c>
      <c r="AY12" s="9">
        <f>MATCH(AY9,Time!$J$22:$BN$22,1)</f>
        <v/>
      </c>
      <c r="AZ12" s="9">
        <f>MATCH(AZ9,Time!$J$22:$BN$22,1)</f>
        <v/>
      </c>
      <c r="BA12" s="9">
        <f>MATCH(BA9,Time!$J$22:$BN$22,1)</f>
        <v/>
      </c>
      <c r="BB12" s="9">
        <f>MATCH(BB9,Time!$J$22:$BN$22,1)</f>
        <v/>
      </c>
      <c r="BC12" s="9">
        <f>MATCH(BC9,Time!$J$22:$BN$22,1)</f>
        <v/>
      </c>
      <c r="BD12" s="9">
        <f>MATCH(BD9,Time!$J$22:$BN$22,1)</f>
        <v/>
      </c>
      <c r="BE12" s="9">
        <f>MATCH(BE9,Time!$J$22:$BN$22,1)</f>
        <v/>
      </c>
      <c r="BF12" s="9">
        <f>MATCH(BF9,Time!$J$22:$BN$22,1)</f>
        <v/>
      </c>
      <c r="BG12" s="9">
        <f>MATCH(BG9,Time!$J$22:$BN$22,1)</f>
        <v/>
      </c>
      <c r="BH12" s="9">
        <f>MATCH(BH9,Time!$J$22:$BN$22,1)</f>
        <v/>
      </c>
      <c r="BI12" s="9">
        <f>MATCH(BI9,Time!$J$22:$BN$22,1)</f>
        <v/>
      </c>
      <c r="BJ12" s="9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IF(J8&lt;=Time!$F$11,1,0)</f>
        <v/>
      </c>
      <c r="K13" s="9">
        <f>IF(K8&lt;=Time!$F$11,1,0)</f>
        <v/>
      </c>
      <c r="L13" s="9">
        <f>IF(L8&lt;=Time!$F$11,1,0)</f>
        <v/>
      </c>
      <c r="M13" s="9">
        <f>IF(M8&lt;=Time!$F$11,1,0)</f>
        <v/>
      </c>
      <c r="N13" s="9">
        <f>IF(N8&lt;=Time!$F$11,1,0)</f>
        <v/>
      </c>
      <c r="O13" s="9">
        <f>IF(O8&lt;=Time!$F$11,1,0)</f>
        <v/>
      </c>
      <c r="P13" s="9">
        <f>IF(P8&lt;=Time!$F$11,1,0)</f>
        <v/>
      </c>
      <c r="Q13" s="9">
        <f>IF(Q8&lt;=Time!$F$11,1,0)</f>
        <v/>
      </c>
      <c r="R13" s="9">
        <f>IF(R8&lt;=Time!$F$11,1,0)</f>
        <v/>
      </c>
      <c r="S13" s="9">
        <f>IF(S8&lt;=Time!$F$11,1,0)</f>
        <v/>
      </c>
      <c r="T13" s="9">
        <f>IF(T8&lt;=Time!$F$11,1,0)</f>
        <v/>
      </c>
      <c r="U13" s="9">
        <f>IF(U8&lt;=Time!$F$11,1,0)</f>
        <v/>
      </c>
      <c r="V13" s="9">
        <f>IF(V8&lt;=Time!$F$11,1,0)</f>
        <v/>
      </c>
      <c r="W13" s="9">
        <f>IF(W8&lt;=Time!$F$11,1,0)</f>
        <v/>
      </c>
      <c r="X13" s="9">
        <f>IF(X8&lt;=Time!$F$11,1,0)</f>
        <v/>
      </c>
      <c r="Y13" s="9">
        <f>IF(Y8&lt;=Time!$F$11,1,0)</f>
        <v/>
      </c>
      <c r="Z13" s="9">
        <f>IF(Z8&lt;=Time!$F$11,1,0)</f>
        <v/>
      </c>
      <c r="AA13" s="9">
        <f>IF(AA8&lt;=Time!$F$11,1,0)</f>
        <v/>
      </c>
      <c r="AB13" s="9">
        <f>IF(AB8&lt;=Time!$F$11,1,0)</f>
        <v/>
      </c>
      <c r="AC13" s="9">
        <f>IF(AC8&lt;=Time!$F$11,1,0)</f>
        <v/>
      </c>
      <c r="AD13" s="9">
        <f>IF(AD8&lt;=Time!$F$11,1,0)</f>
        <v/>
      </c>
      <c r="AE13" s="9">
        <f>IF(AE8&lt;=Time!$F$11,1,0)</f>
        <v/>
      </c>
      <c r="AF13" s="9">
        <f>IF(AF8&lt;=Time!$F$11,1,0)</f>
        <v/>
      </c>
      <c r="AG13" s="9">
        <f>IF(AG8&lt;=Time!$F$11,1,0)</f>
        <v/>
      </c>
      <c r="AH13" s="9">
        <f>IF(AH8&lt;=Time!$F$11,1,0)</f>
        <v/>
      </c>
      <c r="AI13" s="9">
        <f>IF(AI8&lt;=Time!$F$11,1,0)</f>
        <v/>
      </c>
      <c r="AJ13" s="9">
        <f>IF(AJ8&lt;=Time!$F$11,1,0)</f>
        <v/>
      </c>
      <c r="AK13" s="9">
        <f>IF(AK8&lt;=Time!$F$11,1,0)</f>
        <v/>
      </c>
      <c r="AL13" s="9">
        <f>IF(AL8&lt;=Time!$F$11,1,0)</f>
        <v/>
      </c>
      <c r="AM13" s="9">
        <f>IF(AM8&lt;=Time!$F$11,1,0)</f>
        <v/>
      </c>
      <c r="AN13" s="9">
        <f>IF(AN8&lt;=Time!$F$11,1,0)</f>
        <v/>
      </c>
      <c r="AO13" s="9">
        <f>IF(AO8&lt;=Time!$F$11,1,0)</f>
        <v/>
      </c>
      <c r="AP13" s="9">
        <f>IF(AP8&lt;=Time!$F$11,1,0)</f>
        <v/>
      </c>
      <c r="AQ13" s="9">
        <f>IF(AQ8&lt;=Time!$F$11,1,0)</f>
        <v/>
      </c>
      <c r="AR13" s="9">
        <f>IF(AR8&lt;=Time!$F$11,1,0)</f>
        <v/>
      </c>
      <c r="AS13" s="9">
        <f>IF(AS8&lt;=Time!$F$11,1,0)</f>
        <v/>
      </c>
      <c r="AT13" s="9">
        <f>IF(AT8&lt;=Time!$F$11,1,0)</f>
        <v/>
      </c>
      <c r="AU13" s="9">
        <f>IF(AU8&lt;=Time!$F$11,1,0)</f>
        <v/>
      </c>
      <c r="AV13" s="9">
        <f>IF(AV8&lt;=Time!$F$11,1,0)</f>
        <v/>
      </c>
      <c r="AW13" s="9">
        <f>IF(AW8&lt;=Time!$F$11,1,0)</f>
        <v/>
      </c>
      <c r="AX13" s="9">
        <f>IF(AX8&lt;=Time!$F$11,1,0)</f>
        <v/>
      </c>
      <c r="AY13" s="9">
        <f>IF(AY8&lt;=Time!$F$11,1,0)</f>
        <v/>
      </c>
      <c r="AZ13" s="9">
        <f>IF(AZ8&lt;=Time!$F$11,1,0)</f>
        <v/>
      </c>
      <c r="BA13" s="9">
        <f>IF(BA8&lt;=Time!$F$11,1,0)</f>
        <v/>
      </c>
      <c r="BB13" s="9">
        <f>IF(BB8&lt;=Time!$F$11,1,0)</f>
        <v/>
      </c>
      <c r="BC13" s="9">
        <f>IF(BC8&lt;=Time!$F$11,1,0)</f>
        <v/>
      </c>
      <c r="BD13" s="9">
        <f>IF(BD8&lt;=Time!$F$11,1,0)</f>
        <v/>
      </c>
      <c r="BE13" s="9">
        <f>IF(BE8&lt;=Time!$F$11,1,0)</f>
        <v/>
      </c>
      <c r="BF13" s="9">
        <f>IF(BF8&lt;=Time!$F$11,1,0)</f>
        <v/>
      </c>
      <c r="BG13" s="9">
        <f>IF(BG8&lt;=Time!$F$11,1,0)</f>
        <v/>
      </c>
      <c r="BH13" s="9">
        <f>IF(BH8&lt;=Time!$F$11,1,0)</f>
        <v/>
      </c>
      <c r="BI13" s="9">
        <f>IF(BI8&lt;=Time!$F$11,1,0)</f>
        <v/>
      </c>
      <c r="BJ13" s="9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IF(J8&lt;=Time!$F$14,1,0)</f>
        <v/>
      </c>
      <c r="K14" s="9">
        <f>IF(K8&lt;=Time!$F$14,1,0)</f>
        <v/>
      </c>
      <c r="L14" s="9">
        <f>IF(L8&lt;=Time!$F$14,1,0)</f>
        <v/>
      </c>
      <c r="M14" s="9">
        <f>IF(M8&lt;=Time!$F$14,1,0)</f>
        <v/>
      </c>
      <c r="N14" s="9">
        <f>IF(N8&lt;=Time!$F$14,1,0)</f>
        <v/>
      </c>
      <c r="O14" s="9">
        <f>IF(O8&lt;=Time!$F$14,1,0)</f>
        <v/>
      </c>
      <c r="P14" s="9">
        <f>IF(P8&lt;=Time!$F$14,1,0)</f>
        <v/>
      </c>
      <c r="Q14" s="9">
        <f>IF(Q8&lt;=Time!$F$14,1,0)</f>
        <v/>
      </c>
      <c r="R14" s="9">
        <f>IF(R8&lt;=Time!$F$14,1,0)</f>
        <v/>
      </c>
      <c r="S14" s="9">
        <f>IF(S8&lt;=Time!$F$14,1,0)</f>
        <v/>
      </c>
      <c r="T14" s="9">
        <f>IF(T8&lt;=Time!$F$14,1,0)</f>
        <v/>
      </c>
      <c r="U14" s="9">
        <f>IF(U8&lt;=Time!$F$14,1,0)</f>
        <v/>
      </c>
      <c r="V14" s="9">
        <f>IF(V8&lt;=Time!$F$14,1,0)</f>
        <v/>
      </c>
      <c r="W14" s="9">
        <f>IF(W8&lt;=Time!$F$14,1,0)</f>
        <v/>
      </c>
      <c r="X14" s="9">
        <f>IF(X8&lt;=Time!$F$14,1,0)</f>
        <v/>
      </c>
      <c r="Y14" s="9">
        <f>IF(Y8&lt;=Time!$F$14,1,0)</f>
        <v/>
      </c>
      <c r="Z14" s="9">
        <f>IF(Z8&lt;=Time!$F$14,1,0)</f>
        <v/>
      </c>
      <c r="AA14" s="9">
        <f>IF(AA8&lt;=Time!$F$14,1,0)</f>
        <v/>
      </c>
      <c r="AB14" s="9">
        <f>IF(AB8&lt;=Time!$F$14,1,0)</f>
        <v/>
      </c>
      <c r="AC14" s="9">
        <f>IF(AC8&lt;=Time!$F$14,1,0)</f>
        <v/>
      </c>
      <c r="AD14" s="9">
        <f>IF(AD8&lt;=Time!$F$14,1,0)</f>
        <v/>
      </c>
      <c r="AE14" s="9">
        <f>IF(AE8&lt;=Time!$F$14,1,0)</f>
        <v/>
      </c>
      <c r="AF14" s="9">
        <f>IF(AF8&lt;=Time!$F$14,1,0)</f>
        <v/>
      </c>
      <c r="AG14" s="9">
        <f>IF(AG8&lt;=Time!$F$14,1,0)</f>
        <v/>
      </c>
      <c r="AH14" s="9">
        <f>IF(AH8&lt;=Time!$F$14,1,0)</f>
        <v/>
      </c>
      <c r="AI14" s="9">
        <f>IF(AI8&lt;=Time!$F$14,1,0)</f>
        <v/>
      </c>
      <c r="AJ14" s="9">
        <f>IF(AJ8&lt;=Time!$F$14,1,0)</f>
        <v/>
      </c>
      <c r="AK14" s="9">
        <f>IF(AK8&lt;=Time!$F$14,1,0)</f>
        <v/>
      </c>
      <c r="AL14" s="9">
        <f>IF(AL8&lt;=Time!$F$14,1,0)</f>
        <v/>
      </c>
      <c r="AM14" s="9">
        <f>IF(AM8&lt;=Time!$F$14,1,0)</f>
        <v/>
      </c>
      <c r="AN14" s="9">
        <f>IF(AN8&lt;=Time!$F$14,1,0)</f>
        <v/>
      </c>
      <c r="AO14" s="9">
        <f>IF(AO8&lt;=Time!$F$14,1,0)</f>
        <v/>
      </c>
      <c r="AP14" s="9">
        <f>IF(AP8&lt;=Time!$F$14,1,0)</f>
        <v/>
      </c>
      <c r="AQ14" s="9">
        <f>IF(AQ8&lt;=Time!$F$14,1,0)</f>
        <v/>
      </c>
      <c r="AR14" s="9">
        <f>IF(AR8&lt;=Time!$F$14,1,0)</f>
        <v/>
      </c>
      <c r="AS14" s="9">
        <f>IF(AS8&lt;=Time!$F$14,1,0)</f>
        <v/>
      </c>
      <c r="AT14" s="9">
        <f>IF(AT8&lt;=Time!$F$14,1,0)</f>
        <v/>
      </c>
      <c r="AU14" s="9">
        <f>IF(AU8&lt;=Time!$F$14,1,0)</f>
        <v/>
      </c>
      <c r="AV14" s="9">
        <f>IF(AV8&lt;=Time!$F$14,1,0)</f>
        <v/>
      </c>
      <c r="AW14" s="9">
        <f>IF(AW8&lt;=Time!$F$14,1,0)</f>
        <v/>
      </c>
      <c r="AX14" s="9">
        <f>IF(AX8&lt;=Time!$F$14,1,0)</f>
        <v/>
      </c>
      <c r="AY14" s="9">
        <f>IF(AY8&lt;=Time!$F$14,1,0)</f>
        <v/>
      </c>
      <c r="AZ14" s="9">
        <f>IF(AZ8&lt;=Time!$F$14,1,0)</f>
        <v/>
      </c>
      <c r="BA14" s="9">
        <f>IF(BA8&lt;=Time!$F$14,1,0)</f>
        <v/>
      </c>
      <c r="BB14" s="9">
        <f>IF(BB8&lt;=Time!$F$14,1,0)</f>
        <v/>
      </c>
      <c r="BC14" s="9">
        <f>IF(BC8&lt;=Time!$F$14,1,0)</f>
        <v/>
      </c>
      <c r="BD14" s="9">
        <f>IF(BD8&lt;=Time!$F$14,1,0)</f>
        <v/>
      </c>
      <c r="BE14" s="9">
        <f>IF(BE8&lt;=Time!$F$14,1,0)</f>
        <v/>
      </c>
      <c r="BF14" s="9">
        <f>IF(BF8&lt;=Time!$F$14,1,0)</f>
        <v/>
      </c>
      <c r="BG14" s="9">
        <f>IF(BG8&lt;=Time!$F$14,1,0)</f>
        <v/>
      </c>
      <c r="BH14" s="9">
        <f>IF(BH8&lt;=Time!$F$14,1,0)</f>
        <v/>
      </c>
      <c r="BI14" s="9">
        <f>IF(BI8&lt;=Time!$F$14,1,0)</f>
        <v/>
      </c>
      <c r="BJ14" s="9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IF(J8=Time!$F$11+1,1,0)</f>
        <v/>
      </c>
      <c r="K15" s="9">
        <f>IF(K8=Time!$F$11+1,1,0)</f>
        <v/>
      </c>
      <c r="L15" s="9">
        <f>IF(L8=Time!$F$11+1,1,0)</f>
        <v/>
      </c>
      <c r="M15" s="9">
        <f>IF(M8=Time!$F$11+1,1,0)</f>
        <v/>
      </c>
      <c r="N15" s="9">
        <f>IF(N8=Time!$F$11+1,1,0)</f>
        <v/>
      </c>
      <c r="O15" s="9">
        <f>IF(O8=Time!$F$11+1,1,0)</f>
        <v/>
      </c>
      <c r="P15" s="9">
        <f>IF(P8=Time!$F$11+1,1,0)</f>
        <v/>
      </c>
      <c r="Q15" s="9">
        <f>IF(Q8=Time!$F$11+1,1,0)</f>
        <v/>
      </c>
      <c r="R15" s="9">
        <f>IF(R8=Time!$F$11+1,1,0)</f>
        <v/>
      </c>
      <c r="S15" s="9">
        <f>IF(S8=Time!$F$11+1,1,0)</f>
        <v/>
      </c>
      <c r="T15" s="9">
        <f>IF(T8=Time!$F$11+1,1,0)</f>
        <v/>
      </c>
      <c r="U15" s="9">
        <f>IF(U8=Time!$F$11+1,1,0)</f>
        <v/>
      </c>
      <c r="V15" s="9">
        <f>IF(V8=Time!$F$11+1,1,0)</f>
        <v/>
      </c>
      <c r="W15" s="9">
        <f>IF(W8=Time!$F$11+1,1,0)</f>
        <v/>
      </c>
      <c r="X15" s="9">
        <f>IF(X8=Time!$F$11+1,1,0)</f>
        <v/>
      </c>
      <c r="Y15" s="9">
        <f>IF(Y8=Time!$F$11+1,1,0)</f>
        <v/>
      </c>
      <c r="Z15" s="9">
        <f>IF(Z8=Time!$F$11+1,1,0)</f>
        <v/>
      </c>
      <c r="AA15" s="9">
        <f>IF(AA8=Time!$F$11+1,1,0)</f>
        <v/>
      </c>
      <c r="AB15" s="9">
        <f>IF(AB8=Time!$F$11+1,1,0)</f>
        <v/>
      </c>
      <c r="AC15" s="9">
        <f>IF(AC8=Time!$F$11+1,1,0)</f>
        <v/>
      </c>
      <c r="AD15" s="9">
        <f>IF(AD8=Time!$F$11+1,1,0)</f>
        <v/>
      </c>
      <c r="AE15" s="9">
        <f>IF(AE8=Time!$F$11+1,1,0)</f>
        <v/>
      </c>
      <c r="AF15" s="9">
        <f>IF(AF8=Time!$F$11+1,1,0)</f>
        <v/>
      </c>
      <c r="AG15" s="9">
        <f>IF(AG8=Time!$F$11+1,1,0)</f>
        <v/>
      </c>
      <c r="AH15" s="9">
        <f>IF(AH8=Time!$F$11+1,1,0)</f>
        <v/>
      </c>
      <c r="AI15" s="9">
        <f>IF(AI8=Time!$F$11+1,1,0)</f>
        <v/>
      </c>
      <c r="AJ15" s="9">
        <f>IF(AJ8=Time!$F$11+1,1,0)</f>
        <v/>
      </c>
      <c r="AK15" s="9">
        <f>IF(AK8=Time!$F$11+1,1,0)</f>
        <v/>
      </c>
      <c r="AL15" s="9">
        <f>IF(AL8=Time!$F$11+1,1,0)</f>
        <v/>
      </c>
      <c r="AM15" s="9">
        <f>IF(AM8=Time!$F$11+1,1,0)</f>
        <v/>
      </c>
      <c r="AN15" s="9">
        <f>IF(AN8=Time!$F$11+1,1,0)</f>
        <v/>
      </c>
      <c r="AO15" s="9">
        <f>IF(AO8=Time!$F$11+1,1,0)</f>
        <v/>
      </c>
      <c r="AP15" s="9">
        <f>IF(AP8=Time!$F$11+1,1,0)</f>
        <v/>
      </c>
      <c r="AQ15" s="9">
        <f>IF(AQ8=Time!$F$11+1,1,0)</f>
        <v/>
      </c>
      <c r="AR15" s="9">
        <f>IF(AR8=Time!$F$11+1,1,0)</f>
        <v/>
      </c>
      <c r="AS15" s="9">
        <f>IF(AS8=Time!$F$11+1,1,0)</f>
        <v/>
      </c>
      <c r="AT15" s="9">
        <f>IF(AT8=Time!$F$11+1,1,0)</f>
        <v/>
      </c>
      <c r="AU15" s="9">
        <f>IF(AU8=Time!$F$11+1,1,0)</f>
        <v/>
      </c>
      <c r="AV15" s="9">
        <f>IF(AV8=Time!$F$11+1,1,0)</f>
        <v/>
      </c>
      <c r="AW15" s="9">
        <f>IF(AW8=Time!$F$11+1,1,0)</f>
        <v/>
      </c>
      <c r="AX15" s="9">
        <f>IF(AX8=Time!$F$11+1,1,0)</f>
        <v/>
      </c>
      <c r="AY15" s="9">
        <f>IF(AY8=Time!$F$11+1,1,0)</f>
        <v/>
      </c>
      <c r="AZ15" s="9">
        <f>IF(AZ8=Time!$F$11+1,1,0)</f>
        <v/>
      </c>
      <c r="BA15" s="9">
        <f>IF(BA8=Time!$F$11+1,1,0)</f>
        <v/>
      </c>
      <c r="BB15" s="9">
        <f>IF(BB8=Time!$F$11+1,1,0)</f>
        <v/>
      </c>
      <c r="BC15" s="9">
        <f>IF(BC8=Time!$F$11+1,1,0)</f>
        <v/>
      </c>
      <c r="BD15" s="9">
        <f>IF(BD8=Time!$F$11+1,1,0)</f>
        <v/>
      </c>
      <c r="BE15" s="9">
        <f>IF(BE8=Time!$F$11+1,1,0)</f>
        <v/>
      </c>
      <c r="BF15" s="9">
        <f>IF(BF8=Time!$F$11+1,1,0)</f>
        <v/>
      </c>
      <c r="BG15" s="9">
        <f>IF(BG8=Time!$F$11+1,1,0)</f>
        <v/>
      </c>
      <c r="BH15" s="9">
        <f>IF(BH8=Time!$F$11+1,1,0)</f>
        <v/>
      </c>
      <c r="BI15" s="9">
        <f>IF(BI8=Time!$F$11+1,1,0)</f>
        <v/>
      </c>
      <c r="BJ15" s="9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8">
      <c r="D38" t="inlineStr">
        <is>
          <t>VAT facility interest (provisional: pasted FC base values; replaced by formulas in Chapter 41)</t>
        </is>
      </c>
      <c r="E38" t="inlineStr">
        <is>
          <t>USD m</t>
        </is>
      </c>
      <c r="G38" s="13">
        <f>SUM(J38:BJ38)</f>
        <v/>
      </c>
      <c r="J38" s="25" t="n">
        <v>0</v>
      </c>
      <c r="K38" s="25" t="n">
        <v>0.0194457240997733</v>
      </c>
      <c r="L38" s="25" t="n">
        <v>0.0200310422177048</v>
      </c>
      <c r="M38" s="25" t="n">
        <v>0.0195218490832966</v>
      </c>
      <c r="N38" s="25" t="n">
        <v>0.0207304309549175</v>
      </c>
      <c r="O38" s="25" t="n">
        <v>0.021886847272568</v>
      </c>
      <c r="P38" s="25" t="n">
        <v>0.0214830085816359</v>
      </c>
      <c r="Q38" s="25" t="n">
        <v>0.026524860951246</v>
      </c>
      <c r="R38" s="25" t="n">
        <v>0.0291931666812582</v>
      </c>
      <c r="S38" s="25" t="n">
        <v>0.034727979703444</v>
      </c>
      <c r="T38" s="25" t="n">
        <v>0.0201735014177452</v>
      </c>
      <c r="U38" s="25" t="n">
        <v>0.0272218707388594</v>
      </c>
      <c r="V38" s="25" t="n">
        <v>0.0341716965606389</v>
      </c>
      <c r="W38" s="25" t="n">
        <v>0.0400508015468132</v>
      </c>
      <c r="X38" s="25" t="n">
        <v>0.0485624723651726</v>
      </c>
      <c r="Y38" s="25" t="n">
        <v>0.0536344918211279</v>
      </c>
      <c r="Z38" s="25" t="n">
        <v>0.0617150481464958</v>
      </c>
      <c r="AA38" s="25" t="n">
        <v>0.0672241360452611</v>
      </c>
      <c r="AB38" s="25" t="n">
        <v>0.0671395125097447</v>
      </c>
      <c r="AC38" s="25" t="n">
        <v>0.0752104847039138</v>
      </c>
      <c r="AD38" s="25" t="n">
        <v>0.0749456956637847</v>
      </c>
      <c r="AE38" s="25" t="n">
        <v>0.07840712207670091</v>
      </c>
      <c r="AF38" s="25" t="n">
        <v>0.0755588391382728</v>
      </c>
      <c r="AG38" s="25" t="n">
        <v>0.0764711712832112</v>
      </c>
      <c r="AH38" s="25" t="n">
        <v>0.0736426487589338</v>
      </c>
      <c r="AI38" s="25" t="n">
        <v>0.06743616409873419</v>
      </c>
      <c r="AJ38" s="25" t="n">
        <v>0.0647227636214697</v>
      </c>
      <c r="AK38" s="25" t="n">
        <v>0.0570194287412817</v>
      </c>
      <c r="AL38" s="25" t="n">
        <v>0.0524683302432578</v>
      </c>
      <c r="AM38" s="25" t="n">
        <v>0.0455883452314648</v>
      </c>
      <c r="AN38" s="25" t="n">
        <v>0.0347969703795965</v>
      </c>
      <c r="AO38" s="25" t="n">
        <v>0.031542810815562</v>
      </c>
      <c r="AP38" s="25" t="n">
        <v>0.0241130298367733</v>
      </c>
      <c r="AQ38" s="25" t="n">
        <v>0.0320902559722956</v>
      </c>
      <c r="AR38" s="25" t="n">
        <v>0.0260174305983059</v>
      </c>
      <c r="AS38" s="25" t="n">
        <v>0.0225695793708405</v>
      </c>
      <c r="AT38" s="25" t="n">
        <v>0.0191393761731925</v>
      </c>
      <c r="AU38" s="25" t="n">
        <v>0.0160219611596398</v>
      </c>
      <c r="AV38" s="25" t="n">
        <v>0.0147474767274442</v>
      </c>
      <c r="AW38" s="25" t="n">
        <v>0.013168905401365</v>
      </c>
      <c r="AX38" s="25" t="n">
        <v>0.0129984343551899</v>
      </c>
      <c r="AY38" s="25" t="n">
        <v>0.0127514291285803</v>
      </c>
      <c r="AZ38" s="25" t="n">
        <v>0</v>
      </c>
      <c r="BA38" s="25" t="n">
        <v>0</v>
      </c>
      <c r="BB38" s="25" t="n">
        <v>0</v>
      </c>
      <c r="BC38" s="25" t="n">
        <v>0</v>
      </c>
      <c r="BD38" s="25" t="n">
        <v>0</v>
      </c>
      <c r="BE38" s="25" t="n">
        <v>0</v>
      </c>
      <c r="BF38" s="25" t="n">
        <v>0</v>
      </c>
      <c r="BG38" s="25" t="n">
        <v>0</v>
      </c>
      <c r="BH38" s="25" t="n">
        <v>0</v>
      </c>
      <c r="BI38" s="25" t="n">
        <v>0</v>
      </c>
      <c r="BJ38" s="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15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$F$11+(INDEX(Operations!$J$9:$BN$9,1,Time!$F$13)+Inputs!$F$79)/100*INDEX(Time!$J$25:$BN$25,1,Time!$F$13)/Inputs!$F$247*1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</f>
        <v/>
      </c>
      <c r="K45" s="13">
        <f>Construction!K14*(Construction!K32+Construction!K38)+K33+K34+K35+K36+K37+K38+K39+K40+K41+K42+K43+K44</f>
        <v/>
      </c>
      <c r="L45" s="13">
        <f>Construction!L14*(Construction!L32+Construction!L38)+L33+L34+L35+L36+L37+L38+L39+L40+L41+L42+L43+L44</f>
        <v/>
      </c>
      <c r="M45" s="13">
        <f>Construction!M14*(Construction!M32+Construction!M38)+M33+M34+M35+M36+M37+M38+M39+M40+M41+M42+M43+M44</f>
        <v/>
      </c>
      <c r="N45" s="13">
        <f>Construction!N14*(Construction!N32+Construction!N38)+N33+N34+N35+N36+N37+N38+N39+N40+N41+N42+N43+N44</f>
        <v/>
      </c>
      <c r="O45" s="13">
        <f>Construction!O14*(Construction!O32+Construction!O38)+O33+O34+O35+O36+O37+O38+O39+O40+O41+O42+O43+O44</f>
        <v/>
      </c>
      <c r="P45" s="13">
        <f>Construction!P14*(Construction!P32+Construction!P38)+P33+P34+P35+P36+P37+P38+P39+P40+P41+P42+P43+P44</f>
        <v/>
      </c>
      <c r="Q45" s="13">
        <f>Construction!Q14*(Construction!Q32+Construction!Q38)+Q33+Q34+Q35+Q36+Q37+Q38+Q39+Q40+Q41+Q42+Q43+Q44</f>
        <v/>
      </c>
      <c r="R45" s="13">
        <f>Construction!R14*(Construction!R32+Construction!R38)+R33+R34+R35+R36+R37+R38+R39+R40+R41+R42+R43+R44</f>
        <v/>
      </c>
      <c r="S45" s="13">
        <f>Construction!S14*(Construction!S32+Construction!S38)+S33+S34+S35+S36+S37+S38+S39+S40+S41+S42+S43+S44</f>
        <v/>
      </c>
      <c r="T45" s="13">
        <f>Construction!T14*(Construction!T32+Construction!T38)+T33+T34+T35+T36+T37+T38+T39+T40+T41+T42+T43+T44</f>
        <v/>
      </c>
      <c r="U45" s="13">
        <f>Construction!U14*(Construction!U32+Construction!U38)+U33+U34+U35+U36+U37+U38+U39+U40+U41+U42+U43+U44</f>
        <v/>
      </c>
      <c r="V45" s="13">
        <f>Construction!V14*(Construction!V32+Construction!V38)+V33+V34+V35+V36+V37+V38+V39+V40+V41+V42+V43+V44</f>
        <v/>
      </c>
      <c r="W45" s="13">
        <f>Construction!W14*(Construction!W32+Construction!W38)+W33+W34+W35+W36+W37+W38+W39+W40+W41+W42+W43+W44</f>
        <v/>
      </c>
      <c r="X45" s="13">
        <f>Construction!X14*(Construction!X32+Construction!X38)+X33+X34+X35+X36+X37+X38+X39+X40+X41+X42+X43+X44</f>
        <v/>
      </c>
      <c r="Y45" s="13">
        <f>Construction!Y14*(Construction!Y32+Construction!Y38)+Y33+Y34+Y35+Y36+Y37+Y38+Y39+Y40+Y41+Y42+Y43+Y44</f>
        <v/>
      </c>
      <c r="Z45" s="13">
        <f>Construction!Z14*(Construction!Z32+Construction!Z38)+Z33+Z34+Z35+Z36+Z37+Z38+Z39+Z40+Z41+Z42+Z43+Z44</f>
        <v/>
      </c>
      <c r="AA45" s="13">
        <f>Construction!AA14*(Construction!AA32+Construction!AA38)+AA33+AA34+AA35+AA36+AA37+AA38+AA39+AA40+AA41+AA42+AA43+AA44</f>
        <v/>
      </c>
      <c r="AB45" s="13">
        <f>Construction!AB14*(Construction!AB32+Construction!AB38)+AB33+AB34+AB35+AB36+AB37+AB38+AB39+AB40+AB41+AB42+AB43+AB44</f>
        <v/>
      </c>
      <c r="AC45" s="13">
        <f>Construction!AC14*(Construction!AC32+Construction!AC38)+AC33+AC34+AC35+AC36+AC37+AC38+AC39+AC40+AC41+AC42+AC43+AC44</f>
        <v/>
      </c>
      <c r="AD45" s="13">
        <f>Construction!AD14*(Construction!AD32+Construction!AD38)+AD33+AD34+AD35+AD36+AD37+AD38+AD39+AD40+AD41+AD42+AD43+AD44</f>
        <v/>
      </c>
      <c r="AE45" s="13">
        <f>Construction!AE14*(Construction!AE32+Construction!AE38)+AE33+AE34+AE35+AE36+AE37+AE38+AE39+AE40+AE41+AE42+AE43+AE44</f>
        <v/>
      </c>
      <c r="AF45" s="13">
        <f>Construction!AF14*(Construction!AF32+Construction!AF38)+AF33+AF34+AF35+AF36+AF37+AF38+AF39+AF40+AF41+AF42+AF43+AF44</f>
        <v/>
      </c>
      <c r="AG45" s="13">
        <f>Construction!AG14*(Construction!AG32+Construction!AG38)+AG33+AG34+AG35+AG36+AG37+AG38+AG39+AG40+AG41+AG42+AG43+AG44</f>
        <v/>
      </c>
      <c r="AH45" s="13">
        <f>Construction!AH14*(Construction!AH32+Construction!AH38)+AH33+AH34+AH35+AH36+AH37+AH38+AH39+AH40+AH41+AH42+AH43+AH44</f>
        <v/>
      </c>
      <c r="AI45" s="13">
        <f>Construction!AI14*(Construction!AI32+Construction!AI38)+AI33+AI34+AI35+AI36+AI37+AI38+AI39+AI40+AI41+AI42+AI43+AI44</f>
        <v/>
      </c>
      <c r="AJ45" s="13">
        <f>Construction!AJ14*(Construction!AJ32+Construction!AJ38)+AJ33+AJ34+AJ35+AJ36+AJ37+AJ38+AJ39+AJ40+AJ41+AJ42+AJ43+AJ44</f>
        <v/>
      </c>
      <c r="AK45" s="13">
        <f>Construction!AK14*(Construction!AK32+Construction!AK38)+AK33+AK34+AK35+AK36+AK37+AK38+AK39+AK40+AK41+AK42+AK43+AK44</f>
        <v/>
      </c>
      <c r="AL45" s="13">
        <f>Construction!AL14*(Construction!AL32+Construction!AL38)+AL33+AL34+AL35+AL36+AL37+AL38+AL39+AL40+AL41+AL42+AL43+AL44</f>
        <v/>
      </c>
      <c r="AM45" s="13">
        <f>Construction!AM14*(Construction!AM32+Construction!AM38)+AM33+AM34+AM35+AM36+AM37+AM38+AM39+AM40+AM41+AM42+AM43+AM44</f>
        <v/>
      </c>
      <c r="AN45" s="13">
        <f>Construction!AN14*(Construction!AN32+Construction!AN38)+AN33+AN34+AN35+AN36+AN37+AN38+AN39+AN40+AN41+AN42+AN43+AN44</f>
        <v/>
      </c>
      <c r="AO45" s="13">
        <f>Construction!AO14*(Construction!AO32+Construction!AO38)+AO33+AO34+AO35+AO36+AO37+AO38+AO39+AO40+AO41+AO42+AO43+AO44</f>
        <v/>
      </c>
      <c r="AP45" s="13">
        <f>Construction!AP14*(Construction!AP32+Construction!AP38)+AP33+AP34+AP35+AP36+AP37+AP38+AP39+AP40+AP41+AP42+AP43+AP44</f>
        <v/>
      </c>
      <c r="AQ45" s="13">
        <f>Construction!AQ14*(Construction!AQ32+Construction!AQ38)+AQ33+AQ34+AQ35+AQ36+AQ37+AQ38+AQ39+AQ40+AQ41+AQ42+AQ43+AQ44</f>
        <v/>
      </c>
      <c r="AR45" s="13">
        <f>Construction!AR14*(Construction!AR32+Construction!AR38)+AR33+AR34+AR35+AR36+AR37+AR38+AR39+AR40+AR41+AR42+AR43+AR44</f>
        <v/>
      </c>
      <c r="AS45" s="13">
        <f>Construction!AS14*(Construction!AS32+Construction!AS38)+AS33+AS34+AS35+AS36+AS37+AS38+AS39+AS40+AS41+AS42+AS43+AS44</f>
        <v/>
      </c>
      <c r="AT45" s="13">
        <f>Construction!AT14*(Construction!AT32+Construction!AT38)+AT33+AT34+AT35+AT36+AT37+AT38+AT39+AT40+AT41+AT42+AT43+AT44</f>
        <v/>
      </c>
      <c r="AU45" s="13">
        <f>Construction!AU14*(Construction!AU32+Construction!AU38)+AU33+AU34+AU35+AU36+AU37+AU38+AU39+AU40+AU41+AU42+AU43+AU44</f>
        <v/>
      </c>
      <c r="AV45" s="13">
        <f>Construction!AV14*(Construction!AV32+Construction!AV38)+AV33+AV34+AV35+AV36+AV37+AV38+AV39+AV40+AV41+AV42+AV43+AV44</f>
        <v/>
      </c>
      <c r="AW45" s="13">
        <f>Construction!AW14*(Construction!AW32+Construction!AW38)+AW33+AW34+AW35+AW36+AW37+AW38+AW39+AW40+AW41+AW42+AW43+AW44</f>
        <v/>
      </c>
      <c r="AX45" s="13">
        <f>Construction!AX14*(Construction!AX32+Construction!AX38)+AX33+AX34+AX35+AX36+AX37+AX38+AX39+AX40+AX41+AX42+AX43+AX44</f>
        <v/>
      </c>
      <c r="AY45" s="13">
        <f>Construction!AY14*(Construction!AY32+Construction!AY38)+AY33+AY34+AY35+AY36+AY37+AY38+AY39+AY40+AY41+AY42+AY43+AY44</f>
        <v/>
      </c>
      <c r="AZ45" s="13">
        <f>Construction!AZ14*(Construction!AZ32+Construction!AZ38)+AZ33+AZ34+AZ35+AZ36+AZ37+AZ38+AZ39+AZ40+AZ41+AZ42+AZ43+AZ44</f>
        <v/>
      </c>
      <c r="BA45" s="13">
        <f>Construction!BA14*(Construction!BA32+Construction!BA38)+BA33+BA34+BA35+BA36+BA37+BA38+BA39+BA40+BA41+BA42+BA43+BA44</f>
        <v/>
      </c>
      <c r="BB45" s="13">
        <f>Construction!BB14*(Construction!BB32+Construction!BB38)+BB33+BB34+BB35+BB36+BB37+BB38+BB39+BB40+BB41+BB42+BB43+BB44</f>
        <v/>
      </c>
      <c r="BC45" s="13">
        <f>Construction!BC14*(Construction!BC32+Construction!BC38)+BC33+BC34+BC35+BC36+BC37+BC38+BC39+BC40+BC41+BC42+BC43+BC44</f>
        <v/>
      </c>
      <c r="BD45" s="13">
        <f>Construction!BD14*(Construction!BD32+Construction!BD38)+BD33+BD34+BD35+BD36+BD37+BD38+BD39+BD40+BD41+BD42+BD43+BD44</f>
        <v/>
      </c>
      <c r="BE45" s="13">
        <f>Construction!BE14*(Construction!BE32+Construction!BE38)+BE33+BE34+BE35+BE36+BE37+BE38+BE39+BE40+BE41+BE42+BE43+BE44</f>
        <v/>
      </c>
      <c r="BF45" s="13">
        <f>Construction!BF14*(Construction!BF32+Construction!BF38)+BF33+BF34+BF35+BF36+BF37+BF38+BF39+BF40+BF41+BF42+BF43+BF44</f>
        <v/>
      </c>
      <c r="BG45" s="13">
        <f>Construction!BG14*(Construction!BG32+Construction!BG38)+BG33+BG34+BG35+BG36+BG37+BG38+BG39+BG40+BG41+BG42+BG43+BG44</f>
        <v/>
      </c>
      <c r="BH45" s="13">
        <f>Construction!BH14*(Construction!BH32+Construction!BH38)+BH33+BH34+BH35+BH36+BH37+BH38+BH39+BH40+BH41+BH42+BH43+BH44</f>
        <v/>
      </c>
      <c r="BI45" s="13">
        <f>Construction!BI14*(Construction!BI32+Construction!BI38)+BI33+BI34+BI35+BI36+BI37+BI38+BI39+BI40+BI41+BI42+BI43+BI44</f>
        <v/>
      </c>
      <c r="BJ45" s="13">
        <f>Construction!BJ14*(Construction!BJ32+Construction!BJ38)+BJ33+BJ34+BJ35+BJ36+BJ37+BJ38+BJ39+BJ40+BJ41+BJ42+BJ43+BJ44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SUM(Funding!$J$49:$BJ$49)-SUM(Funding!$J$44:$BJ$44)-SUM(Construction!$J$28:$BJ$28)+SUM(Funding!$J$71:$BJ$71)-SUM(Funding!$J$52:$BJ$52)-Inputs!$F$48*Inputs!$F$267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3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3">
        <f>IF(Inputs!$F$34=1,IF(ABS(SUM(Funding!$J$47:$BJ$47)-Funding!$F$25)&lt;=Inputs!$F$254,0,SUM(Funding!$J$47:$BJ$47)-Funding!$F$25),0)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3">
        <f>IF(Inputs!$F$51&lt;&gt;1,IF(ABS(Funding!$F$24-Funding!$F$75)&lt;=Inputs!$F$254,0,Funding!$F$24-Funding!$F$75),0)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3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3">
        <f>IF(Inputs!$F$75*Funding!$F$25&lt;=Inputs!$F$251,0,1)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3">
        <f>ABS($F$7)+ABS($F$8)+ABS($F$9)+ABS($F$16)+ABS($F$17)+ABS($F$20)+ABS($F$21)</f>
        <v/>
      </c>
    </row>
    <row r="20">
      <c r="D20" t="inlineStr">
        <is>
          <t>Time: operating months sum to the PPA term</t>
        </is>
      </c>
      <c r="E20" t="inlineStr">
        <is>
          <t>check</t>
        </is>
      </c>
      <c r="F20" s="3">
        <f>SUM(Time!$J$30:$BN$30)-Time!$F$9</f>
        <v/>
      </c>
    </row>
    <row r="21">
      <c r="D21" t="inlineStr">
        <is>
          <t>Construction flags sum to construction months</t>
        </is>
      </c>
      <c r="E21" t="inlineStr">
        <is>
          <t>check</t>
        </is>
      </c>
      <c r="F21" s="3">
        <f>SUM(Construction!$J$13:$BJ$13)-Time!$F$11</f>
        <v/>
      </c>
    </row>
  </sheetData>
  <conditionalFormatting sqref="F7:F26">
    <cfRule type="cellIs" priority="1" operator="not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2026-10-03T22:57:29Z</dcterms:created>
  <dcterms:modified xsi:type="dcterms:W3CDTF">2026-10-03T22:57:43Z</dcterms:modified>
</cp:coreProperties>
</file>