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Funding" sheetId="6" state="visible" r:id="rId6"/>
    <sheet name="Debt" sheetId="7" state="visible" r:id="rId7"/>
    <sheet name="Checks" sheetId="8" state="visible" r:id="rId8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  <xf numFmtId="168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31">
      <c r="D31" s="2" t="inlineStr">
        <is>
          <t>Build-along file Ch40_funding.xlsx: the companion model at the end of Chapter 40 (u09 Section 0.4 rows of Chapters 39 to 40; model version 1.5).</t>
        </is>
      </c>
    </row>
    <row r="32">
      <c r="D32" t="inlineStr">
        <is>
          <t>Provisional rows: Construction row 38 (VAT facility interest), replaced by its formula in Chapter 41. They hold FC base (Scenario 1) values pasted in input color.</t>
        </is>
      </c>
    </row>
    <row r="33">
      <c r="D33" t="inlineStr">
        <is>
          <t>Reconciles on Scenario 1 only (the provisional rows hold Scenario 1 values); other scenarios reconcile from Ch42_waterfall.xlsx.</t>
        </is>
      </c>
    </row>
    <row r="34">
      <c r="D34" t="inlineStr">
        <is>
          <t>Next file: Ch41_operations.xlsx.</t>
        </is>
      </c>
    </row>
    <row r="35">
      <c r="D35" t="inlineStr">
        <is>
          <t>Verification: model/build/verification.md.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8">
      <c r="D38" t="inlineStr">
        <is>
          <t>VAT facility interest (provisional: pasted FC base values; replaced by formulas in Chapter 41)</t>
        </is>
      </c>
      <c r="E38" t="inlineStr">
        <is>
          <t>USD m</t>
        </is>
      </c>
      <c r="G38" s="13">
        <f>SUM(J38:BJ38)</f>
        <v/>
      </c>
      <c r="J38" s="25" t="n">
        <v>0</v>
      </c>
      <c r="K38" s="25" t="n">
        <v>0.0194457240997733</v>
      </c>
      <c r="L38" s="25" t="n">
        <v>0.0200310422177048</v>
      </c>
      <c r="M38" s="25" t="n">
        <v>0.0195218490832966</v>
      </c>
      <c r="N38" s="25" t="n">
        <v>0.0207304309549175</v>
      </c>
      <c r="O38" s="25" t="n">
        <v>0.021886847272568</v>
      </c>
      <c r="P38" s="25" t="n">
        <v>0.0214830085816359</v>
      </c>
      <c r="Q38" s="25" t="n">
        <v>0.026524860951246</v>
      </c>
      <c r="R38" s="25" t="n">
        <v>0.0291931666812582</v>
      </c>
      <c r="S38" s="25" t="n">
        <v>0.034727979703444</v>
      </c>
      <c r="T38" s="25" t="n">
        <v>0.0201735014177452</v>
      </c>
      <c r="U38" s="25" t="n">
        <v>0.0272218707388594</v>
      </c>
      <c r="V38" s="25" t="n">
        <v>0.0341716965606389</v>
      </c>
      <c r="W38" s="25" t="n">
        <v>0.0400508015468132</v>
      </c>
      <c r="X38" s="25" t="n">
        <v>0.0485624723651726</v>
      </c>
      <c r="Y38" s="25" t="n">
        <v>0.0536344918211279</v>
      </c>
      <c r="Z38" s="25" t="n">
        <v>0.0617150481464958</v>
      </c>
      <c r="AA38" s="25" t="n">
        <v>0.0672241360452611</v>
      </c>
      <c r="AB38" s="25" t="n">
        <v>0.0671395125097447</v>
      </c>
      <c r="AC38" s="25" t="n">
        <v>0.0752104847039138</v>
      </c>
      <c r="AD38" s="25" t="n">
        <v>0.0749456956637847</v>
      </c>
      <c r="AE38" s="25" t="n">
        <v>0.07840712207670091</v>
      </c>
      <c r="AF38" s="25" t="n">
        <v>0.0755588391382728</v>
      </c>
      <c r="AG38" s="25" t="n">
        <v>0.0764711712832112</v>
      </c>
      <c r="AH38" s="25" t="n">
        <v>0.0736426487589338</v>
      </c>
      <c r="AI38" s="25" t="n">
        <v>0.06743616409873419</v>
      </c>
      <c r="AJ38" s="25" t="n">
        <v>0.0647227636214697</v>
      </c>
      <c r="AK38" s="25" t="n">
        <v>0.0570194287412817</v>
      </c>
      <c r="AL38" s="25" t="n">
        <v>0.0524683302432578</v>
      </c>
      <c r="AM38" s="25" t="n">
        <v>0.0455883452314648</v>
      </c>
      <c r="AN38" s="25" t="n">
        <v>0.0347969703795965</v>
      </c>
      <c r="AO38" s="25" t="n">
        <v>0.031542810815562</v>
      </c>
      <c r="AP38" s="25" t="n">
        <v>0.0241130298367733</v>
      </c>
      <c r="AQ38" s="25" t="n">
        <v>0.0320902559722956</v>
      </c>
      <c r="AR38" s="25" t="n">
        <v>0.0260174305983059</v>
      </c>
      <c r="AS38" s="25" t="n">
        <v>0.0225695793708405</v>
      </c>
      <c r="AT38" s="25" t="n">
        <v>0.0191393761731925</v>
      </c>
      <c r="AU38" s="25" t="n">
        <v>0.0160219611596398</v>
      </c>
      <c r="AV38" s="25" t="n">
        <v>0.0147474767274442</v>
      </c>
      <c r="AW38" s="25" t="n">
        <v>0.013168905401365</v>
      </c>
      <c r="AX38" s="25" t="n">
        <v>0.0129984343551899</v>
      </c>
      <c r="AY38" s="25" t="n">
        <v>0.0127514291285803</v>
      </c>
      <c r="AZ38" s="25" t="n">
        <v>0</v>
      </c>
      <c r="BA38" s="25" t="n">
        <v>0</v>
      </c>
      <c r="BB38" s="25" t="n">
        <v>0</v>
      </c>
      <c r="BC38" s="25" t="n">
        <v>0</v>
      </c>
      <c r="BD38" s="25" t="n">
        <v>0</v>
      </c>
      <c r="BE38" s="25" t="n">
        <v>0</v>
      </c>
      <c r="BF38" s="25" t="n">
        <v>0</v>
      </c>
      <c r="BG38" s="25" t="n">
        <v>0</v>
      </c>
      <c r="BH38" s="25" t="n">
        <v>0</v>
      </c>
      <c r="BI38" s="25" t="n">
        <v>0</v>
      </c>
      <c r="BJ38" s="2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N14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3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ABS($F$7)+ABS($F$8)+ABS($F$9)+ABS($F$16)+ABS($F$17)+ABS($F$20)+ABS($F$21)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2026-10-03T23:26:44Z</dcterms:created>
  <dcterms:modified xsi:type="dcterms:W3CDTF">2026-10-03T23:26:59Z</dcterms:modified>
</cp:coreProperties>
</file>