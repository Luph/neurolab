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Time" sheetId="3" state="visible" r:id="rId3"/>
    <sheet name="Construction" sheetId="4" state="visible" r:id="rId4"/>
    <sheet name="Operations" sheetId="5" state="visible" r:id="rId5"/>
    <sheet name="Tax" sheetId="6" state="visible" r:id="rId6"/>
    <sheet name="Funding" sheetId="7" state="visible" r:id="rId7"/>
    <sheet name="Debt" sheetId="8" state="visible" r:id="rId8"/>
    <sheet name="Waterfall" sheetId="9" state="visible" r:id="rId9"/>
    <sheet name="Checks" sheetId="10" state="visible" r:id="rId10"/>
  </sheets>
  <definedNames>
    <definedName name="Scenario">Inputs!$F$8</definedName>
  </definedNames>
  <calcPr calcId="124519" fullCalcOnLoad="1"/>
</workbook>
</file>

<file path=xl/styles.xml><?xml version="1.0" encoding="utf-8"?>
<styleSheet xmlns="http://schemas.openxmlformats.org/spreadsheetml/2006/main">
  <numFmts count="11">
    <numFmt numFmtId="164" formatCode="0.0000"/>
    <numFmt numFmtId="165" formatCode="#,##0.00000"/>
    <numFmt numFmtId="166" formatCode="yyyy-mm-dd"/>
    <numFmt numFmtId="167" formatCode="0.000000"/>
    <numFmt numFmtId="168" formatCode="#,##0.000;(#,##0.000);&quot;-&quot;"/>
    <numFmt numFmtId="169" formatCode="0.0"/>
    <numFmt numFmtId="170" formatCode="0.0000000"/>
    <numFmt numFmtId="171" formatCode="#,##0.000000"/>
    <numFmt numFmtId="172" formatCode="0.0000%"/>
    <numFmt numFmtId="173" formatCode="#,##0.000"/>
    <numFmt numFmtId="174" formatCode="#,##0.0000"/>
  </numFmts>
  <fonts count="5">
    <font>
      <name val="Calibri"/>
      <family val="2"/>
      <color theme="1"/>
      <sz val="11"/>
      <scheme val="minor"/>
    </font>
    <font>
      <b val="1"/>
      <sz val="13"/>
    </font>
    <font>
      <b val="1"/>
    </font>
    <font>
      <color rgb="000000FF"/>
    </font>
    <font>
      <color rgb="00008000"/>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0" fontId="2" fillId="2" borderId="0" pivotButton="0" quotePrefix="0" xfId="0"/>
    <xf numFmtId="1" fontId="3" fillId="3" borderId="0" pivotButton="0" quotePrefix="0" xfId="0"/>
    <xf numFmtId="0" fontId="3" fillId="3" borderId="0" pivotButton="0" quotePrefix="0" xfId="0"/>
    <xf numFmtId="165" fontId="3" fillId="3" borderId="0" pivotButton="0" quotePrefix="0" xfId="0"/>
    <xf numFmtId="166" fontId="3" fillId="3" borderId="0" pivotButton="0" quotePrefix="0" xfId="0"/>
    <xf numFmtId="1" fontId="0" fillId="0" borderId="0" pivotButton="0" quotePrefix="0" xfId="0"/>
    <xf numFmtId="166" fontId="0" fillId="0" borderId="0" pivotButton="0" quotePrefix="0" xfId="0"/>
    <xf numFmtId="167" fontId="0" fillId="0" borderId="0" pivotButton="0" quotePrefix="0" xfId="0"/>
    <xf numFmtId="1" fontId="4" fillId="0" borderId="0" pivotButton="0" quotePrefix="0" xfId="0"/>
    <xf numFmtId="168" fontId="0" fillId="0" borderId="0" pivotButton="0" quotePrefix="0" xfId="0"/>
    <xf numFmtId="169" fontId="0" fillId="0" borderId="0" pivotButton="0" quotePrefix="0" xfId="0"/>
    <xf numFmtId="3" fontId="0" fillId="0" borderId="0" pivotButton="0" quotePrefix="0" xfId="0"/>
    <xf numFmtId="170" fontId="0" fillId="0" borderId="0" pivotButton="0" quotePrefix="0" xfId="0"/>
    <xf numFmtId="171" fontId="0" fillId="0" borderId="0" pivotButton="0" quotePrefix="0" xfId="0"/>
    <xf numFmtId="168" fontId="4" fillId="0" borderId="0" pivotButton="0" quotePrefix="0" xfId="0"/>
    <xf numFmtId="166" fontId="4" fillId="0" borderId="0" pivotButton="0" quotePrefix="0" xfId="0"/>
    <xf numFmtId="172" fontId="0" fillId="0" borderId="0" pivotButton="0" quotePrefix="0" xfId="0"/>
    <xf numFmtId="173" fontId="0" fillId="0" borderId="0" pivotButton="0" quotePrefix="0" xfId="0"/>
    <xf numFmtId="174" fontId="0" fillId="0" borderId="0" pivotButton="0" quotePrefix="0" xfId="0"/>
    <xf numFmtId="174" fontId="3" fillId="3" borderId="0" pivotButton="0" quotePrefix="0" xfId="0"/>
    <xf numFmtId="172" fontId="3" fillId="3" borderId="0" pivotButton="0" quotePrefix="0" xfId="0"/>
    <xf numFmtId="168" fontId="3" fillId="3" borderId="0" pivotButton="0" quotePrefix="0" xfId="0"/>
  </cellXfs>
  <cellStyles count="1">
    <cellStyle name="Normal" xfId="0" builtinId="0" hidden="0"/>
  </cellStyles>
  <dxfs count="1">
    <dxf>
      <fill>
        <patternFill patternType="solid">
          <fgColor rgb="00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pane ySplit="4" topLeftCell="A5" activePane="bottomLeft" state="frozen"/>
      <selection pane="bottomLef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s>
  <sheetData>
    <row r="1">
      <c r="A1" s="1" t="inlineStr">
        <is>
          <t>Case P: Belanou Combined Cycle Power Project, Republic of Kessara</t>
        </is>
      </c>
    </row>
    <row r="2">
      <c r="A2" t="inlineStr">
        <is>
          <t>Case P companion model</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t="inlineStr">
        <is>
          <t>Companion model for Chapters 39-45. Python mirror: model/case_p.py (source of truth).</t>
        </is>
      </c>
    </row>
    <row r="6">
      <c r="D6" t="inlineStr">
        <is>
          <t>Select the scenario on the Inputs sheet (cell named Scenario):</t>
        </is>
      </c>
    </row>
    <row r="7">
      <c r="D7" t="inlineStr">
        <is>
          <t xml:space="preserve">  1: FC base</t>
        </is>
      </c>
    </row>
    <row r="8">
      <c r="D8" t="inlineStr">
        <is>
          <t xml:space="preserve">  2: FC banking</t>
        </is>
      </c>
    </row>
    <row r="9">
      <c r="D9" t="inlineStr">
        <is>
          <t xml:space="preserve">  3: FC downside</t>
        </is>
      </c>
    </row>
    <row r="10">
      <c r="D10" t="inlineStr">
        <is>
          <t xml:space="preserve">  4: Sens: availability -3 points</t>
        </is>
      </c>
    </row>
    <row r="11">
      <c r="D11" t="inlineStr">
        <is>
          <t xml:space="preserve">  5: Sens: heat rate +2%</t>
        </is>
      </c>
    </row>
    <row r="12">
      <c r="D12" t="inlineStr">
        <is>
          <t xml:space="preserve">  6: Sens: fixed opex +10%</t>
        </is>
      </c>
    </row>
    <row r="13">
      <c r="D13" t="inlineStr">
        <is>
          <t xml:space="preserve">  7: Sens: capex +10% funded pro rata</t>
        </is>
      </c>
    </row>
    <row r="14">
      <c r="D14" t="inlineStr">
        <is>
          <t xml:space="preserve">  8: Sens: COD delay 6 months, no LDs</t>
        </is>
      </c>
    </row>
    <row r="15">
      <c r="D15" t="inlineStr">
        <is>
          <t xml:space="preserve">  9: Sens: base rate +200 bps (unhedged)</t>
        </is>
      </c>
    </row>
    <row r="16">
      <c r="D16" t="inlineStr">
        <is>
          <t xml:space="preserve">  10: Sens: KCR devaluation 40%, 90-day lag</t>
        </is>
      </c>
    </row>
    <row r="17">
      <c r="D17" t="inlineStr">
        <is>
          <t xml:space="preserve">  11: Sens: SEKA pays 120 days late for 12 months</t>
        </is>
      </c>
    </row>
    <row r="18">
      <c r="D18" t="inlineStr">
        <is>
          <t xml:space="preserve">  12: Sens: dispatch 50%</t>
        </is>
      </c>
    </row>
    <row r="19">
      <c r="D19" t="inlineStr">
        <is>
          <t xml:space="preserve">  13: Sens: gas price +30%</t>
        </is>
      </c>
    </row>
    <row r="20">
      <c r="D20" t="inlineStr">
        <is>
          <t xml:space="preserve">  14: COD re-forecast (2021 lenders case)</t>
        </is>
      </c>
    </row>
    <row r="21">
      <c r="D21" t="inlineStr">
        <is>
          <t xml:space="preserve">  15: Actual history</t>
        </is>
      </c>
    </row>
    <row r="22">
      <c r="D22" s="2" t="inlineStr">
        <is>
          <t>Master check (0 = all pass)</t>
        </is>
      </c>
      <c r="F22" s="3">
        <f>Checks!$F$19</f>
        <v/>
      </c>
    </row>
    <row r="23">
      <c r="D23" t="inlineStr">
        <is>
          <t>Circularity: none. IDC/fee/premium/DSRA gross-up is solved in closed form on the Funding sheet</t>
        </is>
      </c>
    </row>
    <row r="24">
      <c r="D24" t="inlineStr">
        <is>
          <t>(balance = alpha + beta x T; T = alpha/(g - beta)). Sculpting with tax uses the contractual</t>
        </is>
      </c>
    </row>
    <row r="25">
      <c r="D25" t="inlineStr">
        <is>
          <t>repayment profile on Inputs; the Debt sheet recomputes the sculpted profile live and the</t>
        </is>
      </c>
    </row>
    <row r="26">
      <c r="D26" t="inlineStr">
        <is>
          <t>Checks sheet reports the difference (Python iterates the profile to convergence, tolerance USD 1,000).</t>
        </is>
      </c>
    </row>
    <row r="27">
      <c r="D27" t="inlineStr">
        <is>
          <t>Sheets: Cover, Inputs, Time, Construction, Operations, Tax, Funding, Debt, Reserves, Waterfall, Financials, Ratios, Returns, Checks, Outputs</t>
        </is>
      </c>
    </row>
    <row r="28">
      <c r="D28" t="inlineStr">
        <is>
          <t>Sign convention: costs stored positive and subtracted explicitly.</t>
        </is>
      </c>
    </row>
    <row r="31">
      <c r="D31" s="2" t="inlineStr">
        <is>
          <t>Build-along file Ch41_operations.xlsx: the companion model at the end of Chapter 41 (u09 Section 0.4 rows of Chapters 39 to 41; model version 1.4).</t>
        </is>
      </c>
    </row>
    <row r="32">
      <c r="D32" t="inlineStr">
        <is>
          <t>Provisional rows: Debt rows 103, 104, 110 and 112 and Waterfall rows 33 and 43, replaced by their formulas in Chapter 42. They hold FC base (Scenario 1) values pasted in input color.</t>
        </is>
      </c>
    </row>
    <row r="33">
      <c r="D33" t="inlineStr">
        <is>
          <t>Reconciles on Scenario 1 only (the provisional rows hold Scenario 1 values); other scenarios reconcile from Ch42_waterfall.xlsx.</t>
        </is>
      </c>
    </row>
    <row r="34">
      <c r="D34" t="inlineStr">
        <is>
          <t>Next file: Ch42_waterfall.xlsx.</t>
        </is>
      </c>
    </row>
    <row r="35">
      <c r="D35" t="inlineStr">
        <is>
          <t>Verification: model/build/verification.md.</t>
        </is>
      </c>
    </row>
  </sheetData>
  <conditionalFormatting sqref="F22">
    <cfRule type="cellIs" priority="1" operator="notEqual"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309"/>
  <sheetViews>
    <sheetView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s>
  <sheetData>
    <row r="1">
      <c r="A1" s="1" t="inlineStr">
        <is>
          <t>Case P: Belanou Combined Cycle Power Project, Republic of Kessara</t>
        </is>
      </c>
    </row>
    <row r="2">
      <c r="A2" t="inlineStr">
        <is>
          <t>Inputs: scenario selector, assumptions, contract terms</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s="2" t="inlineStr">
        <is>
          <t>Scenario table: columns J-X = scenarios 1-15; semiannual rows: columns = periods; annual rows: columns = years 2015+</t>
        </is>
      </c>
      <c r="J5" s="4" t="inlineStr">
        <is>
          <t>2018H2</t>
        </is>
      </c>
      <c r="K5" s="4" t="inlineStr">
        <is>
          <t>2019H1</t>
        </is>
      </c>
      <c r="L5" s="4" t="inlineStr">
        <is>
          <t>2019H2</t>
        </is>
      </c>
      <c r="M5" s="4" t="inlineStr">
        <is>
          <t>2020H1</t>
        </is>
      </c>
      <c r="N5" s="4" t="inlineStr">
        <is>
          <t>2020H2</t>
        </is>
      </c>
      <c r="O5" s="4" t="inlineStr">
        <is>
          <t>2021H1</t>
        </is>
      </c>
      <c r="P5" s="4" t="inlineStr">
        <is>
          <t>2021H2</t>
        </is>
      </c>
      <c r="Q5" s="4" t="inlineStr">
        <is>
          <t>2022H1</t>
        </is>
      </c>
      <c r="R5" s="4" t="inlineStr">
        <is>
          <t>2022H2</t>
        </is>
      </c>
      <c r="S5" s="4" t="inlineStr">
        <is>
          <t>2023H1</t>
        </is>
      </c>
      <c r="T5" s="4" t="inlineStr">
        <is>
          <t>2023H2</t>
        </is>
      </c>
      <c r="U5" s="4" t="inlineStr">
        <is>
          <t>2024H1</t>
        </is>
      </c>
      <c r="V5" s="4" t="inlineStr">
        <is>
          <t>2024H2</t>
        </is>
      </c>
      <c r="W5" s="4" t="inlineStr">
        <is>
          <t>2025H1</t>
        </is>
      </c>
      <c r="X5" s="4" t="inlineStr">
        <is>
          <t>2025H2</t>
        </is>
      </c>
      <c r="Y5" s="4" t="inlineStr">
        <is>
          <t>2026H1</t>
        </is>
      </c>
      <c r="Z5" s="4" t="inlineStr">
        <is>
          <t>2026H2</t>
        </is>
      </c>
      <c r="AA5" s="4" t="inlineStr">
        <is>
          <t>2027H1</t>
        </is>
      </c>
      <c r="AB5" s="4" t="inlineStr">
        <is>
          <t>2027H2</t>
        </is>
      </c>
      <c r="AC5" s="4" t="inlineStr">
        <is>
          <t>2028H1</t>
        </is>
      </c>
      <c r="AD5" s="4" t="inlineStr">
        <is>
          <t>2028H2</t>
        </is>
      </c>
      <c r="AE5" s="4" t="inlineStr">
        <is>
          <t>2029H1</t>
        </is>
      </c>
      <c r="AF5" s="4" t="inlineStr">
        <is>
          <t>2029H2</t>
        </is>
      </c>
      <c r="AG5" s="4" t="inlineStr">
        <is>
          <t>2030H1</t>
        </is>
      </c>
      <c r="AH5" s="4" t="inlineStr">
        <is>
          <t>2030H2</t>
        </is>
      </c>
      <c r="AI5" s="4" t="inlineStr">
        <is>
          <t>2031H1</t>
        </is>
      </c>
      <c r="AJ5" s="4" t="inlineStr">
        <is>
          <t>2031H2</t>
        </is>
      </c>
      <c r="AK5" s="4" t="inlineStr">
        <is>
          <t>2032H1</t>
        </is>
      </c>
      <c r="AL5" s="4" t="inlineStr">
        <is>
          <t>2032H2</t>
        </is>
      </c>
      <c r="AM5" s="4" t="inlineStr">
        <is>
          <t>2033H1</t>
        </is>
      </c>
      <c r="AN5" s="4" t="inlineStr">
        <is>
          <t>2033H2</t>
        </is>
      </c>
      <c r="AO5" s="4" t="inlineStr">
        <is>
          <t>2034H1</t>
        </is>
      </c>
      <c r="AP5" s="4" t="inlineStr">
        <is>
          <t>2034H2</t>
        </is>
      </c>
      <c r="AQ5" s="4" t="inlineStr">
        <is>
          <t>2035H1</t>
        </is>
      </c>
      <c r="AR5" s="4" t="inlineStr">
        <is>
          <t>2035H2</t>
        </is>
      </c>
      <c r="AS5" s="4" t="inlineStr">
        <is>
          <t>2036H1</t>
        </is>
      </c>
      <c r="AT5" s="4" t="inlineStr">
        <is>
          <t>2036H2</t>
        </is>
      </c>
      <c r="AU5" s="4" t="inlineStr">
        <is>
          <t>2037H1</t>
        </is>
      </c>
      <c r="AV5" s="4" t="inlineStr">
        <is>
          <t>2037H2</t>
        </is>
      </c>
      <c r="AW5" s="4" t="inlineStr">
        <is>
          <t>2038H1</t>
        </is>
      </c>
      <c r="AX5" s="4" t="inlineStr">
        <is>
          <t>2038H2</t>
        </is>
      </c>
      <c r="AY5" s="4" t="inlineStr">
        <is>
          <t>2039H1</t>
        </is>
      </c>
      <c r="AZ5" s="4" t="inlineStr">
        <is>
          <t>2039H2</t>
        </is>
      </c>
      <c r="BA5" s="4" t="inlineStr">
        <is>
          <t>2040H1</t>
        </is>
      </c>
      <c r="BB5" s="4" t="inlineStr">
        <is>
          <t>2040H2</t>
        </is>
      </c>
      <c r="BC5" s="4" t="inlineStr">
        <is>
          <t>2041H1</t>
        </is>
      </c>
      <c r="BD5" s="4" t="inlineStr">
        <is>
          <t>2041H2</t>
        </is>
      </c>
      <c r="BE5" s="4" t="inlineStr">
        <is>
          <t>2042H1</t>
        </is>
      </c>
      <c r="BF5" s="4" t="inlineStr">
        <is>
          <t>2042H2</t>
        </is>
      </c>
      <c r="BG5" s="4" t="inlineStr">
        <is>
          <t>2043H1</t>
        </is>
      </c>
      <c r="BH5" s="4" t="inlineStr">
        <is>
          <t>2043H2</t>
        </is>
      </c>
      <c r="BI5" s="4" t="inlineStr">
        <is>
          <t>2044H1</t>
        </is>
      </c>
      <c r="BJ5" s="4" t="inlineStr">
        <is>
          <t>2044H2</t>
        </is>
      </c>
      <c r="BK5" s="4" t="inlineStr">
        <is>
          <t>2045H1</t>
        </is>
      </c>
      <c r="BL5" s="4" t="inlineStr">
        <is>
          <t>2045H2</t>
        </is>
      </c>
      <c r="BM5" s="4" t="inlineStr">
        <is>
          <t>2046H1</t>
        </is>
      </c>
      <c r="BN5" s="4" t="inlineStr">
        <is>
          <t>2046H2</t>
        </is>
      </c>
    </row>
    <row r="7">
      <c r="B7" s="2" t="inlineStr">
        <is>
          <t>Scenario control</t>
        </is>
      </c>
    </row>
    <row r="8">
      <c r="D8" t="inlineStr">
        <is>
          <t>Scenario selector (1-15, see table below)</t>
        </is>
      </c>
      <c r="E8" t="inlineStr">
        <is>
          <t>index</t>
        </is>
      </c>
      <c r="F8" s="5" t="n">
        <v>1</v>
      </c>
    </row>
    <row r="9">
      <c r="B9" s="2" t="inlineStr">
        <is>
          <t>Live scenario parameters (selected from the scenario table)</t>
        </is>
      </c>
    </row>
    <row r="10">
      <c r="D10" t="inlineStr">
        <is>
          <t>Macro path (1 FC forward, 2 actual history, 3 COD re-forecast) [table]</t>
        </is>
      </c>
      <c r="E10" t="inlineStr">
        <is>
          <t>code</t>
        </is>
      </c>
      <c r="J10" s="6" t="n">
        <v>1</v>
      </c>
      <c r="K10" s="6" t="n">
        <v>1</v>
      </c>
      <c r="L10" s="6" t="n">
        <v>1</v>
      </c>
      <c r="M10" s="6" t="n">
        <v>1</v>
      </c>
      <c r="N10" s="6" t="n">
        <v>1</v>
      </c>
      <c r="O10" s="6" t="n">
        <v>1</v>
      </c>
      <c r="P10" s="6" t="n">
        <v>1</v>
      </c>
      <c r="Q10" s="6" t="n">
        <v>1</v>
      </c>
      <c r="R10" s="6" t="n">
        <v>1</v>
      </c>
      <c r="S10" s="6" t="n">
        <v>1</v>
      </c>
      <c r="T10" s="6" t="n">
        <v>1</v>
      </c>
      <c r="U10" s="6" t="n">
        <v>1</v>
      </c>
      <c r="V10" s="6" t="n">
        <v>1</v>
      </c>
      <c r="W10" s="6" t="n">
        <v>3</v>
      </c>
      <c r="X10" s="6" t="n">
        <v>2</v>
      </c>
    </row>
    <row r="11">
      <c r="D11" t="inlineStr">
        <is>
          <t>Construction case (1 FC budget, 2 actual) [table]</t>
        </is>
      </c>
      <c r="E11" t="inlineStr">
        <is>
          <t>code</t>
        </is>
      </c>
      <c r="J11" s="6" t="n">
        <v>1</v>
      </c>
      <c r="K11" s="6" t="n">
        <v>1</v>
      </c>
      <c r="L11" s="6" t="n">
        <v>1</v>
      </c>
      <c r="M11" s="6" t="n">
        <v>1</v>
      </c>
      <c r="N11" s="6" t="n">
        <v>1</v>
      </c>
      <c r="O11" s="6" t="n">
        <v>1</v>
      </c>
      <c r="P11" s="6" t="n">
        <v>1</v>
      </c>
      <c r="Q11" s="6" t="n">
        <v>1</v>
      </c>
      <c r="R11" s="6" t="n">
        <v>1</v>
      </c>
      <c r="S11" s="6" t="n">
        <v>1</v>
      </c>
      <c r="T11" s="6" t="n">
        <v>1</v>
      </c>
      <c r="U11" s="6" t="n">
        <v>1</v>
      </c>
      <c r="V11" s="6" t="n">
        <v>1</v>
      </c>
      <c r="W11" s="6" t="n">
        <v>2</v>
      </c>
      <c r="X11" s="6" t="n">
        <v>2</v>
      </c>
    </row>
    <row r="12">
      <c r="D12" t="inlineStr">
        <is>
          <t>COD delay (sensitivity) [table]</t>
        </is>
      </c>
      <c r="E12" t="inlineStr">
        <is>
          <t>months</t>
        </is>
      </c>
      <c r="J12" s="6" t="n">
        <v>0</v>
      </c>
      <c r="K12" s="6" t="n">
        <v>0</v>
      </c>
      <c r="L12" s="6" t="n">
        <v>0</v>
      </c>
      <c r="M12" s="6" t="n">
        <v>0</v>
      </c>
      <c r="N12" s="6" t="n">
        <v>0</v>
      </c>
      <c r="O12" s="6" t="n">
        <v>0</v>
      </c>
      <c r="P12" s="6" t="n">
        <v>0</v>
      </c>
      <c r="Q12" s="6" t="n">
        <v>6</v>
      </c>
      <c r="R12" s="6" t="n">
        <v>0</v>
      </c>
      <c r="S12" s="6" t="n">
        <v>0</v>
      </c>
      <c r="T12" s="6" t="n">
        <v>0</v>
      </c>
      <c r="U12" s="6" t="n">
        <v>0</v>
      </c>
      <c r="V12" s="6" t="n">
        <v>0</v>
      </c>
      <c r="W12" s="6" t="n">
        <v>0</v>
      </c>
      <c r="X12" s="6" t="n">
        <v>0</v>
      </c>
    </row>
    <row r="13">
      <c r="D13" t="inlineStr">
        <is>
          <t>Capex factor [table]</t>
        </is>
      </c>
      <c r="E13" t="inlineStr">
        <is>
          <t>factor</t>
        </is>
      </c>
      <c r="J13" s="6" t="n">
        <v>1</v>
      </c>
      <c r="K13" s="6" t="n">
        <v>1</v>
      </c>
      <c r="L13" s="6" t="n">
        <v>1</v>
      </c>
      <c r="M13" s="6" t="n">
        <v>1</v>
      </c>
      <c r="N13" s="6" t="n">
        <v>1</v>
      </c>
      <c r="O13" s="6" t="n">
        <v>1</v>
      </c>
      <c r="P13" s="6" t="n">
        <v>1.1</v>
      </c>
      <c r="Q13" s="6" t="n">
        <v>1</v>
      </c>
      <c r="R13" s="6" t="n">
        <v>1</v>
      </c>
      <c r="S13" s="6" t="n">
        <v>1</v>
      </c>
      <c r="T13" s="6" t="n">
        <v>1</v>
      </c>
      <c r="U13" s="6" t="n">
        <v>1</v>
      </c>
      <c r="V13" s="6" t="n">
        <v>1</v>
      </c>
      <c r="W13" s="6" t="n">
        <v>1</v>
      </c>
      <c r="X13" s="6" t="n">
        <v>1</v>
      </c>
    </row>
    <row r="14">
      <c r="D14" t="inlineStr">
        <is>
          <t>Availability adjustment [table]</t>
        </is>
      </c>
      <c r="E14" t="inlineStr">
        <is>
          <t>points</t>
        </is>
      </c>
      <c r="J14" s="6" t="n">
        <v>0</v>
      </c>
      <c r="K14" s="6" t="n">
        <v>0</v>
      </c>
      <c r="L14" s="6" t="n">
        <v>-6.5</v>
      </c>
      <c r="M14" s="6" t="n">
        <v>-3</v>
      </c>
      <c r="N14" s="6" t="n">
        <v>0</v>
      </c>
      <c r="O14" s="6" t="n">
        <v>0</v>
      </c>
      <c r="P14" s="6" t="n">
        <v>0</v>
      </c>
      <c r="Q14" s="6" t="n">
        <v>0</v>
      </c>
      <c r="R14" s="6" t="n">
        <v>0</v>
      </c>
      <c r="S14" s="6" t="n">
        <v>0</v>
      </c>
      <c r="T14" s="6" t="n">
        <v>0</v>
      </c>
      <c r="U14" s="6" t="n">
        <v>0</v>
      </c>
      <c r="V14" s="6" t="n">
        <v>0</v>
      </c>
      <c r="W14" s="6" t="n">
        <v>0</v>
      </c>
      <c r="X14" s="6" t="n">
        <v>0</v>
      </c>
    </row>
    <row r="15">
      <c r="D15" t="inlineStr">
        <is>
          <t>Dispatch factor when available [table]</t>
        </is>
      </c>
      <c r="E15" t="inlineStr">
        <is>
          <t>%</t>
        </is>
      </c>
      <c r="J15" s="6" t="n">
        <v>76.5</v>
      </c>
      <c r="K15" s="6" t="n">
        <v>72</v>
      </c>
      <c r="L15" s="6" t="n">
        <v>76.5</v>
      </c>
      <c r="M15" s="6" t="n">
        <v>76.5</v>
      </c>
      <c r="N15" s="6" t="n">
        <v>76.5</v>
      </c>
      <c r="O15" s="6" t="n">
        <v>76.5</v>
      </c>
      <c r="P15" s="6" t="n">
        <v>76.5</v>
      </c>
      <c r="Q15" s="6" t="n">
        <v>76.5</v>
      </c>
      <c r="R15" s="6" t="n">
        <v>76.5</v>
      </c>
      <c r="S15" s="6" t="n">
        <v>76.5</v>
      </c>
      <c r="T15" s="6" t="n">
        <v>76.5</v>
      </c>
      <c r="U15" s="6" t="n">
        <v>50</v>
      </c>
      <c r="V15" s="6" t="n">
        <v>76.5</v>
      </c>
      <c r="W15" s="6" t="n">
        <v>76.5</v>
      </c>
      <c r="X15" s="6" t="n">
        <v>76.5</v>
      </c>
    </row>
    <row r="16">
      <c r="D16" t="inlineStr">
        <is>
          <t>Plant heat rate factor [table]</t>
        </is>
      </c>
      <c r="E16" t="inlineStr">
        <is>
          <t>factor</t>
        </is>
      </c>
      <c r="J16" s="6" t="n">
        <v>1</v>
      </c>
      <c r="K16" s="6" t="n">
        <v>1</v>
      </c>
      <c r="L16" s="6" t="n">
        <v>1.015</v>
      </c>
      <c r="M16" s="6" t="n">
        <v>1</v>
      </c>
      <c r="N16" s="6" t="n">
        <v>1.02</v>
      </c>
      <c r="O16" s="6" t="n">
        <v>1</v>
      </c>
      <c r="P16" s="6" t="n">
        <v>1</v>
      </c>
      <c r="Q16" s="6" t="n">
        <v>1</v>
      </c>
      <c r="R16" s="6" t="n">
        <v>1</v>
      </c>
      <c r="S16" s="6" t="n">
        <v>1</v>
      </c>
      <c r="T16" s="6" t="n">
        <v>1</v>
      </c>
      <c r="U16" s="6" t="n">
        <v>1</v>
      </c>
      <c r="V16" s="6" t="n">
        <v>1</v>
      </c>
      <c r="W16" s="6" t="n">
        <v>1</v>
      </c>
      <c r="X16" s="6" t="n">
        <v>1</v>
      </c>
    </row>
    <row r="17">
      <c r="D17" t="inlineStr">
        <is>
          <t>Fixed opex factor [table]</t>
        </is>
      </c>
      <c r="E17" t="inlineStr">
        <is>
          <t>factor</t>
        </is>
      </c>
      <c r="J17" s="6" t="n">
        <v>1</v>
      </c>
      <c r="K17" s="6" t="n">
        <v>1</v>
      </c>
      <c r="L17" s="6" t="n">
        <v>1.1</v>
      </c>
      <c r="M17" s="6" t="n">
        <v>1</v>
      </c>
      <c r="N17" s="6" t="n">
        <v>1</v>
      </c>
      <c r="O17" s="6" t="n">
        <v>1.1</v>
      </c>
      <c r="P17" s="6" t="n">
        <v>1</v>
      </c>
      <c r="Q17" s="6" t="n">
        <v>1</v>
      </c>
      <c r="R17" s="6" t="n">
        <v>1</v>
      </c>
      <c r="S17" s="6" t="n">
        <v>1</v>
      </c>
      <c r="T17" s="6" t="n">
        <v>1</v>
      </c>
      <c r="U17" s="6" t="n">
        <v>1</v>
      </c>
      <c r="V17" s="6" t="n">
        <v>1</v>
      </c>
      <c r="W17" s="6" t="n">
        <v>1</v>
      </c>
      <c r="X17" s="6" t="n">
        <v>1</v>
      </c>
    </row>
    <row r="18">
      <c r="D18" t="inlineStr">
        <is>
          <t>Gas price factor [table]</t>
        </is>
      </c>
      <c r="E18" t="inlineStr">
        <is>
          <t>factor</t>
        </is>
      </c>
      <c r="J18" s="6" t="n">
        <v>1</v>
      </c>
      <c r="K18" s="6" t="n">
        <v>1</v>
      </c>
      <c r="L18" s="6" t="n">
        <v>1</v>
      </c>
      <c r="M18" s="6" t="n">
        <v>1</v>
      </c>
      <c r="N18" s="6" t="n">
        <v>1</v>
      </c>
      <c r="O18" s="6" t="n">
        <v>1</v>
      </c>
      <c r="P18" s="6" t="n">
        <v>1</v>
      </c>
      <c r="Q18" s="6" t="n">
        <v>1</v>
      </c>
      <c r="R18" s="6" t="n">
        <v>1</v>
      </c>
      <c r="S18" s="6" t="n">
        <v>1</v>
      </c>
      <c r="T18" s="6" t="n">
        <v>1</v>
      </c>
      <c r="U18" s="6" t="n">
        <v>1</v>
      </c>
      <c r="V18" s="6" t="n">
        <v>1.3</v>
      </c>
      <c r="W18" s="6" t="n">
        <v>1</v>
      </c>
      <c r="X18" s="6" t="n">
        <v>1</v>
      </c>
    </row>
    <row r="19">
      <c r="D19" t="inlineStr">
        <is>
          <t>Base rate shift from 2022H1 [table]</t>
        </is>
      </c>
      <c r="E19" t="inlineStr">
        <is>
          <t>%</t>
        </is>
      </c>
      <c r="J19" s="6" t="n">
        <v>0</v>
      </c>
      <c r="K19" s="6" t="n">
        <v>0</v>
      </c>
      <c r="L19" s="6" t="n">
        <v>0</v>
      </c>
      <c r="M19" s="6" t="n">
        <v>0</v>
      </c>
      <c r="N19" s="6" t="n">
        <v>0</v>
      </c>
      <c r="O19" s="6" t="n">
        <v>0</v>
      </c>
      <c r="P19" s="6" t="n">
        <v>0</v>
      </c>
      <c r="Q19" s="6" t="n">
        <v>0</v>
      </c>
      <c r="R19" s="6" t="n">
        <v>2</v>
      </c>
      <c r="S19" s="6" t="n">
        <v>0</v>
      </c>
      <c r="T19" s="6" t="n">
        <v>0</v>
      </c>
      <c r="U19" s="6" t="n">
        <v>0</v>
      </c>
      <c r="V19" s="6" t="n">
        <v>0</v>
      </c>
      <c r="W19" s="6" t="n">
        <v>0</v>
      </c>
      <c r="X19" s="6" t="n">
        <v>0</v>
      </c>
    </row>
    <row r="20">
      <c r="D20" t="inlineStr">
        <is>
          <t>KCR devaluation from 2022H1 [table]</t>
        </is>
      </c>
      <c r="E20" t="inlineStr">
        <is>
          <t>fraction</t>
        </is>
      </c>
      <c r="J20" s="6" t="n">
        <v>0</v>
      </c>
      <c r="K20" s="6" t="n">
        <v>0</v>
      </c>
      <c r="L20" s="6" t="n">
        <v>0</v>
      </c>
      <c r="M20" s="6" t="n">
        <v>0</v>
      </c>
      <c r="N20" s="6" t="n">
        <v>0</v>
      </c>
      <c r="O20" s="6" t="n">
        <v>0</v>
      </c>
      <c r="P20" s="6" t="n">
        <v>0</v>
      </c>
      <c r="Q20" s="6" t="n">
        <v>0</v>
      </c>
      <c r="R20" s="6" t="n">
        <v>0</v>
      </c>
      <c r="S20" s="6" t="n">
        <v>0.4</v>
      </c>
      <c r="T20" s="6" t="n">
        <v>0</v>
      </c>
      <c r="U20" s="6" t="n">
        <v>0</v>
      </c>
      <c r="V20" s="6" t="n">
        <v>0</v>
      </c>
      <c r="W20" s="6" t="n">
        <v>0</v>
      </c>
      <c r="X20" s="6" t="n">
        <v>0</v>
      </c>
    </row>
    <row r="21">
      <c r="D21" t="inlineStr">
        <is>
          <t>Extra days on SEKA capacity/VOM payments, 2022H1-2022H2 [table]</t>
        </is>
      </c>
      <c r="E21" t="inlineStr">
        <is>
          <t>days</t>
        </is>
      </c>
      <c r="J21" s="6" t="n">
        <v>0</v>
      </c>
      <c r="K21" s="6" t="n">
        <v>0</v>
      </c>
      <c r="L21" s="6" t="n">
        <v>0</v>
      </c>
      <c r="M21" s="6" t="n">
        <v>0</v>
      </c>
      <c r="N21" s="6" t="n">
        <v>0</v>
      </c>
      <c r="O21" s="6" t="n">
        <v>0</v>
      </c>
      <c r="P21" s="6" t="n">
        <v>0</v>
      </c>
      <c r="Q21" s="6" t="n">
        <v>0</v>
      </c>
      <c r="R21" s="6" t="n">
        <v>0</v>
      </c>
      <c r="S21" s="6" t="n">
        <v>90</v>
      </c>
      <c r="T21" s="6" t="n">
        <v>120</v>
      </c>
      <c r="U21" s="6" t="n">
        <v>0</v>
      </c>
      <c r="V21" s="6" t="n">
        <v>0</v>
      </c>
      <c r="W21" s="6" t="n">
        <v>0</v>
      </c>
      <c r="X21" s="6" t="n">
        <v>0</v>
      </c>
    </row>
    <row r="22">
      <c r="D22" t="inlineStr">
        <is>
          <t>Offtaker crisis events (1 = on) [table]</t>
        </is>
      </c>
      <c r="E22" t="inlineStr">
        <is>
          <t>flag</t>
        </is>
      </c>
      <c r="J22" s="6" t="n">
        <v>0</v>
      </c>
      <c r="K22" s="6" t="n">
        <v>0</v>
      </c>
      <c r="L22" s="6" t="n">
        <v>0</v>
      </c>
      <c r="M22" s="6" t="n">
        <v>0</v>
      </c>
      <c r="N22" s="6" t="n">
        <v>0</v>
      </c>
      <c r="O22" s="6" t="n">
        <v>0</v>
      </c>
      <c r="P22" s="6" t="n">
        <v>0</v>
      </c>
      <c r="Q22" s="6" t="n">
        <v>0</v>
      </c>
      <c r="R22" s="6" t="n">
        <v>0</v>
      </c>
      <c r="S22" s="6" t="n">
        <v>0</v>
      </c>
      <c r="T22" s="6" t="n">
        <v>0</v>
      </c>
      <c r="U22" s="6" t="n">
        <v>0</v>
      </c>
      <c r="V22" s="6" t="n">
        <v>0</v>
      </c>
      <c r="W22" s="6" t="n">
        <v>0</v>
      </c>
      <c r="X22" s="6" t="n">
        <v>1</v>
      </c>
    </row>
    <row r="23">
      <c r="D23" t="inlineStr">
        <is>
          <t>Insurance market step-up from 2022H2 (1 = on) [table]</t>
        </is>
      </c>
      <c r="E23" t="inlineStr">
        <is>
          <t>flag</t>
        </is>
      </c>
      <c r="J23" s="6" t="n">
        <v>0</v>
      </c>
      <c r="K23" s="6" t="n">
        <v>0</v>
      </c>
      <c r="L23" s="6" t="n">
        <v>0</v>
      </c>
      <c r="M23" s="6" t="n">
        <v>0</v>
      </c>
      <c r="N23" s="6" t="n">
        <v>0</v>
      </c>
      <c r="O23" s="6" t="n">
        <v>0</v>
      </c>
      <c r="P23" s="6" t="n">
        <v>0</v>
      </c>
      <c r="Q23" s="6" t="n">
        <v>0</v>
      </c>
      <c r="R23" s="6" t="n">
        <v>0</v>
      </c>
      <c r="S23" s="6" t="n">
        <v>0</v>
      </c>
      <c r="T23" s="6" t="n">
        <v>0</v>
      </c>
      <c r="U23" s="6" t="n">
        <v>0</v>
      </c>
      <c r="V23" s="6" t="n">
        <v>0</v>
      </c>
      <c r="W23" s="6" t="n">
        <v>0</v>
      </c>
      <c r="X23" s="6" t="n">
        <v>1</v>
      </c>
    </row>
    <row r="24">
      <c r="D24" t="inlineStr">
        <is>
          <t>Repayment profile (1 FC contract, 2 COD re-sculpted) [table]</t>
        </is>
      </c>
      <c r="E24" t="inlineStr">
        <is>
          <t>code</t>
        </is>
      </c>
      <c r="J24" s="6" t="n">
        <v>1</v>
      </c>
      <c r="K24" s="6" t="n">
        <v>1</v>
      </c>
      <c r="L24" s="6" t="n">
        <v>1</v>
      </c>
      <c r="M24" s="6" t="n">
        <v>1</v>
      </c>
      <c r="N24" s="6" t="n">
        <v>1</v>
      </c>
      <c r="O24" s="6" t="n">
        <v>1</v>
      </c>
      <c r="P24" s="6" t="n">
        <v>1</v>
      </c>
      <c r="Q24" s="6" t="n">
        <v>1</v>
      </c>
      <c r="R24" s="6" t="n">
        <v>1</v>
      </c>
      <c r="S24" s="6" t="n">
        <v>1</v>
      </c>
      <c r="T24" s="6" t="n">
        <v>1</v>
      </c>
      <c r="U24" s="6" t="n">
        <v>1</v>
      </c>
      <c r="V24" s="6" t="n">
        <v>1</v>
      </c>
      <c r="W24" s="6" t="n">
        <v>2</v>
      </c>
      <c r="X24" s="6" t="n">
        <v>2</v>
      </c>
    </row>
    <row r="25">
      <c r="D25" t="inlineStr">
        <is>
          <t>Performance LD prepayment June 2022 (1 = on) [table]</t>
        </is>
      </c>
      <c r="E25" t="inlineStr">
        <is>
          <t>flag</t>
        </is>
      </c>
      <c r="J25" s="6" t="n">
        <v>0</v>
      </c>
      <c r="K25" s="6" t="n">
        <v>0</v>
      </c>
      <c r="L25" s="6" t="n">
        <v>0</v>
      </c>
      <c r="M25" s="6" t="n">
        <v>0</v>
      </c>
      <c r="N25" s="6" t="n">
        <v>0</v>
      </c>
      <c r="O25" s="6" t="n">
        <v>0</v>
      </c>
      <c r="P25" s="6" t="n">
        <v>0</v>
      </c>
      <c r="Q25" s="6" t="n">
        <v>0</v>
      </c>
      <c r="R25" s="6" t="n">
        <v>0</v>
      </c>
      <c r="S25" s="6" t="n">
        <v>0</v>
      </c>
      <c r="T25" s="6" t="n">
        <v>0</v>
      </c>
      <c r="U25" s="6" t="n">
        <v>0</v>
      </c>
      <c r="V25" s="6" t="n">
        <v>0</v>
      </c>
      <c r="W25" s="6" t="n">
        <v>1</v>
      </c>
      <c r="X25" s="6" t="n">
        <v>1</v>
      </c>
    </row>
    <row r="26">
      <c r="D26" t="inlineStr">
        <is>
          <t>Waiver and amendment 2023 (1 = on) [table]</t>
        </is>
      </c>
      <c r="E26" t="inlineStr">
        <is>
          <t>flag</t>
        </is>
      </c>
      <c r="J26" s="6" t="n">
        <v>0</v>
      </c>
      <c r="K26" s="6" t="n">
        <v>0</v>
      </c>
      <c r="L26" s="6" t="n">
        <v>0</v>
      </c>
      <c r="M26" s="6" t="n">
        <v>0</v>
      </c>
      <c r="N26" s="6" t="n">
        <v>0</v>
      </c>
      <c r="O26" s="6" t="n">
        <v>0</v>
      </c>
      <c r="P26" s="6" t="n">
        <v>0</v>
      </c>
      <c r="Q26" s="6" t="n">
        <v>0</v>
      </c>
      <c r="R26" s="6" t="n">
        <v>0</v>
      </c>
      <c r="S26" s="6" t="n">
        <v>0</v>
      </c>
      <c r="T26" s="6" t="n">
        <v>0</v>
      </c>
      <c r="U26" s="6" t="n">
        <v>0</v>
      </c>
      <c r="V26" s="6" t="n">
        <v>0</v>
      </c>
      <c r="W26" s="6" t="n">
        <v>0</v>
      </c>
      <c r="X26" s="6" t="n">
        <v>1</v>
      </c>
    </row>
    <row r="27">
      <c r="D27" t="inlineStr">
        <is>
          <t>2025 bond refinancing (1 = on) [table]</t>
        </is>
      </c>
      <c r="E27" t="inlineStr">
        <is>
          <t>flag</t>
        </is>
      </c>
      <c r="J27" s="6" t="n">
        <v>0</v>
      </c>
      <c r="K27" s="6" t="n">
        <v>0</v>
      </c>
      <c r="L27" s="6" t="n">
        <v>0</v>
      </c>
      <c r="M27" s="6" t="n">
        <v>0</v>
      </c>
      <c r="N27" s="6" t="n">
        <v>0</v>
      </c>
      <c r="O27" s="6" t="n">
        <v>0</v>
      </c>
      <c r="P27" s="6" t="n">
        <v>0</v>
      </c>
      <c r="Q27" s="6" t="n">
        <v>0</v>
      </c>
      <c r="R27" s="6" t="n">
        <v>0</v>
      </c>
      <c r="S27" s="6" t="n">
        <v>0</v>
      </c>
      <c r="T27" s="6" t="n">
        <v>0</v>
      </c>
      <c r="U27" s="6" t="n">
        <v>0</v>
      </c>
      <c r="V27" s="6" t="n">
        <v>0</v>
      </c>
      <c r="W27" s="6" t="n">
        <v>0</v>
      </c>
      <c r="X27" s="6" t="n">
        <v>1</v>
      </c>
    </row>
    <row r="28">
      <c r="D28" t="inlineStr">
        <is>
          <t>Funding mode (1 committed amounts, 2 re-grossed pro rata) [table]</t>
        </is>
      </c>
      <c r="E28" t="inlineStr">
        <is>
          <t>code</t>
        </is>
      </c>
      <c r="J28" s="6" t="n">
        <v>1</v>
      </c>
      <c r="K28" s="6" t="n">
        <v>1</v>
      </c>
      <c r="L28" s="6" t="n">
        <v>1</v>
      </c>
      <c r="M28" s="6" t="n">
        <v>1</v>
      </c>
      <c r="N28" s="6" t="n">
        <v>1</v>
      </c>
      <c r="O28" s="6" t="n">
        <v>1</v>
      </c>
      <c r="P28" s="6" t="n">
        <v>2</v>
      </c>
      <c r="Q28" s="6" t="n">
        <v>2</v>
      </c>
      <c r="R28" s="6" t="n">
        <v>1</v>
      </c>
      <c r="S28" s="6" t="n">
        <v>1</v>
      </c>
      <c r="T28" s="6" t="n">
        <v>1</v>
      </c>
      <c r="U28" s="6" t="n">
        <v>1</v>
      </c>
      <c r="V28" s="6" t="n">
        <v>1</v>
      </c>
      <c r="W28" s="6" t="n">
        <v>1</v>
      </c>
      <c r="X28" s="6" t="n">
        <v>1</v>
      </c>
    </row>
    <row r="29">
      <c r="D29" t="inlineStr">
        <is>
          <t>Soft mini-perm sweep (1 = on) [table]</t>
        </is>
      </c>
      <c r="E29" t="inlineStr">
        <is>
          <t>flag</t>
        </is>
      </c>
      <c r="J29" s="6" t="n">
        <v>1</v>
      </c>
      <c r="K29" s="6" t="n">
        <v>1</v>
      </c>
      <c r="L29" s="6" t="n">
        <v>1</v>
      </c>
      <c r="M29" s="6" t="n">
        <v>1</v>
      </c>
      <c r="N29" s="6" t="n">
        <v>1</v>
      </c>
      <c r="O29" s="6" t="n">
        <v>1</v>
      </c>
      <c r="P29" s="6" t="n">
        <v>1</v>
      </c>
      <c r="Q29" s="6" t="n">
        <v>1</v>
      </c>
      <c r="R29" s="6" t="n">
        <v>1</v>
      </c>
      <c r="S29" s="6" t="n">
        <v>1</v>
      </c>
      <c r="T29" s="6" t="n">
        <v>1</v>
      </c>
      <c r="U29" s="6" t="n">
        <v>1</v>
      </c>
      <c r="V29" s="6" t="n">
        <v>1</v>
      </c>
      <c r="W29" s="6" t="n">
        <v>1</v>
      </c>
      <c r="X29" s="6" t="n">
        <v>1</v>
      </c>
    </row>
    <row r="30">
      <c r="D30" t="inlineStr">
        <is>
          <t>Shareholder loan share of equity [table]</t>
        </is>
      </c>
      <c r="E30" t="inlineStr">
        <is>
          <t>fraction</t>
        </is>
      </c>
      <c r="J30" s="6" t="n">
        <v>0.8</v>
      </c>
      <c r="K30" s="6" t="n">
        <v>0.8</v>
      </c>
      <c r="L30" s="6" t="n">
        <v>0.8</v>
      </c>
      <c r="M30" s="6" t="n">
        <v>0.8</v>
      </c>
      <c r="N30" s="6" t="n">
        <v>0.8</v>
      </c>
      <c r="O30" s="6" t="n">
        <v>0.8</v>
      </c>
      <c r="P30" s="6" t="n">
        <v>0.8</v>
      </c>
      <c r="Q30" s="6" t="n">
        <v>0.8</v>
      </c>
      <c r="R30" s="6" t="n">
        <v>0.8</v>
      </c>
      <c r="S30" s="6" t="n">
        <v>0.8</v>
      </c>
      <c r="T30" s="6" t="n">
        <v>0.8</v>
      </c>
      <c r="U30" s="6" t="n">
        <v>0.8</v>
      </c>
      <c r="V30" s="6" t="n">
        <v>0.8</v>
      </c>
      <c r="W30" s="6" t="n">
        <v>0.8</v>
      </c>
      <c r="X30" s="6" t="n">
        <v>0.8</v>
      </c>
    </row>
    <row r="31">
      <c r="D31" t="inlineStr">
        <is>
          <t>Capital charge factor [table]</t>
        </is>
      </c>
      <c r="E31" t="inlineStr">
        <is>
          <t>factor</t>
        </is>
      </c>
      <c r="J31" s="6" t="n">
        <v>1</v>
      </c>
      <c r="K31" s="6" t="n">
        <v>1</v>
      </c>
      <c r="L31" s="6" t="n">
        <v>1</v>
      </c>
      <c r="M31" s="6" t="n">
        <v>1</v>
      </c>
      <c r="N31" s="6" t="n">
        <v>1</v>
      </c>
      <c r="O31" s="6" t="n">
        <v>1</v>
      </c>
      <c r="P31" s="6" t="n">
        <v>1</v>
      </c>
      <c r="Q31" s="6" t="n">
        <v>1</v>
      </c>
      <c r="R31" s="6" t="n">
        <v>1</v>
      </c>
      <c r="S31" s="6" t="n">
        <v>1</v>
      </c>
      <c r="T31" s="6" t="n">
        <v>1</v>
      </c>
      <c r="U31" s="6" t="n">
        <v>1</v>
      </c>
      <c r="V31" s="6" t="n">
        <v>1</v>
      </c>
      <c r="W31" s="6" t="n">
        <v>1</v>
      </c>
      <c r="X31" s="6" t="n">
        <v>1</v>
      </c>
    </row>
    <row r="32">
      <c r="D32" t="inlineStr">
        <is>
          <t>Actual 2022 dispatch path (1 = on) [table]</t>
        </is>
      </c>
      <c r="E32" t="inlineStr">
        <is>
          <t>flag</t>
        </is>
      </c>
      <c r="J32" s="6" t="n">
        <v>0</v>
      </c>
      <c r="K32" s="6" t="n">
        <v>0</v>
      </c>
      <c r="L32" s="6" t="n">
        <v>0</v>
      </c>
      <c r="M32" s="6" t="n">
        <v>0</v>
      </c>
      <c r="N32" s="6" t="n">
        <v>0</v>
      </c>
      <c r="O32" s="6" t="n">
        <v>0</v>
      </c>
      <c r="P32" s="6" t="n">
        <v>0</v>
      </c>
      <c r="Q32" s="6" t="n">
        <v>0</v>
      </c>
      <c r="R32" s="6" t="n">
        <v>0</v>
      </c>
      <c r="S32" s="6" t="n">
        <v>0</v>
      </c>
      <c r="T32" s="6" t="n">
        <v>0</v>
      </c>
      <c r="U32" s="6" t="n">
        <v>0</v>
      </c>
      <c r="V32" s="6" t="n">
        <v>0</v>
      </c>
      <c r="W32" s="6" t="n">
        <v>0</v>
      </c>
      <c r="X32" s="6" t="n">
        <v>1</v>
      </c>
    </row>
    <row r="33">
      <c r="D33" t="inlineStr">
        <is>
          <t>Macro path (1 FC forward, 2 actual history, 3 COD re-forecast)</t>
        </is>
      </c>
      <c r="E33" t="inlineStr">
        <is>
          <t>code</t>
        </is>
      </c>
      <c r="F33" s="3">
        <f>INDEX($J$10:$X$10,1,Scenario)</f>
        <v/>
      </c>
    </row>
    <row r="34">
      <c r="D34" t="inlineStr">
        <is>
          <t>Construction case (1 FC budget, 2 actual)</t>
        </is>
      </c>
      <c r="E34" t="inlineStr">
        <is>
          <t>code</t>
        </is>
      </c>
      <c r="F34" s="3">
        <f>INDEX($J$11:$X$11,1,Scenario)</f>
        <v/>
      </c>
    </row>
    <row r="35">
      <c r="D35" t="inlineStr">
        <is>
          <t>COD delay (sensitivity)</t>
        </is>
      </c>
      <c r="E35" t="inlineStr">
        <is>
          <t>months</t>
        </is>
      </c>
      <c r="F35" s="3">
        <f>INDEX($J$12:$X$12,1,Scenario)</f>
        <v/>
      </c>
    </row>
    <row r="36">
      <c r="D36" t="inlineStr">
        <is>
          <t>Capex factor</t>
        </is>
      </c>
      <c r="E36" t="inlineStr">
        <is>
          <t>factor</t>
        </is>
      </c>
      <c r="F36" s="3">
        <f>INDEX($J$13:$X$13,1,Scenario)</f>
        <v/>
      </c>
    </row>
    <row r="37">
      <c r="D37" t="inlineStr">
        <is>
          <t>Availability adjustment</t>
        </is>
      </c>
      <c r="E37" t="inlineStr">
        <is>
          <t>points</t>
        </is>
      </c>
      <c r="F37" s="3">
        <f>INDEX($J$14:$X$14,1,Scenario)</f>
        <v/>
      </c>
    </row>
    <row r="38">
      <c r="D38" t="inlineStr">
        <is>
          <t>Dispatch factor when available</t>
        </is>
      </c>
      <c r="E38" t="inlineStr">
        <is>
          <t>%</t>
        </is>
      </c>
      <c r="F38" s="3">
        <f>INDEX($J$15:$X$15,1,Scenario)</f>
        <v/>
      </c>
    </row>
    <row r="39">
      <c r="D39" t="inlineStr">
        <is>
          <t>Plant heat rate factor</t>
        </is>
      </c>
      <c r="E39" t="inlineStr">
        <is>
          <t>factor</t>
        </is>
      </c>
      <c r="F39" s="3">
        <f>INDEX($J$16:$X$16,1,Scenario)</f>
        <v/>
      </c>
    </row>
    <row r="40">
      <c r="D40" t="inlineStr">
        <is>
          <t>Fixed opex factor</t>
        </is>
      </c>
      <c r="E40" t="inlineStr">
        <is>
          <t>factor</t>
        </is>
      </c>
      <c r="F40" s="3">
        <f>INDEX($J$17:$X$17,1,Scenario)</f>
        <v/>
      </c>
    </row>
    <row r="41">
      <c r="D41" t="inlineStr">
        <is>
          <t>Gas price factor</t>
        </is>
      </c>
      <c r="E41" t="inlineStr">
        <is>
          <t>factor</t>
        </is>
      </c>
      <c r="F41" s="3">
        <f>INDEX($J$18:$X$18,1,Scenario)</f>
        <v/>
      </c>
    </row>
    <row r="42">
      <c r="D42" t="inlineStr">
        <is>
          <t>Base rate shift from 2022H1</t>
        </is>
      </c>
      <c r="E42" t="inlineStr">
        <is>
          <t>%</t>
        </is>
      </c>
      <c r="F42" s="3">
        <f>INDEX($J$19:$X$19,1,Scenario)</f>
        <v/>
      </c>
    </row>
    <row r="43">
      <c r="D43" t="inlineStr">
        <is>
          <t>KCR devaluation from 2022H1</t>
        </is>
      </c>
      <c r="E43" t="inlineStr">
        <is>
          <t>fraction</t>
        </is>
      </c>
      <c r="F43" s="3">
        <f>INDEX($J$20:$X$20,1,Scenario)</f>
        <v/>
      </c>
    </row>
    <row r="44">
      <c r="D44" t="inlineStr">
        <is>
          <t>Extra days on SEKA capacity/VOM payments, 2022H1-2022H2</t>
        </is>
      </c>
      <c r="E44" t="inlineStr">
        <is>
          <t>days</t>
        </is>
      </c>
      <c r="F44" s="3">
        <f>INDEX($J$21:$X$21,1,Scenario)</f>
        <v/>
      </c>
    </row>
    <row r="45">
      <c r="D45" t="inlineStr">
        <is>
          <t>Offtaker crisis events (1 = on)</t>
        </is>
      </c>
      <c r="E45" t="inlineStr">
        <is>
          <t>flag</t>
        </is>
      </c>
      <c r="F45" s="3">
        <f>INDEX($J$22:$X$22,1,Scenario)</f>
        <v/>
      </c>
    </row>
    <row r="46">
      <c r="D46" t="inlineStr">
        <is>
          <t>Insurance market step-up from 2022H2 (1 = on)</t>
        </is>
      </c>
      <c r="E46" t="inlineStr">
        <is>
          <t>flag</t>
        </is>
      </c>
      <c r="F46" s="3">
        <f>INDEX($J$23:$X$23,1,Scenario)</f>
        <v/>
      </c>
    </row>
    <row r="47">
      <c r="D47" t="inlineStr">
        <is>
          <t>Repayment profile (1 FC contract, 2 COD re-sculpted)</t>
        </is>
      </c>
      <c r="E47" t="inlineStr">
        <is>
          <t>code</t>
        </is>
      </c>
      <c r="F47" s="3">
        <f>INDEX($J$24:$X$24,1,Scenario)</f>
        <v/>
      </c>
    </row>
    <row r="48">
      <c r="D48" t="inlineStr">
        <is>
          <t>Performance LD prepayment June 2022 (1 = on)</t>
        </is>
      </c>
      <c r="E48" t="inlineStr">
        <is>
          <t>flag</t>
        </is>
      </c>
      <c r="F48" s="3">
        <f>INDEX($J$25:$X$25,1,Scenario)</f>
        <v/>
      </c>
    </row>
    <row r="49">
      <c r="D49" t="inlineStr">
        <is>
          <t>Waiver and amendment 2023 (1 = on)</t>
        </is>
      </c>
      <c r="E49" t="inlineStr">
        <is>
          <t>flag</t>
        </is>
      </c>
      <c r="F49" s="3">
        <f>INDEX($J$26:$X$26,1,Scenario)</f>
        <v/>
      </c>
    </row>
    <row r="50">
      <c r="D50" t="inlineStr">
        <is>
          <t>2025 bond refinancing (1 = on)</t>
        </is>
      </c>
      <c r="E50" t="inlineStr">
        <is>
          <t>flag</t>
        </is>
      </c>
      <c r="F50" s="3">
        <f>INDEX($J$27:$X$27,1,Scenario)</f>
        <v/>
      </c>
    </row>
    <row r="51">
      <c r="D51" t="inlineStr">
        <is>
          <t>Funding mode (1 committed amounts, 2 re-grossed pro rata)</t>
        </is>
      </c>
      <c r="E51" t="inlineStr">
        <is>
          <t>code</t>
        </is>
      </c>
      <c r="F51" s="3">
        <f>INDEX($J$28:$X$28,1,Scenario)</f>
        <v/>
      </c>
    </row>
    <row r="52">
      <c r="D52" t="inlineStr">
        <is>
          <t>Soft mini-perm sweep (1 = on)</t>
        </is>
      </c>
      <c r="E52" t="inlineStr">
        <is>
          <t>flag</t>
        </is>
      </c>
      <c r="F52" s="3">
        <f>INDEX($J$29:$X$29,1,Scenario)</f>
        <v/>
      </c>
    </row>
    <row r="53">
      <c r="D53" t="inlineStr">
        <is>
          <t>Shareholder loan share of equity</t>
        </is>
      </c>
      <c r="E53" t="inlineStr">
        <is>
          <t>fraction</t>
        </is>
      </c>
      <c r="F53" s="3">
        <f>INDEX($J$30:$X$30,1,Scenario)</f>
        <v/>
      </c>
    </row>
    <row r="54">
      <c r="D54" t="inlineStr">
        <is>
          <t>Capital charge factor</t>
        </is>
      </c>
      <c r="E54" t="inlineStr">
        <is>
          <t>factor</t>
        </is>
      </c>
      <c r="F54" s="3">
        <f>INDEX($J$31:$X$31,1,Scenario)</f>
        <v/>
      </c>
    </row>
    <row r="55">
      <c r="D55" t="inlineStr">
        <is>
          <t>Actual 2022 dispatch path (1 = on)</t>
        </is>
      </c>
      <c r="E55" t="inlineStr">
        <is>
          <t>flag</t>
        </is>
      </c>
      <c r="F55" s="3">
        <f>INDEX($J$32:$X$32,1,Scenario)</f>
        <v/>
      </c>
    </row>
    <row r="56">
      <c r="B56" s="2" t="inlineStr">
        <is>
          <t>Capital cost (USD m unless stated)</t>
        </is>
      </c>
    </row>
    <row r="57">
      <c r="D57" t="inlineStr">
        <is>
          <t>EPC contract price</t>
        </is>
      </c>
      <c r="E57" t="inlineStr">
        <is>
          <t>USD m</t>
        </is>
      </c>
      <c r="F57" s="7" t="n">
        <v>571.84</v>
      </c>
    </row>
    <row r="58">
      <c r="D58" t="inlineStr">
        <is>
          <t>of which offshore portion</t>
        </is>
      </c>
      <c r="E58" t="inlineStr">
        <is>
          <t>USD m</t>
        </is>
      </c>
      <c r="F58" s="7" t="n">
        <v>489.17</v>
      </c>
    </row>
    <row r="59">
      <c r="D59" t="inlineStr">
        <is>
          <t>of which onshore portion</t>
        </is>
      </c>
      <c r="E59" t="inlineStr">
        <is>
          <t>USD m</t>
        </is>
      </c>
      <c r="F59" s="7" t="n">
        <v>82.67</v>
      </c>
    </row>
    <row r="60">
      <c r="D60" t="inlineStr">
        <is>
          <t>Onshore portion fixed in KCR at</t>
        </is>
      </c>
      <c r="E60" t="inlineStr">
        <is>
          <t>KCR/USD</t>
        </is>
      </c>
      <c r="F60" s="7" t="n">
        <v>519.4</v>
      </c>
    </row>
    <row r="61">
      <c r="D61" t="inlineStr">
        <is>
          <t>Owner's costs</t>
        </is>
      </c>
      <c r="E61" t="inlineStr">
        <is>
          <t>USD m</t>
        </is>
      </c>
      <c r="F61" s="7" t="n">
        <v>46.18</v>
      </c>
    </row>
    <row r="62">
      <c r="D62" t="inlineStr">
        <is>
          <t>Insurance during construction</t>
        </is>
      </c>
      <c r="E62" t="inlineStr">
        <is>
          <t>USD m</t>
        </is>
      </c>
      <c r="F62" s="7" t="n">
        <v>7.62</v>
      </c>
    </row>
    <row r="63">
      <c r="D63" t="inlineStr">
        <is>
          <t>Development costs reimbursed at FC</t>
        </is>
      </c>
      <c r="E63" t="inlineStr">
        <is>
          <t>USD m</t>
        </is>
      </c>
      <c r="F63" s="7" t="n">
        <v>21.43</v>
      </c>
    </row>
    <row r="64">
      <c r="D64" t="inlineStr">
        <is>
          <t>Development fee at FC</t>
        </is>
      </c>
      <c r="E64" t="inlineStr">
        <is>
          <t>USD m</t>
        </is>
      </c>
      <c r="F64" s="7" t="n">
        <v>11.2</v>
      </c>
    </row>
    <row r="65">
      <c r="D65" t="inlineStr">
        <is>
          <t>Lenders' advisors and legal</t>
        </is>
      </c>
      <c r="E65" t="inlineStr">
        <is>
          <t>USD m</t>
        </is>
      </c>
      <c r="F65" s="7" t="n">
        <v>8.970000000000001</v>
      </c>
    </row>
    <row r="66">
      <c r="D66" t="inlineStr">
        <is>
          <t>Contingency</t>
        </is>
      </c>
      <c r="E66" t="inlineStr">
        <is>
          <t>USD m</t>
        </is>
      </c>
      <c r="F66" s="7" t="n">
        <v>38.4</v>
      </c>
    </row>
    <row r="67">
      <c r="D67" t="inlineStr">
        <is>
          <t>Initial working capital (spares, fuel)</t>
        </is>
      </c>
      <c r="E67" t="inlineStr">
        <is>
          <t>USD m</t>
        </is>
      </c>
      <c r="F67" s="7" t="n">
        <v>5.35</v>
      </c>
    </row>
    <row r="68">
      <c r="D68" t="inlineStr">
        <is>
          <t>LNTP paid February 2018 (equity credit at FC)</t>
        </is>
      </c>
      <c r="E68" t="inlineStr">
        <is>
          <t>USD m</t>
        </is>
      </c>
      <c r="F68" s="7" t="n">
        <v>14.2</v>
      </c>
    </row>
    <row r="69">
      <c r="D69" t="inlineStr">
        <is>
          <t>Extended owner's costs (actual, months 34-40)</t>
        </is>
      </c>
      <c r="E69" t="inlineStr">
        <is>
          <t>USD m</t>
        </is>
      </c>
      <c r="F69" s="7" t="n">
        <v>6.93</v>
      </c>
    </row>
    <row r="70">
      <c r="D70" t="inlineStr">
        <is>
          <t>VAT on onshore EPC</t>
        </is>
      </c>
      <c r="E70" t="inlineStr">
        <is>
          <t>%</t>
        </is>
      </c>
      <c r="F70" s="7" t="n">
        <v>18</v>
      </c>
    </row>
    <row r="71">
      <c r="D71" t="inlineStr">
        <is>
          <t>VAT facility margin over policy rate</t>
        </is>
      </c>
      <c r="E71" t="inlineStr">
        <is>
          <t>%</t>
        </is>
      </c>
      <c r="F71" s="7" t="n">
        <v>2.5</v>
      </c>
    </row>
    <row r="72">
      <c r="D72" t="inlineStr">
        <is>
          <t>VAT facility limit</t>
        </is>
      </c>
      <c r="E72" t="inlineStr">
        <is>
          <t>KCR m</t>
        </is>
      </c>
      <c r="F72" s="7" t="n">
        <v>7900</v>
      </c>
    </row>
    <row r="73">
      <c r="D73" t="inlineStr">
        <is>
          <t>Policy rate, FC expectation</t>
        </is>
      </c>
      <c r="E73" t="inlineStr">
        <is>
          <t>%</t>
        </is>
      </c>
      <c r="F73" s="7" t="n">
        <v>13.5</v>
      </c>
    </row>
    <row r="74">
      <c r="B74" s="2" t="inlineStr">
        <is>
          <t>Senior debt terms</t>
        </is>
      </c>
    </row>
    <row r="75">
      <c r="D75" t="inlineStr">
        <is>
          <t>ECA-covered tranche share</t>
        </is>
      </c>
      <c r="E75" t="inlineStr">
        <is>
          <t>fraction</t>
        </is>
      </c>
      <c r="F75" s="7" t="n">
        <v>0.3</v>
      </c>
    </row>
    <row r="76">
      <c r="D76" t="inlineStr">
        <is>
          <t>ABDB A-loan share</t>
        </is>
      </c>
      <c r="E76" t="inlineStr">
        <is>
          <t>fraction</t>
        </is>
      </c>
      <c r="F76" s="7" t="n">
        <v>0.22</v>
      </c>
    </row>
    <row r="77">
      <c r="D77" t="inlineStr">
        <is>
          <t>ABDB B-loan share</t>
        </is>
      </c>
      <c r="E77" t="inlineStr">
        <is>
          <t>fraction</t>
        </is>
      </c>
      <c r="F77" s="7" t="n">
        <v>0.1</v>
      </c>
    </row>
    <row r="78">
      <c r="D78" t="inlineStr">
        <is>
          <t>Commercial tranche share</t>
        </is>
      </c>
      <c r="E78" t="inlineStr">
        <is>
          <t>fraction</t>
        </is>
      </c>
      <c r="F78" s="7" t="n">
        <v>0.38</v>
      </c>
    </row>
    <row r="79">
      <c r="D79" t="inlineStr">
        <is>
          <t>ECA margin</t>
        </is>
      </c>
      <c r="E79" t="inlineStr">
        <is>
          <t>%</t>
        </is>
      </c>
      <c r="F79" s="7" t="n">
        <v>1.35</v>
      </c>
    </row>
    <row r="80">
      <c r="D80" t="inlineStr">
        <is>
          <t>A-loan margin</t>
        </is>
      </c>
      <c r="E80" t="inlineStr">
        <is>
          <t>%</t>
        </is>
      </c>
      <c r="F80" s="7" t="n">
        <v>3.65</v>
      </c>
    </row>
    <row r="81">
      <c r="D81" t="inlineStr">
        <is>
          <t>B-loan margin</t>
        </is>
      </c>
      <c r="E81" t="inlineStr">
        <is>
          <t>%</t>
        </is>
      </c>
      <c r="F81" s="7" t="n">
        <v>3.4</v>
      </c>
    </row>
    <row r="82">
      <c r="D82" t="inlineStr">
        <is>
          <t>Commercial margin to 2025</t>
        </is>
      </c>
      <c r="E82" t="inlineStr">
        <is>
          <t>%</t>
        </is>
      </c>
      <c r="F82" s="7" t="n">
        <v>4.1</v>
      </c>
    </row>
    <row r="83">
      <c r="D83" t="inlineStr">
        <is>
          <t>Commercial margin 2026-2029</t>
        </is>
      </c>
      <c r="E83" t="inlineStr">
        <is>
          <t>%</t>
        </is>
      </c>
      <c r="F83" s="7" t="n">
        <v>4.6</v>
      </c>
    </row>
    <row r="84">
      <c r="D84" t="inlineStr">
        <is>
          <t>Commercial margin from 2030</t>
        </is>
      </c>
      <c r="E84" t="inlineStr">
        <is>
          <t>%</t>
        </is>
      </c>
      <c r="F84" s="7" t="n">
        <v>5.1</v>
      </c>
    </row>
    <row r="85">
      <c r="D85" t="inlineStr">
        <is>
          <t>ECA commitment fee</t>
        </is>
      </c>
      <c r="E85" t="inlineStr">
        <is>
          <t>% pa</t>
        </is>
      </c>
      <c r="F85" s="7" t="n">
        <v>0.45</v>
      </c>
    </row>
    <row r="86">
      <c r="D86" t="inlineStr">
        <is>
          <t>A-loan commitment fee</t>
        </is>
      </c>
      <c r="E86" t="inlineStr">
        <is>
          <t>% pa</t>
        </is>
      </c>
      <c r="F86" s="7" t="n">
        <v>0.75</v>
      </c>
    </row>
    <row r="87">
      <c r="D87" t="inlineStr">
        <is>
          <t>B-loan commitment fee</t>
        </is>
      </c>
      <c r="E87" t="inlineStr">
        <is>
          <t>% pa</t>
        </is>
      </c>
      <c r="F87" s="7" t="n">
        <v>0.85</v>
      </c>
    </row>
    <row r="88">
      <c r="D88" t="inlineStr">
        <is>
          <t>Commercial commitment fee (% of margin)</t>
        </is>
      </c>
      <c r="E88" t="inlineStr">
        <is>
          <t>%</t>
        </is>
      </c>
      <c r="F88" s="7" t="n">
        <v>40</v>
      </c>
    </row>
    <row r="89">
      <c r="D89" t="inlineStr">
        <is>
          <t>ECA arrangement fee</t>
        </is>
      </c>
      <c r="E89" t="inlineStr">
        <is>
          <t>%</t>
        </is>
      </c>
      <c r="F89" s="7" t="n">
        <v>1.1</v>
      </c>
    </row>
    <row r="90">
      <c r="D90" t="inlineStr">
        <is>
          <t>A-loan front-end fee</t>
        </is>
      </c>
      <c r="E90" t="inlineStr">
        <is>
          <t>%</t>
        </is>
      </c>
      <c r="F90" s="7" t="n">
        <v>1.25</v>
      </c>
    </row>
    <row r="91">
      <c r="D91" t="inlineStr">
        <is>
          <t>B-loan upfront fee</t>
        </is>
      </c>
      <c r="E91" t="inlineStr">
        <is>
          <t>%</t>
        </is>
      </c>
      <c r="F91" s="7" t="n">
        <v>1.5</v>
      </c>
    </row>
    <row r="92">
      <c r="D92" t="inlineStr">
        <is>
          <t>Commercial upfront fee</t>
        </is>
      </c>
      <c r="E92" t="inlineStr">
        <is>
          <t>%</t>
        </is>
      </c>
      <c r="F92" s="7" t="n">
        <v>2.15</v>
      </c>
    </row>
    <row r="93">
      <c r="D93" t="inlineStr">
        <is>
          <t>Withholding tax on commercial interest (grossed up)</t>
        </is>
      </c>
      <c r="E93" t="inlineStr">
        <is>
          <t>%</t>
        </is>
      </c>
      <c r="F93" s="7" t="n">
        <v>10</v>
      </c>
    </row>
    <row r="94">
      <c r="D94" t="inlineStr">
        <is>
          <t>ECA premium (% of ECA drawdowns, financed)</t>
        </is>
      </c>
      <c r="E94" t="inlineStr">
        <is>
          <t>%</t>
        </is>
      </c>
      <c r="F94" s="7" t="n">
        <v>10.85</v>
      </c>
    </row>
    <row r="95">
      <c r="D95" t="inlineStr">
        <is>
          <t>PRI premium</t>
        </is>
      </c>
      <c r="E95" t="inlineStr">
        <is>
          <t>% pa</t>
        </is>
      </c>
      <c r="F95" s="7" t="n">
        <v>1.15</v>
      </c>
    </row>
    <row r="96">
      <c r="D96" t="inlineStr">
        <is>
          <t>PRI cover of commercial tranche</t>
        </is>
      </c>
      <c r="E96" t="inlineStr">
        <is>
          <t>%</t>
        </is>
      </c>
      <c r="F96" s="7" t="n">
        <v>90</v>
      </c>
    </row>
    <row r="97">
      <c r="D97" t="inlineStr">
        <is>
          <t>Swap fixed rate</t>
        </is>
      </c>
      <c r="E97" t="inlineStr">
        <is>
          <t>%</t>
        </is>
      </c>
      <c r="F97" s="7" t="n">
        <v>2.947</v>
      </c>
    </row>
    <row r="98">
      <c r="D98" t="inlineStr">
        <is>
          <t>ISDA 6M spread adjustment</t>
        </is>
      </c>
      <c r="E98" t="inlineStr">
        <is>
          <t>%</t>
        </is>
      </c>
      <c r="F98" s="7" t="n">
        <v>0.42826</v>
      </c>
    </row>
    <row r="99">
      <c r="D99" t="inlineStr">
        <is>
          <t>Standby facility</t>
        </is>
      </c>
      <c r="E99" t="inlineStr">
        <is>
          <t>USD m</t>
        </is>
      </c>
      <c r="F99" s="7" t="n">
        <v>46</v>
      </c>
    </row>
    <row r="100">
      <c r="D100" t="inlineStr">
        <is>
          <t>Standby commitment fee</t>
        </is>
      </c>
      <c r="E100" t="inlineStr">
        <is>
          <t>% pa</t>
        </is>
      </c>
      <c r="F100" s="7" t="n">
        <v>0.6</v>
      </c>
    </row>
    <row r="101">
      <c r="D101" t="inlineStr">
        <is>
          <t>Standby margin over tranche margin</t>
        </is>
      </c>
      <c r="E101" t="inlineStr">
        <is>
          <t>%</t>
        </is>
      </c>
      <c r="F101" s="7" t="n">
        <v>0.25</v>
      </c>
    </row>
    <row r="102">
      <c r="D102" t="inlineStr">
        <is>
          <t>Standby commercial share</t>
        </is>
      </c>
      <c r="E102" t="inlineStr">
        <is>
          <t>fraction</t>
        </is>
      </c>
      <c r="F102" s="7" t="n">
        <v>0.6</v>
      </c>
    </row>
    <row r="103">
      <c r="D103" t="inlineStr">
        <is>
          <t>Contingent equity</t>
        </is>
      </c>
      <c r="E103" t="inlineStr">
        <is>
          <t>USD m</t>
        </is>
      </c>
      <c r="F103" s="7" t="n">
        <v>15.4</v>
      </c>
    </row>
    <row r="104">
      <c r="D104" t="inlineStr">
        <is>
          <t>Shareholder loan rate</t>
        </is>
      </c>
      <c r="E104" t="inlineStr">
        <is>
          <t>% pa</t>
        </is>
      </c>
      <c r="F104" s="7" t="n">
        <v>9.5</v>
      </c>
    </row>
    <row r="105">
      <c r="D105" t="inlineStr">
        <is>
          <t>Gearing cap</t>
        </is>
      </c>
      <c r="E105" t="inlineStr">
        <is>
          <t>fraction</t>
        </is>
      </c>
      <c r="F105" s="7" t="n">
        <v>0.75</v>
      </c>
    </row>
    <row r="107">
      <c r="D107" t="inlineStr">
        <is>
          <t>Agency and account fees</t>
        </is>
      </c>
      <c r="E107" t="inlineStr">
        <is>
          <t>USD m pa</t>
        </is>
      </c>
      <c r="F107" s="7" t="n">
        <v>0.255</v>
      </c>
    </row>
    <row r="112">
      <c r="B112" s="2" t="inlineStr">
        <is>
          <t>Contract terms fixed at financial close (from the FC base sizing run)</t>
        </is>
      </c>
    </row>
    <row r="113">
      <c r="D113" t="inlineStr">
        <is>
          <t>Senior debt commitment (total, 4 tranches)</t>
        </is>
      </c>
      <c r="E113" t="inlineStr">
        <is>
          <t>USD m</t>
        </is>
      </c>
      <c r="F113" s="7" t="n">
        <v>633.2559755427742</v>
      </c>
    </row>
    <row r="114">
      <c r="D114" t="inlineStr">
        <is>
          <t>Equity commitment (base, incl. LNTP)</t>
        </is>
      </c>
      <c r="E114" t="inlineStr">
        <is>
          <t>USD m</t>
        </is>
      </c>
      <c r="F114" s="7" t="n">
        <v>221.8337675840513</v>
      </c>
    </row>
    <row r="115">
      <c r="B115" s="2" t="inlineStr">
        <is>
          <t>Plant and PPA</t>
        </is>
      </c>
    </row>
    <row r="116">
      <c r="D116" t="inlineStr">
        <is>
          <t>Contracted capacity (FC)</t>
        </is>
      </c>
      <c r="E116" t="inlineStr">
        <is>
          <t>MW</t>
        </is>
      </c>
      <c r="F116" s="7" t="n">
        <v>588.4</v>
      </c>
    </row>
    <row r="117">
      <c r="D117" t="inlineStr">
        <is>
          <t>Contracted capacity after tests</t>
        </is>
      </c>
      <c r="E117" t="inlineStr">
        <is>
          <t>MW</t>
        </is>
      </c>
      <c r="F117" s="7" t="n">
        <v>581.9</v>
      </c>
    </row>
    <row r="118">
      <c r="D118" t="inlineStr">
        <is>
          <t>Guaranteed net heat rate</t>
        </is>
      </c>
      <c r="E118" t="inlineStr">
        <is>
          <t>kJ/kWh</t>
        </is>
      </c>
      <c r="F118" s="7" t="n">
        <v>6261</v>
      </c>
    </row>
    <row r="119">
      <c r="D119" t="inlineStr">
        <is>
          <t>Tested net heat rate</t>
        </is>
      </c>
      <c r="E119" t="inlineStr">
        <is>
          <t>kJ/kWh</t>
        </is>
      </c>
      <c r="F119" s="7" t="n">
        <v>6286</v>
      </c>
    </row>
    <row r="120">
      <c r="D120" t="inlineStr">
        <is>
          <t>PPA contracted heat rate</t>
        </is>
      </c>
      <c r="E120" t="inlineStr">
        <is>
          <t>kJ/kWh</t>
        </is>
      </c>
      <c r="F120" s="7" t="n">
        <v>6323</v>
      </c>
    </row>
    <row r="121">
      <c r="D121" t="inlineStr">
        <is>
          <t>Contracted HR degradation allowance</t>
        </is>
      </c>
      <c r="E121" t="inlineStr">
        <is>
          <t>% pa</t>
        </is>
      </c>
      <c r="F121" s="7" t="n">
        <v>0.1</v>
      </c>
    </row>
    <row r="122">
      <c r="D122" t="inlineStr">
        <is>
          <t>Average part-load penalty</t>
        </is>
      </c>
      <c r="E122" t="inlineStr">
        <is>
          <t>%</t>
        </is>
      </c>
      <c r="F122" s="7" t="n">
        <v>2.3</v>
      </c>
    </row>
    <row r="123">
      <c r="D123" t="inlineStr">
        <is>
          <t>HHV/LHV ratio</t>
        </is>
      </c>
      <c r="E123" t="inlineStr">
        <is>
          <t>factor</t>
        </is>
      </c>
      <c r="F123" s="7" t="n">
        <v>1.108</v>
      </c>
    </row>
    <row r="124">
      <c r="D124" t="inlineStr">
        <is>
          <t>kJ per MMBtu</t>
        </is>
      </c>
      <c r="E124" t="inlineStr">
        <is>
          <t>kJ</t>
        </is>
      </c>
      <c r="F124" s="7" t="n">
        <v>1055056</v>
      </c>
    </row>
    <row r="125">
      <c r="D125" t="inlineStr">
        <is>
          <t>Output degradation, non-recoverable</t>
        </is>
      </c>
      <c r="E125" t="inlineStr">
        <is>
          <t>% pa</t>
        </is>
      </c>
      <c r="F125" s="7" t="n">
        <v>0.15</v>
      </c>
    </row>
    <row r="126">
      <c r="D126" t="inlineStr">
        <is>
          <t>Output degradation, recoverable average</t>
        </is>
      </c>
      <c r="E126" t="inlineStr">
        <is>
          <t>%</t>
        </is>
      </c>
      <c r="F126" s="7" t="n">
        <v>1</v>
      </c>
    </row>
    <row r="127">
      <c r="D127" t="inlineStr">
        <is>
          <t>Heat-rate degradation, non-recoverable</t>
        </is>
      </c>
      <c r="E127" t="inlineStr">
        <is>
          <t>% pa</t>
        </is>
      </c>
      <c r="F127" s="7" t="n">
        <v>0.12</v>
      </c>
    </row>
    <row r="128">
      <c r="D128" t="inlineStr">
        <is>
          <t>Heat-rate degradation, recoverable average</t>
        </is>
      </c>
      <c r="E128" t="inlineStr">
        <is>
          <t>%</t>
        </is>
      </c>
      <c r="F128" s="7" t="n">
        <v>0.8</v>
      </c>
    </row>
    <row r="129">
      <c r="D129" t="inlineStr">
        <is>
          <t>GT operating hours per year</t>
        </is>
      </c>
      <c r="E129" t="inlineStr">
        <is>
          <t>h</t>
        </is>
      </c>
      <c r="F129" s="7" t="n">
        <v>8059</v>
      </c>
    </row>
    <row r="130">
      <c r="D130" t="inlineStr">
        <is>
          <t>GT starts per year</t>
        </is>
      </c>
      <c r="E130" t="inlineStr">
        <is>
          <t>starts</t>
        </is>
      </c>
      <c r="F130" s="7" t="n">
        <v>38</v>
      </c>
    </row>
    <row r="131">
      <c r="D131" t="inlineStr">
        <is>
          <t>Base dispatch for GT hours</t>
        </is>
      </c>
      <c r="E131" t="inlineStr">
        <is>
          <t>%</t>
        </is>
      </c>
      <c r="F131" s="7" t="n">
        <v>76.5</v>
      </c>
    </row>
    <row r="132">
      <c r="D132" t="inlineStr">
        <is>
          <t>EOH per start</t>
        </is>
      </c>
      <c r="E132" t="inlineStr">
        <is>
          <t>h</t>
        </is>
      </c>
      <c r="F132" s="7" t="n">
        <v>10</v>
      </c>
    </row>
    <row r="133">
      <c r="D133" t="inlineStr">
        <is>
          <t>PPA availability target</t>
        </is>
      </c>
      <c r="E133" t="inlineStr">
        <is>
          <t>%</t>
        </is>
      </c>
      <c r="F133" s="7" t="n">
        <v>90</v>
      </c>
    </row>
    <row r="134">
      <c r="D134" t="inlineStr">
        <is>
          <t>Capital charge (Nov 2016 prices)</t>
        </is>
      </c>
      <c r="E134" t="inlineStr">
        <is>
          <t>USD/kW-month</t>
        </is>
      </c>
      <c r="F134" s="7" t="n">
        <v>14.36</v>
      </c>
    </row>
    <row r="135">
      <c r="D135" t="inlineStr">
        <is>
          <t>Capital charge indexed share</t>
        </is>
      </c>
      <c r="E135" t="inlineStr">
        <is>
          <t>fraction</t>
        </is>
      </c>
      <c r="F135" s="7" t="n">
        <v>0.2</v>
      </c>
    </row>
    <row r="136">
      <c r="D136" t="inlineStr">
        <is>
          <t>Fixed O&amp;M charge</t>
        </is>
      </c>
      <c r="E136" t="inlineStr">
        <is>
          <t>USD/kW-month</t>
        </is>
      </c>
      <c r="F136" s="7" t="n">
        <v>2.31</v>
      </c>
    </row>
    <row r="137">
      <c r="D137" t="inlineStr">
        <is>
          <t>Fixed O&amp;M US CPI share</t>
        </is>
      </c>
      <c r="E137" t="inlineStr">
        <is>
          <t>fraction</t>
        </is>
      </c>
      <c r="F137" s="7" t="n">
        <v>0.62</v>
      </c>
    </row>
    <row r="138">
      <c r="D138" t="inlineStr">
        <is>
          <t>Bid base FX rate</t>
        </is>
      </c>
      <c r="E138" t="inlineStr">
        <is>
          <t>KCR/USD</t>
        </is>
      </c>
      <c r="F138" s="7" t="n">
        <v>462.35</v>
      </c>
    </row>
    <row r="139">
      <c r="D139" t="inlineStr">
        <is>
          <t>Variable O&amp;M charge</t>
        </is>
      </c>
      <c r="E139" t="inlineStr">
        <is>
          <t>USD/MWh</t>
        </is>
      </c>
      <c r="F139" s="7" t="n">
        <v>3.86</v>
      </c>
    </row>
    <row r="140">
      <c r="D140" t="inlineStr">
        <is>
          <t>VOM US CPI share</t>
        </is>
      </c>
      <c r="E140" t="inlineStr">
        <is>
          <t>fraction</t>
        </is>
      </c>
      <c r="F140" s="7" t="n">
        <v>0.7</v>
      </c>
    </row>
    <row r="141">
      <c r="B141" s="2" t="inlineStr">
        <is>
          <t>Fuel and transport</t>
        </is>
      </c>
    </row>
    <row r="142">
      <c r="D142" t="inlineStr">
        <is>
          <t>GSA gas price 2018</t>
        </is>
      </c>
      <c r="E142" t="inlineStr">
        <is>
          <t>USD/MMBtu</t>
        </is>
      </c>
      <c r="F142" s="7" t="n">
        <v>5.86</v>
      </c>
    </row>
    <row r="143">
      <c r="D143" t="inlineStr">
        <is>
          <t>GSA escalation</t>
        </is>
      </c>
      <c r="E143" t="inlineStr">
        <is>
          <t>% pa</t>
        </is>
      </c>
      <c r="F143" s="7" t="n">
        <v>2</v>
      </c>
    </row>
    <row r="144">
      <c r="D144" t="inlineStr">
        <is>
          <t>Daily contract quantity</t>
        </is>
      </c>
      <c r="E144" t="inlineStr">
        <is>
          <t>MMBtu/d</t>
        </is>
      </c>
      <c r="F144" s="7" t="n">
        <v>72400</v>
      </c>
    </row>
    <row r="145">
      <c r="D145" t="inlineStr">
        <is>
          <t>Take-or-pay level</t>
        </is>
      </c>
      <c r="E145" t="inlineStr">
        <is>
          <t>fraction</t>
        </is>
      </c>
      <c r="F145" s="7" t="n">
        <v>0.8</v>
      </c>
    </row>
    <row r="146">
      <c r="D146" t="inlineStr">
        <is>
          <t>GTA reserved capacity</t>
        </is>
      </c>
      <c r="E146" t="inlineStr">
        <is>
          <t>MMBtu/d</t>
        </is>
      </c>
      <c r="F146" s="7" t="n">
        <v>96500</v>
      </c>
    </row>
    <row r="147">
      <c r="D147" t="inlineStr">
        <is>
          <t>GTA reservation charge 2018</t>
        </is>
      </c>
      <c r="E147" t="inlineStr">
        <is>
          <t>USD/MMBtu</t>
        </is>
      </c>
      <c r="F147" s="7" t="n">
        <v>0.62</v>
      </c>
    </row>
    <row r="148">
      <c r="D148" t="inlineStr">
        <is>
          <t>GTA commodity charge 2018</t>
        </is>
      </c>
      <c r="E148" t="inlineStr">
        <is>
          <t>USD/MMBtu</t>
        </is>
      </c>
      <c r="F148" s="7" t="n">
        <v>0.19</v>
      </c>
    </row>
    <row r="149">
      <c r="D149" t="inlineStr">
        <is>
          <t>GTA escalation</t>
        </is>
      </c>
      <c r="E149" t="inlineStr">
        <is>
          <t>% pa</t>
        </is>
      </c>
      <c r="F149" s="7" t="n">
        <v>1.5</v>
      </c>
    </row>
    <row r="150">
      <c r="B150" s="2" t="inlineStr">
        <is>
          <t>Operating costs (2018 prices)</t>
        </is>
      </c>
    </row>
    <row r="151">
      <c r="D151" t="inlineStr">
        <is>
          <t>O&amp;M fixed fee</t>
        </is>
      </c>
      <c r="E151" t="inlineStr">
        <is>
          <t>USD m pa</t>
        </is>
      </c>
      <c r="F151" s="7" t="n">
        <v>7.92</v>
      </c>
    </row>
    <row r="152">
      <c r="D152" t="inlineStr">
        <is>
          <t>O&amp;M USD share</t>
        </is>
      </c>
      <c r="E152" t="inlineStr">
        <is>
          <t>fraction</t>
        </is>
      </c>
      <c r="F152" s="7" t="n">
        <v>0.65</v>
      </c>
    </row>
    <row r="153">
      <c r="D153" t="inlineStr">
        <is>
          <t>KCR conversion rate for 2018-price local costs</t>
        </is>
      </c>
      <c r="E153" t="inlineStr">
        <is>
          <t>KCR/USD</t>
        </is>
      </c>
      <c r="F153" s="7" t="n">
        <v>516.8</v>
      </c>
    </row>
    <row r="154">
      <c r="D154" t="inlineStr">
        <is>
          <t>O&amp;M availability incentive (max)</t>
        </is>
      </c>
      <c r="E154" t="inlineStr">
        <is>
          <t>USD m pa</t>
        </is>
      </c>
      <c r="F154" s="7" t="n">
        <v>0.6</v>
      </c>
    </row>
    <row r="155">
      <c r="D155" t="inlineStr">
        <is>
          <t>LTSA fixed fee</t>
        </is>
      </c>
      <c r="E155" t="inlineStr">
        <is>
          <t>USD m pa</t>
        </is>
      </c>
      <c r="F155" s="7" t="n">
        <v>2.64</v>
      </c>
    </row>
    <row r="156">
      <c r="D156" t="inlineStr">
        <is>
          <t>LTSA variable fee</t>
        </is>
      </c>
      <c r="E156" t="inlineStr">
        <is>
          <t>USD/EOH/GT</t>
        </is>
      </c>
      <c r="F156" s="7" t="n">
        <v>486</v>
      </c>
    </row>
    <row r="157">
      <c r="D157" t="inlineStr">
        <is>
          <t>Operational insurance</t>
        </is>
      </c>
      <c r="E157" t="inlineStr">
        <is>
          <t>USD m pa</t>
        </is>
      </c>
      <c r="F157" s="7" t="n">
        <v>4.37</v>
      </c>
    </row>
    <row r="158">
      <c r="D158" t="inlineStr">
        <is>
          <t>Insurance market step-up (actual, from 2022H2)</t>
        </is>
      </c>
      <c r="E158" t="inlineStr">
        <is>
          <t>fraction</t>
        </is>
      </c>
      <c r="F158" s="7" t="n">
        <v>0.18</v>
      </c>
    </row>
    <row r="159">
      <c r="D159" t="inlineStr">
        <is>
          <t>Project company G&amp;A</t>
        </is>
      </c>
      <c r="E159" t="inlineStr">
        <is>
          <t>USD m pa</t>
        </is>
      </c>
      <c r="F159" s="7" t="n">
        <v>3.18</v>
      </c>
    </row>
    <row r="160">
      <c r="D160" t="inlineStr">
        <is>
          <t>Land lease and permits</t>
        </is>
      </c>
      <c r="E160" t="inlineStr">
        <is>
          <t>KCR m pa</t>
        </is>
      </c>
      <c r="F160" s="7" t="n">
        <v>368</v>
      </c>
    </row>
    <row r="161">
      <c r="D161" t="inlineStr">
        <is>
          <t>Community fund + OREK levy</t>
        </is>
      </c>
      <c r="E161" t="inlineStr">
        <is>
          <t>% of non-fuel revenue</t>
        </is>
      </c>
      <c r="F161" s="7" t="n">
        <v>0.55</v>
      </c>
    </row>
    <row r="162">
      <c r="D162" t="inlineStr">
        <is>
          <t>Variable consumables</t>
        </is>
      </c>
      <c r="E162" t="inlineStr">
        <is>
          <t>USD/MWh</t>
        </is>
      </c>
      <c r="F162" s="7" t="n">
        <v>1.08</v>
      </c>
    </row>
    <row r="163">
      <c r="D163" t="inlineStr">
        <is>
          <t>ABDB PRG fee (0.75% x USD 41.5m)</t>
        </is>
      </c>
      <c r="E163" t="inlineStr">
        <is>
          <t>USD m pa</t>
        </is>
      </c>
      <c r="F163" s="7" t="n">
        <v>0.31125</v>
      </c>
    </row>
    <row r="164">
      <c r="D164" t="inlineStr">
        <is>
          <t>Major maintenance outside LTSA (OY8, 16, 24)</t>
        </is>
      </c>
      <c r="E164" t="inlineStr">
        <is>
          <t>USD m</t>
        </is>
      </c>
      <c r="F164" s="7" t="n">
        <v>9.470000000000001</v>
      </c>
    </row>
    <row r="165">
      <c r="D165" t="inlineStr">
        <is>
          <t>HRSG/BOP works outside LTSA (OY4, 12, 20)</t>
        </is>
      </c>
      <c r="E165" t="inlineStr">
        <is>
          <t>USD m</t>
        </is>
      </c>
      <c r="F165" s="7" t="n">
        <v>2.18</v>
      </c>
    </row>
    <row r="166">
      <c r="D166" t="inlineStr">
        <is>
          <t>Handback reserve from OY20</t>
        </is>
      </c>
      <c r="E166" t="inlineStr">
        <is>
          <t>USD m pa</t>
        </is>
      </c>
      <c r="F166" s="7" t="n">
        <v>1.85</v>
      </c>
    </row>
    <row r="167">
      <c r="B167" s="2" t="inlineStr">
        <is>
          <t>Working capital</t>
        </is>
      </c>
    </row>
    <row r="168">
      <c r="D168" t="inlineStr">
        <is>
          <t>Receivable days</t>
        </is>
      </c>
      <c r="E168" t="inlineStr">
        <is>
          <t>days</t>
        </is>
      </c>
      <c r="F168" s="7" t="n">
        <v>45</v>
      </c>
    </row>
    <row r="169">
      <c r="D169" t="inlineStr">
        <is>
          <t>Gas payable days</t>
        </is>
      </c>
      <c r="E169" t="inlineStr">
        <is>
          <t>days</t>
        </is>
      </c>
      <c r="F169" s="7" t="n">
        <v>45</v>
      </c>
    </row>
    <row r="170">
      <c r="D170" t="inlineStr">
        <is>
          <t>GTA payable days</t>
        </is>
      </c>
      <c r="E170" t="inlineStr">
        <is>
          <t>days</t>
        </is>
      </c>
      <c r="F170" s="7" t="n">
        <v>30</v>
      </c>
    </row>
    <row r="171">
      <c r="D171" t="inlineStr">
        <is>
          <t>O&amp;M/LTSA payable days</t>
        </is>
      </c>
      <c r="E171" t="inlineStr">
        <is>
          <t>days</t>
        </is>
      </c>
      <c r="F171" s="7" t="n">
        <v>30</v>
      </c>
    </row>
    <row r="172">
      <c r="D172" t="inlineStr">
        <is>
          <t>Other payable days</t>
        </is>
      </c>
      <c r="E172" t="inlineStr">
        <is>
          <t>days</t>
        </is>
      </c>
      <c r="F172" s="7" t="n">
        <v>30</v>
      </c>
    </row>
    <row r="173">
      <c r="B173" s="2" t="inlineStr">
        <is>
          <t>Tax</t>
        </is>
      </c>
    </row>
    <row r="174">
      <c r="D174" t="inlineStr">
        <is>
          <t>Corporate income tax</t>
        </is>
      </c>
      <c r="E174" t="inlineStr">
        <is>
          <t>%</t>
        </is>
      </c>
      <c r="F174" s="7" t="n">
        <v>30</v>
      </c>
    </row>
    <row r="175">
      <c r="D175" t="inlineStr">
        <is>
          <t>Reduced rate OY6-OY8</t>
        </is>
      </c>
      <c r="E175" t="inlineStr">
        <is>
          <t>%</t>
        </is>
      </c>
      <c r="F175" s="7" t="n">
        <v>15</v>
      </c>
    </row>
    <row r="176">
      <c r="D176" t="inlineStr">
        <is>
          <t>Minimum turnover tax (non-fuel revenue, from OY6)</t>
        </is>
      </c>
      <c r="E176" t="inlineStr">
        <is>
          <t>%</t>
        </is>
      </c>
      <c r="F176" s="7" t="n">
        <v>0.5</v>
      </c>
    </row>
    <row r="177">
      <c r="D177" t="inlineStr">
        <is>
          <t>Plant share of capitalized cost</t>
        </is>
      </c>
      <c r="E177" t="inlineStr">
        <is>
          <t>fraction</t>
        </is>
      </c>
      <c r="F177" s="7" t="n">
        <v>0.92</v>
      </c>
    </row>
    <row r="178">
      <c r="D178" t="inlineStr">
        <is>
          <t>Plant life</t>
        </is>
      </c>
      <c r="E178" t="inlineStr">
        <is>
          <t>months</t>
        </is>
      </c>
      <c r="F178" s="7" t="n">
        <v>240</v>
      </c>
    </row>
    <row r="179">
      <c r="D179" t="inlineStr">
        <is>
          <t>Buildings share</t>
        </is>
      </c>
      <c r="E179" t="inlineStr">
        <is>
          <t>fraction</t>
        </is>
      </c>
      <c r="F179" s="7" t="n">
        <v>0.05</v>
      </c>
    </row>
    <row r="180">
      <c r="D180" t="inlineStr">
        <is>
          <t>Buildings life</t>
        </is>
      </c>
      <c r="E180" t="inlineStr">
        <is>
          <t>months</t>
        </is>
      </c>
      <c r="F180" s="7" t="n">
        <v>300</v>
      </c>
    </row>
    <row r="181">
      <c r="D181" t="inlineStr">
        <is>
          <t>Intangibles share</t>
        </is>
      </c>
      <c r="E181" t="inlineStr">
        <is>
          <t>fraction</t>
        </is>
      </c>
      <c r="F181" s="7" t="n">
        <v>0.03</v>
      </c>
    </row>
    <row r="182">
      <c r="D182" t="inlineStr">
        <is>
          <t>Intangibles life</t>
        </is>
      </c>
      <c r="E182" t="inlineStr">
        <is>
          <t>months</t>
        </is>
      </c>
      <c r="F182" s="7" t="n">
        <v>60</v>
      </c>
    </row>
    <row r="183">
      <c r="D183" t="inlineStr">
        <is>
          <t>Thin capitalization ratio (SHL to equity)</t>
        </is>
      </c>
      <c r="E183" t="inlineStr">
        <is>
          <t>x</t>
        </is>
      </c>
      <c r="F183" s="7" t="n">
        <v>3</v>
      </c>
    </row>
    <row r="185">
      <c r="B185" s="2" t="inlineStr">
        <is>
          <t>Timing and event dates (all dates are inputs; flags on the Time sheet read them)</t>
        </is>
      </c>
    </row>
    <row r="186">
      <c r="D186" t="inlineStr">
        <is>
          <t>LNTP payment date</t>
        </is>
      </c>
      <c r="E186" t="inlineStr">
        <is>
          <t>date</t>
        </is>
      </c>
      <c r="F186" s="8" t="n">
        <v>43136</v>
      </c>
    </row>
    <row r="187">
      <c r="D187" t="inlineStr">
        <is>
          <t>Financial close</t>
        </is>
      </c>
      <c r="E187" t="inlineStr">
        <is>
          <t>date</t>
        </is>
      </c>
      <c r="F187" s="8" t="n">
        <v>43298</v>
      </c>
    </row>
    <row r="188">
      <c r="D188" t="inlineStr">
        <is>
          <t>Notice to proceed (Month 1 start)</t>
        </is>
      </c>
      <c r="E188" t="inlineStr">
        <is>
          <t>date</t>
        </is>
      </c>
      <c r="F188" s="8" t="n">
        <v>43313</v>
      </c>
    </row>
    <row r="189">
      <c r="D189" t="inlineStr">
        <is>
          <t>First semiannual period start</t>
        </is>
      </c>
      <c r="E189" t="inlineStr">
        <is>
          <t>date</t>
        </is>
      </c>
      <c r="F189" s="8" t="n">
        <v>43282</v>
      </c>
    </row>
    <row r="190">
      <c r="D190" t="inlineStr">
        <is>
          <t>COD, FC base</t>
        </is>
      </c>
      <c r="E190" t="inlineStr">
        <is>
          <t>date</t>
        </is>
      </c>
      <c r="F190" s="8" t="n">
        <v>44317</v>
      </c>
    </row>
    <row r="191">
      <c r="D191" t="inlineStr">
        <is>
          <t>COD, actual</t>
        </is>
      </c>
      <c r="E191" t="inlineStr">
        <is>
          <t>date</t>
        </is>
      </c>
      <c r="F191" s="8" t="n">
        <v>44531</v>
      </c>
    </row>
    <row r="192">
      <c r="D192" t="inlineStr">
        <is>
          <t>Final maturity, bank debt</t>
        </is>
      </c>
      <c r="E192" t="inlineStr">
        <is>
          <t>date</t>
        </is>
      </c>
      <c r="F192" s="8" t="n">
        <v>49125</v>
      </c>
    </row>
    <row r="193">
      <c r="D193" t="inlineStr">
        <is>
          <t>Start of devaluation, payment-delay and base-rate sensitivities</t>
        </is>
      </c>
      <c r="E193" t="inlineStr">
        <is>
          <t>date</t>
        </is>
      </c>
      <c r="F193" s="8" t="n">
        <v>44562</v>
      </c>
    </row>
    <row r="194">
      <c r="D194" t="inlineStr">
        <is>
          <t>COD re-forecast: first projected period</t>
        </is>
      </c>
      <c r="E194" t="inlineStr">
        <is>
          <t>date</t>
        </is>
      </c>
      <c r="F194" s="8" t="n">
        <v>44562</v>
      </c>
    </row>
    <row r="195">
      <c r="D195" t="inlineStr">
        <is>
          <t>Insurance step-up from</t>
        </is>
      </c>
      <c r="E195" t="inlineStr">
        <is>
          <t>date</t>
        </is>
      </c>
      <c r="F195" s="8" t="n">
        <v>44743</v>
      </c>
    </row>
    <row r="196">
      <c r="D196" t="inlineStr">
        <is>
          <t>Loans switch to Term SOFR + CAS</t>
        </is>
      </c>
      <c r="E196" t="inlineStr">
        <is>
          <t>date</t>
        </is>
      </c>
      <c r="F196" s="8" t="n">
        <v>44927</v>
      </c>
    </row>
    <row r="197">
      <c r="D197" t="inlineStr">
        <is>
          <t>Arrears settlement agreement</t>
        </is>
      </c>
      <c r="E197" t="inlineStr">
        <is>
          <t>date</t>
        </is>
      </c>
      <c r="F197" s="8" t="n">
        <v>45372</v>
      </c>
    </row>
    <row r="198">
      <c r="D198" t="inlineStr">
        <is>
          <t>Performance LD prepayment date</t>
        </is>
      </c>
      <c r="E198" t="inlineStr">
        <is>
          <t>date</t>
        </is>
      </c>
      <c r="F198" s="8" t="n">
        <v>44742</v>
      </c>
    </row>
    <row r="199">
      <c r="D199" t="inlineStr">
        <is>
          <t>First waived test date</t>
        </is>
      </c>
      <c r="E199" t="inlineStr">
        <is>
          <t>date</t>
        </is>
      </c>
      <c r="F199" s="8" t="n">
        <v>45107</v>
      </c>
    </row>
    <row r="200">
      <c r="D200" t="inlineStr">
        <is>
          <t>Second waived test date (principal deferral)</t>
        </is>
      </c>
      <c r="E200" t="inlineStr">
        <is>
          <t>date</t>
        </is>
      </c>
      <c r="F200" s="8" t="n">
        <v>45291</v>
      </c>
    </row>
    <row r="201">
      <c r="D201" t="inlineStr">
        <is>
          <t>Margin uplift from</t>
        </is>
      </c>
      <c r="E201" t="inlineStr">
        <is>
          <t>date</t>
        </is>
      </c>
      <c r="F201" s="8" t="n">
        <v>45108</v>
      </c>
    </row>
    <row r="202">
      <c r="D202" t="inlineStr">
        <is>
          <t>Margin uplift to</t>
        </is>
      </c>
      <c r="E202" t="inlineStr">
        <is>
          <t>date</t>
        </is>
      </c>
      <c r="F202" s="8" t="n">
        <v>45657</v>
      </c>
    </row>
    <row r="203">
      <c r="D203" t="inlineStr">
        <is>
          <t>First deferred repayment</t>
        </is>
      </c>
      <c r="E203" t="inlineStr">
        <is>
          <t>date</t>
        </is>
      </c>
      <c r="F203" s="8" t="n">
        <v>45473</v>
      </c>
    </row>
    <row r="204">
      <c r="D204" t="inlineStr">
        <is>
          <t>Last deferred repayment</t>
        </is>
      </c>
      <c r="E204" t="inlineStr">
        <is>
          <t>date</t>
        </is>
      </c>
      <c r="F204" s="8" t="n">
        <v>46022</v>
      </c>
    </row>
    <row r="205">
      <c r="D205" t="inlineStr">
        <is>
          <t>Refinancing settlement</t>
        </is>
      </c>
      <c r="E205" t="inlineStr">
        <is>
          <t>date</t>
        </is>
      </c>
      <c r="F205" s="8" t="n">
        <v>45838</v>
      </c>
    </row>
    <row r="206">
      <c r="D206" t="inlineStr">
        <is>
          <t>Soft mini-perm sweep from</t>
        </is>
      </c>
      <c r="E206" t="inlineStr">
        <is>
          <t>date</t>
        </is>
      </c>
      <c r="F206" s="8" t="n">
        <v>46388</v>
      </c>
    </row>
    <row r="207">
      <c r="D207" t="inlineStr">
        <is>
          <t>Commercial margin step 1 from</t>
        </is>
      </c>
      <c r="E207" t="inlineStr">
        <is>
          <t>date</t>
        </is>
      </c>
      <c r="F207" s="8" t="n">
        <v>46023</v>
      </c>
    </row>
    <row r="208">
      <c r="D208" t="inlineStr">
        <is>
          <t>Commercial margin step 2 from</t>
        </is>
      </c>
      <c r="E208" t="inlineStr">
        <is>
          <t>date</t>
        </is>
      </c>
      <c r="F208" s="8" t="n">
        <v>47484</v>
      </c>
    </row>
    <row r="209">
      <c r="B209" s="2" t="inlineStr">
        <is>
          <t>Structural constants (FAST: no numbers inside calculation formulas)</t>
        </is>
      </c>
    </row>
    <row r="210">
      <c r="D210" t="inlineStr">
        <is>
          <t>PPA term</t>
        </is>
      </c>
      <c r="E210" t="inlineStr">
        <is>
          <t>years</t>
        </is>
      </c>
      <c r="F210" s="7" t="n">
        <v>25</v>
      </c>
    </row>
    <row r="211">
      <c r="D211" t="inlineStr">
        <is>
          <t>Length of the shock sensitivities</t>
        </is>
      </c>
      <c r="E211" t="inlineStr">
        <is>
          <t>months</t>
        </is>
      </c>
      <c r="F211" s="7" t="n">
        <v>12</v>
      </c>
    </row>
    <row r="212">
      <c r="D212" t="inlineStr">
        <is>
          <t>Mid-period offset for FC FX drift</t>
        </is>
      </c>
      <c r="E212" t="inlineStr">
        <is>
          <t>periods</t>
        </is>
      </c>
      <c r="F212" s="7" t="n">
        <v>0.5</v>
      </c>
    </row>
    <row r="213">
      <c r="D213" t="inlineStr">
        <is>
          <t>FC Kessara CPI expectation</t>
        </is>
      </c>
      <c r="E213" t="inlineStr">
        <is>
          <t>%</t>
        </is>
      </c>
      <c r="F213" s="7" t="n">
        <v>7.5</v>
      </c>
    </row>
    <row r="214">
      <c r="D214" t="inlineStr">
        <is>
          <t>FC US CPI expectation</t>
        </is>
      </c>
      <c r="E214" t="inlineStr">
        <is>
          <t>%</t>
        </is>
      </c>
      <c r="F214" s="7" t="n">
        <v>2.2</v>
      </c>
    </row>
    <row r="215">
      <c r="D215" t="inlineStr">
        <is>
          <t>Hours per month (8,760 / 12)</t>
        </is>
      </c>
      <c r="E215" t="inlineStr">
        <is>
          <t>h</t>
        </is>
      </c>
      <c r="F215" s="7" t="n">
        <v>730</v>
      </c>
    </row>
    <row r="216">
      <c r="D216" t="inlineStr">
        <is>
          <t>O&amp;M incentive zero point</t>
        </is>
      </c>
      <c r="E216" t="inlineStr">
        <is>
          <t>%</t>
        </is>
      </c>
      <c r="F216" s="7" t="n">
        <v>92</v>
      </c>
    </row>
    <row r="217">
      <c r="D217" t="inlineStr">
        <is>
          <t>O&amp;M incentive band (points to full incentive)</t>
        </is>
      </c>
      <c r="E217" t="inlineStr">
        <is>
          <t>points</t>
        </is>
      </c>
      <c r="F217" s="7" t="n">
        <v>3</v>
      </c>
    </row>
    <row r="218">
      <c r="D218" t="inlineStr">
        <is>
          <t>G&amp;A US CPI share</t>
        </is>
      </c>
      <c r="E218" t="inlineStr">
        <is>
          <t>fraction</t>
        </is>
      </c>
      <c r="F218" s="7" t="n">
        <v>0.5</v>
      </c>
    </row>
    <row r="219">
      <c r="D219" t="inlineStr">
        <is>
          <t>Consumables US CPI share</t>
        </is>
      </c>
      <c r="E219" t="inlineStr">
        <is>
          <t>fraction</t>
        </is>
      </c>
      <c r="F219" s="7" t="n">
        <v>0.7</v>
      </c>
    </row>
    <row r="220">
      <c r="D220" t="inlineStr">
        <is>
          <t>Availability profile cycle</t>
        </is>
      </c>
      <c r="E220" t="inlineStr">
        <is>
          <t>years</t>
        </is>
      </c>
      <c r="F220" s="7" t="n">
        <v>8</v>
      </c>
    </row>
    <row r="221">
      <c r="D221" t="inlineStr">
        <is>
          <t>Month of the operating year when out-of-LTSA maintenance is spent</t>
        </is>
      </c>
      <c r="E221" t="inlineStr">
        <is>
          <t>month</t>
        </is>
      </c>
      <c r="F221" s="7" t="n">
        <v>7</v>
      </c>
    </row>
    <row r="222">
      <c r="D222" t="inlineStr">
        <is>
          <t>Last operating year with out-of-LTSA maintenance</t>
        </is>
      </c>
      <c r="E222" t="inlineStr">
        <is>
          <t>OY</t>
        </is>
      </c>
      <c r="F222" s="7" t="n">
        <v>24</v>
      </c>
    </row>
    <row r="223">
      <c r="D223" t="inlineStr">
        <is>
          <t>Major overhaul cycle</t>
        </is>
      </c>
      <c r="E223" t="inlineStr">
        <is>
          <t>years</t>
        </is>
      </c>
      <c r="F223" s="7" t="n">
        <v>8</v>
      </c>
    </row>
    <row r="224">
      <c r="D224" t="inlineStr">
        <is>
          <t>HRSG/BOP works cycle</t>
        </is>
      </c>
      <c r="E224" t="inlineStr">
        <is>
          <t>years</t>
        </is>
      </c>
      <c r="F224" s="7" t="n">
        <v>4</v>
      </c>
    </row>
    <row r="225">
      <c r="D225" t="inlineStr">
        <is>
          <t>MMRA accumulation periods (window fixed at six columns)</t>
        </is>
      </c>
      <c r="E225" t="inlineStr">
        <is>
          <t>periods</t>
        </is>
      </c>
      <c r="F225" s="7" t="n">
        <v>6</v>
      </c>
    </row>
    <row r="226">
      <c r="D226" t="inlineStr">
        <is>
          <t>Months per operating period</t>
        </is>
      </c>
      <c r="E226" t="inlineStr">
        <is>
          <t>months</t>
        </is>
      </c>
      <c r="F226" s="7" t="n">
        <v>6</v>
      </c>
    </row>
    <row r="227">
      <c r="D227" t="inlineStr">
        <is>
          <t>Handback reserve from operating year</t>
        </is>
      </c>
      <c r="E227" t="inlineStr">
        <is>
          <t>OY</t>
        </is>
      </c>
      <c r="F227" s="7" t="n">
        <v>20</v>
      </c>
    </row>
    <row r="228">
      <c r="D228" t="inlineStr">
        <is>
          <t>Full tax exemption</t>
        </is>
      </c>
      <c r="E228" t="inlineStr">
        <is>
          <t>years</t>
        </is>
      </c>
      <c r="F228" s="7" t="n">
        <v>5</v>
      </c>
    </row>
    <row r="229">
      <c r="D229" t="inlineStr">
        <is>
          <t>Reduced rate to end of operating year</t>
        </is>
      </c>
      <c r="E229" t="inlineStr">
        <is>
          <t>OY</t>
        </is>
      </c>
      <c r="F229" s="7" t="n">
        <v>8</v>
      </c>
    </row>
    <row r="230">
      <c r="D230" t="inlineStr">
        <is>
          <t>Index base year (index = 100 at November)</t>
        </is>
      </c>
      <c r="E230" t="inlineStr">
        <is>
          <t>year</t>
        </is>
      </c>
      <c r="F230" s="7" t="n">
        <v>2016</v>
      </c>
    </row>
    <row r="231">
      <c r="D231" t="inlineStr">
        <is>
          <t>Index base month</t>
        </is>
      </c>
      <c r="E231" t="inlineStr">
        <is>
          <t>month</t>
        </is>
      </c>
      <c r="F231" s="7" t="n">
        <v>11</v>
      </c>
    </row>
    <row r="232">
      <c r="D232" t="inlineStr">
        <is>
          <t>Index base value</t>
        </is>
      </c>
      <c r="E232" t="inlineStr">
        <is>
          <t>index</t>
        </is>
      </c>
      <c r="F232" s="7" t="n">
        <v>100</v>
      </c>
    </row>
    <row r="233">
      <c r="D233" t="inlineStr">
        <is>
          <t>First cost reading month (September 2018)</t>
        </is>
      </c>
      <c r="E233" t="inlineStr">
        <is>
          <t>month</t>
        </is>
      </c>
      <c r="F233" s="7" t="n">
        <v>9</v>
      </c>
    </row>
    <row r="234">
      <c r="D234" t="inlineStr">
        <is>
          <t>First tariff reading month (March 2018)</t>
        </is>
      </c>
      <c r="E234" t="inlineStr">
        <is>
          <t>month</t>
        </is>
      </c>
      <c r="F234" s="7" t="n">
        <v>3</v>
      </c>
    </row>
    <row r="235">
      <c r="D235" t="inlineStr">
        <is>
          <t>2018 price base month (June 2018)</t>
        </is>
      </c>
      <c r="E235" t="inlineStr">
        <is>
          <t>month</t>
        </is>
      </c>
      <c r="F235" s="7" t="n">
        <v>6</v>
      </c>
    </row>
    <row r="236">
      <c r="D236" t="inlineStr">
        <is>
          <t>Reading months in the prior year for a January reset</t>
        </is>
      </c>
      <c r="E236" t="inlineStr">
        <is>
          <t>months</t>
        </is>
      </c>
      <c r="F236" s="7" t="n">
        <v>3</v>
      </c>
    </row>
    <row r="237">
      <c r="D237" t="inlineStr">
        <is>
          <t>FC EPC payment months</t>
        </is>
      </c>
      <c r="E237" t="inlineStr">
        <is>
          <t>months</t>
        </is>
      </c>
      <c r="F237" s="7" t="n">
        <v>33</v>
      </c>
    </row>
    <row r="238">
      <c r="D238" t="inlineStr">
        <is>
          <t>Taking-over payment</t>
        </is>
      </c>
      <c r="E238" t="inlineStr">
        <is>
          <t>% of EPC price</t>
        </is>
      </c>
      <c r="F238" s="7" t="n">
        <v>7.5</v>
      </c>
    </row>
    <row r="239">
      <c r="D239" t="inlineStr">
        <is>
          <t>Owner's cost rate per extra month (FC delay sensitivity)</t>
        </is>
      </c>
      <c r="E239" t="inlineStr">
        <is>
          <t>%</t>
        </is>
      </c>
      <c r="F239" s="7" t="n">
        <v>2.75</v>
      </c>
    </row>
    <row r="240">
      <c r="D240" t="inlineStr">
        <is>
          <t>Actual extension window: first month</t>
        </is>
      </c>
      <c r="E240" t="inlineStr">
        <is>
          <t>month</t>
        </is>
      </c>
      <c r="F240" s="7" t="n">
        <v>34</v>
      </c>
    </row>
    <row r="241">
      <c r="D241" t="inlineStr">
        <is>
          <t>Actual extension window: last month</t>
        </is>
      </c>
      <c r="E241" t="inlineStr">
        <is>
          <t>month</t>
        </is>
      </c>
      <c r="F241" s="7" t="n">
        <v>40</v>
      </c>
    </row>
    <row r="242">
      <c r="D242" t="inlineStr">
        <is>
          <t>Second insurance installment month</t>
        </is>
      </c>
      <c r="E242" t="inlineStr">
        <is>
          <t>month</t>
        </is>
      </c>
      <c r="F242" s="7" t="n">
        <v>18</v>
      </c>
    </row>
    <row r="243">
      <c r="D243" t="inlineStr">
        <is>
          <t>Insurance paid at FC</t>
        </is>
      </c>
      <c r="E243" t="inlineStr">
        <is>
          <t>fraction</t>
        </is>
      </c>
      <c r="F243" s="7" t="n">
        <v>0.85</v>
      </c>
    </row>
    <row r="244">
      <c r="D244" t="inlineStr">
        <is>
          <t>Lenders' advisors paid at FC</t>
        </is>
      </c>
      <c r="E244" t="inlineStr">
        <is>
          <t>fraction</t>
        </is>
      </c>
      <c r="F244" s="7" t="n">
        <v>0.7</v>
      </c>
    </row>
    <row r="245">
      <c r="D245" t="inlineStr">
        <is>
          <t>Month delay LDs and DSU are received</t>
        </is>
      </c>
      <c r="E245" t="inlineStr">
        <is>
          <t>month</t>
        </is>
      </c>
      <c r="F245" s="7" t="n">
        <v>40</v>
      </c>
    </row>
    <row r="246">
      <c r="D246" t="inlineStr">
        <is>
          <t>VAT refund lag</t>
        </is>
      </c>
      <c r="E246" t="inlineStr">
        <is>
          <t>months</t>
        </is>
      </c>
      <c r="F246" s="7" t="n">
        <v>9</v>
      </c>
    </row>
    <row r="247">
      <c r="D247" t="inlineStr">
        <is>
          <t>Day basis, USD loans</t>
        </is>
      </c>
      <c r="E247" t="inlineStr">
        <is>
          <t>days</t>
        </is>
      </c>
      <c r="F247" s="7" t="n">
        <v>360</v>
      </c>
    </row>
    <row r="248">
      <c r="D248" t="inlineStr">
        <is>
          <t>Day basis, KCR items, SHL, premiums</t>
        </is>
      </c>
      <c r="E248" t="inlineStr">
        <is>
          <t>days</t>
        </is>
      </c>
      <c r="F248" s="7" t="n">
        <v>365</v>
      </c>
    </row>
    <row r="249">
      <c r="D249" t="inlineStr">
        <is>
          <t>Standby share of overrun funding (rest contingent equity)</t>
        </is>
      </c>
      <c r="E249" t="inlineStr">
        <is>
          <t>fraction</t>
        </is>
      </c>
      <c r="F249" s="7" t="n">
        <v>0.75</v>
      </c>
    </row>
    <row r="251">
      <c r="D251" t="inlineStr">
        <is>
          <t>ECA-covered tranche cap</t>
        </is>
      </c>
      <c r="E251" t="inlineStr">
        <is>
          <t>USD m</t>
        </is>
      </c>
      <c r="F251" s="7" t="n">
        <v>224.1</v>
      </c>
    </row>
    <row r="253">
      <c r="D253" t="inlineStr">
        <is>
          <t>Numerical zero (balances and debt service)</t>
        </is>
      </c>
      <c r="E253" t="inlineStr">
        <is>
          <t>USD m</t>
        </is>
      </c>
      <c r="F253" s="7" t="n">
        <v>1e-09</v>
      </c>
    </row>
    <row r="254">
      <c r="D254" t="inlineStr">
        <is>
          <t>Reserve tolerance</t>
        </is>
      </c>
      <c r="E254" t="inlineStr">
        <is>
          <t>USD m</t>
        </is>
      </c>
      <c r="F254" s="7" t="n">
        <v>1e-06</v>
      </c>
    </row>
    <row r="256">
      <c r="D256" t="inlineStr">
        <is>
          <t>Price base year for GSA and GTA escalation</t>
        </is>
      </c>
      <c r="E256" t="inlineStr">
        <is>
          <t>year</t>
        </is>
      </c>
      <c r="F256" s="7" t="n">
        <v>2018</v>
      </c>
    </row>
    <row r="258">
      <c r="D258" t="inlineStr">
        <is>
          <t>Number of gas turbines</t>
        </is>
      </c>
      <c r="E258" t="inlineStr">
        <is>
          <t>count</t>
        </is>
      </c>
      <c r="F258" s="7" t="n">
        <v>2</v>
      </c>
    </row>
    <row r="259">
      <c r="D259" t="inlineStr">
        <is>
          <t>Share of onshore KCR EPC payments hedged forward</t>
        </is>
      </c>
      <c r="E259" t="inlineStr">
        <is>
          <t>fraction</t>
        </is>
      </c>
      <c r="F259" s="7" t="n">
        <v>0.75</v>
      </c>
    </row>
    <row r="261">
      <c r="B261" s="2" t="inlineStr">
        <is>
          <t>Events (actual history)</t>
        </is>
      </c>
    </row>
    <row r="262">
      <c r="D262" t="inlineStr">
        <is>
          <t>Share of SEKA arrears matched by deferred SNHK/GCK payables (calibration)</t>
        </is>
      </c>
      <c r="E262" t="inlineStr">
        <is>
          <t>fraction</t>
        </is>
      </c>
      <c r="F262" s="7" t="n">
        <v>0.8</v>
      </c>
    </row>
    <row r="263">
      <c r="D263" t="inlineStr">
        <is>
          <t>Late payment interest spread</t>
        </is>
      </c>
      <c r="E263" t="inlineStr">
        <is>
          <t>%</t>
        </is>
      </c>
      <c r="F263" s="7" t="n">
        <v>2</v>
      </c>
    </row>
    <row r="264">
      <c r="D264" t="inlineStr">
        <is>
          <t>Late payment interest received (1 - waived)</t>
        </is>
      </c>
      <c r="E264" t="inlineStr">
        <is>
          <t>fraction</t>
        </is>
      </c>
      <c r="F264" s="7" t="n">
        <v>0.6</v>
      </c>
    </row>
    <row r="265">
      <c r="D265" t="inlineStr">
        <is>
          <t>EPC delay LDs received Nov 2021</t>
        </is>
      </c>
      <c r="E265" t="inlineStr">
        <is>
          <t>USD m</t>
        </is>
      </c>
      <c r="F265" s="7" t="n">
        <v>10.1393</v>
      </c>
    </row>
    <row r="266">
      <c r="D266" t="inlineStr">
        <is>
          <t>DSU insurance proceeds Nov 2021</t>
        </is>
      </c>
      <c r="E266" t="inlineStr">
        <is>
          <t>USD m</t>
        </is>
      </c>
      <c r="F266" s="7" t="n">
        <v>7.0804</v>
      </c>
    </row>
    <row r="267">
      <c r="D267" t="inlineStr">
        <is>
          <t>Performance LDs (prepay June 2022)</t>
        </is>
      </c>
      <c r="E267" t="inlineStr">
        <is>
          <t>USD m</t>
        </is>
      </c>
      <c r="F267" s="7" t="n">
        <v>18.485</v>
      </c>
    </row>
    <row r="268">
      <c r="D268" t="inlineStr">
        <is>
          <t>Waiver fee</t>
        </is>
      </c>
      <c r="E268" t="inlineStr">
        <is>
          <t>% of senior debt</t>
        </is>
      </c>
      <c r="F268" s="7" t="n">
        <v>0.25</v>
      </c>
    </row>
    <row r="269">
      <c r="D269" t="inlineStr">
        <is>
          <t>Margin uplift 2023H2-2024H2</t>
        </is>
      </c>
      <c r="E269" t="inlineStr">
        <is>
          <t>%</t>
        </is>
      </c>
      <c r="F269" s="7" t="n">
        <v>0.5</v>
      </c>
    </row>
    <row r="270">
      <c r="D270" t="inlineStr">
        <is>
          <t>Deferred share of 2023-12-31 principal</t>
        </is>
      </c>
      <c r="E270" t="inlineStr">
        <is>
          <t>fraction</t>
        </is>
      </c>
      <c r="F270" s="7" t="n">
        <v>0.6</v>
      </c>
    </row>
    <row r="271">
      <c r="D271" t="inlineStr">
        <is>
          <t>Bond coupon</t>
        </is>
      </c>
      <c r="E271" t="inlineStr">
        <is>
          <t>%</t>
        </is>
      </c>
      <c r="F271" s="7" t="n">
        <v>7.875</v>
      </c>
    </row>
    <row r="272">
      <c r="D272" t="inlineStr">
        <is>
          <t>Bond issue price</t>
        </is>
      </c>
      <c r="E272" t="inlineStr">
        <is>
          <t>fraction</t>
        </is>
      </c>
      <c r="F272" s="7" t="n">
        <v>0.99512</v>
      </c>
    </row>
    <row r="273">
      <c r="D273" t="inlineStr">
        <is>
          <t>Underwriting fee</t>
        </is>
      </c>
      <c r="E273" t="inlineStr">
        <is>
          <t>fraction</t>
        </is>
      </c>
      <c r="F273" s="7" t="n">
        <v>0.01</v>
      </c>
    </row>
    <row r="274">
      <c r="D274" t="inlineStr">
        <is>
          <t>Other transaction costs</t>
        </is>
      </c>
      <c r="E274" t="inlineStr">
        <is>
          <t>USD m</t>
        </is>
      </c>
      <c r="F274" s="7" t="n">
        <v>3.1</v>
      </c>
    </row>
    <row r="275">
      <c r="D275" t="inlineStr">
        <is>
          <t>ABDB partial credit guarantee</t>
        </is>
      </c>
      <c r="E275" t="inlineStr">
        <is>
          <t>USD m</t>
        </is>
      </c>
      <c r="F275" s="7" t="n">
        <v>95</v>
      </c>
    </row>
    <row r="276">
      <c r="D276" t="inlineStr">
        <is>
          <t>PCG fee</t>
        </is>
      </c>
      <c r="E276" t="inlineStr">
        <is>
          <t>% pa</t>
        </is>
      </c>
      <c r="F276" s="7" t="n">
        <v>1.1</v>
      </c>
    </row>
    <row r="277">
      <c r="D277" t="inlineStr">
        <is>
          <t>PCG upfront fee</t>
        </is>
      </c>
      <c r="E277" t="inlineStr">
        <is>
          <t>%</t>
        </is>
      </c>
      <c r="F277" s="7" t="n">
        <v>0.75</v>
      </c>
    </row>
    <row r="278">
      <c r="D278" t="inlineStr">
        <is>
          <t>Flat swap rate for unwind</t>
        </is>
      </c>
      <c r="E278" t="inlineStr">
        <is>
          <t>%</t>
        </is>
      </c>
      <c r="F278" s="7" t="n">
        <v>3.68</v>
      </c>
    </row>
    <row r="279">
      <c r="D279" t="inlineStr">
        <is>
          <t>Share of swap terminated</t>
        </is>
      </c>
      <c r="E279" t="inlineStr">
        <is>
          <t>fraction</t>
        </is>
      </c>
      <c r="F279" s="7" t="n">
        <v>0.48</v>
      </c>
    </row>
    <row r="280">
      <c r="D280" t="inlineStr">
        <is>
          <t>Share of swap remaining after refi</t>
        </is>
      </c>
      <c r="E280" t="inlineStr">
        <is>
          <t>fraction</t>
        </is>
      </c>
      <c r="F280" s="7" t="n">
        <v>0.52</v>
      </c>
    </row>
    <row r="281">
      <c r="B281" s="2" t="inlineStr">
        <is>
          <t>Annual tables (columns J = 2015 ... ): CPI annual average change (%), policy rate (%)</t>
        </is>
      </c>
    </row>
    <row r="282">
      <c r="D282" t="inlineStr">
        <is>
          <t>Calendar year</t>
        </is>
      </c>
      <c r="E282" t="inlineStr">
        <is>
          <t>year</t>
        </is>
      </c>
      <c r="J282" s="6" t="n">
        <v>2015</v>
      </c>
      <c r="K282" s="6" t="n">
        <v>2016</v>
      </c>
      <c r="L282" s="6" t="n">
        <v>2017</v>
      </c>
      <c r="M282" s="6" t="n">
        <v>2018</v>
      </c>
      <c r="N282" s="6" t="n">
        <v>2019</v>
      </c>
      <c r="O282" s="6" t="n">
        <v>2020</v>
      </c>
      <c r="P282" s="6" t="n">
        <v>2021</v>
      </c>
      <c r="Q282" s="6" t="n">
        <v>2022</v>
      </c>
      <c r="R282" s="6" t="n">
        <v>2023</v>
      </c>
      <c r="S282" s="6" t="n">
        <v>2024</v>
      </c>
      <c r="T282" s="6" t="n">
        <v>2025</v>
      </c>
      <c r="U282" s="6" t="n">
        <v>2026</v>
      </c>
      <c r="V282" s="6" t="n">
        <v>2027</v>
      </c>
      <c r="W282" s="6" t="n">
        <v>2028</v>
      </c>
      <c r="X282" s="6" t="n">
        <v>2029</v>
      </c>
      <c r="Y282" s="6" t="n">
        <v>2030</v>
      </c>
      <c r="Z282" s="6" t="n">
        <v>2031</v>
      </c>
      <c r="AA282" s="6" t="n">
        <v>2032</v>
      </c>
      <c r="AB282" s="6" t="n">
        <v>2033</v>
      </c>
      <c r="AC282" s="6" t="n">
        <v>2034</v>
      </c>
      <c r="AD282" s="6" t="n">
        <v>2035</v>
      </c>
      <c r="AE282" s="6" t="n">
        <v>2036</v>
      </c>
      <c r="AF282" s="6" t="n">
        <v>2037</v>
      </c>
      <c r="AG282" s="6" t="n">
        <v>2038</v>
      </c>
      <c r="AH282" s="6" t="n">
        <v>2039</v>
      </c>
      <c r="AI282" s="6" t="n">
        <v>2040</v>
      </c>
      <c r="AJ282" s="6" t="n">
        <v>2041</v>
      </c>
      <c r="AK282" s="6" t="n">
        <v>2042</v>
      </c>
      <c r="AL282" s="6" t="n">
        <v>2043</v>
      </c>
      <c r="AM282" s="6" t="n">
        <v>2044</v>
      </c>
      <c r="AN282" s="6" t="n">
        <v>2045</v>
      </c>
      <c r="AO282" s="6" t="n">
        <v>2046</v>
      </c>
      <c r="AP282" s="6" t="n">
        <v>2047</v>
      </c>
      <c r="AQ282" s="6" t="n">
        <v>2048</v>
      </c>
      <c r="AR282" s="6" t="n">
        <v>2049</v>
      </c>
    </row>
    <row r="283">
      <c r="D283" t="inlineStr">
        <is>
          <t>US CPI, FC expectation</t>
        </is>
      </c>
      <c r="E283" t="inlineStr">
        <is>
          <t>%</t>
        </is>
      </c>
      <c r="J283" s="6" t="n">
        <v>0.1</v>
      </c>
      <c r="K283" s="6" t="n">
        <v>1.3</v>
      </c>
      <c r="L283" s="6" t="n">
        <v>2.1</v>
      </c>
      <c r="M283" s="6" t="n">
        <v>2.2</v>
      </c>
      <c r="N283" s="6" t="n">
        <v>2.2</v>
      </c>
      <c r="O283" s="6" t="n">
        <v>2.2</v>
      </c>
      <c r="P283" s="6" t="n">
        <v>2.2</v>
      </c>
      <c r="Q283" s="6" t="n">
        <v>2.2</v>
      </c>
      <c r="R283" s="6" t="n">
        <v>2.2</v>
      </c>
      <c r="S283" s="6" t="n">
        <v>2.2</v>
      </c>
      <c r="T283" s="6" t="n">
        <v>2.2</v>
      </c>
      <c r="U283" s="6" t="n">
        <v>2.2</v>
      </c>
      <c r="V283" s="6" t="n">
        <v>2.2</v>
      </c>
      <c r="W283" s="6" t="n">
        <v>2.2</v>
      </c>
      <c r="X283" s="6" t="n">
        <v>2.2</v>
      </c>
      <c r="Y283" s="6" t="n">
        <v>2.2</v>
      </c>
      <c r="Z283" s="6" t="n">
        <v>2.2</v>
      </c>
      <c r="AA283" s="6" t="n">
        <v>2.2</v>
      </c>
      <c r="AB283" s="6" t="n">
        <v>2.2</v>
      </c>
      <c r="AC283" s="6" t="n">
        <v>2.2</v>
      </c>
      <c r="AD283" s="6" t="n">
        <v>2.2</v>
      </c>
      <c r="AE283" s="6" t="n">
        <v>2.2</v>
      </c>
      <c r="AF283" s="6" t="n">
        <v>2.2</v>
      </c>
      <c r="AG283" s="6" t="n">
        <v>2.2</v>
      </c>
      <c r="AH283" s="6" t="n">
        <v>2.2</v>
      </c>
      <c r="AI283" s="6" t="n">
        <v>2.2</v>
      </c>
      <c r="AJ283" s="6" t="n">
        <v>2.2</v>
      </c>
      <c r="AK283" s="6" t="n">
        <v>2.2</v>
      </c>
      <c r="AL283" s="6" t="n">
        <v>2.2</v>
      </c>
      <c r="AM283" s="6" t="n">
        <v>2.2</v>
      </c>
      <c r="AN283" s="6" t="n">
        <v>2.2</v>
      </c>
      <c r="AO283" s="6" t="n">
        <v>2.2</v>
      </c>
      <c r="AP283" s="6" t="n">
        <v>2.2</v>
      </c>
      <c r="AQ283" s="6" t="n">
        <v>2.2</v>
      </c>
      <c r="AR283" s="6" t="n">
        <v>2.2</v>
      </c>
    </row>
    <row r="284">
      <c r="D284" t="inlineStr">
        <is>
          <t>Kessara CPI, FC expectation</t>
        </is>
      </c>
      <c r="E284" t="inlineStr">
        <is>
          <t>%</t>
        </is>
      </c>
      <c r="J284" s="6" t="n">
        <v>8.699999999999999</v>
      </c>
      <c r="K284" s="6" t="n">
        <v>9.4</v>
      </c>
      <c r="L284" s="6" t="n">
        <v>8.1</v>
      </c>
      <c r="M284" s="6" t="n">
        <v>7.5</v>
      </c>
      <c r="N284" s="6" t="n">
        <v>7.5</v>
      </c>
      <c r="O284" s="6" t="n">
        <v>7.5</v>
      </c>
      <c r="P284" s="6" t="n">
        <v>7.5</v>
      </c>
      <c r="Q284" s="6" t="n">
        <v>7.5</v>
      </c>
      <c r="R284" s="6" t="n">
        <v>7.5</v>
      </c>
      <c r="S284" s="6" t="n">
        <v>7.5</v>
      </c>
      <c r="T284" s="6" t="n">
        <v>7.5</v>
      </c>
      <c r="U284" s="6" t="n">
        <v>7.5</v>
      </c>
      <c r="V284" s="6" t="n">
        <v>7.5</v>
      </c>
      <c r="W284" s="6" t="n">
        <v>7.5</v>
      </c>
      <c r="X284" s="6" t="n">
        <v>7.5</v>
      </c>
      <c r="Y284" s="6" t="n">
        <v>7.5</v>
      </c>
      <c r="Z284" s="6" t="n">
        <v>7.5</v>
      </c>
      <c r="AA284" s="6" t="n">
        <v>7.5</v>
      </c>
      <c r="AB284" s="6" t="n">
        <v>7.5</v>
      </c>
      <c r="AC284" s="6" t="n">
        <v>7.5</v>
      </c>
      <c r="AD284" s="6" t="n">
        <v>7.5</v>
      </c>
      <c r="AE284" s="6" t="n">
        <v>7.5</v>
      </c>
      <c r="AF284" s="6" t="n">
        <v>7.5</v>
      </c>
      <c r="AG284" s="6" t="n">
        <v>7.5</v>
      </c>
      <c r="AH284" s="6" t="n">
        <v>7.5</v>
      </c>
      <c r="AI284" s="6" t="n">
        <v>7.5</v>
      </c>
      <c r="AJ284" s="6" t="n">
        <v>7.5</v>
      </c>
      <c r="AK284" s="6" t="n">
        <v>7.5</v>
      </c>
      <c r="AL284" s="6" t="n">
        <v>7.5</v>
      </c>
      <c r="AM284" s="6" t="n">
        <v>7.5</v>
      </c>
      <c r="AN284" s="6" t="n">
        <v>7.5</v>
      </c>
      <c r="AO284" s="6" t="n">
        <v>7.5</v>
      </c>
      <c r="AP284" s="6" t="n">
        <v>7.5</v>
      </c>
      <c r="AQ284" s="6" t="n">
        <v>7.5</v>
      </c>
      <c r="AR284" s="6" t="n">
        <v>7.5</v>
      </c>
    </row>
    <row r="285">
      <c r="D285" t="inlineStr">
        <is>
          <t>US CPI, actual history + assumptions</t>
        </is>
      </c>
      <c r="E285" t="inlineStr">
        <is>
          <t>%</t>
        </is>
      </c>
      <c r="J285" s="6" t="n">
        <v>0.1</v>
      </c>
      <c r="K285" s="6" t="n">
        <v>1.3</v>
      </c>
      <c r="L285" s="6" t="n">
        <v>2.1</v>
      </c>
      <c r="M285" s="6" t="n">
        <v>2.4</v>
      </c>
      <c r="N285" s="6" t="n">
        <v>1.8</v>
      </c>
      <c r="O285" s="6" t="n">
        <v>1.2</v>
      </c>
      <c r="P285" s="6" t="n">
        <v>4.7</v>
      </c>
      <c r="Q285" s="6" t="n">
        <v>8</v>
      </c>
      <c r="R285" s="6" t="n">
        <v>4.1</v>
      </c>
      <c r="S285" s="6" t="n">
        <v>2.9</v>
      </c>
      <c r="T285" s="6" t="n">
        <v>2.7</v>
      </c>
      <c r="U285" s="6" t="n">
        <v>2.6</v>
      </c>
      <c r="V285" s="6" t="n">
        <v>2.3</v>
      </c>
      <c r="W285" s="6" t="n">
        <v>2.3</v>
      </c>
      <c r="X285" s="6" t="n">
        <v>2.3</v>
      </c>
      <c r="Y285" s="6" t="n">
        <v>2.3</v>
      </c>
      <c r="Z285" s="6" t="n">
        <v>2.3</v>
      </c>
      <c r="AA285" s="6" t="n">
        <v>2.3</v>
      </c>
      <c r="AB285" s="6" t="n">
        <v>2.3</v>
      </c>
      <c r="AC285" s="6" t="n">
        <v>2.3</v>
      </c>
      <c r="AD285" s="6" t="n">
        <v>2.3</v>
      </c>
      <c r="AE285" s="6" t="n">
        <v>2.3</v>
      </c>
      <c r="AF285" s="6" t="n">
        <v>2.3</v>
      </c>
      <c r="AG285" s="6" t="n">
        <v>2.3</v>
      </c>
      <c r="AH285" s="6" t="n">
        <v>2.3</v>
      </c>
      <c r="AI285" s="6" t="n">
        <v>2.3</v>
      </c>
      <c r="AJ285" s="6" t="n">
        <v>2.3</v>
      </c>
      <c r="AK285" s="6" t="n">
        <v>2.3</v>
      </c>
      <c r="AL285" s="6" t="n">
        <v>2.3</v>
      </c>
      <c r="AM285" s="6" t="n">
        <v>2.3</v>
      </c>
      <c r="AN285" s="6" t="n">
        <v>2.3</v>
      </c>
      <c r="AO285" s="6" t="n">
        <v>2.3</v>
      </c>
      <c r="AP285" s="6" t="n">
        <v>2.3</v>
      </c>
      <c r="AQ285" s="6" t="n">
        <v>2.3</v>
      </c>
      <c r="AR285" s="6" t="n">
        <v>2.3</v>
      </c>
    </row>
    <row r="286">
      <c r="D286" t="inlineStr">
        <is>
          <t>Kessara CPI, actual history + assumptions</t>
        </is>
      </c>
      <c r="E286" t="inlineStr">
        <is>
          <t>%</t>
        </is>
      </c>
      <c r="J286" s="6" t="n">
        <v>8.699999999999999</v>
      </c>
      <c r="K286" s="6" t="n">
        <v>9.4</v>
      </c>
      <c r="L286" s="6" t="n">
        <v>8.1</v>
      </c>
      <c r="M286" s="6" t="n">
        <v>7.6</v>
      </c>
      <c r="N286" s="6" t="n">
        <v>7.9</v>
      </c>
      <c r="O286" s="6" t="n">
        <v>9.800000000000001</v>
      </c>
      <c r="P286" s="6" t="n">
        <v>10.6</v>
      </c>
      <c r="Q286" s="6" t="n">
        <v>26.3</v>
      </c>
      <c r="R286" s="6" t="n">
        <v>34.8</v>
      </c>
      <c r="S286" s="6" t="n">
        <v>19.2</v>
      </c>
      <c r="T286" s="6" t="n">
        <v>12.4</v>
      </c>
      <c r="U286" s="6" t="n">
        <v>9.6</v>
      </c>
      <c r="V286" s="6" t="n">
        <v>8</v>
      </c>
      <c r="W286" s="6" t="n">
        <v>7</v>
      </c>
      <c r="X286" s="6" t="n">
        <v>7</v>
      </c>
      <c r="Y286" s="6" t="n">
        <v>7</v>
      </c>
      <c r="Z286" s="6" t="n">
        <v>7</v>
      </c>
      <c r="AA286" s="6" t="n">
        <v>7</v>
      </c>
      <c r="AB286" s="6" t="n">
        <v>7</v>
      </c>
      <c r="AC286" s="6" t="n">
        <v>7</v>
      </c>
      <c r="AD286" s="6" t="n">
        <v>7</v>
      </c>
      <c r="AE286" s="6" t="n">
        <v>7</v>
      </c>
      <c r="AF286" s="6" t="n">
        <v>7</v>
      </c>
      <c r="AG286" s="6" t="n">
        <v>7</v>
      </c>
      <c r="AH286" s="6" t="n">
        <v>7</v>
      </c>
      <c r="AI286" s="6" t="n">
        <v>7</v>
      </c>
      <c r="AJ286" s="6" t="n">
        <v>7</v>
      </c>
      <c r="AK286" s="6" t="n">
        <v>7</v>
      </c>
      <c r="AL286" s="6" t="n">
        <v>7</v>
      </c>
      <c r="AM286" s="6" t="n">
        <v>7</v>
      </c>
      <c r="AN286" s="6" t="n">
        <v>7</v>
      </c>
      <c r="AO286" s="6" t="n">
        <v>7</v>
      </c>
      <c r="AP286" s="6" t="n">
        <v>7</v>
      </c>
      <c r="AQ286" s="6" t="n">
        <v>7</v>
      </c>
      <c r="AR286" s="6" t="n">
        <v>7</v>
      </c>
    </row>
    <row r="287">
      <c r="D287" t="inlineStr">
        <is>
          <t>US CPI, COD re-forecast</t>
        </is>
      </c>
      <c r="E287" t="inlineStr">
        <is>
          <t>%</t>
        </is>
      </c>
      <c r="J287" s="6" t="n">
        <v>0.1</v>
      </c>
      <c r="K287" s="6" t="n">
        <v>1.3</v>
      </c>
      <c r="L287" s="6" t="n">
        <v>2.1</v>
      </c>
      <c r="M287" s="6" t="n">
        <v>2.4</v>
      </c>
      <c r="N287" s="6" t="n">
        <v>1.8</v>
      </c>
      <c r="O287" s="6" t="n">
        <v>1.2</v>
      </c>
      <c r="P287" s="6" t="n">
        <v>4.7</v>
      </c>
      <c r="Q287" s="6" t="n">
        <v>2.2</v>
      </c>
      <c r="R287" s="6" t="n">
        <v>2.2</v>
      </c>
      <c r="S287" s="6" t="n">
        <v>2.2</v>
      </c>
      <c r="T287" s="6" t="n">
        <v>2.2</v>
      </c>
      <c r="U287" s="6" t="n">
        <v>2.2</v>
      </c>
      <c r="V287" s="6" t="n">
        <v>2.2</v>
      </c>
      <c r="W287" s="6" t="n">
        <v>2.2</v>
      </c>
      <c r="X287" s="6" t="n">
        <v>2.2</v>
      </c>
      <c r="Y287" s="6" t="n">
        <v>2.2</v>
      </c>
      <c r="Z287" s="6" t="n">
        <v>2.2</v>
      </c>
      <c r="AA287" s="6" t="n">
        <v>2.2</v>
      </c>
      <c r="AB287" s="6" t="n">
        <v>2.2</v>
      </c>
      <c r="AC287" s="6" t="n">
        <v>2.2</v>
      </c>
      <c r="AD287" s="6" t="n">
        <v>2.2</v>
      </c>
      <c r="AE287" s="6" t="n">
        <v>2.2</v>
      </c>
      <c r="AF287" s="6" t="n">
        <v>2.2</v>
      </c>
      <c r="AG287" s="6" t="n">
        <v>2.2</v>
      </c>
      <c r="AH287" s="6" t="n">
        <v>2.2</v>
      </c>
      <c r="AI287" s="6" t="n">
        <v>2.2</v>
      </c>
      <c r="AJ287" s="6" t="n">
        <v>2.2</v>
      </c>
      <c r="AK287" s="6" t="n">
        <v>2.2</v>
      </c>
      <c r="AL287" s="6" t="n">
        <v>2.2</v>
      </c>
      <c r="AM287" s="6" t="n">
        <v>2.2</v>
      </c>
      <c r="AN287" s="6" t="n">
        <v>2.2</v>
      </c>
      <c r="AO287" s="6" t="n">
        <v>2.2</v>
      </c>
      <c r="AP287" s="6" t="n">
        <v>2.2</v>
      </c>
      <c r="AQ287" s="6" t="n">
        <v>2.2</v>
      </c>
      <c r="AR287" s="6" t="n">
        <v>2.2</v>
      </c>
    </row>
    <row r="288">
      <c r="D288" t="inlineStr">
        <is>
          <t>Kessara CPI, COD re-forecast</t>
        </is>
      </c>
      <c r="E288" t="inlineStr">
        <is>
          <t>%</t>
        </is>
      </c>
      <c r="J288" s="6" t="n">
        <v>8.699999999999999</v>
      </c>
      <c r="K288" s="6" t="n">
        <v>9.4</v>
      </c>
      <c r="L288" s="6" t="n">
        <v>8.1</v>
      </c>
      <c r="M288" s="6" t="n">
        <v>7.6</v>
      </c>
      <c r="N288" s="6" t="n">
        <v>7.9</v>
      </c>
      <c r="O288" s="6" t="n">
        <v>9.800000000000001</v>
      </c>
      <c r="P288" s="6" t="n">
        <v>10.6</v>
      </c>
      <c r="Q288" s="6" t="n">
        <v>7.5</v>
      </c>
      <c r="R288" s="6" t="n">
        <v>7.5</v>
      </c>
      <c r="S288" s="6" t="n">
        <v>7.5</v>
      </c>
      <c r="T288" s="6" t="n">
        <v>7.5</v>
      </c>
      <c r="U288" s="6" t="n">
        <v>7.5</v>
      </c>
      <c r="V288" s="6" t="n">
        <v>7.5</v>
      </c>
      <c r="W288" s="6" t="n">
        <v>7.5</v>
      </c>
      <c r="X288" s="6" t="n">
        <v>7.5</v>
      </c>
      <c r="Y288" s="6" t="n">
        <v>7.5</v>
      </c>
      <c r="Z288" s="6" t="n">
        <v>7.5</v>
      </c>
      <c r="AA288" s="6" t="n">
        <v>7.5</v>
      </c>
      <c r="AB288" s="6" t="n">
        <v>7.5</v>
      </c>
      <c r="AC288" s="6" t="n">
        <v>7.5</v>
      </c>
      <c r="AD288" s="6" t="n">
        <v>7.5</v>
      </c>
      <c r="AE288" s="6" t="n">
        <v>7.5</v>
      </c>
      <c r="AF288" s="6" t="n">
        <v>7.5</v>
      </c>
      <c r="AG288" s="6" t="n">
        <v>7.5</v>
      </c>
      <c r="AH288" s="6" t="n">
        <v>7.5</v>
      </c>
      <c r="AI288" s="6" t="n">
        <v>7.5</v>
      </c>
      <c r="AJ288" s="6" t="n">
        <v>7.5</v>
      </c>
      <c r="AK288" s="6" t="n">
        <v>7.5</v>
      </c>
      <c r="AL288" s="6" t="n">
        <v>7.5</v>
      </c>
      <c r="AM288" s="6" t="n">
        <v>7.5</v>
      </c>
      <c r="AN288" s="6" t="n">
        <v>7.5</v>
      </c>
      <c r="AO288" s="6" t="n">
        <v>7.5</v>
      </c>
      <c r="AP288" s="6" t="n">
        <v>7.5</v>
      </c>
      <c r="AQ288" s="6" t="n">
        <v>7.5</v>
      </c>
      <c r="AR288" s="6" t="n">
        <v>7.5</v>
      </c>
    </row>
    <row r="289">
      <c r="D289" t="inlineStr">
        <is>
          <t>Kessara policy rate (actual)</t>
        </is>
      </c>
      <c r="E289" t="inlineStr">
        <is>
          <t>%</t>
        </is>
      </c>
      <c r="J289" s="6" t="n">
        <v>15.5</v>
      </c>
      <c r="K289" s="6" t="n">
        <v>15.5</v>
      </c>
      <c r="L289" s="6" t="n">
        <v>15.5</v>
      </c>
      <c r="M289" s="6" t="n">
        <v>13.5</v>
      </c>
      <c r="N289" s="6" t="n">
        <v>13.5</v>
      </c>
      <c r="O289" s="6" t="n">
        <v>13.5</v>
      </c>
      <c r="P289" s="6" t="n">
        <v>13.5</v>
      </c>
      <c r="Q289" s="6" t="n">
        <v>19</v>
      </c>
      <c r="R289" s="6" t="n">
        <v>27</v>
      </c>
      <c r="S289" s="6" t="n">
        <v>24.5</v>
      </c>
      <c r="T289" s="6" t="n">
        <v>18</v>
      </c>
      <c r="U289" s="6" t="n">
        <v>15.5</v>
      </c>
      <c r="V289" s="6" t="n">
        <v>15.5</v>
      </c>
      <c r="W289" s="6" t="n">
        <v>15.5</v>
      </c>
      <c r="X289" s="6" t="n">
        <v>15.5</v>
      </c>
      <c r="Y289" s="6" t="n">
        <v>15.5</v>
      </c>
      <c r="Z289" s="6" t="n">
        <v>15.5</v>
      </c>
      <c r="AA289" s="6" t="n">
        <v>15.5</v>
      </c>
      <c r="AB289" s="6" t="n">
        <v>15.5</v>
      </c>
      <c r="AC289" s="6" t="n">
        <v>15.5</v>
      </c>
      <c r="AD289" s="6" t="n">
        <v>15.5</v>
      </c>
      <c r="AE289" s="6" t="n">
        <v>15.5</v>
      </c>
      <c r="AF289" s="6" t="n">
        <v>15.5</v>
      </c>
      <c r="AG289" s="6" t="n">
        <v>15.5</v>
      </c>
      <c r="AH289" s="6" t="n">
        <v>15.5</v>
      </c>
      <c r="AI289" s="6" t="n">
        <v>15.5</v>
      </c>
      <c r="AJ289" s="6" t="n">
        <v>15.5</v>
      </c>
      <c r="AK289" s="6" t="n">
        <v>15.5</v>
      </c>
      <c r="AL289" s="6" t="n">
        <v>15.5</v>
      </c>
      <c r="AM289" s="6" t="n">
        <v>15.5</v>
      </c>
      <c r="AN289" s="6" t="n">
        <v>15.5</v>
      </c>
      <c r="AO289" s="6" t="n">
        <v>15.5</v>
      </c>
      <c r="AP289" s="6" t="n">
        <v>15.5</v>
      </c>
      <c r="AQ289" s="6" t="n">
        <v>15.5</v>
      </c>
      <c r="AR289" s="6" t="n">
        <v>15.5</v>
      </c>
    </row>
    <row r="290">
      <c r="B290" s="2" t="inlineStr">
        <is>
          <t>Semiannual inputs (column J = 2018H2 ... BN = 2046H2)</t>
        </is>
      </c>
    </row>
    <row r="291">
      <c r="D291" t="inlineStr">
        <is>
          <t>6M LIBOR forward curve at FC</t>
        </is>
      </c>
      <c r="E291" t="inlineStr">
        <is>
          <t>%</t>
        </is>
      </c>
      <c r="J291" s="6" t="n">
        <v>2.52</v>
      </c>
      <c r="K291" s="6" t="n">
        <v>2.79</v>
      </c>
      <c r="L291" s="6" t="n">
        <v>2.94</v>
      </c>
      <c r="M291" s="6" t="n">
        <v>3.02</v>
      </c>
      <c r="N291" s="6" t="n">
        <v>3.06</v>
      </c>
      <c r="O291" s="6" t="n">
        <v>3.09</v>
      </c>
      <c r="P291" s="6" t="n">
        <v>3.09</v>
      </c>
      <c r="Q291" s="6" t="n">
        <v>3.11</v>
      </c>
      <c r="R291" s="6" t="n">
        <v>3.11</v>
      </c>
      <c r="S291" s="6" t="n">
        <v>3.12</v>
      </c>
      <c r="T291" s="6" t="n">
        <v>3.12</v>
      </c>
      <c r="U291" s="6" t="n">
        <v>3.12</v>
      </c>
      <c r="V291" s="6" t="n">
        <v>3.12</v>
      </c>
      <c r="W291" s="6" t="n">
        <v>3.12</v>
      </c>
      <c r="X291" s="6" t="n">
        <v>3.12</v>
      </c>
      <c r="Y291" s="6" t="n">
        <v>3.12</v>
      </c>
      <c r="Z291" s="6" t="n">
        <v>3.12</v>
      </c>
      <c r="AA291" s="6" t="n">
        <v>3.12</v>
      </c>
      <c r="AB291" s="6" t="n">
        <v>3.12</v>
      </c>
      <c r="AC291" s="6" t="n">
        <v>3.12</v>
      </c>
      <c r="AD291" s="6" t="n">
        <v>3.12</v>
      </c>
      <c r="AE291" s="6" t="n">
        <v>3.12</v>
      </c>
      <c r="AF291" s="6" t="n">
        <v>3.12</v>
      </c>
      <c r="AG291" s="6" t="n">
        <v>3.12</v>
      </c>
      <c r="AH291" s="6" t="n">
        <v>3.12</v>
      </c>
      <c r="AI291" s="6" t="n">
        <v>3.12</v>
      </c>
      <c r="AJ291" s="6" t="n">
        <v>3.12</v>
      </c>
      <c r="AK291" s="6" t="n">
        <v>3.12</v>
      </c>
      <c r="AL291" s="6" t="n">
        <v>3.12</v>
      </c>
      <c r="AM291" s="6" t="n">
        <v>3.12</v>
      </c>
      <c r="AN291" s="6" t="n">
        <v>3.12</v>
      </c>
      <c r="AO291" s="6" t="n">
        <v>3.12</v>
      </c>
      <c r="AP291" s="6" t="n">
        <v>3.12</v>
      </c>
      <c r="AQ291" s="6" t="n">
        <v>3.12</v>
      </c>
      <c r="AR291" s="6" t="n">
        <v>3.12</v>
      </c>
      <c r="AS291" s="6" t="n">
        <v>3.12</v>
      </c>
      <c r="AT291" s="6" t="n">
        <v>3.12</v>
      </c>
      <c r="AU291" s="6" t="n">
        <v>3.12</v>
      </c>
      <c r="AV291" s="6" t="n">
        <v>3.12</v>
      </c>
      <c r="AW291" s="6" t="n">
        <v>3.12</v>
      </c>
      <c r="AX291" s="6" t="n">
        <v>3.12</v>
      </c>
      <c r="AY291" s="6" t="n">
        <v>3.12</v>
      </c>
      <c r="AZ291" s="6" t="n">
        <v>3.12</v>
      </c>
      <c r="BA291" s="6" t="n">
        <v>3.12</v>
      </c>
      <c r="BB291" s="6" t="n">
        <v>3.12</v>
      </c>
      <c r="BC291" s="6" t="n">
        <v>3.12</v>
      </c>
      <c r="BD291" s="6" t="n">
        <v>3.12</v>
      </c>
      <c r="BE291" s="6" t="n">
        <v>3.12</v>
      </c>
      <c r="BF291" s="6" t="n">
        <v>3.12</v>
      </c>
      <c r="BG291" s="6" t="n">
        <v>3.12</v>
      </c>
      <c r="BH291" s="6" t="n">
        <v>3.12</v>
      </c>
      <c r="BI291" s="6" t="n">
        <v>3.12</v>
      </c>
      <c r="BJ291" s="6" t="n">
        <v>3.12</v>
      </c>
      <c r="BK291" s="6" t="n">
        <v>3.12</v>
      </c>
      <c r="BL291" s="6" t="n">
        <v>3.12</v>
      </c>
      <c r="BM291" s="6" t="n">
        <v>3.12</v>
      </c>
      <c r="BN291" s="6" t="n">
        <v>3.12</v>
      </c>
    </row>
    <row r="292">
      <c r="D292" t="inlineStr">
        <is>
          <t>6M LIBOR to 2022H2; 6M Term SOFR + CAS from 2023H1 (actual)</t>
        </is>
      </c>
      <c r="E292" t="inlineStr">
        <is>
          <t>%</t>
        </is>
      </c>
      <c r="J292" s="6" t="n">
        <v>2.52</v>
      </c>
      <c r="K292" s="6" t="n">
        <v>2.87</v>
      </c>
      <c r="L292" s="6" t="n">
        <v>2.2</v>
      </c>
      <c r="M292" s="6" t="n">
        <v>1.91</v>
      </c>
      <c r="N292" s="6" t="n">
        <v>0.37</v>
      </c>
      <c r="O292" s="6" t="n">
        <v>0.25</v>
      </c>
      <c r="P292" s="6" t="n">
        <v>0.16</v>
      </c>
      <c r="Q292" s="6" t="n">
        <v>0.34</v>
      </c>
      <c r="R292" s="6" t="n">
        <v>2.94</v>
      </c>
      <c r="S292" s="6" t="n">
        <v>5.28826</v>
      </c>
      <c r="T292" s="6" t="n">
        <v>5.89826</v>
      </c>
      <c r="U292" s="6" t="n">
        <v>5.58826</v>
      </c>
      <c r="V292" s="6" t="n">
        <v>5.64826</v>
      </c>
      <c r="W292" s="6" t="n">
        <v>4.67826</v>
      </c>
      <c r="X292" s="6" t="n">
        <v>4.59826</v>
      </c>
      <c r="Y292" s="6" t="n">
        <v>4.04826</v>
      </c>
      <c r="Z292" s="6" t="n">
        <v>4.00826</v>
      </c>
      <c r="AA292" s="6" t="n">
        <v>3.87826</v>
      </c>
      <c r="AB292" s="6" t="n">
        <v>3.87826</v>
      </c>
      <c r="AC292" s="6" t="n">
        <v>3.92826</v>
      </c>
      <c r="AD292" s="6" t="n">
        <v>3.92826</v>
      </c>
      <c r="AE292" s="6" t="n">
        <v>3.92826</v>
      </c>
      <c r="AF292" s="6" t="n">
        <v>3.92826</v>
      </c>
      <c r="AG292" s="6" t="n">
        <v>3.92826</v>
      </c>
      <c r="AH292" s="6" t="n">
        <v>3.92826</v>
      </c>
      <c r="AI292" s="6" t="n">
        <v>3.92826</v>
      </c>
      <c r="AJ292" s="6" t="n">
        <v>3.92826</v>
      </c>
      <c r="AK292" s="6" t="n">
        <v>3.92826</v>
      </c>
      <c r="AL292" s="6" t="n">
        <v>3.92826</v>
      </c>
      <c r="AM292" s="6" t="n">
        <v>3.92826</v>
      </c>
      <c r="AN292" s="6" t="n">
        <v>3.92826</v>
      </c>
      <c r="AO292" s="6" t="n">
        <v>3.92826</v>
      </c>
      <c r="AP292" s="6" t="n">
        <v>3.92826</v>
      </c>
      <c r="AQ292" s="6" t="n">
        <v>3.92826</v>
      </c>
      <c r="AR292" s="6" t="n">
        <v>3.92826</v>
      </c>
      <c r="AS292" s="6" t="n">
        <v>3.92826</v>
      </c>
      <c r="AT292" s="6" t="n">
        <v>3.92826</v>
      </c>
      <c r="AU292" s="6" t="n">
        <v>3.92826</v>
      </c>
      <c r="AV292" s="6" t="n">
        <v>3.92826</v>
      </c>
      <c r="AW292" s="6" t="n">
        <v>3.92826</v>
      </c>
      <c r="AX292" s="6" t="n">
        <v>3.92826</v>
      </c>
      <c r="AY292" s="6" t="n">
        <v>3.92826</v>
      </c>
      <c r="AZ292" s="6" t="n">
        <v>3.92826</v>
      </c>
      <c r="BA292" s="6" t="n">
        <v>3.92826</v>
      </c>
      <c r="BB292" s="6" t="n">
        <v>3.92826</v>
      </c>
      <c r="BC292" s="6" t="n">
        <v>3.92826</v>
      </c>
      <c r="BD292" s="6" t="n">
        <v>3.92826</v>
      </c>
      <c r="BE292" s="6" t="n">
        <v>3.92826</v>
      </c>
      <c r="BF292" s="6" t="n">
        <v>3.92826</v>
      </c>
      <c r="BG292" s="6" t="n">
        <v>3.92826</v>
      </c>
      <c r="BH292" s="6" t="n">
        <v>3.92826</v>
      </c>
      <c r="BI292" s="6" t="n">
        <v>3.92826</v>
      </c>
      <c r="BJ292" s="6" t="n">
        <v>3.92826</v>
      </c>
      <c r="BK292" s="6" t="n">
        <v>3.92826</v>
      </c>
      <c r="BL292" s="6" t="n">
        <v>3.92826</v>
      </c>
      <c r="BM292" s="6" t="n">
        <v>3.92826</v>
      </c>
      <c r="BN292" s="6" t="n">
        <v>3.92826</v>
      </c>
    </row>
    <row r="293">
      <c r="D293" t="inlineStr">
        <is>
          <t>Base rate, COD re-forecast</t>
        </is>
      </c>
      <c r="E293" t="inlineStr">
        <is>
          <t>%</t>
        </is>
      </c>
      <c r="J293" s="6" t="n">
        <v>2.52</v>
      </c>
      <c r="K293" s="6" t="n">
        <v>2.87</v>
      </c>
      <c r="L293" s="6" t="n">
        <v>2.2</v>
      </c>
      <c r="M293" s="6" t="n">
        <v>1.91</v>
      </c>
      <c r="N293" s="6" t="n">
        <v>0.37</v>
      </c>
      <c r="O293" s="6" t="n">
        <v>0.25</v>
      </c>
      <c r="P293" s="6" t="n">
        <v>0.16</v>
      </c>
      <c r="Q293" s="6" t="n">
        <v>3.11</v>
      </c>
      <c r="R293" s="6" t="n">
        <v>3.11</v>
      </c>
      <c r="S293" s="6" t="n">
        <v>3.12</v>
      </c>
      <c r="T293" s="6" t="n">
        <v>3.12</v>
      </c>
      <c r="U293" s="6" t="n">
        <v>3.12</v>
      </c>
      <c r="V293" s="6" t="n">
        <v>3.12</v>
      </c>
      <c r="W293" s="6" t="n">
        <v>3.12</v>
      </c>
      <c r="X293" s="6" t="n">
        <v>3.12</v>
      </c>
      <c r="Y293" s="6" t="n">
        <v>3.12</v>
      </c>
      <c r="Z293" s="6" t="n">
        <v>3.12</v>
      </c>
      <c r="AA293" s="6" t="n">
        <v>3.12</v>
      </c>
      <c r="AB293" s="6" t="n">
        <v>3.12</v>
      </c>
      <c r="AC293" s="6" t="n">
        <v>3.12</v>
      </c>
      <c r="AD293" s="6" t="n">
        <v>3.12</v>
      </c>
      <c r="AE293" s="6" t="n">
        <v>3.12</v>
      </c>
      <c r="AF293" s="6" t="n">
        <v>3.12</v>
      </c>
      <c r="AG293" s="6" t="n">
        <v>3.12</v>
      </c>
      <c r="AH293" s="6" t="n">
        <v>3.12</v>
      </c>
      <c r="AI293" s="6" t="n">
        <v>3.12</v>
      </c>
      <c r="AJ293" s="6" t="n">
        <v>3.12</v>
      </c>
      <c r="AK293" s="6" t="n">
        <v>3.12</v>
      </c>
      <c r="AL293" s="6" t="n">
        <v>3.12</v>
      </c>
      <c r="AM293" s="6" t="n">
        <v>3.12</v>
      </c>
      <c r="AN293" s="6" t="n">
        <v>3.12</v>
      </c>
      <c r="AO293" s="6" t="n">
        <v>3.12</v>
      </c>
      <c r="AP293" s="6" t="n">
        <v>3.12</v>
      </c>
      <c r="AQ293" s="6" t="n">
        <v>3.12</v>
      </c>
      <c r="AR293" s="6" t="n">
        <v>3.12</v>
      </c>
      <c r="AS293" s="6" t="n">
        <v>3.12</v>
      </c>
      <c r="AT293" s="6" t="n">
        <v>3.12</v>
      </c>
      <c r="AU293" s="6" t="n">
        <v>3.12</v>
      </c>
      <c r="AV293" s="6" t="n">
        <v>3.12</v>
      </c>
      <c r="AW293" s="6" t="n">
        <v>3.12</v>
      </c>
      <c r="AX293" s="6" t="n">
        <v>3.12</v>
      </c>
      <c r="AY293" s="6" t="n">
        <v>3.12</v>
      </c>
      <c r="AZ293" s="6" t="n">
        <v>3.12</v>
      </c>
      <c r="BA293" s="6" t="n">
        <v>3.12</v>
      </c>
      <c r="BB293" s="6" t="n">
        <v>3.12</v>
      </c>
      <c r="BC293" s="6" t="n">
        <v>3.12</v>
      </c>
      <c r="BD293" s="6" t="n">
        <v>3.12</v>
      </c>
      <c r="BE293" s="6" t="n">
        <v>3.12</v>
      </c>
      <c r="BF293" s="6" t="n">
        <v>3.12</v>
      </c>
      <c r="BG293" s="6" t="n">
        <v>3.12</v>
      </c>
      <c r="BH293" s="6" t="n">
        <v>3.12</v>
      </c>
      <c r="BI293" s="6" t="n">
        <v>3.12</v>
      </c>
      <c r="BJ293" s="6" t="n">
        <v>3.12</v>
      </c>
      <c r="BK293" s="6" t="n">
        <v>3.12</v>
      </c>
      <c r="BL293" s="6" t="n">
        <v>3.12</v>
      </c>
      <c r="BM293" s="6" t="n">
        <v>3.12</v>
      </c>
      <c r="BN293" s="6" t="n">
        <v>3.12</v>
      </c>
    </row>
    <row r="294">
      <c r="D294" t="inlineStr">
        <is>
          <t>KCR per USD, semiannual average (actual to 2026H2)</t>
        </is>
      </c>
      <c r="E294" t="inlineStr">
        <is>
          <t>KCR/USD</t>
        </is>
      </c>
      <c r="J294" s="6" t="n">
        <v>524.6</v>
      </c>
      <c r="K294" s="6" t="n">
        <v>539.1</v>
      </c>
      <c r="L294" s="6" t="n">
        <v>551.3</v>
      </c>
      <c r="M294" s="6" t="n">
        <v>566</v>
      </c>
      <c r="N294" s="6" t="n">
        <v>579.8</v>
      </c>
      <c r="O294" s="6" t="n">
        <v>597.4</v>
      </c>
      <c r="P294" s="6" t="n">
        <v>609.6</v>
      </c>
      <c r="Q294" s="6" t="n">
        <v>654.9</v>
      </c>
      <c r="R294" s="6" t="n">
        <v>830.3</v>
      </c>
      <c r="S294" s="6" t="n">
        <v>1052.8</v>
      </c>
      <c r="T294" s="6" t="n">
        <v>1043.8</v>
      </c>
      <c r="U294" s="6" t="n">
        <v>1093.1</v>
      </c>
      <c r="V294" s="6" t="n">
        <v>1050.7</v>
      </c>
      <c r="W294" s="6" t="n">
        <v>1035.6</v>
      </c>
      <c r="X294" s="6" t="n">
        <v>1023.8</v>
      </c>
      <c r="Y294" s="6" t="n">
        <v>1028.9</v>
      </c>
      <c r="Z294" s="6" t="n">
        <v>1043.9</v>
      </c>
    </row>
    <row r="295">
      <c r="D295" t="inlineStr">
        <is>
          <t>SEKA overdue receivables at period end (actual)</t>
        </is>
      </c>
      <c r="E295" t="inlineStr">
        <is>
          <t>USD m</t>
        </is>
      </c>
      <c r="J295" s="6" t="n">
        <v>0</v>
      </c>
      <c r="K295" s="6" t="n">
        <v>0</v>
      </c>
      <c r="L295" s="6" t="n">
        <v>0</v>
      </c>
      <c r="M295" s="6" t="n">
        <v>0</v>
      </c>
      <c r="N295" s="6" t="n">
        <v>0</v>
      </c>
      <c r="O295" s="6" t="n">
        <v>0</v>
      </c>
      <c r="P295" s="6" t="n">
        <v>0</v>
      </c>
      <c r="Q295" s="6" t="n">
        <v>18.4</v>
      </c>
      <c r="R295" s="6" t="n">
        <v>68.90000000000001</v>
      </c>
      <c r="S295" s="6" t="n">
        <v>112.6</v>
      </c>
      <c r="T295" s="6" t="n">
        <v>71.8</v>
      </c>
      <c r="U295" s="6" t="n">
        <v>34.6</v>
      </c>
      <c r="V295" s="6" t="n">
        <v>12.3</v>
      </c>
      <c r="W295" s="6" t="n">
        <v>0</v>
      </c>
      <c r="X295" s="6" t="n">
        <v>0</v>
      </c>
      <c r="Y295" s="6" t="n">
        <v>0</v>
      </c>
      <c r="Z295" s="6" t="n">
        <v>0</v>
      </c>
      <c r="AA295" s="6" t="n">
        <v>0</v>
      </c>
      <c r="AB295" s="6" t="n">
        <v>0</v>
      </c>
      <c r="AC295" s="6" t="n">
        <v>0</v>
      </c>
      <c r="AD295" s="6" t="n">
        <v>0</v>
      </c>
      <c r="AE295" s="6" t="n">
        <v>0</v>
      </c>
      <c r="AF295" s="6" t="n">
        <v>0</v>
      </c>
      <c r="AG295" s="6" t="n">
        <v>0</v>
      </c>
      <c r="AH295" s="6" t="n">
        <v>0</v>
      </c>
      <c r="AI295" s="6" t="n">
        <v>0</v>
      </c>
      <c r="AJ295" s="6" t="n">
        <v>0</v>
      </c>
      <c r="AK295" s="6" t="n">
        <v>0</v>
      </c>
      <c r="AL295" s="6" t="n">
        <v>0</v>
      </c>
      <c r="AM295" s="6" t="n">
        <v>0</v>
      </c>
      <c r="AN295" s="6" t="n">
        <v>0</v>
      </c>
      <c r="AO295" s="6" t="n">
        <v>0</v>
      </c>
      <c r="AP295" s="6" t="n">
        <v>0</v>
      </c>
      <c r="AQ295" s="6" t="n">
        <v>0</v>
      </c>
      <c r="AR295" s="6" t="n">
        <v>0</v>
      </c>
      <c r="AS295" s="6" t="n">
        <v>0</v>
      </c>
      <c r="AT295" s="6" t="n">
        <v>0</v>
      </c>
      <c r="AU295" s="6" t="n">
        <v>0</v>
      </c>
      <c r="AV295" s="6" t="n">
        <v>0</v>
      </c>
      <c r="AW295" s="6" t="n">
        <v>0</v>
      </c>
      <c r="AX295" s="6" t="n">
        <v>0</v>
      </c>
      <c r="AY295" s="6" t="n">
        <v>0</v>
      </c>
      <c r="AZ295" s="6" t="n">
        <v>0</v>
      </c>
      <c r="BA295" s="6" t="n">
        <v>0</v>
      </c>
      <c r="BB295" s="6" t="n">
        <v>0</v>
      </c>
      <c r="BC295" s="6" t="n">
        <v>0</v>
      </c>
      <c r="BD295" s="6" t="n">
        <v>0</v>
      </c>
      <c r="BE295" s="6" t="n">
        <v>0</v>
      </c>
      <c r="BF295" s="6" t="n">
        <v>0</v>
      </c>
      <c r="BG295" s="6" t="n">
        <v>0</v>
      </c>
      <c r="BH295" s="6" t="n">
        <v>0</v>
      </c>
      <c r="BI295" s="6" t="n">
        <v>0</v>
      </c>
      <c r="BJ295" s="6" t="n">
        <v>0</v>
      </c>
      <c r="BK295" s="6" t="n">
        <v>0</v>
      </c>
      <c r="BL295" s="6" t="n">
        <v>0</v>
      </c>
      <c r="BM295" s="6" t="n">
        <v>0</v>
      </c>
      <c r="BN295" s="6" t="n">
        <v>0</v>
      </c>
    </row>
    <row r="296">
      <c r="D296" t="inlineStr">
        <is>
          <t>FX conversion losses (actual)</t>
        </is>
      </c>
      <c r="E296" t="inlineStr">
        <is>
          <t>USD m</t>
        </is>
      </c>
      <c r="J296" s="6" t="n">
        <v>0</v>
      </c>
      <c r="K296" s="6" t="n">
        <v>0</v>
      </c>
      <c r="L296" s="6" t="n">
        <v>0</v>
      </c>
      <c r="M296" s="6" t="n">
        <v>0</v>
      </c>
      <c r="N296" s="6" t="n">
        <v>0</v>
      </c>
      <c r="O296" s="6" t="n">
        <v>0</v>
      </c>
      <c r="P296" s="6" t="n">
        <v>0</v>
      </c>
      <c r="Q296" s="6" t="n">
        <v>0</v>
      </c>
      <c r="R296" s="6" t="n">
        <v>1.27</v>
      </c>
      <c r="S296" s="6" t="n">
        <v>3.84</v>
      </c>
      <c r="T296" s="6" t="n">
        <v>1.12</v>
      </c>
      <c r="U296" s="6" t="n">
        <v>0.31</v>
      </c>
      <c r="V296" s="6" t="n">
        <v>0</v>
      </c>
      <c r="W296" s="6" t="n">
        <v>0</v>
      </c>
      <c r="X296" s="6" t="n">
        <v>0</v>
      </c>
      <c r="Y296" s="6" t="n">
        <v>0</v>
      </c>
      <c r="Z296" s="6" t="n">
        <v>0</v>
      </c>
      <c r="AA296" s="6" t="n">
        <v>0</v>
      </c>
      <c r="AB296" s="6" t="n">
        <v>0</v>
      </c>
      <c r="AC296" s="6" t="n">
        <v>0</v>
      </c>
      <c r="AD296" s="6" t="n">
        <v>0</v>
      </c>
      <c r="AE296" s="6" t="n">
        <v>0</v>
      </c>
      <c r="AF296" s="6" t="n">
        <v>0</v>
      </c>
      <c r="AG296" s="6" t="n">
        <v>0</v>
      </c>
      <c r="AH296" s="6" t="n">
        <v>0</v>
      </c>
      <c r="AI296" s="6" t="n">
        <v>0</v>
      </c>
      <c r="AJ296" s="6" t="n">
        <v>0</v>
      </c>
      <c r="AK296" s="6" t="n">
        <v>0</v>
      </c>
      <c r="AL296" s="6" t="n">
        <v>0</v>
      </c>
      <c r="AM296" s="6" t="n">
        <v>0</v>
      </c>
      <c r="AN296" s="6" t="n">
        <v>0</v>
      </c>
      <c r="AO296" s="6" t="n">
        <v>0</v>
      </c>
      <c r="AP296" s="6" t="n">
        <v>0</v>
      </c>
      <c r="AQ296" s="6" t="n">
        <v>0</v>
      </c>
      <c r="AR296" s="6" t="n">
        <v>0</v>
      </c>
      <c r="AS296" s="6" t="n">
        <v>0</v>
      </c>
      <c r="AT296" s="6" t="n">
        <v>0</v>
      </c>
      <c r="AU296" s="6" t="n">
        <v>0</v>
      </c>
      <c r="AV296" s="6" t="n">
        <v>0</v>
      </c>
      <c r="AW296" s="6" t="n">
        <v>0</v>
      </c>
      <c r="AX296" s="6" t="n">
        <v>0</v>
      </c>
      <c r="AY296" s="6" t="n">
        <v>0</v>
      </c>
      <c r="AZ296" s="6" t="n">
        <v>0</v>
      </c>
      <c r="BA296" s="6" t="n">
        <v>0</v>
      </c>
      <c r="BB296" s="6" t="n">
        <v>0</v>
      </c>
      <c r="BC296" s="6" t="n">
        <v>0</v>
      </c>
      <c r="BD296" s="6" t="n">
        <v>0</v>
      </c>
      <c r="BE296" s="6" t="n">
        <v>0</v>
      </c>
      <c r="BF296" s="6" t="n">
        <v>0</v>
      </c>
      <c r="BG296" s="6" t="n">
        <v>0</v>
      </c>
      <c r="BH296" s="6" t="n">
        <v>0</v>
      </c>
      <c r="BI296" s="6" t="n">
        <v>0</v>
      </c>
      <c r="BJ296" s="6" t="n">
        <v>0</v>
      </c>
      <c r="BK296" s="6" t="n">
        <v>0</v>
      </c>
      <c r="BL296" s="6" t="n">
        <v>0</v>
      </c>
      <c r="BM296" s="6" t="n">
        <v>0</v>
      </c>
      <c r="BN296" s="6" t="n">
        <v>0</v>
      </c>
    </row>
    <row r="297">
      <c r="D297" t="inlineStr">
        <is>
          <t>Settlement installment share of late payment interest</t>
        </is>
      </c>
      <c r="E297" t="inlineStr">
        <is>
          <t>fraction</t>
        </is>
      </c>
      <c r="J297" s="6" t="n">
        <v>0</v>
      </c>
      <c r="K297" s="6" t="n">
        <v>0</v>
      </c>
      <c r="L297" s="6" t="n">
        <v>0</v>
      </c>
      <c r="M297" s="6" t="n">
        <v>0</v>
      </c>
      <c r="N297" s="6" t="n">
        <v>0</v>
      </c>
      <c r="O297" s="6" t="n">
        <v>0</v>
      </c>
      <c r="P297" s="6" t="n">
        <v>0</v>
      </c>
      <c r="Q297" s="6" t="n">
        <v>0</v>
      </c>
      <c r="R297" s="6" t="n">
        <v>0</v>
      </c>
      <c r="S297" s="6" t="n">
        <v>0</v>
      </c>
      <c r="T297" s="6" t="n">
        <v>0</v>
      </c>
      <c r="U297" s="6" t="n">
        <v>0.2</v>
      </c>
      <c r="V297" s="6" t="n">
        <v>0.4</v>
      </c>
      <c r="W297" s="6" t="n">
        <v>0.4</v>
      </c>
      <c r="X297" s="6" t="n">
        <v>0</v>
      </c>
      <c r="Y297" s="6" t="n">
        <v>0</v>
      </c>
      <c r="Z297" s="6" t="n">
        <v>0</v>
      </c>
      <c r="AA297" s="6" t="n">
        <v>0</v>
      </c>
      <c r="AB297" s="6" t="n">
        <v>0</v>
      </c>
      <c r="AC297" s="6" t="n">
        <v>0</v>
      </c>
      <c r="AD297" s="6" t="n">
        <v>0</v>
      </c>
      <c r="AE297" s="6" t="n">
        <v>0</v>
      </c>
      <c r="AF297" s="6" t="n">
        <v>0</v>
      </c>
      <c r="AG297" s="6" t="n">
        <v>0</v>
      </c>
      <c r="AH297" s="6" t="n">
        <v>0</v>
      </c>
      <c r="AI297" s="6" t="n">
        <v>0</v>
      </c>
      <c r="AJ297" s="6" t="n">
        <v>0</v>
      </c>
      <c r="AK297" s="6" t="n">
        <v>0</v>
      </c>
      <c r="AL297" s="6" t="n">
        <v>0</v>
      </c>
      <c r="AM297" s="6" t="n">
        <v>0</v>
      </c>
      <c r="AN297" s="6" t="n">
        <v>0</v>
      </c>
      <c r="AO297" s="6" t="n">
        <v>0</v>
      </c>
      <c r="AP297" s="6" t="n">
        <v>0</v>
      </c>
      <c r="AQ297" s="6" t="n">
        <v>0</v>
      </c>
      <c r="AR297" s="6" t="n">
        <v>0</v>
      </c>
      <c r="AS297" s="6" t="n">
        <v>0</v>
      </c>
      <c r="AT297" s="6" t="n">
        <v>0</v>
      </c>
      <c r="AU297" s="6" t="n">
        <v>0</v>
      </c>
      <c r="AV297" s="6" t="n">
        <v>0</v>
      </c>
      <c r="AW297" s="6" t="n">
        <v>0</v>
      </c>
      <c r="AX297" s="6" t="n">
        <v>0</v>
      </c>
      <c r="AY297" s="6" t="n">
        <v>0</v>
      </c>
      <c r="AZ297" s="6" t="n">
        <v>0</v>
      </c>
      <c r="BA297" s="6" t="n">
        <v>0</v>
      </c>
      <c r="BB297" s="6" t="n">
        <v>0</v>
      </c>
      <c r="BC297" s="6" t="n">
        <v>0</v>
      </c>
      <c r="BD297" s="6" t="n">
        <v>0</v>
      </c>
      <c r="BE297" s="6" t="n">
        <v>0</v>
      </c>
      <c r="BF297" s="6" t="n">
        <v>0</v>
      </c>
      <c r="BG297" s="6" t="n">
        <v>0</v>
      </c>
      <c r="BH297" s="6" t="n">
        <v>0</v>
      </c>
      <c r="BI297" s="6" t="n">
        <v>0</v>
      </c>
      <c r="BJ297" s="6" t="n">
        <v>0</v>
      </c>
      <c r="BK297" s="6" t="n">
        <v>0</v>
      </c>
      <c r="BL297" s="6" t="n">
        <v>0</v>
      </c>
      <c r="BM297" s="6" t="n">
        <v>0</v>
      </c>
      <c r="BN297" s="6" t="n">
        <v>0</v>
      </c>
    </row>
    <row r="298">
      <c r="D298" t="inlineStr">
        <is>
          <t>Contract repayment profile at FC (share of debt)</t>
        </is>
      </c>
      <c r="E298" t="inlineStr">
        <is>
          <t>fraction</t>
        </is>
      </c>
      <c r="J298" s="6" t="n">
        <v>0</v>
      </c>
      <c r="K298" s="6" t="n">
        <v>0</v>
      </c>
      <c r="L298" s="6" t="n">
        <v>0</v>
      </c>
      <c r="M298" s="6" t="n">
        <v>0</v>
      </c>
      <c r="N298" s="6" t="n">
        <v>0</v>
      </c>
      <c r="O298" s="6" t="n">
        <v>0</v>
      </c>
      <c r="P298" s="6" t="n">
        <v>0.02446043211430804</v>
      </c>
      <c r="Q298" s="6" t="n">
        <v>0.02549563991993633</v>
      </c>
      <c r="R298" s="6" t="n">
        <v>0.02675152229066621</v>
      </c>
      <c r="S298" s="6" t="n">
        <v>0.02753984637468513</v>
      </c>
      <c r="T298" s="6" t="n">
        <v>0.0288066694390464</v>
      </c>
      <c r="U298" s="6" t="n">
        <v>0.02972536483920772</v>
      </c>
      <c r="V298" s="6" t="n">
        <v>0.03166730192250924</v>
      </c>
      <c r="W298" s="6" t="n">
        <v>0.03263535190708168</v>
      </c>
      <c r="X298" s="6" t="n">
        <v>0.0317294685115491</v>
      </c>
      <c r="Y298" s="6" t="n">
        <v>0.03174439879630291</v>
      </c>
      <c r="Z298" s="6" t="n">
        <v>0.03305950431870376</v>
      </c>
      <c r="AA298" s="6" t="n">
        <v>0.03402426353926975</v>
      </c>
      <c r="AB298" s="6" t="n">
        <v>0.03564974851234601</v>
      </c>
      <c r="AC298" s="6" t="n">
        <v>0.03683076964636899</v>
      </c>
      <c r="AD298" s="6" t="n">
        <v>0.0402165127561107</v>
      </c>
      <c r="AE298" s="6" t="n">
        <v>0.04194504016536777</v>
      </c>
      <c r="AF298" s="6" t="n">
        <v>0.04341654712966558</v>
      </c>
      <c r="AG298" s="6" t="n">
        <v>0.04422683953596448</v>
      </c>
      <c r="AH298" s="6" t="n">
        <v>0.0464470950071792</v>
      </c>
      <c r="AI298" s="6" t="n">
        <v>0.04781089882837024</v>
      </c>
      <c r="AJ298" s="6" t="n">
        <v>0.05011909730654722</v>
      </c>
      <c r="AK298" s="6" t="n">
        <v>0.05174136373715012</v>
      </c>
      <c r="AL298" s="6" t="n">
        <v>0.05486337334066368</v>
      </c>
      <c r="AM298" s="6" t="n">
        <v>0.05600370673381757</v>
      </c>
      <c r="AN298" s="6" t="n">
        <v>0.04620239321839347</v>
      </c>
      <c r="AO298" s="6" t="n">
        <v>0.04688685010878882</v>
      </c>
      <c r="AP298" s="6" t="n">
        <v>0</v>
      </c>
      <c r="AQ298" s="6" t="n">
        <v>0</v>
      </c>
      <c r="AR298" s="6" t="n">
        <v>0</v>
      </c>
      <c r="AS298" s="6" t="n">
        <v>0</v>
      </c>
      <c r="AT298" s="6" t="n">
        <v>0</v>
      </c>
      <c r="AU298" s="6" t="n">
        <v>0</v>
      </c>
      <c r="AV298" s="6" t="n">
        <v>0</v>
      </c>
      <c r="AW298" s="6" t="n">
        <v>0</v>
      </c>
      <c r="AX298" s="6" t="n">
        <v>0</v>
      </c>
      <c r="AY298" s="6" t="n">
        <v>0</v>
      </c>
      <c r="AZ298" s="6" t="n">
        <v>0</v>
      </c>
      <c r="BA298" s="6" t="n">
        <v>0</v>
      </c>
      <c r="BB298" s="6" t="n">
        <v>0</v>
      </c>
      <c r="BC298" s="6" t="n">
        <v>0</v>
      </c>
      <c r="BD298" s="6" t="n">
        <v>0</v>
      </c>
      <c r="BE298" s="6" t="n">
        <v>0</v>
      </c>
      <c r="BF298" s="6" t="n">
        <v>0</v>
      </c>
      <c r="BG298" s="6" t="n">
        <v>0</v>
      </c>
      <c r="BH298" s="6" t="n">
        <v>0</v>
      </c>
      <c r="BI298" s="6" t="n">
        <v>0</v>
      </c>
      <c r="BJ298" s="6" t="n">
        <v>0</v>
      </c>
      <c r="BK298" s="6" t="n">
        <v>0</v>
      </c>
      <c r="BL298" s="6" t="n">
        <v>0</v>
      </c>
      <c r="BM298" s="6" t="n">
        <v>0</v>
      </c>
      <c r="BN298" s="6" t="n">
        <v>0</v>
      </c>
    </row>
    <row r="299">
      <c r="D299" t="inlineStr">
        <is>
          <t>COD re-sculpted repayment profile (share of debt at COD)</t>
        </is>
      </c>
      <c r="E299" t="inlineStr">
        <is>
          <t>fraction</t>
        </is>
      </c>
      <c r="J299" s="6" t="n">
        <v>0</v>
      </c>
      <c r="K299" s="6" t="n">
        <v>0</v>
      </c>
      <c r="L299" s="6" t="n">
        <v>0</v>
      </c>
      <c r="M299" s="6" t="n">
        <v>0</v>
      </c>
      <c r="N299" s="6" t="n">
        <v>0</v>
      </c>
      <c r="O299" s="6" t="n">
        <v>0</v>
      </c>
      <c r="P299" s="6" t="n">
        <v>0</v>
      </c>
      <c r="Q299" s="6" t="n">
        <v>0.02492121667112088</v>
      </c>
      <c r="R299" s="6" t="n">
        <v>0.02664660047040042</v>
      </c>
      <c r="S299" s="6" t="n">
        <v>0.02759604458467765</v>
      </c>
      <c r="T299" s="6" t="n">
        <v>0.02888825064959648</v>
      </c>
      <c r="U299" s="6" t="n">
        <v>0.0296987112931962</v>
      </c>
      <c r="V299" s="6" t="n">
        <v>0.03105885768561841</v>
      </c>
      <c r="W299" s="6" t="n">
        <v>0.03277706730010246</v>
      </c>
      <c r="X299" s="6" t="n">
        <v>0.03427956112200796</v>
      </c>
      <c r="Y299" s="6" t="n">
        <v>0.03185352351247105</v>
      </c>
      <c r="Z299" s="6" t="n">
        <v>0.03335144112570533</v>
      </c>
      <c r="AA299" s="6" t="n">
        <v>0.03404882778677493</v>
      </c>
      <c r="AB299" s="6" t="n">
        <v>0.03570569600105964</v>
      </c>
      <c r="AC299" s="6" t="n">
        <v>0.03672091019892312</v>
      </c>
      <c r="AD299" s="6" t="n">
        <v>0.0384689461355592</v>
      </c>
      <c r="AE299" s="6" t="n">
        <v>0.04158438492613827</v>
      </c>
      <c r="AF299" s="6" t="n">
        <v>0.04382240991310483</v>
      </c>
      <c r="AG299" s="6" t="n">
        <v>0.04413949061350413</v>
      </c>
      <c r="AH299" s="6" t="n">
        <v>0.04642087223316833</v>
      </c>
      <c r="AI299" s="6" t="n">
        <v>0.04787232137396746</v>
      </c>
      <c r="AJ299" s="6" t="n">
        <v>0.0502195640539474</v>
      </c>
      <c r="AK299" s="6" t="n">
        <v>0.05170891802557741</v>
      </c>
      <c r="AL299" s="6" t="n">
        <v>0.0541382044749565</v>
      </c>
      <c r="AM299" s="6" t="n">
        <v>0.05666149382313952</v>
      </c>
      <c r="AN299" s="6" t="n">
        <v>0.05940104456083106</v>
      </c>
      <c r="AO299" s="6" t="n">
        <v>0.05801564146445255</v>
      </c>
      <c r="AP299" s="6" t="n">
        <v>0</v>
      </c>
      <c r="AQ299" s="6" t="n">
        <v>0</v>
      </c>
      <c r="AR299" s="6" t="n">
        <v>0</v>
      </c>
      <c r="AS299" s="6" t="n">
        <v>0</v>
      </c>
      <c r="AT299" s="6" t="n">
        <v>0</v>
      </c>
      <c r="AU299" s="6" t="n">
        <v>0</v>
      </c>
      <c r="AV299" s="6" t="n">
        <v>0</v>
      </c>
      <c r="AW299" s="6" t="n">
        <v>0</v>
      </c>
      <c r="AX299" s="6" t="n">
        <v>0</v>
      </c>
      <c r="AY299" s="6" t="n">
        <v>0</v>
      </c>
      <c r="AZ299" s="6" t="n">
        <v>0</v>
      </c>
      <c r="BA299" s="6" t="n">
        <v>0</v>
      </c>
      <c r="BB299" s="6" t="n">
        <v>0</v>
      </c>
      <c r="BC299" s="6" t="n">
        <v>0</v>
      </c>
      <c r="BD299" s="6" t="n">
        <v>0</v>
      </c>
      <c r="BE299" s="6" t="n">
        <v>0</v>
      </c>
      <c r="BF299" s="6" t="n">
        <v>0</v>
      </c>
      <c r="BG299" s="6" t="n">
        <v>0</v>
      </c>
      <c r="BH299" s="6" t="n">
        <v>0</v>
      </c>
      <c r="BI299" s="6" t="n">
        <v>0</v>
      </c>
      <c r="BJ299" s="6" t="n">
        <v>0</v>
      </c>
      <c r="BK299" s="6" t="n">
        <v>0</v>
      </c>
      <c r="BL299" s="6" t="n">
        <v>0</v>
      </c>
      <c r="BM299" s="6" t="n">
        <v>0</v>
      </c>
      <c r="BN299" s="6" t="n">
        <v>0</v>
      </c>
    </row>
    <row r="300">
      <c r="D300" t="inlineStr">
        <is>
          <t>Bond amortization profile (share of face)</t>
        </is>
      </c>
      <c r="E300" t="inlineStr">
        <is>
          <t>fraction</t>
        </is>
      </c>
      <c r="J300" s="6" t="n">
        <v>0</v>
      </c>
      <c r="K300" s="6" t="n">
        <v>0</v>
      </c>
      <c r="L300" s="6" t="n">
        <v>0</v>
      </c>
      <c r="M300" s="6" t="n">
        <v>0</v>
      </c>
      <c r="N300" s="6" t="n">
        <v>0</v>
      </c>
      <c r="O300" s="6" t="n">
        <v>0</v>
      </c>
      <c r="P300" s="6" t="n">
        <v>0</v>
      </c>
      <c r="Q300" s="6" t="n">
        <v>0</v>
      </c>
      <c r="R300" s="6" t="n">
        <v>0</v>
      </c>
      <c r="S300" s="6" t="n">
        <v>0</v>
      </c>
      <c r="T300" s="6" t="n">
        <v>0</v>
      </c>
      <c r="U300" s="6" t="n">
        <v>0</v>
      </c>
      <c r="V300" s="6" t="n">
        <v>0</v>
      </c>
      <c r="W300" s="6" t="n">
        <v>0</v>
      </c>
      <c r="X300" s="6" t="n">
        <v>0.01109281170584355</v>
      </c>
      <c r="Y300" s="6" t="n">
        <v>0.01611192821167361</v>
      </c>
      <c r="Z300" s="6" t="n">
        <v>0.01761625979950614</v>
      </c>
      <c r="AA300" s="6" t="n">
        <v>0.01756090365083943</v>
      </c>
      <c r="AB300" s="6" t="n">
        <v>0.01888075218483377</v>
      </c>
      <c r="AC300" s="6" t="n">
        <v>0.01890834059725892</v>
      </c>
      <c r="AD300" s="6" t="n">
        <v>0.02002427691925613</v>
      </c>
      <c r="AE300" s="6" t="n">
        <v>0.0220425537786885</v>
      </c>
      <c r="AF300" s="6" t="n">
        <v>0.02353641033974216</v>
      </c>
      <c r="AG300" s="6" t="n">
        <v>0.02376200405504096</v>
      </c>
      <c r="AH300" s="6" t="n">
        <v>0.02514405847890659</v>
      </c>
      <c r="AI300" s="6" t="n">
        <v>0.02522742917041925</v>
      </c>
      <c r="AJ300" s="6" t="n">
        <v>0.02649633835540665</v>
      </c>
      <c r="AK300" s="6" t="n">
        <v>0.02661192441658703</v>
      </c>
      <c r="AL300" s="6" t="n">
        <v>0.02773427333606693</v>
      </c>
      <c r="AM300" s="6" t="n">
        <v>0.02874043283146949</v>
      </c>
      <c r="AN300" s="6" t="n">
        <v>0.0299976714643956</v>
      </c>
      <c r="AO300" s="6" t="n">
        <v>0.02696870435180381</v>
      </c>
      <c r="AP300" s="6" t="n">
        <v>0.09367671694203662</v>
      </c>
      <c r="AQ300" s="6" t="n">
        <v>0.08896197241765595</v>
      </c>
      <c r="AR300" s="6" t="n">
        <v>0.09361458458293083</v>
      </c>
      <c r="AS300" s="6" t="n">
        <v>0.09576367135514924</v>
      </c>
      <c r="AT300" s="6" t="n">
        <v>0.1003452008485892</v>
      </c>
      <c r="AU300" s="6" t="n">
        <v>0.1211807802058968</v>
      </c>
      <c r="AV300" s="6" t="n">
        <v>0</v>
      </c>
      <c r="AW300" s="6" t="n">
        <v>0</v>
      </c>
      <c r="AX300" s="6" t="n">
        <v>0</v>
      </c>
      <c r="AY300" s="6" t="n">
        <v>0</v>
      </c>
      <c r="AZ300" s="6" t="n">
        <v>0</v>
      </c>
      <c r="BA300" s="6" t="n">
        <v>0</v>
      </c>
      <c r="BB300" s="6" t="n">
        <v>0</v>
      </c>
      <c r="BC300" s="6" t="n">
        <v>0</v>
      </c>
      <c r="BD300" s="6" t="n">
        <v>0</v>
      </c>
      <c r="BE300" s="6" t="n">
        <v>0</v>
      </c>
      <c r="BF300" s="6" t="n">
        <v>0</v>
      </c>
      <c r="BG300" s="6" t="n">
        <v>0</v>
      </c>
      <c r="BH300" s="6" t="n">
        <v>0</v>
      </c>
      <c r="BI300" s="6" t="n">
        <v>0</v>
      </c>
      <c r="BJ300" s="6" t="n">
        <v>0</v>
      </c>
      <c r="BK300" s="6" t="n">
        <v>0</v>
      </c>
      <c r="BL300" s="6" t="n">
        <v>0</v>
      </c>
      <c r="BM300" s="6" t="n">
        <v>0</v>
      </c>
      <c r="BN300" s="6" t="n">
        <v>0</v>
      </c>
    </row>
    <row r="301">
      <c r="D301" t="inlineStr">
        <is>
          <t>Swap notional schedule, semiannual (contract)</t>
        </is>
      </c>
      <c r="E301" t="inlineStr">
        <is>
          <t>USD m</t>
        </is>
      </c>
      <c r="J301" s="6" t="n">
        <v>0</v>
      </c>
      <c r="K301" s="6" t="n">
        <v>0</v>
      </c>
      <c r="L301" s="6" t="n">
        <v>0</v>
      </c>
      <c r="M301" s="6" t="n">
        <v>0</v>
      </c>
      <c r="N301" s="6" t="n">
        <v>0</v>
      </c>
      <c r="O301" s="6" t="n">
        <v>0</v>
      </c>
      <c r="P301" s="6" t="n">
        <v>506.6047800584543</v>
      </c>
      <c r="Q301" s="6" t="n">
        <v>494.2130082270505</v>
      </c>
      <c r="R301" s="6" t="n">
        <v>481.2967951729616</v>
      </c>
      <c r="S301" s="6" t="n">
        <v>467.7443461066698</v>
      </c>
      <c r="T301" s="6" t="n">
        <v>453.7925282911789</v>
      </c>
      <c r="U301" s="6" t="n">
        <v>439.1989318557941</v>
      </c>
      <c r="V301" s="6" t="n">
        <v>424.13991993927</v>
      </c>
      <c r="W301" s="6" t="n">
        <v>408.0971134137725</v>
      </c>
      <c r="X301" s="6" t="n">
        <v>391.5638881387553</v>
      </c>
      <c r="Y301" s="6" t="n">
        <v>375.4895877220902</v>
      </c>
      <c r="Z301" s="6" t="n">
        <v>359.4077235518013</v>
      </c>
      <c r="AA301" s="6" t="n">
        <v>342.6596206375829</v>
      </c>
      <c r="AB301" s="6" t="n">
        <v>325.4227660906203</v>
      </c>
      <c r="AC301" s="6" t="n">
        <v>307.362433086384</v>
      </c>
      <c r="AD301" s="6" t="n">
        <v>288.7037891303016</v>
      </c>
      <c r="AE301" s="6" t="n">
        <v>268.3299115307742</v>
      </c>
      <c r="AF301" s="6" t="n">
        <v>247.080353683255</v>
      </c>
      <c r="AG301" s="6" t="n">
        <v>225.0853233737332</v>
      </c>
      <c r="AH301" s="6" t="n">
        <v>202.6797950579354</v>
      </c>
      <c r="AI301" s="6" t="n">
        <v>179.1494747074693</v>
      </c>
      <c r="AJ301" s="6" t="n">
        <v>154.9282448221257</v>
      </c>
      <c r="AK301" s="6" t="n">
        <v>129.5376705544141</v>
      </c>
      <c r="AL301" s="6" t="n">
        <v>103.3252483584307</v>
      </c>
      <c r="AM301" s="6" t="n">
        <v>75.53120117391893</v>
      </c>
      <c r="AN301" s="6" t="n">
        <v>47.15945564157511</v>
      </c>
      <c r="AO301" s="6" t="n">
        <v>23.75310238699667</v>
      </c>
      <c r="AP301" s="6" t="n">
        <v>0</v>
      </c>
      <c r="AQ301" s="6" t="n">
        <v>0</v>
      </c>
      <c r="AR301" s="6" t="n">
        <v>0</v>
      </c>
      <c r="AS301" s="6" t="n">
        <v>0</v>
      </c>
      <c r="AT301" s="6" t="n">
        <v>0</v>
      </c>
      <c r="AU301" s="6" t="n">
        <v>0</v>
      </c>
      <c r="AV301" s="6" t="n">
        <v>0</v>
      </c>
      <c r="AW301" s="6" t="n">
        <v>0</v>
      </c>
      <c r="AX301" s="6" t="n">
        <v>0</v>
      </c>
      <c r="AY301" s="6" t="n">
        <v>0</v>
      </c>
      <c r="AZ301" s="6" t="n">
        <v>0</v>
      </c>
      <c r="BA301" s="6" t="n">
        <v>0</v>
      </c>
      <c r="BB301" s="6" t="n">
        <v>0</v>
      </c>
      <c r="BC301" s="6" t="n">
        <v>0</v>
      </c>
      <c r="BD301" s="6" t="n">
        <v>0</v>
      </c>
      <c r="BE301" s="6" t="n">
        <v>0</v>
      </c>
      <c r="BF301" s="6" t="n">
        <v>0</v>
      </c>
      <c r="BG301" s="6" t="n">
        <v>0</v>
      </c>
      <c r="BH301" s="6" t="n">
        <v>0</v>
      </c>
      <c r="BI301" s="6" t="n">
        <v>0</v>
      </c>
      <c r="BJ301" s="6" t="n">
        <v>0</v>
      </c>
      <c r="BK301" s="6" t="n">
        <v>0</v>
      </c>
      <c r="BL301" s="6" t="n">
        <v>0</v>
      </c>
      <c r="BM301" s="6" t="n">
        <v>0</v>
      </c>
      <c r="BN301" s="6" t="n">
        <v>0</v>
      </c>
    </row>
    <row r="302">
      <c r="D302" t="inlineStr">
        <is>
          <t>Availability profile by OY (8-year cycle, cols J-Q)</t>
        </is>
      </c>
      <c r="E302" t="inlineStr">
        <is>
          <t>%</t>
        </is>
      </c>
      <c r="J302" s="6" t="n">
        <v>93.8</v>
      </c>
      <c r="K302" s="6" t="n">
        <v>92.90000000000001</v>
      </c>
      <c r="L302" s="6" t="n">
        <v>93.8</v>
      </c>
      <c r="M302" s="6" t="n">
        <v>90.59999999999999</v>
      </c>
      <c r="N302" s="6" t="n">
        <v>93.8</v>
      </c>
      <c r="O302" s="6" t="n">
        <v>92.90000000000001</v>
      </c>
      <c r="P302" s="6" t="n">
        <v>93.8</v>
      </c>
      <c r="Q302" s="6" t="n">
        <v>88.7</v>
      </c>
    </row>
    <row r="303">
      <c r="D303" t="inlineStr">
        <is>
          <t>Actual dispatch when available, 2022 drought (annex 4.11)</t>
        </is>
      </c>
      <c r="E303" t="inlineStr">
        <is>
          <t>%</t>
        </is>
      </c>
      <c r="J303" s="6" t="n">
        <v>0</v>
      </c>
      <c r="K303" s="6" t="n">
        <v>0</v>
      </c>
      <c r="L303" s="6" t="n">
        <v>0</v>
      </c>
      <c r="M303" s="6" t="n">
        <v>0</v>
      </c>
      <c r="N303" s="6" t="n">
        <v>0</v>
      </c>
      <c r="O303" s="6" t="n">
        <v>0</v>
      </c>
      <c r="P303" s="6" t="n">
        <v>0</v>
      </c>
      <c r="Q303" s="6" t="n">
        <v>84</v>
      </c>
      <c r="R303" s="6" t="n">
        <v>81.5</v>
      </c>
      <c r="S303" s="6" t="n">
        <v>0</v>
      </c>
      <c r="T303" s="6" t="n">
        <v>0</v>
      </c>
      <c r="U303" s="6" t="n">
        <v>0</v>
      </c>
      <c r="V303" s="6" t="n">
        <v>0</v>
      </c>
      <c r="W303" s="6" t="n">
        <v>0</v>
      </c>
      <c r="X303" s="6" t="n">
        <v>0</v>
      </c>
      <c r="Y303" s="6" t="n">
        <v>0</v>
      </c>
      <c r="Z303" s="6" t="n">
        <v>0</v>
      </c>
      <c r="AA303" s="6" t="n">
        <v>0</v>
      </c>
      <c r="AB303" s="6" t="n">
        <v>0</v>
      </c>
      <c r="AC303" s="6" t="n">
        <v>0</v>
      </c>
      <c r="AD303" s="6" t="n">
        <v>0</v>
      </c>
      <c r="AE303" s="6" t="n">
        <v>0</v>
      </c>
      <c r="AF303" s="6" t="n">
        <v>0</v>
      </c>
      <c r="AG303" s="6" t="n">
        <v>0</v>
      </c>
      <c r="AH303" s="6" t="n">
        <v>0</v>
      </c>
      <c r="AI303" s="6" t="n">
        <v>0</v>
      </c>
      <c r="AJ303" s="6" t="n">
        <v>0</v>
      </c>
      <c r="AK303" s="6" t="n">
        <v>0</v>
      </c>
      <c r="AL303" s="6" t="n">
        <v>0</v>
      </c>
      <c r="AM303" s="6" t="n">
        <v>0</v>
      </c>
      <c r="AN303" s="6" t="n">
        <v>0</v>
      </c>
      <c r="AO303" s="6" t="n">
        <v>0</v>
      </c>
      <c r="AP303" s="6" t="n">
        <v>0</v>
      </c>
      <c r="AQ303" s="6" t="n">
        <v>0</v>
      </c>
      <c r="AR303" s="6" t="n">
        <v>0</v>
      </c>
      <c r="AS303" s="6" t="n">
        <v>0</v>
      </c>
      <c r="AT303" s="6" t="n">
        <v>0</v>
      </c>
      <c r="AU303" s="6" t="n">
        <v>0</v>
      </c>
      <c r="AV303" s="6" t="n">
        <v>0</v>
      </c>
      <c r="AW303" s="6" t="n">
        <v>0</v>
      </c>
      <c r="AX303" s="6" t="n">
        <v>0</v>
      </c>
      <c r="AY303" s="6" t="n">
        <v>0</v>
      </c>
      <c r="AZ303" s="6" t="n">
        <v>0</v>
      </c>
      <c r="BA303" s="6" t="n">
        <v>0</v>
      </c>
      <c r="BB303" s="6" t="n">
        <v>0</v>
      </c>
      <c r="BC303" s="6" t="n">
        <v>0</v>
      </c>
      <c r="BD303" s="6" t="n">
        <v>0</v>
      </c>
      <c r="BE303" s="6" t="n">
        <v>0</v>
      </c>
      <c r="BF303" s="6" t="n">
        <v>0</v>
      </c>
      <c r="BG303" s="6" t="n">
        <v>0</v>
      </c>
      <c r="BH303" s="6" t="n">
        <v>0</v>
      </c>
      <c r="BI303" s="6" t="n">
        <v>0</v>
      </c>
      <c r="BJ303" s="6" t="n">
        <v>0</v>
      </c>
      <c r="BK303" s="6" t="n">
        <v>0</v>
      </c>
      <c r="BL303" s="6" t="n">
        <v>0</v>
      </c>
      <c r="BM303" s="6" t="n">
        <v>0</v>
      </c>
      <c r="BN303" s="6" t="n">
        <v>0</v>
      </c>
    </row>
    <row r="304">
      <c r="B304" s="2" t="inlineStr">
        <is>
          <t>Monthly inputs (column J = Aug 2018 ... BJ = Dec 2022)</t>
        </is>
      </c>
    </row>
    <row r="305">
      <c r="D305" t="inlineStr">
        <is>
          <t>EPC payment profile, FC (33 months)</t>
        </is>
      </c>
      <c r="E305" t="inlineStr">
        <is>
          <t>%</t>
        </is>
      </c>
      <c r="J305" s="6" t="n">
        <v>10</v>
      </c>
      <c r="K305" s="6" t="n">
        <v>0.0108</v>
      </c>
      <c r="L305" s="6" t="n">
        <v>0.1133</v>
      </c>
      <c r="M305" s="6" t="n">
        <v>0.3239</v>
      </c>
      <c r="N305" s="6" t="n">
        <v>0.6294</v>
      </c>
      <c r="O305" s="6" t="n">
        <v>1.0114</v>
      </c>
      <c r="P305" s="6" t="n">
        <v>1.4496</v>
      </c>
      <c r="Q305" s="6" t="n">
        <v>1.9236</v>
      </c>
      <c r="R305" s="6" t="n">
        <v>2.4133</v>
      </c>
      <c r="S305" s="6" t="n">
        <v>2.8999</v>
      </c>
      <c r="T305" s="6" t="n">
        <v>3.3659</v>
      </c>
      <c r="U305" s="6" t="n">
        <v>3.7957</v>
      </c>
      <c r="V305" s="6" t="n">
        <v>4.1755</v>
      </c>
      <c r="W305" s="6" t="n">
        <v>4.4935</v>
      </c>
      <c r="X305" s="6" t="n">
        <v>4.7405</v>
      </c>
      <c r="Y305" s="6" t="n">
        <v>4.9091</v>
      </c>
      <c r="Z305" s="6" t="n">
        <v>4.9946</v>
      </c>
      <c r="AA305" s="6" t="n">
        <v>4.9946</v>
      </c>
      <c r="AB305" s="6" t="n">
        <v>4.9091</v>
      </c>
      <c r="AC305" s="6" t="n">
        <v>4.7405</v>
      </c>
      <c r="AD305" s="6" t="n">
        <v>4.4935</v>
      </c>
      <c r="AE305" s="6" t="n">
        <v>4.1755</v>
      </c>
      <c r="AF305" s="6" t="n">
        <v>3.7957</v>
      </c>
      <c r="AG305" s="6" t="n">
        <v>3.3659</v>
      </c>
      <c r="AH305" s="6" t="n">
        <v>2.8999</v>
      </c>
      <c r="AI305" s="6" t="n">
        <v>2.4133</v>
      </c>
      <c r="AJ305" s="6" t="n">
        <v>1.9236</v>
      </c>
      <c r="AK305" s="6" t="n">
        <v>1.4496</v>
      </c>
      <c r="AL305" s="6" t="n">
        <v>1.0114</v>
      </c>
      <c r="AM305" s="6" t="n">
        <v>0.6294</v>
      </c>
      <c r="AN305" s="6" t="n">
        <v>0.3239</v>
      </c>
      <c r="AO305" s="6" t="n">
        <v>0.1133</v>
      </c>
      <c r="AP305" s="6" t="n">
        <v>7.5108</v>
      </c>
    </row>
    <row r="306">
      <c r="D306" t="inlineStr">
        <is>
          <t>EPC payment profile, actual (40 months)</t>
        </is>
      </c>
      <c r="E306" t="inlineStr">
        <is>
          <t>%</t>
        </is>
      </c>
      <c r="J306" s="6" t="n">
        <v>10</v>
      </c>
      <c r="K306" s="6" t="n">
        <v>0.0102</v>
      </c>
      <c r="L306" s="6" t="n">
        <v>0.0868</v>
      </c>
      <c r="M306" s="6" t="n">
        <v>0.2284</v>
      </c>
      <c r="N306" s="6" t="n">
        <v>0.4235</v>
      </c>
      <c r="O306" s="6" t="n">
        <v>0.6612</v>
      </c>
      <c r="P306" s="6" t="n">
        <v>0.9313</v>
      </c>
      <c r="Q306" s="6" t="n">
        <v>1.2242</v>
      </c>
      <c r="R306" s="6" t="n">
        <v>1.5311</v>
      </c>
      <c r="S306" s="6" t="n">
        <v>1.8437</v>
      </c>
      <c r="T306" s="6" t="n">
        <v>2.1545</v>
      </c>
      <c r="U306" s="6" t="n">
        <v>2.4565</v>
      </c>
      <c r="V306" s="6" t="n">
        <v>2.7436</v>
      </c>
      <c r="W306" s="6" t="n">
        <v>3.01</v>
      </c>
      <c r="X306" s="6" t="n">
        <v>3.2509</v>
      </c>
      <c r="Y306" s="6" t="n">
        <v>3.4619</v>
      </c>
      <c r="Z306" s="6" t="n">
        <v>3.6396</v>
      </c>
      <c r="AA306" s="6" t="n">
        <v>3.7808</v>
      </c>
      <c r="AB306" s="6" t="n">
        <v>3.8833</v>
      </c>
      <c r="AC306" s="6" t="n">
        <v>3.9455</v>
      </c>
      <c r="AD306" s="6" t="n">
        <v>3.966</v>
      </c>
      <c r="AE306" s="6" t="n">
        <v>3.9455</v>
      </c>
      <c r="AF306" s="6" t="n">
        <v>3.8833</v>
      </c>
      <c r="AG306" s="6" t="n">
        <v>3.7808</v>
      </c>
      <c r="AH306" s="6" t="n">
        <v>3.6396</v>
      </c>
      <c r="AI306" s="6" t="n">
        <v>3.4619</v>
      </c>
      <c r="AJ306" s="6" t="n">
        <v>3.2509</v>
      </c>
      <c r="AK306" s="6" t="n">
        <v>3.01</v>
      </c>
      <c r="AL306" s="6" t="n">
        <v>2.7436</v>
      </c>
      <c r="AM306" s="6" t="n">
        <v>2.4565</v>
      </c>
      <c r="AN306" s="6" t="n">
        <v>2.1545</v>
      </c>
      <c r="AO306" s="6" t="n">
        <v>1.8437</v>
      </c>
      <c r="AP306" s="6" t="n">
        <v>1.5311</v>
      </c>
      <c r="AQ306" s="6" t="n">
        <v>1.2242</v>
      </c>
      <c r="AR306" s="6" t="n">
        <v>0.9313</v>
      </c>
      <c r="AS306" s="6" t="n">
        <v>0.6612</v>
      </c>
      <c r="AT306" s="6" t="n">
        <v>0.4235</v>
      </c>
      <c r="AU306" s="6" t="n">
        <v>0.2284</v>
      </c>
      <c r="AV306" s="6" t="n">
        <v>0.0868</v>
      </c>
      <c r="AW306" s="6" t="n">
        <v>7.5102</v>
      </c>
    </row>
    <row r="307">
      <c r="D307" t="inlineStr">
        <is>
          <t>Owner's cost profile, FC</t>
        </is>
      </c>
      <c r="E307" t="inlineStr">
        <is>
          <t>%</t>
        </is>
      </c>
      <c r="J307" s="6" t="n">
        <v>12</v>
      </c>
      <c r="K307" s="6" t="n">
        <v>2.75</v>
      </c>
      <c r="L307" s="6" t="n">
        <v>2.75</v>
      </c>
      <c r="M307" s="6" t="n">
        <v>2.75</v>
      </c>
      <c r="N307" s="6" t="n">
        <v>2.75</v>
      </c>
      <c r="O307" s="6" t="n">
        <v>2.75</v>
      </c>
      <c r="P307" s="6" t="n">
        <v>2.75</v>
      </c>
      <c r="Q307" s="6" t="n">
        <v>2.75</v>
      </c>
      <c r="R307" s="6" t="n">
        <v>2.75</v>
      </c>
      <c r="S307" s="6" t="n">
        <v>2.75</v>
      </c>
      <c r="T307" s="6" t="n">
        <v>2.75</v>
      </c>
      <c r="U307" s="6" t="n">
        <v>2.75</v>
      </c>
      <c r="V307" s="6" t="n">
        <v>2.75</v>
      </c>
      <c r="W307" s="6" t="n">
        <v>2.75</v>
      </c>
      <c r="X307" s="6" t="n">
        <v>2.75</v>
      </c>
      <c r="Y307" s="6" t="n">
        <v>2.75</v>
      </c>
      <c r="Z307" s="6" t="n">
        <v>2.75</v>
      </c>
      <c r="AA307" s="6" t="n">
        <v>2.75</v>
      </c>
      <c r="AB307" s="6" t="n">
        <v>2.75</v>
      </c>
      <c r="AC307" s="6" t="n">
        <v>2.75</v>
      </c>
      <c r="AD307" s="6" t="n">
        <v>2.75</v>
      </c>
      <c r="AE307" s="6" t="n">
        <v>2.75</v>
      </c>
      <c r="AF307" s="6" t="n">
        <v>2.75</v>
      </c>
      <c r="AG307" s="6" t="n">
        <v>2.75</v>
      </c>
      <c r="AH307" s="6" t="n">
        <v>2.75</v>
      </c>
      <c r="AI307" s="6" t="n">
        <v>2.75</v>
      </c>
      <c r="AJ307" s="6" t="n">
        <v>2.75</v>
      </c>
      <c r="AK307" s="6" t="n">
        <v>2.75</v>
      </c>
      <c r="AL307" s="6" t="n">
        <v>2.75</v>
      </c>
      <c r="AM307" s="6" t="n">
        <v>2.75</v>
      </c>
      <c r="AN307" s="6" t="n">
        <v>2.75</v>
      </c>
      <c r="AO307" s="6" t="n">
        <v>2.75</v>
      </c>
      <c r="AP307" s="6" t="n">
        <v>2.75</v>
      </c>
    </row>
    <row r="308">
      <c r="D308" t="inlineStr">
        <is>
          <t>Overrun items, actual (excl. extended owners)</t>
        </is>
      </c>
      <c r="E308" t="inlineStr">
        <is>
          <t>USD m</t>
        </is>
      </c>
      <c r="J308" s="6" t="n">
        <v>0</v>
      </c>
      <c r="K308" s="6" t="n">
        <v>0</v>
      </c>
      <c r="L308" s="6" t="n">
        <v>0</v>
      </c>
      <c r="M308" s="6" t="n">
        <v>0</v>
      </c>
      <c r="N308" s="6" t="n">
        <v>0</v>
      </c>
      <c r="O308" s="6" t="n">
        <v>0</v>
      </c>
      <c r="P308" s="6" t="n">
        <v>0</v>
      </c>
      <c r="Q308" s="6" t="n">
        <v>0</v>
      </c>
      <c r="R308" s="6" t="n">
        <v>0</v>
      </c>
      <c r="S308" s="6" t="n">
        <v>0</v>
      </c>
      <c r="T308" s="6" t="n">
        <v>0</v>
      </c>
      <c r="U308" s="6" t="n">
        <v>0</v>
      </c>
      <c r="V308" s="6" t="n">
        <v>0</v>
      </c>
      <c r="W308" s="6" t="n">
        <v>0</v>
      </c>
      <c r="X308" s="6" t="n">
        <v>0</v>
      </c>
      <c r="Y308" s="6" t="n">
        <v>0</v>
      </c>
      <c r="Z308" s="6" t="n">
        <v>0</v>
      </c>
      <c r="AA308" s="6" t="n">
        <v>0</v>
      </c>
      <c r="AB308" s="6" t="n">
        <v>0</v>
      </c>
      <c r="AC308" s="6" t="n">
        <v>0</v>
      </c>
      <c r="AD308" s="6" t="n">
        <v>0.3425</v>
      </c>
      <c r="AE308" s="6" t="n">
        <v>0.3425</v>
      </c>
      <c r="AF308" s="6" t="n">
        <v>0.3425</v>
      </c>
      <c r="AG308" s="6" t="n">
        <v>0.3425</v>
      </c>
      <c r="AH308" s="6" t="n">
        <v>0.3425</v>
      </c>
      <c r="AI308" s="6" t="n">
        <v>0.3425</v>
      </c>
      <c r="AJ308" s="6" t="n">
        <v>1.909166666666667</v>
      </c>
      <c r="AK308" s="6" t="n">
        <v>1.909166666666667</v>
      </c>
      <c r="AL308" s="6" t="n">
        <v>1.909166666666667</v>
      </c>
      <c r="AM308" s="6" t="n">
        <v>2.454166666666667</v>
      </c>
      <c r="AN308" s="6" t="n">
        <v>2.454166666666667</v>
      </c>
      <c r="AO308" s="6" t="n">
        <v>2.454166666666667</v>
      </c>
      <c r="AP308" s="6" t="n">
        <v>0.545</v>
      </c>
      <c r="AQ308" s="6" t="n">
        <v>8.112142857142857</v>
      </c>
      <c r="AR308" s="6" t="n">
        <v>6.692142857142858</v>
      </c>
      <c r="AS308" s="6" t="n">
        <v>7.147142857142857</v>
      </c>
      <c r="AT308" s="6" t="n">
        <v>6.147142857142857</v>
      </c>
      <c r="AU308" s="6" t="n">
        <v>8.787142857142857</v>
      </c>
      <c r="AV308" s="6" t="n">
        <v>6.832142857142857</v>
      </c>
      <c r="AW308" s="6" t="n">
        <v>15.10214285714286</v>
      </c>
      <c r="AX308" s="6" t="n">
        <v>0</v>
      </c>
      <c r="AY308" s="6" t="n">
        <v>0</v>
      </c>
      <c r="AZ308" s="6" t="n">
        <v>0</v>
      </c>
      <c r="BA308" s="6" t="n">
        <v>0</v>
      </c>
      <c r="BB308" s="6" t="n">
        <v>0</v>
      </c>
      <c r="BC308" s="6" t="n">
        <v>0</v>
      </c>
      <c r="BD308" s="6" t="n">
        <v>0</v>
      </c>
      <c r="BE308" s="6" t="n">
        <v>0</v>
      </c>
      <c r="BF308" s="6" t="n">
        <v>0</v>
      </c>
      <c r="BG308" s="6" t="n">
        <v>0</v>
      </c>
      <c r="BH308" s="6" t="n">
        <v>0</v>
      </c>
      <c r="BI308" s="6" t="n">
        <v>0</v>
      </c>
      <c r="BJ308" s="6" t="n">
        <v>0</v>
      </c>
    </row>
    <row r="309">
      <c r="D309" t="inlineStr">
        <is>
          <t>Swap notional schedule, monthly (contract)</t>
        </is>
      </c>
      <c r="E309" t="inlineStr">
        <is>
          <t>USD m</t>
        </is>
      </c>
      <c r="J309" s="6" t="n">
        <v>0</v>
      </c>
      <c r="K309" s="6" t="n">
        <v>72.03829474521896</v>
      </c>
      <c r="L309" s="6" t="n">
        <v>73.51887276343012</v>
      </c>
      <c r="M309" s="6" t="n">
        <v>75.40617553902828</v>
      </c>
      <c r="N309" s="6" t="n">
        <v>78.07421473717562</v>
      </c>
      <c r="O309" s="6" t="n">
        <v>81.91599308048065</v>
      </c>
      <c r="P309" s="6" t="n">
        <v>87.21000268067854</v>
      </c>
      <c r="Q309" s="6" t="n">
        <v>94.11618703202072</v>
      </c>
      <c r="R309" s="6" t="n">
        <v>102.8823415907884</v>
      </c>
      <c r="S309" s="6" t="n">
        <v>113.5022413334215</v>
      </c>
      <c r="T309" s="6" t="n">
        <v>126.0097195597594</v>
      </c>
      <c r="U309" s="6" t="n">
        <v>140.2836182208805</v>
      </c>
      <c r="V309" s="6" t="n">
        <v>156.2511438360465</v>
      </c>
      <c r="W309" s="6" t="n">
        <v>173.7077024568702</v>
      </c>
      <c r="X309" s="6" t="n">
        <v>192.4025609545302</v>
      </c>
      <c r="Y309" s="6" t="n">
        <v>212.1224961922896</v>
      </c>
      <c r="Z309" s="6" t="n">
        <v>232.5249987992842</v>
      </c>
      <c r="AA309" s="6" t="n">
        <v>253.3550550829947</v>
      </c>
      <c r="AB309" s="6" t="n">
        <v>274.9625112136583</v>
      </c>
      <c r="AC309" s="6" t="n">
        <v>295.573347969675</v>
      </c>
      <c r="AD309" s="6" t="n">
        <v>315.6942886417129</v>
      </c>
      <c r="AE309" s="6" t="n">
        <v>334.9285707017309</v>
      </c>
      <c r="AF309" s="6" t="n">
        <v>353.0762113009259</v>
      </c>
      <c r="AG309" s="6" t="n">
        <v>369.8270855783692</v>
      </c>
      <c r="AH309" s="6" t="n">
        <v>385.0658631524328</v>
      </c>
      <c r="AI309" s="6" t="n">
        <v>398.6100572520498</v>
      </c>
      <c r="AJ309" s="6" t="n">
        <v>410.3341888433459</v>
      </c>
      <c r="AK309" s="6" t="n">
        <v>420.3015849535684</v>
      </c>
      <c r="AL309" s="6" t="n">
        <v>428.480478068478</v>
      </c>
      <c r="AM309" s="6" t="n">
        <v>435.0832520222062</v>
      </c>
      <c r="AN309" s="6" t="n">
        <v>440.2743361688925</v>
      </c>
      <c r="AO309" s="6" t="n">
        <v>444.2027041636388</v>
      </c>
      <c r="AP309" s="6" t="n">
        <v>447.4816350572161</v>
      </c>
      <c r="AQ309" s="6" t="n">
        <v>479.6249919693773</v>
      </c>
      <c r="AR309" s="6" t="n">
        <v>504.4002583438451</v>
      </c>
      <c r="AS309" s="6" t="n">
        <v>0</v>
      </c>
      <c r="AT309" s="6" t="n">
        <v>0</v>
      </c>
      <c r="AU309" s="6" t="n">
        <v>0</v>
      </c>
      <c r="AV309" s="6" t="n">
        <v>0</v>
      </c>
      <c r="AW309" s="6" t="n">
        <v>0</v>
      </c>
      <c r="AX309" s="6" t="n">
        <v>0</v>
      </c>
      <c r="AY309" s="6" t="n">
        <v>0</v>
      </c>
      <c r="AZ309" s="6" t="n">
        <v>0</v>
      </c>
      <c r="BA309" s="6" t="n">
        <v>0</v>
      </c>
      <c r="BB309" s="6" t="n">
        <v>0</v>
      </c>
      <c r="BC309" s="6" t="n">
        <v>0</v>
      </c>
      <c r="BD309" s="6" t="n">
        <v>0</v>
      </c>
      <c r="BE309" s="6" t="n">
        <v>0</v>
      </c>
      <c r="BF309" s="6" t="n">
        <v>0</v>
      </c>
      <c r="BG309" s="6" t="n">
        <v>0</v>
      </c>
      <c r="BH309" s="6" t="n">
        <v>0</v>
      </c>
      <c r="BI309" s="6" t="n">
        <v>0</v>
      </c>
      <c r="BJ309" s="6"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N55"/>
  <sheetViews>
    <sheetView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s>
  <sheetData>
    <row r="1">
      <c r="A1" s="1" t="inlineStr">
        <is>
          <t>Case P: Belanou Combined Cycle Power Project, Republic of Kessara</t>
        </is>
      </c>
    </row>
    <row r="2">
      <c r="A2" t="inlineStr">
        <is>
          <t>Time: semiannual operating timeline (monthly timeline on the Construction sheet)</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s="2" t="inlineStr">
        <is>
          <t>Period ending</t>
        </is>
      </c>
      <c r="J5" s="4" t="inlineStr">
        <is>
          <t>2018H2</t>
        </is>
      </c>
      <c r="K5" s="4" t="inlineStr">
        <is>
          <t>2019H1</t>
        </is>
      </c>
      <c r="L5" s="4" t="inlineStr">
        <is>
          <t>2019H2</t>
        </is>
      </c>
      <c r="M5" s="4" t="inlineStr">
        <is>
          <t>2020H1</t>
        </is>
      </c>
      <c r="N5" s="4" t="inlineStr">
        <is>
          <t>2020H2</t>
        </is>
      </c>
      <c r="O5" s="4" t="inlineStr">
        <is>
          <t>2021H1</t>
        </is>
      </c>
      <c r="P5" s="4" t="inlineStr">
        <is>
          <t>2021H2</t>
        </is>
      </c>
      <c r="Q5" s="4" t="inlineStr">
        <is>
          <t>2022H1</t>
        </is>
      </c>
      <c r="R5" s="4" t="inlineStr">
        <is>
          <t>2022H2</t>
        </is>
      </c>
      <c r="S5" s="4" t="inlineStr">
        <is>
          <t>2023H1</t>
        </is>
      </c>
      <c r="T5" s="4" t="inlineStr">
        <is>
          <t>2023H2</t>
        </is>
      </c>
      <c r="U5" s="4" t="inlineStr">
        <is>
          <t>2024H1</t>
        </is>
      </c>
      <c r="V5" s="4" t="inlineStr">
        <is>
          <t>2024H2</t>
        </is>
      </c>
      <c r="W5" s="4" t="inlineStr">
        <is>
          <t>2025H1</t>
        </is>
      </c>
      <c r="X5" s="4" t="inlineStr">
        <is>
          <t>2025H2</t>
        </is>
      </c>
      <c r="Y5" s="4" t="inlineStr">
        <is>
          <t>2026H1</t>
        </is>
      </c>
      <c r="Z5" s="4" t="inlineStr">
        <is>
          <t>2026H2</t>
        </is>
      </c>
      <c r="AA5" s="4" t="inlineStr">
        <is>
          <t>2027H1</t>
        </is>
      </c>
      <c r="AB5" s="4" t="inlineStr">
        <is>
          <t>2027H2</t>
        </is>
      </c>
      <c r="AC5" s="4" t="inlineStr">
        <is>
          <t>2028H1</t>
        </is>
      </c>
      <c r="AD5" s="4" t="inlineStr">
        <is>
          <t>2028H2</t>
        </is>
      </c>
      <c r="AE5" s="4" t="inlineStr">
        <is>
          <t>2029H1</t>
        </is>
      </c>
      <c r="AF5" s="4" t="inlineStr">
        <is>
          <t>2029H2</t>
        </is>
      </c>
      <c r="AG5" s="4" t="inlineStr">
        <is>
          <t>2030H1</t>
        </is>
      </c>
      <c r="AH5" s="4" t="inlineStr">
        <is>
          <t>2030H2</t>
        </is>
      </c>
      <c r="AI5" s="4" t="inlineStr">
        <is>
          <t>2031H1</t>
        </is>
      </c>
      <c r="AJ5" s="4" t="inlineStr">
        <is>
          <t>2031H2</t>
        </is>
      </c>
      <c r="AK5" s="4" t="inlineStr">
        <is>
          <t>2032H1</t>
        </is>
      </c>
      <c r="AL5" s="4" t="inlineStr">
        <is>
          <t>2032H2</t>
        </is>
      </c>
      <c r="AM5" s="4" t="inlineStr">
        <is>
          <t>2033H1</t>
        </is>
      </c>
      <c r="AN5" s="4" t="inlineStr">
        <is>
          <t>2033H2</t>
        </is>
      </c>
      <c r="AO5" s="4" t="inlineStr">
        <is>
          <t>2034H1</t>
        </is>
      </c>
      <c r="AP5" s="4" t="inlineStr">
        <is>
          <t>2034H2</t>
        </is>
      </c>
      <c r="AQ5" s="4" t="inlineStr">
        <is>
          <t>2035H1</t>
        </is>
      </c>
      <c r="AR5" s="4" t="inlineStr">
        <is>
          <t>2035H2</t>
        </is>
      </c>
      <c r="AS5" s="4" t="inlineStr">
        <is>
          <t>2036H1</t>
        </is>
      </c>
      <c r="AT5" s="4" t="inlineStr">
        <is>
          <t>2036H2</t>
        </is>
      </c>
      <c r="AU5" s="4" t="inlineStr">
        <is>
          <t>2037H1</t>
        </is>
      </c>
      <c r="AV5" s="4" t="inlineStr">
        <is>
          <t>2037H2</t>
        </is>
      </c>
      <c r="AW5" s="4" t="inlineStr">
        <is>
          <t>2038H1</t>
        </is>
      </c>
      <c r="AX5" s="4" t="inlineStr">
        <is>
          <t>2038H2</t>
        </is>
      </c>
      <c r="AY5" s="4" t="inlineStr">
        <is>
          <t>2039H1</t>
        </is>
      </c>
      <c r="AZ5" s="4" t="inlineStr">
        <is>
          <t>2039H2</t>
        </is>
      </c>
      <c r="BA5" s="4" t="inlineStr">
        <is>
          <t>2040H1</t>
        </is>
      </c>
      <c r="BB5" s="4" t="inlineStr">
        <is>
          <t>2040H2</t>
        </is>
      </c>
      <c r="BC5" s="4" t="inlineStr">
        <is>
          <t>2041H1</t>
        </is>
      </c>
      <c r="BD5" s="4" t="inlineStr">
        <is>
          <t>2041H2</t>
        </is>
      </c>
      <c r="BE5" s="4" t="inlineStr">
        <is>
          <t>2042H1</t>
        </is>
      </c>
      <c r="BF5" s="4" t="inlineStr">
        <is>
          <t>2042H2</t>
        </is>
      </c>
      <c r="BG5" s="4" t="inlineStr">
        <is>
          <t>2043H1</t>
        </is>
      </c>
      <c r="BH5" s="4" t="inlineStr">
        <is>
          <t>2043H2</t>
        </is>
      </c>
      <c r="BI5" s="4" t="inlineStr">
        <is>
          <t>2044H1</t>
        </is>
      </c>
      <c r="BJ5" s="4" t="inlineStr">
        <is>
          <t>2044H2</t>
        </is>
      </c>
      <c r="BK5" s="4" t="inlineStr">
        <is>
          <t>2045H1</t>
        </is>
      </c>
      <c r="BL5" s="4" t="inlineStr">
        <is>
          <t>2045H2</t>
        </is>
      </c>
      <c r="BM5" s="4" t="inlineStr">
        <is>
          <t>2046H1</t>
        </is>
      </c>
      <c r="BN5" s="4" t="inlineStr">
        <is>
          <t>2046H2</t>
        </is>
      </c>
    </row>
    <row r="7">
      <c r="B7" s="2" t="inlineStr">
        <is>
          <t>Key dates (scenario-dependent)</t>
        </is>
      </c>
    </row>
    <row r="8">
      <c r="D8" t="inlineStr">
        <is>
          <t>Commercial operation date</t>
        </is>
      </c>
      <c r="E8" t="inlineStr">
        <is>
          <t>date</t>
        </is>
      </c>
      <c r="F8" s="10">
        <f>IF(Inputs!$F$34&lt;&gt;1,Inputs!$F$191,EDATE(Inputs!$F$190,Inputs!$F$35))</f>
        <v/>
      </c>
    </row>
    <row r="9">
      <c r="D9" t="inlineStr">
        <is>
          <t>PPA term</t>
        </is>
      </c>
      <c r="E9" t="inlineStr">
        <is>
          <t>months</t>
        </is>
      </c>
      <c r="F9" s="9">
        <f>Inputs!$F$210*12</f>
        <v/>
      </c>
    </row>
    <row r="10">
      <c r="D10" t="inlineStr">
        <is>
          <t>PPA expiry</t>
        </is>
      </c>
      <c r="E10" t="inlineStr">
        <is>
          <t>date</t>
        </is>
      </c>
      <c r="F10" s="10">
        <f>EDATE(Time!$F$8,Time!$F$9)-1</f>
        <v/>
      </c>
    </row>
    <row r="11">
      <c r="D11" t="inlineStr">
        <is>
          <t>Construction months (NTP to COD)</t>
        </is>
      </c>
      <c r="E11" t="inlineStr">
        <is>
          <t>months</t>
        </is>
      </c>
      <c r="F11" s="9">
        <f>(YEAR(Time!$F$8)-YEAR(Inputs!$F$188))*12+MONTH(Time!$F$8)-MONTH(Inputs!$F$188)</f>
        <v/>
      </c>
    </row>
    <row r="12">
      <c r="D12" t="inlineStr">
        <is>
          <t>Period containing COD (period number)</t>
        </is>
      </c>
      <c r="E12" t="inlineStr">
        <is>
          <t>index</t>
        </is>
      </c>
      <c r="F12" s="9">
        <f>MATCH($F$8,$J$22:$BN$22,1)</f>
        <v/>
      </c>
    </row>
    <row r="13">
      <c r="D13" t="inlineStr">
        <is>
          <t>First debt service period</t>
        </is>
      </c>
      <c r="E13" t="inlineStr">
        <is>
          <t>index</t>
        </is>
      </c>
      <c r="F13" s="9">
        <f>Time!$F$12+1</f>
        <v/>
      </c>
    </row>
    <row r="14">
      <c r="D14" t="inlineStr">
        <is>
          <t>Last month of the funding period (month number)</t>
        </is>
      </c>
      <c r="E14" t="inlineStr">
        <is>
          <t>index</t>
        </is>
      </c>
      <c r="F14" s="9">
        <f>MATCH(INDEX($J$23:$BN$23,1,$F$12),Construction!$J$10:$BJ$10,0)</f>
        <v/>
      </c>
    </row>
    <row r="15">
      <c r="D15" t="inlineStr">
        <is>
          <t>Last operating period (period number)</t>
        </is>
      </c>
      <c r="E15" t="inlineStr">
        <is>
          <t>index</t>
        </is>
      </c>
      <c r="F15" s="9">
        <f>SUMPRODUCT($J$37:$BN$37,$J$20:$BN$20)</f>
        <v/>
      </c>
    </row>
    <row r="16">
      <c r="D16" t="inlineStr">
        <is>
          <t>FC FX drift per year (Kessara / US CPI expectations)</t>
        </is>
      </c>
      <c r="E16" t="inlineStr">
        <is>
          <t>factor</t>
        </is>
      </c>
      <c r="F16" s="11">
        <f>(1+Inputs!$F$213/100)/(1+Inputs!$F$214/100)</f>
        <v/>
      </c>
    </row>
    <row r="17">
      <c r="D17" t="inlineStr">
        <is>
          <t>Refinancing period (period number)</t>
        </is>
      </c>
      <c r="E17" t="inlineStr">
        <is>
          <t>index</t>
        </is>
      </c>
      <c r="F17" s="9">
        <f>MATCH(Inputs!$F$205,$J$23:$BN$23,0)</f>
        <v/>
      </c>
    </row>
    <row r="18">
      <c r="D18" t="inlineStr">
        <is>
          <t>Deferral period (period number)</t>
        </is>
      </c>
      <c r="E18" t="inlineStr">
        <is>
          <t>index</t>
        </is>
      </c>
      <c r="F18" s="9">
        <f>MATCH(Inputs!$F$200,$J$23:$BN$23,0)</f>
        <v/>
      </c>
    </row>
    <row r="19">
      <c r="B19" s="2" t="inlineStr">
        <is>
          <t>Semiannual timeline</t>
        </is>
      </c>
    </row>
    <row r="20">
      <c r="D20" t="inlineStr">
        <is>
          <t>Period number</t>
        </is>
      </c>
      <c r="E20" t="inlineStr">
        <is>
          <t>index</t>
        </is>
      </c>
      <c r="J20" s="9">
        <f>I20+1</f>
        <v/>
      </c>
      <c r="K20" s="9">
        <f>J20+1</f>
        <v/>
      </c>
      <c r="L20" s="9">
        <f>K20+1</f>
        <v/>
      </c>
      <c r="M20" s="9">
        <f>L20+1</f>
        <v/>
      </c>
      <c r="N20" s="9">
        <f>M20+1</f>
        <v/>
      </c>
      <c r="O20" s="9">
        <f>N20+1</f>
        <v/>
      </c>
      <c r="P20" s="9">
        <f>O20+1</f>
        <v/>
      </c>
      <c r="Q20" s="9">
        <f>P20+1</f>
        <v/>
      </c>
      <c r="R20" s="9">
        <f>Q20+1</f>
        <v/>
      </c>
      <c r="S20" s="9">
        <f>R20+1</f>
        <v/>
      </c>
      <c r="T20" s="9">
        <f>S20+1</f>
        <v/>
      </c>
      <c r="U20" s="9">
        <f>T20+1</f>
        <v/>
      </c>
      <c r="V20" s="9">
        <f>U20+1</f>
        <v/>
      </c>
      <c r="W20" s="9">
        <f>V20+1</f>
        <v/>
      </c>
      <c r="X20" s="9">
        <f>W20+1</f>
        <v/>
      </c>
      <c r="Y20" s="9">
        <f>X20+1</f>
        <v/>
      </c>
      <c r="Z20" s="9">
        <f>Y20+1</f>
        <v/>
      </c>
      <c r="AA20" s="9">
        <f>Z20+1</f>
        <v/>
      </c>
      <c r="AB20" s="9">
        <f>AA20+1</f>
        <v/>
      </c>
      <c r="AC20" s="9">
        <f>AB20+1</f>
        <v/>
      </c>
      <c r="AD20" s="9">
        <f>AC20+1</f>
        <v/>
      </c>
      <c r="AE20" s="9">
        <f>AD20+1</f>
        <v/>
      </c>
      <c r="AF20" s="9">
        <f>AE20+1</f>
        <v/>
      </c>
      <c r="AG20" s="9">
        <f>AF20+1</f>
        <v/>
      </c>
      <c r="AH20" s="9">
        <f>AG20+1</f>
        <v/>
      </c>
      <c r="AI20" s="9">
        <f>AH20+1</f>
        <v/>
      </c>
      <c r="AJ20" s="9">
        <f>AI20+1</f>
        <v/>
      </c>
      <c r="AK20" s="9">
        <f>AJ20+1</f>
        <v/>
      </c>
      <c r="AL20" s="9">
        <f>AK20+1</f>
        <v/>
      </c>
      <c r="AM20" s="9">
        <f>AL20+1</f>
        <v/>
      </c>
      <c r="AN20" s="9">
        <f>AM20+1</f>
        <v/>
      </c>
      <c r="AO20" s="9">
        <f>AN20+1</f>
        <v/>
      </c>
      <c r="AP20" s="9">
        <f>AO20+1</f>
        <v/>
      </c>
      <c r="AQ20" s="9">
        <f>AP20+1</f>
        <v/>
      </c>
      <c r="AR20" s="9">
        <f>AQ20+1</f>
        <v/>
      </c>
      <c r="AS20" s="9">
        <f>AR20+1</f>
        <v/>
      </c>
      <c r="AT20" s="9">
        <f>AS20+1</f>
        <v/>
      </c>
      <c r="AU20" s="9">
        <f>AT20+1</f>
        <v/>
      </c>
      <c r="AV20" s="9">
        <f>AU20+1</f>
        <v/>
      </c>
      <c r="AW20" s="9">
        <f>AV20+1</f>
        <v/>
      </c>
      <c r="AX20" s="9">
        <f>AW20+1</f>
        <v/>
      </c>
      <c r="AY20" s="9">
        <f>AX20+1</f>
        <v/>
      </c>
      <c r="AZ20" s="9">
        <f>AY20+1</f>
        <v/>
      </c>
      <c r="BA20" s="9">
        <f>AZ20+1</f>
        <v/>
      </c>
      <c r="BB20" s="9">
        <f>BA20+1</f>
        <v/>
      </c>
      <c r="BC20" s="9">
        <f>BB20+1</f>
        <v/>
      </c>
      <c r="BD20" s="9">
        <f>BC20+1</f>
        <v/>
      </c>
      <c r="BE20" s="9">
        <f>BD20+1</f>
        <v/>
      </c>
      <c r="BF20" s="9">
        <f>BE20+1</f>
        <v/>
      </c>
      <c r="BG20" s="9">
        <f>BF20+1</f>
        <v/>
      </c>
      <c r="BH20" s="9">
        <f>BG20+1</f>
        <v/>
      </c>
      <c r="BI20" s="9">
        <f>BH20+1</f>
        <v/>
      </c>
      <c r="BJ20" s="9">
        <f>BI20+1</f>
        <v/>
      </c>
      <c r="BK20" s="9">
        <f>BJ20+1</f>
        <v/>
      </c>
      <c r="BL20" s="9">
        <f>BK20+1</f>
        <v/>
      </c>
      <c r="BM20" s="9">
        <f>BL20+1</f>
        <v/>
      </c>
      <c r="BN20" s="9">
        <f>BM20+1</f>
        <v/>
      </c>
    </row>
    <row r="21">
      <c r="D21" t="inlineStr">
        <is>
          <t>Months per period</t>
        </is>
      </c>
      <c r="E21" t="inlineStr">
        <is>
          <t>months</t>
        </is>
      </c>
      <c r="J21" s="12">
        <f>Inputs!$F$226</f>
        <v/>
      </c>
      <c r="K21" s="12">
        <f>Inputs!$F$226</f>
        <v/>
      </c>
      <c r="L21" s="12">
        <f>Inputs!$F$226</f>
        <v/>
      </c>
      <c r="M21" s="12">
        <f>Inputs!$F$226</f>
        <v/>
      </c>
      <c r="N21" s="12">
        <f>Inputs!$F$226</f>
        <v/>
      </c>
      <c r="O21" s="12">
        <f>Inputs!$F$226</f>
        <v/>
      </c>
      <c r="P21" s="12">
        <f>Inputs!$F$226</f>
        <v/>
      </c>
      <c r="Q21" s="12">
        <f>Inputs!$F$226</f>
        <v/>
      </c>
      <c r="R21" s="12">
        <f>Inputs!$F$226</f>
        <v/>
      </c>
      <c r="S21" s="12">
        <f>Inputs!$F$226</f>
        <v/>
      </c>
      <c r="T21" s="12">
        <f>Inputs!$F$226</f>
        <v/>
      </c>
      <c r="U21" s="12">
        <f>Inputs!$F$226</f>
        <v/>
      </c>
      <c r="V21" s="12">
        <f>Inputs!$F$226</f>
        <v/>
      </c>
      <c r="W21" s="12">
        <f>Inputs!$F$226</f>
        <v/>
      </c>
      <c r="X21" s="12">
        <f>Inputs!$F$226</f>
        <v/>
      </c>
      <c r="Y21" s="12">
        <f>Inputs!$F$226</f>
        <v/>
      </c>
      <c r="Z21" s="12">
        <f>Inputs!$F$226</f>
        <v/>
      </c>
      <c r="AA21" s="12">
        <f>Inputs!$F$226</f>
        <v/>
      </c>
      <c r="AB21" s="12">
        <f>Inputs!$F$226</f>
        <v/>
      </c>
      <c r="AC21" s="12">
        <f>Inputs!$F$226</f>
        <v/>
      </c>
      <c r="AD21" s="12">
        <f>Inputs!$F$226</f>
        <v/>
      </c>
      <c r="AE21" s="12">
        <f>Inputs!$F$226</f>
        <v/>
      </c>
      <c r="AF21" s="12">
        <f>Inputs!$F$226</f>
        <v/>
      </c>
      <c r="AG21" s="12">
        <f>Inputs!$F$226</f>
        <v/>
      </c>
      <c r="AH21" s="12">
        <f>Inputs!$F$226</f>
        <v/>
      </c>
      <c r="AI21" s="12">
        <f>Inputs!$F$226</f>
        <v/>
      </c>
      <c r="AJ21" s="12">
        <f>Inputs!$F$226</f>
        <v/>
      </c>
      <c r="AK21" s="12">
        <f>Inputs!$F$226</f>
        <v/>
      </c>
      <c r="AL21" s="12">
        <f>Inputs!$F$226</f>
        <v/>
      </c>
      <c r="AM21" s="12">
        <f>Inputs!$F$226</f>
        <v/>
      </c>
      <c r="AN21" s="12">
        <f>Inputs!$F$226</f>
        <v/>
      </c>
      <c r="AO21" s="12">
        <f>Inputs!$F$226</f>
        <v/>
      </c>
      <c r="AP21" s="12">
        <f>Inputs!$F$226</f>
        <v/>
      </c>
      <c r="AQ21" s="12">
        <f>Inputs!$F$226</f>
        <v/>
      </c>
      <c r="AR21" s="12">
        <f>Inputs!$F$226</f>
        <v/>
      </c>
      <c r="AS21" s="12">
        <f>Inputs!$F$226</f>
        <v/>
      </c>
      <c r="AT21" s="12">
        <f>Inputs!$F$226</f>
        <v/>
      </c>
      <c r="AU21" s="12">
        <f>Inputs!$F$226</f>
        <v/>
      </c>
      <c r="AV21" s="12">
        <f>Inputs!$F$226</f>
        <v/>
      </c>
      <c r="AW21" s="12">
        <f>Inputs!$F$226</f>
        <v/>
      </c>
      <c r="AX21" s="12">
        <f>Inputs!$F$226</f>
        <v/>
      </c>
      <c r="AY21" s="12">
        <f>Inputs!$F$226</f>
        <v/>
      </c>
      <c r="AZ21" s="12">
        <f>Inputs!$F$226</f>
        <v/>
      </c>
      <c r="BA21" s="12">
        <f>Inputs!$F$226</f>
        <v/>
      </c>
      <c r="BB21" s="12">
        <f>Inputs!$F$226</f>
        <v/>
      </c>
      <c r="BC21" s="12">
        <f>Inputs!$F$226</f>
        <v/>
      </c>
      <c r="BD21" s="12">
        <f>Inputs!$F$226</f>
        <v/>
      </c>
      <c r="BE21" s="12">
        <f>Inputs!$F$226</f>
        <v/>
      </c>
      <c r="BF21" s="12">
        <f>Inputs!$F$226</f>
        <v/>
      </c>
      <c r="BG21" s="12">
        <f>Inputs!$F$226</f>
        <v/>
      </c>
      <c r="BH21" s="12">
        <f>Inputs!$F$226</f>
        <v/>
      </c>
      <c r="BI21" s="12">
        <f>Inputs!$F$226</f>
        <v/>
      </c>
      <c r="BJ21" s="12">
        <f>Inputs!$F$226</f>
        <v/>
      </c>
      <c r="BK21" s="12">
        <f>Inputs!$F$226</f>
        <v/>
      </c>
      <c r="BL21" s="12">
        <f>Inputs!$F$226</f>
        <v/>
      </c>
      <c r="BM21" s="12">
        <f>Inputs!$F$226</f>
        <v/>
      </c>
      <c r="BN21" s="12">
        <f>Inputs!$F$226</f>
        <v/>
      </c>
    </row>
    <row r="22">
      <c r="D22" t="inlineStr">
        <is>
          <t>Period start</t>
        </is>
      </c>
      <c r="E22" t="inlineStr">
        <is>
          <t>date</t>
        </is>
      </c>
      <c r="J22" s="10">
        <f>IF(J20=1,Inputs!$F$189,EDATE(I22,J21))</f>
        <v/>
      </c>
      <c r="K22" s="10">
        <f>IF(K20=1,Inputs!$F$189,EDATE(J22,K21))</f>
        <v/>
      </c>
      <c r="L22" s="10">
        <f>IF(L20=1,Inputs!$F$189,EDATE(K22,L21))</f>
        <v/>
      </c>
      <c r="M22" s="10">
        <f>IF(M20=1,Inputs!$F$189,EDATE(L22,M21))</f>
        <v/>
      </c>
      <c r="N22" s="10">
        <f>IF(N20=1,Inputs!$F$189,EDATE(M22,N21))</f>
        <v/>
      </c>
      <c r="O22" s="10">
        <f>IF(O20=1,Inputs!$F$189,EDATE(N22,O21))</f>
        <v/>
      </c>
      <c r="P22" s="10">
        <f>IF(P20=1,Inputs!$F$189,EDATE(O22,P21))</f>
        <v/>
      </c>
      <c r="Q22" s="10">
        <f>IF(Q20=1,Inputs!$F$189,EDATE(P22,Q21))</f>
        <v/>
      </c>
      <c r="R22" s="10">
        <f>IF(R20=1,Inputs!$F$189,EDATE(Q22,R21))</f>
        <v/>
      </c>
      <c r="S22" s="10">
        <f>IF(S20=1,Inputs!$F$189,EDATE(R22,S21))</f>
        <v/>
      </c>
      <c r="T22" s="10">
        <f>IF(T20=1,Inputs!$F$189,EDATE(S22,T21))</f>
        <v/>
      </c>
      <c r="U22" s="10">
        <f>IF(U20=1,Inputs!$F$189,EDATE(T22,U21))</f>
        <v/>
      </c>
      <c r="V22" s="10">
        <f>IF(V20=1,Inputs!$F$189,EDATE(U22,V21))</f>
        <v/>
      </c>
      <c r="W22" s="10">
        <f>IF(W20=1,Inputs!$F$189,EDATE(V22,W21))</f>
        <v/>
      </c>
      <c r="X22" s="10">
        <f>IF(X20=1,Inputs!$F$189,EDATE(W22,X21))</f>
        <v/>
      </c>
      <c r="Y22" s="10">
        <f>IF(Y20=1,Inputs!$F$189,EDATE(X22,Y21))</f>
        <v/>
      </c>
      <c r="Z22" s="10">
        <f>IF(Z20=1,Inputs!$F$189,EDATE(Y22,Z21))</f>
        <v/>
      </c>
      <c r="AA22" s="10">
        <f>IF(AA20=1,Inputs!$F$189,EDATE(Z22,AA21))</f>
        <v/>
      </c>
      <c r="AB22" s="10">
        <f>IF(AB20=1,Inputs!$F$189,EDATE(AA22,AB21))</f>
        <v/>
      </c>
      <c r="AC22" s="10">
        <f>IF(AC20=1,Inputs!$F$189,EDATE(AB22,AC21))</f>
        <v/>
      </c>
      <c r="AD22" s="10">
        <f>IF(AD20=1,Inputs!$F$189,EDATE(AC22,AD21))</f>
        <v/>
      </c>
      <c r="AE22" s="10">
        <f>IF(AE20=1,Inputs!$F$189,EDATE(AD22,AE21))</f>
        <v/>
      </c>
      <c r="AF22" s="10">
        <f>IF(AF20=1,Inputs!$F$189,EDATE(AE22,AF21))</f>
        <v/>
      </c>
      <c r="AG22" s="10">
        <f>IF(AG20=1,Inputs!$F$189,EDATE(AF22,AG21))</f>
        <v/>
      </c>
      <c r="AH22" s="10">
        <f>IF(AH20=1,Inputs!$F$189,EDATE(AG22,AH21))</f>
        <v/>
      </c>
      <c r="AI22" s="10">
        <f>IF(AI20=1,Inputs!$F$189,EDATE(AH22,AI21))</f>
        <v/>
      </c>
      <c r="AJ22" s="10">
        <f>IF(AJ20=1,Inputs!$F$189,EDATE(AI22,AJ21))</f>
        <v/>
      </c>
      <c r="AK22" s="10">
        <f>IF(AK20=1,Inputs!$F$189,EDATE(AJ22,AK21))</f>
        <v/>
      </c>
      <c r="AL22" s="10">
        <f>IF(AL20=1,Inputs!$F$189,EDATE(AK22,AL21))</f>
        <v/>
      </c>
      <c r="AM22" s="10">
        <f>IF(AM20=1,Inputs!$F$189,EDATE(AL22,AM21))</f>
        <v/>
      </c>
      <c r="AN22" s="10">
        <f>IF(AN20=1,Inputs!$F$189,EDATE(AM22,AN21))</f>
        <v/>
      </c>
      <c r="AO22" s="10">
        <f>IF(AO20=1,Inputs!$F$189,EDATE(AN22,AO21))</f>
        <v/>
      </c>
      <c r="AP22" s="10">
        <f>IF(AP20=1,Inputs!$F$189,EDATE(AO22,AP21))</f>
        <v/>
      </c>
      <c r="AQ22" s="10">
        <f>IF(AQ20=1,Inputs!$F$189,EDATE(AP22,AQ21))</f>
        <v/>
      </c>
      <c r="AR22" s="10">
        <f>IF(AR20=1,Inputs!$F$189,EDATE(AQ22,AR21))</f>
        <v/>
      </c>
      <c r="AS22" s="10">
        <f>IF(AS20=1,Inputs!$F$189,EDATE(AR22,AS21))</f>
        <v/>
      </c>
      <c r="AT22" s="10">
        <f>IF(AT20=1,Inputs!$F$189,EDATE(AS22,AT21))</f>
        <v/>
      </c>
      <c r="AU22" s="10">
        <f>IF(AU20=1,Inputs!$F$189,EDATE(AT22,AU21))</f>
        <v/>
      </c>
      <c r="AV22" s="10">
        <f>IF(AV20=1,Inputs!$F$189,EDATE(AU22,AV21))</f>
        <v/>
      </c>
      <c r="AW22" s="10">
        <f>IF(AW20=1,Inputs!$F$189,EDATE(AV22,AW21))</f>
        <v/>
      </c>
      <c r="AX22" s="10">
        <f>IF(AX20=1,Inputs!$F$189,EDATE(AW22,AX21))</f>
        <v/>
      </c>
      <c r="AY22" s="10">
        <f>IF(AY20=1,Inputs!$F$189,EDATE(AX22,AY21))</f>
        <v/>
      </c>
      <c r="AZ22" s="10">
        <f>IF(AZ20=1,Inputs!$F$189,EDATE(AY22,AZ21))</f>
        <v/>
      </c>
      <c r="BA22" s="10">
        <f>IF(BA20=1,Inputs!$F$189,EDATE(AZ22,BA21))</f>
        <v/>
      </c>
      <c r="BB22" s="10">
        <f>IF(BB20=1,Inputs!$F$189,EDATE(BA22,BB21))</f>
        <v/>
      </c>
      <c r="BC22" s="10">
        <f>IF(BC20=1,Inputs!$F$189,EDATE(BB22,BC21))</f>
        <v/>
      </c>
      <c r="BD22" s="10">
        <f>IF(BD20=1,Inputs!$F$189,EDATE(BC22,BD21))</f>
        <v/>
      </c>
      <c r="BE22" s="10">
        <f>IF(BE20=1,Inputs!$F$189,EDATE(BD22,BE21))</f>
        <v/>
      </c>
      <c r="BF22" s="10">
        <f>IF(BF20=1,Inputs!$F$189,EDATE(BE22,BF21))</f>
        <v/>
      </c>
      <c r="BG22" s="10">
        <f>IF(BG20=1,Inputs!$F$189,EDATE(BF22,BG21))</f>
        <v/>
      </c>
      <c r="BH22" s="10">
        <f>IF(BH20=1,Inputs!$F$189,EDATE(BG22,BH21))</f>
        <v/>
      </c>
      <c r="BI22" s="10">
        <f>IF(BI20=1,Inputs!$F$189,EDATE(BH22,BI21))</f>
        <v/>
      </c>
      <c r="BJ22" s="10">
        <f>IF(BJ20=1,Inputs!$F$189,EDATE(BI22,BJ21))</f>
        <v/>
      </c>
      <c r="BK22" s="10">
        <f>IF(BK20=1,Inputs!$F$189,EDATE(BJ22,BK21))</f>
        <v/>
      </c>
      <c r="BL22" s="10">
        <f>IF(BL20=1,Inputs!$F$189,EDATE(BK22,BL21))</f>
        <v/>
      </c>
      <c r="BM22" s="10">
        <f>IF(BM20=1,Inputs!$F$189,EDATE(BL22,BM21))</f>
        <v/>
      </c>
      <c r="BN22" s="10">
        <f>IF(BN20=1,Inputs!$F$189,EDATE(BM22,BN21))</f>
        <v/>
      </c>
    </row>
    <row r="23">
      <c r="D23" t="inlineStr">
        <is>
          <t>Period end</t>
        </is>
      </c>
      <c r="E23" t="inlineStr">
        <is>
          <t>date</t>
        </is>
      </c>
      <c r="J23" s="10">
        <f>EOMONTH(J22,J21-1)</f>
        <v/>
      </c>
      <c r="K23" s="10">
        <f>EOMONTH(K22,K21-1)</f>
        <v/>
      </c>
      <c r="L23" s="10">
        <f>EOMONTH(L22,L21-1)</f>
        <v/>
      </c>
      <c r="M23" s="10">
        <f>EOMONTH(M22,M21-1)</f>
        <v/>
      </c>
      <c r="N23" s="10">
        <f>EOMONTH(N22,N21-1)</f>
        <v/>
      </c>
      <c r="O23" s="10">
        <f>EOMONTH(O22,O21-1)</f>
        <v/>
      </c>
      <c r="P23" s="10">
        <f>EOMONTH(P22,P21-1)</f>
        <v/>
      </c>
      <c r="Q23" s="10">
        <f>EOMONTH(Q22,Q21-1)</f>
        <v/>
      </c>
      <c r="R23" s="10">
        <f>EOMONTH(R22,R21-1)</f>
        <v/>
      </c>
      <c r="S23" s="10">
        <f>EOMONTH(S22,S21-1)</f>
        <v/>
      </c>
      <c r="T23" s="10">
        <f>EOMONTH(T22,T21-1)</f>
        <v/>
      </c>
      <c r="U23" s="10">
        <f>EOMONTH(U22,U21-1)</f>
        <v/>
      </c>
      <c r="V23" s="10">
        <f>EOMONTH(V22,V21-1)</f>
        <v/>
      </c>
      <c r="W23" s="10">
        <f>EOMONTH(W22,W21-1)</f>
        <v/>
      </c>
      <c r="X23" s="10">
        <f>EOMONTH(X22,X21-1)</f>
        <v/>
      </c>
      <c r="Y23" s="10">
        <f>EOMONTH(Y22,Y21-1)</f>
        <v/>
      </c>
      <c r="Z23" s="10">
        <f>EOMONTH(Z22,Z21-1)</f>
        <v/>
      </c>
      <c r="AA23" s="10">
        <f>EOMONTH(AA22,AA21-1)</f>
        <v/>
      </c>
      <c r="AB23" s="10">
        <f>EOMONTH(AB22,AB21-1)</f>
        <v/>
      </c>
      <c r="AC23" s="10">
        <f>EOMONTH(AC22,AC21-1)</f>
        <v/>
      </c>
      <c r="AD23" s="10">
        <f>EOMONTH(AD22,AD21-1)</f>
        <v/>
      </c>
      <c r="AE23" s="10">
        <f>EOMONTH(AE22,AE21-1)</f>
        <v/>
      </c>
      <c r="AF23" s="10">
        <f>EOMONTH(AF22,AF21-1)</f>
        <v/>
      </c>
      <c r="AG23" s="10">
        <f>EOMONTH(AG22,AG21-1)</f>
        <v/>
      </c>
      <c r="AH23" s="10">
        <f>EOMONTH(AH22,AH21-1)</f>
        <v/>
      </c>
      <c r="AI23" s="10">
        <f>EOMONTH(AI22,AI21-1)</f>
        <v/>
      </c>
      <c r="AJ23" s="10">
        <f>EOMONTH(AJ22,AJ21-1)</f>
        <v/>
      </c>
      <c r="AK23" s="10">
        <f>EOMONTH(AK22,AK21-1)</f>
        <v/>
      </c>
      <c r="AL23" s="10">
        <f>EOMONTH(AL22,AL21-1)</f>
        <v/>
      </c>
      <c r="AM23" s="10">
        <f>EOMONTH(AM22,AM21-1)</f>
        <v/>
      </c>
      <c r="AN23" s="10">
        <f>EOMONTH(AN22,AN21-1)</f>
        <v/>
      </c>
      <c r="AO23" s="10">
        <f>EOMONTH(AO22,AO21-1)</f>
        <v/>
      </c>
      <c r="AP23" s="10">
        <f>EOMONTH(AP22,AP21-1)</f>
        <v/>
      </c>
      <c r="AQ23" s="10">
        <f>EOMONTH(AQ22,AQ21-1)</f>
        <v/>
      </c>
      <c r="AR23" s="10">
        <f>EOMONTH(AR22,AR21-1)</f>
        <v/>
      </c>
      <c r="AS23" s="10">
        <f>EOMONTH(AS22,AS21-1)</f>
        <v/>
      </c>
      <c r="AT23" s="10">
        <f>EOMONTH(AT22,AT21-1)</f>
        <v/>
      </c>
      <c r="AU23" s="10">
        <f>EOMONTH(AU22,AU21-1)</f>
        <v/>
      </c>
      <c r="AV23" s="10">
        <f>EOMONTH(AV22,AV21-1)</f>
        <v/>
      </c>
      <c r="AW23" s="10">
        <f>EOMONTH(AW22,AW21-1)</f>
        <v/>
      </c>
      <c r="AX23" s="10">
        <f>EOMONTH(AX22,AX21-1)</f>
        <v/>
      </c>
      <c r="AY23" s="10">
        <f>EOMONTH(AY22,AY21-1)</f>
        <v/>
      </c>
      <c r="AZ23" s="10">
        <f>EOMONTH(AZ22,AZ21-1)</f>
        <v/>
      </c>
      <c r="BA23" s="10">
        <f>EOMONTH(BA22,BA21-1)</f>
        <v/>
      </c>
      <c r="BB23" s="10">
        <f>EOMONTH(BB22,BB21-1)</f>
        <v/>
      </c>
      <c r="BC23" s="10">
        <f>EOMONTH(BC22,BC21-1)</f>
        <v/>
      </c>
      <c r="BD23" s="10">
        <f>EOMONTH(BD22,BD21-1)</f>
        <v/>
      </c>
      <c r="BE23" s="10">
        <f>EOMONTH(BE22,BE21-1)</f>
        <v/>
      </c>
      <c r="BF23" s="10">
        <f>EOMONTH(BF22,BF21-1)</f>
        <v/>
      </c>
      <c r="BG23" s="10">
        <f>EOMONTH(BG22,BG21-1)</f>
        <v/>
      </c>
      <c r="BH23" s="10">
        <f>EOMONTH(BH22,BH21-1)</f>
        <v/>
      </c>
      <c r="BI23" s="10">
        <f>EOMONTH(BI22,BI21-1)</f>
        <v/>
      </c>
      <c r="BJ23" s="10">
        <f>EOMONTH(BJ22,BJ21-1)</f>
        <v/>
      </c>
      <c r="BK23" s="10">
        <f>EOMONTH(BK22,BK21-1)</f>
        <v/>
      </c>
      <c r="BL23" s="10">
        <f>EOMONTH(BL22,BL21-1)</f>
        <v/>
      </c>
      <c r="BM23" s="10">
        <f>EOMONTH(BM22,BM21-1)</f>
        <v/>
      </c>
      <c r="BN23" s="10">
        <f>EOMONTH(BN22,BN21-1)</f>
        <v/>
      </c>
    </row>
    <row r="24">
      <c r="D24" t="inlineStr">
        <is>
          <t>Year fraction 30/360 (months / 12)</t>
        </is>
      </c>
      <c r="E24" t="inlineStr">
        <is>
          <t>factor</t>
        </is>
      </c>
      <c r="J24" s="3">
        <f>J21/12</f>
        <v/>
      </c>
      <c r="K24" s="3">
        <f>K21/12</f>
        <v/>
      </c>
      <c r="L24" s="3">
        <f>L21/12</f>
        <v/>
      </c>
      <c r="M24" s="3">
        <f>M21/12</f>
        <v/>
      </c>
      <c r="N24" s="3">
        <f>N21/12</f>
        <v/>
      </c>
      <c r="O24" s="3">
        <f>O21/12</f>
        <v/>
      </c>
      <c r="P24" s="3">
        <f>P21/12</f>
        <v/>
      </c>
      <c r="Q24" s="3">
        <f>Q21/12</f>
        <v/>
      </c>
      <c r="R24" s="3">
        <f>R21/12</f>
        <v/>
      </c>
      <c r="S24" s="3">
        <f>S21/12</f>
        <v/>
      </c>
      <c r="T24" s="3">
        <f>T21/12</f>
        <v/>
      </c>
      <c r="U24" s="3">
        <f>U21/12</f>
        <v/>
      </c>
      <c r="V24" s="3">
        <f>V21/12</f>
        <v/>
      </c>
      <c r="W24" s="3">
        <f>W21/12</f>
        <v/>
      </c>
      <c r="X24" s="3">
        <f>X21/12</f>
        <v/>
      </c>
      <c r="Y24" s="3">
        <f>Y21/12</f>
        <v/>
      </c>
      <c r="Z24" s="3">
        <f>Z21/12</f>
        <v/>
      </c>
      <c r="AA24" s="3">
        <f>AA21/12</f>
        <v/>
      </c>
      <c r="AB24" s="3">
        <f>AB21/12</f>
        <v/>
      </c>
      <c r="AC24" s="3">
        <f>AC21/12</f>
        <v/>
      </c>
      <c r="AD24" s="3">
        <f>AD21/12</f>
        <v/>
      </c>
      <c r="AE24" s="3">
        <f>AE21/12</f>
        <v/>
      </c>
      <c r="AF24" s="3">
        <f>AF21/12</f>
        <v/>
      </c>
      <c r="AG24" s="3">
        <f>AG21/12</f>
        <v/>
      </c>
      <c r="AH24" s="3">
        <f>AH21/12</f>
        <v/>
      </c>
      <c r="AI24" s="3">
        <f>AI21/12</f>
        <v/>
      </c>
      <c r="AJ24" s="3">
        <f>AJ21/12</f>
        <v/>
      </c>
      <c r="AK24" s="3">
        <f>AK21/12</f>
        <v/>
      </c>
      <c r="AL24" s="3">
        <f>AL21/12</f>
        <v/>
      </c>
      <c r="AM24" s="3">
        <f>AM21/12</f>
        <v/>
      </c>
      <c r="AN24" s="3">
        <f>AN21/12</f>
        <v/>
      </c>
      <c r="AO24" s="3">
        <f>AO21/12</f>
        <v/>
      </c>
      <c r="AP24" s="3">
        <f>AP21/12</f>
        <v/>
      </c>
      <c r="AQ24" s="3">
        <f>AQ21/12</f>
        <v/>
      </c>
      <c r="AR24" s="3">
        <f>AR21/12</f>
        <v/>
      </c>
      <c r="AS24" s="3">
        <f>AS21/12</f>
        <v/>
      </c>
      <c r="AT24" s="3">
        <f>AT21/12</f>
        <v/>
      </c>
      <c r="AU24" s="3">
        <f>AU21/12</f>
        <v/>
      </c>
      <c r="AV24" s="3">
        <f>AV21/12</f>
        <v/>
      </c>
      <c r="AW24" s="3">
        <f>AW21/12</f>
        <v/>
      </c>
      <c r="AX24" s="3">
        <f>AX21/12</f>
        <v/>
      </c>
      <c r="AY24" s="3">
        <f>AY21/12</f>
        <v/>
      </c>
      <c r="AZ24" s="3">
        <f>AZ21/12</f>
        <v/>
      </c>
      <c r="BA24" s="3">
        <f>BA21/12</f>
        <v/>
      </c>
      <c r="BB24" s="3">
        <f>BB21/12</f>
        <v/>
      </c>
      <c r="BC24" s="3">
        <f>BC21/12</f>
        <v/>
      </c>
      <c r="BD24" s="3">
        <f>BD21/12</f>
        <v/>
      </c>
      <c r="BE24" s="3">
        <f>BE21/12</f>
        <v/>
      </c>
      <c r="BF24" s="3">
        <f>BF21/12</f>
        <v/>
      </c>
      <c r="BG24" s="3">
        <f>BG21/12</f>
        <v/>
      </c>
      <c r="BH24" s="3">
        <f>BH21/12</f>
        <v/>
      </c>
      <c r="BI24" s="3">
        <f>BI21/12</f>
        <v/>
      </c>
      <c r="BJ24" s="3">
        <f>BJ21/12</f>
        <v/>
      </c>
      <c r="BK24" s="3">
        <f>BK21/12</f>
        <v/>
      </c>
      <c r="BL24" s="3">
        <f>BL21/12</f>
        <v/>
      </c>
      <c r="BM24" s="3">
        <f>BM21/12</f>
        <v/>
      </c>
      <c r="BN24" s="3">
        <f>BN21/12</f>
        <v/>
      </c>
    </row>
    <row r="25">
      <c r="D25" t="inlineStr">
        <is>
          <t>Days in period</t>
        </is>
      </c>
      <c r="E25" t="inlineStr">
        <is>
          <t>days</t>
        </is>
      </c>
      <c r="J25" s="9">
        <f>J23-J22+1</f>
        <v/>
      </c>
      <c r="K25" s="9">
        <f>K23-K22+1</f>
        <v/>
      </c>
      <c r="L25" s="9">
        <f>L23-L22+1</f>
        <v/>
      </c>
      <c r="M25" s="9">
        <f>M23-M22+1</f>
        <v/>
      </c>
      <c r="N25" s="9">
        <f>N23-N22+1</f>
        <v/>
      </c>
      <c r="O25" s="9">
        <f>O23-O22+1</f>
        <v/>
      </c>
      <c r="P25" s="9">
        <f>P23-P22+1</f>
        <v/>
      </c>
      <c r="Q25" s="9">
        <f>Q23-Q22+1</f>
        <v/>
      </c>
      <c r="R25" s="9">
        <f>R23-R22+1</f>
        <v/>
      </c>
      <c r="S25" s="9">
        <f>S23-S22+1</f>
        <v/>
      </c>
      <c r="T25" s="9">
        <f>T23-T22+1</f>
        <v/>
      </c>
      <c r="U25" s="9">
        <f>U23-U22+1</f>
        <v/>
      </c>
      <c r="V25" s="9">
        <f>V23-V22+1</f>
        <v/>
      </c>
      <c r="W25" s="9">
        <f>W23-W22+1</f>
        <v/>
      </c>
      <c r="X25" s="9">
        <f>X23-X22+1</f>
        <v/>
      </c>
      <c r="Y25" s="9">
        <f>Y23-Y22+1</f>
        <v/>
      </c>
      <c r="Z25" s="9">
        <f>Z23-Z22+1</f>
        <v/>
      </c>
      <c r="AA25" s="9">
        <f>AA23-AA22+1</f>
        <v/>
      </c>
      <c r="AB25" s="9">
        <f>AB23-AB22+1</f>
        <v/>
      </c>
      <c r="AC25" s="9">
        <f>AC23-AC22+1</f>
        <v/>
      </c>
      <c r="AD25" s="9">
        <f>AD23-AD22+1</f>
        <v/>
      </c>
      <c r="AE25" s="9">
        <f>AE23-AE22+1</f>
        <v/>
      </c>
      <c r="AF25" s="9">
        <f>AF23-AF22+1</f>
        <v/>
      </c>
      <c r="AG25" s="9">
        <f>AG23-AG22+1</f>
        <v/>
      </c>
      <c r="AH25" s="9">
        <f>AH23-AH22+1</f>
        <v/>
      </c>
      <c r="AI25" s="9">
        <f>AI23-AI22+1</f>
        <v/>
      </c>
      <c r="AJ25" s="9">
        <f>AJ23-AJ22+1</f>
        <v/>
      </c>
      <c r="AK25" s="9">
        <f>AK23-AK22+1</f>
        <v/>
      </c>
      <c r="AL25" s="9">
        <f>AL23-AL22+1</f>
        <v/>
      </c>
      <c r="AM25" s="9">
        <f>AM23-AM22+1</f>
        <v/>
      </c>
      <c r="AN25" s="9">
        <f>AN23-AN22+1</f>
        <v/>
      </c>
      <c r="AO25" s="9">
        <f>AO23-AO22+1</f>
        <v/>
      </c>
      <c r="AP25" s="9">
        <f>AP23-AP22+1</f>
        <v/>
      </c>
      <c r="AQ25" s="9">
        <f>AQ23-AQ22+1</f>
        <v/>
      </c>
      <c r="AR25" s="9">
        <f>AR23-AR22+1</f>
        <v/>
      </c>
      <c r="AS25" s="9">
        <f>AS23-AS22+1</f>
        <v/>
      </c>
      <c r="AT25" s="9">
        <f>AT23-AT22+1</f>
        <v/>
      </c>
      <c r="AU25" s="9">
        <f>AU23-AU22+1</f>
        <v/>
      </c>
      <c r="AV25" s="9">
        <f>AV23-AV22+1</f>
        <v/>
      </c>
      <c r="AW25" s="9">
        <f>AW23-AW22+1</f>
        <v/>
      </c>
      <c r="AX25" s="9">
        <f>AX23-AX22+1</f>
        <v/>
      </c>
      <c r="AY25" s="9">
        <f>AY23-AY22+1</f>
        <v/>
      </c>
      <c r="AZ25" s="9">
        <f>AZ23-AZ22+1</f>
        <v/>
      </c>
      <c r="BA25" s="9">
        <f>BA23-BA22+1</f>
        <v/>
      </c>
      <c r="BB25" s="9">
        <f>BB23-BB22+1</f>
        <v/>
      </c>
      <c r="BC25" s="9">
        <f>BC23-BC22+1</f>
        <v/>
      </c>
      <c r="BD25" s="9">
        <f>BD23-BD22+1</f>
        <v/>
      </c>
      <c r="BE25" s="9">
        <f>BE23-BE22+1</f>
        <v/>
      </c>
      <c r="BF25" s="9">
        <f>BF23-BF22+1</f>
        <v/>
      </c>
      <c r="BG25" s="9">
        <f>BG23-BG22+1</f>
        <v/>
      </c>
      <c r="BH25" s="9">
        <f>BH23-BH22+1</f>
        <v/>
      </c>
      <c r="BI25" s="9">
        <f>BI23-BI22+1</f>
        <v/>
      </c>
      <c r="BJ25" s="9">
        <f>BJ23-BJ22+1</f>
        <v/>
      </c>
      <c r="BK25" s="9">
        <f>BK23-BK22+1</f>
        <v/>
      </c>
      <c r="BL25" s="9">
        <f>BL23-BL22+1</f>
        <v/>
      </c>
      <c r="BM25" s="9">
        <f>BM23-BM22+1</f>
        <v/>
      </c>
      <c r="BN25" s="9">
        <f>BN23-BN22+1</f>
        <v/>
      </c>
    </row>
    <row r="26">
      <c r="D26" t="inlineStr">
        <is>
          <t>Calendar year</t>
        </is>
      </c>
      <c r="E26" t="inlineStr">
        <is>
          <t>year</t>
        </is>
      </c>
      <c r="J26" s="9">
        <f>YEAR(J22)</f>
        <v/>
      </c>
      <c r="K26" s="9">
        <f>YEAR(K22)</f>
        <v/>
      </c>
      <c r="L26" s="9">
        <f>YEAR(L22)</f>
        <v/>
      </c>
      <c r="M26" s="9">
        <f>YEAR(M22)</f>
        <v/>
      </c>
      <c r="N26" s="9">
        <f>YEAR(N22)</f>
        <v/>
      </c>
      <c r="O26" s="9">
        <f>YEAR(O22)</f>
        <v/>
      </c>
      <c r="P26" s="9">
        <f>YEAR(P22)</f>
        <v/>
      </c>
      <c r="Q26" s="9">
        <f>YEAR(Q22)</f>
        <v/>
      </c>
      <c r="R26" s="9">
        <f>YEAR(R22)</f>
        <v/>
      </c>
      <c r="S26" s="9">
        <f>YEAR(S22)</f>
        <v/>
      </c>
      <c r="T26" s="9">
        <f>YEAR(T22)</f>
        <v/>
      </c>
      <c r="U26" s="9">
        <f>YEAR(U22)</f>
        <v/>
      </c>
      <c r="V26" s="9">
        <f>YEAR(V22)</f>
        <v/>
      </c>
      <c r="W26" s="9">
        <f>YEAR(W22)</f>
        <v/>
      </c>
      <c r="X26" s="9">
        <f>YEAR(X22)</f>
        <v/>
      </c>
      <c r="Y26" s="9">
        <f>YEAR(Y22)</f>
        <v/>
      </c>
      <c r="Z26" s="9">
        <f>YEAR(Z22)</f>
        <v/>
      </c>
      <c r="AA26" s="9">
        <f>YEAR(AA22)</f>
        <v/>
      </c>
      <c r="AB26" s="9">
        <f>YEAR(AB22)</f>
        <v/>
      </c>
      <c r="AC26" s="9">
        <f>YEAR(AC22)</f>
        <v/>
      </c>
      <c r="AD26" s="9">
        <f>YEAR(AD22)</f>
        <v/>
      </c>
      <c r="AE26" s="9">
        <f>YEAR(AE22)</f>
        <v/>
      </c>
      <c r="AF26" s="9">
        <f>YEAR(AF22)</f>
        <v/>
      </c>
      <c r="AG26" s="9">
        <f>YEAR(AG22)</f>
        <v/>
      </c>
      <c r="AH26" s="9">
        <f>YEAR(AH22)</f>
        <v/>
      </c>
      <c r="AI26" s="9">
        <f>YEAR(AI22)</f>
        <v/>
      </c>
      <c r="AJ26" s="9">
        <f>YEAR(AJ22)</f>
        <v/>
      </c>
      <c r="AK26" s="9">
        <f>YEAR(AK22)</f>
        <v/>
      </c>
      <c r="AL26" s="9">
        <f>YEAR(AL22)</f>
        <v/>
      </c>
      <c r="AM26" s="9">
        <f>YEAR(AM22)</f>
        <v/>
      </c>
      <c r="AN26" s="9">
        <f>YEAR(AN22)</f>
        <v/>
      </c>
      <c r="AO26" s="9">
        <f>YEAR(AO22)</f>
        <v/>
      </c>
      <c r="AP26" s="9">
        <f>YEAR(AP22)</f>
        <v/>
      </c>
      <c r="AQ26" s="9">
        <f>YEAR(AQ22)</f>
        <v/>
      </c>
      <c r="AR26" s="9">
        <f>YEAR(AR22)</f>
        <v/>
      </c>
      <c r="AS26" s="9">
        <f>YEAR(AS22)</f>
        <v/>
      </c>
      <c r="AT26" s="9">
        <f>YEAR(AT22)</f>
        <v/>
      </c>
      <c r="AU26" s="9">
        <f>YEAR(AU22)</f>
        <v/>
      </c>
      <c r="AV26" s="9">
        <f>YEAR(AV22)</f>
        <v/>
      </c>
      <c r="AW26" s="9">
        <f>YEAR(AW22)</f>
        <v/>
      </c>
      <c r="AX26" s="9">
        <f>YEAR(AX22)</f>
        <v/>
      </c>
      <c r="AY26" s="9">
        <f>YEAR(AY22)</f>
        <v/>
      </c>
      <c r="AZ26" s="9">
        <f>YEAR(AZ22)</f>
        <v/>
      </c>
      <c r="BA26" s="9">
        <f>YEAR(BA22)</f>
        <v/>
      </c>
      <c r="BB26" s="9">
        <f>YEAR(BB22)</f>
        <v/>
      </c>
      <c r="BC26" s="9">
        <f>YEAR(BC22)</f>
        <v/>
      </c>
      <c r="BD26" s="9">
        <f>YEAR(BD22)</f>
        <v/>
      </c>
      <c r="BE26" s="9">
        <f>YEAR(BE22)</f>
        <v/>
      </c>
      <c r="BF26" s="9">
        <f>YEAR(BF22)</f>
        <v/>
      </c>
      <c r="BG26" s="9">
        <f>YEAR(BG22)</f>
        <v/>
      </c>
      <c r="BH26" s="9">
        <f>YEAR(BH22)</f>
        <v/>
      </c>
      <c r="BI26" s="9">
        <f>YEAR(BI22)</f>
        <v/>
      </c>
      <c r="BJ26" s="9">
        <f>YEAR(BJ22)</f>
        <v/>
      </c>
      <c r="BK26" s="9">
        <f>YEAR(BK22)</f>
        <v/>
      </c>
      <c r="BL26" s="9">
        <f>YEAR(BL22)</f>
        <v/>
      </c>
      <c r="BM26" s="9">
        <f>YEAR(BM22)</f>
        <v/>
      </c>
      <c r="BN26" s="9">
        <f>YEAR(BN22)</f>
        <v/>
      </c>
    </row>
    <row r="27">
      <c r="D27" t="inlineStr">
        <is>
          <t>Flag_FirstHalf (Jan-Jun)</t>
        </is>
      </c>
      <c r="E27" t="inlineStr">
        <is>
          <t>flag</t>
        </is>
      </c>
      <c r="J27" s="9">
        <f>IF(MONTH(J22)=1,1,0)</f>
        <v/>
      </c>
      <c r="K27" s="9">
        <f>IF(MONTH(K22)=1,1,0)</f>
        <v/>
      </c>
      <c r="L27" s="9">
        <f>IF(MONTH(L22)=1,1,0)</f>
        <v/>
      </c>
      <c r="M27" s="9">
        <f>IF(MONTH(M22)=1,1,0)</f>
        <v/>
      </c>
      <c r="N27" s="9">
        <f>IF(MONTH(N22)=1,1,0)</f>
        <v/>
      </c>
      <c r="O27" s="9">
        <f>IF(MONTH(O22)=1,1,0)</f>
        <v/>
      </c>
      <c r="P27" s="9">
        <f>IF(MONTH(P22)=1,1,0)</f>
        <v/>
      </c>
      <c r="Q27" s="9">
        <f>IF(MONTH(Q22)=1,1,0)</f>
        <v/>
      </c>
      <c r="R27" s="9">
        <f>IF(MONTH(R22)=1,1,0)</f>
        <v/>
      </c>
      <c r="S27" s="9">
        <f>IF(MONTH(S22)=1,1,0)</f>
        <v/>
      </c>
      <c r="T27" s="9">
        <f>IF(MONTH(T22)=1,1,0)</f>
        <v/>
      </c>
      <c r="U27" s="9">
        <f>IF(MONTH(U22)=1,1,0)</f>
        <v/>
      </c>
      <c r="V27" s="9">
        <f>IF(MONTH(V22)=1,1,0)</f>
        <v/>
      </c>
      <c r="W27" s="9">
        <f>IF(MONTH(W22)=1,1,0)</f>
        <v/>
      </c>
      <c r="X27" s="9">
        <f>IF(MONTH(X22)=1,1,0)</f>
        <v/>
      </c>
      <c r="Y27" s="9">
        <f>IF(MONTH(Y22)=1,1,0)</f>
        <v/>
      </c>
      <c r="Z27" s="9">
        <f>IF(MONTH(Z22)=1,1,0)</f>
        <v/>
      </c>
      <c r="AA27" s="9">
        <f>IF(MONTH(AA22)=1,1,0)</f>
        <v/>
      </c>
      <c r="AB27" s="9">
        <f>IF(MONTH(AB22)=1,1,0)</f>
        <v/>
      </c>
      <c r="AC27" s="9">
        <f>IF(MONTH(AC22)=1,1,0)</f>
        <v/>
      </c>
      <c r="AD27" s="9">
        <f>IF(MONTH(AD22)=1,1,0)</f>
        <v/>
      </c>
      <c r="AE27" s="9">
        <f>IF(MONTH(AE22)=1,1,0)</f>
        <v/>
      </c>
      <c r="AF27" s="9">
        <f>IF(MONTH(AF22)=1,1,0)</f>
        <v/>
      </c>
      <c r="AG27" s="9">
        <f>IF(MONTH(AG22)=1,1,0)</f>
        <v/>
      </c>
      <c r="AH27" s="9">
        <f>IF(MONTH(AH22)=1,1,0)</f>
        <v/>
      </c>
      <c r="AI27" s="9">
        <f>IF(MONTH(AI22)=1,1,0)</f>
        <v/>
      </c>
      <c r="AJ27" s="9">
        <f>IF(MONTH(AJ22)=1,1,0)</f>
        <v/>
      </c>
      <c r="AK27" s="9">
        <f>IF(MONTH(AK22)=1,1,0)</f>
        <v/>
      </c>
      <c r="AL27" s="9">
        <f>IF(MONTH(AL22)=1,1,0)</f>
        <v/>
      </c>
      <c r="AM27" s="9">
        <f>IF(MONTH(AM22)=1,1,0)</f>
        <v/>
      </c>
      <c r="AN27" s="9">
        <f>IF(MONTH(AN22)=1,1,0)</f>
        <v/>
      </c>
      <c r="AO27" s="9">
        <f>IF(MONTH(AO22)=1,1,0)</f>
        <v/>
      </c>
      <c r="AP27" s="9">
        <f>IF(MONTH(AP22)=1,1,0)</f>
        <v/>
      </c>
      <c r="AQ27" s="9">
        <f>IF(MONTH(AQ22)=1,1,0)</f>
        <v/>
      </c>
      <c r="AR27" s="9">
        <f>IF(MONTH(AR22)=1,1,0)</f>
        <v/>
      </c>
      <c r="AS27" s="9">
        <f>IF(MONTH(AS22)=1,1,0)</f>
        <v/>
      </c>
      <c r="AT27" s="9">
        <f>IF(MONTH(AT22)=1,1,0)</f>
        <v/>
      </c>
      <c r="AU27" s="9">
        <f>IF(MONTH(AU22)=1,1,0)</f>
        <v/>
      </c>
      <c r="AV27" s="9">
        <f>IF(MONTH(AV22)=1,1,0)</f>
        <v/>
      </c>
      <c r="AW27" s="9">
        <f>IF(MONTH(AW22)=1,1,0)</f>
        <v/>
      </c>
      <c r="AX27" s="9">
        <f>IF(MONTH(AX22)=1,1,0)</f>
        <v/>
      </c>
      <c r="AY27" s="9">
        <f>IF(MONTH(AY22)=1,1,0)</f>
        <v/>
      </c>
      <c r="AZ27" s="9">
        <f>IF(MONTH(AZ22)=1,1,0)</f>
        <v/>
      </c>
      <c r="BA27" s="9">
        <f>IF(MONTH(BA22)=1,1,0)</f>
        <v/>
      </c>
      <c r="BB27" s="9">
        <f>IF(MONTH(BB22)=1,1,0)</f>
        <v/>
      </c>
      <c r="BC27" s="9">
        <f>IF(MONTH(BC22)=1,1,0)</f>
        <v/>
      </c>
      <c r="BD27" s="9">
        <f>IF(MONTH(BD22)=1,1,0)</f>
        <v/>
      </c>
      <c r="BE27" s="9">
        <f>IF(MONTH(BE22)=1,1,0)</f>
        <v/>
      </c>
      <c r="BF27" s="9">
        <f>IF(MONTH(BF22)=1,1,0)</f>
        <v/>
      </c>
      <c r="BG27" s="9">
        <f>IF(MONTH(BG22)=1,1,0)</f>
        <v/>
      </c>
      <c r="BH27" s="9">
        <f>IF(MONTH(BH22)=1,1,0)</f>
        <v/>
      </c>
      <c r="BI27" s="9">
        <f>IF(MONTH(BI22)=1,1,0)</f>
        <v/>
      </c>
      <c r="BJ27" s="9">
        <f>IF(MONTH(BJ22)=1,1,0)</f>
        <v/>
      </c>
      <c r="BK27" s="9">
        <f>IF(MONTH(BK22)=1,1,0)</f>
        <v/>
      </c>
      <c r="BL27" s="9">
        <f>IF(MONTH(BL22)=1,1,0)</f>
        <v/>
      </c>
      <c r="BM27" s="9">
        <f>IF(MONTH(BM22)=1,1,0)</f>
        <v/>
      </c>
      <c r="BN27" s="9">
        <f>IF(MONTH(BN22)=1,1,0)</f>
        <v/>
      </c>
    </row>
    <row r="28">
      <c r="D28" t="inlineStr">
        <is>
          <t>Operations start in period</t>
        </is>
      </c>
      <c r="E28" t="inlineStr">
        <is>
          <t>date</t>
        </is>
      </c>
      <c r="J28" s="10">
        <f>MAX(J22,$F$8)</f>
        <v/>
      </c>
      <c r="K28" s="10">
        <f>MAX(K22,$F$8)</f>
        <v/>
      </c>
      <c r="L28" s="10">
        <f>MAX(L22,$F$8)</f>
        <v/>
      </c>
      <c r="M28" s="10">
        <f>MAX(M22,$F$8)</f>
        <v/>
      </c>
      <c r="N28" s="10">
        <f>MAX(N22,$F$8)</f>
        <v/>
      </c>
      <c r="O28" s="10">
        <f>MAX(O22,$F$8)</f>
        <v/>
      </c>
      <c r="P28" s="10">
        <f>MAX(P22,$F$8)</f>
        <v/>
      </c>
      <c r="Q28" s="10">
        <f>MAX(Q22,$F$8)</f>
        <v/>
      </c>
      <c r="R28" s="10">
        <f>MAX(R22,$F$8)</f>
        <v/>
      </c>
      <c r="S28" s="10">
        <f>MAX(S22,$F$8)</f>
        <v/>
      </c>
      <c r="T28" s="10">
        <f>MAX(T22,$F$8)</f>
        <v/>
      </c>
      <c r="U28" s="10">
        <f>MAX(U22,$F$8)</f>
        <v/>
      </c>
      <c r="V28" s="10">
        <f>MAX(V22,$F$8)</f>
        <v/>
      </c>
      <c r="W28" s="10">
        <f>MAX(W22,$F$8)</f>
        <v/>
      </c>
      <c r="X28" s="10">
        <f>MAX(X22,$F$8)</f>
        <v/>
      </c>
      <c r="Y28" s="10">
        <f>MAX(Y22,$F$8)</f>
        <v/>
      </c>
      <c r="Z28" s="10">
        <f>MAX(Z22,$F$8)</f>
        <v/>
      </c>
      <c r="AA28" s="10">
        <f>MAX(AA22,$F$8)</f>
        <v/>
      </c>
      <c r="AB28" s="10">
        <f>MAX(AB22,$F$8)</f>
        <v/>
      </c>
      <c r="AC28" s="10">
        <f>MAX(AC22,$F$8)</f>
        <v/>
      </c>
      <c r="AD28" s="10">
        <f>MAX(AD22,$F$8)</f>
        <v/>
      </c>
      <c r="AE28" s="10">
        <f>MAX(AE22,$F$8)</f>
        <v/>
      </c>
      <c r="AF28" s="10">
        <f>MAX(AF22,$F$8)</f>
        <v/>
      </c>
      <c r="AG28" s="10">
        <f>MAX(AG22,$F$8)</f>
        <v/>
      </c>
      <c r="AH28" s="10">
        <f>MAX(AH22,$F$8)</f>
        <v/>
      </c>
      <c r="AI28" s="10">
        <f>MAX(AI22,$F$8)</f>
        <v/>
      </c>
      <c r="AJ28" s="10">
        <f>MAX(AJ22,$F$8)</f>
        <v/>
      </c>
      <c r="AK28" s="10">
        <f>MAX(AK22,$F$8)</f>
        <v/>
      </c>
      <c r="AL28" s="10">
        <f>MAX(AL22,$F$8)</f>
        <v/>
      </c>
      <c r="AM28" s="10">
        <f>MAX(AM22,$F$8)</f>
        <v/>
      </c>
      <c r="AN28" s="10">
        <f>MAX(AN22,$F$8)</f>
        <v/>
      </c>
      <c r="AO28" s="10">
        <f>MAX(AO22,$F$8)</f>
        <v/>
      </c>
      <c r="AP28" s="10">
        <f>MAX(AP22,$F$8)</f>
        <v/>
      </c>
      <c r="AQ28" s="10">
        <f>MAX(AQ22,$F$8)</f>
        <v/>
      </c>
      <c r="AR28" s="10">
        <f>MAX(AR22,$F$8)</f>
        <v/>
      </c>
      <c r="AS28" s="10">
        <f>MAX(AS22,$F$8)</f>
        <v/>
      </c>
      <c r="AT28" s="10">
        <f>MAX(AT22,$F$8)</f>
        <v/>
      </c>
      <c r="AU28" s="10">
        <f>MAX(AU22,$F$8)</f>
        <v/>
      </c>
      <c r="AV28" s="10">
        <f>MAX(AV22,$F$8)</f>
        <v/>
      </c>
      <c r="AW28" s="10">
        <f>MAX(AW22,$F$8)</f>
        <v/>
      </c>
      <c r="AX28" s="10">
        <f>MAX(AX22,$F$8)</f>
        <v/>
      </c>
      <c r="AY28" s="10">
        <f>MAX(AY22,$F$8)</f>
        <v/>
      </c>
      <c r="AZ28" s="10">
        <f>MAX(AZ22,$F$8)</f>
        <v/>
      </c>
      <c r="BA28" s="10">
        <f>MAX(BA22,$F$8)</f>
        <v/>
      </c>
      <c r="BB28" s="10">
        <f>MAX(BB22,$F$8)</f>
        <v/>
      </c>
      <c r="BC28" s="10">
        <f>MAX(BC22,$F$8)</f>
        <v/>
      </c>
      <c r="BD28" s="10">
        <f>MAX(BD22,$F$8)</f>
        <v/>
      </c>
      <c r="BE28" s="10">
        <f>MAX(BE22,$F$8)</f>
        <v/>
      </c>
      <c r="BF28" s="10">
        <f>MAX(BF22,$F$8)</f>
        <v/>
      </c>
      <c r="BG28" s="10">
        <f>MAX(BG22,$F$8)</f>
        <v/>
      </c>
      <c r="BH28" s="10">
        <f>MAX(BH22,$F$8)</f>
        <v/>
      </c>
      <c r="BI28" s="10">
        <f>MAX(BI22,$F$8)</f>
        <v/>
      </c>
      <c r="BJ28" s="10">
        <f>MAX(BJ22,$F$8)</f>
        <v/>
      </c>
      <c r="BK28" s="10">
        <f>MAX(BK22,$F$8)</f>
        <v/>
      </c>
      <c r="BL28" s="10">
        <f>MAX(BL22,$F$8)</f>
        <v/>
      </c>
      <c r="BM28" s="10">
        <f>MAX(BM22,$F$8)</f>
        <v/>
      </c>
      <c r="BN28" s="10">
        <f>MAX(BN22,$F$8)</f>
        <v/>
      </c>
    </row>
    <row r="29">
      <c r="D29" t="inlineStr">
        <is>
          <t>Operations end in period</t>
        </is>
      </c>
      <c r="E29" t="inlineStr">
        <is>
          <t>date</t>
        </is>
      </c>
      <c r="J29" s="10">
        <f>MIN(J23,$F$10)</f>
        <v/>
      </c>
      <c r="K29" s="10">
        <f>MIN(K23,$F$10)</f>
        <v/>
      </c>
      <c r="L29" s="10">
        <f>MIN(L23,$F$10)</f>
        <v/>
      </c>
      <c r="M29" s="10">
        <f>MIN(M23,$F$10)</f>
        <v/>
      </c>
      <c r="N29" s="10">
        <f>MIN(N23,$F$10)</f>
        <v/>
      </c>
      <c r="O29" s="10">
        <f>MIN(O23,$F$10)</f>
        <v/>
      </c>
      <c r="P29" s="10">
        <f>MIN(P23,$F$10)</f>
        <v/>
      </c>
      <c r="Q29" s="10">
        <f>MIN(Q23,$F$10)</f>
        <v/>
      </c>
      <c r="R29" s="10">
        <f>MIN(R23,$F$10)</f>
        <v/>
      </c>
      <c r="S29" s="10">
        <f>MIN(S23,$F$10)</f>
        <v/>
      </c>
      <c r="T29" s="10">
        <f>MIN(T23,$F$10)</f>
        <v/>
      </c>
      <c r="U29" s="10">
        <f>MIN(U23,$F$10)</f>
        <v/>
      </c>
      <c r="V29" s="10">
        <f>MIN(V23,$F$10)</f>
        <v/>
      </c>
      <c r="W29" s="10">
        <f>MIN(W23,$F$10)</f>
        <v/>
      </c>
      <c r="X29" s="10">
        <f>MIN(X23,$F$10)</f>
        <v/>
      </c>
      <c r="Y29" s="10">
        <f>MIN(Y23,$F$10)</f>
        <v/>
      </c>
      <c r="Z29" s="10">
        <f>MIN(Z23,$F$10)</f>
        <v/>
      </c>
      <c r="AA29" s="10">
        <f>MIN(AA23,$F$10)</f>
        <v/>
      </c>
      <c r="AB29" s="10">
        <f>MIN(AB23,$F$10)</f>
        <v/>
      </c>
      <c r="AC29" s="10">
        <f>MIN(AC23,$F$10)</f>
        <v/>
      </c>
      <c r="AD29" s="10">
        <f>MIN(AD23,$F$10)</f>
        <v/>
      </c>
      <c r="AE29" s="10">
        <f>MIN(AE23,$F$10)</f>
        <v/>
      </c>
      <c r="AF29" s="10">
        <f>MIN(AF23,$F$10)</f>
        <v/>
      </c>
      <c r="AG29" s="10">
        <f>MIN(AG23,$F$10)</f>
        <v/>
      </c>
      <c r="AH29" s="10">
        <f>MIN(AH23,$F$10)</f>
        <v/>
      </c>
      <c r="AI29" s="10">
        <f>MIN(AI23,$F$10)</f>
        <v/>
      </c>
      <c r="AJ29" s="10">
        <f>MIN(AJ23,$F$10)</f>
        <v/>
      </c>
      <c r="AK29" s="10">
        <f>MIN(AK23,$F$10)</f>
        <v/>
      </c>
      <c r="AL29" s="10">
        <f>MIN(AL23,$F$10)</f>
        <v/>
      </c>
      <c r="AM29" s="10">
        <f>MIN(AM23,$F$10)</f>
        <v/>
      </c>
      <c r="AN29" s="10">
        <f>MIN(AN23,$F$10)</f>
        <v/>
      </c>
      <c r="AO29" s="10">
        <f>MIN(AO23,$F$10)</f>
        <v/>
      </c>
      <c r="AP29" s="10">
        <f>MIN(AP23,$F$10)</f>
        <v/>
      </c>
      <c r="AQ29" s="10">
        <f>MIN(AQ23,$F$10)</f>
        <v/>
      </c>
      <c r="AR29" s="10">
        <f>MIN(AR23,$F$10)</f>
        <v/>
      </c>
      <c r="AS29" s="10">
        <f>MIN(AS23,$F$10)</f>
        <v/>
      </c>
      <c r="AT29" s="10">
        <f>MIN(AT23,$F$10)</f>
        <v/>
      </c>
      <c r="AU29" s="10">
        <f>MIN(AU23,$F$10)</f>
        <v/>
      </c>
      <c r="AV29" s="10">
        <f>MIN(AV23,$F$10)</f>
        <v/>
      </c>
      <c r="AW29" s="10">
        <f>MIN(AW23,$F$10)</f>
        <v/>
      </c>
      <c r="AX29" s="10">
        <f>MIN(AX23,$F$10)</f>
        <v/>
      </c>
      <c r="AY29" s="10">
        <f>MIN(AY23,$F$10)</f>
        <v/>
      </c>
      <c r="AZ29" s="10">
        <f>MIN(AZ23,$F$10)</f>
        <v/>
      </c>
      <c r="BA29" s="10">
        <f>MIN(BA23,$F$10)</f>
        <v/>
      </c>
      <c r="BB29" s="10">
        <f>MIN(BB23,$F$10)</f>
        <v/>
      </c>
      <c r="BC29" s="10">
        <f>MIN(BC23,$F$10)</f>
        <v/>
      </c>
      <c r="BD29" s="10">
        <f>MIN(BD23,$F$10)</f>
        <v/>
      </c>
      <c r="BE29" s="10">
        <f>MIN(BE23,$F$10)</f>
        <v/>
      </c>
      <c r="BF29" s="10">
        <f>MIN(BF23,$F$10)</f>
        <v/>
      </c>
      <c r="BG29" s="10">
        <f>MIN(BG23,$F$10)</f>
        <v/>
      </c>
      <c r="BH29" s="10">
        <f>MIN(BH23,$F$10)</f>
        <v/>
      </c>
      <c r="BI29" s="10">
        <f>MIN(BI23,$F$10)</f>
        <v/>
      </c>
      <c r="BJ29" s="10">
        <f>MIN(BJ23,$F$10)</f>
        <v/>
      </c>
      <c r="BK29" s="10">
        <f>MIN(BK23,$F$10)</f>
        <v/>
      </c>
      <c r="BL29" s="10">
        <f>MIN(BL23,$F$10)</f>
        <v/>
      </c>
      <c r="BM29" s="10">
        <f>MIN(BM23,$F$10)</f>
        <v/>
      </c>
      <c r="BN29" s="10">
        <f>MIN(BN23,$F$10)</f>
        <v/>
      </c>
    </row>
    <row r="30">
      <c r="D30" t="inlineStr">
        <is>
          <t>Operating months in period</t>
        </is>
      </c>
      <c r="E30" t="inlineStr">
        <is>
          <t>months</t>
        </is>
      </c>
      <c r="J30" s="9">
        <f>IF(J29&gt;=J28,(YEAR(J29)-YEAR(J28))*12+MONTH(J29)-MONTH(J28)+1,0)</f>
        <v/>
      </c>
      <c r="K30" s="9">
        <f>IF(K29&gt;=K28,(YEAR(K29)-YEAR(K28))*12+MONTH(K29)-MONTH(K28)+1,0)</f>
        <v/>
      </c>
      <c r="L30" s="9">
        <f>IF(L29&gt;=L28,(YEAR(L29)-YEAR(L28))*12+MONTH(L29)-MONTH(L28)+1,0)</f>
        <v/>
      </c>
      <c r="M30" s="9">
        <f>IF(M29&gt;=M28,(YEAR(M29)-YEAR(M28))*12+MONTH(M29)-MONTH(M28)+1,0)</f>
        <v/>
      </c>
      <c r="N30" s="9">
        <f>IF(N29&gt;=N28,(YEAR(N29)-YEAR(N28))*12+MONTH(N29)-MONTH(N28)+1,0)</f>
        <v/>
      </c>
      <c r="O30" s="9">
        <f>IF(O29&gt;=O28,(YEAR(O29)-YEAR(O28))*12+MONTH(O29)-MONTH(O28)+1,0)</f>
        <v/>
      </c>
      <c r="P30" s="9">
        <f>IF(P29&gt;=P28,(YEAR(P29)-YEAR(P28))*12+MONTH(P29)-MONTH(P28)+1,0)</f>
        <v/>
      </c>
      <c r="Q30" s="9">
        <f>IF(Q29&gt;=Q28,(YEAR(Q29)-YEAR(Q28))*12+MONTH(Q29)-MONTH(Q28)+1,0)</f>
        <v/>
      </c>
      <c r="R30" s="9">
        <f>IF(R29&gt;=R28,(YEAR(R29)-YEAR(R28))*12+MONTH(R29)-MONTH(R28)+1,0)</f>
        <v/>
      </c>
      <c r="S30" s="9">
        <f>IF(S29&gt;=S28,(YEAR(S29)-YEAR(S28))*12+MONTH(S29)-MONTH(S28)+1,0)</f>
        <v/>
      </c>
      <c r="T30" s="9">
        <f>IF(T29&gt;=T28,(YEAR(T29)-YEAR(T28))*12+MONTH(T29)-MONTH(T28)+1,0)</f>
        <v/>
      </c>
      <c r="U30" s="9">
        <f>IF(U29&gt;=U28,(YEAR(U29)-YEAR(U28))*12+MONTH(U29)-MONTH(U28)+1,0)</f>
        <v/>
      </c>
      <c r="V30" s="9">
        <f>IF(V29&gt;=V28,(YEAR(V29)-YEAR(V28))*12+MONTH(V29)-MONTH(V28)+1,0)</f>
        <v/>
      </c>
      <c r="W30" s="9">
        <f>IF(W29&gt;=W28,(YEAR(W29)-YEAR(W28))*12+MONTH(W29)-MONTH(W28)+1,0)</f>
        <v/>
      </c>
      <c r="X30" s="9">
        <f>IF(X29&gt;=X28,(YEAR(X29)-YEAR(X28))*12+MONTH(X29)-MONTH(X28)+1,0)</f>
        <v/>
      </c>
      <c r="Y30" s="9">
        <f>IF(Y29&gt;=Y28,(YEAR(Y29)-YEAR(Y28))*12+MONTH(Y29)-MONTH(Y28)+1,0)</f>
        <v/>
      </c>
      <c r="Z30" s="9">
        <f>IF(Z29&gt;=Z28,(YEAR(Z29)-YEAR(Z28))*12+MONTH(Z29)-MONTH(Z28)+1,0)</f>
        <v/>
      </c>
      <c r="AA30" s="9">
        <f>IF(AA29&gt;=AA28,(YEAR(AA29)-YEAR(AA28))*12+MONTH(AA29)-MONTH(AA28)+1,0)</f>
        <v/>
      </c>
      <c r="AB30" s="9">
        <f>IF(AB29&gt;=AB28,(YEAR(AB29)-YEAR(AB28))*12+MONTH(AB29)-MONTH(AB28)+1,0)</f>
        <v/>
      </c>
      <c r="AC30" s="9">
        <f>IF(AC29&gt;=AC28,(YEAR(AC29)-YEAR(AC28))*12+MONTH(AC29)-MONTH(AC28)+1,0)</f>
        <v/>
      </c>
      <c r="AD30" s="9">
        <f>IF(AD29&gt;=AD28,(YEAR(AD29)-YEAR(AD28))*12+MONTH(AD29)-MONTH(AD28)+1,0)</f>
        <v/>
      </c>
      <c r="AE30" s="9">
        <f>IF(AE29&gt;=AE28,(YEAR(AE29)-YEAR(AE28))*12+MONTH(AE29)-MONTH(AE28)+1,0)</f>
        <v/>
      </c>
      <c r="AF30" s="9">
        <f>IF(AF29&gt;=AF28,(YEAR(AF29)-YEAR(AF28))*12+MONTH(AF29)-MONTH(AF28)+1,0)</f>
        <v/>
      </c>
      <c r="AG30" s="9">
        <f>IF(AG29&gt;=AG28,(YEAR(AG29)-YEAR(AG28))*12+MONTH(AG29)-MONTH(AG28)+1,0)</f>
        <v/>
      </c>
      <c r="AH30" s="9">
        <f>IF(AH29&gt;=AH28,(YEAR(AH29)-YEAR(AH28))*12+MONTH(AH29)-MONTH(AH28)+1,0)</f>
        <v/>
      </c>
      <c r="AI30" s="9">
        <f>IF(AI29&gt;=AI28,(YEAR(AI29)-YEAR(AI28))*12+MONTH(AI29)-MONTH(AI28)+1,0)</f>
        <v/>
      </c>
      <c r="AJ30" s="9">
        <f>IF(AJ29&gt;=AJ28,(YEAR(AJ29)-YEAR(AJ28))*12+MONTH(AJ29)-MONTH(AJ28)+1,0)</f>
        <v/>
      </c>
      <c r="AK30" s="9">
        <f>IF(AK29&gt;=AK28,(YEAR(AK29)-YEAR(AK28))*12+MONTH(AK29)-MONTH(AK28)+1,0)</f>
        <v/>
      </c>
      <c r="AL30" s="9">
        <f>IF(AL29&gt;=AL28,(YEAR(AL29)-YEAR(AL28))*12+MONTH(AL29)-MONTH(AL28)+1,0)</f>
        <v/>
      </c>
      <c r="AM30" s="9">
        <f>IF(AM29&gt;=AM28,(YEAR(AM29)-YEAR(AM28))*12+MONTH(AM29)-MONTH(AM28)+1,0)</f>
        <v/>
      </c>
      <c r="AN30" s="9">
        <f>IF(AN29&gt;=AN28,(YEAR(AN29)-YEAR(AN28))*12+MONTH(AN29)-MONTH(AN28)+1,0)</f>
        <v/>
      </c>
      <c r="AO30" s="9">
        <f>IF(AO29&gt;=AO28,(YEAR(AO29)-YEAR(AO28))*12+MONTH(AO29)-MONTH(AO28)+1,0)</f>
        <v/>
      </c>
      <c r="AP30" s="9">
        <f>IF(AP29&gt;=AP28,(YEAR(AP29)-YEAR(AP28))*12+MONTH(AP29)-MONTH(AP28)+1,0)</f>
        <v/>
      </c>
      <c r="AQ30" s="9">
        <f>IF(AQ29&gt;=AQ28,(YEAR(AQ29)-YEAR(AQ28))*12+MONTH(AQ29)-MONTH(AQ28)+1,0)</f>
        <v/>
      </c>
      <c r="AR30" s="9">
        <f>IF(AR29&gt;=AR28,(YEAR(AR29)-YEAR(AR28))*12+MONTH(AR29)-MONTH(AR28)+1,0)</f>
        <v/>
      </c>
      <c r="AS30" s="9">
        <f>IF(AS29&gt;=AS28,(YEAR(AS29)-YEAR(AS28))*12+MONTH(AS29)-MONTH(AS28)+1,0)</f>
        <v/>
      </c>
      <c r="AT30" s="9">
        <f>IF(AT29&gt;=AT28,(YEAR(AT29)-YEAR(AT28))*12+MONTH(AT29)-MONTH(AT28)+1,0)</f>
        <v/>
      </c>
      <c r="AU30" s="9">
        <f>IF(AU29&gt;=AU28,(YEAR(AU29)-YEAR(AU28))*12+MONTH(AU29)-MONTH(AU28)+1,0)</f>
        <v/>
      </c>
      <c r="AV30" s="9">
        <f>IF(AV29&gt;=AV28,(YEAR(AV29)-YEAR(AV28))*12+MONTH(AV29)-MONTH(AV28)+1,0)</f>
        <v/>
      </c>
      <c r="AW30" s="9">
        <f>IF(AW29&gt;=AW28,(YEAR(AW29)-YEAR(AW28))*12+MONTH(AW29)-MONTH(AW28)+1,0)</f>
        <v/>
      </c>
      <c r="AX30" s="9">
        <f>IF(AX29&gt;=AX28,(YEAR(AX29)-YEAR(AX28))*12+MONTH(AX29)-MONTH(AX28)+1,0)</f>
        <v/>
      </c>
      <c r="AY30" s="9">
        <f>IF(AY29&gt;=AY28,(YEAR(AY29)-YEAR(AY28))*12+MONTH(AY29)-MONTH(AY28)+1,0)</f>
        <v/>
      </c>
      <c r="AZ30" s="9">
        <f>IF(AZ29&gt;=AZ28,(YEAR(AZ29)-YEAR(AZ28))*12+MONTH(AZ29)-MONTH(AZ28)+1,0)</f>
        <v/>
      </c>
      <c r="BA30" s="9">
        <f>IF(BA29&gt;=BA28,(YEAR(BA29)-YEAR(BA28))*12+MONTH(BA29)-MONTH(BA28)+1,0)</f>
        <v/>
      </c>
      <c r="BB30" s="9">
        <f>IF(BB29&gt;=BB28,(YEAR(BB29)-YEAR(BB28))*12+MONTH(BB29)-MONTH(BB28)+1,0)</f>
        <v/>
      </c>
      <c r="BC30" s="9">
        <f>IF(BC29&gt;=BC28,(YEAR(BC29)-YEAR(BC28))*12+MONTH(BC29)-MONTH(BC28)+1,0)</f>
        <v/>
      </c>
      <c r="BD30" s="9">
        <f>IF(BD29&gt;=BD28,(YEAR(BD29)-YEAR(BD28))*12+MONTH(BD29)-MONTH(BD28)+1,0)</f>
        <v/>
      </c>
      <c r="BE30" s="9">
        <f>IF(BE29&gt;=BE28,(YEAR(BE29)-YEAR(BE28))*12+MONTH(BE29)-MONTH(BE28)+1,0)</f>
        <v/>
      </c>
      <c r="BF30" s="9">
        <f>IF(BF29&gt;=BF28,(YEAR(BF29)-YEAR(BF28))*12+MONTH(BF29)-MONTH(BF28)+1,0)</f>
        <v/>
      </c>
      <c r="BG30" s="9">
        <f>IF(BG29&gt;=BG28,(YEAR(BG29)-YEAR(BG28))*12+MONTH(BG29)-MONTH(BG28)+1,0)</f>
        <v/>
      </c>
      <c r="BH30" s="9">
        <f>IF(BH29&gt;=BH28,(YEAR(BH29)-YEAR(BH28))*12+MONTH(BH29)-MONTH(BH28)+1,0)</f>
        <v/>
      </c>
      <c r="BI30" s="9">
        <f>IF(BI29&gt;=BI28,(YEAR(BI29)-YEAR(BI28))*12+MONTH(BI29)-MONTH(BI28)+1,0)</f>
        <v/>
      </c>
      <c r="BJ30" s="9">
        <f>IF(BJ29&gt;=BJ28,(YEAR(BJ29)-YEAR(BJ28))*12+MONTH(BJ29)-MONTH(BJ28)+1,0)</f>
        <v/>
      </c>
      <c r="BK30" s="9">
        <f>IF(BK29&gt;=BK28,(YEAR(BK29)-YEAR(BK28))*12+MONTH(BK29)-MONTH(BK28)+1,0)</f>
        <v/>
      </c>
      <c r="BL30" s="9">
        <f>IF(BL29&gt;=BL28,(YEAR(BL29)-YEAR(BL28))*12+MONTH(BL29)-MONTH(BL28)+1,0)</f>
        <v/>
      </c>
      <c r="BM30" s="9">
        <f>IF(BM29&gt;=BM28,(YEAR(BM29)-YEAR(BM28))*12+MONTH(BM29)-MONTH(BM28)+1,0)</f>
        <v/>
      </c>
      <c r="BN30" s="9">
        <f>IF(BN29&gt;=BN28,(YEAR(BN29)-YEAR(BN28))*12+MONTH(BN29)-MONTH(BN28)+1,0)</f>
        <v/>
      </c>
    </row>
    <row r="31">
      <c r="D31" t="inlineStr">
        <is>
          <t>Operating days in period</t>
        </is>
      </c>
      <c r="E31" t="inlineStr">
        <is>
          <t>days</t>
        </is>
      </c>
      <c r="J31" s="9">
        <f>IF(J29&gt;=J28,J29-J28+1,0)</f>
        <v/>
      </c>
      <c r="K31" s="9">
        <f>IF(K29&gt;=K28,K29-K28+1,0)</f>
        <v/>
      </c>
      <c r="L31" s="9">
        <f>IF(L29&gt;=L28,L29-L28+1,0)</f>
        <v/>
      </c>
      <c r="M31" s="9">
        <f>IF(M29&gt;=M28,M29-M28+1,0)</f>
        <v/>
      </c>
      <c r="N31" s="9">
        <f>IF(N29&gt;=N28,N29-N28+1,0)</f>
        <v/>
      </c>
      <c r="O31" s="9">
        <f>IF(O29&gt;=O28,O29-O28+1,0)</f>
        <v/>
      </c>
      <c r="P31" s="9">
        <f>IF(P29&gt;=P28,P29-P28+1,0)</f>
        <v/>
      </c>
      <c r="Q31" s="9">
        <f>IF(Q29&gt;=Q28,Q29-Q28+1,0)</f>
        <v/>
      </c>
      <c r="R31" s="9">
        <f>IF(R29&gt;=R28,R29-R28+1,0)</f>
        <v/>
      </c>
      <c r="S31" s="9">
        <f>IF(S29&gt;=S28,S29-S28+1,0)</f>
        <v/>
      </c>
      <c r="T31" s="9">
        <f>IF(T29&gt;=T28,T29-T28+1,0)</f>
        <v/>
      </c>
      <c r="U31" s="9">
        <f>IF(U29&gt;=U28,U29-U28+1,0)</f>
        <v/>
      </c>
      <c r="V31" s="9">
        <f>IF(V29&gt;=V28,V29-V28+1,0)</f>
        <v/>
      </c>
      <c r="W31" s="9">
        <f>IF(W29&gt;=W28,W29-W28+1,0)</f>
        <v/>
      </c>
      <c r="X31" s="9">
        <f>IF(X29&gt;=X28,X29-X28+1,0)</f>
        <v/>
      </c>
      <c r="Y31" s="9">
        <f>IF(Y29&gt;=Y28,Y29-Y28+1,0)</f>
        <v/>
      </c>
      <c r="Z31" s="9">
        <f>IF(Z29&gt;=Z28,Z29-Z28+1,0)</f>
        <v/>
      </c>
      <c r="AA31" s="9">
        <f>IF(AA29&gt;=AA28,AA29-AA28+1,0)</f>
        <v/>
      </c>
      <c r="AB31" s="9">
        <f>IF(AB29&gt;=AB28,AB29-AB28+1,0)</f>
        <v/>
      </c>
      <c r="AC31" s="9">
        <f>IF(AC29&gt;=AC28,AC29-AC28+1,0)</f>
        <v/>
      </c>
      <c r="AD31" s="9">
        <f>IF(AD29&gt;=AD28,AD29-AD28+1,0)</f>
        <v/>
      </c>
      <c r="AE31" s="9">
        <f>IF(AE29&gt;=AE28,AE29-AE28+1,0)</f>
        <v/>
      </c>
      <c r="AF31" s="9">
        <f>IF(AF29&gt;=AF28,AF29-AF28+1,0)</f>
        <v/>
      </c>
      <c r="AG31" s="9">
        <f>IF(AG29&gt;=AG28,AG29-AG28+1,0)</f>
        <v/>
      </c>
      <c r="AH31" s="9">
        <f>IF(AH29&gt;=AH28,AH29-AH28+1,0)</f>
        <v/>
      </c>
      <c r="AI31" s="9">
        <f>IF(AI29&gt;=AI28,AI29-AI28+1,0)</f>
        <v/>
      </c>
      <c r="AJ31" s="9">
        <f>IF(AJ29&gt;=AJ28,AJ29-AJ28+1,0)</f>
        <v/>
      </c>
      <c r="AK31" s="9">
        <f>IF(AK29&gt;=AK28,AK29-AK28+1,0)</f>
        <v/>
      </c>
      <c r="AL31" s="9">
        <f>IF(AL29&gt;=AL28,AL29-AL28+1,0)</f>
        <v/>
      </c>
      <c r="AM31" s="9">
        <f>IF(AM29&gt;=AM28,AM29-AM28+1,0)</f>
        <v/>
      </c>
      <c r="AN31" s="9">
        <f>IF(AN29&gt;=AN28,AN29-AN28+1,0)</f>
        <v/>
      </c>
      <c r="AO31" s="9">
        <f>IF(AO29&gt;=AO28,AO29-AO28+1,0)</f>
        <v/>
      </c>
      <c r="AP31" s="9">
        <f>IF(AP29&gt;=AP28,AP29-AP28+1,0)</f>
        <v/>
      </c>
      <c r="AQ31" s="9">
        <f>IF(AQ29&gt;=AQ28,AQ29-AQ28+1,0)</f>
        <v/>
      </c>
      <c r="AR31" s="9">
        <f>IF(AR29&gt;=AR28,AR29-AR28+1,0)</f>
        <v/>
      </c>
      <c r="AS31" s="9">
        <f>IF(AS29&gt;=AS28,AS29-AS28+1,0)</f>
        <v/>
      </c>
      <c r="AT31" s="9">
        <f>IF(AT29&gt;=AT28,AT29-AT28+1,0)</f>
        <v/>
      </c>
      <c r="AU31" s="9">
        <f>IF(AU29&gt;=AU28,AU29-AU28+1,0)</f>
        <v/>
      </c>
      <c r="AV31" s="9">
        <f>IF(AV29&gt;=AV28,AV29-AV28+1,0)</f>
        <v/>
      </c>
      <c r="AW31" s="9">
        <f>IF(AW29&gt;=AW28,AW29-AW28+1,0)</f>
        <v/>
      </c>
      <c r="AX31" s="9">
        <f>IF(AX29&gt;=AX28,AX29-AX28+1,0)</f>
        <v/>
      </c>
      <c r="AY31" s="9">
        <f>IF(AY29&gt;=AY28,AY29-AY28+1,0)</f>
        <v/>
      </c>
      <c r="AZ31" s="9">
        <f>IF(AZ29&gt;=AZ28,AZ29-AZ28+1,0)</f>
        <v/>
      </c>
      <c r="BA31" s="9">
        <f>IF(BA29&gt;=BA28,BA29-BA28+1,0)</f>
        <v/>
      </c>
      <c r="BB31" s="9">
        <f>IF(BB29&gt;=BB28,BB29-BB28+1,0)</f>
        <v/>
      </c>
      <c r="BC31" s="9">
        <f>IF(BC29&gt;=BC28,BC29-BC28+1,0)</f>
        <v/>
      </c>
      <c r="BD31" s="9">
        <f>IF(BD29&gt;=BD28,BD29-BD28+1,0)</f>
        <v/>
      </c>
      <c r="BE31" s="9">
        <f>IF(BE29&gt;=BE28,BE29-BE28+1,0)</f>
        <v/>
      </c>
      <c r="BF31" s="9">
        <f>IF(BF29&gt;=BF28,BF29-BF28+1,0)</f>
        <v/>
      </c>
      <c r="BG31" s="9">
        <f>IF(BG29&gt;=BG28,BG29-BG28+1,0)</f>
        <v/>
      </c>
      <c r="BH31" s="9">
        <f>IF(BH29&gt;=BH28,BH29-BH28+1,0)</f>
        <v/>
      </c>
      <c r="BI31" s="9">
        <f>IF(BI29&gt;=BI28,BI29-BI28+1,0)</f>
        <v/>
      </c>
      <c r="BJ31" s="9">
        <f>IF(BJ29&gt;=BJ28,BJ29-BJ28+1,0)</f>
        <v/>
      </c>
      <c r="BK31" s="9">
        <f>IF(BK29&gt;=BK28,BK29-BK28+1,0)</f>
        <v/>
      </c>
      <c r="BL31" s="9">
        <f>IF(BL29&gt;=BL28,BL29-BL28+1,0)</f>
        <v/>
      </c>
      <c r="BM31" s="9">
        <f>IF(BM29&gt;=BM28,BM29-BM28+1,0)</f>
        <v/>
      </c>
      <c r="BN31" s="9">
        <f>IF(BN29&gt;=BN28,BN29-BN28+1,0)</f>
        <v/>
      </c>
    </row>
    <row r="32">
      <c r="D32" t="inlineStr">
        <is>
          <t>Operating months elapsed at period start</t>
        </is>
      </c>
      <c r="E32" t="inlineStr">
        <is>
          <t>months</t>
        </is>
      </c>
      <c r="J32" s="9">
        <f>MIN(MAX((YEAR(J22)-YEAR($F$8))*12+MONTH(J22)-MONTH($F$8),0),$F$9)</f>
        <v/>
      </c>
      <c r="K32" s="9">
        <f>MIN(MAX((YEAR(K22)-YEAR($F$8))*12+MONTH(K22)-MONTH($F$8),0),$F$9)</f>
        <v/>
      </c>
      <c r="L32" s="9">
        <f>MIN(MAX((YEAR(L22)-YEAR($F$8))*12+MONTH(L22)-MONTH($F$8),0),$F$9)</f>
        <v/>
      </c>
      <c r="M32" s="9">
        <f>MIN(MAX((YEAR(M22)-YEAR($F$8))*12+MONTH(M22)-MONTH($F$8),0),$F$9)</f>
        <v/>
      </c>
      <c r="N32" s="9">
        <f>MIN(MAX((YEAR(N22)-YEAR($F$8))*12+MONTH(N22)-MONTH($F$8),0),$F$9)</f>
        <v/>
      </c>
      <c r="O32" s="9">
        <f>MIN(MAX((YEAR(O22)-YEAR($F$8))*12+MONTH(O22)-MONTH($F$8),0),$F$9)</f>
        <v/>
      </c>
      <c r="P32" s="9">
        <f>MIN(MAX((YEAR(P22)-YEAR($F$8))*12+MONTH(P22)-MONTH($F$8),0),$F$9)</f>
        <v/>
      </c>
      <c r="Q32" s="9">
        <f>MIN(MAX((YEAR(Q22)-YEAR($F$8))*12+MONTH(Q22)-MONTH($F$8),0),$F$9)</f>
        <v/>
      </c>
      <c r="R32" s="9">
        <f>MIN(MAX((YEAR(R22)-YEAR($F$8))*12+MONTH(R22)-MONTH($F$8),0),$F$9)</f>
        <v/>
      </c>
      <c r="S32" s="9">
        <f>MIN(MAX((YEAR(S22)-YEAR($F$8))*12+MONTH(S22)-MONTH($F$8),0),$F$9)</f>
        <v/>
      </c>
      <c r="T32" s="9">
        <f>MIN(MAX((YEAR(T22)-YEAR($F$8))*12+MONTH(T22)-MONTH($F$8),0),$F$9)</f>
        <v/>
      </c>
      <c r="U32" s="9">
        <f>MIN(MAX((YEAR(U22)-YEAR($F$8))*12+MONTH(U22)-MONTH($F$8),0),$F$9)</f>
        <v/>
      </c>
      <c r="V32" s="9">
        <f>MIN(MAX((YEAR(V22)-YEAR($F$8))*12+MONTH(V22)-MONTH($F$8),0),$F$9)</f>
        <v/>
      </c>
      <c r="W32" s="9">
        <f>MIN(MAX((YEAR(W22)-YEAR($F$8))*12+MONTH(W22)-MONTH($F$8),0),$F$9)</f>
        <v/>
      </c>
      <c r="X32" s="9">
        <f>MIN(MAX((YEAR(X22)-YEAR($F$8))*12+MONTH(X22)-MONTH($F$8),0),$F$9)</f>
        <v/>
      </c>
      <c r="Y32" s="9">
        <f>MIN(MAX((YEAR(Y22)-YEAR($F$8))*12+MONTH(Y22)-MONTH($F$8),0),$F$9)</f>
        <v/>
      </c>
      <c r="Z32" s="9">
        <f>MIN(MAX((YEAR(Z22)-YEAR($F$8))*12+MONTH(Z22)-MONTH($F$8),0),$F$9)</f>
        <v/>
      </c>
      <c r="AA32" s="9">
        <f>MIN(MAX((YEAR(AA22)-YEAR($F$8))*12+MONTH(AA22)-MONTH($F$8),0),$F$9)</f>
        <v/>
      </c>
      <c r="AB32" s="9">
        <f>MIN(MAX((YEAR(AB22)-YEAR($F$8))*12+MONTH(AB22)-MONTH($F$8),0),$F$9)</f>
        <v/>
      </c>
      <c r="AC32" s="9">
        <f>MIN(MAX((YEAR(AC22)-YEAR($F$8))*12+MONTH(AC22)-MONTH($F$8),0),$F$9)</f>
        <v/>
      </c>
      <c r="AD32" s="9">
        <f>MIN(MAX((YEAR(AD22)-YEAR($F$8))*12+MONTH(AD22)-MONTH($F$8),0),$F$9)</f>
        <v/>
      </c>
      <c r="AE32" s="9">
        <f>MIN(MAX((YEAR(AE22)-YEAR($F$8))*12+MONTH(AE22)-MONTH($F$8),0),$F$9)</f>
        <v/>
      </c>
      <c r="AF32" s="9">
        <f>MIN(MAX((YEAR(AF22)-YEAR($F$8))*12+MONTH(AF22)-MONTH($F$8),0),$F$9)</f>
        <v/>
      </c>
      <c r="AG32" s="9">
        <f>MIN(MAX((YEAR(AG22)-YEAR($F$8))*12+MONTH(AG22)-MONTH($F$8),0),$F$9)</f>
        <v/>
      </c>
      <c r="AH32" s="9">
        <f>MIN(MAX((YEAR(AH22)-YEAR($F$8))*12+MONTH(AH22)-MONTH($F$8),0),$F$9)</f>
        <v/>
      </c>
      <c r="AI32" s="9">
        <f>MIN(MAX((YEAR(AI22)-YEAR($F$8))*12+MONTH(AI22)-MONTH($F$8),0),$F$9)</f>
        <v/>
      </c>
      <c r="AJ32" s="9">
        <f>MIN(MAX((YEAR(AJ22)-YEAR($F$8))*12+MONTH(AJ22)-MONTH($F$8),0),$F$9)</f>
        <v/>
      </c>
      <c r="AK32" s="9">
        <f>MIN(MAX((YEAR(AK22)-YEAR($F$8))*12+MONTH(AK22)-MONTH($F$8),0),$F$9)</f>
        <v/>
      </c>
      <c r="AL32" s="9">
        <f>MIN(MAX((YEAR(AL22)-YEAR($F$8))*12+MONTH(AL22)-MONTH($F$8),0),$F$9)</f>
        <v/>
      </c>
      <c r="AM32" s="9">
        <f>MIN(MAX((YEAR(AM22)-YEAR($F$8))*12+MONTH(AM22)-MONTH($F$8),0),$F$9)</f>
        <v/>
      </c>
      <c r="AN32" s="9">
        <f>MIN(MAX((YEAR(AN22)-YEAR($F$8))*12+MONTH(AN22)-MONTH($F$8),0),$F$9)</f>
        <v/>
      </c>
      <c r="AO32" s="9">
        <f>MIN(MAX((YEAR(AO22)-YEAR($F$8))*12+MONTH(AO22)-MONTH($F$8),0),$F$9)</f>
        <v/>
      </c>
      <c r="AP32" s="9">
        <f>MIN(MAX((YEAR(AP22)-YEAR($F$8))*12+MONTH(AP22)-MONTH($F$8),0),$F$9)</f>
        <v/>
      </c>
      <c r="AQ32" s="9">
        <f>MIN(MAX((YEAR(AQ22)-YEAR($F$8))*12+MONTH(AQ22)-MONTH($F$8),0),$F$9)</f>
        <v/>
      </c>
      <c r="AR32" s="9">
        <f>MIN(MAX((YEAR(AR22)-YEAR($F$8))*12+MONTH(AR22)-MONTH($F$8),0),$F$9)</f>
        <v/>
      </c>
      <c r="AS32" s="9">
        <f>MIN(MAX((YEAR(AS22)-YEAR($F$8))*12+MONTH(AS22)-MONTH($F$8),0),$F$9)</f>
        <v/>
      </c>
      <c r="AT32" s="9">
        <f>MIN(MAX((YEAR(AT22)-YEAR($F$8))*12+MONTH(AT22)-MONTH($F$8),0),$F$9)</f>
        <v/>
      </c>
      <c r="AU32" s="9">
        <f>MIN(MAX((YEAR(AU22)-YEAR($F$8))*12+MONTH(AU22)-MONTH($F$8),0),$F$9)</f>
        <v/>
      </c>
      <c r="AV32" s="9">
        <f>MIN(MAX((YEAR(AV22)-YEAR($F$8))*12+MONTH(AV22)-MONTH($F$8),0),$F$9)</f>
        <v/>
      </c>
      <c r="AW32" s="9">
        <f>MIN(MAX((YEAR(AW22)-YEAR($F$8))*12+MONTH(AW22)-MONTH($F$8),0),$F$9)</f>
        <v/>
      </c>
      <c r="AX32" s="9">
        <f>MIN(MAX((YEAR(AX22)-YEAR($F$8))*12+MONTH(AX22)-MONTH($F$8),0),$F$9)</f>
        <v/>
      </c>
      <c r="AY32" s="9">
        <f>MIN(MAX((YEAR(AY22)-YEAR($F$8))*12+MONTH(AY22)-MONTH($F$8),0),$F$9)</f>
        <v/>
      </c>
      <c r="AZ32" s="9">
        <f>MIN(MAX((YEAR(AZ22)-YEAR($F$8))*12+MONTH(AZ22)-MONTH($F$8),0),$F$9)</f>
        <v/>
      </c>
      <c r="BA32" s="9">
        <f>MIN(MAX((YEAR(BA22)-YEAR($F$8))*12+MONTH(BA22)-MONTH($F$8),0),$F$9)</f>
        <v/>
      </c>
      <c r="BB32" s="9">
        <f>MIN(MAX((YEAR(BB22)-YEAR($F$8))*12+MONTH(BB22)-MONTH($F$8),0),$F$9)</f>
        <v/>
      </c>
      <c r="BC32" s="9">
        <f>MIN(MAX((YEAR(BC22)-YEAR($F$8))*12+MONTH(BC22)-MONTH($F$8),0),$F$9)</f>
        <v/>
      </c>
      <c r="BD32" s="9">
        <f>MIN(MAX((YEAR(BD22)-YEAR($F$8))*12+MONTH(BD22)-MONTH($F$8),0),$F$9)</f>
        <v/>
      </c>
      <c r="BE32" s="9">
        <f>MIN(MAX((YEAR(BE22)-YEAR($F$8))*12+MONTH(BE22)-MONTH($F$8),0),$F$9)</f>
        <v/>
      </c>
      <c r="BF32" s="9">
        <f>MIN(MAX((YEAR(BF22)-YEAR($F$8))*12+MONTH(BF22)-MONTH($F$8),0),$F$9)</f>
        <v/>
      </c>
      <c r="BG32" s="9">
        <f>MIN(MAX((YEAR(BG22)-YEAR($F$8))*12+MONTH(BG22)-MONTH($F$8),0),$F$9)</f>
        <v/>
      </c>
      <c r="BH32" s="9">
        <f>MIN(MAX((YEAR(BH22)-YEAR($F$8))*12+MONTH(BH22)-MONTH($F$8),0),$F$9)</f>
        <v/>
      </c>
      <c r="BI32" s="9">
        <f>MIN(MAX((YEAR(BI22)-YEAR($F$8))*12+MONTH(BI22)-MONTH($F$8),0),$F$9)</f>
        <v/>
      </c>
      <c r="BJ32" s="9">
        <f>MIN(MAX((YEAR(BJ22)-YEAR($F$8))*12+MONTH(BJ22)-MONTH($F$8),0),$F$9)</f>
        <v/>
      </c>
      <c r="BK32" s="9">
        <f>MIN(MAX((YEAR(BK22)-YEAR($F$8))*12+MONTH(BK22)-MONTH($F$8),0),$F$9)</f>
        <v/>
      </c>
      <c r="BL32" s="9">
        <f>MIN(MAX((YEAR(BL22)-YEAR($F$8))*12+MONTH(BL22)-MONTH($F$8),0),$F$9)</f>
        <v/>
      </c>
      <c r="BM32" s="9">
        <f>MIN(MAX((YEAR(BM22)-YEAR($F$8))*12+MONTH(BM22)-MONTH($F$8),0),$F$9)</f>
        <v/>
      </c>
      <c r="BN32" s="9">
        <f>MIN(MAX((YEAR(BN22)-YEAR($F$8))*12+MONTH(BN22)-MONTH($F$8),0),$F$9)</f>
        <v/>
      </c>
    </row>
    <row r="33">
      <c r="D33" t="inlineStr">
        <is>
          <t>Operating months elapsed at period end</t>
        </is>
      </c>
      <c r="E33" t="inlineStr">
        <is>
          <t>months</t>
        </is>
      </c>
      <c r="J33" s="9">
        <f>J32+J30</f>
        <v/>
      </c>
      <c r="K33" s="9">
        <f>K32+K30</f>
        <v/>
      </c>
      <c r="L33" s="9">
        <f>L32+L30</f>
        <v/>
      </c>
      <c r="M33" s="9">
        <f>M32+M30</f>
        <v/>
      </c>
      <c r="N33" s="9">
        <f>N32+N30</f>
        <v/>
      </c>
      <c r="O33" s="9">
        <f>O32+O30</f>
        <v/>
      </c>
      <c r="P33" s="9">
        <f>P32+P30</f>
        <v/>
      </c>
      <c r="Q33" s="9">
        <f>Q32+Q30</f>
        <v/>
      </c>
      <c r="R33" s="9">
        <f>R32+R30</f>
        <v/>
      </c>
      <c r="S33" s="9">
        <f>S32+S30</f>
        <v/>
      </c>
      <c r="T33" s="9">
        <f>T32+T30</f>
        <v/>
      </c>
      <c r="U33" s="9">
        <f>U32+U30</f>
        <v/>
      </c>
      <c r="V33" s="9">
        <f>V32+V30</f>
        <v/>
      </c>
      <c r="W33" s="9">
        <f>W32+W30</f>
        <v/>
      </c>
      <c r="X33" s="9">
        <f>X32+X30</f>
        <v/>
      </c>
      <c r="Y33" s="9">
        <f>Y32+Y30</f>
        <v/>
      </c>
      <c r="Z33" s="9">
        <f>Z32+Z30</f>
        <v/>
      </c>
      <c r="AA33" s="9">
        <f>AA32+AA30</f>
        <v/>
      </c>
      <c r="AB33" s="9">
        <f>AB32+AB30</f>
        <v/>
      </c>
      <c r="AC33" s="9">
        <f>AC32+AC30</f>
        <v/>
      </c>
      <c r="AD33" s="9">
        <f>AD32+AD30</f>
        <v/>
      </c>
      <c r="AE33" s="9">
        <f>AE32+AE30</f>
        <v/>
      </c>
      <c r="AF33" s="9">
        <f>AF32+AF30</f>
        <v/>
      </c>
      <c r="AG33" s="9">
        <f>AG32+AG30</f>
        <v/>
      </c>
      <c r="AH33" s="9">
        <f>AH32+AH30</f>
        <v/>
      </c>
      <c r="AI33" s="9">
        <f>AI32+AI30</f>
        <v/>
      </c>
      <c r="AJ33" s="9">
        <f>AJ32+AJ30</f>
        <v/>
      </c>
      <c r="AK33" s="9">
        <f>AK32+AK30</f>
        <v/>
      </c>
      <c r="AL33" s="9">
        <f>AL32+AL30</f>
        <v/>
      </c>
      <c r="AM33" s="9">
        <f>AM32+AM30</f>
        <v/>
      </c>
      <c r="AN33" s="9">
        <f>AN32+AN30</f>
        <v/>
      </c>
      <c r="AO33" s="9">
        <f>AO32+AO30</f>
        <v/>
      </c>
      <c r="AP33" s="9">
        <f>AP32+AP30</f>
        <v/>
      </c>
      <c r="AQ33" s="9">
        <f>AQ32+AQ30</f>
        <v/>
      </c>
      <c r="AR33" s="9">
        <f>AR32+AR30</f>
        <v/>
      </c>
      <c r="AS33" s="9">
        <f>AS32+AS30</f>
        <v/>
      </c>
      <c r="AT33" s="9">
        <f>AT32+AT30</f>
        <v/>
      </c>
      <c r="AU33" s="9">
        <f>AU32+AU30</f>
        <v/>
      </c>
      <c r="AV33" s="9">
        <f>AV32+AV30</f>
        <v/>
      </c>
      <c r="AW33" s="9">
        <f>AW32+AW30</f>
        <v/>
      </c>
      <c r="AX33" s="9">
        <f>AX32+AX30</f>
        <v/>
      </c>
      <c r="AY33" s="9">
        <f>AY32+AY30</f>
        <v/>
      </c>
      <c r="AZ33" s="9">
        <f>AZ32+AZ30</f>
        <v/>
      </c>
      <c r="BA33" s="9">
        <f>BA32+BA30</f>
        <v/>
      </c>
      <c r="BB33" s="9">
        <f>BB32+BB30</f>
        <v/>
      </c>
      <c r="BC33" s="9">
        <f>BC32+BC30</f>
        <v/>
      </c>
      <c r="BD33" s="9">
        <f>BD32+BD30</f>
        <v/>
      </c>
      <c r="BE33" s="9">
        <f>BE32+BE30</f>
        <v/>
      </c>
      <c r="BF33" s="9">
        <f>BF32+BF30</f>
        <v/>
      </c>
      <c r="BG33" s="9">
        <f>BG32+BG30</f>
        <v/>
      </c>
      <c r="BH33" s="9">
        <f>BH32+BH30</f>
        <v/>
      </c>
      <c r="BI33" s="9">
        <f>BI32+BI30</f>
        <v/>
      </c>
      <c r="BJ33" s="9">
        <f>BJ32+BJ30</f>
        <v/>
      </c>
      <c r="BK33" s="9">
        <f>BK32+BK30</f>
        <v/>
      </c>
      <c r="BL33" s="9">
        <f>BL32+BL30</f>
        <v/>
      </c>
      <c r="BM33" s="9">
        <f>BM32+BM30</f>
        <v/>
      </c>
      <c r="BN33" s="9">
        <f>BN32+BN30</f>
        <v/>
      </c>
    </row>
    <row r="34">
      <c r="D34" t="inlineStr">
        <is>
          <t>Flag_CODPeriod</t>
        </is>
      </c>
      <c r="E34" t="inlineStr">
        <is>
          <t>flag</t>
        </is>
      </c>
      <c r="J34" s="9">
        <f>IF(J20=$F$12,1,0)</f>
        <v/>
      </c>
      <c r="K34" s="9">
        <f>IF(K20=$F$12,1,0)</f>
        <v/>
      </c>
      <c r="L34" s="9">
        <f>IF(L20=$F$12,1,0)</f>
        <v/>
      </c>
      <c r="M34" s="9">
        <f>IF(M20=$F$12,1,0)</f>
        <v/>
      </c>
      <c r="N34" s="9">
        <f>IF(N20=$F$12,1,0)</f>
        <v/>
      </c>
      <c r="O34" s="9">
        <f>IF(O20=$F$12,1,0)</f>
        <v/>
      </c>
      <c r="P34" s="9">
        <f>IF(P20=$F$12,1,0)</f>
        <v/>
      </c>
      <c r="Q34" s="9">
        <f>IF(Q20=$F$12,1,0)</f>
        <v/>
      </c>
      <c r="R34" s="9">
        <f>IF(R20=$F$12,1,0)</f>
        <v/>
      </c>
      <c r="S34" s="9">
        <f>IF(S20=$F$12,1,0)</f>
        <v/>
      </c>
      <c r="T34" s="9">
        <f>IF(T20=$F$12,1,0)</f>
        <v/>
      </c>
      <c r="U34" s="9">
        <f>IF(U20=$F$12,1,0)</f>
        <v/>
      </c>
      <c r="V34" s="9">
        <f>IF(V20=$F$12,1,0)</f>
        <v/>
      </c>
      <c r="W34" s="9">
        <f>IF(W20=$F$12,1,0)</f>
        <v/>
      </c>
      <c r="X34" s="9">
        <f>IF(X20=$F$12,1,0)</f>
        <v/>
      </c>
      <c r="Y34" s="9">
        <f>IF(Y20=$F$12,1,0)</f>
        <v/>
      </c>
      <c r="Z34" s="9">
        <f>IF(Z20=$F$12,1,0)</f>
        <v/>
      </c>
      <c r="AA34" s="9">
        <f>IF(AA20=$F$12,1,0)</f>
        <v/>
      </c>
      <c r="AB34" s="9">
        <f>IF(AB20=$F$12,1,0)</f>
        <v/>
      </c>
      <c r="AC34" s="9">
        <f>IF(AC20=$F$12,1,0)</f>
        <v/>
      </c>
      <c r="AD34" s="9">
        <f>IF(AD20=$F$12,1,0)</f>
        <v/>
      </c>
      <c r="AE34" s="9">
        <f>IF(AE20=$F$12,1,0)</f>
        <v/>
      </c>
      <c r="AF34" s="9">
        <f>IF(AF20=$F$12,1,0)</f>
        <v/>
      </c>
      <c r="AG34" s="9">
        <f>IF(AG20=$F$12,1,0)</f>
        <v/>
      </c>
      <c r="AH34" s="9">
        <f>IF(AH20=$F$12,1,0)</f>
        <v/>
      </c>
      <c r="AI34" s="9">
        <f>IF(AI20=$F$12,1,0)</f>
        <v/>
      </c>
      <c r="AJ34" s="9">
        <f>IF(AJ20=$F$12,1,0)</f>
        <v/>
      </c>
      <c r="AK34" s="9">
        <f>IF(AK20=$F$12,1,0)</f>
        <v/>
      </c>
      <c r="AL34" s="9">
        <f>IF(AL20=$F$12,1,0)</f>
        <v/>
      </c>
      <c r="AM34" s="9">
        <f>IF(AM20=$F$12,1,0)</f>
        <v/>
      </c>
      <c r="AN34" s="9">
        <f>IF(AN20=$F$12,1,0)</f>
        <v/>
      </c>
      <c r="AO34" s="9">
        <f>IF(AO20=$F$12,1,0)</f>
        <v/>
      </c>
      <c r="AP34" s="9">
        <f>IF(AP20=$F$12,1,0)</f>
        <v/>
      </c>
      <c r="AQ34" s="9">
        <f>IF(AQ20=$F$12,1,0)</f>
        <v/>
      </c>
      <c r="AR34" s="9">
        <f>IF(AR20=$F$12,1,0)</f>
        <v/>
      </c>
      <c r="AS34" s="9">
        <f>IF(AS20=$F$12,1,0)</f>
        <v/>
      </c>
      <c r="AT34" s="9">
        <f>IF(AT20=$F$12,1,0)</f>
        <v/>
      </c>
      <c r="AU34" s="9">
        <f>IF(AU20=$F$12,1,0)</f>
        <v/>
      </c>
      <c r="AV34" s="9">
        <f>IF(AV20=$F$12,1,0)</f>
        <v/>
      </c>
      <c r="AW34" s="9">
        <f>IF(AW20=$F$12,1,0)</f>
        <v/>
      </c>
      <c r="AX34" s="9">
        <f>IF(AX20=$F$12,1,0)</f>
        <v/>
      </c>
      <c r="AY34" s="9">
        <f>IF(AY20=$F$12,1,0)</f>
        <v/>
      </c>
      <c r="AZ34" s="9">
        <f>IF(AZ20=$F$12,1,0)</f>
        <v/>
      </c>
      <c r="BA34" s="9">
        <f>IF(BA20=$F$12,1,0)</f>
        <v/>
      </c>
      <c r="BB34" s="9">
        <f>IF(BB20=$F$12,1,0)</f>
        <v/>
      </c>
      <c r="BC34" s="9">
        <f>IF(BC20=$F$12,1,0)</f>
        <v/>
      </c>
      <c r="BD34" s="9">
        <f>IF(BD20=$F$12,1,0)</f>
        <v/>
      </c>
      <c r="BE34" s="9">
        <f>IF(BE20=$F$12,1,0)</f>
        <v/>
      </c>
      <c r="BF34" s="9">
        <f>IF(BF20=$F$12,1,0)</f>
        <v/>
      </c>
      <c r="BG34" s="9">
        <f>IF(BG20=$F$12,1,0)</f>
        <v/>
      </c>
      <c r="BH34" s="9">
        <f>IF(BH20=$F$12,1,0)</f>
        <v/>
      </c>
      <c r="BI34" s="9">
        <f>IF(BI20=$F$12,1,0)</f>
        <v/>
      </c>
      <c r="BJ34" s="9">
        <f>IF(BJ20=$F$12,1,0)</f>
        <v/>
      </c>
      <c r="BK34" s="9">
        <f>IF(BK20=$F$12,1,0)</f>
        <v/>
      </c>
      <c r="BL34" s="9">
        <f>IF(BL20=$F$12,1,0)</f>
        <v/>
      </c>
      <c r="BM34" s="9">
        <f>IF(BM20=$F$12,1,0)</f>
        <v/>
      </c>
      <c r="BN34" s="9">
        <f>IF(BN20=$F$12,1,0)</f>
        <v/>
      </c>
    </row>
    <row r="35">
      <c r="D35" t="inlineStr">
        <is>
          <t>Flag_DebtService (after COD period)</t>
        </is>
      </c>
      <c r="E35" t="inlineStr">
        <is>
          <t>flag</t>
        </is>
      </c>
      <c r="J35" s="9">
        <f>IF(J20&gt;$F$12,1,0)</f>
        <v/>
      </c>
      <c r="K35" s="9">
        <f>IF(K20&gt;$F$12,1,0)</f>
        <v/>
      </c>
      <c r="L35" s="9">
        <f>IF(L20&gt;$F$12,1,0)</f>
        <v/>
      </c>
      <c r="M35" s="9">
        <f>IF(M20&gt;$F$12,1,0)</f>
        <v/>
      </c>
      <c r="N35" s="9">
        <f>IF(N20&gt;$F$12,1,0)</f>
        <v/>
      </c>
      <c r="O35" s="9">
        <f>IF(O20&gt;$F$12,1,0)</f>
        <v/>
      </c>
      <c r="P35" s="9">
        <f>IF(P20&gt;$F$12,1,0)</f>
        <v/>
      </c>
      <c r="Q35" s="9">
        <f>IF(Q20&gt;$F$12,1,0)</f>
        <v/>
      </c>
      <c r="R35" s="9">
        <f>IF(R20&gt;$F$12,1,0)</f>
        <v/>
      </c>
      <c r="S35" s="9">
        <f>IF(S20&gt;$F$12,1,0)</f>
        <v/>
      </c>
      <c r="T35" s="9">
        <f>IF(T20&gt;$F$12,1,0)</f>
        <v/>
      </c>
      <c r="U35" s="9">
        <f>IF(U20&gt;$F$12,1,0)</f>
        <v/>
      </c>
      <c r="V35" s="9">
        <f>IF(V20&gt;$F$12,1,0)</f>
        <v/>
      </c>
      <c r="W35" s="9">
        <f>IF(W20&gt;$F$12,1,0)</f>
        <v/>
      </c>
      <c r="X35" s="9">
        <f>IF(X20&gt;$F$12,1,0)</f>
        <v/>
      </c>
      <c r="Y35" s="9">
        <f>IF(Y20&gt;$F$12,1,0)</f>
        <v/>
      </c>
      <c r="Z35" s="9">
        <f>IF(Z20&gt;$F$12,1,0)</f>
        <v/>
      </c>
      <c r="AA35" s="9">
        <f>IF(AA20&gt;$F$12,1,0)</f>
        <v/>
      </c>
      <c r="AB35" s="9">
        <f>IF(AB20&gt;$F$12,1,0)</f>
        <v/>
      </c>
      <c r="AC35" s="9">
        <f>IF(AC20&gt;$F$12,1,0)</f>
        <v/>
      </c>
      <c r="AD35" s="9">
        <f>IF(AD20&gt;$F$12,1,0)</f>
        <v/>
      </c>
      <c r="AE35" s="9">
        <f>IF(AE20&gt;$F$12,1,0)</f>
        <v/>
      </c>
      <c r="AF35" s="9">
        <f>IF(AF20&gt;$F$12,1,0)</f>
        <v/>
      </c>
      <c r="AG35" s="9">
        <f>IF(AG20&gt;$F$12,1,0)</f>
        <v/>
      </c>
      <c r="AH35" s="9">
        <f>IF(AH20&gt;$F$12,1,0)</f>
        <v/>
      </c>
      <c r="AI35" s="9">
        <f>IF(AI20&gt;$F$12,1,0)</f>
        <v/>
      </c>
      <c r="AJ35" s="9">
        <f>IF(AJ20&gt;$F$12,1,0)</f>
        <v/>
      </c>
      <c r="AK35" s="9">
        <f>IF(AK20&gt;$F$12,1,0)</f>
        <v/>
      </c>
      <c r="AL35" s="9">
        <f>IF(AL20&gt;$F$12,1,0)</f>
        <v/>
      </c>
      <c r="AM35" s="9">
        <f>IF(AM20&gt;$F$12,1,0)</f>
        <v/>
      </c>
      <c r="AN35" s="9">
        <f>IF(AN20&gt;$F$12,1,0)</f>
        <v/>
      </c>
      <c r="AO35" s="9">
        <f>IF(AO20&gt;$F$12,1,0)</f>
        <v/>
      </c>
      <c r="AP35" s="9">
        <f>IF(AP20&gt;$F$12,1,0)</f>
        <v/>
      </c>
      <c r="AQ35" s="9">
        <f>IF(AQ20&gt;$F$12,1,0)</f>
        <v/>
      </c>
      <c r="AR35" s="9">
        <f>IF(AR20&gt;$F$12,1,0)</f>
        <v/>
      </c>
      <c r="AS35" s="9">
        <f>IF(AS20&gt;$F$12,1,0)</f>
        <v/>
      </c>
      <c r="AT35" s="9">
        <f>IF(AT20&gt;$F$12,1,0)</f>
        <v/>
      </c>
      <c r="AU35" s="9">
        <f>IF(AU20&gt;$F$12,1,0)</f>
        <v/>
      </c>
      <c r="AV35" s="9">
        <f>IF(AV20&gt;$F$12,1,0)</f>
        <v/>
      </c>
      <c r="AW35" s="9">
        <f>IF(AW20&gt;$F$12,1,0)</f>
        <v/>
      </c>
      <c r="AX35" s="9">
        <f>IF(AX20&gt;$F$12,1,0)</f>
        <v/>
      </c>
      <c r="AY35" s="9">
        <f>IF(AY20&gt;$F$12,1,0)</f>
        <v/>
      </c>
      <c r="AZ35" s="9">
        <f>IF(AZ20&gt;$F$12,1,0)</f>
        <v/>
      </c>
      <c r="BA35" s="9">
        <f>IF(BA20&gt;$F$12,1,0)</f>
        <v/>
      </c>
      <c r="BB35" s="9">
        <f>IF(BB20&gt;$F$12,1,0)</f>
        <v/>
      </c>
      <c r="BC35" s="9">
        <f>IF(BC20&gt;$F$12,1,0)</f>
        <v/>
      </c>
      <c r="BD35" s="9">
        <f>IF(BD20&gt;$F$12,1,0)</f>
        <v/>
      </c>
      <c r="BE35" s="9">
        <f>IF(BE20&gt;$F$12,1,0)</f>
        <v/>
      </c>
      <c r="BF35" s="9">
        <f>IF(BF20&gt;$F$12,1,0)</f>
        <v/>
      </c>
      <c r="BG35" s="9">
        <f>IF(BG20&gt;$F$12,1,0)</f>
        <v/>
      </c>
      <c r="BH35" s="9">
        <f>IF(BH20&gt;$F$12,1,0)</f>
        <v/>
      </c>
      <c r="BI35" s="9">
        <f>IF(BI20&gt;$F$12,1,0)</f>
        <v/>
      </c>
      <c r="BJ35" s="9">
        <f>IF(BJ20&gt;$F$12,1,0)</f>
        <v/>
      </c>
      <c r="BK35" s="9">
        <f>IF(BK20&gt;$F$12,1,0)</f>
        <v/>
      </c>
      <c r="BL35" s="9">
        <f>IF(BL20&gt;$F$12,1,0)</f>
        <v/>
      </c>
      <c r="BM35" s="9">
        <f>IF(BM20&gt;$F$12,1,0)</f>
        <v/>
      </c>
      <c r="BN35" s="9">
        <f>IF(BN20&gt;$F$12,1,0)</f>
        <v/>
      </c>
    </row>
    <row r="36">
      <c r="D36" t="inlineStr">
        <is>
          <t>Flag_Operations</t>
        </is>
      </c>
      <c r="E36" t="inlineStr">
        <is>
          <t>flag</t>
        </is>
      </c>
      <c r="J36" s="9">
        <f>IF(J30&gt;0,1,0)</f>
        <v/>
      </c>
      <c r="K36" s="9">
        <f>IF(K30&gt;0,1,0)</f>
        <v/>
      </c>
      <c r="L36" s="9">
        <f>IF(L30&gt;0,1,0)</f>
        <v/>
      </c>
      <c r="M36" s="9">
        <f>IF(M30&gt;0,1,0)</f>
        <v/>
      </c>
      <c r="N36" s="9">
        <f>IF(N30&gt;0,1,0)</f>
        <v/>
      </c>
      <c r="O36" s="9">
        <f>IF(O30&gt;0,1,0)</f>
        <v/>
      </c>
      <c r="P36" s="9">
        <f>IF(P30&gt;0,1,0)</f>
        <v/>
      </c>
      <c r="Q36" s="9">
        <f>IF(Q30&gt;0,1,0)</f>
        <v/>
      </c>
      <c r="R36" s="9">
        <f>IF(R30&gt;0,1,0)</f>
        <v/>
      </c>
      <c r="S36" s="9">
        <f>IF(S30&gt;0,1,0)</f>
        <v/>
      </c>
      <c r="T36" s="9">
        <f>IF(T30&gt;0,1,0)</f>
        <v/>
      </c>
      <c r="U36" s="9">
        <f>IF(U30&gt;0,1,0)</f>
        <v/>
      </c>
      <c r="V36" s="9">
        <f>IF(V30&gt;0,1,0)</f>
        <v/>
      </c>
      <c r="W36" s="9">
        <f>IF(W30&gt;0,1,0)</f>
        <v/>
      </c>
      <c r="X36" s="9">
        <f>IF(X30&gt;0,1,0)</f>
        <v/>
      </c>
      <c r="Y36" s="9">
        <f>IF(Y30&gt;0,1,0)</f>
        <v/>
      </c>
      <c r="Z36" s="9">
        <f>IF(Z30&gt;0,1,0)</f>
        <v/>
      </c>
      <c r="AA36" s="9">
        <f>IF(AA30&gt;0,1,0)</f>
        <v/>
      </c>
      <c r="AB36" s="9">
        <f>IF(AB30&gt;0,1,0)</f>
        <v/>
      </c>
      <c r="AC36" s="9">
        <f>IF(AC30&gt;0,1,0)</f>
        <v/>
      </c>
      <c r="AD36" s="9">
        <f>IF(AD30&gt;0,1,0)</f>
        <v/>
      </c>
      <c r="AE36" s="9">
        <f>IF(AE30&gt;0,1,0)</f>
        <v/>
      </c>
      <c r="AF36" s="9">
        <f>IF(AF30&gt;0,1,0)</f>
        <v/>
      </c>
      <c r="AG36" s="9">
        <f>IF(AG30&gt;0,1,0)</f>
        <v/>
      </c>
      <c r="AH36" s="9">
        <f>IF(AH30&gt;0,1,0)</f>
        <v/>
      </c>
      <c r="AI36" s="9">
        <f>IF(AI30&gt;0,1,0)</f>
        <v/>
      </c>
      <c r="AJ36" s="9">
        <f>IF(AJ30&gt;0,1,0)</f>
        <v/>
      </c>
      <c r="AK36" s="9">
        <f>IF(AK30&gt;0,1,0)</f>
        <v/>
      </c>
      <c r="AL36" s="9">
        <f>IF(AL30&gt;0,1,0)</f>
        <v/>
      </c>
      <c r="AM36" s="9">
        <f>IF(AM30&gt;0,1,0)</f>
        <v/>
      </c>
      <c r="AN36" s="9">
        <f>IF(AN30&gt;0,1,0)</f>
        <v/>
      </c>
      <c r="AO36" s="9">
        <f>IF(AO30&gt;0,1,0)</f>
        <v/>
      </c>
      <c r="AP36" s="9">
        <f>IF(AP30&gt;0,1,0)</f>
        <v/>
      </c>
      <c r="AQ36" s="9">
        <f>IF(AQ30&gt;0,1,0)</f>
        <v/>
      </c>
      <c r="AR36" s="9">
        <f>IF(AR30&gt;0,1,0)</f>
        <v/>
      </c>
      <c r="AS36" s="9">
        <f>IF(AS30&gt;0,1,0)</f>
        <v/>
      </c>
      <c r="AT36" s="9">
        <f>IF(AT30&gt;0,1,0)</f>
        <v/>
      </c>
      <c r="AU36" s="9">
        <f>IF(AU30&gt;0,1,0)</f>
        <v/>
      </c>
      <c r="AV36" s="9">
        <f>IF(AV30&gt;0,1,0)</f>
        <v/>
      </c>
      <c r="AW36" s="9">
        <f>IF(AW30&gt;0,1,0)</f>
        <v/>
      </c>
      <c r="AX36" s="9">
        <f>IF(AX30&gt;0,1,0)</f>
        <v/>
      </c>
      <c r="AY36" s="9">
        <f>IF(AY30&gt;0,1,0)</f>
        <v/>
      </c>
      <c r="AZ36" s="9">
        <f>IF(AZ30&gt;0,1,0)</f>
        <v/>
      </c>
      <c r="BA36" s="9">
        <f>IF(BA30&gt;0,1,0)</f>
        <v/>
      </c>
      <c r="BB36" s="9">
        <f>IF(BB30&gt;0,1,0)</f>
        <v/>
      </c>
      <c r="BC36" s="9">
        <f>IF(BC30&gt;0,1,0)</f>
        <v/>
      </c>
      <c r="BD36" s="9">
        <f>IF(BD30&gt;0,1,0)</f>
        <v/>
      </c>
      <c r="BE36" s="9">
        <f>IF(BE30&gt;0,1,0)</f>
        <v/>
      </c>
      <c r="BF36" s="9">
        <f>IF(BF30&gt;0,1,0)</f>
        <v/>
      </c>
      <c r="BG36" s="9">
        <f>IF(BG30&gt;0,1,0)</f>
        <v/>
      </c>
      <c r="BH36" s="9">
        <f>IF(BH30&gt;0,1,0)</f>
        <v/>
      </c>
      <c r="BI36" s="9">
        <f>IF(BI30&gt;0,1,0)</f>
        <v/>
      </c>
      <c r="BJ36" s="9">
        <f>IF(BJ30&gt;0,1,0)</f>
        <v/>
      </c>
      <c r="BK36" s="9">
        <f>IF(BK30&gt;0,1,0)</f>
        <v/>
      </c>
      <c r="BL36" s="9">
        <f>IF(BL30&gt;0,1,0)</f>
        <v/>
      </c>
      <c r="BM36" s="9">
        <f>IF(BM30&gt;0,1,0)</f>
        <v/>
      </c>
      <c r="BN36" s="9">
        <f>IF(BN30&gt;0,1,0)</f>
        <v/>
      </c>
    </row>
    <row r="37">
      <c r="D37" t="inlineStr">
        <is>
          <t>Flag_LastOperatingPeriod</t>
        </is>
      </c>
      <c r="E37" t="inlineStr">
        <is>
          <t>flag</t>
        </is>
      </c>
      <c r="J37" s="9">
        <f>IF(AND(J30&gt;0,K30=0),1,0)</f>
        <v/>
      </c>
      <c r="K37" s="9">
        <f>IF(AND(K30&gt;0,L30=0),1,0)</f>
        <v/>
      </c>
      <c r="L37" s="9">
        <f>IF(AND(L30&gt;0,M30=0),1,0)</f>
        <v/>
      </c>
      <c r="M37" s="9">
        <f>IF(AND(M30&gt;0,N30=0),1,0)</f>
        <v/>
      </c>
      <c r="N37" s="9">
        <f>IF(AND(N30&gt;0,O30=0),1,0)</f>
        <v/>
      </c>
      <c r="O37" s="9">
        <f>IF(AND(O30&gt;0,P30=0),1,0)</f>
        <v/>
      </c>
      <c r="P37" s="9">
        <f>IF(AND(P30&gt;0,Q30=0),1,0)</f>
        <v/>
      </c>
      <c r="Q37" s="9">
        <f>IF(AND(Q30&gt;0,R30=0),1,0)</f>
        <v/>
      </c>
      <c r="R37" s="9">
        <f>IF(AND(R30&gt;0,S30=0),1,0)</f>
        <v/>
      </c>
      <c r="S37" s="9">
        <f>IF(AND(S30&gt;0,T30=0),1,0)</f>
        <v/>
      </c>
      <c r="T37" s="9">
        <f>IF(AND(T30&gt;0,U30=0),1,0)</f>
        <v/>
      </c>
      <c r="U37" s="9">
        <f>IF(AND(U30&gt;0,V30=0),1,0)</f>
        <v/>
      </c>
      <c r="V37" s="9">
        <f>IF(AND(V30&gt;0,W30=0),1,0)</f>
        <v/>
      </c>
      <c r="W37" s="9">
        <f>IF(AND(W30&gt;0,X30=0),1,0)</f>
        <v/>
      </c>
      <c r="X37" s="9">
        <f>IF(AND(X30&gt;0,Y30=0),1,0)</f>
        <v/>
      </c>
      <c r="Y37" s="9">
        <f>IF(AND(Y30&gt;0,Z30=0),1,0)</f>
        <v/>
      </c>
      <c r="Z37" s="9">
        <f>IF(AND(Z30&gt;0,AA30=0),1,0)</f>
        <v/>
      </c>
      <c r="AA37" s="9">
        <f>IF(AND(AA30&gt;0,AB30=0),1,0)</f>
        <v/>
      </c>
      <c r="AB37" s="9">
        <f>IF(AND(AB30&gt;0,AC30=0),1,0)</f>
        <v/>
      </c>
      <c r="AC37" s="9">
        <f>IF(AND(AC30&gt;0,AD30=0),1,0)</f>
        <v/>
      </c>
      <c r="AD37" s="9">
        <f>IF(AND(AD30&gt;0,AE30=0),1,0)</f>
        <v/>
      </c>
      <c r="AE37" s="9">
        <f>IF(AND(AE30&gt;0,AF30=0),1,0)</f>
        <v/>
      </c>
      <c r="AF37" s="9">
        <f>IF(AND(AF30&gt;0,AG30=0),1,0)</f>
        <v/>
      </c>
      <c r="AG37" s="9">
        <f>IF(AND(AG30&gt;0,AH30=0),1,0)</f>
        <v/>
      </c>
      <c r="AH37" s="9">
        <f>IF(AND(AH30&gt;0,AI30=0),1,0)</f>
        <v/>
      </c>
      <c r="AI37" s="9">
        <f>IF(AND(AI30&gt;0,AJ30=0),1,0)</f>
        <v/>
      </c>
      <c r="AJ37" s="9">
        <f>IF(AND(AJ30&gt;0,AK30=0),1,0)</f>
        <v/>
      </c>
      <c r="AK37" s="9">
        <f>IF(AND(AK30&gt;0,AL30=0),1,0)</f>
        <v/>
      </c>
      <c r="AL37" s="9">
        <f>IF(AND(AL30&gt;0,AM30=0),1,0)</f>
        <v/>
      </c>
      <c r="AM37" s="9">
        <f>IF(AND(AM30&gt;0,AN30=0),1,0)</f>
        <v/>
      </c>
      <c r="AN37" s="9">
        <f>IF(AND(AN30&gt;0,AO30=0),1,0)</f>
        <v/>
      </c>
      <c r="AO37" s="9">
        <f>IF(AND(AO30&gt;0,AP30=0),1,0)</f>
        <v/>
      </c>
      <c r="AP37" s="9">
        <f>IF(AND(AP30&gt;0,AQ30=0),1,0)</f>
        <v/>
      </c>
      <c r="AQ37" s="9">
        <f>IF(AND(AQ30&gt;0,AR30=0),1,0)</f>
        <v/>
      </c>
      <c r="AR37" s="9">
        <f>IF(AND(AR30&gt;0,AS30=0),1,0)</f>
        <v/>
      </c>
      <c r="AS37" s="9">
        <f>IF(AND(AS30&gt;0,AT30=0),1,0)</f>
        <v/>
      </c>
      <c r="AT37" s="9">
        <f>IF(AND(AT30&gt;0,AU30=0),1,0)</f>
        <v/>
      </c>
      <c r="AU37" s="9">
        <f>IF(AND(AU30&gt;0,AV30=0),1,0)</f>
        <v/>
      </c>
      <c r="AV37" s="9">
        <f>IF(AND(AV30&gt;0,AW30=0),1,0)</f>
        <v/>
      </c>
      <c r="AW37" s="9">
        <f>IF(AND(AW30&gt;0,AX30=0),1,0)</f>
        <v/>
      </c>
      <c r="AX37" s="9">
        <f>IF(AND(AX30&gt;0,AY30=0),1,0)</f>
        <v/>
      </c>
      <c r="AY37" s="9">
        <f>IF(AND(AY30&gt;0,AZ30=0),1,0)</f>
        <v/>
      </c>
      <c r="AZ37" s="9">
        <f>IF(AND(AZ30&gt;0,BA30=0),1,0)</f>
        <v/>
      </c>
      <c r="BA37" s="9">
        <f>IF(AND(BA30&gt;0,BB30=0),1,0)</f>
        <v/>
      </c>
      <c r="BB37" s="9">
        <f>IF(AND(BB30&gt;0,BC30=0),1,0)</f>
        <v/>
      </c>
      <c r="BC37" s="9">
        <f>IF(AND(BC30&gt;0,BD30=0),1,0)</f>
        <v/>
      </c>
      <c r="BD37" s="9">
        <f>IF(AND(BD30&gt;0,BE30=0),1,0)</f>
        <v/>
      </c>
      <c r="BE37" s="9">
        <f>IF(AND(BE30&gt;0,BF30=0),1,0)</f>
        <v/>
      </c>
      <c r="BF37" s="9">
        <f>IF(AND(BF30&gt;0,BG30=0),1,0)</f>
        <v/>
      </c>
      <c r="BG37" s="9">
        <f>IF(AND(BG30&gt;0,BH30=0),1,0)</f>
        <v/>
      </c>
      <c r="BH37" s="9">
        <f>IF(AND(BH30&gt;0,BI30=0),1,0)</f>
        <v/>
      </c>
      <c r="BI37" s="9">
        <f>IF(AND(BI30&gt;0,BJ30=0),1,0)</f>
        <v/>
      </c>
      <c r="BJ37" s="9">
        <f>IF(AND(BJ30&gt;0,BK30=0),1,0)</f>
        <v/>
      </c>
      <c r="BK37" s="9">
        <f>IF(AND(BK30&gt;0,BL30=0),1,0)</f>
        <v/>
      </c>
      <c r="BL37" s="9">
        <f>IF(AND(BL30&gt;0,BM30=0),1,0)</f>
        <v/>
      </c>
      <c r="BM37" s="9">
        <f>IF(AND(BM30&gt;0,BN30=0),1,0)</f>
        <v/>
      </c>
      <c r="BN37" s="9">
        <f>IF(AND(BN30&gt;0,BO30=0),1,0)</f>
        <v/>
      </c>
    </row>
    <row r="38">
      <c r="D38" t="inlineStr">
        <is>
          <t>Flag_ShockPeriods</t>
        </is>
      </c>
      <c r="E38" t="inlineStr">
        <is>
          <t>flag</t>
        </is>
      </c>
      <c r="J38" s="9">
        <f>IF(AND(J22&gt;=Inputs!$F$193,J22&lt;EDATE(Inputs!$F$193,Inputs!$F$211)),1,0)</f>
        <v/>
      </c>
      <c r="K38" s="9">
        <f>IF(AND(K22&gt;=Inputs!$F$193,K22&lt;EDATE(Inputs!$F$193,Inputs!$F$211)),1,0)</f>
        <v/>
      </c>
      <c r="L38" s="9">
        <f>IF(AND(L22&gt;=Inputs!$F$193,L22&lt;EDATE(Inputs!$F$193,Inputs!$F$211)),1,0)</f>
        <v/>
      </c>
      <c r="M38" s="9">
        <f>IF(AND(M22&gt;=Inputs!$F$193,M22&lt;EDATE(Inputs!$F$193,Inputs!$F$211)),1,0)</f>
        <v/>
      </c>
      <c r="N38" s="9">
        <f>IF(AND(N22&gt;=Inputs!$F$193,N22&lt;EDATE(Inputs!$F$193,Inputs!$F$211)),1,0)</f>
        <v/>
      </c>
      <c r="O38" s="9">
        <f>IF(AND(O22&gt;=Inputs!$F$193,O22&lt;EDATE(Inputs!$F$193,Inputs!$F$211)),1,0)</f>
        <v/>
      </c>
      <c r="P38" s="9">
        <f>IF(AND(P22&gt;=Inputs!$F$193,P22&lt;EDATE(Inputs!$F$193,Inputs!$F$211)),1,0)</f>
        <v/>
      </c>
      <c r="Q38" s="9">
        <f>IF(AND(Q22&gt;=Inputs!$F$193,Q22&lt;EDATE(Inputs!$F$193,Inputs!$F$211)),1,0)</f>
        <v/>
      </c>
      <c r="R38" s="9">
        <f>IF(AND(R22&gt;=Inputs!$F$193,R22&lt;EDATE(Inputs!$F$193,Inputs!$F$211)),1,0)</f>
        <v/>
      </c>
      <c r="S38" s="9">
        <f>IF(AND(S22&gt;=Inputs!$F$193,S22&lt;EDATE(Inputs!$F$193,Inputs!$F$211)),1,0)</f>
        <v/>
      </c>
      <c r="T38" s="9">
        <f>IF(AND(T22&gt;=Inputs!$F$193,T22&lt;EDATE(Inputs!$F$193,Inputs!$F$211)),1,0)</f>
        <v/>
      </c>
      <c r="U38" s="9">
        <f>IF(AND(U22&gt;=Inputs!$F$193,U22&lt;EDATE(Inputs!$F$193,Inputs!$F$211)),1,0)</f>
        <v/>
      </c>
      <c r="V38" s="9">
        <f>IF(AND(V22&gt;=Inputs!$F$193,V22&lt;EDATE(Inputs!$F$193,Inputs!$F$211)),1,0)</f>
        <v/>
      </c>
      <c r="W38" s="9">
        <f>IF(AND(W22&gt;=Inputs!$F$193,W22&lt;EDATE(Inputs!$F$193,Inputs!$F$211)),1,0)</f>
        <v/>
      </c>
      <c r="X38" s="9">
        <f>IF(AND(X22&gt;=Inputs!$F$193,X22&lt;EDATE(Inputs!$F$193,Inputs!$F$211)),1,0)</f>
        <v/>
      </c>
      <c r="Y38" s="9">
        <f>IF(AND(Y22&gt;=Inputs!$F$193,Y22&lt;EDATE(Inputs!$F$193,Inputs!$F$211)),1,0)</f>
        <v/>
      </c>
      <c r="Z38" s="9">
        <f>IF(AND(Z22&gt;=Inputs!$F$193,Z22&lt;EDATE(Inputs!$F$193,Inputs!$F$211)),1,0)</f>
        <v/>
      </c>
      <c r="AA38" s="9">
        <f>IF(AND(AA22&gt;=Inputs!$F$193,AA22&lt;EDATE(Inputs!$F$193,Inputs!$F$211)),1,0)</f>
        <v/>
      </c>
      <c r="AB38" s="9">
        <f>IF(AND(AB22&gt;=Inputs!$F$193,AB22&lt;EDATE(Inputs!$F$193,Inputs!$F$211)),1,0)</f>
        <v/>
      </c>
      <c r="AC38" s="9">
        <f>IF(AND(AC22&gt;=Inputs!$F$193,AC22&lt;EDATE(Inputs!$F$193,Inputs!$F$211)),1,0)</f>
        <v/>
      </c>
      <c r="AD38" s="9">
        <f>IF(AND(AD22&gt;=Inputs!$F$193,AD22&lt;EDATE(Inputs!$F$193,Inputs!$F$211)),1,0)</f>
        <v/>
      </c>
      <c r="AE38" s="9">
        <f>IF(AND(AE22&gt;=Inputs!$F$193,AE22&lt;EDATE(Inputs!$F$193,Inputs!$F$211)),1,0)</f>
        <v/>
      </c>
      <c r="AF38" s="9">
        <f>IF(AND(AF22&gt;=Inputs!$F$193,AF22&lt;EDATE(Inputs!$F$193,Inputs!$F$211)),1,0)</f>
        <v/>
      </c>
      <c r="AG38" s="9">
        <f>IF(AND(AG22&gt;=Inputs!$F$193,AG22&lt;EDATE(Inputs!$F$193,Inputs!$F$211)),1,0)</f>
        <v/>
      </c>
      <c r="AH38" s="9">
        <f>IF(AND(AH22&gt;=Inputs!$F$193,AH22&lt;EDATE(Inputs!$F$193,Inputs!$F$211)),1,0)</f>
        <v/>
      </c>
      <c r="AI38" s="9">
        <f>IF(AND(AI22&gt;=Inputs!$F$193,AI22&lt;EDATE(Inputs!$F$193,Inputs!$F$211)),1,0)</f>
        <v/>
      </c>
      <c r="AJ38" s="9">
        <f>IF(AND(AJ22&gt;=Inputs!$F$193,AJ22&lt;EDATE(Inputs!$F$193,Inputs!$F$211)),1,0)</f>
        <v/>
      </c>
      <c r="AK38" s="9">
        <f>IF(AND(AK22&gt;=Inputs!$F$193,AK22&lt;EDATE(Inputs!$F$193,Inputs!$F$211)),1,0)</f>
        <v/>
      </c>
      <c r="AL38" s="9">
        <f>IF(AND(AL22&gt;=Inputs!$F$193,AL22&lt;EDATE(Inputs!$F$193,Inputs!$F$211)),1,0)</f>
        <v/>
      </c>
      <c r="AM38" s="9">
        <f>IF(AND(AM22&gt;=Inputs!$F$193,AM22&lt;EDATE(Inputs!$F$193,Inputs!$F$211)),1,0)</f>
        <v/>
      </c>
      <c r="AN38" s="9">
        <f>IF(AND(AN22&gt;=Inputs!$F$193,AN22&lt;EDATE(Inputs!$F$193,Inputs!$F$211)),1,0)</f>
        <v/>
      </c>
      <c r="AO38" s="9">
        <f>IF(AND(AO22&gt;=Inputs!$F$193,AO22&lt;EDATE(Inputs!$F$193,Inputs!$F$211)),1,0)</f>
        <v/>
      </c>
      <c r="AP38" s="9">
        <f>IF(AND(AP22&gt;=Inputs!$F$193,AP22&lt;EDATE(Inputs!$F$193,Inputs!$F$211)),1,0)</f>
        <v/>
      </c>
      <c r="AQ38" s="9">
        <f>IF(AND(AQ22&gt;=Inputs!$F$193,AQ22&lt;EDATE(Inputs!$F$193,Inputs!$F$211)),1,0)</f>
        <v/>
      </c>
      <c r="AR38" s="9">
        <f>IF(AND(AR22&gt;=Inputs!$F$193,AR22&lt;EDATE(Inputs!$F$193,Inputs!$F$211)),1,0)</f>
        <v/>
      </c>
      <c r="AS38" s="9">
        <f>IF(AND(AS22&gt;=Inputs!$F$193,AS22&lt;EDATE(Inputs!$F$193,Inputs!$F$211)),1,0)</f>
        <v/>
      </c>
      <c r="AT38" s="9">
        <f>IF(AND(AT22&gt;=Inputs!$F$193,AT22&lt;EDATE(Inputs!$F$193,Inputs!$F$211)),1,0)</f>
        <v/>
      </c>
      <c r="AU38" s="9">
        <f>IF(AND(AU22&gt;=Inputs!$F$193,AU22&lt;EDATE(Inputs!$F$193,Inputs!$F$211)),1,0)</f>
        <v/>
      </c>
      <c r="AV38" s="9">
        <f>IF(AND(AV22&gt;=Inputs!$F$193,AV22&lt;EDATE(Inputs!$F$193,Inputs!$F$211)),1,0)</f>
        <v/>
      </c>
      <c r="AW38" s="9">
        <f>IF(AND(AW22&gt;=Inputs!$F$193,AW22&lt;EDATE(Inputs!$F$193,Inputs!$F$211)),1,0)</f>
        <v/>
      </c>
      <c r="AX38" s="9">
        <f>IF(AND(AX22&gt;=Inputs!$F$193,AX22&lt;EDATE(Inputs!$F$193,Inputs!$F$211)),1,0)</f>
        <v/>
      </c>
      <c r="AY38" s="9">
        <f>IF(AND(AY22&gt;=Inputs!$F$193,AY22&lt;EDATE(Inputs!$F$193,Inputs!$F$211)),1,0)</f>
        <v/>
      </c>
      <c r="AZ38" s="9">
        <f>IF(AND(AZ22&gt;=Inputs!$F$193,AZ22&lt;EDATE(Inputs!$F$193,Inputs!$F$211)),1,0)</f>
        <v/>
      </c>
      <c r="BA38" s="9">
        <f>IF(AND(BA22&gt;=Inputs!$F$193,BA22&lt;EDATE(Inputs!$F$193,Inputs!$F$211)),1,0)</f>
        <v/>
      </c>
      <c r="BB38" s="9">
        <f>IF(AND(BB22&gt;=Inputs!$F$193,BB22&lt;EDATE(Inputs!$F$193,Inputs!$F$211)),1,0)</f>
        <v/>
      </c>
      <c r="BC38" s="9">
        <f>IF(AND(BC22&gt;=Inputs!$F$193,BC22&lt;EDATE(Inputs!$F$193,Inputs!$F$211)),1,0)</f>
        <v/>
      </c>
      <c r="BD38" s="9">
        <f>IF(AND(BD22&gt;=Inputs!$F$193,BD22&lt;EDATE(Inputs!$F$193,Inputs!$F$211)),1,0)</f>
        <v/>
      </c>
      <c r="BE38" s="9">
        <f>IF(AND(BE22&gt;=Inputs!$F$193,BE22&lt;EDATE(Inputs!$F$193,Inputs!$F$211)),1,0)</f>
        <v/>
      </c>
      <c r="BF38" s="9">
        <f>IF(AND(BF22&gt;=Inputs!$F$193,BF22&lt;EDATE(Inputs!$F$193,Inputs!$F$211)),1,0)</f>
        <v/>
      </c>
      <c r="BG38" s="9">
        <f>IF(AND(BG22&gt;=Inputs!$F$193,BG22&lt;EDATE(Inputs!$F$193,Inputs!$F$211)),1,0)</f>
        <v/>
      </c>
      <c r="BH38" s="9">
        <f>IF(AND(BH22&gt;=Inputs!$F$193,BH22&lt;EDATE(Inputs!$F$193,Inputs!$F$211)),1,0)</f>
        <v/>
      </c>
      <c r="BI38" s="9">
        <f>IF(AND(BI22&gt;=Inputs!$F$193,BI22&lt;EDATE(Inputs!$F$193,Inputs!$F$211)),1,0)</f>
        <v/>
      </c>
      <c r="BJ38" s="9">
        <f>IF(AND(BJ22&gt;=Inputs!$F$193,BJ22&lt;EDATE(Inputs!$F$193,Inputs!$F$211)),1,0)</f>
        <v/>
      </c>
      <c r="BK38" s="9">
        <f>IF(AND(BK22&gt;=Inputs!$F$193,BK22&lt;EDATE(Inputs!$F$193,Inputs!$F$211)),1,0)</f>
        <v/>
      </c>
      <c r="BL38" s="9">
        <f>IF(AND(BL22&gt;=Inputs!$F$193,BL22&lt;EDATE(Inputs!$F$193,Inputs!$F$211)),1,0)</f>
        <v/>
      </c>
      <c r="BM38" s="9">
        <f>IF(AND(BM22&gt;=Inputs!$F$193,BM22&lt;EDATE(Inputs!$F$193,Inputs!$F$211)),1,0)</f>
        <v/>
      </c>
      <c r="BN38" s="9">
        <f>IF(AND(BN22&gt;=Inputs!$F$193,BN22&lt;EDATE(Inputs!$F$193,Inputs!$F$211)),1,0)</f>
        <v/>
      </c>
    </row>
    <row r="39">
      <c r="D39" t="inlineStr">
        <is>
          <t>Flag_FromShockStart</t>
        </is>
      </c>
      <c r="E39" t="inlineStr">
        <is>
          <t>flag</t>
        </is>
      </c>
      <c r="J39" s="9">
        <f>IF(J22&gt;=Inputs!$F$193,1,0)</f>
        <v/>
      </c>
      <c r="K39" s="9">
        <f>IF(K22&gt;=Inputs!$F$193,1,0)</f>
        <v/>
      </c>
      <c r="L39" s="9">
        <f>IF(L22&gt;=Inputs!$F$193,1,0)</f>
        <v/>
      </c>
      <c r="M39" s="9">
        <f>IF(M22&gt;=Inputs!$F$193,1,0)</f>
        <v/>
      </c>
      <c r="N39" s="9">
        <f>IF(N22&gt;=Inputs!$F$193,1,0)</f>
        <v/>
      </c>
      <c r="O39" s="9">
        <f>IF(O22&gt;=Inputs!$F$193,1,0)</f>
        <v/>
      </c>
      <c r="P39" s="9">
        <f>IF(P22&gt;=Inputs!$F$193,1,0)</f>
        <v/>
      </c>
      <c r="Q39" s="9">
        <f>IF(Q22&gt;=Inputs!$F$193,1,0)</f>
        <v/>
      </c>
      <c r="R39" s="9">
        <f>IF(R22&gt;=Inputs!$F$193,1,0)</f>
        <v/>
      </c>
      <c r="S39" s="9">
        <f>IF(S22&gt;=Inputs!$F$193,1,0)</f>
        <v/>
      </c>
      <c r="T39" s="9">
        <f>IF(T22&gt;=Inputs!$F$193,1,0)</f>
        <v/>
      </c>
      <c r="U39" s="9">
        <f>IF(U22&gt;=Inputs!$F$193,1,0)</f>
        <v/>
      </c>
      <c r="V39" s="9">
        <f>IF(V22&gt;=Inputs!$F$193,1,0)</f>
        <v/>
      </c>
      <c r="W39" s="9">
        <f>IF(W22&gt;=Inputs!$F$193,1,0)</f>
        <v/>
      </c>
      <c r="X39" s="9">
        <f>IF(X22&gt;=Inputs!$F$193,1,0)</f>
        <v/>
      </c>
      <c r="Y39" s="9">
        <f>IF(Y22&gt;=Inputs!$F$193,1,0)</f>
        <v/>
      </c>
      <c r="Z39" s="9">
        <f>IF(Z22&gt;=Inputs!$F$193,1,0)</f>
        <v/>
      </c>
      <c r="AA39" s="9">
        <f>IF(AA22&gt;=Inputs!$F$193,1,0)</f>
        <v/>
      </c>
      <c r="AB39" s="9">
        <f>IF(AB22&gt;=Inputs!$F$193,1,0)</f>
        <v/>
      </c>
      <c r="AC39" s="9">
        <f>IF(AC22&gt;=Inputs!$F$193,1,0)</f>
        <v/>
      </c>
      <c r="AD39" s="9">
        <f>IF(AD22&gt;=Inputs!$F$193,1,0)</f>
        <v/>
      </c>
      <c r="AE39" s="9">
        <f>IF(AE22&gt;=Inputs!$F$193,1,0)</f>
        <v/>
      </c>
      <c r="AF39" s="9">
        <f>IF(AF22&gt;=Inputs!$F$193,1,0)</f>
        <v/>
      </c>
      <c r="AG39" s="9">
        <f>IF(AG22&gt;=Inputs!$F$193,1,0)</f>
        <v/>
      </c>
      <c r="AH39" s="9">
        <f>IF(AH22&gt;=Inputs!$F$193,1,0)</f>
        <v/>
      </c>
      <c r="AI39" s="9">
        <f>IF(AI22&gt;=Inputs!$F$193,1,0)</f>
        <v/>
      </c>
      <c r="AJ39" s="9">
        <f>IF(AJ22&gt;=Inputs!$F$193,1,0)</f>
        <v/>
      </c>
      <c r="AK39" s="9">
        <f>IF(AK22&gt;=Inputs!$F$193,1,0)</f>
        <v/>
      </c>
      <c r="AL39" s="9">
        <f>IF(AL22&gt;=Inputs!$F$193,1,0)</f>
        <v/>
      </c>
      <c r="AM39" s="9">
        <f>IF(AM22&gt;=Inputs!$F$193,1,0)</f>
        <v/>
      </c>
      <c r="AN39" s="9">
        <f>IF(AN22&gt;=Inputs!$F$193,1,0)</f>
        <v/>
      </c>
      <c r="AO39" s="9">
        <f>IF(AO22&gt;=Inputs!$F$193,1,0)</f>
        <v/>
      </c>
      <c r="AP39" s="9">
        <f>IF(AP22&gt;=Inputs!$F$193,1,0)</f>
        <v/>
      </c>
      <c r="AQ39" s="9">
        <f>IF(AQ22&gt;=Inputs!$F$193,1,0)</f>
        <v/>
      </c>
      <c r="AR39" s="9">
        <f>IF(AR22&gt;=Inputs!$F$193,1,0)</f>
        <v/>
      </c>
      <c r="AS39" s="9">
        <f>IF(AS22&gt;=Inputs!$F$193,1,0)</f>
        <v/>
      </c>
      <c r="AT39" s="9">
        <f>IF(AT22&gt;=Inputs!$F$193,1,0)</f>
        <v/>
      </c>
      <c r="AU39" s="9">
        <f>IF(AU22&gt;=Inputs!$F$193,1,0)</f>
        <v/>
      </c>
      <c r="AV39" s="9">
        <f>IF(AV22&gt;=Inputs!$F$193,1,0)</f>
        <v/>
      </c>
      <c r="AW39" s="9">
        <f>IF(AW22&gt;=Inputs!$F$193,1,0)</f>
        <v/>
      </c>
      <c r="AX39" s="9">
        <f>IF(AX22&gt;=Inputs!$F$193,1,0)</f>
        <v/>
      </c>
      <c r="AY39" s="9">
        <f>IF(AY22&gt;=Inputs!$F$193,1,0)</f>
        <v/>
      </c>
      <c r="AZ39" s="9">
        <f>IF(AZ22&gt;=Inputs!$F$193,1,0)</f>
        <v/>
      </c>
      <c r="BA39" s="9">
        <f>IF(BA22&gt;=Inputs!$F$193,1,0)</f>
        <v/>
      </c>
      <c r="BB39" s="9">
        <f>IF(BB22&gt;=Inputs!$F$193,1,0)</f>
        <v/>
      </c>
      <c r="BC39" s="9">
        <f>IF(BC22&gt;=Inputs!$F$193,1,0)</f>
        <v/>
      </c>
      <c r="BD39" s="9">
        <f>IF(BD22&gt;=Inputs!$F$193,1,0)</f>
        <v/>
      </c>
      <c r="BE39" s="9">
        <f>IF(BE22&gt;=Inputs!$F$193,1,0)</f>
        <v/>
      </c>
      <c r="BF39" s="9">
        <f>IF(BF22&gt;=Inputs!$F$193,1,0)</f>
        <v/>
      </c>
      <c r="BG39" s="9">
        <f>IF(BG22&gt;=Inputs!$F$193,1,0)</f>
        <v/>
      </c>
      <c r="BH39" s="9">
        <f>IF(BH22&gt;=Inputs!$F$193,1,0)</f>
        <v/>
      </c>
      <c r="BI39" s="9">
        <f>IF(BI22&gt;=Inputs!$F$193,1,0)</f>
        <v/>
      </c>
      <c r="BJ39" s="9">
        <f>IF(BJ22&gt;=Inputs!$F$193,1,0)</f>
        <v/>
      </c>
      <c r="BK39" s="9">
        <f>IF(BK22&gt;=Inputs!$F$193,1,0)</f>
        <v/>
      </c>
      <c r="BL39" s="9">
        <f>IF(BL22&gt;=Inputs!$F$193,1,0)</f>
        <v/>
      </c>
      <c r="BM39" s="9">
        <f>IF(BM22&gt;=Inputs!$F$193,1,0)</f>
        <v/>
      </c>
      <c r="BN39" s="9">
        <f>IF(BN22&gt;=Inputs!$F$193,1,0)</f>
        <v/>
      </c>
    </row>
    <row r="40">
      <c r="D40" t="inlineStr">
        <is>
          <t>Flag_TermSOFR</t>
        </is>
      </c>
      <c r="E40" t="inlineStr">
        <is>
          <t>flag</t>
        </is>
      </c>
      <c r="J40" s="9">
        <f>IF(J22&gt;=Inputs!$F$196,1,0)</f>
        <v/>
      </c>
      <c r="K40" s="9">
        <f>IF(K22&gt;=Inputs!$F$196,1,0)</f>
        <v/>
      </c>
      <c r="L40" s="9">
        <f>IF(L22&gt;=Inputs!$F$196,1,0)</f>
        <v/>
      </c>
      <c r="M40" s="9">
        <f>IF(M22&gt;=Inputs!$F$196,1,0)</f>
        <v/>
      </c>
      <c r="N40" s="9">
        <f>IF(N22&gt;=Inputs!$F$196,1,0)</f>
        <v/>
      </c>
      <c r="O40" s="9">
        <f>IF(O22&gt;=Inputs!$F$196,1,0)</f>
        <v/>
      </c>
      <c r="P40" s="9">
        <f>IF(P22&gt;=Inputs!$F$196,1,0)</f>
        <v/>
      </c>
      <c r="Q40" s="9">
        <f>IF(Q22&gt;=Inputs!$F$196,1,0)</f>
        <v/>
      </c>
      <c r="R40" s="9">
        <f>IF(R22&gt;=Inputs!$F$196,1,0)</f>
        <v/>
      </c>
      <c r="S40" s="9">
        <f>IF(S22&gt;=Inputs!$F$196,1,0)</f>
        <v/>
      </c>
      <c r="T40" s="9">
        <f>IF(T22&gt;=Inputs!$F$196,1,0)</f>
        <v/>
      </c>
      <c r="U40" s="9">
        <f>IF(U22&gt;=Inputs!$F$196,1,0)</f>
        <v/>
      </c>
      <c r="V40" s="9">
        <f>IF(V22&gt;=Inputs!$F$196,1,0)</f>
        <v/>
      </c>
      <c r="W40" s="9">
        <f>IF(W22&gt;=Inputs!$F$196,1,0)</f>
        <v/>
      </c>
      <c r="X40" s="9">
        <f>IF(X22&gt;=Inputs!$F$196,1,0)</f>
        <v/>
      </c>
      <c r="Y40" s="9">
        <f>IF(Y22&gt;=Inputs!$F$196,1,0)</f>
        <v/>
      </c>
      <c r="Z40" s="9">
        <f>IF(Z22&gt;=Inputs!$F$196,1,0)</f>
        <v/>
      </c>
      <c r="AA40" s="9">
        <f>IF(AA22&gt;=Inputs!$F$196,1,0)</f>
        <v/>
      </c>
      <c r="AB40" s="9">
        <f>IF(AB22&gt;=Inputs!$F$196,1,0)</f>
        <v/>
      </c>
      <c r="AC40" s="9">
        <f>IF(AC22&gt;=Inputs!$F$196,1,0)</f>
        <v/>
      </c>
      <c r="AD40" s="9">
        <f>IF(AD22&gt;=Inputs!$F$196,1,0)</f>
        <v/>
      </c>
      <c r="AE40" s="9">
        <f>IF(AE22&gt;=Inputs!$F$196,1,0)</f>
        <v/>
      </c>
      <c r="AF40" s="9">
        <f>IF(AF22&gt;=Inputs!$F$196,1,0)</f>
        <v/>
      </c>
      <c r="AG40" s="9">
        <f>IF(AG22&gt;=Inputs!$F$196,1,0)</f>
        <v/>
      </c>
      <c r="AH40" s="9">
        <f>IF(AH22&gt;=Inputs!$F$196,1,0)</f>
        <v/>
      </c>
      <c r="AI40" s="9">
        <f>IF(AI22&gt;=Inputs!$F$196,1,0)</f>
        <v/>
      </c>
      <c r="AJ40" s="9">
        <f>IF(AJ22&gt;=Inputs!$F$196,1,0)</f>
        <v/>
      </c>
      <c r="AK40" s="9">
        <f>IF(AK22&gt;=Inputs!$F$196,1,0)</f>
        <v/>
      </c>
      <c r="AL40" s="9">
        <f>IF(AL22&gt;=Inputs!$F$196,1,0)</f>
        <v/>
      </c>
      <c r="AM40" s="9">
        <f>IF(AM22&gt;=Inputs!$F$196,1,0)</f>
        <v/>
      </c>
      <c r="AN40" s="9">
        <f>IF(AN22&gt;=Inputs!$F$196,1,0)</f>
        <v/>
      </c>
      <c r="AO40" s="9">
        <f>IF(AO22&gt;=Inputs!$F$196,1,0)</f>
        <v/>
      </c>
      <c r="AP40" s="9">
        <f>IF(AP22&gt;=Inputs!$F$196,1,0)</f>
        <v/>
      </c>
      <c r="AQ40" s="9">
        <f>IF(AQ22&gt;=Inputs!$F$196,1,0)</f>
        <v/>
      </c>
      <c r="AR40" s="9">
        <f>IF(AR22&gt;=Inputs!$F$196,1,0)</f>
        <v/>
      </c>
      <c r="AS40" s="9">
        <f>IF(AS22&gt;=Inputs!$F$196,1,0)</f>
        <v/>
      </c>
      <c r="AT40" s="9">
        <f>IF(AT22&gt;=Inputs!$F$196,1,0)</f>
        <v/>
      </c>
      <c r="AU40" s="9">
        <f>IF(AU22&gt;=Inputs!$F$196,1,0)</f>
        <v/>
      </c>
      <c r="AV40" s="9">
        <f>IF(AV22&gt;=Inputs!$F$196,1,0)</f>
        <v/>
      </c>
      <c r="AW40" s="9">
        <f>IF(AW22&gt;=Inputs!$F$196,1,0)</f>
        <v/>
      </c>
      <c r="AX40" s="9">
        <f>IF(AX22&gt;=Inputs!$F$196,1,0)</f>
        <v/>
      </c>
      <c r="AY40" s="9">
        <f>IF(AY22&gt;=Inputs!$F$196,1,0)</f>
        <v/>
      </c>
      <c r="AZ40" s="9">
        <f>IF(AZ22&gt;=Inputs!$F$196,1,0)</f>
        <v/>
      </c>
      <c r="BA40" s="9">
        <f>IF(BA22&gt;=Inputs!$F$196,1,0)</f>
        <v/>
      </c>
      <c r="BB40" s="9">
        <f>IF(BB22&gt;=Inputs!$F$196,1,0)</f>
        <v/>
      </c>
      <c r="BC40" s="9">
        <f>IF(BC22&gt;=Inputs!$F$196,1,0)</f>
        <v/>
      </c>
      <c r="BD40" s="9">
        <f>IF(BD22&gt;=Inputs!$F$196,1,0)</f>
        <v/>
      </c>
      <c r="BE40" s="9">
        <f>IF(BE22&gt;=Inputs!$F$196,1,0)</f>
        <v/>
      </c>
      <c r="BF40" s="9">
        <f>IF(BF22&gt;=Inputs!$F$196,1,0)</f>
        <v/>
      </c>
      <c r="BG40" s="9">
        <f>IF(BG22&gt;=Inputs!$F$196,1,0)</f>
        <v/>
      </c>
      <c r="BH40" s="9">
        <f>IF(BH22&gt;=Inputs!$F$196,1,0)</f>
        <v/>
      </c>
      <c r="BI40" s="9">
        <f>IF(BI22&gt;=Inputs!$F$196,1,0)</f>
        <v/>
      </c>
      <c r="BJ40" s="9">
        <f>IF(BJ22&gt;=Inputs!$F$196,1,0)</f>
        <v/>
      </c>
      <c r="BK40" s="9">
        <f>IF(BK22&gt;=Inputs!$F$196,1,0)</f>
        <v/>
      </c>
      <c r="BL40" s="9">
        <f>IF(BL22&gt;=Inputs!$F$196,1,0)</f>
        <v/>
      </c>
      <c r="BM40" s="9">
        <f>IF(BM22&gt;=Inputs!$F$196,1,0)</f>
        <v/>
      </c>
      <c r="BN40" s="9">
        <f>IF(BN22&gt;=Inputs!$F$196,1,0)</f>
        <v/>
      </c>
    </row>
    <row r="41">
      <c r="D41" t="inlineStr">
        <is>
          <t>Flag_InsuranceStepUp</t>
        </is>
      </c>
      <c r="E41" t="inlineStr">
        <is>
          <t>flag</t>
        </is>
      </c>
      <c r="J41" s="9">
        <f>IF(J22&gt;=Inputs!$F$195,1,0)</f>
        <v/>
      </c>
      <c r="K41" s="9">
        <f>IF(K22&gt;=Inputs!$F$195,1,0)</f>
        <v/>
      </c>
      <c r="L41" s="9">
        <f>IF(L22&gt;=Inputs!$F$195,1,0)</f>
        <v/>
      </c>
      <c r="M41" s="9">
        <f>IF(M22&gt;=Inputs!$F$195,1,0)</f>
        <v/>
      </c>
      <c r="N41" s="9">
        <f>IF(N22&gt;=Inputs!$F$195,1,0)</f>
        <v/>
      </c>
      <c r="O41" s="9">
        <f>IF(O22&gt;=Inputs!$F$195,1,0)</f>
        <v/>
      </c>
      <c r="P41" s="9">
        <f>IF(P22&gt;=Inputs!$F$195,1,0)</f>
        <v/>
      </c>
      <c r="Q41" s="9">
        <f>IF(Q22&gt;=Inputs!$F$195,1,0)</f>
        <v/>
      </c>
      <c r="R41" s="9">
        <f>IF(R22&gt;=Inputs!$F$195,1,0)</f>
        <v/>
      </c>
      <c r="S41" s="9">
        <f>IF(S22&gt;=Inputs!$F$195,1,0)</f>
        <v/>
      </c>
      <c r="T41" s="9">
        <f>IF(T22&gt;=Inputs!$F$195,1,0)</f>
        <v/>
      </c>
      <c r="U41" s="9">
        <f>IF(U22&gt;=Inputs!$F$195,1,0)</f>
        <v/>
      </c>
      <c r="V41" s="9">
        <f>IF(V22&gt;=Inputs!$F$195,1,0)</f>
        <v/>
      </c>
      <c r="W41" s="9">
        <f>IF(W22&gt;=Inputs!$F$195,1,0)</f>
        <v/>
      </c>
      <c r="X41" s="9">
        <f>IF(X22&gt;=Inputs!$F$195,1,0)</f>
        <v/>
      </c>
      <c r="Y41" s="9">
        <f>IF(Y22&gt;=Inputs!$F$195,1,0)</f>
        <v/>
      </c>
      <c r="Z41" s="9">
        <f>IF(Z22&gt;=Inputs!$F$195,1,0)</f>
        <v/>
      </c>
      <c r="AA41" s="9">
        <f>IF(AA22&gt;=Inputs!$F$195,1,0)</f>
        <v/>
      </c>
      <c r="AB41" s="9">
        <f>IF(AB22&gt;=Inputs!$F$195,1,0)</f>
        <v/>
      </c>
      <c r="AC41" s="9">
        <f>IF(AC22&gt;=Inputs!$F$195,1,0)</f>
        <v/>
      </c>
      <c r="AD41" s="9">
        <f>IF(AD22&gt;=Inputs!$F$195,1,0)</f>
        <v/>
      </c>
      <c r="AE41" s="9">
        <f>IF(AE22&gt;=Inputs!$F$195,1,0)</f>
        <v/>
      </c>
      <c r="AF41" s="9">
        <f>IF(AF22&gt;=Inputs!$F$195,1,0)</f>
        <v/>
      </c>
      <c r="AG41" s="9">
        <f>IF(AG22&gt;=Inputs!$F$195,1,0)</f>
        <v/>
      </c>
      <c r="AH41" s="9">
        <f>IF(AH22&gt;=Inputs!$F$195,1,0)</f>
        <v/>
      </c>
      <c r="AI41" s="9">
        <f>IF(AI22&gt;=Inputs!$F$195,1,0)</f>
        <v/>
      </c>
      <c r="AJ41" s="9">
        <f>IF(AJ22&gt;=Inputs!$F$195,1,0)</f>
        <v/>
      </c>
      <c r="AK41" s="9">
        <f>IF(AK22&gt;=Inputs!$F$195,1,0)</f>
        <v/>
      </c>
      <c r="AL41" s="9">
        <f>IF(AL22&gt;=Inputs!$F$195,1,0)</f>
        <v/>
      </c>
      <c r="AM41" s="9">
        <f>IF(AM22&gt;=Inputs!$F$195,1,0)</f>
        <v/>
      </c>
      <c r="AN41" s="9">
        <f>IF(AN22&gt;=Inputs!$F$195,1,0)</f>
        <v/>
      </c>
      <c r="AO41" s="9">
        <f>IF(AO22&gt;=Inputs!$F$195,1,0)</f>
        <v/>
      </c>
      <c r="AP41" s="9">
        <f>IF(AP22&gt;=Inputs!$F$195,1,0)</f>
        <v/>
      </c>
      <c r="AQ41" s="9">
        <f>IF(AQ22&gt;=Inputs!$F$195,1,0)</f>
        <v/>
      </c>
      <c r="AR41" s="9">
        <f>IF(AR22&gt;=Inputs!$F$195,1,0)</f>
        <v/>
      </c>
      <c r="AS41" s="9">
        <f>IF(AS22&gt;=Inputs!$F$195,1,0)</f>
        <v/>
      </c>
      <c r="AT41" s="9">
        <f>IF(AT22&gt;=Inputs!$F$195,1,0)</f>
        <v/>
      </c>
      <c r="AU41" s="9">
        <f>IF(AU22&gt;=Inputs!$F$195,1,0)</f>
        <v/>
      </c>
      <c r="AV41" s="9">
        <f>IF(AV22&gt;=Inputs!$F$195,1,0)</f>
        <v/>
      </c>
      <c r="AW41" s="9">
        <f>IF(AW22&gt;=Inputs!$F$195,1,0)</f>
        <v/>
      </c>
      <c r="AX41" s="9">
        <f>IF(AX22&gt;=Inputs!$F$195,1,0)</f>
        <v/>
      </c>
      <c r="AY41" s="9">
        <f>IF(AY22&gt;=Inputs!$F$195,1,0)</f>
        <v/>
      </c>
      <c r="AZ41" s="9">
        <f>IF(AZ22&gt;=Inputs!$F$195,1,0)</f>
        <v/>
      </c>
      <c r="BA41" s="9">
        <f>IF(BA22&gt;=Inputs!$F$195,1,0)</f>
        <v/>
      </c>
      <c r="BB41" s="9">
        <f>IF(BB22&gt;=Inputs!$F$195,1,0)</f>
        <v/>
      </c>
      <c r="BC41" s="9">
        <f>IF(BC22&gt;=Inputs!$F$195,1,0)</f>
        <v/>
      </c>
      <c r="BD41" s="9">
        <f>IF(BD22&gt;=Inputs!$F$195,1,0)</f>
        <v/>
      </c>
      <c r="BE41" s="9">
        <f>IF(BE22&gt;=Inputs!$F$195,1,0)</f>
        <v/>
      </c>
      <c r="BF41" s="9">
        <f>IF(BF22&gt;=Inputs!$F$195,1,0)</f>
        <v/>
      </c>
      <c r="BG41" s="9">
        <f>IF(BG22&gt;=Inputs!$F$195,1,0)</f>
        <v/>
      </c>
      <c r="BH41" s="9">
        <f>IF(BH22&gt;=Inputs!$F$195,1,0)</f>
        <v/>
      </c>
      <c r="BI41" s="9">
        <f>IF(BI22&gt;=Inputs!$F$195,1,0)</f>
        <v/>
      </c>
      <c r="BJ41" s="9">
        <f>IF(BJ22&gt;=Inputs!$F$195,1,0)</f>
        <v/>
      </c>
      <c r="BK41" s="9">
        <f>IF(BK22&gt;=Inputs!$F$195,1,0)</f>
        <v/>
      </c>
      <c r="BL41" s="9">
        <f>IF(BL22&gt;=Inputs!$F$195,1,0)</f>
        <v/>
      </c>
      <c r="BM41" s="9">
        <f>IF(BM22&gt;=Inputs!$F$195,1,0)</f>
        <v/>
      </c>
      <c r="BN41" s="9">
        <f>IF(BN22&gt;=Inputs!$F$195,1,0)</f>
        <v/>
      </c>
    </row>
    <row r="42">
      <c r="D42" t="inlineStr">
        <is>
          <t>Flag_LDPrepayment</t>
        </is>
      </c>
      <c r="E42" t="inlineStr">
        <is>
          <t>flag</t>
        </is>
      </c>
      <c r="J42" s="9">
        <f>Inputs!$F$48*IF(J23=Inputs!$F$198,1,0)</f>
        <v/>
      </c>
      <c r="K42" s="9">
        <f>Inputs!$F$48*IF(K23=Inputs!$F$198,1,0)</f>
        <v/>
      </c>
      <c r="L42" s="9">
        <f>Inputs!$F$48*IF(L23=Inputs!$F$198,1,0)</f>
        <v/>
      </c>
      <c r="M42" s="9">
        <f>Inputs!$F$48*IF(M23=Inputs!$F$198,1,0)</f>
        <v/>
      </c>
      <c r="N42" s="9">
        <f>Inputs!$F$48*IF(N23=Inputs!$F$198,1,0)</f>
        <v/>
      </c>
      <c r="O42" s="9">
        <f>Inputs!$F$48*IF(O23=Inputs!$F$198,1,0)</f>
        <v/>
      </c>
      <c r="P42" s="9">
        <f>Inputs!$F$48*IF(P23=Inputs!$F$198,1,0)</f>
        <v/>
      </c>
      <c r="Q42" s="9">
        <f>Inputs!$F$48*IF(Q23=Inputs!$F$198,1,0)</f>
        <v/>
      </c>
      <c r="R42" s="9">
        <f>Inputs!$F$48*IF(R23=Inputs!$F$198,1,0)</f>
        <v/>
      </c>
      <c r="S42" s="9">
        <f>Inputs!$F$48*IF(S23=Inputs!$F$198,1,0)</f>
        <v/>
      </c>
      <c r="T42" s="9">
        <f>Inputs!$F$48*IF(T23=Inputs!$F$198,1,0)</f>
        <v/>
      </c>
      <c r="U42" s="9">
        <f>Inputs!$F$48*IF(U23=Inputs!$F$198,1,0)</f>
        <v/>
      </c>
      <c r="V42" s="9">
        <f>Inputs!$F$48*IF(V23=Inputs!$F$198,1,0)</f>
        <v/>
      </c>
      <c r="W42" s="9">
        <f>Inputs!$F$48*IF(W23=Inputs!$F$198,1,0)</f>
        <v/>
      </c>
      <c r="X42" s="9">
        <f>Inputs!$F$48*IF(X23=Inputs!$F$198,1,0)</f>
        <v/>
      </c>
      <c r="Y42" s="9">
        <f>Inputs!$F$48*IF(Y23=Inputs!$F$198,1,0)</f>
        <v/>
      </c>
      <c r="Z42" s="9">
        <f>Inputs!$F$48*IF(Z23=Inputs!$F$198,1,0)</f>
        <v/>
      </c>
      <c r="AA42" s="9">
        <f>Inputs!$F$48*IF(AA23=Inputs!$F$198,1,0)</f>
        <v/>
      </c>
      <c r="AB42" s="9">
        <f>Inputs!$F$48*IF(AB23=Inputs!$F$198,1,0)</f>
        <v/>
      </c>
      <c r="AC42" s="9">
        <f>Inputs!$F$48*IF(AC23=Inputs!$F$198,1,0)</f>
        <v/>
      </c>
      <c r="AD42" s="9">
        <f>Inputs!$F$48*IF(AD23=Inputs!$F$198,1,0)</f>
        <v/>
      </c>
      <c r="AE42" s="9">
        <f>Inputs!$F$48*IF(AE23=Inputs!$F$198,1,0)</f>
        <v/>
      </c>
      <c r="AF42" s="9">
        <f>Inputs!$F$48*IF(AF23=Inputs!$F$198,1,0)</f>
        <v/>
      </c>
      <c r="AG42" s="9">
        <f>Inputs!$F$48*IF(AG23=Inputs!$F$198,1,0)</f>
        <v/>
      </c>
      <c r="AH42" s="9">
        <f>Inputs!$F$48*IF(AH23=Inputs!$F$198,1,0)</f>
        <v/>
      </c>
      <c r="AI42" s="9">
        <f>Inputs!$F$48*IF(AI23=Inputs!$F$198,1,0)</f>
        <v/>
      </c>
      <c r="AJ42" s="9">
        <f>Inputs!$F$48*IF(AJ23=Inputs!$F$198,1,0)</f>
        <v/>
      </c>
      <c r="AK42" s="9">
        <f>Inputs!$F$48*IF(AK23=Inputs!$F$198,1,0)</f>
        <v/>
      </c>
      <c r="AL42" s="9">
        <f>Inputs!$F$48*IF(AL23=Inputs!$F$198,1,0)</f>
        <v/>
      </c>
      <c r="AM42" s="9">
        <f>Inputs!$F$48*IF(AM23=Inputs!$F$198,1,0)</f>
        <v/>
      </c>
      <c r="AN42" s="9">
        <f>Inputs!$F$48*IF(AN23=Inputs!$F$198,1,0)</f>
        <v/>
      </c>
      <c r="AO42" s="9">
        <f>Inputs!$F$48*IF(AO23=Inputs!$F$198,1,0)</f>
        <v/>
      </c>
      <c r="AP42" s="9">
        <f>Inputs!$F$48*IF(AP23=Inputs!$F$198,1,0)</f>
        <v/>
      </c>
      <c r="AQ42" s="9">
        <f>Inputs!$F$48*IF(AQ23=Inputs!$F$198,1,0)</f>
        <v/>
      </c>
      <c r="AR42" s="9">
        <f>Inputs!$F$48*IF(AR23=Inputs!$F$198,1,0)</f>
        <v/>
      </c>
      <c r="AS42" s="9">
        <f>Inputs!$F$48*IF(AS23=Inputs!$F$198,1,0)</f>
        <v/>
      </c>
      <c r="AT42" s="9">
        <f>Inputs!$F$48*IF(AT23=Inputs!$F$198,1,0)</f>
        <v/>
      </c>
      <c r="AU42" s="9">
        <f>Inputs!$F$48*IF(AU23=Inputs!$F$198,1,0)</f>
        <v/>
      </c>
      <c r="AV42" s="9">
        <f>Inputs!$F$48*IF(AV23=Inputs!$F$198,1,0)</f>
        <v/>
      </c>
      <c r="AW42" s="9">
        <f>Inputs!$F$48*IF(AW23=Inputs!$F$198,1,0)</f>
        <v/>
      </c>
      <c r="AX42" s="9">
        <f>Inputs!$F$48*IF(AX23=Inputs!$F$198,1,0)</f>
        <v/>
      </c>
      <c r="AY42" s="9">
        <f>Inputs!$F$48*IF(AY23=Inputs!$F$198,1,0)</f>
        <v/>
      </c>
      <c r="AZ42" s="9">
        <f>Inputs!$F$48*IF(AZ23=Inputs!$F$198,1,0)</f>
        <v/>
      </c>
      <c r="BA42" s="9">
        <f>Inputs!$F$48*IF(BA23=Inputs!$F$198,1,0)</f>
        <v/>
      </c>
      <c r="BB42" s="9">
        <f>Inputs!$F$48*IF(BB23=Inputs!$F$198,1,0)</f>
        <v/>
      </c>
      <c r="BC42" s="9">
        <f>Inputs!$F$48*IF(BC23=Inputs!$F$198,1,0)</f>
        <v/>
      </c>
      <c r="BD42" s="9">
        <f>Inputs!$F$48*IF(BD23=Inputs!$F$198,1,0)</f>
        <v/>
      </c>
      <c r="BE42" s="9">
        <f>Inputs!$F$48*IF(BE23=Inputs!$F$198,1,0)</f>
        <v/>
      </c>
      <c r="BF42" s="9">
        <f>Inputs!$F$48*IF(BF23=Inputs!$F$198,1,0)</f>
        <v/>
      </c>
      <c r="BG42" s="9">
        <f>Inputs!$F$48*IF(BG23=Inputs!$F$198,1,0)</f>
        <v/>
      </c>
      <c r="BH42" s="9">
        <f>Inputs!$F$48*IF(BH23=Inputs!$F$198,1,0)</f>
        <v/>
      </c>
      <c r="BI42" s="9">
        <f>Inputs!$F$48*IF(BI23=Inputs!$F$198,1,0)</f>
        <v/>
      </c>
      <c r="BJ42" s="9">
        <f>Inputs!$F$48*IF(BJ23=Inputs!$F$198,1,0)</f>
        <v/>
      </c>
      <c r="BK42" s="9">
        <f>Inputs!$F$48*IF(BK23=Inputs!$F$198,1,0)</f>
        <v/>
      </c>
      <c r="BL42" s="9">
        <f>Inputs!$F$48*IF(BL23=Inputs!$F$198,1,0)</f>
        <v/>
      </c>
      <c r="BM42" s="9">
        <f>Inputs!$F$48*IF(BM23=Inputs!$F$198,1,0)</f>
        <v/>
      </c>
      <c r="BN42" s="9">
        <f>Inputs!$F$48*IF(BN23=Inputs!$F$198,1,0)</f>
        <v/>
      </c>
    </row>
    <row r="43">
      <c r="D43" t="inlineStr">
        <is>
          <t>Flag_WaiverDeferral</t>
        </is>
      </c>
      <c r="E43" t="inlineStr">
        <is>
          <t>flag</t>
        </is>
      </c>
      <c r="J43" s="9">
        <f>Inputs!$F$49*IF(J23=Inputs!$F$200,1,0)</f>
        <v/>
      </c>
      <c r="K43" s="9">
        <f>Inputs!$F$49*IF(K23=Inputs!$F$200,1,0)</f>
        <v/>
      </c>
      <c r="L43" s="9">
        <f>Inputs!$F$49*IF(L23=Inputs!$F$200,1,0)</f>
        <v/>
      </c>
      <c r="M43" s="9">
        <f>Inputs!$F$49*IF(M23=Inputs!$F$200,1,0)</f>
        <v/>
      </c>
      <c r="N43" s="9">
        <f>Inputs!$F$49*IF(N23=Inputs!$F$200,1,0)</f>
        <v/>
      </c>
      <c r="O43" s="9">
        <f>Inputs!$F$49*IF(O23=Inputs!$F$200,1,0)</f>
        <v/>
      </c>
      <c r="P43" s="9">
        <f>Inputs!$F$49*IF(P23=Inputs!$F$200,1,0)</f>
        <v/>
      </c>
      <c r="Q43" s="9">
        <f>Inputs!$F$49*IF(Q23=Inputs!$F$200,1,0)</f>
        <v/>
      </c>
      <c r="R43" s="9">
        <f>Inputs!$F$49*IF(R23=Inputs!$F$200,1,0)</f>
        <v/>
      </c>
      <c r="S43" s="9">
        <f>Inputs!$F$49*IF(S23=Inputs!$F$200,1,0)</f>
        <v/>
      </c>
      <c r="T43" s="9">
        <f>Inputs!$F$49*IF(T23=Inputs!$F$200,1,0)</f>
        <v/>
      </c>
      <c r="U43" s="9">
        <f>Inputs!$F$49*IF(U23=Inputs!$F$200,1,0)</f>
        <v/>
      </c>
      <c r="V43" s="9">
        <f>Inputs!$F$49*IF(V23=Inputs!$F$200,1,0)</f>
        <v/>
      </c>
      <c r="W43" s="9">
        <f>Inputs!$F$49*IF(W23=Inputs!$F$200,1,0)</f>
        <v/>
      </c>
      <c r="X43" s="9">
        <f>Inputs!$F$49*IF(X23=Inputs!$F$200,1,0)</f>
        <v/>
      </c>
      <c r="Y43" s="9">
        <f>Inputs!$F$49*IF(Y23=Inputs!$F$200,1,0)</f>
        <v/>
      </c>
      <c r="Z43" s="9">
        <f>Inputs!$F$49*IF(Z23=Inputs!$F$200,1,0)</f>
        <v/>
      </c>
      <c r="AA43" s="9">
        <f>Inputs!$F$49*IF(AA23=Inputs!$F$200,1,0)</f>
        <v/>
      </c>
      <c r="AB43" s="9">
        <f>Inputs!$F$49*IF(AB23=Inputs!$F$200,1,0)</f>
        <v/>
      </c>
      <c r="AC43" s="9">
        <f>Inputs!$F$49*IF(AC23=Inputs!$F$200,1,0)</f>
        <v/>
      </c>
      <c r="AD43" s="9">
        <f>Inputs!$F$49*IF(AD23=Inputs!$F$200,1,0)</f>
        <v/>
      </c>
      <c r="AE43" s="9">
        <f>Inputs!$F$49*IF(AE23=Inputs!$F$200,1,0)</f>
        <v/>
      </c>
      <c r="AF43" s="9">
        <f>Inputs!$F$49*IF(AF23=Inputs!$F$200,1,0)</f>
        <v/>
      </c>
      <c r="AG43" s="9">
        <f>Inputs!$F$49*IF(AG23=Inputs!$F$200,1,0)</f>
        <v/>
      </c>
      <c r="AH43" s="9">
        <f>Inputs!$F$49*IF(AH23=Inputs!$F$200,1,0)</f>
        <v/>
      </c>
      <c r="AI43" s="9">
        <f>Inputs!$F$49*IF(AI23=Inputs!$F$200,1,0)</f>
        <v/>
      </c>
      <c r="AJ43" s="9">
        <f>Inputs!$F$49*IF(AJ23=Inputs!$F$200,1,0)</f>
        <v/>
      </c>
      <c r="AK43" s="9">
        <f>Inputs!$F$49*IF(AK23=Inputs!$F$200,1,0)</f>
        <v/>
      </c>
      <c r="AL43" s="9">
        <f>Inputs!$F$49*IF(AL23=Inputs!$F$200,1,0)</f>
        <v/>
      </c>
      <c r="AM43" s="9">
        <f>Inputs!$F$49*IF(AM23=Inputs!$F$200,1,0)</f>
        <v/>
      </c>
      <c r="AN43" s="9">
        <f>Inputs!$F$49*IF(AN23=Inputs!$F$200,1,0)</f>
        <v/>
      </c>
      <c r="AO43" s="9">
        <f>Inputs!$F$49*IF(AO23=Inputs!$F$200,1,0)</f>
        <v/>
      </c>
      <c r="AP43" s="9">
        <f>Inputs!$F$49*IF(AP23=Inputs!$F$200,1,0)</f>
        <v/>
      </c>
      <c r="AQ43" s="9">
        <f>Inputs!$F$49*IF(AQ23=Inputs!$F$200,1,0)</f>
        <v/>
      </c>
      <c r="AR43" s="9">
        <f>Inputs!$F$49*IF(AR23=Inputs!$F$200,1,0)</f>
        <v/>
      </c>
      <c r="AS43" s="9">
        <f>Inputs!$F$49*IF(AS23=Inputs!$F$200,1,0)</f>
        <v/>
      </c>
      <c r="AT43" s="9">
        <f>Inputs!$F$49*IF(AT23=Inputs!$F$200,1,0)</f>
        <v/>
      </c>
      <c r="AU43" s="9">
        <f>Inputs!$F$49*IF(AU23=Inputs!$F$200,1,0)</f>
        <v/>
      </c>
      <c r="AV43" s="9">
        <f>Inputs!$F$49*IF(AV23=Inputs!$F$200,1,0)</f>
        <v/>
      </c>
      <c r="AW43" s="9">
        <f>Inputs!$F$49*IF(AW23=Inputs!$F$200,1,0)</f>
        <v/>
      </c>
      <c r="AX43" s="9">
        <f>Inputs!$F$49*IF(AX23=Inputs!$F$200,1,0)</f>
        <v/>
      </c>
      <c r="AY43" s="9">
        <f>Inputs!$F$49*IF(AY23=Inputs!$F$200,1,0)</f>
        <v/>
      </c>
      <c r="AZ43" s="9">
        <f>Inputs!$F$49*IF(AZ23=Inputs!$F$200,1,0)</f>
        <v/>
      </c>
      <c r="BA43" s="9">
        <f>Inputs!$F$49*IF(BA23=Inputs!$F$200,1,0)</f>
        <v/>
      </c>
      <c r="BB43" s="9">
        <f>Inputs!$F$49*IF(BB23=Inputs!$F$200,1,0)</f>
        <v/>
      </c>
      <c r="BC43" s="9">
        <f>Inputs!$F$49*IF(BC23=Inputs!$F$200,1,0)</f>
        <v/>
      </c>
      <c r="BD43" s="9">
        <f>Inputs!$F$49*IF(BD23=Inputs!$F$200,1,0)</f>
        <v/>
      </c>
      <c r="BE43" s="9">
        <f>Inputs!$F$49*IF(BE23=Inputs!$F$200,1,0)</f>
        <v/>
      </c>
      <c r="BF43" s="9">
        <f>Inputs!$F$49*IF(BF23=Inputs!$F$200,1,0)</f>
        <v/>
      </c>
      <c r="BG43" s="9">
        <f>Inputs!$F$49*IF(BG23=Inputs!$F$200,1,0)</f>
        <v/>
      </c>
      <c r="BH43" s="9">
        <f>Inputs!$F$49*IF(BH23=Inputs!$F$200,1,0)</f>
        <v/>
      </c>
      <c r="BI43" s="9">
        <f>Inputs!$F$49*IF(BI23=Inputs!$F$200,1,0)</f>
        <v/>
      </c>
      <c r="BJ43" s="9">
        <f>Inputs!$F$49*IF(BJ23=Inputs!$F$200,1,0)</f>
        <v/>
      </c>
      <c r="BK43" s="9">
        <f>Inputs!$F$49*IF(BK23=Inputs!$F$200,1,0)</f>
        <v/>
      </c>
      <c r="BL43" s="9">
        <f>Inputs!$F$49*IF(BL23=Inputs!$F$200,1,0)</f>
        <v/>
      </c>
      <c r="BM43" s="9">
        <f>Inputs!$F$49*IF(BM23=Inputs!$F$200,1,0)</f>
        <v/>
      </c>
      <c r="BN43" s="9">
        <f>Inputs!$F$49*IF(BN23=Inputs!$F$200,1,0)</f>
        <v/>
      </c>
    </row>
    <row r="44">
      <c r="D44" t="inlineStr">
        <is>
          <t>Flag_MarginUplift</t>
        </is>
      </c>
      <c r="E44" t="inlineStr">
        <is>
          <t>flag</t>
        </is>
      </c>
      <c r="J44" s="9">
        <f>Inputs!$F$49*IF(AND(J22&gt;=Inputs!$F$201,J23&lt;=Inputs!$F$202),1,0)</f>
        <v/>
      </c>
      <c r="K44" s="9">
        <f>Inputs!$F$49*IF(AND(K22&gt;=Inputs!$F$201,K23&lt;=Inputs!$F$202),1,0)</f>
        <v/>
      </c>
      <c r="L44" s="9">
        <f>Inputs!$F$49*IF(AND(L22&gt;=Inputs!$F$201,L23&lt;=Inputs!$F$202),1,0)</f>
        <v/>
      </c>
      <c r="M44" s="9">
        <f>Inputs!$F$49*IF(AND(M22&gt;=Inputs!$F$201,M23&lt;=Inputs!$F$202),1,0)</f>
        <v/>
      </c>
      <c r="N44" s="9">
        <f>Inputs!$F$49*IF(AND(N22&gt;=Inputs!$F$201,N23&lt;=Inputs!$F$202),1,0)</f>
        <v/>
      </c>
      <c r="O44" s="9">
        <f>Inputs!$F$49*IF(AND(O22&gt;=Inputs!$F$201,O23&lt;=Inputs!$F$202),1,0)</f>
        <v/>
      </c>
      <c r="P44" s="9">
        <f>Inputs!$F$49*IF(AND(P22&gt;=Inputs!$F$201,P23&lt;=Inputs!$F$202),1,0)</f>
        <v/>
      </c>
      <c r="Q44" s="9">
        <f>Inputs!$F$49*IF(AND(Q22&gt;=Inputs!$F$201,Q23&lt;=Inputs!$F$202),1,0)</f>
        <v/>
      </c>
      <c r="R44" s="9">
        <f>Inputs!$F$49*IF(AND(R22&gt;=Inputs!$F$201,R23&lt;=Inputs!$F$202),1,0)</f>
        <v/>
      </c>
      <c r="S44" s="9">
        <f>Inputs!$F$49*IF(AND(S22&gt;=Inputs!$F$201,S23&lt;=Inputs!$F$202),1,0)</f>
        <v/>
      </c>
      <c r="T44" s="9">
        <f>Inputs!$F$49*IF(AND(T22&gt;=Inputs!$F$201,T23&lt;=Inputs!$F$202),1,0)</f>
        <v/>
      </c>
      <c r="U44" s="9">
        <f>Inputs!$F$49*IF(AND(U22&gt;=Inputs!$F$201,U23&lt;=Inputs!$F$202),1,0)</f>
        <v/>
      </c>
      <c r="V44" s="9">
        <f>Inputs!$F$49*IF(AND(V22&gt;=Inputs!$F$201,V23&lt;=Inputs!$F$202),1,0)</f>
        <v/>
      </c>
      <c r="W44" s="9">
        <f>Inputs!$F$49*IF(AND(W22&gt;=Inputs!$F$201,W23&lt;=Inputs!$F$202),1,0)</f>
        <v/>
      </c>
      <c r="X44" s="9">
        <f>Inputs!$F$49*IF(AND(X22&gt;=Inputs!$F$201,X23&lt;=Inputs!$F$202),1,0)</f>
        <v/>
      </c>
      <c r="Y44" s="9">
        <f>Inputs!$F$49*IF(AND(Y22&gt;=Inputs!$F$201,Y23&lt;=Inputs!$F$202),1,0)</f>
        <v/>
      </c>
      <c r="Z44" s="9">
        <f>Inputs!$F$49*IF(AND(Z22&gt;=Inputs!$F$201,Z23&lt;=Inputs!$F$202),1,0)</f>
        <v/>
      </c>
      <c r="AA44" s="9">
        <f>Inputs!$F$49*IF(AND(AA22&gt;=Inputs!$F$201,AA23&lt;=Inputs!$F$202),1,0)</f>
        <v/>
      </c>
      <c r="AB44" s="9">
        <f>Inputs!$F$49*IF(AND(AB22&gt;=Inputs!$F$201,AB23&lt;=Inputs!$F$202),1,0)</f>
        <v/>
      </c>
      <c r="AC44" s="9">
        <f>Inputs!$F$49*IF(AND(AC22&gt;=Inputs!$F$201,AC23&lt;=Inputs!$F$202),1,0)</f>
        <v/>
      </c>
      <c r="AD44" s="9">
        <f>Inputs!$F$49*IF(AND(AD22&gt;=Inputs!$F$201,AD23&lt;=Inputs!$F$202),1,0)</f>
        <v/>
      </c>
      <c r="AE44" s="9">
        <f>Inputs!$F$49*IF(AND(AE22&gt;=Inputs!$F$201,AE23&lt;=Inputs!$F$202),1,0)</f>
        <v/>
      </c>
      <c r="AF44" s="9">
        <f>Inputs!$F$49*IF(AND(AF22&gt;=Inputs!$F$201,AF23&lt;=Inputs!$F$202),1,0)</f>
        <v/>
      </c>
      <c r="AG44" s="9">
        <f>Inputs!$F$49*IF(AND(AG22&gt;=Inputs!$F$201,AG23&lt;=Inputs!$F$202),1,0)</f>
        <v/>
      </c>
      <c r="AH44" s="9">
        <f>Inputs!$F$49*IF(AND(AH22&gt;=Inputs!$F$201,AH23&lt;=Inputs!$F$202),1,0)</f>
        <v/>
      </c>
      <c r="AI44" s="9">
        <f>Inputs!$F$49*IF(AND(AI22&gt;=Inputs!$F$201,AI23&lt;=Inputs!$F$202),1,0)</f>
        <v/>
      </c>
      <c r="AJ44" s="9">
        <f>Inputs!$F$49*IF(AND(AJ22&gt;=Inputs!$F$201,AJ23&lt;=Inputs!$F$202),1,0)</f>
        <v/>
      </c>
      <c r="AK44" s="9">
        <f>Inputs!$F$49*IF(AND(AK22&gt;=Inputs!$F$201,AK23&lt;=Inputs!$F$202),1,0)</f>
        <v/>
      </c>
      <c r="AL44" s="9">
        <f>Inputs!$F$49*IF(AND(AL22&gt;=Inputs!$F$201,AL23&lt;=Inputs!$F$202),1,0)</f>
        <v/>
      </c>
      <c r="AM44" s="9">
        <f>Inputs!$F$49*IF(AND(AM22&gt;=Inputs!$F$201,AM23&lt;=Inputs!$F$202),1,0)</f>
        <v/>
      </c>
      <c r="AN44" s="9">
        <f>Inputs!$F$49*IF(AND(AN22&gt;=Inputs!$F$201,AN23&lt;=Inputs!$F$202),1,0)</f>
        <v/>
      </c>
      <c r="AO44" s="9">
        <f>Inputs!$F$49*IF(AND(AO22&gt;=Inputs!$F$201,AO23&lt;=Inputs!$F$202),1,0)</f>
        <v/>
      </c>
      <c r="AP44" s="9">
        <f>Inputs!$F$49*IF(AND(AP22&gt;=Inputs!$F$201,AP23&lt;=Inputs!$F$202),1,0)</f>
        <v/>
      </c>
      <c r="AQ44" s="9">
        <f>Inputs!$F$49*IF(AND(AQ22&gt;=Inputs!$F$201,AQ23&lt;=Inputs!$F$202),1,0)</f>
        <v/>
      </c>
      <c r="AR44" s="9">
        <f>Inputs!$F$49*IF(AND(AR22&gt;=Inputs!$F$201,AR23&lt;=Inputs!$F$202),1,0)</f>
        <v/>
      </c>
      <c r="AS44" s="9">
        <f>Inputs!$F$49*IF(AND(AS22&gt;=Inputs!$F$201,AS23&lt;=Inputs!$F$202),1,0)</f>
        <v/>
      </c>
      <c r="AT44" s="9">
        <f>Inputs!$F$49*IF(AND(AT22&gt;=Inputs!$F$201,AT23&lt;=Inputs!$F$202),1,0)</f>
        <v/>
      </c>
      <c r="AU44" s="9">
        <f>Inputs!$F$49*IF(AND(AU22&gt;=Inputs!$F$201,AU23&lt;=Inputs!$F$202),1,0)</f>
        <v/>
      </c>
      <c r="AV44" s="9">
        <f>Inputs!$F$49*IF(AND(AV22&gt;=Inputs!$F$201,AV23&lt;=Inputs!$F$202),1,0)</f>
        <v/>
      </c>
      <c r="AW44" s="9">
        <f>Inputs!$F$49*IF(AND(AW22&gt;=Inputs!$F$201,AW23&lt;=Inputs!$F$202),1,0)</f>
        <v/>
      </c>
      <c r="AX44" s="9">
        <f>Inputs!$F$49*IF(AND(AX22&gt;=Inputs!$F$201,AX23&lt;=Inputs!$F$202),1,0)</f>
        <v/>
      </c>
      <c r="AY44" s="9">
        <f>Inputs!$F$49*IF(AND(AY22&gt;=Inputs!$F$201,AY23&lt;=Inputs!$F$202),1,0)</f>
        <v/>
      </c>
      <c r="AZ44" s="9">
        <f>Inputs!$F$49*IF(AND(AZ22&gt;=Inputs!$F$201,AZ23&lt;=Inputs!$F$202),1,0)</f>
        <v/>
      </c>
      <c r="BA44" s="9">
        <f>Inputs!$F$49*IF(AND(BA22&gt;=Inputs!$F$201,BA23&lt;=Inputs!$F$202),1,0)</f>
        <v/>
      </c>
      <c r="BB44" s="9">
        <f>Inputs!$F$49*IF(AND(BB22&gt;=Inputs!$F$201,BB23&lt;=Inputs!$F$202),1,0)</f>
        <v/>
      </c>
      <c r="BC44" s="9">
        <f>Inputs!$F$49*IF(AND(BC22&gt;=Inputs!$F$201,BC23&lt;=Inputs!$F$202),1,0)</f>
        <v/>
      </c>
      <c r="BD44" s="9">
        <f>Inputs!$F$49*IF(AND(BD22&gt;=Inputs!$F$201,BD23&lt;=Inputs!$F$202),1,0)</f>
        <v/>
      </c>
      <c r="BE44" s="9">
        <f>Inputs!$F$49*IF(AND(BE22&gt;=Inputs!$F$201,BE23&lt;=Inputs!$F$202),1,0)</f>
        <v/>
      </c>
      <c r="BF44" s="9">
        <f>Inputs!$F$49*IF(AND(BF22&gt;=Inputs!$F$201,BF23&lt;=Inputs!$F$202),1,0)</f>
        <v/>
      </c>
      <c r="BG44" s="9">
        <f>Inputs!$F$49*IF(AND(BG22&gt;=Inputs!$F$201,BG23&lt;=Inputs!$F$202),1,0)</f>
        <v/>
      </c>
      <c r="BH44" s="9">
        <f>Inputs!$F$49*IF(AND(BH22&gt;=Inputs!$F$201,BH23&lt;=Inputs!$F$202),1,0)</f>
        <v/>
      </c>
      <c r="BI44" s="9">
        <f>Inputs!$F$49*IF(AND(BI22&gt;=Inputs!$F$201,BI23&lt;=Inputs!$F$202),1,0)</f>
        <v/>
      </c>
      <c r="BJ44" s="9">
        <f>Inputs!$F$49*IF(AND(BJ22&gt;=Inputs!$F$201,BJ23&lt;=Inputs!$F$202),1,0)</f>
        <v/>
      </c>
      <c r="BK44" s="9">
        <f>Inputs!$F$49*IF(AND(BK22&gt;=Inputs!$F$201,BK23&lt;=Inputs!$F$202),1,0)</f>
        <v/>
      </c>
      <c r="BL44" s="9">
        <f>Inputs!$F$49*IF(AND(BL22&gt;=Inputs!$F$201,BL23&lt;=Inputs!$F$202),1,0)</f>
        <v/>
      </c>
      <c r="BM44" s="9">
        <f>Inputs!$F$49*IF(AND(BM22&gt;=Inputs!$F$201,BM23&lt;=Inputs!$F$202),1,0)</f>
        <v/>
      </c>
      <c r="BN44" s="9">
        <f>Inputs!$F$49*IF(AND(BN22&gt;=Inputs!$F$201,BN23&lt;=Inputs!$F$202),1,0)</f>
        <v/>
      </c>
    </row>
    <row r="45">
      <c r="D45" t="inlineStr">
        <is>
          <t>Flag_DeferredRepayment</t>
        </is>
      </c>
      <c r="E45" t="inlineStr">
        <is>
          <t>flag</t>
        </is>
      </c>
      <c r="J45" s="9">
        <f>Inputs!$F$49*IF(AND(J23&gt;=Inputs!$F$203,J23&lt;=Inputs!$F$204),1,0)</f>
        <v/>
      </c>
      <c r="K45" s="9">
        <f>Inputs!$F$49*IF(AND(K23&gt;=Inputs!$F$203,K23&lt;=Inputs!$F$204),1,0)</f>
        <v/>
      </c>
      <c r="L45" s="9">
        <f>Inputs!$F$49*IF(AND(L23&gt;=Inputs!$F$203,L23&lt;=Inputs!$F$204),1,0)</f>
        <v/>
      </c>
      <c r="M45" s="9">
        <f>Inputs!$F$49*IF(AND(M23&gt;=Inputs!$F$203,M23&lt;=Inputs!$F$204),1,0)</f>
        <v/>
      </c>
      <c r="N45" s="9">
        <f>Inputs!$F$49*IF(AND(N23&gt;=Inputs!$F$203,N23&lt;=Inputs!$F$204),1,0)</f>
        <v/>
      </c>
      <c r="O45" s="9">
        <f>Inputs!$F$49*IF(AND(O23&gt;=Inputs!$F$203,O23&lt;=Inputs!$F$204),1,0)</f>
        <v/>
      </c>
      <c r="P45" s="9">
        <f>Inputs!$F$49*IF(AND(P23&gt;=Inputs!$F$203,P23&lt;=Inputs!$F$204),1,0)</f>
        <v/>
      </c>
      <c r="Q45" s="9">
        <f>Inputs!$F$49*IF(AND(Q23&gt;=Inputs!$F$203,Q23&lt;=Inputs!$F$204),1,0)</f>
        <v/>
      </c>
      <c r="R45" s="9">
        <f>Inputs!$F$49*IF(AND(R23&gt;=Inputs!$F$203,R23&lt;=Inputs!$F$204),1,0)</f>
        <v/>
      </c>
      <c r="S45" s="9">
        <f>Inputs!$F$49*IF(AND(S23&gt;=Inputs!$F$203,S23&lt;=Inputs!$F$204),1,0)</f>
        <v/>
      </c>
      <c r="T45" s="9">
        <f>Inputs!$F$49*IF(AND(T23&gt;=Inputs!$F$203,T23&lt;=Inputs!$F$204),1,0)</f>
        <v/>
      </c>
      <c r="U45" s="9">
        <f>Inputs!$F$49*IF(AND(U23&gt;=Inputs!$F$203,U23&lt;=Inputs!$F$204),1,0)</f>
        <v/>
      </c>
      <c r="V45" s="9">
        <f>Inputs!$F$49*IF(AND(V23&gt;=Inputs!$F$203,V23&lt;=Inputs!$F$204),1,0)</f>
        <v/>
      </c>
      <c r="W45" s="9">
        <f>Inputs!$F$49*IF(AND(W23&gt;=Inputs!$F$203,W23&lt;=Inputs!$F$204),1,0)</f>
        <v/>
      </c>
      <c r="X45" s="9">
        <f>Inputs!$F$49*IF(AND(X23&gt;=Inputs!$F$203,X23&lt;=Inputs!$F$204),1,0)</f>
        <v/>
      </c>
      <c r="Y45" s="9">
        <f>Inputs!$F$49*IF(AND(Y23&gt;=Inputs!$F$203,Y23&lt;=Inputs!$F$204),1,0)</f>
        <v/>
      </c>
      <c r="Z45" s="9">
        <f>Inputs!$F$49*IF(AND(Z23&gt;=Inputs!$F$203,Z23&lt;=Inputs!$F$204),1,0)</f>
        <v/>
      </c>
      <c r="AA45" s="9">
        <f>Inputs!$F$49*IF(AND(AA23&gt;=Inputs!$F$203,AA23&lt;=Inputs!$F$204),1,0)</f>
        <v/>
      </c>
      <c r="AB45" s="9">
        <f>Inputs!$F$49*IF(AND(AB23&gt;=Inputs!$F$203,AB23&lt;=Inputs!$F$204),1,0)</f>
        <v/>
      </c>
      <c r="AC45" s="9">
        <f>Inputs!$F$49*IF(AND(AC23&gt;=Inputs!$F$203,AC23&lt;=Inputs!$F$204),1,0)</f>
        <v/>
      </c>
      <c r="AD45" s="9">
        <f>Inputs!$F$49*IF(AND(AD23&gt;=Inputs!$F$203,AD23&lt;=Inputs!$F$204),1,0)</f>
        <v/>
      </c>
      <c r="AE45" s="9">
        <f>Inputs!$F$49*IF(AND(AE23&gt;=Inputs!$F$203,AE23&lt;=Inputs!$F$204),1,0)</f>
        <v/>
      </c>
      <c r="AF45" s="9">
        <f>Inputs!$F$49*IF(AND(AF23&gt;=Inputs!$F$203,AF23&lt;=Inputs!$F$204),1,0)</f>
        <v/>
      </c>
      <c r="AG45" s="9">
        <f>Inputs!$F$49*IF(AND(AG23&gt;=Inputs!$F$203,AG23&lt;=Inputs!$F$204),1,0)</f>
        <v/>
      </c>
      <c r="AH45" s="9">
        <f>Inputs!$F$49*IF(AND(AH23&gt;=Inputs!$F$203,AH23&lt;=Inputs!$F$204),1,0)</f>
        <v/>
      </c>
      <c r="AI45" s="9">
        <f>Inputs!$F$49*IF(AND(AI23&gt;=Inputs!$F$203,AI23&lt;=Inputs!$F$204),1,0)</f>
        <v/>
      </c>
      <c r="AJ45" s="9">
        <f>Inputs!$F$49*IF(AND(AJ23&gt;=Inputs!$F$203,AJ23&lt;=Inputs!$F$204),1,0)</f>
        <v/>
      </c>
      <c r="AK45" s="9">
        <f>Inputs!$F$49*IF(AND(AK23&gt;=Inputs!$F$203,AK23&lt;=Inputs!$F$204),1,0)</f>
        <v/>
      </c>
      <c r="AL45" s="9">
        <f>Inputs!$F$49*IF(AND(AL23&gt;=Inputs!$F$203,AL23&lt;=Inputs!$F$204),1,0)</f>
        <v/>
      </c>
      <c r="AM45" s="9">
        <f>Inputs!$F$49*IF(AND(AM23&gt;=Inputs!$F$203,AM23&lt;=Inputs!$F$204),1,0)</f>
        <v/>
      </c>
      <c r="AN45" s="9">
        <f>Inputs!$F$49*IF(AND(AN23&gt;=Inputs!$F$203,AN23&lt;=Inputs!$F$204),1,0)</f>
        <v/>
      </c>
      <c r="AO45" s="9">
        <f>Inputs!$F$49*IF(AND(AO23&gt;=Inputs!$F$203,AO23&lt;=Inputs!$F$204),1,0)</f>
        <v/>
      </c>
      <c r="AP45" s="9">
        <f>Inputs!$F$49*IF(AND(AP23&gt;=Inputs!$F$203,AP23&lt;=Inputs!$F$204),1,0)</f>
        <v/>
      </c>
      <c r="AQ45" s="9">
        <f>Inputs!$F$49*IF(AND(AQ23&gt;=Inputs!$F$203,AQ23&lt;=Inputs!$F$204),1,0)</f>
        <v/>
      </c>
      <c r="AR45" s="9">
        <f>Inputs!$F$49*IF(AND(AR23&gt;=Inputs!$F$203,AR23&lt;=Inputs!$F$204),1,0)</f>
        <v/>
      </c>
      <c r="AS45" s="9">
        <f>Inputs!$F$49*IF(AND(AS23&gt;=Inputs!$F$203,AS23&lt;=Inputs!$F$204),1,0)</f>
        <v/>
      </c>
      <c r="AT45" s="9">
        <f>Inputs!$F$49*IF(AND(AT23&gt;=Inputs!$F$203,AT23&lt;=Inputs!$F$204),1,0)</f>
        <v/>
      </c>
      <c r="AU45" s="9">
        <f>Inputs!$F$49*IF(AND(AU23&gt;=Inputs!$F$203,AU23&lt;=Inputs!$F$204),1,0)</f>
        <v/>
      </c>
      <c r="AV45" s="9">
        <f>Inputs!$F$49*IF(AND(AV23&gt;=Inputs!$F$203,AV23&lt;=Inputs!$F$204),1,0)</f>
        <v/>
      </c>
      <c r="AW45" s="9">
        <f>Inputs!$F$49*IF(AND(AW23&gt;=Inputs!$F$203,AW23&lt;=Inputs!$F$204),1,0)</f>
        <v/>
      </c>
      <c r="AX45" s="9">
        <f>Inputs!$F$49*IF(AND(AX23&gt;=Inputs!$F$203,AX23&lt;=Inputs!$F$204),1,0)</f>
        <v/>
      </c>
      <c r="AY45" s="9">
        <f>Inputs!$F$49*IF(AND(AY23&gt;=Inputs!$F$203,AY23&lt;=Inputs!$F$204),1,0)</f>
        <v/>
      </c>
      <c r="AZ45" s="9">
        <f>Inputs!$F$49*IF(AND(AZ23&gt;=Inputs!$F$203,AZ23&lt;=Inputs!$F$204),1,0)</f>
        <v/>
      </c>
      <c r="BA45" s="9">
        <f>Inputs!$F$49*IF(AND(BA23&gt;=Inputs!$F$203,BA23&lt;=Inputs!$F$204),1,0)</f>
        <v/>
      </c>
      <c r="BB45" s="9">
        <f>Inputs!$F$49*IF(AND(BB23&gt;=Inputs!$F$203,BB23&lt;=Inputs!$F$204),1,0)</f>
        <v/>
      </c>
      <c r="BC45" s="9">
        <f>Inputs!$F$49*IF(AND(BC23&gt;=Inputs!$F$203,BC23&lt;=Inputs!$F$204),1,0)</f>
        <v/>
      </c>
      <c r="BD45" s="9">
        <f>Inputs!$F$49*IF(AND(BD23&gt;=Inputs!$F$203,BD23&lt;=Inputs!$F$204),1,0)</f>
        <v/>
      </c>
      <c r="BE45" s="9">
        <f>Inputs!$F$49*IF(AND(BE23&gt;=Inputs!$F$203,BE23&lt;=Inputs!$F$204),1,0)</f>
        <v/>
      </c>
      <c r="BF45" s="9">
        <f>Inputs!$F$49*IF(AND(BF23&gt;=Inputs!$F$203,BF23&lt;=Inputs!$F$204),1,0)</f>
        <v/>
      </c>
      <c r="BG45" s="9">
        <f>Inputs!$F$49*IF(AND(BG23&gt;=Inputs!$F$203,BG23&lt;=Inputs!$F$204),1,0)</f>
        <v/>
      </c>
      <c r="BH45" s="9">
        <f>Inputs!$F$49*IF(AND(BH23&gt;=Inputs!$F$203,BH23&lt;=Inputs!$F$204),1,0)</f>
        <v/>
      </c>
      <c r="BI45" s="9">
        <f>Inputs!$F$49*IF(AND(BI23&gt;=Inputs!$F$203,BI23&lt;=Inputs!$F$204),1,0)</f>
        <v/>
      </c>
      <c r="BJ45" s="9">
        <f>Inputs!$F$49*IF(AND(BJ23&gt;=Inputs!$F$203,BJ23&lt;=Inputs!$F$204),1,0)</f>
        <v/>
      </c>
      <c r="BK45" s="9">
        <f>Inputs!$F$49*IF(AND(BK23&gt;=Inputs!$F$203,BK23&lt;=Inputs!$F$204),1,0)</f>
        <v/>
      </c>
      <c r="BL45" s="9">
        <f>Inputs!$F$49*IF(AND(BL23&gt;=Inputs!$F$203,BL23&lt;=Inputs!$F$204),1,0)</f>
        <v/>
      </c>
      <c r="BM45" s="9">
        <f>Inputs!$F$49*IF(AND(BM23&gt;=Inputs!$F$203,BM23&lt;=Inputs!$F$204),1,0)</f>
        <v/>
      </c>
      <c r="BN45" s="9">
        <f>Inputs!$F$49*IF(AND(BN23&gt;=Inputs!$F$203,BN23&lt;=Inputs!$F$204),1,0)</f>
        <v/>
      </c>
    </row>
    <row r="46">
      <c r="D46" t="inlineStr">
        <is>
          <t>Deferred repayments remaining (this and later periods)</t>
        </is>
      </c>
      <c r="E46" t="inlineStr">
        <is>
          <t>count</t>
        </is>
      </c>
      <c r="J46" s="9">
        <f>SUM(J45:BN45)</f>
        <v/>
      </c>
      <c r="K46" s="9">
        <f>SUM(K45:BN45)</f>
        <v/>
      </c>
      <c r="L46" s="9">
        <f>SUM(L45:BN45)</f>
        <v/>
      </c>
      <c r="M46" s="9">
        <f>SUM(M45:BN45)</f>
        <v/>
      </c>
      <c r="N46" s="9">
        <f>SUM(N45:BN45)</f>
        <v/>
      </c>
      <c r="O46" s="9">
        <f>SUM(O45:BN45)</f>
        <v/>
      </c>
      <c r="P46" s="9">
        <f>SUM(P45:BN45)</f>
        <v/>
      </c>
      <c r="Q46" s="9">
        <f>SUM(Q45:BN45)</f>
        <v/>
      </c>
      <c r="R46" s="9">
        <f>SUM(R45:BN45)</f>
        <v/>
      </c>
      <c r="S46" s="9">
        <f>SUM(S45:BN45)</f>
        <v/>
      </c>
      <c r="T46" s="9">
        <f>SUM(T45:BN45)</f>
        <v/>
      </c>
      <c r="U46" s="9">
        <f>SUM(U45:BN45)</f>
        <v/>
      </c>
      <c r="V46" s="9">
        <f>SUM(V45:BN45)</f>
        <v/>
      </c>
      <c r="W46" s="9">
        <f>SUM(W45:BN45)</f>
        <v/>
      </c>
      <c r="X46" s="9">
        <f>SUM(X45:BN45)</f>
        <v/>
      </c>
      <c r="Y46" s="9">
        <f>SUM(Y45:BN45)</f>
        <v/>
      </c>
      <c r="Z46" s="9">
        <f>SUM(Z45:BN45)</f>
        <v/>
      </c>
      <c r="AA46" s="9">
        <f>SUM(AA45:BN45)</f>
        <v/>
      </c>
      <c r="AB46" s="9">
        <f>SUM(AB45:BN45)</f>
        <v/>
      </c>
      <c r="AC46" s="9">
        <f>SUM(AC45:BN45)</f>
        <v/>
      </c>
      <c r="AD46" s="9">
        <f>SUM(AD45:BN45)</f>
        <v/>
      </c>
      <c r="AE46" s="9">
        <f>SUM(AE45:BN45)</f>
        <v/>
      </c>
      <c r="AF46" s="9">
        <f>SUM(AF45:BN45)</f>
        <v/>
      </c>
      <c r="AG46" s="9">
        <f>SUM(AG45:BN45)</f>
        <v/>
      </c>
      <c r="AH46" s="9">
        <f>SUM(AH45:BN45)</f>
        <v/>
      </c>
      <c r="AI46" s="9">
        <f>SUM(AI45:BN45)</f>
        <v/>
      </c>
      <c r="AJ46" s="9">
        <f>SUM(AJ45:BN45)</f>
        <v/>
      </c>
      <c r="AK46" s="9">
        <f>SUM(AK45:BN45)</f>
        <v/>
      </c>
      <c r="AL46" s="9">
        <f>SUM(AL45:BN45)</f>
        <v/>
      </c>
      <c r="AM46" s="9">
        <f>SUM(AM45:BN45)</f>
        <v/>
      </c>
      <c r="AN46" s="9">
        <f>SUM(AN45:BN45)</f>
        <v/>
      </c>
      <c r="AO46" s="9">
        <f>SUM(AO45:BN45)</f>
        <v/>
      </c>
      <c r="AP46" s="9">
        <f>SUM(AP45:BN45)</f>
        <v/>
      </c>
      <c r="AQ46" s="9">
        <f>SUM(AQ45:BN45)</f>
        <v/>
      </c>
      <c r="AR46" s="9">
        <f>SUM(AR45:BN45)</f>
        <v/>
      </c>
      <c r="AS46" s="9">
        <f>SUM(AS45:BN45)</f>
        <v/>
      </c>
      <c r="AT46" s="9">
        <f>SUM(AT45:BN45)</f>
        <v/>
      </c>
      <c r="AU46" s="9">
        <f>SUM(AU45:BN45)</f>
        <v/>
      </c>
      <c r="AV46" s="9">
        <f>SUM(AV45:BN45)</f>
        <v/>
      </c>
      <c r="AW46" s="9">
        <f>SUM(AW45:BN45)</f>
        <v/>
      </c>
      <c r="AX46" s="9">
        <f>SUM(AX45:BN45)</f>
        <v/>
      </c>
      <c r="AY46" s="9">
        <f>SUM(AY45:BN45)</f>
        <v/>
      </c>
      <c r="AZ46" s="9">
        <f>SUM(AZ45:BN45)</f>
        <v/>
      </c>
      <c r="BA46" s="9">
        <f>SUM(BA45:BN45)</f>
        <v/>
      </c>
      <c r="BB46" s="9">
        <f>SUM(BB45:BN45)</f>
        <v/>
      </c>
      <c r="BC46" s="9">
        <f>SUM(BC45:BN45)</f>
        <v/>
      </c>
      <c r="BD46" s="9">
        <f>SUM(BD45:BN45)</f>
        <v/>
      </c>
      <c r="BE46" s="9">
        <f>SUM(BE45:BN45)</f>
        <v/>
      </c>
      <c r="BF46" s="9">
        <f>SUM(BF45:BN45)</f>
        <v/>
      </c>
      <c r="BG46" s="9">
        <f>SUM(BG45:BN45)</f>
        <v/>
      </c>
      <c r="BH46" s="9">
        <f>SUM(BH45:BN45)</f>
        <v/>
      </c>
      <c r="BI46" s="9">
        <f>SUM(BI45:BN45)</f>
        <v/>
      </c>
      <c r="BJ46" s="9">
        <f>SUM(BJ45:BN45)</f>
        <v/>
      </c>
      <c r="BK46" s="9">
        <f>SUM(BK45:BN45)</f>
        <v/>
      </c>
      <c r="BL46" s="9">
        <f>SUM(BL45:BN45)</f>
        <v/>
      </c>
      <c r="BM46" s="9">
        <f>SUM(BM45:BN45)</f>
        <v/>
      </c>
      <c r="BN46" s="9">
        <f>SUM(BN45:BN45)</f>
        <v/>
      </c>
    </row>
    <row r="47">
      <c r="D47" t="inlineStr">
        <is>
          <t>Flag_Refinancing</t>
        </is>
      </c>
      <c r="E47" t="inlineStr">
        <is>
          <t>flag</t>
        </is>
      </c>
      <c r="J47" s="9">
        <f>Inputs!$F$50*IF(J23=Inputs!$F$205,1,0)</f>
        <v/>
      </c>
      <c r="K47" s="9">
        <f>Inputs!$F$50*IF(K23=Inputs!$F$205,1,0)</f>
        <v/>
      </c>
      <c r="L47" s="9">
        <f>Inputs!$F$50*IF(L23=Inputs!$F$205,1,0)</f>
        <v/>
      </c>
      <c r="M47" s="9">
        <f>Inputs!$F$50*IF(M23=Inputs!$F$205,1,0)</f>
        <v/>
      </c>
      <c r="N47" s="9">
        <f>Inputs!$F$50*IF(N23=Inputs!$F$205,1,0)</f>
        <v/>
      </c>
      <c r="O47" s="9">
        <f>Inputs!$F$50*IF(O23=Inputs!$F$205,1,0)</f>
        <v/>
      </c>
      <c r="P47" s="9">
        <f>Inputs!$F$50*IF(P23=Inputs!$F$205,1,0)</f>
        <v/>
      </c>
      <c r="Q47" s="9">
        <f>Inputs!$F$50*IF(Q23=Inputs!$F$205,1,0)</f>
        <v/>
      </c>
      <c r="R47" s="9">
        <f>Inputs!$F$50*IF(R23=Inputs!$F$205,1,0)</f>
        <v/>
      </c>
      <c r="S47" s="9">
        <f>Inputs!$F$50*IF(S23=Inputs!$F$205,1,0)</f>
        <v/>
      </c>
      <c r="T47" s="9">
        <f>Inputs!$F$50*IF(T23=Inputs!$F$205,1,0)</f>
        <v/>
      </c>
      <c r="U47" s="9">
        <f>Inputs!$F$50*IF(U23=Inputs!$F$205,1,0)</f>
        <v/>
      </c>
      <c r="V47" s="9">
        <f>Inputs!$F$50*IF(V23=Inputs!$F$205,1,0)</f>
        <v/>
      </c>
      <c r="W47" s="9">
        <f>Inputs!$F$50*IF(W23=Inputs!$F$205,1,0)</f>
        <v/>
      </c>
      <c r="X47" s="9">
        <f>Inputs!$F$50*IF(X23=Inputs!$F$205,1,0)</f>
        <v/>
      </c>
      <c r="Y47" s="9">
        <f>Inputs!$F$50*IF(Y23=Inputs!$F$205,1,0)</f>
        <v/>
      </c>
      <c r="Z47" s="9">
        <f>Inputs!$F$50*IF(Z23=Inputs!$F$205,1,0)</f>
        <v/>
      </c>
      <c r="AA47" s="9">
        <f>Inputs!$F$50*IF(AA23=Inputs!$F$205,1,0)</f>
        <v/>
      </c>
      <c r="AB47" s="9">
        <f>Inputs!$F$50*IF(AB23=Inputs!$F$205,1,0)</f>
        <v/>
      </c>
      <c r="AC47" s="9">
        <f>Inputs!$F$50*IF(AC23=Inputs!$F$205,1,0)</f>
        <v/>
      </c>
      <c r="AD47" s="9">
        <f>Inputs!$F$50*IF(AD23=Inputs!$F$205,1,0)</f>
        <v/>
      </c>
      <c r="AE47" s="9">
        <f>Inputs!$F$50*IF(AE23=Inputs!$F$205,1,0)</f>
        <v/>
      </c>
      <c r="AF47" s="9">
        <f>Inputs!$F$50*IF(AF23=Inputs!$F$205,1,0)</f>
        <v/>
      </c>
      <c r="AG47" s="9">
        <f>Inputs!$F$50*IF(AG23=Inputs!$F$205,1,0)</f>
        <v/>
      </c>
      <c r="AH47" s="9">
        <f>Inputs!$F$50*IF(AH23=Inputs!$F$205,1,0)</f>
        <v/>
      </c>
      <c r="AI47" s="9">
        <f>Inputs!$F$50*IF(AI23=Inputs!$F$205,1,0)</f>
        <v/>
      </c>
      <c r="AJ47" s="9">
        <f>Inputs!$F$50*IF(AJ23=Inputs!$F$205,1,0)</f>
        <v/>
      </c>
      <c r="AK47" s="9">
        <f>Inputs!$F$50*IF(AK23=Inputs!$F$205,1,0)</f>
        <v/>
      </c>
      <c r="AL47" s="9">
        <f>Inputs!$F$50*IF(AL23=Inputs!$F$205,1,0)</f>
        <v/>
      </c>
      <c r="AM47" s="9">
        <f>Inputs!$F$50*IF(AM23=Inputs!$F$205,1,0)</f>
        <v/>
      </c>
      <c r="AN47" s="9">
        <f>Inputs!$F$50*IF(AN23=Inputs!$F$205,1,0)</f>
        <v/>
      </c>
      <c r="AO47" s="9">
        <f>Inputs!$F$50*IF(AO23=Inputs!$F$205,1,0)</f>
        <v/>
      </c>
      <c r="AP47" s="9">
        <f>Inputs!$F$50*IF(AP23=Inputs!$F$205,1,0)</f>
        <v/>
      </c>
      <c r="AQ47" s="9">
        <f>Inputs!$F$50*IF(AQ23=Inputs!$F$205,1,0)</f>
        <v/>
      </c>
      <c r="AR47" s="9">
        <f>Inputs!$F$50*IF(AR23=Inputs!$F$205,1,0)</f>
        <v/>
      </c>
      <c r="AS47" s="9">
        <f>Inputs!$F$50*IF(AS23=Inputs!$F$205,1,0)</f>
        <v/>
      </c>
      <c r="AT47" s="9">
        <f>Inputs!$F$50*IF(AT23=Inputs!$F$205,1,0)</f>
        <v/>
      </c>
      <c r="AU47" s="9">
        <f>Inputs!$F$50*IF(AU23=Inputs!$F$205,1,0)</f>
        <v/>
      </c>
      <c r="AV47" s="9">
        <f>Inputs!$F$50*IF(AV23=Inputs!$F$205,1,0)</f>
        <v/>
      </c>
      <c r="AW47" s="9">
        <f>Inputs!$F$50*IF(AW23=Inputs!$F$205,1,0)</f>
        <v/>
      </c>
      <c r="AX47" s="9">
        <f>Inputs!$F$50*IF(AX23=Inputs!$F$205,1,0)</f>
        <v/>
      </c>
      <c r="AY47" s="9">
        <f>Inputs!$F$50*IF(AY23=Inputs!$F$205,1,0)</f>
        <v/>
      </c>
      <c r="AZ47" s="9">
        <f>Inputs!$F$50*IF(AZ23=Inputs!$F$205,1,0)</f>
        <v/>
      </c>
      <c r="BA47" s="9">
        <f>Inputs!$F$50*IF(BA23=Inputs!$F$205,1,0)</f>
        <v/>
      </c>
      <c r="BB47" s="9">
        <f>Inputs!$F$50*IF(BB23=Inputs!$F$205,1,0)</f>
        <v/>
      </c>
      <c r="BC47" s="9">
        <f>Inputs!$F$50*IF(BC23=Inputs!$F$205,1,0)</f>
        <v/>
      </c>
      <c r="BD47" s="9">
        <f>Inputs!$F$50*IF(BD23=Inputs!$F$205,1,0)</f>
        <v/>
      </c>
      <c r="BE47" s="9">
        <f>Inputs!$F$50*IF(BE23=Inputs!$F$205,1,0)</f>
        <v/>
      </c>
      <c r="BF47" s="9">
        <f>Inputs!$F$50*IF(BF23=Inputs!$F$205,1,0)</f>
        <v/>
      </c>
      <c r="BG47" s="9">
        <f>Inputs!$F$50*IF(BG23=Inputs!$F$205,1,0)</f>
        <v/>
      </c>
      <c r="BH47" s="9">
        <f>Inputs!$F$50*IF(BH23=Inputs!$F$205,1,0)</f>
        <v/>
      </c>
      <c r="BI47" s="9">
        <f>Inputs!$F$50*IF(BI23=Inputs!$F$205,1,0)</f>
        <v/>
      </c>
      <c r="BJ47" s="9">
        <f>Inputs!$F$50*IF(BJ23=Inputs!$F$205,1,0)</f>
        <v/>
      </c>
      <c r="BK47" s="9">
        <f>Inputs!$F$50*IF(BK23=Inputs!$F$205,1,0)</f>
        <v/>
      </c>
      <c r="BL47" s="9">
        <f>Inputs!$F$50*IF(BL23=Inputs!$F$205,1,0)</f>
        <v/>
      </c>
      <c r="BM47" s="9">
        <f>Inputs!$F$50*IF(BM23=Inputs!$F$205,1,0)</f>
        <v/>
      </c>
      <c r="BN47" s="9">
        <f>Inputs!$F$50*IF(BN23=Inputs!$F$205,1,0)</f>
        <v/>
      </c>
    </row>
    <row r="48">
      <c r="D48" t="inlineStr">
        <is>
          <t>Flag_AfterRefinancing</t>
        </is>
      </c>
      <c r="E48" t="inlineStr">
        <is>
          <t>flag</t>
        </is>
      </c>
      <c r="J48" s="9">
        <f>Inputs!$F$50*IF(J23&gt;Inputs!$F$205,1,0)</f>
        <v/>
      </c>
      <c r="K48" s="9">
        <f>Inputs!$F$50*IF(K23&gt;Inputs!$F$205,1,0)</f>
        <v/>
      </c>
      <c r="L48" s="9">
        <f>Inputs!$F$50*IF(L23&gt;Inputs!$F$205,1,0)</f>
        <v/>
      </c>
      <c r="M48" s="9">
        <f>Inputs!$F$50*IF(M23&gt;Inputs!$F$205,1,0)</f>
        <v/>
      </c>
      <c r="N48" s="9">
        <f>Inputs!$F$50*IF(N23&gt;Inputs!$F$205,1,0)</f>
        <v/>
      </c>
      <c r="O48" s="9">
        <f>Inputs!$F$50*IF(O23&gt;Inputs!$F$205,1,0)</f>
        <v/>
      </c>
      <c r="P48" s="9">
        <f>Inputs!$F$50*IF(P23&gt;Inputs!$F$205,1,0)</f>
        <v/>
      </c>
      <c r="Q48" s="9">
        <f>Inputs!$F$50*IF(Q23&gt;Inputs!$F$205,1,0)</f>
        <v/>
      </c>
      <c r="R48" s="9">
        <f>Inputs!$F$50*IF(R23&gt;Inputs!$F$205,1,0)</f>
        <v/>
      </c>
      <c r="S48" s="9">
        <f>Inputs!$F$50*IF(S23&gt;Inputs!$F$205,1,0)</f>
        <v/>
      </c>
      <c r="T48" s="9">
        <f>Inputs!$F$50*IF(T23&gt;Inputs!$F$205,1,0)</f>
        <v/>
      </c>
      <c r="U48" s="9">
        <f>Inputs!$F$50*IF(U23&gt;Inputs!$F$205,1,0)</f>
        <v/>
      </c>
      <c r="V48" s="9">
        <f>Inputs!$F$50*IF(V23&gt;Inputs!$F$205,1,0)</f>
        <v/>
      </c>
      <c r="W48" s="9">
        <f>Inputs!$F$50*IF(W23&gt;Inputs!$F$205,1,0)</f>
        <v/>
      </c>
      <c r="X48" s="9">
        <f>Inputs!$F$50*IF(X23&gt;Inputs!$F$205,1,0)</f>
        <v/>
      </c>
      <c r="Y48" s="9">
        <f>Inputs!$F$50*IF(Y23&gt;Inputs!$F$205,1,0)</f>
        <v/>
      </c>
      <c r="Z48" s="9">
        <f>Inputs!$F$50*IF(Z23&gt;Inputs!$F$205,1,0)</f>
        <v/>
      </c>
      <c r="AA48" s="9">
        <f>Inputs!$F$50*IF(AA23&gt;Inputs!$F$205,1,0)</f>
        <v/>
      </c>
      <c r="AB48" s="9">
        <f>Inputs!$F$50*IF(AB23&gt;Inputs!$F$205,1,0)</f>
        <v/>
      </c>
      <c r="AC48" s="9">
        <f>Inputs!$F$50*IF(AC23&gt;Inputs!$F$205,1,0)</f>
        <v/>
      </c>
      <c r="AD48" s="9">
        <f>Inputs!$F$50*IF(AD23&gt;Inputs!$F$205,1,0)</f>
        <v/>
      </c>
      <c r="AE48" s="9">
        <f>Inputs!$F$50*IF(AE23&gt;Inputs!$F$205,1,0)</f>
        <v/>
      </c>
      <c r="AF48" s="9">
        <f>Inputs!$F$50*IF(AF23&gt;Inputs!$F$205,1,0)</f>
        <v/>
      </c>
      <c r="AG48" s="9">
        <f>Inputs!$F$50*IF(AG23&gt;Inputs!$F$205,1,0)</f>
        <v/>
      </c>
      <c r="AH48" s="9">
        <f>Inputs!$F$50*IF(AH23&gt;Inputs!$F$205,1,0)</f>
        <v/>
      </c>
      <c r="AI48" s="9">
        <f>Inputs!$F$50*IF(AI23&gt;Inputs!$F$205,1,0)</f>
        <v/>
      </c>
      <c r="AJ48" s="9">
        <f>Inputs!$F$50*IF(AJ23&gt;Inputs!$F$205,1,0)</f>
        <v/>
      </c>
      <c r="AK48" s="9">
        <f>Inputs!$F$50*IF(AK23&gt;Inputs!$F$205,1,0)</f>
        <v/>
      </c>
      <c r="AL48" s="9">
        <f>Inputs!$F$50*IF(AL23&gt;Inputs!$F$205,1,0)</f>
        <v/>
      </c>
      <c r="AM48" s="9">
        <f>Inputs!$F$50*IF(AM23&gt;Inputs!$F$205,1,0)</f>
        <v/>
      </c>
      <c r="AN48" s="9">
        <f>Inputs!$F$50*IF(AN23&gt;Inputs!$F$205,1,0)</f>
        <v/>
      </c>
      <c r="AO48" s="9">
        <f>Inputs!$F$50*IF(AO23&gt;Inputs!$F$205,1,0)</f>
        <v/>
      </c>
      <c r="AP48" s="9">
        <f>Inputs!$F$50*IF(AP23&gt;Inputs!$F$205,1,0)</f>
        <v/>
      </c>
      <c r="AQ48" s="9">
        <f>Inputs!$F$50*IF(AQ23&gt;Inputs!$F$205,1,0)</f>
        <v/>
      </c>
      <c r="AR48" s="9">
        <f>Inputs!$F$50*IF(AR23&gt;Inputs!$F$205,1,0)</f>
        <v/>
      </c>
      <c r="AS48" s="9">
        <f>Inputs!$F$50*IF(AS23&gt;Inputs!$F$205,1,0)</f>
        <v/>
      </c>
      <c r="AT48" s="9">
        <f>Inputs!$F$50*IF(AT23&gt;Inputs!$F$205,1,0)</f>
        <v/>
      </c>
      <c r="AU48" s="9">
        <f>Inputs!$F$50*IF(AU23&gt;Inputs!$F$205,1,0)</f>
        <v/>
      </c>
      <c r="AV48" s="9">
        <f>Inputs!$F$50*IF(AV23&gt;Inputs!$F$205,1,0)</f>
        <v/>
      </c>
      <c r="AW48" s="9">
        <f>Inputs!$F$50*IF(AW23&gt;Inputs!$F$205,1,0)</f>
        <v/>
      </c>
      <c r="AX48" s="9">
        <f>Inputs!$F$50*IF(AX23&gt;Inputs!$F$205,1,0)</f>
        <v/>
      </c>
      <c r="AY48" s="9">
        <f>Inputs!$F$50*IF(AY23&gt;Inputs!$F$205,1,0)</f>
        <v/>
      </c>
      <c r="AZ48" s="9">
        <f>Inputs!$F$50*IF(AZ23&gt;Inputs!$F$205,1,0)</f>
        <v/>
      </c>
      <c r="BA48" s="9">
        <f>Inputs!$F$50*IF(BA23&gt;Inputs!$F$205,1,0)</f>
        <v/>
      </c>
      <c r="BB48" s="9">
        <f>Inputs!$F$50*IF(BB23&gt;Inputs!$F$205,1,0)</f>
        <v/>
      </c>
      <c r="BC48" s="9">
        <f>Inputs!$F$50*IF(BC23&gt;Inputs!$F$205,1,0)</f>
        <v/>
      </c>
      <c r="BD48" s="9">
        <f>Inputs!$F$50*IF(BD23&gt;Inputs!$F$205,1,0)</f>
        <v/>
      </c>
      <c r="BE48" s="9">
        <f>Inputs!$F$50*IF(BE23&gt;Inputs!$F$205,1,0)</f>
        <v/>
      </c>
      <c r="BF48" s="9">
        <f>Inputs!$F$50*IF(BF23&gt;Inputs!$F$205,1,0)</f>
        <v/>
      </c>
      <c r="BG48" s="9">
        <f>Inputs!$F$50*IF(BG23&gt;Inputs!$F$205,1,0)</f>
        <v/>
      </c>
      <c r="BH48" s="9">
        <f>Inputs!$F$50*IF(BH23&gt;Inputs!$F$205,1,0)</f>
        <v/>
      </c>
      <c r="BI48" s="9">
        <f>Inputs!$F$50*IF(BI23&gt;Inputs!$F$205,1,0)</f>
        <v/>
      </c>
      <c r="BJ48" s="9">
        <f>Inputs!$F$50*IF(BJ23&gt;Inputs!$F$205,1,0)</f>
        <v/>
      </c>
      <c r="BK48" s="9">
        <f>Inputs!$F$50*IF(BK23&gt;Inputs!$F$205,1,0)</f>
        <v/>
      </c>
      <c r="BL48" s="9">
        <f>Inputs!$F$50*IF(BL23&gt;Inputs!$F$205,1,0)</f>
        <v/>
      </c>
      <c r="BM48" s="9">
        <f>Inputs!$F$50*IF(BM23&gt;Inputs!$F$205,1,0)</f>
        <v/>
      </c>
      <c r="BN48" s="9">
        <f>Inputs!$F$50*IF(BN23&gt;Inputs!$F$205,1,0)</f>
        <v/>
      </c>
    </row>
    <row r="49">
      <c r="D49" t="inlineStr">
        <is>
          <t>Flag_TestWaived</t>
        </is>
      </c>
      <c r="E49" t="inlineStr">
        <is>
          <t>flag</t>
        </is>
      </c>
      <c r="J49" s="9">
        <f>Inputs!$F$49*IF(AND(J23&gt;=Inputs!$F$199,J23&lt;=Inputs!$F$200),1,0)</f>
        <v/>
      </c>
      <c r="K49" s="9">
        <f>Inputs!$F$49*IF(AND(K23&gt;=Inputs!$F$199,K23&lt;=Inputs!$F$200),1,0)</f>
        <v/>
      </c>
      <c r="L49" s="9">
        <f>Inputs!$F$49*IF(AND(L23&gt;=Inputs!$F$199,L23&lt;=Inputs!$F$200),1,0)</f>
        <v/>
      </c>
      <c r="M49" s="9">
        <f>Inputs!$F$49*IF(AND(M23&gt;=Inputs!$F$199,M23&lt;=Inputs!$F$200),1,0)</f>
        <v/>
      </c>
      <c r="N49" s="9">
        <f>Inputs!$F$49*IF(AND(N23&gt;=Inputs!$F$199,N23&lt;=Inputs!$F$200),1,0)</f>
        <v/>
      </c>
      <c r="O49" s="9">
        <f>Inputs!$F$49*IF(AND(O23&gt;=Inputs!$F$199,O23&lt;=Inputs!$F$200),1,0)</f>
        <v/>
      </c>
      <c r="P49" s="9">
        <f>Inputs!$F$49*IF(AND(P23&gt;=Inputs!$F$199,P23&lt;=Inputs!$F$200),1,0)</f>
        <v/>
      </c>
      <c r="Q49" s="9">
        <f>Inputs!$F$49*IF(AND(Q23&gt;=Inputs!$F$199,Q23&lt;=Inputs!$F$200),1,0)</f>
        <v/>
      </c>
      <c r="R49" s="9">
        <f>Inputs!$F$49*IF(AND(R23&gt;=Inputs!$F$199,R23&lt;=Inputs!$F$200),1,0)</f>
        <v/>
      </c>
      <c r="S49" s="9">
        <f>Inputs!$F$49*IF(AND(S23&gt;=Inputs!$F$199,S23&lt;=Inputs!$F$200),1,0)</f>
        <v/>
      </c>
      <c r="T49" s="9">
        <f>Inputs!$F$49*IF(AND(T23&gt;=Inputs!$F$199,T23&lt;=Inputs!$F$200),1,0)</f>
        <v/>
      </c>
      <c r="U49" s="9">
        <f>Inputs!$F$49*IF(AND(U23&gt;=Inputs!$F$199,U23&lt;=Inputs!$F$200),1,0)</f>
        <v/>
      </c>
      <c r="V49" s="9">
        <f>Inputs!$F$49*IF(AND(V23&gt;=Inputs!$F$199,V23&lt;=Inputs!$F$200),1,0)</f>
        <v/>
      </c>
      <c r="W49" s="9">
        <f>Inputs!$F$49*IF(AND(W23&gt;=Inputs!$F$199,W23&lt;=Inputs!$F$200),1,0)</f>
        <v/>
      </c>
      <c r="X49" s="9">
        <f>Inputs!$F$49*IF(AND(X23&gt;=Inputs!$F$199,X23&lt;=Inputs!$F$200),1,0)</f>
        <v/>
      </c>
      <c r="Y49" s="9">
        <f>Inputs!$F$49*IF(AND(Y23&gt;=Inputs!$F$199,Y23&lt;=Inputs!$F$200),1,0)</f>
        <v/>
      </c>
      <c r="Z49" s="9">
        <f>Inputs!$F$49*IF(AND(Z23&gt;=Inputs!$F$199,Z23&lt;=Inputs!$F$200),1,0)</f>
        <v/>
      </c>
      <c r="AA49" s="9">
        <f>Inputs!$F$49*IF(AND(AA23&gt;=Inputs!$F$199,AA23&lt;=Inputs!$F$200),1,0)</f>
        <v/>
      </c>
      <c r="AB49" s="9">
        <f>Inputs!$F$49*IF(AND(AB23&gt;=Inputs!$F$199,AB23&lt;=Inputs!$F$200),1,0)</f>
        <v/>
      </c>
      <c r="AC49" s="9">
        <f>Inputs!$F$49*IF(AND(AC23&gt;=Inputs!$F$199,AC23&lt;=Inputs!$F$200),1,0)</f>
        <v/>
      </c>
      <c r="AD49" s="9">
        <f>Inputs!$F$49*IF(AND(AD23&gt;=Inputs!$F$199,AD23&lt;=Inputs!$F$200),1,0)</f>
        <v/>
      </c>
      <c r="AE49" s="9">
        <f>Inputs!$F$49*IF(AND(AE23&gt;=Inputs!$F$199,AE23&lt;=Inputs!$F$200),1,0)</f>
        <v/>
      </c>
      <c r="AF49" s="9">
        <f>Inputs!$F$49*IF(AND(AF23&gt;=Inputs!$F$199,AF23&lt;=Inputs!$F$200),1,0)</f>
        <v/>
      </c>
      <c r="AG49" s="9">
        <f>Inputs!$F$49*IF(AND(AG23&gt;=Inputs!$F$199,AG23&lt;=Inputs!$F$200),1,0)</f>
        <v/>
      </c>
      <c r="AH49" s="9">
        <f>Inputs!$F$49*IF(AND(AH23&gt;=Inputs!$F$199,AH23&lt;=Inputs!$F$200),1,0)</f>
        <v/>
      </c>
      <c r="AI49" s="9">
        <f>Inputs!$F$49*IF(AND(AI23&gt;=Inputs!$F$199,AI23&lt;=Inputs!$F$200),1,0)</f>
        <v/>
      </c>
      <c r="AJ49" s="9">
        <f>Inputs!$F$49*IF(AND(AJ23&gt;=Inputs!$F$199,AJ23&lt;=Inputs!$F$200),1,0)</f>
        <v/>
      </c>
      <c r="AK49" s="9">
        <f>Inputs!$F$49*IF(AND(AK23&gt;=Inputs!$F$199,AK23&lt;=Inputs!$F$200),1,0)</f>
        <v/>
      </c>
      <c r="AL49" s="9">
        <f>Inputs!$F$49*IF(AND(AL23&gt;=Inputs!$F$199,AL23&lt;=Inputs!$F$200),1,0)</f>
        <v/>
      </c>
      <c r="AM49" s="9">
        <f>Inputs!$F$49*IF(AND(AM23&gt;=Inputs!$F$199,AM23&lt;=Inputs!$F$200),1,0)</f>
        <v/>
      </c>
      <c r="AN49" s="9">
        <f>Inputs!$F$49*IF(AND(AN23&gt;=Inputs!$F$199,AN23&lt;=Inputs!$F$200),1,0)</f>
        <v/>
      </c>
      <c r="AO49" s="9">
        <f>Inputs!$F$49*IF(AND(AO23&gt;=Inputs!$F$199,AO23&lt;=Inputs!$F$200),1,0)</f>
        <v/>
      </c>
      <c r="AP49" s="9">
        <f>Inputs!$F$49*IF(AND(AP23&gt;=Inputs!$F$199,AP23&lt;=Inputs!$F$200),1,0)</f>
        <v/>
      </c>
      <c r="AQ49" s="9">
        <f>Inputs!$F$49*IF(AND(AQ23&gt;=Inputs!$F$199,AQ23&lt;=Inputs!$F$200),1,0)</f>
        <v/>
      </c>
      <c r="AR49" s="9">
        <f>Inputs!$F$49*IF(AND(AR23&gt;=Inputs!$F$199,AR23&lt;=Inputs!$F$200),1,0)</f>
        <v/>
      </c>
      <c r="AS49" s="9">
        <f>Inputs!$F$49*IF(AND(AS23&gt;=Inputs!$F$199,AS23&lt;=Inputs!$F$200),1,0)</f>
        <v/>
      </c>
      <c r="AT49" s="9">
        <f>Inputs!$F$49*IF(AND(AT23&gt;=Inputs!$F$199,AT23&lt;=Inputs!$F$200),1,0)</f>
        <v/>
      </c>
      <c r="AU49" s="9">
        <f>Inputs!$F$49*IF(AND(AU23&gt;=Inputs!$F$199,AU23&lt;=Inputs!$F$200),1,0)</f>
        <v/>
      </c>
      <c r="AV49" s="9">
        <f>Inputs!$F$49*IF(AND(AV23&gt;=Inputs!$F$199,AV23&lt;=Inputs!$F$200),1,0)</f>
        <v/>
      </c>
      <c r="AW49" s="9">
        <f>Inputs!$F$49*IF(AND(AW23&gt;=Inputs!$F$199,AW23&lt;=Inputs!$F$200),1,0)</f>
        <v/>
      </c>
      <c r="AX49" s="9">
        <f>Inputs!$F$49*IF(AND(AX23&gt;=Inputs!$F$199,AX23&lt;=Inputs!$F$200),1,0)</f>
        <v/>
      </c>
      <c r="AY49" s="9">
        <f>Inputs!$F$49*IF(AND(AY23&gt;=Inputs!$F$199,AY23&lt;=Inputs!$F$200),1,0)</f>
        <v/>
      </c>
      <c r="AZ49" s="9">
        <f>Inputs!$F$49*IF(AND(AZ23&gt;=Inputs!$F$199,AZ23&lt;=Inputs!$F$200),1,0)</f>
        <v/>
      </c>
      <c r="BA49" s="9">
        <f>Inputs!$F$49*IF(AND(BA23&gt;=Inputs!$F$199,BA23&lt;=Inputs!$F$200),1,0)</f>
        <v/>
      </c>
      <c r="BB49" s="9">
        <f>Inputs!$F$49*IF(AND(BB23&gt;=Inputs!$F$199,BB23&lt;=Inputs!$F$200),1,0)</f>
        <v/>
      </c>
      <c r="BC49" s="9">
        <f>Inputs!$F$49*IF(AND(BC23&gt;=Inputs!$F$199,BC23&lt;=Inputs!$F$200),1,0)</f>
        <v/>
      </c>
      <c r="BD49" s="9">
        <f>Inputs!$F$49*IF(AND(BD23&gt;=Inputs!$F$199,BD23&lt;=Inputs!$F$200),1,0)</f>
        <v/>
      </c>
      <c r="BE49" s="9">
        <f>Inputs!$F$49*IF(AND(BE23&gt;=Inputs!$F$199,BE23&lt;=Inputs!$F$200),1,0)</f>
        <v/>
      </c>
      <c r="BF49" s="9">
        <f>Inputs!$F$49*IF(AND(BF23&gt;=Inputs!$F$199,BF23&lt;=Inputs!$F$200),1,0)</f>
        <v/>
      </c>
      <c r="BG49" s="9">
        <f>Inputs!$F$49*IF(AND(BG23&gt;=Inputs!$F$199,BG23&lt;=Inputs!$F$200),1,0)</f>
        <v/>
      </c>
      <c r="BH49" s="9">
        <f>Inputs!$F$49*IF(AND(BH23&gt;=Inputs!$F$199,BH23&lt;=Inputs!$F$200),1,0)</f>
        <v/>
      </c>
      <c r="BI49" s="9">
        <f>Inputs!$F$49*IF(AND(BI23&gt;=Inputs!$F$199,BI23&lt;=Inputs!$F$200),1,0)</f>
        <v/>
      </c>
      <c r="BJ49" s="9">
        <f>Inputs!$F$49*IF(AND(BJ23&gt;=Inputs!$F$199,BJ23&lt;=Inputs!$F$200),1,0)</f>
        <v/>
      </c>
      <c r="BK49" s="9">
        <f>Inputs!$F$49*IF(AND(BK23&gt;=Inputs!$F$199,BK23&lt;=Inputs!$F$200),1,0)</f>
        <v/>
      </c>
      <c r="BL49" s="9">
        <f>Inputs!$F$49*IF(AND(BL23&gt;=Inputs!$F$199,BL23&lt;=Inputs!$F$200),1,0)</f>
        <v/>
      </c>
      <c r="BM49" s="9">
        <f>Inputs!$F$49*IF(AND(BM23&gt;=Inputs!$F$199,BM23&lt;=Inputs!$F$200),1,0)</f>
        <v/>
      </c>
      <c r="BN49" s="9">
        <f>Inputs!$F$49*IF(AND(BN23&gt;=Inputs!$F$199,BN23&lt;=Inputs!$F$200),1,0)</f>
        <v/>
      </c>
    </row>
    <row r="50">
      <c r="D50" t="inlineStr">
        <is>
          <t>Flag_WaiverRegime</t>
        </is>
      </c>
      <c r="E50" t="inlineStr">
        <is>
          <t>flag</t>
        </is>
      </c>
      <c r="J50" s="9">
        <f>Inputs!$F$49*IF(J23&gt;=Inputs!$F$199,1,0)</f>
        <v/>
      </c>
      <c r="K50" s="9">
        <f>Inputs!$F$49*IF(K23&gt;=Inputs!$F$199,1,0)</f>
        <v/>
      </c>
      <c r="L50" s="9">
        <f>Inputs!$F$49*IF(L23&gt;=Inputs!$F$199,1,0)</f>
        <v/>
      </c>
      <c r="M50" s="9">
        <f>Inputs!$F$49*IF(M23&gt;=Inputs!$F$199,1,0)</f>
        <v/>
      </c>
      <c r="N50" s="9">
        <f>Inputs!$F$49*IF(N23&gt;=Inputs!$F$199,1,0)</f>
        <v/>
      </c>
      <c r="O50" s="9">
        <f>Inputs!$F$49*IF(O23&gt;=Inputs!$F$199,1,0)</f>
        <v/>
      </c>
      <c r="P50" s="9">
        <f>Inputs!$F$49*IF(P23&gt;=Inputs!$F$199,1,0)</f>
        <v/>
      </c>
      <c r="Q50" s="9">
        <f>Inputs!$F$49*IF(Q23&gt;=Inputs!$F$199,1,0)</f>
        <v/>
      </c>
      <c r="R50" s="9">
        <f>Inputs!$F$49*IF(R23&gt;=Inputs!$F$199,1,0)</f>
        <v/>
      </c>
      <c r="S50" s="9">
        <f>Inputs!$F$49*IF(S23&gt;=Inputs!$F$199,1,0)</f>
        <v/>
      </c>
      <c r="T50" s="9">
        <f>Inputs!$F$49*IF(T23&gt;=Inputs!$F$199,1,0)</f>
        <v/>
      </c>
      <c r="U50" s="9">
        <f>Inputs!$F$49*IF(U23&gt;=Inputs!$F$199,1,0)</f>
        <v/>
      </c>
      <c r="V50" s="9">
        <f>Inputs!$F$49*IF(V23&gt;=Inputs!$F$199,1,0)</f>
        <v/>
      </c>
      <c r="W50" s="9">
        <f>Inputs!$F$49*IF(W23&gt;=Inputs!$F$199,1,0)</f>
        <v/>
      </c>
      <c r="X50" s="9">
        <f>Inputs!$F$49*IF(X23&gt;=Inputs!$F$199,1,0)</f>
        <v/>
      </c>
      <c r="Y50" s="9">
        <f>Inputs!$F$49*IF(Y23&gt;=Inputs!$F$199,1,0)</f>
        <v/>
      </c>
      <c r="Z50" s="9">
        <f>Inputs!$F$49*IF(Z23&gt;=Inputs!$F$199,1,0)</f>
        <v/>
      </c>
      <c r="AA50" s="9">
        <f>Inputs!$F$49*IF(AA23&gt;=Inputs!$F$199,1,0)</f>
        <v/>
      </c>
      <c r="AB50" s="9">
        <f>Inputs!$F$49*IF(AB23&gt;=Inputs!$F$199,1,0)</f>
        <v/>
      </c>
      <c r="AC50" s="9">
        <f>Inputs!$F$49*IF(AC23&gt;=Inputs!$F$199,1,0)</f>
        <v/>
      </c>
      <c r="AD50" s="9">
        <f>Inputs!$F$49*IF(AD23&gt;=Inputs!$F$199,1,0)</f>
        <v/>
      </c>
      <c r="AE50" s="9">
        <f>Inputs!$F$49*IF(AE23&gt;=Inputs!$F$199,1,0)</f>
        <v/>
      </c>
      <c r="AF50" s="9">
        <f>Inputs!$F$49*IF(AF23&gt;=Inputs!$F$199,1,0)</f>
        <v/>
      </c>
      <c r="AG50" s="9">
        <f>Inputs!$F$49*IF(AG23&gt;=Inputs!$F$199,1,0)</f>
        <v/>
      </c>
      <c r="AH50" s="9">
        <f>Inputs!$F$49*IF(AH23&gt;=Inputs!$F$199,1,0)</f>
        <v/>
      </c>
      <c r="AI50" s="9">
        <f>Inputs!$F$49*IF(AI23&gt;=Inputs!$F$199,1,0)</f>
        <v/>
      </c>
      <c r="AJ50" s="9">
        <f>Inputs!$F$49*IF(AJ23&gt;=Inputs!$F$199,1,0)</f>
        <v/>
      </c>
      <c r="AK50" s="9">
        <f>Inputs!$F$49*IF(AK23&gt;=Inputs!$F$199,1,0)</f>
        <v/>
      </c>
      <c r="AL50" s="9">
        <f>Inputs!$F$49*IF(AL23&gt;=Inputs!$F$199,1,0)</f>
        <v/>
      </c>
      <c r="AM50" s="9">
        <f>Inputs!$F$49*IF(AM23&gt;=Inputs!$F$199,1,0)</f>
        <v/>
      </c>
      <c r="AN50" s="9">
        <f>Inputs!$F$49*IF(AN23&gt;=Inputs!$F$199,1,0)</f>
        <v/>
      </c>
      <c r="AO50" s="9">
        <f>Inputs!$F$49*IF(AO23&gt;=Inputs!$F$199,1,0)</f>
        <v/>
      </c>
      <c r="AP50" s="9">
        <f>Inputs!$F$49*IF(AP23&gt;=Inputs!$F$199,1,0)</f>
        <v/>
      </c>
      <c r="AQ50" s="9">
        <f>Inputs!$F$49*IF(AQ23&gt;=Inputs!$F$199,1,0)</f>
        <v/>
      </c>
      <c r="AR50" s="9">
        <f>Inputs!$F$49*IF(AR23&gt;=Inputs!$F$199,1,0)</f>
        <v/>
      </c>
      <c r="AS50" s="9">
        <f>Inputs!$F$49*IF(AS23&gt;=Inputs!$F$199,1,0)</f>
        <v/>
      </c>
      <c r="AT50" s="9">
        <f>Inputs!$F$49*IF(AT23&gt;=Inputs!$F$199,1,0)</f>
        <v/>
      </c>
      <c r="AU50" s="9">
        <f>Inputs!$F$49*IF(AU23&gt;=Inputs!$F$199,1,0)</f>
        <v/>
      </c>
      <c r="AV50" s="9">
        <f>Inputs!$F$49*IF(AV23&gt;=Inputs!$F$199,1,0)</f>
        <v/>
      </c>
      <c r="AW50" s="9">
        <f>Inputs!$F$49*IF(AW23&gt;=Inputs!$F$199,1,0)</f>
        <v/>
      </c>
      <c r="AX50" s="9">
        <f>Inputs!$F$49*IF(AX23&gt;=Inputs!$F$199,1,0)</f>
        <v/>
      </c>
      <c r="AY50" s="9">
        <f>Inputs!$F$49*IF(AY23&gt;=Inputs!$F$199,1,0)</f>
        <v/>
      </c>
      <c r="AZ50" s="9">
        <f>Inputs!$F$49*IF(AZ23&gt;=Inputs!$F$199,1,0)</f>
        <v/>
      </c>
      <c r="BA50" s="9">
        <f>Inputs!$F$49*IF(BA23&gt;=Inputs!$F$199,1,0)</f>
        <v/>
      </c>
      <c r="BB50" s="9">
        <f>Inputs!$F$49*IF(BB23&gt;=Inputs!$F$199,1,0)</f>
        <v/>
      </c>
      <c r="BC50" s="9">
        <f>Inputs!$F$49*IF(BC23&gt;=Inputs!$F$199,1,0)</f>
        <v/>
      </c>
      <c r="BD50" s="9">
        <f>Inputs!$F$49*IF(BD23&gt;=Inputs!$F$199,1,0)</f>
        <v/>
      </c>
      <c r="BE50" s="9">
        <f>Inputs!$F$49*IF(BE23&gt;=Inputs!$F$199,1,0)</f>
        <v/>
      </c>
      <c r="BF50" s="9">
        <f>Inputs!$F$49*IF(BF23&gt;=Inputs!$F$199,1,0)</f>
        <v/>
      </c>
      <c r="BG50" s="9">
        <f>Inputs!$F$49*IF(BG23&gt;=Inputs!$F$199,1,0)</f>
        <v/>
      </c>
      <c r="BH50" s="9">
        <f>Inputs!$F$49*IF(BH23&gt;=Inputs!$F$199,1,0)</f>
        <v/>
      </c>
      <c r="BI50" s="9">
        <f>Inputs!$F$49*IF(BI23&gt;=Inputs!$F$199,1,0)</f>
        <v/>
      </c>
      <c r="BJ50" s="9">
        <f>Inputs!$F$49*IF(BJ23&gt;=Inputs!$F$199,1,0)</f>
        <v/>
      </c>
      <c r="BK50" s="9">
        <f>Inputs!$F$49*IF(BK23&gt;=Inputs!$F$199,1,0)</f>
        <v/>
      </c>
      <c r="BL50" s="9">
        <f>Inputs!$F$49*IF(BL23&gt;=Inputs!$F$199,1,0)</f>
        <v/>
      </c>
      <c r="BM50" s="9">
        <f>Inputs!$F$49*IF(BM23&gt;=Inputs!$F$199,1,0)</f>
        <v/>
      </c>
      <c r="BN50" s="9">
        <f>Inputs!$F$49*IF(BN23&gt;=Inputs!$F$199,1,0)</f>
        <v/>
      </c>
    </row>
    <row r="51">
      <c r="D51" t="inlineStr">
        <is>
          <t>Flag_AfterWaivedTests</t>
        </is>
      </c>
      <c r="E51" t="inlineStr">
        <is>
          <t>flag</t>
        </is>
      </c>
      <c r="J51" s="9">
        <f>Inputs!$F$49*IF(J23&gt;Inputs!$F$200,1,0)</f>
        <v/>
      </c>
      <c r="K51" s="9">
        <f>Inputs!$F$49*IF(K23&gt;Inputs!$F$200,1,0)</f>
        <v/>
      </c>
      <c r="L51" s="9">
        <f>Inputs!$F$49*IF(L23&gt;Inputs!$F$200,1,0)</f>
        <v/>
      </c>
      <c r="M51" s="9">
        <f>Inputs!$F$49*IF(M23&gt;Inputs!$F$200,1,0)</f>
        <v/>
      </c>
      <c r="N51" s="9">
        <f>Inputs!$F$49*IF(N23&gt;Inputs!$F$200,1,0)</f>
        <v/>
      </c>
      <c r="O51" s="9">
        <f>Inputs!$F$49*IF(O23&gt;Inputs!$F$200,1,0)</f>
        <v/>
      </c>
      <c r="P51" s="9">
        <f>Inputs!$F$49*IF(P23&gt;Inputs!$F$200,1,0)</f>
        <v/>
      </c>
      <c r="Q51" s="9">
        <f>Inputs!$F$49*IF(Q23&gt;Inputs!$F$200,1,0)</f>
        <v/>
      </c>
      <c r="R51" s="9">
        <f>Inputs!$F$49*IF(R23&gt;Inputs!$F$200,1,0)</f>
        <v/>
      </c>
      <c r="S51" s="9">
        <f>Inputs!$F$49*IF(S23&gt;Inputs!$F$200,1,0)</f>
        <v/>
      </c>
      <c r="T51" s="9">
        <f>Inputs!$F$49*IF(T23&gt;Inputs!$F$200,1,0)</f>
        <v/>
      </c>
      <c r="U51" s="9">
        <f>Inputs!$F$49*IF(U23&gt;Inputs!$F$200,1,0)</f>
        <v/>
      </c>
      <c r="V51" s="9">
        <f>Inputs!$F$49*IF(V23&gt;Inputs!$F$200,1,0)</f>
        <v/>
      </c>
      <c r="W51" s="9">
        <f>Inputs!$F$49*IF(W23&gt;Inputs!$F$200,1,0)</f>
        <v/>
      </c>
      <c r="X51" s="9">
        <f>Inputs!$F$49*IF(X23&gt;Inputs!$F$200,1,0)</f>
        <v/>
      </c>
      <c r="Y51" s="9">
        <f>Inputs!$F$49*IF(Y23&gt;Inputs!$F$200,1,0)</f>
        <v/>
      </c>
      <c r="Z51" s="9">
        <f>Inputs!$F$49*IF(Z23&gt;Inputs!$F$200,1,0)</f>
        <v/>
      </c>
      <c r="AA51" s="9">
        <f>Inputs!$F$49*IF(AA23&gt;Inputs!$F$200,1,0)</f>
        <v/>
      </c>
      <c r="AB51" s="9">
        <f>Inputs!$F$49*IF(AB23&gt;Inputs!$F$200,1,0)</f>
        <v/>
      </c>
      <c r="AC51" s="9">
        <f>Inputs!$F$49*IF(AC23&gt;Inputs!$F$200,1,0)</f>
        <v/>
      </c>
      <c r="AD51" s="9">
        <f>Inputs!$F$49*IF(AD23&gt;Inputs!$F$200,1,0)</f>
        <v/>
      </c>
      <c r="AE51" s="9">
        <f>Inputs!$F$49*IF(AE23&gt;Inputs!$F$200,1,0)</f>
        <v/>
      </c>
      <c r="AF51" s="9">
        <f>Inputs!$F$49*IF(AF23&gt;Inputs!$F$200,1,0)</f>
        <v/>
      </c>
      <c r="AG51" s="9">
        <f>Inputs!$F$49*IF(AG23&gt;Inputs!$F$200,1,0)</f>
        <v/>
      </c>
      <c r="AH51" s="9">
        <f>Inputs!$F$49*IF(AH23&gt;Inputs!$F$200,1,0)</f>
        <v/>
      </c>
      <c r="AI51" s="9">
        <f>Inputs!$F$49*IF(AI23&gt;Inputs!$F$200,1,0)</f>
        <v/>
      </c>
      <c r="AJ51" s="9">
        <f>Inputs!$F$49*IF(AJ23&gt;Inputs!$F$200,1,0)</f>
        <v/>
      </c>
      <c r="AK51" s="9">
        <f>Inputs!$F$49*IF(AK23&gt;Inputs!$F$200,1,0)</f>
        <v/>
      </c>
      <c r="AL51" s="9">
        <f>Inputs!$F$49*IF(AL23&gt;Inputs!$F$200,1,0)</f>
        <v/>
      </c>
      <c r="AM51" s="9">
        <f>Inputs!$F$49*IF(AM23&gt;Inputs!$F$200,1,0)</f>
        <v/>
      </c>
      <c r="AN51" s="9">
        <f>Inputs!$F$49*IF(AN23&gt;Inputs!$F$200,1,0)</f>
        <v/>
      </c>
      <c r="AO51" s="9">
        <f>Inputs!$F$49*IF(AO23&gt;Inputs!$F$200,1,0)</f>
        <v/>
      </c>
      <c r="AP51" s="9">
        <f>Inputs!$F$49*IF(AP23&gt;Inputs!$F$200,1,0)</f>
        <v/>
      </c>
      <c r="AQ51" s="9">
        <f>Inputs!$F$49*IF(AQ23&gt;Inputs!$F$200,1,0)</f>
        <v/>
      </c>
      <c r="AR51" s="9">
        <f>Inputs!$F$49*IF(AR23&gt;Inputs!$F$200,1,0)</f>
        <v/>
      </c>
      <c r="AS51" s="9">
        <f>Inputs!$F$49*IF(AS23&gt;Inputs!$F$200,1,0)</f>
        <v/>
      </c>
      <c r="AT51" s="9">
        <f>Inputs!$F$49*IF(AT23&gt;Inputs!$F$200,1,0)</f>
        <v/>
      </c>
      <c r="AU51" s="9">
        <f>Inputs!$F$49*IF(AU23&gt;Inputs!$F$200,1,0)</f>
        <v/>
      </c>
      <c r="AV51" s="9">
        <f>Inputs!$F$49*IF(AV23&gt;Inputs!$F$200,1,0)</f>
        <v/>
      </c>
      <c r="AW51" s="9">
        <f>Inputs!$F$49*IF(AW23&gt;Inputs!$F$200,1,0)</f>
        <v/>
      </c>
      <c r="AX51" s="9">
        <f>Inputs!$F$49*IF(AX23&gt;Inputs!$F$200,1,0)</f>
        <v/>
      </c>
      <c r="AY51" s="9">
        <f>Inputs!$F$49*IF(AY23&gt;Inputs!$F$200,1,0)</f>
        <v/>
      </c>
      <c r="AZ51" s="9">
        <f>Inputs!$F$49*IF(AZ23&gt;Inputs!$F$200,1,0)</f>
        <v/>
      </c>
      <c r="BA51" s="9">
        <f>Inputs!$F$49*IF(BA23&gt;Inputs!$F$200,1,0)</f>
        <v/>
      </c>
      <c r="BB51" s="9">
        <f>Inputs!$F$49*IF(BB23&gt;Inputs!$F$200,1,0)</f>
        <v/>
      </c>
      <c r="BC51" s="9">
        <f>Inputs!$F$49*IF(BC23&gt;Inputs!$F$200,1,0)</f>
        <v/>
      </c>
      <c r="BD51" s="9">
        <f>Inputs!$F$49*IF(BD23&gt;Inputs!$F$200,1,0)</f>
        <v/>
      </c>
      <c r="BE51" s="9">
        <f>Inputs!$F$49*IF(BE23&gt;Inputs!$F$200,1,0)</f>
        <v/>
      </c>
      <c r="BF51" s="9">
        <f>Inputs!$F$49*IF(BF23&gt;Inputs!$F$200,1,0)</f>
        <v/>
      </c>
      <c r="BG51" s="9">
        <f>Inputs!$F$49*IF(BG23&gt;Inputs!$F$200,1,0)</f>
        <v/>
      </c>
      <c r="BH51" s="9">
        <f>Inputs!$F$49*IF(BH23&gt;Inputs!$F$200,1,0)</f>
        <v/>
      </c>
      <c r="BI51" s="9">
        <f>Inputs!$F$49*IF(BI23&gt;Inputs!$F$200,1,0)</f>
        <v/>
      </c>
      <c r="BJ51" s="9">
        <f>Inputs!$F$49*IF(BJ23&gt;Inputs!$F$200,1,0)</f>
        <v/>
      </c>
      <c r="BK51" s="9">
        <f>Inputs!$F$49*IF(BK23&gt;Inputs!$F$200,1,0)</f>
        <v/>
      </c>
      <c r="BL51" s="9">
        <f>Inputs!$F$49*IF(BL23&gt;Inputs!$F$200,1,0)</f>
        <v/>
      </c>
      <c r="BM51" s="9">
        <f>Inputs!$F$49*IF(BM23&gt;Inputs!$F$200,1,0)</f>
        <v/>
      </c>
      <c r="BN51" s="9">
        <f>Inputs!$F$49*IF(BN23&gt;Inputs!$F$200,1,0)</f>
        <v/>
      </c>
    </row>
    <row r="52">
      <c r="D52" t="inlineStr">
        <is>
          <t>Flag_MiniPermSweep</t>
        </is>
      </c>
      <c r="E52" t="inlineStr">
        <is>
          <t>flag</t>
        </is>
      </c>
      <c r="J52" s="9">
        <f>IF(J22&gt;=Inputs!$F$206,1,0)</f>
        <v/>
      </c>
      <c r="K52" s="9">
        <f>IF(K22&gt;=Inputs!$F$206,1,0)</f>
        <v/>
      </c>
      <c r="L52" s="9">
        <f>IF(L22&gt;=Inputs!$F$206,1,0)</f>
        <v/>
      </c>
      <c r="M52" s="9">
        <f>IF(M22&gt;=Inputs!$F$206,1,0)</f>
        <v/>
      </c>
      <c r="N52" s="9">
        <f>IF(N22&gt;=Inputs!$F$206,1,0)</f>
        <v/>
      </c>
      <c r="O52" s="9">
        <f>IF(O22&gt;=Inputs!$F$206,1,0)</f>
        <v/>
      </c>
      <c r="P52" s="9">
        <f>IF(P22&gt;=Inputs!$F$206,1,0)</f>
        <v/>
      </c>
      <c r="Q52" s="9">
        <f>IF(Q22&gt;=Inputs!$F$206,1,0)</f>
        <v/>
      </c>
      <c r="R52" s="9">
        <f>IF(R22&gt;=Inputs!$F$206,1,0)</f>
        <v/>
      </c>
      <c r="S52" s="9">
        <f>IF(S22&gt;=Inputs!$F$206,1,0)</f>
        <v/>
      </c>
      <c r="T52" s="9">
        <f>IF(T22&gt;=Inputs!$F$206,1,0)</f>
        <v/>
      </c>
      <c r="U52" s="9">
        <f>IF(U22&gt;=Inputs!$F$206,1,0)</f>
        <v/>
      </c>
      <c r="V52" s="9">
        <f>IF(V22&gt;=Inputs!$F$206,1,0)</f>
        <v/>
      </c>
      <c r="W52" s="9">
        <f>IF(W22&gt;=Inputs!$F$206,1,0)</f>
        <v/>
      </c>
      <c r="X52" s="9">
        <f>IF(X22&gt;=Inputs!$F$206,1,0)</f>
        <v/>
      </c>
      <c r="Y52" s="9">
        <f>IF(Y22&gt;=Inputs!$F$206,1,0)</f>
        <v/>
      </c>
      <c r="Z52" s="9">
        <f>IF(Z22&gt;=Inputs!$F$206,1,0)</f>
        <v/>
      </c>
      <c r="AA52" s="9">
        <f>IF(AA22&gt;=Inputs!$F$206,1,0)</f>
        <v/>
      </c>
      <c r="AB52" s="9">
        <f>IF(AB22&gt;=Inputs!$F$206,1,0)</f>
        <v/>
      </c>
      <c r="AC52" s="9">
        <f>IF(AC22&gt;=Inputs!$F$206,1,0)</f>
        <v/>
      </c>
      <c r="AD52" s="9">
        <f>IF(AD22&gt;=Inputs!$F$206,1,0)</f>
        <v/>
      </c>
      <c r="AE52" s="9">
        <f>IF(AE22&gt;=Inputs!$F$206,1,0)</f>
        <v/>
      </c>
      <c r="AF52" s="9">
        <f>IF(AF22&gt;=Inputs!$F$206,1,0)</f>
        <v/>
      </c>
      <c r="AG52" s="9">
        <f>IF(AG22&gt;=Inputs!$F$206,1,0)</f>
        <v/>
      </c>
      <c r="AH52" s="9">
        <f>IF(AH22&gt;=Inputs!$F$206,1,0)</f>
        <v/>
      </c>
      <c r="AI52" s="9">
        <f>IF(AI22&gt;=Inputs!$F$206,1,0)</f>
        <v/>
      </c>
      <c r="AJ52" s="9">
        <f>IF(AJ22&gt;=Inputs!$F$206,1,0)</f>
        <v/>
      </c>
      <c r="AK52" s="9">
        <f>IF(AK22&gt;=Inputs!$F$206,1,0)</f>
        <v/>
      </c>
      <c r="AL52" s="9">
        <f>IF(AL22&gt;=Inputs!$F$206,1,0)</f>
        <v/>
      </c>
      <c r="AM52" s="9">
        <f>IF(AM22&gt;=Inputs!$F$206,1,0)</f>
        <v/>
      </c>
      <c r="AN52" s="9">
        <f>IF(AN22&gt;=Inputs!$F$206,1,0)</f>
        <v/>
      </c>
      <c r="AO52" s="9">
        <f>IF(AO22&gt;=Inputs!$F$206,1,0)</f>
        <v/>
      </c>
      <c r="AP52" s="9">
        <f>IF(AP22&gt;=Inputs!$F$206,1,0)</f>
        <v/>
      </c>
      <c r="AQ52" s="9">
        <f>IF(AQ22&gt;=Inputs!$F$206,1,0)</f>
        <v/>
      </c>
      <c r="AR52" s="9">
        <f>IF(AR22&gt;=Inputs!$F$206,1,0)</f>
        <v/>
      </c>
      <c r="AS52" s="9">
        <f>IF(AS22&gt;=Inputs!$F$206,1,0)</f>
        <v/>
      </c>
      <c r="AT52" s="9">
        <f>IF(AT22&gt;=Inputs!$F$206,1,0)</f>
        <v/>
      </c>
      <c r="AU52" s="9">
        <f>IF(AU22&gt;=Inputs!$F$206,1,0)</f>
        <v/>
      </c>
      <c r="AV52" s="9">
        <f>IF(AV22&gt;=Inputs!$F$206,1,0)</f>
        <v/>
      </c>
      <c r="AW52" s="9">
        <f>IF(AW22&gt;=Inputs!$F$206,1,0)</f>
        <v/>
      </c>
      <c r="AX52" s="9">
        <f>IF(AX22&gt;=Inputs!$F$206,1,0)</f>
        <v/>
      </c>
      <c r="AY52" s="9">
        <f>IF(AY22&gt;=Inputs!$F$206,1,0)</f>
        <v/>
      </c>
      <c r="AZ52" s="9">
        <f>IF(AZ22&gt;=Inputs!$F$206,1,0)</f>
        <v/>
      </c>
      <c r="BA52" s="9">
        <f>IF(BA22&gt;=Inputs!$F$206,1,0)</f>
        <v/>
      </c>
      <c r="BB52" s="9">
        <f>IF(BB22&gt;=Inputs!$F$206,1,0)</f>
        <v/>
      </c>
      <c r="BC52" s="9">
        <f>IF(BC22&gt;=Inputs!$F$206,1,0)</f>
        <v/>
      </c>
      <c r="BD52" s="9">
        <f>IF(BD22&gt;=Inputs!$F$206,1,0)</f>
        <v/>
      </c>
      <c r="BE52" s="9">
        <f>IF(BE22&gt;=Inputs!$F$206,1,0)</f>
        <v/>
      </c>
      <c r="BF52" s="9">
        <f>IF(BF22&gt;=Inputs!$F$206,1,0)</f>
        <v/>
      </c>
      <c r="BG52" s="9">
        <f>IF(BG22&gt;=Inputs!$F$206,1,0)</f>
        <v/>
      </c>
      <c r="BH52" s="9">
        <f>IF(BH22&gt;=Inputs!$F$206,1,0)</f>
        <v/>
      </c>
      <c r="BI52" s="9">
        <f>IF(BI22&gt;=Inputs!$F$206,1,0)</f>
        <v/>
      </c>
      <c r="BJ52" s="9">
        <f>IF(BJ22&gt;=Inputs!$F$206,1,0)</f>
        <v/>
      </c>
      <c r="BK52" s="9">
        <f>IF(BK22&gt;=Inputs!$F$206,1,0)</f>
        <v/>
      </c>
      <c r="BL52" s="9">
        <f>IF(BL22&gt;=Inputs!$F$206,1,0)</f>
        <v/>
      </c>
      <c r="BM52" s="9">
        <f>IF(BM22&gt;=Inputs!$F$206,1,0)</f>
        <v/>
      </c>
      <c r="BN52" s="9">
        <f>IF(BN22&gt;=Inputs!$F$206,1,0)</f>
        <v/>
      </c>
    </row>
    <row r="53">
      <c r="D53" t="inlineStr">
        <is>
          <t>Flag_SculptingPeriod (first repayment to final maturity)</t>
        </is>
      </c>
      <c r="E53" t="inlineStr">
        <is>
          <t>flag</t>
        </is>
      </c>
      <c r="J53" s="9">
        <f>IF(AND(J20&gt;=$F$13,J23&lt;=Inputs!$F$192),1,0)</f>
        <v/>
      </c>
      <c r="K53" s="9">
        <f>IF(AND(K20&gt;=$F$13,K23&lt;=Inputs!$F$192),1,0)</f>
        <v/>
      </c>
      <c r="L53" s="9">
        <f>IF(AND(L20&gt;=$F$13,L23&lt;=Inputs!$F$192),1,0)</f>
        <v/>
      </c>
      <c r="M53" s="9">
        <f>IF(AND(M20&gt;=$F$13,M23&lt;=Inputs!$F$192),1,0)</f>
        <v/>
      </c>
      <c r="N53" s="9">
        <f>IF(AND(N20&gt;=$F$13,N23&lt;=Inputs!$F$192),1,0)</f>
        <v/>
      </c>
      <c r="O53" s="9">
        <f>IF(AND(O20&gt;=$F$13,O23&lt;=Inputs!$F$192),1,0)</f>
        <v/>
      </c>
      <c r="P53" s="9">
        <f>IF(AND(P20&gt;=$F$13,P23&lt;=Inputs!$F$192),1,0)</f>
        <v/>
      </c>
      <c r="Q53" s="9">
        <f>IF(AND(Q20&gt;=$F$13,Q23&lt;=Inputs!$F$192),1,0)</f>
        <v/>
      </c>
      <c r="R53" s="9">
        <f>IF(AND(R20&gt;=$F$13,R23&lt;=Inputs!$F$192),1,0)</f>
        <v/>
      </c>
      <c r="S53" s="9">
        <f>IF(AND(S20&gt;=$F$13,S23&lt;=Inputs!$F$192),1,0)</f>
        <v/>
      </c>
      <c r="T53" s="9">
        <f>IF(AND(T20&gt;=$F$13,T23&lt;=Inputs!$F$192),1,0)</f>
        <v/>
      </c>
      <c r="U53" s="9">
        <f>IF(AND(U20&gt;=$F$13,U23&lt;=Inputs!$F$192),1,0)</f>
        <v/>
      </c>
      <c r="V53" s="9">
        <f>IF(AND(V20&gt;=$F$13,V23&lt;=Inputs!$F$192),1,0)</f>
        <v/>
      </c>
      <c r="W53" s="9">
        <f>IF(AND(W20&gt;=$F$13,W23&lt;=Inputs!$F$192),1,0)</f>
        <v/>
      </c>
      <c r="X53" s="9">
        <f>IF(AND(X20&gt;=$F$13,X23&lt;=Inputs!$F$192),1,0)</f>
        <v/>
      </c>
      <c r="Y53" s="9">
        <f>IF(AND(Y20&gt;=$F$13,Y23&lt;=Inputs!$F$192),1,0)</f>
        <v/>
      </c>
      <c r="Z53" s="9">
        <f>IF(AND(Z20&gt;=$F$13,Z23&lt;=Inputs!$F$192),1,0)</f>
        <v/>
      </c>
      <c r="AA53" s="9">
        <f>IF(AND(AA20&gt;=$F$13,AA23&lt;=Inputs!$F$192),1,0)</f>
        <v/>
      </c>
      <c r="AB53" s="9">
        <f>IF(AND(AB20&gt;=$F$13,AB23&lt;=Inputs!$F$192),1,0)</f>
        <v/>
      </c>
      <c r="AC53" s="9">
        <f>IF(AND(AC20&gt;=$F$13,AC23&lt;=Inputs!$F$192),1,0)</f>
        <v/>
      </c>
      <c r="AD53" s="9">
        <f>IF(AND(AD20&gt;=$F$13,AD23&lt;=Inputs!$F$192),1,0)</f>
        <v/>
      </c>
      <c r="AE53" s="9">
        <f>IF(AND(AE20&gt;=$F$13,AE23&lt;=Inputs!$F$192),1,0)</f>
        <v/>
      </c>
      <c r="AF53" s="9">
        <f>IF(AND(AF20&gt;=$F$13,AF23&lt;=Inputs!$F$192),1,0)</f>
        <v/>
      </c>
      <c r="AG53" s="9">
        <f>IF(AND(AG20&gt;=$F$13,AG23&lt;=Inputs!$F$192),1,0)</f>
        <v/>
      </c>
      <c r="AH53" s="9">
        <f>IF(AND(AH20&gt;=$F$13,AH23&lt;=Inputs!$F$192),1,0)</f>
        <v/>
      </c>
      <c r="AI53" s="9">
        <f>IF(AND(AI20&gt;=$F$13,AI23&lt;=Inputs!$F$192),1,0)</f>
        <v/>
      </c>
      <c r="AJ53" s="9">
        <f>IF(AND(AJ20&gt;=$F$13,AJ23&lt;=Inputs!$F$192),1,0)</f>
        <v/>
      </c>
      <c r="AK53" s="9">
        <f>IF(AND(AK20&gt;=$F$13,AK23&lt;=Inputs!$F$192),1,0)</f>
        <v/>
      </c>
      <c r="AL53" s="9">
        <f>IF(AND(AL20&gt;=$F$13,AL23&lt;=Inputs!$F$192),1,0)</f>
        <v/>
      </c>
      <c r="AM53" s="9">
        <f>IF(AND(AM20&gt;=$F$13,AM23&lt;=Inputs!$F$192),1,0)</f>
        <v/>
      </c>
      <c r="AN53" s="9">
        <f>IF(AND(AN20&gt;=$F$13,AN23&lt;=Inputs!$F$192),1,0)</f>
        <v/>
      </c>
      <c r="AO53" s="9">
        <f>IF(AND(AO20&gt;=$F$13,AO23&lt;=Inputs!$F$192),1,0)</f>
        <v/>
      </c>
      <c r="AP53" s="9">
        <f>IF(AND(AP20&gt;=$F$13,AP23&lt;=Inputs!$F$192),1,0)</f>
        <v/>
      </c>
      <c r="AQ53" s="9">
        <f>IF(AND(AQ20&gt;=$F$13,AQ23&lt;=Inputs!$F$192),1,0)</f>
        <v/>
      </c>
      <c r="AR53" s="9">
        <f>IF(AND(AR20&gt;=$F$13,AR23&lt;=Inputs!$F$192),1,0)</f>
        <v/>
      </c>
      <c r="AS53" s="9">
        <f>IF(AND(AS20&gt;=$F$13,AS23&lt;=Inputs!$F$192),1,0)</f>
        <v/>
      </c>
      <c r="AT53" s="9">
        <f>IF(AND(AT20&gt;=$F$13,AT23&lt;=Inputs!$F$192),1,0)</f>
        <v/>
      </c>
      <c r="AU53" s="9">
        <f>IF(AND(AU20&gt;=$F$13,AU23&lt;=Inputs!$F$192),1,0)</f>
        <v/>
      </c>
      <c r="AV53" s="9">
        <f>IF(AND(AV20&gt;=$F$13,AV23&lt;=Inputs!$F$192),1,0)</f>
        <v/>
      </c>
      <c r="AW53" s="9">
        <f>IF(AND(AW20&gt;=$F$13,AW23&lt;=Inputs!$F$192),1,0)</f>
        <v/>
      </c>
      <c r="AX53" s="9">
        <f>IF(AND(AX20&gt;=$F$13,AX23&lt;=Inputs!$F$192),1,0)</f>
        <v/>
      </c>
      <c r="AY53" s="9">
        <f>IF(AND(AY20&gt;=$F$13,AY23&lt;=Inputs!$F$192),1,0)</f>
        <v/>
      </c>
      <c r="AZ53" s="9">
        <f>IF(AND(AZ20&gt;=$F$13,AZ23&lt;=Inputs!$F$192),1,0)</f>
        <v/>
      </c>
      <c r="BA53" s="9">
        <f>IF(AND(BA20&gt;=$F$13,BA23&lt;=Inputs!$F$192),1,0)</f>
        <v/>
      </c>
      <c r="BB53" s="9">
        <f>IF(AND(BB20&gt;=$F$13,BB23&lt;=Inputs!$F$192),1,0)</f>
        <v/>
      </c>
      <c r="BC53" s="9">
        <f>IF(AND(BC20&gt;=$F$13,BC23&lt;=Inputs!$F$192),1,0)</f>
        <v/>
      </c>
      <c r="BD53" s="9">
        <f>IF(AND(BD20&gt;=$F$13,BD23&lt;=Inputs!$F$192),1,0)</f>
        <v/>
      </c>
      <c r="BE53" s="9">
        <f>IF(AND(BE20&gt;=$F$13,BE23&lt;=Inputs!$F$192),1,0)</f>
        <v/>
      </c>
      <c r="BF53" s="9">
        <f>IF(AND(BF20&gt;=$F$13,BF23&lt;=Inputs!$F$192),1,0)</f>
        <v/>
      </c>
      <c r="BG53" s="9">
        <f>IF(AND(BG20&gt;=$F$13,BG23&lt;=Inputs!$F$192),1,0)</f>
        <v/>
      </c>
      <c r="BH53" s="9">
        <f>IF(AND(BH20&gt;=$F$13,BH23&lt;=Inputs!$F$192),1,0)</f>
        <v/>
      </c>
      <c r="BI53" s="9">
        <f>IF(AND(BI20&gt;=$F$13,BI23&lt;=Inputs!$F$192),1,0)</f>
        <v/>
      </c>
      <c r="BJ53" s="9">
        <f>IF(AND(BJ20&gt;=$F$13,BJ23&lt;=Inputs!$F$192),1,0)</f>
        <v/>
      </c>
      <c r="BK53" s="9">
        <f>IF(AND(BK20&gt;=$F$13,BK23&lt;=Inputs!$F$192),1,0)</f>
        <v/>
      </c>
      <c r="BL53" s="9">
        <f>IF(AND(BL20&gt;=$F$13,BL23&lt;=Inputs!$F$192),1,0)</f>
        <v/>
      </c>
      <c r="BM53" s="9">
        <f>IF(AND(BM20&gt;=$F$13,BM23&lt;=Inputs!$F$192),1,0)</f>
        <v/>
      </c>
      <c r="BN53" s="9">
        <f>IF(AND(BN20&gt;=$F$13,BN23&lt;=Inputs!$F$192),1,0)</f>
        <v/>
      </c>
    </row>
    <row r="54">
      <c r="D54" t="inlineStr">
        <is>
          <t>Flag_ReforecastProjection</t>
        </is>
      </c>
      <c r="E54" t="inlineStr">
        <is>
          <t>flag</t>
        </is>
      </c>
      <c r="J54" s="9">
        <f>IF(J22&gt;=Inputs!$F$194,1,0)</f>
        <v/>
      </c>
      <c r="K54" s="9">
        <f>IF(K22&gt;=Inputs!$F$194,1,0)</f>
        <v/>
      </c>
      <c r="L54" s="9">
        <f>IF(L22&gt;=Inputs!$F$194,1,0)</f>
        <v/>
      </c>
      <c r="M54" s="9">
        <f>IF(M22&gt;=Inputs!$F$194,1,0)</f>
        <v/>
      </c>
      <c r="N54" s="9">
        <f>IF(N22&gt;=Inputs!$F$194,1,0)</f>
        <v/>
      </c>
      <c r="O54" s="9">
        <f>IF(O22&gt;=Inputs!$F$194,1,0)</f>
        <v/>
      </c>
      <c r="P54" s="9">
        <f>IF(P22&gt;=Inputs!$F$194,1,0)</f>
        <v/>
      </c>
      <c r="Q54" s="9">
        <f>IF(Q22&gt;=Inputs!$F$194,1,0)</f>
        <v/>
      </c>
      <c r="R54" s="9">
        <f>IF(R22&gt;=Inputs!$F$194,1,0)</f>
        <v/>
      </c>
      <c r="S54" s="9">
        <f>IF(S22&gt;=Inputs!$F$194,1,0)</f>
        <v/>
      </c>
      <c r="T54" s="9">
        <f>IF(T22&gt;=Inputs!$F$194,1,0)</f>
        <v/>
      </c>
      <c r="U54" s="9">
        <f>IF(U22&gt;=Inputs!$F$194,1,0)</f>
        <v/>
      </c>
      <c r="V54" s="9">
        <f>IF(V22&gt;=Inputs!$F$194,1,0)</f>
        <v/>
      </c>
      <c r="W54" s="9">
        <f>IF(W22&gt;=Inputs!$F$194,1,0)</f>
        <v/>
      </c>
      <c r="X54" s="9">
        <f>IF(X22&gt;=Inputs!$F$194,1,0)</f>
        <v/>
      </c>
      <c r="Y54" s="9">
        <f>IF(Y22&gt;=Inputs!$F$194,1,0)</f>
        <v/>
      </c>
      <c r="Z54" s="9">
        <f>IF(Z22&gt;=Inputs!$F$194,1,0)</f>
        <v/>
      </c>
      <c r="AA54" s="9">
        <f>IF(AA22&gt;=Inputs!$F$194,1,0)</f>
        <v/>
      </c>
      <c r="AB54" s="9">
        <f>IF(AB22&gt;=Inputs!$F$194,1,0)</f>
        <v/>
      </c>
      <c r="AC54" s="9">
        <f>IF(AC22&gt;=Inputs!$F$194,1,0)</f>
        <v/>
      </c>
      <c r="AD54" s="9">
        <f>IF(AD22&gt;=Inputs!$F$194,1,0)</f>
        <v/>
      </c>
      <c r="AE54" s="9">
        <f>IF(AE22&gt;=Inputs!$F$194,1,0)</f>
        <v/>
      </c>
      <c r="AF54" s="9">
        <f>IF(AF22&gt;=Inputs!$F$194,1,0)</f>
        <v/>
      </c>
      <c r="AG54" s="9">
        <f>IF(AG22&gt;=Inputs!$F$194,1,0)</f>
        <v/>
      </c>
      <c r="AH54" s="9">
        <f>IF(AH22&gt;=Inputs!$F$194,1,0)</f>
        <v/>
      </c>
      <c r="AI54" s="9">
        <f>IF(AI22&gt;=Inputs!$F$194,1,0)</f>
        <v/>
      </c>
      <c r="AJ54" s="9">
        <f>IF(AJ22&gt;=Inputs!$F$194,1,0)</f>
        <v/>
      </c>
      <c r="AK54" s="9">
        <f>IF(AK22&gt;=Inputs!$F$194,1,0)</f>
        <v/>
      </c>
      <c r="AL54" s="9">
        <f>IF(AL22&gt;=Inputs!$F$194,1,0)</f>
        <v/>
      </c>
      <c r="AM54" s="9">
        <f>IF(AM22&gt;=Inputs!$F$194,1,0)</f>
        <v/>
      </c>
      <c r="AN54" s="9">
        <f>IF(AN22&gt;=Inputs!$F$194,1,0)</f>
        <v/>
      </c>
      <c r="AO54" s="9">
        <f>IF(AO22&gt;=Inputs!$F$194,1,0)</f>
        <v/>
      </c>
      <c r="AP54" s="9">
        <f>IF(AP22&gt;=Inputs!$F$194,1,0)</f>
        <v/>
      </c>
      <c r="AQ54" s="9">
        <f>IF(AQ22&gt;=Inputs!$F$194,1,0)</f>
        <v/>
      </c>
      <c r="AR54" s="9">
        <f>IF(AR22&gt;=Inputs!$F$194,1,0)</f>
        <v/>
      </c>
      <c r="AS54" s="9">
        <f>IF(AS22&gt;=Inputs!$F$194,1,0)</f>
        <v/>
      </c>
      <c r="AT54" s="9">
        <f>IF(AT22&gt;=Inputs!$F$194,1,0)</f>
        <v/>
      </c>
      <c r="AU54" s="9">
        <f>IF(AU22&gt;=Inputs!$F$194,1,0)</f>
        <v/>
      </c>
      <c r="AV54" s="9">
        <f>IF(AV22&gt;=Inputs!$F$194,1,0)</f>
        <v/>
      </c>
      <c r="AW54" s="9">
        <f>IF(AW22&gt;=Inputs!$F$194,1,0)</f>
        <v/>
      </c>
      <c r="AX54" s="9">
        <f>IF(AX22&gt;=Inputs!$F$194,1,0)</f>
        <v/>
      </c>
      <c r="AY54" s="9">
        <f>IF(AY22&gt;=Inputs!$F$194,1,0)</f>
        <v/>
      </c>
      <c r="AZ54" s="9">
        <f>IF(AZ22&gt;=Inputs!$F$194,1,0)</f>
        <v/>
      </c>
      <c r="BA54" s="9">
        <f>IF(BA22&gt;=Inputs!$F$194,1,0)</f>
        <v/>
      </c>
      <c r="BB54" s="9">
        <f>IF(BB22&gt;=Inputs!$F$194,1,0)</f>
        <v/>
      </c>
      <c r="BC54" s="9">
        <f>IF(BC22&gt;=Inputs!$F$194,1,0)</f>
        <v/>
      </c>
      <c r="BD54" s="9">
        <f>IF(BD22&gt;=Inputs!$F$194,1,0)</f>
        <v/>
      </c>
      <c r="BE54" s="9">
        <f>IF(BE22&gt;=Inputs!$F$194,1,0)</f>
        <v/>
      </c>
      <c r="BF54" s="9">
        <f>IF(BF22&gt;=Inputs!$F$194,1,0)</f>
        <v/>
      </c>
      <c r="BG54" s="9">
        <f>IF(BG22&gt;=Inputs!$F$194,1,0)</f>
        <v/>
      </c>
      <c r="BH54" s="9">
        <f>IF(BH22&gt;=Inputs!$F$194,1,0)</f>
        <v/>
      </c>
      <c r="BI54" s="9">
        <f>IF(BI22&gt;=Inputs!$F$194,1,0)</f>
        <v/>
      </c>
      <c r="BJ54" s="9">
        <f>IF(BJ22&gt;=Inputs!$F$194,1,0)</f>
        <v/>
      </c>
      <c r="BK54" s="9">
        <f>IF(BK22&gt;=Inputs!$F$194,1,0)</f>
        <v/>
      </c>
      <c r="BL54" s="9">
        <f>IF(BL22&gt;=Inputs!$F$194,1,0)</f>
        <v/>
      </c>
      <c r="BM54" s="9">
        <f>IF(BM22&gt;=Inputs!$F$194,1,0)</f>
        <v/>
      </c>
      <c r="BN54" s="9">
        <f>IF(BN22&gt;=Inputs!$F$194,1,0)</f>
        <v/>
      </c>
    </row>
    <row r="55">
      <c r="D55" t="inlineStr">
        <is>
          <t>Days of late-payment interest accrual to settlement</t>
        </is>
      </c>
      <c r="E55" t="inlineStr">
        <is>
          <t>days</t>
        </is>
      </c>
      <c r="J55" s="9">
        <f>MAX(0,MIN(J25,Inputs!$F$197-J22))</f>
        <v/>
      </c>
      <c r="K55" s="9">
        <f>MAX(0,MIN(K25,Inputs!$F$197-K22))</f>
        <v/>
      </c>
      <c r="L55" s="9">
        <f>MAX(0,MIN(L25,Inputs!$F$197-L22))</f>
        <v/>
      </c>
      <c r="M55" s="9">
        <f>MAX(0,MIN(M25,Inputs!$F$197-M22))</f>
        <v/>
      </c>
      <c r="N55" s="9">
        <f>MAX(0,MIN(N25,Inputs!$F$197-N22))</f>
        <v/>
      </c>
      <c r="O55" s="9">
        <f>MAX(0,MIN(O25,Inputs!$F$197-O22))</f>
        <v/>
      </c>
      <c r="P55" s="9">
        <f>MAX(0,MIN(P25,Inputs!$F$197-P22))</f>
        <v/>
      </c>
      <c r="Q55" s="9">
        <f>MAX(0,MIN(Q25,Inputs!$F$197-Q22))</f>
        <v/>
      </c>
      <c r="R55" s="9">
        <f>MAX(0,MIN(R25,Inputs!$F$197-R22))</f>
        <v/>
      </c>
      <c r="S55" s="9">
        <f>MAX(0,MIN(S25,Inputs!$F$197-S22))</f>
        <v/>
      </c>
      <c r="T55" s="9">
        <f>MAX(0,MIN(T25,Inputs!$F$197-T22))</f>
        <v/>
      </c>
      <c r="U55" s="9">
        <f>MAX(0,MIN(U25,Inputs!$F$197-U22))</f>
        <v/>
      </c>
      <c r="V55" s="9">
        <f>MAX(0,MIN(V25,Inputs!$F$197-V22))</f>
        <v/>
      </c>
      <c r="W55" s="9">
        <f>MAX(0,MIN(W25,Inputs!$F$197-W22))</f>
        <v/>
      </c>
      <c r="X55" s="9">
        <f>MAX(0,MIN(X25,Inputs!$F$197-X22))</f>
        <v/>
      </c>
      <c r="Y55" s="9">
        <f>MAX(0,MIN(Y25,Inputs!$F$197-Y22))</f>
        <v/>
      </c>
      <c r="Z55" s="9">
        <f>MAX(0,MIN(Z25,Inputs!$F$197-Z22))</f>
        <v/>
      </c>
      <c r="AA55" s="9">
        <f>MAX(0,MIN(AA25,Inputs!$F$197-AA22))</f>
        <v/>
      </c>
      <c r="AB55" s="9">
        <f>MAX(0,MIN(AB25,Inputs!$F$197-AB22))</f>
        <v/>
      </c>
      <c r="AC55" s="9">
        <f>MAX(0,MIN(AC25,Inputs!$F$197-AC22))</f>
        <v/>
      </c>
      <c r="AD55" s="9">
        <f>MAX(0,MIN(AD25,Inputs!$F$197-AD22))</f>
        <v/>
      </c>
      <c r="AE55" s="9">
        <f>MAX(0,MIN(AE25,Inputs!$F$197-AE22))</f>
        <v/>
      </c>
      <c r="AF55" s="9">
        <f>MAX(0,MIN(AF25,Inputs!$F$197-AF22))</f>
        <v/>
      </c>
      <c r="AG55" s="9">
        <f>MAX(0,MIN(AG25,Inputs!$F$197-AG22))</f>
        <v/>
      </c>
      <c r="AH55" s="9">
        <f>MAX(0,MIN(AH25,Inputs!$F$197-AH22))</f>
        <v/>
      </c>
      <c r="AI55" s="9">
        <f>MAX(0,MIN(AI25,Inputs!$F$197-AI22))</f>
        <v/>
      </c>
      <c r="AJ55" s="9">
        <f>MAX(0,MIN(AJ25,Inputs!$F$197-AJ22))</f>
        <v/>
      </c>
      <c r="AK55" s="9">
        <f>MAX(0,MIN(AK25,Inputs!$F$197-AK22))</f>
        <v/>
      </c>
      <c r="AL55" s="9">
        <f>MAX(0,MIN(AL25,Inputs!$F$197-AL22))</f>
        <v/>
      </c>
      <c r="AM55" s="9">
        <f>MAX(0,MIN(AM25,Inputs!$F$197-AM22))</f>
        <v/>
      </c>
      <c r="AN55" s="9">
        <f>MAX(0,MIN(AN25,Inputs!$F$197-AN22))</f>
        <v/>
      </c>
      <c r="AO55" s="9">
        <f>MAX(0,MIN(AO25,Inputs!$F$197-AO22))</f>
        <v/>
      </c>
      <c r="AP55" s="9">
        <f>MAX(0,MIN(AP25,Inputs!$F$197-AP22))</f>
        <v/>
      </c>
      <c r="AQ55" s="9">
        <f>MAX(0,MIN(AQ25,Inputs!$F$197-AQ22))</f>
        <v/>
      </c>
      <c r="AR55" s="9">
        <f>MAX(0,MIN(AR25,Inputs!$F$197-AR22))</f>
        <v/>
      </c>
      <c r="AS55" s="9">
        <f>MAX(0,MIN(AS25,Inputs!$F$197-AS22))</f>
        <v/>
      </c>
      <c r="AT55" s="9">
        <f>MAX(0,MIN(AT25,Inputs!$F$197-AT22))</f>
        <v/>
      </c>
      <c r="AU55" s="9">
        <f>MAX(0,MIN(AU25,Inputs!$F$197-AU22))</f>
        <v/>
      </c>
      <c r="AV55" s="9">
        <f>MAX(0,MIN(AV25,Inputs!$F$197-AV22))</f>
        <v/>
      </c>
      <c r="AW55" s="9">
        <f>MAX(0,MIN(AW25,Inputs!$F$197-AW22))</f>
        <v/>
      </c>
      <c r="AX55" s="9">
        <f>MAX(0,MIN(AX25,Inputs!$F$197-AX22))</f>
        <v/>
      </c>
      <c r="AY55" s="9">
        <f>MAX(0,MIN(AY25,Inputs!$F$197-AY22))</f>
        <v/>
      </c>
      <c r="AZ55" s="9">
        <f>MAX(0,MIN(AZ25,Inputs!$F$197-AZ22))</f>
        <v/>
      </c>
      <c r="BA55" s="9">
        <f>MAX(0,MIN(BA25,Inputs!$F$197-BA22))</f>
        <v/>
      </c>
      <c r="BB55" s="9">
        <f>MAX(0,MIN(BB25,Inputs!$F$197-BB22))</f>
        <v/>
      </c>
      <c r="BC55" s="9">
        <f>MAX(0,MIN(BC25,Inputs!$F$197-BC22))</f>
        <v/>
      </c>
      <c r="BD55" s="9">
        <f>MAX(0,MIN(BD25,Inputs!$F$197-BD22))</f>
        <v/>
      </c>
      <c r="BE55" s="9">
        <f>MAX(0,MIN(BE25,Inputs!$F$197-BE22))</f>
        <v/>
      </c>
      <c r="BF55" s="9">
        <f>MAX(0,MIN(BF25,Inputs!$F$197-BF22))</f>
        <v/>
      </c>
      <c r="BG55" s="9">
        <f>MAX(0,MIN(BG25,Inputs!$F$197-BG22))</f>
        <v/>
      </c>
      <c r="BH55" s="9">
        <f>MAX(0,MIN(BH25,Inputs!$F$197-BH22))</f>
        <v/>
      </c>
      <c r="BI55" s="9">
        <f>MAX(0,MIN(BI25,Inputs!$F$197-BI22))</f>
        <v/>
      </c>
      <c r="BJ55" s="9">
        <f>MAX(0,MIN(BJ25,Inputs!$F$197-BJ22))</f>
        <v/>
      </c>
      <c r="BK55" s="9">
        <f>MAX(0,MIN(BK25,Inputs!$F$197-BK22))</f>
        <v/>
      </c>
      <c r="BL55" s="9">
        <f>MAX(0,MIN(BL25,Inputs!$F$197-BL22))</f>
        <v/>
      </c>
      <c r="BM55" s="9">
        <f>MAX(0,MIN(BM25,Inputs!$F$197-BM22))</f>
        <v/>
      </c>
      <c r="BN55" s="9">
        <f>MAX(0,MIN(BN25,Inputs!$F$197-BN22))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J38"/>
  <sheetViews>
    <sheetView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s>
  <sheetData>
    <row r="1">
      <c r="A1" s="1" t="inlineStr">
        <is>
          <t>Case P: Belanou Combined Cycle Power Project, Republic of Kessara</t>
        </is>
      </c>
    </row>
    <row r="2">
      <c r="A2" t="inlineStr">
        <is>
          <t>Construction: monthly uses of funds before financing costs, VAT</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s="2" t="inlineStr">
        <is>
          <t>Month</t>
        </is>
      </c>
      <c r="J5" s="4" t="inlineStr">
        <is>
          <t>2018-08</t>
        </is>
      </c>
      <c r="K5" s="4" t="inlineStr">
        <is>
          <t>2018-09</t>
        </is>
      </c>
      <c r="L5" s="4" t="inlineStr">
        <is>
          <t>2018-10</t>
        </is>
      </c>
      <c r="M5" s="4" t="inlineStr">
        <is>
          <t>2018-11</t>
        </is>
      </c>
      <c r="N5" s="4" t="inlineStr">
        <is>
          <t>2018-12</t>
        </is>
      </c>
      <c r="O5" s="4" t="inlineStr">
        <is>
          <t>2019-01</t>
        </is>
      </c>
      <c r="P5" s="4" t="inlineStr">
        <is>
          <t>2019-02</t>
        </is>
      </c>
      <c r="Q5" s="4" t="inlineStr">
        <is>
          <t>2019-03</t>
        </is>
      </c>
      <c r="R5" s="4" t="inlineStr">
        <is>
          <t>2019-04</t>
        </is>
      </c>
      <c r="S5" s="4" t="inlineStr">
        <is>
          <t>2019-05</t>
        </is>
      </c>
      <c r="T5" s="4" t="inlineStr">
        <is>
          <t>2019-06</t>
        </is>
      </c>
      <c r="U5" s="4" t="inlineStr">
        <is>
          <t>2019-07</t>
        </is>
      </c>
      <c r="V5" s="4" t="inlineStr">
        <is>
          <t>2019-08</t>
        </is>
      </c>
      <c r="W5" s="4" t="inlineStr">
        <is>
          <t>2019-09</t>
        </is>
      </c>
      <c r="X5" s="4" t="inlineStr">
        <is>
          <t>2019-10</t>
        </is>
      </c>
      <c r="Y5" s="4" t="inlineStr">
        <is>
          <t>2019-11</t>
        </is>
      </c>
      <c r="Z5" s="4" t="inlineStr">
        <is>
          <t>2019-12</t>
        </is>
      </c>
      <c r="AA5" s="4" t="inlineStr">
        <is>
          <t>2020-01</t>
        </is>
      </c>
      <c r="AB5" s="4" t="inlineStr">
        <is>
          <t>2020-02</t>
        </is>
      </c>
      <c r="AC5" s="4" t="inlineStr">
        <is>
          <t>2020-03</t>
        </is>
      </c>
      <c r="AD5" s="4" t="inlineStr">
        <is>
          <t>2020-04</t>
        </is>
      </c>
      <c r="AE5" s="4" t="inlineStr">
        <is>
          <t>2020-05</t>
        </is>
      </c>
      <c r="AF5" s="4" t="inlineStr">
        <is>
          <t>2020-06</t>
        </is>
      </c>
      <c r="AG5" s="4" t="inlineStr">
        <is>
          <t>2020-07</t>
        </is>
      </c>
      <c r="AH5" s="4" t="inlineStr">
        <is>
          <t>2020-08</t>
        </is>
      </c>
      <c r="AI5" s="4" t="inlineStr">
        <is>
          <t>2020-09</t>
        </is>
      </c>
      <c r="AJ5" s="4" t="inlineStr">
        <is>
          <t>2020-10</t>
        </is>
      </c>
      <c r="AK5" s="4" t="inlineStr">
        <is>
          <t>2020-11</t>
        </is>
      </c>
      <c r="AL5" s="4" t="inlineStr">
        <is>
          <t>2020-12</t>
        </is>
      </c>
      <c r="AM5" s="4" t="inlineStr">
        <is>
          <t>2021-01</t>
        </is>
      </c>
      <c r="AN5" s="4" t="inlineStr">
        <is>
          <t>2021-02</t>
        </is>
      </c>
      <c r="AO5" s="4" t="inlineStr">
        <is>
          <t>2021-03</t>
        </is>
      </c>
      <c r="AP5" s="4" t="inlineStr">
        <is>
          <t>2021-04</t>
        </is>
      </c>
      <c r="AQ5" s="4" t="inlineStr">
        <is>
          <t>2021-05</t>
        </is>
      </c>
      <c r="AR5" s="4" t="inlineStr">
        <is>
          <t>2021-06</t>
        </is>
      </c>
      <c r="AS5" s="4" t="inlineStr">
        <is>
          <t>2021-07</t>
        </is>
      </c>
      <c r="AT5" s="4" t="inlineStr">
        <is>
          <t>2021-08</t>
        </is>
      </c>
      <c r="AU5" s="4" t="inlineStr">
        <is>
          <t>2021-09</t>
        </is>
      </c>
      <c r="AV5" s="4" t="inlineStr">
        <is>
          <t>2021-10</t>
        </is>
      </c>
      <c r="AW5" s="4" t="inlineStr">
        <is>
          <t>2021-11</t>
        </is>
      </c>
      <c r="AX5" s="4" t="inlineStr">
        <is>
          <t>2021-12</t>
        </is>
      </c>
      <c r="AY5" s="4" t="inlineStr">
        <is>
          <t>2022-01</t>
        </is>
      </c>
      <c r="AZ5" s="4" t="inlineStr">
        <is>
          <t>2022-02</t>
        </is>
      </c>
      <c r="BA5" s="4" t="inlineStr">
        <is>
          <t>2022-03</t>
        </is>
      </c>
      <c r="BB5" s="4" t="inlineStr">
        <is>
          <t>2022-04</t>
        </is>
      </c>
      <c r="BC5" s="4" t="inlineStr">
        <is>
          <t>2022-05</t>
        </is>
      </c>
      <c r="BD5" s="4" t="inlineStr">
        <is>
          <t>2022-06</t>
        </is>
      </c>
      <c r="BE5" s="4" t="inlineStr">
        <is>
          <t>2022-07</t>
        </is>
      </c>
      <c r="BF5" s="4" t="inlineStr">
        <is>
          <t>2022-08</t>
        </is>
      </c>
      <c r="BG5" s="4" t="inlineStr">
        <is>
          <t>2022-09</t>
        </is>
      </c>
      <c r="BH5" s="4" t="inlineStr">
        <is>
          <t>2022-10</t>
        </is>
      </c>
      <c r="BI5" s="4" t="inlineStr">
        <is>
          <t>2022-11</t>
        </is>
      </c>
      <c r="BJ5" s="4" t="inlineStr">
        <is>
          <t>2022-12</t>
        </is>
      </c>
    </row>
    <row r="7">
      <c r="B7" s="2" t="inlineStr">
        <is>
          <t>Monthly timeline (column J = August 2018)</t>
        </is>
      </c>
    </row>
    <row r="8">
      <c r="D8" t="inlineStr">
        <is>
          <t>Month number</t>
        </is>
      </c>
      <c r="E8" t="inlineStr">
        <is>
          <t>index</t>
        </is>
      </c>
      <c r="J8" s="9">
        <f>I8+1</f>
        <v/>
      </c>
      <c r="K8" s="9">
        <f>J8+1</f>
        <v/>
      </c>
      <c r="L8" s="9">
        <f>K8+1</f>
        <v/>
      </c>
      <c r="M8" s="9">
        <f>L8+1</f>
        <v/>
      </c>
      <c r="N8" s="9">
        <f>M8+1</f>
        <v/>
      </c>
      <c r="O8" s="9">
        <f>N8+1</f>
        <v/>
      </c>
      <c r="P8" s="9">
        <f>O8+1</f>
        <v/>
      </c>
      <c r="Q8" s="9">
        <f>P8+1</f>
        <v/>
      </c>
      <c r="R8" s="9">
        <f>Q8+1</f>
        <v/>
      </c>
      <c r="S8" s="9">
        <f>R8+1</f>
        <v/>
      </c>
      <c r="T8" s="9">
        <f>S8+1</f>
        <v/>
      </c>
      <c r="U8" s="9">
        <f>T8+1</f>
        <v/>
      </c>
      <c r="V8" s="9">
        <f>U8+1</f>
        <v/>
      </c>
      <c r="W8" s="9">
        <f>V8+1</f>
        <v/>
      </c>
      <c r="X8" s="9">
        <f>W8+1</f>
        <v/>
      </c>
      <c r="Y8" s="9">
        <f>X8+1</f>
        <v/>
      </c>
      <c r="Z8" s="9">
        <f>Y8+1</f>
        <v/>
      </c>
      <c r="AA8" s="9">
        <f>Z8+1</f>
        <v/>
      </c>
      <c r="AB8" s="9">
        <f>AA8+1</f>
        <v/>
      </c>
      <c r="AC8" s="9">
        <f>AB8+1</f>
        <v/>
      </c>
      <c r="AD8" s="9">
        <f>AC8+1</f>
        <v/>
      </c>
      <c r="AE8" s="9">
        <f>AD8+1</f>
        <v/>
      </c>
      <c r="AF8" s="9">
        <f>AE8+1</f>
        <v/>
      </c>
      <c r="AG8" s="9">
        <f>AF8+1</f>
        <v/>
      </c>
      <c r="AH8" s="9">
        <f>AG8+1</f>
        <v/>
      </c>
      <c r="AI8" s="9">
        <f>AH8+1</f>
        <v/>
      </c>
      <c r="AJ8" s="9">
        <f>AI8+1</f>
        <v/>
      </c>
      <c r="AK8" s="9">
        <f>AJ8+1</f>
        <v/>
      </c>
      <c r="AL8" s="9">
        <f>AK8+1</f>
        <v/>
      </c>
      <c r="AM8" s="9">
        <f>AL8+1</f>
        <v/>
      </c>
      <c r="AN8" s="9">
        <f>AM8+1</f>
        <v/>
      </c>
      <c r="AO8" s="9">
        <f>AN8+1</f>
        <v/>
      </c>
      <c r="AP8" s="9">
        <f>AO8+1</f>
        <v/>
      </c>
      <c r="AQ8" s="9">
        <f>AP8+1</f>
        <v/>
      </c>
      <c r="AR8" s="9">
        <f>AQ8+1</f>
        <v/>
      </c>
      <c r="AS8" s="9">
        <f>AR8+1</f>
        <v/>
      </c>
      <c r="AT8" s="9">
        <f>AS8+1</f>
        <v/>
      </c>
      <c r="AU8" s="9">
        <f>AT8+1</f>
        <v/>
      </c>
      <c r="AV8" s="9">
        <f>AU8+1</f>
        <v/>
      </c>
      <c r="AW8" s="9">
        <f>AV8+1</f>
        <v/>
      </c>
      <c r="AX8" s="9">
        <f>AW8+1</f>
        <v/>
      </c>
      <c r="AY8" s="9">
        <f>AX8+1</f>
        <v/>
      </c>
      <c r="AZ8" s="9">
        <f>AY8+1</f>
        <v/>
      </c>
      <c r="BA8" s="9">
        <f>AZ8+1</f>
        <v/>
      </c>
      <c r="BB8" s="9">
        <f>BA8+1</f>
        <v/>
      </c>
      <c r="BC8" s="9">
        <f>BB8+1</f>
        <v/>
      </c>
      <c r="BD8" s="9">
        <f>BC8+1</f>
        <v/>
      </c>
      <c r="BE8" s="9">
        <f>BD8+1</f>
        <v/>
      </c>
      <c r="BF8" s="9">
        <f>BE8+1</f>
        <v/>
      </c>
      <c r="BG8" s="9">
        <f>BF8+1</f>
        <v/>
      </c>
      <c r="BH8" s="9">
        <f>BG8+1</f>
        <v/>
      </c>
      <c r="BI8" s="9">
        <f>BH8+1</f>
        <v/>
      </c>
      <c r="BJ8" s="9">
        <f>BI8+1</f>
        <v/>
      </c>
    </row>
    <row r="9">
      <c r="D9" t="inlineStr">
        <is>
          <t>Month start</t>
        </is>
      </c>
      <c r="E9" t="inlineStr">
        <is>
          <t>date</t>
        </is>
      </c>
      <c r="J9" s="10">
        <f>IF(J8=1,Inputs!$F$188,EDATE(I9,1))</f>
        <v/>
      </c>
      <c r="K9" s="10">
        <f>IF(K8=1,Inputs!$F$188,EDATE(J9,1))</f>
        <v/>
      </c>
      <c r="L9" s="10">
        <f>IF(L8=1,Inputs!$F$188,EDATE(K9,1))</f>
        <v/>
      </c>
      <c r="M9" s="10">
        <f>IF(M8=1,Inputs!$F$188,EDATE(L9,1))</f>
        <v/>
      </c>
      <c r="N9" s="10">
        <f>IF(N8=1,Inputs!$F$188,EDATE(M9,1))</f>
        <v/>
      </c>
      <c r="O9" s="10">
        <f>IF(O8=1,Inputs!$F$188,EDATE(N9,1))</f>
        <v/>
      </c>
      <c r="P9" s="10">
        <f>IF(P8=1,Inputs!$F$188,EDATE(O9,1))</f>
        <v/>
      </c>
      <c r="Q9" s="10">
        <f>IF(Q8=1,Inputs!$F$188,EDATE(P9,1))</f>
        <v/>
      </c>
      <c r="R9" s="10">
        <f>IF(R8=1,Inputs!$F$188,EDATE(Q9,1))</f>
        <v/>
      </c>
      <c r="S9" s="10">
        <f>IF(S8=1,Inputs!$F$188,EDATE(R9,1))</f>
        <v/>
      </c>
      <c r="T9" s="10">
        <f>IF(T8=1,Inputs!$F$188,EDATE(S9,1))</f>
        <v/>
      </c>
      <c r="U9" s="10">
        <f>IF(U8=1,Inputs!$F$188,EDATE(T9,1))</f>
        <v/>
      </c>
      <c r="V9" s="10">
        <f>IF(V8=1,Inputs!$F$188,EDATE(U9,1))</f>
        <v/>
      </c>
      <c r="W9" s="10">
        <f>IF(W8=1,Inputs!$F$188,EDATE(V9,1))</f>
        <v/>
      </c>
      <c r="X9" s="10">
        <f>IF(X8=1,Inputs!$F$188,EDATE(W9,1))</f>
        <v/>
      </c>
      <c r="Y9" s="10">
        <f>IF(Y8=1,Inputs!$F$188,EDATE(X9,1))</f>
        <v/>
      </c>
      <c r="Z9" s="10">
        <f>IF(Z8=1,Inputs!$F$188,EDATE(Y9,1))</f>
        <v/>
      </c>
      <c r="AA9" s="10">
        <f>IF(AA8=1,Inputs!$F$188,EDATE(Z9,1))</f>
        <v/>
      </c>
      <c r="AB9" s="10">
        <f>IF(AB8=1,Inputs!$F$188,EDATE(AA9,1))</f>
        <v/>
      </c>
      <c r="AC9" s="10">
        <f>IF(AC8=1,Inputs!$F$188,EDATE(AB9,1))</f>
        <v/>
      </c>
      <c r="AD9" s="10">
        <f>IF(AD8=1,Inputs!$F$188,EDATE(AC9,1))</f>
        <v/>
      </c>
      <c r="AE9" s="10">
        <f>IF(AE8=1,Inputs!$F$188,EDATE(AD9,1))</f>
        <v/>
      </c>
      <c r="AF9" s="10">
        <f>IF(AF8=1,Inputs!$F$188,EDATE(AE9,1))</f>
        <v/>
      </c>
      <c r="AG9" s="10">
        <f>IF(AG8=1,Inputs!$F$188,EDATE(AF9,1))</f>
        <v/>
      </c>
      <c r="AH9" s="10">
        <f>IF(AH8=1,Inputs!$F$188,EDATE(AG9,1))</f>
        <v/>
      </c>
      <c r="AI9" s="10">
        <f>IF(AI8=1,Inputs!$F$188,EDATE(AH9,1))</f>
        <v/>
      </c>
      <c r="AJ9" s="10">
        <f>IF(AJ8=1,Inputs!$F$188,EDATE(AI9,1))</f>
        <v/>
      </c>
      <c r="AK9" s="10">
        <f>IF(AK8=1,Inputs!$F$188,EDATE(AJ9,1))</f>
        <v/>
      </c>
      <c r="AL9" s="10">
        <f>IF(AL8=1,Inputs!$F$188,EDATE(AK9,1))</f>
        <v/>
      </c>
      <c r="AM9" s="10">
        <f>IF(AM8=1,Inputs!$F$188,EDATE(AL9,1))</f>
        <v/>
      </c>
      <c r="AN9" s="10">
        <f>IF(AN8=1,Inputs!$F$188,EDATE(AM9,1))</f>
        <v/>
      </c>
      <c r="AO9" s="10">
        <f>IF(AO8=1,Inputs!$F$188,EDATE(AN9,1))</f>
        <v/>
      </c>
      <c r="AP9" s="10">
        <f>IF(AP8=1,Inputs!$F$188,EDATE(AO9,1))</f>
        <v/>
      </c>
      <c r="AQ9" s="10">
        <f>IF(AQ8=1,Inputs!$F$188,EDATE(AP9,1))</f>
        <v/>
      </c>
      <c r="AR9" s="10">
        <f>IF(AR8=1,Inputs!$F$188,EDATE(AQ9,1))</f>
        <v/>
      </c>
      <c r="AS9" s="10">
        <f>IF(AS8=1,Inputs!$F$188,EDATE(AR9,1))</f>
        <v/>
      </c>
      <c r="AT9" s="10">
        <f>IF(AT8=1,Inputs!$F$188,EDATE(AS9,1))</f>
        <v/>
      </c>
      <c r="AU9" s="10">
        <f>IF(AU8=1,Inputs!$F$188,EDATE(AT9,1))</f>
        <v/>
      </c>
      <c r="AV9" s="10">
        <f>IF(AV8=1,Inputs!$F$188,EDATE(AU9,1))</f>
        <v/>
      </c>
      <c r="AW9" s="10">
        <f>IF(AW8=1,Inputs!$F$188,EDATE(AV9,1))</f>
        <v/>
      </c>
      <c r="AX9" s="10">
        <f>IF(AX8=1,Inputs!$F$188,EDATE(AW9,1))</f>
        <v/>
      </c>
      <c r="AY9" s="10">
        <f>IF(AY8=1,Inputs!$F$188,EDATE(AX9,1))</f>
        <v/>
      </c>
      <c r="AZ9" s="10">
        <f>IF(AZ8=1,Inputs!$F$188,EDATE(AY9,1))</f>
        <v/>
      </c>
      <c r="BA9" s="10">
        <f>IF(BA8=1,Inputs!$F$188,EDATE(AZ9,1))</f>
        <v/>
      </c>
      <c r="BB9" s="10">
        <f>IF(BB8=1,Inputs!$F$188,EDATE(BA9,1))</f>
        <v/>
      </c>
      <c r="BC9" s="10">
        <f>IF(BC8=1,Inputs!$F$188,EDATE(BB9,1))</f>
        <v/>
      </c>
      <c r="BD9" s="10">
        <f>IF(BD8=1,Inputs!$F$188,EDATE(BC9,1))</f>
        <v/>
      </c>
      <c r="BE9" s="10">
        <f>IF(BE8=1,Inputs!$F$188,EDATE(BD9,1))</f>
        <v/>
      </c>
      <c r="BF9" s="10">
        <f>IF(BF8=1,Inputs!$F$188,EDATE(BE9,1))</f>
        <v/>
      </c>
      <c r="BG9" s="10">
        <f>IF(BG8=1,Inputs!$F$188,EDATE(BF9,1))</f>
        <v/>
      </c>
      <c r="BH9" s="10">
        <f>IF(BH8=1,Inputs!$F$188,EDATE(BG9,1))</f>
        <v/>
      </c>
      <c r="BI9" s="10">
        <f>IF(BI8=1,Inputs!$F$188,EDATE(BH9,1))</f>
        <v/>
      </c>
      <c r="BJ9" s="10">
        <f>IF(BJ8=1,Inputs!$F$188,EDATE(BI9,1))</f>
        <v/>
      </c>
    </row>
    <row r="10">
      <c r="D10" t="inlineStr">
        <is>
          <t>Month end</t>
        </is>
      </c>
      <c r="E10" t="inlineStr">
        <is>
          <t>date</t>
        </is>
      </c>
      <c r="J10" s="10">
        <f>EOMONTH(J9,0)</f>
        <v/>
      </c>
      <c r="K10" s="10">
        <f>EOMONTH(K9,0)</f>
        <v/>
      </c>
      <c r="L10" s="10">
        <f>EOMONTH(L9,0)</f>
        <v/>
      </c>
      <c r="M10" s="10">
        <f>EOMONTH(M9,0)</f>
        <v/>
      </c>
      <c r="N10" s="10">
        <f>EOMONTH(N9,0)</f>
        <v/>
      </c>
      <c r="O10" s="10">
        <f>EOMONTH(O9,0)</f>
        <v/>
      </c>
      <c r="P10" s="10">
        <f>EOMONTH(P9,0)</f>
        <v/>
      </c>
      <c r="Q10" s="10">
        <f>EOMONTH(Q9,0)</f>
        <v/>
      </c>
      <c r="R10" s="10">
        <f>EOMONTH(R9,0)</f>
        <v/>
      </c>
      <c r="S10" s="10">
        <f>EOMONTH(S9,0)</f>
        <v/>
      </c>
      <c r="T10" s="10">
        <f>EOMONTH(T9,0)</f>
        <v/>
      </c>
      <c r="U10" s="10">
        <f>EOMONTH(U9,0)</f>
        <v/>
      </c>
      <c r="V10" s="10">
        <f>EOMONTH(V9,0)</f>
        <v/>
      </c>
      <c r="W10" s="10">
        <f>EOMONTH(W9,0)</f>
        <v/>
      </c>
      <c r="X10" s="10">
        <f>EOMONTH(X9,0)</f>
        <v/>
      </c>
      <c r="Y10" s="10">
        <f>EOMONTH(Y9,0)</f>
        <v/>
      </c>
      <c r="Z10" s="10">
        <f>EOMONTH(Z9,0)</f>
        <v/>
      </c>
      <c r="AA10" s="10">
        <f>EOMONTH(AA9,0)</f>
        <v/>
      </c>
      <c r="AB10" s="10">
        <f>EOMONTH(AB9,0)</f>
        <v/>
      </c>
      <c r="AC10" s="10">
        <f>EOMONTH(AC9,0)</f>
        <v/>
      </c>
      <c r="AD10" s="10">
        <f>EOMONTH(AD9,0)</f>
        <v/>
      </c>
      <c r="AE10" s="10">
        <f>EOMONTH(AE9,0)</f>
        <v/>
      </c>
      <c r="AF10" s="10">
        <f>EOMONTH(AF9,0)</f>
        <v/>
      </c>
      <c r="AG10" s="10">
        <f>EOMONTH(AG9,0)</f>
        <v/>
      </c>
      <c r="AH10" s="10">
        <f>EOMONTH(AH9,0)</f>
        <v/>
      </c>
      <c r="AI10" s="10">
        <f>EOMONTH(AI9,0)</f>
        <v/>
      </c>
      <c r="AJ10" s="10">
        <f>EOMONTH(AJ9,0)</f>
        <v/>
      </c>
      <c r="AK10" s="10">
        <f>EOMONTH(AK9,0)</f>
        <v/>
      </c>
      <c r="AL10" s="10">
        <f>EOMONTH(AL9,0)</f>
        <v/>
      </c>
      <c r="AM10" s="10">
        <f>EOMONTH(AM9,0)</f>
        <v/>
      </c>
      <c r="AN10" s="10">
        <f>EOMONTH(AN9,0)</f>
        <v/>
      </c>
      <c r="AO10" s="10">
        <f>EOMONTH(AO9,0)</f>
        <v/>
      </c>
      <c r="AP10" s="10">
        <f>EOMONTH(AP9,0)</f>
        <v/>
      </c>
      <c r="AQ10" s="10">
        <f>EOMONTH(AQ9,0)</f>
        <v/>
      </c>
      <c r="AR10" s="10">
        <f>EOMONTH(AR9,0)</f>
        <v/>
      </c>
      <c r="AS10" s="10">
        <f>EOMONTH(AS9,0)</f>
        <v/>
      </c>
      <c r="AT10" s="10">
        <f>EOMONTH(AT9,0)</f>
        <v/>
      </c>
      <c r="AU10" s="10">
        <f>EOMONTH(AU9,0)</f>
        <v/>
      </c>
      <c r="AV10" s="10">
        <f>EOMONTH(AV9,0)</f>
        <v/>
      </c>
      <c r="AW10" s="10">
        <f>EOMONTH(AW9,0)</f>
        <v/>
      </c>
      <c r="AX10" s="10">
        <f>EOMONTH(AX9,0)</f>
        <v/>
      </c>
      <c r="AY10" s="10">
        <f>EOMONTH(AY9,0)</f>
        <v/>
      </c>
      <c r="AZ10" s="10">
        <f>EOMONTH(AZ9,0)</f>
        <v/>
      </c>
      <c r="BA10" s="10">
        <f>EOMONTH(BA9,0)</f>
        <v/>
      </c>
      <c r="BB10" s="10">
        <f>EOMONTH(BB9,0)</f>
        <v/>
      </c>
      <c r="BC10" s="10">
        <f>EOMONTH(BC9,0)</f>
        <v/>
      </c>
      <c r="BD10" s="10">
        <f>EOMONTH(BD9,0)</f>
        <v/>
      </c>
      <c r="BE10" s="10">
        <f>EOMONTH(BE9,0)</f>
        <v/>
      </c>
      <c r="BF10" s="10">
        <f>EOMONTH(BF9,0)</f>
        <v/>
      </c>
      <c r="BG10" s="10">
        <f>EOMONTH(BG9,0)</f>
        <v/>
      </c>
      <c r="BH10" s="10">
        <f>EOMONTH(BH9,0)</f>
        <v/>
      </c>
      <c r="BI10" s="10">
        <f>EOMONTH(BI9,0)</f>
        <v/>
      </c>
      <c r="BJ10" s="10">
        <f>EOMONTH(BJ9,0)</f>
        <v/>
      </c>
    </row>
    <row r="11">
      <c r="D11" t="inlineStr">
        <is>
          <t>Days</t>
        </is>
      </c>
      <c r="E11" t="inlineStr">
        <is>
          <t>days</t>
        </is>
      </c>
      <c r="J11" s="9">
        <f>J10-J9+1</f>
        <v/>
      </c>
      <c r="K11" s="9">
        <f>K10-K9+1</f>
        <v/>
      </c>
      <c r="L11" s="9">
        <f>L10-L9+1</f>
        <v/>
      </c>
      <c r="M11" s="9">
        <f>M10-M9+1</f>
        <v/>
      </c>
      <c r="N11" s="9">
        <f>N10-N9+1</f>
        <v/>
      </c>
      <c r="O11" s="9">
        <f>O10-O9+1</f>
        <v/>
      </c>
      <c r="P11" s="9">
        <f>P10-P9+1</f>
        <v/>
      </c>
      <c r="Q11" s="9">
        <f>Q10-Q9+1</f>
        <v/>
      </c>
      <c r="R11" s="9">
        <f>R10-R9+1</f>
        <v/>
      </c>
      <c r="S11" s="9">
        <f>S10-S9+1</f>
        <v/>
      </c>
      <c r="T11" s="9">
        <f>T10-T9+1</f>
        <v/>
      </c>
      <c r="U11" s="9">
        <f>U10-U9+1</f>
        <v/>
      </c>
      <c r="V11" s="9">
        <f>V10-V9+1</f>
        <v/>
      </c>
      <c r="W11" s="9">
        <f>W10-W9+1</f>
        <v/>
      </c>
      <c r="X11" s="9">
        <f>X10-X9+1</f>
        <v/>
      </c>
      <c r="Y11" s="9">
        <f>Y10-Y9+1</f>
        <v/>
      </c>
      <c r="Z11" s="9">
        <f>Z10-Z9+1</f>
        <v/>
      </c>
      <c r="AA11" s="9">
        <f>AA10-AA9+1</f>
        <v/>
      </c>
      <c r="AB11" s="9">
        <f>AB10-AB9+1</f>
        <v/>
      </c>
      <c r="AC11" s="9">
        <f>AC10-AC9+1</f>
        <v/>
      </c>
      <c r="AD11" s="9">
        <f>AD10-AD9+1</f>
        <v/>
      </c>
      <c r="AE11" s="9">
        <f>AE10-AE9+1</f>
        <v/>
      </c>
      <c r="AF11" s="9">
        <f>AF10-AF9+1</f>
        <v/>
      </c>
      <c r="AG11" s="9">
        <f>AG10-AG9+1</f>
        <v/>
      </c>
      <c r="AH11" s="9">
        <f>AH10-AH9+1</f>
        <v/>
      </c>
      <c r="AI11" s="9">
        <f>AI10-AI9+1</f>
        <v/>
      </c>
      <c r="AJ11" s="9">
        <f>AJ10-AJ9+1</f>
        <v/>
      </c>
      <c r="AK11" s="9">
        <f>AK10-AK9+1</f>
        <v/>
      </c>
      <c r="AL11" s="9">
        <f>AL10-AL9+1</f>
        <v/>
      </c>
      <c r="AM11" s="9">
        <f>AM10-AM9+1</f>
        <v/>
      </c>
      <c r="AN11" s="9">
        <f>AN10-AN9+1</f>
        <v/>
      </c>
      <c r="AO11" s="9">
        <f>AO10-AO9+1</f>
        <v/>
      </c>
      <c r="AP11" s="9">
        <f>AP10-AP9+1</f>
        <v/>
      </c>
      <c r="AQ11" s="9">
        <f>AQ10-AQ9+1</f>
        <v/>
      </c>
      <c r="AR11" s="9">
        <f>AR10-AR9+1</f>
        <v/>
      </c>
      <c r="AS11" s="9">
        <f>AS10-AS9+1</f>
        <v/>
      </c>
      <c r="AT11" s="9">
        <f>AT10-AT9+1</f>
        <v/>
      </c>
      <c r="AU11" s="9">
        <f>AU10-AU9+1</f>
        <v/>
      </c>
      <c r="AV11" s="9">
        <f>AV10-AV9+1</f>
        <v/>
      </c>
      <c r="AW11" s="9">
        <f>AW10-AW9+1</f>
        <v/>
      </c>
      <c r="AX11" s="9">
        <f>AX10-AX9+1</f>
        <v/>
      </c>
      <c r="AY11" s="9">
        <f>AY10-AY9+1</f>
        <v/>
      </c>
      <c r="AZ11" s="9">
        <f>AZ10-AZ9+1</f>
        <v/>
      </c>
      <c r="BA11" s="9">
        <f>BA10-BA9+1</f>
        <v/>
      </c>
      <c r="BB11" s="9">
        <f>BB10-BB9+1</f>
        <v/>
      </c>
      <c r="BC11" s="9">
        <f>BC10-BC9+1</f>
        <v/>
      </c>
      <c r="BD11" s="9">
        <f>BD10-BD9+1</f>
        <v/>
      </c>
      <c r="BE11" s="9">
        <f>BE10-BE9+1</f>
        <v/>
      </c>
      <c r="BF11" s="9">
        <f>BF10-BF9+1</f>
        <v/>
      </c>
      <c r="BG11" s="9">
        <f>BG10-BG9+1</f>
        <v/>
      </c>
      <c r="BH11" s="9">
        <f>BH10-BH9+1</f>
        <v/>
      </c>
      <c r="BI11" s="9">
        <f>BI10-BI9+1</f>
        <v/>
      </c>
      <c r="BJ11" s="9">
        <f>BJ10-BJ9+1</f>
        <v/>
      </c>
    </row>
    <row r="12">
      <c r="D12" t="inlineStr">
        <is>
          <t>Semiannual period number</t>
        </is>
      </c>
      <c r="E12" t="inlineStr">
        <is>
          <t>index</t>
        </is>
      </c>
      <c r="J12" s="9">
        <f>MATCH(J9,Time!$J$22:$BN$22,1)</f>
        <v/>
      </c>
      <c r="K12" s="9">
        <f>MATCH(K9,Time!$J$22:$BN$22,1)</f>
        <v/>
      </c>
      <c r="L12" s="9">
        <f>MATCH(L9,Time!$J$22:$BN$22,1)</f>
        <v/>
      </c>
      <c r="M12" s="9">
        <f>MATCH(M9,Time!$J$22:$BN$22,1)</f>
        <v/>
      </c>
      <c r="N12" s="9">
        <f>MATCH(N9,Time!$J$22:$BN$22,1)</f>
        <v/>
      </c>
      <c r="O12" s="9">
        <f>MATCH(O9,Time!$J$22:$BN$22,1)</f>
        <v/>
      </c>
      <c r="P12" s="9">
        <f>MATCH(P9,Time!$J$22:$BN$22,1)</f>
        <v/>
      </c>
      <c r="Q12" s="9">
        <f>MATCH(Q9,Time!$J$22:$BN$22,1)</f>
        <v/>
      </c>
      <c r="R12" s="9">
        <f>MATCH(R9,Time!$J$22:$BN$22,1)</f>
        <v/>
      </c>
      <c r="S12" s="9">
        <f>MATCH(S9,Time!$J$22:$BN$22,1)</f>
        <v/>
      </c>
      <c r="T12" s="9">
        <f>MATCH(T9,Time!$J$22:$BN$22,1)</f>
        <v/>
      </c>
      <c r="U12" s="9">
        <f>MATCH(U9,Time!$J$22:$BN$22,1)</f>
        <v/>
      </c>
      <c r="V12" s="9">
        <f>MATCH(V9,Time!$J$22:$BN$22,1)</f>
        <v/>
      </c>
      <c r="W12" s="9">
        <f>MATCH(W9,Time!$J$22:$BN$22,1)</f>
        <v/>
      </c>
      <c r="X12" s="9">
        <f>MATCH(X9,Time!$J$22:$BN$22,1)</f>
        <v/>
      </c>
      <c r="Y12" s="9">
        <f>MATCH(Y9,Time!$J$22:$BN$22,1)</f>
        <v/>
      </c>
      <c r="Z12" s="9">
        <f>MATCH(Z9,Time!$J$22:$BN$22,1)</f>
        <v/>
      </c>
      <c r="AA12" s="9">
        <f>MATCH(AA9,Time!$J$22:$BN$22,1)</f>
        <v/>
      </c>
      <c r="AB12" s="9">
        <f>MATCH(AB9,Time!$J$22:$BN$22,1)</f>
        <v/>
      </c>
      <c r="AC12" s="9">
        <f>MATCH(AC9,Time!$J$22:$BN$22,1)</f>
        <v/>
      </c>
      <c r="AD12" s="9">
        <f>MATCH(AD9,Time!$J$22:$BN$22,1)</f>
        <v/>
      </c>
      <c r="AE12" s="9">
        <f>MATCH(AE9,Time!$J$22:$BN$22,1)</f>
        <v/>
      </c>
      <c r="AF12" s="9">
        <f>MATCH(AF9,Time!$J$22:$BN$22,1)</f>
        <v/>
      </c>
      <c r="AG12" s="9">
        <f>MATCH(AG9,Time!$J$22:$BN$22,1)</f>
        <v/>
      </c>
      <c r="AH12" s="9">
        <f>MATCH(AH9,Time!$J$22:$BN$22,1)</f>
        <v/>
      </c>
      <c r="AI12" s="9">
        <f>MATCH(AI9,Time!$J$22:$BN$22,1)</f>
        <v/>
      </c>
      <c r="AJ12" s="9">
        <f>MATCH(AJ9,Time!$J$22:$BN$22,1)</f>
        <v/>
      </c>
      <c r="AK12" s="9">
        <f>MATCH(AK9,Time!$J$22:$BN$22,1)</f>
        <v/>
      </c>
      <c r="AL12" s="9">
        <f>MATCH(AL9,Time!$J$22:$BN$22,1)</f>
        <v/>
      </c>
      <c r="AM12" s="9">
        <f>MATCH(AM9,Time!$J$22:$BN$22,1)</f>
        <v/>
      </c>
      <c r="AN12" s="9">
        <f>MATCH(AN9,Time!$J$22:$BN$22,1)</f>
        <v/>
      </c>
      <c r="AO12" s="9">
        <f>MATCH(AO9,Time!$J$22:$BN$22,1)</f>
        <v/>
      </c>
      <c r="AP12" s="9">
        <f>MATCH(AP9,Time!$J$22:$BN$22,1)</f>
        <v/>
      </c>
      <c r="AQ12" s="9">
        <f>MATCH(AQ9,Time!$J$22:$BN$22,1)</f>
        <v/>
      </c>
      <c r="AR12" s="9">
        <f>MATCH(AR9,Time!$J$22:$BN$22,1)</f>
        <v/>
      </c>
      <c r="AS12" s="9">
        <f>MATCH(AS9,Time!$J$22:$BN$22,1)</f>
        <v/>
      </c>
      <c r="AT12" s="9">
        <f>MATCH(AT9,Time!$J$22:$BN$22,1)</f>
        <v/>
      </c>
      <c r="AU12" s="9">
        <f>MATCH(AU9,Time!$J$22:$BN$22,1)</f>
        <v/>
      </c>
      <c r="AV12" s="9">
        <f>MATCH(AV9,Time!$J$22:$BN$22,1)</f>
        <v/>
      </c>
      <c r="AW12" s="9">
        <f>MATCH(AW9,Time!$J$22:$BN$22,1)</f>
        <v/>
      </c>
      <c r="AX12" s="9">
        <f>MATCH(AX9,Time!$J$22:$BN$22,1)</f>
        <v/>
      </c>
      <c r="AY12" s="9">
        <f>MATCH(AY9,Time!$J$22:$BN$22,1)</f>
        <v/>
      </c>
      <c r="AZ12" s="9">
        <f>MATCH(AZ9,Time!$J$22:$BN$22,1)</f>
        <v/>
      </c>
      <c r="BA12" s="9">
        <f>MATCH(BA9,Time!$J$22:$BN$22,1)</f>
        <v/>
      </c>
      <c r="BB12" s="9">
        <f>MATCH(BB9,Time!$J$22:$BN$22,1)</f>
        <v/>
      </c>
      <c r="BC12" s="9">
        <f>MATCH(BC9,Time!$J$22:$BN$22,1)</f>
        <v/>
      </c>
      <c r="BD12" s="9">
        <f>MATCH(BD9,Time!$J$22:$BN$22,1)</f>
        <v/>
      </c>
      <c r="BE12" s="9">
        <f>MATCH(BE9,Time!$J$22:$BN$22,1)</f>
        <v/>
      </c>
      <c r="BF12" s="9">
        <f>MATCH(BF9,Time!$J$22:$BN$22,1)</f>
        <v/>
      </c>
      <c r="BG12" s="9">
        <f>MATCH(BG9,Time!$J$22:$BN$22,1)</f>
        <v/>
      </c>
      <c r="BH12" s="9">
        <f>MATCH(BH9,Time!$J$22:$BN$22,1)</f>
        <v/>
      </c>
      <c r="BI12" s="9">
        <f>MATCH(BI9,Time!$J$22:$BN$22,1)</f>
        <v/>
      </c>
      <c r="BJ12" s="9">
        <f>MATCH(BJ9,Time!$J$22:$BN$22,1)</f>
        <v/>
      </c>
    </row>
    <row r="13">
      <c r="D13" t="inlineStr">
        <is>
          <t>Flag_Construction (before COD)</t>
        </is>
      </c>
      <c r="E13" t="inlineStr">
        <is>
          <t>flag</t>
        </is>
      </c>
      <c r="J13" s="9">
        <f>IF(J8&lt;=Time!$F$11,1,0)</f>
        <v/>
      </c>
      <c r="K13" s="9">
        <f>IF(K8&lt;=Time!$F$11,1,0)</f>
        <v/>
      </c>
      <c r="L13" s="9">
        <f>IF(L8&lt;=Time!$F$11,1,0)</f>
        <v/>
      </c>
      <c r="M13" s="9">
        <f>IF(M8&lt;=Time!$F$11,1,0)</f>
        <v/>
      </c>
      <c r="N13" s="9">
        <f>IF(N8&lt;=Time!$F$11,1,0)</f>
        <v/>
      </c>
      <c r="O13" s="9">
        <f>IF(O8&lt;=Time!$F$11,1,0)</f>
        <v/>
      </c>
      <c r="P13" s="9">
        <f>IF(P8&lt;=Time!$F$11,1,0)</f>
        <v/>
      </c>
      <c r="Q13" s="9">
        <f>IF(Q8&lt;=Time!$F$11,1,0)</f>
        <v/>
      </c>
      <c r="R13" s="9">
        <f>IF(R8&lt;=Time!$F$11,1,0)</f>
        <v/>
      </c>
      <c r="S13" s="9">
        <f>IF(S8&lt;=Time!$F$11,1,0)</f>
        <v/>
      </c>
      <c r="T13" s="9">
        <f>IF(T8&lt;=Time!$F$11,1,0)</f>
        <v/>
      </c>
      <c r="U13" s="9">
        <f>IF(U8&lt;=Time!$F$11,1,0)</f>
        <v/>
      </c>
      <c r="V13" s="9">
        <f>IF(V8&lt;=Time!$F$11,1,0)</f>
        <v/>
      </c>
      <c r="W13" s="9">
        <f>IF(W8&lt;=Time!$F$11,1,0)</f>
        <v/>
      </c>
      <c r="X13" s="9">
        <f>IF(X8&lt;=Time!$F$11,1,0)</f>
        <v/>
      </c>
      <c r="Y13" s="9">
        <f>IF(Y8&lt;=Time!$F$11,1,0)</f>
        <v/>
      </c>
      <c r="Z13" s="9">
        <f>IF(Z8&lt;=Time!$F$11,1,0)</f>
        <v/>
      </c>
      <c r="AA13" s="9">
        <f>IF(AA8&lt;=Time!$F$11,1,0)</f>
        <v/>
      </c>
      <c r="AB13" s="9">
        <f>IF(AB8&lt;=Time!$F$11,1,0)</f>
        <v/>
      </c>
      <c r="AC13" s="9">
        <f>IF(AC8&lt;=Time!$F$11,1,0)</f>
        <v/>
      </c>
      <c r="AD13" s="9">
        <f>IF(AD8&lt;=Time!$F$11,1,0)</f>
        <v/>
      </c>
      <c r="AE13" s="9">
        <f>IF(AE8&lt;=Time!$F$11,1,0)</f>
        <v/>
      </c>
      <c r="AF13" s="9">
        <f>IF(AF8&lt;=Time!$F$11,1,0)</f>
        <v/>
      </c>
      <c r="AG13" s="9">
        <f>IF(AG8&lt;=Time!$F$11,1,0)</f>
        <v/>
      </c>
      <c r="AH13" s="9">
        <f>IF(AH8&lt;=Time!$F$11,1,0)</f>
        <v/>
      </c>
      <c r="AI13" s="9">
        <f>IF(AI8&lt;=Time!$F$11,1,0)</f>
        <v/>
      </c>
      <c r="AJ13" s="9">
        <f>IF(AJ8&lt;=Time!$F$11,1,0)</f>
        <v/>
      </c>
      <c r="AK13" s="9">
        <f>IF(AK8&lt;=Time!$F$11,1,0)</f>
        <v/>
      </c>
      <c r="AL13" s="9">
        <f>IF(AL8&lt;=Time!$F$11,1,0)</f>
        <v/>
      </c>
      <c r="AM13" s="9">
        <f>IF(AM8&lt;=Time!$F$11,1,0)</f>
        <v/>
      </c>
      <c r="AN13" s="9">
        <f>IF(AN8&lt;=Time!$F$11,1,0)</f>
        <v/>
      </c>
      <c r="AO13" s="9">
        <f>IF(AO8&lt;=Time!$F$11,1,0)</f>
        <v/>
      </c>
      <c r="AP13" s="9">
        <f>IF(AP8&lt;=Time!$F$11,1,0)</f>
        <v/>
      </c>
      <c r="AQ13" s="9">
        <f>IF(AQ8&lt;=Time!$F$11,1,0)</f>
        <v/>
      </c>
      <c r="AR13" s="9">
        <f>IF(AR8&lt;=Time!$F$11,1,0)</f>
        <v/>
      </c>
      <c r="AS13" s="9">
        <f>IF(AS8&lt;=Time!$F$11,1,0)</f>
        <v/>
      </c>
      <c r="AT13" s="9">
        <f>IF(AT8&lt;=Time!$F$11,1,0)</f>
        <v/>
      </c>
      <c r="AU13" s="9">
        <f>IF(AU8&lt;=Time!$F$11,1,0)</f>
        <v/>
      </c>
      <c r="AV13" s="9">
        <f>IF(AV8&lt;=Time!$F$11,1,0)</f>
        <v/>
      </c>
      <c r="AW13" s="9">
        <f>IF(AW8&lt;=Time!$F$11,1,0)</f>
        <v/>
      </c>
      <c r="AX13" s="9">
        <f>IF(AX8&lt;=Time!$F$11,1,0)</f>
        <v/>
      </c>
      <c r="AY13" s="9">
        <f>IF(AY8&lt;=Time!$F$11,1,0)</f>
        <v/>
      </c>
      <c r="AZ13" s="9">
        <f>IF(AZ8&lt;=Time!$F$11,1,0)</f>
        <v/>
      </c>
      <c r="BA13" s="9">
        <f>IF(BA8&lt;=Time!$F$11,1,0)</f>
        <v/>
      </c>
      <c r="BB13" s="9">
        <f>IF(BB8&lt;=Time!$F$11,1,0)</f>
        <v/>
      </c>
      <c r="BC13" s="9">
        <f>IF(BC8&lt;=Time!$F$11,1,0)</f>
        <v/>
      </c>
      <c r="BD13" s="9">
        <f>IF(BD8&lt;=Time!$F$11,1,0)</f>
        <v/>
      </c>
      <c r="BE13" s="9">
        <f>IF(BE8&lt;=Time!$F$11,1,0)</f>
        <v/>
      </c>
      <c r="BF13" s="9">
        <f>IF(BF8&lt;=Time!$F$11,1,0)</f>
        <v/>
      </c>
      <c r="BG13" s="9">
        <f>IF(BG8&lt;=Time!$F$11,1,0)</f>
        <v/>
      </c>
      <c r="BH13" s="9">
        <f>IF(BH8&lt;=Time!$F$11,1,0)</f>
        <v/>
      </c>
      <c r="BI13" s="9">
        <f>IF(BI8&lt;=Time!$F$11,1,0)</f>
        <v/>
      </c>
      <c r="BJ13" s="9">
        <f>IF(BJ8&lt;=Time!$F$11,1,0)</f>
        <v/>
      </c>
    </row>
    <row r="14">
      <c r="D14" t="inlineStr">
        <is>
          <t>Flag_FundingPeriod (to end of COD period)</t>
        </is>
      </c>
      <c r="E14" t="inlineStr">
        <is>
          <t>flag</t>
        </is>
      </c>
      <c r="J14" s="9">
        <f>IF(J8&lt;=Time!$F$14,1,0)</f>
        <v/>
      </c>
      <c r="K14" s="9">
        <f>IF(K8&lt;=Time!$F$14,1,0)</f>
        <v/>
      </c>
      <c r="L14" s="9">
        <f>IF(L8&lt;=Time!$F$14,1,0)</f>
        <v/>
      </c>
      <c r="M14" s="9">
        <f>IF(M8&lt;=Time!$F$14,1,0)</f>
        <v/>
      </c>
      <c r="N14" s="9">
        <f>IF(N8&lt;=Time!$F$14,1,0)</f>
        <v/>
      </c>
      <c r="O14" s="9">
        <f>IF(O8&lt;=Time!$F$14,1,0)</f>
        <v/>
      </c>
      <c r="P14" s="9">
        <f>IF(P8&lt;=Time!$F$14,1,0)</f>
        <v/>
      </c>
      <c r="Q14" s="9">
        <f>IF(Q8&lt;=Time!$F$14,1,0)</f>
        <v/>
      </c>
      <c r="R14" s="9">
        <f>IF(R8&lt;=Time!$F$14,1,0)</f>
        <v/>
      </c>
      <c r="S14" s="9">
        <f>IF(S8&lt;=Time!$F$14,1,0)</f>
        <v/>
      </c>
      <c r="T14" s="9">
        <f>IF(T8&lt;=Time!$F$14,1,0)</f>
        <v/>
      </c>
      <c r="U14" s="9">
        <f>IF(U8&lt;=Time!$F$14,1,0)</f>
        <v/>
      </c>
      <c r="V14" s="9">
        <f>IF(V8&lt;=Time!$F$14,1,0)</f>
        <v/>
      </c>
      <c r="W14" s="9">
        <f>IF(W8&lt;=Time!$F$14,1,0)</f>
        <v/>
      </c>
      <c r="X14" s="9">
        <f>IF(X8&lt;=Time!$F$14,1,0)</f>
        <v/>
      </c>
      <c r="Y14" s="9">
        <f>IF(Y8&lt;=Time!$F$14,1,0)</f>
        <v/>
      </c>
      <c r="Z14" s="9">
        <f>IF(Z8&lt;=Time!$F$14,1,0)</f>
        <v/>
      </c>
      <c r="AA14" s="9">
        <f>IF(AA8&lt;=Time!$F$14,1,0)</f>
        <v/>
      </c>
      <c r="AB14" s="9">
        <f>IF(AB8&lt;=Time!$F$14,1,0)</f>
        <v/>
      </c>
      <c r="AC14" s="9">
        <f>IF(AC8&lt;=Time!$F$14,1,0)</f>
        <v/>
      </c>
      <c r="AD14" s="9">
        <f>IF(AD8&lt;=Time!$F$14,1,0)</f>
        <v/>
      </c>
      <c r="AE14" s="9">
        <f>IF(AE8&lt;=Time!$F$14,1,0)</f>
        <v/>
      </c>
      <c r="AF14" s="9">
        <f>IF(AF8&lt;=Time!$F$14,1,0)</f>
        <v/>
      </c>
      <c r="AG14" s="9">
        <f>IF(AG8&lt;=Time!$F$14,1,0)</f>
        <v/>
      </c>
      <c r="AH14" s="9">
        <f>IF(AH8&lt;=Time!$F$14,1,0)</f>
        <v/>
      </c>
      <c r="AI14" s="9">
        <f>IF(AI8&lt;=Time!$F$14,1,0)</f>
        <v/>
      </c>
      <c r="AJ14" s="9">
        <f>IF(AJ8&lt;=Time!$F$14,1,0)</f>
        <v/>
      </c>
      <c r="AK14" s="9">
        <f>IF(AK8&lt;=Time!$F$14,1,0)</f>
        <v/>
      </c>
      <c r="AL14" s="9">
        <f>IF(AL8&lt;=Time!$F$14,1,0)</f>
        <v/>
      </c>
      <c r="AM14" s="9">
        <f>IF(AM8&lt;=Time!$F$14,1,0)</f>
        <v/>
      </c>
      <c r="AN14" s="9">
        <f>IF(AN8&lt;=Time!$F$14,1,0)</f>
        <v/>
      </c>
      <c r="AO14" s="9">
        <f>IF(AO8&lt;=Time!$F$14,1,0)</f>
        <v/>
      </c>
      <c r="AP14" s="9">
        <f>IF(AP8&lt;=Time!$F$14,1,0)</f>
        <v/>
      </c>
      <c r="AQ14" s="9">
        <f>IF(AQ8&lt;=Time!$F$14,1,0)</f>
        <v/>
      </c>
      <c r="AR14" s="9">
        <f>IF(AR8&lt;=Time!$F$14,1,0)</f>
        <v/>
      </c>
      <c r="AS14" s="9">
        <f>IF(AS8&lt;=Time!$F$14,1,0)</f>
        <v/>
      </c>
      <c r="AT14" s="9">
        <f>IF(AT8&lt;=Time!$F$14,1,0)</f>
        <v/>
      </c>
      <c r="AU14" s="9">
        <f>IF(AU8&lt;=Time!$F$14,1,0)</f>
        <v/>
      </c>
      <c r="AV14" s="9">
        <f>IF(AV8&lt;=Time!$F$14,1,0)</f>
        <v/>
      </c>
      <c r="AW14" s="9">
        <f>IF(AW8&lt;=Time!$F$14,1,0)</f>
        <v/>
      </c>
      <c r="AX14" s="9">
        <f>IF(AX8&lt;=Time!$F$14,1,0)</f>
        <v/>
      </c>
      <c r="AY14" s="9">
        <f>IF(AY8&lt;=Time!$F$14,1,0)</f>
        <v/>
      </c>
      <c r="AZ14" s="9">
        <f>IF(AZ8&lt;=Time!$F$14,1,0)</f>
        <v/>
      </c>
      <c r="BA14" s="9">
        <f>IF(BA8&lt;=Time!$F$14,1,0)</f>
        <v/>
      </c>
      <c r="BB14" s="9">
        <f>IF(BB8&lt;=Time!$F$14,1,0)</f>
        <v/>
      </c>
      <c r="BC14" s="9">
        <f>IF(BC8&lt;=Time!$F$14,1,0)</f>
        <v/>
      </c>
      <c r="BD14" s="9">
        <f>IF(BD8&lt;=Time!$F$14,1,0)</f>
        <v/>
      </c>
      <c r="BE14" s="9">
        <f>IF(BE8&lt;=Time!$F$14,1,0)</f>
        <v/>
      </c>
      <c r="BF14" s="9">
        <f>IF(BF8&lt;=Time!$F$14,1,0)</f>
        <v/>
      </c>
      <c r="BG14" s="9">
        <f>IF(BG8&lt;=Time!$F$14,1,0)</f>
        <v/>
      </c>
      <c r="BH14" s="9">
        <f>IF(BH8&lt;=Time!$F$14,1,0)</f>
        <v/>
      </c>
      <c r="BI14" s="9">
        <f>IF(BI8&lt;=Time!$F$14,1,0)</f>
        <v/>
      </c>
      <c r="BJ14" s="9">
        <f>IF(BJ8&lt;=Time!$F$14,1,0)</f>
        <v/>
      </c>
    </row>
    <row r="15">
      <c r="D15" t="inlineStr">
        <is>
          <t>Flag_CODMonth</t>
        </is>
      </c>
      <c r="E15" t="inlineStr">
        <is>
          <t>flag</t>
        </is>
      </c>
      <c r="J15" s="9">
        <f>IF(J8=Time!$F$11+1,1,0)</f>
        <v/>
      </c>
      <c r="K15" s="9">
        <f>IF(K8=Time!$F$11+1,1,0)</f>
        <v/>
      </c>
      <c r="L15" s="9">
        <f>IF(L8=Time!$F$11+1,1,0)</f>
        <v/>
      </c>
      <c r="M15" s="9">
        <f>IF(M8=Time!$F$11+1,1,0)</f>
        <v/>
      </c>
      <c r="N15" s="9">
        <f>IF(N8=Time!$F$11+1,1,0)</f>
        <v/>
      </c>
      <c r="O15" s="9">
        <f>IF(O8=Time!$F$11+1,1,0)</f>
        <v/>
      </c>
      <c r="P15" s="9">
        <f>IF(P8=Time!$F$11+1,1,0)</f>
        <v/>
      </c>
      <c r="Q15" s="9">
        <f>IF(Q8=Time!$F$11+1,1,0)</f>
        <v/>
      </c>
      <c r="R15" s="9">
        <f>IF(R8=Time!$F$11+1,1,0)</f>
        <v/>
      </c>
      <c r="S15" s="9">
        <f>IF(S8=Time!$F$11+1,1,0)</f>
        <v/>
      </c>
      <c r="T15" s="9">
        <f>IF(T8=Time!$F$11+1,1,0)</f>
        <v/>
      </c>
      <c r="U15" s="9">
        <f>IF(U8=Time!$F$11+1,1,0)</f>
        <v/>
      </c>
      <c r="V15" s="9">
        <f>IF(V8=Time!$F$11+1,1,0)</f>
        <v/>
      </c>
      <c r="W15" s="9">
        <f>IF(W8=Time!$F$11+1,1,0)</f>
        <v/>
      </c>
      <c r="X15" s="9">
        <f>IF(X8=Time!$F$11+1,1,0)</f>
        <v/>
      </c>
      <c r="Y15" s="9">
        <f>IF(Y8=Time!$F$11+1,1,0)</f>
        <v/>
      </c>
      <c r="Z15" s="9">
        <f>IF(Z8=Time!$F$11+1,1,0)</f>
        <v/>
      </c>
      <c r="AA15" s="9">
        <f>IF(AA8=Time!$F$11+1,1,0)</f>
        <v/>
      </c>
      <c r="AB15" s="9">
        <f>IF(AB8=Time!$F$11+1,1,0)</f>
        <v/>
      </c>
      <c r="AC15" s="9">
        <f>IF(AC8=Time!$F$11+1,1,0)</f>
        <v/>
      </c>
      <c r="AD15" s="9">
        <f>IF(AD8=Time!$F$11+1,1,0)</f>
        <v/>
      </c>
      <c r="AE15" s="9">
        <f>IF(AE8=Time!$F$11+1,1,0)</f>
        <v/>
      </c>
      <c r="AF15" s="9">
        <f>IF(AF8=Time!$F$11+1,1,0)</f>
        <v/>
      </c>
      <c r="AG15" s="9">
        <f>IF(AG8=Time!$F$11+1,1,0)</f>
        <v/>
      </c>
      <c r="AH15" s="9">
        <f>IF(AH8=Time!$F$11+1,1,0)</f>
        <v/>
      </c>
      <c r="AI15" s="9">
        <f>IF(AI8=Time!$F$11+1,1,0)</f>
        <v/>
      </c>
      <c r="AJ15" s="9">
        <f>IF(AJ8=Time!$F$11+1,1,0)</f>
        <v/>
      </c>
      <c r="AK15" s="9">
        <f>IF(AK8=Time!$F$11+1,1,0)</f>
        <v/>
      </c>
      <c r="AL15" s="9">
        <f>IF(AL8=Time!$F$11+1,1,0)</f>
        <v/>
      </c>
      <c r="AM15" s="9">
        <f>IF(AM8=Time!$F$11+1,1,0)</f>
        <v/>
      </c>
      <c r="AN15" s="9">
        <f>IF(AN8=Time!$F$11+1,1,0)</f>
        <v/>
      </c>
      <c r="AO15" s="9">
        <f>IF(AO8=Time!$F$11+1,1,0)</f>
        <v/>
      </c>
      <c r="AP15" s="9">
        <f>IF(AP8=Time!$F$11+1,1,0)</f>
        <v/>
      </c>
      <c r="AQ15" s="9">
        <f>IF(AQ8=Time!$F$11+1,1,0)</f>
        <v/>
      </c>
      <c r="AR15" s="9">
        <f>IF(AR8=Time!$F$11+1,1,0)</f>
        <v/>
      </c>
      <c r="AS15" s="9">
        <f>IF(AS8=Time!$F$11+1,1,0)</f>
        <v/>
      </c>
      <c r="AT15" s="9">
        <f>IF(AT8=Time!$F$11+1,1,0)</f>
        <v/>
      </c>
      <c r="AU15" s="9">
        <f>IF(AU8=Time!$F$11+1,1,0)</f>
        <v/>
      </c>
      <c r="AV15" s="9">
        <f>IF(AV8=Time!$F$11+1,1,0)</f>
        <v/>
      </c>
      <c r="AW15" s="9">
        <f>IF(AW8=Time!$F$11+1,1,0)</f>
        <v/>
      </c>
      <c r="AX15" s="9">
        <f>IF(AX8=Time!$F$11+1,1,0)</f>
        <v/>
      </c>
      <c r="AY15" s="9">
        <f>IF(AY8=Time!$F$11+1,1,0)</f>
        <v/>
      </c>
      <c r="AZ15" s="9">
        <f>IF(AZ8=Time!$F$11+1,1,0)</f>
        <v/>
      </c>
      <c r="BA15" s="9">
        <f>IF(BA8=Time!$F$11+1,1,0)</f>
        <v/>
      </c>
      <c r="BB15" s="9">
        <f>IF(BB8=Time!$F$11+1,1,0)</f>
        <v/>
      </c>
      <c r="BC15" s="9">
        <f>IF(BC8=Time!$F$11+1,1,0)</f>
        <v/>
      </c>
      <c r="BD15" s="9">
        <f>IF(BD8=Time!$F$11+1,1,0)</f>
        <v/>
      </c>
      <c r="BE15" s="9">
        <f>IF(BE8=Time!$F$11+1,1,0)</f>
        <v/>
      </c>
      <c r="BF15" s="9">
        <f>IF(BF8=Time!$F$11+1,1,0)</f>
        <v/>
      </c>
      <c r="BG15" s="9">
        <f>IF(BG8=Time!$F$11+1,1,0)</f>
        <v/>
      </c>
      <c r="BH15" s="9">
        <f>IF(BH8=Time!$F$11+1,1,0)</f>
        <v/>
      </c>
      <c r="BI15" s="9">
        <f>IF(BI8=Time!$F$11+1,1,0)</f>
        <v/>
      </c>
      <c r="BJ15" s="9">
        <f>IF(BJ8=Time!$F$11+1,1,0)</f>
        <v/>
      </c>
    </row>
    <row r="16">
      <c r="D16" t="inlineStr">
        <is>
          <t>KCR per USD</t>
        </is>
      </c>
      <c r="E16" t="inlineStr">
        <is>
          <t>KCR/USD</t>
        </is>
      </c>
      <c r="J16" s="13">
        <f>IF(Inputs!$F$33=1,Inputs!$F$60*Time!$F$16^((J8-Inputs!$F$212)/12),INDEX(Operations!$J$11:$BN$11,1,J12))</f>
        <v/>
      </c>
      <c r="K16" s="13">
        <f>IF(Inputs!$F$33=1,Inputs!$F$60*Time!$F$16^((K8-Inputs!$F$212)/12),INDEX(Operations!$J$11:$BN$11,1,K12))</f>
        <v/>
      </c>
      <c r="L16" s="13">
        <f>IF(Inputs!$F$33=1,Inputs!$F$60*Time!$F$16^((L8-Inputs!$F$212)/12),INDEX(Operations!$J$11:$BN$11,1,L12))</f>
        <v/>
      </c>
      <c r="M16" s="13">
        <f>IF(Inputs!$F$33=1,Inputs!$F$60*Time!$F$16^((M8-Inputs!$F$212)/12),INDEX(Operations!$J$11:$BN$11,1,M12))</f>
        <v/>
      </c>
      <c r="N16" s="13">
        <f>IF(Inputs!$F$33=1,Inputs!$F$60*Time!$F$16^((N8-Inputs!$F$212)/12),INDEX(Operations!$J$11:$BN$11,1,N12))</f>
        <v/>
      </c>
      <c r="O16" s="13">
        <f>IF(Inputs!$F$33=1,Inputs!$F$60*Time!$F$16^((O8-Inputs!$F$212)/12),INDEX(Operations!$J$11:$BN$11,1,O12))</f>
        <v/>
      </c>
      <c r="P16" s="13">
        <f>IF(Inputs!$F$33=1,Inputs!$F$60*Time!$F$16^((P8-Inputs!$F$212)/12),INDEX(Operations!$J$11:$BN$11,1,P12))</f>
        <v/>
      </c>
      <c r="Q16" s="13">
        <f>IF(Inputs!$F$33=1,Inputs!$F$60*Time!$F$16^((Q8-Inputs!$F$212)/12),INDEX(Operations!$J$11:$BN$11,1,Q12))</f>
        <v/>
      </c>
      <c r="R16" s="13">
        <f>IF(Inputs!$F$33=1,Inputs!$F$60*Time!$F$16^((R8-Inputs!$F$212)/12),INDEX(Operations!$J$11:$BN$11,1,R12))</f>
        <v/>
      </c>
      <c r="S16" s="13">
        <f>IF(Inputs!$F$33=1,Inputs!$F$60*Time!$F$16^((S8-Inputs!$F$212)/12),INDEX(Operations!$J$11:$BN$11,1,S12))</f>
        <v/>
      </c>
      <c r="T16" s="13">
        <f>IF(Inputs!$F$33=1,Inputs!$F$60*Time!$F$16^((T8-Inputs!$F$212)/12),INDEX(Operations!$J$11:$BN$11,1,T12))</f>
        <v/>
      </c>
      <c r="U16" s="13">
        <f>IF(Inputs!$F$33=1,Inputs!$F$60*Time!$F$16^((U8-Inputs!$F$212)/12),INDEX(Operations!$J$11:$BN$11,1,U12))</f>
        <v/>
      </c>
      <c r="V16" s="13">
        <f>IF(Inputs!$F$33=1,Inputs!$F$60*Time!$F$16^((V8-Inputs!$F$212)/12),INDEX(Operations!$J$11:$BN$11,1,V12))</f>
        <v/>
      </c>
      <c r="W16" s="13">
        <f>IF(Inputs!$F$33=1,Inputs!$F$60*Time!$F$16^((W8-Inputs!$F$212)/12),INDEX(Operations!$J$11:$BN$11,1,W12))</f>
        <v/>
      </c>
      <c r="X16" s="13">
        <f>IF(Inputs!$F$33=1,Inputs!$F$60*Time!$F$16^((X8-Inputs!$F$212)/12),INDEX(Operations!$J$11:$BN$11,1,X12))</f>
        <v/>
      </c>
      <c r="Y16" s="13">
        <f>IF(Inputs!$F$33=1,Inputs!$F$60*Time!$F$16^((Y8-Inputs!$F$212)/12),INDEX(Operations!$J$11:$BN$11,1,Y12))</f>
        <v/>
      </c>
      <c r="Z16" s="13">
        <f>IF(Inputs!$F$33=1,Inputs!$F$60*Time!$F$16^((Z8-Inputs!$F$212)/12),INDEX(Operations!$J$11:$BN$11,1,Z12))</f>
        <v/>
      </c>
      <c r="AA16" s="13">
        <f>IF(Inputs!$F$33=1,Inputs!$F$60*Time!$F$16^((AA8-Inputs!$F$212)/12),INDEX(Operations!$J$11:$BN$11,1,AA12))</f>
        <v/>
      </c>
      <c r="AB16" s="13">
        <f>IF(Inputs!$F$33=1,Inputs!$F$60*Time!$F$16^((AB8-Inputs!$F$212)/12),INDEX(Operations!$J$11:$BN$11,1,AB12))</f>
        <v/>
      </c>
      <c r="AC16" s="13">
        <f>IF(Inputs!$F$33=1,Inputs!$F$60*Time!$F$16^((AC8-Inputs!$F$212)/12),INDEX(Operations!$J$11:$BN$11,1,AC12))</f>
        <v/>
      </c>
      <c r="AD16" s="13">
        <f>IF(Inputs!$F$33=1,Inputs!$F$60*Time!$F$16^((AD8-Inputs!$F$212)/12),INDEX(Operations!$J$11:$BN$11,1,AD12))</f>
        <v/>
      </c>
      <c r="AE16" s="13">
        <f>IF(Inputs!$F$33=1,Inputs!$F$60*Time!$F$16^((AE8-Inputs!$F$212)/12),INDEX(Operations!$J$11:$BN$11,1,AE12))</f>
        <v/>
      </c>
      <c r="AF16" s="13">
        <f>IF(Inputs!$F$33=1,Inputs!$F$60*Time!$F$16^((AF8-Inputs!$F$212)/12),INDEX(Operations!$J$11:$BN$11,1,AF12))</f>
        <v/>
      </c>
      <c r="AG16" s="13">
        <f>IF(Inputs!$F$33=1,Inputs!$F$60*Time!$F$16^((AG8-Inputs!$F$212)/12),INDEX(Operations!$J$11:$BN$11,1,AG12))</f>
        <v/>
      </c>
      <c r="AH16" s="13">
        <f>IF(Inputs!$F$33=1,Inputs!$F$60*Time!$F$16^((AH8-Inputs!$F$212)/12),INDEX(Operations!$J$11:$BN$11,1,AH12))</f>
        <v/>
      </c>
      <c r="AI16" s="13">
        <f>IF(Inputs!$F$33=1,Inputs!$F$60*Time!$F$16^((AI8-Inputs!$F$212)/12),INDEX(Operations!$J$11:$BN$11,1,AI12))</f>
        <v/>
      </c>
      <c r="AJ16" s="13">
        <f>IF(Inputs!$F$33=1,Inputs!$F$60*Time!$F$16^((AJ8-Inputs!$F$212)/12),INDEX(Operations!$J$11:$BN$11,1,AJ12))</f>
        <v/>
      </c>
      <c r="AK16" s="13">
        <f>IF(Inputs!$F$33=1,Inputs!$F$60*Time!$F$16^((AK8-Inputs!$F$212)/12),INDEX(Operations!$J$11:$BN$11,1,AK12))</f>
        <v/>
      </c>
      <c r="AL16" s="13">
        <f>IF(Inputs!$F$33=1,Inputs!$F$60*Time!$F$16^((AL8-Inputs!$F$212)/12),INDEX(Operations!$J$11:$BN$11,1,AL12))</f>
        <v/>
      </c>
      <c r="AM16" s="13">
        <f>IF(Inputs!$F$33=1,Inputs!$F$60*Time!$F$16^((AM8-Inputs!$F$212)/12),INDEX(Operations!$J$11:$BN$11,1,AM12))</f>
        <v/>
      </c>
      <c r="AN16" s="13">
        <f>IF(Inputs!$F$33=1,Inputs!$F$60*Time!$F$16^((AN8-Inputs!$F$212)/12),INDEX(Operations!$J$11:$BN$11,1,AN12))</f>
        <v/>
      </c>
      <c r="AO16" s="13">
        <f>IF(Inputs!$F$33=1,Inputs!$F$60*Time!$F$16^((AO8-Inputs!$F$212)/12),INDEX(Operations!$J$11:$BN$11,1,AO12))</f>
        <v/>
      </c>
      <c r="AP16" s="13">
        <f>IF(Inputs!$F$33=1,Inputs!$F$60*Time!$F$16^((AP8-Inputs!$F$212)/12),INDEX(Operations!$J$11:$BN$11,1,AP12))</f>
        <v/>
      </c>
      <c r="AQ16" s="13">
        <f>IF(Inputs!$F$33=1,Inputs!$F$60*Time!$F$16^((AQ8-Inputs!$F$212)/12),INDEX(Operations!$J$11:$BN$11,1,AQ12))</f>
        <v/>
      </c>
      <c r="AR16" s="13">
        <f>IF(Inputs!$F$33=1,Inputs!$F$60*Time!$F$16^((AR8-Inputs!$F$212)/12),INDEX(Operations!$J$11:$BN$11,1,AR12))</f>
        <v/>
      </c>
      <c r="AS16" s="13">
        <f>IF(Inputs!$F$33=1,Inputs!$F$60*Time!$F$16^((AS8-Inputs!$F$212)/12),INDEX(Operations!$J$11:$BN$11,1,AS12))</f>
        <v/>
      </c>
      <c r="AT16" s="13">
        <f>IF(Inputs!$F$33=1,Inputs!$F$60*Time!$F$16^((AT8-Inputs!$F$212)/12),INDEX(Operations!$J$11:$BN$11,1,AT12))</f>
        <v/>
      </c>
      <c r="AU16" s="13">
        <f>IF(Inputs!$F$33=1,Inputs!$F$60*Time!$F$16^((AU8-Inputs!$F$212)/12),INDEX(Operations!$J$11:$BN$11,1,AU12))</f>
        <v/>
      </c>
      <c r="AV16" s="13">
        <f>IF(Inputs!$F$33=1,Inputs!$F$60*Time!$F$16^((AV8-Inputs!$F$212)/12),INDEX(Operations!$J$11:$BN$11,1,AV12))</f>
        <v/>
      </c>
      <c r="AW16" s="13">
        <f>IF(Inputs!$F$33=1,Inputs!$F$60*Time!$F$16^((AW8-Inputs!$F$212)/12),INDEX(Operations!$J$11:$BN$11,1,AW12))</f>
        <v/>
      </c>
      <c r="AX16" s="13">
        <f>IF(Inputs!$F$33=1,Inputs!$F$60*Time!$F$16^((AX8-Inputs!$F$212)/12),INDEX(Operations!$J$11:$BN$11,1,AX12))</f>
        <v/>
      </c>
      <c r="AY16" s="13">
        <f>IF(Inputs!$F$33=1,Inputs!$F$60*Time!$F$16^((AY8-Inputs!$F$212)/12),INDEX(Operations!$J$11:$BN$11,1,AY12))</f>
        <v/>
      </c>
      <c r="AZ16" s="13">
        <f>IF(Inputs!$F$33=1,Inputs!$F$60*Time!$F$16^((AZ8-Inputs!$F$212)/12),INDEX(Operations!$J$11:$BN$11,1,AZ12))</f>
        <v/>
      </c>
      <c r="BA16" s="13">
        <f>IF(Inputs!$F$33=1,Inputs!$F$60*Time!$F$16^((BA8-Inputs!$F$212)/12),INDEX(Operations!$J$11:$BN$11,1,BA12))</f>
        <v/>
      </c>
      <c r="BB16" s="13">
        <f>IF(Inputs!$F$33=1,Inputs!$F$60*Time!$F$16^((BB8-Inputs!$F$212)/12),INDEX(Operations!$J$11:$BN$11,1,BB12))</f>
        <v/>
      </c>
      <c r="BC16" s="13">
        <f>IF(Inputs!$F$33=1,Inputs!$F$60*Time!$F$16^((BC8-Inputs!$F$212)/12),INDEX(Operations!$J$11:$BN$11,1,BC12))</f>
        <v/>
      </c>
      <c r="BD16" s="13">
        <f>IF(Inputs!$F$33=1,Inputs!$F$60*Time!$F$16^((BD8-Inputs!$F$212)/12),INDEX(Operations!$J$11:$BN$11,1,BD12))</f>
        <v/>
      </c>
      <c r="BE16" s="13">
        <f>IF(Inputs!$F$33=1,Inputs!$F$60*Time!$F$16^((BE8-Inputs!$F$212)/12),INDEX(Operations!$J$11:$BN$11,1,BE12))</f>
        <v/>
      </c>
      <c r="BF16" s="13">
        <f>IF(Inputs!$F$33=1,Inputs!$F$60*Time!$F$16^((BF8-Inputs!$F$212)/12),INDEX(Operations!$J$11:$BN$11,1,BF12))</f>
        <v/>
      </c>
      <c r="BG16" s="13">
        <f>IF(Inputs!$F$33=1,Inputs!$F$60*Time!$F$16^((BG8-Inputs!$F$212)/12),INDEX(Operations!$J$11:$BN$11,1,BG12))</f>
        <v/>
      </c>
      <c r="BH16" s="13">
        <f>IF(Inputs!$F$33=1,Inputs!$F$60*Time!$F$16^((BH8-Inputs!$F$212)/12),INDEX(Operations!$J$11:$BN$11,1,BH12))</f>
        <v/>
      </c>
      <c r="BI16" s="13">
        <f>IF(Inputs!$F$33=1,Inputs!$F$60*Time!$F$16^((BI8-Inputs!$F$212)/12),INDEX(Operations!$J$11:$BN$11,1,BI12))</f>
        <v/>
      </c>
      <c r="BJ16" s="13">
        <f>IF(Inputs!$F$33=1,Inputs!$F$60*Time!$F$16^((BJ8-Inputs!$F$212)/12),INDEX(Operations!$J$11:$BN$11,1,BJ12))</f>
        <v/>
      </c>
    </row>
    <row r="17">
      <c r="D17" t="inlineStr">
        <is>
          <t>Base rate (6M fixing for the half-year)</t>
        </is>
      </c>
      <c r="E17" t="inlineStr">
        <is>
          <t>%</t>
        </is>
      </c>
      <c r="J17" s="13">
        <f>INDEX(Operations!$J$8:$BN$8,1,J12)</f>
        <v/>
      </c>
      <c r="K17" s="13">
        <f>INDEX(Operations!$J$8:$BN$8,1,K12)</f>
        <v/>
      </c>
      <c r="L17" s="13">
        <f>INDEX(Operations!$J$8:$BN$8,1,L12)</f>
        <v/>
      </c>
      <c r="M17" s="13">
        <f>INDEX(Operations!$J$8:$BN$8,1,M12)</f>
        <v/>
      </c>
      <c r="N17" s="13">
        <f>INDEX(Operations!$J$8:$BN$8,1,N12)</f>
        <v/>
      </c>
      <c r="O17" s="13">
        <f>INDEX(Operations!$J$8:$BN$8,1,O12)</f>
        <v/>
      </c>
      <c r="P17" s="13">
        <f>INDEX(Operations!$J$8:$BN$8,1,P12)</f>
        <v/>
      </c>
      <c r="Q17" s="13">
        <f>INDEX(Operations!$J$8:$BN$8,1,Q12)</f>
        <v/>
      </c>
      <c r="R17" s="13">
        <f>INDEX(Operations!$J$8:$BN$8,1,R12)</f>
        <v/>
      </c>
      <c r="S17" s="13">
        <f>INDEX(Operations!$J$8:$BN$8,1,S12)</f>
        <v/>
      </c>
      <c r="T17" s="13">
        <f>INDEX(Operations!$J$8:$BN$8,1,T12)</f>
        <v/>
      </c>
      <c r="U17" s="13">
        <f>INDEX(Operations!$J$8:$BN$8,1,U12)</f>
        <v/>
      </c>
      <c r="V17" s="13">
        <f>INDEX(Operations!$J$8:$BN$8,1,V12)</f>
        <v/>
      </c>
      <c r="W17" s="13">
        <f>INDEX(Operations!$J$8:$BN$8,1,W12)</f>
        <v/>
      </c>
      <c r="X17" s="13">
        <f>INDEX(Operations!$J$8:$BN$8,1,X12)</f>
        <v/>
      </c>
      <c r="Y17" s="13">
        <f>INDEX(Operations!$J$8:$BN$8,1,Y12)</f>
        <v/>
      </c>
      <c r="Z17" s="13">
        <f>INDEX(Operations!$J$8:$BN$8,1,Z12)</f>
        <v/>
      </c>
      <c r="AA17" s="13">
        <f>INDEX(Operations!$J$8:$BN$8,1,AA12)</f>
        <v/>
      </c>
      <c r="AB17" s="13">
        <f>INDEX(Operations!$J$8:$BN$8,1,AB12)</f>
        <v/>
      </c>
      <c r="AC17" s="13">
        <f>INDEX(Operations!$J$8:$BN$8,1,AC12)</f>
        <v/>
      </c>
      <c r="AD17" s="13">
        <f>INDEX(Operations!$J$8:$BN$8,1,AD12)</f>
        <v/>
      </c>
      <c r="AE17" s="13">
        <f>INDEX(Operations!$J$8:$BN$8,1,AE12)</f>
        <v/>
      </c>
      <c r="AF17" s="13">
        <f>INDEX(Operations!$J$8:$BN$8,1,AF12)</f>
        <v/>
      </c>
      <c r="AG17" s="13">
        <f>INDEX(Operations!$J$8:$BN$8,1,AG12)</f>
        <v/>
      </c>
      <c r="AH17" s="13">
        <f>INDEX(Operations!$J$8:$BN$8,1,AH12)</f>
        <v/>
      </c>
      <c r="AI17" s="13">
        <f>INDEX(Operations!$J$8:$BN$8,1,AI12)</f>
        <v/>
      </c>
      <c r="AJ17" s="13">
        <f>INDEX(Operations!$J$8:$BN$8,1,AJ12)</f>
        <v/>
      </c>
      <c r="AK17" s="13">
        <f>INDEX(Operations!$J$8:$BN$8,1,AK12)</f>
        <v/>
      </c>
      <c r="AL17" s="13">
        <f>INDEX(Operations!$J$8:$BN$8,1,AL12)</f>
        <v/>
      </c>
      <c r="AM17" s="13">
        <f>INDEX(Operations!$J$8:$BN$8,1,AM12)</f>
        <v/>
      </c>
      <c r="AN17" s="13">
        <f>INDEX(Operations!$J$8:$BN$8,1,AN12)</f>
        <v/>
      </c>
      <c r="AO17" s="13">
        <f>INDEX(Operations!$J$8:$BN$8,1,AO12)</f>
        <v/>
      </c>
      <c r="AP17" s="13">
        <f>INDEX(Operations!$J$8:$BN$8,1,AP12)</f>
        <v/>
      </c>
      <c r="AQ17" s="13">
        <f>INDEX(Operations!$J$8:$BN$8,1,AQ12)</f>
        <v/>
      </c>
      <c r="AR17" s="13">
        <f>INDEX(Operations!$J$8:$BN$8,1,AR12)</f>
        <v/>
      </c>
      <c r="AS17" s="13">
        <f>INDEX(Operations!$J$8:$BN$8,1,AS12)</f>
        <v/>
      </c>
      <c r="AT17" s="13">
        <f>INDEX(Operations!$J$8:$BN$8,1,AT12)</f>
        <v/>
      </c>
      <c r="AU17" s="13">
        <f>INDEX(Operations!$J$8:$BN$8,1,AU12)</f>
        <v/>
      </c>
      <c r="AV17" s="13">
        <f>INDEX(Operations!$J$8:$BN$8,1,AV12)</f>
        <v/>
      </c>
      <c r="AW17" s="13">
        <f>INDEX(Operations!$J$8:$BN$8,1,AW12)</f>
        <v/>
      </c>
      <c r="AX17" s="13">
        <f>INDEX(Operations!$J$8:$BN$8,1,AX12)</f>
        <v/>
      </c>
      <c r="AY17" s="13">
        <f>INDEX(Operations!$J$8:$BN$8,1,AY12)</f>
        <v/>
      </c>
      <c r="AZ17" s="13">
        <f>INDEX(Operations!$J$8:$BN$8,1,AZ12)</f>
        <v/>
      </c>
      <c r="BA17" s="13">
        <f>INDEX(Operations!$J$8:$BN$8,1,BA12)</f>
        <v/>
      </c>
      <c r="BB17" s="13">
        <f>INDEX(Operations!$J$8:$BN$8,1,BB12)</f>
        <v/>
      </c>
      <c r="BC17" s="13">
        <f>INDEX(Operations!$J$8:$BN$8,1,BC12)</f>
        <v/>
      </c>
      <c r="BD17" s="13">
        <f>INDEX(Operations!$J$8:$BN$8,1,BD12)</f>
        <v/>
      </c>
      <c r="BE17" s="13">
        <f>INDEX(Operations!$J$8:$BN$8,1,BE12)</f>
        <v/>
      </c>
      <c r="BF17" s="13">
        <f>INDEX(Operations!$J$8:$BN$8,1,BF12)</f>
        <v/>
      </c>
      <c r="BG17" s="13">
        <f>INDEX(Operations!$J$8:$BN$8,1,BG12)</f>
        <v/>
      </c>
      <c r="BH17" s="13">
        <f>INDEX(Operations!$J$8:$BN$8,1,BH12)</f>
        <v/>
      </c>
      <c r="BI17" s="13">
        <f>INDEX(Operations!$J$8:$BN$8,1,BI12)</f>
        <v/>
      </c>
      <c r="BJ17" s="13">
        <f>INDEX(Operations!$J$8:$BN$8,1,BJ12)</f>
        <v/>
      </c>
    </row>
    <row r="18">
      <c r="D18" t="inlineStr">
        <is>
          <t>Kessara policy rate</t>
        </is>
      </c>
      <c r="E18" t="inlineStr">
        <is>
          <t>%</t>
        </is>
      </c>
      <c r="J18" s="13">
        <f>IF(Inputs!$F$33=1,Inputs!$F$73,INDEX(Inputs!$J$289:$AR$289,1,MATCH(YEAR(J9),Inputs!$J$282:$AR$282,0)))</f>
        <v/>
      </c>
      <c r="K18" s="13">
        <f>IF(Inputs!$F$33=1,Inputs!$F$73,INDEX(Inputs!$J$289:$AR$289,1,MATCH(YEAR(K9),Inputs!$J$282:$AR$282,0)))</f>
        <v/>
      </c>
      <c r="L18" s="13">
        <f>IF(Inputs!$F$33=1,Inputs!$F$73,INDEX(Inputs!$J$289:$AR$289,1,MATCH(YEAR(L9),Inputs!$J$282:$AR$282,0)))</f>
        <v/>
      </c>
      <c r="M18" s="13">
        <f>IF(Inputs!$F$33=1,Inputs!$F$73,INDEX(Inputs!$J$289:$AR$289,1,MATCH(YEAR(M9),Inputs!$J$282:$AR$282,0)))</f>
        <v/>
      </c>
      <c r="N18" s="13">
        <f>IF(Inputs!$F$33=1,Inputs!$F$73,INDEX(Inputs!$J$289:$AR$289,1,MATCH(YEAR(N9),Inputs!$J$282:$AR$282,0)))</f>
        <v/>
      </c>
      <c r="O18" s="13">
        <f>IF(Inputs!$F$33=1,Inputs!$F$73,INDEX(Inputs!$J$289:$AR$289,1,MATCH(YEAR(O9),Inputs!$J$282:$AR$282,0)))</f>
        <v/>
      </c>
      <c r="P18" s="13">
        <f>IF(Inputs!$F$33=1,Inputs!$F$73,INDEX(Inputs!$J$289:$AR$289,1,MATCH(YEAR(P9),Inputs!$J$282:$AR$282,0)))</f>
        <v/>
      </c>
      <c r="Q18" s="13">
        <f>IF(Inputs!$F$33=1,Inputs!$F$73,INDEX(Inputs!$J$289:$AR$289,1,MATCH(YEAR(Q9),Inputs!$J$282:$AR$282,0)))</f>
        <v/>
      </c>
      <c r="R18" s="13">
        <f>IF(Inputs!$F$33=1,Inputs!$F$73,INDEX(Inputs!$J$289:$AR$289,1,MATCH(YEAR(R9),Inputs!$J$282:$AR$282,0)))</f>
        <v/>
      </c>
      <c r="S18" s="13">
        <f>IF(Inputs!$F$33=1,Inputs!$F$73,INDEX(Inputs!$J$289:$AR$289,1,MATCH(YEAR(S9),Inputs!$J$282:$AR$282,0)))</f>
        <v/>
      </c>
      <c r="T18" s="13">
        <f>IF(Inputs!$F$33=1,Inputs!$F$73,INDEX(Inputs!$J$289:$AR$289,1,MATCH(YEAR(T9),Inputs!$J$282:$AR$282,0)))</f>
        <v/>
      </c>
      <c r="U18" s="13">
        <f>IF(Inputs!$F$33=1,Inputs!$F$73,INDEX(Inputs!$J$289:$AR$289,1,MATCH(YEAR(U9),Inputs!$J$282:$AR$282,0)))</f>
        <v/>
      </c>
      <c r="V18" s="13">
        <f>IF(Inputs!$F$33=1,Inputs!$F$73,INDEX(Inputs!$J$289:$AR$289,1,MATCH(YEAR(V9),Inputs!$J$282:$AR$282,0)))</f>
        <v/>
      </c>
      <c r="W18" s="13">
        <f>IF(Inputs!$F$33=1,Inputs!$F$73,INDEX(Inputs!$J$289:$AR$289,1,MATCH(YEAR(W9),Inputs!$J$282:$AR$282,0)))</f>
        <v/>
      </c>
      <c r="X18" s="13">
        <f>IF(Inputs!$F$33=1,Inputs!$F$73,INDEX(Inputs!$J$289:$AR$289,1,MATCH(YEAR(X9),Inputs!$J$282:$AR$282,0)))</f>
        <v/>
      </c>
      <c r="Y18" s="13">
        <f>IF(Inputs!$F$33=1,Inputs!$F$73,INDEX(Inputs!$J$289:$AR$289,1,MATCH(YEAR(Y9),Inputs!$J$282:$AR$282,0)))</f>
        <v/>
      </c>
      <c r="Z18" s="13">
        <f>IF(Inputs!$F$33=1,Inputs!$F$73,INDEX(Inputs!$J$289:$AR$289,1,MATCH(YEAR(Z9),Inputs!$J$282:$AR$282,0)))</f>
        <v/>
      </c>
      <c r="AA18" s="13">
        <f>IF(Inputs!$F$33=1,Inputs!$F$73,INDEX(Inputs!$J$289:$AR$289,1,MATCH(YEAR(AA9),Inputs!$J$282:$AR$282,0)))</f>
        <v/>
      </c>
      <c r="AB18" s="13">
        <f>IF(Inputs!$F$33=1,Inputs!$F$73,INDEX(Inputs!$J$289:$AR$289,1,MATCH(YEAR(AB9),Inputs!$J$282:$AR$282,0)))</f>
        <v/>
      </c>
      <c r="AC18" s="13">
        <f>IF(Inputs!$F$33=1,Inputs!$F$73,INDEX(Inputs!$J$289:$AR$289,1,MATCH(YEAR(AC9),Inputs!$J$282:$AR$282,0)))</f>
        <v/>
      </c>
      <c r="AD18" s="13">
        <f>IF(Inputs!$F$33=1,Inputs!$F$73,INDEX(Inputs!$J$289:$AR$289,1,MATCH(YEAR(AD9),Inputs!$J$282:$AR$282,0)))</f>
        <v/>
      </c>
      <c r="AE18" s="13">
        <f>IF(Inputs!$F$33=1,Inputs!$F$73,INDEX(Inputs!$J$289:$AR$289,1,MATCH(YEAR(AE9),Inputs!$J$282:$AR$282,0)))</f>
        <v/>
      </c>
      <c r="AF18" s="13">
        <f>IF(Inputs!$F$33=1,Inputs!$F$73,INDEX(Inputs!$J$289:$AR$289,1,MATCH(YEAR(AF9),Inputs!$J$282:$AR$282,0)))</f>
        <v/>
      </c>
      <c r="AG18" s="13">
        <f>IF(Inputs!$F$33=1,Inputs!$F$73,INDEX(Inputs!$J$289:$AR$289,1,MATCH(YEAR(AG9),Inputs!$J$282:$AR$282,0)))</f>
        <v/>
      </c>
      <c r="AH18" s="13">
        <f>IF(Inputs!$F$33=1,Inputs!$F$73,INDEX(Inputs!$J$289:$AR$289,1,MATCH(YEAR(AH9),Inputs!$J$282:$AR$282,0)))</f>
        <v/>
      </c>
      <c r="AI18" s="13">
        <f>IF(Inputs!$F$33=1,Inputs!$F$73,INDEX(Inputs!$J$289:$AR$289,1,MATCH(YEAR(AI9),Inputs!$J$282:$AR$282,0)))</f>
        <v/>
      </c>
      <c r="AJ18" s="13">
        <f>IF(Inputs!$F$33=1,Inputs!$F$73,INDEX(Inputs!$J$289:$AR$289,1,MATCH(YEAR(AJ9),Inputs!$J$282:$AR$282,0)))</f>
        <v/>
      </c>
      <c r="AK18" s="13">
        <f>IF(Inputs!$F$33=1,Inputs!$F$73,INDEX(Inputs!$J$289:$AR$289,1,MATCH(YEAR(AK9),Inputs!$J$282:$AR$282,0)))</f>
        <v/>
      </c>
      <c r="AL18" s="13">
        <f>IF(Inputs!$F$33=1,Inputs!$F$73,INDEX(Inputs!$J$289:$AR$289,1,MATCH(YEAR(AL9),Inputs!$J$282:$AR$282,0)))</f>
        <v/>
      </c>
      <c r="AM18" s="13">
        <f>IF(Inputs!$F$33=1,Inputs!$F$73,INDEX(Inputs!$J$289:$AR$289,1,MATCH(YEAR(AM9),Inputs!$J$282:$AR$282,0)))</f>
        <v/>
      </c>
      <c r="AN18" s="13">
        <f>IF(Inputs!$F$33=1,Inputs!$F$73,INDEX(Inputs!$J$289:$AR$289,1,MATCH(YEAR(AN9),Inputs!$J$282:$AR$282,0)))</f>
        <v/>
      </c>
      <c r="AO18" s="13">
        <f>IF(Inputs!$F$33=1,Inputs!$F$73,INDEX(Inputs!$J$289:$AR$289,1,MATCH(YEAR(AO9),Inputs!$J$282:$AR$282,0)))</f>
        <v/>
      </c>
      <c r="AP18" s="13">
        <f>IF(Inputs!$F$33=1,Inputs!$F$73,INDEX(Inputs!$J$289:$AR$289,1,MATCH(YEAR(AP9),Inputs!$J$282:$AR$282,0)))</f>
        <v/>
      </c>
      <c r="AQ18" s="13">
        <f>IF(Inputs!$F$33=1,Inputs!$F$73,INDEX(Inputs!$J$289:$AR$289,1,MATCH(YEAR(AQ9),Inputs!$J$282:$AR$282,0)))</f>
        <v/>
      </c>
      <c r="AR18" s="13">
        <f>IF(Inputs!$F$33=1,Inputs!$F$73,INDEX(Inputs!$J$289:$AR$289,1,MATCH(YEAR(AR9),Inputs!$J$282:$AR$282,0)))</f>
        <v/>
      </c>
      <c r="AS18" s="13">
        <f>IF(Inputs!$F$33=1,Inputs!$F$73,INDEX(Inputs!$J$289:$AR$289,1,MATCH(YEAR(AS9),Inputs!$J$282:$AR$282,0)))</f>
        <v/>
      </c>
      <c r="AT18" s="13">
        <f>IF(Inputs!$F$33=1,Inputs!$F$73,INDEX(Inputs!$J$289:$AR$289,1,MATCH(YEAR(AT9),Inputs!$J$282:$AR$282,0)))</f>
        <v/>
      </c>
      <c r="AU18" s="13">
        <f>IF(Inputs!$F$33=1,Inputs!$F$73,INDEX(Inputs!$J$289:$AR$289,1,MATCH(YEAR(AU9),Inputs!$J$282:$AR$282,0)))</f>
        <v/>
      </c>
      <c r="AV18" s="13">
        <f>IF(Inputs!$F$33=1,Inputs!$F$73,INDEX(Inputs!$J$289:$AR$289,1,MATCH(YEAR(AV9),Inputs!$J$282:$AR$282,0)))</f>
        <v/>
      </c>
      <c r="AW18" s="13">
        <f>IF(Inputs!$F$33=1,Inputs!$F$73,INDEX(Inputs!$J$289:$AR$289,1,MATCH(YEAR(AW9),Inputs!$J$282:$AR$282,0)))</f>
        <v/>
      </c>
      <c r="AX18" s="13">
        <f>IF(Inputs!$F$33=1,Inputs!$F$73,INDEX(Inputs!$J$289:$AR$289,1,MATCH(YEAR(AX9),Inputs!$J$282:$AR$282,0)))</f>
        <v/>
      </c>
      <c r="AY18" s="13">
        <f>IF(Inputs!$F$33=1,Inputs!$F$73,INDEX(Inputs!$J$289:$AR$289,1,MATCH(YEAR(AY9),Inputs!$J$282:$AR$282,0)))</f>
        <v/>
      </c>
      <c r="AZ18" s="13">
        <f>IF(Inputs!$F$33=1,Inputs!$F$73,INDEX(Inputs!$J$289:$AR$289,1,MATCH(YEAR(AZ9),Inputs!$J$282:$AR$282,0)))</f>
        <v/>
      </c>
      <c r="BA18" s="13">
        <f>IF(Inputs!$F$33=1,Inputs!$F$73,INDEX(Inputs!$J$289:$AR$289,1,MATCH(YEAR(BA9),Inputs!$J$282:$AR$282,0)))</f>
        <v/>
      </c>
      <c r="BB18" s="13">
        <f>IF(Inputs!$F$33=1,Inputs!$F$73,INDEX(Inputs!$J$289:$AR$289,1,MATCH(YEAR(BB9),Inputs!$J$282:$AR$282,0)))</f>
        <v/>
      </c>
      <c r="BC18" s="13">
        <f>IF(Inputs!$F$33=1,Inputs!$F$73,INDEX(Inputs!$J$289:$AR$289,1,MATCH(YEAR(BC9),Inputs!$J$282:$AR$282,0)))</f>
        <v/>
      </c>
      <c r="BD18" s="13">
        <f>IF(Inputs!$F$33=1,Inputs!$F$73,INDEX(Inputs!$J$289:$AR$289,1,MATCH(YEAR(BD9),Inputs!$J$282:$AR$282,0)))</f>
        <v/>
      </c>
      <c r="BE18" s="13">
        <f>IF(Inputs!$F$33=1,Inputs!$F$73,INDEX(Inputs!$J$289:$AR$289,1,MATCH(YEAR(BE9),Inputs!$J$282:$AR$282,0)))</f>
        <v/>
      </c>
      <c r="BF18" s="13">
        <f>IF(Inputs!$F$33=1,Inputs!$F$73,INDEX(Inputs!$J$289:$AR$289,1,MATCH(YEAR(BF9),Inputs!$J$282:$AR$282,0)))</f>
        <v/>
      </c>
      <c r="BG18" s="13">
        <f>IF(Inputs!$F$33=1,Inputs!$F$73,INDEX(Inputs!$J$289:$AR$289,1,MATCH(YEAR(BG9),Inputs!$J$282:$AR$282,0)))</f>
        <v/>
      </c>
      <c r="BH18" s="13">
        <f>IF(Inputs!$F$33=1,Inputs!$F$73,INDEX(Inputs!$J$289:$AR$289,1,MATCH(YEAR(BH9),Inputs!$J$282:$AR$282,0)))</f>
        <v/>
      </c>
      <c r="BI18" s="13">
        <f>IF(Inputs!$F$33=1,Inputs!$F$73,INDEX(Inputs!$J$289:$AR$289,1,MATCH(YEAR(BI9),Inputs!$J$282:$AR$282,0)))</f>
        <v/>
      </c>
      <c r="BJ18" s="13">
        <f>IF(Inputs!$F$33=1,Inputs!$F$73,INDEX(Inputs!$J$289:$AR$289,1,MATCH(YEAR(BJ9),Inputs!$J$282:$AR$282,0)))</f>
        <v/>
      </c>
    </row>
    <row r="19">
      <c r="B19" s="2" t="inlineStr">
        <is>
          <t>Uses before financing costs (USD m)</t>
        </is>
      </c>
    </row>
    <row r="20">
      <c r="D20" t="inlineStr">
        <is>
          <t>EPC payment profile, selected</t>
        </is>
      </c>
      <c r="E20" t="inlineStr">
        <is>
          <t>%</t>
        </is>
      </c>
      <c r="J20" s="13">
        <f>IF(Inputs!$F$34&lt;&gt;1,Inputs!J306,Inputs!J305+IF(Inputs!$F$35&gt;0,IF(J8=Inputs!$F$237,-Inputs!$F$238,0)+IF(J8=Inputs!$F$237+Inputs!$F$35,Inputs!$F$238,0),0))</f>
        <v/>
      </c>
      <c r="K20" s="13">
        <f>IF(Inputs!$F$34&lt;&gt;1,Inputs!K306,Inputs!K305+IF(Inputs!$F$35&gt;0,IF(K8=Inputs!$F$237,-Inputs!$F$238,0)+IF(K8=Inputs!$F$237+Inputs!$F$35,Inputs!$F$238,0),0))</f>
        <v/>
      </c>
      <c r="L20" s="13">
        <f>IF(Inputs!$F$34&lt;&gt;1,Inputs!L306,Inputs!L305+IF(Inputs!$F$35&gt;0,IF(L8=Inputs!$F$237,-Inputs!$F$238,0)+IF(L8=Inputs!$F$237+Inputs!$F$35,Inputs!$F$238,0),0))</f>
        <v/>
      </c>
      <c r="M20" s="13">
        <f>IF(Inputs!$F$34&lt;&gt;1,Inputs!M306,Inputs!M305+IF(Inputs!$F$35&gt;0,IF(M8=Inputs!$F$237,-Inputs!$F$238,0)+IF(M8=Inputs!$F$237+Inputs!$F$35,Inputs!$F$238,0),0))</f>
        <v/>
      </c>
      <c r="N20" s="13">
        <f>IF(Inputs!$F$34&lt;&gt;1,Inputs!N306,Inputs!N305+IF(Inputs!$F$35&gt;0,IF(N8=Inputs!$F$237,-Inputs!$F$238,0)+IF(N8=Inputs!$F$237+Inputs!$F$35,Inputs!$F$238,0),0))</f>
        <v/>
      </c>
      <c r="O20" s="13">
        <f>IF(Inputs!$F$34&lt;&gt;1,Inputs!O306,Inputs!O305+IF(Inputs!$F$35&gt;0,IF(O8=Inputs!$F$237,-Inputs!$F$238,0)+IF(O8=Inputs!$F$237+Inputs!$F$35,Inputs!$F$238,0),0))</f>
        <v/>
      </c>
      <c r="P20" s="13">
        <f>IF(Inputs!$F$34&lt;&gt;1,Inputs!P306,Inputs!P305+IF(Inputs!$F$35&gt;0,IF(P8=Inputs!$F$237,-Inputs!$F$238,0)+IF(P8=Inputs!$F$237+Inputs!$F$35,Inputs!$F$238,0),0))</f>
        <v/>
      </c>
      <c r="Q20" s="13">
        <f>IF(Inputs!$F$34&lt;&gt;1,Inputs!Q306,Inputs!Q305+IF(Inputs!$F$35&gt;0,IF(Q8=Inputs!$F$237,-Inputs!$F$238,0)+IF(Q8=Inputs!$F$237+Inputs!$F$35,Inputs!$F$238,0),0))</f>
        <v/>
      </c>
      <c r="R20" s="13">
        <f>IF(Inputs!$F$34&lt;&gt;1,Inputs!R306,Inputs!R305+IF(Inputs!$F$35&gt;0,IF(R8=Inputs!$F$237,-Inputs!$F$238,0)+IF(R8=Inputs!$F$237+Inputs!$F$35,Inputs!$F$238,0),0))</f>
        <v/>
      </c>
      <c r="S20" s="13">
        <f>IF(Inputs!$F$34&lt;&gt;1,Inputs!S306,Inputs!S305+IF(Inputs!$F$35&gt;0,IF(S8=Inputs!$F$237,-Inputs!$F$238,0)+IF(S8=Inputs!$F$237+Inputs!$F$35,Inputs!$F$238,0),0))</f>
        <v/>
      </c>
      <c r="T20" s="13">
        <f>IF(Inputs!$F$34&lt;&gt;1,Inputs!T306,Inputs!T305+IF(Inputs!$F$35&gt;0,IF(T8=Inputs!$F$237,-Inputs!$F$238,0)+IF(T8=Inputs!$F$237+Inputs!$F$35,Inputs!$F$238,0),0))</f>
        <v/>
      </c>
      <c r="U20" s="13">
        <f>IF(Inputs!$F$34&lt;&gt;1,Inputs!U306,Inputs!U305+IF(Inputs!$F$35&gt;0,IF(U8=Inputs!$F$237,-Inputs!$F$238,0)+IF(U8=Inputs!$F$237+Inputs!$F$35,Inputs!$F$238,0),0))</f>
        <v/>
      </c>
      <c r="V20" s="13">
        <f>IF(Inputs!$F$34&lt;&gt;1,Inputs!V306,Inputs!V305+IF(Inputs!$F$35&gt;0,IF(V8=Inputs!$F$237,-Inputs!$F$238,0)+IF(V8=Inputs!$F$237+Inputs!$F$35,Inputs!$F$238,0),0))</f>
        <v/>
      </c>
      <c r="W20" s="13">
        <f>IF(Inputs!$F$34&lt;&gt;1,Inputs!W306,Inputs!W305+IF(Inputs!$F$35&gt;0,IF(W8=Inputs!$F$237,-Inputs!$F$238,0)+IF(W8=Inputs!$F$237+Inputs!$F$35,Inputs!$F$238,0),0))</f>
        <v/>
      </c>
      <c r="X20" s="13">
        <f>IF(Inputs!$F$34&lt;&gt;1,Inputs!X306,Inputs!X305+IF(Inputs!$F$35&gt;0,IF(X8=Inputs!$F$237,-Inputs!$F$238,0)+IF(X8=Inputs!$F$237+Inputs!$F$35,Inputs!$F$238,0),0))</f>
        <v/>
      </c>
      <c r="Y20" s="13">
        <f>IF(Inputs!$F$34&lt;&gt;1,Inputs!Y306,Inputs!Y305+IF(Inputs!$F$35&gt;0,IF(Y8=Inputs!$F$237,-Inputs!$F$238,0)+IF(Y8=Inputs!$F$237+Inputs!$F$35,Inputs!$F$238,0),0))</f>
        <v/>
      </c>
      <c r="Z20" s="13">
        <f>IF(Inputs!$F$34&lt;&gt;1,Inputs!Z306,Inputs!Z305+IF(Inputs!$F$35&gt;0,IF(Z8=Inputs!$F$237,-Inputs!$F$238,0)+IF(Z8=Inputs!$F$237+Inputs!$F$35,Inputs!$F$238,0),0))</f>
        <v/>
      </c>
      <c r="AA20" s="13">
        <f>IF(Inputs!$F$34&lt;&gt;1,Inputs!AA306,Inputs!AA305+IF(Inputs!$F$35&gt;0,IF(AA8=Inputs!$F$237,-Inputs!$F$238,0)+IF(AA8=Inputs!$F$237+Inputs!$F$35,Inputs!$F$238,0),0))</f>
        <v/>
      </c>
      <c r="AB20" s="13">
        <f>IF(Inputs!$F$34&lt;&gt;1,Inputs!AB306,Inputs!AB305+IF(Inputs!$F$35&gt;0,IF(AB8=Inputs!$F$237,-Inputs!$F$238,0)+IF(AB8=Inputs!$F$237+Inputs!$F$35,Inputs!$F$238,0),0))</f>
        <v/>
      </c>
      <c r="AC20" s="13">
        <f>IF(Inputs!$F$34&lt;&gt;1,Inputs!AC306,Inputs!AC305+IF(Inputs!$F$35&gt;0,IF(AC8=Inputs!$F$237,-Inputs!$F$238,0)+IF(AC8=Inputs!$F$237+Inputs!$F$35,Inputs!$F$238,0),0))</f>
        <v/>
      </c>
      <c r="AD20" s="13">
        <f>IF(Inputs!$F$34&lt;&gt;1,Inputs!AD306,Inputs!AD305+IF(Inputs!$F$35&gt;0,IF(AD8=Inputs!$F$237,-Inputs!$F$238,0)+IF(AD8=Inputs!$F$237+Inputs!$F$35,Inputs!$F$238,0),0))</f>
        <v/>
      </c>
      <c r="AE20" s="13">
        <f>IF(Inputs!$F$34&lt;&gt;1,Inputs!AE306,Inputs!AE305+IF(Inputs!$F$35&gt;0,IF(AE8=Inputs!$F$237,-Inputs!$F$238,0)+IF(AE8=Inputs!$F$237+Inputs!$F$35,Inputs!$F$238,0),0))</f>
        <v/>
      </c>
      <c r="AF20" s="13">
        <f>IF(Inputs!$F$34&lt;&gt;1,Inputs!AF306,Inputs!AF305+IF(Inputs!$F$35&gt;0,IF(AF8=Inputs!$F$237,-Inputs!$F$238,0)+IF(AF8=Inputs!$F$237+Inputs!$F$35,Inputs!$F$238,0),0))</f>
        <v/>
      </c>
      <c r="AG20" s="13">
        <f>IF(Inputs!$F$34&lt;&gt;1,Inputs!AG306,Inputs!AG305+IF(Inputs!$F$35&gt;0,IF(AG8=Inputs!$F$237,-Inputs!$F$238,0)+IF(AG8=Inputs!$F$237+Inputs!$F$35,Inputs!$F$238,0),0))</f>
        <v/>
      </c>
      <c r="AH20" s="13">
        <f>IF(Inputs!$F$34&lt;&gt;1,Inputs!AH306,Inputs!AH305+IF(Inputs!$F$35&gt;0,IF(AH8=Inputs!$F$237,-Inputs!$F$238,0)+IF(AH8=Inputs!$F$237+Inputs!$F$35,Inputs!$F$238,0),0))</f>
        <v/>
      </c>
      <c r="AI20" s="13">
        <f>IF(Inputs!$F$34&lt;&gt;1,Inputs!AI306,Inputs!AI305+IF(Inputs!$F$35&gt;0,IF(AI8=Inputs!$F$237,-Inputs!$F$238,0)+IF(AI8=Inputs!$F$237+Inputs!$F$35,Inputs!$F$238,0),0))</f>
        <v/>
      </c>
      <c r="AJ20" s="13">
        <f>IF(Inputs!$F$34&lt;&gt;1,Inputs!AJ306,Inputs!AJ305+IF(Inputs!$F$35&gt;0,IF(AJ8=Inputs!$F$237,-Inputs!$F$238,0)+IF(AJ8=Inputs!$F$237+Inputs!$F$35,Inputs!$F$238,0),0))</f>
        <v/>
      </c>
      <c r="AK20" s="13">
        <f>IF(Inputs!$F$34&lt;&gt;1,Inputs!AK306,Inputs!AK305+IF(Inputs!$F$35&gt;0,IF(AK8=Inputs!$F$237,-Inputs!$F$238,0)+IF(AK8=Inputs!$F$237+Inputs!$F$35,Inputs!$F$238,0),0))</f>
        <v/>
      </c>
      <c r="AL20" s="13">
        <f>IF(Inputs!$F$34&lt;&gt;1,Inputs!AL306,Inputs!AL305+IF(Inputs!$F$35&gt;0,IF(AL8=Inputs!$F$237,-Inputs!$F$238,0)+IF(AL8=Inputs!$F$237+Inputs!$F$35,Inputs!$F$238,0),0))</f>
        <v/>
      </c>
      <c r="AM20" s="13">
        <f>IF(Inputs!$F$34&lt;&gt;1,Inputs!AM306,Inputs!AM305+IF(Inputs!$F$35&gt;0,IF(AM8=Inputs!$F$237,-Inputs!$F$238,0)+IF(AM8=Inputs!$F$237+Inputs!$F$35,Inputs!$F$238,0),0))</f>
        <v/>
      </c>
      <c r="AN20" s="13">
        <f>IF(Inputs!$F$34&lt;&gt;1,Inputs!AN306,Inputs!AN305+IF(Inputs!$F$35&gt;0,IF(AN8=Inputs!$F$237,-Inputs!$F$238,0)+IF(AN8=Inputs!$F$237+Inputs!$F$35,Inputs!$F$238,0),0))</f>
        <v/>
      </c>
      <c r="AO20" s="13">
        <f>IF(Inputs!$F$34&lt;&gt;1,Inputs!AO306,Inputs!AO305+IF(Inputs!$F$35&gt;0,IF(AO8=Inputs!$F$237,-Inputs!$F$238,0)+IF(AO8=Inputs!$F$237+Inputs!$F$35,Inputs!$F$238,0),0))</f>
        <v/>
      </c>
      <c r="AP20" s="13">
        <f>IF(Inputs!$F$34&lt;&gt;1,Inputs!AP306,Inputs!AP305+IF(Inputs!$F$35&gt;0,IF(AP8=Inputs!$F$237,-Inputs!$F$238,0)+IF(AP8=Inputs!$F$237+Inputs!$F$35,Inputs!$F$238,0),0))</f>
        <v/>
      </c>
      <c r="AQ20" s="13">
        <f>IF(Inputs!$F$34&lt;&gt;1,Inputs!AQ306,Inputs!AQ305+IF(Inputs!$F$35&gt;0,IF(AQ8=Inputs!$F$237,-Inputs!$F$238,0)+IF(AQ8=Inputs!$F$237+Inputs!$F$35,Inputs!$F$238,0),0))</f>
        <v/>
      </c>
      <c r="AR20" s="13">
        <f>IF(Inputs!$F$34&lt;&gt;1,Inputs!AR306,Inputs!AR305+IF(Inputs!$F$35&gt;0,IF(AR8=Inputs!$F$237,-Inputs!$F$238,0)+IF(AR8=Inputs!$F$237+Inputs!$F$35,Inputs!$F$238,0),0))</f>
        <v/>
      </c>
      <c r="AS20" s="13">
        <f>IF(Inputs!$F$34&lt;&gt;1,Inputs!AS306,Inputs!AS305+IF(Inputs!$F$35&gt;0,IF(AS8=Inputs!$F$237,-Inputs!$F$238,0)+IF(AS8=Inputs!$F$237+Inputs!$F$35,Inputs!$F$238,0),0))</f>
        <v/>
      </c>
      <c r="AT20" s="13">
        <f>IF(Inputs!$F$34&lt;&gt;1,Inputs!AT306,Inputs!AT305+IF(Inputs!$F$35&gt;0,IF(AT8=Inputs!$F$237,-Inputs!$F$238,0)+IF(AT8=Inputs!$F$237+Inputs!$F$35,Inputs!$F$238,0),0))</f>
        <v/>
      </c>
      <c r="AU20" s="13">
        <f>IF(Inputs!$F$34&lt;&gt;1,Inputs!AU306,Inputs!AU305+IF(Inputs!$F$35&gt;0,IF(AU8=Inputs!$F$237,-Inputs!$F$238,0)+IF(AU8=Inputs!$F$237+Inputs!$F$35,Inputs!$F$238,0),0))</f>
        <v/>
      </c>
      <c r="AV20" s="13">
        <f>IF(Inputs!$F$34&lt;&gt;1,Inputs!AV306,Inputs!AV305+IF(Inputs!$F$35&gt;0,IF(AV8=Inputs!$F$237,-Inputs!$F$238,0)+IF(AV8=Inputs!$F$237+Inputs!$F$35,Inputs!$F$238,0),0))</f>
        <v/>
      </c>
      <c r="AW20" s="13">
        <f>IF(Inputs!$F$34&lt;&gt;1,Inputs!AW306,Inputs!AW305+IF(Inputs!$F$35&gt;0,IF(AW8=Inputs!$F$237,-Inputs!$F$238,0)+IF(AW8=Inputs!$F$237+Inputs!$F$35,Inputs!$F$238,0),0))</f>
        <v/>
      </c>
      <c r="AX20" s="13">
        <f>IF(Inputs!$F$34&lt;&gt;1,Inputs!AX306,Inputs!AX305+IF(Inputs!$F$35&gt;0,IF(AX8=Inputs!$F$237,-Inputs!$F$238,0)+IF(AX8=Inputs!$F$237+Inputs!$F$35,Inputs!$F$238,0),0))</f>
        <v/>
      </c>
      <c r="AY20" s="13">
        <f>IF(Inputs!$F$34&lt;&gt;1,Inputs!AY306,Inputs!AY305+IF(Inputs!$F$35&gt;0,IF(AY8=Inputs!$F$237,-Inputs!$F$238,0)+IF(AY8=Inputs!$F$237+Inputs!$F$35,Inputs!$F$238,0),0))</f>
        <v/>
      </c>
      <c r="AZ20" s="13">
        <f>IF(Inputs!$F$34&lt;&gt;1,Inputs!AZ306,Inputs!AZ305+IF(Inputs!$F$35&gt;0,IF(AZ8=Inputs!$F$237,-Inputs!$F$238,0)+IF(AZ8=Inputs!$F$237+Inputs!$F$35,Inputs!$F$238,0),0))</f>
        <v/>
      </c>
      <c r="BA20" s="13">
        <f>IF(Inputs!$F$34&lt;&gt;1,Inputs!BA306,Inputs!BA305+IF(Inputs!$F$35&gt;0,IF(BA8=Inputs!$F$237,-Inputs!$F$238,0)+IF(BA8=Inputs!$F$237+Inputs!$F$35,Inputs!$F$238,0),0))</f>
        <v/>
      </c>
      <c r="BB20" s="13">
        <f>IF(Inputs!$F$34&lt;&gt;1,Inputs!BB306,Inputs!BB305+IF(Inputs!$F$35&gt;0,IF(BB8=Inputs!$F$237,-Inputs!$F$238,0)+IF(BB8=Inputs!$F$237+Inputs!$F$35,Inputs!$F$238,0),0))</f>
        <v/>
      </c>
      <c r="BC20" s="13">
        <f>IF(Inputs!$F$34&lt;&gt;1,Inputs!BC306,Inputs!BC305+IF(Inputs!$F$35&gt;0,IF(BC8=Inputs!$F$237,-Inputs!$F$238,0)+IF(BC8=Inputs!$F$237+Inputs!$F$35,Inputs!$F$238,0),0))</f>
        <v/>
      </c>
      <c r="BD20" s="13">
        <f>IF(Inputs!$F$34&lt;&gt;1,Inputs!BD306,Inputs!BD305+IF(Inputs!$F$35&gt;0,IF(BD8=Inputs!$F$237,-Inputs!$F$238,0)+IF(BD8=Inputs!$F$237+Inputs!$F$35,Inputs!$F$238,0),0))</f>
        <v/>
      </c>
      <c r="BE20" s="13">
        <f>IF(Inputs!$F$34&lt;&gt;1,Inputs!BE306,Inputs!BE305+IF(Inputs!$F$35&gt;0,IF(BE8=Inputs!$F$237,-Inputs!$F$238,0)+IF(BE8=Inputs!$F$237+Inputs!$F$35,Inputs!$F$238,0),0))</f>
        <v/>
      </c>
      <c r="BF20" s="13">
        <f>IF(Inputs!$F$34&lt;&gt;1,Inputs!BF306,Inputs!BF305+IF(Inputs!$F$35&gt;0,IF(BF8=Inputs!$F$237,-Inputs!$F$238,0)+IF(BF8=Inputs!$F$237+Inputs!$F$35,Inputs!$F$238,0),0))</f>
        <v/>
      </c>
      <c r="BG20" s="13">
        <f>IF(Inputs!$F$34&lt;&gt;1,Inputs!BG306,Inputs!BG305+IF(Inputs!$F$35&gt;0,IF(BG8=Inputs!$F$237,-Inputs!$F$238,0)+IF(BG8=Inputs!$F$237+Inputs!$F$35,Inputs!$F$238,0),0))</f>
        <v/>
      </c>
      <c r="BH20" s="13">
        <f>IF(Inputs!$F$34&lt;&gt;1,Inputs!BH306,Inputs!BH305+IF(Inputs!$F$35&gt;0,IF(BH8=Inputs!$F$237,-Inputs!$F$238,0)+IF(BH8=Inputs!$F$237+Inputs!$F$35,Inputs!$F$238,0),0))</f>
        <v/>
      </c>
      <c r="BI20" s="13">
        <f>IF(Inputs!$F$34&lt;&gt;1,Inputs!BI306,Inputs!BI305+IF(Inputs!$F$35&gt;0,IF(BI8=Inputs!$F$237,-Inputs!$F$238,0)+IF(BI8=Inputs!$F$237+Inputs!$F$35,Inputs!$F$238,0),0))</f>
        <v/>
      </c>
      <c r="BJ20" s="13">
        <f>IF(Inputs!$F$34&lt;&gt;1,Inputs!BJ306,Inputs!BJ305+IF(Inputs!$F$35&gt;0,IF(BJ8=Inputs!$F$237,-Inputs!$F$238,0)+IF(BJ8=Inputs!$F$237+Inputs!$F$35,Inputs!$F$238,0),0))</f>
        <v/>
      </c>
    </row>
    <row r="21">
      <c r="D21" t="inlineStr">
        <is>
          <t>EPC progress payments for contingency (FC)</t>
        </is>
      </c>
      <c r="E21" t="inlineStr">
        <is>
          <t>%</t>
        </is>
      </c>
      <c r="J21" s="13">
        <f>IF(J8=1,0,J20)-IF(J8=Time!$F$11,Inputs!$F$238,0)</f>
        <v/>
      </c>
      <c r="K21" s="13">
        <f>IF(K8=1,0,K20)-IF(K8=Time!$F$11,Inputs!$F$238,0)</f>
        <v/>
      </c>
      <c r="L21" s="13">
        <f>IF(L8=1,0,L20)-IF(L8=Time!$F$11,Inputs!$F$238,0)</f>
        <v/>
      </c>
      <c r="M21" s="13">
        <f>IF(M8=1,0,M20)-IF(M8=Time!$F$11,Inputs!$F$238,0)</f>
        <v/>
      </c>
      <c r="N21" s="13">
        <f>IF(N8=1,0,N20)-IF(N8=Time!$F$11,Inputs!$F$238,0)</f>
        <v/>
      </c>
      <c r="O21" s="13">
        <f>IF(O8=1,0,O20)-IF(O8=Time!$F$11,Inputs!$F$238,0)</f>
        <v/>
      </c>
      <c r="P21" s="13">
        <f>IF(P8=1,0,P20)-IF(P8=Time!$F$11,Inputs!$F$238,0)</f>
        <v/>
      </c>
      <c r="Q21" s="13">
        <f>IF(Q8=1,0,Q20)-IF(Q8=Time!$F$11,Inputs!$F$238,0)</f>
        <v/>
      </c>
      <c r="R21" s="13">
        <f>IF(R8=1,0,R20)-IF(R8=Time!$F$11,Inputs!$F$238,0)</f>
        <v/>
      </c>
      <c r="S21" s="13">
        <f>IF(S8=1,0,S20)-IF(S8=Time!$F$11,Inputs!$F$238,0)</f>
        <v/>
      </c>
      <c r="T21" s="13">
        <f>IF(T8=1,0,T20)-IF(T8=Time!$F$11,Inputs!$F$238,0)</f>
        <v/>
      </c>
      <c r="U21" s="13">
        <f>IF(U8=1,0,U20)-IF(U8=Time!$F$11,Inputs!$F$238,0)</f>
        <v/>
      </c>
      <c r="V21" s="13">
        <f>IF(V8=1,0,V20)-IF(V8=Time!$F$11,Inputs!$F$238,0)</f>
        <v/>
      </c>
      <c r="W21" s="13">
        <f>IF(W8=1,0,W20)-IF(W8=Time!$F$11,Inputs!$F$238,0)</f>
        <v/>
      </c>
      <c r="X21" s="13">
        <f>IF(X8=1,0,X20)-IF(X8=Time!$F$11,Inputs!$F$238,0)</f>
        <v/>
      </c>
      <c r="Y21" s="13">
        <f>IF(Y8=1,0,Y20)-IF(Y8=Time!$F$11,Inputs!$F$238,0)</f>
        <v/>
      </c>
      <c r="Z21" s="13">
        <f>IF(Z8=1,0,Z20)-IF(Z8=Time!$F$11,Inputs!$F$238,0)</f>
        <v/>
      </c>
      <c r="AA21" s="13">
        <f>IF(AA8=1,0,AA20)-IF(AA8=Time!$F$11,Inputs!$F$238,0)</f>
        <v/>
      </c>
      <c r="AB21" s="13">
        <f>IF(AB8=1,0,AB20)-IF(AB8=Time!$F$11,Inputs!$F$238,0)</f>
        <v/>
      </c>
      <c r="AC21" s="13">
        <f>IF(AC8=1,0,AC20)-IF(AC8=Time!$F$11,Inputs!$F$238,0)</f>
        <v/>
      </c>
      <c r="AD21" s="13">
        <f>IF(AD8=1,0,AD20)-IF(AD8=Time!$F$11,Inputs!$F$238,0)</f>
        <v/>
      </c>
      <c r="AE21" s="13">
        <f>IF(AE8=1,0,AE20)-IF(AE8=Time!$F$11,Inputs!$F$238,0)</f>
        <v/>
      </c>
      <c r="AF21" s="13">
        <f>IF(AF8=1,0,AF20)-IF(AF8=Time!$F$11,Inputs!$F$238,0)</f>
        <v/>
      </c>
      <c r="AG21" s="13">
        <f>IF(AG8=1,0,AG20)-IF(AG8=Time!$F$11,Inputs!$F$238,0)</f>
        <v/>
      </c>
      <c r="AH21" s="13">
        <f>IF(AH8=1,0,AH20)-IF(AH8=Time!$F$11,Inputs!$F$238,0)</f>
        <v/>
      </c>
      <c r="AI21" s="13">
        <f>IF(AI8=1,0,AI20)-IF(AI8=Time!$F$11,Inputs!$F$238,0)</f>
        <v/>
      </c>
      <c r="AJ21" s="13">
        <f>IF(AJ8=1,0,AJ20)-IF(AJ8=Time!$F$11,Inputs!$F$238,0)</f>
        <v/>
      </c>
      <c r="AK21" s="13">
        <f>IF(AK8=1,0,AK20)-IF(AK8=Time!$F$11,Inputs!$F$238,0)</f>
        <v/>
      </c>
      <c r="AL21" s="13">
        <f>IF(AL8=1,0,AL20)-IF(AL8=Time!$F$11,Inputs!$F$238,0)</f>
        <v/>
      </c>
      <c r="AM21" s="13">
        <f>IF(AM8=1,0,AM20)-IF(AM8=Time!$F$11,Inputs!$F$238,0)</f>
        <v/>
      </c>
      <c r="AN21" s="13">
        <f>IF(AN8=1,0,AN20)-IF(AN8=Time!$F$11,Inputs!$F$238,0)</f>
        <v/>
      </c>
      <c r="AO21" s="13">
        <f>IF(AO8=1,0,AO20)-IF(AO8=Time!$F$11,Inputs!$F$238,0)</f>
        <v/>
      </c>
      <c r="AP21" s="13">
        <f>IF(AP8=1,0,AP20)-IF(AP8=Time!$F$11,Inputs!$F$238,0)</f>
        <v/>
      </c>
      <c r="AQ21" s="13">
        <f>IF(AQ8=1,0,AQ20)-IF(AQ8=Time!$F$11,Inputs!$F$238,0)</f>
        <v/>
      </c>
      <c r="AR21" s="13">
        <f>IF(AR8=1,0,AR20)-IF(AR8=Time!$F$11,Inputs!$F$238,0)</f>
        <v/>
      </c>
      <c r="AS21" s="13">
        <f>IF(AS8=1,0,AS20)-IF(AS8=Time!$F$11,Inputs!$F$238,0)</f>
        <v/>
      </c>
      <c r="AT21" s="13">
        <f>IF(AT8=1,0,AT20)-IF(AT8=Time!$F$11,Inputs!$F$238,0)</f>
        <v/>
      </c>
      <c r="AU21" s="13">
        <f>IF(AU8=1,0,AU20)-IF(AU8=Time!$F$11,Inputs!$F$238,0)</f>
        <v/>
      </c>
      <c r="AV21" s="13">
        <f>IF(AV8=1,0,AV20)-IF(AV8=Time!$F$11,Inputs!$F$238,0)</f>
        <v/>
      </c>
      <c r="AW21" s="13">
        <f>IF(AW8=1,0,AW20)-IF(AW8=Time!$F$11,Inputs!$F$238,0)</f>
        <v/>
      </c>
      <c r="AX21" s="13">
        <f>IF(AX8=1,0,AX20)-IF(AX8=Time!$F$11,Inputs!$F$238,0)</f>
        <v/>
      </c>
      <c r="AY21" s="13">
        <f>IF(AY8=1,0,AY20)-IF(AY8=Time!$F$11,Inputs!$F$238,0)</f>
        <v/>
      </c>
      <c r="AZ21" s="13">
        <f>IF(AZ8=1,0,AZ20)-IF(AZ8=Time!$F$11,Inputs!$F$238,0)</f>
        <v/>
      </c>
      <c r="BA21" s="13">
        <f>IF(BA8=1,0,BA20)-IF(BA8=Time!$F$11,Inputs!$F$238,0)</f>
        <v/>
      </c>
      <c r="BB21" s="13">
        <f>IF(BB8=1,0,BB20)-IF(BB8=Time!$F$11,Inputs!$F$238,0)</f>
        <v/>
      </c>
      <c r="BC21" s="13">
        <f>IF(BC8=1,0,BC20)-IF(BC8=Time!$F$11,Inputs!$F$238,0)</f>
        <v/>
      </c>
      <c r="BD21" s="13">
        <f>IF(BD8=1,0,BD20)-IF(BD8=Time!$F$11,Inputs!$F$238,0)</f>
        <v/>
      </c>
      <c r="BE21" s="13">
        <f>IF(BE8=1,0,BE20)-IF(BE8=Time!$F$11,Inputs!$F$238,0)</f>
        <v/>
      </c>
      <c r="BF21" s="13">
        <f>IF(BF8=1,0,BF20)-IF(BF8=Time!$F$11,Inputs!$F$238,0)</f>
        <v/>
      </c>
      <c r="BG21" s="13">
        <f>IF(BG8=1,0,BG20)-IF(BG8=Time!$F$11,Inputs!$F$238,0)</f>
        <v/>
      </c>
      <c r="BH21" s="13">
        <f>IF(BH8=1,0,BH20)-IF(BH8=Time!$F$11,Inputs!$F$238,0)</f>
        <v/>
      </c>
      <c r="BI21" s="13">
        <f>IF(BI8=1,0,BI20)-IF(BI8=Time!$F$11,Inputs!$F$238,0)</f>
        <v/>
      </c>
      <c r="BJ21" s="13">
        <f>IF(BJ8=1,0,BJ20)-IF(BJ8=Time!$F$11,Inputs!$F$238,0)</f>
        <v/>
      </c>
    </row>
    <row r="22">
      <c r="D22" t="inlineStr">
        <is>
          <t>EPC payments</t>
        </is>
      </c>
      <c r="E22" t="inlineStr">
        <is>
          <t>USD m</t>
        </is>
      </c>
      <c r="G22" s="13">
        <f>SUM(J22:BJ22)</f>
        <v/>
      </c>
      <c r="J22" s="13">
        <f>IF(Inputs!$F$34&lt;&gt;1,J20/100*Inputs!$F$58+J20/100*Inputs!$F$59*Inputs!$F$60/J16,Inputs!$F$57*Inputs!$F$36*J20/100)</f>
        <v/>
      </c>
      <c r="K22" s="13">
        <f>IF(Inputs!$F$34&lt;&gt;1,K20/100*Inputs!$F$58+K20/100*Inputs!$F$59*Inputs!$F$60/K16,Inputs!$F$57*Inputs!$F$36*K20/100)</f>
        <v/>
      </c>
      <c r="L22" s="13">
        <f>IF(Inputs!$F$34&lt;&gt;1,L20/100*Inputs!$F$58+L20/100*Inputs!$F$59*Inputs!$F$60/L16,Inputs!$F$57*Inputs!$F$36*L20/100)</f>
        <v/>
      </c>
      <c r="M22" s="13">
        <f>IF(Inputs!$F$34&lt;&gt;1,M20/100*Inputs!$F$58+M20/100*Inputs!$F$59*Inputs!$F$60/M16,Inputs!$F$57*Inputs!$F$36*M20/100)</f>
        <v/>
      </c>
      <c r="N22" s="13">
        <f>IF(Inputs!$F$34&lt;&gt;1,N20/100*Inputs!$F$58+N20/100*Inputs!$F$59*Inputs!$F$60/N16,Inputs!$F$57*Inputs!$F$36*N20/100)</f>
        <v/>
      </c>
      <c r="O22" s="13">
        <f>IF(Inputs!$F$34&lt;&gt;1,O20/100*Inputs!$F$58+O20/100*Inputs!$F$59*Inputs!$F$60/O16,Inputs!$F$57*Inputs!$F$36*O20/100)</f>
        <v/>
      </c>
      <c r="P22" s="13">
        <f>IF(Inputs!$F$34&lt;&gt;1,P20/100*Inputs!$F$58+P20/100*Inputs!$F$59*Inputs!$F$60/P16,Inputs!$F$57*Inputs!$F$36*P20/100)</f>
        <v/>
      </c>
      <c r="Q22" s="13">
        <f>IF(Inputs!$F$34&lt;&gt;1,Q20/100*Inputs!$F$58+Q20/100*Inputs!$F$59*Inputs!$F$60/Q16,Inputs!$F$57*Inputs!$F$36*Q20/100)</f>
        <v/>
      </c>
      <c r="R22" s="13">
        <f>IF(Inputs!$F$34&lt;&gt;1,R20/100*Inputs!$F$58+R20/100*Inputs!$F$59*Inputs!$F$60/R16,Inputs!$F$57*Inputs!$F$36*R20/100)</f>
        <v/>
      </c>
      <c r="S22" s="13">
        <f>IF(Inputs!$F$34&lt;&gt;1,S20/100*Inputs!$F$58+S20/100*Inputs!$F$59*Inputs!$F$60/S16,Inputs!$F$57*Inputs!$F$36*S20/100)</f>
        <v/>
      </c>
      <c r="T22" s="13">
        <f>IF(Inputs!$F$34&lt;&gt;1,T20/100*Inputs!$F$58+T20/100*Inputs!$F$59*Inputs!$F$60/T16,Inputs!$F$57*Inputs!$F$36*T20/100)</f>
        <v/>
      </c>
      <c r="U22" s="13">
        <f>IF(Inputs!$F$34&lt;&gt;1,U20/100*Inputs!$F$58+U20/100*Inputs!$F$59*Inputs!$F$60/U16,Inputs!$F$57*Inputs!$F$36*U20/100)</f>
        <v/>
      </c>
      <c r="V22" s="13">
        <f>IF(Inputs!$F$34&lt;&gt;1,V20/100*Inputs!$F$58+V20/100*Inputs!$F$59*Inputs!$F$60/V16,Inputs!$F$57*Inputs!$F$36*V20/100)</f>
        <v/>
      </c>
      <c r="W22" s="13">
        <f>IF(Inputs!$F$34&lt;&gt;1,W20/100*Inputs!$F$58+W20/100*Inputs!$F$59*Inputs!$F$60/W16,Inputs!$F$57*Inputs!$F$36*W20/100)</f>
        <v/>
      </c>
      <c r="X22" s="13">
        <f>IF(Inputs!$F$34&lt;&gt;1,X20/100*Inputs!$F$58+X20/100*Inputs!$F$59*Inputs!$F$60/X16,Inputs!$F$57*Inputs!$F$36*X20/100)</f>
        <v/>
      </c>
      <c r="Y22" s="13">
        <f>IF(Inputs!$F$34&lt;&gt;1,Y20/100*Inputs!$F$58+Y20/100*Inputs!$F$59*Inputs!$F$60/Y16,Inputs!$F$57*Inputs!$F$36*Y20/100)</f>
        <v/>
      </c>
      <c r="Z22" s="13">
        <f>IF(Inputs!$F$34&lt;&gt;1,Z20/100*Inputs!$F$58+Z20/100*Inputs!$F$59*Inputs!$F$60/Z16,Inputs!$F$57*Inputs!$F$36*Z20/100)</f>
        <v/>
      </c>
      <c r="AA22" s="13">
        <f>IF(Inputs!$F$34&lt;&gt;1,AA20/100*Inputs!$F$58+AA20/100*Inputs!$F$59*Inputs!$F$60/AA16,Inputs!$F$57*Inputs!$F$36*AA20/100)</f>
        <v/>
      </c>
      <c r="AB22" s="13">
        <f>IF(Inputs!$F$34&lt;&gt;1,AB20/100*Inputs!$F$58+AB20/100*Inputs!$F$59*Inputs!$F$60/AB16,Inputs!$F$57*Inputs!$F$36*AB20/100)</f>
        <v/>
      </c>
      <c r="AC22" s="13">
        <f>IF(Inputs!$F$34&lt;&gt;1,AC20/100*Inputs!$F$58+AC20/100*Inputs!$F$59*Inputs!$F$60/AC16,Inputs!$F$57*Inputs!$F$36*AC20/100)</f>
        <v/>
      </c>
      <c r="AD22" s="13">
        <f>IF(Inputs!$F$34&lt;&gt;1,AD20/100*Inputs!$F$58+AD20/100*Inputs!$F$59*Inputs!$F$60/AD16,Inputs!$F$57*Inputs!$F$36*AD20/100)</f>
        <v/>
      </c>
      <c r="AE22" s="13">
        <f>IF(Inputs!$F$34&lt;&gt;1,AE20/100*Inputs!$F$58+AE20/100*Inputs!$F$59*Inputs!$F$60/AE16,Inputs!$F$57*Inputs!$F$36*AE20/100)</f>
        <v/>
      </c>
      <c r="AF22" s="13">
        <f>IF(Inputs!$F$34&lt;&gt;1,AF20/100*Inputs!$F$58+AF20/100*Inputs!$F$59*Inputs!$F$60/AF16,Inputs!$F$57*Inputs!$F$36*AF20/100)</f>
        <v/>
      </c>
      <c r="AG22" s="13">
        <f>IF(Inputs!$F$34&lt;&gt;1,AG20/100*Inputs!$F$58+AG20/100*Inputs!$F$59*Inputs!$F$60/AG16,Inputs!$F$57*Inputs!$F$36*AG20/100)</f>
        <v/>
      </c>
      <c r="AH22" s="13">
        <f>IF(Inputs!$F$34&lt;&gt;1,AH20/100*Inputs!$F$58+AH20/100*Inputs!$F$59*Inputs!$F$60/AH16,Inputs!$F$57*Inputs!$F$36*AH20/100)</f>
        <v/>
      </c>
      <c r="AI22" s="13">
        <f>IF(Inputs!$F$34&lt;&gt;1,AI20/100*Inputs!$F$58+AI20/100*Inputs!$F$59*Inputs!$F$60/AI16,Inputs!$F$57*Inputs!$F$36*AI20/100)</f>
        <v/>
      </c>
      <c r="AJ22" s="13">
        <f>IF(Inputs!$F$34&lt;&gt;1,AJ20/100*Inputs!$F$58+AJ20/100*Inputs!$F$59*Inputs!$F$60/AJ16,Inputs!$F$57*Inputs!$F$36*AJ20/100)</f>
        <v/>
      </c>
      <c r="AK22" s="13">
        <f>IF(Inputs!$F$34&lt;&gt;1,AK20/100*Inputs!$F$58+AK20/100*Inputs!$F$59*Inputs!$F$60/AK16,Inputs!$F$57*Inputs!$F$36*AK20/100)</f>
        <v/>
      </c>
      <c r="AL22" s="13">
        <f>IF(Inputs!$F$34&lt;&gt;1,AL20/100*Inputs!$F$58+AL20/100*Inputs!$F$59*Inputs!$F$60/AL16,Inputs!$F$57*Inputs!$F$36*AL20/100)</f>
        <v/>
      </c>
      <c r="AM22" s="13">
        <f>IF(Inputs!$F$34&lt;&gt;1,AM20/100*Inputs!$F$58+AM20/100*Inputs!$F$59*Inputs!$F$60/AM16,Inputs!$F$57*Inputs!$F$36*AM20/100)</f>
        <v/>
      </c>
      <c r="AN22" s="13">
        <f>IF(Inputs!$F$34&lt;&gt;1,AN20/100*Inputs!$F$58+AN20/100*Inputs!$F$59*Inputs!$F$60/AN16,Inputs!$F$57*Inputs!$F$36*AN20/100)</f>
        <v/>
      </c>
      <c r="AO22" s="13">
        <f>IF(Inputs!$F$34&lt;&gt;1,AO20/100*Inputs!$F$58+AO20/100*Inputs!$F$59*Inputs!$F$60/AO16,Inputs!$F$57*Inputs!$F$36*AO20/100)</f>
        <v/>
      </c>
      <c r="AP22" s="13">
        <f>IF(Inputs!$F$34&lt;&gt;1,AP20/100*Inputs!$F$58+AP20/100*Inputs!$F$59*Inputs!$F$60/AP16,Inputs!$F$57*Inputs!$F$36*AP20/100)</f>
        <v/>
      </c>
      <c r="AQ22" s="13">
        <f>IF(Inputs!$F$34&lt;&gt;1,AQ20/100*Inputs!$F$58+AQ20/100*Inputs!$F$59*Inputs!$F$60/AQ16,Inputs!$F$57*Inputs!$F$36*AQ20/100)</f>
        <v/>
      </c>
      <c r="AR22" s="13">
        <f>IF(Inputs!$F$34&lt;&gt;1,AR20/100*Inputs!$F$58+AR20/100*Inputs!$F$59*Inputs!$F$60/AR16,Inputs!$F$57*Inputs!$F$36*AR20/100)</f>
        <v/>
      </c>
      <c r="AS22" s="13">
        <f>IF(Inputs!$F$34&lt;&gt;1,AS20/100*Inputs!$F$58+AS20/100*Inputs!$F$59*Inputs!$F$60/AS16,Inputs!$F$57*Inputs!$F$36*AS20/100)</f>
        <v/>
      </c>
      <c r="AT22" s="13">
        <f>IF(Inputs!$F$34&lt;&gt;1,AT20/100*Inputs!$F$58+AT20/100*Inputs!$F$59*Inputs!$F$60/AT16,Inputs!$F$57*Inputs!$F$36*AT20/100)</f>
        <v/>
      </c>
      <c r="AU22" s="13">
        <f>IF(Inputs!$F$34&lt;&gt;1,AU20/100*Inputs!$F$58+AU20/100*Inputs!$F$59*Inputs!$F$60/AU16,Inputs!$F$57*Inputs!$F$36*AU20/100)</f>
        <v/>
      </c>
      <c r="AV22" s="13">
        <f>IF(Inputs!$F$34&lt;&gt;1,AV20/100*Inputs!$F$58+AV20/100*Inputs!$F$59*Inputs!$F$60/AV16,Inputs!$F$57*Inputs!$F$36*AV20/100)</f>
        <v/>
      </c>
      <c r="AW22" s="13">
        <f>IF(Inputs!$F$34&lt;&gt;1,AW20/100*Inputs!$F$58+AW20/100*Inputs!$F$59*Inputs!$F$60/AW16,Inputs!$F$57*Inputs!$F$36*AW20/100)</f>
        <v/>
      </c>
      <c r="AX22" s="13">
        <f>IF(Inputs!$F$34&lt;&gt;1,AX20/100*Inputs!$F$58+AX20/100*Inputs!$F$59*Inputs!$F$60/AX16,Inputs!$F$57*Inputs!$F$36*AX20/100)</f>
        <v/>
      </c>
      <c r="AY22" s="13">
        <f>IF(Inputs!$F$34&lt;&gt;1,AY20/100*Inputs!$F$58+AY20/100*Inputs!$F$59*Inputs!$F$60/AY16,Inputs!$F$57*Inputs!$F$36*AY20/100)</f>
        <v/>
      </c>
      <c r="AZ22" s="13">
        <f>IF(Inputs!$F$34&lt;&gt;1,AZ20/100*Inputs!$F$58+AZ20/100*Inputs!$F$59*Inputs!$F$60/AZ16,Inputs!$F$57*Inputs!$F$36*AZ20/100)</f>
        <v/>
      </c>
      <c r="BA22" s="13">
        <f>IF(Inputs!$F$34&lt;&gt;1,BA20/100*Inputs!$F$58+BA20/100*Inputs!$F$59*Inputs!$F$60/BA16,Inputs!$F$57*Inputs!$F$36*BA20/100)</f>
        <v/>
      </c>
      <c r="BB22" s="13">
        <f>IF(Inputs!$F$34&lt;&gt;1,BB20/100*Inputs!$F$58+BB20/100*Inputs!$F$59*Inputs!$F$60/BB16,Inputs!$F$57*Inputs!$F$36*BB20/100)</f>
        <v/>
      </c>
      <c r="BC22" s="13">
        <f>IF(Inputs!$F$34&lt;&gt;1,BC20/100*Inputs!$F$58+BC20/100*Inputs!$F$59*Inputs!$F$60/BC16,Inputs!$F$57*Inputs!$F$36*BC20/100)</f>
        <v/>
      </c>
      <c r="BD22" s="13">
        <f>IF(Inputs!$F$34&lt;&gt;1,BD20/100*Inputs!$F$58+BD20/100*Inputs!$F$59*Inputs!$F$60/BD16,Inputs!$F$57*Inputs!$F$36*BD20/100)</f>
        <v/>
      </c>
      <c r="BE22" s="13">
        <f>IF(Inputs!$F$34&lt;&gt;1,BE20/100*Inputs!$F$58+BE20/100*Inputs!$F$59*Inputs!$F$60/BE16,Inputs!$F$57*Inputs!$F$36*BE20/100)</f>
        <v/>
      </c>
      <c r="BF22" s="13">
        <f>IF(Inputs!$F$34&lt;&gt;1,BF20/100*Inputs!$F$58+BF20/100*Inputs!$F$59*Inputs!$F$60/BF16,Inputs!$F$57*Inputs!$F$36*BF20/100)</f>
        <v/>
      </c>
      <c r="BG22" s="13">
        <f>IF(Inputs!$F$34&lt;&gt;1,BG20/100*Inputs!$F$58+BG20/100*Inputs!$F$59*Inputs!$F$60/BG16,Inputs!$F$57*Inputs!$F$36*BG20/100)</f>
        <v/>
      </c>
      <c r="BH22" s="13">
        <f>IF(Inputs!$F$34&lt;&gt;1,BH20/100*Inputs!$F$58+BH20/100*Inputs!$F$59*Inputs!$F$60/BH16,Inputs!$F$57*Inputs!$F$36*BH20/100)</f>
        <v/>
      </c>
      <c r="BI22" s="13">
        <f>IF(Inputs!$F$34&lt;&gt;1,BI20/100*Inputs!$F$58+BI20/100*Inputs!$F$59*Inputs!$F$60/BI16,Inputs!$F$57*Inputs!$F$36*BI20/100)</f>
        <v/>
      </c>
      <c r="BJ22" s="13">
        <f>IF(Inputs!$F$34&lt;&gt;1,BJ20/100*Inputs!$F$58+BJ20/100*Inputs!$F$59*Inputs!$F$60/BJ16,Inputs!$F$57*Inputs!$F$36*BJ20/100)</f>
        <v/>
      </c>
    </row>
    <row r="23">
      <c r="D23" t="inlineStr">
        <is>
          <t>Owner's costs</t>
        </is>
      </c>
      <c r="E23" t="inlineStr">
        <is>
          <t>USD m</t>
        </is>
      </c>
      <c r="G23" s="13">
        <f>SUM(J23:BJ23)</f>
        <v/>
      </c>
      <c r="J23" s="13">
        <f>Inputs!$F$61*IF(Inputs!$F$34=1,Inputs!$F$36,1)*(Inputs!J307+IF(AND(Inputs!$F$34=1,J8&gt;Inputs!$F$237,J8&lt;=Time!$F$11),Inputs!$F$239,0))/100+IF(AND(Inputs!$F$34&lt;&gt;1,J8&gt;=Inputs!$F$240,J8&lt;=Inputs!$F$241),Inputs!$F$69/(Inputs!$F$241-Inputs!$F$240+1),0)</f>
        <v/>
      </c>
      <c r="K23" s="13">
        <f>Inputs!$F$61*IF(Inputs!$F$34=1,Inputs!$F$36,1)*(Inputs!K307+IF(AND(Inputs!$F$34=1,K8&gt;Inputs!$F$237,K8&lt;=Time!$F$11),Inputs!$F$239,0))/100+IF(AND(Inputs!$F$34&lt;&gt;1,K8&gt;=Inputs!$F$240,K8&lt;=Inputs!$F$241),Inputs!$F$69/(Inputs!$F$241-Inputs!$F$240+1),0)</f>
        <v/>
      </c>
      <c r="L23" s="13">
        <f>Inputs!$F$61*IF(Inputs!$F$34=1,Inputs!$F$36,1)*(Inputs!L307+IF(AND(Inputs!$F$34=1,L8&gt;Inputs!$F$237,L8&lt;=Time!$F$11),Inputs!$F$239,0))/100+IF(AND(Inputs!$F$34&lt;&gt;1,L8&gt;=Inputs!$F$240,L8&lt;=Inputs!$F$241),Inputs!$F$69/(Inputs!$F$241-Inputs!$F$240+1),0)</f>
        <v/>
      </c>
      <c r="M23" s="13">
        <f>Inputs!$F$61*IF(Inputs!$F$34=1,Inputs!$F$36,1)*(Inputs!M307+IF(AND(Inputs!$F$34=1,M8&gt;Inputs!$F$237,M8&lt;=Time!$F$11),Inputs!$F$239,0))/100+IF(AND(Inputs!$F$34&lt;&gt;1,M8&gt;=Inputs!$F$240,M8&lt;=Inputs!$F$241),Inputs!$F$69/(Inputs!$F$241-Inputs!$F$240+1),0)</f>
        <v/>
      </c>
      <c r="N23" s="13">
        <f>Inputs!$F$61*IF(Inputs!$F$34=1,Inputs!$F$36,1)*(Inputs!N307+IF(AND(Inputs!$F$34=1,N8&gt;Inputs!$F$237,N8&lt;=Time!$F$11),Inputs!$F$239,0))/100+IF(AND(Inputs!$F$34&lt;&gt;1,N8&gt;=Inputs!$F$240,N8&lt;=Inputs!$F$241),Inputs!$F$69/(Inputs!$F$241-Inputs!$F$240+1),0)</f>
        <v/>
      </c>
      <c r="O23" s="13">
        <f>Inputs!$F$61*IF(Inputs!$F$34=1,Inputs!$F$36,1)*(Inputs!O307+IF(AND(Inputs!$F$34=1,O8&gt;Inputs!$F$237,O8&lt;=Time!$F$11),Inputs!$F$239,0))/100+IF(AND(Inputs!$F$34&lt;&gt;1,O8&gt;=Inputs!$F$240,O8&lt;=Inputs!$F$241),Inputs!$F$69/(Inputs!$F$241-Inputs!$F$240+1),0)</f>
        <v/>
      </c>
      <c r="P23" s="13">
        <f>Inputs!$F$61*IF(Inputs!$F$34=1,Inputs!$F$36,1)*(Inputs!P307+IF(AND(Inputs!$F$34=1,P8&gt;Inputs!$F$237,P8&lt;=Time!$F$11),Inputs!$F$239,0))/100+IF(AND(Inputs!$F$34&lt;&gt;1,P8&gt;=Inputs!$F$240,P8&lt;=Inputs!$F$241),Inputs!$F$69/(Inputs!$F$241-Inputs!$F$240+1),0)</f>
        <v/>
      </c>
      <c r="Q23" s="13">
        <f>Inputs!$F$61*IF(Inputs!$F$34=1,Inputs!$F$36,1)*(Inputs!Q307+IF(AND(Inputs!$F$34=1,Q8&gt;Inputs!$F$237,Q8&lt;=Time!$F$11),Inputs!$F$239,0))/100+IF(AND(Inputs!$F$34&lt;&gt;1,Q8&gt;=Inputs!$F$240,Q8&lt;=Inputs!$F$241),Inputs!$F$69/(Inputs!$F$241-Inputs!$F$240+1),0)</f>
        <v/>
      </c>
      <c r="R23" s="13">
        <f>Inputs!$F$61*IF(Inputs!$F$34=1,Inputs!$F$36,1)*(Inputs!R307+IF(AND(Inputs!$F$34=1,R8&gt;Inputs!$F$237,R8&lt;=Time!$F$11),Inputs!$F$239,0))/100+IF(AND(Inputs!$F$34&lt;&gt;1,R8&gt;=Inputs!$F$240,R8&lt;=Inputs!$F$241),Inputs!$F$69/(Inputs!$F$241-Inputs!$F$240+1),0)</f>
        <v/>
      </c>
      <c r="S23" s="13">
        <f>Inputs!$F$61*IF(Inputs!$F$34=1,Inputs!$F$36,1)*(Inputs!S307+IF(AND(Inputs!$F$34=1,S8&gt;Inputs!$F$237,S8&lt;=Time!$F$11),Inputs!$F$239,0))/100+IF(AND(Inputs!$F$34&lt;&gt;1,S8&gt;=Inputs!$F$240,S8&lt;=Inputs!$F$241),Inputs!$F$69/(Inputs!$F$241-Inputs!$F$240+1),0)</f>
        <v/>
      </c>
      <c r="T23" s="13">
        <f>Inputs!$F$61*IF(Inputs!$F$34=1,Inputs!$F$36,1)*(Inputs!T307+IF(AND(Inputs!$F$34=1,T8&gt;Inputs!$F$237,T8&lt;=Time!$F$11),Inputs!$F$239,0))/100+IF(AND(Inputs!$F$34&lt;&gt;1,T8&gt;=Inputs!$F$240,T8&lt;=Inputs!$F$241),Inputs!$F$69/(Inputs!$F$241-Inputs!$F$240+1),0)</f>
        <v/>
      </c>
      <c r="U23" s="13">
        <f>Inputs!$F$61*IF(Inputs!$F$34=1,Inputs!$F$36,1)*(Inputs!U307+IF(AND(Inputs!$F$34=1,U8&gt;Inputs!$F$237,U8&lt;=Time!$F$11),Inputs!$F$239,0))/100+IF(AND(Inputs!$F$34&lt;&gt;1,U8&gt;=Inputs!$F$240,U8&lt;=Inputs!$F$241),Inputs!$F$69/(Inputs!$F$241-Inputs!$F$240+1),0)</f>
        <v/>
      </c>
      <c r="V23" s="13">
        <f>Inputs!$F$61*IF(Inputs!$F$34=1,Inputs!$F$36,1)*(Inputs!V307+IF(AND(Inputs!$F$34=1,V8&gt;Inputs!$F$237,V8&lt;=Time!$F$11),Inputs!$F$239,0))/100+IF(AND(Inputs!$F$34&lt;&gt;1,V8&gt;=Inputs!$F$240,V8&lt;=Inputs!$F$241),Inputs!$F$69/(Inputs!$F$241-Inputs!$F$240+1),0)</f>
        <v/>
      </c>
      <c r="W23" s="13">
        <f>Inputs!$F$61*IF(Inputs!$F$34=1,Inputs!$F$36,1)*(Inputs!W307+IF(AND(Inputs!$F$34=1,W8&gt;Inputs!$F$237,W8&lt;=Time!$F$11),Inputs!$F$239,0))/100+IF(AND(Inputs!$F$34&lt;&gt;1,W8&gt;=Inputs!$F$240,W8&lt;=Inputs!$F$241),Inputs!$F$69/(Inputs!$F$241-Inputs!$F$240+1),0)</f>
        <v/>
      </c>
      <c r="X23" s="13">
        <f>Inputs!$F$61*IF(Inputs!$F$34=1,Inputs!$F$36,1)*(Inputs!X307+IF(AND(Inputs!$F$34=1,X8&gt;Inputs!$F$237,X8&lt;=Time!$F$11),Inputs!$F$239,0))/100+IF(AND(Inputs!$F$34&lt;&gt;1,X8&gt;=Inputs!$F$240,X8&lt;=Inputs!$F$241),Inputs!$F$69/(Inputs!$F$241-Inputs!$F$240+1),0)</f>
        <v/>
      </c>
      <c r="Y23" s="13">
        <f>Inputs!$F$61*IF(Inputs!$F$34=1,Inputs!$F$36,1)*(Inputs!Y307+IF(AND(Inputs!$F$34=1,Y8&gt;Inputs!$F$237,Y8&lt;=Time!$F$11),Inputs!$F$239,0))/100+IF(AND(Inputs!$F$34&lt;&gt;1,Y8&gt;=Inputs!$F$240,Y8&lt;=Inputs!$F$241),Inputs!$F$69/(Inputs!$F$241-Inputs!$F$240+1),0)</f>
        <v/>
      </c>
      <c r="Z23" s="13">
        <f>Inputs!$F$61*IF(Inputs!$F$34=1,Inputs!$F$36,1)*(Inputs!Z307+IF(AND(Inputs!$F$34=1,Z8&gt;Inputs!$F$237,Z8&lt;=Time!$F$11),Inputs!$F$239,0))/100+IF(AND(Inputs!$F$34&lt;&gt;1,Z8&gt;=Inputs!$F$240,Z8&lt;=Inputs!$F$241),Inputs!$F$69/(Inputs!$F$241-Inputs!$F$240+1),0)</f>
        <v/>
      </c>
      <c r="AA23" s="13">
        <f>Inputs!$F$61*IF(Inputs!$F$34=1,Inputs!$F$36,1)*(Inputs!AA307+IF(AND(Inputs!$F$34=1,AA8&gt;Inputs!$F$237,AA8&lt;=Time!$F$11),Inputs!$F$239,0))/100+IF(AND(Inputs!$F$34&lt;&gt;1,AA8&gt;=Inputs!$F$240,AA8&lt;=Inputs!$F$241),Inputs!$F$69/(Inputs!$F$241-Inputs!$F$240+1),0)</f>
        <v/>
      </c>
      <c r="AB23" s="13">
        <f>Inputs!$F$61*IF(Inputs!$F$34=1,Inputs!$F$36,1)*(Inputs!AB307+IF(AND(Inputs!$F$34=1,AB8&gt;Inputs!$F$237,AB8&lt;=Time!$F$11),Inputs!$F$239,0))/100+IF(AND(Inputs!$F$34&lt;&gt;1,AB8&gt;=Inputs!$F$240,AB8&lt;=Inputs!$F$241),Inputs!$F$69/(Inputs!$F$241-Inputs!$F$240+1),0)</f>
        <v/>
      </c>
      <c r="AC23" s="13">
        <f>Inputs!$F$61*IF(Inputs!$F$34=1,Inputs!$F$36,1)*(Inputs!AC307+IF(AND(Inputs!$F$34=1,AC8&gt;Inputs!$F$237,AC8&lt;=Time!$F$11),Inputs!$F$239,0))/100+IF(AND(Inputs!$F$34&lt;&gt;1,AC8&gt;=Inputs!$F$240,AC8&lt;=Inputs!$F$241),Inputs!$F$69/(Inputs!$F$241-Inputs!$F$240+1),0)</f>
        <v/>
      </c>
      <c r="AD23" s="13">
        <f>Inputs!$F$61*IF(Inputs!$F$34=1,Inputs!$F$36,1)*(Inputs!AD307+IF(AND(Inputs!$F$34=1,AD8&gt;Inputs!$F$237,AD8&lt;=Time!$F$11),Inputs!$F$239,0))/100+IF(AND(Inputs!$F$34&lt;&gt;1,AD8&gt;=Inputs!$F$240,AD8&lt;=Inputs!$F$241),Inputs!$F$69/(Inputs!$F$241-Inputs!$F$240+1),0)</f>
        <v/>
      </c>
      <c r="AE23" s="13">
        <f>Inputs!$F$61*IF(Inputs!$F$34=1,Inputs!$F$36,1)*(Inputs!AE307+IF(AND(Inputs!$F$34=1,AE8&gt;Inputs!$F$237,AE8&lt;=Time!$F$11),Inputs!$F$239,0))/100+IF(AND(Inputs!$F$34&lt;&gt;1,AE8&gt;=Inputs!$F$240,AE8&lt;=Inputs!$F$241),Inputs!$F$69/(Inputs!$F$241-Inputs!$F$240+1),0)</f>
        <v/>
      </c>
      <c r="AF23" s="13">
        <f>Inputs!$F$61*IF(Inputs!$F$34=1,Inputs!$F$36,1)*(Inputs!AF307+IF(AND(Inputs!$F$34=1,AF8&gt;Inputs!$F$237,AF8&lt;=Time!$F$11),Inputs!$F$239,0))/100+IF(AND(Inputs!$F$34&lt;&gt;1,AF8&gt;=Inputs!$F$240,AF8&lt;=Inputs!$F$241),Inputs!$F$69/(Inputs!$F$241-Inputs!$F$240+1),0)</f>
        <v/>
      </c>
      <c r="AG23" s="13">
        <f>Inputs!$F$61*IF(Inputs!$F$34=1,Inputs!$F$36,1)*(Inputs!AG307+IF(AND(Inputs!$F$34=1,AG8&gt;Inputs!$F$237,AG8&lt;=Time!$F$11),Inputs!$F$239,0))/100+IF(AND(Inputs!$F$34&lt;&gt;1,AG8&gt;=Inputs!$F$240,AG8&lt;=Inputs!$F$241),Inputs!$F$69/(Inputs!$F$241-Inputs!$F$240+1),0)</f>
        <v/>
      </c>
      <c r="AH23" s="13">
        <f>Inputs!$F$61*IF(Inputs!$F$34=1,Inputs!$F$36,1)*(Inputs!AH307+IF(AND(Inputs!$F$34=1,AH8&gt;Inputs!$F$237,AH8&lt;=Time!$F$11),Inputs!$F$239,0))/100+IF(AND(Inputs!$F$34&lt;&gt;1,AH8&gt;=Inputs!$F$240,AH8&lt;=Inputs!$F$241),Inputs!$F$69/(Inputs!$F$241-Inputs!$F$240+1),0)</f>
        <v/>
      </c>
      <c r="AI23" s="13">
        <f>Inputs!$F$61*IF(Inputs!$F$34=1,Inputs!$F$36,1)*(Inputs!AI307+IF(AND(Inputs!$F$34=1,AI8&gt;Inputs!$F$237,AI8&lt;=Time!$F$11),Inputs!$F$239,0))/100+IF(AND(Inputs!$F$34&lt;&gt;1,AI8&gt;=Inputs!$F$240,AI8&lt;=Inputs!$F$241),Inputs!$F$69/(Inputs!$F$241-Inputs!$F$240+1),0)</f>
        <v/>
      </c>
      <c r="AJ23" s="13">
        <f>Inputs!$F$61*IF(Inputs!$F$34=1,Inputs!$F$36,1)*(Inputs!AJ307+IF(AND(Inputs!$F$34=1,AJ8&gt;Inputs!$F$237,AJ8&lt;=Time!$F$11),Inputs!$F$239,0))/100+IF(AND(Inputs!$F$34&lt;&gt;1,AJ8&gt;=Inputs!$F$240,AJ8&lt;=Inputs!$F$241),Inputs!$F$69/(Inputs!$F$241-Inputs!$F$240+1),0)</f>
        <v/>
      </c>
      <c r="AK23" s="13">
        <f>Inputs!$F$61*IF(Inputs!$F$34=1,Inputs!$F$36,1)*(Inputs!AK307+IF(AND(Inputs!$F$34=1,AK8&gt;Inputs!$F$237,AK8&lt;=Time!$F$11),Inputs!$F$239,0))/100+IF(AND(Inputs!$F$34&lt;&gt;1,AK8&gt;=Inputs!$F$240,AK8&lt;=Inputs!$F$241),Inputs!$F$69/(Inputs!$F$241-Inputs!$F$240+1),0)</f>
        <v/>
      </c>
      <c r="AL23" s="13">
        <f>Inputs!$F$61*IF(Inputs!$F$34=1,Inputs!$F$36,1)*(Inputs!AL307+IF(AND(Inputs!$F$34=1,AL8&gt;Inputs!$F$237,AL8&lt;=Time!$F$11),Inputs!$F$239,0))/100+IF(AND(Inputs!$F$34&lt;&gt;1,AL8&gt;=Inputs!$F$240,AL8&lt;=Inputs!$F$241),Inputs!$F$69/(Inputs!$F$241-Inputs!$F$240+1),0)</f>
        <v/>
      </c>
      <c r="AM23" s="13">
        <f>Inputs!$F$61*IF(Inputs!$F$34=1,Inputs!$F$36,1)*(Inputs!AM307+IF(AND(Inputs!$F$34=1,AM8&gt;Inputs!$F$237,AM8&lt;=Time!$F$11),Inputs!$F$239,0))/100+IF(AND(Inputs!$F$34&lt;&gt;1,AM8&gt;=Inputs!$F$240,AM8&lt;=Inputs!$F$241),Inputs!$F$69/(Inputs!$F$241-Inputs!$F$240+1),0)</f>
        <v/>
      </c>
      <c r="AN23" s="13">
        <f>Inputs!$F$61*IF(Inputs!$F$34=1,Inputs!$F$36,1)*(Inputs!AN307+IF(AND(Inputs!$F$34=1,AN8&gt;Inputs!$F$237,AN8&lt;=Time!$F$11),Inputs!$F$239,0))/100+IF(AND(Inputs!$F$34&lt;&gt;1,AN8&gt;=Inputs!$F$240,AN8&lt;=Inputs!$F$241),Inputs!$F$69/(Inputs!$F$241-Inputs!$F$240+1),0)</f>
        <v/>
      </c>
      <c r="AO23" s="13">
        <f>Inputs!$F$61*IF(Inputs!$F$34=1,Inputs!$F$36,1)*(Inputs!AO307+IF(AND(Inputs!$F$34=1,AO8&gt;Inputs!$F$237,AO8&lt;=Time!$F$11),Inputs!$F$239,0))/100+IF(AND(Inputs!$F$34&lt;&gt;1,AO8&gt;=Inputs!$F$240,AO8&lt;=Inputs!$F$241),Inputs!$F$69/(Inputs!$F$241-Inputs!$F$240+1),0)</f>
        <v/>
      </c>
      <c r="AP23" s="13">
        <f>Inputs!$F$61*IF(Inputs!$F$34=1,Inputs!$F$36,1)*(Inputs!AP307+IF(AND(Inputs!$F$34=1,AP8&gt;Inputs!$F$237,AP8&lt;=Time!$F$11),Inputs!$F$239,0))/100+IF(AND(Inputs!$F$34&lt;&gt;1,AP8&gt;=Inputs!$F$240,AP8&lt;=Inputs!$F$241),Inputs!$F$69/(Inputs!$F$241-Inputs!$F$240+1),0)</f>
        <v/>
      </c>
      <c r="AQ23" s="13">
        <f>Inputs!$F$61*IF(Inputs!$F$34=1,Inputs!$F$36,1)*(Inputs!AQ307+IF(AND(Inputs!$F$34=1,AQ8&gt;Inputs!$F$237,AQ8&lt;=Time!$F$11),Inputs!$F$239,0))/100+IF(AND(Inputs!$F$34&lt;&gt;1,AQ8&gt;=Inputs!$F$240,AQ8&lt;=Inputs!$F$241),Inputs!$F$69/(Inputs!$F$241-Inputs!$F$240+1),0)</f>
        <v/>
      </c>
      <c r="AR23" s="13">
        <f>Inputs!$F$61*IF(Inputs!$F$34=1,Inputs!$F$36,1)*(Inputs!AR307+IF(AND(Inputs!$F$34=1,AR8&gt;Inputs!$F$237,AR8&lt;=Time!$F$11),Inputs!$F$239,0))/100+IF(AND(Inputs!$F$34&lt;&gt;1,AR8&gt;=Inputs!$F$240,AR8&lt;=Inputs!$F$241),Inputs!$F$69/(Inputs!$F$241-Inputs!$F$240+1),0)</f>
        <v/>
      </c>
      <c r="AS23" s="13">
        <f>Inputs!$F$61*IF(Inputs!$F$34=1,Inputs!$F$36,1)*(Inputs!AS307+IF(AND(Inputs!$F$34=1,AS8&gt;Inputs!$F$237,AS8&lt;=Time!$F$11),Inputs!$F$239,0))/100+IF(AND(Inputs!$F$34&lt;&gt;1,AS8&gt;=Inputs!$F$240,AS8&lt;=Inputs!$F$241),Inputs!$F$69/(Inputs!$F$241-Inputs!$F$240+1),0)</f>
        <v/>
      </c>
      <c r="AT23" s="13">
        <f>Inputs!$F$61*IF(Inputs!$F$34=1,Inputs!$F$36,1)*(Inputs!AT307+IF(AND(Inputs!$F$34=1,AT8&gt;Inputs!$F$237,AT8&lt;=Time!$F$11),Inputs!$F$239,0))/100+IF(AND(Inputs!$F$34&lt;&gt;1,AT8&gt;=Inputs!$F$240,AT8&lt;=Inputs!$F$241),Inputs!$F$69/(Inputs!$F$241-Inputs!$F$240+1),0)</f>
        <v/>
      </c>
      <c r="AU23" s="13">
        <f>Inputs!$F$61*IF(Inputs!$F$34=1,Inputs!$F$36,1)*(Inputs!AU307+IF(AND(Inputs!$F$34=1,AU8&gt;Inputs!$F$237,AU8&lt;=Time!$F$11),Inputs!$F$239,0))/100+IF(AND(Inputs!$F$34&lt;&gt;1,AU8&gt;=Inputs!$F$240,AU8&lt;=Inputs!$F$241),Inputs!$F$69/(Inputs!$F$241-Inputs!$F$240+1),0)</f>
        <v/>
      </c>
      <c r="AV23" s="13">
        <f>Inputs!$F$61*IF(Inputs!$F$34=1,Inputs!$F$36,1)*(Inputs!AV307+IF(AND(Inputs!$F$34=1,AV8&gt;Inputs!$F$237,AV8&lt;=Time!$F$11),Inputs!$F$239,0))/100+IF(AND(Inputs!$F$34&lt;&gt;1,AV8&gt;=Inputs!$F$240,AV8&lt;=Inputs!$F$241),Inputs!$F$69/(Inputs!$F$241-Inputs!$F$240+1),0)</f>
        <v/>
      </c>
      <c r="AW23" s="13">
        <f>Inputs!$F$61*IF(Inputs!$F$34=1,Inputs!$F$36,1)*(Inputs!AW307+IF(AND(Inputs!$F$34=1,AW8&gt;Inputs!$F$237,AW8&lt;=Time!$F$11),Inputs!$F$239,0))/100+IF(AND(Inputs!$F$34&lt;&gt;1,AW8&gt;=Inputs!$F$240,AW8&lt;=Inputs!$F$241),Inputs!$F$69/(Inputs!$F$241-Inputs!$F$240+1),0)</f>
        <v/>
      </c>
      <c r="AX23" s="13">
        <f>Inputs!$F$61*IF(Inputs!$F$34=1,Inputs!$F$36,1)*(Inputs!AX307+IF(AND(Inputs!$F$34=1,AX8&gt;Inputs!$F$237,AX8&lt;=Time!$F$11),Inputs!$F$239,0))/100+IF(AND(Inputs!$F$34&lt;&gt;1,AX8&gt;=Inputs!$F$240,AX8&lt;=Inputs!$F$241),Inputs!$F$69/(Inputs!$F$241-Inputs!$F$240+1),0)</f>
        <v/>
      </c>
      <c r="AY23" s="13">
        <f>Inputs!$F$61*IF(Inputs!$F$34=1,Inputs!$F$36,1)*(Inputs!AY307+IF(AND(Inputs!$F$34=1,AY8&gt;Inputs!$F$237,AY8&lt;=Time!$F$11),Inputs!$F$239,0))/100+IF(AND(Inputs!$F$34&lt;&gt;1,AY8&gt;=Inputs!$F$240,AY8&lt;=Inputs!$F$241),Inputs!$F$69/(Inputs!$F$241-Inputs!$F$240+1),0)</f>
        <v/>
      </c>
      <c r="AZ23" s="13">
        <f>Inputs!$F$61*IF(Inputs!$F$34=1,Inputs!$F$36,1)*(Inputs!AZ307+IF(AND(Inputs!$F$34=1,AZ8&gt;Inputs!$F$237,AZ8&lt;=Time!$F$11),Inputs!$F$239,0))/100+IF(AND(Inputs!$F$34&lt;&gt;1,AZ8&gt;=Inputs!$F$240,AZ8&lt;=Inputs!$F$241),Inputs!$F$69/(Inputs!$F$241-Inputs!$F$240+1),0)</f>
        <v/>
      </c>
      <c r="BA23" s="13">
        <f>Inputs!$F$61*IF(Inputs!$F$34=1,Inputs!$F$36,1)*(Inputs!BA307+IF(AND(Inputs!$F$34=1,BA8&gt;Inputs!$F$237,BA8&lt;=Time!$F$11),Inputs!$F$239,0))/100+IF(AND(Inputs!$F$34&lt;&gt;1,BA8&gt;=Inputs!$F$240,BA8&lt;=Inputs!$F$241),Inputs!$F$69/(Inputs!$F$241-Inputs!$F$240+1),0)</f>
        <v/>
      </c>
      <c r="BB23" s="13">
        <f>Inputs!$F$61*IF(Inputs!$F$34=1,Inputs!$F$36,1)*(Inputs!BB307+IF(AND(Inputs!$F$34=1,BB8&gt;Inputs!$F$237,BB8&lt;=Time!$F$11),Inputs!$F$239,0))/100+IF(AND(Inputs!$F$34&lt;&gt;1,BB8&gt;=Inputs!$F$240,BB8&lt;=Inputs!$F$241),Inputs!$F$69/(Inputs!$F$241-Inputs!$F$240+1),0)</f>
        <v/>
      </c>
      <c r="BC23" s="13">
        <f>Inputs!$F$61*IF(Inputs!$F$34=1,Inputs!$F$36,1)*(Inputs!BC307+IF(AND(Inputs!$F$34=1,BC8&gt;Inputs!$F$237,BC8&lt;=Time!$F$11),Inputs!$F$239,0))/100+IF(AND(Inputs!$F$34&lt;&gt;1,BC8&gt;=Inputs!$F$240,BC8&lt;=Inputs!$F$241),Inputs!$F$69/(Inputs!$F$241-Inputs!$F$240+1),0)</f>
        <v/>
      </c>
      <c r="BD23" s="13">
        <f>Inputs!$F$61*IF(Inputs!$F$34=1,Inputs!$F$36,1)*(Inputs!BD307+IF(AND(Inputs!$F$34=1,BD8&gt;Inputs!$F$237,BD8&lt;=Time!$F$11),Inputs!$F$239,0))/100+IF(AND(Inputs!$F$34&lt;&gt;1,BD8&gt;=Inputs!$F$240,BD8&lt;=Inputs!$F$241),Inputs!$F$69/(Inputs!$F$241-Inputs!$F$240+1),0)</f>
        <v/>
      </c>
      <c r="BE23" s="13">
        <f>Inputs!$F$61*IF(Inputs!$F$34=1,Inputs!$F$36,1)*(Inputs!BE307+IF(AND(Inputs!$F$34=1,BE8&gt;Inputs!$F$237,BE8&lt;=Time!$F$11),Inputs!$F$239,0))/100+IF(AND(Inputs!$F$34&lt;&gt;1,BE8&gt;=Inputs!$F$240,BE8&lt;=Inputs!$F$241),Inputs!$F$69/(Inputs!$F$241-Inputs!$F$240+1),0)</f>
        <v/>
      </c>
      <c r="BF23" s="13">
        <f>Inputs!$F$61*IF(Inputs!$F$34=1,Inputs!$F$36,1)*(Inputs!BF307+IF(AND(Inputs!$F$34=1,BF8&gt;Inputs!$F$237,BF8&lt;=Time!$F$11),Inputs!$F$239,0))/100+IF(AND(Inputs!$F$34&lt;&gt;1,BF8&gt;=Inputs!$F$240,BF8&lt;=Inputs!$F$241),Inputs!$F$69/(Inputs!$F$241-Inputs!$F$240+1),0)</f>
        <v/>
      </c>
      <c r="BG23" s="13">
        <f>Inputs!$F$61*IF(Inputs!$F$34=1,Inputs!$F$36,1)*(Inputs!BG307+IF(AND(Inputs!$F$34=1,BG8&gt;Inputs!$F$237,BG8&lt;=Time!$F$11),Inputs!$F$239,0))/100+IF(AND(Inputs!$F$34&lt;&gt;1,BG8&gt;=Inputs!$F$240,BG8&lt;=Inputs!$F$241),Inputs!$F$69/(Inputs!$F$241-Inputs!$F$240+1),0)</f>
        <v/>
      </c>
      <c r="BH23" s="13">
        <f>Inputs!$F$61*IF(Inputs!$F$34=1,Inputs!$F$36,1)*(Inputs!BH307+IF(AND(Inputs!$F$34=1,BH8&gt;Inputs!$F$237,BH8&lt;=Time!$F$11),Inputs!$F$239,0))/100+IF(AND(Inputs!$F$34&lt;&gt;1,BH8&gt;=Inputs!$F$240,BH8&lt;=Inputs!$F$241),Inputs!$F$69/(Inputs!$F$241-Inputs!$F$240+1),0)</f>
        <v/>
      </c>
      <c r="BI23" s="13">
        <f>Inputs!$F$61*IF(Inputs!$F$34=1,Inputs!$F$36,1)*(Inputs!BI307+IF(AND(Inputs!$F$34=1,BI8&gt;Inputs!$F$237,BI8&lt;=Time!$F$11),Inputs!$F$239,0))/100+IF(AND(Inputs!$F$34&lt;&gt;1,BI8&gt;=Inputs!$F$240,BI8&lt;=Inputs!$F$241),Inputs!$F$69/(Inputs!$F$241-Inputs!$F$240+1),0)</f>
        <v/>
      </c>
      <c r="BJ23" s="13">
        <f>Inputs!$F$61*IF(Inputs!$F$34=1,Inputs!$F$36,1)*(Inputs!BJ307+IF(AND(Inputs!$F$34=1,BJ8&gt;Inputs!$F$237,BJ8&lt;=Time!$F$11),Inputs!$F$239,0))/100+IF(AND(Inputs!$F$34&lt;&gt;1,BJ8&gt;=Inputs!$F$240,BJ8&lt;=Inputs!$F$241),Inputs!$F$69/(Inputs!$F$241-Inputs!$F$240+1),0)</f>
        <v/>
      </c>
    </row>
    <row r="24">
      <c r="D24" t="inlineStr">
        <is>
          <t>Insurance during construction</t>
        </is>
      </c>
      <c r="E24" t="inlineStr">
        <is>
          <t>USD m</t>
        </is>
      </c>
      <c r="G24" s="13">
        <f>SUM(J24:BJ24)</f>
        <v/>
      </c>
      <c r="J24" s="13">
        <f>Inputs!$F$62*Inputs!$F$36*(Inputs!$F$243*IF(J8=1,1,0)+(1-Inputs!$F$243)*IF(J8=Inputs!$F$242,1,0))</f>
        <v/>
      </c>
      <c r="K24" s="13">
        <f>Inputs!$F$62*Inputs!$F$36*(Inputs!$F$243*IF(K8=1,1,0)+(1-Inputs!$F$243)*IF(K8=Inputs!$F$242,1,0))</f>
        <v/>
      </c>
      <c r="L24" s="13">
        <f>Inputs!$F$62*Inputs!$F$36*(Inputs!$F$243*IF(L8=1,1,0)+(1-Inputs!$F$243)*IF(L8=Inputs!$F$242,1,0))</f>
        <v/>
      </c>
      <c r="M24" s="13">
        <f>Inputs!$F$62*Inputs!$F$36*(Inputs!$F$243*IF(M8=1,1,0)+(1-Inputs!$F$243)*IF(M8=Inputs!$F$242,1,0))</f>
        <v/>
      </c>
      <c r="N24" s="13">
        <f>Inputs!$F$62*Inputs!$F$36*(Inputs!$F$243*IF(N8=1,1,0)+(1-Inputs!$F$243)*IF(N8=Inputs!$F$242,1,0))</f>
        <v/>
      </c>
      <c r="O24" s="13">
        <f>Inputs!$F$62*Inputs!$F$36*(Inputs!$F$243*IF(O8=1,1,0)+(1-Inputs!$F$243)*IF(O8=Inputs!$F$242,1,0))</f>
        <v/>
      </c>
      <c r="P24" s="13">
        <f>Inputs!$F$62*Inputs!$F$36*(Inputs!$F$243*IF(P8=1,1,0)+(1-Inputs!$F$243)*IF(P8=Inputs!$F$242,1,0))</f>
        <v/>
      </c>
      <c r="Q24" s="13">
        <f>Inputs!$F$62*Inputs!$F$36*(Inputs!$F$243*IF(Q8=1,1,0)+(1-Inputs!$F$243)*IF(Q8=Inputs!$F$242,1,0))</f>
        <v/>
      </c>
      <c r="R24" s="13">
        <f>Inputs!$F$62*Inputs!$F$36*(Inputs!$F$243*IF(R8=1,1,0)+(1-Inputs!$F$243)*IF(R8=Inputs!$F$242,1,0))</f>
        <v/>
      </c>
      <c r="S24" s="13">
        <f>Inputs!$F$62*Inputs!$F$36*(Inputs!$F$243*IF(S8=1,1,0)+(1-Inputs!$F$243)*IF(S8=Inputs!$F$242,1,0))</f>
        <v/>
      </c>
      <c r="T24" s="13">
        <f>Inputs!$F$62*Inputs!$F$36*(Inputs!$F$243*IF(T8=1,1,0)+(1-Inputs!$F$243)*IF(T8=Inputs!$F$242,1,0))</f>
        <v/>
      </c>
      <c r="U24" s="13">
        <f>Inputs!$F$62*Inputs!$F$36*(Inputs!$F$243*IF(U8=1,1,0)+(1-Inputs!$F$243)*IF(U8=Inputs!$F$242,1,0))</f>
        <v/>
      </c>
      <c r="V24" s="13">
        <f>Inputs!$F$62*Inputs!$F$36*(Inputs!$F$243*IF(V8=1,1,0)+(1-Inputs!$F$243)*IF(V8=Inputs!$F$242,1,0))</f>
        <v/>
      </c>
      <c r="W24" s="13">
        <f>Inputs!$F$62*Inputs!$F$36*(Inputs!$F$243*IF(W8=1,1,0)+(1-Inputs!$F$243)*IF(W8=Inputs!$F$242,1,0))</f>
        <v/>
      </c>
      <c r="X24" s="13">
        <f>Inputs!$F$62*Inputs!$F$36*(Inputs!$F$243*IF(X8=1,1,0)+(1-Inputs!$F$243)*IF(X8=Inputs!$F$242,1,0))</f>
        <v/>
      </c>
      <c r="Y24" s="13">
        <f>Inputs!$F$62*Inputs!$F$36*(Inputs!$F$243*IF(Y8=1,1,0)+(1-Inputs!$F$243)*IF(Y8=Inputs!$F$242,1,0))</f>
        <v/>
      </c>
      <c r="Z24" s="13">
        <f>Inputs!$F$62*Inputs!$F$36*(Inputs!$F$243*IF(Z8=1,1,0)+(1-Inputs!$F$243)*IF(Z8=Inputs!$F$242,1,0))</f>
        <v/>
      </c>
      <c r="AA24" s="13">
        <f>Inputs!$F$62*Inputs!$F$36*(Inputs!$F$243*IF(AA8=1,1,0)+(1-Inputs!$F$243)*IF(AA8=Inputs!$F$242,1,0))</f>
        <v/>
      </c>
      <c r="AB24" s="13">
        <f>Inputs!$F$62*Inputs!$F$36*(Inputs!$F$243*IF(AB8=1,1,0)+(1-Inputs!$F$243)*IF(AB8=Inputs!$F$242,1,0))</f>
        <v/>
      </c>
      <c r="AC24" s="13">
        <f>Inputs!$F$62*Inputs!$F$36*(Inputs!$F$243*IF(AC8=1,1,0)+(1-Inputs!$F$243)*IF(AC8=Inputs!$F$242,1,0))</f>
        <v/>
      </c>
      <c r="AD24" s="13">
        <f>Inputs!$F$62*Inputs!$F$36*(Inputs!$F$243*IF(AD8=1,1,0)+(1-Inputs!$F$243)*IF(AD8=Inputs!$F$242,1,0))</f>
        <v/>
      </c>
      <c r="AE24" s="13">
        <f>Inputs!$F$62*Inputs!$F$36*(Inputs!$F$243*IF(AE8=1,1,0)+(1-Inputs!$F$243)*IF(AE8=Inputs!$F$242,1,0))</f>
        <v/>
      </c>
      <c r="AF24" s="13">
        <f>Inputs!$F$62*Inputs!$F$36*(Inputs!$F$243*IF(AF8=1,1,0)+(1-Inputs!$F$243)*IF(AF8=Inputs!$F$242,1,0))</f>
        <v/>
      </c>
      <c r="AG24" s="13">
        <f>Inputs!$F$62*Inputs!$F$36*(Inputs!$F$243*IF(AG8=1,1,0)+(1-Inputs!$F$243)*IF(AG8=Inputs!$F$242,1,0))</f>
        <v/>
      </c>
      <c r="AH24" s="13">
        <f>Inputs!$F$62*Inputs!$F$36*(Inputs!$F$243*IF(AH8=1,1,0)+(1-Inputs!$F$243)*IF(AH8=Inputs!$F$242,1,0))</f>
        <v/>
      </c>
      <c r="AI24" s="13">
        <f>Inputs!$F$62*Inputs!$F$36*(Inputs!$F$243*IF(AI8=1,1,0)+(1-Inputs!$F$243)*IF(AI8=Inputs!$F$242,1,0))</f>
        <v/>
      </c>
      <c r="AJ24" s="13">
        <f>Inputs!$F$62*Inputs!$F$36*(Inputs!$F$243*IF(AJ8=1,1,0)+(1-Inputs!$F$243)*IF(AJ8=Inputs!$F$242,1,0))</f>
        <v/>
      </c>
      <c r="AK24" s="13">
        <f>Inputs!$F$62*Inputs!$F$36*(Inputs!$F$243*IF(AK8=1,1,0)+(1-Inputs!$F$243)*IF(AK8=Inputs!$F$242,1,0))</f>
        <v/>
      </c>
      <c r="AL24" s="13">
        <f>Inputs!$F$62*Inputs!$F$36*(Inputs!$F$243*IF(AL8=1,1,0)+(1-Inputs!$F$243)*IF(AL8=Inputs!$F$242,1,0))</f>
        <v/>
      </c>
      <c r="AM24" s="13">
        <f>Inputs!$F$62*Inputs!$F$36*(Inputs!$F$243*IF(AM8=1,1,0)+(1-Inputs!$F$243)*IF(AM8=Inputs!$F$242,1,0))</f>
        <v/>
      </c>
      <c r="AN24" s="13">
        <f>Inputs!$F$62*Inputs!$F$36*(Inputs!$F$243*IF(AN8=1,1,0)+(1-Inputs!$F$243)*IF(AN8=Inputs!$F$242,1,0))</f>
        <v/>
      </c>
      <c r="AO24" s="13">
        <f>Inputs!$F$62*Inputs!$F$36*(Inputs!$F$243*IF(AO8=1,1,0)+(1-Inputs!$F$243)*IF(AO8=Inputs!$F$242,1,0))</f>
        <v/>
      </c>
      <c r="AP24" s="13">
        <f>Inputs!$F$62*Inputs!$F$36*(Inputs!$F$243*IF(AP8=1,1,0)+(1-Inputs!$F$243)*IF(AP8=Inputs!$F$242,1,0))</f>
        <v/>
      </c>
      <c r="AQ24" s="13">
        <f>Inputs!$F$62*Inputs!$F$36*(Inputs!$F$243*IF(AQ8=1,1,0)+(1-Inputs!$F$243)*IF(AQ8=Inputs!$F$242,1,0))</f>
        <v/>
      </c>
      <c r="AR24" s="13">
        <f>Inputs!$F$62*Inputs!$F$36*(Inputs!$F$243*IF(AR8=1,1,0)+(1-Inputs!$F$243)*IF(AR8=Inputs!$F$242,1,0))</f>
        <v/>
      </c>
      <c r="AS24" s="13">
        <f>Inputs!$F$62*Inputs!$F$36*(Inputs!$F$243*IF(AS8=1,1,0)+(1-Inputs!$F$243)*IF(AS8=Inputs!$F$242,1,0))</f>
        <v/>
      </c>
      <c r="AT24" s="13">
        <f>Inputs!$F$62*Inputs!$F$36*(Inputs!$F$243*IF(AT8=1,1,0)+(1-Inputs!$F$243)*IF(AT8=Inputs!$F$242,1,0))</f>
        <v/>
      </c>
      <c r="AU24" s="13">
        <f>Inputs!$F$62*Inputs!$F$36*(Inputs!$F$243*IF(AU8=1,1,0)+(1-Inputs!$F$243)*IF(AU8=Inputs!$F$242,1,0))</f>
        <v/>
      </c>
      <c r="AV24" s="13">
        <f>Inputs!$F$62*Inputs!$F$36*(Inputs!$F$243*IF(AV8=1,1,0)+(1-Inputs!$F$243)*IF(AV8=Inputs!$F$242,1,0))</f>
        <v/>
      </c>
      <c r="AW24" s="13">
        <f>Inputs!$F$62*Inputs!$F$36*(Inputs!$F$243*IF(AW8=1,1,0)+(1-Inputs!$F$243)*IF(AW8=Inputs!$F$242,1,0))</f>
        <v/>
      </c>
      <c r="AX24" s="13">
        <f>Inputs!$F$62*Inputs!$F$36*(Inputs!$F$243*IF(AX8=1,1,0)+(1-Inputs!$F$243)*IF(AX8=Inputs!$F$242,1,0))</f>
        <v/>
      </c>
      <c r="AY24" s="13">
        <f>Inputs!$F$62*Inputs!$F$36*(Inputs!$F$243*IF(AY8=1,1,0)+(1-Inputs!$F$243)*IF(AY8=Inputs!$F$242,1,0))</f>
        <v/>
      </c>
      <c r="AZ24" s="13">
        <f>Inputs!$F$62*Inputs!$F$36*(Inputs!$F$243*IF(AZ8=1,1,0)+(1-Inputs!$F$243)*IF(AZ8=Inputs!$F$242,1,0))</f>
        <v/>
      </c>
      <c r="BA24" s="13">
        <f>Inputs!$F$62*Inputs!$F$36*(Inputs!$F$243*IF(BA8=1,1,0)+(1-Inputs!$F$243)*IF(BA8=Inputs!$F$242,1,0))</f>
        <v/>
      </c>
      <c r="BB24" s="13">
        <f>Inputs!$F$62*Inputs!$F$36*(Inputs!$F$243*IF(BB8=1,1,0)+(1-Inputs!$F$243)*IF(BB8=Inputs!$F$242,1,0))</f>
        <v/>
      </c>
      <c r="BC24" s="13">
        <f>Inputs!$F$62*Inputs!$F$36*(Inputs!$F$243*IF(BC8=1,1,0)+(1-Inputs!$F$243)*IF(BC8=Inputs!$F$242,1,0))</f>
        <v/>
      </c>
      <c r="BD24" s="13">
        <f>Inputs!$F$62*Inputs!$F$36*(Inputs!$F$243*IF(BD8=1,1,0)+(1-Inputs!$F$243)*IF(BD8=Inputs!$F$242,1,0))</f>
        <v/>
      </c>
      <c r="BE24" s="13">
        <f>Inputs!$F$62*Inputs!$F$36*(Inputs!$F$243*IF(BE8=1,1,0)+(1-Inputs!$F$243)*IF(BE8=Inputs!$F$242,1,0))</f>
        <v/>
      </c>
      <c r="BF24" s="13">
        <f>Inputs!$F$62*Inputs!$F$36*(Inputs!$F$243*IF(BF8=1,1,0)+(1-Inputs!$F$243)*IF(BF8=Inputs!$F$242,1,0))</f>
        <v/>
      </c>
      <c r="BG24" s="13">
        <f>Inputs!$F$62*Inputs!$F$36*(Inputs!$F$243*IF(BG8=1,1,0)+(1-Inputs!$F$243)*IF(BG8=Inputs!$F$242,1,0))</f>
        <v/>
      </c>
      <c r="BH24" s="13">
        <f>Inputs!$F$62*Inputs!$F$36*(Inputs!$F$243*IF(BH8=1,1,0)+(1-Inputs!$F$243)*IF(BH8=Inputs!$F$242,1,0))</f>
        <v/>
      </c>
      <c r="BI24" s="13">
        <f>Inputs!$F$62*Inputs!$F$36*(Inputs!$F$243*IF(BI8=1,1,0)+(1-Inputs!$F$243)*IF(BI8=Inputs!$F$242,1,0))</f>
        <v/>
      </c>
      <c r="BJ24" s="13">
        <f>Inputs!$F$62*Inputs!$F$36*(Inputs!$F$243*IF(BJ8=1,1,0)+(1-Inputs!$F$243)*IF(BJ8=Inputs!$F$242,1,0))</f>
        <v/>
      </c>
    </row>
    <row r="25">
      <c r="D25" t="inlineStr">
        <is>
          <t>Development costs and fee</t>
        </is>
      </c>
      <c r="E25" t="inlineStr">
        <is>
          <t>USD m</t>
        </is>
      </c>
      <c r="G25" s="13">
        <f>SUM(J25:BJ25)</f>
        <v/>
      </c>
      <c r="J25" s="13">
        <f>IF(J8=1,Inputs!$F$63+Inputs!$F$64,0)</f>
        <v/>
      </c>
      <c r="K25" s="13">
        <f>IF(K8=1,Inputs!$F$63+Inputs!$F$64,0)</f>
        <v/>
      </c>
      <c r="L25" s="13">
        <f>IF(L8=1,Inputs!$F$63+Inputs!$F$64,0)</f>
        <v/>
      </c>
      <c r="M25" s="13">
        <f>IF(M8=1,Inputs!$F$63+Inputs!$F$64,0)</f>
        <v/>
      </c>
      <c r="N25" s="13">
        <f>IF(N8=1,Inputs!$F$63+Inputs!$F$64,0)</f>
        <v/>
      </c>
      <c r="O25" s="13">
        <f>IF(O8=1,Inputs!$F$63+Inputs!$F$64,0)</f>
        <v/>
      </c>
      <c r="P25" s="13">
        <f>IF(P8=1,Inputs!$F$63+Inputs!$F$64,0)</f>
        <v/>
      </c>
      <c r="Q25" s="13">
        <f>IF(Q8=1,Inputs!$F$63+Inputs!$F$64,0)</f>
        <v/>
      </c>
      <c r="R25" s="13">
        <f>IF(R8=1,Inputs!$F$63+Inputs!$F$64,0)</f>
        <v/>
      </c>
      <c r="S25" s="13">
        <f>IF(S8=1,Inputs!$F$63+Inputs!$F$64,0)</f>
        <v/>
      </c>
      <c r="T25" s="13">
        <f>IF(T8=1,Inputs!$F$63+Inputs!$F$64,0)</f>
        <v/>
      </c>
      <c r="U25" s="13">
        <f>IF(U8=1,Inputs!$F$63+Inputs!$F$64,0)</f>
        <v/>
      </c>
      <c r="V25" s="13">
        <f>IF(V8=1,Inputs!$F$63+Inputs!$F$64,0)</f>
        <v/>
      </c>
      <c r="W25" s="13">
        <f>IF(W8=1,Inputs!$F$63+Inputs!$F$64,0)</f>
        <v/>
      </c>
      <c r="X25" s="13">
        <f>IF(X8=1,Inputs!$F$63+Inputs!$F$64,0)</f>
        <v/>
      </c>
      <c r="Y25" s="13">
        <f>IF(Y8=1,Inputs!$F$63+Inputs!$F$64,0)</f>
        <v/>
      </c>
      <c r="Z25" s="13">
        <f>IF(Z8=1,Inputs!$F$63+Inputs!$F$64,0)</f>
        <v/>
      </c>
      <c r="AA25" s="13">
        <f>IF(AA8=1,Inputs!$F$63+Inputs!$F$64,0)</f>
        <v/>
      </c>
      <c r="AB25" s="13">
        <f>IF(AB8=1,Inputs!$F$63+Inputs!$F$64,0)</f>
        <v/>
      </c>
      <c r="AC25" s="13">
        <f>IF(AC8=1,Inputs!$F$63+Inputs!$F$64,0)</f>
        <v/>
      </c>
      <c r="AD25" s="13">
        <f>IF(AD8=1,Inputs!$F$63+Inputs!$F$64,0)</f>
        <v/>
      </c>
      <c r="AE25" s="13">
        <f>IF(AE8=1,Inputs!$F$63+Inputs!$F$64,0)</f>
        <v/>
      </c>
      <c r="AF25" s="13">
        <f>IF(AF8=1,Inputs!$F$63+Inputs!$F$64,0)</f>
        <v/>
      </c>
      <c r="AG25" s="13">
        <f>IF(AG8=1,Inputs!$F$63+Inputs!$F$64,0)</f>
        <v/>
      </c>
      <c r="AH25" s="13">
        <f>IF(AH8=1,Inputs!$F$63+Inputs!$F$64,0)</f>
        <v/>
      </c>
      <c r="AI25" s="13">
        <f>IF(AI8=1,Inputs!$F$63+Inputs!$F$64,0)</f>
        <v/>
      </c>
      <c r="AJ25" s="13">
        <f>IF(AJ8=1,Inputs!$F$63+Inputs!$F$64,0)</f>
        <v/>
      </c>
      <c r="AK25" s="13">
        <f>IF(AK8=1,Inputs!$F$63+Inputs!$F$64,0)</f>
        <v/>
      </c>
      <c r="AL25" s="13">
        <f>IF(AL8=1,Inputs!$F$63+Inputs!$F$64,0)</f>
        <v/>
      </c>
      <c r="AM25" s="13">
        <f>IF(AM8=1,Inputs!$F$63+Inputs!$F$64,0)</f>
        <v/>
      </c>
      <c r="AN25" s="13">
        <f>IF(AN8=1,Inputs!$F$63+Inputs!$F$64,0)</f>
        <v/>
      </c>
      <c r="AO25" s="13">
        <f>IF(AO8=1,Inputs!$F$63+Inputs!$F$64,0)</f>
        <v/>
      </c>
      <c r="AP25" s="13">
        <f>IF(AP8=1,Inputs!$F$63+Inputs!$F$64,0)</f>
        <v/>
      </c>
      <c r="AQ25" s="13">
        <f>IF(AQ8=1,Inputs!$F$63+Inputs!$F$64,0)</f>
        <v/>
      </c>
      <c r="AR25" s="13">
        <f>IF(AR8=1,Inputs!$F$63+Inputs!$F$64,0)</f>
        <v/>
      </c>
      <c r="AS25" s="13">
        <f>IF(AS8=1,Inputs!$F$63+Inputs!$F$64,0)</f>
        <v/>
      </c>
      <c r="AT25" s="13">
        <f>IF(AT8=1,Inputs!$F$63+Inputs!$F$64,0)</f>
        <v/>
      </c>
      <c r="AU25" s="13">
        <f>IF(AU8=1,Inputs!$F$63+Inputs!$F$64,0)</f>
        <v/>
      </c>
      <c r="AV25" s="13">
        <f>IF(AV8=1,Inputs!$F$63+Inputs!$F$64,0)</f>
        <v/>
      </c>
      <c r="AW25" s="13">
        <f>IF(AW8=1,Inputs!$F$63+Inputs!$F$64,0)</f>
        <v/>
      </c>
      <c r="AX25" s="13">
        <f>IF(AX8=1,Inputs!$F$63+Inputs!$F$64,0)</f>
        <v/>
      </c>
      <c r="AY25" s="13">
        <f>IF(AY8=1,Inputs!$F$63+Inputs!$F$64,0)</f>
        <v/>
      </c>
      <c r="AZ25" s="13">
        <f>IF(AZ8=1,Inputs!$F$63+Inputs!$F$64,0)</f>
        <v/>
      </c>
      <c r="BA25" s="13">
        <f>IF(BA8=1,Inputs!$F$63+Inputs!$F$64,0)</f>
        <v/>
      </c>
      <c r="BB25" s="13">
        <f>IF(BB8=1,Inputs!$F$63+Inputs!$F$64,0)</f>
        <v/>
      </c>
      <c r="BC25" s="13">
        <f>IF(BC8=1,Inputs!$F$63+Inputs!$F$64,0)</f>
        <v/>
      </c>
      <c r="BD25" s="13">
        <f>IF(BD8=1,Inputs!$F$63+Inputs!$F$64,0)</f>
        <v/>
      </c>
      <c r="BE25" s="13">
        <f>IF(BE8=1,Inputs!$F$63+Inputs!$F$64,0)</f>
        <v/>
      </c>
      <c r="BF25" s="13">
        <f>IF(BF8=1,Inputs!$F$63+Inputs!$F$64,0)</f>
        <v/>
      </c>
      <c r="BG25" s="13">
        <f>IF(BG8=1,Inputs!$F$63+Inputs!$F$64,0)</f>
        <v/>
      </c>
      <c r="BH25" s="13">
        <f>IF(BH8=1,Inputs!$F$63+Inputs!$F$64,0)</f>
        <v/>
      </c>
      <c r="BI25" s="13">
        <f>IF(BI8=1,Inputs!$F$63+Inputs!$F$64,0)</f>
        <v/>
      </c>
      <c r="BJ25" s="13">
        <f>IF(BJ8=1,Inputs!$F$63+Inputs!$F$64,0)</f>
        <v/>
      </c>
    </row>
    <row r="26">
      <c r="D26" t="inlineStr">
        <is>
          <t>Lenders' advisors and legal</t>
        </is>
      </c>
      <c r="E26" t="inlineStr">
        <is>
          <t>USD m</t>
        </is>
      </c>
      <c r="G26" s="13">
        <f>SUM(J26:BJ26)</f>
        <v/>
      </c>
      <c r="J26" s="13">
        <f>Inputs!$F$65*Inputs!$F$36*(Inputs!$F$244*IF(J8=1,1,0)+(1-Inputs!$F$244)/(Time!$F$11-1)*IF(AND(J8&gt;1,J8&lt;=Time!$F$11),1,0))</f>
        <v/>
      </c>
      <c r="K26" s="13">
        <f>Inputs!$F$65*Inputs!$F$36*(Inputs!$F$244*IF(K8=1,1,0)+(1-Inputs!$F$244)/(Time!$F$11-1)*IF(AND(K8&gt;1,K8&lt;=Time!$F$11),1,0))</f>
        <v/>
      </c>
      <c r="L26" s="13">
        <f>Inputs!$F$65*Inputs!$F$36*(Inputs!$F$244*IF(L8=1,1,0)+(1-Inputs!$F$244)/(Time!$F$11-1)*IF(AND(L8&gt;1,L8&lt;=Time!$F$11),1,0))</f>
        <v/>
      </c>
      <c r="M26" s="13">
        <f>Inputs!$F$65*Inputs!$F$36*(Inputs!$F$244*IF(M8=1,1,0)+(1-Inputs!$F$244)/(Time!$F$11-1)*IF(AND(M8&gt;1,M8&lt;=Time!$F$11),1,0))</f>
        <v/>
      </c>
      <c r="N26" s="13">
        <f>Inputs!$F$65*Inputs!$F$36*(Inputs!$F$244*IF(N8=1,1,0)+(1-Inputs!$F$244)/(Time!$F$11-1)*IF(AND(N8&gt;1,N8&lt;=Time!$F$11),1,0))</f>
        <v/>
      </c>
      <c r="O26" s="13">
        <f>Inputs!$F$65*Inputs!$F$36*(Inputs!$F$244*IF(O8=1,1,0)+(1-Inputs!$F$244)/(Time!$F$11-1)*IF(AND(O8&gt;1,O8&lt;=Time!$F$11),1,0))</f>
        <v/>
      </c>
      <c r="P26" s="13">
        <f>Inputs!$F$65*Inputs!$F$36*(Inputs!$F$244*IF(P8=1,1,0)+(1-Inputs!$F$244)/(Time!$F$11-1)*IF(AND(P8&gt;1,P8&lt;=Time!$F$11),1,0))</f>
        <v/>
      </c>
      <c r="Q26" s="13">
        <f>Inputs!$F$65*Inputs!$F$36*(Inputs!$F$244*IF(Q8=1,1,0)+(1-Inputs!$F$244)/(Time!$F$11-1)*IF(AND(Q8&gt;1,Q8&lt;=Time!$F$11),1,0))</f>
        <v/>
      </c>
      <c r="R26" s="13">
        <f>Inputs!$F$65*Inputs!$F$36*(Inputs!$F$244*IF(R8=1,1,0)+(1-Inputs!$F$244)/(Time!$F$11-1)*IF(AND(R8&gt;1,R8&lt;=Time!$F$11),1,0))</f>
        <v/>
      </c>
      <c r="S26" s="13">
        <f>Inputs!$F$65*Inputs!$F$36*(Inputs!$F$244*IF(S8=1,1,0)+(1-Inputs!$F$244)/(Time!$F$11-1)*IF(AND(S8&gt;1,S8&lt;=Time!$F$11),1,0))</f>
        <v/>
      </c>
      <c r="T26" s="13">
        <f>Inputs!$F$65*Inputs!$F$36*(Inputs!$F$244*IF(T8=1,1,0)+(1-Inputs!$F$244)/(Time!$F$11-1)*IF(AND(T8&gt;1,T8&lt;=Time!$F$11),1,0))</f>
        <v/>
      </c>
      <c r="U26" s="13">
        <f>Inputs!$F$65*Inputs!$F$36*(Inputs!$F$244*IF(U8=1,1,0)+(1-Inputs!$F$244)/(Time!$F$11-1)*IF(AND(U8&gt;1,U8&lt;=Time!$F$11),1,0))</f>
        <v/>
      </c>
      <c r="V26" s="13">
        <f>Inputs!$F$65*Inputs!$F$36*(Inputs!$F$244*IF(V8=1,1,0)+(1-Inputs!$F$244)/(Time!$F$11-1)*IF(AND(V8&gt;1,V8&lt;=Time!$F$11),1,0))</f>
        <v/>
      </c>
      <c r="W26" s="13">
        <f>Inputs!$F$65*Inputs!$F$36*(Inputs!$F$244*IF(W8=1,1,0)+(1-Inputs!$F$244)/(Time!$F$11-1)*IF(AND(W8&gt;1,W8&lt;=Time!$F$11),1,0))</f>
        <v/>
      </c>
      <c r="X26" s="13">
        <f>Inputs!$F$65*Inputs!$F$36*(Inputs!$F$244*IF(X8=1,1,0)+(1-Inputs!$F$244)/(Time!$F$11-1)*IF(AND(X8&gt;1,X8&lt;=Time!$F$11),1,0))</f>
        <v/>
      </c>
      <c r="Y26" s="13">
        <f>Inputs!$F$65*Inputs!$F$36*(Inputs!$F$244*IF(Y8=1,1,0)+(1-Inputs!$F$244)/(Time!$F$11-1)*IF(AND(Y8&gt;1,Y8&lt;=Time!$F$11),1,0))</f>
        <v/>
      </c>
      <c r="Z26" s="13">
        <f>Inputs!$F$65*Inputs!$F$36*(Inputs!$F$244*IF(Z8=1,1,0)+(1-Inputs!$F$244)/(Time!$F$11-1)*IF(AND(Z8&gt;1,Z8&lt;=Time!$F$11),1,0))</f>
        <v/>
      </c>
      <c r="AA26" s="13">
        <f>Inputs!$F$65*Inputs!$F$36*(Inputs!$F$244*IF(AA8=1,1,0)+(1-Inputs!$F$244)/(Time!$F$11-1)*IF(AND(AA8&gt;1,AA8&lt;=Time!$F$11),1,0))</f>
        <v/>
      </c>
      <c r="AB26" s="13">
        <f>Inputs!$F$65*Inputs!$F$36*(Inputs!$F$244*IF(AB8=1,1,0)+(1-Inputs!$F$244)/(Time!$F$11-1)*IF(AND(AB8&gt;1,AB8&lt;=Time!$F$11),1,0))</f>
        <v/>
      </c>
      <c r="AC26" s="13">
        <f>Inputs!$F$65*Inputs!$F$36*(Inputs!$F$244*IF(AC8=1,1,0)+(1-Inputs!$F$244)/(Time!$F$11-1)*IF(AND(AC8&gt;1,AC8&lt;=Time!$F$11),1,0))</f>
        <v/>
      </c>
      <c r="AD26" s="13">
        <f>Inputs!$F$65*Inputs!$F$36*(Inputs!$F$244*IF(AD8=1,1,0)+(1-Inputs!$F$244)/(Time!$F$11-1)*IF(AND(AD8&gt;1,AD8&lt;=Time!$F$11),1,0))</f>
        <v/>
      </c>
      <c r="AE26" s="13">
        <f>Inputs!$F$65*Inputs!$F$36*(Inputs!$F$244*IF(AE8=1,1,0)+(1-Inputs!$F$244)/(Time!$F$11-1)*IF(AND(AE8&gt;1,AE8&lt;=Time!$F$11),1,0))</f>
        <v/>
      </c>
      <c r="AF26" s="13">
        <f>Inputs!$F$65*Inputs!$F$36*(Inputs!$F$244*IF(AF8=1,1,0)+(1-Inputs!$F$244)/(Time!$F$11-1)*IF(AND(AF8&gt;1,AF8&lt;=Time!$F$11),1,0))</f>
        <v/>
      </c>
      <c r="AG26" s="13">
        <f>Inputs!$F$65*Inputs!$F$36*(Inputs!$F$244*IF(AG8=1,1,0)+(1-Inputs!$F$244)/(Time!$F$11-1)*IF(AND(AG8&gt;1,AG8&lt;=Time!$F$11),1,0))</f>
        <v/>
      </c>
      <c r="AH26" s="13">
        <f>Inputs!$F$65*Inputs!$F$36*(Inputs!$F$244*IF(AH8=1,1,0)+(1-Inputs!$F$244)/(Time!$F$11-1)*IF(AND(AH8&gt;1,AH8&lt;=Time!$F$11),1,0))</f>
        <v/>
      </c>
      <c r="AI26" s="13">
        <f>Inputs!$F$65*Inputs!$F$36*(Inputs!$F$244*IF(AI8=1,1,0)+(1-Inputs!$F$244)/(Time!$F$11-1)*IF(AND(AI8&gt;1,AI8&lt;=Time!$F$11),1,0))</f>
        <v/>
      </c>
      <c r="AJ26" s="13">
        <f>Inputs!$F$65*Inputs!$F$36*(Inputs!$F$244*IF(AJ8=1,1,0)+(1-Inputs!$F$244)/(Time!$F$11-1)*IF(AND(AJ8&gt;1,AJ8&lt;=Time!$F$11),1,0))</f>
        <v/>
      </c>
      <c r="AK26" s="13">
        <f>Inputs!$F$65*Inputs!$F$36*(Inputs!$F$244*IF(AK8=1,1,0)+(1-Inputs!$F$244)/(Time!$F$11-1)*IF(AND(AK8&gt;1,AK8&lt;=Time!$F$11),1,0))</f>
        <v/>
      </c>
      <c r="AL26" s="13">
        <f>Inputs!$F$65*Inputs!$F$36*(Inputs!$F$244*IF(AL8=1,1,0)+(1-Inputs!$F$244)/(Time!$F$11-1)*IF(AND(AL8&gt;1,AL8&lt;=Time!$F$11),1,0))</f>
        <v/>
      </c>
      <c r="AM26" s="13">
        <f>Inputs!$F$65*Inputs!$F$36*(Inputs!$F$244*IF(AM8=1,1,0)+(1-Inputs!$F$244)/(Time!$F$11-1)*IF(AND(AM8&gt;1,AM8&lt;=Time!$F$11),1,0))</f>
        <v/>
      </c>
      <c r="AN26" s="13">
        <f>Inputs!$F$65*Inputs!$F$36*(Inputs!$F$244*IF(AN8=1,1,0)+(1-Inputs!$F$244)/(Time!$F$11-1)*IF(AND(AN8&gt;1,AN8&lt;=Time!$F$11),1,0))</f>
        <v/>
      </c>
      <c r="AO26" s="13">
        <f>Inputs!$F$65*Inputs!$F$36*(Inputs!$F$244*IF(AO8=1,1,0)+(1-Inputs!$F$244)/(Time!$F$11-1)*IF(AND(AO8&gt;1,AO8&lt;=Time!$F$11),1,0))</f>
        <v/>
      </c>
      <c r="AP26" s="13">
        <f>Inputs!$F$65*Inputs!$F$36*(Inputs!$F$244*IF(AP8=1,1,0)+(1-Inputs!$F$244)/(Time!$F$11-1)*IF(AND(AP8&gt;1,AP8&lt;=Time!$F$11),1,0))</f>
        <v/>
      </c>
      <c r="AQ26" s="13">
        <f>Inputs!$F$65*Inputs!$F$36*(Inputs!$F$244*IF(AQ8=1,1,0)+(1-Inputs!$F$244)/(Time!$F$11-1)*IF(AND(AQ8&gt;1,AQ8&lt;=Time!$F$11),1,0))</f>
        <v/>
      </c>
      <c r="AR26" s="13">
        <f>Inputs!$F$65*Inputs!$F$36*(Inputs!$F$244*IF(AR8=1,1,0)+(1-Inputs!$F$244)/(Time!$F$11-1)*IF(AND(AR8&gt;1,AR8&lt;=Time!$F$11),1,0))</f>
        <v/>
      </c>
      <c r="AS26" s="13">
        <f>Inputs!$F$65*Inputs!$F$36*(Inputs!$F$244*IF(AS8=1,1,0)+(1-Inputs!$F$244)/(Time!$F$11-1)*IF(AND(AS8&gt;1,AS8&lt;=Time!$F$11),1,0))</f>
        <v/>
      </c>
      <c r="AT26" s="13">
        <f>Inputs!$F$65*Inputs!$F$36*(Inputs!$F$244*IF(AT8=1,1,0)+(1-Inputs!$F$244)/(Time!$F$11-1)*IF(AND(AT8&gt;1,AT8&lt;=Time!$F$11),1,0))</f>
        <v/>
      </c>
      <c r="AU26" s="13">
        <f>Inputs!$F$65*Inputs!$F$36*(Inputs!$F$244*IF(AU8=1,1,0)+(1-Inputs!$F$244)/(Time!$F$11-1)*IF(AND(AU8&gt;1,AU8&lt;=Time!$F$11),1,0))</f>
        <v/>
      </c>
      <c r="AV26" s="13">
        <f>Inputs!$F$65*Inputs!$F$36*(Inputs!$F$244*IF(AV8=1,1,0)+(1-Inputs!$F$244)/(Time!$F$11-1)*IF(AND(AV8&gt;1,AV8&lt;=Time!$F$11),1,0))</f>
        <v/>
      </c>
      <c r="AW26" s="13">
        <f>Inputs!$F$65*Inputs!$F$36*(Inputs!$F$244*IF(AW8=1,1,0)+(1-Inputs!$F$244)/(Time!$F$11-1)*IF(AND(AW8&gt;1,AW8&lt;=Time!$F$11),1,0))</f>
        <v/>
      </c>
      <c r="AX26" s="13">
        <f>Inputs!$F$65*Inputs!$F$36*(Inputs!$F$244*IF(AX8=1,1,0)+(1-Inputs!$F$244)/(Time!$F$11-1)*IF(AND(AX8&gt;1,AX8&lt;=Time!$F$11),1,0))</f>
        <v/>
      </c>
      <c r="AY26" s="13">
        <f>Inputs!$F$65*Inputs!$F$36*(Inputs!$F$244*IF(AY8=1,1,0)+(1-Inputs!$F$244)/(Time!$F$11-1)*IF(AND(AY8&gt;1,AY8&lt;=Time!$F$11),1,0))</f>
        <v/>
      </c>
      <c r="AZ26" s="13">
        <f>Inputs!$F$65*Inputs!$F$36*(Inputs!$F$244*IF(AZ8=1,1,0)+(1-Inputs!$F$244)/(Time!$F$11-1)*IF(AND(AZ8&gt;1,AZ8&lt;=Time!$F$11),1,0))</f>
        <v/>
      </c>
      <c r="BA26" s="13">
        <f>Inputs!$F$65*Inputs!$F$36*(Inputs!$F$244*IF(BA8=1,1,0)+(1-Inputs!$F$244)/(Time!$F$11-1)*IF(AND(BA8&gt;1,BA8&lt;=Time!$F$11),1,0))</f>
        <v/>
      </c>
      <c r="BB26" s="13">
        <f>Inputs!$F$65*Inputs!$F$36*(Inputs!$F$244*IF(BB8=1,1,0)+(1-Inputs!$F$244)/(Time!$F$11-1)*IF(AND(BB8&gt;1,BB8&lt;=Time!$F$11),1,0))</f>
        <v/>
      </c>
      <c r="BC26" s="13">
        <f>Inputs!$F$65*Inputs!$F$36*(Inputs!$F$244*IF(BC8=1,1,0)+(1-Inputs!$F$244)/(Time!$F$11-1)*IF(AND(BC8&gt;1,BC8&lt;=Time!$F$11),1,0))</f>
        <v/>
      </c>
      <c r="BD26" s="13">
        <f>Inputs!$F$65*Inputs!$F$36*(Inputs!$F$244*IF(BD8=1,1,0)+(1-Inputs!$F$244)/(Time!$F$11-1)*IF(AND(BD8&gt;1,BD8&lt;=Time!$F$11),1,0))</f>
        <v/>
      </c>
      <c r="BE26" s="13">
        <f>Inputs!$F$65*Inputs!$F$36*(Inputs!$F$244*IF(BE8=1,1,0)+(1-Inputs!$F$244)/(Time!$F$11-1)*IF(AND(BE8&gt;1,BE8&lt;=Time!$F$11),1,0))</f>
        <v/>
      </c>
      <c r="BF26" s="13">
        <f>Inputs!$F$65*Inputs!$F$36*(Inputs!$F$244*IF(BF8=1,1,0)+(1-Inputs!$F$244)/(Time!$F$11-1)*IF(AND(BF8&gt;1,BF8&lt;=Time!$F$11),1,0))</f>
        <v/>
      </c>
      <c r="BG26" s="13">
        <f>Inputs!$F$65*Inputs!$F$36*(Inputs!$F$244*IF(BG8=1,1,0)+(1-Inputs!$F$244)/(Time!$F$11-1)*IF(AND(BG8&gt;1,BG8&lt;=Time!$F$11),1,0))</f>
        <v/>
      </c>
      <c r="BH26" s="13">
        <f>Inputs!$F$65*Inputs!$F$36*(Inputs!$F$244*IF(BH8=1,1,0)+(1-Inputs!$F$244)/(Time!$F$11-1)*IF(AND(BH8&gt;1,BH8&lt;=Time!$F$11),1,0))</f>
        <v/>
      </c>
      <c r="BI26" s="13">
        <f>Inputs!$F$65*Inputs!$F$36*(Inputs!$F$244*IF(BI8=1,1,0)+(1-Inputs!$F$244)/(Time!$F$11-1)*IF(AND(BI8&gt;1,BI8&lt;=Time!$F$11),1,0))</f>
        <v/>
      </c>
      <c r="BJ26" s="13">
        <f>Inputs!$F$65*Inputs!$F$36*(Inputs!$F$244*IF(BJ8=1,1,0)+(1-Inputs!$F$244)/(Time!$F$11-1)*IF(AND(BJ8&gt;1,BJ8&lt;=Time!$F$11),1,0))</f>
        <v/>
      </c>
    </row>
    <row r="27">
      <c r="D27" t="inlineStr">
        <is>
          <t>Contingency (FC: pro rata with EPC progress payments)</t>
        </is>
      </c>
      <c r="E27" t="inlineStr">
        <is>
          <t>USD m</t>
        </is>
      </c>
      <c r="G27" s="13">
        <f>SUM(J27:BJ27)</f>
        <v/>
      </c>
      <c r="J27" s="13">
        <f>IF(Inputs!$F$34=1,Inputs!$F$66*Inputs!$F$36*J21/SUM($J$21:$BJ$21),0)</f>
        <v/>
      </c>
      <c r="K27" s="13">
        <f>IF(Inputs!$F$34=1,Inputs!$F$66*Inputs!$F$36*K21/SUM($J$21:$BJ$21),0)</f>
        <v/>
      </c>
      <c r="L27" s="13">
        <f>IF(Inputs!$F$34=1,Inputs!$F$66*Inputs!$F$36*L21/SUM($J$21:$BJ$21),0)</f>
        <v/>
      </c>
      <c r="M27" s="13">
        <f>IF(Inputs!$F$34=1,Inputs!$F$66*Inputs!$F$36*M21/SUM($J$21:$BJ$21),0)</f>
        <v/>
      </c>
      <c r="N27" s="13">
        <f>IF(Inputs!$F$34=1,Inputs!$F$66*Inputs!$F$36*N21/SUM($J$21:$BJ$21),0)</f>
        <v/>
      </c>
      <c r="O27" s="13">
        <f>IF(Inputs!$F$34=1,Inputs!$F$66*Inputs!$F$36*O21/SUM($J$21:$BJ$21),0)</f>
        <v/>
      </c>
      <c r="P27" s="13">
        <f>IF(Inputs!$F$34=1,Inputs!$F$66*Inputs!$F$36*P21/SUM($J$21:$BJ$21),0)</f>
        <v/>
      </c>
      <c r="Q27" s="13">
        <f>IF(Inputs!$F$34=1,Inputs!$F$66*Inputs!$F$36*Q21/SUM($J$21:$BJ$21),0)</f>
        <v/>
      </c>
      <c r="R27" s="13">
        <f>IF(Inputs!$F$34=1,Inputs!$F$66*Inputs!$F$36*R21/SUM($J$21:$BJ$21),0)</f>
        <v/>
      </c>
      <c r="S27" s="13">
        <f>IF(Inputs!$F$34=1,Inputs!$F$66*Inputs!$F$36*S21/SUM($J$21:$BJ$21),0)</f>
        <v/>
      </c>
      <c r="T27" s="13">
        <f>IF(Inputs!$F$34=1,Inputs!$F$66*Inputs!$F$36*T21/SUM($J$21:$BJ$21),0)</f>
        <v/>
      </c>
      <c r="U27" s="13">
        <f>IF(Inputs!$F$34=1,Inputs!$F$66*Inputs!$F$36*U21/SUM($J$21:$BJ$21),0)</f>
        <v/>
      </c>
      <c r="V27" s="13">
        <f>IF(Inputs!$F$34=1,Inputs!$F$66*Inputs!$F$36*V21/SUM($J$21:$BJ$21),0)</f>
        <v/>
      </c>
      <c r="W27" s="13">
        <f>IF(Inputs!$F$34=1,Inputs!$F$66*Inputs!$F$36*W21/SUM($J$21:$BJ$21),0)</f>
        <v/>
      </c>
      <c r="X27" s="13">
        <f>IF(Inputs!$F$34=1,Inputs!$F$66*Inputs!$F$36*X21/SUM($J$21:$BJ$21),0)</f>
        <v/>
      </c>
      <c r="Y27" s="13">
        <f>IF(Inputs!$F$34=1,Inputs!$F$66*Inputs!$F$36*Y21/SUM($J$21:$BJ$21),0)</f>
        <v/>
      </c>
      <c r="Z27" s="13">
        <f>IF(Inputs!$F$34=1,Inputs!$F$66*Inputs!$F$36*Z21/SUM($J$21:$BJ$21),0)</f>
        <v/>
      </c>
      <c r="AA27" s="13">
        <f>IF(Inputs!$F$34=1,Inputs!$F$66*Inputs!$F$36*AA21/SUM($J$21:$BJ$21),0)</f>
        <v/>
      </c>
      <c r="AB27" s="13">
        <f>IF(Inputs!$F$34=1,Inputs!$F$66*Inputs!$F$36*AB21/SUM($J$21:$BJ$21),0)</f>
        <v/>
      </c>
      <c r="AC27" s="13">
        <f>IF(Inputs!$F$34=1,Inputs!$F$66*Inputs!$F$36*AC21/SUM($J$21:$BJ$21),0)</f>
        <v/>
      </c>
      <c r="AD27" s="13">
        <f>IF(Inputs!$F$34=1,Inputs!$F$66*Inputs!$F$36*AD21/SUM($J$21:$BJ$21),0)</f>
        <v/>
      </c>
      <c r="AE27" s="13">
        <f>IF(Inputs!$F$34=1,Inputs!$F$66*Inputs!$F$36*AE21/SUM($J$21:$BJ$21),0)</f>
        <v/>
      </c>
      <c r="AF27" s="13">
        <f>IF(Inputs!$F$34=1,Inputs!$F$66*Inputs!$F$36*AF21/SUM($J$21:$BJ$21),0)</f>
        <v/>
      </c>
      <c r="AG27" s="13">
        <f>IF(Inputs!$F$34=1,Inputs!$F$66*Inputs!$F$36*AG21/SUM($J$21:$BJ$21),0)</f>
        <v/>
      </c>
      <c r="AH27" s="13">
        <f>IF(Inputs!$F$34=1,Inputs!$F$66*Inputs!$F$36*AH21/SUM($J$21:$BJ$21),0)</f>
        <v/>
      </c>
      <c r="AI27" s="13">
        <f>IF(Inputs!$F$34=1,Inputs!$F$66*Inputs!$F$36*AI21/SUM($J$21:$BJ$21),0)</f>
        <v/>
      </c>
      <c r="AJ27" s="13">
        <f>IF(Inputs!$F$34=1,Inputs!$F$66*Inputs!$F$36*AJ21/SUM($J$21:$BJ$21),0)</f>
        <v/>
      </c>
      <c r="AK27" s="13">
        <f>IF(Inputs!$F$34=1,Inputs!$F$66*Inputs!$F$36*AK21/SUM($J$21:$BJ$21),0)</f>
        <v/>
      </c>
      <c r="AL27" s="13">
        <f>IF(Inputs!$F$34=1,Inputs!$F$66*Inputs!$F$36*AL21/SUM($J$21:$BJ$21),0)</f>
        <v/>
      </c>
      <c r="AM27" s="13">
        <f>IF(Inputs!$F$34=1,Inputs!$F$66*Inputs!$F$36*AM21/SUM($J$21:$BJ$21),0)</f>
        <v/>
      </c>
      <c r="AN27" s="13">
        <f>IF(Inputs!$F$34=1,Inputs!$F$66*Inputs!$F$36*AN21/SUM($J$21:$BJ$21),0)</f>
        <v/>
      </c>
      <c r="AO27" s="13">
        <f>IF(Inputs!$F$34=1,Inputs!$F$66*Inputs!$F$36*AO21/SUM($J$21:$BJ$21),0)</f>
        <v/>
      </c>
      <c r="AP27" s="13">
        <f>IF(Inputs!$F$34=1,Inputs!$F$66*Inputs!$F$36*AP21/SUM($J$21:$BJ$21),0)</f>
        <v/>
      </c>
      <c r="AQ27" s="13">
        <f>IF(Inputs!$F$34=1,Inputs!$F$66*Inputs!$F$36*AQ21/SUM($J$21:$BJ$21),0)</f>
        <v/>
      </c>
      <c r="AR27" s="13">
        <f>IF(Inputs!$F$34=1,Inputs!$F$66*Inputs!$F$36*AR21/SUM($J$21:$BJ$21),0)</f>
        <v/>
      </c>
      <c r="AS27" s="13">
        <f>IF(Inputs!$F$34=1,Inputs!$F$66*Inputs!$F$36*AS21/SUM($J$21:$BJ$21),0)</f>
        <v/>
      </c>
      <c r="AT27" s="13">
        <f>IF(Inputs!$F$34=1,Inputs!$F$66*Inputs!$F$36*AT21/SUM($J$21:$BJ$21),0)</f>
        <v/>
      </c>
      <c r="AU27" s="13">
        <f>IF(Inputs!$F$34=1,Inputs!$F$66*Inputs!$F$36*AU21/SUM($J$21:$BJ$21),0)</f>
        <v/>
      </c>
      <c r="AV27" s="13">
        <f>IF(Inputs!$F$34=1,Inputs!$F$66*Inputs!$F$36*AV21/SUM($J$21:$BJ$21),0)</f>
        <v/>
      </c>
      <c r="AW27" s="13">
        <f>IF(Inputs!$F$34=1,Inputs!$F$66*Inputs!$F$36*AW21/SUM($J$21:$BJ$21),0)</f>
        <v/>
      </c>
      <c r="AX27" s="13">
        <f>IF(Inputs!$F$34=1,Inputs!$F$66*Inputs!$F$36*AX21/SUM($J$21:$BJ$21),0)</f>
        <v/>
      </c>
      <c r="AY27" s="13">
        <f>IF(Inputs!$F$34=1,Inputs!$F$66*Inputs!$F$36*AY21/SUM($J$21:$BJ$21),0)</f>
        <v/>
      </c>
      <c r="AZ27" s="13">
        <f>IF(Inputs!$F$34=1,Inputs!$F$66*Inputs!$F$36*AZ21/SUM($J$21:$BJ$21),0)</f>
        <v/>
      </c>
      <c r="BA27" s="13">
        <f>IF(Inputs!$F$34=1,Inputs!$F$66*Inputs!$F$36*BA21/SUM($J$21:$BJ$21),0)</f>
        <v/>
      </c>
      <c r="BB27" s="13">
        <f>IF(Inputs!$F$34=1,Inputs!$F$66*Inputs!$F$36*BB21/SUM($J$21:$BJ$21),0)</f>
        <v/>
      </c>
      <c r="BC27" s="13">
        <f>IF(Inputs!$F$34=1,Inputs!$F$66*Inputs!$F$36*BC21/SUM($J$21:$BJ$21),0)</f>
        <v/>
      </c>
      <c r="BD27" s="13">
        <f>IF(Inputs!$F$34=1,Inputs!$F$66*Inputs!$F$36*BD21/SUM($J$21:$BJ$21),0)</f>
        <v/>
      </c>
      <c r="BE27" s="13">
        <f>IF(Inputs!$F$34=1,Inputs!$F$66*Inputs!$F$36*BE21/SUM($J$21:$BJ$21),0)</f>
        <v/>
      </c>
      <c r="BF27" s="13">
        <f>IF(Inputs!$F$34=1,Inputs!$F$66*Inputs!$F$36*BF21/SUM($J$21:$BJ$21),0)</f>
        <v/>
      </c>
      <c r="BG27" s="13">
        <f>IF(Inputs!$F$34=1,Inputs!$F$66*Inputs!$F$36*BG21/SUM($J$21:$BJ$21),0)</f>
        <v/>
      </c>
      <c r="BH27" s="13">
        <f>IF(Inputs!$F$34=1,Inputs!$F$66*Inputs!$F$36*BH21/SUM($J$21:$BJ$21),0)</f>
        <v/>
      </c>
      <c r="BI27" s="13">
        <f>IF(Inputs!$F$34=1,Inputs!$F$66*Inputs!$F$36*BI21/SUM($J$21:$BJ$21),0)</f>
        <v/>
      </c>
      <c r="BJ27" s="13">
        <f>IF(Inputs!$F$34=1,Inputs!$F$66*Inputs!$F$36*BJ21/SUM($J$21:$BJ$21),0)</f>
        <v/>
      </c>
    </row>
    <row r="28">
      <c r="D28" t="inlineStr">
        <is>
          <t>Initial working capital</t>
        </is>
      </c>
      <c r="E28" t="inlineStr">
        <is>
          <t>USD m</t>
        </is>
      </c>
      <c r="G28" s="13">
        <f>SUM(J28:BJ28)</f>
        <v/>
      </c>
      <c r="J28" s="13">
        <f>IF(J8=Time!$F$11,Inputs!$F$67*Inputs!$F$36,0)</f>
        <v/>
      </c>
      <c r="K28" s="13">
        <f>IF(K8=Time!$F$11,Inputs!$F$67*Inputs!$F$36,0)</f>
        <v/>
      </c>
      <c r="L28" s="13">
        <f>IF(L8=Time!$F$11,Inputs!$F$67*Inputs!$F$36,0)</f>
        <v/>
      </c>
      <c r="M28" s="13">
        <f>IF(M8=Time!$F$11,Inputs!$F$67*Inputs!$F$36,0)</f>
        <v/>
      </c>
      <c r="N28" s="13">
        <f>IF(N8=Time!$F$11,Inputs!$F$67*Inputs!$F$36,0)</f>
        <v/>
      </c>
      <c r="O28" s="13">
        <f>IF(O8=Time!$F$11,Inputs!$F$67*Inputs!$F$36,0)</f>
        <v/>
      </c>
      <c r="P28" s="13">
        <f>IF(P8=Time!$F$11,Inputs!$F$67*Inputs!$F$36,0)</f>
        <v/>
      </c>
      <c r="Q28" s="13">
        <f>IF(Q8=Time!$F$11,Inputs!$F$67*Inputs!$F$36,0)</f>
        <v/>
      </c>
      <c r="R28" s="13">
        <f>IF(R8=Time!$F$11,Inputs!$F$67*Inputs!$F$36,0)</f>
        <v/>
      </c>
      <c r="S28" s="13">
        <f>IF(S8=Time!$F$11,Inputs!$F$67*Inputs!$F$36,0)</f>
        <v/>
      </c>
      <c r="T28" s="13">
        <f>IF(T8=Time!$F$11,Inputs!$F$67*Inputs!$F$36,0)</f>
        <v/>
      </c>
      <c r="U28" s="13">
        <f>IF(U8=Time!$F$11,Inputs!$F$67*Inputs!$F$36,0)</f>
        <v/>
      </c>
      <c r="V28" s="13">
        <f>IF(V8=Time!$F$11,Inputs!$F$67*Inputs!$F$36,0)</f>
        <v/>
      </c>
      <c r="W28" s="13">
        <f>IF(W8=Time!$F$11,Inputs!$F$67*Inputs!$F$36,0)</f>
        <v/>
      </c>
      <c r="X28" s="13">
        <f>IF(X8=Time!$F$11,Inputs!$F$67*Inputs!$F$36,0)</f>
        <v/>
      </c>
      <c r="Y28" s="13">
        <f>IF(Y8=Time!$F$11,Inputs!$F$67*Inputs!$F$36,0)</f>
        <v/>
      </c>
      <c r="Z28" s="13">
        <f>IF(Z8=Time!$F$11,Inputs!$F$67*Inputs!$F$36,0)</f>
        <v/>
      </c>
      <c r="AA28" s="13">
        <f>IF(AA8=Time!$F$11,Inputs!$F$67*Inputs!$F$36,0)</f>
        <v/>
      </c>
      <c r="AB28" s="13">
        <f>IF(AB8=Time!$F$11,Inputs!$F$67*Inputs!$F$36,0)</f>
        <v/>
      </c>
      <c r="AC28" s="13">
        <f>IF(AC8=Time!$F$11,Inputs!$F$67*Inputs!$F$36,0)</f>
        <v/>
      </c>
      <c r="AD28" s="13">
        <f>IF(AD8=Time!$F$11,Inputs!$F$67*Inputs!$F$36,0)</f>
        <v/>
      </c>
      <c r="AE28" s="13">
        <f>IF(AE8=Time!$F$11,Inputs!$F$67*Inputs!$F$36,0)</f>
        <v/>
      </c>
      <c r="AF28" s="13">
        <f>IF(AF8=Time!$F$11,Inputs!$F$67*Inputs!$F$36,0)</f>
        <v/>
      </c>
      <c r="AG28" s="13">
        <f>IF(AG8=Time!$F$11,Inputs!$F$67*Inputs!$F$36,0)</f>
        <v/>
      </c>
      <c r="AH28" s="13">
        <f>IF(AH8=Time!$F$11,Inputs!$F$67*Inputs!$F$36,0)</f>
        <v/>
      </c>
      <c r="AI28" s="13">
        <f>IF(AI8=Time!$F$11,Inputs!$F$67*Inputs!$F$36,0)</f>
        <v/>
      </c>
      <c r="AJ28" s="13">
        <f>IF(AJ8=Time!$F$11,Inputs!$F$67*Inputs!$F$36,0)</f>
        <v/>
      </c>
      <c r="AK28" s="13">
        <f>IF(AK8=Time!$F$11,Inputs!$F$67*Inputs!$F$36,0)</f>
        <v/>
      </c>
      <c r="AL28" s="13">
        <f>IF(AL8=Time!$F$11,Inputs!$F$67*Inputs!$F$36,0)</f>
        <v/>
      </c>
      <c r="AM28" s="13">
        <f>IF(AM8=Time!$F$11,Inputs!$F$67*Inputs!$F$36,0)</f>
        <v/>
      </c>
      <c r="AN28" s="13">
        <f>IF(AN8=Time!$F$11,Inputs!$F$67*Inputs!$F$36,0)</f>
        <v/>
      </c>
      <c r="AO28" s="13">
        <f>IF(AO8=Time!$F$11,Inputs!$F$67*Inputs!$F$36,0)</f>
        <v/>
      </c>
      <c r="AP28" s="13">
        <f>IF(AP8=Time!$F$11,Inputs!$F$67*Inputs!$F$36,0)</f>
        <v/>
      </c>
      <c r="AQ28" s="13">
        <f>IF(AQ8=Time!$F$11,Inputs!$F$67*Inputs!$F$36,0)</f>
        <v/>
      </c>
      <c r="AR28" s="13">
        <f>IF(AR8=Time!$F$11,Inputs!$F$67*Inputs!$F$36,0)</f>
        <v/>
      </c>
      <c r="AS28" s="13">
        <f>IF(AS8=Time!$F$11,Inputs!$F$67*Inputs!$F$36,0)</f>
        <v/>
      </c>
      <c r="AT28" s="13">
        <f>IF(AT8=Time!$F$11,Inputs!$F$67*Inputs!$F$36,0)</f>
        <v/>
      </c>
      <c r="AU28" s="13">
        <f>IF(AU8=Time!$F$11,Inputs!$F$67*Inputs!$F$36,0)</f>
        <v/>
      </c>
      <c r="AV28" s="13">
        <f>IF(AV8=Time!$F$11,Inputs!$F$67*Inputs!$F$36,0)</f>
        <v/>
      </c>
      <c r="AW28" s="13">
        <f>IF(AW8=Time!$F$11,Inputs!$F$67*Inputs!$F$36,0)</f>
        <v/>
      </c>
      <c r="AX28" s="13">
        <f>IF(AX8=Time!$F$11,Inputs!$F$67*Inputs!$F$36,0)</f>
        <v/>
      </c>
      <c r="AY28" s="13">
        <f>IF(AY8=Time!$F$11,Inputs!$F$67*Inputs!$F$36,0)</f>
        <v/>
      </c>
      <c r="AZ28" s="13">
        <f>IF(AZ8=Time!$F$11,Inputs!$F$67*Inputs!$F$36,0)</f>
        <v/>
      </c>
      <c r="BA28" s="13">
        <f>IF(BA8=Time!$F$11,Inputs!$F$67*Inputs!$F$36,0)</f>
        <v/>
      </c>
      <c r="BB28" s="13">
        <f>IF(BB8=Time!$F$11,Inputs!$F$67*Inputs!$F$36,0)</f>
        <v/>
      </c>
      <c r="BC28" s="13">
        <f>IF(BC8=Time!$F$11,Inputs!$F$67*Inputs!$F$36,0)</f>
        <v/>
      </c>
      <c r="BD28" s="13">
        <f>IF(BD8=Time!$F$11,Inputs!$F$67*Inputs!$F$36,0)</f>
        <v/>
      </c>
      <c r="BE28" s="13">
        <f>IF(BE8=Time!$F$11,Inputs!$F$67*Inputs!$F$36,0)</f>
        <v/>
      </c>
      <c r="BF28" s="13">
        <f>IF(BF8=Time!$F$11,Inputs!$F$67*Inputs!$F$36,0)</f>
        <v/>
      </c>
      <c r="BG28" s="13">
        <f>IF(BG8=Time!$F$11,Inputs!$F$67*Inputs!$F$36,0)</f>
        <v/>
      </c>
      <c r="BH28" s="13">
        <f>IF(BH8=Time!$F$11,Inputs!$F$67*Inputs!$F$36,0)</f>
        <v/>
      </c>
      <c r="BI28" s="13">
        <f>IF(BI8=Time!$F$11,Inputs!$F$67*Inputs!$F$36,0)</f>
        <v/>
      </c>
      <c r="BJ28" s="13">
        <f>IF(BJ8=Time!$F$11,Inputs!$F$67*Inputs!$F$36,0)</f>
        <v/>
      </c>
    </row>
    <row r="29">
      <c r="D29" t="inlineStr">
        <is>
          <t>Overrun items (actual)</t>
        </is>
      </c>
      <c r="E29" t="inlineStr">
        <is>
          <t>USD m</t>
        </is>
      </c>
      <c r="G29" s="13">
        <f>SUM(J29:BJ29)</f>
        <v/>
      </c>
      <c r="J29" s="13">
        <f>IF(Inputs!$F$34&lt;&gt;1,Inputs!J308,0)</f>
        <v/>
      </c>
      <c r="K29" s="13">
        <f>IF(Inputs!$F$34&lt;&gt;1,Inputs!K308,0)</f>
        <v/>
      </c>
      <c r="L29" s="13">
        <f>IF(Inputs!$F$34&lt;&gt;1,Inputs!L308,0)</f>
        <v/>
      </c>
      <c r="M29" s="13">
        <f>IF(Inputs!$F$34&lt;&gt;1,Inputs!M308,0)</f>
        <v/>
      </c>
      <c r="N29" s="13">
        <f>IF(Inputs!$F$34&lt;&gt;1,Inputs!N308,0)</f>
        <v/>
      </c>
      <c r="O29" s="13">
        <f>IF(Inputs!$F$34&lt;&gt;1,Inputs!O308,0)</f>
        <v/>
      </c>
      <c r="P29" s="13">
        <f>IF(Inputs!$F$34&lt;&gt;1,Inputs!P308,0)</f>
        <v/>
      </c>
      <c r="Q29" s="13">
        <f>IF(Inputs!$F$34&lt;&gt;1,Inputs!Q308,0)</f>
        <v/>
      </c>
      <c r="R29" s="13">
        <f>IF(Inputs!$F$34&lt;&gt;1,Inputs!R308,0)</f>
        <v/>
      </c>
      <c r="S29" s="13">
        <f>IF(Inputs!$F$34&lt;&gt;1,Inputs!S308,0)</f>
        <v/>
      </c>
      <c r="T29" s="13">
        <f>IF(Inputs!$F$34&lt;&gt;1,Inputs!T308,0)</f>
        <v/>
      </c>
      <c r="U29" s="13">
        <f>IF(Inputs!$F$34&lt;&gt;1,Inputs!U308,0)</f>
        <v/>
      </c>
      <c r="V29" s="13">
        <f>IF(Inputs!$F$34&lt;&gt;1,Inputs!V308,0)</f>
        <v/>
      </c>
      <c r="W29" s="13">
        <f>IF(Inputs!$F$34&lt;&gt;1,Inputs!W308,0)</f>
        <v/>
      </c>
      <c r="X29" s="13">
        <f>IF(Inputs!$F$34&lt;&gt;1,Inputs!X308,0)</f>
        <v/>
      </c>
      <c r="Y29" s="13">
        <f>IF(Inputs!$F$34&lt;&gt;1,Inputs!Y308,0)</f>
        <v/>
      </c>
      <c r="Z29" s="13">
        <f>IF(Inputs!$F$34&lt;&gt;1,Inputs!Z308,0)</f>
        <v/>
      </c>
      <c r="AA29" s="13">
        <f>IF(Inputs!$F$34&lt;&gt;1,Inputs!AA308,0)</f>
        <v/>
      </c>
      <c r="AB29" s="13">
        <f>IF(Inputs!$F$34&lt;&gt;1,Inputs!AB308,0)</f>
        <v/>
      </c>
      <c r="AC29" s="13">
        <f>IF(Inputs!$F$34&lt;&gt;1,Inputs!AC308,0)</f>
        <v/>
      </c>
      <c r="AD29" s="13">
        <f>IF(Inputs!$F$34&lt;&gt;1,Inputs!AD308,0)</f>
        <v/>
      </c>
      <c r="AE29" s="13">
        <f>IF(Inputs!$F$34&lt;&gt;1,Inputs!AE308,0)</f>
        <v/>
      </c>
      <c r="AF29" s="13">
        <f>IF(Inputs!$F$34&lt;&gt;1,Inputs!AF308,0)</f>
        <v/>
      </c>
      <c r="AG29" s="13">
        <f>IF(Inputs!$F$34&lt;&gt;1,Inputs!AG308,0)</f>
        <v/>
      </c>
      <c r="AH29" s="13">
        <f>IF(Inputs!$F$34&lt;&gt;1,Inputs!AH308,0)</f>
        <v/>
      </c>
      <c r="AI29" s="13">
        <f>IF(Inputs!$F$34&lt;&gt;1,Inputs!AI308,0)</f>
        <v/>
      </c>
      <c r="AJ29" s="13">
        <f>IF(Inputs!$F$34&lt;&gt;1,Inputs!AJ308,0)</f>
        <v/>
      </c>
      <c r="AK29" s="13">
        <f>IF(Inputs!$F$34&lt;&gt;1,Inputs!AK308,0)</f>
        <v/>
      </c>
      <c r="AL29" s="13">
        <f>IF(Inputs!$F$34&lt;&gt;1,Inputs!AL308,0)</f>
        <v/>
      </c>
      <c r="AM29" s="13">
        <f>IF(Inputs!$F$34&lt;&gt;1,Inputs!AM308,0)</f>
        <v/>
      </c>
      <c r="AN29" s="13">
        <f>IF(Inputs!$F$34&lt;&gt;1,Inputs!AN308,0)</f>
        <v/>
      </c>
      <c r="AO29" s="13">
        <f>IF(Inputs!$F$34&lt;&gt;1,Inputs!AO308,0)</f>
        <v/>
      </c>
      <c r="AP29" s="13">
        <f>IF(Inputs!$F$34&lt;&gt;1,Inputs!AP308,0)</f>
        <v/>
      </c>
      <c r="AQ29" s="13">
        <f>IF(Inputs!$F$34&lt;&gt;1,Inputs!AQ308,0)</f>
        <v/>
      </c>
      <c r="AR29" s="13">
        <f>IF(Inputs!$F$34&lt;&gt;1,Inputs!AR308,0)</f>
        <v/>
      </c>
      <c r="AS29" s="13">
        <f>IF(Inputs!$F$34&lt;&gt;1,Inputs!AS308,0)</f>
        <v/>
      </c>
      <c r="AT29" s="13">
        <f>IF(Inputs!$F$34&lt;&gt;1,Inputs!AT308,0)</f>
        <v/>
      </c>
      <c r="AU29" s="13">
        <f>IF(Inputs!$F$34&lt;&gt;1,Inputs!AU308,0)</f>
        <v/>
      </c>
      <c r="AV29" s="13">
        <f>IF(Inputs!$F$34&lt;&gt;1,Inputs!AV308,0)</f>
        <v/>
      </c>
      <c r="AW29" s="13">
        <f>IF(Inputs!$F$34&lt;&gt;1,Inputs!AW308,0)</f>
        <v/>
      </c>
      <c r="AX29" s="13">
        <f>IF(Inputs!$F$34&lt;&gt;1,Inputs!AX308,0)</f>
        <v/>
      </c>
      <c r="AY29" s="13">
        <f>IF(Inputs!$F$34&lt;&gt;1,Inputs!AY308,0)</f>
        <v/>
      </c>
      <c r="AZ29" s="13">
        <f>IF(Inputs!$F$34&lt;&gt;1,Inputs!AZ308,0)</f>
        <v/>
      </c>
      <c r="BA29" s="13">
        <f>IF(Inputs!$F$34&lt;&gt;1,Inputs!BA308,0)</f>
        <v/>
      </c>
      <c r="BB29" s="13">
        <f>IF(Inputs!$F$34&lt;&gt;1,Inputs!BB308,0)</f>
        <v/>
      </c>
      <c r="BC29" s="13">
        <f>IF(Inputs!$F$34&lt;&gt;1,Inputs!BC308,0)</f>
        <v/>
      </c>
      <c r="BD29" s="13">
        <f>IF(Inputs!$F$34&lt;&gt;1,Inputs!BD308,0)</f>
        <v/>
      </c>
      <c r="BE29" s="13">
        <f>IF(Inputs!$F$34&lt;&gt;1,Inputs!BE308,0)</f>
        <v/>
      </c>
      <c r="BF29" s="13">
        <f>IF(Inputs!$F$34&lt;&gt;1,Inputs!BF308,0)</f>
        <v/>
      </c>
      <c r="BG29" s="13">
        <f>IF(Inputs!$F$34&lt;&gt;1,Inputs!BG308,0)</f>
        <v/>
      </c>
      <c r="BH29" s="13">
        <f>IF(Inputs!$F$34&lt;&gt;1,Inputs!BH308,0)</f>
        <v/>
      </c>
      <c r="BI29" s="13">
        <f>IF(Inputs!$F$34&lt;&gt;1,Inputs!BI308,0)</f>
        <v/>
      </c>
      <c r="BJ29" s="13">
        <f>IF(Inputs!$F$34&lt;&gt;1,Inputs!BJ308,0)</f>
        <v/>
      </c>
    </row>
    <row r="30">
      <c r="D30" t="inlineStr">
        <is>
          <t>KCR forward rate traded at financial close (covered interest parity)</t>
        </is>
      </c>
      <c r="E30" t="inlineStr">
        <is>
          <t>KCR/USD</t>
        </is>
      </c>
      <c r="J30" s="13">
        <f>Inputs!$F$60*((1+Inputs!$F$73/100)/(1+INDEX(Inputs!$J$291:$BN$291,1,J12)/100))^((J10-Inputs!$F$187)/Inputs!$F$248)</f>
        <v/>
      </c>
      <c r="K30" s="13">
        <f>Inputs!$F$60*((1+Inputs!$F$73/100)/(1+INDEX(Inputs!$J$291:$BN$291,1,K12)/100))^((K10-Inputs!$F$187)/Inputs!$F$248)</f>
        <v/>
      </c>
      <c r="L30" s="13">
        <f>Inputs!$F$60*((1+Inputs!$F$73/100)/(1+INDEX(Inputs!$J$291:$BN$291,1,L12)/100))^((L10-Inputs!$F$187)/Inputs!$F$248)</f>
        <v/>
      </c>
      <c r="M30" s="13">
        <f>Inputs!$F$60*((1+Inputs!$F$73/100)/(1+INDEX(Inputs!$J$291:$BN$291,1,M12)/100))^((M10-Inputs!$F$187)/Inputs!$F$248)</f>
        <v/>
      </c>
      <c r="N30" s="13">
        <f>Inputs!$F$60*((1+Inputs!$F$73/100)/(1+INDEX(Inputs!$J$291:$BN$291,1,N12)/100))^((N10-Inputs!$F$187)/Inputs!$F$248)</f>
        <v/>
      </c>
      <c r="O30" s="13">
        <f>Inputs!$F$60*((1+Inputs!$F$73/100)/(1+INDEX(Inputs!$J$291:$BN$291,1,O12)/100))^((O10-Inputs!$F$187)/Inputs!$F$248)</f>
        <v/>
      </c>
      <c r="P30" s="13">
        <f>Inputs!$F$60*((1+Inputs!$F$73/100)/(1+INDEX(Inputs!$J$291:$BN$291,1,P12)/100))^((P10-Inputs!$F$187)/Inputs!$F$248)</f>
        <v/>
      </c>
      <c r="Q30" s="13">
        <f>Inputs!$F$60*((1+Inputs!$F$73/100)/(1+INDEX(Inputs!$J$291:$BN$291,1,Q12)/100))^((Q10-Inputs!$F$187)/Inputs!$F$248)</f>
        <v/>
      </c>
      <c r="R30" s="13">
        <f>Inputs!$F$60*((1+Inputs!$F$73/100)/(1+INDEX(Inputs!$J$291:$BN$291,1,R12)/100))^((R10-Inputs!$F$187)/Inputs!$F$248)</f>
        <v/>
      </c>
      <c r="S30" s="13">
        <f>Inputs!$F$60*((1+Inputs!$F$73/100)/(1+INDEX(Inputs!$J$291:$BN$291,1,S12)/100))^((S10-Inputs!$F$187)/Inputs!$F$248)</f>
        <v/>
      </c>
      <c r="T30" s="13">
        <f>Inputs!$F$60*((1+Inputs!$F$73/100)/(1+INDEX(Inputs!$J$291:$BN$291,1,T12)/100))^((T10-Inputs!$F$187)/Inputs!$F$248)</f>
        <v/>
      </c>
      <c r="U30" s="13">
        <f>Inputs!$F$60*((1+Inputs!$F$73/100)/(1+INDEX(Inputs!$J$291:$BN$291,1,U12)/100))^((U10-Inputs!$F$187)/Inputs!$F$248)</f>
        <v/>
      </c>
      <c r="V30" s="13">
        <f>Inputs!$F$60*((1+Inputs!$F$73/100)/(1+INDEX(Inputs!$J$291:$BN$291,1,V12)/100))^((V10-Inputs!$F$187)/Inputs!$F$248)</f>
        <v/>
      </c>
      <c r="W30" s="13">
        <f>Inputs!$F$60*((1+Inputs!$F$73/100)/(1+INDEX(Inputs!$J$291:$BN$291,1,W12)/100))^((W10-Inputs!$F$187)/Inputs!$F$248)</f>
        <v/>
      </c>
      <c r="X30" s="13">
        <f>Inputs!$F$60*((1+Inputs!$F$73/100)/(1+INDEX(Inputs!$J$291:$BN$291,1,X12)/100))^((X10-Inputs!$F$187)/Inputs!$F$248)</f>
        <v/>
      </c>
      <c r="Y30" s="13">
        <f>Inputs!$F$60*((1+Inputs!$F$73/100)/(1+INDEX(Inputs!$J$291:$BN$291,1,Y12)/100))^((Y10-Inputs!$F$187)/Inputs!$F$248)</f>
        <v/>
      </c>
      <c r="Z30" s="13">
        <f>Inputs!$F$60*((1+Inputs!$F$73/100)/(1+INDEX(Inputs!$J$291:$BN$291,1,Z12)/100))^((Z10-Inputs!$F$187)/Inputs!$F$248)</f>
        <v/>
      </c>
      <c r="AA30" s="13">
        <f>Inputs!$F$60*((1+Inputs!$F$73/100)/(1+INDEX(Inputs!$J$291:$BN$291,1,AA12)/100))^((AA10-Inputs!$F$187)/Inputs!$F$248)</f>
        <v/>
      </c>
      <c r="AB30" s="13">
        <f>Inputs!$F$60*((1+Inputs!$F$73/100)/(1+INDEX(Inputs!$J$291:$BN$291,1,AB12)/100))^((AB10-Inputs!$F$187)/Inputs!$F$248)</f>
        <v/>
      </c>
      <c r="AC30" s="13">
        <f>Inputs!$F$60*((1+Inputs!$F$73/100)/(1+INDEX(Inputs!$J$291:$BN$291,1,AC12)/100))^((AC10-Inputs!$F$187)/Inputs!$F$248)</f>
        <v/>
      </c>
      <c r="AD30" s="13">
        <f>Inputs!$F$60*((1+Inputs!$F$73/100)/(1+INDEX(Inputs!$J$291:$BN$291,1,AD12)/100))^((AD10-Inputs!$F$187)/Inputs!$F$248)</f>
        <v/>
      </c>
      <c r="AE30" s="13">
        <f>Inputs!$F$60*((1+Inputs!$F$73/100)/(1+INDEX(Inputs!$J$291:$BN$291,1,AE12)/100))^((AE10-Inputs!$F$187)/Inputs!$F$248)</f>
        <v/>
      </c>
      <c r="AF30" s="13">
        <f>Inputs!$F$60*((1+Inputs!$F$73/100)/(1+INDEX(Inputs!$J$291:$BN$291,1,AF12)/100))^((AF10-Inputs!$F$187)/Inputs!$F$248)</f>
        <v/>
      </c>
      <c r="AG30" s="13">
        <f>Inputs!$F$60*((1+Inputs!$F$73/100)/(1+INDEX(Inputs!$J$291:$BN$291,1,AG12)/100))^((AG10-Inputs!$F$187)/Inputs!$F$248)</f>
        <v/>
      </c>
      <c r="AH30" s="13">
        <f>Inputs!$F$60*((1+Inputs!$F$73/100)/(1+INDEX(Inputs!$J$291:$BN$291,1,AH12)/100))^((AH10-Inputs!$F$187)/Inputs!$F$248)</f>
        <v/>
      </c>
      <c r="AI30" s="13">
        <f>Inputs!$F$60*((1+Inputs!$F$73/100)/(1+INDEX(Inputs!$J$291:$BN$291,1,AI12)/100))^((AI10-Inputs!$F$187)/Inputs!$F$248)</f>
        <v/>
      </c>
      <c r="AJ30" s="13">
        <f>Inputs!$F$60*((1+Inputs!$F$73/100)/(1+INDEX(Inputs!$J$291:$BN$291,1,AJ12)/100))^((AJ10-Inputs!$F$187)/Inputs!$F$248)</f>
        <v/>
      </c>
      <c r="AK30" s="13">
        <f>Inputs!$F$60*((1+Inputs!$F$73/100)/(1+INDEX(Inputs!$J$291:$BN$291,1,AK12)/100))^((AK10-Inputs!$F$187)/Inputs!$F$248)</f>
        <v/>
      </c>
      <c r="AL30" s="13">
        <f>Inputs!$F$60*((1+Inputs!$F$73/100)/(1+INDEX(Inputs!$J$291:$BN$291,1,AL12)/100))^((AL10-Inputs!$F$187)/Inputs!$F$248)</f>
        <v/>
      </c>
      <c r="AM30" s="13">
        <f>Inputs!$F$60*((1+Inputs!$F$73/100)/(1+INDEX(Inputs!$J$291:$BN$291,1,AM12)/100))^((AM10-Inputs!$F$187)/Inputs!$F$248)</f>
        <v/>
      </c>
      <c r="AN30" s="13">
        <f>Inputs!$F$60*((1+Inputs!$F$73/100)/(1+INDEX(Inputs!$J$291:$BN$291,1,AN12)/100))^((AN10-Inputs!$F$187)/Inputs!$F$248)</f>
        <v/>
      </c>
      <c r="AO30" s="13">
        <f>Inputs!$F$60*((1+Inputs!$F$73/100)/(1+INDEX(Inputs!$J$291:$BN$291,1,AO12)/100))^((AO10-Inputs!$F$187)/Inputs!$F$248)</f>
        <v/>
      </c>
      <c r="AP30" s="13">
        <f>Inputs!$F$60*((1+Inputs!$F$73/100)/(1+INDEX(Inputs!$J$291:$BN$291,1,AP12)/100))^((AP10-Inputs!$F$187)/Inputs!$F$248)</f>
        <v/>
      </c>
      <c r="AQ30" s="13">
        <f>Inputs!$F$60*((1+Inputs!$F$73/100)/(1+INDEX(Inputs!$J$291:$BN$291,1,AQ12)/100))^((AQ10-Inputs!$F$187)/Inputs!$F$248)</f>
        <v/>
      </c>
      <c r="AR30" s="13">
        <f>Inputs!$F$60*((1+Inputs!$F$73/100)/(1+INDEX(Inputs!$J$291:$BN$291,1,AR12)/100))^((AR10-Inputs!$F$187)/Inputs!$F$248)</f>
        <v/>
      </c>
      <c r="AS30" s="13">
        <f>Inputs!$F$60*((1+Inputs!$F$73/100)/(1+INDEX(Inputs!$J$291:$BN$291,1,AS12)/100))^((AS10-Inputs!$F$187)/Inputs!$F$248)</f>
        <v/>
      </c>
      <c r="AT30" s="13">
        <f>Inputs!$F$60*((1+Inputs!$F$73/100)/(1+INDEX(Inputs!$J$291:$BN$291,1,AT12)/100))^((AT10-Inputs!$F$187)/Inputs!$F$248)</f>
        <v/>
      </c>
      <c r="AU30" s="13">
        <f>Inputs!$F$60*((1+Inputs!$F$73/100)/(1+INDEX(Inputs!$J$291:$BN$291,1,AU12)/100))^((AU10-Inputs!$F$187)/Inputs!$F$248)</f>
        <v/>
      </c>
      <c r="AV30" s="13">
        <f>Inputs!$F$60*((1+Inputs!$F$73/100)/(1+INDEX(Inputs!$J$291:$BN$291,1,AV12)/100))^((AV10-Inputs!$F$187)/Inputs!$F$248)</f>
        <v/>
      </c>
      <c r="AW30" s="13">
        <f>Inputs!$F$60*((1+Inputs!$F$73/100)/(1+INDEX(Inputs!$J$291:$BN$291,1,AW12)/100))^((AW10-Inputs!$F$187)/Inputs!$F$248)</f>
        <v/>
      </c>
      <c r="AX30" s="13">
        <f>Inputs!$F$60*((1+Inputs!$F$73/100)/(1+INDEX(Inputs!$J$291:$BN$291,1,AX12)/100))^((AX10-Inputs!$F$187)/Inputs!$F$248)</f>
        <v/>
      </c>
      <c r="AY30" s="13">
        <f>Inputs!$F$60*((1+Inputs!$F$73/100)/(1+INDEX(Inputs!$J$291:$BN$291,1,AY12)/100))^((AY10-Inputs!$F$187)/Inputs!$F$248)</f>
        <v/>
      </c>
      <c r="AZ30" s="13">
        <f>Inputs!$F$60*((1+Inputs!$F$73/100)/(1+INDEX(Inputs!$J$291:$BN$291,1,AZ12)/100))^((AZ10-Inputs!$F$187)/Inputs!$F$248)</f>
        <v/>
      </c>
      <c r="BA30" s="13">
        <f>Inputs!$F$60*((1+Inputs!$F$73/100)/(1+INDEX(Inputs!$J$291:$BN$291,1,BA12)/100))^((BA10-Inputs!$F$187)/Inputs!$F$248)</f>
        <v/>
      </c>
      <c r="BB30" s="13">
        <f>Inputs!$F$60*((1+Inputs!$F$73/100)/(1+INDEX(Inputs!$J$291:$BN$291,1,BB12)/100))^((BB10-Inputs!$F$187)/Inputs!$F$248)</f>
        <v/>
      </c>
      <c r="BC30" s="13">
        <f>Inputs!$F$60*((1+Inputs!$F$73/100)/(1+INDEX(Inputs!$J$291:$BN$291,1,BC12)/100))^((BC10-Inputs!$F$187)/Inputs!$F$248)</f>
        <v/>
      </c>
      <c r="BD30" s="13">
        <f>Inputs!$F$60*((1+Inputs!$F$73/100)/(1+INDEX(Inputs!$J$291:$BN$291,1,BD12)/100))^((BD10-Inputs!$F$187)/Inputs!$F$248)</f>
        <v/>
      </c>
      <c r="BE30" s="13">
        <f>Inputs!$F$60*((1+Inputs!$F$73/100)/(1+INDEX(Inputs!$J$291:$BN$291,1,BE12)/100))^((BE10-Inputs!$F$187)/Inputs!$F$248)</f>
        <v/>
      </c>
      <c r="BF30" s="13">
        <f>Inputs!$F$60*((1+Inputs!$F$73/100)/(1+INDEX(Inputs!$J$291:$BN$291,1,BF12)/100))^((BF10-Inputs!$F$187)/Inputs!$F$248)</f>
        <v/>
      </c>
      <c r="BG30" s="13">
        <f>Inputs!$F$60*((1+Inputs!$F$73/100)/(1+INDEX(Inputs!$J$291:$BN$291,1,BG12)/100))^((BG10-Inputs!$F$187)/Inputs!$F$248)</f>
        <v/>
      </c>
      <c r="BH30" s="13">
        <f>Inputs!$F$60*((1+Inputs!$F$73/100)/(1+INDEX(Inputs!$J$291:$BN$291,1,BH12)/100))^((BH10-Inputs!$F$187)/Inputs!$F$248)</f>
        <v/>
      </c>
      <c r="BI30" s="13">
        <f>Inputs!$F$60*((1+Inputs!$F$73/100)/(1+INDEX(Inputs!$J$291:$BN$291,1,BI12)/100))^((BI10-Inputs!$F$187)/Inputs!$F$248)</f>
        <v/>
      </c>
      <c r="BJ30" s="13">
        <f>Inputs!$F$60*((1+Inputs!$F$73/100)/(1+INDEX(Inputs!$J$291:$BN$291,1,BJ12)/100))^((BJ10-Inputs!$F$187)/Inputs!$F$248)</f>
        <v/>
      </c>
    </row>
    <row r="31">
      <c r="D31" t="inlineStr">
        <is>
          <t>FX forward settlement on onshore EPC payments (gain to the project)</t>
        </is>
      </c>
      <c r="E31" t="inlineStr">
        <is>
          <t>USD m</t>
        </is>
      </c>
      <c r="G31" s="13">
        <f>SUM(J31:BJ31)</f>
        <v/>
      </c>
      <c r="J31" s="13">
        <f>IF(Inputs!$F$34&lt;&gt;1,Inputs!$F$259*J34*(1/J16-1/J30),0)</f>
        <v/>
      </c>
      <c r="K31" s="13">
        <f>IF(Inputs!$F$34&lt;&gt;1,Inputs!$F$259*K34*(1/K16-1/K30),0)</f>
        <v/>
      </c>
      <c r="L31" s="13">
        <f>IF(Inputs!$F$34&lt;&gt;1,Inputs!$F$259*L34*(1/L16-1/L30),0)</f>
        <v/>
      </c>
      <c r="M31" s="13">
        <f>IF(Inputs!$F$34&lt;&gt;1,Inputs!$F$259*M34*(1/M16-1/M30),0)</f>
        <v/>
      </c>
      <c r="N31" s="13">
        <f>IF(Inputs!$F$34&lt;&gt;1,Inputs!$F$259*N34*(1/N16-1/N30),0)</f>
        <v/>
      </c>
      <c r="O31" s="13">
        <f>IF(Inputs!$F$34&lt;&gt;1,Inputs!$F$259*O34*(1/O16-1/O30),0)</f>
        <v/>
      </c>
      <c r="P31" s="13">
        <f>IF(Inputs!$F$34&lt;&gt;1,Inputs!$F$259*P34*(1/P16-1/P30),0)</f>
        <v/>
      </c>
      <c r="Q31" s="13">
        <f>IF(Inputs!$F$34&lt;&gt;1,Inputs!$F$259*Q34*(1/Q16-1/Q30),0)</f>
        <v/>
      </c>
      <c r="R31" s="13">
        <f>IF(Inputs!$F$34&lt;&gt;1,Inputs!$F$259*R34*(1/R16-1/R30),0)</f>
        <v/>
      </c>
      <c r="S31" s="13">
        <f>IF(Inputs!$F$34&lt;&gt;1,Inputs!$F$259*S34*(1/S16-1/S30),0)</f>
        <v/>
      </c>
      <c r="T31" s="13">
        <f>IF(Inputs!$F$34&lt;&gt;1,Inputs!$F$259*T34*(1/T16-1/T30),0)</f>
        <v/>
      </c>
      <c r="U31" s="13">
        <f>IF(Inputs!$F$34&lt;&gt;1,Inputs!$F$259*U34*(1/U16-1/U30),0)</f>
        <v/>
      </c>
      <c r="V31" s="13">
        <f>IF(Inputs!$F$34&lt;&gt;1,Inputs!$F$259*V34*(1/V16-1/V30),0)</f>
        <v/>
      </c>
      <c r="W31" s="13">
        <f>IF(Inputs!$F$34&lt;&gt;1,Inputs!$F$259*W34*(1/W16-1/W30),0)</f>
        <v/>
      </c>
      <c r="X31" s="13">
        <f>IF(Inputs!$F$34&lt;&gt;1,Inputs!$F$259*X34*(1/X16-1/X30),0)</f>
        <v/>
      </c>
      <c r="Y31" s="13">
        <f>IF(Inputs!$F$34&lt;&gt;1,Inputs!$F$259*Y34*(1/Y16-1/Y30),0)</f>
        <v/>
      </c>
      <c r="Z31" s="13">
        <f>IF(Inputs!$F$34&lt;&gt;1,Inputs!$F$259*Z34*(1/Z16-1/Z30),0)</f>
        <v/>
      </c>
      <c r="AA31" s="13">
        <f>IF(Inputs!$F$34&lt;&gt;1,Inputs!$F$259*AA34*(1/AA16-1/AA30),0)</f>
        <v/>
      </c>
      <c r="AB31" s="13">
        <f>IF(Inputs!$F$34&lt;&gt;1,Inputs!$F$259*AB34*(1/AB16-1/AB30),0)</f>
        <v/>
      </c>
      <c r="AC31" s="13">
        <f>IF(Inputs!$F$34&lt;&gt;1,Inputs!$F$259*AC34*(1/AC16-1/AC30),0)</f>
        <v/>
      </c>
      <c r="AD31" s="13">
        <f>IF(Inputs!$F$34&lt;&gt;1,Inputs!$F$259*AD34*(1/AD16-1/AD30),0)</f>
        <v/>
      </c>
      <c r="AE31" s="13">
        <f>IF(Inputs!$F$34&lt;&gt;1,Inputs!$F$259*AE34*(1/AE16-1/AE30),0)</f>
        <v/>
      </c>
      <c r="AF31" s="13">
        <f>IF(Inputs!$F$34&lt;&gt;1,Inputs!$F$259*AF34*(1/AF16-1/AF30),0)</f>
        <v/>
      </c>
      <c r="AG31" s="13">
        <f>IF(Inputs!$F$34&lt;&gt;1,Inputs!$F$259*AG34*(1/AG16-1/AG30),0)</f>
        <v/>
      </c>
      <c r="AH31" s="13">
        <f>IF(Inputs!$F$34&lt;&gt;1,Inputs!$F$259*AH34*(1/AH16-1/AH30),0)</f>
        <v/>
      </c>
      <c r="AI31" s="13">
        <f>IF(Inputs!$F$34&lt;&gt;1,Inputs!$F$259*AI34*(1/AI16-1/AI30),0)</f>
        <v/>
      </c>
      <c r="AJ31" s="13">
        <f>IF(Inputs!$F$34&lt;&gt;1,Inputs!$F$259*AJ34*(1/AJ16-1/AJ30),0)</f>
        <v/>
      </c>
      <c r="AK31" s="13">
        <f>IF(Inputs!$F$34&lt;&gt;1,Inputs!$F$259*AK34*(1/AK16-1/AK30),0)</f>
        <v/>
      </c>
      <c r="AL31" s="13">
        <f>IF(Inputs!$F$34&lt;&gt;1,Inputs!$F$259*AL34*(1/AL16-1/AL30),0)</f>
        <v/>
      </c>
      <c r="AM31" s="13">
        <f>IF(Inputs!$F$34&lt;&gt;1,Inputs!$F$259*AM34*(1/AM16-1/AM30),0)</f>
        <v/>
      </c>
      <c r="AN31" s="13">
        <f>IF(Inputs!$F$34&lt;&gt;1,Inputs!$F$259*AN34*(1/AN16-1/AN30),0)</f>
        <v/>
      </c>
      <c r="AO31" s="13">
        <f>IF(Inputs!$F$34&lt;&gt;1,Inputs!$F$259*AO34*(1/AO16-1/AO30),0)</f>
        <v/>
      </c>
      <c r="AP31" s="13">
        <f>IF(Inputs!$F$34&lt;&gt;1,Inputs!$F$259*AP34*(1/AP16-1/AP30),0)</f>
        <v/>
      </c>
      <c r="AQ31" s="13">
        <f>IF(Inputs!$F$34&lt;&gt;1,Inputs!$F$259*AQ34*(1/AQ16-1/AQ30),0)</f>
        <v/>
      </c>
      <c r="AR31" s="13">
        <f>IF(Inputs!$F$34&lt;&gt;1,Inputs!$F$259*AR34*(1/AR16-1/AR30),0)</f>
        <v/>
      </c>
      <c r="AS31" s="13">
        <f>IF(Inputs!$F$34&lt;&gt;1,Inputs!$F$259*AS34*(1/AS16-1/AS30),0)</f>
        <v/>
      </c>
      <c r="AT31" s="13">
        <f>IF(Inputs!$F$34&lt;&gt;1,Inputs!$F$259*AT34*(1/AT16-1/AT30),0)</f>
        <v/>
      </c>
      <c r="AU31" s="13">
        <f>IF(Inputs!$F$34&lt;&gt;1,Inputs!$F$259*AU34*(1/AU16-1/AU30),0)</f>
        <v/>
      </c>
      <c r="AV31" s="13">
        <f>IF(Inputs!$F$34&lt;&gt;1,Inputs!$F$259*AV34*(1/AV16-1/AV30),0)</f>
        <v/>
      </c>
      <c r="AW31" s="13">
        <f>IF(Inputs!$F$34&lt;&gt;1,Inputs!$F$259*AW34*(1/AW16-1/AW30),0)</f>
        <v/>
      </c>
      <c r="AX31" s="13">
        <f>IF(Inputs!$F$34&lt;&gt;1,Inputs!$F$259*AX34*(1/AX16-1/AX30),0)</f>
        <v/>
      </c>
      <c r="AY31" s="13">
        <f>IF(Inputs!$F$34&lt;&gt;1,Inputs!$F$259*AY34*(1/AY16-1/AY30),0)</f>
        <v/>
      </c>
      <c r="AZ31" s="13">
        <f>IF(Inputs!$F$34&lt;&gt;1,Inputs!$F$259*AZ34*(1/AZ16-1/AZ30),0)</f>
        <v/>
      </c>
      <c r="BA31" s="13">
        <f>IF(Inputs!$F$34&lt;&gt;1,Inputs!$F$259*BA34*(1/BA16-1/BA30),0)</f>
        <v/>
      </c>
      <c r="BB31" s="13">
        <f>IF(Inputs!$F$34&lt;&gt;1,Inputs!$F$259*BB34*(1/BB16-1/BB30),0)</f>
        <v/>
      </c>
      <c r="BC31" s="13">
        <f>IF(Inputs!$F$34&lt;&gt;1,Inputs!$F$259*BC34*(1/BC16-1/BC30),0)</f>
        <v/>
      </c>
      <c r="BD31" s="13">
        <f>IF(Inputs!$F$34&lt;&gt;1,Inputs!$F$259*BD34*(1/BD16-1/BD30),0)</f>
        <v/>
      </c>
      <c r="BE31" s="13">
        <f>IF(Inputs!$F$34&lt;&gt;1,Inputs!$F$259*BE34*(1/BE16-1/BE30),0)</f>
        <v/>
      </c>
      <c r="BF31" s="13">
        <f>IF(Inputs!$F$34&lt;&gt;1,Inputs!$F$259*BF34*(1/BF16-1/BF30),0)</f>
        <v/>
      </c>
      <c r="BG31" s="13">
        <f>IF(Inputs!$F$34&lt;&gt;1,Inputs!$F$259*BG34*(1/BG16-1/BG30),0)</f>
        <v/>
      </c>
      <c r="BH31" s="13">
        <f>IF(Inputs!$F$34&lt;&gt;1,Inputs!$F$259*BH34*(1/BH16-1/BH30),0)</f>
        <v/>
      </c>
      <c r="BI31" s="13">
        <f>IF(Inputs!$F$34&lt;&gt;1,Inputs!$F$259*BI34*(1/BI16-1/BI30),0)</f>
        <v/>
      </c>
      <c r="BJ31" s="13">
        <f>IF(Inputs!$F$34&lt;&gt;1,Inputs!$F$259*BJ34*(1/BJ16-1/BJ30),0)</f>
        <v/>
      </c>
    </row>
    <row r="32">
      <c r="D32" t="inlineStr">
        <is>
          <t>Uses before financing costs (net of FX hedge settlements)</t>
        </is>
      </c>
      <c r="E32" t="inlineStr">
        <is>
          <t>USD m</t>
        </is>
      </c>
      <c r="G32" s="13">
        <f>SUM(J32:BJ32)</f>
        <v/>
      </c>
      <c r="J32" s="13">
        <f>J22+J23+J24+J25+J26+J27+J28+J29-J31</f>
        <v/>
      </c>
      <c r="K32" s="13">
        <f>K22+K23+K24+K25+K26+K27+K28+K29-K31</f>
        <v/>
      </c>
      <c r="L32" s="13">
        <f>L22+L23+L24+L25+L26+L27+L28+L29-L31</f>
        <v/>
      </c>
      <c r="M32" s="13">
        <f>M22+M23+M24+M25+M26+M27+M28+M29-M31</f>
        <v/>
      </c>
      <c r="N32" s="13">
        <f>N22+N23+N24+N25+N26+N27+N28+N29-N31</f>
        <v/>
      </c>
      <c r="O32" s="13">
        <f>O22+O23+O24+O25+O26+O27+O28+O29-O31</f>
        <v/>
      </c>
      <c r="P32" s="13">
        <f>P22+P23+P24+P25+P26+P27+P28+P29-P31</f>
        <v/>
      </c>
      <c r="Q32" s="13">
        <f>Q22+Q23+Q24+Q25+Q26+Q27+Q28+Q29-Q31</f>
        <v/>
      </c>
      <c r="R32" s="13">
        <f>R22+R23+R24+R25+R26+R27+R28+R29-R31</f>
        <v/>
      </c>
      <c r="S32" s="13">
        <f>S22+S23+S24+S25+S26+S27+S28+S29-S31</f>
        <v/>
      </c>
      <c r="T32" s="13">
        <f>T22+T23+T24+T25+T26+T27+T28+T29-T31</f>
        <v/>
      </c>
      <c r="U32" s="13">
        <f>U22+U23+U24+U25+U26+U27+U28+U29-U31</f>
        <v/>
      </c>
      <c r="V32" s="13">
        <f>V22+V23+V24+V25+V26+V27+V28+V29-V31</f>
        <v/>
      </c>
      <c r="W32" s="13">
        <f>W22+W23+W24+W25+W26+W27+W28+W29-W31</f>
        <v/>
      </c>
      <c r="X32" s="13">
        <f>X22+X23+X24+X25+X26+X27+X28+X29-X31</f>
        <v/>
      </c>
      <c r="Y32" s="13">
        <f>Y22+Y23+Y24+Y25+Y26+Y27+Y28+Y29-Y31</f>
        <v/>
      </c>
      <c r="Z32" s="13">
        <f>Z22+Z23+Z24+Z25+Z26+Z27+Z28+Z29-Z31</f>
        <v/>
      </c>
      <c r="AA32" s="13">
        <f>AA22+AA23+AA24+AA25+AA26+AA27+AA28+AA29-AA31</f>
        <v/>
      </c>
      <c r="AB32" s="13">
        <f>AB22+AB23+AB24+AB25+AB26+AB27+AB28+AB29-AB31</f>
        <v/>
      </c>
      <c r="AC32" s="13">
        <f>AC22+AC23+AC24+AC25+AC26+AC27+AC28+AC29-AC31</f>
        <v/>
      </c>
      <c r="AD32" s="13">
        <f>AD22+AD23+AD24+AD25+AD26+AD27+AD28+AD29-AD31</f>
        <v/>
      </c>
      <c r="AE32" s="13">
        <f>AE22+AE23+AE24+AE25+AE26+AE27+AE28+AE29-AE31</f>
        <v/>
      </c>
      <c r="AF32" s="13">
        <f>AF22+AF23+AF24+AF25+AF26+AF27+AF28+AF29-AF31</f>
        <v/>
      </c>
      <c r="AG32" s="13">
        <f>AG22+AG23+AG24+AG25+AG26+AG27+AG28+AG29-AG31</f>
        <v/>
      </c>
      <c r="AH32" s="13">
        <f>AH22+AH23+AH24+AH25+AH26+AH27+AH28+AH29-AH31</f>
        <v/>
      </c>
      <c r="AI32" s="13">
        <f>AI22+AI23+AI24+AI25+AI26+AI27+AI28+AI29-AI31</f>
        <v/>
      </c>
      <c r="AJ32" s="13">
        <f>AJ22+AJ23+AJ24+AJ25+AJ26+AJ27+AJ28+AJ29-AJ31</f>
        <v/>
      </c>
      <c r="AK32" s="13">
        <f>AK22+AK23+AK24+AK25+AK26+AK27+AK28+AK29-AK31</f>
        <v/>
      </c>
      <c r="AL32" s="13">
        <f>AL22+AL23+AL24+AL25+AL26+AL27+AL28+AL29-AL31</f>
        <v/>
      </c>
      <c r="AM32" s="13">
        <f>AM22+AM23+AM24+AM25+AM26+AM27+AM28+AM29-AM31</f>
        <v/>
      </c>
      <c r="AN32" s="13">
        <f>AN22+AN23+AN24+AN25+AN26+AN27+AN28+AN29-AN31</f>
        <v/>
      </c>
      <c r="AO32" s="13">
        <f>AO22+AO23+AO24+AO25+AO26+AO27+AO28+AO29-AO31</f>
        <v/>
      </c>
      <c r="AP32" s="13">
        <f>AP22+AP23+AP24+AP25+AP26+AP27+AP28+AP29-AP31</f>
        <v/>
      </c>
      <c r="AQ32" s="13">
        <f>AQ22+AQ23+AQ24+AQ25+AQ26+AQ27+AQ28+AQ29-AQ31</f>
        <v/>
      </c>
      <c r="AR32" s="13">
        <f>AR22+AR23+AR24+AR25+AR26+AR27+AR28+AR29-AR31</f>
        <v/>
      </c>
      <c r="AS32" s="13">
        <f>AS22+AS23+AS24+AS25+AS26+AS27+AS28+AS29-AS31</f>
        <v/>
      </c>
      <c r="AT32" s="13">
        <f>AT22+AT23+AT24+AT25+AT26+AT27+AT28+AT29-AT31</f>
        <v/>
      </c>
      <c r="AU32" s="13">
        <f>AU22+AU23+AU24+AU25+AU26+AU27+AU28+AU29-AU31</f>
        <v/>
      </c>
      <c r="AV32" s="13">
        <f>AV22+AV23+AV24+AV25+AV26+AV27+AV28+AV29-AV31</f>
        <v/>
      </c>
      <c r="AW32" s="13">
        <f>AW22+AW23+AW24+AW25+AW26+AW27+AW28+AW29-AW31</f>
        <v/>
      </c>
      <c r="AX32" s="13">
        <f>AX22+AX23+AX24+AX25+AX26+AX27+AX28+AX29-AX31</f>
        <v/>
      </c>
      <c r="AY32" s="13">
        <f>AY22+AY23+AY24+AY25+AY26+AY27+AY28+AY29-AY31</f>
        <v/>
      </c>
      <c r="AZ32" s="13">
        <f>AZ22+AZ23+AZ24+AZ25+AZ26+AZ27+AZ28+AZ29-AZ31</f>
        <v/>
      </c>
      <c r="BA32" s="13">
        <f>BA22+BA23+BA24+BA25+BA26+BA27+BA28+BA29-BA31</f>
        <v/>
      </c>
      <c r="BB32" s="13">
        <f>BB22+BB23+BB24+BB25+BB26+BB27+BB28+BB29-BB31</f>
        <v/>
      </c>
      <c r="BC32" s="13">
        <f>BC22+BC23+BC24+BC25+BC26+BC27+BC28+BC29-BC31</f>
        <v/>
      </c>
      <c r="BD32" s="13">
        <f>BD22+BD23+BD24+BD25+BD26+BD27+BD28+BD29-BD31</f>
        <v/>
      </c>
      <c r="BE32" s="13">
        <f>BE22+BE23+BE24+BE25+BE26+BE27+BE28+BE29-BE31</f>
        <v/>
      </c>
      <c r="BF32" s="13">
        <f>BF22+BF23+BF24+BF25+BF26+BF27+BF28+BF29-BF31</f>
        <v/>
      </c>
      <c r="BG32" s="13">
        <f>BG22+BG23+BG24+BG25+BG26+BG27+BG28+BG29-BG31</f>
        <v/>
      </c>
      <c r="BH32" s="13">
        <f>BH22+BH23+BH24+BH25+BH26+BH27+BH28+BH29-BH31</f>
        <v/>
      </c>
      <c r="BI32" s="13">
        <f>BI22+BI23+BI24+BI25+BI26+BI27+BI28+BI29-BI31</f>
        <v/>
      </c>
      <c r="BJ32" s="13">
        <f>BJ22+BJ23+BJ24+BJ25+BJ26+BJ27+BJ28+BJ29-BJ31</f>
        <v/>
      </c>
    </row>
    <row r="33">
      <c r="B33" s="2" t="inlineStr">
        <is>
          <t>VAT on onshore EPC (KCR m) and UBK VAT facility</t>
        </is>
      </c>
    </row>
    <row r="34">
      <c r="D34" t="inlineStr">
        <is>
          <t>Onshore EPC payments</t>
        </is>
      </c>
      <c r="E34" t="inlineStr">
        <is>
          <t>KCR m</t>
        </is>
      </c>
      <c r="G34" s="13">
        <f>SUM(J34:BJ34)</f>
        <v/>
      </c>
      <c r="J34" s="13">
        <f>J20/100*Inputs!$F$59*Inputs!$F$60*Inputs!$F$36</f>
        <v/>
      </c>
      <c r="K34" s="13">
        <f>K20/100*Inputs!$F$59*Inputs!$F$60*Inputs!$F$36</f>
        <v/>
      </c>
      <c r="L34" s="13">
        <f>L20/100*Inputs!$F$59*Inputs!$F$60*Inputs!$F$36</f>
        <v/>
      </c>
      <c r="M34" s="13">
        <f>M20/100*Inputs!$F$59*Inputs!$F$60*Inputs!$F$36</f>
        <v/>
      </c>
      <c r="N34" s="13">
        <f>N20/100*Inputs!$F$59*Inputs!$F$60*Inputs!$F$36</f>
        <v/>
      </c>
      <c r="O34" s="13">
        <f>O20/100*Inputs!$F$59*Inputs!$F$60*Inputs!$F$36</f>
        <v/>
      </c>
      <c r="P34" s="13">
        <f>P20/100*Inputs!$F$59*Inputs!$F$60*Inputs!$F$36</f>
        <v/>
      </c>
      <c r="Q34" s="13">
        <f>Q20/100*Inputs!$F$59*Inputs!$F$60*Inputs!$F$36</f>
        <v/>
      </c>
      <c r="R34" s="13">
        <f>R20/100*Inputs!$F$59*Inputs!$F$60*Inputs!$F$36</f>
        <v/>
      </c>
      <c r="S34" s="13">
        <f>S20/100*Inputs!$F$59*Inputs!$F$60*Inputs!$F$36</f>
        <v/>
      </c>
      <c r="T34" s="13">
        <f>T20/100*Inputs!$F$59*Inputs!$F$60*Inputs!$F$36</f>
        <v/>
      </c>
      <c r="U34" s="13">
        <f>U20/100*Inputs!$F$59*Inputs!$F$60*Inputs!$F$36</f>
        <v/>
      </c>
      <c r="V34" s="13">
        <f>V20/100*Inputs!$F$59*Inputs!$F$60*Inputs!$F$36</f>
        <v/>
      </c>
      <c r="W34" s="13">
        <f>W20/100*Inputs!$F$59*Inputs!$F$60*Inputs!$F$36</f>
        <v/>
      </c>
      <c r="X34" s="13">
        <f>X20/100*Inputs!$F$59*Inputs!$F$60*Inputs!$F$36</f>
        <v/>
      </c>
      <c r="Y34" s="13">
        <f>Y20/100*Inputs!$F$59*Inputs!$F$60*Inputs!$F$36</f>
        <v/>
      </c>
      <c r="Z34" s="13">
        <f>Z20/100*Inputs!$F$59*Inputs!$F$60*Inputs!$F$36</f>
        <v/>
      </c>
      <c r="AA34" s="13">
        <f>AA20/100*Inputs!$F$59*Inputs!$F$60*Inputs!$F$36</f>
        <v/>
      </c>
      <c r="AB34" s="13">
        <f>AB20/100*Inputs!$F$59*Inputs!$F$60*Inputs!$F$36</f>
        <v/>
      </c>
      <c r="AC34" s="13">
        <f>AC20/100*Inputs!$F$59*Inputs!$F$60*Inputs!$F$36</f>
        <v/>
      </c>
      <c r="AD34" s="13">
        <f>AD20/100*Inputs!$F$59*Inputs!$F$60*Inputs!$F$36</f>
        <v/>
      </c>
      <c r="AE34" s="13">
        <f>AE20/100*Inputs!$F$59*Inputs!$F$60*Inputs!$F$36</f>
        <v/>
      </c>
      <c r="AF34" s="13">
        <f>AF20/100*Inputs!$F$59*Inputs!$F$60*Inputs!$F$36</f>
        <v/>
      </c>
      <c r="AG34" s="13">
        <f>AG20/100*Inputs!$F$59*Inputs!$F$60*Inputs!$F$36</f>
        <v/>
      </c>
      <c r="AH34" s="13">
        <f>AH20/100*Inputs!$F$59*Inputs!$F$60*Inputs!$F$36</f>
        <v/>
      </c>
      <c r="AI34" s="13">
        <f>AI20/100*Inputs!$F$59*Inputs!$F$60*Inputs!$F$36</f>
        <v/>
      </c>
      <c r="AJ34" s="13">
        <f>AJ20/100*Inputs!$F$59*Inputs!$F$60*Inputs!$F$36</f>
        <v/>
      </c>
      <c r="AK34" s="13">
        <f>AK20/100*Inputs!$F$59*Inputs!$F$60*Inputs!$F$36</f>
        <v/>
      </c>
      <c r="AL34" s="13">
        <f>AL20/100*Inputs!$F$59*Inputs!$F$60*Inputs!$F$36</f>
        <v/>
      </c>
      <c r="AM34" s="13">
        <f>AM20/100*Inputs!$F$59*Inputs!$F$60*Inputs!$F$36</f>
        <v/>
      </c>
      <c r="AN34" s="13">
        <f>AN20/100*Inputs!$F$59*Inputs!$F$60*Inputs!$F$36</f>
        <v/>
      </c>
      <c r="AO34" s="13">
        <f>AO20/100*Inputs!$F$59*Inputs!$F$60*Inputs!$F$36</f>
        <v/>
      </c>
      <c r="AP34" s="13">
        <f>AP20/100*Inputs!$F$59*Inputs!$F$60*Inputs!$F$36</f>
        <v/>
      </c>
      <c r="AQ34" s="13">
        <f>AQ20/100*Inputs!$F$59*Inputs!$F$60*Inputs!$F$36</f>
        <v/>
      </c>
      <c r="AR34" s="13">
        <f>AR20/100*Inputs!$F$59*Inputs!$F$60*Inputs!$F$36</f>
        <v/>
      </c>
      <c r="AS34" s="13">
        <f>AS20/100*Inputs!$F$59*Inputs!$F$60*Inputs!$F$36</f>
        <v/>
      </c>
      <c r="AT34" s="13">
        <f>AT20/100*Inputs!$F$59*Inputs!$F$60*Inputs!$F$36</f>
        <v/>
      </c>
      <c r="AU34" s="13">
        <f>AU20/100*Inputs!$F$59*Inputs!$F$60*Inputs!$F$36</f>
        <v/>
      </c>
      <c r="AV34" s="13">
        <f>AV20/100*Inputs!$F$59*Inputs!$F$60*Inputs!$F$36</f>
        <v/>
      </c>
      <c r="AW34" s="13">
        <f>AW20/100*Inputs!$F$59*Inputs!$F$60*Inputs!$F$36</f>
        <v/>
      </c>
      <c r="AX34" s="13">
        <f>AX20/100*Inputs!$F$59*Inputs!$F$60*Inputs!$F$36</f>
        <v/>
      </c>
      <c r="AY34" s="13">
        <f>AY20/100*Inputs!$F$59*Inputs!$F$60*Inputs!$F$36</f>
        <v/>
      </c>
      <c r="AZ34" s="13">
        <f>AZ20/100*Inputs!$F$59*Inputs!$F$60*Inputs!$F$36</f>
        <v/>
      </c>
      <c r="BA34" s="13">
        <f>BA20/100*Inputs!$F$59*Inputs!$F$60*Inputs!$F$36</f>
        <v/>
      </c>
      <c r="BB34" s="13">
        <f>BB20/100*Inputs!$F$59*Inputs!$F$60*Inputs!$F$36</f>
        <v/>
      </c>
      <c r="BC34" s="13">
        <f>BC20/100*Inputs!$F$59*Inputs!$F$60*Inputs!$F$36</f>
        <v/>
      </c>
      <c r="BD34" s="13">
        <f>BD20/100*Inputs!$F$59*Inputs!$F$60*Inputs!$F$36</f>
        <v/>
      </c>
      <c r="BE34" s="13">
        <f>BE20/100*Inputs!$F$59*Inputs!$F$60*Inputs!$F$36</f>
        <v/>
      </c>
      <c r="BF34" s="13">
        <f>BF20/100*Inputs!$F$59*Inputs!$F$60*Inputs!$F$36</f>
        <v/>
      </c>
      <c r="BG34" s="13">
        <f>BG20/100*Inputs!$F$59*Inputs!$F$60*Inputs!$F$36</f>
        <v/>
      </c>
      <c r="BH34" s="13">
        <f>BH20/100*Inputs!$F$59*Inputs!$F$60*Inputs!$F$36</f>
        <v/>
      </c>
      <c r="BI34" s="13">
        <f>BI20/100*Inputs!$F$59*Inputs!$F$60*Inputs!$F$36</f>
        <v/>
      </c>
      <c r="BJ34" s="13">
        <f>BJ20/100*Inputs!$F$59*Inputs!$F$60*Inputs!$F$36</f>
        <v/>
      </c>
    </row>
    <row r="35">
      <c r="D35" t="inlineStr">
        <is>
          <t>VAT paid (drawn on the VAT facility)</t>
        </is>
      </c>
      <c r="E35" t="inlineStr">
        <is>
          <t>KCR m</t>
        </is>
      </c>
      <c r="G35" s="13">
        <f>SUM(J35:BJ35)</f>
        <v/>
      </c>
      <c r="J35" s="13">
        <f>Inputs!$F$70/100*J34</f>
        <v/>
      </c>
      <c r="K35" s="13">
        <f>Inputs!$F$70/100*K34</f>
        <v/>
      </c>
      <c r="L35" s="13">
        <f>Inputs!$F$70/100*L34</f>
        <v/>
      </c>
      <c r="M35" s="13">
        <f>Inputs!$F$70/100*M34</f>
        <v/>
      </c>
      <c r="N35" s="13">
        <f>Inputs!$F$70/100*N34</f>
        <v/>
      </c>
      <c r="O35" s="13">
        <f>Inputs!$F$70/100*O34</f>
        <v/>
      </c>
      <c r="P35" s="13">
        <f>Inputs!$F$70/100*P34</f>
        <v/>
      </c>
      <c r="Q35" s="13">
        <f>Inputs!$F$70/100*Q34</f>
        <v/>
      </c>
      <c r="R35" s="13">
        <f>Inputs!$F$70/100*R34</f>
        <v/>
      </c>
      <c r="S35" s="13">
        <f>Inputs!$F$70/100*S34</f>
        <v/>
      </c>
      <c r="T35" s="13">
        <f>Inputs!$F$70/100*T34</f>
        <v/>
      </c>
      <c r="U35" s="13">
        <f>Inputs!$F$70/100*U34</f>
        <v/>
      </c>
      <c r="V35" s="13">
        <f>Inputs!$F$70/100*V34</f>
        <v/>
      </c>
      <c r="W35" s="13">
        <f>Inputs!$F$70/100*W34</f>
        <v/>
      </c>
      <c r="X35" s="13">
        <f>Inputs!$F$70/100*X34</f>
        <v/>
      </c>
      <c r="Y35" s="13">
        <f>Inputs!$F$70/100*Y34</f>
        <v/>
      </c>
      <c r="Z35" s="13">
        <f>Inputs!$F$70/100*Z34</f>
        <v/>
      </c>
      <c r="AA35" s="13">
        <f>Inputs!$F$70/100*AA34</f>
        <v/>
      </c>
      <c r="AB35" s="13">
        <f>Inputs!$F$70/100*AB34</f>
        <v/>
      </c>
      <c r="AC35" s="13">
        <f>Inputs!$F$70/100*AC34</f>
        <v/>
      </c>
      <c r="AD35" s="13">
        <f>Inputs!$F$70/100*AD34</f>
        <v/>
      </c>
      <c r="AE35" s="13">
        <f>Inputs!$F$70/100*AE34</f>
        <v/>
      </c>
      <c r="AF35" s="13">
        <f>Inputs!$F$70/100*AF34</f>
        <v/>
      </c>
      <c r="AG35" s="13">
        <f>Inputs!$F$70/100*AG34</f>
        <v/>
      </c>
      <c r="AH35" s="13">
        <f>Inputs!$F$70/100*AH34</f>
        <v/>
      </c>
      <c r="AI35" s="13">
        <f>Inputs!$F$70/100*AI34</f>
        <v/>
      </c>
      <c r="AJ35" s="13">
        <f>Inputs!$F$70/100*AJ34</f>
        <v/>
      </c>
      <c r="AK35" s="13">
        <f>Inputs!$F$70/100*AK34</f>
        <v/>
      </c>
      <c r="AL35" s="13">
        <f>Inputs!$F$70/100*AL34</f>
        <v/>
      </c>
      <c r="AM35" s="13">
        <f>Inputs!$F$70/100*AM34</f>
        <v/>
      </c>
      <c r="AN35" s="13">
        <f>Inputs!$F$70/100*AN34</f>
        <v/>
      </c>
      <c r="AO35" s="13">
        <f>Inputs!$F$70/100*AO34</f>
        <v/>
      </c>
      <c r="AP35" s="13">
        <f>Inputs!$F$70/100*AP34</f>
        <v/>
      </c>
      <c r="AQ35" s="13">
        <f>Inputs!$F$70/100*AQ34</f>
        <v/>
      </c>
      <c r="AR35" s="13">
        <f>Inputs!$F$70/100*AR34</f>
        <v/>
      </c>
      <c r="AS35" s="13">
        <f>Inputs!$F$70/100*AS34</f>
        <v/>
      </c>
      <c r="AT35" s="13">
        <f>Inputs!$F$70/100*AT34</f>
        <v/>
      </c>
      <c r="AU35" s="13">
        <f>Inputs!$F$70/100*AU34</f>
        <v/>
      </c>
      <c r="AV35" s="13">
        <f>Inputs!$F$70/100*AV34</f>
        <v/>
      </c>
      <c r="AW35" s="13">
        <f>Inputs!$F$70/100*AW34</f>
        <v/>
      </c>
      <c r="AX35" s="13">
        <f>Inputs!$F$70/100*AX34</f>
        <v/>
      </c>
      <c r="AY35" s="13">
        <f>Inputs!$F$70/100*AY34</f>
        <v/>
      </c>
      <c r="AZ35" s="13">
        <f>Inputs!$F$70/100*AZ34</f>
        <v/>
      </c>
      <c r="BA35" s="13">
        <f>Inputs!$F$70/100*BA34</f>
        <v/>
      </c>
      <c r="BB35" s="13">
        <f>Inputs!$F$70/100*BB34</f>
        <v/>
      </c>
      <c r="BC35" s="13">
        <f>Inputs!$F$70/100*BC34</f>
        <v/>
      </c>
      <c r="BD35" s="13">
        <f>Inputs!$F$70/100*BD34</f>
        <v/>
      </c>
      <c r="BE35" s="13">
        <f>Inputs!$F$70/100*BE34</f>
        <v/>
      </c>
      <c r="BF35" s="13">
        <f>Inputs!$F$70/100*BF34</f>
        <v/>
      </c>
      <c r="BG35" s="13">
        <f>Inputs!$F$70/100*BG34</f>
        <v/>
      </c>
      <c r="BH35" s="13">
        <f>Inputs!$F$70/100*BH34</f>
        <v/>
      </c>
      <c r="BI35" s="13">
        <f>Inputs!$F$70/100*BI34</f>
        <v/>
      </c>
      <c r="BJ35" s="13">
        <f>Inputs!$F$70/100*BJ34</f>
        <v/>
      </c>
    </row>
    <row r="36">
      <c r="D36" t="inlineStr">
        <is>
          <t>VAT refunds (9-month lag) repaying the facility</t>
        </is>
      </c>
      <c r="E36" t="inlineStr">
        <is>
          <t>KCR m</t>
        </is>
      </c>
      <c r="G36" s="13">
        <f>SUM(J36:BJ36)</f>
        <v/>
      </c>
      <c r="J36" s="13">
        <f>SUMIFS($J$35:$BJ$35,$J$8:$BJ$8,J8-Inputs!$F$246)</f>
        <v/>
      </c>
      <c r="K36" s="13">
        <f>SUMIFS($J$35:$BJ$35,$J$8:$BJ$8,K8-Inputs!$F$246)</f>
        <v/>
      </c>
      <c r="L36" s="13">
        <f>SUMIFS($J$35:$BJ$35,$J$8:$BJ$8,L8-Inputs!$F$246)</f>
        <v/>
      </c>
      <c r="M36" s="13">
        <f>SUMIFS($J$35:$BJ$35,$J$8:$BJ$8,M8-Inputs!$F$246)</f>
        <v/>
      </c>
      <c r="N36" s="13">
        <f>SUMIFS($J$35:$BJ$35,$J$8:$BJ$8,N8-Inputs!$F$246)</f>
        <v/>
      </c>
      <c r="O36" s="13">
        <f>SUMIFS($J$35:$BJ$35,$J$8:$BJ$8,O8-Inputs!$F$246)</f>
        <v/>
      </c>
      <c r="P36" s="13">
        <f>SUMIFS($J$35:$BJ$35,$J$8:$BJ$8,P8-Inputs!$F$246)</f>
        <v/>
      </c>
      <c r="Q36" s="13">
        <f>SUMIFS($J$35:$BJ$35,$J$8:$BJ$8,Q8-Inputs!$F$246)</f>
        <v/>
      </c>
      <c r="R36" s="13">
        <f>SUMIFS($J$35:$BJ$35,$J$8:$BJ$8,R8-Inputs!$F$246)</f>
        <v/>
      </c>
      <c r="S36" s="13">
        <f>SUMIFS($J$35:$BJ$35,$J$8:$BJ$8,S8-Inputs!$F$246)</f>
        <v/>
      </c>
      <c r="T36" s="13">
        <f>SUMIFS($J$35:$BJ$35,$J$8:$BJ$8,T8-Inputs!$F$246)</f>
        <v/>
      </c>
      <c r="U36" s="13">
        <f>SUMIFS($J$35:$BJ$35,$J$8:$BJ$8,U8-Inputs!$F$246)</f>
        <v/>
      </c>
      <c r="V36" s="13">
        <f>SUMIFS($J$35:$BJ$35,$J$8:$BJ$8,V8-Inputs!$F$246)</f>
        <v/>
      </c>
      <c r="W36" s="13">
        <f>SUMIFS($J$35:$BJ$35,$J$8:$BJ$8,W8-Inputs!$F$246)</f>
        <v/>
      </c>
      <c r="X36" s="13">
        <f>SUMIFS($J$35:$BJ$35,$J$8:$BJ$8,X8-Inputs!$F$246)</f>
        <v/>
      </c>
      <c r="Y36" s="13">
        <f>SUMIFS($J$35:$BJ$35,$J$8:$BJ$8,Y8-Inputs!$F$246)</f>
        <v/>
      </c>
      <c r="Z36" s="13">
        <f>SUMIFS($J$35:$BJ$35,$J$8:$BJ$8,Z8-Inputs!$F$246)</f>
        <v/>
      </c>
      <c r="AA36" s="13">
        <f>SUMIFS($J$35:$BJ$35,$J$8:$BJ$8,AA8-Inputs!$F$246)</f>
        <v/>
      </c>
      <c r="AB36" s="13">
        <f>SUMIFS($J$35:$BJ$35,$J$8:$BJ$8,AB8-Inputs!$F$246)</f>
        <v/>
      </c>
      <c r="AC36" s="13">
        <f>SUMIFS($J$35:$BJ$35,$J$8:$BJ$8,AC8-Inputs!$F$246)</f>
        <v/>
      </c>
      <c r="AD36" s="13">
        <f>SUMIFS($J$35:$BJ$35,$J$8:$BJ$8,AD8-Inputs!$F$246)</f>
        <v/>
      </c>
      <c r="AE36" s="13">
        <f>SUMIFS($J$35:$BJ$35,$J$8:$BJ$8,AE8-Inputs!$F$246)</f>
        <v/>
      </c>
      <c r="AF36" s="13">
        <f>SUMIFS($J$35:$BJ$35,$J$8:$BJ$8,AF8-Inputs!$F$246)</f>
        <v/>
      </c>
      <c r="AG36" s="13">
        <f>SUMIFS($J$35:$BJ$35,$J$8:$BJ$8,AG8-Inputs!$F$246)</f>
        <v/>
      </c>
      <c r="AH36" s="13">
        <f>SUMIFS($J$35:$BJ$35,$J$8:$BJ$8,AH8-Inputs!$F$246)</f>
        <v/>
      </c>
      <c r="AI36" s="13">
        <f>SUMIFS($J$35:$BJ$35,$J$8:$BJ$8,AI8-Inputs!$F$246)</f>
        <v/>
      </c>
      <c r="AJ36" s="13">
        <f>SUMIFS($J$35:$BJ$35,$J$8:$BJ$8,AJ8-Inputs!$F$246)</f>
        <v/>
      </c>
      <c r="AK36" s="13">
        <f>SUMIFS($J$35:$BJ$35,$J$8:$BJ$8,AK8-Inputs!$F$246)</f>
        <v/>
      </c>
      <c r="AL36" s="13">
        <f>SUMIFS($J$35:$BJ$35,$J$8:$BJ$8,AL8-Inputs!$F$246)</f>
        <v/>
      </c>
      <c r="AM36" s="13">
        <f>SUMIFS($J$35:$BJ$35,$J$8:$BJ$8,AM8-Inputs!$F$246)</f>
        <v/>
      </c>
      <c r="AN36" s="13">
        <f>SUMIFS($J$35:$BJ$35,$J$8:$BJ$8,AN8-Inputs!$F$246)</f>
        <v/>
      </c>
      <c r="AO36" s="13">
        <f>SUMIFS($J$35:$BJ$35,$J$8:$BJ$8,AO8-Inputs!$F$246)</f>
        <v/>
      </c>
      <c r="AP36" s="13">
        <f>SUMIFS($J$35:$BJ$35,$J$8:$BJ$8,AP8-Inputs!$F$246)</f>
        <v/>
      </c>
      <c r="AQ36" s="13">
        <f>SUMIFS($J$35:$BJ$35,$J$8:$BJ$8,AQ8-Inputs!$F$246)</f>
        <v/>
      </c>
      <c r="AR36" s="13">
        <f>SUMIFS($J$35:$BJ$35,$J$8:$BJ$8,AR8-Inputs!$F$246)</f>
        <v/>
      </c>
      <c r="AS36" s="13">
        <f>SUMIFS($J$35:$BJ$35,$J$8:$BJ$8,AS8-Inputs!$F$246)</f>
        <v/>
      </c>
      <c r="AT36" s="13">
        <f>SUMIFS($J$35:$BJ$35,$J$8:$BJ$8,AT8-Inputs!$F$246)</f>
        <v/>
      </c>
      <c r="AU36" s="13">
        <f>SUMIFS($J$35:$BJ$35,$J$8:$BJ$8,AU8-Inputs!$F$246)</f>
        <v/>
      </c>
      <c r="AV36" s="13">
        <f>SUMIFS($J$35:$BJ$35,$J$8:$BJ$8,AV8-Inputs!$F$246)</f>
        <v/>
      </c>
      <c r="AW36" s="13">
        <f>SUMIFS($J$35:$BJ$35,$J$8:$BJ$8,AW8-Inputs!$F$246)</f>
        <v/>
      </c>
      <c r="AX36" s="13">
        <f>SUMIFS($J$35:$BJ$35,$J$8:$BJ$8,AX8-Inputs!$F$246)</f>
        <v/>
      </c>
      <c r="AY36" s="13">
        <f>SUMIFS($J$35:$BJ$35,$J$8:$BJ$8,AY8-Inputs!$F$246)</f>
        <v/>
      </c>
      <c r="AZ36" s="13">
        <f>SUMIFS($J$35:$BJ$35,$J$8:$BJ$8,AZ8-Inputs!$F$246)</f>
        <v/>
      </c>
      <c r="BA36" s="13">
        <f>SUMIFS($J$35:$BJ$35,$J$8:$BJ$8,BA8-Inputs!$F$246)</f>
        <v/>
      </c>
      <c r="BB36" s="13">
        <f>SUMIFS($J$35:$BJ$35,$J$8:$BJ$8,BB8-Inputs!$F$246)</f>
        <v/>
      </c>
      <c r="BC36" s="13">
        <f>SUMIFS($J$35:$BJ$35,$J$8:$BJ$8,BC8-Inputs!$F$246)</f>
        <v/>
      </c>
      <c r="BD36" s="13">
        <f>SUMIFS($J$35:$BJ$35,$J$8:$BJ$8,BD8-Inputs!$F$246)</f>
        <v/>
      </c>
      <c r="BE36" s="13">
        <f>SUMIFS($J$35:$BJ$35,$J$8:$BJ$8,BE8-Inputs!$F$246)</f>
        <v/>
      </c>
      <c r="BF36" s="13">
        <f>SUMIFS($J$35:$BJ$35,$J$8:$BJ$8,BF8-Inputs!$F$246)</f>
        <v/>
      </c>
      <c r="BG36" s="13">
        <f>SUMIFS($J$35:$BJ$35,$J$8:$BJ$8,BG8-Inputs!$F$246)</f>
        <v/>
      </c>
      <c r="BH36" s="13">
        <f>SUMIFS($J$35:$BJ$35,$J$8:$BJ$8,BH8-Inputs!$F$246)</f>
        <v/>
      </c>
      <c r="BI36" s="13">
        <f>SUMIFS($J$35:$BJ$35,$J$8:$BJ$8,BI8-Inputs!$F$246)</f>
        <v/>
      </c>
      <c r="BJ36" s="13">
        <f>SUMIFS($J$35:$BJ$35,$J$8:$BJ$8,BJ8-Inputs!$F$246)</f>
        <v/>
      </c>
    </row>
    <row r="37">
      <c r="D37" t="inlineStr">
        <is>
          <t>VAT facility balance</t>
        </is>
      </c>
      <c r="E37" t="inlineStr">
        <is>
          <t>KCR m</t>
        </is>
      </c>
      <c r="J37" s="13">
        <f>I37+J35-J36</f>
        <v/>
      </c>
      <c r="K37" s="13">
        <f>J37+K35-K36</f>
        <v/>
      </c>
      <c r="L37" s="13">
        <f>K37+L35-L36</f>
        <v/>
      </c>
      <c r="M37" s="13">
        <f>L37+M35-M36</f>
        <v/>
      </c>
      <c r="N37" s="13">
        <f>M37+N35-N36</f>
        <v/>
      </c>
      <c r="O37" s="13">
        <f>N37+O35-O36</f>
        <v/>
      </c>
      <c r="P37" s="13">
        <f>O37+P35-P36</f>
        <v/>
      </c>
      <c r="Q37" s="13">
        <f>P37+Q35-Q36</f>
        <v/>
      </c>
      <c r="R37" s="13">
        <f>Q37+R35-R36</f>
        <v/>
      </c>
      <c r="S37" s="13">
        <f>R37+S35-S36</f>
        <v/>
      </c>
      <c r="T37" s="13">
        <f>S37+T35-T36</f>
        <v/>
      </c>
      <c r="U37" s="13">
        <f>T37+U35-U36</f>
        <v/>
      </c>
      <c r="V37" s="13">
        <f>U37+V35-V36</f>
        <v/>
      </c>
      <c r="W37" s="13">
        <f>V37+W35-W36</f>
        <v/>
      </c>
      <c r="X37" s="13">
        <f>W37+X35-X36</f>
        <v/>
      </c>
      <c r="Y37" s="13">
        <f>X37+Y35-Y36</f>
        <v/>
      </c>
      <c r="Z37" s="13">
        <f>Y37+Z35-Z36</f>
        <v/>
      </c>
      <c r="AA37" s="13">
        <f>Z37+AA35-AA36</f>
        <v/>
      </c>
      <c r="AB37" s="13">
        <f>AA37+AB35-AB36</f>
        <v/>
      </c>
      <c r="AC37" s="13">
        <f>AB37+AC35-AC36</f>
        <v/>
      </c>
      <c r="AD37" s="13">
        <f>AC37+AD35-AD36</f>
        <v/>
      </c>
      <c r="AE37" s="13">
        <f>AD37+AE35-AE36</f>
        <v/>
      </c>
      <c r="AF37" s="13">
        <f>AE37+AF35-AF36</f>
        <v/>
      </c>
      <c r="AG37" s="13">
        <f>AF37+AG35-AG36</f>
        <v/>
      </c>
      <c r="AH37" s="13">
        <f>AG37+AH35-AH36</f>
        <v/>
      </c>
      <c r="AI37" s="13">
        <f>AH37+AI35-AI36</f>
        <v/>
      </c>
      <c r="AJ37" s="13">
        <f>AI37+AJ35-AJ36</f>
        <v/>
      </c>
      <c r="AK37" s="13">
        <f>AJ37+AK35-AK36</f>
        <v/>
      </c>
      <c r="AL37" s="13">
        <f>AK37+AL35-AL36</f>
        <v/>
      </c>
      <c r="AM37" s="13">
        <f>AL37+AM35-AM36</f>
        <v/>
      </c>
      <c r="AN37" s="13">
        <f>AM37+AN35-AN36</f>
        <v/>
      </c>
      <c r="AO37" s="13">
        <f>AN37+AO35-AO36</f>
        <v/>
      </c>
      <c r="AP37" s="13">
        <f>AO37+AP35-AP36</f>
        <v/>
      </c>
      <c r="AQ37" s="13">
        <f>AP37+AQ35-AQ36</f>
        <v/>
      </c>
      <c r="AR37" s="13">
        <f>AQ37+AR35-AR36</f>
        <v/>
      </c>
      <c r="AS37" s="13">
        <f>AR37+AS35-AS36</f>
        <v/>
      </c>
      <c r="AT37" s="13">
        <f>AS37+AT35-AT36</f>
        <v/>
      </c>
      <c r="AU37" s="13">
        <f>AT37+AU35-AU36</f>
        <v/>
      </c>
      <c r="AV37" s="13">
        <f>AU37+AV35-AV36</f>
        <v/>
      </c>
      <c r="AW37" s="13">
        <f>AV37+AW35-AW36</f>
        <v/>
      </c>
      <c r="AX37" s="13">
        <f>AW37+AX35-AX36</f>
        <v/>
      </c>
      <c r="AY37" s="13">
        <f>AX37+AY35-AY36</f>
        <v/>
      </c>
      <c r="AZ37" s="13">
        <f>AY37+AZ35-AZ36</f>
        <v/>
      </c>
      <c r="BA37" s="13">
        <f>AZ37+BA35-BA36</f>
        <v/>
      </c>
      <c r="BB37" s="13">
        <f>BA37+BB35-BB36</f>
        <v/>
      </c>
      <c r="BC37" s="13">
        <f>BB37+BC35-BC36</f>
        <v/>
      </c>
      <c r="BD37" s="13">
        <f>BC37+BD35-BD36</f>
        <v/>
      </c>
      <c r="BE37" s="13">
        <f>BD37+BE35-BE36</f>
        <v/>
      </c>
      <c r="BF37" s="13">
        <f>BE37+BF35-BF36</f>
        <v/>
      </c>
      <c r="BG37" s="13">
        <f>BF37+BG35-BG36</f>
        <v/>
      </c>
      <c r="BH37" s="13">
        <f>BG37+BH35-BH36</f>
        <v/>
      </c>
      <c r="BI37" s="13">
        <f>BH37+BI35-BI36</f>
        <v/>
      </c>
      <c r="BJ37" s="13">
        <f>BI37+BJ35-BJ36</f>
        <v/>
      </c>
    </row>
    <row r="38">
      <c r="D38" t="inlineStr">
        <is>
          <t>VAT facility interest</t>
        </is>
      </c>
      <c r="E38" t="inlineStr">
        <is>
          <t>USD m</t>
        </is>
      </c>
      <c r="G38" s="13">
        <f>SUM(J38:BJ38)</f>
        <v/>
      </c>
      <c r="J38" s="13">
        <f>I37*(J18+Inputs!$F$71)/100*J11/Inputs!$F$248/J16</f>
        <v/>
      </c>
      <c r="K38" s="13">
        <f>J37*(K18+Inputs!$F$71)/100*K11/Inputs!$F$248/K16</f>
        <v/>
      </c>
      <c r="L38" s="13">
        <f>K37*(L18+Inputs!$F$71)/100*L11/Inputs!$F$248/L16</f>
        <v/>
      </c>
      <c r="M38" s="13">
        <f>L37*(M18+Inputs!$F$71)/100*M11/Inputs!$F$248/M16</f>
        <v/>
      </c>
      <c r="N38" s="13">
        <f>M37*(N18+Inputs!$F$71)/100*N11/Inputs!$F$248/N16</f>
        <v/>
      </c>
      <c r="O38" s="13">
        <f>N37*(O18+Inputs!$F$71)/100*O11/Inputs!$F$248/O16</f>
        <v/>
      </c>
      <c r="P38" s="13">
        <f>O37*(P18+Inputs!$F$71)/100*P11/Inputs!$F$248/P16</f>
        <v/>
      </c>
      <c r="Q38" s="13">
        <f>P37*(Q18+Inputs!$F$71)/100*Q11/Inputs!$F$248/Q16</f>
        <v/>
      </c>
      <c r="R38" s="13">
        <f>Q37*(R18+Inputs!$F$71)/100*R11/Inputs!$F$248/R16</f>
        <v/>
      </c>
      <c r="S38" s="13">
        <f>R37*(S18+Inputs!$F$71)/100*S11/Inputs!$F$248/S16</f>
        <v/>
      </c>
      <c r="T38" s="13">
        <f>S37*(T18+Inputs!$F$71)/100*T11/Inputs!$F$248/T16</f>
        <v/>
      </c>
      <c r="U38" s="13">
        <f>T37*(U18+Inputs!$F$71)/100*U11/Inputs!$F$248/U16</f>
        <v/>
      </c>
      <c r="V38" s="13">
        <f>U37*(V18+Inputs!$F$71)/100*V11/Inputs!$F$248/V16</f>
        <v/>
      </c>
      <c r="W38" s="13">
        <f>V37*(W18+Inputs!$F$71)/100*W11/Inputs!$F$248/W16</f>
        <v/>
      </c>
      <c r="X38" s="13">
        <f>W37*(X18+Inputs!$F$71)/100*X11/Inputs!$F$248/X16</f>
        <v/>
      </c>
      <c r="Y38" s="13">
        <f>X37*(Y18+Inputs!$F$71)/100*Y11/Inputs!$F$248/Y16</f>
        <v/>
      </c>
      <c r="Z38" s="13">
        <f>Y37*(Z18+Inputs!$F$71)/100*Z11/Inputs!$F$248/Z16</f>
        <v/>
      </c>
      <c r="AA38" s="13">
        <f>Z37*(AA18+Inputs!$F$71)/100*AA11/Inputs!$F$248/AA16</f>
        <v/>
      </c>
      <c r="AB38" s="13">
        <f>AA37*(AB18+Inputs!$F$71)/100*AB11/Inputs!$F$248/AB16</f>
        <v/>
      </c>
      <c r="AC38" s="13">
        <f>AB37*(AC18+Inputs!$F$71)/100*AC11/Inputs!$F$248/AC16</f>
        <v/>
      </c>
      <c r="AD38" s="13">
        <f>AC37*(AD18+Inputs!$F$71)/100*AD11/Inputs!$F$248/AD16</f>
        <v/>
      </c>
      <c r="AE38" s="13">
        <f>AD37*(AE18+Inputs!$F$71)/100*AE11/Inputs!$F$248/AE16</f>
        <v/>
      </c>
      <c r="AF38" s="13">
        <f>AE37*(AF18+Inputs!$F$71)/100*AF11/Inputs!$F$248/AF16</f>
        <v/>
      </c>
      <c r="AG38" s="13">
        <f>AF37*(AG18+Inputs!$F$71)/100*AG11/Inputs!$F$248/AG16</f>
        <v/>
      </c>
      <c r="AH38" s="13">
        <f>AG37*(AH18+Inputs!$F$71)/100*AH11/Inputs!$F$248/AH16</f>
        <v/>
      </c>
      <c r="AI38" s="13">
        <f>AH37*(AI18+Inputs!$F$71)/100*AI11/Inputs!$F$248/AI16</f>
        <v/>
      </c>
      <c r="AJ38" s="13">
        <f>AI37*(AJ18+Inputs!$F$71)/100*AJ11/Inputs!$F$248/AJ16</f>
        <v/>
      </c>
      <c r="AK38" s="13">
        <f>AJ37*(AK18+Inputs!$F$71)/100*AK11/Inputs!$F$248/AK16</f>
        <v/>
      </c>
      <c r="AL38" s="13">
        <f>AK37*(AL18+Inputs!$F$71)/100*AL11/Inputs!$F$248/AL16</f>
        <v/>
      </c>
      <c r="AM38" s="13">
        <f>AL37*(AM18+Inputs!$F$71)/100*AM11/Inputs!$F$248/AM16</f>
        <v/>
      </c>
      <c r="AN38" s="13">
        <f>AM37*(AN18+Inputs!$F$71)/100*AN11/Inputs!$F$248/AN16</f>
        <v/>
      </c>
      <c r="AO38" s="13">
        <f>AN37*(AO18+Inputs!$F$71)/100*AO11/Inputs!$F$248/AO16</f>
        <v/>
      </c>
      <c r="AP38" s="13">
        <f>AO37*(AP18+Inputs!$F$71)/100*AP11/Inputs!$F$248/AP16</f>
        <v/>
      </c>
      <c r="AQ38" s="13">
        <f>AP37*(AQ18+Inputs!$F$71)/100*AQ11/Inputs!$F$248/AQ16</f>
        <v/>
      </c>
      <c r="AR38" s="13">
        <f>AQ37*(AR18+Inputs!$F$71)/100*AR11/Inputs!$F$248/AR16</f>
        <v/>
      </c>
      <c r="AS38" s="13">
        <f>AR37*(AS18+Inputs!$F$71)/100*AS11/Inputs!$F$248/AS16</f>
        <v/>
      </c>
      <c r="AT38" s="13">
        <f>AS37*(AT18+Inputs!$F$71)/100*AT11/Inputs!$F$248/AT16</f>
        <v/>
      </c>
      <c r="AU38" s="13">
        <f>AT37*(AU18+Inputs!$F$71)/100*AU11/Inputs!$F$248/AU16</f>
        <v/>
      </c>
      <c r="AV38" s="13">
        <f>AU37*(AV18+Inputs!$F$71)/100*AV11/Inputs!$F$248/AV16</f>
        <v/>
      </c>
      <c r="AW38" s="13">
        <f>AV37*(AW18+Inputs!$F$71)/100*AW11/Inputs!$F$248/AW16</f>
        <v/>
      </c>
      <c r="AX38" s="13">
        <f>AW37*(AX18+Inputs!$F$71)/100*AX11/Inputs!$F$248/AX16</f>
        <v/>
      </c>
      <c r="AY38" s="13">
        <f>AX37*(AY18+Inputs!$F$71)/100*AY11/Inputs!$F$248/AY16</f>
        <v/>
      </c>
      <c r="AZ38" s="13">
        <f>AY37*(AZ18+Inputs!$F$71)/100*AZ11/Inputs!$F$248/AZ16</f>
        <v/>
      </c>
      <c r="BA38" s="13">
        <f>AZ37*(BA18+Inputs!$F$71)/100*BA11/Inputs!$F$248/BA16</f>
        <v/>
      </c>
      <c r="BB38" s="13">
        <f>BA37*(BB18+Inputs!$F$71)/100*BB11/Inputs!$F$248/BB16</f>
        <v/>
      </c>
      <c r="BC38" s="13">
        <f>BB37*(BC18+Inputs!$F$71)/100*BC11/Inputs!$F$248/BC16</f>
        <v/>
      </c>
      <c r="BD38" s="13">
        <f>BC37*(BD18+Inputs!$F$71)/100*BD11/Inputs!$F$248/BD16</f>
        <v/>
      </c>
      <c r="BE38" s="13">
        <f>BD37*(BE18+Inputs!$F$71)/100*BE11/Inputs!$F$248/BE16</f>
        <v/>
      </c>
      <c r="BF38" s="13">
        <f>BE37*(BF18+Inputs!$F$71)/100*BF11/Inputs!$F$248/BF16</f>
        <v/>
      </c>
      <c r="BG38" s="13">
        <f>BF37*(BG18+Inputs!$F$71)/100*BG11/Inputs!$F$248/BG16</f>
        <v/>
      </c>
      <c r="BH38" s="13">
        <f>BG37*(BH18+Inputs!$F$71)/100*BH11/Inputs!$F$248/BH16</f>
        <v/>
      </c>
      <c r="BI38" s="13">
        <f>BH37*(BI18+Inputs!$F$71)/100*BI11/Inputs!$F$248/BI16</f>
        <v/>
      </c>
      <c r="BJ38" s="13">
        <f>BI37*(BJ18+Inputs!$F$71)/100*BJ11/Inputs!$F$248/BJ16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N99"/>
  <sheetViews>
    <sheetView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s>
  <sheetData>
    <row r="1">
      <c r="A1" s="1" t="inlineStr">
        <is>
          <t>Case P: Belanou Combined Cycle Power Project, Republic of Kessara</t>
        </is>
      </c>
    </row>
    <row r="2">
      <c r="A2" t="inlineStr">
        <is>
          <t>Operations: macro paths, plant, revenue, operating costs, working capital</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s="2" t="inlineStr">
        <is>
          <t>Period ending</t>
        </is>
      </c>
      <c r="J5" s="4" t="inlineStr">
        <is>
          <t>2018H2</t>
        </is>
      </c>
      <c r="K5" s="4" t="inlineStr">
        <is>
          <t>2019H1</t>
        </is>
      </c>
      <c r="L5" s="4" t="inlineStr">
        <is>
          <t>2019H2</t>
        </is>
      </c>
      <c r="M5" s="4" t="inlineStr">
        <is>
          <t>2020H1</t>
        </is>
      </c>
      <c r="N5" s="4" t="inlineStr">
        <is>
          <t>2020H2</t>
        </is>
      </c>
      <c r="O5" s="4" t="inlineStr">
        <is>
          <t>2021H1</t>
        </is>
      </c>
      <c r="P5" s="4" t="inlineStr">
        <is>
          <t>2021H2</t>
        </is>
      </c>
      <c r="Q5" s="4" t="inlineStr">
        <is>
          <t>2022H1</t>
        </is>
      </c>
      <c r="R5" s="4" t="inlineStr">
        <is>
          <t>2022H2</t>
        </is>
      </c>
      <c r="S5" s="4" t="inlineStr">
        <is>
          <t>2023H1</t>
        </is>
      </c>
      <c r="T5" s="4" t="inlineStr">
        <is>
          <t>2023H2</t>
        </is>
      </c>
      <c r="U5" s="4" t="inlineStr">
        <is>
          <t>2024H1</t>
        </is>
      </c>
      <c r="V5" s="4" t="inlineStr">
        <is>
          <t>2024H2</t>
        </is>
      </c>
      <c r="W5" s="4" t="inlineStr">
        <is>
          <t>2025H1</t>
        </is>
      </c>
      <c r="X5" s="4" t="inlineStr">
        <is>
          <t>2025H2</t>
        </is>
      </c>
      <c r="Y5" s="4" t="inlineStr">
        <is>
          <t>2026H1</t>
        </is>
      </c>
      <c r="Z5" s="4" t="inlineStr">
        <is>
          <t>2026H2</t>
        </is>
      </c>
      <c r="AA5" s="4" t="inlineStr">
        <is>
          <t>2027H1</t>
        </is>
      </c>
      <c r="AB5" s="4" t="inlineStr">
        <is>
          <t>2027H2</t>
        </is>
      </c>
      <c r="AC5" s="4" t="inlineStr">
        <is>
          <t>2028H1</t>
        </is>
      </c>
      <c r="AD5" s="4" t="inlineStr">
        <is>
          <t>2028H2</t>
        </is>
      </c>
      <c r="AE5" s="4" t="inlineStr">
        <is>
          <t>2029H1</t>
        </is>
      </c>
      <c r="AF5" s="4" t="inlineStr">
        <is>
          <t>2029H2</t>
        </is>
      </c>
      <c r="AG5" s="4" t="inlineStr">
        <is>
          <t>2030H1</t>
        </is>
      </c>
      <c r="AH5" s="4" t="inlineStr">
        <is>
          <t>2030H2</t>
        </is>
      </c>
      <c r="AI5" s="4" t="inlineStr">
        <is>
          <t>2031H1</t>
        </is>
      </c>
      <c r="AJ5" s="4" t="inlineStr">
        <is>
          <t>2031H2</t>
        </is>
      </c>
      <c r="AK5" s="4" t="inlineStr">
        <is>
          <t>2032H1</t>
        </is>
      </c>
      <c r="AL5" s="4" t="inlineStr">
        <is>
          <t>2032H2</t>
        </is>
      </c>
      <c r="AM5" s="4" t="inlineStr">
        <is>
          <t>2033H1</t>
        </is>
      </c>
      <c r="AN5" s="4" t="inlineStr">
        <is>
          <t>2033H2</t>
        </is>
      </c>
      <c r="AO5" s="4" t="inlineStr">
        <is>
          <t>2034H1</t>
        </is>
      </c>
      <c r="AP5" s="4" t="inlineStr">
        <is>
          <t>2034H2</t>
        </is>
      </c>
      <c r="AQ5" s="4" t="inlineStr">
        <is>
          <t>2035H1</t>
        </is>
      </c>
      <c r="AR5" s="4" t="inlineStr">
        <is>
          <t>2035H2</t>
        </is>
      </c>
      <c r="AS5" s="4" t="inlineStr">
        <is>
          <t>2036H1</t>
        </is>
      </c>
      <c r="AT5" s="4" t="inlineStr">
        <is>
          <t>2036H2</t>
        </is>
      </c>
      <c r="AU5" s="4" t="inlineStr">
        <is>
          <t>2037H1</t>
        </is>
      </c>
      <c r="AV5" s="4" t="inlineStr">
        <is>
          <t>2037H2</t>
        </is>
      </c>
      <c r="AW5" s="4" t="inlineStr">
        <is>
          <t>2038H1</t>
        </is>
      </c>
      <c r="AX5" s="4" t="inlineStr">
        <is>
          <t>2038H2</t>
        </is>
      </c>
      <c r="AY5" s="4" t="inlineStr">
        <is>
          <t>2039H1</t>
        </is>
      </c>
      <c r="AZ5" s="4" t="inlineStr">
        <is>
          <t>2039H2</t>
        </is>
      </c>
      <c r="BA5" s="4" t="inlineStr">
        <is>
          <t>2040H1</t>
        </is>
      </c>
      <c r="BB5" s="4" t="inlineStr">
        <is>
          <t>2040H2</t>
        </is>
      </c>
      <c r="BC5" s="4" t="inlineStr">
        <is>
          <t>2041H1</t>
        </is>
      </c>
      <c r="BD5" s="4" t="inlineStr">
        <is>
          <t>2041H2</t>
        </is>
      </c>
      <c r="BE5" s="4" t="inlineStr">
        <is>
          <t>2042H1</t>
        </is>
      </c>
      <c r="BF5" s="4" t="inlineStr">
        <is>
          <t>2042H2</t>
        </is>
      </c>
      <c r="BG5" s="4" t="inlineStr">
        <is>
          <t>2043H1</t>
        </is>
      </c>
      <c r="BH5" s="4" t="inlineStr">
        <is>
          <t>2043H2</t>
        </is>
      </c>
      <c r="BI5" s="4" t="inlineStr">
        <is>
          <t>2044H1</t>
        </is>
      </c>
      <c r="BJ5" s="4" t="inlineStr">
        <is>
          <t>2044H2</t>
        </is>
      </c>
      <c r="BK5" s="4" t="inlineStr">
        <is>
          <t>2045H1</t>
        </is>
      </c>
      <c r="BL5" s="4" t="inlineStr">
        <is>
          <t>2045H2</t>
        </is>
      </c>
      <c r="BM5" s="4" t="inlineStr">
        <is>
          <t>2046H1</t>
        </is>
      </c>
      <c r="BN5" s="4" t="inlineStr">
        <is>
          <t>2046H2</t>
        </is>
      </c>
    </row>
    <row r="7">
      <c r="B7" s="2" t="inlineStr">
        <is>
          <t>Macro paths</t>
        </is>
      </c>
    </row>
    <row r="8">
      <c r="D8" t="inlineStr">
        <is>
          <t>Base rate before sensitivity shift</t>
        </is>
      </c>
      <c r="E8" t="inlineStr">
        <is>
          <t>%</t>
        </is>
      </c>
      <c r="J8" s="13">
        <f>CHOOSE(Inputs!$F$33,Inputs!J291,Inputs!J292,Inputs!J293)</f>
        <v/>
      </c>
      <c r="K8" s="13">
        <f>CHOOSE(Inputs!$F$33,Inputs!K291,Inputs!K292,Inputs!K293)</f>
        <v/>
      </c>
      <c r="L8" s="13">
        <f>CHOOSE(Inputs!$F$33,Inputs!L291,Inputs!L292,Inputs!L293)</f>
        <v/>
      </c>
      <c r="M8" s="13">
        <f>CHOOSE(Inputs!$F$33,Inputs!M291,Inputs!M292,Inputs!M293)</f>
        <v/>
      </c>
      <c r="N8" s="13">
        <f>CHOOSE(Inputs!$F$33,Inputs!N291,Inputs!N292,Inputs!N293)</f>
        <v/>
      </c>
      <c r="O8" s="13">
        <f>CHOOSE(Inputs!$F$33,Inputs!O291,Inputs!O292,Inputs!O293)</f>
        <v/>
      </c>
      <c r="P8" s="13">
        <f>CHOOSE(Inputs!$F$33,Inputs!P291,Inputs!P292,Inputs!P293)</f>
        <v/>
      </c>
      <c r="Q8" s="13">
        <f>CHOOSE(Inputs!$F$33,Inputs!Q291,Inputs!Q292,Inputs!Q293)</f>
        <v/>
      </c>
      <c r="R8" s="13">
        <f>CHOOSE(Inputs!$F$33,Inputs!R291,Inputs!R292,Inputs!R293)</f>
        <v/>
      </c>
      <c r="S8" s="13">
        <f>CHOOSE(Inputs!$F$33,Inputs!S291,Inputs!S292,Inputs!S293)</f>
        <v/>
      </c>
      <c r="T8" s="13">
        <f>CHOOSE(Inputs!$F$33,Inputs!T291,Inputs!T292,Inputs!T293)</f>
        <v/>
      </c>
      <c r="U8" s="13">
        <f>CHOOSE(Inputs!$F$33,Inputs!U291,Inputs!U292,Inputs!U293)</f>
        <v/>
      </c>
      <c r="V8" s="13">
        <f>CHOOSE(Inputs!$F$33,Inputs!V291,Inputs!V292,Inputs!V293)</f>
        <v/>
      </c>
      <c r="W8" s="13">
        <f>CHOOSE(Inputs!$F$33,Inputs!W291,Inputs!W292,Inputs!W293)</f>
        <v/>
      </c>
      <c r="X8" s="13">
        <f>CHOOSE(Inputs!$F$33,Inputs!X291,Inputs!X292,Inputs!X293)</f>
        <v/>
      </c>
      <c r="Y8" s="13">
        <f>CHOOSE(Inputs!$F$33,Inputs!Y291,Inputs!Y292,Inputs!Y293)</f>
        <v/>
      </c>
      <c r="Z8" s="13">
        <f>CHOOSE(Inputs!$F$33,Inputs!Z291,Inputs!Z292,Inputs!Z293)</f>
        <v/>
      </c>
      <c r="AA8" s="13">
        <f>CHOOSE(Inputs!$F$33,Inputs!AA291,Inputs!AA292,Inputs!AA293)</f>
        <v/>
      </c>
      <c r="AB8" s="13">
        <f>CHOOSE(Inputs!$F$33,Inputs!AB291,Inputs!AB292,Inputs!AB293)</f>
        <v/>
      </c>
      <c r="AC8" s="13">
        <f>CHOOSE(Inputs!$F$33,Inputs!AC291,Inputs!AC292,Inputs!AC293)</f>
        <v/>
      </c>
      <c r="AD8" s="13">
        <f>CHOOSE(Inputs!$F$33,Inputs!AD291,Inputs!AD292,Inputs!AD293)</f>
        <v/>
      </c>
      <c r="AE8" s="13">
        <f>CHOOSE(Inputs!$F$33,Inputs!AE291,Inputs!AE292,Inputs!AE293)</f>
        <v/>
      </c>
      <c r="AF8" s="13">
        <f>CHOOSE(Inputs!$F$33,Inputs!AF291,Inputs!AF292,Inputs!AF293)</f>
        <v/>
      </c>
      <c r="AG8" s="13">
        <f>CHOOSE(Inputs!$F$33,Inputs!AG291,Inputs!AG292,Inputs!AG293)</f>
        <v/>
      </c>
      <c r="AH8" s="13">
        <f>CHOOSE(Inputs!$F$33,Inputs!AH291,Inputs!AH292,Inputs!AH293)</f>
        <v/>
      </c>
      <c r="AI8" s="13">
        <f>CHOOSE(Inputs!$F$33,Inputs!AI291,Inputs!AI292,Inputs!AI293)</f>
        <v/>
      </c>
      <c r="AJ8" s="13">
        <f>CHOOSE(Inputs!$F$33,Inputs!AJ291,Inputs!AJ292,Inputs!AJ293)</f>
        <v/>
      </c>
      <c r="AK8" s="13">
        <f>CHOOSE(Inputs!$F$33,Inputs!AK291,Inputs!AK292,Inputs!AK293)</f>
        <v/>
      </c>
      <c r="AL8" s="13">
        <f>CHOOSE(Inputs!$F$33,Inputs!AL291,Inputs!AL292,Inputs!AL293)</f>
        <v/>
      </c>
      <c r="AM8" s="13">
        <f>CHOOSE(Inputs!$F$33,Inputs!AM291,Inputs!AM292,Inputs!AM293)</f>
        <v/>
      </c>
      <c r="AN8" s="13">
        <f>CHOOSE(Inputs!$F$33,Inputs!AN291,Inputs!AN292,Inputs!AN293)</f>
        <v/>
      </c>
      <c r="AO8" s="13">
        <f>CHOOSE(Inputs!$F$33,Inputs!AO291,Inputs!AO292,Inputs!AO293)</f>
        <v/>
      </c>
      <c r="AP8" s="13">
        <f>CHOOSE(Inputs!$F$33,Inputs!AP291,Inputs!AP292,Inputs!AP293)</f>
        <v/>
      </c>
      <c r="AQ8" s="13">
        <f>CHOOSE(Inputs!$F$33,Inputs!AQ291,Inputs!AQ292,Inputs!AQ293)</f>
        <v/>
      </c>
      <c r="AR8" s="13">
        <f>CHOOSE(Inputs!$F$33,Inputs!AR291,Inputs!AR292,Inputs!AR293)</f>
        <v/>
      </c>
      <c r="AS8" s="13">
        <f>CHOOSE(Inputs!$F$33,Inputs!AS291,Inputs!AS292,Inputs!AS293)</f>
        <v/>
      </c>
      <c r="AT8" s="13">
        <f>CHOOSE(Inputs!$F$33,Inputs!AT291,Inputs!AT292,Inputs!AT293)</f>
        <v/>
      </c>
      <c r="AU8" s="13">
        <f>CHOOSE(Inputs!$F$33,Inputs!AU291,Inputs!AU292,Inputs!AU293)</f>
        <v/>
      </c>
      <c r="AV8" s="13">
        <f>CHOOSE(Inputs!$F$33,Inputs!AV291,Inputs!AV292,Inputs!AV293)</f>
        <v/>
      </c>
      <c r="AW8" s="13">
        <f>CHOOSE(Inputs!$F$33,Inputs!AW291,Inputs!AW292,Inputs!AW293)</f>
        <v/>
      </c>
      <c r="AX8" s="13">
        <f>CHOOSE(Inputs!$F$33,Inputs!AX291,Inputs!AX292,Inputs!AX293)</f>
        <v/>
      </c>
      <c r="AY8" s="13">
        <f>CHOOSE(Inputs!$F$33,Inputs!AY291,Inputs!AY292,Inputs!AY293)</f>
        <v/>
      </c>
      <c r="AZ8" s="13">
        <f>CHOOSE(Inputs!$F$33,Inputs!AZ291,Inputs!AZ292,Inputs!AZ293)</f>
        <v/>
      </c>
      <c r="BA8" s="13">
        <f>CHOOSE(Inputs!$F$33,Inputs!BA291,Inputs!BA292,Inputs!BA293)</f>
        <v/>
      </c>
      <c r="BB8" s="13">
        <f>CHOOSE(Inputs!$F$33,Inputs!BB291,Inputs!BB292,Inputs!BB293)</f>
        <v/>
      </c>
      <c r="BC8" s="13">
        <f>CHOOSE(Inputs!$F$33,Inputs!BC291,Inputs!BC292,Inputs!BC293)</f>
        <v/>
      </c>
      <c r="BD8" s="13">
        <f>CHOOSE(Inputs!$F$33,Inputs!BD291,Inputs!BD292,Inputs!BD293)</f>
        <v/>
      </c>
      <c r="BE8" s="13">
        <f>CHOOSE(Inputs!$F$33,Inputs!BE291,Inputs!BE292,Inputs!BE293)</f>
        <v/>
      </c>
      <c r="BF8" s="13">
        <f>CHOOSE(Inputs!$F$33,Inputs!BF291,Inputs!BF292,Inputs!BF293)</f>
        <v/>
      </c>
      <c r="BG8" s="13">
        <f>CHOOSE(Inputs!$F$33,Inputs!BG291,Inputs!BG292,Inputs!BG293)</f>
        <v/>
      </c>
      <c r="BH8" s="13">
        <f>CHOOSE(Inputs!$F$33,Inputs!BH291,Inputs!BH292,Inputs!BH293)</f>
        <v/>
      </c>
      <c r="BI8" s="13">
        <f>CHOOSE(Inputs!$F$33,Inputs!BI291,Inputs!BI292,Inputs!BI293)</f>
        <v/>
      </c>
      <c r="BJ8" s="13">
        <f>CHOOSE(Inputs!$F$33,Inputs!BJ291,Inputs!BJ292,Inputs!BJ293)</f>
        <v/>
      </c>
      <c r="BK8" s="13">
        <f>CHOOSE(Inputs!$F$33,Inputs!BK291,Inputs!BK292,Inputs!BK293)</f>
        <v/>
      </c>
      <c r="BL8" s="13">
        <f>CHOOSE(Inputs!$F$33,Inputs!BL291,Inputs!BL292,Inputs!BL293)</f>
        <v/>
      </c>
      <c r="BM8" s="13">
        <f>CHOOSE(Inputs!$F$33,Inputs!BM291,Inputs!BM292,Inputs!BM293)</f>
        <v/>
      </c>
      <c r="BN8" s="13">
        <f>CHOOSE(Inputs!$F$33,Inputs!BN291,Inputs!BN292,Inputs!BN293)</f>
        <v/>
      </c>
    </row>
    <row r="9">
      <c r="D9" t="inlineStr">
        <is>
          <t>Base rate (6M LIBOR / Term SOFR + CAS)</t>
        </is>
      </c>
      <c r="E9" t="inlineStr">
        <is>
          <t>%</t>
        </is>
      </c>
      <c r="J9" s="13">
        <f>J8+Inputs!$F$42*Time!J39</f>
        <v/>
      </c>
      <c r="K9" s="13">
        <f>K8+Inputs!$F$42*Time!K39</f>
        <v/>
      </c>
      <c r="L9" s="13">
        <f>L8+Inputs!$F$42*Time!L39</f>
        <v/>
      </c>
      <c r="M9" s="13">
        <f>M8+Inputs!$F$42*Time!M39</f>
        <v/>
      </c>
      <c r="N9" s="13">
        <f>N8+Inputs!$F$42*Time!N39</f>
        <v/>
      </c>
      <c r="O9" s="13">
        <f>O8+Inputs!$F$42*Time!O39</f>
        <v/>
      </c>
      <c r="P9" s="13">
        <f>P8+Inputs!$F$42*Time!P39</f>
        <v/>
      </c>
      <c r="Q9" s="13">
        <f>Q8+Inputs!$F$42*Time!Q39</f>
        <v/>
      </c>
      <c r="R9" s="13">
        <f>R8+Inputs!$F$42*Time!R39</f>
        <v/>
      </c>
      <c r="S9" s="13">
        <f>S8+Inputs!$F$42*Time!S39</f>
        <v/>
      </c>
      <c r="T9" s="13">
        <f>T8+Inputs!$F$42*Time!T39</f>
        <v/>
      </c>
      <c r="U9" s="13">
        <f>U8+Inputs!$F$42*Time!U39</f>
        <v/>
      </c>
      <c r="V9" s="13">
        <f>V8+Inputs!$F$42*Time!V39</f>
        <v/>
      </c>
      <c r="W9" s="13">
        <f>W8+Inputs!$F$42*Time!W39</f>
        <v/>
      </c>
      <c r="X9" s="13">
        <f>X8+Inputs!$F$42*Time!X39</f>
        <v/>
      </c>
      <c r="Y9" s="13">
        <f>Y8+Inputs!$F$42*Time!Y39</f>
        <v/>
      </c>
      <c r="Z9" s="13">
        <f>Z8+Inputs!$F$42*Time!Z39</f>
        <v/>
      </c>
      <c r="AA9" s="13">
        <f>AA8+Inputs!$F$42*Time!AA39</f>
        <v/>
      </c>
      <c r="AB9" s="13">
        <f>AB8+Inputs!$F$42*Time!AB39</f>
        <v/>
      </c>
      <c r="AC9" s="13">
        <f>AC8+Inputs!$F$42*Time!AC39</f>
        <v/>
      </c>
      <c r="AD9" s="13">
        <f>AD8+Inputs!$F$42*Time!AD39</f>
        <v/>
      </c>
      <c r="AE9" s="13">
        <f>AE8+Inputs!$F$42*Time!AE39</f>
        <v/>
      </c>
      <c r="AF9" s="13">
        <f>AF8+Inputs!$F$42*Time!AF39</f>
        <v/>
      </c>
      <c r="AG9" s="13">
        <f>AG8+Inputs!$F$42*Time!AG39</f>
        <v/>
      </c>
      <c r="AH9" s="13">
        <f>AH8+Inputs!$F$42*Time!AH39</f>
        <v/>
      </c>
      <c r="AI9" s="13">
        <f>AI8+Inputs!$F$42*Time!AI39</f>
        <v/>
      </c>
      <c r="AJ9" s="13">
        <f>AJ8+Inputs!$F$42*Time!AJ39</f>
        <v/>
      </c>
      <c r="AK9" s="13">
        <f>AK8+Inputs!$F$42*Time!AK39</f>
        <v/>
      </c>
      <c r="AL9" s="13">
        <f>AL8+Inputs!$F$42*Time!AL39</f>
        <v/>
      </c>
      <c r="AM9" s="13">
        <f>AM8+Inputs!$F$42*Time!AM39</f>
        <v/>
      </c>
      <c r="AN9" s="13">
        <f>AN8+Inputs!$F$42*Time!AN39</f>
        <v/>
      </c>
      <c r="AO9" s="13">
        <f>AO8+Inputs!$F$42*Time!AO39</f>
        <v/>
      </c>
      <c r="AP9" s="13">
        <f>AP8+Inputs!$F$42*Time!AP39</f>
        <v/>
      </c>
      <c r="AQ9" s="13">
        <f>AQ8+Inputs!$F$42*Time!AQ39</f>
        <v/>
      </c>
      <c r="AR9" s="13">
        <f>AR8+Inputs!$F$42*Time!AR39</f>
        <v/>
      </c>
      <c r="AS9" s="13">
        <f>AS8+Inputs!$F$42*Time!AS39</f>
        <v/>
      </c>
      <c r="AT9" s="13">
        <f>AT8+Inputs!$F$42*Time!AT39</f>
        <v/>
      </c>
      <c r="AU9" s="13">
        <f>AU8+Inputs!$F$42*Time!AU39</f>
        <v/>
      </c>
      <c r="AV9" s="13">
        <f>AV8+Inputs!$F$42*Time!AV39</f>
        <v/>
      </c>
      <c r="AW9" s="13">
        <f>AW8+Inputs!$F$42*Time!AW39</f>
        <v/>
      </c>
      <c r="AX9" s="13">
        <f>AX8+Inputs!$F$42*Time!AX39</f>
        <v/>
      </c>
      <c r="AY9" s="13">
        <f>AY8+Inputs!$F$42*Time!AY39</f>
        <v/>
      </c>
      <c r="AZ9" s="13">
        <f>AZ8+Inputs!$F$42*Time!AZ39</f>
        <v/>
      </c>
      <c r="BA9" s="13">
        <f>BA8+Inputs!$F$42*Time!BA39</f>
        <v/>
      </c>
      <c r="BB9" s="13">
        <f>BB8+Inputs!$F$42*Time!BB39</f>
        <v/>
      </c>
      <c r="BC9" s="13">
        <f>BC8+Inputs!$F$42*Time!BC39</f>
        <v/>
      </c>
      <c r="BD9" s="13">
        <f>BD8+Inputs!$F$42*Time!BD39</f>
        <v/>
      </c>
      <c r="BE9" s="13">
        <f>BE8+Inputs!$F$42*Time!BE39</f>
        <v/>
      </c>
      <c r="BF9" s="13">
        <f>BF8+Inputs!$F$42*Time!BF39</f>
        <v/>
      </c>
      <c r="BG9" s="13">
        <f>BG8+Inputs!$F$42*Time!BG39</f>
        <v/>
      </c>
      <c r="BH9" s="13">
        <f>BH8+Inputs!$F$42*Time!BH39</f>
        <v/>
      </c>
      <c r="BI9" s="13">
        <f>BI8+Inputs!$F$42*Time!BI39</f>
        <v/>
      </c>
      <c r="BJ9" s="13">
        <f>BJ8+Inputs!$F$42*Time!BJ39</f>
        <v/>
      </c>
      <c r="BK9" s="13">
        <f>BK8+Inputs!$F$42*Time!BK39</f>
        <v/>
      </c>
      <c r="BL9" s="13">
        <f>BL8+Inputs!$F$42*Time!BL39</f>
        <v/>
      </c>
      <c r="BM9" s="13">
        <f>BM8+Inputs!$F$42*Time!BM39</f>
        <v/>
      </c>
      <c r="BN9" s="13">
        <f>BN8+Inputs!$F$42*Time!BN39</f>
        <v/>
      </c>
    </row>
    <row r="10">
      <c r="D10" t="inlineStr">
        <is>
          <t>KCR per USD before devaluation sensitivity</t>
        </is>
      </c>
      <c r="E10" t="inlineStr">
        <is>
          <t>KCR/USD</t>
        </is>
      </c>
      <c r="J10" s="13">
        <f>CHOOSE(Inputs!$F$33,Inputs!$F$60*Time!$F$16^((Time!J20-Inputs!$F$212)*Time!J24),IF(Inputs!J294&gt;0,Inputs!J294,I10*((1+J13/100)/(1+J12/100))^Time!J24),IF(Time!J54=0,Inputs!J294,I10*Time!$F$16^Time!J24))</f>
        <v/>
      </c>
      <c r="K10" s="13">
        <f>CHOOSE(Inputs!$F$33,Inputs!$F$60*Time!$F$16^((Time!K20-Inputs!$F$212)*Time!K24),IF(Inputs!K294&gt;0,Inputs!K294,J10*((1+K13/100)/(1+K12/100))^Time!K24),IF(Time!K54=0,Inputs!K294,J10*Time!$F$16^Time!K24))</f>
        <v/>
      </c>
      <c r="L10" s="13">
        <f>CHOOSE(Inputs!$F$33,Inputs!$F$60*Time!$F$16^((Time!L20-Inputs!$F$212)*Time!L24),IF(Inputs!L294&gt;0,Inputs!L294,K10*((1+L13/100)/(1+L12/100))^Time!L24),IF(Time!L54=0,Inputs!L294,K10*Time!$F$16^Time!L24))</f>
        <v/>
      </c>
      <c r="M10" s="13">
        <f>CHOOSE(Inputs!$F$33,Inputs!$F$60*Time!$F$16^((Time!M20-Inputs!$F$212)*Time!M24),IF(Inputs!M294&gt;0,Inputs!M294,L10*((1+M13/100)/(1+M12/100))^Time!M24),IF(Time!M54=0,Inputs!M294,L10*Time!$F$16^Time!M24))</f>
        <v/>
      </c>
      <c r="N10" s="13">
        <f>CHOOSE(Inputs!$F$33,Inputs!$F$60*Time!$F$16^((Time!N20-Inputs!$F$212)*Time!N24),IF(Inputs!N294&gt;0,Inputs!N294,M10*((1+N13/100)/(1+N12/100))^Time!N24),IF(Time!N54=0,Inputs!N294,M10*Time!$F$16^Time!N24))</f>
        <v/>
      </c>
      <c r="O10" s="13">
        <f>CHOOSE(Inputs!$F$33,Inputs!$F$60*Time!$F$16^((Time!O20-Inputs!$F$212)*Time!O24),IF(Inputs!O294&gt;0,Inputs!O294,N10*((1+O13/100)/(1+O12/100))^Time!O24),IF(Time!O54=0,Inputs!O294,N10*Time!$F$16^Time!O24))</f>
        <v/>
      </c>
      <c r="P10" s="13">
        <f>CHOOSE(Inputs!$F$33,Inputs!$F$60*Time!$F$16^((Time!P20-Inputs!$F$212)*Time!P24),IF(Inputs!P294&gt;0,Inputs!P294,O10*((1+P13/100)/(1+P12/100))^Time!P24),IF(Time!P54=0,Inputs!P294,O10*Time!$F$16^Time!P24))</f>
        <v/>
      </c>
      <c r="Q10" s="13">
        <f>CHOOSE(Inputs!$F$33,Inputs!$F$60*Time!$F$16^((Time!Q20-Inputs!$F$212)*Time!Q24),IF(Inputs!Q294&gt;0,Inputs!Q294,P10*((1+Q13/100)/(1+Q12/100))^Time!Q24),IF(Time!Q54=0,Inputs!Q294,P10*Time!$F$16^Time!Q24))</f>
        <v/>
      </c>
      <c r="R10" s="13">
        <f>CHOOSE(Inputs!$F$33,Inputs!$F$60*Time!$F$16^((Time!R20-Inputs!$F$212)*Time!R24),IF(Inputs!R294&gt;0,Inputs!R294,Q10*((1+R13/100)/(1+R12/100))^Time!R24),IF(Time!R54=0,Inputs!R294,Q10*Time!$F$16^Time!R24))</f>
        <v/>
      </c>
      <c r="S10" s="13">
        <f>CHOOSE(Inputs!$F$33,Inputs!$F$60*Time!$F$16^((Time!S20-Inputs!$F$212)*Time!S24),IF(Inputs!S294&gt;0,Inputs!S294,R10*((1+S13/100)/(1+S12/100))^Time!S24),IF(Time!S54=0,Inputs!S294,R10*Time!$F$16^Time!S24))</f>
        <v/>
      </c>
      <c r="T10" s="13">
        <f>CHOOSE(Inputs!$F$33,Inputs!$F$60*Time!$F$16^((Time!T20-Inputs!$F$212)*Time!T24),IF(Inputs!T294&gt;0,Inputs!T294,S10*((1+T13/100)/(1+T12/100))^Time!T24),IF(Time!T54=0,Inputs!T294,S10*Time!$F$16^Time!T24))</f>
        <v/>
      </c>
      <c r="U10" s="13">
        <f>CHOOSE(Inputs!$F$33,Inputs!$F$60*Time!$F$16^((Time!U20-Inputs!$F$212)*Time!U24),IF(Inputs!U294&gt;0,Inputs!U294,T10*((1+U13/100)/(1+U12/100))^Time!U24),IF(Time!U54=0,Inputs!U294,T10*Time!$F$16^Time!U24))</f>
        <v/>
      </c>
      <c r="V10" s="13">
        <f>CHOOSE(Inputs!$F$33,Inputs!$F$60*Time!$F$16^((Time!V20-Inputs!$F$212)*Time!V24),IF(Inputs!V294&gt;0,Inputs!V294,U10*((1+V13/100)/(1+V12/100))^Time!V24),IF(Time!V54=0,Inputs!V294,U10*Time!$F$16^Time!V24))</f>
        <v/>
      </c>
      <c r="W10" s="13">
        <f>CHOOSE(Inputs!$F$33,Inputs!$F$60*Time!$F$16^((Time!W20-Inputs!$F$212)*Time!W24),IF(Inputs!W294&gt;0,Inputs!W294,V10*((1+W13/100)/(1+W12/100))^Time!W24),IF(Time!W54=0,Inputs!W294,V10*Time!$F$16^Time!W24))</f>
        <v/>
      </c>
      <c r="X10" s="13">
        <f>CHOOSE(Inputs!$F$33,Inputs!$F$60*Time!$F$16^((Time!X20-Inputs!$F$212)*Time!X24),IF(Inputs!X294&gt;0,Inputs!X294,W10*((1+X13/100)/(1+X12/100))^Time!X24),IF(Time!X54=0,Inputs!X294,W10*Time!$F$16^Time!X24))</f>
        <v/>
      </c>
      <c r="Y10" s="13">
        <f>CHOOSE(Inputs!$F$33,Inputs!$F$60*Time!$F$16^((Time!Y20-Inputs!$F$212)*Time!Y24),IF(Inputs!Y294&gt;0,Inputs!Y294,X10*((1+Y13/100)/(1+Y12/100))^Time!Y24),IF(Time!Y54=0,Inputs!Y294,X10*Time!$F$16^Time!Y24))</f>
        <v/>
      </c>
      <c r="Z10" s="13">
        <f>CHOOSE(Inputs!$F$33,Inputs!$F$60*Time!$F$16^((Time!Z20-Inputs!$F$212)*Time!Z24),IF(Inputs!Z294&gt;0,Inputs!Z294,Y10*((1+Z13/100)/(1+Z12/100))^Time!Z24),IF(Time!Z54=0,Inputs!Z294,Y10*Time!$F$16^Time!Z24))</f>
        <v/>
      </c>
      <c r="AA10" s="13">
        <f>CHOOSE(Inputs!$F$33,Inputs!$F$60*Time!$F$16^((Time!AA20-Inputs!$F$212)*Time!AA24),IF(Inputs!AA294&gt;0,Inputs!AA294,Z10*((1+AA13/100)/(1+AA12/100))^Time!AA24),IF(Time!AA54=0,Inputs!AA294,Z10*Time!$F$16^Time!AA24))</f>
        <v/>
      </c>
      <c r="AB10" s="13">
        <f>CHOOSE(Inputs!$F$33,Inputs!$F$60*Time!$F$16^((Time!AB20-Inputs!$F$212)*Time!AB24),IF(Inputs!AB294&gt;0,Inputs!AB294,AA10*((1+AB13/100)/(1+AB12/100))^Time!AB24),IF(Time!AB54=0,Inputs!AB294,AA10*Time!$F$16^Time!AB24))</f>
        <v/>
      </c>
      <c r="AC10" s="13">
        <f>CHOOSE(Inputs!$F$33,Inputs!$F$60*Time!$F$16^((Time!AC20-Inputs!$F$212)*Time!AC24),IF(Inputs!AC294&gt;0,Inputs!AC294,AB10*((1+AC13/100)/(1+AC12/100))^Time!AC24),IF(Time!AC54=0,Inputs!AC294,AB10*Time!$F$16^Time!AC24))</f>
        <v/>
      </c>
      <c r="AD10" s="13">
        <f>CHOOSE(Inputs!$F$33,Inputs!$F$60*Time!$F$16^((Time!AD20-Inputs!$F$212)*Time!AD24),IF(Inputs!AD294&gt;0,Inputs!AD294,AC10*((1+AD13/100)/(1+AD12/100))^Time!AD24),IF(Time!AD54=0,Inputs!AD294,AC10*Time!$F$16^Time!AD24))</f>
        <v/>
      </c>
      <c r="AE10" s="13">
        <f>CHOOSE(Inputs!$F$33,Inputs!$F$60*Time!$F$16^((Time!AE20-Inputs!$F$212)*Time!AE24),IF(Inputs!AE294&gt;0,Inputs!AE294,AD10*((1+AE13/100)/(1+AE12/100))^Time!AE24),IF(Time!AE54=0,Inputs!AE294,AD10*Time!$F$16^Time!AE24))</f>
        <v/>
      </c>
      <c r="AF10" s="13">
        <f>CHOOSE(Inputs!$F$33,Inputs!$F$60*Time!$F$16^((Time!AF20-Inputs!$F$212)*Time!AF24),IF(Inputs!AF294&gt;0,Inputs!AF294,AE10*((1+AF13/100)/(1+AF12/100))^Time!AF24),IF(Time!AF54=0,Inputs!AF294,AE10*Time!$F$16^Time!AF24))</f>
        <v/>
      </c>
      <c r="AG10" s="13">
        <f>CHOOSE(Inputs!$F$33,Inputs!$F$60*Time!$F$16^((Time!AG20-Inputs!$F$212)*Time!AG24),IF(Inputs!AG294&gt;0,Inputs!AG294,AF10*((1+AG13/100)/(1+AG12/100))^Time!AG24),IF(Time!AG54=0,Inputs!AG294,AF10*Time!$F$16^Time!AG24))</f>
        <v/>
      </c>
      <c r="AH10" s="13">
        <f>CHOOSE(Inputs!$F$33,Inputs!$F$60*Time!$F$16^((Time!AH20-Inputs!$F$212)*Time!AH24),IF(Inputs!AH294&gt;0,Inputs!AH294,AG10*((1+AH13/100)/(1+AH12/100))^Time!AH24),IF(Time!AH54=0,Inputs!AH294,AG10*Time!$F$16^Time!AH24))</f>
        <v/>
      </c>
      <c r="AI10" s="13">
        <f>CHOOSE(Inputs!$F$33,Inputs!$F$60*Time!$F$16^((Time!AI20-Inputs!$F$212)*Time!AI24),IF(Inputs!AI294&gt;0,Inputs!AI294,AH10*((1+AI13/100)/(1+AI12/100))^Time!AI24),IF(Time!AI54=0,Inputs!AI294,AH10*Time!$F$16^Time!AI24))</f>
        <v/>
      </c>
      <c r="AJ10" s="13">
        <f>CHOOSE(Inputs!$F$33,Inputs!$F$60*Time!$F$16^((Time!AJ20-Inputs!$F$212)*Time!AJ24),IF(Inputs!AJ294&gt;0,Inputs!AJ294,AI10*((1+AJ13/100)/(1+AJ12/100))^Time!AJ24),IF(Time!AJ54=0,Inputs!AJ294,AI10*Time!$F$16^Time!AJ24))</f>
        <v/>
      </c>
      <c r="AK10" s="13">
        <f>CHOOSE(Inputs!$F$33,Inputs!$F$60*Time!$F$16^((Time!AK20-Inputs!$F$212)*Time!AK24),IF(Inputs!AK294&gt;0,Inputs!AK294,AJ10*((1+AK13/100)/(1+AK12/100))^Time!AK24),IF(Time!AK54=0,Inputs!AK294,AJ10*Time!$F$16^Time!AK24))</f>
        <v/>
      </c>
      <c r="AL10" s="13">
        <f>CHOOSE(Inputs!$F$33,Inputs!$F$60*Time!$F$16^((Time!AL20-Inputs!$F$212)*Time!AL24),IF(Inputs!AL294&gt;0,Inputs!AL294,AK10*((1+AL13/100)/(1+AL12/100))^Time!AL24),IF(Time!AL54=0,Inputs!AL294,AK10*Time!$F$16^Time!AL24))</f>
        <v/>
      </c>
      <c r="AM10" s="13">
        <f>CHOOSE(Inputs!$F$33,Inputs!$F$60*Time!$F$16^((Time!AM20-Inputs!$F$212)*Time!AM24),IF(Inputs!AM294&gt;0,Inputs!AM294,AL10*((1+AM13/100)/(1+AM12/100))^Time!AM24),IF(Time!AM54=0,Inputs!AM294,AL10*Time!$F$16^Time!AM24))</f>
        <v/>
      </c>
      <c r="AN10" s="13">
        <f>CHOOSE(Inputs!$F$33,Inputs!$F$60*Time!$F$16^((Time!AN20-Inputs!$F$212)*Time!AN24),IF(Inputs!AN294&gt;0,Inputs!AN294,AM10*((1+AN13/100)/(1+AN12/100))^Time!AN24),IF(Time!AN54=0,Inputs!AN294,AM10*Time!$F$16^Time!AN24))</f>
        <v/>
      </c>
      <c r="AO10" s="13">
        <f>CHOOSE(Inputs!$F$33,Inputs!$F$60*Time!$F$16^((Time!AO20-Inputs!$F$212)*Time!AO24),IF(Inputs!AO294&gt;0,Inputs!AO294,AN10*((1+AO13/100)/(1+AO12/100))^Time!AO24),IF(Time!AO54=0,Inputs!AO294,AN10*Time!$F$16^Time!AO24))</f>
        <v/>
      </c>
      <c r="AP10" s="13">
        <f>CHOOSE(Inputs!$F$33,Inputs!$F$60*Time!$F$16^((Time!AP20-Inputs!$F$212)*Time!AP24),IF(Inputs!AP294&gt;0,Inputs!AP294,AO10*((1+AP13/100)/(1+AP12/100))^Time!AP24),IF(Time!AP54=0,Inputs!AP294,AO10*Time!$F$16^Time!AP24))</f>
        <v/>
      </c>
      <c r="AQ10" s="13">
        <f>CHOOSE(Inputs!$F$33,Inputs!$F$60*Time!$F$16^((Time!AQ20-Inputs!$F$212)*Time!AQ24),IF(Inputs!AQ294&gt;0,Inputs!AQ294,AP10*((1+AQ13/100)/(1+AQ12/100))^Time!AQ24),IF(Time!AQ54=0,Inputs!AQ294,AP10*Time!$F$16^Time!AQ24))</f>
        <v/>
      </c>
      <c r="AR10" s="13">
        <f>CHOOSE(Inputs!$F$33,Inputs!$F$60*Time!$F$16^((Time!AR20-Inputs!$F$212)*Time!AR24),IF(Inputs!AR294&gt;0,Inputs!AR294,AQ10*((1+AR13/100)/(1+AR12/100))^Time!AR24),IF(Time!AR54=0,Inputs!AR294,AQ10*Time!$F$16^Time!AR24))</f>
        <v/>
      </c>
      <c r="AS10" s="13">
        <f>CHOOSE(Inputs!$F$33,Inputs!$F$60*Time!$F$16^((Time!AS20-Inputs!$F$212)*Time!AS24),IF(Inputs!AS294&gt;0,Inputs!AS294,AR10*((1+AS13/100)/(1+AS12/100))^Time!AS24),IF(Time!AS54=0,Inputs!AS294,AR10*Time!$F$16^Time!AS24))</f>
        <v/>
      </c>
      <c r="AT10" s="13">
        <f>CHOOSE(Inputs!$F$33,Inputs!$F$60*Time!$F$16^((Time!AT20-Inputs!$F$212)*Time!AT24),IF(Inputs!AT294&gt;0,Inputs!AT294,AS10*((1+AT13/100)/(1+AT12/100))^Time!AT24),IF(Time!AT54=0,Inputs!AT294,AS10*Time!$F$16^Time!AT24))</f>
        <v/>
      </c>
      <c r="AU10" s="13">
        <f>CHOOSE(Inputs!$F$33,Inputs!$F$60*Time!$F$16^((Time!AU20-Inputs!$F$212)*Time!AU24),IF(Inputs!AU294&gt;0,Inputs!AU294,AT10*((1+AU13/100)/(1+AU12/100))^Time!AU24),IF(Time!AU54=0,Inputs!AU294,AT10*Time!$F$16^Time!AU24))</f>
        <v/>
      </c>
      <c r="AV10" s="13">
        <f>CHOOSE(Inputs!$F$33,Inputs!$F$60*Time!$F$16^((Time!AV20-Inputs!$F$212)*Time!AV24),IF(Inputs!AV294&gt;0,Inputs!AV294,AU10*((1+AV13/100)/(1+AV12/100))^Time!AV24),IF(Time!AV54=0,Inputs!AV294,AU10*Time!$F$16^Time!AV24))</f>
        <v/>
      </c>
      <c r="AW10" s="13">
        <f>CHOOSE(Inputs!$F$33,Inputs!$F$60*Time!$F$16^((Time!AW20-Inputs!$F$212)*Time!AW24),IF(Inputs!AW294&gt;0,Inputs!AW294,AV10*((1+AW13/100)/(1+AW12/100))^Time!AW24),IF(Time!AW54=0,Inputs!AW294,AV10*Time!$F$16^Time!AW24))</f>
        <v/>
      </c>
      <c r="AX10" s="13">
        <f>CHOOSE(Inputs!$F$33,Inputs!$F$60*Time!$F$16^((Time!AX20-Inputs!$F$212)*Time!AX24),IF(Inputs!AX294&gt;0,Inputs!AX294,AW10*((1+AX13/100)/(1+AX12/100))^Time!AX24),IF(Time!AX54=0,Inputs!AX294,AW10*Time!$F$16^Time!AX24))</f>
        <v/>
      </c>
      <c r="AY10" s="13">
        <f>CHOOSE(Inputs!$F$33,Inputs!$F$60*Time!$F$16^((Time!AY20-Inputs!$F$212)*Time!AY24),IF(Inputs!AY294&gt;0,Inputs!AY294,AX10*((1+AY13/100)/(1+AY12/100))^Time!AY24),IF(Time!AY54=0,Inputs!AY294,AX10*Time!$F$16^Time!AY24))</f>
        <v/>
      </c>
      <c r="AZ10" s="13">
        <f>CHOOSE(Inputs!$F$33,Inputs!$F$60*Time!$F$16^((Time!AZ20-Inputs!$F$212)*Time!AZ24),IF(Inputs!AZ294&gt;0,Inputs!AZ294,AY10*((1+AZ13/100)/(1+AZ12/100))^Time!AZ24),IF(Time!AZ54=0,Inputs!AZ294,AY10*Time!$F$16^Time!AZ24))</f>
        <v/>
      </c>
      <c r="BA10" s="13">
        <f>CHOOSE(Inputs!$F$33,Inputs!$F$60*Time!$F$16^((Time!BA20-Inputs!$F$212)*Time!BA24),IF(Inputs!BA294&gt;0,Inputs!BA294,AZ10*((1+BA13/100)/(1+BA12/100))^Time!BA24),IF(Time!BA54=0,Inputs!BA294,AZ10*Time!$F$16^Time!BA24))</f>
        <v/>
      </c>
      <c r="BB10" s="13">
        <f>CHOOSE(Inputs!$F$33,Inputs!$F$60*Time!$F$16^((Time!BB20-Inputs!$F$212)*Time!BB24),IF(Inputs!BB294&gt;0,Inputs!BB294,BA10*((1+BB13/100)/(1+BB12/100))^Time!BB24),IF(Time!BB54=0,Inputs!BB294,BA10*Time!$F$16^Time!BB24))</f>
        <v/>
      </c>
      <c r="BC10" s="13">
        <f>CHOOSE(Inputs!$F$33,Inputs!$F$60*Time!$F$16^((Time!BC20-Inputs!$F$212)*Time!BC24),IF(Inputs!BC294&gt;0,Inputs!BC294,BB10*((1+BC13/100)/(1+BC12/100))^Time!BC24),IF(Time!BC54=0,Inputs!BC294,BB10*Time!$F$16^Time!BC24))</f>
        <v/>
      </c>
      <c r="BD10" s="13">
        <f>CHOOSE(Inputs!$F$33,Inputs!$F$60*Time!$F$16^((Time!BD20-Inputs!$F$212)*Time!BD24),IF(Inputs!BD294&gt;0,Inputs!BD294,BC10*((1+BD13/100)/(1+BD12/100))^Time!BD24),IF(Time!BD54=0,Inputs!BD294,BC10*Time!$F$16^Time!BD24))</f>
        <v/>
      </c>
      <c r="BE10" s="13">
        <f>CHOOSE(Inputs!$F$33,Inputs!$F$60*Time!$F$16^((Time!BE20-Inputs!$F$212)*Time!BE24),IF(Inputs!BE294&gt;0,Inputs!BE294,BD10*((1+BE13/100)/(1+BE12/100))^Time!BE24),IF(Time!BE54=0,Inputs!BE294,BD10*Time!$F$16^Time!BE24))</f>
        <v/>
      </c>
      <c r="BF10" s="13">
        <f>CHOOSE(Inputs!$F$33,Inputs!$F$60*Time!$F$16^((Time!BF20-Inputs!$F$212)*Time!BF24),IF(Inputs!BF294&gt;0,Inputs!BF294,BE10*((1+BF13/100)/(1+BF12/100))^Time!BF24),IF(Time!BF54=0,Inputs!BF294,BE10*Time!$F$16^Time!BF24))</f>
        <v/>
      </c>
      <c r="BG10" s="13">
        <f>CHOOSE(Inputs!$F$33,Inputs!$F$60*Time!$F$16^((Time!BG20-Inputs!$F$212)*Time!BG24),IF(Inputs!BG294&gt;0,Inputs!BG294,BF10*((1+BG13/100)/(1+BG12/100))^Time!BG24),IF(Time!BG54=0,Inputs!BG294,BF10*Time!$F$16^Time!BG24))</f>
        <v/>
      </c>
      <c r="BH10" s="13">
        <f>CHOOSE(Inputs!$F$33,Inputs!$F$60*Time!$F$16^((Time!BH20-Inputs!$F$212)*Time!BH24),IF(Inputs!BH294&gt;0,Inputs!BH294,BG10*((1+BH13/100)/(1+BH12/100))^Time!BH24),IF(Time!BH54=0,Inputs!BH294,BG10*Time!$F$16^Time!BH24))</f>
        <v/>
      </c>
      <c r="BI10" s="13">
        <f>CHOOSE(Inputs!$F$33,Inputs!$F$60*Time!$F$16^((Time!BI20-Inputs!$F$212)*Time!BI24),IF(Inputs!BI294&gt;0,Inputs!BI294,BH10*((1+BI13/100)/(1+BI12/100))^Time!BI24),IF(Time!BI54=0,Inputs!BI294,BH10*Time!$F$16^Time!BI24))</f>
        <v/>
      </c>
      <c r="BJ10" s="13">
        <f>CHOOSE(Inputs!$F$33,Inputs!$F$60*Time!$F$16^((Time!BJ20-Inputs!$F$212)*Time!BJ24),IF(Inputs!BJ294&gt;0,Inputs!BJ294,BI10*((1+BJ13/100)/(1+BJ12/100))^Time!BJ24),IF(Time!BJ54=0,Inputs!BJ294,BI10*Time!$F$16^Time!BJ24))</f>
        <v/>
      </c>
      <c r="BK10" s="13">
        <f>CHOOSE(Inputs!$F$33,Inputs!$F$60*Time!$F$16^((Time!BK20-Inputs!$F$212)*Time!BK24),IF(Inputs!BK294&gt;0,Inputs!BK294,BJ10*((1+BK13/100)/(1+BK12/100))^Time!BK24),IF(Time!BK54=0,Inputs!BK294,BJ10*Time!$F$16^Time!BK24))</f>
        <v/>
      </c>
      <c r="BL10" s="13">
        <f>CHOOSE(Inputs!$F$33,Inputs!$F$60*Time!$F$16^((Time!BL20-Inputs!$F$212)*Time!BL24),IF(Inputs!BL294&gt;0,Inputs!BL294,BK10*((1+BL13/100)/(1+BL12/100))^Time!BL24),IF(Time!BL54=0,Inputs!BL294,BK10*Time!$F$16^Time!BL24))</f>
        <v/>
      </c>
      <c r="BM10" s="13">
        <f>CHOOSE(Inputs!$F$33,Inputs!$F$60*Time!$F$16^((Time!BM20-Inputs!$F$212)*Time!BM24),IF(Inputs!BM294&gt;0,Inputs!BM294,BL10*((1+BM13/100)/(1+BM12/100))^Time!BM24),IF(Time!BM54=0,Inputs!BM294,BL10*Time!$F$16^Time!BM24))</f>
        <v/>
      </c>
      <c r="BN10" s="13">
        <f>CHOOSE(Inputs!$F$33,Inputs!$F$60*Time!$F$16^((Time!BN20-Inputs!$F$212)*Time!BN24),IF(Inputs!BN294&gt;0,Inputs!BN294,BM10*((1+BN13/100)/(1+BN12/100))^Time!BN24),IF(Time!BN54=0,Inputs!BN294,BM10*Time!$F$16^Time!BN24))</f>
        <v/>
      </c>
    </row>
    <row r="11">
      <c r="D11" t="inlineStr">
        <is>
          <t>KCR per USD, period average</t>
        </is>
      </c>
      <c r="E11" t="inlineStr">
        <is>
          <t>KCR/USD</t>
        </is>
      </c>
      <c r="J11" s="13">
        <f>J10/(1-Inputs!$F$43*Time!J39)</f>
        <v/>
      </c>
      <c r="K11" s="13">
        <f>K10/(1-Inputs!$F$43*Time!K39)</f>
        <v/>
      </c>
      <c r="L11" s="13">
        <f>L10/(1-Inputs!$F$43*Time!L39)</f>
        <v/>
      </c>
      <c r="M11" s="13">
        <f>M10/(1-Inputs!$F$43*Time!M39)</f>
        <v/>
      </c>
      <c r="N11" s="13">
        <f>N10/(1-Inputs!$F$43*Time!N39)</f>
        <v/>
      </c>
      <c r="O11" s="13">
        <f>O10/(1-Inputs!$F$43*Time!O39)</f>
        <v/>
      </c>
      <c r="P11" s="13">
        <f>P10/(1-Inputs!$F$43*Time!P39)</f>
        <v/>
      </c>
      <c r="Q11" s="13">
        <f>Q10/(1-Inputs!$F$43*Time!Q39)</f>
        <v/>
      </c>
      <c r="R11" s="13">
        <f>R10/(1-Inputs!$F$43*Time!R39)</f>
        <v/>
      </c>
      <c r="S11" s="13">
        <f>S10/(1-Inputs!$F$43*Time!S39)</f>
        <v/>
      </c>
      <c r="T11" s="13">
        <f>T10/(1-Inputs!$F$43*Time!T39)</f>
        <v/>
      </c>
      <c r="U11" s="13">
        <f>U10/(1-Inputs!$F$43*Time!U39)</f>
        <v/>
      </c>
      <c r="V11" s="13">
        <f>V10/(1-Inputs!$F$43*Time!V39)</f>
        <v/>
      </c>
      <c r="W11" s="13">
        <f>W10/(1-Inputs!$F$43*Time!W39)</f>
        <v/>
      </c>
      <c r="X11" s="13">
        <f>X10/(1-Inputs!$F$43*Time!X39)</f>
        <v/>
      </c>
      <c r="Y11" s="13">
        <f>Y10/(1-Inputs!$F$43*Time!Y39)</f>
        <v/>
      </c>
      <c r="Z11" s="13">
        <f>Z10/(1-Inputs!$F$43*Time!Z39)</f>
        <v/>
      </c>
      <c r="AA11" s="13">
        <f>AA10/(1-Inputs!$F$43*Time!AA39)</f>
        <v/>
      </c>
      <c r="AB11" s="13">
        <f>AB10/(1-Inputs!$F$43*Time!AB39)</f>
        <v/>
      </c>
      <c r="AC11" s="13">
        <f>AC10/(1-Inputs!$F$43*Time!AC39)</f>
        <v/>
      </c>
      <c r="AD11" s="13">
        <f>AD10/(1-Inputs!$F$43*Time!AD39)</f>
        <v/>
      </c>
      <c r="AE11" s="13">
        <f>AE10/(1-Inputs!$F$43*Time!AE39)</f>
        <v/>
      </c>
      <c r="AF11" s="13">
        <f>AF10/(1-Inputs!$F$43*Time!AF39)</f>
        <v/>
      </c>
      <c r="AG11" s="13">
        <f>AG10/(1-Inputs!$F$43*Time!AG39)</f>
        <v/>
      </c>
      <c r="AH11" s="13">
        <f>AH10/(1-Inputs!$F$43*Time!AH39)</f>
        <v/>
      </c>
      <c r="AI11" s="13">
        <f>AI10/(1-Inputs!$F$43*Time!AI39)</f>
        <v/>
      </c>
      <c r="AJ11" s="13">
        <f>AJ10/(1-Inputs!$F$43*Time!AJ39)</f>
        <v/>
      </c>
      <c r="AK11" s="13">
        <f>AK10/(1-Inputs!$F$43*Time!AK39)</f>
        <v/>
      </c>
      <c r="AL11" s="13">
        <f>AL10/(1-Inputs!$F$43*Time!AL39)</f>
        <v/>
      </c>
      <c r="AM11" s="13">
        <f>AM10/(1-Inputs!$F$43*Time!AM39)</f>
        <v/>
      </c>
      <c r="AN11" s="13">
        <f>AN10/(1-Inputs!$F$43*Time!AN39)</f>
        <v/>
      </c>
      <c r="AO11" s="13">
        <f>AO10/(1-Inputs!$F$43*Time!AO39)</f>
        <v/>
      </c>
      <c r="AP11" s="13">
        <f>AP10/(1-Inputs!$F$43*Time!AP39)</f>
        <v/>
      </c>
      <c r="AQ11" s="13">
        <f>AQ10/(1-Inputs!$F$43*Time!AQ39)</f>
        <v/>
      </c>
      <c r="AR11" s="13">
        <f>AR10/(1-Inputs!$F$43*Time!AR39)</f>
        <v/>
      </c>
      <c r="AS11" s="13">
        <f>AS10/(1-Inputs!$F$43*Time!AS39)</f>
        <v/>
      </c>
      <c r="AT11" s="13">
        <f>AT10/(1-Inputs!$F$43*Time!AT39)</f>
        <v/>
      </c>
      <c r="AU11" s="13">
        <f>AU10/(1-Inputs!$F$43*Time!AU39)</f>
        <v/>
      </c>
      <c r="AV11" s="13">
        <f>AV10/(1-Inputs!$F$43*Time!AV39)</f>
        <v/>
      </c>
      <c r="AW11" s="13">
        <f>AW10/(1-Inputs!$F$43*Time!AW39)</f>
        <v/>
      </c>
      <c r="AX11" s="13">
        <f>AX10/(1-Inputs!$F$43*Time!AX39)</f>
        <v/>
      </c>
      <c r="AY11" s="13">
        <f>AY10/(1-Inputs!$F$43*Time!AY39)</f>
        <v/>
      </c>
      <c r="AZ11" s="13">
        <f>AZ10/(1-Inputs!$F$43*Time!AZ39)</f>
        <v/>
      </c>
      <c r="BA11" s="13">
        <f>BA10/(1-Inputs!$F$43*Time!BA39)</f>
        <v/>
      </c>
      <c r="BB11" s="13">
        <f>BB10/(1-Inputs!$F$43*Time!BB39)</f>
        <v/>
      </c>
      <c r="BC11" s="13">
        <f>BC10/(1-Inputs!$F$43*Time!BC39)</f>
        <v/>
      </c>
      <c r="BD11" s="13">
        <f>BD10/(1-Inputs!$F$43*Time!BD39)</f>
        <v/>
      </c>
      <c r="BE11" s="13">
        <f>BE10/(1-Inputs!$F$43*Time!BE39)</f>
        <v/>
      </c>
      <c r="BF11" s="13">
        <f>BF10/(1-Inputs!$F$43*Time!BF39)</f>
        <v/>
      </c>
      <c r="BG11" s="13">
        <f>BG10/(1-Inputs!$F$43*Time!BG39)</f>
        <v/>
      </c>
      <c r="BH11" s="13">
        <f>BH10/(1-Inputs!$F$43*Time!BH39)</f>
        <v/>
      </c>
      <c r="BI11" s="13">
        <f>BI10/(1-Inputs!$F$43*Time!BI39)</f>
        <v/>
      </c>
      <c r="BJ11" s="13">
        <f>BJ10/(1-Inputs!$F$43*Time!BJ39)</f>
        <v/>
      </c>
      <c r="BK11" s="13">
        <f>BK10/(1-Inputs!$F$43*Time!BK39)</f>
        <v/>
      </c>
      <c r="BL11" s="13">
        <f>BL10/(1-Inputs!$F$43*Time!BL39)</f>
        <v/>
      </c>
      <c r="BM11" s="13">
        <f>BM10/(1-Inputs!$F$43*Time!BM39)</f>
        <v/>
      </c>
      <c r="BN11" s="13">
        <f>BN10/(1-Inputs!$F$43*Time!BN39)</f>
        <v/>
      </c>
    </row>
    <row r="12">
      <c r="D12" t="inlineStr">
        <is>
          <t>US CPI change, current year</t>
        </is>
      </c>
      <c r="E12" t="inlineStr">
        <is>
          <t>%</t>
        </is>
      </c>
      <c r="J12" s="13">
        <f>CHOOSE(Inputs!$F$33,INDEX(Inputs!$J$283:$AR$283,1,MATCH((Time!J26-0),Inputs!$J$282:$AR$282,0)),INDEX(Inputs!$J$285:$AR$285,1,MATCH((Time!J26-0),Inputs!$J$282:$AR$282,0)),INDEX(Inputs!$J$287:$AR$287,1,MATCH((Time!J26-0),Inputs!$J$282:$AR$282,0)))</f>
        <v/>
      </c>
      <c r="K12" s="13">
        <f>CHOOSE(Inputs!$F$33,INDEX(Inputs!$J$283:$AR$283,1,MATCH((Time!K26-0),Inputs!$J$282:$AR$282,0)),INDEX(Inputs!$J$285:$AR$285,1,MATCH((Time!K26-0),Inputs!$J$282:$AR$282,0)),INDEX(Inputs!$J$287:$AR$287,1,MATCH((Time!K26-0),Inputs!$J$282:$AR$282,0)))</f>
        <v/>
      </c>
      <c r="L12" s="13">
        <f>CHOOSE(Inputs!$F$33,INDEX(Inputs!$J$283:$AR$283,1,MATCH((Time!L26-0),Inputs!$J$282:$AR$282,0)),INDEX(Inputs!$J$285:$AR$285,1,MATCH((Time!L26-0),Inputs!$J$282:$AR$282,0)),INDEX(Inputs!$J$287:$AR$287,1,MATCH((Time!L26-0),Inputs!$J$282:$AR$282,0)))</f>
        <v/>
      </c>
      <c r="M12" s="13">
        <f>CHOOSE(Inputs!$F$33,INDEX(Inputs!$J$283:$AR$283,1,MATCH((Time!M26-0),Inputs!$J$282:$AR$282,0)),INDEX(Inputs!$J$285:$AR$285,1,MATCH((Time!M26-0),Inputs!$J$282:$AR$282,0)),INDEX(Inputs!$J$287:$AR$287,1,MATCH((Time!M26-0),Inputs!$J$282:$AR$282,0)))</f>
        <v/>
      </c>
      <c r="N12" s="13">
        <f>CHOOSE(Inputs!$F$33,INDEX(Inputs!$J$283:$AR$283,1,MATCH((Time!N26-0),Inputs!$J$282:$AR$282,0)),INDEX(Inputs!$J$285:$AR$285,1,MATCH((Time!N26-0),Inputs!$J$282:$AR$282,0)),INDEX(Inputs!$J$287:$AR$287,1,MATCH((Time!N26-0),Inputs!$J$282:$AR$282,0)))</f>
        <v/>
      </c>
      <c r="O12" s="13">
        <f>CHOOSE(Inputs!$F$33,INDEX(Inputs!$J$283:$AR$283,1,MATCH((Time!O26-0),Inputs!$J$282:$AR$282,0)),INDEX(Inputs!$J$285:$AR$285,1,MATCH((Time!O26-0),Inputs!$J$282:$AR$282,0)),INDEX(Inputs!$J$287:$AR$287,1,MATCH((Time!O26-0),Inputs!$J$282:$AR$282,0)))</f>
        <v/>
      </c>
      <c r="P12" s="13">
        <f>CHOOSE(Inputs!$F$33,INDEX(Inputs!$J$283:$AR$283,1,MATCH((Time!P26-0),Inputs!$J$282:$AR$282,0)),INDEX(Inputs!$J$285:$AR$285,1,MATCH((Time!P26-0),Inputs!$J$282:$AR$282,0)),INDEX(Inputs!$J$287:$AR$287,1,MATCH((Time!P26-0),Inputs!$J$282:$AR$282,0)))</f>
        <v/>
      </c>
      <c r="Q12" s="13">
        <f>CHOOSE(Inputs!$F$33,INDEX(Inputs!$J$283:$AR$283,1,MATCH((Time!Q26-0),Inputs!$J$282:$AR$282,0)),INDEX(Inputs!$J$285:$AR$285,1,MATCH((Time!Q26-0),Inputs!$J$282:$AR$282,0)),INDEX(Inputs!$J$287:$AR$287,1,MATCH((Time!Q26-0),Inputs!$J$282:$AR$282,0)))</f>
        <v/>
      </c>
      <c r="R12" s="13">
        <f>CHOOSE(Inputs!$F$33,INDEX(Inputs!$J$283:$AR$283,1,MATCH((Time!R26-0),Inputs!$J$282:$AR$282,0)),INDEX(Inputs!$J$285:$AR$285,1,MATCH((Time!R26-0),Inputs!$J$282:$AR$282,0)),INDEX(Inputs!$J$287:$AR$287,1,MATCH((Time!R26-0),Inputs!$J$282:$AR$282,0)))</f>
        <v/>
      </c>
      <c r="S12" s="13">
        <f>CHOOSE(Inputs!$F$33,INDEX(Inputs!$J$283:$AR$283,1,MATCH((Time!S26-0),Inputs!$J$282:$AR$282,0)),INDEX(Inputs!$J$285:$AR$285,1,MATCH((Time!S26-0),Inputs!$J$282:$AR$282,0)),INDEX(Inputs!$J$287:$AR$287,1,MATCH((Time!S26-0),Inputs!$J$282:$AR$282,0)))</f>
        <v/>
      </c>
      <c r="T12" s="13">
        <f>CHOOSE(Inputs!$F$33,INDEX(Inputs!$J$283:$AR$283,1,MATCH((Time!T26-0),Inputs!$J$282:$AR$282,0)),INDEX(Inputs!$J$285:$AR$285,1,MATCH((Time!T26-0),Inputs!$J$282:$AR$282,0)),INDEX(Inputs!$J$287:$AR$287,1,MATCH((Time!T26-0),Inputs!$J$282:$AR$282,0)))</f>
        <v/>
      </c>
      <c r="U12" s="13">
        <f>CHOOSE(Inputs!$F$33,INDEX(Inputs!$J$283:$AR$283,1,MATCH((Time!U26-0),Inputs!$J$282:$AR$282,0)),INDEX(Inputs!$J$285:$AR$285,1,MATCH((Time!U26-0),Inputs!$J$282:$AR$282,0)),INDEX(Inputs!$J$287:$AR$287,1,MATCH((Time!U26-0),Inputs!$J$282:$AR$282,0)))</f>
        <v/>
      </c>
      <c r="V12" s="13">
        <f>CHOOSE(Inputs!$F$33,INDEX(Inputs!$J$283:$AR$283,1,MATCH((Time!V26-0),Inputs!$J$282:$AR$282,0)),INDEX(Inputs!$J$285:$AR$285,1,MATCH((Time!V26-0),Inputs!$J$282:$AR$282,0)),INDEX(Inputs!$J$287:$AR$287,1,MATCH((Time!V26-0),Inputs!$J$282:$AR$282,0)))</f>
        <v/>
      </c>
      <c r="W12" s="13">
        <f>CHOOSE(Inputs!$F$33,INDEX(Inputs!$J$283:$AR$283,1,MATCH((Time!W26-0),Inputs!$J$282:$AR$282,0)),INDEX(Inputs!$J$285:$AR$285,1,MATCH((Time!W26-0),Inputs!$J$282:$AR$282,0)),INDEX(Inputs!$J$287:$AR$287,1,MATCH((Time!W26-0),Inputs!$J$282:$AR$282,0)))</f>
        <v/>
      </c>
      <c r="X12" s="13">
        <f>CHOOSE(Inputs!$F$33,INDEX(Inputs!$J$283:$AR$283,1,MATCH((Time!X26-0),Inputs!$J$282:$AR$282,0)),INDEX(Inputs!$J$285:$AR$285,1,MATCH((Time!X26-0),Inputs!$J$282:$AR$282,0)),INDEX(Inputs!$J$287:$AR$287,1,MATCH((Time!X26-0),Inputs!$J$282:$AR$282,0)))</f>
        <v/>
      </c>
      <c r="Y12" s="13">
        <f>CHOOSE(Inputs!$F$33,INDEX(Inputs!$J$283:$AR$283,1,MATCH((Time!Y26-0),Inputs!$J$282:$AR$282,0)),INDEX(Inputs!$J$285:$AR$285,1,MATCH((Time!Y26-0),Inputs!$J$282:$AR$282,0)),INDEX(Inputs!$J$287:$AR$287,1,MATCH((Time!Y26-0),Inputs!$J$282:$AR$282,0)))</f>
        <v/>
      </c>
      <c r="Z12" s="13">
        <f>CHOOSE(Inputs!$F$33,INDEX(Inputs!$J$283:$AR$283,1,MATCH((Time!Z26-0),Inputs!$J$282:$AR$282,0)),INDEX(Inputs!$J$285:$AR$285,1,MATCH((Time!Z26-0),Inputs!$J$282:$AR$282,0)),INDEX(Inputs!$J$287:$AR$287,1,MATCH((Time!Z26-0),Inputs!$J$282:$AR$282,0)))</f>
        <v/>
      </c>
      <c r="AA12" s="13">
        <f>CHOOSE(Inputs!$F$33,INDEX(Inputs!$J$283:$AR$283,1,MATCH((Time!AA26-0),Inputs!$J$282:$AR$282,0)),INDEX(Inputs!$J$285:$AR$285,1,MATCH((Time!AA26-0),Inputs!$J$282:$AR$282,0)),INDEX(Inputs!$J$287:$AR$287,1,MATCH((Time!AA26-0),Inputs!$J$282:$AR$282,0)))</f>
        <v/>
      </c>
      <c r="AB12" s="13">
        <f>CHOOSE(Inputs!$F$33,INDEX(Inputs!$J$283:$AR$283,1,MATCH((Time!AB26-0),Inputs!$J$282:$AR$282,0)),INDEX(Inputs!$J$285:$AR$285,1,MATCH((Time!AB26-0),Inputs!$J$282:$AR$282,0)),INDEX(Inputs!$J$287:$AR$287,1,MATCH((Time!AB26-0),Inputs!$J$282:$AR$282,0)))</f>
        <v/>
      </c>
      <c r="AC12" s="13">
        <f>CHOOSE(Inputs!$F$33,INDEX(Inputs!$J$283:$AR$283,1,MATCH((Time!AC26-0),Inputs!$J$282:$AR$282,0)),INDEX(Inputs!$J$285:$AR$285,1,MATCH((Time!AC26-0),Inputs!$J$282:$AR$282,0)),INDEX(Inputs!$J$287:$AR$287,1,MATCH((Time!AC26-0),Inputs!$J$282:$AR$282,0)))</f>
        <v/>
      </c>
      <c r="AD12" s="13">
        <f>CHOOSE(Inputs!$F$33,INDEX(Inputs!$J$283:$AR$283,1,MATCH((Time!AD26-0),Inputs!$J$282:$AR$282,0)),INDEX(Inputs!$J$285:$AR$285,1,MATCH((Time!AD26-0),Inputs!$J$282:$AR$282,0)),INDEX(Inputs!$J$287:$AR$287,1,MATCH((Time!AD26-0),Inputs!$J$282:$AR$282,0)))</f>
        <v/>
      </c>
      <c r="AE12" s="13">
        <f>CHOOSE(Inputs!$F$33,INDEX(Inputs!$J$283:$AR$283,1,MATCH((Time!AE26-0),Inputs!$J$282:$AR$282,0)),INDEX(Inputs!$J$285:$AR$285,1,MATCH((Time!AE26-0),Inputs!$J$282:$AR$282,0)),INDEX(Inputs!$J$287:$AR$287,1,MATCH((Time!AE26-0),Inputs!$J$282:$AR$282,0)))</f>
        <v/>
      </c>
      <c r="AF12" s="13">
        <f>CHOOSE(Inputs!$F$33,INDEX(Inputs!$J$283:$AR$283,1,MATCH((Time!AF26-0),Inputs!$J$282:$AR$282,0)),INDEX(Inputs!$J$285:$AR$285,1,MATCH((Time!AF26-0),Inputs!$J$282:$AR$282,0)),INDEX(Inputs!$J$287:$AR$287,1,MATCH((Time!AF26-0),Inputs!$J$282:$AR$282,0)))</f>
        <v/>
      </c>
      <c r="AG12" s="13">
        <f>CHOOSE(Inputs!$F$33,INDEX(Inputs!$J$283:$AR$283,1,MATCH((Time!AG26-0),Inputs!$J$282:$AR$282,0)),INDEX(Inputs!$J$285:$AR$285,1,MATCH((Time!AG26-0),Inputs!$J$282:$AR$282,0)),INDEX(Inputs!$J$287:$AR$287,1,MATCH((Time!AG26-0),Inputs!$J$282:$AR$282,0)))</f>
        <v/>
      </c>
      <c r="AH12" s="13">
        <f>CHOOSE(Inputs!$F$33,INDEX(Inputs!$J$283:$AR$283,1,MATCH((Time!AH26-0),Inputs!$J$282:$AR$282,0)),INDEX(Inputs!$J$285:$AR$285,1,MATCH((Time!AH26-0),Inputs!$J$282:$AR$282,0)),INDEX(Inputs!$J$287:$AR$287,1,MATCH((Time!AH26-0),Inputs!$J$282:$AR$282,0)))</f>
        <v/>
      </c>
      <c r="AI12" s="13">
        <f>CHOOSE(Inputs!$F$33,INDEX(Inputs!$J$283:$AR$283,1,MATCH((Time!AI26-0),Inputs!$J$282:$AR$282,0)),INDEX(Inputs!$J$285:$AR$285,1,MATCH((Time!AI26-0),Inputs!$J$282:$AR$282,0)),INDEX(Inputs!$J$287:$AR$287,1,MATCH((Time!AI26-0),Inputs!$J$282:$AR$282,0)))</f>
        <v/>
      </c>
      <c r="AJ12" s="13">
        <f>CHOOSE(Inputs!$F$33,INDEX(Inputs!$J$283:$AR$283,1,MATCH((Time!AJ26-0),Inputs!$J$282:$AR$282,0)),INDEX(Inputs!$J$285:$AR$285,1,MATCH((Time!AJ26-0),Inputs!$J$282:$AR$282,0)),INDEX(Inputs!$J$287:$AR$287,1,MATCH((Time!AJ26-0),Inputs!$J$282:$AR$282,0)))</f>
        <v/>
      </c>
      <c r="AK12" s="13">
        <f>CHOOSE(Inputs!$F$33,INDEX(Inputs!$J$283:$AR$283,1,MATCH((Time!AK26-0),Inputs!$J$282:$AR$282,0)),INDEX(Inputs!$J$285:$AR$285,1,MATCH((Time!AK26-0),Inputs!$J$282:$AR$282,0)),INDEX(Inputs!$J$287:$AR$287,1,MATCH((Time!AK26-0),Inputs!$J$282:$AR$282,0)))</f>
        <v/>
      </c>
      <c r="AL12" s="13">
        <f>CHOOSE(Inputs!$F$33,INDEX(Inputs!$J$283:$AR$283,1,MATCH((Time!AL26-0),Inputs!$J$282:$AR$282,0)),INDEX(Inputs!$J$285:$AR$285,1,MATCH((Time!AL26-0),Inputs!$J$282:$AR$282,0)),INDEX(Inputs!$J$287:$AR$287,1,MATCH((Time!AL26-0),Inputs!$J$282:$AR$282,0)))</f>
        <v/>
      </c>
      <c r="AM12" s="13">
        <f>CHOOSE(Inputs!$F$33,INDEX(Inputs!$J$283:$AR$283,1,MATCH((Time!AM26-0),Inputs!$J$282:$AR$282,0)),INDEX(Inputs!$J$285:$AR$285,1,MATCH((Time!AM26-0),Inputs!$J$282:$AR$282,0)),INDEX(Inputs!$J$287:$AR$287,1,MATCH((Time!AM26-0),Inputs!$J$282:$AR$282,0)))</f>
        <v/>
      </c>
      <c r="AN12" s="13">
        <f>CHOOSE(Inputs!$F$33,INDEX(Inputs!$J$283:$AR$283,1,MATCH((Time!AN26-0),Inputs!$J$282:$AR$282,0)),INDEX(Inputs!$J$285:$AR$285,1,MATCH((Time!AN26-0),Inputs!$J$282:$AR$282,0)),INDEX(Inputs!$J$287:$AR$287,1,MATCH((Time!AN26-0),Inputs!$J$282:$AR$282,0)))</f>
        <v/>
      </c>
      <c r="AO12" s="13">
        <f>CHOOSE(Inputs!$F$33,INDEX(Inputs!$J$283:$AR$283,1,MATCH((Time!AO26-0),Inputs!$J$282:$AR$282,0)),INDEX(Inputs!$J$285:$AR$285,1,MATCH((Time!AO26-0),Inputs!$J$282:$AR$282,0)),INDEX(Inputs!$J$287:$AR$287,1,MATCH((Time!AO26-0),Inputs!$J$282:$AR$282,0)))</f>
        <v/>
      </c>
      <c r="AP12" s="13">
        <f>CHOOSE(Inputs!$F$33,INDEX(Inputs!$J$283:$AR$283,1,MATCH((Time!AP26-0),Inputs!$J$282:$AR$282,0)),INDEX(Inputs!$J$285:$AR$285,1,MATCH((Time!AP26-0),Inputs!$J$282:$AR$282,0)),INDEX(Inputs!$J$287:$AR$287,1,MATCH((Time!AP26-0),Inputs!$J$282:$AR$282,0)))</f>
        <v/>
      </c>
      <c r="AQ12" s="13">
        <f>CHOOSE(Inputs!$F$33,INDEX(Inputs!$J$283:$AR$283,1,MATCH((Time!AQ26-0),Inputs!$J$282:$AR$282,0)),INDEX(Inputs!$J$285:$AR$285,1,MATCH((Time!AQ26-0),Inputs!$J$282:$AR$282,0)),INDEX(Inputs!$J$287:$AR$287,1,MATCH((Time!AQ26-0),Inputs!$J$282:$AR$282,0)))</f>
        <v/>
      </c>
      <c r="AR12" s="13">
        <f>CHOOSE(Inputs!$F$33,INDEX(Inputs!$J$283:$AR$283,1,MATCH((Time!AR26-0),Inputs!$J$282:$AR$282,0)),INDEX(Inputs!$J$285:$AR$285,1,MATCH((Time!AR26-0),Inputs!$J$282:$AR$282,0)),INDEX(Inputs!$J$287:$AR$287,1,MATCH((Time!AR26-0),Inputs!$J$282:$AR$282,0)))</f>
        <v/>
      </c>
      <c r="AS12" s="13">
        <f>CHOOSE(Inputs!$F$33,INDEX(Inputs!$J$283:$AR$283,1,MATCH((Time!AS26-0),Inputs!$J$282:$AR$282,0)),INDEX(Inputs!$J$285:$AR$285,1,MATCH((Time!AS26-0),Inputs!$J$282:$AR$282,0)),INDEX(Inputs!$J$287:$AR$287,1,MATCH((Time!AS26-0),Inputs!$J$282:$AR$282,0)))</f>
        <v/>
      </c>
      <c r="AT12" s="13">
        <f>CHOOSE(Inputs!$F$33,INDEX(Inputs!$J$283:$AR$283,1,MATCH((Time!AT26-0),Inputs!$J$282:$AR$282,0)),INDEX(Inputs!$J$285:$AR$285,1,MATCH((Time!AT26-0),Inputs!$J$282:$AR$282,0)),INDEX(Inputs!$J$287:$AR$287,1,MATCH((Time!AT26-0),Inputs!$J$282:$AR$282,0)))</f>
        <v/>
      </c>
      <c r="AU12" s="13">
        <f>CHOOSE(Inputs!$F$33,INDEX(Inputs!$J$283:$AR$283,1,MATCH((Time!AU26-0),Inputs!$J$282:$AR$282,0)),INDEX(Inputs!$J$285:$AR$285,1,MATCH((Time!AU26-0),Inputs!$J$282:$AR$282,0)),INDEX(Inputs!$J$287:$AR$287,1,MATCH((Time!AU26-0),Inputs!$J$282:$AR$282,0)))</f>
        <v/>
      </c>
      <c r="AV12" s="13">
        <f>CHOOSE(Inputs!$F$33,INDEX(Inputs!$J$283:$AR$283,1,MATCH((Time!AV26-0),Inputs!$J$282:$AR$282,0)),INDEX(Inputs!$J$285:$AR$285,1,MATCH((Time!AV26-0),Inputs!$J$282:$AR$282,0)),INDEX(Inputs!$J$287:$AR$287,1,MATCH((Time!AV26-0),Inputs!$J$282:$AR$282,0)))</f>
        <v/>
      </c>
      <c r="AW12" s="13">
        <f>CHOOSE(Inputs!$F$33,INDEX(Inputs!$J$283:$AR$283,1,MATCH((Time!AW26-0),Inputs!$J$282:$AR$282,0)),INDEX(Inputs!$J$285:$AR$285,1,MATCH((Time!AW26-0),Inputs!$J$282:$AR$282,0)),INDEX(Inputs!$J$287:$AR$287,1,MATCH((Time!AW26-0),Inputs!$J$282:$AR$282,0)))</f>
        <v/>
      </c>
      <c r="AX12" s="13">
        <f>CHOOSE(Inputs!$F$33,INDEX(Inputs!$J$283:$AR$283,1,MATCH((Time!AX26-0),Inputs!$J$282:$AR$282,0)),INDEX(Inputs!$J$285:$AR$285,1,MATCH((Time!AX26-0),Inputs!$J$282:$AR$282,0)),INDEX(Inputs!$J$287:$AR$287,1,MATCH((Time!AX26-0),Inputs!$J$282:$AR$282,0)))</f>
        <v/>
      </c>
      <c r="AY12" s="13">
        <f>CHOOSE(Inputs!$F$33,INDEX(Inputs!$J$283:$AR$283,1,MATCH((Time!AY26-0),Inputs!$J$282:$AR$282,0)),INDEX(Inputs!$J$285:$AR$285,1,MATCH((Time!AY26-0),Inputs!$J$282:$AR$282,0)),INDEX(Inputs!$J$287:$AR$287,1,MATCH((Time!AY26-0),Inputs!$J$282:$AR$282,0)))</f>
        <v/>
      </c>
      <c r="AZ12" s="13">
        <f>CHOOSE(Inputs!$F$33,INDEX(Inputs!$J$283:$AR$283,1,MATCH((Time!AZ26-0),Inputs!$J$282:$AR$282,0)),INDEX(Inputs!$J$285:$AR$285,1,MATCH((Time!AZ26-0),Inputs!$J$282:$AR$282,0)),INDEX(Inputs!$J$287:$AR$287,1,MATCH((Time!AZ26-0),Inputs!$J$282:$AR$282,0)))</f>
        <v/>
      </c>
      <c r="BA12" s="13">
        <f>CHOOSE(Inputs!$F$33,INDEX(Inputs!$J$283:$AR$283,1,MATCH((Time!BA26-0),Inputs!$J$282:$AR$282,0)),INDEX(Inputs!$J$285:$AR$285,1,MATCH((Time!BA26-0),Inputs!$J$282:$AR$282,0)),INDEX(Inputs!$J$287:$AR$287,1,MATCH((Time!BA26-0),Inputs!$J$282:$AR$282,0)))</f>
        <v/>
      </c>
      <c r="BB12" s="13">
        <f>CHOOSE(Inputs!$F$33,INDEX(Inputs!$J$283:$AR$283,1,MATCH((Time!BB26-0),Inputs!$J$282:$AR$282,0)),INDEX(Inputs!$J$285:$AR$285,1,MATCH((Time!BB26-0),Inputs!$J$282:$AR$282,0)),INDEX(Inputs!$J$287:$AR$287,1,MATCH((Time!BB26-0),Inputs!$J$282:$AR$282,0)))</f>
        <v/>
      </c>
      <c r="BC12" s="13">
        <f>CHOOSE(Inputs!$F$33,INDEX(Inputs!$J$283:$AR$283,1,MATCH((Time!BC26-0),Inputs!$J$282:$AR$282,0)),INDEX(Inputs!$J$285:$AR$285,1,MATCH((Time!BC26-0),Inputs!$J$282:$AR$282,0)),INDEX(Inputs!$J$287:$AR$287,1,MATCH((Time!BC26-0),Inputs!$J$282:$AR$282,0)))</f>
        <v/>
      </c>
      <c r="BD12" s="13">
        <f>CHOOSE(Inputs!$F$33,INDEX(Inputs!$J$283:$AR$283,1,MATCH((Time!BD26-0),Inputs!$J$282:$AR$282,0)),INDEX(Inputs!$J$285:$AR$285,1,MATCH((Time!BD26-0),Inputs!$J$282:$AR$282,0)),INDEX(Inputs!$J$287:$AR$287,1,MATCH((Time!BD26-0),Inputs!$J$282:$AR$282,0)))</f>
        <v/>
      </c>
      <c r="BE12" s="13">
        <f>CHOOSE(Inputs!$F$33,INDEX(Inputs!$J$283:$AR$283,1,MATCH((Time!BE26-0),Inputs!$J$282:$AR$282,0)),INDEX(Inputs!$J$285:$AR$285,1,MATCH((Time!BE26-0),Inputs!$J$282:$AR$282,0)),INDEX(Inputs!$J$287:$AR$287,1,MATCH((Time!BE26-0),Inputs!$J$282:$AR$282,0)))</f>
        <v/>
      </c>
      <c r="BF12" s="13">
        <f>CHOOSE(Inputs!$F$33,INDEX(Inputs!$J$283:$AR$283,1,MATCH((Time!BF26-0),Inputs!$J$282:$AR$282,0)),INDEX(Inputs!$J$285:$AR$285,1,MATCH((Time!BF26-0),Inputs!$J$282:$AR$282,0)),INDEX(Inputs!$J$287:$AR$287,1,MATCH((Time!BF26-0),Inputs!$J$282:$AR$282,0)))</f>
        <v/>
      </c>
      <c r="BG12" s="13">
        <f>CHOOSE(Inputs!$F$33,INDEX(Inputs!$J$283:$AR$283,1,MATCH((Time!BG26-0),Inputs!$J$282:$AR$282,0)),INDEX(Inputs!$J$285:$AR$285,1,MATCH((Time!BG26-0),Inputs!$J$282:$AR$282,0)),INDEX(Inputs!$J$287:$AR$287,1,MATCH((Time!BG26-0),Inputs!$J$282:$AR$282,0)))</f>
        <v/>
      </c>
      <c r="BH12" s="13">
        <f>CHOOSE(Inputs!$F$33,INDEX(Inputs!$J$283:$AR$283,1,MATCH((Time!BH26-0),Inputs!$J$282:$AR$282,0)),INDEX(Inputs!$J$285:$AR$285,1,MATCH((Time!BH26-0),Inputs!$J$282:$AR$282,0)),INDEX(Inputs!$J$287:$AR$287,1,MATCH((Time!BH26-0),Inputs!$J$282:$AR$282,0)))</f>
        <v/>
      </c>
      <c r="BI12" s="13">
        <f>CHOOSE(Inputs!$F$33,INDEX(Inputs!$J$283:$AR$283,1,MATCH((Time!BI26-0),Inputs!$J$282:$AR$282,0)),INDEX(Inputs!$J$285:$AR$285,1,MATCH((Time!BI26-0),Inputs!$J$282:$AR$282,0)),INDEX(Inputs!$J$287:$AR$287,1,MATCH((Time!BI26-0),Inputs!$J$282:$AR$282,0)))</f>
        <v/>
      </c>
      <c r="BJ12" s="13">
        <f>CHOOSE(Inputs!$F$33,INDEX(Inputs!$J$283:$AR$283,1,MATCH((Time!BJ26-0),Inputs!$J$282:$AR$282,0)),INDEX(Inputs!$J$285:$AR$285,1,MATCH((Time!BJ26-0),Inputs!$J$282:$AR$282,0)),INDEX(Inputs!$J$287:$AR$287,1,MATCH((Time!BJ26-0),Inputs!$J$282:$AR$282,0)))</f>
        <v/>
      </c>
      <c r="BK12" s="13">
        <f>CHOOSE(Inputs!$F$33,INDEX(Inputs!$J$283:$AR$283,1,MATCH((Time!BK26-0),Inputs!$J$282:$AR$282,0)),INDEX(Inputs!$J$285:$AR$285,1,MATCH((Time!BK26-0),Inputs!$J$282:$AR$282,0)),INDEX(Inputs!$J$287:$AR$287,1,MATCH((Time!BK26-0),Inputs!$J$282:$AR$282,0)))</f>
        <v/>
      </c>
      <c r="BL12" s="13">
        <f>CHOOSE(Inputs!$F$33,INDEX(Inputs!$J$283:$AR$283,1,MATCH((Time!BL26-0),Inputs!$J$282:$AR$282,0)),INDEX(Inputs!$J$285:$AR$285,1,MATCH((Time!BL26-0),Inputs!$J$282:$AR$282,0)),INDEX(Inputs!$J$287:$AR$287,1,MATCH((Time!BL26-0),Inputs!$J$282:$AR$282,0)))</f>
        <v/>
      </c>
      <c r="BM12" s="13">
        <f>CHOOSE(Inputs!$F$33,INDEX(Inputs!$J$283:$AR$283,1,MATCH((Time!BM26-0),Inputs!$J$282:$AR$282,0)),INDEX(Inputs!$J$285:$AR$285,1,MATCH((Time!BM26-0),Inputs!$J$282:$AR$282,0)),INDEX(Inputs!$J$287:$AR$287,1,MATCH((Time!BM26-0),Inputs!$J$282:$AR$282,0)))</f>
        <v/>
      </c>
      <c r="BN12" s="13">
        <f>CHOOSE(Inputs!$F$33,INDEX(Inputs!$J$283:$AR$283,1,MATCH((Time!BN26-0),Inputs!$J$282:$AR$282,0)),INDEX(Inputs!$J$285:$AR$285,1,MATCH((Time!BN26-0),Inputs!$J$282:$AR$282,0)),INDEX(Inputs!$J$287:$AR$287,1,MATCH((Time!BN26-0),Inputs!$J$282:$AR$282,0)))</f>
        <v/>
      </c>
    </row>
    <row r="13">
      <c r="D13" t="inlineStr">
        <is>
          <t>Kessara CPI change, current year</t>
        </is>
      </c>
      <c r="E13" t="inlineStr">
        <is>
          <t>%</t>
        </is>
      </c>
      <c r="J13" s="13">
        <f>CHOOSE(Inputs!$F$33,INDEX(Inputs!$J$284:$AR$284,1,MATCH((Time!J26-0),Inputs!$J$282:$AR$282,0)),INDEX(Inputs!$J$286:$AR$286,1,MATCH((Time!J26-0),Inputs!$J$282:$AR$282,0)),INDEX(Inputs!$J$288:$AR$288,1,MATCH((Time!J26-0),Inputs!$J$282:$AR$282,0)))</f>
        <v/>
      </c>
      <c r="K13" s="13">
        <f>CHOOSE(Inputs!$F$33,INDEX(Inputs!$J$284:$AR$284,1,MATCH((Time!K26-0),Inputs!$J$282:$AR$282,0)),INDEX(Inputs!$J$286:$AR$286,1,MATCH((Time!K26-0),Inputs!$J$282:$AR$282,0)),INDEX(Inputs!$J$288:$AR$288,1,MATCH((Time!K26-0),Inputs!$J$282:$AR$282,0)))</f>
        <v/>
      </c>
      <c r="L13" s="13">
        <f>CHOOSE(Inputs!$F$33,INDEX(Inputs!$J$284:$AR$284,1,MATCH((Time!L26-0),Inputs!$J$282:$AR$282,0)),INDEX(Inputs!$J$286:$AR$286,1,MATCH((Time!L26-0),Inputs!$J$282:$AR$282,0)),INDEX(Inputs!$J$288:$AR$288,1,MATCH((Time!L26-0),Inputs!$J$282:$AR$282,0)))</f>
        <v/>
      </c>
      <c r="M13" s="13">
        <f>CHOOSE(Inputs!$F$33,INDEX(Inputs!$J$284:$AR$284,1,MATCH((Time!M26-0),Inputs!$J$282:$AR$282,0)),INDEX(Inputs!$J$286:$AR$286,1,MATCH((Time!M26-0),Inputs!$J$282:$AR$282,0)),INDEX(Inputs!$J$288:$AR$288,1,MATCH((Time!M26-0),Inputs!$J$282:$AR$282,0)))</f>
        <v/>
      </c>
      <c r="N13" s="13">
        <f>CHOOSE(Inputs!$F$33,INDEX(Inputs!$J$284:$AR$284,1,MATCH((Time!N26-0),Inputs!$J$282:$AR$282,0)),INDEX(Inputs!$J$286:$AR$286,1,MATCH((Time!N26-0),Inputs!$J$282:$AR$282,0)),INDEX(Inputs!$J$288:$AR$288,1,MATCH((Time!N26-0),Inputs!$J$282:$AR$282,0)))</f>
        <v/>
      </c>
      <c r="O13" s="13">
        <f>CHOOSE(Inputs!$F$33,INDEX(Inputs!$J$284:$AR$284,1,MATCH((Time!O26-0),Inputs!$J$282:$AR$282,0)),INDEX(Inputs!$J$286:$AR$286,1,MATCH((Time!O26-0),Inputs!$J$282:$AR$282,0)),INDEX(Inputs!$J$288:$AR$288,1,MATCH((Time!O26-0),Inputs!$J$282:$AR$282,0)))</f>
        <v/>
      </c>
      <c r="P13" s="13">
        <f>CHOOSE(Inputs!$F$33,INDEX(Inputs!$J$284:$AR$284,1,MATCH((Time!P26-0),Inputs!$J$282:$AR$282,0)),INDEX(Inputs!$J$286:$AR$286,1,MATCH((Time!P26-0),Inputs!$J$282:$AR$282,0)),INDEX(Inputs!$J$288:$AR$288,1,MATCH((Time!P26-0),Inputs!$J$282:$AR$282,0)))</f>
        <v/>
      </c>
      <c r="Q13" s="13">
        <f>CHOOSE(Inputs!$F$33,INDEX(Inputs!$J$284:$AR$284,1,MATCH((Time!Q26-0),Inputs!$J$282:$AR$282,0)),INDEX(Inputs!$J$286:$AR$286,1,MATCH((Time!Q26-0),Inputs!$J$282:$AR$282,0)),INDEX(Inputs!$J$288:$AR$288,1,MATCH((Time!Q26-0),Inputs!$J$282:$AR$282,0)))</f>
        <v/>
      </c>
      <c r="R13" s="13">
        <f>CHOOSE(Inputs!$F$33,INDEX(Inputs!$J$284:$AR$284,1,MATCH((Time!R26-0),Inputs!$J$282:$AR$282,0)),INDEX(Inputs!$J$286:$AR$286,1,MATCH((Time!R26-0),Inputs!$J$282:$AR$282,0)),INDEX(Inputs!$J$288:$AR$288,1,MATCH((Time!R26-0),Inputs!$J$282:$AR$282,0)))</f>
        <v/>
      </c>
      <c r="S13" s="13">
        <f>CHOOSE(Inputs!$F$33,INDEX(Inputs!$J$284:$AR$284,1,MATCH((Time!S26-0),Inputs!$J$282:$AR$282,0)),INDEX(Inputs!$J$286:$AR$286,1,MATCH((Time!S26-0),Inputs!$J$282:$AR$282,0)),INDEX(Inputs!$J$288:$AR$288,1,MATCH((Time!S26-0),Inputs!$J$282:$AR$282,0)))</f>
        <v/>
      </c>
      <c r="T13" s="13">
        <f>CHOOSE(Inputs!$F$33,INDEX(Inputs!$J$284:$AR$284,1,MATCH((Time!T26-0),Inputs!$J$282:$AR$282,0)),INDEX(Inputs!$J$286:$AR$286,1,MATCH((Time!T26-0),Inputs!$J$282:$AR$282,0)),INDEX(Inputs!$J$288:$AR$288,1,MATCH((Time!T26-0),Inputs!$J$282:$AR$282,0)))</f>
        <v/>
      </c>
      <c r="U13" s="13">
        <f>CHOOSE(Inputs!$F$33,INDEX(Inputs!$J$284:$AR$284,1,MATCH((Time!U26-0),Inputs!$J$282:$AR$282,0)),INDEX(Inputs!$J$286:$AR$286,1,MATCH((Time!U26-0),Inputs!$J$282:$AR$282,0)),INDEX(Inputs!$J$288:$AR$288,1,MATCH((Time!U26-0),Inputs!$J$282:$AR$282,0)))</f>
        <v/>
      </c>
      <c r="V13" s="13">
        <f>CHOOSE(Inputs!$F$33,INDEX(Inputs!$J$284:$AR$284,1,MATCH((Time!V26-0),Inputs!$J$282:$AR$282,0)),INDEX(Inputs!$J$286:$AR$286,1,MATCH((Time!V26-0),Inputs!$J$282:$AR$282,0)),INDEX(Inputs!$J$288:$AR$288,1,MATCH((Time!V26-0),Inputs!$J$282:$AR$282,0)))</f>
        <v/>
      </c>
      <c r="W13" s="13">
        <f>CHOOSE(Inputs!$F$33,INDEX(Inputs!$J$284:$AR$284,1,MATCH((Time!W26-0),Inputs!$J$282:$AR$282,0)),INDEX(Inputs!$J$286:$AR$286,1,MATCH((Time!W26-0),Inputs!$J$282:$AR$282,0)),INDEX(Inputs!$J$288:$AR$288,1,MATCH((Time!W26-0),Inputs!$J$282:$AR$282,0)))</f>
        <v/>
      </c>
      <c r="X13" s="13">
        <f>CHOOSE(Inputs!$F$33,INDEX(Inputs!$J$284:$AR$284,1,MATCH((Time!X26-0),Inputs!$J$282:$AR$282,0)),INDEX(Inputs!$J$286:$AR$286,1,MATCH((Time!X26-0),Inputs!$J$282:$AR$282,0)),INDEX(Inputs!$J$288:$AR$288,1,MATCH((Time!X26-0),Inputs!$J$282:$AR$282,0)))</f>
        <v/>
      </c>
      <c r="Y13" s="13">
        <f>CHOOSE(Inputs!$F$33,INDEX(Inputs!$J$284:$AR$284,1,MATCH((Time!Y26-0),Inputs!$J$282:$AR$282,0)),INDEX(Inputs!$J$286:$AR$286,1,MATCH((Time!Y26-0),Inputs!$J$282:$AR$282,0)),INDEX(Inputs!$J$288:$AR$288,1,MATCH((Time!Y26-0),Inputs!$J$282:$AR$282,0)))</f>
        <v/>
      </c>
      <c r="Z13" s="13">
        <f>CHOOSE(Inputs!$F$33,INDEX(Inputs!$J$284:$AR$284,1,MATCH((Time!Z26-0),Inputs!$J$282:$AR$282,0)),INDEX(Inputs!$J$286:$AR$286,1,MATCH((Time!Z26-0),Inputs!$J$282:$AR$282,0)),INDEX(Inputs!$J$288:$AR$288,1,MATCH((Time!Z26-0),Inputs!$J$282:$AR$282,0)))</f>
        <v/>
      </c>
      <c r="AA13" s="13">
        <f>CHOOSE(Inputs!$F$33,INDEX(Inputs!$J$284:$AR$284,1,MATCH((Time!AA26-0),Inputs!$J$282:$AR$282,0)),INDEX(Inputs!$J$286:$AR$286,1,MATCH((Time!AA26-0),Inputs!$J$282:$AR$282,0)),INDEX(Inputs!$J$288:$AR$288,1,MATCH((Time!AA26-0),Inputs!$J$282:$AR$282,0)))</f>
        <v/>
      </c>
      <c r="AB13" s="13">
        <f>CHOOSE(Inputs!$F$33,INDEX(Inputs!$J$284:$AR$284,1,MATCH((Time!AB26-0),Inputs!$J$282:$AR$282,0)),INDEX(Inputs!$J$286:$AR$286,1,MATCH((Time!AB26-0),Inputs!$J$282:$AR$282,0)),INDEX(Inputs!$J$288:$AR$288,1,MATCH((Time!AB26-0),Inputs!$J$282:$AR$282,0)))</f>
        <v/>
      </c>
      <c r="AC13" s="13">
        <f>CHOOSE(Inputs!$F$33,INDEX(Inputs!$J$284:$AR$284,1,MATCH((Time!AC26-0),Inputs!$J$282:$AR$282,0)),INDEX(Inputs!$J$286:$AR$286,1,MATCH((Time!AC26-0),Inputs!$J$282:$AR$282,0)),INDEX(Inputs!$J$288:$AR$288,1,MATCH((Time!AC26-0),Inputs!$J$282:$AR$282,0)))</f>
        <v/>
      </c>
      <c r="AD13" s="13">
        <f>CHOOSE(Inputs!$F$33,INDEX(Inputs!$J$284:$AR$284,1,MATCH((Time!AD26-0),Inputs!$J$282:$AR$282,0)),INDEX(Inputs!$J$286:$AR$286,1,MATCH((Time!AD26-0),Inputs!$J$282:$AR$282,0)),INDEX(Inputs!$J$288:$AR$288,1,MATCH((Time!AD26-0),Inputs!$J$282:$AR$282,0)))</f>
        <v/>
      </c>
      <c r="AE13" s="13">
        <f>CHOOSE(Inputs!$F$33,INDEX(Inputs!$J$284:$AR$284,1,MATCH((Time!AE26-0),Inputs!$J$282:$AR$282,0)),INDEX(Inputs!$J$286:$AR$286,1,MATCH((Time!AE26-0),Inputs!$J$282:$AR$282,0)),INDEX(Inputs!$J$288:$AR$288,1,MATCH((Time!AE26-0),Inputs!$J$282:$AR$282,0)))</f>
        <v/>
      </c>
      <c r="AF13" s="13">
        <f>CHOOSE(Inputs!$F$33,INDEX(Inputs!$J$284:$AR$284,1,MATCH((Time!AF26-0),Inputs!$J$282:$AR$282,0)),INDEX(Inputs!$J$286:$AR$286,1,MATCH((Time!AF26-0),Inputs!$J$282:$AR$282,0)),INDEX(Inputs!$J$288:$AR$288,1,MATCH((Time!AF26-0),Inputs!$J$282:$AR$282,0)))</f>
        <v/>
      </c>
      <c r="AG13" s="13">
        <f>CHOOSE(Inputs!$F$33,INDEX(Inputs!$J$284:$AR$284,1,MATCH((Time!AG26-0),Inputs!$J$282:$AR$282,0)),INDEX(Inputs!$J$286:$AR$286,1,MATCH((Time!AG26-0),Inputs!$J$282:$AR$282,0)),INDEX(Inputs!$J$288:$AR$288,1,MATCH((Time!AG26-0),Inputs!$J$282:$AR$282,0)))</f>
        <v/>
      </c>
      <c r="AH13" s="13">
        <f>CHOOSE(Inputs!$F$33,INDEX(Inputs!$J$284:$AR$284,1,MATCH((Time!AH26-0),Inputs!$J$282:$AR$282,0)),INDEX(Inputs!$J$286:$AR$286,1,MATCH((Time!AH26-0),Inputs!$J$282:$AR$282,0)),INDEX(Inputs!$J$288:$AR$288,1,MATCH((Time!AH26-0),Inputs!$J$282:$AR$282,0)))</f>
        <v/>
      </c>
      <c r="AI13" s="13">
        <f>CHOOSE(Inputs!$F$33,INDEX(Inputs!$J$284:$AR$284,1,MATCH((Time!AI26-0),Inputs!$J$282:$AR$282,0)),INDEX(Inputs!$J$286:$AR$286,1,MATCH((Time!AI26-0),Inputs!$J$282:$AR$282,0)),INDEX(Inputs!$J$288:$AR$288,1,MATCH((Time!AI26-0),Inputs!$J$282:$AR$282,0)))</f>
        <v/>
      </c>
      <c r="AJ13" s="13">
        <f>CHOOSE(Inputs!$F$33,INDEX(Inputs!$J$284:$AR$284,1,MATCH((Time!AJ26-0),Inputs!$J$282:$AR$282,0)),INDEX(Inputs!$J$286:$AR$286,1,MATCH((Time!AJ26-0),Inputs!$J$282:$AR$282,0)),INDEX(Inputs!$J$288:$AR$288,1,MATCH((Time!AJ26-0),Inputs!$J$282:$AR$282,0)))</f>
        <v/>
      </c>
      <c r="AK13" s="13">
        <f>CHOOSE(Inputs!$F$33,INDEX(Inputs!$J$284:$AR$284,1,MATCH((Time!AK26-0),Inputs!$J$282:$AR$282,0)),INDEX(Inputs!$J$286:$AR$286,1,MATCH((Time!AK26-0),Inputs!$J$282:$AR$282,0)),INDEX(Inputs!$J$288:$AR$288,1,MATCH((Time!AK26-0),Inputs!$J$282:$AR$282,0)))</f>
        <v/>
      </c>
      <c r="AL13" s="13">
        <f>CHOOSE(Inputs!$F$33,INDEX(Inputs!$J$284:$AR$284,1,MATCH((Time!AL26-0),Inputs!$J$282:$AR$282,0)),INDEX(Inputs!$J$286:$AR$286,1,MATCH((Time!AL26-0),Inputs!$J$282:$AR$282,0)),INDEX(Inputs!$J$288:$AR$288,1,MATCH((Time!AL26-0),Inputs!$J$282:$AR$282,0)))</f>
        <v/>
      </c>
      <c r="AM13" s="13">
        <f>CHOOSE(Inputs!$F$33,INDEX(Inputs!$J$284:$AR$284,1,MATCH((Time!AM26-0),Inputs!$J$282:$AR$282,0)),INDEX(Inputs!$J$286:$AR$286,1,MATCH((Time!AM26-0),Inputs!$J$282:$AR$282,0)),INDEX(Inputs!$J$288:$AR$288,1,MATCH((Time!AM26-0),Inputs!$J$282:$AR$282,0)))</f>
        <v/>
      </c>
      <c r="AN13" s="13">
        <f>CHOOSE(Inputs!$F$33,INDEX(Inputs!$J$284:$AR$284,1,MATCH((Time!AN26-0),Inputs!$J$282:$AR$282,0)),INDEX(Inputs!$J$286:$AR$286,1,MATCH((Time!AN26-0),Inputs!$J$282:$AR$282,0)),INDEX(Inputs!$J$288:$AR$288,1,MATCH((Time!AN26-0),Inputs!$J$282:$AR$282,0)))</f>
        <v/>
      </c>
      <c r="AO13" s="13">
        <f>CHOOSE(Inputs!$F$33,INDEX(Inputs!$J$284:$AR$284,1,MATCH((Time!AO26-0),Inputs!$J$282:$AR$282,0)),INDEX(Inputs!$J$286:$AR$286,1,MATCH((Time!AO26-0),Inputs!$J$282:$AR$282,0)),INDEX(Inputs!$J$288:$AR$288,1,MATCH((Time!AO26-0),Inputs!$J$282:$AR$282,0)))</f>
        <v/>
      </c>
      <c r="AP13" s="13">
        <f>CHOOSE(Inputs!$F$33,INDEX(Inputs!$J$284:$AR$284,1,MATCH((Time!AP26-0),Inputs!$J$282:$AR$282,0)),INDEX(Inputs!$J$286:$AR$286,1,MATCH((Time!AP26-0),Inputs!$J$282:$AR$282,0)),INDEX(Inputs!$J$288:$AR$288,1,MATCH((Time!AP26-0),Inputs!$J$282:$AR$282,0)))</f>
        <v/>
      </c>
      <c r="AQ13" s="13">
        <f>CHOOSE(Inputs!$F$33,INDEX(Inputs!$J$284:$AR$284,1,MATCH((Time!AQ26-0),Inputs!$J$282:$AR$282,0)),INDEX(Inputs!$J$286:$AR$286,1,MATCH((Time!AQ26-0),Inputs!$J$282:$AR$282,0)),INDEX(Inputs!$J$288:$AR$288,1,MATCH((Time!AQ26-0),Inputs!$J$282:$AR$282,0)))</f>
        <v/>
      </c>
      <c r="AR13" s="13">
        <f>CHOOSE(Inputs!$F$33,INDEX(Inputs!$J$284:$AR$284,1,MATCH((Time!AR26-0),Inputs!$J$282:$AR$282,0)),INDEX(Inputs!$J$286:$AR$286,1,MATCH((Time!AR26-0),Inputs!$J$282:$AR$282,0)),INDEX(Inputs!$J$288:$AR$288,1,MATCH((Time!AR26-0),Inputs!$J$282:$AR$282,0)))</f>
        <v/>
      </c>
      <c r="AS13" s="13">
        <f>CHOOSE(Inputs!$F$33,INDEX(Inputs!$J$284:$AR$284,1,MATCH((Time!AS26-0),Inputs!$J$282:$AR$282,0)),INDEX(Inputs!$J$286:$AR$286,1,MATCH((Time!AS26-0),Inputs!$J$282:$AR$282,0)),INDEX(Inputs!$J$288:$AR$288,1,MATCH((Time!AS26-0),Inputs!$J$282:$AR$282,0)))</f>
        <v/>
      </c>
      <c r="AT13" s="13">
        <f>CHOOSE(Inputs!$F$33,INDEX(Inputs!$J$284:$AR$284,1,MATCH((Time!AT26-0),Inputs!$J$282:$AR$282,0)),INDEX(Inputs!$J$286:$AR$286,1,MATCH((Time!AT26-0),Inputs!$J$282:$AR$282,0)),INDEX(Inputs!$J$288:$AR$288,1,MATCH((Time!AT26-0),Inputs!$J$282:$AR$282,0)))</f>
        <v/>
      </c>
      <c r="AU13" s="13">
        <f>CHOOSE(Inputs!$F$33,INDEX(Inputs!$J$284:$AR$284,1,MATCH((Time!AU26-0),Inputs!$J$282:$AR$282,0)),INDEX(Inputs!$J$286:$AR$286,1,MATCH((Time!AU26-0),Inputs!$J$282:$AR$282,0)),INDEX(Inputs!$J$288:$AR$288,1,MATCH((Time!AU26-0),Inputs!$J$282:$AR$282,0)))</f>
        <v/>
      </c>
      <c r="AV13" s="13">
        <f>CHOOSE(Inputs!$F$33,INDEX(Inputs!$J$284:$AR$284,1,MATCH((Time!AV26-0),Inputs!$J$282:$AR$282,0)),INDEX(Inputs!$J$286:$AR$286,1,MATCH((Time!AV26-0),Inputs!$J$282:$AR$282,0)),INDEX(Inputs!$J$288:$AR$288,1,MATCH((Time!AV26-0),Inputs!$J$282:$AR$282,0)))</f>
        <v/>
      </c>
      <c r="AW13" s="13">
        <f>CHOOSE(Inputs!$F$33,INDEX(Inputs!$J$284:$AR$284,1,MATCH((Time!AW26-0),Inputs!$J$282:$AR$282,0)),INDEX(Inputs!$J$286:$AR$286,1,MATCH((Time!AW26-0),Inputs!$J$282:$AR$282,0)),INDEX(Inputs!$J$288:$AR$288,1,MATCH((Time!AW26-0),Inputs!$J$282:$AR$282,0)))</f>
        <v/>
      </c>
      <c r="AX13" s="13">
        <f>CHOOSE(Inputs!$F$33,INDEX(Inputs!$J$284:$AR$284,1,MATCH((Time!AX26-0),Inputs!$J$282:$AR$282,0)),INDEX(Inputs!$J$286:$AR$286,1,MATCH((Time!AX26-0),Inputs!$J$282:$AR$282,0)),INDEX(Inputs!$J$288:$AR$288,1,MATCH((Time!AX26-0),Inputs!$J$282:$AR$282,0)))</f>
        <v/>
      </c>
      <c r="AY13" s="13">
        <f>CHOOSE(Inputs!$F$33,INDEX(Inputs!$J$284:$AR$284,1,MATCH((Time!AY26-0),Inputs!$J$282:$AR$282,0)),INDEX(Inputs!$J$286:$AR$286,1,MATCH((Time!AY26-0),Inputs!$J$282:$AR$282,0)),INDEX(Inputs!$J$288:$AR$288,1,MATCH((Time!AY26-0),Inputs!$J$282:$AR$282,0)))</f>
        <v/>
      </c>
      <c r="AZ13" s="13">
        <f>CHOOSE(Inputs!$F$33,INDEX(Inputs!$J$284:$AR$284,1,MATCH((Time!AZ26-0),Inputs!$J$282:$AR$282,0)),INDEX(Inputs!$J$286:$AR$286,1,MATCH((Time!AZ26-0),Inputs!$J$282:$AR$282,0)),INDEX(Inputs!$J$288:$AR$288,1,MATCH((Time!AZ26-0),Inputs!$J$282:$AR$282,0)))</f>
        <v/>
      </c>
      <c r="BA13" s="13">
        <f>CHOOSE(Inputs!$F$33,INDEX(Inputs!$J$284:$AR$284,1,MATCH((Time!BA26-0),Inputs!$J$282:$AR$282,0)),INDEX(Inputs!$J$286:$AR$286,1,MATCH((Time!BA26-0),Inputs!$J$282:$AR$282,0)),INDEX(Inputs!$J$288:$AR$288,1,MATCH((Time!BA26-0),Inputs!$J$282:$AR$282,0)))</f>
        <v/>
      </c>
      <c r="BB13" s="13">
        <f>CHOOSE(Inputs!$F$33,INDEX(Inputs!$J$284:$AR$284,1,MATCH((Time!BB26-0),Inputs!$J$282:$AR$282,0)),INDEX(Inputs!$J$286:$AR$286,1,MATCH((Time!BB26-0),Inputs!$J$282:$AR$282,0)),INDEX(Inputs!$J$288:$AR$288,1,MATCH((Time!BB26-0),Inputs!$J$282:$AR$282,0)))</f>
        <v/>
      </c>
      <c r="BC13" s="13">
        <f>CHOOSE(Inputs!$F$33,INDEX(Inputs!$J$284:$AR$284,1,MATCH((Time!BC26-0),Inputs!$J$282:$AR$282,0)),INDEX(Inputs!$J$286:$AR$286,1,MATCH((Time!BC26-0),Inputs!$J$282:$AR$282,0)),INDEX(Inputs!$J$288:$AR$288,1,MATCH((Time!BC26-0),Inputs!$J$282:$AR$282,0)))</f>
        <v/>
      </c>
      <c r="BD13" s="13">
        <f>CHOOSE(Inputs!$F$33,INDEX(Inputs!$J$284:$AR$284,1,MATCH((Time!BD26-0),Inputs!$J$282:$AR$282,0)),INDEX(Inputs!$J$286:$AR$286,1,MATCH((Time!BD26-0),Inputs!$J$282:$AR$282,0)),INDEX(Inputs!$J$288:$AR$288,1,MATCH((Time!BD26-0),Inputs!$J$282:$AR$282,0)))</f>
        <v/>
      </c>
      <c r="BE13" s="13">
        <f>CHOOSE(Inputs!$F$33,INDEX(Inputs!$J$284:$AR$284,1,MATCH((Time!BE26-0),Inputs!$J$282:$AR$282,0)),INDEX(Inputs!$J$286:$AR$286,1,MATCH((Time!BE26-0),Inputs!$J$282:$AR$282,0)),INDEX(Inputs!$J$288:$AR$288,1,MATCH((Time!BE26-0),Inputs!$J$282:$AR$282,0)))</f>
        <v/>
      </c>
      <c r="BF13" s="13">
        <f>CHOOSE(Inputs!$F$33,INDEX(Inputs!$J$284:$AR$284,1,MATCH((Time!BF26-0),Inputs!$J$282:$AR$282,0)),INDEX(Inputs!$J$286:$AR$286,1,MATCH((Time!BF26-0),Inputs!$J$282:$AR$282,0)),INDEX(Inputs!$J$288:$AR$288,1,MATCH((Time!BF26-0),Inputs!$J$282:$AR$282,0)))</f>
        <v/>
      </c>
      <c r="BG13" s="13">
        <f>CHOOSE(Inputs!$F$33,INDEX(Inputs!$J$284:$AR$284,1,MATCH((Time!BG26-0),Inputs!$J$282:$AR$282,0)),INDEX(Inputs!$J$286:$AR$286,1,MATCH((Time!BG26-0),Inputs!$J$282:$AR$282,0)),INDEX(Inputs!$J$288:$AR$288,1,MATCH((Time!BG26-0),Inputs!$J$282:$AR$282,0)))</f>
        <v/>
      </c>
      <c r="BH13" s="13">
        <f>CHOOSE(Inputs!$F$33,INDEX(Inputs!$J$284:$AR$284,1,MATCH((Time!BH26-0),Inputs!$J$282:$AR$282,0)),INDEX(Inputs!$J$286:$AR$286,1,MATCH((Time!BH26-0),Inputs!$J$282:$AR$282,0)),INDEX(Inputs!$J$288:$AR$288,1,MATCH((Time!BH26-0),Inputs!$J$282:$AR$282,0)))</f>
        <v/>
      </c>
      <c r="BI13" s="13">
        <f>CHOOSE(Inputs!$F$33,INDEX(Inputs!$J$284:$AR$284,1,MATCH((Time!BI26-0),Inputs!$J$282:$AR$282,0)),INDEX(Inputs!$J$286:$AR$286,1,MATCH((Time!BI26-0),Inputs!$J$282:$AR$282,0)),INDEX(Inputs!$J$288:$AR$288,1,MATCH((Time!BI26-0),Inputs!$J$282:$AR$282,0)))</f>
        <v/>
      </c>
      <c r="BJ13" s="13">
        <f>CHOOSE(Inputs!$F$33,INDEX(Inputs!$J$284:$AR$284,1,MATCH((Time!BJ26-0),Inputs!$J$282:$AR$282,0)),INDEX(Inputs!$J$286:$AR$286,1,MATCH((Time!BJ26-0),Inputs!$J$282:$AR$282,0)),INDEX(Inputs!$J$288:$AR$288,1,MATCH((Time!BJ26-0),Inputs!$J$282:$AR$282,0)))</f>
        <v/>
      </c>
      <c r="BK13" s="13">
        <f>CHOOSE(Inputs!$F$33,INDEX(Inputs!$J$284:$AR$284,1,MATCH((Time!BK26-0),Inputs!$J$282:$AR$282,0)),INDEX(Inputs!$J$286:$AR$286,1,MATCH((Time!BK26-0),Inputs!$J$282:$AR$282,0)),INDEX(Inputs!$J$288:$AR$288,1,MATCH((Time!BK26-0),Inputs!$J$282:$AR$282,0)))</f>
        <v/>
      </c>
      <c r="BL13" s="13">
        <f>CHOOSE(Inputs!$F$33,INDEX(Inputs!$J$284:$AR$284,1,MATCH((Time!BL26-0),Inputs!$J$282:$AR$282,0)),INDEX(Inputs!$J$286:$AR$286,1,MATCH((Time!BL26-0),Inputs!$J$282:$AR$282,0)),INDEX(Inputs!$J$288:$AR$288,1,MATCH((Time!BL26-0),Inputs!$J$282:$AR$282,0)))</f>
        <v/>
      </c>
      <c r="BM13" s="13">
        <f>CHOOSE(Inputs!$F$33,INDEX(Inputs!$J$284:$AR$284,1,MATCH((Time!BM26-0),Inputs!$J$282:$AR$282,0)),INDEX(Inputs!$J$286:$AR$286,1,MATCH((Time!BM26-0),Inputs!$J$282:$AR$282,0)),INDEX(Inputs!$J$288:$AR$288,1,MATCH((Time!BM26-0),Inputs!$J$282:$AR$282,0)))</f>
        <v/>
      </c>
      <c r="BN13" s="13">
        <f>CHOOSE(Inputs!$F$33,INDEX(Inputs!$J$284:$AR$284,1,MATCH((Time!BN26-0),Inputs!$J$282:$AR$282,0)),INDEX(Inputs!$J$286:$AR$286,1,MATCH((Time!BN26-0),Inputs!$J$282:$AR$282,0)),INDEX(Inputs!$J$288:$AR$288,1,MATCH((Time!BN26-0),Inputs!$J$282:$AR$282,0)))</f>
        <v/>
      </c>
    </row>
    <row r="14">
      <c r="D14" t="inlineStr">
        <is>
          <t>US CPI change, prior year</t>
        </is>
      </c>
      <c r="E14" t="inlineStr">
        <is>
          <t>%</t>
        </is>
      </c>
      <c r="J14" s="13">
        <f>CHOOSE(Inputs!$F$33,INDEX(Inputs!$J$283:$AR$283,1,MATCH((Time!J26-1),Inputs!$J$282:$AR$282,0)),INDEX(Inputs!$J$285:$AR$285,1,MATCH((Time!J26-1),Inputs!$J$282:$AR$282,0)),INDEX(Inputs!$J$287:$AR$287,1,MATCH((Time!J26-1),Inputs!$J$282:$AR$282,0)))</f>
        <v/>
      </c>
      <c r="K14" s="13">
        <f>CHOOSE(Inputs!$F$33,INDEX(Inputs!$J$283:$AR$283,1,MATCH((Time!K26-1),Inputs!$J$282:$AR$282,0)),INDEX(Inputs!$J$285:$AR$285,1,MATCH((Time!K26-1),Inputs!$J$282:$AR$282,0)),INDEX(Inputs!$J$287:$AR$287,1,MATCH((Time!K26-1),Inputs!$J$282:$AR$282,0)))</f>
        <v/>
      </c>
      <c r="L14" s="13">
        <f>CHOOSE(Inputs!$F$33,INDEX(Inputs!$J$283:$AR$283,1,MATCH((Time!L26-1),Inputs!$J$282:$AR$282,0)),INDEX(Inputs!$J$285:$AR$285,1,MATCH((Time!L26-1),Inputs!$J$282:$AR$282,0)),INDEX(Inputs!$J$287:$AR$287,1,MATCH((Time!L26-1),Inputs!$J$282:$AR$282,0)))</f>
        <v/>
      </c>
      <c r="M14" s="13">
        <f>CHOOSE(Inputs!$F$33,INDEX(Inputs!$J$283:$AR$283,1,MATCH((Time!M26-1),Inputs!$J$282:$AR$282,0)),INDEX(Inputs!$J$285:$AR$285,1,MATCH((Time!M26-1),Inputs!$J$282:$AR$282,0)),INDEX(Inputs!$J$287:$AR$287,1,MATCH((Time!M26-1),Inputs!$J$282:$AR$282,0)))</f>
        <v/>
      </c>
      <c r="N14" s="13">
        <f>CHOOSE(Inputs!$F$33,INDEX(Inputs!$J$283:$AR$283,1,MATCH((Time!N26-1),Inputs!$J$282:$AR$282,0)),INDEX(Inputs!$J$285:$AR$285,1,MATCH((Time!N26-1),Inputs!$J$282:$AR$282,0)),INDEX(Inputs!$J$287:$AR$287,1,MATCH((Time!N26-1),Inputs!$J$282:$AR$282,0)))</f>
        <v/>
      </c>
      <c r="O14" s="13">
        <f>CHOOSE(Inputs!$F$33,INDEX(Inputs!$J$283:$AR$283,1,MATCH((Time!O26-1),Inputs!$J$282:$AR$282,0)),INDEX(Inputs!$J$285:$AR$285,1,MATCH((Time!O26-1),Inputs!$J$282:$AR$282,0)),INDEX(Inputs!$J$287:$AR$287,1,MATCH((Time!O26-1),Inputs!$J$282:$AR$282,0)))</f>
        <v/>
      </c>
      <c r="P14" s="13">
        <f>CHOOSE(Inputs!$F$33,INDEX(Inputs!$J$283:$AR$283,1,MATCH((Time!P26-1),Inputs!$J$282:$AR$282,0)),INDEX(Inputs!$J$285:$AR$285,1,MATCH((Time!P26-1),Inputs!$J$282:$AR$282,0)),INDEX(Inputs!$J$287:$AR$287,1,MATCH((Time!P26-1),Inputs!$J$282:$AR$282,0)))</f>
        <v/>
      </c>
      <c r="Q14" s="13">
        <f>CHOOSE(Inputs!$F$33,INDEX(Inputs!$J$283:$AR$283,1,MATCH((Time!Q26-1),Inputs!$J$282:$AR$282,0)),INDEX(Inputs!$J$285:$AR$285,1,MATCH((Time!Q26-1),Inputs!$J$282:$AR$282,0)),INDEX(Inputs!$J$287:$AR$287,1,MATCH((Time!Q26-1),Inputs!$J$282:$AR$282,0)))</f>
        <v/>
      </c>
      <c r="R14" s="13">
        <f>CHOOSE(Inputs!$F$33,INDEX(Inputs!$J$283:$AR$283,1,MATCH((Time!R26-1),Inputs!$J$282:$AR$282,0)),INDEX(Inputs!$J$285:$AR$285,1,MATCH((Time!R26-1),Inputs!$J$282:$AR$282,0)),INDEX(Inputs!$J$287:$AR$287,1,MATCH((Time!R26-1),Inputs!$J$282:$AR$282,0)))</f>
        <v/>
      </c>
      <c r="S14" s="13">
        <f>CHOOSE(Inputs!$F$33,INDEX(Inputs!$J$283:$AR$283,1,MATCH((Time!S26-1),Inputs!$J$282:$AR$282,0)),INDEX(Inputs!$J$285:$AR$285,1,MATCH((Time!S26-1),Inputs!$J$282:$AR$282,0)),INDEX(Inputs!$J$287:$AR$287,1,MATCH((Time!S26-1),Inputs!$J$282:$AR$282,0)))</f>
        <v/>
      </c>
      <c r="T14" s="13">
        <f>CHOOSE(Inputs!$F$33,INDEX(Inputs!$J$283:$AR$283,1,MATCH((Time!T26-1),Inputs!$J$282:$AR$282,0)),INDEX(Inputs!$J$285:$AR$285,1,MATCH((Time!T26-1),Inputs!$J$282:$AR$282,0)),INDEX(Inputs!$J$287:$AR$287,1,MATCH((Time!T26-1),Inputs!$J$282:$AR$282,0)))</f>
        <v/>
      </c>
      <c r="U14" s="13">
        <f>CHOOSE(Inputs!$F$33,INDEX(Inputs!$J$283:$AR$283,1,MATCH((Time!U26-1),Inputs!$J$282:$AR$282,0)),INDEX(Inputs!$J$285:$AR$285,1,MATCH((Time!U26-1),Inputs!$J$282:$AR$282,0)),INDEX(Inputs!$J$287:$AR$287,1,MATCH((Time!U26-1),Inputs!$J$282:$AR$282,0)))</f>
        <v/>
      </c>
      <c r="V14" s="13">
        <f>CHOOSE(Inputs!$F$33,INDEX(Inputs!$J$283:$AR$283,1,MATCH((Time!V26-1),Inputs!$J$282:$AR$282,0)),INDEX(Inputs!$J$285:$AR$285,1,MATCH((Time!V26-1),Inputs!$J$282:$AR$282,0)),INDEX(Inputs!$J$287:$AR$287,1,MATCH((Time!V26-1),Inputs!$J$282:$AR$282,0)))</f>
        <v/>
      </c>
      <c r="W14" s="13">
        <f>CHOOSE(Inputs!$F$33,INDEX(Inputs!$J$283:$AR$283,1,MATCH((Time!W26-1),Inputs!$J$282:$AR$282,0)),INDEX(Inputs!$J$285:$AR$285,1,MATCH((Time!W26-1),Inputs!$J$282:$AR$282,0)),INDEX(Inputs!$J$287:$AR$287,1,MATCH((Time!W26-1),Inputs!$J$282:$AR$282,0)))</f>
        <v/>
      </c>
      <c r="X14" s="13">
        <f>CHOOSE(Inputs!$F$33,INDEX(Inputs!$J$283:$AR$283,1,MATCH((Time!X26-1),Inputs!$J$282:$AR$282,0)),INDEX(Inputs!$J$285:$AR$285,1,MATCH((Time!X26-1),Inputs!$J$282:$AR$282,0)),INDEX(Inputs!$J$287:$AR$287,1,MATCH((Time!X26-1),Inputs!$J$282:$AR$282,0)))</f>
        <v/>
      </c>
      <c r="Y14" s="13">
        <f>CHOOSE(Inputs!$F$33,INDEX(Inputs!$J$283:$AR$283,1,MATCH((Time!Y26-1),Inputs!$J$282:$AR$282,0)),INDEX(Inputs!$J$285:$AR$285,1,MATCH((Time!Y26-1),Inputs!$J$282:$AR$282,0)),INDEX(Inputs!$J$287:$AR$287,1,MATCH((Time!Y26-1),Inputs!$J$282:$AR$282,0)))</f>
        <v/>
      </c>
      <c r="Z14" s="13">
        <f>CHOOSE(Inputs!$F$33,INDEX(Inputs!$J$283:$AR$283,1,MATCH((Time!Z26-1),Inputs!$J$282:$AR$282,0)),INDEX(Inputs!$J$285:$AR$285,1,MATCH((Time!Z26-1),Inputs!$J$282:$AR$282,0)),INDEX(Inputs!$J$287:$AR$287,1,MATCH((Time!Z26-1),Inputs!$J$282:$AR$282,0)))</f>
        <v/>
      </c>
      <c r="AA14" s="13">
        <f>CHOOSE(Inputs!$F$33,INDEX(Inputs!$J$283:$AR$283,1,MATCH((Time!AA26-1),Inputs!$J$282:$AR$282,0)),INDEX(Inputs!$J$285:$AR$285,1,MATCH((Time!AA26-1),Inputs!$J$282:$AR$282,0)),INDEX(Inputs!$J$287:$AR$287,1,MATCH((Time!AA26-1),Inputs!$J$282:$AR$282,0)))</f>
        <v/>
      </c>
      <c r="AB14" s="13">
        <f>CHOOSE(Inputs!$F$33,INDEX(Inputs!$J$283:$AR$283,1,MATCH((Time!AB26-1),Inputs!$J$282:$AR$282,0)),INDEX(Inputs!$J$285:$AR$285,1,MATCH((Time!AB26-1),Inputs!$J$282:$AR$282,0)),INDEX(Inputs!$J$287:$AR$287,1,MATCH((Time!AB26-1),Inputs!$J$282:$AR$282,0)))</f>
        <v/>
      </c>
      <c r="AC14" s="13">
        <f>CHOOSE(Inputs!$F$33,INDEX(Inputs!$J$283:$AR$283,1,MATCH((Time!AC26-1),Inputs!$J$282:$AR$282,0)),INDEX(Inputs!$J$285:$AR$285,1,MATCH((Time!AC26-1),Inputs!$J$282:$AR$282,0)),INDEX(Inputs!$J$287:$AR$287,1,MATCH((Time!AC26-1),Inputs!$J$282:$AR$282,0)))</f>
        <v/>
      </c>
      <c r="AD14" s="13">
        <f>CHOOSE(Inputs!$F$33,INDEX(Inputs!$J$283:$AR$283,1,MATCH((Time!AD26-1),Inputs!$J$282:$AR$282,0)),INDEX(Inputs!$J$285:$AR$285,1,MATCH((Time!AD26-1),Inputs!$J$282:$AR$282,0)),INDEX(Inputs!$J$287:$AR$287,1,MATCH((Time!AD26-1),Inputs!$J$282:$AR$282,0)))</f>
        <v/>
      </c>
      <c r="AE14" s="13">
        <f>CHOOSE(Inputs!$F$33,INDEX(Inputs!$J$283:$AR$283,1,MATCH((Time!AE26-1),Inputs!$J$282:$AR$282,0)),INDEX(Inputs!$J$285:$AR$285,1,MATCH((Time!AE26-1),Inputs!$J$282:$AR$282,0)),INDEX(Inputs!$J$287:$AR$287,1,MATCH((Time!AE26-1),Inputs!$J$282:$AR$282,0)))</f>
        <v/>
      </c>
      <c r="AF14" s="13">
        <f>CHOOSE(Inputs!$F$33,INDEX(Inputs!$J$283:$AR$283,1,MATCH((Time!AF26-1),Inputs!$J$282:$AR$282,0)),INDEX(Inputs!$J$285:$AR$285,1,MATCH((Time!AF26-1),Inputs!$J$282:$AR$282,0)),INDEX(Inputs!$J$287:$AR$287,1,MATCH((Time!AF26-1),Inputs!$J$282:$AR$282,0)))</f>
        <v/>
      </c>
      <c r="AG14" s="13">
        <f>CHOOSE(Inputs!$F$33,INDEX(Inputs!$J$283:$AR$283,1,MATCH((Time!AG26-1),Inputs!$J$282:$AR$282,0)),INDEX(Inputs!$J$285:$AR$285,1,MATCH((Time!AG26-1),Inputs!$J$282:$AR$282,0)),INDEX(Inputs!$J$287:$AR$287,1,MATCH((Time!AG26-1),Inputs!$J$282:$AR$282,0)))</f>
        <v/>
      </c>
      <c r="AH14" s="13">
        <f>CHOOSE(Inputs!$F$33,INDEX(Inputs!$J$283:$AR$283,1,MATCH((Time!AH26-1),Inputs!$J$282:$AR$282,0)),INDEX(Inputs!$J$285:$AR$285,1,MATCH((Time!AH26-1),Inputs!$J$282:$AR$282,0)),INDEX(Inputs!$J$287:$AR$287,1,MATCH((Time!AH26-1),Inputs!$J$282:$AR$282,0)))</f>
        <v/>
      </c>
      <c r="AI14" s="13">
        <f>CHOOSE(Inputs!$F$33,INDEX(Inputs!$J$283:$AR$283,1,MATCH((Time!AI26-1),Inputs!$J$282:$AR$282,0)),INDEX(Inputs!$J$285:$AR$285,1,MATCH((Time!AI26-1),Inputs!$J$282:$AR$282,0)),INDEX(Inputs!$J$287:$AR$287,1,MATCH((Time!AI26-1),Inputs!$J$282:$AR$282,0)))</f>
        <v/>
      </c>
      <c r="AJ14" s="13">
        <f>CHOOSE(Inputs!$F$33,INDEX(Inputs!$J$283:$AR$283,1,MATCH((Time!AJ26-1),Inputs!$J$282:$AR$282,0)),INDEX(Inputs!$J$285:$AR$285,1,MATCH((Time!AJ26-1),Inputs!$J$282:$AR$282,0)),INDEX(Inputs!$J$287:$AR$287,1,MATCH((Time!AJ26-1),Inputs!$J$282:$AR$282,0)))</f>
        <v/>
      </c>
      <c r="AK14" s="13">
        <f>CHOOSE(Inputs!$F$33,INDEX(Inputs!$J$283:$AR$283,1,MATCH((Time!AK26-1),Inputs!$J$282:$AR$282,0)),INDEX(Inputs!$J$285:$AR$285,1,MATCH((Time!AK26-1),Inputs!$J$282:$AR$282,0)),INDEX(Inputs!$J$287:$AR$287,1,MATCH((Time!AK26-1),Inputs!$J$282:$AR$282,0)))</f>
        <v/>
      </c>
      <c r="AL14" s="13">
        <f>CHOOSE(Inputs!$F$33,INDEX(Inputs!$J$283:$AR$283,1,MATCH((Time!AL26-1),Inputs!$J$282:$AR$282,0)),INDEX(Inputs!$J$285:$AR$285,1,MATCH((Time!AL26-1),Inputs!$J$282:$AR$282,0)),INDEX(Inputs!$J$287:$AR$287,1,MATCH((Time!AL26-1),Inputs!$J$282:$AR$282,0)))</f>
        <v/>
      </c>
      <c r="AM14" s="13">
        <f>CHOOSE(Inputs!$F$33,INDEX(Inputs!$J$283:$AR$283,1,MATCH((Time!AM26-1),Inputs!$J$282:$AR$282,0)),INDEX(Inputs!$J$285:$AR$285,1,MATCH((Time!AM26-1),Inputs!$J$282:$AR$282,0)),INDEX(Inputs!$J$287:$AR$287,1,MATCH((Time!AM26-1),Inputs!$J$282:$AR$282,0)))</f>
        <v/>
      </c>
      <c r="AN14" s="13">
        <f>CHOOSE(Inputs!$F$33,INDEX(Inputs!$J$283:$AR$283,1,MATCH((Time!AN26-1),Inputs!$J$282:$AR$282,0)),INDEX(Inputs!$J$285:$AR$285,1,MATCH((Time!AN26-1),Inputs!$J$282:$AR$282,0)),INDEX(Inputs!$J$287:$AR$287,1,MATCH((Time!AN26-1),Inputs!$J$282:$AR$282,0)))</f>
        <v/>
      </c>
      <c r="AO14" s="13">
        <f>CHOOSE(Inputs!$F$33,INDEX(Inputs!$J$283:$AR$283,1,MATCH((Time!AO26-1),Inputs!$J$282:$AR$282,0)),INDEX(Inputs!$J$285:$AR$285,1,MATCH((Time!AO26-1),Inputs!$J$282:$AR$282,0)),INDEX(Inputs!$J$287:$AR$287,1,MATCH((Time!AO26-1),Inputs!$J$282:$AR$282,0)))</f>
        <v/>
      </c>
      <c r="AP14" s="13">
        <f>CHOOSE(Inputs!$F$33,INDEX(Inputs!$J$283:$AR$283,1,MATCH((Time!AP26-1),Inputs!$J$282:$AR$282,0)),INDEX(Inputs!$J$285:$AR$285,1,MATCH((Time!AP26-1),Inputs!$J$282:$AR$282,0)),INDEX(Inputs!$J$287:$AR$287,1,MATCH((Time!AP26-1),Inputs!$J$282:$AR$282,0)))</f>
        <v/>
      </c>
      <c r="AQ14" s="13">
        <f>CHOOSE(Inputs!$F$33,INDEX(Inputs!$J$283:$AR$283,1,MATCH((Time!AQ26-1),Inputs!$J$282:$AR$282,0)),INDEX(Inputs!$J$285:$AR$285,1,MATCH((Time!AQ26-1),Inputs!$J$282:$AR$282,0)),INDEX(Inputs!$J$287:$AR$287,1,MATCH((Time!AQ26-1),Inputs!$J$282:$AR$282,0)))</f>
        <v/>
      </c>
      <c r="AR14" s="13">
        <f>CHOOSE(Inputs!$F$33,INDEX(Inputs!$J$283:$AR$283,1,MATCH((Time!AR26-1),Inputs!$J$282:$AR$282,0)),INDEX(Inputs!$J$285:$AR$285,1,MATCH((Time!AR26-1),Inputs!$J$282:$AR$282,0)),INDEX(Inputs!$J$287:$AR$287,1,MATCH((Time!AR26-1),Inputs!$J$282:$AR$282,0)))</f>
        <v/>
      </c>
      <c r="AS14" s="13">
        <f>CHOOSE(Inputs!$F$33,INDEX(Inputs!$J$283:$AR$283,1,MATCH((Time!AS26-1),Inputs!$J$282:$AR$282,0)),INDEX(Inputs!$J$285:$AR$285,1,MATCH((Time!AS26-1),Inputs!$J$282:$AR$282,0)),INDEX(Inputs!$J$287:$AR$287,1,MATCH((Time!AS26-1),Inputs!$J$282:$AR$282,0)))</f>
        <v/>
      </c>
      <c r="AT14" s="13">
        <f>CHOOSE(Inputs!$F$33,INDEX(Inputs!$J$283:$AR$283,1,MATCH((Time!AT26-1),Inputs!$J$282:$AR$282,0)),INDEX(Inputs!$J$285:$AR$285,1,MATCH((Time!AT26-1),Inputs!$J$282:$AR$282,0)),INDEX(Inputs!$J$287:$AR$287,1,MATCH((Time!AT26-1),Inputs!$J$282:$AR$282,0)))</f>
        <v/>
      </c>
      <c r="AU14" s="13">
        <f>CHOOSE(Inputs!$F$33,INDEX(Inputs!$J$283:$AR$283,1,MATCH((Time!AU26-1),Inputs!$J$282:$AR$282,0)),INDEX(Inputs!$J$285:$AR$285,1,MATCH((Time!AU26-1),Inputs!$J$282:$AR$282,0)),INDEX(Inputs!$J$287:$AR$287,1,MATCH((Time!AU26-1),Inputs!$J$282:$AR$282,0)))</f>
        <v/>
      </c>
      <c r="AV14" s="13">
        <f>CHOOSE(Inputs!$F$33,INDEX(Inputs!$J$283:$AR$283,1,MATCH((Time!AV26-1),Inputs!$J$282:$AR$282,0)),INDEX(Inputs!$J$285:$AR$285,1,MATCH((Time!AV26-1),Inputs!$J$282:$AR$282,0)),INDEX(Inputs!$J$287:$AR$287,1,MATCH((Time!AV26-1),Inputs!$J$282:$AR$282,0)))</f>
        <v/>
      </c>
      <c r="AW14" s="13">
        <f>CHOOSE(Inputs!$F$33,INDEX(Inputs!$J$283:$AR$283,1,MATCH((Time!AW26-1),Inputs!$J$282:$AR$282,0)),INDEX(Inputs!$J$285:$AR$285,1,MATCH((Time!AW26-1),Inputs!$J$282:$AR$282,0)),INDEX(Inputs!$J$287:$AR$287,1,MATCH((Time!AW26-1),Inputs!$J$282:$AR$282,0)))</f>
        <v/>
      </c>
      <c r="AX14" s="13">
        <f>CHOOSE(Inputs!$F$33,INDEX(Inputs!$J$283:$AR$283,1,MATCH((Time!AX26-1),Inputs!$J$282:$AR$282,0)),INDEX(Inputs!$J$285:$AR$285,1,MATCH((Time!AX26-1),Inputs!$J$282:$AR$282,0)),INDEX(Inputs!$J$287:$AR$287,1,MATCH((Time!AX26-1),Inputs!$J$282:$AR$282,0)))</f>
        <v/>
      </c>
      <c r="AY14" s="13">
        <f>CHOOSE(Inputs!$F$33,INDEX(Inputs!$J$283:$AR$283,1,MATCH((Time!AY26-1),Inputs!$J$282:$AR$282,0)),INDEX(Inputs!$J$285:$AR$285,1,MATCH((Time!AY26-1),Inputs!$J$282:$AR$282,0)),INDEX(Inputs!$J$287:$AR$287,1,MATCH((Time!AY26-1),Inputs!$J$282:$AR$282,0)))</f>
        <v/>
      </c>
      <c r="AZ14" s="13">
        <f>CHOOSE(Inputs!$F$33,INDEX(Inputs!$J$283:$AR$283,1,MATCH((Time!AZ26-1),Inputs!$J$282:$AR$282,0)),INDEX(Inputs!$J$285:$AR$285,1,MATCH((Time!AZ26-1),Inputs!$J$282:$AR$282,0)),INDEX(Inputs!$J$287:$AR$287,1,MATCH((Time!AZ26-1),Inputs!$J$282:$AR$282,0)))</f>
        <v/>
      </c>
      <c r="BA14" s="13">
        <f>CHOOSE(Inputs!$F$33,INDEX(Inputs!$J$283:$AR$283,1,MATCH((Time!BA26-1),Inputs!$J$282:$AR$282,0)),INDEX(Inputs!$J$285:$AR$285,1,MATCH((Time!BA26-1),Inputs!$J$282:$AR$282,0)),INDEX(Inputs!$J$287:$AR$287,1,MATCH((Time!BA26-1),Inputs!$J$282:$AR$282,0)))</f>
        <v/>
      </c>
      <c r="BB14" s="13">
        <f>CHOOSE(Inputs!$F$33,INDEX(Inputs!$J$283:$AR$283,1,MATCH((Time!BB26-1),Inputs!$J$282:$AR$282,0)),INDEX(Inputs!$J$285:$AR$285,1,MATCH((Time!BB26-1),Inputs!$J$282:$AR$282,0)),INDEX(Inputs!$J$287:$AR$287,1,MATCH((Time!BB26-1),Inputs!$J$282:$AR$282,0)))</f>
        <v/>
      </c>
      <c r="BC14" s="13">
        <f>CHOOSE(Inputs!$F$33,INDEX(Inputs!$J$283:$AR$283,1,MATCH((Time!BC26-1),Inputs!$J$282:$AR$282,0)),INDEX(Inputs!$J$285:$AR$285,1,MATCH((Time!BC26-1),Inputs!$J$282:$AR$282,0)),INDEX(Inputs!$J$287:$AR$287,1,MATCH((Time!BC26-1),Inputs!$J$282:$AR$282,0)))</f>
        <v/>
      </c>
      <c r="BD14" s="13">
        <f>CHOOSE(Inputs!$F$33,INDEX(Inputs!$J$283:$AR$283,1,MATCH((Time!BD26-1),Inputs!$J$282:$AR$282,0)),INDEX(Inputs!$J$285:$AR$285,1,MATCH((Time!BD26-1),Inputs!$J$282:$AR$282,0)),INDEX(Inputs!$J$287:$AR$287,1,MATCH((Time!BD26-1),Inputs!$J$282:$AR$282,0)))</f>
        <v/>
      </c>
      <c r="BE14" s="13">
        <f>CHOOSE(Inputs!$F$33,INDEX(Inputs!$J$283:$AR$283,1,MATCH((Time!BE26-1),Inputs!$J$282:$AR$282,0)),INDEX(Inputs!$J$285:$AR$285,1,MATCH((Time!BE26-1),Inputs!$J$282:$AR$282,0)),INDEX(Inputs!$J$287:$AR$287,1,MATCH((Time!BE26-1),Inputs!$J$282:$AR$282,0)))</f>
        <v/>
      </c>
      <c r="BF14" s="13">
        <f>CHOOSE(Inputs!$F$33,INDEX(Inputs!$J$283:$AR$283,1,MATCH((Time!BF26-1),Inputs!$J$282:$AR$282,0)),INDEX(Inputs!$J$285:$AR$285,1,MATCH((Time!BF26-1),Inputs!$J$282:$AR$282,0)),INDEX(Inputs!$J$287:$AR$287,1,MATCH((Time!BF26-1),Inputs!$J$282:$AR$282,0)))</f>
        <v/>
      </c>
      <c r="BG14" s="13">
        <f>CHOOSE(Inputs!$F$33,INDEX(Inputs!$J$283:$AR$283,1,MATCH((Time!BG26-1),Inputs!$J$282:$AR$282,0)),INDEX(Inputs!$J$285:$AR$285,1,MATCH((Time!BG26-1),Inputs!$J$282:$AR$282,0)),INDEX(Inputs!$J$287:$AR$287,1,MATCH((Time!BG26-1),Inputs!$J$282:$AR$282,0)))</f>
        <v/>
      </c>
      <c r="BH14" s="13">
        <f>CHOOSE(Inputs!$F$33,INDEX(Inputs!$J$283:$AR$283,1,MATCH((Time!BH26-1),Inputs!$J$282:$AR$282,0)),INDEX(Inputs!$J$285:$AR$285,1,MATCH((Time!BH26-1),Inputs!$J$282:$AR$282,0)),INDEX(Inputs!$J$287:$AR$287,1,MATCH((Time!BH26-1),Inputs!$J$282:$AR$282,0)))</f>
        <v/>
      </c>
      <c r="BI14" s="13">
        <f>CHOOSE(Inputs!$F$33,INDEX(Inputs!$J$283:$AR$283,1,MATCH((Time!BI26-1),Inputs!$J$282:$AR$282,0)),INDEX(Inputs!$J$285:$AR$285,1,MATCH((Time!BI26-1),Inputs!$J$282:$AR$282,0)),INDEX(Inputs!$J$287:$AR$287,1,MATCH((Time!BI26-1),Inputs!$J$282:$AR$282,0)))</f>
        <v/>
      </c>
      <c r="BJ14" s="13">
        <f>CHOOSE(Inputs!$F$33,INDEX(Inputs!$J$283:$AR$283,1,MATCH((Time!BJ26-1),Inputs!$J$282:$AR$282,0)),INDEX(Inputs!$J$285:$AR$285,1,MATCH((Time!BJ26-1),Inputs!$J$282:$AR$282,0)),INDEX(Inputs!$J$287:$AR$287,1,MATCH((Time!BJ26-1),Inputs!$J$282:$AR$282,0)))</f>
        <v/>
      </c>
      <c r="BK14" s="13">
        <f>CHOOSE(Inputs!$F$33,INDEX(Inputs!$J$283:$AR$283,1,MATCH((Time!BK26-1),Inputs!$J$282:$AR$282,0)),INDEX(Inputs!$J$285:$AR$285,1,MATCH((Time!BK26-1),Inputs!$J$282:$AR$282,0)),INDEX(Inputs!$J$287:$AR$287,1,MATCH((Time!BK26-1),Inputs!$J$282:$AR$282,0)))</f>
        <v/>
      </c>
      <c r="BL14" s="13">
        <f>CHOOSE(Inputs!$F$33,INDEX(Inputs!$J$283:$AR$283,1,MATCH((Time!BL26-1),Inputs!$J$282:$AR$282,0)),INDEX(Inputs!$J$285:$AR$285,1,MATCH((Time!BL26-1),Inputs!$J$282:$AR$282,0)),INDEX(Inputs!$J$287:$AR$287,1,MATCH((Time!BL26-1),Inputs!$J$282:$AR$282,0)))</f>
        <v/>
      </c>
      <c r="BM14" s="13">
        <f>CHOOSE(Inputs!$F$33,INDEX(Inputs!$J$283:$AR$283,1,MATCH((Time!BM26-1),Inputs!$J$282:$AR$282,0)),INDEX(Inputs!$J$285:$AR$285,1,MATCH((Time!BM26-1),Inputs!$J$282:$AR$282,0)),INDEX(Inputs!$J$287:$AR$287,1,MATCH((Time!BM26-1),Inputs!$J$282:$AR$282,0)))</f>
        <v/>
      </c>
      <c r="BN14" s="13">
        <f>CHOOSE(Inputs!$F$33,INDEX(Inputs!$J$283:$AR$283,1,MATCH((Time!BN26-1),Inputs!$J$282:$AR$282,0)),INDEX(Inputs!$J$285:$AR$285,1,MATCH((Time!BN26-1),Inputs!$J$282:$AR$282,0)),INDEX(Inputs!$J$287:$AR$287,1,MATCH((Time!BN26-1),Inputs!$J$282:$AR$282,0)))</f>
        <v/>
      </c>
    </row>
    <row r="15">
      <c r="D15" t="inlineStr">
        <is>
          <t>Kessara CPI change, prior year</t>
        </is>
      </c>
      <c r="E15" t="inlineStr">
        <is>
          <t>%</t>
        </is>
      </c>
      <c r="J15" s="13">
        <f>CHOOSE(Inputs!$F$33,INDEX(Inputs!$J$284:$AR$284,1,MATCH((Time!J26-1),Inputs!$J$282:$AR$282,0)),INDEX(Inputs!$J$286:$AR$286,1,MATCH((Time!J26-1),Inputs!$J$282:$AR$282,0)),INDEX(Inputs!$J$288:$AR$288,1,MATCH((Time!J26-1),Inputs!$J$282:$AR$282,0)))</f>
        <v/>
      </c>
      <c r="K15" s="13">
        <f>CHOOSE(Inputs!$F$33,INDEX(Inputs!$J$284:$AR$284,1,MATCH((Time!K26-1),Inputs!$J$282:$AR$282,0)),INDEX(Inputs!$J$286:$AR$286,1,MATCH((Time!K26-1),Inputs!$J$282:$AR$282,0)),INDEX(Inputs!$J$288:$AR$288,1,MATCH((Time!K26-1),Inputs!$J$282:$AR$282,0)))</f>
        <v/>
      </c>
      <c r="L15" s="13">
        <f>CHOOSE(Inputs!$F$33,INDEX(Inputs!$J$284:$AR$284,1,MATCH((Time!L26-1),Inputs!$J$282:$AR$282,0)),INDEX(Inputs!$J$286:$AR$286,1,MATCH((Time!L26-1),Inputs!$J$282:$AR$282,0)),INDEX(Inputs!$J$288:$AR$288,1,MATCH((Time!L26-1),Inputs!$J$282:$AR$282,0)))</f>
        <v/>
      </c>
      <c r="M15" s="13">
        <f>CHOOSE(Inputs!$F$33,INDEX(Inputs!$J$284:$AR$284,1,MATCH((Time!M26-1),Inputs!$J$282:$AR$282,0)),INDEX(Inputs!$J$286:$AR$286,1,MATCH((Time!M26-1),Inputs!$J$282:$AR$282,0)),INDEX(Inputs!$J$288:$AR$288,1,MATCH((Time!M26-1),Inputs!$J$282:$AR$282,0)))</f>
        <v/>
      </c>
      <c r="N15" s="13">
        <f>CHOOSE(Inputs!$F$33,INDEX(Inputs!$J$284:$AR$284,1,MATCH((Time!N26-1),Inputs!$J$282:$AR$282,0)),INDEX(Inputs!$J$286:$AR$286,1,MATCH((Time!N26-1),Inputs!$J$282:$AR$282,0)),INDEX(Inputs!$J$288:$AR$288,1,MATCH((Time!N26-1),Inputs!$J$282:$AR$282,0)))</f>
        <v/>
      </c>
      <c r="O15" s="13">
        <f>CHOOSE(Inputs!$F$33,INDEX(Inputs!$J$284:$AR$284,1,MATCH((Time!O26-1),Inputs!$J$282:$AR$282,0)),INDEX(Inputs!$J$286:$AR$286,1,MATCH((Time!O26-1),Inputs!$J$282:$AR$282,0)),INDEX(Inputs!$J$288:$AR$288,1,MATCH((Time!O26-1),Inputs!$J$282:$AR$282,0)))</f>
        <v/>
      </c>
      <c r="P15" s="13">
        <f>CHOOSE(Inputs!$F$33,INDEX(Inputs!$J$284:$AR$284,1,MATCH((Time!P26-1),Inputs!$J$282:$AR$282,0)),INDEX(Inputs!$J$286:$AR$286,1,MATCH((Time!P26-1),Inputs!$J$282:$AR$282,0)),INDEX(Inputs!$J$288:$AR$288,1,MATCH((Time!P26-1),Inputs!$J$282:$AR$282,0)))</f>
        <v/>
      </c>
      <c r="Q15" s="13">
        <f>CHOOSE(Inputs!$F$33,INDEX(Inputs!$J$284:$AR$284,1,MATCH((Time!Q26-1),Inputs!$J$282:$AR$282,0)),INDEX(Inputs!$J$286:$AR$286,1,MATCH((Time!Q26-1),Inputs!$J$282:$AR$282,0)),INDEX(Inputs!$J$288:$AR$288,1,MATCH((Time!Q26-1),Inputs!$J$282:$AR$282,0)))</f>
        <v/>
      </c>
      <c r="R15" s="13">
        <f>CHOOSE(Inputs!$F$33,INDEX(Inputs!$J$284:$AR$284,1,MATCH((Time!R26-1),Inputs!$J$282:$AR$282,0)),INDEX(Inputs!$J$286:$AR$286,1,MATCH((Time!R26-1),Inputs!$J$282:$AR$282,0)),INDEX(Inputs!$J$288:$AR$288,1,MATCH((Time!R26-1),Inputs!$J$282:$AR$282,0)))</f>
        <v/>
      </c>
      <c r="S15" s="13">
        <f>CHOOSE(Inputs!$F$33,INDEX(Inputs!$J$284:$AR$284,1,MATCH((Time!S26-1),Inputs!$J$282:$AR$282,0)),INDEX(Inputs!$J$286:$AR$286,1,MATCH((Time!S26-1),Inputs!$J$282:$AR$282,0)),INDEX(Inputs!$J$288:$AR$288,1,MATCH((Time!S26-1),Inputs!$J$282:$AR$282,0)))</f>
        <v/>
      </c>
      <c r="T15" s="13">
        <f>CHOOSE(Inputs!$F$33,INDEX(Inputs!$J$284:$AR$284,1,MATCH((Time!T26-1),Inputs!$J$282:$AR$282,0)),INDEX(Inputs!$J$286:$AR$286,1,MATCH((Time!T26-1),Inputs!$J$282:$AR$282,0)),INDEX(Inputs!$J$288:$AR$288,1,MATCH((Time!T26-1),Inputs!$J$282:$AR$282,0)))</f>
        <v/>
      </c>
      <c r="U15" s="13">
        <f>CHOOSE(Inputs!$F$33,INDEX(Inputs!$J$284:$AR$284,1,MATCH((Time!U26-1),Inputs!$J$282:$AR$282,0)),INDEX(Inputs!$J$286:$AR$286,1,MATCH((Time!U26-1),Inputs!$J$282:$AR$282,0)),INDEX(Inputs!$J$288:$AR$288,1,MATCH((Time!U26-1),Inputs!$J$282:$AR$282,0)))</f>
        <v/>
      </c>
      <c r="V15" s="13">
        <f>CHOOSE(Inputs!$F$33,INDEX(Inputs!$J$284:$AR$284,1,MATCH((Time!V26-1),Inputs!$J$282:$AR$282,0)),INDEX(Inputs!$J$286:$AR$286,1,MATCH((Time!V26-1),Inputs!$J$282:$AR$282,0)),INDEX(Inputs!$J$288:$AR$288,1,MATCH((Time!V26-1),Inputs!$J$282:$AR$282,0)))</f>
        <v/>
      </c>
      <c r="W15" s="13">
        <f>CHOOSE(Inputs!$F$33,INDEX(Inputs!$J$284:$AR$284,1,MATCH((Time!W26-1),Inputs!$J$282:$AR$282,0)),INDEX(Inputs!$J$286:$AR$286,1,MATCH((Time!W26-1),Inputs!$J$282:$AR$282,0)),INDEX(Inputs!$J$288:$AR$288,1,MATCH((Time!W26-1),Inputs!$J$282:$AR$282,0)))</f>
        <v/>
      </c>
      <c r="X15" s="13">
        <f>CHOOSE(Inputs!$F$33,INDEX(Inputs!$J$284:$AR$284,1,MATCH((Time!X26-1),Inputs!$J$282:$AR$282,0)),INDEX(Inputs!$J$286:$AR$286,1,MATCH((Time!X26-1),Inputs!$J$282:$AR$282,0)),INDEX(Inputs!$J$288:$AR$288,1,MATCH((Time!X26-1),Inputs!$J$282:$AR$282,0)))</f>
        <v/>
      </c>
      <c r="Y15" s="13">
        <f>CHOOSE(Inputs!$F$33,INDEX(Inputs!$J$284:$AR$284,1,MATCH((Time!Y26-1),Inputs!$J$282:$AR$282,0)),INDEX(Inputs!$J$286:$AR$286,1,MATCH((Time!Y26-1),Inputs!$J$282:$AR$282,0)),INDEX(Inputs!$J$288:$AR$288,1,MATCH((Time!Y26-1),Inputs!$J$282:$AR$282,0)))</f>
        <v/>
      </c>
      <c r="Z15" s="13">
        <f>CHOOSE(Inputs!$F$33,INDEX(Inputs!$J$284:$AR$284,1,MATCH((Time!Z26-1),Inputs!$J$282:$AR$282,0)),INDEX(Inputs!$J$286:$AR$286,1,MATCH((Time!Z26-1),Inputs!$J$282:$AR$282,0)),INDEX(Inputs!$J$288:$AR$288,1,MATCH((Time!Z26-1),Inputs!$J$282:$AR$282,0)))</f>
        <v/>
      </c>
      <c r="AA15" s="13">
        <f>CHOOSE(Inputs!$F$33,INDEX(Inputs!$J$284:$AR$284,1,MATCH((Time!AA26-1),Inputs!$J$282:$AR$282,0)),INDEX(Inputs!$J$286:$AR$286,1,MATCH((Time!AA26-1),Inputs!$J$282:$AR$282,0)),INDEX(Inputs!$J$288:$AR$288,1,MATCH((Time!AA26-1),Inputs!$J$282:$AR$282,0)))</f>
        <v/>
      </c>
      <c r="AB15" s="13">
        <f>CHOOSE(Inputs!$F$33,INDEX(Inputs!$J$284:$AR$284,1,MATCH((Time!AB26-1),Inputs!$J$282:$AR$282,0)),INDEX(Inputs!$J$286:$AR$286,1,MATCH((Time!AB26-1),Inputs!$J$282:$AR$282,0)),INDEX(Inputs!$J$288:$AR$288,1,MATCH((Time!AB26-1),Inputs!$J$282:$AR$282,0)))</f>
        <v/>
      </c>
      <c r="AC15" s="13">
        <f>CHOOSE(Inputs!$F$33,INDEX(Inputs!$J$284:$AR$284,1,MATCH((Time!AC26-1),Inputs!$J$282:$AR$282,0)),INDEX(Inputs!$J$286:$AR$286,1,MATCH((Time!AC26-1),Inputs!$J$282:$AR$282,0)),INDEX(Inputs!$J$288:$AR$288,1,MATCH((Time!AC26-1),Inputs!$J$282:$AR$282,0)))</f>
        <v/>
      </c>
      <c r="AD15" s="13">
        <f>CHOOSE(Inputs!$F$33,INDEX(Inputs!$J$284:$AR$284,1,MATCH((Time!AD26-1),Inputs!$J$282:$AR$282,0)),INDEX(Inputs!$J$286:$AR$286,1,MATCH((Time!AD26-1),Inputs!$J$282:$AR$282,0)),INDEX(Inputs!$J$288:$AR$288,1,MATCH((Time!AD26-1),Inputs!$J$282:$AR$282,0)))</f>
        <v/>
      </c>
      <c r="AE15" s="13">
        <f>CHOOSE(Inputs!$F$33,INDEX(Inputs!$J$284:$AR$284,1,MATCH((Time!AE26-1),Inputs!$J$282:$AR$282,0)),INDEX(Inputs!$J$286:$AR$286,1,MATCH((Time!AE26-1),Inputs!$J$282:$AR$282,0)),INDEX(Inputs!$J$288:$AR$288,1,MATCH((Time!AE26-1),Inputs!$J$282:$AR$282,0)))</f>
        <v/>
      </c>
      <c r="AF15" s="13">
        <f>CHOOSE(Inputs!$F$33,INDEX(Inputs!$J$284:$AR$284,1,MATCH((Time!AF26-1),Inputs!$J$282:$AR$282,0)),INDEX(Inputs!$J$286:$AR$286,1,MATCH((Time!AF26-1),Inputs!$J$282:$AR$282,0)),INDEX(Inputs!$J$288:$AR$288,1,MATCH((Time!AF26-1),Inputs!$J$282:$AR$282,0)))</f>
        <v/>
      </c>
      <c r="AG15" s="13">
        <f>CHOOSE(Inputs!$F$33,INDEX(Inputs!$J$284:$AR$284,1,MATCH((Time!AG26-1),Inputs!$J$282:$AR$282,0)),INDEX(Inputs!$J$286:$AR$286,1,MATCH((Time!AG26-1),Inputs!$J$282:$AR$282,0)),INDEX(Inputs!$J$288:$AR$288,1,MATCH((Time!AG26-1),Inputs!$J$282:$AR$282,0)))</f>
        <v/>
      </c>
      <c r="AH15" s="13">
        <f>CHOOSE(Inputs!$F$33,INDEX(Inputs!$J$284:$AR$284,1,MATCH((Time!AH26-1),Inputs!$J$282:$AR$282,0)),INDEX(Inputs!$J$286:$AR$286,1,MATCH((Time!AH26-1),Inputs!$J$282:$AR$282,0)),INDEX(Inputs!$J$288:$AR$288,1,MATCH((Time!AH26-1),Inputs!$J$282:$AR$282,0)))</f>
        <v/>
      </c>
      <c r="AI15" s="13">
        <f>CHOOSE(Inputs!$F$33,INDEX(Inputs!$J$284:$AR$284,1,MATCH((Time!AI26-1),Inputs!$J$282:$AR$282,0)),INDEX(Inputs!$J$286:$AR$286,1,MATCH((Time!AI26-1),Inputs!$J$282:$AR$282,0)),INDEX(Inputs!$J$288:$AR$288,1,MATCH((Time!AI26-1),Inputs!$J$282:$AR$282,0)))</f>
        <v/>
      </c>
      <c r="AJ15" s="13">
        <f>CHOOSE(Inputs!$F$33,INDEX(Inputs!$J$284:$AR$284,1,MATCH((Time!AJ26-1),Inputs!$J$282:$AR$282,0)),INDEX(Inputs!$J$286:$AR$286,1,MATCH((Time!AJ26-1),Inputs!$J$282:$AR$282,0)),INDEX(Inputs!$J$288:$AR$288,1,MATCH((Time!AJ26-1),Inputs!$J$282:$AR$282,0)))</f>
        <v/>
      </c>
      <c r="AK15" s="13">
        <f>CHOOSE(Inputs!$F$33,INDEX(Inputs!$J$284:$AR$284,1,MATCH((Time!AK26-1),Inputs!$J$282:$AR$282,0)),INDEX(Inputs!$J$286:$AR$286,1,MATCH((Time!AK26-1),Inputs!$J$282:$AR$282,0)),INDEX(Inputs!$J$288:$AR$288,1,MATCH((Time!AK26-1),Inputs!$J$282:$AR$282,0)))</f>
        <v/>
      </c>
      <c r="AL15" s="13">
        <f>CHOOSE(Inputs!$F$33,INDEX(Inputs!$J$284:$AR$284,1,MATCH((Time!AL26-1),Inputs!$J$282:$AR$282,0)),INDEX(Inputs!$J$286:$AR$286,1,MATCH((Time!AL26-1),Inputs!$J$282:$AR$282,0)),INDEX(Inputs!$J$288:$AR$288,1,MATCH((Time!AL26-1),Inputs!$J$282:$AR$282,0)))</f>
        <v/>
      </c>
      <c r="AM15" s="13">
        <f>CHOOSE(Inputs!$F$33,INDEX(Inputs!$J$284:$AR$284,1,MATCH((Time!AM26-1),Inputs!$J$282:$AR$282,0)),INDEX(Inputs!$J$286:$AR$286,1,MATCH((Time!AM26-1),Inputs!$J$282:$AR$282,0)),INDEX(Inputs!$J$288:$AR$288,1,MATCH((Time!AM26-1),Inputs!$J$282:$AR$282,0)))</f>
        <v/>
      </c>
      <c r="AN15" s="13">
        <f>CHOOSE(Inputs!$F$33,INDEX(Inputs!$J$284:$AR$284,1,MATCH((Time!AN26-1),Inputs!$J$282:$AR$282,0)),INDEX(Inputs!$J$286:$AR$286,1,MATCH((Time!AN26-1),Inputs!$J$282:$AR$282,0)),INDEX(Inputs!$J$288:$AR$288,1,MATCH((Time!AN26-1),Inputs!$J$282:$AR$282,0)))</f>
        <v/>
      </c>
      <c r="AO15" s="13">
        <f>CHOOSE(Inputs!$F$33,INDEX(Inputs!$J$284:$AR$284,1,MATCH((Time!AO26-1),Inputs!$J$282:$AR$282,0)),INDEX(Inputs!$J$286:$AR$286,1,MATCH((Time!AO26-1),Inputs!$J$282:$AR$282,0)),INDEX(Inputs!$J$288:$AR$288,1,MATCH((Time!AO26-1),Inputs!$J$282:$AR$282,0)))</f>
        <v/>
      </c>
      <c r="AP15" s="13">
        <f>CHOOSE(Inputs!$F$33,INDEX(Inputs!$J$284:$AR$284,1,MATCH((Time!AP26-1),Inputs!$J$282:$AR$282,0)),INDEX(Inputs!$J$286:$AR$286,1,MATCH((Time!AP26-1),Inputs!$J$282:$AR$282,0)),INDEX(Inputs!$J$288:$AR$288,1,MATCH((Time!AP26-1),Inputs!$J$282:$AR$282,0)))</f>
        <v/>
      </c>
      <c r="AQ15" s="13">
        <f>CHOOSE(Inputs!$F$33,INDEX(Inputs!$J$284:$AR$284,1,MATCH((Time!AQ26-1),Inputs!$J$282:$AR$282,0)),INDEX(Inputs!$J$286:$AR$286,1,MATCH((Time!AQ26-1),Inputs!$J$282:$AR$282,0)),INDEX(Inputs!$J$288:$AR$288,1,MATCH((Time!AQ26-1),Inputs!$J$282:$AR$282,0)))</f>
        <v/>
      </c>
      <c r="AR15" s="13">
        <f>CHOOSE(Inputs!$F$33,INDEX(Inputs!$J$284:$AR$284,1,MATCH((Time!AR26-1),Inputs!$J$282:$AR$282,0)),INDEX(Inputs!$J$286:$AR$286,1,MATCH((Time!AR26-1),Inputs!$J$282:$AR$282,0)),INDEX(Inputs!$J$288:$AR$288,1,MATCH((Time!AR26-1),Inputs!$J$282:$AR$282,0)))</f>
        <v/>
      </c>
      <c r="AS15" s="13">
        <f>CHOOSE(Inputs!$F$33,INDEX(Inputs!$J$284:$AR$284,1,MATCH((Time!AS26-1),Inputs!$J$282:$AR$282,0)),INDEX(Inputs!$J$286:$AR$286,1,MATCH((Time!AS26-1),Inputs!$J$282:$AR$282,0)),INDEX(Inputs!$J$288:$AR$288,1,MATCH((Time!AS26-1),Inputs!$J$282:$AR$282,0)))</f>
        <v/>
      </c>
      <c r="AT15" s="13">
        <f>CHOOSE(Inputs!$F$33,INDEX(Inputs!$J$284:$AR$284,1,MATCH((Time!AT26-1),Inputs!$J$282:$AR$282,0)),INDEX(Inputs!$J$286:$AR$286,1,MATCH((Time!AT26-1),Inputs!$J$282:$AR$282,0)),INDEX(Inputs!$J$288:$AR$288,1,MATCH((Time!AT26-1),Inputs!$J$282:$AR$282,0)))</f>
        <v/>
      </c>
      <c r="AU15" s="13">
        <f>CHOOSE(Inputs!$F$33,INDEX(Inputs!$J$284:$AR$284,1,MATCH((Time!AU26-1),Inputs!$J$282:$AR$282,0)),INDEX(Inputs!$J$286:$AR$286,1,MATCH((Time!AU26-1),Inputs!$J$282:$AR$282,0)),INDEX(Inputs!$J$288:$AR$288,1,MATCH((Time!AU26-1),Inputs!$J$282:$AR$282,0)))</f>
        <v/>
      </c>
      <c r="AV15" s="13">
        <f>CHOOSE(Inputs!$F$33,INDEX(Inputs!$J$284:$AR$284,1,MATCH((Time!AV26-1),Inputs!$J$282:$AR$282,0)),INDEX(Inputs!$J$286:$AR$286,1,MATCH((Time!AV26-1),Inputs!$J$282:$AR$282,0)),INDEX(Inputs!$J$288:$AR$288,1,MATCH((Time!AV26-1),Inputs!$J$282:$AR$282,0)))</f>
        <v/>
      </c>
      <c r="AW15" s="13">
        <f>CHOOSE(Inputs!$F$33,INDEX(Inputs!$J$284:$AR$284,1,MATCH((Time!AW26-1),Inputs!$J$282:$AR$282,0)),INDEX(Inputs!$J$286:$AR$286,1,MATCH((Time!AW26-1),Inputs!$J$282:$AR$282,0)),INDEX(Inputs!$J$288:$AR$288,1,MATCH((Time!AW26-1),Inputs!$J$282:$AR$282,0)))</f>
        <v/>
      </c>
      <c r="AX15" s="13">
        <f>CHOOSE(Inputs!$F$33,INDEX(Inputs!$J$284:$AR$284,1,MATCH((Time!AX26-1),Inputs!$J$282:$AR$282,0)),INDEX(Inputs!$J$286:$AR$286,1,MATCH((Time!AX26-1),Inputs!$J$282:$AR$282,0)),INDEX(Inputs!$J$288:$AR$288,1,MATCH((Time!AX26-1),Inputs!$J$282:$AR$282,0)))</f>
        <v/>
      </c>
      <c r="AY15" s="13">
        <f>CHOOSE(Inputs!$F$33,INDEX(Inputs!$J$284:$AR$284,1,MATCH((Time!AY26-1),Inputs!$J$282:$AR$282,0)),INDEX(Inputs!$J$286:$AR$286,1,MATCH((Time!AY26-1),Inputs!$J$282:$AR$282,0)),INDEX(Inputs!$J$288:$AR$288,1,MATCH((Time!AY26-1),Inputs!$J$282:$AR$282,0)))</f>
        <v/>
      </c>
      <c r="AZ15" s="13">
        <f>CHOOSE(Inputs!$F$33,INDEX(Inputs!$J$284:$AR$284,1,MATCH((Time!AZ26-1),Inputs!$J$282:$AR$282,0)),INDEX(Inputs!$J$286:$AR$286,1,MATCH((Time!AZ26-1),Inputs!$J$282:$AR$282,0)),INDEX(Inputs!$J$288:$AR$288,1,MATCH((Time!AZ26-1),Inputs!$J$282:$AR$282,0)))</f>
        <v/>
      </c>
      <c r="BA15" s="13">
        <f>CHOOSE(Inputs!$F$33,INDEX(Inputs!$J$284:$AR$284,1,MATCH((Time!BA26-1),Inputs!$J$282:$AR$282,0)),INDEX(Inputs!$J$286:$AR$286,1,MATCH((Time!BA26-1),Inputs!$J$282:$AR$282,0)),INDEX(Inputs!$J$288:$AR$288,1,MATCH((Time!BA26-1),Inputs!$J$282:$AR$282,0)))</f>
        <v/>
      </c>
      <c r="BB15" s="13">
        <f>CHOOSE(Inputs!$F$33,INDEX(Inputs!$J$284:$AR$284,1,MATCH((Time!BB26-1),Inputs!$J$282:$AR$282,0)),INDEX(Inputs!$J$286:$AR$286,1,MATCH((Time!BB26-1),Inputs!$J$282:$AR$282,0)),INDEX(Inputs!$J$288:$AR$288,1,MATCH((Time!BB26-1),Inputs!$J$282:$AR$282,0)))</f>
        <v/>
      </c>
      <c r="BC15" s="13">
        <f>CHOOSE(Inputs!$F$33,INDEX(Inputs!$J$284:$AR$284,1,MATCH((Time!BC26-1),Inputs!$J$282:$AR$282,0)),INDEX(Inputs!$J$286:$AR$286,1,MATCH((Time!BC26-1),Inputs!$J$282:$AR$282,0)),INDEX(Inputs!$J$288:$AR$288,1,MATCH((Time!BC26-1),Inputs!$J$282:$AR$282,0)))</f>
        <v/>
      </c>
      <c r="BD15" s="13">
        <f>CHOOSE(Inputs!$F$33,INDEX(Inputs!$J$284:$AR$284,1,MATCH((Time!BD26-1),Inputs!$J$282:$AR$282,0)),INDEX(Inputs!$J$286:$AR$286,1,MATCH((Time!BD26-1),Inputs!$J$282:$AR$282,0)),INDEX(Inputs!$J$288:$AR$288,1,MATCH((Time!BD26-1),Inputs!$J$282:$AR$282,0)))</f>
        <v/>
      </c>
      <c r="BE15" s="13">
        <f>CHOOSE(Inputs!$F$33,INDEX(Inputs!$J$284:$AR$284,1,MATCH((Time!BE26-1),Inputs!$J$282:$AR$282,0)),INDEX(Inputs!$J$286:$AR$286,1,MATCH((Time!BE26-1),Inputs!$J$282:$AR$282,0)),INDEX(Inputs!$J$288:$AR$288,1,MATCH((Time!BE26-1),Inputs!$J$282:$AR$282,0)))</f>
        <v/>
      </c>
      <c r="BF15" s="13">
        <f>CHOOSE(Inputs!$F$33,INDEX(Inputs!$J$284:$AR$284,1,MATCH((Time!BF26-1),Inputs!$J$282:$AR$282,0)),INDEX(Inputs!$J$286:$AR$286,1,MATCH((Time!BF26-1),Inputs!$J$282:$AR$282,0)),INDEX(Inputs!$J$288:$AR$288,1,MATCH((Time!BF26-1),Inputs!$J$282:$AR$282,0)))</f>
        <v/>
      </c>
      <c r="BG15" s="13">
        <f>CHOOSE(Inputs!$F$33,INDEX(Inputs!$J$284:$AR$284,1,MATCH((Time!BG26-1),Inputs!$J$282:$AR$282,0)),INDEX(Inputs!$J$286:$AR$286,1,MATCH((Time!BG26-1),Inputs!$J$282:$AR$282,0)),INDEX(Inputs!$J$288:$AR$288,1,MATCH((Time!BG26-1),Inputs!$J$282:$AR$282,0)))</f>
        <v/>
      </c>
      <c r="BH15" s="13">
        <f>CHOOSE(Inputs!$F$33,INDEX(Inputs!$J$284:$AR$284,1,MATCH((Time!BH26-1),Inputs!$J$282:$AR$282,0)),INDEX(Inputs!$J$286:$AR$286,1,MATCH((Time!BH26-1),Inputs!$J$282:$AR$282,0)),INDEX(Inputs!$J$288:$AR$288,1,MATCH((Time!BH26-1),Inputs!$J$282:$AR$282,0)))</f>
        <v/>
      </c>
      <c r="BI15" s="13">
        <f>CHOOSE(Inputs!$F$33,INDEX(Inputs!$J$284:$AR$284,1,MATCH((Time!BI26-1),Inputs!$J$282:$AR$282,0)),INDEX(Inputs!$J$286:$AR$286,1,MATCH((Time!BI26-1),Inputs!$J$282:$AR$282,0)),INDEX(Inputs!$J$288:$AR$288,1,MATCH((Time!BI26-1),Inputs!$J$282:$AR$282,0)))</f>
        <v/>
      </c>
      <c r="BJ15" s="13">
        <f>CHOOSE(Inputs!$F$33,INDEX(Inputs!$J$284:$AR$284,1,MATCH((Time!BJ26-1),Inputs!$J$282:$AR$282,0)),INDEX(Inputs!$J$286:$AR$286,1,MATCH((Time!BJ26-1),Inputs!$J$282:$AR$282,0)),INDEX(Inputs!$J$288:$AR$288,1,MATCH((Time!BJ26-1),Inputs!$J$282:$AR$282,0)))</f>
        <v/>
      </c>
      <c r="BK15" s="13">
        <f>CHOOSE(Inputs!$F$33,INDEX(Inputs!$J$284:$AR$284,1,MATCH((Time!BK26-1),Inputs!$J$282:$AR$282,0)),INDEX(Inputs!$J$286:$AR$286,1,MATCH((Time!BK26-1),Inputs!$J$282:$AR$282,0)),INDEX(Inputs!$J$288:$AR$288,1,MATCH((Time!BK26-1),Inputs!$J$282:$AR$282,0)))</f>
        <v/>
      </c>
      <c r="BL15" s="13">
        <f>CHOOSE(Inputs!$F$33,INDEX(Inputs!$J$284:$AR$284,1,MATCH((Time!BL26-1),Inputs!$J$282:$AR$282,0)),INDEX(Inputs!$J$286:$AR$286,1,MATCH((Time!BL26-1),Inputs!$J$282:$AR$282,0)),INDEX(Inputs!$J$288:$AR$288,1,MATCH((Time!BL26-1),Inputs!$J$282:$AR$282,0)))</f>
        <v/>
      </c>
      <c r="BM15" s="13">
        <f>CHOOSE(Inputs!$F$33,INDEX(Inputs!$J$284:$AR$284,1,MATCH((Time!BM26-1),Inputs!$J$282:$AR$282,0)),INDEX(Inputs!$J$286:$AR$286,1,MATCH((Time!BM26-1),Inputs!$J$282:$AR$282,0)),INDEX(Inputs!$J$288:$AR$288,1,MATCH((Time!BM26-1),Inputs!$J$282:$AR$282,0)))</f>
        <v/>
      </c>
      <c r="BN15" s="13">
        <f>CHOOSE(Inputs!$F$33,INDEX(Inputs!$J$284:$AR$284,1,MATCH((Time!BN26-1),Inputs!$J$282:$AR$282,0)),INDEX(Inputs!$J$286:$AR$286,1,MATCH((Time!BN26-1),Inputs!$J$282:$AR$282,0)),INDEX(Inputs!$J$288:$AR$288,1,MATCH((Time!BN26-1),Inputs!$J$282:$AR$282,0)))</f>
        <v/>
      </c>
    </row>
    <row r="16">
      <c r="D16" t="inlineStr">
        <is>
          <t>US index, 2018 price base month</t>
        </is>
      </c>
      <c r="E16" t="inlineStr">
        <is>
          <t>index</t>
        </is>
      </c>
      <c r="F16" s="3">
        <f>Inputs!$F$232*(1+CHOOSE(Inputs!$F$33,INDEX(Inputs!$J$283:$AR$283,1,MATCH(Inputs!$F$230,Inputs!$J$282:$AR$282,0)),INDEX(Inputs!$J$285:$AR$285,1,MATCH(Inputs!$F$230,Inputs!$J$282:$AR$282,0)),INDEX(Inputs!$J$287:$AR$287,1,MATCH(Inputs!$F$230,Inputs!$J$282:$AR$282,0)))/100)^((12-Inputs!$F$231)/12)*(1+CHOOSE(Inputs!$F$33,INDEX(Inputs!$J$283:$AR$283,1,MATCH(Inputs!$F$230+1,Inputs!$J$282:$AR$282,0)),INDEX(Inputs!$J$285:$AR$285,1,MATCH(Inputs!$F$230+1,Inputs!$J$282:$AR$282,0)),INDEX(Inputs!$J$287:$AR$287,1,MATCH(Inputs!$F$230+1,Inputs!$J$282:$AR$282,0)))/100)*(1+CHOOSE(Inputs!$F$33,INDEX(Inputs!$J$283:$AR$283,1,MATCH(YEAR(Inputs!$F$189),Inputs!$J$282:$AR$282,0)),INDEX(Inputs!$J$285:$AR$285,1,MATCH(YEAR(Inputs!$F$189),Inputs!$J$282:$AR$282,0)),INDEX(Inputs!$J$287:$AR$287,1,MATCH(YEAR(Inputs!$F$189),Inputs!$J$282:$AR$282,0)))/100)^(Inputs!$F$235/12)</f>
        <v/>
      </c>
    </row>
    <row r="17">
      <c r="D17" t="inlineStr">
        <is>
          <t>US index, first cost reading</t>
        </is>
      </c>
      <c r="E17" t="inlineStr">
        <is>
          <t>index</t>
        </is>
      </c>
      <c r="F17" s="3">
        <f>Inputs!$F$232*(1+CHOOSE(Inputs!$F$33,INDEX(Inputs!$J$283:$AR$283,1,MATCH(Inputs!$F$230,Inputs!$J$282:$AR$282,0)),INDEX(Inputs!$J$285:$AR$285,1,MATCH(Inputs!$F$230,Inputs!$J$282:$AR$282,0)),INDEX(Inputs!$J$287:$AR$287,1,MATCH(Inputs!$F$230,Inputs!$J$282:$AR$282,0)))/100)^((12-Inputs!$F$231)/12)*(1+CHOOSE(Inputs!$F$33,INDEX(Inputs!$J$283:$AR$283,1,MATCH(Inputs!$F$230+1,Inputs!$J$282:$AR$282,0)),INDEX(Inputs!$J$285:$AR$285,1,MATCH(Inputs!$F$230+1,Inputs!$J$282:$AR$282,0)),INDEX(Inputs!$J$287:$AR$287,1,MATCH(Inputs!$F$230+1,Inputs!$J$282:$AR$282,0)))/100)*(1+CHOOSE(Inputs!$F$33,INDEX(Inputs!$J$283:$AR$283,1,MATCH(YEAR(Inputs!$F$189),Inputs!$J$282:$AR$282,0)),INDEX(Inputs!$J$285:$AR$285,1,MATCH(YEAR(Inputs!$F$189),Inputs!$J$282:$AR$282,0)),INDEX(Inputs!$J$287:$AR$287,1,MATCH(YEAR(Inputs!$F$189),Inputs!$J$282:$AR$282,0)))/100)^(Inputs!$F$233/12)</f>
        <v/>
      </c>
    </row>
    <row r="18">
      <c r="D18" t="inlineStr">
        <is>
          <t>US index, first tariff reading</t>
        </is>
      </c>
      <c r="E18" t="inlineStr">
        <is>
          <t>index</t>
        </is>
      </c>
      <c r="F18" s="3">
        <f>Inputs!$F$232*(1+CHOOSE(Inputs!$F$33,INDEX(Inputs!$J$283:$AR$283,1,MATCH(Inputs!$F$230,Inputs!$J$282:$AR$282,0)),INDEX(Inputs!$J$285:$AR$285,1,MATCH(Inputs!$F$230,Inputs!$J$282:$AR$282,0)),INDEX(Inputs!$J$287:$AR$287,1,MATCH(Inputs!$F$230,Inputs!$J$282:$AR$282,0)))/100)^((12-Inputs!$F$231)/12)*(1+CHOOSE(Inputs!$F$33,INDEX(Inputs!$J$283:$AR$283,1,MATCH(Inputs!$F$230+1,Inputs!$J$282:$AR$282,0)),INDEX(Inputs!$J$285:$AR$285,1,MATCH(Inputs!$F$230+1,Inputs!$J$282:$AR$282,0)),INDEX(Inputs!$J$287:$AR$287,1,MATCH(Inputs!$F$230+1,Inputs!$J$282:$AR$282,0)))/100)*(1+CHOOSE(Inputs!$F$33,INDEX(Inputs!$J$283:$AR$283,1,MATCH(YEAR(Inputs!$F$189),Inputs!$J$282:$AR$282,0)),INDEX(Inputs!$J$285:$AR$285,1,MATCH(YEAR(Inputs!$F$189),Inputs!$J$282:$AR$282,0)),INDEX(Inputs!$J$287:$AR$287,1,MATCH(YEAR(Inputs!$F$189),Inputs!$J$282:$AR$282,0)))/100)^(Inputs!$F$234/12)</f>
        <v/>
      </c>
    </row>
    <row r="19">
      <c r="D19" t="inlineStr">
        <is>
          <t>US CPI index, cost reading (Mar/Sep), Nov 2016 = 100</t>
        </is>
      </c>
      <c r="E19" t="inlineStr">
        <is>
          <t>index</t>
        </is>
      </c>
      <c r="J19" s="13">
        <f>IF(Time!J20=1,$F$17,I19*IF(Time!J27=1,(1+J14/100)^(Inputs!$F$236/12)*(1+J12/100)^((Time!J21-Inputs!$F$236)/12),(1+J12/100)^Time!J24))</f>
        <v/>
      </c>
      <c r="K19" s="13">
        <f>IF(Time!K20=1,$F$17,J19*IF(Time!K27=1,(1+K14/100)^(Inputs!$F$236/12)*(1+K12/100)^((Time!K21-Inputs!$F$236)/12),(1+K12/100)^Time!K24))</f>
        <v/>
      </c>
      <c r="L19" s="13">
        <f>IF(Time!L20=1,$F$17,K19*IF(Time!L27=1,(1+L14/100)^(Inputs!$F$236/12)*(1+L12/100)^((Time!L21-Inputs!$F$236)/12),(1+L12/100)^Time!L24))</f>
        <v/>
      </c>
      <c r="M19" s="13">
        <f>IF(Time!M20=1,$F$17,L19*IF(Time!M27=1,(1+M14/100)^(Inputs!$F$236/12)*(1+M12/100)^((Time!M21-Inputs!$F$236)/12),(1+M12/100)^Time!M24))</f>
        <v/>
      </c>
      <c r="N19" s="13">
        <f>IF(Time!N20=1,$F$17,M19*IF(Time!N27=1,(1+N14/100)^(Inputs!$F$236/12)*(1+N12/100)^((Time!N21-Inputs!$F$236)/12),(1+N12/100)^Time!N24))</f>
        <v/>
      </c>
      <c r="O19" s="13">
        <f>IF(Time!O20=1,$F$17,N19*IF(Time!O27=1,(1+O14/100)^(Inputs!$F$236/12)*(1+O12/100)^((Time!O21-Inputs!$F$236)/12),(1+O12/100)^Time!O24))</f>
        <v/>
      </c>
      <c r="P19" s="13">
        <f>IF(Time!P20=1,$F$17,O19*IF(Time!P27=1,(1+P14/100)^(Inputs!$F$236/12)*(1+P12/100)^((Time!P21-Inputs!$F$236)/12),(1+P12/100)^Time!P24))</f>
        <v/>
      </c>
      <c r="Q19" s="13">
        <f>IF(Time!Q20=1,$F$17,P19*IF(Time!Q27=1,(1+Q14/100)^(Inputs!$F$236/12)*(1+Q12/100)^((Time!Q21-Inputs!$F$236)/12),(1+Q12/100)^Time!Q24))</f>
        <v/>
      </c>
      <c r="R19" s="13">
        <f>IF(Time!R20=1,$F$17,Q19*IF(Time!R27=1,(1+R14/100)^(Inputs!$F$236/12)*(1+R12/100)^((Time!R21-Inputs!$F$236)/12),(1+R12/100)^Time!R24))</f>
        <v/>
      </c>
      <c r="S19" s="13">
        <f>IF(Time!S20=1,$F$17,R19*IF(Time!S27=1,(1+S14/100)^(Inputs!$F$236/12)*(1+S12/100)^((Time!S21-Inputs!$F$236)/12),(1+S12/100)^Time!S24))</f>
        <v/>
      </c>
      <c r="T19" s="13">
        <f>IF(Time!T20=1,$F$17,S19*IF(Time!T27=1,(1+T14/100)^(Inputs!$F$236/12)*(1+T12/100)^((Time!T21-Inputs!$F$236)/12),(1+T12/100)^Time!T24))</f>
        <v/>
      </c>
      <c r="U19" s="13">
        <f>IF(Time!U20=1,$F$17,T19*IF(Time!U27=1,(1+U14/100)^(Inputs!$F$236/12)*(1+U12/100)^((Time!U21-Inputs!$F$236)/12),(1+U12/100)^Time!U24))</f>
        <v/>
      </c>
      <c r="V19" s="13">
        <f>IF(Time!V20=1,$F$17,U19*IF(Time!V27=1,(1+V14/100)^(Inputs!$F$236/12)*(1+V12/100)^((Time!V21-Inputs!$F$236)/12),(1+V12/100)^Time!V24))</f>
        <v/>
      </c>
      <c r="W19" s="13">
        <f>IF(Time!W20=1,$F$17,V19*IF(Time!W27=1,(1+W14/100)^(Inputs!$F$236/12)*(1+W12/100)^((Time!W21-Inputs!$F$236)/12),(1+W12/100)^Time!W24))</f>
        <v/>
      </c>
      <c r="X19" s="13">
        <f>IF(Time!X20=1,$F$17,W19*IF(Time!X27=1,(1+X14/100)^(Inputs!$F$236/12)*(1+X12/100)^((Time!X21-Inputs!$F$236)/12),(1+X12/100)^Time!X24))</f>
        <v/>
      </c>
      <c r="Y19" s="13">
        <f>IF(Time!Y20=1,$F$17,X19*IF(Time!Y27=1,(1+Y14/100)^(Inputs!$F$236/12)*(1+Y12/100)^((Time!Y21-Inputs!$F$236)/12),(1+Y12/100)^Time!Y24))</f>
        <v/>
      </c>
      <c r="Z19" s="13">
        <f>IF(Time!Z20=1,$F$17,Y19*IF(Time!Z27=1,(1+Z14/100)^(Inputs!$F$236/12)*(1+Z12/100)^((Time!Z21-Inputs!$F$236)/12),(1+Z12/100)^Time!Z24))</f>
        <v/>
      </c>
      <c r="AA19" s="13">
        <f>IF(Time!AA20=1,$F$17,Z19*IF(Time!AA27=1,(1+AA14/100)^(Inputs!$F$236/12)*(1+AA12/100)^((Time!AA21-Inputs!$F$236)/12),(1+AA12/100)^Time!AA24))</f>
        <v/>
      </c>
      <c r="AB19" s="13">
        <f>IF(Time!AB20=1,$F$17,AA19*IF(Time!AB27=1,(1+AB14/100)^(Inputs!$F$236/12)*(1+AB12/100)^((Time!AB21-Inputs!$F$236)/12),(1+AB12/100)^Time!AB24))</f>
        <v/>
      </c>
      <c r="AC19" s="13">
        <f>IF(Time!AC20=1,$F$17,AB19*IF(Time!AC27=1,(1+AC14/100)^(Inputs!$F$236/12)*(1+AC12/100)^((Time!AC21-Inputs!$F$236)/12),(1+AC12/100)^Time!AC24))</f>
        <v/>
      </c>
      <c r="AD19" s="13">
        <f>IF(Time!AD20=1,$F$17,AC19*IF(Time!AD27=1,(1+AD14/100)^(Inputs!$F$236/12)*(1+AD12/100)^((Time!AD21-Inputs!$F$236)/12),(1+AD12/100)^Time!AD24))</f>
        <v/>
      </c>
      <c r="AE19" s="13">
        <f>IF(Time!AE20=1,$F$17,AD19*IF(Time!AE27=1,(1+AE14/100)^(Inputs!$F$236/12)*(1+AE12/100)^((Time!AE21-Inputs!$F$236)/12),(1+AE12/100)^Time!AE24))</f>
        <v/>
      </c>
      <c r="AF19" s="13">
        <f>IF(Time!AF20=1,$F$17,AE19*IF(Time!AF27=1,(1+AF14/100)^(Inputs!$F$236/12)*(1+AF12/100)^((Time!AF21-Inputs!$F$236)/12),(1+AF12/100)^Time!AF24))</f>
        <v/>
      </c>
      <c r="AG19" s="13">
        <f>IF(Time!AG20=1,$F$17,AF19*IF(Time!AG27=1,(1+AG14/100)^(Inputs!$F$236/12)*(1+AG12/100)^((Time!AG21-Inputs!$F$236)/12),(1+AG12/100)^Time!AG24))</f>
        <v/>
      </c>
      <c r="AH19" s="13">
        <f>IF(Time!AH20=1,$F$17,AG19*IF(Time!AH27=1,(1+AH14/100)^(Inputs!$F$236/12)*(1+AH12/100)^((Time!AH21-Inputs!$F$236)/12),(1+AH12/100)^Time!AH24))</f>
        <v/>
      </c>
      <c r="AI19" s="13">
        <f>IF(Time!AI20=1,$F$17,AH19*IF(Time!AI27=1,(1+AI14/100)^(Inputs!$F$236/12)*(1+AI12/100)^((Time!AI21-Inputs!$F$236)/12),(1+AI12/100)^Time!AI24))</f>
        <v/>
      </c>
      <c r="AJ19" s="13">
        <f>IF(Time!AJ20=1,$F$17,AI19*IF(Time!AJ27=1,(1+AJ14/100)^(Inputs!$F$236/12)*(1+AJ12/100)^((Time!AJ21-Inputs!$F$236)/12),(1+AJ12/100)^Time!AJ24))</f>
        <v/>
      </c>
      <c r="AK19" s="13">
        <f>IF(Time!AK20=1,$F$17,AJ19*IF(Time!AK27=1,(1+AK14/100)^(Inputs!$F$236/12)*(1+AK12/100)^((Time!AK21-Inputs!$F$236)/12),(1+AK12/100)^Time!AK24))</f>
        <v/>
      </c>
      <c r="AL19" s="13">
        <f>IF(Time!AL20=1,$F$17,AK19*IF(Time!AL27=1,(1+AL14/100)^(Inputs!$F$236/12)*(1+AL12/100)^((Time!AL21-Inputs!$F$236)/12),(1+AL12/100)^Time!AL24))</f>
        <v/>
      </c>
      <c r="AM19" s="13">
        <f>IF(Time!AM20=1,$F$17,AL19*IF(Time!AM27=1,(1+AM14/100)^(Inputs!$F$236/12)*(1+AM12/100)^((Time!AM21-Inputs!$F$236)/12),(1+AM12/100)^Time!AM24))</f>
        <v/>
      </c>
      <c r="AN19" s="13">
        <f>IF(Time!AN20=1,$F$17,AM19*IF(Time!AN27=1,(1+AN14/100)^(Inputs!$F$236/12)*(1+AN12/100)^((Time!AN21-Inputs!$F$236)/12),(1+AN12/100)^Time!AN24))</f>
        <v/>
      </c>
      <c r="AO19" s="13">
        <f>IF(Time!AO20=1,$F$17,AN19*IF(Time!AO27=1,(1+AO14/100)^(Inputs!$F$236/12)*(1+AO12/100)^((Time!AO21-Inputs!$F$236)/12),(1+AO12/100)^Time!AO24))</f>
        <v/>
      </c>
      <c r="AP19" s="13">
        <f>IF(Time!AP20=1,$F$17,AO19*IF(Time!AP27=1,(1+AP14/100)^(Inputs!$F$236/12)*(1+AP12/100)^((Time!AP21-Inputs!$F$236)/12),(1+AP12/100)^Time!AP24))</f>
        <v/>
      </c>
      <c r="AQ19" s="13">
        <f>IF(Time!AQ20=1,$F$17,AP19*IF(Time!AQ27=1,(1+AQ14/100)^(Inputs!$F$236/12)*(1+AQ12/100)^((Time!AQ21-Inputs!$F$236)/12),(1+AQ12/100)^Time!AQ24))</f>
        <v/>
      </c>
      <c r="AR19" s="13">
        <f>IF(Time!AR20=1,$F$17,AQ19*IF(Time!AR27=1,(1+AR14/100)^(Inputs!$F$236/12)*(1+AR12/100)^((Time!AR21-Inputs!$F$236)/12),(1+AR12/100)^Time!AR24))</f>
        <v/>
      </c>
      <c r="AS19" s="13">
        <f>IF(Time!AS20=1,$F$17,AR19*IF(Time!AS27=1,(1+AS14/100)^(Inputs!$F$236/12)*(1+AS12/100)^((Time!AS21-Inputs!$F$236)/12),(1+AS12/100)^Time!AS24))</f>
        <v/>
      </c>
      <c r="AT19" s="13">
        <f>IF(Time!AT20=1,$F$17,AS19*IF(Time!AT27=1,(1+AT14/100)^(Inputs!$F$236/12)*(1+AT12/100)^((Time!AT21-Inputs!$F$236)/12),(1+AT12/100)^Time!AT24))</f>
        <v/>
      </c>
      <c r="AU19" s="13">
        <f>IF(Time!AU20=1,$F$17,AT19*IF(Time!AU27=1,(1+AU14/100)^(Inputs!$F$236/12)*(1+AU12/100)^((Time!AU21-Inputs!$F$236)/12),(1+AU12/100)^Time!AU24))</f>
        <v/>
      </c>
      <c r="AV19" s="13">
        <f>IF(Time!AV20=1,$F$17,AU19*IF(Time!AV27=1,(1+AV14/100)^(Inputs!$F$236/12)*(1+AV12/100)^((Time!AV21-Inputs!$F$236)/12),(1+AV12/100)^Time!AV24))</f>
        <v/>
      </c>
      <c r="AW19" s="13">
        <f>IF(Time!AW20=1,$F$17,AV19*IF(Time!AW27=1,(1+AW14/100)^(Inputs!$F$236/12)*(1+AW12/100)^((Time!AW21-Inputs!$F$236)/12),(1+AW12/100)^Time!AW24))</f>
        <v/>
      </c>
      <c r="AX19" s="13">
        <f>IF(Time!AX20=1,$F$17,AW19*IF(Time!AX27=1,(1+AX14/100)^(Inputs!$F$236/12)*(1+AX12/100)^((Time!AX21-Inputs!$F$236)/12),(1+AX12/100)^Time!AX24))</f>
        <v/>
      </c>
      <c r="AY19" s="13">
        <f>IF(Time!AY20=1,$F$17,AX19*IF(Time!AY27=1,(1+AY14/100)^(Inputs!$F$236/12)*(1+AY12/100)^((Time!AY21-Inputs!$F$236)/12),(1+AY12/100)^Time!AY24))</f>
        <v/>
      </c>
      <c r="AZ19" s="13">
        <f>IF(Time!AZ20=1,$F$17,AY19*IF(Time!AZ27=1,(1+AZ14/100)^(Inputs!$F$236/12)*(1+AZ12/100)^((Time!AZ21-Inputs!$F$236)/12),(1+AZ12/100)^Time!AZ24))</f>
        <v/>
      </c>
      <c r="BA19" s="13">
        <f>IF(Time!BA20=1,$F$17,AZ19*IF(Time!BA27=1,(1+BA14/100)^(Inputs!$F$236/12)*(1+BA12/100)^((Time!BA21-Inputs!$F$236)/12),(1+BA12/100)^Time!BA24))</f>
        <v/>
      </c>
      <c r="BB19" s="13">
        <f>IF(Time!BB20=1,$F$17,BA19*IF(Time!BB27=1,(1+BB14/100)^(Inputs!$F$236/12)*(1+BB12/100)^((Time!BB21-Inputs!$F$236)/12),(1+BB12/100)^Time!BB24))</f>
        <v/>
      </c>
      <c r="BC19" s="13">
        <f>IF(Time!BC20=1,$F$17,BB19*IF(Time!BC27=1,(1+BC14/100)^(Inputs!$F$236/12)*(1+BC12/100)^((Time!BC21-Inputs!$F$236)/12),(1+BC12/100)^Time!BC24))</f>
        <v/>
      </c>
      <c r="BD19" s="13">
        <f>IF(Time!BD20=1,$F$17,BC19*IF(Time!BD27=1,(1+BD14/100)^(Inputs!$F$236/12)*(1+BD12/100)^((Time!BD21-Inputs!$F$236)/12),(1+BD12/100)^Time!BD24))</f>
        <v/>
      </c>
      <c r="BE19" s="13">
        <f>IF(Time!BE20=1,$F$17,BD19*IF(Time!BE27=1,(1+BE14/100)^(Inputs!$F$236/12)*(1+BE12/100)^((Time!BE21-Inputs!$F$236)/12),(1+BE12/100)^Time!BE24))</f>
        <v/>
      </c>
      <c r="BF19" s="13">
        <f>IF(Time!BF20=1,$F$17,BE19*IF(Time!BF27=1,(1+BF14/100)^(Inputs!$F$236/12)*(1+BF12/100)^((Time!BF21-Inputs!$F$236)/12),(1+BF12/100)^Time!BF24))</f>
        <v/>
      </c>
      <c r="BG19" s="13">
        <f>IF(Time!BG20=1,$F$17,BF19*IF(Time!BG27=1,(1+BG14/100)^(Inputs!$F$236/12)*(1+BG12/100)^((Time!BG21-Inputs!$F$236)/12),(1+BG12/100)^Time!BG24))</f>
        <v/>
      </c>
      <c r="BH19" s="13">
        <f>IF(Time!BH20=1,$F$17,BG19*IF(Time!BH27=1,(1+BH14/100)^(Inputs!$F$236/12)*(1+BH12/100)^((Time!BH21-Inputs!$F$236)/12),(1+BH12/100)^Time!BH24))</f>
        <v/>
      </c>
      <c r="BI19" s="13">
        <f>IF(Time!BI20=1,$F$17,BH19*IF(Time!BI27=1,(1+BI14/100)^(Inputs!$F$236/12)*(1+BI12/100)^((Time!BI21-Inputs!$F$236)/12),(1+BI12/100)^Time!BI24))</f>
        <v/>
      </c>
      <c r="BJ19" s="13">
        <f>IF(Time!BJ20=1,$F$17,BI19*IF(Time!BJ27=1,(1+BJ14/100)^(Inputs!$F$236/12)*(1+BJ12/100)^((Time!BJ21-Inputs!$F$236)/12),(1+BJ12/100)^Time!BJ24))</f>
        <v/>
      </c>
      <c r="BK19" s="13">
        <f>IF(Time!BK20=1,$F$17,BJ19*IF(Time!BK27=1,(1+BK14/100)^(Inputs!$F$236/12)*(1+BK12/100)^((Time!BK21-Inputs!$F$236)/12),(1+BK12/100)^Time!BK24))</f>
        <v/>
      </c>
      <c r="BL19" s="13">
        <f>IF(Time!BL20=1,$F$17,BK19*IF(Time!BL27=1,(1+BL14/100)^(Inputs!$F$236/12)*(1+BL12/100)^((Time!BL21-Inputs!$F$236)/12),(1+BL12/100)^Time!BL24))</f>
        <v/>
      </c>
      <c r="BM19" s="13">
        <f>IF(Time!BM20=1,$F$17,BL19*IF(Time!BM27=1,(1+BM14/100)^(Inputs!$F$236/12)*(1+BM12/100)^((Time!BM21-Inputs!$F$236)/12),(1+BM12/100)^Time!BM24))</f>
        <v/>
      </c>
      <c r="BN19" s="13">
        <f>IF(Time!BN20=1,$F$17,BM19*IF(Time!BN27=1,(1+BN14/100)^(Inputs!$F$236/12)*(1+BN12/100)^((Time!BN21-Inputs!$F$236)/12),(1+BN12/100)^Time!BN24))</f>
        <v/>
      </c>
    </row>
    <row r="20">
      <c r="D20" t="inlineStr">
        <is>
          <t>US CPI index, tariff reading (3-month lag)</t>
        </is>
      </c>
      <c r="E20" t="inlineStr">
        <is>
          <t>index</t>
        </is>
      </c>
      <c r="J20" s="13">
        <f>IF(Time!J20=1,$F$18,I19)</f>
        <v/>
      </c>
      <c r="K20" s="13">
        <f>IF(Time!K20=1,$F$18,J19)</f>
        <v/>
      </c>
      <c r="L20" s="13">
        <f>IF(Time!L20=1,$F$18,K19)</f>
        <v/>
      </c>
      <c r="M20" s="13">
        <f>IF(Time!M20=1,$F$18,L19)</f>
        <v/>
      </c>
      <c r="N20" s="13">
        <f>IF(Time!N20=1,$F$18,M19)</f>
        <v/>
      </c>
      <c r="O20" s="13">
        <f>IF(Time!O20=1,$F$18,N19)</f>
        <v/>
      </c>
      <c r="P20" s="13">
        <f>IF(Time!P20=1,$F$18,O19)</f>
        <v/>
      </c>
      <c r="Q20" s="13">
        <f>IF(Time!Q20=1,$F$18,P19)</f>
        <v/>
      </c>
      <c r="R20" s="13">
        <f>IF(Time!R20=1,$F$18,Q19)</f>
        <v/>
      </c>
      <c r="S20" s="13">
        <f>IF(Time!S20=1,$F$18,R19)</f>
        <v/>
      </c>
      <c r="T20" s="13">
        <f>IF(Time!T20=1,$F$18,S19)</f>
        <v/>
      </c>
      <c r="U20" s="13">
        <f>IF(Time!U20=1,$F$18,T19)</f>
        <v/>
      </c>
      <c r="V20" s="13">
        <f>IF(Time!V20=1,$F$18,U19)</f>
        <v/>
      </c>
      <c r="W20" s="13">
        <f>IF(Time!W20=1,$F$18,V19)</f>
        <v/>
      </c>
      <c r="X20" s="13">
        <f>IF(Time!X20=1,$F$18,W19)</f>
        <v/>
      </c>
      <c r="Y20" s="13">
        <f>IF(Time!Y20=1,$F$18,X19)</f>
        <v/>
      </c>
      <c r="Z20" s="13">
        <f>IF(Time!Z20=1,$F$18,Y19)</f>
        <v/>
      </c>
      <c r="AA20" s="13">
        <f>IF(Time!AA20=1,$F$18,Z19)</f>
        <v/>
      </c>
      <c r="AB20" s="13">
        <f>IF(Time!AB20=1,$F$18,AA19)</f>
        <v/>
      </c>
      <c r="AC20" s="13">
        <f>IF(Time!AC20=1,$F$18,AB19)</f>
        <v/>
      </c>
      <c r="AD20" s="13">
        <f>IF(Time!AD20=1,$F$18,AC19)</f>
        <v/>
      </c>
      <c r="AE20" s="13">
        <f>IF(Time!AE20=1,$F$18,AD19)</f>
        <v/>
      </c>
      <c r="AF20" s="13">
        <f>IF(Time!AF20=1,$F$18,AE19)</f>
        <v/>
      </c>
      <c r="AG20" s="13">
        <f>IF(Time!AG20=1,$F$18,AF19)</f>
        <v/>
      </c>
      <c r="AH20" s="13">
        <f>IF(Time!AH20=1,$F$18,AG19)</f>
        <v/>
      </c>
      <c r="AI20" s="13">
        <f>IF(Time!AI20=1,$F$18,AH19)</f>
        <v/>
      </c>
      <c r="AJ20" s="13">
        <f>IF(Time!AJ20=1,$F$18,AI19)</f>
        <v/>
      </c>
      <c r="AK20" s="13">
        <f>IF(Time!AK20=1,$F$18,AJ19)</f>
        <v/>
      </c>
      <c r="AL20" s="13">
        <f>IF(Time!AL20=1,$F$18,AK19)</f>
        <v/>
      </c>
      <c r="AM20" s="13">
        <f>IF(Time!AM20=1,$F$18,AL19)</f>
        <v/>
      </c>
      <c r="AN20" s="13">
        <f>IF(Time!AN20=1,$F$18,AM19)</f>
        <v/>
      </c>
      <c r="AO20" s="13">
        <f>IF(Time!AO20=1,$F$18,AN19)</f>
        <v/>
      </c>
      <c r="AP20" s="13">
        <f>IF(Time!AP20=1,$F$18,AO19)</f>
        <v/>
      </c>
      <c r="AQ20" s="13">
        <f>IF(Time!AQ20=1,$F$18,AP19)</f>
        <v/>
      </c>
      <c r="AR20" s="13">
        <f>IF(Time!AR20=1,$F$18,AQ19)</f>
        <v/>
      </c>
      <c r="AS20" s="13">
        <f>IF(Time!AS20=1,$F$18,AR19)</f>
        <v/>
      </c>
      <c r="AT20" s="13">
        <f>IF(Time!AT20=1,$F$18,AS19)</f>
        <v/>
      </c>
      <c r="AU20" s="13">
        <f>IF(Time!AU20=1,$F$18,AT19)</f>
        <v/>
      </c>
      <c r="AV20" s="13">
        <f>IF(Time!AV20=1,$F$18,AU19)</f>
        <v/>
      </c>
      <c r="AW20" s="13">
        <f>IF(Time!AW20=1,$F$18,AV19)</f>
        <v/>
      </c>
      <c r="AX20" s="13">
        <f>IF(Time!AX20=1,$F$18,AW19)</f>
        <v/>
      </c>
      <c r="AY20" s="13">
        <f>IF(Time!AY20=1,$F$18,AX19)</f>
        <v/>
      </c>
      <c r="AZ20" s="13">
        <f>IF(Time!AZ20=1,$F$18,AY19)</f>
        <v/>
      </c>
      <c r="BA20" s="13">
        <f>IF(Time!BA20=1,$F$18,AZ19)</f>
        <v/>
      </c>
      <c r="BB20" s="13">
        <f>IF(Time!BB20=1,$F$18,BA19)</f>
        <v/>
      </c>
      <c r="BC20" s="13">
        <f>IF(Time!BC20=1,$F$18,BB19)</f>
        <v/>
      </c>
      <c r="BD20" s="13">
        <f>IF(Time!BD20=1,$F$18,BC19)</f>
        <v/>
      </c>
      <c r="BE20" s="13">
        <f>IF(Time!BE20=1,$F$18,BD19)</f>
        <v/>
      </c>
      <c r="BF20" s="13">
        <f>IF(Time!BF20=1,$F$18,BE19)</f>
        <v/>
      </c>
      <c r="BG20" s="13">
        <f>IF(Time!BG20=1,$F$18,BF19)</f>
        <v/>
      </c>
      <c r="BH20" s="13">
        <f>IF(Time!BH20=1,$F$18,BG19)</f>
        <v/>
      </c>
      <c r="BI20" s="13">
        <f>IF(Time!BI20=1,$F$18,BH19)</f>
        <v/>
      </c>
      <c r="BJ20" s="13">
        <f>IF(Time!BJ20=1,$F$18,BI19)</f>
        <v/>
      </c>
      <c r="BK20" s="13">
        <f>IF(Time!BK20=1,$F$18,BJ19)</f>
        <v/>
      </c>
      <c r="BL20" s="13">
        <f>IF(Time!BL20=1,$F$18,BK19)</f>
        <v/>
      </c>
      <c r="BM20" s="13">
        <f>IF(Time!BM20=1,$F$18,BL19)</f>
        <v/>
      </c>
      <c r="BN20" s="13">
        <f>IF(Time!BN20=1,$F$18,BM19)</f>
        <v/>
      </c>
    </row>
    <row r="21">
      <c r="D21" t="inlineStr">
        <is>
          <t>US cost indexation factor vs 2018 prices</t>
        </is>
      </c>
      <c r="E21" t="inlineStr">
        <is>
          <t>factor</t>
        </is>
      </c>
      <c r="J21" s="13">
        <f>J19/$F$16</f>
        <v/>
      </c>
      <c r="K21" s="13">
        <f>K19/$F$16</f>
        <v/>
      </c>
      <c r="L21" s="13">
        <f>L19/$F$16</f>
        <v/>
      </c>
      <c r="M21" s="13">
        <f>M19/$F$16</f>
        <v/>
      </c>
      <c r="N21" s="13">
        <f>N19/$F$16</f>
        <v/>
      </c>
      <c r="O21" s="13">
        <f>O19/$F$16</f>
        <v/>
      </c>
      <c r="P21" s="13">
        <f>P19/$F$16</f>
        <v/>
      </c>
      <c r="Q21" s="13">
        <f>Q19/$F$16</f>
        <v/>
      </c>
      <c r="R21" s="13">
        <f>R19/$F$16</f>
        <v/>
      </c>
      <c r="S21" s="13">
        <f>S19/$F$16</f>
        <v/>
      </c>
      <c r="T21" s="13">
        <f>T19/$F$16</f>
        <v/>
      </c>
      <c r="U21" s="13">
        <f>U19/$F$16</f>
        <v/>
      </c>
      <c r="V21" s="13">
        <f>V19/$F$16</f>
        <v/>
      </c>
      <c r="W21" s="13">
        <f>W19/$F$16</f>
        <v/>
      </c>
      <c r="X21" s="13">
        <f>X19/$F$16</f>
        <v/>
      </c>
      <c r="Y21" s="13">
        <f>Y19/$F$16</f>
        <v/>
      </c>
      <c r="Z21" s="13">
        <f>Z19/$F$16</f>
        <v/>
      </c>
      <c r="AA21" s="13">
        <f>AA19/$F$16</f>
        <v/>
      </c>
      <c r="AB21" s="13">
        <f>AB19/$F$16</f>
        <v/>
      </c>
      <c r="AC21" s="13">
        <f>AC19/$F$16</f>
        <v/>
      </c>
      <c r="AD21" s="13">
        <f>AD19/$F$16</f>
        <v/>
      </c>
      <c r="AE21" s="13">
        <f>AE19/$F$16</f>
        <v/>
      </c>
      <c r="AF21" s="13">
        <f>AF19/$F$16</f>
        <v/>
      </c>
      <c r="AG21" s="13">
        <f>AG19/$F$16</f>
        <v/>
      </c>
      <c r="AH21" s="13">
        <f>AH19/$F$16</f>
        <v/>
      </c>
      <c r="AI21" s="13">
        <f>AI19/$F$16</f>
        <v/>
      </c>
      <c r="AJ21" s="13">
        <f>AJ19/$F$16</f>
        <v/>
      </c>
      <c r="AK21" s="13">
        <f>AK19/$F$16</f>
        <v/>
      </c>
      <c r="AL21" s="13">
        <f>AL19/$F$16</f>
        <v/>
      </c>
      <c r="AM21" s="13">
        <f>AM19/$F$16</f>
        <v/>
      </c>
      <c r="AN21" s="13">
        <f>AN19/$F$16</f>
        <v/>
      </c>
      <c r="AO21" s="13">
        <f>AO19/$F$16</f>
        <v/>
      </c>
      <c r="AP21" s="13">
        <f>AP19/$F$16</f>
        <v/>
      </c>
      <c r="AQ21" s="13">
        <f>AQ19/$F$16</f>
        <v/>
      </c>
      <c r="AR21" s="13">
        <f>AR19/$F$16</f>
        <v/>
      </c>
      <c r="AS21" s="13">
        <f>AS19/$F$16</f>
        <v/>
      </c>
      <c r="AT21" s="13">
        <f>AT19/$F$16</f>
        <v/>
      </c>
      <c r="AU21" s="13">
        <f>AU19/$F$16</f>
        <v/>
      </c>
      <c r="AV21" s="13">
        <f>AV19/$F$16</f>
        <v/>
      </c>
      <c r="AW21" s="13">
        <f>AW19/$F$16</f>
        <v/>
      </c>
      <c r="AX21" s="13">
        <f>AX19/$F$16</f>
        <v/>
      </c>
      <c r="AY21" s="13">
        <f>AY19/$F$16</f>
        <v/>
      </c>
      <c r="AZ21" s="13">
        <f>AZ19/$F$16</f>
        <v/>
      </c>
      <c r="BA21" s="13">
        <f>BA19/$F$16</f>
        <v/>
      </c>
      <c r="BB21" s="13">
        <f>BB19/$F$16</f>
        <v/>
      </c>
      <c r="BC21" s="13">
        <f>BC19/$F$16</f>
        <v/>
      </c>
      <c r="BD21" s="13">
        <f>BD19/$F$16</f>
        <v/>
      </c>
      <c r="BE21" s="13">
        <f>BE19/$F$16</f>
        <v/>
      </c>
      <c r="BF21" s="13">
        <f>BF19/$F$16</f>
        <v/>
      </c>
      <c r="BG21" s="13">
        <f>BG19/$F$16</f>
        <v/>
      </c>
      <c r="BH21" s="13">
        <f>BH19/$F$16</f>
        <v/>
      </c>
      <c r="BI21" s="13">
        <f>BI19/$F$16</f>
        <v/>
      </c>
      <c r="BJ21" s="13">
        <f>BJ19/$F$16</f>
        <v/>
      </c>
      <c r="BK21" s="13">
        <f>BK19/$F$16</f>
        <v/>
      </c>
      <c r="BL21" s="13">
        <f>BL19/$F$16</f>
        <v/>
      </c>
      <c r="BM21" s="13">
        <f>BM19/$F$16</f>
        <v/>
      </c>
      <c r="BN21" s="13">
        <f>BN19/$F$16</f>
        <v/>
      </c>
    </row>
    <row r="22">
      <c r="D22" t="inlineStr">
        <is>
          <t>KC index, 2018 price base month</t>
        </is>
      </c>
      <c r="E22" t="inlineStr">
        <is>
          <t>index</t>
        </is>
      </c>
      <c r="F22" s="3">
        <f>Inputs!$F$232*(1+CHOOSE(Inputs!$F$33,INDEX(Inputs!$J$284:$AR$284,1,MATCH(Inputs!$F$230,Inputs!$J$282:$AR$282,0)),INDEX(Inputs!$J$286:$AR$286,1,MATCH(Inputs!$F$230,Inputs!$J$282:$AR$282,0)),INDEX(Inputs!$J$288:$AR$288,1,MATCH(Inputs!$F$230,Inputs!$J$282:$AR$282,0)))/100)^((12-Inputs!$F$231)/12)*(1+CHOOSE(Inputs!$F$33,INDEX(Inputs!$J$284:$AR$284,1,MATCH(Inputs!$F$230+1,Inputs!$J$282:$AR$282,0)),INDEX(Inputs!$J$286:$AR$286,1,MATCH(Inputs!$F$230+1,Inputs!$J$282:$AR$282,0)),INDEX(Inputs!$J$288:$AR$288,1,MATCH(Inputs!$F$230+1,Inputs!$J$282:$AR$282,0)))/100)*(1+CHOOSE(Inputs!$F$33,INDEX(Inputs!$J$284:$AR$284,1,MATCH(YEAR(Inputs!$F$189),Inputs!$J$282:$AR$282,0)),INDEX(Inputs!$J$286:$AR$286,1,MATCH(YEAR(Inputs!$F$189),Inputs!$J$282:$AR$282,0)),INDEX(Inputs!$J$288:$AR$288,1,MATCH(YEAR(Inputs!$F$189),Inputs!$J$282:$AR$282,0)))/100)^(Inputs!$F$235/12)</f>
        <v/>
      </c>
    </row>
    <row r="23">
      <c r="D23" t="inlineStr">
        <is>
          <t>KC index, first cost reading</t>
        </is>
      </c>
      <c r="E23" t="inlineStr">
        <is>
          <t>index</t>
        </is>
      </c>
      <c r="F23" s="3">
        <f>Inputs!$F$232*(1+CHOOSE(Inputs!$F$33,INDEX(Inputs!$J$284:$AR$284,1,MATCH(Inputs!$F$230,Inputs!$J$282:$AR$282,0)),INDEX(Inputs!$J$286:$AR$286,1,MATCH(Inputs!$F$230,Inputs!$J$282:$AR$282,0)),INDEX(Inputs!$J$288:$AR$288,1,MATCH(Inputs!$F$230,Inputs!$J$282:$AR$282,0)))/100)^((12-Inputs!$F$231)/12)*(1+CHOOSE(Inputs!$F$33,INDEX(Inputs!$J$284:$AR$284,1,MATCH(Inputs!$F$230+1,Inputs!$J$282:$AR$282,0)),INDEX(Inputs!$J$286:$AR$286,1,MATCH(Inputs!$F$230+1,Inputs!$J$282:$AR$282,0)),INDEX(Inputs!$J$288:$AR$288,1,MATCH(Inputs!$F$230+1,Inputs!$J$282:$AR$282,0)))/100)*(1+CHOOSE(Inputs!$F$33,INDEX(Inputs!$J$284:$AR$284,1,MATCH(YEAR(Inputs!$F$189),Inputs!$J$282:$AR$282,0)),INDEX(Inputs!$J$286:$AR$286,1,MATCH(YEAR(Inputs!$F$189),Inputs!$J$282:$AR$282,0)),INDEX(Inputs!$J$288:$AR$288,1,MATCH(YEAR(Inputs!$F$189),Inputs!$J$282:$AR$282,0)))/100)^(Inputs!$F$233/12)</f>
        <v/>
      </c>
    </row>
    <row r="24">
      <c r="D24" t="inlineStr">
        <is>
          <t>KC index, first tariff reading</t>
        </is>
      </c>
      <c r="E24" t="inlineStr">
        <is>
          <t>index</t>
        </is>
      </c>
      <c r="F24" s="3">
        <f>Inputs!$F$232*(1+CHOOSE(Inputs!$F$33,INDEX(Inputs!$J$284:$AR$284,1,MATCH(Inputs!$F$230,Inputs!$J$282:$AR$282,0)),INDEX(Inputs!$J$286:$AR$286,1,MATCH(Inputs!$F$230,Inputs!$J$282:$AR$282,0)),INDEX(Inputs!$J$288:$AR$288,1,MATCH(Inputs!$F$230,Inputs!$J$282:$AR$282,0)))/100)^((12-Inputs!$F$231)/12)*(1+CHOOSE(Inputs!$F$33,INDEX(Inputs!$J$284:$AR$284,1,MATCH(Inputs!$F$230+1,Inputs!$J$282:$AR$282,0)),INDEX(Inputs!$J$286:$AR$286,1,MATCH(Inputs!$F$230+1,Inputs!$J$282:$AR$282,0)),INDEX(Inputs!$J$288:$AR$288,1,MATCH(Inputs!$F$230+1,Inputs!$J$282:$AR$282,0)))/100)*(1+CHOOSE(Inputs!$F$33,INDEX(Inputs!$J$284:$AR$284,1,MATCH(YEAR(Inputs!$F$189),Inputs!$J$282:$AR$282,0)),INDEX(Inputs!$J$286:$AR$286,1,MATCH(YEAR(Inputs!$F$189),Inputs!$J$282:$AR$282,0)),INDEX(Inputs!$J$288:$AR$288,1,MATCH(YEAR(Inputs!$F$189),Inputs!$J$282:$AR$282,0)))/100)^(Inputs!$F$234/12)</f>
        <v/>
      </c>
    </row>
    <row r="25">
      <c r="D25" t="inlineStr">
        <is>
          <t>Kessara CPI index, cost reading (Mar/Sep), Nov 2016 = 100</t>
        </is>
      </c>
      <c r="E25" t="inlineStr">
        <is>
          <t>index</t>
        </is>
      </c>
      <c r="J25" s="13">
        <f>IF(Time!J20=1,$F$23,I25*IF(Time!J27=1,(1+J15/100)^(Inputs!$F$236/12)*(1+J13/100)^((Time!J21-Inputs!$F$236)/12),(1+J13/100)^Time!J24))</f>
        <v/>
      </c>
      <c r="K25" s="13">
        <f>IF(Time!K20=1,$F$23,J25*IF(Time!K27=1,(1+K15/100)^(Inputs!$F$236/12)*(1+K13/100)^((Time!K21-Inputs!$F$236)/12),(1+K13/100)^Time!K24))</f>
        <v/>
      </c>
      <c r="L25" s="13">
        <f>IF(Time!L20=1,$F$23,K25*IF(Time!L27=1,(1+L15/100)^(Inputs!$F$236/12)*(1+L13/100)^((Time!L21-Inputs!$F$236)/12),(1+L13/100)^Time!L24))</f>
        <v/>
      </c>
      <c r="M25" s="13">
        <f>IF(Time!M20=1,$F$23,L25*IF(Time!M27=1,(1+M15/100)^(Inputs!$F$236/12)*(1+M13/100)^((Time!M21-Inputs!$F$236)/12),(1+M13/100)^Time!M24))</f>
        <v/>
      </c>
      <c r="N25" s="13">
        <f>IF(Time!N20=1,$F$23,M25*IF(Time!N27=1,(1+N15/100)^(Inputs!$F$236/12)*(1+N13/100)^((Time!N21-Inputs!$F$236)/12),(1+N13/100)^Time!N24))</f>
        <v/>
      </c>
      <c r="O25" s="13">
        <f>IF(Time!O20=1,$F$23,N25*IF(Time!O27=1,(1+O15/100)^(Inputs!$F$236/12)*(1+O13/100)^((Time!O21-Inputs!$F$236)/12),(1+O13/100)^Time!O24))</f>
        <v/>
      </c>
      <c r="P25" s="13">
        <f>IF(Time!P20=1,$F$23,O25*IF(Time!P27=1,(1+P15/100)^(Inputs!$F$236/12)*(1+P13/100)^((Time!P21-Inputs!$F$236)/12),(1+P13/100)^Time!P24))</f>
        <v/>
      </c>
      <c r="Q25" s="13">
        <f>IF(Time!Q20=1,$F$23,P25*IF(Time!Q27=1,(1+Q15/100)^(Inputs!$F$236/12)*(1+Q13/100)^((Time!Q21-Inputs!$F$236)/12),(1+Q13/100)^Time!Q24))</f>
        <v/>
      </c>
      <c r="R25" s="13">
        <f>IF(Time!R20=1,$F$23,Q25*IF(Time!R27=1,(1+R15/100)^(Inputs!$F$236/12)*(1+R13/100)^((Time!R21-Inputs!$F$236)/12),(1+R13/100)^Time!R24))</f>
        <v/>
      </c>
      <c r="S25" s="13">
        <f>IF(Time!S20=1,$F$23,R25*IF(Time!S27=1,(1+S15/100)^(Inputs!$F$236/12)*(1+S13/100)^((Time!S21-Inputs!$F$236)/12),(1+S13/100)^Time!S24))</f>
        <v/>
      </c>
      <c r="T25" s="13">
        <f>IF(Time!T20=1,$F$23,S25*IF(Time!T27=1,(1+T15/100)^(Inputs!$F$236/12)*(1+T13/100)^((Time!T21-Inputs!$F$236)/12),(1+T13/100)^Time!T24))</f>
        <v/>
      </c>
      <c r="U25" s="13">
        <f>IF(Time!U20=1,$F$23,T25*IF(Time!U27=1,(1+U15/100)^(Inputs!$F$236/12)*(1+U13/100)^((Time!U21-Inputs!$F$236)/12),(1+U13/100)^Time!U24))</f>
        <v/>
      </c>
      <c r="V25" s="13">
        <f>IF(Time!V20=1,$F$23,U25*IF(Time!V27=1,(1+V15/100)^(Inputs!$F$236/12)*(1+V13/100)^((Time!V21-Inputs!$F$236)/12),(1+V13/100)^Time!V24))</f>
        <v/>
      </c>
      <c r="W25" s="13">
        <f>IF(Time!W20=1,$F$23,V25*IF(Time!W27=1,(1+W15/100)^(Inputs!$F$236/12)*(1+W13/100)^((Time!W21-Inputs!$F$236)/12),(1+W13/100)^Time!W24))</f>
        <v/>
      </c>
      <c r="X25" s="13">
        <f>IF(Time!X20=1,$F$23,W25*IF(Time!X27=1,(1+X15/100)^(Inputs!$F$236/12)*(1+X13/100)^((Time!X21-Inputs!$F$236)/12),(1+X13/100)^Time!X24))</f>
        <v/>
      </c>
      <c r="Y25" s="13">
        <f>IF(Time!Y20=1,$F$23,X25*IF(Time!Y27=1,(1+Y15/100)^(Inputs!$F$236/12)*(1+Y13/100)^((Time!Y21-Inputs!$F$236)/12),(1+Y13/100)^Time!Y24))</f>
        <v/>
      </c>
      <c r="Z25" s="13">
        <f>IF(Time!Z20=1,$F$23,Y25*IF(Time!Z27=1,(1+Z15/100)^(Inputs!$F$236/12)*(1+Z13/100)^((Time!Z21-Inputs!$F$236)/12),(1+Z13/100)^Time!Z24))</f>
        <v/>
      </c>
      <c r="AA25" s="13">
        <f>IF(Time!AA20=1,$F$23,Z25*IF(Time!AA27=1,(1+AA15/100)^(Inputs!$F$236/12)*(1+AA13/100)^((Time!AA21-Inputs!$F$236)/12),(1+AA13/100)^Time!AA24))</f>
        <v/>
      </c>
      <c r="AB25" s="13">
        <f>IF(Time!AB20=1,$F$23,AA25*IF(Time!AB27=1,(1+AB15/100)^(Inputs!$F$236/12)*(1+AB13/100)^((Time!AB21-Inputs!$F$236)/12),(1+AB13/100)^Time!AB24))</f>
        <v/>
      </c>
      <c r="AC25" s="13">
        <f>IF(Time!AC20=1,$F$23,AB25*IF(Time!AC27=1,(1+AC15/100)^(Inputs!$F$236/12)*(1+AC13/100)^((Time!AC21-Inputs!$F$236)/12),(1+AC13/100)^Time!AC24))</f>
        <v/>
      </c>
      <c r="AD25" s="13">
        <f>IF(Time!AD20=1,$F$23,AC25*IF(Time!AD27=1,(1+AD15/100)^(Inputs!$F$236/12)*(1+AD13/100)^((Time!AD21-Inputs!$F$236)/12),(1+AD13/100)^Time!AD24))</f>
        <v/>
      </c>
      <c r="AE25" s="13">
        <f>IF(Time!AE20=1,$F$23,AD25*IF(Time!AE27=1,(1+AE15/100)^(Inputs!$F$236/12)*(1+AE13/100)^((Time!AE21-Inputs!$F$236)/12),(1+AE13/100)^Time!AE24))</f>
        <v/>
      </c>
      <c r="AF25" s="13">
        <f>IF(Time!AF20=1,$F$23,AE25*IF(Time!AF27=1,(1+AF15/100)^(Inputs!$F$236/12)*(1+AF13/100)^((Time!AF21-Inputs!$F$236)/12),(1+AF13/100)^Time!AF24))</f>
        <v/>
      </c>
      <c r="AG25" s="13">
        <f>IF(Time!AG20=1,$F$23,AF25*IF(Time!AG27=1,(1+AG15/100)^(Inputs!$F$236/12)*(1+AG13/100)^((Time!AG21-Inputs!$F$236)/12),(1+AG13/100)^Time!AG24))</f>
        <v/>
      </c>
      <c r="AH25" s="13">
        <f>IF(Time!AH20=1,$F$23,AG25*IF(Time!AH27=1,(1+AH15/100)^(Inputs!$F$236/12)*(1+AH13/100)^((Time!AH21-Inputs!$F$236)/12),(1+AH13/100)^Time!AH24))</f>
        <v/>
      </c>
      <c r="AI25" s="13">
        <f>IF(Time!AI20=1,$F$23,AH25*IF(Time!AI27=1,(1+AI15/100)^(Inputs!$F$236/12)*(1+AI13/100)^((Time!AI21-Inputs!$F$236)/12),(1+AI13/100)^Time!AI24))</f>
        <v/>
      </c>
      <c r="AJ25" s="13">
        <f>IF(Time!AJ20=1,$F$23,AI25*IF(Time!AJ27=1,(1+AJ15/100)^(Inputs!$F$236/12)*(1+AJ13/100)^((Time!AJ21-Inputs!$F$236)/12),(1+AJ13/100)^Time!AJ24))</f>
        <v/>
      </c>
      <c r="AK25" s="13">
        <f>IF(Time!AK20=1,$F$23,AJ25*IF(Time!AK27=1,(1+AK15/100)^(Inputs!$F$236/12)*(1+AK13/100)^((Time!AK21-Inputs!$F$236)/12),(1+AK13/100)^Time!AK24))</f>
        <v/>
      </c>
      <c r="AL25" s="13">
        <f>IF(Time!AL20=1,$F$23,AK25*IF(Time!AL27=1,(1+AL15/100)^(Inputs!$F$236/12)*(1+AL13/100)^((Time!AL21-Inputs!$F$236)/12),(1+AL13/100)^Time!AL24))</f>
        <v/>
      </c>
      <c r="AM25" s="13">
        <f>IF(Time!AM20=1,$F$23,AL25*IF(Time!AM27=1,(1+AM15/100)^(Inputs!$F$236/12)*(1+AM13/100)^((Time!AM21-Inputs!$F$236)/12),(1+AM13/100)^Time!AM24))</f>
        <v/>
      </c>
      <c r="AN25" s="13">
        <f>IF(Time!AN20=1,$F$23,AM25*IF(Time!AN27=1,(1+AN15/100)^(Inputs!$F$236/12)*(1+AN13/100)^((Time!AN21-Inputs!$F$236)/12),(1+AN13/100)^Time!AN24))</f>
        <v/>
      </c>
      <c r="AO25" s="13">
        <f>IF(Time!AO20=1,$F$23,AN25*IF(Time!AO27=1,(1+AO15/100)^(Inputs!$F$236/12)*(1+AO13/100)^((Time!AO21-Inputs!$F$236)/12),(1+AO13/100)^Time!AO24))</f>
        <v/>
      </c>
      <c r="AP25" s="13">
        <f>IF(Time!AP20=1,$F$23,AO25*IF(Time!AP27=1,(1+AP15/100)^(Inputs!$F$236/12)*(1+AP13/100)^((Time!AP21-Inputs!$F$236)/12),(1+AP13/100)^Time!AP24))</f>
        <v/>
      </c>
      <c r="AQ25" s="13">
        <f>IF(Time!AQ20=1,$F$23,AP25*IF(Time!AQ27=1,(1+AQ15/100)^(Inputs!$F$236/12)*(1+AQ13/100)^((Time!AQ21-Inputs!$F$236)/12),(1+AQ13/100)^Time!AQ24))</f>
        <v/>
      </c>
      <c r="AR25" s="13">
        <f>IF(Time!AR20=1,$F$23,AQ25*IF(Time!AR27=1,(1+AR15/100)^(Inputs!$F$236/12)*(1+AR13/100)^((Time!AR21-Inputs!$F$236)/12),(1+AR13/100)^Time!AR24))</f>
        <v/>
      </c>
      <c r="AS25" s="13">
        <f>IF(Time!AS20=1,$F$23,AR25*IF(Time!AS27=1,(1+AS15/100)^(Inputs!$F$236/12)*(1+AS13/100)^((Time!AS21-Inputs!$F$236)/12),(1+AS13/100)^Time!AS24))</f>
        <v/>
      </c>
      <c r="AT25" s="13">
        <f>IF(Time!AT20=1,$F$23,AS25*IF(Time!AT27=1,(1+AT15/100)^(Inputs!$F$236/12)*(1+AT13/100)^((Time!AT21-Inputs!$F$236)/12),(1+AT13/100)^Time!AT24))</f>
        <v/>
      </c>
      <c r="AU25" s="13">
        <f>IF(Time!AU20=1,$F$23,AT25*IF(Time!AU27=1,(1+AU15/100)^(Inputs!$F$236/12)*(1+AU13/100)^((Time!AU21-Inputs!$F$236)/12),(1+AU13/100)^Time!AU24))</f>
        <v/>
      </c>
      <c r="AV25" s="13">
        <f>IF(Time!AV20=1,$F$23,AU25*IF(Time!AV27=1,(1+AV15/100)^(Inputs!$F$236/12)*(1+AV13/100)^((Time!AV21-Inputs!$F$236)/12),(1+AV13/100)^Time!AV24))</f>
        <v/>
      </c>
      <c r="AW25" s="13">
        <f>IF(Time!AW20=1,$F$23,AV25*IF(Time!AW27=1,(1+AW15/100)^(Inputs!$F$236/12)*(1+AW13/100)^((Time!AW21-Inputs!$F$236)/12),(1+AW13/100)^Time!AW24))</f>
        <v/>
      </c>
      <c r="AX25" s="13">
        <f>IF(Time!AX20=1,$F$23,AW25*IF(Time!AX27=1,(1+AX15/100)^(Inputs!$F$236/12)*(1+AX13/100)^((Time!AX21-Inputs!$F$236)/12),(1+AX13/100)^Time!AX24))</f>
        <v/>
      </c>
      <c r="AY25" s="13">
        <f>IF(Time!AY20=1,$F$23,AX25*IF(Time!AY27=1,(1+AY15/100)^(Inputs!$F$236/12)*(1+AY13/100)^((Time!AY21-Inputs!$F$236)/12),(1+AY13/100)^Time!AY24))</f>
        <v/>
      </c>
      <c r="AZ25" s="13">
        <f>IF(Time!AZ20=1,$F$23,AY25*IF(Time!AZ27=1,(1+AZ15/100)^(Inputs!$F$236/12)*(1+AZ13/100)^((Time!AZ21-Inputs!$F$236)/12),(1+AZ13/100)^Time!AZ24))</f>
        <v/>
      </c>
      <c r="BA25" s="13">
        <f>IF(Time!BA20=1,$F$23,AZ25*IF(Time!BA27=1,(1+BA15/100)^(Inputs!$F$236/12)*(1+BA13/100)^((Time!BA21-Inputs!$F$236)/12),(1+BA13/100)^Time!BA24))</f>
        <v/>
      </c>
      <c r="BB25" s="13">
        <f>IF(Time!BB20=1,$F$23,BA25*IF(Time!BB27=1,(1+BB15/100)^(Inputs!$F$236/12)*(1+BB13/100)^((Time!BB21-Inputs!$F$236)/12),(1+BB13/100)^Time!BB24))</f>
        <v/>
      </c>
      <c r="BC25" s="13">
        <f>IF(Time!BC20=1,$F$23,BB25*IF(Time!BC27=1,(1+BC15/100)^(Inputs!$F$236/12)*(1+BC13/100)^((Time!BC21-Inputs!$F$236)/12),(1+BC13/100)^Time!BC24))</f>
        <v/>
      </c>
      <c r="BD25" s="13">
        <f>IF(Time!BD20=1,$F$23,BC25*IF(Time!BD27=1,(1+BD15/100)^(Inputs!$F$236/12)*(1+BD13/100)^((Time!BD21-Inputs!$F$236)/12),(1+BD13/100)^Time!BD24))</f>
        <v/>
      </c>
      <c r="BE25" s="13">
        <f>IF(Time!BE20=1,$F$23,BD25*IF(Time!BE27=1,(1+BE15/100)^(Inputs!$F$236/12)*(1+BE13/100)^((Time!BE21-Inputs!$F$236)/12),(1+BE13/100)^Time!BE24))</f>
        <v/>
      </c>
      <c r="BF25" s="13">
        <f>IF(Time!BF20=1,$F$23,BE25*IF(Time!BF27=1,(1+BF15/100)^(Inputs!$F$236/12)*(1+BF13/100)^((Time!BF21-Inputs!$F$236)/12),(1+BF13/100)^Time!BF24))</f>
        <v/>
      </c>
      <c r="BG25" s="13">
        <f>IF(Time!BG20=1,$F$23,BF25*IF(Time!BG27=1,(1+BG15/100)^(Inputs!$F$236/12)*(1+BG13/100)^((Time!BG21-Inputs!$F$236)/12),(1+BG13/100)^Time!BG24))</f>
        <v/>
      </c>
      <c r="BH25" s="13">
        <f>IF(Time!BH20=1,$F$23,BG25*IF(Time!BH27=1,(1+BH15/100)^(Inputs!$F$236/12)*(1+BH13/100)^((Time!BH21-Inputs!$F$236)/12),(1+BH13/100)^Time!BH24))</f>
        <v/>
      </c>
      <c r="BI25" s="13">
        <f>IF(Time!BI20=1,$F$23,BH25*IF(Time!BI27=1,(1+BI15/100)^(Inputs!$F$236/12)*(1+BI13/100)^((Time!BI21-Inputs!$F$236)/12),(1+BI13/100)^Time!BI24))</f>
        <v/>
      </c>
      <c r="BJ25" s="13">
        <f>IF(Time!BJ20=1,$F$23,BI25*IF(Time!BJ27=1,(1+BJ15/100)^(Inputs!$F$236/12)*(1+BJ13/100)^((Time!BJ21-Inputs!$F$236)/12),(1+BJ13/100)^Time!BJ24))</f>
        <v/>
      </c>
      <c r="BK25" s="13">
        <f>IF(Time!BK20=1,$F$23,BJ25*IF(Time!BK27=1,(1+BK15/100)^(Inputs!$F$236/12)*(1+BK13/100)^((Time!BK21-Inputs!$F$236)/12),(1+BK13/100)^Time!BK24))</f>
        <v/>
      </c>
      <c r="BL25" s="13">
        <f>IF(Time!BL20=1,$F$23,BK25*IF(Time!BL27=1,(1+BL15/100)^(Inputs!$F$236/12)*(1+BL13/100)^((Time!BL21-Inputs!$F$236)/12),(1+BL13/100)^Time!BL24))</f>
        <v/>
      </c>
      <c r="BM25" s="13">
        <f>IF(Time!BM20=1,$F$23,BL25*IF(Time!BM27=1,(1+BM15/100)^(Inputs!$F$236/12)*(1+BM13/100)^((Time!BM21-Inputs!$F$236)/12),(1+BM13/100)^Time!BM24))</f>
        <v/>
      </c>
      <c r="BN25" s="13">
        <f>IF(Time!BN20=1,$F$23,BM25*IF(Time!BN27=1,(1+BN15/100)^(Inputs!$F$236/12)*(1+BN13/100)^((Time!BN21-Inputs!$F$236)/12),(1+BN13/100)^Time!BN24))</f>
        <v/>
      </c>
    </row>
    <row r="26">
      <c r="D26" t="inlineStr">
        <is>
          <t>Kessara CPI index, tariff reading (3-month lag)</t>
        </is>
      </c>
      <c r="E26" t="inlineStr">
        <is>
          <t>index</t>
        </is>
      </c>
      <c r="J26" s="13">
        <f>IF(Time!J20=1,$F$24,I25)</f>
        <v/>
      </c>
      <c r="K26" s="13">
        <f>IF(Time!K20=1,$F$24,J25)</f>
        <v/>
      </c>
      <c r="L26" s="13">
        <f>IF(Time!L20=1,$F$24,K25)</f>
        <v/>
      </c>
      <c r="M26" s="13">
        <f>IF(Time!M20=1,$F$24,L25)</f>
        <v/>
      </c>
      <c r="N26" s="13">
        <f>IF(Time!N20=1,$F$24,M25)</f>
        <v/>
      </c>
      <c r="O26" s="13">
        <f>IF(Time!O20=1,$F$24,N25)</f>
        <v/>
      </c>
      <c r="P26" s="13">
        <f>IF(Time!P20=1,$F$24,O25)</f>
        <v/>
      </c>
      <c r="Q26" s="13">
        <f>IF(Time!Q20=1,$F$24,P25)</f>
        <v/>
      </c>
      <c r="R26" s="13">
        <f>IF(Time!R20=1,$F$24,Q25)</f>
        <v/>
      </c>
      <c r="S26" s="13">
        <f>IF(Time!S20=1,$F$24,R25)</f>
        <v/>
      </c>
      <c r="T26" s="13">
        <f>IF(Time!T20=1,$F$24,S25)</f>
        <v/>
      </c>
      <c r="U26" s="13">
        <f>IF(Time!U20=1,$F$24,T25)</f>
        <v/>
      </c>
      <c r="V26" s="13">
        <f>IF(Time!V20=1,$F$24,U25)</f>
        <v/>
      </c>
      <c r="W26" s="13">
        <f>IF(Time!W20=1,$F$24,V25)</f>
        <v/>
      </c>
      <c r="X26" s="13">
        <f>IF(Time!X20=1,$F$24,W25)</f>
        <v/>
      </c>
      <c r="Y26" s="13">
        <f>IF(Time!Y20=1,$F$24,X25)</f>
        <v/>
      </c>
      <c r="Z26" s="13">
        <f>IF(Time!Z20=1,$F$24,Y25)</f>
        <v/>
      </c>
      <c r="AA26" s="13">
        <f>IF(Time!AA20=1,$F$24,Z25)</f>
        <v/>
      </c>
      <c r="AB26" s="13">
        <f>IF(Time!AB20=1,$F$24,AA25)</f>
        <v/>
      </c>
      <c r="AC26" s="13">
        <f>IF(Time!AC20=1,$F$24,AB25)</f>
        <v/>
      </c>
      <c r="AD26" s="13">
        <f>IF(Time!AD20=1,$F$24,AC25)</f>
        <v/>
      </c>
      <c r="AE26" s="13">
        <f>IF(Time!AE20=1,$F$24,AD25)</f>
        <v/>
      </c>
      <c r="AF26" s="13">
        <f>IF(Time!AF20=1,$F$24,AE25)</f>
        <v/>
      </c>
      <c r="AG26" s="13">
        <f>IF(Time!AG20=1,$F$24,AF25)</f>
        <v/>
      </c>
      <c r="AH26" s="13">
        <f>IF(Time!AH20=1,$F$24,AG25)</f>
        <v/>
      </c>
      <c r="AI26" s="13">
        <f>IF(Time!AI20=1,$F$24,AH25)</f>
        <v/>
      </c>
      <c r="AJ26" s="13">
        <f>IF(Time!AJ20=1,$F$24,AI25)</f>
        <v/>
      </c>
      <c r="AK26" s="13">
        <f>IF(Time!AK20=1,$F$24,AJ25)</f>
        <v/>
      </c>
      <c r="AL26" s="13">
        <f>IF(Time!AL20=1,$F$24,AK25)</f>
        <v/>
      </c>
      <c r="AM26" s="13">
        <f>IF(Time!AM20=1,$F$24,AL25)</f>
        <v/>
      </c>
      <c r="AN26" s="13">
        <f>IF(Time!AN20=1,$F$24,AM25)</f>
        <v/>
      </c>
      <c r="AO26" s="13">
        <f>IF(Time!AO20=1,$F$24,AN25)</f>
        <v/>
      </c>
      <c r="AP26" s="13">
        <f>IF(Time!AP20=1,$F$24,AO25)</f>
        <v/>
      </c>
      <c r="AQ26" s="13">
        <f>IF(Time!AQ20=1,$F$24,AP25)</f>
        <v/>
      </c>
      <c r="AR26" s="13">
        <f>IF(Time!AR20=1,$F$24,AQ25)</f>
        <v/>
      </c>
      <c r="AS26" s="13">
        <f>IF(Time!AS20=1,$F$24,AR25)</f>
        <v/>
      </c>
      <c r="AT26" s="13">
        <f>IF(Time!AT20=1,$F$24,AS25)</f>
        <v/>
      </c>
      <c r="AU26" s="13">
        <f>IF(Time!AU20=1,$F$24,AT25)</f>
        <v/>
      </c>
      <c r="AV26" s="13">
        <f>IF(Time!AV20=1,$F$24,AU25)</f>
        <v/>
      </c>
      <c r="AW26" s="13">
        <f>IF(Time!AW20=1,$F$24,AV25)</f>
        <v/>
      </c>
      <c r="AX26" s="13">
        <f>IF(Time!AX20=1,$F$24,AW25)</f>
        <v/>
      </c>
      <c r="AY26" s="13">
        <f>IF(Time!AY20=1,$F$24,AX25)</f>
        <v/>
      </c>
      <c r="AZ26" s="13">
        <f>IF(Time!AZ20=1,$F$24,AY25)</f>
        <v/>
      </c>
      <c r="BA26" s="13">
        <f>IF(Time!BA20=1,$F$24,AZ25)</f>
        <v/>
      </c>
      <c r="BB26" s="13">
        <f>IF(Time!BB20=1,$F$24,BA25)</f>
        <v/>
      </c>
      <c r="BC26" s="13">
        <f>IF(Time!BC20=1,$F$24,BB25)</f>
        <v/>
      </c>
      <c r="BD26" s="13">
        <f>IF(Time!BD20=1,$F$24,BC25)</f>
        <v/>
      </c>
      <c r="BE26" s="13">
        <f>IF(Time!BE20=1,$F$24,BD25)</f>
        <v/>
      </c>
      <c r="BF26" s="13">
        <f>IF(Time!BF20=1,$F$24,BE25)</f>
        <v/>
      </c>
      <c r="BG26" s="13">
        <f>IF(Time!BG20=1,$F$24,BF25)</f>
        <v/>
      </c>
      <c r="BH26" s="13">
        <f>IF(Time!BH20=1,$F$24,BG25)</f>
        <v/>
      </c>
      <c r="BI26" s="13">
        <f>IF(Time!BI20=1,$F$24,BH25)</f>
        <v/>
      </c>
      <c r="BJ26" s="13">
        <f>IF(Time!BJ20=1,$F$24,BI25)</f>
        <v/>
      </c>
      <c r="BK26" s="13">
        <f>IF(Time!BK20=1,$F$24,BJ25)</f>
        <v/>
      </c>
      <c r="BL26" s="13">
        <f>IF(Time!BL20=1,$F$24,BK25)</f>
        <v/>
      </c>
      <c r="BM26" s="13">
        <f>IF(Time!BM20=1,$F$24,BL25)</f>
        <v/>
      </c>
      <c r="BN26" s="13">
        <f>IF(Time!BN20=1,$F$24,BM25)</f>
        <v/>
      </c>
    </row>
    <row r="27">
      <c r="D27" t="inlineStr">
        <is>
          <t>Kessara cost indexation factor vs 2018 prices</t>
        </is>
      </c>
      <c r="E27" t="inlineStr">
        <is>
          <t>factor</t>
        </is>
      </c>
      <c r="J27" s="13">
        <f>J25/$F$22</f>
        <v/>
      </c>
      <c r="K27" s="13">
        <f>K25/$F$22</f>
        <v/>
      </c>
      <c r="L27" s="13">
        <f>L25/$F$22</f>
        <v/>
      </c>
      <c r="M27" s="13">
        <f>M25/$F$22</f>
        <v/>
      </c>
      <c r="N27" s="13">
        <f>N25/$F$22</f>
        <v/>
      </c>
      <c r="O27" s="13">
        <f>O25/$F$22</f>
        <v/>
      </c>
      <c r="P27" s="13">
        <f>P25/$F$22</f>
        <v/>
      </c>
      <c r="Q27" s="13">
        <f>Q25/$F$22</f>
        <v/>
      </c>
      <c r="R27" s="13">
        <f>R25/$F$22</f>
        <v/>
      </c>
      <c r="S27" s="13">
        <f>S25/$F$22</f>
        <v/>
      </c>
      <c r="T27" s="13">
        <f>T25/$F$22</f>
        <v/>
      </c>
      <c r="U27" s="13">
        <f>U25/$F$22</f>
        <v/>
      </c>
      <c r="V27" s="13">
        <f>V25/$F$22</f>
        <v/>
      </c>
      <c r="W27" s="13">
        <f>W25/$F$22</f>
        <v/>
      </c>
      <c r="X27" s="13">
        <f>X25/$F$22</f>
        <v/>
      </c>
      <c r="Y27" s="13">
        <f>Y25/$F$22</f>
        <v/>
      </c>
      <c r="Z27" s="13">
        <f>Z25/$F$22</f>
        <v/>
      </c>
      <c r="AA27" s="13">
        <f>AA25/$F$22</f>
        <v/>
      </c>
      <c r="AB27" s="13">
        <f>AB25/$F$22</f>
        <v/>
      </c>
      <c r="AC27" s="13">
        <f>AC25/$F$22</f>
        <v/>
      </c>
      <c r="AD27" s="13">
        <f>AD25/$F$22</f>
        <v/>
      </c>
      <c r="AE27" s="13">
        <f>AE25/$F$22</f>
        <v/>
      </c>
      <c r="AF27" s="13">
        <f>AF25/$F$22</f>
        <v/>
      </c>
      <c r="AG27" s="13">
        <f>AG25/$F$22</f>
        <v/>
      </c>
      <c r="AH27" s="13">
        <f>AH25/$F$22</f>
        <v/>
      </c>
      <c r="AI27" s="13">
        <f>AI25/$F$22</f>
        <v/>
      </c>
      <c r="AJ27" s="13">
        <f>AJ25/$F$22</f>
        <v/>
      </c>
      <c r="AK27" s="13">
        <f>AK25/$F$22</f>
        <v/>
      </c>
      <c r="AL27" s="13">
        <f>AL25/$F$22</f>
        <v/>
      </c>
      <c r="AM27" s="13">
        <f>AM25/$F$22</f>
        <v/>
      </c>
      <c r="AN27" s="13">
        <f>AN25/$F$22</f>
        <v/>
      </c>
      <c r="AO27" s="13">
        <f>AO25/$F$22</f>
        <v/>
      </c>
      <c r="AP27" s="13">
        <f>AP25/$F$22</f>
        <v/>
      </c>
      <c r="AQ27" s="13">
        <f>AQ25/$F$22</f>
        <v/>
      </c>
      <c r="AR27" s="13">
        <f>AR25/$F$22</f>
        <v/>
      </c>
      <c r="AS27" s="13">
        <f>AS25/$F$22</f>
        <v/>
      </c>
      <c r="AT27" s="13">
        <f>AT25/$F$22</f>
        <v/>
      </c>
      <c r="AU27" s="13">
        <f>AU25/$F$22</f>
        <v/>
      </c>
      <c r="AV27" s="13">
        <f>AV25/$F$22</f>
        <v/>
      </c>
      <c r="AW27" s="13">
        <f>AW25/$F$22</f>
        <v/>
      </c>
      <c r="AX27" s="13">
        <f>AX25/$F$22</f>
        <v/>
      </c>
      <c r="AY27" s="13">
        <f>AY25/$F$22</f>
        <v/>
      </c>
      <c r="AZ27" s="13">
        <f>AZ25/$F$22</f>
        <v/>
      </c>
      <c r="BA27" s="13">
        <f>BA25/$F$22</f>
        <v/>
      </c>
      <c r="BB27" s="13">
        <f>BB25/$F$22</f>
        <v/>
      </c>
      <c r="BC27" s="13">
        <f>BC25/$F$22</f>
        <v/>
      </c>
      <c r="BD27" s="13">
        <f>BD25/$F$22</f>
        <v/>
      </c>
      <c r="BE27" s="13">
        <f>BE25/$F$22</f>
        <v/>
      </c>
      <c r="BF27" s="13">
        <f>BF25/$F$22</f>
        <v/>
      </c>
      <c r="BG27" s="13">
        <f>BG25/$F$22</f>
        <v/>
      </c>
      <c r="BH27" s="13">
        <f>BH25/$F$22</f>
        <v/>
      </c>
      <c r="BI27" s="13">
        <f>BI25/$F$22</f>
        <v/>
      </c>
      <c r="BJ27" s="13">
        <f>BJ25/$F$22</f>
        <v/>
      </c>
      <c r="BK27" s="13">
        <f>BK25/$F$22</f>
        <v/>
      </c>
      <c r="BL27" s="13">
        <f>BL25/$F$22</f>
        <v/>
      </c>
      <c r="BM27" s="13">
        <f>BM25/$F$22</f>
        <v/>
      </c>
      <c r="BN27" s="13">
        <f>BN25/$F$22</f>
        <v/>
      </c>
    </row>
    <row r="28">
      <c r="B28" s="2" t="inlineStr">
        <is>
          <t>Plant</t>
        </is>
      </c>
    </row>
    <row r="29">
      <c r="D29" t="inlineStr">
        <is>
          <t>Operating year at period start</t>
        </is>
      </c>
      <c r="E29" t="inlineStr">
        <is>
          <t>OY</t>
        </is>
      </c>
      <c r="J29" s="9">
        <f>INT(Time!J32/12)+1</f>
        <v/>
      </c>
      <c r="K29" s="9">
        <f>INT(Time!K32/12)+1</f>
        <v/>
      </c>
      <c r="L29" s="9">
        <f>INT(Time!L32/12)+1</f>
        <v/>
      </c>
      <c r="M29" s="9">
        <f>INT(Time!M32/12)+1</f>
        <v/>
      </c>
      <c r="N29" s="9">
        <f>INT(Time!N32/12)+1</f>
        <v/>
      </c>
      <c r="O29" s="9">
        <f>INT(Time!O32/12)+1</f>
        <v/>
      </c>
      <c r="P29" s="9">
        <f>INT(Time!P32/12)+1</f>
        <v/>
      </c>
      <c r="Q29" s="9">
        <f>INT(Time!Q32/12)+1</f>
        <v/>
      </c>
      <c r="R29" s="9">
        <f>INT(Time!R32/12)+1</f>
        <v/>
      </c>
      <c r="S29" s="9">
        <f>INT(Time!S32/12)+1</f>
        <v/>
      </c>
      <c r="T29" s="9">
        <f>INT(Time!T32/12)+1</f>
        <v/>
      </c>
      <c r="U29" s="9">
        <f>INT(Time!U32/12)+1</f>
        <v/>
      </c>
      <c r="V29" s="9">
        <f>INT(Time!V32/12)+1</f>
        <v/>
      </c>
      <c r="W29" s="9">
        <f>INT(Time!W32/12)+1</f>
        <v/>
      </c>
      <c r="X29" s="9">
        <f>INT(Time!X32/12)+1</f>
        <v/>
      </c>
      <c r="Y29" s="9">
        <f>INT(Time!Y32/12)+1</f>
        <v/>
      </c>
      <c r="Z29" s="9">
        <f>INT(Time!Z32/12)+1</f>
        <v/>
      </c>
      <c r="AA29" s="9">
        <f>INT(Time!AA32/12)+1</f>
        <v/>
      </c>
      <c r="AB29" s="9">
        <f>INT(Time!AB32/12)+1</f>
        <v/>
      </c>
      <c r="AC29" s="9">
        <f>INT(Time!AC32/12)+1</f>
        <v/>
      </c>
      <c r="AD29" s="9">
        <f>INT(Time!AD32/12)+1</f>
        <v/>
      </c>
      <c r="AE29" s="9">
        <f>INT(Time!AE32/12)+1</f>
        <v/>
      </c>
      <c r="AF29" s="9">
        <f>INT(Time!AF32/12)+1</f>
        <v/>
      </c>
      <c r="AG29" s="9">
        <f>INT(Time!AG32/12)+1</f>
        <v/>
      </c>
      <c r="AH29" s="9">
        <f>INT(Time!AH32/12)+1</f>
        <v/>
      </c>
      <c r="AI29" s="9">
        <f>INT(Time!AI32/12)+1</f>
        <v/>
      </c>
      <c r="AJ29" s="9">
        <f>INT(Time!AJ32/12)+1</f>
        <v/>
      </c>
      <c r="AK29" s="9">
        <f>INT(Time!AK32/12)+1</f>
        <v/>
      </c>
      <c r="AL29" s="9">
        <f>INT(Time!AL32/12)+1</f>
        <v/>
      </c>
      <c r="AM29" s="9">
        <f>INT(Time!AM32/12)+1</f>
        <v/>
      </c>
      <c r="AN29" s="9">
        <f>INT(Time!AN32/12)+1</f>
        <v/>
      </c>
      <c r="AO29" s="9">
        <f>INT(Time!AO32/12)+1</f>
        <v/>
      </c>
      <c r="AP29" s="9">
        <f>INT(Time!AP32/12)+1</f>
        <v/>
      </c>
      <c r="AQ29" s="9">
        <f>INT(Time!AQ32/12)+1</f>
        <v/>
      </c>
      <c r="AR29" s="9">
        <f>INT(Time!AR32/12)+1</f>
        <v/>
      </c>
      <c r="AS29" s="9">
        <f>INT(Time!AS32/12)+1</f>
        <v/>
      </c>
      <c r="AT29" s="9">
        <f>INT(Time!AT32/12)+1</f>
        <v/>
      </c>
      <c r="AU29" s="9">
        <f>INT(Time!AU32/12)+1</f>
        <v/>
      </c>
      <c r="AV29" s="9">
        <f>INT(Time!AV32/12)+1</f>
        <v/>
      </c>
      <c r="AW29" s="9">
        <f>INT(Time!AW32/12)+1</f>
        <v/>
      </c>
      <c r="AX29" s="9">
        <f>INT(Time!AX32/12)+1</f>
        <v/>
      </c>
      <c r="AY29" s="9">
        <f>INT(Time!AY32/12)+1</f>
        <v/>
      </c>
      <c r="AZ29" s="9">
        <f>INT(Time!AZ32/12)+1</f>
        <v/>
      </c>
      <c r="BA29" s="9">
        <f>INT(Time!BA32/12)+1</f>
        <v/>
      </c>
      <c r="BB29" s="9">
        <f>INT(Time!BB32/12)+1</f>
        <v/>
      </c>
      <c r="BC29" s="9">
        <f>INT(Time!BC32/12)+1</f>
        <v/>
      </c>
      <c r="BD29" s="9">
        <f>INT(Time!BD32/12)+1</f>
        <v/>
      </c>
      <c r="BE29" s="9">
        <f>INT(Time!BE32/12)+1</f>
        <v/>
      </c>
      <c r="BF29" s="9">
        <f>INT(Time!BF32/12)+1</f>
        <v/>
      </c>
      <c r="BG29" s="9">
        <f>INT(Time!BG32/12)+1</f>
        <v/>
      </c>
      <c r="BH29" s="9">
        <f>INT(Time!BH32/12)+1</f>
        <v/>
      </c>
      <c r="BI29" s="9">
        <f>INT(Time!BI32/12)+1</f>
        <v/>
      </c>
      <c r="BJ29" s="9">
        <f>INT(Time!BJ32/12)+1</f>
        <v/>
      </c>
      <c r="BK29" s="9">
        <f>INT(Time!BK32/12)+1</f>
        <v/>
      </c>
      <c r="BL29" s="9">
        <f>INT(Time!BL32/12)+1</f>
        <v/>
      </c>
      <c r="BM29" s="9">
        <f>INT(Time!BM32/12)+1</f>
        <v/>
      </c>
      <c r="BN29" s="9">
        <f>INT(Time!BN32/12)+1</f>
        <v/>
      </c>
    </row>
    <row r="30">
      <c r="D30" t="inlineStr">
        <is>
          <t>Months in that operating year</t>
        </is>
      </c>
      <c r="E30" t="inlineStr">
        <is>
          <t>months</t>
        </is>
      </c>
      <c r="J30" s="9">
        <f>MIN(Time!J33,J29*12)-Time!J32</f>
        <v/>
      </c>
      <c r="K30" s="9">
        <f>MIN(Time!K33,K29*12)-Time!K32</f>
        <v/>
      </c>
      <c r="L30" s="9">
        <f>MIN(Time!L33,L29*12)-Time!L32</f>
        <v/>
      </c>
      <c r="M30" s="9">
        <f>MIN(Time!M33,M29*12)-Time!M32</f>
        <v/>
      </c>
      <c r="N30" s="9">
        <f>MIN(Time!N33,N29*12)-Time!N32</f>
        <v/>
      </c>
      <c r="O30" s="9">
        <f>MIN(Time!O33,O29*12)-Time!O32</f>
        <v/>
      </c>
      <c r="P30" s="9">
        <f>MIN(Time!P33,P29*12)-Time!P32</f>
        <v/>
      </c>
      <c r="Q30" s="9">
        <f>MIN(Time!Q33,Q29*12)-Time!Q32</f>
        <v/>
      </c>
      <c r="R30" s="9">
        <f>MIN(Time!R33,R29*12)-Time!R32</f>
        <v/>
      </c>
      <c r="S30" s="9">
        <f>MIN(Time!S33,S29*12)-Time!S32</f>
        <v/>
      </c>
      <c r="T30" s="9">
        <f>MIN(Time!T33,T29*12)-Time!T32</f>
        <v/>
      </c>
      <c r="U30" s="9">
        <f>MIN(Time!U33,U29*12)-Time!U32</f>
        <v/>
      </c>
      <c r="V30" s="9">
        <f>MIN(Time!V33,V29*12)-Time!V32</f>
        <v/>
      </c>
      <c r="W30" s="9">
        <f>MIN(Time!W33,W29*12)-Time!W32</f>
        <v/>
      </c>
      <c r="X30" s="9">
        <f>MIN(Time!X33,X29*12)-Time!X32</f>
        <v/>
      </c>
      <c r="Y30" s="9">
        <f>MIN(Time!Y33,Y29*12)-Time!Y32</f>
        <v/>
      </c>
      <c r="Z30" s="9">
        <f>MIN(Time!Z33,Z29*12)-Time!Z32</f>
        <v/>
      </c>
      <c r="AA30" s="9">
        <f>MIN(Time!AA33,AA29*12)-Time!AA32</f>
        <v/>
      </c>
      <c r="AB30" s="9">
        <f>MIN(Time!AB33,AB29*12)-Time!AB32</f>
        <v/>
      </c>
      <c r="AC30" s="9">
        <f>MIN(Time!AC33,AC29*12)-Time!AC32</f>
        <v/>
      </c>
      <c r="AD30" s="9">
        <f>MIN(Time!AD33,AD29*12)-Time!AD32</f>
        <v/>
      </c>
      <c r="AE30" s="9">
        <f>MIN(Time!AE33,AE29*12)-Time!AE32</f>
        <v/>
      </c>
      <c r="AF30" s="9">
        <f>MIN(Time!AF33,AF29*12)-Time!AF32</f>
        <v/>
      </c>
      <c r="AG30" s="9">
        <f>MIN(Time!AG33,AG29*12)-Time!AG32</f>
        <v/>
      </c>
      <c r="AH30" s="9">
        <f>MIN(Time!AH33,AH29*12)-Time!AH32</f>
        <v/>
      </c>
      <c r="AI30" s="9">
        <f>MIN(Time!AI33,AI29*12)-Time!AI32</f>
        <v/>
      </c>
      <c r="AJ30" s="9">
        <f>MIN(Time!AJ33,AJ29*12)-Time!AJ32</f>
        <v/>
      </c>
      <c r="AK30" s="9">
        <f>MIN(Time!AK33,AK29*12)-Time!AK32</f>
        <v/>
      </c>
      <c r="AL30" s="9">
        <f>MIN(Time!AL33,AL29*12)-Time!AL32</f>
        <v/>
      </c>
      <c r="AM30" s="9">
        <f>MIN(Time!AM33,AM29*12)-Time!AM32</f>
        <v/>
      </c>
      <c r="AN30" s="9">
        <f>MIN(Time!AN33,AN29*12)-Time!AN32</f>
        <v/>
      </c>
      <c r="AO30" s="9">
        <f>MIN(Time!AO33,AO29*12)-Time!AO32</f>
        <v/>
      </c>
      <c r="AP30" s="9">
        <f>MIN(Time!AP33,AP29*12)-Time!AP32</f>
        <v/>
      </c>
      <c r="AQ30" s="9">
        <f>MIN(Time!AQ33,AQ29*12)-Time!AQ32</f>
        <v/>
      </c>
      <c r="AR30" s="9">
        <f>MIN(Time!AR33,AR29*12)-Time!AR32</f>
        <v/>
      </c>
      <c r="AS30" s="9">
        <f>MIN(Time!AS33,AS29*12)-Time!AS32</f>
        <v/>
      </c>
      <c r="AT30" s="9">
        <f>MIN(Time!AT33,AT29*12)-Time!AT32</f>
        <v/>
      </c>
      <c r="AU30" s="9">
        <f>MIN(Time!AU33,AU29*12)-Time!AU32</f>
        <v/>
      </c>
      <c r="AV30" s="9">
        <f>MIN(Time!AV33,AV29*12)-Time!AV32</f>
        <v/>
      </c>
      <c r="AW30" s="9">
        <f>MIN(Time!AW33,AW29*12)-Time!AW32</f>
        <v/>
      </c>
      <c r="AX30" s="9">
        <f>MIN(Time!AX33,AX29*12)-Time!AX32</f>
        <v/>
      </c>
      <c r="AY30" s="9">
        <f>MIN(Time!AY33,AY29*12)-Time!AY32</f>
        <v/>
      </c>
      <c r="AZ30" s="9">
        <f>MIN(Time!AZ33,AZ29*12)-Time!AZ32</f>
        <v/>
      </c>
      <c r="BA30" s="9">
        <f>MIN(Time!BA33,BA29*12)-Time!BA32</f>
        <v/>
      </c>
      <c r="BB30" s="9">
        <f>MIN(Time!BB33,BB29*12)-Time!BB32</f>
        <v/>
      </c>
      <c r="BC30" s="9">
        <f>MIN(Time!BC33,BC29*12)-Time!BC32</f>
        <v/>
      </c>
      <c r="BD30" s="9">
        <f>MIN(Time!BD33,BD29*12)-Time!BD32</f>
        <v/>
      </c>
      <c r="BE30" s="9">
        <f>MIN(Time!BE33,BE29*12)-Time!BE32</f>
        <v/>
      </c>
      <c r="BF30" s="9">
        <f>MIN(Time!BF33,BF29*12)-Time!BF32</f>
        <v/>
      </c>
      <c r="BG30" s="9">
        <f>MIN(Time!BG33,BG29*12)-Time!BG32</f>
        <v/>
      </c>
      <c r="BH30" s="9">
        <f>MIN(Time!BH33,BH29*12)-Time!BH32</f>
        <v/>
      </c>
      <c r="BI30" s="9">
        <f>MIN(Time!BI33,BI29*12)-Time!BI32</f>
        <v/>
      </c>
      <c r="BJ30" s="9">
        <f>MIN(Time!BJ33,BJ29*12)-Time!BJ32</f>
        <v/>
      </c>
      <c r="BK30" s="9">
        <f>MIN(Time!BK33,BK29*12)-Time!BK32</f>
        <v/>
      </c>
      <c r="BL30" s="9">
        <f>MIN(Time!BL33,BL29*12)-Time!BL32</f>
        <v/>
      </c>
      <c r="BM30" s="9">
        <f>MIN(Time!BM33,BM29*12)-Time!BM32</f>
        <v/>
      </c>
      <c r="BN30" s="9">
        <f>MIN(Time!BN33,BN29*12)-Time!BN32</f>
        <v/>
      </c>
    </row>
    <row r="31">
      <c r="D31" t="inlineStr">
        <is>
          <t>Availability, profile (month-weighted)</t>
        </is>
      </c>
      <c r="E31" t="inlineStr">
        <is>
          <t>%</t>
        </is>
      </c>
      <c r="J31" s="13">
        <f>IF(Time!J30&gt;0,(J30*INDEX(Inputs!$J$302:$Q$302,1,MOD(J29-1,Inputs!$F$220)+1)+(Time!J30-J30)*INDEX(Inputs!$J$302:$Q$302,1,MOD(J29,Inputs!$F$220)+1))/Time!J30,0)</f>
        <v/>
      </c>
      <c r="K31" s="13">
        <f>IF(Time!K30&gt;0,(K30*INDEX(Inputs!$J$302:$Q$302,1,MOD(K29-1,Inputs!$F$220)+1)+(Time!K30-K30)*INDEX(Inputs!$J$302:$Q$302,1,MOD(K29,Inputs!$F$220)+1))/Time!K30,0)</f>
        <v/>
      </c>
      <c r="L31" s="13">
        <f>IF(Time!L30&gt;0,(L30*INDEX(Inputs!$J$302:$Q$302,1,MOD(L29-1,Inputs!$F$220)+1)+(Time!L30-L30)*INDEX(Inputs!$J$302:$Q$302,1,MOD(L29,Inputs!$F$220)+1))/Time!L30,0)</f>
        <v/>
      </c>
      <c r="M31" s="13">
        <f>IF(Time!M30&gt;0,(M30*INDEX(Inputs!$J$302:$Q$302,1,MOD(M29-1,Inputs!$F$220)+1)+(Time!M30-M30)*INDEX(Inputs!$J$302:$Q$302,1,MOD(M29,Inputs!$F$220)+1))/Time!M30,0)</f>
        <v/>
      </c>
      <c r="N31" s="13">
        <f>IF(Time!N30&gt;0,(N30*INDEX(Inputs!$J$302:$Q$302,1,MOD(N29-1,Inputs!$F$220)+1)+(Time!N30-N30)*INDEX(Inputs!$J$302:$Q$302,1,MOD(N29,Inputs!$F$220)+1))/Time!N30,0)</f>
        <v/>
      </c>
      <c r="O31" s="13">
        <f>IF(Time!O30&gt;0,(O30*INDEX(Inputs!$J$302:$Q$302,1,MOD(O29-1,Inputs!$F$220)+1)+(Time!O30-O30)*INDEX(Inputs!$J$302:$Q$302,1,MOD(O29,Inputs!$F$220)+1))/Time!O30,0)</f>
        <v/>
      </c>
      <c r="P31" s="13">
        <f>IF(Time!P30&gt;0,(P30*INDEX(Inputs!$J$302:$Q$302,1,MOD(P29-1,Inputs!$F$220)+1)+(Time!P30-P30)*INDEX(Inputs!$J$302:$Q$302,1,MOD(P29,Inputs!$F$220)+1))/Time!P30,0)</f>
        <v/>
      </c>
      <c r="Q31" s="13">
        <f>IF(Time!Q30&gt;0,(Q30*INDEX(Inputs!$J$302:$Q$302,1,MOD(Q29-1,Inputs!$F$220)+1)+(Time!Q30-Q30)*INDEX(Inputs!$J$302:$Q$302,1,MOD(Q29,Inputs!$F$220)+1))/Time!Q30,0)</f>
        <v/>
      </c>
      <c r="R31" s="13">
        <f>IF(Time!R30&gt;0,(R30*INDEX(Inputs!$J$302:$Q$302,1,MOD(R29-1,Inputs!$F$220)+1)+(Time!R30-R30)*INDEX(Inputs!$J$302:$Q$302,1,MOD(R29,Inputs!$F$220)+1))/Time!R30,0)</f>
        <v/>
      </c>
      <c r="S31" s="13">
        <f>IF(Time!S30&gt;0,(S30*INDEX(Inputs!$J$302:$Q$302,1,MOD(S29-1,Inputs!$F$220)+1)+(Time!S30-S30)*INDEX(Inputs!$J$302:$Q$302,1,MOD(S29,Inputs!$F$220)+1))/Time!S30,0)</f>
        <v/>
      </c>
      <c r="T31" s="13">
        <f>IF(Time!T30&gt;0,(T30*INDEX(Inputs!$J$302:$Q$302,1,MOD(T29-1,Inputs!$F$220)+1)+(Time!T30-T30)*INDEX(Inputs!$J$302:$Q$302,1,MOD(T29,Inputs!$F$220)+1))/Time!T30,0)</f>
        <v/>
      </c>
      <c r="U31" s="13">
        <f>IF(Time!U30&gt;0,(U30*INDEX(Inputs!$J$302:$Q$302,1,MOD(U29-1,Inputs!$F$220)+1)+(Time!U30-U30)*INDEX(Inputs!$J$302:$Q$302,1,MOD(U29,Inputs!$F$220)+1))/Time!U30,0)</f>
        <v/>
      </c>
      <c r="V31" s="13">
        <f>IF(Time!V30&gt;0,(V30*INDEX(Inputs!$J$302:$Q$302,1,MOD(V29-1,Inputs!$F$220)+1)+(Time!V30-V30)*INDEX(Inputs!$J$302:$Q$302,1,MOD(V29,Inputs!$F$220)+1))/Time!V30,0)</f>
        <v/>
      </c>
      <c r="W31" s="13">
        <f>IF(Time!W30&gt;0,(W30*INDEX(Inputs!$J$302:$Q$302,1,MOD(W29-1,Inputs!$F$220)+1)+(Time!W30-W30)*INDEX(Inputs!$J$302:$Q$302,1,MOD(W29,Inputs!$F$220)+1))/Time!W30,0)</f>
        <v/>
      </c>
      <c r="X31" s="13">
        <f>IF(Time!X30&gt;0,(X30*INDEX(Inputs!$J$302:$Q$302,1,MOD(X29-1,Inputs!$F$220)+1)+(Time!X30-X30)*INDEX(Inputs!$J$302:$Q$302,1,MOD(X29,Inputs!$F$220)+1))/Time!X30,0)</f>
        <v/>
      </c>
      <c r="Y31" s="13">
        <f>IF(Time!Y30&gt;0,(Y30*INDEX(Inputs!$J$302:$Q$302,1,MOD(Y29-1,Inputs!$F$220)+1)+(Time!Y30-Y30)*INDEX(Inputs!$J$302:$Q$302,1,MOD(Y29,Inputs!$F$220)+1))/Time!Y30,0)</f>
        <v/>
      </c>
      <c r="Z31" s="13">
        <f>IF(Time!Z30&gt;0,(Z30*INDEX(Inputs!$J$302:$Q$302,1,MOD(Z29-1,Inputs!$F$220)+1)+(Time!Z30-Z30)*INDEX(Inputs!$J$302:$Q$302,1,MOD(Z29,Inputs!$F$220)+1))/Time!Z30,0)</f>
        <v/>
      </c>
      <c r="AA31" s="13">
        <f>IF(Time!AA30&gt;0,(AA30*INDEX(Inputs!$J$302:$Q$302,1,MOD(AA29-1,Inputs!$F$220)+1)+(Time!AA30-AA30)*INDEX(Inputs!$J$302:$Q$302,1,MOD(AA29,Inputs!$F$220)+1))/Time!AA30,0)</f>
        <v/>
      </c>
      <c r="AB31" s="13">
        <f>IF(Time!AB30&gt;0,(AB30*INDEX(Inputs!$J$302:$Q$302,1,MOD(AB29-1,Inputs!$F$220)+1)+(Time!AB30-AB30)*INDEX(Inputs!$J$302:$Q$302,1,MOD(AB29,Inputs!$F$220)+1))/Time!AB30,0)</f>
        <v/>
      </c>
      <c r="AC31" s="13">
        <f>IF(Time!AC30&gt;0,(AC30*INDEX(Inputs!$J$302:$Q$302,1,MOD(AC29-1,Inputs!$F$220)+1)+(Time!AC30-AC30)*INDEX(Inputs!$J$302:$Q$302,1,MOD(AC29,Inputs!$F$220)+1))/Time!AC30,0)</f>
        <v/>
      </c>
      <c r="AD31" s="13">
        <f>IF(Time!AD30&gt;0,(AD30*INDEX(Inputs!$J$302:$Q$302,1,MOD(AD29-1,Inputs!$F$220)+1)+(Time!AD30-AD30)*INDEX(Inputs!$J$302:$Q$302,1,MOD(AD29,Inputs!$F$220)+1))/Time!AD30,0)</f>
        <v/>
      </c>
      <c r="AE31" s="13">
        <f>IF(Time!AE30&gt;0,(AE30*INDEX(Inputs!$J$302:$Q$302,1,MOD(AE29-1,Inputs!$F$220)+1)+(Time!AE30-AE30)*INDEX(Inputs!$J$302:$Q$302,1,MOD(AE29,Inputs!$F$220)+1))/Time!AE30,0)</f>
        <v/>
      </c>
      <c r="AF31" s="13">
        <f>IF(Time!AF30&gt;0,(AF30*INDEX(Inputs!$J$302:$Q$302,1,MOD(AF29-1,Inputs!$F$220)+1)+(Time!AF30-AF30)*INDEX(Inputs!$J$302:$Q$302,1,MOD(AF29,Inputs!$F$220)+1))/Time!AF30,0)</f>
        <v/>
      </c>
      <c r="AG31" s="13">
        <f>IF(Time!AG30&gt;0,(AG30*INDEX(Inputs!$J$302:$Q$302,1,MOD(AG29-1,Inputs!$F$220)+1)+(Time!AG30-AG30)*INDEX(Inputs!$J$302:$Q$302,1,MOD(AG29,Inputs!$F$220)+1))/Time!AG30,0)</f>
        <v/>
      </c>
      <c r="AH31" s="13">
        <f>IF(Time!AH30&gt;0,(AH30*INDEX(Inputs!$J$302:$Q$302,1,MOD(AH29-1,Inputs!$F$220)+1)+(Time!AH30-AH30)*INDEX(Inputs!$J$302:$Q$302,1,MOD(AH29,Inputs!$F$220)+1))/Time!AH30,0)</f>
        <v/>
      </c>
      <c r="AI31" s="13">
        <f>IF(Time!AI30&gt;0,(AI30*INDEX(Inputs!$J$302:$Q$302,1,MOD(AI29-1,Inputs!$F$220)+1)+(Time!AI30-AI30)*INDEX(Inputs!$J$302:$Q$302,1,MOD(AI29,Inputs!$F$220)+1))/Time!AI30,0)</f>
        <v/>
      </c>
      <c r="AJ31" s="13">
        <f>IF(Time!AJ30&gt;0,(AJ30*INDEX(Inputs!$J$302:$Q$302,1,MOD(AJ29-1,Inputs!$F$220)+1)+(Time!AJ30-AJ30)*INDEX(Inputs!$J$302:$Q$302,1,MOD(AJ29,Inputs!$F$220)+1))/Time!AJ30,0)</f>
        <v/>
      </c>
      <c r="AK31" s="13">
        <f>IF(Time!AK30&gt;0,(AK30*INDEX(Inputs!$J$302:$Q$302,1,MOD(AK29-1,Inputs!$F$220)+1)+(Time!AK30-AK30)*INDEX(Inputs!$J$302:$Q$302,1,MOD(AK29,Inputs!$F$220)+1))/Time!AK30,0)</f>
        <v/>
      </c>
      <c r="AL31" s="13">
        <f>IF(Time!AL30&gt;0,(AL30*INDEX(Inputs!$J$302:$Q$302,1,MOD(AL29-1,Inputs!$F$220)+1)+(Time!AL30-AL30)*INDEX(Inputs!$J$302:$Q$302,1,MOD(AL29,Inputs!$F$220)+1))/Time!AL30,0)</f>
        <v/>
      </c>
      <c r="AM31" s="13">
        <f>IF(Time!AM30&gt;0,(AM30*INDEX(Inputs!$J$302:$Q$302,1,MOD(AM29-1,Inputs!$F$220)+1)+(Time!AM30-AM30)*INDEX(Inputs!$J$302:$Q$302,1,MOD(AM29,Inputs!$F$220)+1))/Time!AM30,0)</f>
        <v/>
      </c>
      <c r="AN31" s="13">
        <f>IF(Time!AN30&gt;0,(AN30*INDEX(Inputs!$J$302:$Q$302,1,MOD(AN29-1,Inputs!$F$220)+1)+(Time!AN30-AN30)*INDEX(Inputs!$J$302:$Q$302,1,MOD(AN29,Inputs!$F$220)+1))/Time!AN30,0)</f>
        <v/>
      </c>
      <c r="AO31" s="13">
        <f>IF(Time!AO30&gt;0,(AO30*INDEX(Inputs!$J$302:$Q$302,1,MOD(AO29-1,Inputs!$F$220)+1)+(Time!AO30-AO30)*INDEX(Inputs!$J$302:$Q$302,1,MOD(AO29,Inputs!$F$220)+1))/Time!AO30,0)</f>
        <v/>
      </c>
      <c r="AP31" s="13">
        <f>IF(Time!AP30&gt;0,(AP30*INDEX(Inputs!$J$302:$Q$302,1,MOD(AP29-1,Inputs!$F$220)+1)+(Time!AP30-AP30)*INDEX(Inputs!$J$302:$Q$302,1,MOD(AP29,Inputs!$F$220)+1))/Time!AP30,0)</f>
        <v/>
      </c>
      <c r="AQ31" s="13">
        <f>IF(Time!AQ30&gt;0,(AQ30*INDEX(Inputs!$J$302:$Q$302,1,MOD(AQ29-1,Inputs!$F$220)+1)+(Time!AQ30-AQ30)*INDEX(Inputs!$J$302:$Q$302,1,MOD(AQ29,Inputs!$F$220)+1))/Time!AQ30,0)</f>
        <v/>
      </c>
      <c r="AR31" s="13">
        <f>IF(Time!AR30&gt;0,(AR30*INDEX(Inputs!$J$302:$Q$302,1,MOD(AR29-1,Inputs!$F$220)+1)+(Time!AR30-AR30)*INDEX(Inputs!$J$302:$Q$302,1,MOD(AR29,Inputs!$F$220)+1))/Time!AR30,0)</f>
        <v/>
      </c>
      <c r="AS31" s="13">
        <f>IF(Time!AS30&gt;0,(AS30*INDEX(Inputs!$J$302:$Q$302,1,MOD(AS29-1,Inputs!$F$220)+1)+(Time!AS30-AS30)*INDEX(Inputs!$J$302:$Q$302,1,MOD(AS29,Inputs!$F$220)+1))/Time!AS30,0)</f>
        <v/>
      </c>
      <c r="AT31" s="13">
        <f>IF(Time!AT30&gt;0,(AT30*INDEX(Inputs!$J$302:$Q$302,1,MOD(AT29-1,Inputs!$F$220)+1)+(Time!AT30-AT30)*INDEX(Inputs!$J$302:$Q$302,1,MOD(AT29,Inputs!$F$220)+1))/Time!AT30,0)</f>
        <v/>
      </c>
      <c r="AU31" s="13">
        <f>IF(Time!AU30&gt;0,(AU30*INDEX(Inputs!$J$302:$Q$302,1,MOD(AU29-1,Inputs!$F$220)+1)+(Time!AU30-AU30)*INDEX(Inputs!$J$302:$Q$302,1,MOD(AU29,Inputs!$F$220)+1))/Time!AU30,0)</f>
        <v/>
      </c>
      <c r="AV31" s="13">
        <f>IF(Time!AV30&gt;0,(AV30*INDEX(Inputs!$J$302:$Q$302,1,MOD(AV29-1,Inputs!$F$220)+1)+(Time!AV30-AV30)*INDEX(Inputs!$J$302:$Q$302,1,MOD(AV29,Inputs!$F$220)+1))/Time!AV30,0)</f>
        <v/>
      </c>
      <c r="AW31" s="13">
        <f>IF(Time!AW30&gt;0,(AW30*INDEX(Inputs!$J$302:$Q$302,1,MOD(AW29-1,Inputs!$F$220)+1)+(Time!AW30-AW30)*INDEX(Inputs!$J$302:$Q$302,1,MOD(AW29,Inputs!$F$220)+1))/Time!AW30,0)</f>
        <v/>
      </c>
      <c r="AX31" s="13">
        <f>IF(Time!AX30&gt;0,(AX30*INDEX(Inputs!$J$302:$Q$302,1,MOD(AX29-1,Inputs!$F$220)+1)+(Time!AX30-AX30)*INDEX(Inputs!$J$302:$Q$302,1,MOD(AX29,Inputs!$F$220)+1))/Time!AX30,0)</f>
        <v/>
      </c>
      <c r="AY31" s="13">
        <f>IF(Time!AY30&gt;0,(AY30*INDEX(Inputs!$J$302:$Q$302,1,MOD(AY29-1,Inputs!$F$220)+1)+(Time!AY30-AY30)*INDEX(Inputs!$J$302:$Q$302,1,MOD(AY29,Inputs!$F$220)+1))/Time!AY30,0)</f>
        <v/>
      </c>
      <c r="AZ31" s="13">
        <f>IF(Time!AZ30&gt;0,(AZ30*INDEX(Inputs!$J$302:$Q$302,1,MOD(AZ29-1,Inputs!$F$220)+1)+(Time!AZ30-AZ30)*INDEX(Inputs!$J$302:$Q$302,1,MOD(AZ29,Inputs!$F$220)+1))/Time!AZ30,0)</f>
        <v/>
      </c>
      <c r="BA31" s="13">
        <f>IF(Time!BA30&gt;0,(BA30*INDEX(Inputs!$J$302:$Q$302,1,MOD(BA29-1,Inputs!$F$220)+1)+(Time!BA30-BA30)*INDEX(Inputs!$J$302:$Q$302,1,MOD(BA29,Inputs!$F$220)+1))/Time!BA30,0)</f>
        <v/>
      </c>
      <c r="BB31" s="13">
        <f>IF(Time!BB30&gt;0,(BB30*INDEX(Inputs!$J$302:$Q$302,1,MOD(BB29-1,Inputs!$F$220)+1)+(Time!BB30-BB30)*INDEX(Inputs!$J$302:$Q$302,1,MOD(BB29,Inputs!$F$220)+1))/Time!BB30,0)</f>
        <v/>
      </c>
      <c r="BC31" s="13">
        <f>IF(Time!BC30&gt;0,(BC30*INDEX(Inputs!$J$302:$Q$302,1,MOD(BC29-1,Inputs!$F$220)+1)+(Time!BC30-BC30)*INDEX(Inputs!$J$302:$Q$302,1,MOD(BC29,Inputs!$F$220)+1))/Time!BC30,0)</f>
        <v/>
      </c>
      <c r="BD31" s="13">
        <f>IF(Time!BD30&gt;0,(BD30*INDEX(Inputs!$J$302:$Q$302,1,MOD(BD29-1,Inputs!$F$220)+1)+(Time!BD30-BD30)*INDEX(Inputs!$J$302:$Q$302,1,MOD(BD29,Inputs!$F$220)+1))/Time!BD30,0)</f>
        <v/>
      </c>
      <c r="BE31" s="13">
        <f>IF(Time!BE30&gt;0,(BE30*INDEX(Inputs!$J$302:$Q$302,1,MOD(BE29-1,Inputs!$F$220)+1)+(Time!BE30-BE30)*INDEX(Inputs!$J$302:$Q$302,1,MOD(BE29,Inputs!$F$220)+1))/Time!BE30,0)</f>
        <v/>
      </c>
      <c r="BF31" s="13">
        <f>IF(Time!BF30&gt;0,(BF30*INDEX(Inputs!$J$302:$Q$302,1,MOD(BF29-1,Inputs!$F$220)+1)+(Time!BF30-BF30)*INDEX(Inputs!$J$302:$Q$302,1,MOD(BF29,Inputs!$F$220)+1))/Time!BF30,0)</f>
        <v/>
      </c>
      <c r="BG31" s="13">
        <f>IF(Time!BG30&gt;0,(BG30*INDEX(Inputs!$J$302:$Q$302,1,MOD(BG29-1,Inputs!$F$220)+1)+(Time!BG30-BG30)*INDEX(Inputs!$J$302:$Q$302,1,MOD(BG29,Inputs!$F$220)+1))/Time!BG30,0)</f>
        <v/>
      </c>
      <c r="BH31" s="13">
        <f>IF(Time!BH30&gt;0,(BH30*INDEX(Inputs!$J$302:$Q$302,1,MOD(BH29-1,Inputs!$F$220)+1)+(Time!BH30-BH30)*INDEX(Inputs!$J$302:$Q$302,1,MOD(BH29,Inputs!$F$220)+1))/Time!BH30,0)</f>
        <v/>
      </c>
      <c r="BI31" s="13">
        <f>IF(Time!BI30&gt;0,(BI30*INDEX(Inputs!$J$302:$Q$302,1,MOD(BI29-1,Inputs!$F$220)+1)+(Time!BI30-BI30)*INDEX(Inputs!$J$302:$Q$302,1,MOD(BI29,Inputs!$F$220)+1))/Time!BI30,0)</f>
        <v/>
      </c>
      <c r="BJ31" s="13">
        <f>IF(Time!BJ30&gt;0,(BJ30*INDEX(Inputs!$J$302:$Q$302,1,MOD(BJ29-1,Inputs!$F$220)+1)+(Time!BJ30-BJ30)*INDEX(Inputs!$J$302:$Q$302,1,MOD(BJ29,Inputs!$F$220)+1))/Time!BJ30,0)</f>
        <v/>
      </c>
      <c r="BK31" s="13">
        <f>IF(Time!BK30&gt;0,(BK30*INDEX(Inputs!$J$302:$Q$302,1,MOD(BK29-1,Inputs!$F$220)+1)+(Time!BK30-BK30)*INDEX(Inputs!$J$302:$Q$302,1,MOD(BK29,Inputs!$F$220)+1))/Time!BK30,0)</f>
        <v/>
      </c>
      <c r="BL31" s="13">
        <f>IF(Time!BL30&gt;0,(BL30*INDEX(Inputs!$J$302:$Q$302,1,MOD(BL29-1,Inputs!$F$220)+1)+(Time!BL30-BL30)*INDEX(Inputs!$J$302:$Q$302,1,MOD(BL29,Inputs!$F$220)+1))/Time!BL30,0)</f>
        <v/>
      </c>
      <c r="BM31" s="13">
        <f>IF(Time!BM30&gt;0,(BM30*INDEX(Inputs!$J$302:$Q$302,1,MOD(BM29-1,Inputs!$F$220)+1)+(Time!BM30-BM30)*INDEX(Inputs!$J$302:$Q$302,1,MOD(BM29,Inputs!$F$220)+1))/Time!BM30,0)</f>
        <v/>
      </c>
      <c r="BN31" s="13">
        <f>IF(Time!BN30&gt;0,(BN30*INDEX(Inputs!$J$302:$Q$302,1,MOD(BN29-1,Inputs!$F$220)+1)+(Time!BN30-BN30)*INDEX(Inputs!$J$302:$Q$302,1,MOD(BN29,Inputs!$F$220)+1))/Time!BN30,0)</f>
        <v/>
      </c>
    </row>
    <row r="32">
      <c r="D32" t="inlineStr">
        <is>
          <t>Availability</t>
        </is>
      </c>
      <c r="E32" t="inlineStr">
        <is>
          <t>%</t>
        </is>
      </c>
      <c r="J32" s="13">
        <f>IF(Time!J30&gt;0,J31+Inputs!$F$37,0)</f>
        <v/>
      </c>
      <c r="K32" s="13">
        <f>IF(Time!K30&gt;0,K31+Inputs!$F$37,0)</f>
        <v/>
      </c>
      <c r="L32" s="13">
        <f>IF(Time!L30&gt;0,L31+Inputs!$F$37,0)</f>
        <v/>
      </c>
      <c r="M32" s="13">
        <f>IF(Time!M30&gt;0,M31+Inputs!$F$37,0)</f>
        <v/>
      </c>
      <c r="N32" s="13">
        <f>IF(Time!N30&gt;0,N31+Inputs!$F$37,0)</f>
        <v/>
      </c>
      <c r="O32" s="13">
        <f>IF(Time!O30&gt;0,O31+Inputs!$F$37,0)</f>
        <v/>
      </c>
      <c r="P32" s="13">
        <f>IF(Time!P30&gt;0,P31+Inputs!$F$37,0)</f>
        <v/>
      </c>
      <c r="Q32" s="13">
        <f>IF(Time!Q30&gt;0,Q31+Inputs!$F$37,0)</f>
        <v/>
      </c>
      <c r="R32" s="13">
        <f>IF(Time!R30&gt;0,R31+Inputs!$F$37,0)</f>
        <v/>
      </c>
      <c r="S32" s="13">
        <f>IF(Time!S30&gt;0,S31+Inputs!$F$37,0)</f>
        <v/>
      </c>
      <c r="T32" s="13">
        <f>IF(Time!T30&gt;0,T31+Inputs!$F$37,0)</f>
        <v/>
      </c>
      <c r="U32" s="13">
        <f>IF(Time!U30&gt;0,U31+Inputs!$F$37,0)</f>
        <v/>
      </c>
      <c r="V32" s="13">
        <f>IF(Time!V30&gt;0,V31+Inputs!$F$37,0)</f>
        <v/>
      </c>
      <c r="W32" s="13">
        <f>IF(Time!W30&gt;0,W31+Inputs!$F$37,0)</f>
        <v/>
      </c>
      <c r="X32" s="13">
        <f>IF(Time!X30&gt;0,X31+Inputs!$F$37,0)</f>
        <v/>
      </c>
      <c r="Y32" s="13">
        <f>IF(Time!Y30&gt;0,Y31+Inputs!$F$37,0)</f>
        <v/>
      </c>
      <c r="Z32" s="13">
        <f>IF(Time!Z30&gt;0,Z31+Inputs!$F$37,0)</f>
        <v/>
      </c>
      <c r="AA32" s="13">
        <f>IF(Time!AA30&gt;0,AA31+Inputs!$F$37,0)</f>
        <v/>
      </c>
      <c r="AB32" s="13">
        <f>IF(Time!AB30&gt;0,AB31+Inputs!$F$37,0)</f>
        <v/>
      </c>
      <c r="AC32" s="13">
        <f>IF(Time!AC30&gt;0,AC31+Inputs!$F$37,0)</f>
        <v/>
      </c>
      <c r="AD32" s="13">
        <f>IF(Time!AD30&gt;0,AD31+Inputs!$F$37,0)</f>
        <v/>
      </c>
      <c r="AE32" s="13">
        <f>IF(Time!AE30&gt;0,AE31+Inputs!$F$37,0)</f>
        <v/>
      </c>
      <c r="AF32" s="13">
        <f>IF(Time!AF30&gt;0,AF31+Inputs!$F$37,0)</f>
        <v/>
      </c>
      <c r="AG32" s="13">
        <f>IF(Time!AG30&gt;0,AG31+Inputs!$F$37,0)</f>
        <v/>
      </c>
      <c r="AH32" s="13">
        <f>IF(Time!AH30&gt;0,AH31+Inputs!$F$37,0)</f>
        <v/>
      </c>
      <c r="AI32" s="13">
        <f>IF(Time!AI30&gt;0,AI31+Inputs!$F$37,0)</f>
        <v/>
      </c>
      <c r="AJ32" s="13">
        <f>IF(Time!AJ30&gt;0,AJ31+Inputs!$F$37,0)</f>
        <v/>
      </c>
      <c r="AK32" s="13">
        <f>IF(Time!AK30&gt;0,AK31+Inputs!$F$37,0)</f>
        <v/>
      </c>
      <c r="AL32" s="13">
        <f>IF(Time!AL30&gt;0,AL31+Inputs!$F$37,0)</f>
        <v/>
      </c>
      <c r="AM32" s="13">
        <f>IF(Time!AM30&gt;0,AM31+Inputs!$F$37,0)</f>
        <v/>
      </c>
      <c r="AN32" s="13">
        <f>IF(Time!AN30&gt;0,AN31+Inputs!$F$37,0)</f>
        <v/>
      </c>
      <c r="AO32" s="13">
        <f>IF(Time!AO30&gt;0,AO31+Inputs!$F$37,0)</f>
        <v/>
      </c>
      <c r="AP32" s="13">
        <f>IF(Time!AP30&gt;0,AP31+Inputs!$F$37,0)</f>
        <v/>
      </c>
      <c r="AQ32" s="13">
        <f>IF(Time!AQ30&gt;0,AQ31+Inputs!$F$37,0)</f>
        <v/>
      </c>
      <c r="AR32" s="13">
        <f>IF(Time!AR30&gt;0,AR31+Inputs!$F$37,0)</f>
        <v/>
      </c>
      <c r="AS32" s="13">
        <f>IF(Time!AS30&gt;0,AS31+Inputs!$F$37,0)</f>
        <v/>
      </c>
      <c r="AT32" s="13">
        <f>IF(Time!AT30&gt;0,AT31+Inputs!$F$37,0)</f>
        <v/>
      </c>
      <c r="AU32" s="13">
        <f>IF(Time!AU30&gt;0,AU31+Inputs!$F$37,0)</f>
        <v/>
      </c>
      <c r="AV32" s="13">
        <f>IF(Time!AV30&gt;0,AV31+Inputs!$F$37,0)</f>
        <v/>
      </c>
      <c r="AW32" s="13">
        <f>IF(Time!AW30&gt;0,AW31+Inputs!$F$37,0)</f>
        <v/>
      </c>
      <c r="AX32" s="13">
        <f>IF(Time!AX30&gt;0,AX31+Inputs!$F$37,0)</f>
        <v/>
      </c>
      <c r="AY32" s="13">
        <f>IF(Time!AY30&gt;0,AY31+Inputs!$F$37,0)</f>
        <v/>
      </c>
      <c r="AZ32" s="13">
        <f>IF(Time!AZ30&gt;0,AZ31+Inputs!$F$37,0)</f>
        <v/>
      </c>
      <c r="BA32" s="13">
        <f>IF(Time!BA30&gt;0,BA31+Inputs!$F$37,0)</f>
        <v/>
      </c>
      <c r="BB32" s="13">
        <f>IF(Time!BB30&gt;0,BB31+Inputs!$F$37,0)</f>
        <v/>
      </c>
      <c r="BC32" s="13">
        <f>IF(Time!BC30&gt;0,BC31+Inputs!$F$37,0)</f>
        <v/>
      </c>
      <c r="BD32" s="13">
        <f>IF(Time!BD30&gt;0,BD31+Inputs!$F$37,0)</f>
        <v/>
      </c>
      <c r="BE32" s="13">
        <f>IF(Time!BE30&gt;0,BE31+Inputs!$F$37,0)</f>
        <v/>
      </c>
      <c r="BF32" s="13">
        <f>IF(Time!BF30&gt;0,BF31+Inputs!$F$37,0)</f>
        <v/>
      </c>
      <c r="BG32" s="13">
        <f>IF(Time!BG30&gt;0,BG31+Inputs!$F$37,0)</f>
        <v/>
      </c>
      <c r="BH32" s="13">
        <f>IF(Time!BH30&gt;0,BH31+Inputs!$F$37,0)</f>
        <v/>
      </c>
      <c r="BI32" s="13">
        <f>IF(Time!BI30&gt;0,BI31+Inputs!$F$37,0)</f>
        <v/>
      </c>
      <c r="BJ32" s="13">
        <f>IF(Time!BJ30&gt;0,BJ31+Inputs!$F$37,0)</f>
        <v/>
      </c>
      <c r="BK32" s="13">
        <f>IF(Time!BK30&gt;0,BK31+Inputs!$F$37,0)</f>
        <v/>
      </c>
      <c r="BL32" s="13">
        <f>IF(Time!BL30&gt;0,BL31+Inputs!$F$37,0)</f>
        <v/>
      </c>
      <c r="BM32" s="13">
        <f>IF(Time!BM30&gt;0,BM31+Inputs!$F$37,0)</f>
        <v/>
      </c>
      <c r="BN32" s="13">
        <f>IF(Time!BN30&gt;0,BN31+Inputs!$F$37,0)</f>
        <v/>
      </c>
    </row>
    <row r="33">
      <c r="D33" t="inlineStr">
        <is>
          <t>Years since COD (period mid-point)</t>
        </is>
      </c>
      <c r="E33" t="inlineStr">
        <is>
          <t>years</t>
        </is>
      </c>
      <c r="J33" s="13">
        <f>IF(Time!J30&gt;0,AVERAGE(Time!J32,Time!J33)/12,0)</f>
        <v/>
      </c>
      <c r="K33" s="13">
        <f>IF(Time!K30&gt;0,AVERAGE(Time!K32,Time!K33)/12,0)</f>
        <v/>
      </c>
      <c r="L33" s="13">
        <f>IF(Time!L30&gt;0,AVERAGE(Time!L32,Time!L33)/12,0)</f>
        <v/>
      </c>
      <c r="M33" s="13">
        <f>IF(Time!M30&gt;0,AVERAGE(Time!M32,Time!M33)/12,0)</f>
        <v/>
      </c>
      <c r="N33" s="13">
        <f>IF(Time!N30&gt;0,AVERAGE(Time!N32,Time!N33)/12,0)</f>
        <v/>
      </c>
      <c r="O33" s="13">
        <f>IF(Time!O30&gt;0,AVERAGE(Time!O32,Time!O33)/12,0)</f>
        <v/>
      </c>
      <c r="P33" s="13">
        <f>IF(Time!P30&gt;0,AVERAGE(Time!P32,Time!P33)/12,0)</f>
        <v/>
      </c>
      <c r="Q33" s="13">
        <f>IF(Time!Q30&gt;0,AVERAGE(Time!Q32,Time!Q33)/12,0)</f>
        <v/>
      </c>
      <c r="R33" s="13">
        <f>IF(Time!R30&gt;0,AVERAGE(Time!R32,Time!R33)/12,0)</f>
        <v/>
      </c>
      <c r="S33" s="13">
        <f>IF(Time!S30&gt;0,AVERAGE(Time!S32,Time!S33)/12,0)</f>
        <v/>
      </c>
      <c r="T33" s="13">
        <f>IF(Time!T30&gt;0,AVERAGE(Time!T32,Time!T33)/12,0)</f>
        <v/>
      </c>
      <c r="U33" s="13">
        <f>IF(Time!U30&gt;0,AVERAGE(Time!U32,Time!U33)/12,0)</f>
        <v/>
      </c>
      <c r="V33" s="13">
        <f>IF(Time!V30&gt;0,AVERAGE(Time!V32,Time!V33)/12,0)</f>
        <v/>
      </c>
      <c r="W33" s="13">
        <f>IF(Time!W30&gt;0,AVERAGE(Time!W32,Time!W33)/12,0)</f>
        <v/>
      </c>
      <c r="X33" s="13">
        <f>IF(Time!X30&gt;0,AVERAGE(Time!X32,Time!X33)/12,0)</f>
        <v/>
      </c>
      <c r="Y33" s="13">
        <f>IF(Time!Y30&gt;0,AVERAGE(Time!Y32,Time!Y33)/12,0)</f>
        <v/>
      </c>
      <c r="Z33" s="13">
        <f>IF(Time!Z30&gt;0,AVERAGE(Time!Z32,Time!Z33)/12,0)</f>
        <v/>
      </c>
      <c r="AA33" s="13">
        <f>IF(Time!AA30&gt;0,AVERAGE(Time!AA32,Time!AA33)/12,0)</f>
        <v/>
      </c>
      <c r="AB33" s="13">
        <f>IF(Time!AB30&gt;0,AVERAGE(Time!AB32,Time!AB33)/12,0)</f>
        <v/>
      </c>
      <c r="AC33" s="13">
        <f>IF(Time!AC30&gt;0,AVERAGE(Time!AC32,Time!AC33)/12,0)</f>
        <v/>
      </c>
      <c r="AD33" s="13">
        <f>IF(Time!AD30&gt;0,AVERAGE(Time!AD32,Time!AD33)/12,0)</f>
        <v/>
      </c>
      <c r="AE33" s="13">
        <f>IF(Time!AE30&gt;0,AVERAGE(Time!AE32,Time!AE33)/12,0)</f>
        <v/>
      </c>
      <c r="AF33" s="13">
        <f>IF(Time!AF30&gt;0,AVERAGE(Time!AF32,Time!AF33)/12,0)</f>
        <v/>
      </c>
      <c r="AG33" s="13">
        <f>IF(Time!AG30&gt;0,AVERAGE(Time!AG32,Time!AG33)/12,0)</f>
        <v/>
      </c>
      <c r="AH33" s="13">
        <f>IF(Time!AH30&gt;0,AVERAGE(Time!AH32,Time!AH33)/12,0)</f>
        <v/>
      </c>
      <c r="AI33" s="13">
        <f>IF(Time!AI30&gt;0,AVERAGE(Time!AI32,Time!AI33)/12,0)</f>
        <v/>
      </c>
      <c r="AJ33" s="13">
        <f>IF(Time!AJ30&gt;0,AVERAGE(Time!AJ32,Time!AJ33)/12,0)</f>
        <v/>
      </c>
      <c r="AK33" s="13">
        <f>IF(Time!AK30&gt;0,AVERAGE(Time!AK32,Time!AK33)/12,0)</f>
        <v/>
      </c>
      <c r="AL33" s="13">
        <f>IF(Time!AL30&gt;0,AVERAGE(Time!AL32,Time!AL33)/12,0)</f>
        <v/>
      </c>
      <c r="AM33" s="13">
        <f>IF(Time!AM30&gt;0,AVERAGE(Time!AM32,Time!AM33)/12,0)</f>
        <v/>
      </c>
      <c r="AN33" s="13">
        <f>IF(Time!AN30&gt;0,AVERAGE(Time!AN32,Time!AN33)/12,0)</f>
        <v/>
      </c>
      <c r="AO33" s="13">
        <f>IF(Time!AO30&gt;0,AVERAGE(Time!AO32,Time!AO33)/12,0)</f>
        <v/>
      </c>
      <c r="AP33" s="13">
        <f>IF(Time!AP30&gt;0,AVERAGE(Time!AP32,Time!AP33)/12,0)</f>
        <v/>
      </c>
      <c r="AQ33" s="13">
        <f>IF(Time!AQ30&gt;0,AVERAGE(Time!AQ32,Time!AQ33)/12,0)</f>
        <v/>
      </c>
      <c r="AR33" s="13">
        <f>IF(Time!AR30&gt;0,AVERAGE(Time!AR32,Time!AR33)/12,0)</f>
        <v/>
      </c>
      <c r="AS33" s="13">
        <f>IF(Time!AS30&gt;0,AVERAGE(Time!AS32,Time!AS33)/12,0)</f>
        <v/>
      </c>
      <c r="AT33" s="13">
        <f>IF(Time!AT30&gt;0,AVERAGE(Time!AT32,Time!AT33)/12,0)</f>
        <v/>
      </c>
      <c r="AU33" s="13">
        <f>IF(Time!AU30&gt;0,AVERAGE(Time!AU32,Time!AU33)/12,0)</f>
        <v/>
      </c>
      <c r="AV33" s="13">
        <f>IF(Time!AV30&gt;0,AVERAGE(Time!AV32,Time!AV33)/12,0)</f>
        <v/>
      </c>
      <c r="AW33" s="13">
        <f>IF(Time!AW30&gt;0,AVERAGE(Time!AW32,Time!AW33)/12,0)</f>
        <v/>
      </c>
      <c r="AX33" s="13">
        <f>IF(Time!AX30&gt;0,AVERAGE(Time!AX32,Time!AX33)/12,0)</f>
        <v/>
      </c>
      <c r="AY33" s="13">
        <f>IF(Time!AY30&gt;0,AVERAGE(Time!AY32,Time!AY33)/12,0)</f>
        <v/>
      </c>
      <c r="AZ33" s="13">
        <f>IF(Time!AZ30&gt;0,AVERAGE(Time!AZ32,Time!AZ33)/12,0)</f>
        <v/>
      </c>
      <c r="BA33" s="13">
        <f>IF(Time!BA30&gt;0,AVERAGE(Time!BA32,Time!BA33)/12,0)</f>
        <v/>
      </c>
      <c r="BB33" s="13">
        <f>IF(Time!BB30&gt;0,AVERAGE(Time!BB32,Time!BB33)/12,0)</f>
        <v/>
      </c>
      <c r="BC33" s="13">
        <f>IF(Time!BC30&gt;0,AVERAGE(Time!BC32,Time!BC33)/12,0)</f>
        <v/>
      </c>
      <c r="BD33" s="13">
        <f>IF(Time!BD30&gt;0,AVERAGE(Time!BD32,Time!BD33)/12,0)</f>
        <v/>
      </c>
      <c r="BE33" s="13">
        <f>IF(Time!BE30&gt;0,AVERAGE(Time!BE32,Time!BE33)/12,0)</f>
        <v/>
      </c>
      <c r="BF33" s="13">
        <f>IF(Time!BF30&gt;0,AVERAGE(Time!BF32,Time!BF33)/12,0)</f>
        <v/>
      </c>
      <c r="BG33" s="13">
        <f>IF(Time!BG30&gt;0,AVERAGE(Time!BG32,Time!BG33)/12,0)</f>
        <v/>
      </c>
      <c r="BH33" s="13">
        <f>IF(Time!BH30&gt;0,AVERAGE(Time!BH32,Time!BH33)/12,0)</f>
        <v/>
      </c>
      <c r="BI33" s="13">
        <f>IF(Time!BI30&gt;0,AVERAGE(Time!BI32,Time!BI33)/12,0)</f>
        <v/>
      </c>
      <c r="BJ33" s="13">
        <f>IF(Time!BJ30&gt;0,AVERAGE(Time!BJ32,Time!BJ33)/12,0)</f>
        <v/>
      </c>
      <c r="BK33" s="13">
        <f>IF(Time!BK30&gt;0,AVERAGE(Time!BK32,Time!BK33)/12,0)</f>
        <v/>
      </c>
      <c r="BL33" s="13">
        <f>IF(Time!BL30&gt;0,AVERAGE(Time!BL32,Time!BL33)/12,0)</f>
        <v/>
      </c>
      <c r="BM33" s="13">
        <f>IF(Time!BM30&gt;0,AVERAGE(Time!BM32,Time!BM33)/12,0)</f>
        <v/>
      </c>
      <c r="BN33" s="13">
        <f>IF(Time!BN30&gt;0,AVERAGE(Time!BN32,Time!BN33)/12,0)</f>
        <v/>
      </c>
    </row>
    <row r="34">
      <c r="D34" t="inlineStr">
        <is>
          <t>Contracted capacity</t>
        </is>
      </c>
      <c r="E34" t="inlineStr">
        <is>
          <t>MW</t>
        </is>
      </c>
      <c r="F34" s="14">
        <f>IF(Inputs!$F$34&lt;&gt;1,Inputs!$F$117,Inputs!$F$116)</f>
        <v/>
      </c>
    </row>
    <row r="35">
      <c r="D35" t="inlineStr">
        <is>
          <t>Plant net heat rate, new and clean</t>
        </is>
      </c>
      <c r="E35" t="inlineStr">
        <is>
          <t>kJ/kWh</t>
        </is>
      </c>
      <c r="F35" s="9">
        <f>IF(Inputs!$F$34&lt;&gt;1,Inputs!$F$119,Inputs!$F$118)</f>
        <v/>
      </c>
    </row>
    <row r="36">
      <c r="D36" t="inlineStr">
        <is>
          <t>Output degradation factor</t>
        </is>
      </c>
      <c r="E36" t="inlineStr">
        <is>
          <t>factor</t>
        </is>
      </c>
      <c r="J36" s="13">
        <f>(1-Inputs!$F$125/100*J33)*(1-Inputs!$F$126/100)</f>
        <v/>
      </c>
      <c r="K36" s="13">
        <f>(1-Inputs!$F$125/100*K33)*(1-Inputs!$F$126/100)</f>
        <v/>
      </c>
      <c r="L36" s="13">
        <f>(1-Inputs!$F$125/100*L33)*(1-Inputs!$F$126/100)</f>
        <v/>
      </c>
      <c r="M36" s="13">
        <f>(1-Inputs!$F$125/100*M33)*(1-Inputs!$F$126/100)</f>
        <v/>
      </c>
      <c r="N36" s="13">
        <f>(1-Inputs!$F$125/100*N33)*(1-Inputs!$F$126/100)</f>
        <v/>
      </c>
      <c r="O36" s="13">
        <f>(1-Inputs!$F$125/100*O33)*(1-Inputs!$F$126/100)</f>
        <v/>
      </c>
      <c r="P36" s="13">
        <f>(1-Inputs!$F$125/100*P33)*(1-Inputs!$F$126/100)</f>
        <v/>
      </c>
      <c r="Q36" s="13">
        <f>(1-Inputs!$F$125/100*Q33)*(1-Inputs!$F$126/100)</f>
        <v/>
      </c>
      <c r="R36" s="13">
        <f>(1-Inputs!$F$125/100*R33)*(1-Inputs!$F$126/100)</f>
        <v/>
      </c>
      <c r="S36" s="13">
        <f>(1-Inputs!$F$125/100*S33)*(1-Inputs!$F$126/100)</f>
        <v/>
      </c>
      <c r="T36" s="13">
        <f>(1-Inputs!$F$125/100*T33)*(1-Inputs!$F$126/100)</f>
        <v/>
      </c>
      <c r="U36" s="13">
        <f>(1-Inputs!$F$125/100*U33)*(1-Inputs!$F$126/100)</f>
        <v/>
      </c>
      <c r="V36" s="13">
        <f>(1-Inputs!$F$125/100*V33)*(1-Inputs!$F$126/100)</f>
        <v/>
      </c>
      <c r="W36" s="13">
        <f>(1-Inputs!$F$125/100*W33)*(1-Inputs!$F$126/100)</f>
        <v/>
      </c>
      <c r="X36" s="13">
        <f>(1-Inputs!$F$125/100*X33)*(1-Inputs!$F$126/100)</f>
        <v/>
      </c>
      <c r="Y36" s="13">
        <f>(1-Inputs!$F$125/100*Y33)*(1-Inputs!$F$126/100)</f>
        <v/>
      </c>
      <c r="Z36" s="13">
        <f>(1-Inputs!$F$125/100*Z33)*(1-Inputs!$F$126/100)</f>
        <v/>
      </c>
      <c r="AA36" s="13">
        <f>(1-Inputs!$F$125/100*AA33)*(1-Inputs!$F$126/100)</f>
        <v/>
      </c>
      <c r="AB36" s="13">
        <f>(1-Inputs!$F$125/100*AB33)*(1-Inputs!$F$126/100)</f>
        <v/>
      </c>
      <c r="AC36" s="13">
        <f>(1-Inputs!$F$125/100*AC33)*(1-Inputs!$F$126/100)</f>
        <v/>
      </c>
      <c r="AD36" s="13">
        <f>(1-Inputs!$F$125/100*AD33)*(1-Inputs!$F$126/100)</f>
        <v/>
      </c>
      <c r="AE36" s="13">
        <f>(1-Inputs!$F$125/100*AE33)*(1-Inputs!$F$126/100)</f>
        <v/>
      </c>
      <c r="AF36" s="13">
        <f>(1-Inputs!$F$125/100*AF33)*(1-Inputs!$F$126/100)</f>
        <v/>
      </c>
      <c r="AG36" s="13">
        <f>(1-Inputs!$F$125/100*AG33)*(1-Inputs!$F$126/100)</f>
        <v/>
      </c>
      <c r="AH36" s="13">
        <f>(1-Inputs!$F$125/100*AH33)*(1-Inputs!$F$126/100)</f>
        <v/>
      </c>
      <c r="AI36" s="13">
        <f>(1-Inputs!$F$125/100*AI33)*(1-Inputs!$F$126/100)</f>
        <v/>
      </c>
      <c r="AJ36" s="13">
        <f>(1-Inputs!$F$125/100*AJ33)*(1-Inputs!$F$126/100)</f>
        <v/>
      </c>
      <c r="AK36" s="13">
        <f>(1-Inputs!$F$125/100*AK33)*(1-Inputs!$F$126/100)</f>
        <v/>
      </c>
      <c r="AL36" s="13">
        <f>(1-Inputs!$F$125/100*AL33)*(1-Inputs!$F$126/100)</f>
        <v/>
      </c>
      <c r="AM36" s="13">
        <f>(1-Inputs!$F$125/100*AM33)*(1-Inputs!$F$126/100)</f>
        <v/>
      </c>
      <c r="AN36" s="13">
        <f>(1-Inputs!$F$125/100*AN33)*(1-Inputs!$F$126/100)</f>
        <v/>
      </c>
      <c r="AO36" s="13">
        <f>(1-Inputs!$F$125/100*AO33)*(1-Inputs!$F$126/100)</f>
        <v/>
      </c>
      <c r="AP36" s="13">
        <f>(1-Inputs!$F$125/100*AP33)*(1-Inputs!$F$126/100)</f>
        <v/>
      </c>
      <c r="AQ36" s="13">
        <f>(1-Inputs!$F$125/100*AQ33)*(1-Inputs!$F$126/100)</f>
        <v/>
      </c>
      <c r="AR36" s="13">
        <f>(1-Inputs!$F$125/100*AR33)*(1-Inputs!$F$126/100)</f>
        <v/>
      </c>
      <c r="AS36" s="13">
        <f>(1-Inputs!$F$125/100*AS33)*(1-Inputs!$F$126/100)</f>
        <v/>
      </c>
      <c r="AT36" s="13">
        <f>(1-Inputs!$F$125/100*AT33)*(1-Inputs!$F$126/100)</f>
        <v/>
      </c>
      <c r="AU36" s="13">
        <f>(1-Inputs!$F$125/100*AU33)*(1-Inputs!$F$126/100)</f>
        <v/>
      </c>
      <c r="AV36" s="13">
        <f>(1-Inputs!$F$125/100*AV33)*(1-Inputs!$F$126/100)</f>
        <v/>
      </c>
      <c r="AW36" s="13">
        <f>(1-Inputs!$F$125/100*AW33)*(1-Inputs!$F$126/100)</f>
        <v/>
      </c>
      <c r="AX36" s="13">
        <f>(1-Inputs!$F$125/100*AX33)*(1-Inputs!$F$126/100)</f>
        <v/>
      </c>
      <c r="AY36" s="13">
        <f>(1-Inputs!$F$125/100*AY33)*(1-Inputs!$F$126/100)</f>
        <v/>
      </c>
      <c r="AZ36" s="13">
        <f>(1-Inputs!$F$125/100*AZ33)*(1-Inputs!$F$126/100)</f>
        <v/>
      </c>
      <c r="BA36" s="13">
        <f>(1-Inputs!$F$125/100*BA33)*(1-Inputs!$F$126/100)</f>
        <v/>
      </c>
      <c r="BB36" s="13">
        <f>(1-Inputs!$F$125/100*BB33)*(1-Inputs!$F$126/100)</f>
        <v/>
      </c>
      <c r="BC36" s="13">
        <f>(1-Inputs!$F$125/100*BC33)*(1-Inputs!$F$126/100)</f>
        <v/>
      </c>
      <c r="BD36" s="13">
        <f>(1-Inputs!$F$125/100*BD33)*(1-Inputs!$F$126/100)</f>
        <v/>
      </c>
      <c r="BE36" s="13">
        <f>(1-Inputs!$F$125/100*BE33)*(1-Inputs!$F$126/100)</f>
        <v/>
      </c>
      <c r="BF36" s="13">
        <f>(1-Inputs!$F$125/100*BF33)*(1-Inputs!$F$126/100)</f>
        <v/>
      </c>
      <c r="BG36" s="13">
        <f>(1-Inputs!$F$125/100*BG33)*(1-Inputs!$F$126/100)</f>
        <v/>
      </c>
      <c r="BH36" s="13">
        <f>(1-Inputs!$F$125/100*BH33)*(1-Inputs!$F$126/100)</f>
        <v/>
      </c>
      <c r="BI36" s="13">
        <f>(1-Inputs!$F$125/100*BI33)*(1-Inputs!$F$126/100)</f>
        <v/>
      </c>
      <c r="BJ36" s="13">
        <f>(1-Inputs!$F$125/100*BJ33)*(1-Inputs!$F$126/100)</f>
        <v/>
      </c>
      <c r="BK36" s="13">
        <f>(1-Inputs!$F$125/100*BK33)*(1-Inputs!$F$126/100)</f>
        <v/>
      </c>
      <c r="BL36" s="13">
        <f>(1-Inputs!$F$125/100*BL33)*(1-Inputs!$F$126/100)</f>
        <v/>
      </c>
      <c r="BM36" s="13">
        <f>(1-Inputs!$F$125/100*BM33)*(1-Inputs!$F$126/100)</f>
        <v/>
      </c>
      <c r="BN36" s="13">
        <f>(1-Inputs!$F$125/100*BN33)*(1-Inputs!$F$126/100)</f>
        <v/>
      </c>
    </row>
    <row r="37">
      <c r="D37" t="inlineStr">
        <is>
          <t>Dispatch factor when available</t>
        </is>
      </c>
      <c r="E37" t="inlineStr">
        <is>
          <t>%</t>
        </is>
      </c>
      <c r="J37" s="13">
        <f>IF(AND(Inputs!$F$55=1,Inputs!J303&gt;0),Inputs!J303,Inputs!$F$38)</f>
        <v/>
      </c>
      <c r="K37" s="13">
        <f>IF(AND(Inputs!$F$55=1,Inputs!K303&gt;0),Inputs!K303,Inputs!$F$38)</f>
        <v/>
      </c>
      <c r="L37" s="13">
        <f>IF(AND(Inputs!$F$55=1,Inputs!L303&gt;0),Inputs!L303,Inputs!$F$38)</f>
        <v/>
      </c>
      <c r="M37" s="13">
        <f>IF(AND(Inputs!$F$55=1,Inputs!M303&gt;0),Inputs!M303,Inputs!$F$38)</f>
        <v/>
      </c>
      <c r="N37" s="13">
        <f>IF(AND(Inputs!$F$55=1,Inputs!N303&gt;0),Inputs!N303,Inputs!$F$38)</f>
        <v/>
      </c>
      <c r="O37" s="13">
        <f>IF(AND(Inputs!$F$55=1,Inputs!O303&gt;0),Inputs!O303,Inputs!$F$38)</f>
        <v/>
      </c>
      <c r="P37" s="13">
        <f>IF(AND(Inputs!$F$55=1,Inputs!P303&gt;0),Inputs!P303,Inputs!$F$38)</f>
        <v/>
      </c>
      <c r="Q37" s="13">
        <f>IF(AND(Inputs!$F$55=1,Inputs!Q303&gt;0),Inputs!Q303,Inputs!$F$38)</f>
        <v/>
      </c>
      <c r="R37" s="13">
        <f>IF(AND(Inputs!$F$55=1,Inputs!R303&gt;0),Inputs!R303,Inputs!$F$38)</f>
        <v/>
      </c>
      <c r="S37" s="13">
        <f>IF(AND(Inputs!$F$55=1,Inputs!S303&gt;0),Inputs!S303,Inputs!$F$38)</f>
        <v/>
      </c>
      <c r="T37" s="13">
        <f>IF(AND(Inputs!$F$55=1,Inputs!T303&gt;0),Inputs!T303,Inputs!$F$38)</f>
        <v/>
      </c>
      <c r="U37" s="13">
        <f>IF(AND(Inputs!$F$55=1,Inputs!U303&gt;0),Inputs!U303,Inputs!$F$38)</f>
        <v/>
      </c>
      <c r="V37" s="13">
        <f>IF(AND(Inputs!$F$55=1,Inputs!V303&gt;0),Inputs!V303,Inputs!$F$38)</f>
        <v/>
      </c>
      <c r="W37" s="13">
        <f>IF(AND(Inputs!$F$55=1,Inputs!W303&gt;0),Inputs!W303,Inputs!$F$38)</f>
        <v/>
      </c>
      <c r="X37" s="13">
        <f>IF(AND(Inputs!$F$55=1,Inputs!X303&gt;0),Inputs!X303,Inputs!$F$38)</f>
        <v/>
      </c>
      <c r="Y37" s="13">
        <f>IF(AND(Inputs!$F$55=1,Inputs!Y303&gt;0),Inputs!Y303,Inputs!$F$38)</f>
        <v/>
      </c>
      <c r="Z37" s="13">
        <f>IF(AND(Inputs!$F$55=1,Inputs!Z303&gt;0),Inputs!Z303,Inputs!$F$38)</f>
        <v/>
      </c>
      <c r="AA37" s="13">
        <f>IF(AND(Inputs!$F$55=1,Inputs!AA303&gt;0),Inputs!AA303,Inputs!$F$38)</f>
        <v/>
      </c>
      <c r="AB37" s="13">
        <f>IF(AND(Inputs!$F$55=1,Inputs!AB303&gt;0),Inputs!AB303,Inputs!$F$38)</f>
        <v/>
      </c>
      <c r="AC37" s="13">
        <f>IF(AND(Inputs!$F$55=1,Inputs!AC303&gt;0),Inputs!AC303,Inputs!$F$38)</f>
        <v/>
      </c>
      <c r="AD37" s="13">
        <f>IF(AND(Inputs!$F$55=1,Inputs!AD303&gt;0),Inputs!AD303,Inputs!$F$38)</f>
        <v/>
      </c>
      <c r="AE37" s="13">
        <f>IF(AND(Inputs!$F$55=1,Inputs!AE303&gt;0),Inputs!AE303,Inputs!$F$38)</f>
        <v/>
      </c>
      <c r="AF37" s="13">
        <f>IF(AND(Inputs!$F$55=1,Inputs!AF303&gt;0),Inputs!AF303,Inputs!$F$38)</f>
        <v/>
      </c>
      <c r="AG37" s="13">
        <f>IF(AND(Inputs!$F$55=1,Inputs!AG303&gt;0),Inputs!AG303,Inputs!$F$38)</f>
        <v/>
      </c>
      <c r="AH37" s="13">
        <f>IF(AND(Inputs!$F$55=1,Inputs!AH303&gt;0),Inputs!AH303,Inputs!$F$38)</f>
        <v/>
      </c>
      <c r="AI37" s="13">
        <f>IF(AND(Inputs!$F$55=1,Inputs!AI303&gt;0),Inputs!AI303,Inputs!$F$38)</f>
        <v/>
      </c>
      <c r="AJ37" s="13">
        <f>IF(AND(Inputs!$F$55=1,Inputs!AJ303&gt;0),Inputs!AJ303,Inputs!$F$38)</f>
        <v/>
      </c>
      <c r="AK37" s="13">
        <f>IF(AND(Inputs!$F$55=1,Inputs!AK303&gt;0),Inputs!AK303,Inputs!$F$38)</f>
        <v/>
      </c>
      <c r="AL37" s="13">
        <f>IF(AND(Inputs!$F$55=1,Inputs!AL303&gt;0),Inputs!AL303,Inputs!$F$38)</f>
        <v/>
      </c>
      <c r="AM37" s="13">
        <f>IF(AND(Inputs!$F$55=1,Inputs!AM303&gt;0),Inputs!AM303,Inputs!$F$38)</f>
        <v/>
      </c>
      <c r="AN37" s="13">
        <f>IF(AND(Inputs!$F$55=1,Inputs!AN303&gt;0),Inputs!AN303,Inputs!$F$38)</f>
        <v/>
      </c>
      <c r="AO37" s="13">
        <f>IF(AND(Inputs!$F$55=1,Inputs!AO303&gt;0),Inputs!AO303,Inputs!$F$38)</f>
        <v/>
      </c>
      <c r="AP37" s="13">
        <f>IF(AND(Inputs!$F$55=1,Inputs!AP303&gt;0),Inputs!AP303,Inputs!$F$38)</f>
        <v/>
      </c>
      <c r="AQ37" s="13">
        <f>IF(AND(Inputs!$F$55=1,Inputs!AQ303&gt;0),Inputs!AQ303,Inputs!$F$38)</f>
        <v/>
      </c>
      <c r="AR37" s="13">
        <f>IF(AND(Inputs!$F$55=1,Inputs!AR303&gt;0),Inputs!AR303,Inputs!$F$38)</f>
        <v/>
      </c>
      <c r="AS37" s="13">
        <f>IF(AND(Inputs!$F$55=1,Inputs!AS303&gt;0),Inputs!AS303,Inputs!$F$38)</f>
        <v/>
      </c>
      <c r="AT37" s="13">
        <f>IF(AND(Inputs!$F$55=1,Inputs!AT303&gt;0),Inputs!AT303,Inputs!$F$38)</f>
        <v/>
      </c>
      <c r="AU37" s="13">
        <f>IF(AND(Inputs!$F$55=1,Inputs!AU303&gt;0),Inputs!AU303,Inputs!$F$38)</f>
        <v/>
      </c>
      <c r="AV37" s="13">
        <f>IF(AND(Inputs!$F$55=1,Inputs!AV303&gt;0),Inputs!AV303,Inputs!$F$38)</f>
        <v/>
      </c>
      <c r="AW37" s="13">
        <f>IF(AND(Inputs!$F$55=1,Inputs!AW303&gt;0),Inputs!AW303,Inputs!$F$38)</f>
        <v/>
      </c>
      <c r="AX37" s="13">
        <f>IF(AND(Inputs!$F$55=1,Inputs!AX303&gt;0),Inputs!AX303,Inputs!$F$38)</f>
        <v/>
      </c>
      <c r="AY37" s="13">
        <f>IF(AND(Inputs!$F$55=1,Inputs!AY303&gt;0),Inputs!AY303,Inputs!$F$38)</f>
        <v/>
      </c>
      <c r="AZ37" s="13">
        <f>IF(AND(Inputs!$F$55=1,Inputs!AZ303&gt;0),Inputs!AZ303,Inputs!$F$38)</f>
        <v/>
      </c>
      <c r="BA37" s="13">
        <f>IF(AND(Inputs!$F$55=1,Inputs!BA303&gt;0),Inputs!BA303,Inputs!$F$38)</f>
        <v/>
      </c>
      <c r="BB37" s="13">
        <f>IF(AND(Inputs!$F$55=1,Inputs!BB303&gt;0),Inputs!BB303,Inputs!$F$38)</f>
        <v/>
      </c>
      <c r="BC37" s="13">
        <f>IF(AND(Inputs!$F$55=1,Inputs!BC303&gt;0),Inputs!BC303,Inputs!$F$38)</f>
        <v/>
      </c>
      <c r="BD37" s="13">
        <f>IF(AND(Inputs!$F$55=1,Inputs!BD303&gt;0),Inputs!BD303,Inputs!$F$38)</f>
        <v/>
      </c>
      <c r="BE37" s="13">
        <f>IF(AND(Inputs!$F$55=1,Inputs!BE303&gt;0),Inputs!BE303,Inputs!$F$38)</f>
        <v/>
      </c>
      <c r="BF37" s="13">
        <f>IF(AND(Inputs!$F$55=1,Inputs!BF303&gt;0),Inputs!BF303,Inputs!$F$38)</f>
        <v/>
      </c>
      <c r="BG37" s="13">
        <f>IF(AND(Inputs!$F$55=1,Inputs!BG303&gt;0),Inputs!BG303,Inputs!$F$38)</f>
        <v/>
      </c>
      <c r="BH37" s="13">
        <f>IF(AND(Inputs!$F$55=1,Inputs!BH303&gt;0),Inputs!BH303,Inputs!$F$38)</f>
        <v/>
      </c>
      <c r="BI37" s="13">
        <f>IF(AND(Inputs!$F$55=1,Inputs!BI303&gt;0),Inputs!BI303,Inputs!$F$38)</f>
        <v/>
      </c>
      <c r="BJ37" s="13">
        <f>IF(AND(Inputs!$F$55=1,Inputs!BJ303&gt;0),Inputs!BJ303,Inputs!$F$38)</f>
        <v/>
      </c>
      <c r="BK37" s="13">
        <f>IF(AND(Inputs!$F$55=1,Inputs!BK303&gt;0),Inputs!BK303,Inputs!$F$38)</f>
        <v/>
      </c>
      <c r="BL37" s="13">
        <f>IF(AND(Inputs!$F$55=1,Inputs!BL303&gt;0),Inputs!BL303,Inputs!$F$38)</f>
        <v/>
      </c>
      <c r="BM37" s="13">
        <f>IF(AND(Inputs!$F$55=1,Inputs!BM303&gt;0),Inputs!BM303,Inputs!$F$38)</f>
        <v/>
      </c>
      <c r="BN37" s="13">
        <f>IF(AND(Inputs!$F$55=1,Inputs!BN303&gt;0),Inputs!BN303,Inputs!$F$38)</f>
        <v/>
      </c>
    </row>
    <row r="38">
      <c r="D38" t="inlineStr">
        <is>
          <t>Net energy delivered</t>
        </is>
      </c>
      <c r="E38" t="inlineStr">
        <is>
          <t>MWh</t>
        </is>
      </c>
      <c r="J38" s="15">
        <f>$F$34*Inputs!$F$215*Time!J30*J32/100*J37/100*J36</f>
        <v/>
      </c>
      <c r="K38" s="15">
        <f>$F$34*Inputs!$F$215*Time!K30*K32/100*K37/100*K36</f>
        <v/>
      </c>
      <c r="L38" s="15">
        <f>$F$34*Inputs!$F$215*Time!L30*L32/100*L37/100*L36</f>
        <v/>
      </c>
      <c r="M38" s="15">
        <f>$F$34*Inputs!$F$215*Time!M30*M32/100*M37/100*M36</f>
        <v/>
      </c>
      <c r="N38" s="15">
        <f>$F$34*Inputs!$F$215*Time!N30*N32/100*N37/100*N36</f>
        <v/>
      </c>
      <c r="O38" s="15">
        <f>$F$34*Inputs!$F$215*Time!O30*O32/100*O37/100*O36</f>
        <v/>
      </c>
      <c r="P38" s="15">
        <f>$F$34*Inputs!$F$215*Time!P30*P32/100*P37/100*P36</f>
        <v/>
      </c>
      <c r="Q38" s="15">
        <f>$F$34*Inputs!$F$215*Time!Q30*Q32/100*Q37/100*Q36</f>
        <v/>
      </c>
      <c r="R38" s="15">
        <f>$F$34*Inputs!$F$215*Time!R30*R32/100*R37/100*R36</f>
        <v/>
      </c>
      <c r="S38" s="15">
        <f>$F$34*Inputs!$F$215*Time!S30*S32/100*S37/100*S36</f>
        <v/>
      </c>
      <c r="T38" s="15">
        <f>$F$34*Inputs!$F$215*Time!T30*T32/100*T37/100*T36</f>
        <v/>
      </c>
      <c r="U38" s="15">
        <f>$F$34*Inputs!$F$215*Time!U30*U32/100*U37/100*U36</f>
        <v/>
      </c>
      <c r="V38" s="15">
        <f>$F$34*Inputs!$F$215*Time!V30*V32/100*V37/100*V36</f>
        <v/>
      </c>
      <c r="W38" s="15">
        <f>$F$34*Inputs!$F$215*Time!W30*W32/100*W37/100*W36</f>
        <v/>
      </c>
      <c r="X38" s="15">
        <f>$F$34*Inputs!$F$215*Time!X30*X32/100*X37/100*X36</f>
        <v/>
      </c>
      <c r="Y38" s="15">
        <f>$F$34*Inputs!$F$215*Time!Y30*Y32/100*Y37/100*Y36</f>
        <v/>
      </c>
      <c r="Z38" s="15">
        <f>$F$34*Inputs!$F$215*Time!Z30*Z32/100*Z37/100*Z36</f>
        <v/>
      </c>
      <c r="AA38" s="15">
        <f>$F$34*Inputs!$F$215*Time!AA30*AA32/100*AA37/100*AA36</f>
        <v/>
      </c>
      <c r="AB38" s="15">
        <f>$F$34*Inputs!$F$215*Time!AB30*AB32/100*AB37/100*AB36</f>
        <v/>
      </c>
      <c r="AC38" s="15">
        <f>$F$34*Inputs!$F$215*Time!AC30*AC32/100*AC37/100*AC36</f>
        <v/>
      </c>
      <c r="AD38" s="15">
        <f>$F$34*Inputs!$F$215*Time!AD30*AD32/100*AD37/100*AD36</f>
        <v/>
      </c>
      <c r="AE38" s="15">
        <f>$F$34*Inputs!$F$215*Time!AE30*AE32/100*AE37/100*AE36</f>
        <v/>
      </c>
      <c r="AF38" s="15">
        <f>$F$34*Inputs!$F$215*Time!AF30*AF32/100*AF37/100*AF36</f>
        <v/>
      </c>
      <c r="AG38" s="15">
        <f>$F$34*Inputs!$F$215*Time!AG30*AG32/100*AG37/100*AG36</f>
        <v/>
      </c>
      <c r="AH38" s="15">
        <f>$F$34*Inputs!$F$215*Time!AH30*AH32/100*AH37/100*AH36</f>
        <v/>
      </c>
      <c r="AI38" s="15">
        <f>$F$34*Inputs!$F$215*Time!AI30*AI32/100*AI37/100*AI36</f>
        <v/>
      </c>
      <c r="AJ38" s="15">
        <f>$F$34*Inputs!$F$215*Time!AJ30*AJ32/100*AJ37/100*AJ36</f>
        <v/>
      </c>
      <c r="AK38" s="15">
        <f>$F$34*Inputs!$F$215*Time!AK30*AK32/100*AK37/100*AK36</f>
        <v/>
      </c>
      <c r="AL38" s="15">
        <f>$F$34*Inputs!$F$215*Time!AL30*AL32/100*AL37/100*AL36</f>
        <v/>
      </c>
      <c r="AM38" s="15">
        <f>$F$34*Inputs!$F$215*Time!AM30*AM32/100*AM37/100*AM36</f>
        <v/>
      </c>
      <c r="AN38" s="15">
        <f>$F$34*Inputs!$F$215*Time!AN30*AN32/100*AN37/100*AN36</f>
        <v/>
      </c>
      <c r="AO38" s="15">
        <f>$F$34*Inputs!$F$215*Time!AO30*AO32/100*AO37/100*AO36</f>
        <v/>
      </c>
      <c r="AP38" s="15">
        <f>$F$34*Inputs!$F$215*Time!AP30*AP32/100*AP37/100*AP36</f>
        <v/>
      </c>
      <c r="AQ38" s="15">
        <f>$F$34*Inputs!$F$215*Time!AQ30*AQ32/100*AQ37/100*AQ36</f>
        <v/>
      </c>
      <c r="AR38" s="15">
        <f>$F$34*Inputs!$F$215*Time!AR30*AR32/100*AR37/100*AR36</f>
        <v/>
      </c>
      <c r="AS38" s="15">
        <f>$F$34*Inputs!$F$215*Time!AS30*AS32/100*AS37/100*AS36</f>
        <v/>
      </c>
      <c r="AT38" s="15">
        <f>$F$34*Inputs!$F$215*Time!AT30*AT32/100*AT37/100*AT36</f>
        <v/>
      </c>
      <c r="AU38" s="15">
        <f>$F$34*Inputs!$F$215*Time!AU30*AU32/100*AU37/100*AU36</f>
        <v/>
      </c>
      <c r="AV38" s="15">
        <f>$F$34*Inputs!$F$215*Time!AV30*AV32/100*AV37/100*AV36</f>
        <v/>
      </c>
      <c r="AW38" s="15">
        <f>$F$34*Inputs!$F$215*Time!AW30*AW32/100*AW37/100*AW36</f>
        <v/>
      </c>
      <c r="AX38" s="15">
        <f>$F$34*Inputs!$F$215*Time!AX30*AX32/100*AX37/100*AX36</f>
        <v/>
      </c>
      <c r="AY38" s="15">
        <f>$F$34*Inputs!$F$215*Time!AY30*AY32/100*AY37/100*AY36</f>
        <v/>
      </c>
      <c r="AZ38" s="15">
        <f>$F$34*Inputs!$F$215*Time!AZ30*AZ32/100*AZ37/100*AZ36</f>
        <v/>
      </c>
      <c r="BA38" s="15">
        <f>$F$34*Inputs!$F$215*Time!BA30*BA32/100*BA37/100*BA36</f>
        <v/>
      </c>
      <c r="BB38" s="15">
        <f>$F$34*Inputs!$F$215*Time!BB30*BB32/100*BB37/100*BB36</f>
        <v/>
      </c>
      <c r="BC38" s="15">
        <f>$F$34*Inputs!$F$215*Time!BC30*BC32/100*BC37/100*BC36</f>
        <v/>
      </c>
      <c r="BD38" s="15">
        <f>$F$34*Inputs!$F$215*Time!BD30*BD32/100*BD37/100*BD36</f>
        <v/>
      </c>
      <c r="BE38" s="15">
        <f>$F$34*Inputs!$F$215*Time!BE30*BE32/100*BE37/100*BE36</f>
        <v/>
      </c>
      <c r="BF38" s="15">
        <f>$F$34*Inputs!$F$215*Time!BF30*BF32/100*BF37/100*BF36</f>
        <v/>
      </c>
      <c r="BG38" s="15">
        <f>$F$34*Inputs!$F$215*Time!BG30*BG32/100*BG37/100*BG36</f>
        <v/>
      </c>
      <c r="BH38" s="15">
        <f>$F$34*Inputs!$F$215*Time!BH30*BH32/100*BH37/100*BH36</f>
        <v/>
      </c>
      <c r="BI38" s="15">
        <f>$F$34*Inputs!$F$215*Time!BI30*BI32/100*BI37/100*BI36</f>
        <v/>
      </c>
      <c r="BJ38" s="15">
        <f>$F$34*Inputs!$F$215*Time!BJ30*BJ32/100*BJ37/100*BJ36</f>
        <v/>
      </c>
      <c r="BK38" s="15">
        <f>$F$34*Inputs!$F$215*Time!BK30*BK32/100*BK37/100*BK36</f>
        <v/>
      </c>
      <c r="BL38" s="15">
        <f>$F$34*Inputs!$F$215*Time!BL30*BL32/100*BL37/100*BL36</f>
        <v/>
      </c>
      <c r="BM38" s="15">
        <f>$F$34*Inputs!$F$215*Time!BM30*BM32/100*BM37/100*BM36</f>
        <v/>
      </c>
      <c r="BN38" s="15">
        <f>$F$34*Inputs!$F$215*Time!BN30*BN32/100*BN37/100*BN36</f>
        <v/>
      </c>
    </row>
    <row r="39">
      <c r="D39" t="inlineStr">
        <is>
          <t>Plant net heat rate</t>
        </is>
      </c>
      <c r="E39" t="inlineStr">
        <is>
          <t>kJ/kWh</t>
        </is>
      </c>
      <c r="J39" s="13">
        <f>$F$35*(1+Inputs!$F$127/100*J33)*(1+Inputs!$F$128/100)*(1+Inputs!$F$122/100)*Inputs!$F$39</f>
        <v/>
      </c>
      <c r="K39" s="13">
        <f>$F$35*(1+Inputs!$F$127/100*K33)*(1+Inputs!$F$128/100)*(1+Inputs!$F$122/100)*Inputs!$F$39</f>
        <v/>
      </c>
      <c r="L39" s="13">
        <f>$F$35*(1+Inputs!$F$127/100*L33)*(1+Inputs!$F$128/100)*(1+Inputs!$F$122/100)*Inputs!$F$39</f>
        <v/>
      </c>
      <c r="M39" s="13">
        <f>$F$35*(1+Inputs!$F$127/100*M33)*(1+Inputs!$F$128/100)*(1+Inputs!$F$122/100)*Inputs!$F$39</f>
        <v/>
      </c>
      <c r="N39" s="13">
        <f>$F$35*(1+Inputs!$F$127/100*N33)*(1+Inputs!$F$128/100)*(1+Inputs!$F$122/100)*Inputs!$F$39</f>
        <v/>
      </c>
      <c r="O39" s="13">
        <f>$F$35*(1+Inputs!$F$127/100*O33)*(1+Inputs!$F$128/100)*(1+Inputs!$F$122/100)*Inputs!$F$39</f>
        <v/>
      </c>
      <c r="P39" s="13">
        <f>$F$35*(1+Inputs!$F$127/100*P33)*(1+Inputs!$F$128/100)*(1+Inputs!$F$122/100)*Inputs!$F$39</f>
        <v/>
      </c>
      <c r="Q39" s="13">
        <f>$F$35*(1+Inputs!$F$127/100*Q33)*(1+Inputs!$F$128/100)*(1+Inputs!$F$122/100)*Inputs!$F$39</f>
        <v/>
      </c>
      <c r="R39" s="13">
        <f>$F$35*(1+Inputs!$F$127/100*R33)*(1+Inputs!$F$128/100)*(1+Inputs!$F$122/100)*Inputs!$F$39</f>
        <v/>
      </c>
      <c r="S39" s="13">
        <f>$F$35*(1+Inputs!$F$127/100*S33)*(1+Inputs!$F$128/100)*(1+Inputs!$F$122/100)*Inputs!$F$39</f>
        <v/>
      </c>
      <c r="T39" s="13">
        <f>$F$35*(1+Inputs!$F$127/100*T33)*(1+Inputs!$F$128/100)*(1+Inputs!$F$122/100)*Inputs!$F$39</f>
        <v/>
      </c>
      <c r="U39" s="13">
        <f>$F$35*(1+Inputs!$F$127/100*U33)*(1+Inputs!$F$128/100)*(1+Inputs!$F$122/100)*Inputs!$F$39</f>
        <v/>
      </c>
      <c r="V39" s="13">
        <f>$F$35*(1+Inputs!$F$127/100*V33)*(1+Inputs!$F$128/100)*(1+Inputs!$F$122/100)*Inputs!$F$39</f>
        <v/>
      </c>
      <c r="W39" s="13">
        <f>$F$35*(1+Inputs!$F$127/100*W33)*(1+Inputs!$F$128/100)*(1+Inputs!$F$122/100)*Inputs!$F$39</f>
        <v/>
      </c>
      <c r="X39" s="13">
        <f>$F$35*(1+Inputs!$F$127/100*X33)*(1+Inputs!$F$128/100)*(1+Inputs!$F$122/100)*Inputs!$F$39</f>
        <v/>
      </c>
      <c r="Y39" s="13">
        <f>$F$35*(1+Inputs!$F$127/100*Y33)*(1+Inputs!$F$128/100)*(1+Inputs!$F$122/100)*Inputs!$F$39</f>
        <v/>
      </c>
      <c r="Z39" s="13">
        <f>$F$35*(1+Inputs!$F$127/100*Z33)*(1+Inputs!$F$128/100)*(1+Inputs!$F$122/100)*Inputs!$F$39</f>
        <v/>
      </c>
      <c r="AA39" s="13">
        <f>$F$35*(1+Inputs!$F$127/100*AA33)*(1+Inputs!$F$128/100)*(1+Inputs!$F$122/100)*Inputs!$F$39</f>
        <v/>
      </c>
      <c r="AB39" s="13">
        <f>$F$35*(1+Inputs!$F$127/100*AB33)*(1+Inputs!$F$128/100)*(1+Inputs!$F$122/100)*Inputs!$F$39</f>
        <v/>
      </c>
      <c r="AC39" s="13">
        <f>$F$35*(1+Inputs!$F$127/100*AC33)*(1+Inputs!$F$128/100)*(1+Inputs!$F$122/100)*Inputs!$F$39</f>
        <v/>
      </c>
      <c r="AD39" s="13">
        <f>$F$35*(1+Inputs!$F$127/100*AD33)*(1+Inputs!$F$128/100)*(1+Inputs!$F$122/100)*Inputs!$F$39</f>
        <v/>
      </c>
      <c r="AE39" s="13">
        <f>$F$35*(1+Inputs!$F$127/100*AE33)*(1+Inputs!$F$128/100)*(1+Inputs!$F$122/100)*Inputs!$F$39</f>
        <v/>
      </c>
      <c r="AF39" s="13">
        <f>$F$35*(1+Inputs!$F$127/100*AF33)*(1+Inputs!$F$128/100)*(1+Inputs!$F$122/100)*Inputs!$F$39</f>
        <v/>
      </c>
      <c r="AG39" s="13">
        <f>$F$35*(1+Inputs!$F$127/100*AG33)*(1+Inputs!$F$128/100)*(1+Inputs!$F$122/100)*Inputs!$F$39</f>
        <v/>
      </c>
      <c r="AH39" s="13">
        <f>$F$35*(1+Inputs!$F$127/100*AH33)*(1+Inputs!$F$128/100)*(1+Inputs!$F$122/100)*Inputs!$F$39</f>
        <v/>
      </c>
      <c r="AI39" s="13">
        <f>$F$35*(1+Inputs!$F$127/100*AI33)*(1+Inputs!$F$128/100)*(1+Inputs!$F$122/100)*Inputs!$F$39</f>
        <v/>
      </c>
      <c r="AJ39" s="13">
        <f>$F$35*(1+Inputs!$F$127/100*AJ33)*(1+Inputs!$F$128/100)*(1+Inputs!$F$122/100)*Inputs!$F$39</f>
        <v/>
      </c>
      <c r="AK39" s="13">
        <f>$F$35*(1+Inputs!$F$127/100*AK33)*(1+Inputs!$F$128/100)*(1+Inputs!$F$122/100)*Inputs!$F$39</f>
        <v/>
      </c>
      <c r="AL39" s="13">
        <f>$F$35*(1+Inputs!$F$127/100*AL33)*(1+Inputs!$F$128/100)*(1+Inputs!$F$122/100)*Inputs!$F$39</f>
        <v/>
      </c>
      <c r="AM39" s="13">
        <f>$F$35*(1+Inputs!$F$127/100*AM33)*(1+Inputs!$F$128/100)*(1+Inputs!$F$122/100)*Inputs!$F$39</f>
        <v/>
      </c>
      <c r="AN39" s="13">
        <f>$F$35*(1+Inputs!$F$127/100*AN33)*(1+Inputs!$F$128/100)*(1+Inputs!$F$122/100)*Inputs!$F$39</f>
        <v/>
      </c>
      <c r="AO39" s="13">
        <f>$F$35*(1+Inputs!$F$127/100*AO33)*(1+Inputs!$F$128/100)*(1+Inputs!$F$122/100)*Inputs!$F$39</f>
        <v/>
      </c>
      <c r="AP39" s="13">
        <f>$F$35*(1+Inputs!$F$127/100*AP33)*(1+Inputs!$F$128/100)*(1+Inputs!$F$122/100)*Inputs!$F$39</f>
        <v/>
      </c>
      <c r="AQ39" s="13">
        <f>$F$35*(1+Inputs!$F$127/100*AQ33)*(1+Inputs!$F$128/100)*(1+Inputs!$F$122/100)*Inputs!$F$39</f>
        <v/>
      </c>
      <c r="AR39" s="13">
        <f>$F$35*(1+Inputs!$F$127/100*AR33)*(1+Inputs!$F$128/100)*(1+Inputs!$F$122/100)*Inputs!$F$39</f>
        <v/>
      </c>
      <c r="AS39" s="13">
        <f>$F$35*(1+Inputs!$F$127/100*AS33)*(1+Inputs!$F$128/100)*(1+Inputs!$F$122/100)*Inputs!$F$39</f>
        <v/>
      </c>
      <c r="AT39" s="13">
        <f>$F$35*(1+Inputs!$F$127/100*AT33)*(1+Inputs!$F$128/100)*(1+Inputs!$F$122/100)*Inputs!$F$39</f>
        <v/>
      </c>
      <c r="AU39" s="13">
        <f>$F$35*(1+Inputs!$F$127/100*AU33)*(1+Inputs!$F$128/100)*(1+Inputs!$F$122/100)*Inputs!$F$39</f>
        <v/>
      </c>
      <c r="AV39" s="13">
        <f>$F$35*(1+Inputs!$F$127/100*AV33)*(1+Inputs!$F$128/100)*(1+Inputs!$F$122/100)*Inputs!$F$39</f>
        <v/>
      </c>
      <c r="AW39" s="13">
        <f>$F$35*(1+Inputs!$F$127/100*AW33)*(1+Inputs!$F$128/100)*(1+Inputs!$F$122/100)*Inputs!$F$39</f>
        <v/>
      </c>
      <c r="AX39" s="13">
        <f>$F$35*(1+Inputs!$F$127/100*AX33)*(1+Inputs!$F$128/100)*(1+Inputs!$F$122/100)*Inputs!$F$39</f>
        <v/>
      </c>
      <c r="AY39" s="13">
        <f>$F$35*(1+Inputs!$F$127/100*AY33)*(1+Inputs!$F$128/100)*(1+Inputs!$F$122/100)*Inputs!$F$39</f>
        <v/>
      </c>
      <c r="AZ39" s="13">
        <f>$F$35*(1+Inputs!$F$127/100*AZ33)*(1+Inputs!$F$128/100)*(1+Inputs!$F$122/100)*Inputs!$F$39</f>
        <v/>
      </c>
      <c r="BA39" s="13">
        <f>$F$35*(1+Inputs!$F$127/100*BA33)*(1+Inputs!$F$128/100)*(1+Inputs!$F$122/100)*Inputs!$F$39</f>
        <v/>
      </c>
      <c r="BB39" s="13">
        <f>$F$35*(1+Inputs!$F$127/100*BB33)*(1+Inputs!$F$128/100)*(1+Inputs!$F$122/100)*Inputs!$F$39</f>
        <v/>
      </c>
      <c r="BC39" s="13">
        <f>$F$35*(1+Inputs!$F$127/100*BC33)*(1+Inputs!$F$128/100)*(1+Inputs!$F$122/100)*Inputs!$F$39</f>
        <v/>
      </c>
      <c r="BD39" s="13">
        <f>$F$35*(1+Inputs!$F$127/100*BD33)*(1+Inputs!$F$128/100)*(1+Inputs!$F$122/100)*Inputs!$F$39</f>
        <v/>
      </c>
      <c r="BE39" s="13">
        <f>$F$35*(1+Inputs!$F$127/100*BE33)*(1+Inputs!$F$128/100)*(1+Inputs!$F$122/100)*Inputs!$F$39</f>
        <v/>
      </c>
      <c r="BF39" s="13">
        <f>$F$35*(1+Inputs!$F$127/100*BF33)*(1+Inputs!$F$128/100)*(1+Inputs!$F$122/100)*Inputs!$F$39</f>
        <v/>
      </c>
      <c r="BG39" s="13">
        <f>$F$35*(1+Inputs!$F$127/100*BG33)*(1+Inputs!$F$128/100)*(1+Inputs!$F$122/100)*Inputs!$F$39</f>
        <v/>
      </c>
      <c r="BH39" s="13">
        <f>$F$35*(1+Inputs!$F$127/100*BH33)*(1+Inputs!$F$128/100)*(1+Inputs!$F$122/100)*Inputs!$F$39</f>
        <v/>
      </c>
      <c r="BI39" s="13">
        <f>$F$35*(1+Inputs!$F$127/100*BI33)*(1+Inputs!$F$128/100)*(1+Inputs!$F$122/100)*Inputs!$F$39</f>
        <v/>
      </c>
      <c r="BJ39" s="13">
        <f>$F$35*(1+Inputs!$F$127/100*BJ33)*(1+Inputs!$F$128/100)*(1+Inputs!$F$122/100)*Inputs!$F$39</f>
        <v/>
      </c>
      <c r="BK39" s="13">
        <f>$F$35*(1+Inputs!$F$127/100*BK33)*(1+Inputs!$F$128/100)*(1+Inputs!$F$122/100)*Inputs!$F$39</f>
        <v/>
      </c>
      <c r="BL39" s="13">
        <f>$F$35*(1+Inputs!$F$127/100*BL33)*(1+Inputs!$F$128/100)*(1+Inputs!$F$122/100)*Inputs!$F$39</f>
        <v/>
      </c>
      <c r="BM39" s="13">
        <f>$F$35*(1+Inputs!$F$127/100*BM33)*(1+Inputs!$F$128/100)*(1+Inputs!$F$122/100)*Inputs!$F$39</f>
        <v/>
      </c>
      <c r="BN39" s="13">
        <f>$F$35*(1+Inputs!$F$127/100*BN33)*(1+Inputs!$F$128/100)*(1+Inputs!$F$122/100)*Inputs!$F$39</f>
        <v/>
      </c>
    </row>
    <row r="40">
      <c r="D40" t="inlineStr">
        <is>
          <t>Contracted heat rate at dispatched load</t>
        </is>
      </c>
      <c r="E40" t="inlineStr">
        <is>
          <t>kJ/kWh</t>
        </is>
      </c>
      <c r="J40" s="13">
        <f>Inputs!$F$120*(1+Inputs!$F$121/100*J33)*(1+Inputs!$F$122/100)</f>
        <v/>
      </c>
      <c r="K40" s="13">
        <f>Inputs!$F$120*(1+Inputs!$F$121/100*K33)*(1+Inputs!$F$122/100)</f>
        <v/>
      </c>
      <c r="L40" s="13">
        <f>Inputs!$F$120*(1+Inputs!$F$121/100*L33)*(1+Inputs!$F$122/100)</f>
        <v/>
      </c>
      <c r="M40" s="13">
        <f>Inputs!$F$120*(1+Inputs!$F$121/100*M33)*(1+Inputs!$F$122/100)</f>
        <v/>
      </c>
      <c r="N40" s="13">
        <f>Inputs!$F$120*(1+Inputs!$F$121/100*N33)*(1+Inputs!$F$122/100)</f>
        <v/>
      </c>
      <c r="O40" s="13">
        <f>Inputs!$F$120*(1+Inputs!$F$121/100*O33)*(1+Inputs!$F$122/100)</f>
        <v/>
      </c>
      <c r="P40" s="13">
        <f>Inputs!$F$120*(1+Inputs!$F$121/100*P33)*(1+Inputs!$F$122/100)</f>
        <v/>
      </c>
      <c r="Q40" s="13">
        <f>Inputs!$F$120*(1+Inputs!$F$121/100*Q33)*(1+Inputs!$F$122/100)</f>
        <v/>
      </c>
      <c r="R40" s="13">
        <f>Inputs!$F$120*(1+Inputs!$F$121/100*R33)*(1+Inputs!$F$122/100)</f>
        <v/>
      </c>
      <c r="S40" s="13">
        <f>Inputs!$F$120*(1+Inputs!$F$121/100*S33)*(1+Inputs!$F$122/100)</f>
        <v/>
      </c>
      <c r="T40" s="13">
        <f>Inputs!$F$120*(1+Inputs!$F$121/100*T33)*(1+Inputs!$F$122/100)</f>
        <v/>
      </c>
      <c r="U40" s="13">
        <f>Inputs!$F$120*(1+Inputs!$F$121/100*U33)*(1+Inputs!$F$122/100)</f>
        <v/>
      </c>
      <c r="V40" s="13">
        <f>Inputs!$F$120*(1+Inputs!$F$121/100*V33)*(1+Inputs!$F$122/100)</f>
        <v/>
      </c>
      <c r="W40" s="13">
        <f>Inputs!$F$120*(1+Inputs!$F$121/100*W33)*(1+Inputs!$F$122/100)</f>
        <v/>
      </c>
      <c r="X40" s="13">
        <f>Inputs!$F$120*(1+Inputs!$F$121/100*X33)*(1+Inputs!$F$122/100)</f>
        <v/>
      </c>
      <c r="Y40" s="13">
        <f>Inputs!$F$120*(1+Inputs!$F$121/100*Y33)*(1+Inputs!$F$122/100)</f>
        <v/>
      </c>
      <c r="Z40" s="13">
        <f>Inputs!$F$120*(1+Inputs!$F$121/100*Z33)*(1+Inputs!$F$122/100)</f>
        <v/>
      </c>
      <c r="AA40" s="13">
        <f>Inputs!$F$120*(1+Inputs!$F$121/100*AA33)*(1+Inputs!$F$122/100)</f>
        <v/>
      </c>
      <c r="AB40" s="13">
        <f>Inputs!$F$120*(1+Inputs!$F$121/100*AB33)*(1+Inputs!$F$122/100)</f>
        <v/>
      </c>
      <c r="AC40" s="13">
        <f>Inputs!$F$120*(1+Inputs!$F$121/100*AC33)*(1+Inputs!$F$122/100)</f>
        <v/>
      </c>
      <c r="AD40" s="13">
        <f>Inputs!$F$120*(1+Inputs!$F$121/100*AD33)*(1+Inputs!$F$122/100)</f>
        <v/>
      </c>
      <c r="AE40" s="13">
        <f>Inputs!$F$120*(1+Inputs!$F$121/100*AE33)*(1+Inputs!$F$122/100)</f>
        <v/>
      </c>
      <c r="AF40" s="13">
        <f>Inputs!$F$120*(1+Inputs!$F$121/100*AF33)*(1+Inputs!$F$122/100)</f>
        <v/>
      </c>
      <c r="AG40" s="13">
        <f>Inputs!$F$120*(1+Inputs!$F$121/100*AG33)*(1+Inputs!$F$122/100)</f>
        <v/>
      </c>
      <c r="AH40" s="13">
        <f>Inputs!$F$120*(1+Inputs!$F$121/100*AH33)*(1+Inputs!$F$122/100)</f>
        <v/>
      </c>
      <c r="AI40" s="13">
        <f>Inputs!$F$120*(1+Inputs!$F$121/100*AI33)*(1+Inputs!$F$122/100)</f>
        <v/>
      </c>
      <c r="AJ40" s="13">
        <f>Inputs!$F$120*(1+Inputs!$F$121/100*AJ33)*(1+Inputs!$F$122/100)</f>
        <v/>
      </c>
      <c r="AK40" s="13">
        <f>Inputs!$F$120*(1+Inputs!$F$121/100*AK33)*(1+Inputs!$F$122/100)</f>
        <v/>
      </c>
      <c r="AL40" s="13">
        <f>Inputs!$F$120*(1+Inputs!$F$121/100*AL33)*(1+Inputs!$F$122/100)</f>
        <v/>
      </c>
      <c r="AM40" s="13">
        <f>Inputs!$F$120*(1+Inputs!$F$121/100*AM33)*(1+Inputs!$F$122/100)</f>
        <v/>
      </c>
      <c r="AN40" s="13">
        <f>Inputs!$F$120*(1+Inputs!$F$121/100*AN33)*(1+Inputs!$F$122/100)</f>
        <v/>
      </c>
      <c r="AO40" s="13">
        <f>Inputs!$F$120*(1+Inputs!$F$121/100*AO33)*(1+Inputs!$F$122/100)</f>
        <v/>
      </c>
      <c r="AP40" s="13">
        <f>Inputs!$F$120*(1+Inputs!$F$121/100*AP33)*(1+Inputs!$F$122/100)</f>
        <v/>
      </c>
      <c r="AQ40" s="13">
        <f>Inputs!$F$120*(1+Inputs!$F$121/100*AQ33)*(1+Inputs!$F$122/100)</f>
        <v/>
      </c>
      <c r="AR40" s="13">
        <f>Inputs!$F$120*(1+Inputs!$F$121/100*AR33)*(1+Inputs!$F$122/100)</f>
        <v/>
      </c>
      <c r="AS40" s="13">
        <f>Inputs!$F$120*(1+Inputs!$F$121/100*AS33)*(1+Inputs!$F$122/100)</f>
        <v/>
      </c>
      <c r="AT40" s="13">
        <f>Inputs!$F$120*(1+Inputs!$F$121/100*AT33)*(1+Inputs!$F$122/100)</f>
        <v/>
      </c>
      <c r="AU40" s="13">
        <f>Inputs!$F$120*(1+Inputs!$F$121/100*AU33)*(1+Inputs!$F$122/100)</f>
        <v/>
      </c>
      <c r="AV40" s="13">
        <f>Inputs!$F$120*(1+Inputs!$F$121/100*AV33)*(1+Inputs!$F$122/100)</f>
        <v/>
      </c>
      <c r="AW40" s="13">
        <f>Inputs!$F$120*(1+Inputs!$F$121/100*AW33)*(1+Inputs!$F$122/100)</f>
        <v/>
      </c>
      <c r="AX40" s="13">
        <f>Inputs!$F$120*(1+Inputs!$F$121/100*AX33)*(1+Inputs!$F$122/100)</f>
        <v/>
      </c>
      <c r="AY40" s="13">
        <f>Inputs!$F$120*(1+Inputs!$F$121/100*AY33)*(1+Inputs!$F$122/100)</f>
        <v/>
      </c>
      <c r="AZ40" s="13">
        <f>Inputs!$F$120*(1+Inputs!$F$121/100*AZ33)*(1+Inputs!$F$122/100)</f>
        <v/>
      </c>
      <c r="BA40" s="13">
        <f>Inputs!$F$120*(1+Inputs!$F$121/100*BA33)*(1+Inputs!$F$122/100)</f>
        <v/>
      </c>
      <c r="BB40" s="13">
        <f>Inputs!$F$120*(1+Inputs!$F$121/100*BB33)*(1+Inputs!$F$122/100)</f>
        <v/>
      </c>
      <c r="BC40" s="13">
        <f>Inputs!$F$120*(1+Inputs!$F$121/100*BC33)*(1+Inputs!$F$122/100)</f>
        <v/>
      </c>
      <c r="BD40" s="13">
        <f>Inputs!$F$120*(1+Inputs!$F$121/100*BD33)*(1+Inputs!$F$122/100)</f>
        <v/>
      </c>
      <c r="BE40" s="13">
        <f>Inputs!$F$120*(1+Inputs!$F$121/100*BE33)*(1+Inputs!$F$122/100)</f>
        <v/>
      </c>
      <c r="BF40" s="13">
        <f>Inputs!$F$120*(1+Inputs!$F$121/100*BF33)*(1+Inputs!$F$122/100)</f>
        <v/>
      </c>
      <c r="BG40" s="13">
        <f>Inputs!$F$120*(1+Inputs!$F$121/100*BG33)*(1+Inputs!$F$122/100)</f>
        <v/>
      </c>
      <c r="BH40" s="13">
        <f>Inputs!$F$120*(1+Inputs!$F$121/100*BH33)*(1+Inputs!$F$122/100)</f>
        <v/>
      </c>
      <c r="BI40" s="13">
        <f>Inputs!$F$120*(1+Inputs!$F$121/100*BI33)*(1+Inputs!$F$122/100)</f>
        <v/>
      </c>
      <c r="BJ40" s="13">
        <f>Inputs!$F$120*(1+Inputs!$F$121/100*BJ33)*(1+Inputs!$F$122/100)</f>
        <v/>
      </c>
      <c r="BK40" s="13">
        <f>Inputs!$F$120*(1+Inputs!$F$121/100*BK33)*(1+Inputs!$F$122/100)</f>
        <v/>
      </c>
      <c r="BL40" s="13">
        <f>Inputs!$F$120*(1+Inputs!$F$121/100*BL33)*(1+Inputs!$F$122/100)</f>
        <v/>
      </c>
      <c r="BM40" s="13">
        <f>Inputs!$F$120*(1+Inputs!$F$121/100*BM33)*(1+Inputs!$F$122/100)</f>
        <v/>
      </c>
      <c r="BN40" s="13">
        <f>Inputs!$F$120*(1+Inputs!$F$121/100*BN33)*(1+Inputs!$F$122/100)</f>
        <v/>
      </c>
    </row>
    <row r="41">
      <c r="D41" t="inlineStr">
        <is>
          <t>Gas price (GCV)</t>
        </is>
      </c>
      <c r="E41" t="inlineStr">
        <is>
          <t>USD/MMBtu</t>
        </is>
      </c>
      <c r="J41" s="13">
        <f>Inputs!$F$142*(1+Inputs!$F$143/100)^(Time!J26-Inputs!$F$256)*Inputs!$F$41</f>
        <v/>
      </c>
      <c r="K41" s="13">
        <f>Inputs!$F$142*(1+Inputs!$F$143/100)^(Time!K26-Inputs!$F$256)*Inputs!$F$41</f>
        <v/>
      </c>
      <c r="L41" s="13">
        <f>Inputs!$F$142*(1+Inputs!$F$143/100)^(Time!L26-Inputs!$F$256)*Inputs!$F$41</f>
        <v/>
      </c>
      <c r="M41" s="13">
        <f>Inputs!$F$142*(1+Inputs!$F$143/100)^(Time!M26-Inputs!$F$256)*Inputs!$F$41</f>
        <v/>
      </c>
      <c r="N41" s="13">
        <f>Inputs!$F$142*(1+Inputs!$F$143/100)^(Time!N26-Inputs!$F$256)*Inputs!$F$41</f>
        <v/>
      </c>
      <c r="O41" s="13">
        <f>Inputs!$F$142*(1+Inputs!$F$143/100)^(Time!O26-Inputs!$F$256)*Inputs!$F$41</f>
        <v/>
      </c>
      <c r="P41" s="13">
        <f>Inputs!$F$142*(1+Inputs!$F$143/100)^(Time!P26-Inputs!$F$256)*Inputs!$F$41</f>
        <v/>
      </c>
      <c r="Q41" s="13">
        <f>Inputs!$F$142*(1+Inputs!$F$143/100)^(Time!Q26-Inputs!$F$256)*Inputs!$F$41</f>
        <v/>
      </c>
      <c r="R41" s="13">
        <f>Inputs!$F$142*(1+Inputs!$F$143/100)^(Time!R26-Inputs!$F$256)*Inputs!$F$41</f>
        <v/>
      </c>
      <c r="S41" s="13">
        <f>Inputs!$F$142*(1+Inputs!$F$143/100)^(Time!S26-Inputs!$F$256)*Inputs!$F$41</f>
        <v/>
      </c>
      <c r="T41" s="13">
        <f>Inputs!$F$142*(1+Inputs!$F$143/100)^(Time!T26-Inputs!$F$256)*Inputs!$F$41</f>
        <v/>
      </c>
      <c r="U41" s="13">
        <f>Inputs!$F$142*(1+Inputs!$F$143/100)^(Time!U26-Inputs!$F$256)*Inputs!$F$41</f>
        <v/>
      </c>
      <c r="V41" s="13">
        <f>Inputs!$F$142*(1+Inputs!$F$143/100)^(Time!V26-Inputs!$F$256)*Inputs!$F$41</f>
        <v/>
      </c>
      <c r="W41" s="13">
        <f>Inputs!$F$142*(1+Inputs!$F$143/100)^(Time!W26-Inputs!$F$256)*Inputs!$F$41</f>
        <v/>
      </c>
      <c r="X41" s="13">
        <f>Inputs!$F$142*(1+Inputs!$F$143/100)^(Time!X26-Inputs!$F$256)*Inputs!$F$41</f>
        <v/>
      </c>
      <c r="Y41" s="13">
        <f>Inputs!$F$142*(1+Inputs!$F$143/100)^(Time!Y26-Inputs!$F$256)*Inputs!$F$41</f>
        <v/>
      </c>
      <c r="Z41" s="13">
        <f>Inputs!$F$142*(1+Inputs!$F$143/100)^(Time!Z26-Inputs!$F$256)*Inputs!$F$41</f>
        <v/>
      </c>
      <c r="AA41" s="13">
        <f>Inputs!$F$142*(1+Inputs!$F$143/100)^(Time!AA26-Inputs!$F$256)*Inputs!$F$41</f>
        <v/>
      </c>
      <c r="AB41" s="13">
        <f>Inputs!$F$142*(1+Inputs!$F$143/100)^(Time!AB26-Inputs!$F$256)*Inputs!$F$41</f>
        <v/>
      </c>
      <c r="AC41" s="13">
        <f>Inputs!$F$142*(1+Inputs!$F$143/100)^(Time!AC26-Inputs!$F$256)*Inputs!$F$41</f>
        <v/>
      </c>
      <c r="AD41" s="13">
        <f>Inputs!$F$142*(1+Inputs!$F$143/100)^(Time!AD26-Inputs!$F$256)*Inputs!$F$41</f>
        <v/>
      </c>
      <c r="AE41" s="13">
        <f>Inputs!$F$142*(1+Inputs!$F$143/100)^(Time!AE26-Inputs!$F$256)*Inputs!$F$41</f>
        <v/>
      </c>
      <c r="AF41" s="13">
        <f>Inputs!$F$142*(1+Inputs!$F$143/100)^(Time!AF26-Inputs!$F$256)*Inputs!$F$41</f>
        <v/>
      </c>
      <c r="AG41" s="13">
        <f>Inputs!$F$142*(1+Inputs!$F$143/100)^(Time!AG26-Inputs!$F$256)*Inputs!$F$41</f>
        <v/>
      </c>
      <c r="AH41" s="13">
        <f>Inputs!$F$142*(1+Inputs!$F$143/100)^(Time!AH26-Inputs!$F$256)*Inputs!$F$41</f>
        <v/>
      </c>
      <c r="AI41" s="13">
        <f>Inputs!$F$142*(1+Inputs!$F$143/100)^(Time!AI26-Inputs!$F$256)*Inputs!$F$41</f>
        <v/>
      </c>
      <c r="AJ41" s="13">
        <f>Inputs!$F$142*(1+Inputs!$F$143/100)^(Time!AJ26-Inputs!$F$256)*Inputs!$F$41</f>
        <v/>
      </c>
      <c r="AK41" s="13">
        <f>Inputs!$F$142*(1+Inputs!$F$143/100)^(Time!AK26-Inputs!$F$256)*Inputs!$F$41</f>
        <v/>
      </c>
      <c r="AL41" s="13">
        <f>Inputs!$F$142*(1+Inputs!$F$143/100)^(Time!AL26-Inputs!$F$256)*Inputs!$F$41</f>
        <v/>
      </c>
      <c r="AM41" s="13">
        <f>Inputs!$F$142*(1+Inputs!$F$143/100)^(Time!AM26-Inputs!$F$256)*Inputs!$F$41</f>
        <v/>
      </c>
      <c r="AN41" s="13">
        <f>Inputs!$F$142*(1+Inputs!$F$143/100)^(Time!AN26-Inputs!$F$256)*Inputs!$F$41</f>
        <v/>
      </c>
      <c r="AO41" s="13">
        <f>Inputs!$F$142*(1+Inputs!$F$143/100)^(Time!AO26-Inputs!$F$256)*Inputs!$F$41</f>
        <v/>
      </c>
      <c r="AP41" s="13">
        <f>Inputs!$F$142*(1+Inputs!$F$143/100)^(Time!AP26-Inputs!$F$256)*Inputs!$F$41</f>
        <v/>
      </c>
      <c r="AQ41" s="13">
        <f>Inputs!$F$142*(1+Inputs!$F$143/100)^(Time!AQ26-Inputs!$F$256)*Inputs!$F$41</f>
        <v/>
      </c>
      <c r="AR41" s="13">
        <f>Inputs!$F$142*(1+Inputs!$F$143/100)^(Time!AR26-Inputs!$F$256)*Inputs!$F$41</f>
        <v/>
      </c>
      <c r="AS41" s="13">
        <f>Inputs!$F$142*(1+Inputs!$F$143/100)^(Time!AS26-Inputs!$F$256)*Inputs!$F$41</f>
        <v/>
      </c>
      <c r="AT41" s="13">
        <f>Inputs!$F$142*(1+Inputs!$F$143/100)^(Time!AT26-Inputs!$F$256)*Inputs!$F$41</f>
        <v/>
      </c>
      <c r="AU41" s="13">
        <f>Inputs!$F$142*(1+Inputs!$F$143/100)^(Time!AU26-Inputs!$F$256)*Inputs!$F$41</f>
        <v/>
      </c>
      <c r="AV41" s="13">
        <f>Inputs!$F$142*(1+Inputs!$F$143/100)^(Time!AV26-Inputs!$F$256)*Inputs!$F$41</f>
        <v/>
      </c>
      <c r="AW41" s="13">
        <f>Inputs!$F$142*(1+Inputs!$F$143/100)^(Time!AW26-Inputs!$F$256)*Inputs!$F$41</f>
        <v/>
      </c>
      <c r="AX41" s="13">
        <f>Inputs!$F$142*(1+Inputs!$F$143/100)^(Time!AX26-Inputs!$F$256)*Inputs!$F$41</f>
        <v/>
      </c>
      <c r="AY41" s="13">
        <f>Inputs!$F$142*(1+Inputs!$F$143/100)^(Time!AY26-Inputs!$F$256)*Inputs!$F$41</f>
        <v/>
      </c>
      <c r="AZ41" s="13">
        <f>Inputs!$F$142*(1+Inputs!$F$143/100)^(Time!AZ26-Inputs!$F$256)*Inputs!$F$41</f>
        <v/>
      </c>
      <c r="BA41" s="13">
        <f>Inputs!$F$142*(1+Inputs!$F$143/100)^(Time!BA26-Inputs!$F$256)*Inputs!$F$41</f>
        <v/>
      </c>
      <c r="BB41" s="13">
        <f>Inputs!$F$142*(1+Inputs!$F$143/100)^(Time!BB26-Inputs!$F$256)*Inputs!$F$41</f>
        <v/>
      </c>
      <c r="BC41" s="13">
        <f>Inputs!$F$142*(1+Inputs!$F$143/100)^(Time!BC26-Inputs!$F$256)*Inputs!$F$41</f>
        <v/>
      </c>
      <c r="BD41" s="13">
        <f>Inputs!$F$142*(1+Inputs!$F$143/100)^(Time!BD26-Inputs!$F$256)*Inputs!$F$41</f>
        <v/>
      </c>
      <c r="BE41" s="13">
        <f>Inputs!$F$142*(1+Inputs!$F$143/100)^(Time!BE26-Inputs!$F$256)*Inputs!$F$41</f>
        <v/>
      </c>
      <c r="BF41" s="13">
        <f>Inputs!$F$142*(1+Inputs!$F$143/100)^(Time!BF26-Inputs!$F$256)*Inputs!$F$41</f>
        <v/>
      </c>
      <c r="BG41" s="13">
        <f>Inputs!$F$142*(1+Inputs!$F$143/100)^(Time!BG26-Inputs!$F$256)*Inputs!$F$41</f>
        <v/>
      </c>
      <c r="BH41" s="13">
        <f>Inputs!$F$142*(1+Inputs!$F$143/100)^(Time!BH26-Inputs!$F$256)*Inputs!$F$41</f>
        <v/>
      </c>
      <c r="BI41" s="13">
        <f>Inputs!$F$142*(1+Inputs!$F$143/100)^(Time!BI26-Inputs!$F$256)*Inputs!$F$41</f>
        <v/>
      </c>
      <c r="BJ41" s="13">
        <f>Inputs!$F$142*(1+Inputs!$F$143/100)^(Time!BJ26-Inputs!$F$256)*Inputs!$F$41</f>
        <v/>
      </c>
      <c r="BK41" s="13">
        <f>Inputs!$F$142*(1+Inputs!$F$143/100)^(Time!BK26-Inputs!$F$256)*Inputs!$F$41</f>
        <v/>
      </c>
      <c r="BL41" s="13">
        <f>Inputs!$F$142*(1+Inputs!$F$143/100)^(Time!BL26-Inputs!$F$256)*Inputs!$F$41</f>
        <v/>
      </c>
      <c r="BM41" s="13">
        <f>Inputs!$F$142*(1+Inputs!$F$143/100)^(Time!BM26-Inputs!$F$256)*Inputs!$F$41</f>
        <v/>
      </c>
      <c r="BN41" s="13">
        <f>Inputs!$F$142*(1+Inputs!$F$143/100)^(Time!BN26-Inputs!$F$256)*Inputs!$F$41</f>
        <v/>
      </c>
    </row>
    <row r="42">
      <c r="D42" t="inlineStr">
        <is>
          <t>Gas burned</t>
        </is>
      </c>
      <c r="E42" t="inlineStr">
        <is>
          <t>MMBtu</t>
        </is>
      </c>
      <c r="J42" s="15">
        <f>J38*J39*(1000*Inputs!$F$123/Inputs!$F$124)</f>
        <v/>
      </c>
      <c r="K42" s="15">
        <f>K38*K39*(1000*Inputs!$F$123/Inputs!$F$124)</f>
        <v/>
      </c>
      <c r="L42" s="15">
        <f>L38*L39*(1000*Inputs!$F$123/Inputs!$F$124)</f>
        <v/>
      </c>
      <c r="M42" s="15">
        <f>M38*M39*(1000*Inputs!$F$123/Inputs!$F$124)</f>
        <v/>
      </c>
      <c r="N42" s="15">
        <f>N38*N39*(1000*Inputs!$F$123/Inputs!$F$124)</f>
        <v/>
      </c>
      <c r="O42" s="15">
        <f>O38*O39*(1000*Inputs!$F$123/Inputs!$F$124)</f>
        <v/>
      </c>
      <c r="P42" s="15">
        <f>P38*P39*(1000*Inputs!$F$123/Inputs!$F$124)</f>
        <v/>
      </c>
      <c r="Q42" s="15">
        <f>Q38*Q39*(1000*Inputs!$F$123/Inputs!$F$124)</f>
        <v/>
      </c>
      <c r="R42" s="15">
        <f>R38*R39*(1000*Inputs!$F$123/Inputs!$F$124)</f>
        <v/>
      </c>
      <c r="S42" s="15">
        <f>S38*S39*(1000*Inputs!$F$123/Inputs!$F$124)</f>
        <v/>
      </c>
      <c r="T42" s="15">
        <f>T38*T39*(1000*Inputs!$F$123/Inputs!$F$124)</f>
        <v/>
      </c>
      <c r="U42" s="15">
        <f>U38*U39*(1000*Inputs!$F$123/Inputs!$F$124)</f>
        <v/>
      </c>
      <c r="V42" s="15">
        <f>V38*V39*(1000*Inputs!$F$123/Inputs!$F$124)</f>
        <v/>
      </c>
      <c r="W42" s="15">
        <f>W38*W39*(1000*Inputs!$F$123/Inputs!$F$124)</f>
        <v/>
      </c>
      <c r="X42" s="15">
        <f>X38*X39*(1000*Inputs!$F$123/Inputs!$F$124)</f>
        <v/>
      </c>
      <c r="Y42" s="15">
        <f>Y38*Y39*(1000*Inputs!$F$123/Inputs!$F$124)</f>
        <v/>
      </c>
      <c r="Z42" s="15">
        <f>Z38*Z39*(1000*Inputs!$F$123/Inputs!$F$124)</f>
        <v/>
      </c>
      <c r="AA42" s="15">
        <f>AA38*AA39*(1000*Inputs!$F$123/Inputs!$F$124)</f>
        <v/>
      </c>
      <c r="AB42" s="15">
        <f>AB38*AB39*(1000*Inputs!$F$123/Inputs!$F$124)</f>
        <v/>
      </c>
      <c r="AC42" s="15">
        <f>AC38*AC39*(1000*Inputs!$F$123/Inputs!$F$124)</f>
        <v/>
      </c>
      <c r="AD42" s="15">
        <f>AD38*AD39*(1000*Inputs!$F$123/Inputs!$F$124)</f>
        <v/>
      </c>
      <c r="AE42" s="15">
        <f>AE38*AE39*(1000*Inputs!$F$123/Inputs!$F$124)</f>
        <v/>
      </c>
      <c r="AF42" s="15">
        <f>AF38*AF39*(1000*Inputs!$F$123/Inputs!$F$124)</f>
        <v/>
      </c>
      <c r="AG42" s="15">
        <f>AG38*AG39*(1000*Inputs!$F$123/Inputs!$F$124)</f>
        <v/>
      </c>
      <c r="AH42" s="15">
        <f>AH38*AH39*(1000*Inputs!$F$123/Inputs!$F$124)</f>
        <v/>
      </c>
      <c r="AI42" s="15">
        <f>AI38*AI39*(1000*Inputs!$F$123/Inputs!$F$124)</f>
        <v/>
      </c>
      <c r="AJ42" s="15">
        <f>AJ38*AJ39*(1000*Inputs!$F$123/Inputs!$F$124)</f>
        <v/>
      </c>
      <c r="AK42" s="15">
        <f>AK38*AK39*(1000*Inputs!$F$123/Inputs!$F$124)</f>
        <v/>
      </c>
      <c r="AL42" s="15">
        <f>AL38*AL39*(1000*Inputs!$F$123/Inputs!$F$124)</f>
        <v/>
      </c>
      <c r="AM42" s="15">
        <f>AM38*AM39*(1000*Inputs!$F$123/Inputs!$F$124)</f>
        <v/>
      </c>
      <c r="AN42" s="15">
        <f>AN38*AN39*(1000*Inputs!$F$123/Inputs!$F$124)</f>
        <v/>
      </c>
      <c r="AO42" s="15">
        <f>AO38*AO39*(1000*Inputs!$F$123/Inputs!$F$124)</f>
        <v/>
      </c>
      <c r="AP42" s="15">
        <f>AP38*AP39*(1000*Inputs!$F$123/Inputs!$F$124)</f>
        <v/>
      </c>
      <c r="AQ42" s="15">
        <f>AQ38*AQ39*(1000*Inputs!$F$123/Inputs!$F$124)</f>
        <v/>
      </c>
      <c r="AR42" s="15">
        <f>AR38*AR39*(1000*Inputs!$F$123/Inputs!$F$124)</f>
        <v/>
      </c>
      <c r="AS42" s="15">
        <f>AS38*AS39*(1000*Inputs!$F$123/Inputs!$F$124)</f>
        <v/>
      </c>
      <c r="AT42" s="15">
        <f>AT38*AT39*(1000*Inputs!$F$123/Inputs!$F$124)</f>
        <v/>
      </c>
      <c r="AU42" s="15">
        <f>AU38*AU39*(1000*Inputs!$F$123/Inputs!$F$124)</f>
        <v/>
      </c>
      <c r="AV42" s="15">
        <f>AV38*AV39*(1000*Inputs!$F$123/Inputs!$F$124)</f>
        <v/>
      </c>
      <c r="AW42" s="15">
        <f>AW38*AW39*(1000*Inputs!$F$123/Inputs!$F$124)</f>
        <v/>
      </c>
      <c r="AX42" s="15">
        <f>AX38*AX39*(1000*Inputs!$F$123/Inputs!$F$124)</f>
        <v/>
      </c>
      <c r="AY42" s="15">
        <f>AY38*AY39*(1000*Inputs!$F$123/Inputs!$F$124)</f>
        <v/>
      </c>
      <c r="AZ42" s="15">
        <f>AZ38*AZ39*(1000*Inputs!$F$123/Inputs!$F$124)</f>
        <v/>
      </c>
      <c r="BA42" s="15">
        <f>BA38*BA39*(1000*Inputs!$F$123/Inputs!$F$124)</f>
        <v/>
      </c>
      <c r="BB42" s="15">
        <f>BB38*BB39*(1000*Inputs!$F$123/Inputs!$F$124)</f>
        <v/>
      </c>
      <c r="BC42" s="15">
        <f>BC38*BC39*(1000*Inputs!$F$123/Inputs!$F$124)</f>
        <v/>
      </c>
      <c r="BD42" s="15">
        <f>BD38*BD39*(1000*Inputs!$F$123/Inputs!$F$124)</f>
        <v/>
      </c>
      <c r="BE42" s="15">
        <f>BE38*BE39*(1000*Inputs!$F$123/Inputs!$F$124)</f>
        <v/>
      </c>
      <c r="BF42" s="15">
        <f>BF38*BF39*(1000*Inputs!$F$123/Inputs!$F$124)</f>
        <v/>
      </c>
      <c r="BG42" s="15">
        <f>BG38*BG39*(1000*Inputs!$F$123/Inputs!$F$124)</f>
        <v/>
      </c>
      <c r="BH42" s="15">
        <f>BH38*BH39*(1000*Inputs!$F$123/Inputs!$F$124)</f>
        <v/>
      </c>
      <c r="BI42" s="15">
        <f>BI38*BI39*(1000*Inputs!$F$123/Inputs!$F$124)</f>
        <v/>
      </c>
      <c r="BJ42" s="15">
        <f>BJ38*BJ39*(1000*Inputs!$F$123/Inputs!$F$124)</f>
        <v/>
      </c>
      <c r="BK42" s="15">
        <f>BK38*BK39*(1000*Inputs!$F$123/Inputs!$F$124)</f>
        <v/>
      </c>
      <c r="BL42" s="15">
        <f>BL38*BL39*(1000*Inputs!$F$123/Inputs!$F$124)</f>
        <v/>
      </c>
      <c r="BM42" s="15">
        <f>BM38*BM39*(1000*Inputs!$F$123/Inputs!$F$124)</f>
        <v/>
      </c>
      <c r="BN42" s="15">
        <f>BN38*BN39*(1000*Inputs!$F$123/Inputs!$F$124)</f>
        <v/>
      </c>
    </row>
    <row r="43">
      <c r="D43" t="inlineStr">
        <is>
          <t>Take-or-pay quantity</t>
        </is>
      </c>
      <c r="E43" t="inlineStr">
        <is>
          <t>MMBtu</t>
        </is>
      </c>
      <c r="J43" s="15">
        <f>Inputs!$F$145*Inputs!$F$144*Time!J31</f>
        <v/>
      </c>
      <c r="K43" s="15">
        <f>Inputs!$F$145*Inputs!$F$144*Time!K31</f>
        <v/>
      </c>
      <c r="L43" s="15">
        <f>Inputs!$F$145*Inputs!$F$144*Time!L31</f>
        <v/>
      </c>
      <c r="M43" s="15">
        <f>Inputs!$F$145*Inputs!$F$144*Time!M31</f>
        <v/>
      </c>
      <c r="N43" s="15">
        <f>Inputs!$F$145*Inputs!$F$144*Time!N31</f>
        <v/>
      </c>
      <c r="O43" s="15">
        <f>Inputs!$F$145*Inputs!$F$144*Time!O31</f>
        <v/>
      </c>
      <c r="P43" s="15">
        <f>Inputs!$F$145*Inputs!$F$144*Time!P31</f>
        <v/>
      </c>
      <c r="Q43" s="15">
        <f>Inputs!$F$145*Inputs!$F$144*Time!Q31</f>
        <v/>
      </c>
      <c r="R43" s="15">
        <f>Inputs!$F$145*Inputs!$F$144*Time!R31</f>
        <v/>
      </c>
      <c r="S43" s="15">
        <f>Inputs!$F$145*Inputs!$F$144*Time!S31</f>
        <v/>
      </c>
      <c r="T43" s="15">
        <f>Inputs!$F$145*Inputs!$F$144*Time!T31</f>
        <v/>
      </c>
      <c r="U43" s="15">
        <f>Inputs!$F$145*Inputs!$F$144*Time!U31</f>
        <v/>
      </c>
      <c r="V43" s="15">
        <f>Inputs!$F$145*Inputs!$F$144*Time!V31</f>
        <v/>
      </c>
      <c r="W43" s="15">
        <f>Inputs!$F$145*Inputs!$F$144*Time!W31</f>
        <v/>
      </c>
      <c r="X43" s="15">
        <f>Inputs!$F$145*Inputs!$F$144*Time!X31</f>
        <v/>
      </c>
      <c r="Y43" s="15">
        <f>Inputs!$F$145*Inputs!$F$144*Time!Y31</f>
        <v/>
      </c>
      <c r="Z43" s="15">
        <f>Inputs!$F$145*Inputs!$F$144*Time!Z31</f>
        <v/>
      </c>
      <c r="AA43" s="15">
        <f>Inputs!$F$145*Inputs!$F$144*Time!AA31</f>
        <v/>
      </c>
      <c r="AB43" s="15">
        <f>Inputs!$F$145*Inputs!$F$144*Time!AB31</f>
        <v/>
      </c>
      <c r="AC43" s="15">
        <f>Inputs!$F$145*Inputs!$F$144*Time!AC31</f>
        <v/>
      </c>
      <c r="AD43" s="15">
        <f>Inputs!$F$145*Inputs!$F$144*Time!AD31</f>
        <v/>
      </c>
      <c r="AE43" s="15">
        <f>Inputs!$F$145*Inputs!$F$144*Time!AE31</f>
        <v/>
      </c>
      <c r="AF43" s="15">
        <f>Inputs!$F$145*Inputs!$F$144*Time!AF31</f>
        <v/>
      </c>
      <c r="AG43" s="15">
        <f>Inputs!$F$145*Inputs!$F$144*Time!AG31</f>
        <v/>
      </c>
      <c r="AH43" s="15">
        <f>Inputs!$F$145*Inputs!$F$144*Time!AH31</f>
        <v/>
      </c>
      <c r="AI43" s="15">
        <f>Inputs!$F$145*Inputs!$F$144*Time!AI31</f>
        <v/>
      </c>
      <c r="AJ43" s="15">
        <f>Inputs!$F$145*Inputs!$F$144*Time!AJ31</f>
        <v/>
      </c>
      <c r="AK43" s="15">
        <f>Inputs!$F$145*Inputs!$F$144*Time!AK31</f>
        <v/>
      </c>
      <c r="AL43" s="15">
        <f>Inputs!$F$145*Inputs!$F$144*Time!AL31</f>
        <v/>
      </c>
      <c r="AM43" s="15">
        <f>Inputs!$F$145*Inputs!$F$144*Time!AM31</f>
        <v/>
      </c>
      <c r="AN43" s="15">
        <f>Inputs!$F$145*Inputs!$F$144*Time!AN31</f>
        <v/>
      </c>
      <c r="AO43" s="15">
        <f>Inputs!$F$145*Inputs!$F$144*Time!AO31</f>
        <v/>
      </c>
      <c r="AP43" s="15">
        <f>Inputs!$F$145*Inputs!$F$144*Time!AP31</f>
        <v/>
      </c>
      <c r="AQ43" s="15">
        <f>Inputs!$F$145*Inputs!$F$144*Time!AQ31</f>
        <v/>
      </c>
      <c r="AR43" s="15">
        <f>Inputs!$F$145*Inputs!$F$144*Time!AR31</f>
        <v/>
      </c>
      <c r="AS43" s="15">
        <f>Inputs!$F$145*Inputs!$F$144*Time!AS31</f>
        <v/>
      </c>
      <c r="AT43" s="15">
        <f>Inputs!$F$145*Inputs!$F$144*Time!AT31</f>
        <v/>
      </c>
      <c r="AU43" s="15">
        <f>Inputs!$F$145*Inputs!$F$144*Time!AU31</f>
        <v/>
      </c>
      <c r="AV43" s="15">
        <f>Inputs!$F$145*Inputs!$F$144*Time!AV31</f>
        <v/>
      </c>
      <c r="AW43" s="15">
        <f>Inputs!$F$145*Inputs!$F$144*Time!AW31</f>
        <v/>
      </c>
      <c r="AX43" s="15">
        <f>Inputs!$F$145*Inputs!$F$144*Time!AX31</f>
        <v/>
      </c>
      <c r="AY43" s="15">
        <f>Inputs!$F$145*Inputs!$F$144*Time!AY31</f>
        <v/>
      </c>
      <c r="AZ43" s="15">
        <f>Inputs!$F$145*Inputs!$F$144*Time!AZ31</f>
        <v/>
      </c>
      <c r="BA43" s="15">
        <f>Inputs!$F$145*Inputs!$F$144*Time!BA31</f>
        <v/>
      </c>
      <c r="BB43" s="15">
        <f>Inputs!$F$145*Inputs!$F$144*Time!BB31</f>
        <v/>
      </c>
      <c r="BC43" s="15">
        <f>Inputs!$F$145*Inputs!$F$144*Time!BC31</f>
        <v/>
      </c>
      <c r="BD43" s="15">
        <f>Inputs!$F$145*Inputs!$F$144*Time!BD31</f>
        <v/>
      </c>
      <c r="BE43" s="15">
        <f>Inputs!$F$145*Inputs!$F$144*Time!BE31</f>
        <v/>
      </c>
      <c r="BF43" s="15">
        <f>Inputs!$F$145*Inputs!$F$144*Time!BF31</f>
        <v/>
      </c>
      <c r="BG43" s="15">
        <f>Inputs!$F$145*Inputs!$F$144*Time!BG31</f>
        <v/>
      </c>
      <c r="BH43" s="15">
        <f>Inputs!$F$145*Inputs!$F$144*Time!BH31</f>
        <v/>
      </c>
      <c r="BI43" s="15">
        <f>Inputs!$F$145*Inputs!$F$144*Time!BI31</f>
        <v/>
      </c>
      <c r="BJ43" s="15">
        <f>Inputs!$F$145*Inputs!$F$144*Time!BJ31</f>
        <v/>
      </c>
      <c r="BK43" s="15">
        <f>Inputs!$F$145*Inputs!$F$144*Time!BK31</f>
        <v/>
      </c>
      <c r="BL43" s="15">
        <f>Inputs!$F$145*Inputs!$F$144*Time!BL31</f>
        <v/>
      </c>
      <c r="BM43" s="15">
        <f>Inputs!$F$145*Inputs!$F$144*Time!BM31</f>
        <v/>
      </c>
      <c r="BN43" s="15">
        <f>Inputs!$F$145*Inputs!$F$144*Time!BN31</f>
        <v/>
      </c>
    </row>
    <row r="44">
      <c r="B44" s="2" t="inlineStr">
        <is>
          <t>Revenue (USD m)</t>
        </is>
      </c>
    </row>
    <row r="45">
      <c r="D45" t="inlineStr">
        <is>
          <t>Capital charge, indexed</t>
        </is>
      </c>
      <c r="E45" t="inlineStr">
        <is>
          <t>USD/kW-month</t>
        </is>
      </c>
      <c r="J45" s="13">
        <f>Inputs!$F$134*Inputs!$F$54*(1-Inputs!$F$135+Inputs!$F$135*J20/100)</f>
        <v/>
      </c>
      <c r="K45" s="13">
        <f>Inputs!$F$134*Inputs!$F$54*(1-Inputs!$F$135+Inputs!$F$135*K20/100)</f>
        <v/>
      </c>
      <c r="L45" s="13">
        <f>Inputs!$F$134*Inputs!$F$54*(1-Inputs!$F$135+Inputs!$F$135*L20/100)</f>
        <v/>
      </c>
      <c r="M45" s="13">
        <f>Inputs!$F$134*Inputs!$F$54*(1-Inputs!$F$135+Inputs!$F$135*M20/100)</f>
        <v/>
      </c>
      <c r="N45" s="13">
        <f>Inputs!$F$134*Inputs!$F$54*(1-Inputs!$F$135+Inputs!$F$135*N20/100)</f>
        <v/>
      </c>
      <c r="O45" s="13">
        <f>Inputs!$F$134*Inputs!$F$54*(1-Inputs!$F$135+Inputs!$F$135*O20/100)</f>
        <v/>
      </c>
      <c r="P45" s="13">
        <f>Inputs!$F$134*Inputs!$F$54*(1-Inputs!$F$135+Inputs!$F$135*P20/100)</f>
        <v/>
      </c>
      <c r="Q45" s="13">
        <f>Inputs!$F$134*Inputs!$F$54*(1-Inputs!$F$135+Inputs!$F$135*Q20/100)</f>
        <v/>
      </c>
      <c r="R45" s="13">
        <f>Inputs!$F$134*Inputs!$F$54*(1-Inputs!$F$135+Inputs!$F$135*R20/100)</f>
        <v/>
      </c>
      <c r="S45" s="13">
        <f>Inputs!$F$134*Inputs!$F$54*(1-Inputs!$F$135+Inputs!$F$135*S20/100)</f>
        <v/>
      </c>
      <c r="T45" s="13">
        <f>Inputs!$F$134*Inputs!$F$54*(1-Inputs!$F$135+Inputs!$F$135*T20/100)</f>
        <v/>
      </c>
      <c r="U45" s="13">
        <f>Inputs!$F$134*Inputs!$F$54*(1-Inputs!$F$135+Inputs!$F$135*U20/100)</f>
        <v/>
      </c>
      <c r="V45" s="13">
        <f>Inputs!$F$134*Inputs!$F$54*(1-Inputs!$F$135+Inputs!$F$135*V20/100)</f>
        <v/>
      </c>
      <c r="W45" s="13">
        <f>Inputs!$F$134*Inputs!$F$54*(1-Inputs!$F$135+Inputs!$F$135*W20/100)</f>
        <v/>
      </c>
      <c r="X45" s="13">
        <f>Inputs!$F$134*Inputs!$F$54*(1-Inputs!$F$135+Inputs!$F$135*X20/100)</f>
        <v/>
      </c>
      <c r="Y45" s="13">
        <f>Inputs!$F$134*Inputs!$F$54*(1-Inputs!$F$135+Inputs!$F$135*Y20/100)</f>
        <v/>
      </c>
      <c r="Z45" s="13">
        <f>Inputs!$F$134*Inputs!$F$54*(1-Inputs!$F$135+Inputs!$F$135*Z20/100)</f>
        <v/>
      </c>
      <c r="AA45" s="13">
        <f>Inputs!$F$134*Inputs!$F$54*(1-Inputs!$F$135+Inputs!$F$135*AA20/100)</f>
        <v/>
      </c>
      <c r="AB45" s="13">
        <f>Inputs!$F$134*Inputs!$F$54*(1-Inputs!$F$135+Inputs!$F$135*AB20/100)</f>
        <v/>
      </c>
      <c r="AC45" s="13">
        <f>Inputs!$F$134*Inputs!$F$54*(1-Inputs!$F$135+Inputs!$F$135*AC20/100)</f>
        <v/>
      </c>
      <c r="AD45" s="13">
        <f>Inputs!$F$134*Inputs!$F$54*(1-Inputs!$F$135+Inputs!$F$135*AD20/100)</f>
        <v/>
      </c>
      <c r="AE45" s="13">
        <f>Inputs!$F$134*Inputs!$F$54*(1-Inputs!$F$135+Inputs!$F$135*AE20/100)</f>
        <v/>
      </c>
      <c r="AF45" s="13">
        <f>Inputs!$F$134*Inputs!$F$54*(1-Inputs!$F$135+Inputs!$F$135*AF20/100)</f>
        <v/>
      </c>
      <c r="AG45" s="13">
        <f>Inputs!$F$134*Inputs!$F$54*(1-Inputs!$F$135+Inputs!$F$135*AG20/100)</f>
        <v/>
      </c>
      <c r="AH45" s="13">
        <f>Inputs!$F$134*Inputs!$F$54*(1-Inputs!$F$135+Inputs!$F$135*AH20/100)</f>
        <v/>
      </c>
      <c r="AI45" s="13">
        <f>Inputs!$F$134*Inputs!$F$54*(1-Inputs!$F$135+Inputs!$F$135*AI20/100)</f>
        <v/>
      </c>
      <c r="AJ45" s="13">
        <f>Inputs!$F$134*Inputs!$F$54*(1-Inputs!$F$135+Inputs!$F$135*AJ20/100)</f>
        <v/>
      </c>
      <c r="AK45" s="13">
        <f>Inputs!$F$134*Inputs!$F$54*(1-Inputs!$F$135+Inputs!$F$135*AK20/100)</f>
        <v/>
      </c>
      <c r="AL45" s="13">
        <f>Inputs!$F$134*Inputs!$F$54*(1-Inputs!$F$135+Inputs!$F$135*AL20/100)</f>
        <v/>
      </c>
      <c r="AM45" s="13">
        <f>Inputs!$F$134*Inputs!$F$54*(1-Inputs!$F$135+Inputs!$F$135*AM20/100)</f>
        <v/>
      </c>
      <c r="AN45" s="13">
        <f>Inputs!$F$134*Inputs!$F$54*(1-Inputs!$F$135+Inputs!$F$135*AN20/100)</f>
        <v/>
      </c>
      <c r="AO45" s="13">
        <f>Inputs!$F$134*Inputs!$F$54*(1-Inputs!$F$135+Inputs!$F$135*AO20/100)</f>
        <v/>
      </c>
      <c r="AP45" s="13">
        <f>Inputs!$F$134*Inputs!$F$54*(1-Inputs!$F$135+Inputs!$F$135*AP20/100)</f>
        <v/>
      </c>
      <c r="AQ45" s="13">
        <f>Inputs!$F$134*Inputs!$F$54*(1-Inputs!$F$135+Inputs!$F$135*AQ20/100)</f>
        <v/>
      </c>
      <c r="AR45" s="13">
        <f>Inputs!$F$134*Inputs!$F$54*(1-Inputs!$F$135+Inputs!$F$135*AR20/100)</f>
        <v/>
      </c>
      <c r="AS45" s="13">
        <f>Inputs!$F$134*Inputs!$F$54*(1-Inputs!$F$135+Inputs!$F$135*AS20/100)</f>
        <v/>
      </c>
      <c r="AT45" s="13">
        <f>Inputs!$F$134*Inputs!$F$54*(1-Inputs!$F$135+Inputs!$F$135*AT20/100)</f>
        <v/>
      </c>
      <c r="AU45" s="13">
        <f>Inputs!$F$134*Inputs!$F$54*(1-Inputs!$F$135+Inputs!$F$135*AU20/100)</f>
        <v/>
      </c>
      <c r="AV45" s="13">
        <f>Inputs!$F$134*Inputs!$F$54*(1-Inputs!$F$135+Inputs!$F$135*AV20/100)</f>
        <v/>
      </c>
      <c r="AW45" s="13">
        <f>Inputs!$F$134*Inputs!$F$54*(1-Inputs!$F$135+Inputs!$F$135*AW20/100)</f>
        <v/>
      </c>
      <c r="AX45" s="13">
        <f>Inputs!$F$134*Inputs!$F$54*(1-Inputs!$F$135+Inputs!$F$135*AX20/100)</f>
        <v/>
      </c>
      <c r="AY45" s="13">
        <f>Inputs!$F$134*Inputs!$F$54*(1-Inputs!$F$135+Inputs!$F$135*AY20/100)</f>
        <v/>
      </c>
      <c r="AZ45" s="13">
        <f>Inputs!$F$134*Inputs!$F$54*(1-Inputs!$F$135+Inputs!$F$135*AZ20/100)</f>
        <v/>
      </c>
      <c r="BA45" s="13">
        <f>Inputs!$F$134*Inputs!$F$54*(1-Inputs!$F$135+Inputs!$F$135*BA20/100)</f>
        <v/>
      </c>
      <c r="BB45" s="13">
        <f>Inputs!$F$134*Inputs!$F$54*(1-Inputs!$F$135+Inputs!$F$135*BB20/100)</f>
        <v/>
      </c>
      <c r="BC45" s="13">
        <f>Inputs!$F$134*Inputs!$F$54*(1-Inputs!$F$135+Inputs!$F$135*BC20/100)</f>
        <v/>
      </c>
      <c r="BD45" s="13">
        <f>Inputs!$F$134*Inputs!$F$54*(1-Inputs!$F$135+Inputs!$F$135*BD20/100)</f>
        <v/>
      </c>
      <c r="BE45" s="13">
        <f>Inputs!$F$134*Inputs!$F$54*(1-Inputs!$F$135+Inputs!$F$135*BE20/100)</f>
        <v/>
      </c>
      <c r="BF45" s="13">
        <f>Inputs!$F$134*Inputs!$F$54*(1-Inputs!$F$135+Inputs!$F$135*BF20/100)</f>
        <v/>
      </c>
      <c r="BG45" s="13">
        <f>Inputs!$F$134*Inputs!$F$54*(1-Inputs!$F$135+Inputs!$F$135*BG20/100)</f>
        <v/>
      </c>
      <c r="BH45" s="13">
        <f>Inputs!$F$134*Inputs!$F$54*(1-Inputs!$F$135+Inputs!$F$135*BH20/100)</f>
        <v/>
      </c>
      <c r="BI45" s="13">
        <f>Inputs!$F$134*Inputs!$F$54*(1-Inputs!$F$135+Inputs!$F$135*BI20/100)</f>
        <v/>
      </c>
      <c r="BJ45" s="13">
        <f>Inputs!$F$134*Inputs!$F$54*(1-Inputs!$F$135+Inputs!$F$135*BJ20/100)</f>
        <v/>
      </c>
      <c r="BK45" s="13">
        <f>Inputs!$F$134*Inputs!$F$54*(1-Inputs!$F$135+Inputs!$F$135*BK20/100)</f>
        <v/>
      </c>
      <c r="BL45" s="13">
        <f>Inputs!$F$134*Inputs!$F$54*(1-Inputs!$F$135+Inputs!$F$135*BL20/100)</f>
        <v/>
      </c>
      <c r="BM45" s="13">
        <f>Inputs!$F$134*Inputs!$F$54*(1-Inputs!$F$135+Inputs!$F$135*BM20/100)</f>
        <v/>
      </c>
      <c r="BN45" s="13">
        <f>Inputs!$F$134*Inputs!$F$54*(1-Inputs!$F$135+Inputs!$F$135*BN20/100)</f>
        <v/>
      </c>
    </row>
    <row r="46">
      <c r="D46" t="inlineStr">
        <is>
          <t>Fixed O&amp;M charge, indexed</t>
        </is>
      </c>
      <c r="E46" t="inlineStr">
        <is>
          <t>USD/kW-month</t>
        </is>
      </c>
      <c r="J46" s="13">
        <f>Inputs!$F$136*(Inputs!$F$137*J20/100+(1-Inputs!$F$137)*J26/100*Inputs!$F$138/J11)</f>
        <v/>
      </c>
      <c r="K46" s="13">
        <f>Inputs!$F$136*(Inputs!$F$137*K20/100+(1-Inputs!$F$137)*K26/100*Inputs!$F$138/K11)</f>
        <v/>
      </c>
      <c r="L46" s="13">
        <f>Inputs!$F$136*(Inputs!$F$137*L20/100+(1-Inputs!$F$137)*L26/100*Inputs!$F$138/L11)</f>
        <v/>
      </c>
      <c r="M46" s="13">
        <f>Inputs!$F$136*(Inputs!$F$137*M20/100+(1-Inputs!$F$137)*M26/100*Inputs!$F$138/M11)</f>
        <v/>
      </c>
      <c r="N46" s="13">
        <f>Inputs!$F$136*(Inputs!$F$137*N20/100+(1-Inputs!$F$137)*N26/100*Inputs!$F$138/N11)</f>
        <v/>
      </c>
      <c r="O46" s="13">
        <f>Inputs!$F$136*(Inputs!$F$137*O20/100+(1-Inputs!$F$137)*O26/100*Inputs!$F$138/O11)</f>
        <v/>
      </c>
      <c r="P46" s="13">
        <f>Inputs!$F$136*(Inputs!$F$137*P20/100+(1-Inputs!$F$137)*P26/100*Inputs!$F$138/P11)</f>
        <v/>
      </c>
      <c r="Q46" s="13">
        <f>Inputs!$F$136*(Inputs!$F$137*Q20/100+(1-Inputs!$F$137)*Q26/100*Inputs!$F$138/Q11)</f>
        <v/>
      </c>
      <c r="R46" s="13">
        <f>Inputs!$F$136*(Inputs!$F$137*R20/100+(1-Inputs!$F$137)*R26/100*Inputs!$F$138/R11)</f>
        <v/>
      </c>
      <c r="S46" s="13">
        <f>Inputs!$F$136*(Inputs!$F$137*S20/100+(1-Inputs!$F$137)*S26/100*Inputs!$F$138/S11)</f>
        <v/>
      </c>
      <c r="T46" s="13">
        <f>Inputs!$F$136*(Inputs!$F$137*T20/100+(1-Inputs!$F$137)*T26/100*Inputs!$F$138/T11)</f>
        <v/>
      </c>
      <c r="U46" s="13">
        <f>Inputs!$F$136*(Inputs!$F$137*U20/100+(1-Inputs!$F$137)*U26/100*Inputs!$F$138/U11)</f>
        <v/>
      </c>
      <c r="V46" s="13">
        <f>Inputs!$F$136*(Inputs!$F$137*V20/100+(1-Inputs!$F$137)*V26/100*Inputs!$F$138/V11)</f>
        <v/>
      </c>
      <c r="W46" s="13">
        <f>Inputs!$F$136*(Inputs!$F$137*W20/100+(1-Inputs!$F$137)*W26/100*Inputs!$F$138/W11)</f>
        <v/>
      </c>
      <c r="X46" s="13">
        <f>Inputs!$F$136*(Inputs!$F$137*X20/100+(1-Inputs!$F$137)*X26/100*Inputs!$F$138/X11)</f>
        <v/>
      </c>
      <c r="Y46" s="13">
        <f>Inputs!$F$136*(Inputs!$F$137*Y20/100+(1-Inputs!$F$137)*Y26/100*Inputs!$F$138/Y11)</f>
        <v/>
      </c>
      <c r="Z46" s="13">
        <f>Inputs!$F$136*(Inputs!$F$137*Z20/100+(1-Inputs!$F$137)*Z26/100*Inputs!$F$138/Z11)</f>
        <v/>
      </c>
      <c r="AA46" s="13">
        <f>Inputs!$F$136*(Inputs!$F$137*AA20/100+(1-Inputs!$F$137)*AA26/100*Inputs!$F$138/AA11)</f>
        <v/>
      </c>
      <c r="AB46" s="13">
        <f>Inputs!$F$136*(Inputs!$F$137*AB20/100+(1-Inputs!$F$137)*AB26/100*Inputs!$F$138/AB11)</f>
        <v/>
      </c>
      <c r="AC46" s="13">
        <f>Inputs!$F$136*(Inputs!$F$137*AC20/100+(1-Inputs!$F$137)*AC26/100*Inputs!$F$138/AC11)</f>
        <v/>
      </c>
      <c r="AD46" s="13">
        <f>Inputs!$F$136*(Inputs!$F$137*AD20/100+(1-Inputs!$F$137)*AD26/100*Inputs!$F$138/AD11)</f>
        <v/>
      </c>
      <c r="AE46" s="13">
        <f>Inputs!$F$136*(Inputs!$F$137*AE20/100+(1-Inputs!$F$137)*AE26/100*Inputs!$F$138/AE11)</f>
        <v/>
      </c>
      <c r="AF46" s="13">
        <f>Inputs!$F$136*(Inputs!$F$137*AF20/100+(1-Inputs!$F$137)*AF26/100*Inputs!$F$138/AF11)</f>
        <v/>
      </c>
      <c r="AG46" s="13">
        <f>Inputs!$F$136*(Inputs!$F$137*AG20/100+(1-Inputs!$F$137)*AG26/100*Inputs!$F$138/AG11)</f>
        <v/>
      </c>
      <c r="AH46" s="13">
        <f>Inputs!$F$136*(Inputs!$F$137*AH20/100+(1-Inputs!$F$137)*AH26/100*Inputs!$F$138/AH11)</f>
        <v/>
      </c>
      <c r="AI46" s="13">
        <f>Inputs!$F$136*(Inputs!$F$137*AI20/100+(1-Inputs!$F$137)*AI26/100*Inputs!$F$138/AI11)</f>
        <v/>
      </c>
      <c r="AJ46" s="13">
        <f>Inputs!$F$136*(Inputs!$F$137*AJ20/100+(1-Inputs!$F$137)*AJ26/100*Inputs!$F$138/AJ11)</f>
        <v/>
      </c>
      <c r="AK46" s="13">
        <f>Inputs!$F$136*(Inputs!$F$137*AK20/100+(1-Inputs!$F$137)*AK26/100*Inputs!$F$138/AK11)</f>
        <v/>
      </c>
      <c r="AL46" s="13">
        <f>Inputs!$F$136*(Inputs!$F$137*AL20/100+(1-Inputs!$F$137)*AL26/100*Inputs!$F$138/AL11)</f>
        <v/>
      </c>
      <c r="AM46" s="13">
        <f>Inputs!$F$136*(Inputs!$F$137*AM20/100+(1-Inputs!$F$137)*AM26/100*Inputs!$F$138/AM11)</f>
        <v/>
      </c>
      <c r="AN46" s="13">
        <f>Inputs!$F$136*(Inputs!$F$137*AN20/100+(1-Inputs!$F$137)*AN26/100*Inputs!$F$138/AN11)</f>
        <v/>
      </c>
      <c r="AO46" s="13">
        <f>Inputs!$F$136*(Inputs!$F$137*AO20/100+(1-Inputs!$F$137)*AO26/100*Inputs!$F$138/AO11)</f>
        <v/>
      </c>
      <c r="AP46" s="13">
        <f>Inputs!$F$136*(Inputs!$F$137*AP20/100+(1-Inputs!$F$137)*AP26/100*Inputs!$F$138/AP11)</f>
        <v/>
      </c>
      <c r="AQ46" s="13">
        <f>Inputs!$F$136*(Inputs!$F$137*AQ20/100+(1-Inputs!$F$137)*AQ26/100*Inputs!$F$138/AQ11)</f>
        <v/>
      </c>
      <c r="AR46" s="13">
        <f>Inputs!$F$136*(Inputs!$F$137*AR20/100+(1-Inputs!$F$137)*AR26/100*Inputs!$F$138/AR11)</f>
        <v/>
      </c>
      <c r="AS46" s="13">
        <f>Inputs!$F$136*(Inputs!$F$137*AS20/100+(1-Inputs!$F$137)*AS26/100*Inputs!$F$138/AS11)</f>
        <v/>
      </c>
      <c r="AT46" s="13">
        <f>Inputs!$F$136*(Inputs!$F$137*AT20/100+(1-Inputs!$F$137)*AT26/100*Inputs!$F$138/AT11)</f>
        <v/>
      </c>
      <c r="AU46" s="13">
        <f>Inputs!$F$136*(Inputs!$F$137*AU20/100+(1-Inputs!$F$137)*AU26/100*Inputs!$F$138/AU11)</f>
        <v/>
      </c>
      <c r="AV46" s="13">
        <f>Inputs!$F$136*(Inputs!$F$137*AV20/100+(1-Inputs!$F$137)*AV26/100*Inputs!$F$138/AV11)</f>
        <v/>
      </c>
      <c r="AW46" s="13">
        <f>Inputs!$F$136*(Inputs!$F$137*AW20/100+(1-Inputs!$F$137)*AW26/100*Inputs!$F$138/AW11)</f>
        <v/>
      </c>
      <c r="AX46" s="13">
        <f>Inputs!$F$136*(Inputs!$F$137*AX20/100+(1-Inputs!$F$137)*AX26/100*Inputs!$F$138/AX11)</f>
        <v/>
      </c>
      <c r="AY46" s="13">
        <f>Inputs!$F$136*(Inputs!$F$137*AY20/100+(1-Inputs!$F$137)*AY26/100*Inputs!$F$138/AY11)</f>
        <v/>
      </c>
      <c r="AZ46" s="13">
        <f>Inputs!$F$136*(Inputs!$F$137*AZ20/100+(1-Inputs!$F$137)*AZ26/100*Inputs!$F$138/AZ11)</f>
        <v/>
      </c>
      <c r="BA46" s="13">
        <f>Inputs!$F$136*(Inputs!$F$137*BA20/100+(1-Inputs!$F$137)*BA26/100*Inputs!$F$138/BA11)</f>
        <v/>
      </c>
      <c r="BB46" s="13">
        <f>Inputs!$F$136*(Inputs!$F$137*BB20/100+(1-Inputs!$F$137)*BB26/100*Inputs!$F$138/BB11)</f>
        <v/>
      </c>
      <c r="BC46" s="13">
        <f>Inputs!$F$136*(Inputs!$F$137*BC20/100+(1-Inputs!$F$137)*BC26/100*Inputs!$F$138/BC11)</f>
        <v/>
      </c>
      <c r="BD46" s="13">
        <f>Inputs!$F$136*(Inputs!$F$137*BD20/100+(1-Inputs!$F$137)*BD26/100*Inputs!$F$138/BD11)</f>
        <v/>
      </c>
      <c r="BE46" s="13">
        <f>Inputs!$F$136*(Inputs!$F$137*BE20/100+(1-Inputs!$F$137)*BE26/100*Inputs!$F$138/BE11)</f>
        <v/>
      </c>
      <c r="BF46" s="13">
        <f>Inputs!$F$136*(Inputs!$F$137*BF20/100+(1-Inputs!$F$137)*BF26/100*Inputs!$F$138/BF11)</f>
        <v/>
      </c>
      <c r="BG46" s="13">
        <f>Inputs!$F$136*(Inputs!$F$137*BG20/100+(1-Inputs!$F$137)*BG26/100*Inputs!$F$138/BG11)</f>
        <v/>
      </c>
      <c r="BH46" s="13">
        <f>Inputs!$F$136*(Inputs!$F$137*BH20/100+(1-Inputs!$F$137)*BH26/100*Inputs!$F$138/BH11)</f>
        <v/>
      </c>
      <c r="BI46" s="13">
        <f>Inputs!$F$136*(Inputs!$F$137*BI20/100+(1-Inputs!$F$137)*BI26/100*Inputs!$F$138/BI11)</f>
        <v/>
      </c>
      <c r="BJ46" s="13">
        <f>Inputs!$F$136*(Inputs!$F$137*BJ20/100+(1-Inputs!$F$137)*BJ26/100*Inputs!$F$138/BJ11)</f>
        <v/>
      </c>
      <c r="BK46" s="13">
        <f>Inputs!$F$136*(Inputs!$F$137*BK20/100+(1-Inputs!$F$137)*BK26/100*Inputs!$F$138/BK11)</f>
        <v/>
      </c>
      <c r="BL46" s="13">
        <f>Inputs!$F$136*(Inputs!$F$137*BL20/100+(1-Inputs!$F$137)*BL26/100*Inputs!$F$138/BL11)</f>
        <v/>
      </c>
      <c r="BM46" s="13">
        <f>Inputs!$F$136*(Inputs!$F$137*BM20/100+(1-Inputs!$F$137)*BM26/100*Inputs!$F$138/BM11)</f>
        <v/>
      </c>
      <c r="BN46" s="13">
        <f>Inputs!$F$136*(Inputs!$F$137*BN20/100+(1-Inputs!$F$137)*BN26/100*Inputs!$F$138/BN11)</f>
        <v/>
      </c>
    </row>
    <row r="47">
      <c r="D47" t="inlineStr">
        <is>
          <t>Availability factor min(1, A/90%)</t>
        </is>
      </c>
      <c r="E47" t="inlineStr">
        <is>
          <t>factor</t>
        </is>
      </c>
      <c r="J47" s="13">
        <f>MIN(1,J32/Inputs!$F$133)</f>
        <v/>
      </c>
      <c r="K47" s="13">
        <f>MIN(1,K32/Inputs!$F$133)</f>
        <v/>
      </c>
      <c r="L47" s="13">
        <f>MIN(1,L32/Inputs!$F$133)</f>
        <v/>
      </c>
      <c r="M47" s="13">
        <f>MIN(1,M32/Inputs!$F$133)</f>
        <v/>
      </c>
      <c r="N47" s="13">
        <f>MIN(1,N32/Inputs!$F$133)</f>
        <v/>
      </c>
      <c r="O47" s="13">
        <f>MIN(1,O32/Inputs!$F$133)</f>
        <v/>
      </c>
      <c r="P47" s="13">
        <f>MIN(1,P32/Inputs!$F$133)</f>
        <v/>
      </c>
      <c r="Q47" s="13">
        <f>MIN(1,Q32/Inputs!$F$133)</f>
        <v/>
      </c>
      <c r="R47" s="13">
        <f>MIN(1,R32/Inputs!$F$133)</f>
        <v/>
      </c>
      <c r="S47" s="13">
        <f>MIN(1,S32/Inputs!$F$133)</f>
        <v/>
      </c>
      <c r="T47" s="13">
        <f>MIN(1,T32/Inputs!$F$133)</f>
        <v/>
      </c>
      <c r="U47" s="13">
        <f>MIN(1,U32/Inputs!$F$133)</f>
        <v/>
      </c>
      <c r="V47" s="13">
        <f>MIN(1,V32/Inputs!$F$133)</f>
        <v/>
      </c>
      <c r="W47" s="13">
        <f>MIN(1,W32/Inputs!$F$133)</f>
        <v/>
      </c>
      <c r="X47" s="13">
        <f>MIN(1,X32/Inputs!$F$133)</f>
        <v/>
      </c>
      <c r="Y47" s="13">
        <f>MIN(1,Y32/Inputs!$F$133)</f>
        <v/>
      </c>
      <c r="Z47" s="13">
        <f>MIN(1,Z32/Inputs!$F$133)</f>
        <v/>
      </c>
      <c r="AA47" s="13">
        <f>MIN(1,AA32/Inputs!$F$133)</f>
        <v/>
      </c>
      <c r="AB47" s="13">
        <f>MIN(1,AB32/Inputs!$F$133)</f>
        <v/>
      </c>
      <c r="AC47" s="13">
        <f>MIN(1,AC32/Inputs!$F$133)</f>
        <v/>
      </c>
      <c r="AD47" s="13">
        <f>MIN(1,AD32/Inputs!$F$133)</f>
        <v/>
      </c>
      <c r="AE47" s="13">
        <f>MIN(1,AE32/Inputs!$F$133)</f>
        <v/>
      </c>
      <c r="AF47" s="13">
        <f>MIN(1,AF32/Inputs!$F$133)</f>
        <v/>
      </c>
      <c r="AG47" s="13">
        <f>MIN(1,AG32/Inputs!$F$133)</f>
        <v/>
      </c>
      <c r="AH47" s="13">
        <f>MIN(1,AH32/Inputs!$F$133)</f>
        <v/>
      </c>
      <c r="AI47" s="13">
        <f>MIN(1,AI32/Inputs!$F$133)</f>
        <v/>
      </c>
      <c r="AJ47" s="13">
        <f>MIN(1,AJ32/Inputs!$F$133)</f>
        <v/>
      </c>
      <c r="AK47" s="13">
        <f>MIN(1,AK32/Inputs!$F$133)</f>
        <v/>
      </c>
      <c r="AL47" s="13">
        <f>MIN(1,AL32/Inputs!$F$133)</f>
        <v/>
      </c>
      <c r="AM47" s="13">
        <f>MIN(1,AM32/Inputs!$F$133)</f>
        <v/>
      </c>
      <c r="AN47" s="13">
        <f>MIN(1,AN32/Inputs!$F$133)</f>
        <v/>
      </c>
      <c r="AO47" s="13">
        <f>MIN(1,AO32/Inputs!$F$133)</f>
        <v/>
      </c>
      <c r="AP47" s="13">
        <f>MIN(1,AP32/Inputs!$F$133)</f>
        <v/>
      </c>
      <c r="AQ47" s="13">
        <f>MIN(1,AQ32/Inputs!$F$133)</f>
        <v/>
      </c>
      <c r="AR47" s="13">
        <f>MIN(1,AR32/Inputs!$F$133)</f>
        <v/>
      </c>
      <c r="AS47" s="13">
        <f>MIN(1,AS32/Inputs!$F$133)</f>
        <v/>
      </c>
      <c r="AT47" s="13">
        <f>MIN(1,AT32/Inputs!$F$133)</f>
        <v/>
      </c>
      <c r="AU47" s="13">
        <f>MIN(1,AU32/Inputs!$F$133)</f>
        <v/>
      </c>
      <c r="AV47" s="13">
        <f>MIN(1,AV32/Inputs!$F$133)</f>
        <v/>
      </c>
      <c r="AW47" s="13">
        <f>MIN(1,AW32/Inputs!$F$133)</f>
        <v/>
      </c>
      <c r="AX47" s="13">
        <f>MIN(1,AX32/Inputs!$F$133)</f>
        <v/>
      </c>
      <c r="AY47" s="13">
        <f>MIN(1,AY32/Inputs!$F$133)</f>
        <v/>
      </c>
      <c r="AZ47" s="13">
        <f>MIN(1,AZ32/Inputs!$F$133)</f>
        <v/>
      </c>
      <c r="BA47" s="13">
        <f>MIN(1,BA32/Inputs!$F$133)</f>
        <v/>
      </c>
      <c r="BB47" s="13">
        <f>MIN(1,BB32/Inputs!$F$133)</f>
        <v/>
      </c>
      <c r="BC47" s="13">
        <f>MIN(1,BC32/Inputs!$F$133)</f>
        <v/>
      </c>
      <c r="BD47" s="13">
        <f>MIN(1,BD32/Inputs!$F$133)</f>
        <v/>
      </c>
      <c r="BE47" s="13">
        <f>MIN(1,BE32/Inputs!$F$133)</f>
        <v/>
      </c>
      <c r="BF47" s="13">
        <f>MIN(1,BF32/Inputs!$F$133)</f>
        <v/>
      </c>
      <c r="BG47" s="13">
        <f>MIN(1,BG32/Inputs!$F$133)</f>
        <v/>
      </c>
      <c r="BH47" s="13">
        <f>MIN(1,BH32/Inputs!$F$133)</f>
        <v/>
      </c>
      <c r="BI47" s="13">
        <f>MIN(1,BI32/Inputs!$F$133)</f>
        <v/>
      </c>
      <c r="BJ47" s="13">
        <f>MIN(1,BJ32/Inputs!$F$133)</f>
        <v/>
      </c>
      <c r="BK47" s="13">
        <f>MIN(1,BK32/Inputs!$F$133)</f>
        <v/>
      </c>
      <c r="BL47" s="13">
        <f>MIN(1,BL32/Inputs!$F$133)</f>
        <v/>
      </c>
      <c r="BM47" s="13">
        <f>MIN(1,BM32/Inputs!$F$133)</f>
        <v/>
      </c>
      <c r="BN47" s="13">
        <f>MIN(1,BN32/Inputs!$F$133)</f>
        <v/>
      </c>
    </row>
    <row r="48">
      <c r="D48" t="inlineStr">
        <is>
          <t>Capacity payment</t>
        </is>
      </c>
      <c r="E48" t="inlineStr">
        <is>
          <t>USD m</t>
        </is>
      </c>
      <c r="G48" s="13">
        <f>SUM(J48:BN48)</f>
        <v/>
      </c>
      <c r="J48" s="13">
        <f>$F$34*1000*Time!J30*(J45+J46)*J47/1000000</f>
        <v/>
      </c>
      <c r="K48" s="13">
        <f>$F$34*1000*Time!K30*(K45+K46)*K47/1000000</f>
        <v/>
      </c>
      <c r="L48" s="13">
        <f>$F$34*1000*Time!L30*(L45+L46)*L47/1000000</f>
        <v/>
      </c>
      <c r="M48" s="13">
        <f>$F$34*1000*Time!M30*(M45+M46)*M47/1000000</f>
        <v/>
      </c>
      <c r="N48" s="13">
        <f>$F$34*1000*Time!N30*(N45+N46)*N47/1000000</f>
        <v/>
      </c>
      <c r="O48" s="13">
        <f>$F$34*1000*Time!O30*(O45+O46)*O47/1000000</f>
        <v/>
      </c>
      <c r="P48" s="13">
        <f>$F$34*1000*Time!P30*(P45+P46)*P47/1000000</f>
        <v/>
      </c>
      <c r="Q48" s="13">
        <f>$F$34*1000*Time!Q30*(Q45+Q46)*Q47/1000000</f>
        <v/>
      </c>
      <c r="R48" s="13">
        <f>$F$34*1000*Time!R30*(R45+R46)*R47/1000000</f>
        <v/>
      </c>
      <c r="S48" s="13">
        <f>$F$34*1000*Time!S30*(S45+S46)*S47/1000000</f>
        <v/>
      </c>
      <c r="T48" s="13">
        <f>$F$34*1000*Time!T30*(T45+T46)*T47/1000000</f>
        <v/>
      </c>
      <c r="U48" s="13">
        <f>$F$34*1000*Time!U30*(U45+U46)*U47/1000000</f>
        <v/>
      </c>
      <c r="V48" s="13">
        <f>$F$34*1000*Time!V30*(V45+V46)*V47/1000000</f>
        <v/>
      </c>
      <c r="W48" s="13">
        <f>$F$34*1000*Time!W30*(W45+W46)*W47/1000000</f>
        <v/>
      </c>
      <c r="X48" s="13">
        <f>$F$34*1000*Time!X30*(X45+X46)*X47/1000000</f>
        <v/>
      </c>
      <c r="Y48" s="13">
        <f>$F$34*1000*Time!Y30*(Y45+Y46)*Y47/1000000</f>
        <v/>
      </c>
      <c r="Z48" s="13">
        <f>$F$34*1000*Time!Z30*(Z45+Z46)*Z47/1000000</f>
        <v/>
      </c>
      <c r="AA48" s="13">
        <f>$F$34*1000*Time!AA30*(AA45+AA46)*AA47/1000000</f>
        <v/>
      </c>
      <c r="AB48" s="13">
        <f>$F$34*1000*Time!AB30*(AB45+AB46)*AB47/1000000</f>
        <v/>
      </c>
      <c r="AC48" s="13">
        <f>$F$34*1000*Time!AC30*(AC45+AC46)*AC47/1000000</f>
        <v/>
      </c>
      <c r="AD48" s="13">
        <f>$F$34*1000*Time!AD30*(AD45+AD46)*AD47/1000000</f>
        <v/>
      </c>
      <c r="AE48" s="13">
        <f>$F$34*1000*Time!AE30*(AE45+AE46)*AE47/1000000</f>
        <v/>
      </c>
      <c r="AF48" s="13">
        <f>$F$34*1000*Time!AF30*(AF45+AF46)*AF47/1000000</f>
        <v/>
      </c>
      <c r="AG48" s="13">
        <f>$F$34*1000*Time!AG30*(AG45+AG46)*AG47/1000000</f>
        <v/>
      </c>
      <c r="AH48" s="13">
        <f>$F$34*1000*Time!AH30*(AH45+AH46)*AH47/1000000</f>
        <v/>
      </c>
      <c r="AI48" s="13">
        <f>$F$34*1000*Time!AI30*(AI45+AI46)*AI47/1000000</f>
        <v/>
      </c>
      <c r="AJ48" s="13">
        <f>$F$34*1000*Time!AJ30*(AJ45+AJ46)*AJ47/1000000</f>
        <v/>
      </c>
      <c r="AK48" s="13">
        <f>$F$34*1000*Time!AK30*(AK45+AK46)*AK47/1000000</f>
        <v/>
      </c>
      <c r="AL48" s="13">
        <f>$F$34*1000*Time!AL30*(AL45+AL46)*AL47/1000000</f>
        <v/>
      </c>
      <c r="AM48" s="13">
        <f>$F$34*1000*Time!AM30*(AM45+AM46)*AM47/1000000</f>
        <v/>
      </c>
      <c r="AN48" s="13">
        <f>$F$34*1000*Time!AN30*(AN45+AN46)*AN47/1000000</f>
        <v/>
      </c>
      <c r="AO48" s="13">
        <f>$F$34*1000*Time!AO30*(AO45+AO46)*AO47/1000000</f>
        <v/>
      </c>
      <c r="AP48" s="13">
        <f>$F$34*1000*Time!AP30*(AP45+AP46)*AP47/1000000</f>
        <v/>
      </c>
      <c r="AQ48" s="13">
        <f>$F$34*1000*Time!AQ30*(AQ45+AQ46)*AQ47/1000000</f>
        <v/>
      </c>
      <c r="AR48" s="13">
        <f>$F$34*1000*Time!AR30*(AR45+AR46)*AR47/1000000</f>
        <v/>
      </c>
      <c r="AS48" s="13">
        <f>$F$34*1000*Time!AS30*(AS45+AS46)*AS47/1000000</f>
        <v/>
      </c>
      <c r="AT48" s="13">
        <f>$F$34*1000*Time!AT30*(AT45+AT46)*AT47/1000000</f>
        <v/>
      </c>
      <c r="AU48" s="13">
        <f>$F$34*1000*Time!AU30*(AU45+AU46)*AU47/1000000</f>
        <v/>
      </c>
      <c r="AV48" s="13">
        <f>$F$34*1000*Time!AV30*(AV45+AV46)*AV47/1000000</f>
        <v/>
      </c>
      <c r="AW48" s="13">
        <f>$F$34*1000*Time!AW30*(AW45+AW46)*AW47/1000000</f>
        <v/>
      </c>
      <c r="AX48" s="13">
        <f>$F$34*1000*Time!AX30*(AX45+AX46)*AX47/1000000</f>
        <v/>
      </c>
      <c r="AY48" s="13">
        <f>$F$34*1000*Time!AY30*(AY45+AY46)*AY47/1000000</f>
        <v/>
      </c>
      <c r="AZ48" s="13">
        <f>$F$34*1000*Time!AZ30*(AZ45+AZ46)*AZ47/1000000</f>
        <v/>
      </c>
      <c r="BA48" s="13">
        <f>$F$34*1000*Time!BA30*(BA45+BA46)*BA47/1000000</f>
        <v/>
      </c>
      <c r="BB48" s="13">
        <f>$F$34*1000*Time!BB30*(BB45+BB46)*BB47/1000000</f>
        <v/>
      </c>
      <c r="BC48" s="13">
        <f>$F$34*1000*Time!BC30*(BC45+BC46)*BC47/1000000</f>
        <v/>
      </c>
      <c r="BD48" s="13">
        <f>$F$34*1000*Time!BD30*(BD45+BD46)*BD47/1000000</f>
        <v/>
      </c>
      <c r="BE48" s="13">
        <f>$F$34*1000*Time!BE30*(BE45+BE46)*BE47/1000000</f>
        <v/>
      </c>
      <c r="BF48" s="13">
        <f>$F$34*1000*Time!BF30*(BF45+BF46)*BF47/1000000</f>
        <v/>
      </c>
      <c r="BG48" s="13">
        <f>$F$34*1000*Time!BG30*(BG45+BG46)*BG47/1000000</f>
        <v/>
      </c>
      <c r="BH48" s="13">
        <f>$F$34*1000*Time!BH30*(BH45+BH46)*BH47/1000000</f>
        <v/>
      </c>
      <c r="BI48" s="13">
        <f>$F$34*1000*Time!BI30*(BI45+BI46)*BI47/1000000</f>
        <v/>
      </c>
      <c r="BJ48" s="13">
        <f>$F$34*1000*Time!BJ30*(BJ45+BJ46)*BJ47/1000000</f>
        <v/>
      </c>
      <c r="BK48" s="13">
        <f>$F$34*1000*Time!BK30*(BK45+BK46)*BK47/1000000</f>
        <v/>
      </c>
      <c r="BL48" s="13">
        <f>$F$34*1000*Time!BL30*(BL45+BL46)*BL47/1000000</f>
        <v/>
      </c>
      <c r="BM48" s="13">
        <f>$F$34*1000*Time!BM30*(BM45+BM46)*BM47/1000000</f>
        <v/>
      </c>
      <c r="BN48" s="13">
        <f>$F$34*1000*Time!BN30*(BN45+BN46)*BN47/1000000</f>
        <v/>
      </c>
    </row>
    <row r="49">
      <c r="D49" t="inlineStr">
        <is>
          <t>VOM charge, indexed</t>
        </is>
      </c>
      <c r="E49" t="inlineStr">
        <is>
          <t>USD/MWh</t>
        </is>
      </c>
      <c r="J49" s="13">
        <f>Inputs!$F$139*(Inputs!$F$140*J20/100+(1-Inputs!$F$140)*J26/100*Inputs!$F$138/J11)</f>
        <v/>
      </c>
      <c r="K49" s="13">
        <f>Inputs!$F$139*(Inputs!$F$140*K20/100+(1-Inputs!$F$140)*K26/100*Inputs!$F$138/K11)</f>
        <v/>
      </c>
      <c r="L49" s="13">
        <f>Inputs!$F$139*(Inputs!$F$140*L20/100+(1-Inputs!$F$140)*L26/100*Inputs!$F$138/L11)</f>
        <v/>
      </c>
      <c r="M49" s="13">
        <f>Inputs!$F$139*(Inputs!$F$140*M20/100+(1-Inputs!$F$140)*M26/100*Inputs!$F$138/M11)</f>
        <v/>
      </c>
      <c r="N49" s="13">
        <f>Inputs!$F$139*(Inputs!$F$140*N20/100+(1-Inputs!$F$140)*N26/100*Inputs!$F$138/N11)</f>
        <v/>
      </c>
      <c r="O49" s="13">
        <f>Inputs!$F$139*(Inputs!$F$140*O20/100+(1-Inputs!$F$140)*O26/100*Inputs!$F$138/O11)</f>
        <v/>
      </c>
      <c r="P49" s="13">
        <f>Inputs!$F$139*(Inputs!$F$140*P20/100+(1-Inputs!$F$140)*P26/100*Inputs!$F$138/P11)</f>
        <v/>
      </c>
      <c r="Q49" s="13">
        <f>Inputs!$F$139*(Inputs!$F$140*Q20/100+(1-Inputs!$F$140)*Q26/100*Inputs!$F$138/Q11)</f>
        <v/>
      </c>
      <c r="R49" s="13">
        <f>Inputs!$F$139*(Inputs!$F$140*R20/100+(1-Inputs!$F$140)*R26/100*Inputs!$F$138/R11)</f>
        <v/>
      </c>
      <c r="S49" s="13">
        <f>Inputs!$F$139*(Inputs!$F$140*S20/100+(1-Inputs!$F$140)*S26/100*Inputs!$F$138/S11)</f>
        <v/>
      </c>
      <c r="T49" s="13">
        <f>Inputs!$F$139*(Inputs!$F$140*T20/100+(1-Inputs!$F$140)*T26/100*Inputs!$F$138/T11)</f>
        <v/>
      </c>
      <c r="U49" s="13">
        <f>Inputs!$F$139*(Inputs!$F$140*U20/100+(1-Inputs!$F$140)*U26/100*Inputs!$F$138/U11)</f>
        <v/>
      </c>
      <c r="V49" s="13">
        <f>Inputs!$F$139*(Inputs!$F$140*V20/100+(1-Inputs!$F$140)*V26/100*Inputs!$F$138/V11)</f>
        <v/>
      </c>
      <c r="W49" s="13">
        <f>Inputs!$F$139*(Inputs!$F$140*W20/100+(1-Inputs!$F$140)*W26/100*Inputs!$F$138/W11)</f>
        <v/>
      </c>
      <c r="X49" s="13">
        <f>Inputs!$F$139*(Inputs!$F$140*X20/100+(1-Inputs!$F$140)*X26/100*Inputs!$F$138/X11)</f>
        <v/>
      </c>
      <c r="Y49" s="13">
        <f>Inputs!$F$139*(Inputs!$F$140*Y20/100+(1-Inputs!$F$140)*Y26/100*Inputs!$F$138/Y11)</f>
        <v/>
      </c>
      <c r="Z49" s="13">
        <f>Inputs!$F$139*(Inputs!$F$140*Z20/100+(1-Inputs!$F$140)*Z26/100*Inputs!$F$138/Z11)</f>
        <v/>
      </c>
      <c r="AA49" s="13">
        <f>Inputs!$F$139*(Inputs!$F$140*AA20/100+(1-Inputs!$F$140)*AA26/100*Inputs!$F$138/AA11)</f>
        <v/>
      </c>
      <c r="AB49" s="13">
        <f>Inputs!$F$139*(Inputs!$F$140*AB20/100+(1-Inputs!$F$140)*AB26/100*Inputs!$F$138/AB11)</f>
        <v/>
      </c>
      <c r="AC49" s="13">
        <f>Inputs!$F$139*(Inputs!$F$140*AC20/100+(1-Inputs!$F$140)*AC26/100*Inputs!$F$138/AC11)</f>
        <v/>
      </c>
      <c r="AD49" s="13">
        <f>Inputs!$F$139*(Inputs!$F$140*AD20/100+(1-Inputs!$F$140)*AD26/100*Inputs!$F$138/AD11)</f>
        <v/>
      </c>
      <c r="AE49" s="13">
        <f>Inputs!$F$139*(Inputs!$F$140*AE20/100+(1-Inputs!$F$140)*AE26/100*Inputs!$F$138/AE11)</f>
        <v/>
      </c>
      <c r="AF49" s="13">
        <f>Inputs!$F$139*(Inputs!$F$140*AF20/100+(1-Inputs!$F$140)*AF26/100*Inputs!$F$138/AF11)</f>
        <v/>
      </c>
      <c r="AG49" s="13">
        <f>Inputs!$F$139*(Inputs!$F$140*AG20/100+(1-Inputs!$F$140)*AG26/100*Inputs!$F$138/AG11)</f>
        <v/>
      </c>
      <c r="AH49" s="13">
        <f>Inputs!$F$139*(Inputs!$F$140*AH20/100+(1-Inputs!$F$140)*AH26/100*Inputs!$F$138/AH11)</f>
        <v/>
      </c>
      <c r="AI49" s="13">
        <f>Inputs!$F$139*(Inputs!$F$140*AI20/100+(1-Inputs!$F$140)*AI26/100*Inputs!$F$138/AI11)</f>
        <v/>
      </c>
      <c r="AJ49" s="13">
        <f>Inputs!$F$139*(Inputs!$F$140*AJ20/100+(1-Inputs!$F$140)*AJ26/100*Inputs!$F$138/AJ11)</f>
        <v/>
      </c>
      <c r="AK49" s="13">
        <f>Inputs!$F$139*(Inputs!$F$140*AK20/100+(1-Inputs!$F$140)*AK26/100*Inputs!$F$138/AK11)</f>
        <v/>
      </c>
      <c r="AL49" s="13">
        <f>Inputs!$F$139*(Inputs!$F$140*AL20/100+(1-Inputs!$F$140)*AL26/100*Inputs!$F$138/AL11)</f>
        <v/>
      </c>
      <c r="AM49" s="13">
        <f>Inputs!$F$139*(Inputs!$F$140*AM20/100+(1-Inputs!$F$140)*AM26/100*Inputs!$F$138/AM11)</f>
        <v/>
      </c>
      <c r="AN49" s="13">
        <f>Inputs!$F$139*(Inputs!$F$140*AN20/100+(1-Inputs!$F$140)*AN26/100*Inputs!$F$138/AN11)</f>
        <v/>
      </c>
      <c r="AO49" s="13">
        <f>Inputs!$F$139*(Inputs!$F$140*AO20/100+(1-Inputs!$F$140)*AO26/100*Inputs!$F$138/AO11)</f>
        <v/>
      </c>
      <c r="AP49" s="13">
        <f>Inputs!$F$139*(Inputs!$F$140*AP20/100+(1-Inputs!$F$140)*AP26/100*Inputs!$F$138/AP11)</f>
        <v/>
      </c>
      <c r="AQ49" s="13">
        <f>Inputs!$F$139*(Inputs!$F$140*AQ20/100+(1-Inputs!$F$140)*AQ26/100*Inputs!$F$138/AQ11)</f>
        <v/>
      </c>
      <c r="AR49" s="13">
        <f>Inputs!$F$139*(Inputs!$F$140*AR20/100+(1-Inputs!$F$140)*AR26/100*Inputs!$F$138/AR11)</f>
        <v/>
      </c>
      <c r="AS49" s="13">
        <f>Inputs!$F$139*(Inputs!$F$140*AS20/100+(1-Inputs!$F$140)*AS26/100*Inputs!$F$138/AS11)</f>
        <v/>
      </c>
      <c r="AT49" s="13">
        <f>Inputs!$F$139*(Inputs!$F$140*AT20/100+(1-Inputs!$F$140)*AT26/100*Inputs!$F$138/AT11)</f>
        <v/>
      </c>
      <c r="AU49" s="13">
        <f>Inputs!$F$139*(Inputs!$F$140*AU20/100+(1-Inputs!$F$140)*AU26/100*Inputs!$F$138/AU11)</f>
        <v/>
      </c>
      <c r="AV49" s="13">
        <f>Inputs!$F$139*(Inputs!$F$140*AV20/100+(1-Inputs!$F$140)*AV26/100*Inputs!$F$138/AV11)</f>
        <v/>
      </c>
      <c r="AW49" s="13">
        <f>Inputs!$F$139*(Inputs!$F$140*AW20/100+(1-Inputs!$F$140)*AW26/100*Inputs!$F$138/AW11)</f>
        <v/>
      </c>
      <c r="AX49" s="13">
        <f>Inputs!$F$139*(Inputs!$F$140*AX20/100+(1-Inputs!$F$140)*AX26/100*Inputs!$F$138/AX11)</f>
        <v/>
      </c>
      <c r="AY49" s="13">
        <f>Inputs!$F$139*(Inputs!$F$140*AY20/100+(1-Inputs!$F$140)*AY26/100*Inputs!$F$138/AY11)</f>
        <v/>
      </c>
      <c r="AZ49" s="13">
        <f>Inputs!$F$139*(Inputs!$F$140*AZ20/100+(1-Inputs!$F$140)*AZ26/100*Inputs!$F$138/AZ11)</f>
        <v/>
      </c>
      <c r="BA49" s="13">
        <f>Inputs!$F$139*(Inputs!$F$140*BA20/100+(1-Inputs!$F$140)*BA26/100*Inputs!$F$138/BA11)</f>
        <v/>
      </c>
      <c r="BB49" s="13">
        <f>Inputs!$F$139*(Inputs!$F$140*BB20/100+(1-Inputs!$F$140)*BB26/100*Inputs!$F$138/BB11)</f>
        <v/>
      </c>
      <c r="BC49" s="13">
        <f>Inputs!$F$139*(Inputs!$F$140*BC20/100+(1-Inputs!$F$140)*BC26/100*Inputs!$F$138/BC11)</f>
        <v/>
      </c>
      <c r="BD49" s="13">
        <f>Inputs!$F$139*(Inputs!$F$140*BD20/100+(1-Inputs!$F$140)*BD26/100*Inputs!$F$138/BD11)</f>
        <v/>
      </c>
      <c r="BE49" s="13">
        <f>Inputs!$F$139*(Inputs!$F$140*BE20/100+(1-Inputs!$F$140)*BE26/100*Inputs!$F$138/BE11)</f>
        <v/>
      </c>
      <c r="BF49" s="13">
        <f>Inputs!$F$139*(Inputs!$F$140*BF20/100+(1-Inputs!$F$140)*BF26/100*Inputs!$F$138/BF11)</f>
        <v/>
      </c>
      <c r="BG49" s="13">
        <f>Inputs!$F$139*(Inputs!$F$140*BG20/100+(1-Inputs!$F$140)*BG26/100*Inputs!$F$138/BG11)</f>
        <v/>
      </c>
      <c r="BH49" s="13">
        <f>Inputs!$F$139*(Inputs!$F$140*BH20/100+(1-Inputs!$F$140)*BH26/100*Inputs!$F$138/BH11)</f>
        <v/>
      </c>
      <c r="BI49" s="13">
        <f>Inputs!$F$139*(Inputs!$F$140*BI20/100+(1-Inputs!$F$140)*BI26/100*Inputs!$F$138/BI11)</f>
        <v/>
      </c>
      <c r="BJ49" s="13">
        <f>Inputs!$F$139*(Inputs!$F$140*BJ20/100+(1-Inputs!$F$140)*BJ26/100*Inputs!$F$138/BJ11)</f>
        <v/>
      </c>
      <c r="BK49" s="13">
        <f>Inputs!$F$139*(Inputs!$F$140*BK20/100+(1-Inputs!$F$140)*BK26/100*Inputs!$F$138/BK11)</f>
        <v/>
      </c>
      <c r="BL49" s="13">
        <f>Inputs!$F$139*(Inputs!$F$140*BL20/100+(1-Inputs!$F$140)*BL26/100*Inputs!$F$138/BL11)</f>
        <v/>
      </c>
      <c r="BM49" s="13">
        <f>Inputs!$F$139*(Inputs!$F$140*BM20/100+(1-Inputs!$F$140)*BM26/100*Inputs!$F$138/BM11)</f>
        <v/>
      </c>
      <c r="BN49" s="13">
        <f>Inputs!$F$139*(Inputs!$F$140*BN20/100+(1-Inputs!$F$140)*BN26/100*Inputs!$F$138/BN11)</f>
        <v/>
      </c>
    </row>
    <row r="50">
      <c r="D50" t="inlineStr">
        <is>
          <t>Variable O&amp;M payment</t>
        </is>
      </c>
      <c r="E50" t="inlineStr">
        <is>
          <t>USD m</t>
        </is>
      </c>
      <c r="G50" s="13">
        <f>SUM(J50:BN50)</f>
        <v/>
      </c>
      <c r="J50" s="13">
        <f>J38*J49/1000000</f>
        <v/>
      </c>
      <c r="K50" s="13">
        <f>K38*K49/1000000</f>
        <v/>
      </c>
      <c r="L50" s="13">
        <f>L38*L49/1000000</f>
        <v/>
      </c>
      <c r="M50" s="13">
        <f>M38*M49/1000000</f>
        <v/>
      </c>
      <c r="N50" s="13">
        <f>N38*N49/1000000</f>
        <v/>
      </c>
      <c r="O50" s="13">
        <f>O38*O49/1000000</f>
        <v/>
      </c>
      <c r="P50" s="13">
        <f>P38*P49/1000000</f>
        <v/>
      </c>
      <c r="Q50" s="13">
        <f>Q38*Q49/1000000</f>
        <v/>
      </c>
      <c r="R50" s="13">
        <f>R38*R49/1000000</f>
        <v/>
      </c>
      <c r="S50" s="13">
        <f>S38*S49/1000000</f>
        <v/>
      </c>
      <c r="T50" s="13">
        <f>T38*T49/1000000</f>
        <v/>
      </c>
      <c r="U50" s="13">
        <f>U38*U49/1000000</f>
        <v/>
      </c>
      <c r="V50" s="13">
        <f>V38*V49/1000000</f>
        <v/>
      </c>
      <c r="W50" s="13">
        <f>W38*W49/1000000</f>
        <v/>
      </c>
      <c r="X50" s="13">
        <f>X38*X49/1000000</f>
        <v/>
      </c>
      <c r="Y50" s="13">
        <f>Y38*Y49/1000000</f>
        <v/>
      </c>
      <c r="Z50" s="13">
        <f>Z38*Z49/1000000</f>
        <v/>
      </c>
      <c r="AA50" s="13">
        <f>AA38*AA49/1000000</f>
        <v/>
      </c>
      <c r="AB50" s="13">
        <f>AB38*AB49/1000000</f>
        <v/>
      </c>
      <c r="AC50" s="13">
        <f>AC38*AC49/1000000</f>
        <v/>
      </c>
      <c r="AD50" s="13">
        <f>AD38*AD49/1000000</f>
        <v/>
      </c>
      <c r="AE50" s="13">
        <f>AE38*AE49/1000000</f>
        <v/>
      </c>
      <c r="AF50" s="13">
        <f>AF38*AF49/1000000</f>
        <v/>
      </c>
      <c r="AG50" s="13">
        <f>AG38*AG49/1000000</f>
        <v/>
      </c>
      <c r="AH50" s="13">
        <f>AH38*AH49/1000000</f>
        <v/>
      </c>
      <c r="AI50" s="13">
        <f>AI38*AI49/1000000</f>
        <v/>
      </c>
      <c r="AJ50" s="13">
        <f>AJ38*AJ49/1000000</f>
        <v/>
      </c>
      <c r="AK50" s="13">
        <f>AK38*AK49/1000000</f>
        <v/>
      </c>
      <c r="AL50" s="13">
        <f>AL38*AL49/1000000</f>
        <v/>
      </c>
      <c r="AM50" s="13">
        <f>AM38*AM49/1000000</f>
        <v/>
      </c>
      <c r="AN50" s="13">
        <f>AN38*AN49/1000000</f>
        <v/>
      </c>
      <c r="AO50" s="13">
        <f>AO38*AO49/1000000</f>
        <v/>
      </c>
      <c r="AP50" s="13">
        <f>AP38*AP49/1000000</f>
        <v/>
      </c>
      <c r="AQ50" s="13">
        <f>AQ38*AQ49/1000000</f>
        <v/>
      </c>
      <c r="AR50" s="13">
        <f>AR38*AR49/1000000</f>
        <v/>
      </c>
      <c r="AS50" s="13">
        <f>AS38*AS49/1000000</f>
        <v/>
      </c>
      <c r="AT50" s="13">
        <f>AT38*AT49/1000000</f>
        <v/>
      </c>
      <c r="AU50" s="13">
        <f>AU38*AU49/1000000</f>
        <v/>
      </c>
      <c r="AV50" s="13">
        <f>AV38*AV49/1000000</f>
        <v/>
      </c>
      <c r="AW50" s="13">
        <f>AW38*AW49/1000000</f>
        <v/>
      </c>
      <c r="AX50" s="13">
        <f>AX38*AX49/1000000</f>
        <v/>
      </c>
      <c r="AY50" s="13">
        <f>AY38*AY49/1000000</f>
        <v/>
      </c>
      <c r="AZ50" s="13">
        <f>AZ38*AZ49/1000000</f>
        <v/>
      </c>
      <c r="BA50" s="13">
        <f>BA38*BA49/1000000</f>
        <v/>
      </c>
      <c r="BB50" s="13">
        <f>BB38*BB49/1000000</f>
        <v/>
      </c>
      <c r="BC50" s="13">
        <f>BC38*BC49/1000000</f>
        <v/>
      </c>
      <c r="BD50" s="13">
        <f>BD38*BD49/1000000</f>
        <v/>
      </c>
      <c r="BE50" s="13">
        <f>BE38*BE49/1000000</f>
        <v/>
      </c>
      <c r="BF50" s="13">
        <f>BF38*BF49/1000000</f>
        <v/>
      </c>
      <c r="BG50" s="13">
        <f>BG38*BG49/1000000</f>
        <v/>
      </c>
      <c r="BH50" s="13">
        <f>BH38*BH49/1000000</f>
        <v/>
      </c>
      <c r="BI50" s="13">
        <f>BI38*BI49/1000000</f>
        <v/>
      </c>
      <c r="BJ50" s="13">
        <f>BJ38*BJ49/1000000</f>
        <v/>
      </c>
      <c r="BK50" s="13">
        <f>BK38*BK49/1000000</f>
        <v/>
      </c>
      <c r="BL50" s="13">
        <f>BL38*BL49/1000000</f>
        <v/>
      </c>
      <c r="BM50" s="13">
        <f>BM38*BM49/1000000</f>
        <v/>
      </c>
      <c r="BN50" s="13">
        <f>BN38*BN49/1000000</f>
        <v/>
      </c>
    </row>
    <row r="51">
      <c r="D51" t="inlineStr">
        <is>
          <t>Fuel charge (pass-through)</t>
        </is>
      </c>
      <c r="E51" t="inlineStr">
        <is>
          <t>USD m</t>
        </is>
      </c>
      <c r="G51" s="13">
        <f>SUM(J51:BN51)</f>
        <v/>
      </c>
      <c r="J51" s="13">
        <f>J38*J40*(1000*Inputs!$F$123/Inputs!$F$124)*J41/1000000</f>
        <v/>
      </c>
      <c r="K51" s="13">
        <f>K38*K40*(1000*Inputs!$F$123/Inputs!$F$124)*K41/1000000</f>
        <v/>
      </c>
      <c r="L51" s="13">
        <f>L38*L40*(1000*Inputs!$F$123/Inputs!$F$124)*L41/1000000</f>
        <v/>
      </c>
      <c r="M51" s="13">
        <f>M38*M40*(1000*Inputs!$F$123/Inputs!$F$124)*M41/1000000</f>
        <v/>
      </c>
      <c r="N51" s="13">
        <f>N38*N40*(1000*Inputs!$F$123/Inputs!$F$124)*N41/1000000</f>
        <v/>
      </c>
      <c r="O51" s="13">
        <f>O38*O40*(1000*Inputs!$F$123/Inputs!$F$124)*O41/1000000</f>
        <v/>
      </c>
      <c r="P51" s="13">
        <f>P38*P40*(1000*Inputs!$F$123/Inputs!$F$124)*P41/1000000</f>
        <v/>
      </c>
      <c r="Q51" s="13">
        <f>Q38*Q40*(1000*Inputs!$F$123/Inputs!$F$124)*Q41/1000000</f>
        <v/>
      </c>
      <c r="R51" s="13">
        <f>R38*R40*(1000*Inputs!$F$123/Inputs!$F$124)*R41/1000000</f>
        <v/>
      </c>
      <c r="S51" s="13">
        <f>S38*S40*(1000*Inputs!$F$123/Inputs!$F$124)*S41/1000000</f>
        <v/>
      </c>
      <c r="T51" s="13">
        <f>T38*T40*(1000*Inputs!$F$123/Inputs!$F$124)*T41/1000000</f>
        <v/>
      </c>
      <c r="U51" s="13">
        <f>U38*U40*(1000*Inputs!$F$123/Inputs!$F$124)*U41/1000000</f>
        <v/>
      </c>
      <c r="V51" s="13">
        <f>V38*V40*(1000*Inputs!$F$123/Inputs!$F$124)*V41/1000000</f>
        <v/>
      </c>
      <c r="W51" s="13">
        <f>W38*W40*(1000*Inputs!$F$123/Inputs!$F$124)*W41/1000000</f>
        <v/>
      </c>
      <c r="X51" s="13">
        <f>X38*X40*(1000*Inputs!$F$123/Inputs!$F$124)*X41/1000000</f>
        <v/>
      </c>
      <c r="Y51" s="13">
        <f>Y38*Y40*(1000*Inputs!$F$123/Inputs!$F$124)*Y41/1000000</f>
        <v/>
      </c>
      <c r="Z51" s="13">
        <f>Z38*Z40*(1000*Inputs!$F$123/Inputs!$F$124)*Z41/1000000</f>
        <v/>
      </c>
      <c r="AA51" s="13">
        <f>AA38*AA40*(1000*Inputs!$F$123/Inputs!$F$124)*AA41/1000000</f>
        <v/>
      </c>
      <c r="AB51" s="13">
        <f>AB38*AB40*(1000*Inputs!$F$123/Inputs!$F$124)*AB41/1000000</f>
        <v/>
      </c>
      <c r="AC51" s="13">
        <f>AC38*AC40*(1000*Inputs!$F$123/Inputs!$F$124)*AC41/1000000</f>
        <v/>
      </c>
      <c r="AD51" s="13">
        <f>AD38*AD40*(1000*Inputs!$F$123/Inputs!$F$124)*AD41/1000000</f>
        <v/>
      </c>
      <c r="AE51" s="13">
        <f>AE38*AE40*(1000*Inputs!$F$123/Inputs!$F$124)*AE41/1000000</f>
        <v/>
      </c>
      <c r="AF51" s="13">
        <f>AF38*AF40*(1000*Inputs!$F$123/Inputs!$F$124)*AF41/1000000</f>
        <v/>
      </c>
      <c r="AG51" s="13">
        <f>AG38*AG40*(1000*Inputs!$F$123/Inputs!$F$124)*AG41/1000000</f>
        <v/>
      </c>
      <c r="AH51" s="13">
        <f>AH38*AH40*(1000*Inputs!$F$123/Inputs!$F$124)*AH41/1000000</f>
        <v/>
      </c>
      <c r="AI51" s="13">
        <f>AI38*AI40*(1000*Inputs!$F$123/Inputs!$F$124)*AI41/1000000</f>
        <v/>
      </c>
      <c r="AJ51" s="13">
        <f>AJ38*AJ40*(1000*Inputs!$F$123/Inputs!$F$124)*AJ41/1000000</f>
        <v/>
      </c>
      <c r="AK51" s="13">
        <f>AK38*AK40*(1000*Inputs!$F$123/Inputs!$F$124)*AK41/1000000</f>
        <v/>
      </c>
      <c r="AL51" s="13">
        <f>AL38*AL40*(1000*Inputs!$F$123/Inputs!$F$124)*AL41/1000000</f>
        <v/>
      </c>
      <c r="AM51" s="13">
        <f>AM38*AM40*(1000*Inputs!$F$123/Inputs!$F$124)*AM41/1000000</f>
        <v/>
      </c>
      <c r="AN51" s="13">
        <f>AN38*AN40*(1000*Inputs!$F$123/Inputs!$F$124)*AN41/1000000</f>
        <v/>
      </c>
      <c r="AO51" s="13">
        <f>AO38*AO40*(1000*Inputs!$F$123/Inputs!$F$124)*AO41/1000000</f>
        <v/>
      </c>
      <c r="AP51" s="13">
        <f>AP38*AP40*(1000*Inputs!$F$123/Inputs!$F$124)*AP41/1000000</f>
        <v/>
      </c>
      <c r="AQ51" s="13">
        <f>AQ38*AQ40*(1000*Inputs!$F$123/Inputs!$F$124)*AQ41/1000000</f>
        <v/>
      </c>
      <c r="AR51" s="13">
        <f>AR38*AR40*(1000*Inputs!$F$123/Inputs!$F$124)*AR41/1000000</f>
        <v/>
      </c>
      <c r="AS51" s="13">
        <f>AS38*AS40*(1000*Inputs!$F$123/Inputs!$F$124)*AS41/1000000</f>
        <v/>
      </c>
      <c r="AT51" s="13">
        <f>AT38*AT40*(1000*Inputs!$F$123/Inputs!$F$124)*AT41/1000000</f>
        <v/>
      </c>
      <c r="AU51" s="13">
        <f>AU38*AU40*(1000*Inputs!$F$123/Inputs!$F$124)*AU41/1000000</f>
        <v/>
      </c>
      <c r="AV51" s="13">
        <f>AV38*AV40*(1000*Inputs!$F$123/Inputs!$F$124)*AV41/1000000</f>
        <v/>
      </c>
      <c r="AW51" s="13">
        <f>AW38*AW40*(1000*Inputs!$F$123/Inputs!$F$124)*AW41/1000000</f>
        <v/>
      </c>
      <c r="AX51" s="13">
        <f>AX38*AX40*(1000*Inputs!$F$123/Inputs!$F$124)*AX41/1000000</f>
        <v/>
      </c>
      <c r="AY51" s="13">
        <f>AY38*AY40*(1000*Inputs!$F$123/Inputs!$F$124)*AY41/1000000</f>
        <v/>
      </c>
      <c r="AZ51" s="13">
        <f>AZ38*AZ40*(1000*Inputs!$F$123/Inputs!$F$124)*AZ41/1000000</f>
        <v/>
      </c>
      <c r="BA51" s="13">
        <f>BA38*BA40*(1000*Inputs!$F$123/Inputs!$F$124)*BA41/1000000</f>
        <v/>
      </c>
      <c r="BB51" s="13">
        <f>BB38*BB40*(1000*Inputs!$F$123/Inputs!$F$124)*BB41/1000000</f>
        <v/>
      </c>
      <c r="BC51" s="13">
        <f>BC38*BC40*(1000*Inputs!$F$123/Inputs!$F$124)*BC41/1000000</f>
        <v/>
      </c>
      <c r="BD51" s="13">
        <f>BD38*BD40*(1000*Inputs!$F$123/Inputs!$F$124)*BD41/1000000</f>
        <v/>
      </c>
      <c r="BE51" s="13">
        <f>BE38*BE40*(1000*Inputs!$F$123/Inputs!$F$124)*BE41/1000000</f>
        <v/>
      </c>
      <c r="BF51" s="13">
        <f>BF38*BF40*(1000*Inputs!$F$123/Inputs!$F$124)*BF41/1000000</f>
        <v/>
      </c>
      <c r="BG51" s="13">
        <f>BG38*BG40*(1000*Inputs!$F$123/Inputs!$F$124)*BG41/1000000</f>
        <v/>
      </c>
      <c r="BH51" s="13">
        <f>BH38*BH40*(1000*Inputs!$F$123/Inputs!$F$124)*BH41/1000000</f>
        <v/>
      </c>
      <c r="BI51" s="13">
        <f>BI38*BI40*(1000*Inputs!$F$123/Inputs!$F$124)*BI41/1000000</f>
        <v/>
      </c>
      <c r="BJ51" s="13">
        <f>BJ38*BJ40*(1000*Inputs!$F$123/Inputs!$F$124)*BJ41/1000000</f>
        <v/>
      </c>
      <c r="BK51" s="13">
        <f>BK38*BK40*(1000*Inputs!$F$123/Inputs!$F$124)*BK41/1000000</f>
        <v/>
      </c>
      <c r="BL51" s="13">
        <f>BL38*BL40*(1000*Inputs!$F$123/Inputs!$F$124)*BL41/1000000</f>
        <v/>
      </c>
      <c r="BM51" s="13">
        <f>BM38*BM40*(1000*Inputs!$F$123/Inputs!$F$124)*BM41/1000000</f>
        <v/>
      </c>
      <c r="BN51" s="13">
        <f>BN38*BN40*(1000*Inputs!$F$123/Inputs!$F$124)*BN41/1000000</f>
        <v/>
      </c>
    </row>
    <row r="52">
      <c r="D52" t="inlineStr">
        <is>
          <t>GTA reservation charge (pass-through)</t>
        </is>
      </c>
      <c r="E52" t="inlineStr">
        <is>
          <t>USD m</t>
        </is>
      </c>
      <c r="G52" s="13">
        <f>SUM(J52:BN52)</f>
        <v/>
      </c>
      <c r="J52" s="13">
        <f>Inputs!$F$146*Time!J31*Inputs!$F$147*(1+Inputs!$F$149/100)^(Time!J26-Inputs!$F$256)/1000000</f>
        <v/>
      </c>
      <c r="K52" s="13">
        <f>Inputs!$F$146*Time!K31*Inputs!$F$147*(1+Inputs!$F$149/100)^(Time!K26-Inputs!$F$256)/1000000</f>
        <v/>
      </c>
      <c r="L52" s="13">
        <f>Inputs!$F$146*Time!L31*Inputs!$F$147*(1+Inputs!$F$149/100)^(Time!L26-Inputs!$F$256)/1000000</f>
        <v/>
      </c>
      <c r="M52" s="13">
        <f>Inputs!$F$146*Time!M31*Inputs!$F$147*(1+Inputs!$F$149/100)^(Time!M26-Inputs!$F$256)/1000000</f>
        <v/>
      </c>
      <c r="N52" s="13">
        <f>Inputs!$F$146*Time!N31*Inputs!$F$147*(1+Inputs!$F$149/100)^(Time!N26-Inputs!$F$256)/1000000</f>
        <v/>
      </c>
      <c r="O52" s="13">
        <f>Inputs!$F$146*Time!O31*Inputs!$F$147*(1+Inputs!$F$149/100)^(Time!O26-Inputs!$F$256)/1000000</f>
        <v/>
      </c>
      <c r="P52" s="13">
        <f>Inputs!$F$146*Time!P31*Inputs!$F$147*(1+Inputs!$F$149/100)^(Time!P26-Inputs!$F$256)/1000000</f>
        <v/>
      </c>
      <c r="Q52" s="13">
        <f>Inputs!$F$146*Time!Q31*Inputs!$F$147*(1+Inputs!$F$149/100)^(Time!Q26-Inputs!$F$256)/1000000</f>
        <v/>
      </c>
      <c r="R52" s="13">
        <f>Inputs!$F$146*Time!R31*Inputs!$F$147*(1+Inputs!$F$149/100)^(Time!R26-Inputs!$F$256)/1000000</f>
        <v/>
      </c>
      <c r="S52" s="13">
        <f>Inputs!$F$146*Time!S31*Inputs!$F$147*(1+Inputs!$F$149/100)^(Time!S26-Inputs!$F$256)/1000000</f>
        <v/>
      </c>
      <c r="T52" s="13">
        <f>Inputs!$F$146*Time!T31*Inputs!$F$147*(1+Inputs!$F$149/100)^(Time!T26-Inputs!$F$256)/1000000</f>
        <v/>
      </c>
      <c r="U52" s="13">
        <f>Inputs!$F$146*Time!U31*Inputs!$F$147*(1+Inputs!$F$149/100)^(Time!U26-Inputs!$F$256)/1000000</f>
        <v/>
      </c>
      <c r="V52" s="13">
        <f>Inputs!$F$146*Time!V31*Inputs!$F$147*(1+Inputs!$F$149/100)^(Time!V26-Inputs!$F$256)/1000000</f>
        <v/>
      </c>
      <c r="W52" s="13">
        <f>Inputs!$F$146*Time!W31*Inputs!$F$147*(1+Inputs!$F$149/100)^(Time!W26-Inputs!$F$256)/1000000</f>
        <v/>
      </c>
      <c r="X52" s="13">
        <f>Inputs!$F$146*Time!X31*Inputs!$F$147*(1+Inputs!$F$149/100)^(Time!X26-Inputs!$F$256)/1000000</f>
        <v/>
      </c>
      <c r="Y52" s="13">
        <f>Inputs!$F$146*Time!Y31*Inputs!$F$147*(1+Inputs!$F$149/100)^(Time!Y26-Inputs!$F$256)/1000000</f>
        <v/>
      </c>
      <c r="Z52" s="13">
        <f>Inputs!$F$146*Time!Z31*Inputs!$F$147*(1+Inputs!$F$149/100)^(Time!Z26-Inputs!$F$256)/1000000</f>
        <v/>
      </c>
      <c r="AA52" s="13">
        <f>Inputs!$F$146*Time!AA31*Inputs!$F$147*(1+Inputs!$F$149/100)^(Time!AA26-Inputs!$F$256)/1000000</f>
        <v/>
      </c>
      <c r="AB52" s="13">
        <f>Inputs!$F$146*Time!AB31*Inputs!$F$147*(1+Inputs!$F$149/100)^(Time!AB26-Inputs!$F$256)/1000000</f>
        <v/>
      </c>
      <c r="AC52" s="13">
        <f>Inputs!$F$146*Time!AC31*Inputs!$F$147*(1+Inputs!$F$149/100)^(Time!AC26-Inputs!$F$256)/1000000</f>
        <v/>
      </c>
      <c r="AD52" s="13">
        <f>Inputs!$F$146*Time!AD31*Inputs!$F$147*(1+Inputs!$F$149/100)^(Time!AD26-Inputs!$F$256)/1000000</f>
        <v/>
      </c>
      <c r="AE52" s="13">
        <f>Inputs!$F$146*Time!AE31*Inputs!$F$147*(1+Inputs!$F$149/100)^(Time!AE26-Inputs!$F$256)/1000000</f>
        <v/>
      </c>
      <c r="AF52" s="13">
        <f>Inputs!$F$146*Time!AF31*Inputs!$F$147*(1+Inputs!$F$149/100)^(Time!AF26-Inputs!$F$256)/1000000</f>
        <v/>
      </c>
      <c r="AG52" s="13">
        <f>Inputs!$F$146*Time!AG31*Inputs!$F$147*(1+Inputs!$F$149/100)^(Time!AG26-Inputs!$F$256)/1000000</f>
        <v/>
      </c>
      <c r="AH52" s="13">
        <f>Inputs!$F$146*Time!AH31*Inputs!$F$147*(1+Inputs!$F$149/100)^(Time!AH26-Inputs!$F$256)/1000000</f>
        <v/>
      </c>
      <c r="AI52" s="13">
        <f>Inputs!$F$146*Time!AI31*Inputs!$F$147*(1+Inputs!$F$149/100)^(Time!AI26-Inputs!$F$256)/1000000</f>
        <v/>
      </c>
      <c r="AJ52" s="13">
        <f>Inputs!$F$146*Time!AJ31*Inputs!$F$147*(1+Inputs!$F$149/100)^(Time!AJ26-Inputs!$F$256)/1000000</f>
        <v/>
      </c>
      <c r="AK52" s="13">
        <f>Inputs!$F$146*Time!AK31*Inputs!$F$147*(1+Inputs!$F$149/100)^(Time!AK26-Inputs!$F$256)/1000000</f>
        <v/>
      </c>
      <c r="AL52" s="13">
        <f>Inputs!$F$146*Time!AL31*Inputs!$F$147*(1+Inputs!$F$149/100)^(Time!AL26-Inputs!$F$256)/1000000</f>
        <v/>
      </c>
      <c r="AM52" s="13">
        <f>Inputs!$F$146*Time!AM31*Inputs!$F$147*(1+Inputs!$F$149/100)^(Time!AM26-Inputs!$F$256)/1000000</f>
        <v/>
      </c>
      <c r="AN52" s="13">
        <f>Inputs!$F$146*Time!AN31*Inputs!$F$147*(1+Inputs!$F$149/100)^(Time!AN26-Inputs!$F$256)/1000000</f>
        <v/>
      </c>
      <c r="AO52" s="13">
        <f>Inputs!$F$146*Time!AO31*Inputs!$F$147*(1+Inputs!$F$149/100)^(Time!AO26-Inputs!$F$256)/1000000</f>
        <v/>
      </c>
      <c r="AP52" s="13">
        <f>Inputs!$F$146*Time!AP31*Inputs!$F$147*(1+Inputs!$F$149/100)^(Time!AP26-Inputs!$F$256)/1000000</f>
        <v/>
      </c>
      <c r="AQ52" s="13">
        <f>Inputs!$F$146*Time!AQ31*Inputs!$F$147*(1+Inputs!$F$149/100)^(Time!AQ26-Inputs!$F$256)/1000000</f>
        <v/>
      </c>
      <c r="AR52" s="13">
        <f>Inputs!$F$146*Time!AR31*Inputs!$F$147*(1+Inputs!$F$149/100)^(Time!AR26-Inputs!$F$256)/1000000</f>
        <v/>
      </c>
      <c r="AS52" s="13">
        <f>Inputs!$F$146*Time!AS31*Inputs!$F$147*(1+Inputs!$F$149/100)^(Time!AS26-Inputs!$F$256)/1000000</f>
        <v/>
      </c>
      <c r="AT52" s="13">
        <f>Inputs!$F$146*Time!AT31*Inputs!$F$147*(1+Inputs!$F$149/100)^(Time!AT26-Inputs!$F$256)/1000000</f>
        <v/>
      </c>
      <c r="AU52" s="13">
        <f>Inputs!$F$146*Time!AU31*Inputs!$F$147*(1+Inputs!$F$149/100)^(Time!AU26-Inputs!$F$256)/1000000</f>
        <v/>
      </c>
      <c r="AV52" s="13">
        <f>Inputs!$F$146*Time!AV31*Inputs!$F$147*(1+Inputs!$F$149/100)^(Time!AV26-Inputs!$F$256)/1000000</f>
        <v/>
      </c>
      <c r="AW52" s="13">
        <f>Inputs!$F$146*Time!AW31*Inputs!$F$147*(1+Inputs!$F$149/100)^(Time!AW26-Inputs!$F$256)/1000000</f>
        <v/>
      </c>
      <c r="AX52" s="13">
        <f>Inputs!$F$146*Time!AX31*Inputs!$F$147*(1+Inputs!$F$149/100)^(Time!AX26-Inputs!$F$256)/1000000</f>
        <v/>
      </c>
      <c r="AY52" s="13">
        <f>Inputs!$F$146*Time!AY31*Inputs!$F$147*(1+Inputs!$F$149/100)^(Time!AY26-Inputs!$F$256)/1000000</f>
        <v/>
      </c>
      <c r="AZ52" s="13">
        <f>Inputs!$F$146*Time!AZ31*Inputs!$F$147*(1+Inputs!$F$149/100)^(Time!AZ26-Inputs!$F$256)/1000000</f>
        <v/>
      </c>
      <c r="BA52" s="13">
        <f>Inputs!$F$146*Time!BA31*Inputs!$F$147*(1+Inputs!$F$149/100)^(Time!BA26-Inputs!$F$256)/1000000</f>
        <v/>
      </c>
      <c r="BB52" s="13">
        <f>Inputs!$F$146*Time!BB31*Inputs!$F$147*(1+Inputs!$F$149/100)^(Time!BB26-Inputs!$F$256)/1000000</f>
        <v/>
      </c>
      <c r="BC52" s="13">
        <f>Inputs!$F$146*Time!BC31*Inputs!$F$147*(1+Inputs!$F$149/100)^(Time!BC26-Inputs!$F$256)/1000000</f>
        <v/>
      </c>
      <c r="BD52" s="13">
        <f>Inputs!$F$146*Time!BD31*Inputs!$F$147*(1+Inputs!$F$149/100)^(Time!BD26-Inputs!$F$256)/1000000</f>
        <v/>
      </c>
      <c r="BE52" s="13">
        <f>Inputs!$F$146*Time!BE31*Inputs!$F$147*(1+Inputs!$F$149/100)^(Time!BE26-Inputs!$F$256)/1000000</f>
        <v/>
      </c>
      <c r="BF52" s="13">
        <f>Inputs!$F$146*Time!BF31*Inputs!$F$147*(1+Inputs!$F$149/100)^(Time!BF26-Inputs!$F$256)/1000000</f>
        <v/>
      </c>
      <c r="BG52" s="13">
        <f>Inputs!$F$146*Time!BG31*Inputs!$F$147*(1+Inputs!$F$149/100)^(Time!BG26-Inputs!$F$256)/1000000</f>
        <v/>
      </c>
      <c r="BH52" s="13">
        <f>Inputs!$F$146*Time!BH31*Inputs!$F$147*(1+Inputs!$F$149/100)^(Time!BH26-Inputs!$F$256)/1000000</f>
        <v/>
      </c>
      <c r="BI52" s="13">
        <f>Inputs!$F$146*Time!BI31*Inputs!$F$147*(1+Inputs!$F$149/100)^(Time!BI26-Inputs!$F$256)/1000000</f>
        <v/>
      </c>
      <c r="BJ52" s="13">
        <f>Inputs!$F$146*Time!BJ31*Inputs!$F$147*(1+Inputs!$F$149/100)^(Time!BJ26-Inputs!$F$256)/1000000</f>
        <v/>
      </c>
      <c r="BK52" s="13">
        <f>Inputs!$F$146*Time!BK31*Inputs!$F$147*(1+Inputs!$F$149/100)^(Time!BK26-Inputs!$F$256)/1000000</f>
        <v/>
      </c>
      <c r="BL52" s="13">
        <f>Inputs!$F$146*Time!BL31*Inputs!$F$147*(1+Inputs!$F$149/100)^(Time!BL26-Inputs!$F$256)/1000000</f>
        <v/>
      </c>
      <c r="BM52" s="13">
        <f>Inputs!$F$146*Time!BM31*Inputs!$F$147*(1+Inputs!$F$149/100)^(Time!BM26-Inputs!$F$256)/1000000</f>
        <v/>
      </c>
      <c r="BN52" s="13">
        <f>Inputs!$F$146*Time!BN31*Inputs!$F$147*(1+Inputs!$F$149/100)^(Time!BN26-Inputs!$F$256)/1000000</f>
        <v/>
      </c>
    </row>
    <row r="53">
      <c r="D53" t="inlineStr">
        <is>
          <t>GTA commodity charge (pass-through)</t>
        </is>
      </c>
      <c r="E53" t="inlineStr">
        <is>
          <t>USD m</t>
        </is>
      </c>
      <c r="G53" s="13">
        <f>SUM(J53:BN53)</f>
        <v/>
      </c>
      <c r="J53" s="13">
        <f>J42*Inputs!$F$148*(1+Inputs!$F$149/100)^(Time!J26-Inputs!$F$256)/1000000</f>
        <v/>
      </c>
      <c r="K53" s="13">
        <f>K42*Inputs!$F$148*(1+Inputs!$F$149/100)^(Time!K26-Inputs!$F$256)/1000000</f>
        <v/>
      </c>
      <c r="L53" s="13">
        <f>L42*Inputs!$F$148*(1+Inputs!$F$149/100)^(Time!L26-Inputs!$F$256)/1000000</f>
        <v/>
      </c>
      <c r="M53" s="13">
        <f>M42*Inputs!$F$148*(1+Inputs!$F$149/100)^(Time!M26-Inputs!$F$256)/1000000</f>
        <v/>
      </c>
      <c r="N53" s="13">
        <f>N42*Inputs!$F$148*(1+Inputs!$F$149/100)^(Time!N26-Inputs!$F$256)/1000000</f>
        <v/>
      </c>
      <c r="O53" s="13">
        <f>O42*Inputs!$F$148*(1+Inputs!$F$149/100)^(Time!O26-Inputs!$F$256)/1000000</f>
        <v/>
      </c>
      <c r="P53" s="13">
        <f>P42*Inputs!$F$148*(1+Inputs!$F$149/100)^(Time!P26-Inputs!$F$256)/1000000</f>
        <v/>
      </c>
      <c r="Q53" s="13">
        <f>Q42*Inputs!$F$148*(1+Inputs!$F$149/100)^(Time!Q26-Inputs!$F$256)/1000000</f>
        <v/>
      </c>
      <c r="R53" s="13">
        <f>R42*Inputs!$F$148*(1+Inputs!$F$149/100)^(Time!R26-Inputs!$F$256)/1000000</f>
        <v/>
      </c>
      <c r="S53" s="13">
        <f>S42*Inputs!$F$148*(1+Inputs!$F$149/100)^(Time!S26-Inputs!$F$256)/1000000</f>
        <v/>
      </c>
      <c r="T53" s="13">
        <f>T42*Inputs!$F$148*(1+Inputs!$F$149/100)^(Time!T26-Inputs!$F$256)/1000000</f>
        <v/>
      </c>
      <c r="U53" s="13">
        <f>U42*Inputs!$F$148*(1+Inputs!$F$149/100)^(Time!U26-Inputs!$F$256)/1000000</f>
        <v/>
      </c>
      <c r="V53" s="13">
        <f>V42*Inputs!$F$148*(1+Inputs!$F$149/100)^(Time!V26-Inputs!$F$256)/1000000</f>
        <v/>
      </c>
      <c r="W53" s="13">
        <f>W42*Inputs!$F$148*(1+Inputs!$F$149/100)^(Time!W26-Inputs!$F$256)/1000000</f>
        <v/>
      </c>
      <c r="X53" s="13">
        <f>X42*Inputs!$F$148*(1+Inputs!$F$149/100)^(Time!X26-Inputs!$F$256)/1000000</f>
        <v/>
      </c>
      <c r="Y53" s="13">
        <f>Y42*Inputs!$F$148*(1+Inputs!$F$149/100)^(Time!Y26-Inputs!$F$256)/1000000</f>
        <v/>
      </c>
      <c r="Z53" s="13">
        <f>Z42*Inputs!$F$148*(1+Inputs!$F$149/100)^(Time!Z26-Inputs!$F$256)/1000000</f>
        <v/>
      </c>
      <c r="AA53" s="13">
        <f>AA42*Inputs!$F$148*(1+Inputs!$F$149/100)^(Time!AA26-Inputs!$F$256)/1000000</f>
        <v/>
      </c>
      <c r="AB53" s="13">
        <f>AB42*Inputs!$F$148*(1+Inputs!$F$149/100)^(Time!AB26-Inputs!$F$256)/1000000</f>
        <v/>
      </c>
      <c r="AC53" s="13">
        <f>AC42*Inputs!$F$148*(1+Inputs!$F$149/100)^(Time!AC26-Inputs!$F$256)/1000000</f>
        <v/>
      </c>
      <c r="AD53" s="13">
        <f>AD42*Inputs!$F$148*(1+Inputs!$F$149/100)^(Time!AD26-Inputs!$F$256)/1000000</f>
        <v/>
      </c>
      <c r="AE53" s="13">
        <f>AE42*Inputs!$F$148*(1+Inputs!$F$149/100)^(Time!AE26-Inputs!$F$256)/1000000</f>
        <v/>
      </c>
      <c r="AF53" s="13">
        <f>AF42*Inputs!$F$148*(1+Inputs!$F$149/100)^(Time!AF26-Inputs!$F$256)/1000000</f>
        <v/>
      </c>
      <c r="AG53" s="13">
        <f>AG42*Inputs!$F$148*(1+Inputs!$F$149/100)^(Time!AG26-Inputs!$F$256)/1000000</f>
        <v/>
      </c>
      <c r="AH53" s="13">
        <f>AH42*Inputs!$F$148*(1+Inputs!$F$149/100)^(Time!AH26-Inputs!$F$256)/1000000</f>
        <v/>
      </c>
      <c r="AI53" s="13">
        <f>AI42*Inputs!$F$148*(1+Inputs!$F$149/100)^(Time!AI26-Inputs!$F$256)/1000000</f>
        <v/>
      </c>
      <c r="AJ53" s="13">
        <f>AJ42*Inputs!$F$148*(1+Inputs!$F$149/100)^(Time!AJ26-Inputs!$F$256)/1000000</f>
        <v/>
      </c>
      <c r="AK53" s="13">
        <f>AK42*Inputs!$F$148*(1+Inputs!$F$149/100)^(Time!AK26-Inputs!$F$256)/1000000</f>
        <v/>
      </c>
      <c r="AL53" s="13">
        <f>AL42*Inputs!$F$148*(1+Inputs!$F$149/100)^(Time!AL26-Inputs!$F$256)/1000000</f>
        <v/>
      </c>
      <c r="AM53" s="13">
        <f>AM42*Inputs!$F$148*(1+Inputs!$F$149/100)^(Time!AM26-Inputs!$F$256)/1000000</f>
        <v/>
      </c>
      <c r="AN53" s="13">
        <f>AN42*Inputs!$F$148*(1+Inputs!$F$149/100)^(Time!AN26-Inputs!$F$256)/1000000</f>
        <v/>
      </c>
      <c r="AO53" s="13">
        <f>AO42*Inputs!$F$148*(1+Inputs!$F$149/100)^(Time!AO26-Inputs!$F$256)/1000000</f>
        <v/>
      </c>
      <c r="AP53" s="13">
        <f>AP42*Inputs!$F$148*(1+Inputs!$F$149/100)^(Time!AP26-Inputs!$F$256)/1000000</f>
        <v/>
      </c>
      <c r="AQ53" s="13">
        <f>AQ42*Inputs!$F$148*(1+Inputs!$F$149/100)^(Time!AQ26-Inputs!$F$256)/1000000</f>
        <v/>
      </c>
      <c r="AR53" s="13">
        <f>AR42*Inputs!$F$148*(1+Inputs!$F$149/100)^(Time!AR26-Inputs!$F$256)/1000000</f>
        <v/>
      </c>
      <c r="AS53" s="13">
        <f>AS42*Inputs!$F$148*(1+Inputs!$F$149/100)^(Time!AS26-Inputs!$F$256)/1000000</f>
        <v/>
      </c>
      <c r="AT53" s="13">
        <f>AT42*Inputs!$F$148*(1+Inputs!$F$149/100)^(Time!AT26-Inputs!$F$256)/1000000</f>
        <v/>
      </c>
      <c r="AU53" s="13">
        <f>AU42*Inputs!$F$148*(1+Inputs!$F$149/100)^(Time!AU26-Inputs!$F$256)/1000000</f>
        <v/>
      </c>
      <c r="AV53" s="13">
        <f>AV42*Inputs!$F$148*(1+Inputs!$F$149/100)^(Time!AV26-Inputs!$F$256)/1000000</f>
        <v/>
      </c>
      <c r="AW53" s="13">
        <f>AW42*Inputs!$F$148*(1+Inputs!$F$149/100)^(Time!AW26-Inputs!$F$256)/1000000</f>
        <v/>
      </c>
      <c r="AX53" s="13">
        <f>AX42*Inputs!$F$148*(1+Inputs!$F$149/100)^(Time!AX26-Inputs!$F$256)/1000000</f>
        <v/>
      </c>
      <c r="AY53" s="13">
        <f>AY42*Inputs!$F$148*(1+Inputs!$F$149/100)^(Time!AY26-Inputs!$F$256)/1000000</f>
        <v/>
      </c>
      <c r="AZ53" s="13">
        <f>AZ42*Inputs!$F$148*(1+Inputs!$F$149/100)^(Time!AZ26-Inputs!$F$256)/1000000</f>
        <v/>
      </c>
      <c r="BA53" s="13">
        <f>BA42*Inputs!$F$148*(1+Inputs!$F$149/100)^(Time!BA26-Inputs!$F$256)/1000000</f>
        <v/>
      </c>
      <c r="BB53" s="13">
        <f>BB42*Inputs!$F$148*(1+Inputs!$F$149/100)^(Time!BB26-Inputs!$F$256)/1000000</f>
        <v/>
      </c>
      <c r="BC53" s="13">
        <f>BC42*Inputs!$F$148*(1+Inputs!$F$149/100)^(Time!BC26-Inputs!$F$256)/1000000</f>
        <v/>
      </c>
      <c r="BD53" s="13">
        <f>BD42*Inputs!$F$148*(1+Inputs!$F$149/100)^(Time!BD26-Inputs!$F$256)/1000000</f>
        <v/>
      </c>
      <c r="BE53" s="13">
        <f>BE42*Inputs!$F$148*(1+Inputs!$F$149/100)^(Time!BE26-Inputs!$F$256)/1000000</f>
        <v/>
      </c>
      <c r="BF53" s="13">
        <f>BF42*Inputs!$F$148*(1+Inputs!$F$149/100)^(Time!BF26-Inputs!$F$256)/1000000</f>
        <v/>
      </c>
      <c r="BG53" s="13">
        <f>BG42*Inputs!$F$148*(1+Inputs!$F$149/100)^(Time!BG26-Inputs!$F$256)/1000000</f>
        <v/>
      </c>
      <c r="BH53" s="13">
        <f>BH42*Inputs!$F$148*(1+Inputs!$F$149/100)^(Time!BH26-Inputs!$F$256)/1000000</f>
        <v/>
      </c>
      <c r="BI53" s="13">
        <f>BI42*Inputs!$F$148*(1+Inputs!$F$149/100)^(Time!BI26-Inputs!$F$256)/1000000</f>
        <v/>
      </c>
      <c r="BJ53" s="13">
        <f>BJ42*Inputs!$F$148*(1+Inputs!$F$149/100)^(Time!BJ26-Inputs!$F$256)/1000000</f>
        <v/>
      </c>
      <c r="BK53" s="13">
        <f>BK42*Inputs!$F$148*(1+Inputs!$F$149/100)^(Time!BK26-Inputs!$F$256)/1000000</f>
        <v/>
      </c>
      <c r="BL53" s="13">
        <f>BL42*Inputs!$F$148*(1+Inputs!$F$149/100)^(Time!BL26-Inputs!$F$256)/1000000</f>
        <v/>
      </c>
      <c r="BM53" s="13">
        <f>BM42*Inputs!$F$148*(1+Inputs!$F$149/100)^(Time!BM26-Inputs!$F$256)/1000000</f>
        <v/>
      </c>
      <c r="BN53" s="13">
        <f>BN42*Inputs!$F$148*(1+Inputs!$F$149/100)^(Time!BN26-Inputs!$F$256)/1000000</f>
        <v/>
      </c>
    </row>
    <row r="54">
      <c r="D54" t="inlineStr">
        <is>
          <t>Take-or-pay payment (pass-through)</t>
        </is>
      </c>
      <c r="E54" t="inlineStr">
        <is>
          <t>USD m</t>
        </is>
      </c>
      <c r="G54" s="13">
        <f>SUM(J54:BN54)</f>
        <v/>
      </c>
      <c r="J54" s="13">
        <f>MAX(0,J43-J42)*J41/1000000</f>
        <v/>
      </c>
      <c r="K54" s="13">
        <f>MAX(0,K43-K42)*K41/1000000</f>
        <v/>
      </c>
      <c r="L54" s="13">
        <f>MAX(0,L43-L42)*L41/1000000</f>
        <v/>
      </c>
      <c r="M54" s="13">
        <f>MAX(0,M43-M42)*M41/1000000</f>
        <v/>
      </c>
      <c r="N54" s="13">
        <f>MAX(0,N43-N42)*N41/1000000</f>
        <v/>
      </c>
      <c r="O54" s="13">
        <f>MAX(0,O43-O42)*O41/1000000</f>
        <v/>
      </c>
      <c r="P54" s="13">
        <f>MAX(0,P43-P42)*P41/1000000</f>
        <v/>
      </c>
      <c r="Q54" s="13">
        <f>MAX(0,Q43-Q42)*Q41/1000000</f>
        <v/>
      </c>
      <c r="R54" s="13">
        <f>MAX(0,R43-R42)*R41/1000000</f>
        <v/>
      </c>
      <c r="S54" s="13">
        <f>MAX(0,S43-S42)*S41/1000000</f>
        <v/>
      </c>
      <c r="T54" s="13">
        <f>MAX(0,T43-T42)*T41/1000000</f>
        <v/>
      </c>
      <c r="U54" s="13">
        <f>MAX(0,U43-U42)*U41/1000000</f>
        <v/>
      </c>
      <c r="V54" s="13">
        <f>MAX(0,V43-V42)*V41/1000000</f>
        <v/>
      </c>
      <c r="W54" s="13">
        <f>MAX(0,W43-W42)*W41/1000000</f>
        <v/>
      </c>
      <c r="X54" s="13">
        <f>MAX(0,X43-X42)*X41/1000000</f>
        <v/>
      </c>
      <c r="Y54" s="13">
        <f>MAX(0,Y43-Y42)*Y41/1000000</f>
        <v/>
      </c>
      <c r="Z54" s="13">
        <f>MAX(0,Z43-Z42)*Z41/1000000</f>
        <v/>
      </c>
      <c r="AA54" s="13">
        <f>MAX(0,AA43-AA42)*AA41/1000000</f>
        <v/>
      </c>
      <c r="AB54" s="13">
        <f>MAX(0,AB43-AB42)*AB41/1000000</f>
        <v/>
      </c>
      <c r="AC54" s="13">
        <f>MAX(0,AC43-AC42)*AC41/1000000</f>
        <v/>
      </c>
      <c r="AD54" s="13">
        <f>MAX(0,AD43-AD42)*AD41/1000000</f>
        <v/>
      </c>
      <c r="AE54" s="13">
        <f>MAX(0,AE43-AE42)*AE41/1000000</f>
        <v/>
      </c>
      <c r="AF54" s="13">
        <f>MAX(0,AF43-AF42)*AF41/1000000</f>
        <v/>
      </c>
      <c r="AG54" s="13">
        <f>MAX(0,AG43-AG42)*AG41/1000000</f>
        <v/>
      </c>
      <c r="AH54" s="13">
        <f>MAX(0,AH43-AH42)*AH41/1000000</f>
        <v/>
      </c>
      <c r="AI54" s="13">
        <f>MAX(0,AI43-AI42)*AI41/1000000</f>
        <v/>
      </c>
      <c r="AJ54" s="13">
        <f>MAX(0,AJ43-AJ42)*AJ41/1000000</f>
        <v/>
      </c>
      <c r="AK54" s="13">
        <f>MAX(0,AK43-AK42)*AK41/1000000</f>
        <v/>
      </c>
      <c r="AL54" s="13">
        <f>MAX(0,AL43-AL42)*AL41/1000000</f>
        <v/>
      </c>
      <c r="AM54" s="13">
        <f>MAX(0,AM43-AM42)*AM41/1000000</f>
        <v/>
      </c>
      <c r="AN54" s="13">
        <f>MAX(0,AN43-AN42)*AN41/1000000</f>
        <v/>
      </c>
      <c r="AO54" s="13">
        <f>MAX(0,AO43-AO42)*AO41/1000000</f>
        <v/>
      </c>
      <c r="AP54" s="13">
        <f>MAX(0,AP43-AP42)*AP41/1000000</f>
        <v/>
      </c>
      <c r="AQ54" s="13">
        <f>MAX(0,AQ43-AQ42)*AQ41/1000000</f>
        <v/>
      </c>
      <c r="AR54" s="13">
        <f>MAX(0,AR43-AR42)*AR41/1000000</f>
        <v/>
      </c>
      <c r="AS54" s="13">
        <f>MAX(0,AS43-AS42)*AS41/1000000</f>
        <v/>
      </c>
      <c r="AT54" s="13">
        <f>MAX(0,AT43-AT42)*AT41/1000000</f>
        <v/>
      </c>
      <c r="AU54" s="13">
        <f>MAX(0,AU43-AU42)*AU41/1000000</f>
        <v/>
      </c>
      <c r="AV54" s="13">
        <f>MAX(0,AV43-AV42)*AV41/1000000</f>
        <v/>
      </c>
      <c r="AW54" s="13">
        <f>MAX(0,AW43-AW42)*AW41/1000000</f>
        <v/>
      </c>
      <c r="AX54" s="13">
        <f>MAX(0,AX43-AX42)*AX41/1000000</f>
        <v/>
      </c>
      <c r="AY54" s="13">
        <f>MAX(0,AY43-AY42)*AY41/1000000</f>
        <v/>
      </c>
      <c r="AZ54" s="13">
        <f>MAX(0,AZ43-AZ42)*AZ41/1000000</f>
        <v/>
      </c>
      <c r="BA54" s="13">
        <f>MAX(0,BA43-BA42)*BA41/1000000</f>
        <v/>
      </c>
      <c r="BB54" s="13">
        <f>MAX(0,BB43-BB42)*BB41/1000000</f>
        <v/>
      </c>
      <c r="BC54" s="13">
        <f>MAX(0,BC43-BC42)*BC41/1000000</f>
        <v/>
      </c>
      <c r="BD54" s="13">
        <f>MAX(0,BD43-BD42)*BD41/1000000</f>
        <v/>
      </c>
      <c r="BE54" s="13">
        <f>MAX(0,BE43-BE42)*BE41/1000000</f>
        <v/>
      </c>
      <c r="BF54" s="13">
        <f>MAX(0,BF43-BF42)*BF41/1000000</f>
        <v/>
      </c>
      <c r="BG54" s="13">
        <f>MAX(0,BG43-BG42)*BG41/1000000</f>
        <v/>
      </c>
      <c r="BH54" s="13">
        <f>MAX(0,BH43-BH42)*BH41/1000000</f>
        <v/>
      </c>
      <c r="BI54" s="13">
        <f>MAX(0,BI43-BI42)*BI41/1000000</f>
        <v/>
      </c>
      <c r="BJ54" s="13">
        <f>MAX(0,BJ43-BJ42)*BJ41/1000000</f>
        <v/>
      </c>
      <c r="BK54" s="13">
        <f>MAX(0,BK43-BK42)*BK41/1000000</f>
        <v/>
      </c>
      <c r="BL54" s="13">
        <f>MAX(0,BL43-BL42)*BL41/1000000</f>
        <v/>
      </c>
      <c r="BM54" s="13">
        <f>MAX(0,BM43-BM42)*BM41/1000000</f>
        <v/>
      </c>
      <c r="BN54" s="13">
        <f>MAX(0,BN43-BN42)*BN41/1000000</f>
        <v/>
      </c>
    </row>
    <row r="55">
      <c r="D55" t="inlineStr">
        <is>
          <t>Non-fuel revenue</t>
        </is>
      </c>
      <c r="E55" t="inlineStr">
        <is>
          <t>USD m</t>
        </is>
      </c>
      <c r="G55" s="13">
        <f>SUM(J55:BN55)</f>
        <v/>
      </c>
      <c r="J55" s="13">
        <f>J48+J50</f>
        <v/>
      </c>
      <c r="K55" s="13">
        <f>K48+K50</f>
        <v/>
      </c>
      <c r="L55" s="13">
        <f>L48+L50</f>
        <v/>
      </c>
      <c r="M55" s="13">
        <f>M48+M50</f>
        <v/>
      </c>
      <c r="N55" s="13">
        <f>N48+N50</f>
        <v/>
      </c>
      <c r="O55" s="13">
        <f>O48+O50</f>
        <v/>
      </c>
      <c r="P55" s="13">
        <f>P48+P50</f>
        <v/>
      </c>
      <c r="Q55" s="13">
        <f>Q48+Q50</f>
        <v/>
      </c>
      <c r="R55" s="13">
        <f>R48+R50</f>
        <v/>
      </c>
      <c r="S55" s="13">
        <f>S48+S50</f>
        <v/>
      </c>
      <c r="T55" s="13">
        <f>T48+T50</f>
        <v/>
      </c>
      <c r="U55" s="13">
        <f>U48+U50</f>
        <v/>
      </c>
      <c r="V55" s="13">
        <f>V48+V50</f>
        <v/>
      </c>
      <c r="W55" s="13">
        <f>W48+W50</f>
        <v/>
      </c>
      <c r="X55" s="13">
        <f>X48+X50</f>
        <v/>
      </c>
      <c r="Y55" s="13">
        <f>Y48+Y50</f>
        <v/>
      </c>
      <c r="Z55" s="13">
        <f>Z48+Z50</f>
        <v/>
      </c>
      <c r="AA55" s="13">
        <f>AA48+AA50</f>
        <v/>
      </c>
      <c r="AB55" s="13">
        <f>AB48+AB50</f>
        <v/>
      </c>
      <c r="AC55" s="13">
        <f>AC48+AC50</f>
        <v/>
      </c>
      <c r="AD55" s="13">
        <f>AD48+AD50</f>
        <v/>
      </c>
      <c r="AE55" s="13">
        <f>AE48+AE50</f>
        <v/>
      </c>
      <c r="AF55" s="13">
        <f>AF48+AF50</f>
        <v/>
      </c>
      <c r="AG55" s="13">
        <f>AG48+AG50</f>
        <v/>
      </c>
      <c r="AH55" s="13">
        <f>AH48+AH50</f>
        <v/>
      </c>
      <c r="AI55" s="13">
        <f>AI48+AI50</f>
        <v/>
      </c>
      <c r="AJ55" s="13">
        <f>AJ48+AJ50</f>
        <v/>
      </c>
      <c r="AK55" s="13">
        <f>AK48+AK50</f>
        <v/>
      </c>
      <c r="AL55" s="13">
        <f>AL48+AL50</f>
        <v/>
      </c>
      <c r="AM55" s="13">
        <f>AM48+AM50</f>
        <v/>
      </c>
      <c r="AN55" s="13">
        <f>AN48+AN50</f>
        <v/>
      </c>
      <c r="AO55" s="13">
        <f>AO48+AO50</f>
        <v/>
      </c>
      <c r="AP55" s="13">
        <f>AP48+AP50</f>
        <v/>
      </c>
      <c r="AQ55" s="13">
        <f>AQ48+AQ50</f>
        <v/>
      </c>
      <c r="AR55" s="13">
        <f>AR48+AR50</f>
        <v/>
      </c>
      <c r="AS55" s="13">
        <f>AS48+AS50</f>
        <v/>
      </c>
      <c r="AT55" s="13">
        <f>AT48+AT50</f>
        <v/>
      </c>
      <c r="AU55" s="13">
        <f>AU48+AU50</f>
        <v/>
      </c>
      <c r="AV55" s="13">
        <f>AV48+AV50</f>
        <v/>
      </c>
      <c r="AW55" s="13">
        <f>AW48+AW50</f>
        <v/>
      </c>
      <c r="AX55" s="13">
        <f>AX48+AX50</f>
        <v/>
      </c>
      <c r="AY55" s="13">
        <f>AY48+AY50</f>
        <v/>
      </c>
      <c r="AZ55" s="13">
        <f>AZ48+AZ50</f>
        <v/>
      </c>
      <c r="BA55" s="13">
        <f>BA48+BA50</f>
        <v/>
      </c>
      <c r="BB55" s="13">
        <f>BB48+BB50</f>
        <v/>
      </c>
      <c r="BC55" s="13">
        <f>BC48+BC50</f>
        <v/>
      </c>
      <c r="BD55" s="13">
        <f>BD48+BD50</f>
        <v/>
      </c>
      <c r="BE55" s="13">
        <f>BE48+BE50</f>
        <v/>
      </c>
      <c r="BF55" s="13">
        <f>BF48+BF50</f>
        <v/>
      </c>
      <c r="BG55" s="13">
        <f>BG48+BG50</f>
        <v/>
      </c>
      <c r="BH55" s="13">
        <f>BH48+BH50</f>
        <v/>
      </c>
      <c r="BI55" s="13">
        <f>BI48+BI50</f>
        <v/>
      </c>
      <c r="BJ55" s="13">
        <f>BJ48+BJ50</f>
        <v/>
      </c>
      <c r="BK55" s="13">
        <f>BK48+BK50</f>
        <v/>
      </c>
      <c r="BL55" s="13">
        <f>BL48+BL50</f>
        <v/>
      </c>
      <c r="BM55" s="13">
        <f>BM48+BM50</f>
        <v/>
      </c>
      <c r="BN55" s="13">
        <f>BN48+BN50</f>
        <v/>
      </c>
    </row>
    <row r="56">
      <c r="D56" t="inlineStr">
        <is>
          <t>Total revenue</t>
        </is>
      </c>
      <c r="E56" t="inlineStr">
        <is>
          <t>USD m</t>
        </is>
      </c>
      <c r="G56" s="13">
        <f>SUM(J56:BN56)</f>
        <v/>
      </c>
      <c r="J56" s="13">
        <f>J55+J51+J52+J53+J54</f>
        <v/>
      </c>
      <c r="K56" s="13">
        <f>K55+K51+K52+K53+K54</f>
        <v/>
      </c>
      <c r="L56" s="13">
        <f>L55+L51+L52+L53+L54</f>
        <v/>
      </c>
      <c r="M56" s="13">
        <f>M55+M51+M52+M53+M54</f>
        <v/>
      </c>
      <c r="N56" s="13">
        <f>N55+N51+N52+N53+N54</f>
        <v/>
      </c>
      <c r="O56" s="13">
        <f>O55+O51+O52+O53+O54</f>
        <v/>
      </c>
      <c r="P56" s="13">
        <f>P55+P51+P52+P53+P54</f>
        <v/>
      </c>
      <c r="Q56" s="13">
        <f>Q55+Q51+Q52+Q53+Q54</f>
        <v/>
      </c>
      <c r="R56" s="13">
        <f>R55+R51+R52+R53+R54</f>
        <v/>
      </c>
      <c r="S56" s="13">
        <f>S55+S51+S52+S53+S54</f>
        <v/>
      </c>
      <c r="T56" s="13">
        <f>T55+T51+T52+T53+T54</f>
        <v/>
      </c>
      <c r="U56" s="13">
        <f>U55+U51+U52+U53+U54</f>
        <v/>
      </c>
      <c r="V56" s="13">
        <f>V55+V51+V52+V53+V54</f>
        <v/>
      </c>
      <c r="W56" s="13">
        <f>W55+W51+W52+W53+W54</f>
        <v/>
      </c>
      <c r="X56" s="13">
        <f>X55+X51+X52+X53+X54</f>
        <v/>
      </c>
      <c r="Y56" s="13">
        <f>Y55+Y51+Y52+Y53+Y54</f>
        <v/>
      </c>
      <c r="Z56" s="13">
        <f>Z55+Z51+Z52+Z53+Z54</f>
        <v/>
      </c>
      <c r="AA56" s="13">
        <f>AA55+AA51+AA52+AA53+AA54</f>
        <v/>
      </c>
      <c r="AB56" s="13">
        <f>AB55+AB51+AB52+AB53+AB54</f>
        <v/>
      </c>
      <c r="AC56" s="13">
        <f>AC55+AC51+AC52+AC53+AC54</f>
        <v/>
      </c>
      <c r="AD56" s="13">
        <f>AD55+AD51+AD52+AD53+AD54</f>
        <v/>
      </c>
      <c r="AE56" s="13">
        <f>AE55+AE51+AE52+AE53+AE54</f>
        <v/>
      </c>
      <c r="AF56" s="13">
        <f>AF55+AF51+AF52+AF53+AF54</f>
        <v/>
      </c>
      <c r="AG56" s="13">
        <f>AG55+AG51+AG52+AG53+AG54</f>
        <v/>
      </c>
      <c r="AH56" s="13">
        <f>AH55+AH51+AH52+AH53+AH54</f>
        <v/>
      </c>
      <c r="AI56" s="13">
        <f>AI55+AI51+AI52+AI53+AI54</f>
        <v/>
      </c>
      <c r="AJ56" s="13">
        <f>AJ55+AJ51+AJ52+AJ53+AJ54</f>
        <v/>
      </c>
      <c r="AK56" s="13">
        <f>AK55+AK51+AK52+AK53+AK54</f>
        <v/>
      </c>
      <c r="AL56" s="13">
        <f>AL55+AL51+AL52+AL53+AL54</f>
        <v/>
      </c>
      <c r="AM56" s="13">
        <f>AM55+AM51+AM52+AM53+AM54</f>
        <v/>
      </c>
      <c r="AN56" s="13">
        <f>AN55+AN51+AN52+AN53+AN54</f>
        <v/>
      </c>
      <c r="AO56" s="13">
        <f>AO55+AO51+AO52+AO53+AO54</f>
        <v/>
      </c>
      <c r="AP56" s="13">
        <f>AP55+AP51+AP52+AP53+AP54</f>
        <v/>
      </c>
      <c r="AQ56" s="13">
        <f>AQ55+AQ51+AQ52+AQ53+AQ54</f>
        <v/>
      </c>
      <c r="AR56" s="13">
        <f>AR55+AR51+AR52+AR53+AR54</f>
        <v/>
      </c>
      <c r="AS56" s="13">
        <f>AS55+AS51+AS52+AS53+AS54</f>
        <v/>
      </c>
      <c r="AT56" s="13">
        <f>AT55+AT51+AT52+AT53+AT54</f>
        <v/>
      </c>
      <c r="AU56" s="13">
        <f>AU55+AU51+AU52+AU53+AU54</f>
        <v/>
      </c>
      <c r="AV56" s="13">
        <f>AV55+AV51+AV52+AV53+AV54</f>
        <v/>
      </c>
      <c r="AW56" s="13">
        <f>AW55+AW51+AW52+AW53+AW54</f>
        <v/>
      </c>
      <c r="AX56" s="13">
        <f>AX55+AX51+AX52+AX53+AX54</f>
        <v/>
      </c>
      <c r="AY56" s="13">
        <f>AY55+AY51+AY52+AY53+AY54</f>
        <v/>
      </c>
      <c r="AZ56" s="13">
        <f>AZ55+AZ51+AZ52+AZ53+AZ54</f>
        <v/>
      </c>
      <c r="BA56" s="13">
        <f>BA55+BA51+BA52+BA53+BA54</f>
        <v/>
      </c>
      <c r="BB56" s="13">
        <f>BB55+BB51+BB52+BB53+BB54</f>
        <v/>
      </c>
      <c r="BC56" s="13">
        <f>BC55+BC51+BC52+BC53+BC54</f>
        <v/>
      </c>
      <c r="BD56" s="13">
        <f>BD55+BD51+BD52+BD53+BD54</f>
        <v/>
      </c>
      <c r="BE56" s="13">
        <f>BE55+BE51+BE52+BE53+BE54</f>
        <v/>
      </c>
      <c r="BF56" s="13">
        <f>BF55+BF51+BF52+BF53+BF54</f>
        <v/>
      </c>
      <c r="BG56" s="13">
        <f>BG55+BG51+BG52+BG53+BG54</f>
        <v/>
      </c>
      <c r="BH56" s="13">
        <f>BH55+BH51+BH52+BH53+BH54</f>
        <v/>
      </c>
      <c r="BI56" s="13">
        <f>BI55+BI51+BI52+BI53+BI54</f>
        <v/>
      </c>
      <c r="BJ56" s="13">
        <f>BJ55+BJ51+BJ52+BJ53+BJ54</f>
        <v/>
      </c>
      <c r="BK56" s="13">
        <f>BK55+BK51+BK52+BK53+BK54</f>
        <v/>
      </c>
      <c r="BL56" s="13">
        <f>BL55+BL51+BL52+BL53+BL54</f>
        <v/>
      </c>
      <c r="BM56" s="13">
        <f>BM55+BM51+BM52+BM53+BM54</f>
        <v/>
      </c>
      <c r="BN56" s="13">
        <f>BN55+BN51+BN52+BN53+BN54</f>
        <v/>
      </c>
    </row>
    <row r="57">
      <c r="D57" t="inlineStr">
        <is>
          <t>Late payment interest accrued (to settlement 2024-03-21)</t>
        </is>
      </c>
      <c r="E57" t="inlineStr">
        <is>
          <t>USD m</t>
        </is>
      </c>
      <c r="G57" s="13">
        <f>SUM(J57:BN57)</f>
        <v/>
      </c>
      <c r="J57" s="13">
        <f>IF(Inputs!$F$45=1,AVERAGE(I89,J89)*(J9-Time!J40*Inputs!$F$98+Inputs!$F$263)/100*Time!J55/Inputs!$F$247,0)</f>
        <v/>
      </c>
      <c r="K57" s="13">
        <f>IF(Inputs!$F$45=1,AVERAGE(J89,K89)*(K9-Time!K40*Inputs!$F$98+Inputs!$F$263)/100*Time!K55/Inputs!$F$247,0)</f>
        <v/>
      </c>
      <c r="L57" s="13">
        <f>IF(Inputs!$F$45=1,AVERAGE(K89,L89)*(L9-Time!L40*Inputs!$F$98+Inputs!$F$263)/100*Time!L55/Inputs!$F$247,0)</f>
        <v/>
      </c>
      <c r="M57" s="13">
        <f>IF(Inputs!$F$45=1,AVERAGE(L89,M89)*(M9-Time!M40*Inputs!$F$98+Inputs!$F$263)/100*Time!M55/Inputs!$F$247,0)</f>
        <v/>
      </c>
      <c r="N57" s="13">
        <f>IF(Inputs!$F$45=1,AVERAGE(M89,N89)*(N9-Time!N40*Inputs!$F$98+Inputs!$F$263)/100*Time!N55/Inputs!$F$247,0)</f>
        <v/>
      </c>
      <c r="O57" s="13">
        <f>IF(Inputs!$F$45=1,AVERAGE(N89,O89)*(O9-Time!O40*Inputs!$F$98+Inputs!$F$263)/100*Time!O55/Inputs!$F$247,0)</f>
        <v/>
      </c>
      <c r="P57" s="13">
        <f>IF(Inputs!$F$45=1,AVERAGE(O89,P89)*(P9-Time!P40*Inputs!$F$98+Inputs!$F$263)/100*Time!P55/Inputs!$F$247,0)</f>
        <v/>
      </c>
      <c r="Q57" s="13">
        <f>IF(Inputs!$F$45=1,AVERAGE(P89,Q89)*(Q9-Time!Q40*Inputs!$F$98+Inputs!$F$263)/100*Time!Q55/Inputs!$F$247,0)</f>
        <v/>
      </c>
      <c r="R57" s="13">
        <f>IF(Inputs!$F$45=1,AVERAGE(Q89,R89)*(R9-Time!R40*Inputs!$F$98+Inputs!$F$263)/100*Time!R55/Inputs!$F$247,0)</f>
        <v/>
      </c>
      <c r="S57" s="13">
        <f>IF(Inputs!$F$45=1,AVERAGE(R89,S89)*(S9-Time!S40*Inputs!$F$98+Inputs!$F$263)/100*Time!S55/Inputs!$F$247,0)</f>
        <v/>
      </c>
      <c r="T57" s="13">
        <f>IF(Inputs!$F$45=1,AVERAGE(S89,T89)*(T9-Time!T40*Inputs!$F$98+Inputs!$F$263)/100*Time!T55/Inputs!$F$247,0)</f>
        <v/>
      </c>
      <c r="U57" s="13">
        <f>IF(Inputs!$F$45=1,AVERAGE(T89,U89)*(U9-Time!U40*Inputs!$F$98+Inputs!$F$263)/100*Time!U55/Inputs!$F$247,0)</f>
        <v/>
      </c>
      <c r="V57" s="13">
        <f>IF(Inputs!$F$45=1,AVERAGE(U89,V89)*(V9-Time!V40*Inputs!$F$98+Inputs!$F$263)/100*Time!V55/Inputs!$F$247,0)</f>
        <v/>
      </c>
      <c r="W57" s="13">
        <f>IF(Inputs!$F$45=1,AVERAGE(V89,W89)*(W9-Time!W40*Inputs!$F$98+Inputs!$F$263)/100*Time!W55/Inputs!$F$247,0)</f>
        <v/>
      </c>
      <c r="X57" s="13">
        <f>IF(Inputs!$F$45=1,AVERAGE(W89,X89)*(X9-Time!X40*Inputs!$F$98+Inputs!$F$263)/100*Time!X55/Inputs!$F$247,0)</f>
        <v/>
      </c>
      <c r="Y57" s="13">
        <f>IF(Inputs!$F$45=1,AVERAGE(X89,Y89)*(Y9-Time!Y40*Inputs!$F$98+Inputs!$F$263)/100*Time!Y55/Inputs!$F$247,0)</f>
        <v/>
      </c>
      <c r="Z57" s="13">
        <f>IF(Inputs!$F$45=1,AVERAGE(Y89,Z89)*(Z9-Time!Z40*Inputs!$F$98+Inputs!$F$263)/100*Time!Z55/Inputs!$F$247,0)</f>
        <v/>
      </c>
      <c r="AA57" s="13">
        <f>IF(Inputs!$F$45=1,AVERAGE(Z89,AA89)*(AA9-Time!AA40*Inputs!$F$98+Inputs!$F$263)/100*Time!AA55/Inputs!$F$247,0)</f>
        <v/>
      </c>
      <c r="AB57" s="13">
        <f>IF(Inputs!$F$45=1,AVERAGE(AA89,AB89)*(AB9-Time!AB40*Inputs!$F$98+Inputs!$F$263)/100*Time!AB55/Inputs!$F$247,0)</f>
        <v/>
      </c>
      <c r="AC57" s="13">
        <f>IF(Inputs!$F$45=1,AVERAGE(AB89,AC89)*(AC9-Time!AC40*Inputs!$F$98+Inputs!$F$263)/100*Time!AC55/Inputs!$F$247,0)</f>
        <v/>
      </c>
      <c r="AD57" s="13">
        <f>IF(Inputs!$F$45=1,AVERAGE(AC89,AD89)*(AD9-Time!AD40*Inputs!$F$98+Inputs!$F$263)/100*Time!AD55/Inputs!$F$247,0)</f>
        <v/>
      </c>
      <c r="AE57" s="13">
        <f>IF(Inputs!$F$45=1,AVERAGE(AD89,AE89)*(AE9-Time!AE40*Inputs!$F$98+Inputs!$F$263)/100*Time!AE55/Inputs!$F$247,0)</f>
        <v/>
      </c>
      <c r="AF57" s="13">
        <f>IF(Inputs!$F$45=1,AVERAGE(AE89,AF89)*(AF9-Time!AF40*Inputs!$F$98+Inputs!$F$263)/100*Time!AF55/Inputs!$F$247,0)</f>
        <v/>
      </c>
      <c r="AG57" s="13">
        <f>IF(Inputs!$F$45=1,AVERAGE(AF89,AG89)*(AG9-Time!AG40*Inputs!$F$98+Inputs!$F$263)/100*Time!AG55/Inputs!$F$247,0)</f>
        <v/>
      </c>
      <c r="AH57" s="13">
        <f>IF(Inputs!$F$45=1,AVERAGE(AG89,AH89)*(AH9-Time!AH40*Inputs!$F$98+Inputs!$F$263)/100*Time!AH55/Inputs!$F$247,0)</f>
        <v/>
      </c>
      <c r="AI57" s="13">
        <f>IF(Inputs!$F$45=1,AVERAGE(AH89,AI89)*(AI9-Time!AI40*Inputs!$F$98+Inputs!$F$263)/100*Time!AI55/Inputs!$F$247,0)</f>
        <v/>
      </c>
      <c r="AJ57" s="13">
        <f>IF(Inputs!$F$45=1,AVERAGE(AI89,AJ89)*(AJ9-Time!AJ40*Inputs!$F$98+Inputs!$F$263)/100*Time!AJ55/Inputs!$F$247,0)</f>
        <v/>
      </c>
      <c r="AK57" s="13">
        <f>IF(Inputs!$F$45=1,AVERAGE(AJ89,AK89)*(AK9-Time!AK40*Inputs!$F$98+Inputs!$F$263)/100*Time!AK55/Inputs!$F$247,0)</f>
        <v/>
      </c>
      <c r="AL57" s="13">
        <f>IF(Inputs!$F$45=1,AVERAGE(AK89,AL89)*(AL9-Time!AL40*Inputs!$F$98+Inputs!$F$263)/100*Time!AL55/Inputs!$F$247,0)</f>
        <v/>
      </c>
      <c r="AM57" s="13">
        <f>IF(Inputs!$F$45=1,AVERAGE(AL89,AM89)*(AM9-Time!AM40*Inputs!$F$98+Inputs!$F$263)/100*Time!AM55/Inputs!$F$247,0)</f>
        <v/>
      </c>
      <c r="AN57" s="13">
        <f>IF(Inputs!$F$45=1,AVERAGE(AM89,AN89)*(AN9-Time!AN40*Inputs!$F$98+Inputs!$F$263)/100*Time!AN55/Inputs!$F$247,0)</f>
        <v/>
      </c>
      <c r="AO57" s="13">
        <f>IF(Inputs!$F$45=1,AVERAGE(AN89,AO89)*(AO9-Time!AO40*Inputs!$F$98+Inputs!$F$263)/100*Time!AO55/Inputs!$F$247,0)</f>
        <v/>
      </c>
      <c r="AP57" s="13">
        <f>IF(Inputs!$F$45=1,AVERAGE(AO89,AP89)*(AP9-Time!AP40*Inputs!$F$98+Inputs!$F$263)/100*Time!AP55/Inputs!$F$247,0)</f>
        <v/>
      </c>
      <c r="AQ57" s="13">
        <f>IF(Inputs!$F$45=1,AVERAGE(AP89,AQ89)*(AQ9-Time!AQ40*Inputs!$F$98+Inputs!$F$263)/100*Time!AQ55/Inputs!$F$247,0)</f>
        <v/>
      </c>
      <c r="AR57" s="13">
        <f>IF(Inputs!$F$45=1,AVERAGE(AQ89,AR89)*(AR9-Time!AR40*Inputs!$F$98+Inputs!$F$263)/100*Time!AR55/Inputs!$F$247,0)</f>
        <v/>
      </c>
      <c r="AS57" s="13">
        <f>IF(Inputs!$F$45=1,AVERAGE(AR89,AS89)*(AS9-Time!AS40*Inputs!$F$98+Inputs!$F$263)/100*Time!AS55/Inputs!$F$247,0)</f>
        <v/>
      </c>
      <c r="AT57" s="13">
        <f>IF(Inputs!$F$45=1,AVERAGE(AS89,AT89)*(AT9-Time!AT40*Inputs!$F$98+Inputs!$F$263)/100*Time!AT55/Inputs!$F$247,0)</f>
        <v/>
      </c>
      <c r="AU57" s="13">
        <f>IF(Inputs!$F$45=1,AVERAGE(AT89,AU89)*(AU9-Time!AU40*Inputs!$F$98+Inputs!$F$263)/100*Time!AU55/Inputs!$F$247,0)</f>
        <v/>
      </c>
      <c r="AV57" s="13">
        <f>IF(Inputs!$F$45=1,AVERAGE(AU89,AV89)*(AV9-Time!AV40*Inputs!$F$98+Inputs!$F$263)/100*Time!AV55/Inputs!$F$247,0)</f>
        <v/>
      </c>
      <c r="AW57" s="13">
        <f>IF(Inputs!$F$45=1,AVERAGE(AV89,AW89)*(AW9-Time!AW40*Inputs!$F$98+Inputs!$F$263)/100*Time!AW55/Inputs!$F$247,0)</f>
        <v/>
      </c>
      <c r="AX57" s="13">
        <f>IF(Inputs!$F$45=1,AVERAGE(AW89,AX89)*(AX9-Time!AX40*Inputs!$F$98+Inputs!$F$263)/100*Time!AX55/Inputs!$F$247,0)</f>
        <v/>
      </c>
      <c r="AY57" s="13">
        <f>IF(Inputs!$F$45=1,AVERAGE(AX89,AY89)*(AY9-Time!AY40*Inputs!$F$98+Inputs!$F$263)/100*Time!AY55/Inputs!$F$247,0)</f>
        <v/>
      </c>
      <c r="AZ57" s="13">
        <f>IF(Inputs!$F$45=1,AVERAGE(AY89,AZ89)*(AZ9-Time!AZ40*Inputs!$F$98+Inputs!$F$263)/100*Time!AZ55/Inputs!$F$247,0)</f>
        <v/>
      </c>
      <c r="BA57" s="13">
        <f>IF(Inputs!$F$45=1,AVERAGE(AZ89,BA89)*(BA9-Time!BA40*Inputs!$F$98+Inputs!$F$263)/100*Time!BA55/Inputs!$F$247,0)</f>
        <v/>
      </c>
      <c r="BB57" s="13">
        <f>IF(Inputs!$F$45=1,AVERAGE(BA89,BB89)*(BB9-Time!BB40*Inputs!$F$98+Inputs!$F$263)/100*Time!BB55/Inputs!$F$247,0)</f>
        <v/>
      </c>
      <c r="BC57" s="13">
        <f>IF(Inputs!$F$45=1,AVERAGE(BB89,BC89)*(BC9-Time!BC40*Inputs!$F$98+Inputs!$F$263)/100*Time!BC55/Inputs!$F$247,0)</f>
        <v/>
      </c>
      <c r="BD57" s="13">
        <f>IF(Inputs!$F$45=1,AVERAGE(BC89,BD89)*(BD9-Time!BD40*Inputs!$F$98+Inputs!$F$263)/100*Time!BD55/Inputs!$F$247,0)</f>
        <v/>
      </c>
      <c r="BE57" s="13">
        <f>IF(Inputs!$F$45=1,AVERAGE(BD89,BE89)*(BE9-Time!BE40*Inputs!$F$98+Inputs!$F$263)/100*Time!BE55/Inputs!$F$247,0)</f>
        <v/>
      </c>
      <c r="BF57" s="13">
        <f>IF(Inputs!$F$45=1,AVERAGE(BE89,BF89)*(BF9-Time!BF40*Inputs!$F$98+Inputs!$F$263)/100*Time!BF55/Inputs!$F$247,0)</f>
        <v/>
      </c>
      <c r="BG57" s="13">
        <f>IF(Inputs!$F$45=1,AVERAGE(BF89,BG89)*(BG9-Time!BG40*Inputs!$F$98+Inputs!$F$263)/100*Time!BG55/Inputs!$F$247,0)</f>
        <v/>
      </c>
      <c r="BH57" s="13">
        <f>IF(Inputs!$F$45=1,AVERAGE(BG89,BH89)*(BH9-Time!BH40*Inputs!$F$98+Inputs!$F$263)/100*Time!BH55/Inputs!$F$247,0)</f>
        <v/>
      </c>
      <c r="BI57" s="13">
        <f>IF(Inputs!$F$45=1,AVERAGE(BH89,BI89)*(BI9-Time!BI40*Inputs!$F$98+Inputs!$F$263)/100*Time!BI55/Inputs!$F$247,0)</f>
        <v/>
      </c>
      <c r="BJ57" s="13">
        <f>IF(Inputs!$F$45=1,AVERAGE(BI89,BJ89)*(BJ9-Time!BJ40*Inputs!$F$98+Inputs!$F$263)/100*Time!BJ55/Inputs!$F$247,0)</f>
        <v/>
      </c>
      <c r="BK57" s="13">
        <f>IF(Inputs!$F$45=1,AVERAGE(BJ89,BK89)*(BK9-Time!BK40*Inputs!$F$98+Inputs!$F$263)/100*Time!BK55/Inputs!$F$247,0)</f>
        <v/>
      </c>
      <c r="BL57" s="13">
        <f>IF(Inputs!$F$45=1,AVERAGE(BK89,BL89)*(BL9-Time!BL40*Inputs!$F$98+Inputs!$F$263)/100*Time!BL55/Inputs!$F$247,0)</f>
        <v/>
      </c>
      <c r="BM57" s="13">
        <f>IF(Inputs!$F$45=1,AVERAGE(BL89,BM89)*(BM9-Time!BM40*Inputs!$F$98+Inputs!$F$263)/100*Time!BM55/Inputs!$F$247,0)</f>
        <v/>
      </c>
      <c r="BN57" s="13">
        <f>IF(Inputs!$F$45=1,AVERAGE(BM89,BN89)*(BN9-Time!BN40*Inputs!$F$98+Inputs!$F$263)/100*Time!BN55/Inputs!$F$247,0)</f>
        <v/>
      </c>
    </row>
    <row r="58">
      <c r="D58" t="inlineStr">
        <is>
          <t>Late payment interest received (60%, with settlement installments)</t>
        </is>
      </c>
      <c r="E58" t="inlineStr">
        <is>
          <t>USD m</t>
        </is>
      </c>
      <c r="G58" s="13">
        <f>SUM(J58:BN58)</f>
        <v/>
      </c>
      <c r="J58" s="13">
        <f>Inputs!$F$264*SUM($J$57:$BN$57)*Inputs!J297</f>
        <v/>
      </c>
      <c r="K58" s="13">
        <f>Inputs!$F$264*SUM($J$57:$BN$57)*Inputs!K297</f>
        <v/>
      </c>
      <c r="L58" s="13">
        <f>Inputs!$F$264*SUM($J$57:$BN$57)*Inputs!L297</f>
        <v/>
      </c>
      <c r="M58" s="13">
        <f>Inputs!$F$264*SUM($J$57:$BN$57)*Inputs!M297</f>
        <v/>
      </c>
      <c r="N58" s="13">
        <f>Inputs!$F$264*SUM($J$57:$BN$57)*Inputs!N297</f>
        <v/>
      </c>
      <c r="O58" s="13">
        <f>Inputs!$F$264*SUM($J$57:$BN$57)*Inputs!O297</f>
        <v/>
      </c>
      <c r="P58" s="13">
        <f>Inputs!$F$264*SUM($J$57:$BN$57)*Inputs!P297</f>
        <v/>
      </c>
      <c r="Q58" s="13">
        <f>Inputs!$F$264*SUM($J$57:$BN$57)*Inputs!Q297</f>
        <v/>
      </c>
      <c r="R58" s="13">
        <f>Inputs!$F$264*SUM($J$57:$BN$57)*Inputs!R297</f>
        <v/>
      </c>
      <c r="S58" s="13">
        <f>Inputs!$F$264*SUM($J$57:$BN$57)*Inputs!S297</f>
        <v/>
      </c>
      <c r="T58" s="13">
        <f>Inputs!$F$264*SUM($J$57:$BN$57)*Inputs!T297</f>
        <v/>
      </c>
      <c r="U58" s="13">
        <f>Inputs!$F$264*SUM($J$57:$BN$57)*Inputs!U297</f>
        <v/>
      </c>
      <c r="V58" s="13">
        <f>Inputs!$F$264*SUM($J$57:$BN$57)*Inputs!V297</f>
        <v/>
      </c>
      <c r="W58" s="13">
        <f>Inputs!$F$264*SUM($J$57:$BN$57)*Inputs!W297</f>
        <v/>
      </c>
      <c r="X58" s="13">
        <f>Inputs!$F$264*SUM($J$57:$BN$57)*Inputs!X297</f>
        <v/>
      </c>
      <c r="Y58" s="13">
        <f>Inputs!$F$264*SUM($J$57:$BN$57)*Inputs!Y297</f>
        <v/>
      </c>
      <c r="Z58" s="13">
        <f>Inputs!$F$264*SUM($J$57:$BN$57)*Inputs!Z297</f>
        <v/>
      </c>
      <c r="AA58" s="13">
        <f>Inputs!$F$264*SUM($J$57:$BN$57)*Inputs!AA297</f>
        <v/>
      </c>
      <c r="AB58" s="13">
        <f>Inputs!$F$264*SUM($J$57:$BN$57)*Inputs!AB297</f>
        <v/>
      </c>
      <c r="AC58" s="13">
        <f>Inputs!$F$264*SUM($J$57:$BN$57)*Inputs!AC297</f>
        <v/>
      </c>
      <c r="AD58" s="13">
        <f>Inputs!$F$264*SUM($J$57:$BN$57)*Inputs!AD297</f>
        <v/>
      </c>
      <c r="AE58" s="13">
        <f>Inputs!$F$264*SUM($J$57:$BN$57)*Inputs!AE297</f>
        <v/>
      </c>
      <c r="AF58" s="13">
        <f>Inputs!$F$264*SUM($J$57:$BN$57)*Inputs!AF297</f>
        <v/>
      </c>
      <c r="AG58" s="13">
        <f>Inputs!$F$264*SUM($J$57:$BN$57)*Inputs!AG297</f>
        <v/>
      </c>
      <c r="AH58" s="13">
        <f>Inputs!$F$264*SUM($J$57:$BN$57)*Inputs!AH297</f>
        <v/>
      </c>
      <c r="AI58" s="13">
        <f>Inputs!$F$264*SUM($J$57:$BN$57)*Inputs!AI297</f>
        <v/>
      </c>
      <c r="AJ58" s="13">
        <f>Inputs!$F$264*SUM($J$57:$BN$57)*Inputs!AJ297</f>
        <v/>
      </c>
      <c r="AK58" s="13">
        <f>Inputs!$F$264*SUM($J$57:$BN$57)*Inputs!AK297</f>
        <v/>
      </c>
      <c r="AL58" s="13">
        <f>Inputs!$F$264*SUM($J$57:$BN$57)*Inputs!AL297</f>
        <v/>
      </c>
      <c r="AM58" s="13">
        <f>Inputs!$F$264*SUM($J$57:$BN$57)*Inputs!AM297</f>
        <v/>
      </c>
      <c r="AN58" s="13">
        <f>Inputs!$F$264*SUM($J$57:$BN$57)*Inputs!AN297</f>
        <v/>
      </c>
      <c r="AO58" s="13">
        <f>Inputs!$F$264*SUM($J$57:$BN$57)*Inputs!AO297</f>
        <v/>
      </c>
      <c r="AP58" s="13">
        <f>Inputs!$F$264*SUM($J$57:$BN$57)*Inputs!AP297</f>
        <v/>
      </c>
      <c r="AQ58" s="13">
        <f>Inputs!$F$264*SUM($J$57:$BN$57)*Inputs!AQ297</f>
        <v/>
      </c>
      <c r="AR58" s="13">
        <f>Inputs!$F$264*SUM($J$57:$BN$57)*Inputs!AR297</f>
        <v/>
      </c>
      <c r="AS58" s="13">
        <f>Inputs!$F$264*SUM($J$57:$BN$57)*Inputs!AS297</f>
        <v/>
      </c>
      <c r="AT58" s="13">
        <f>Inputs!$F$264*SUM($J$57:$BN$57)*Inputs!AT297</f>
        <v/>
      </c>
      <c r="AU58" s="13">
        <f>Inputs!$F$264*SUM($J$57:$BN$57)*Inputs!AU297</f>
        <v/>
      </c>
      <c r="AV58" s="13">
        <f>Inputs!$F$264*SUM($J$57:$BN$57)*Inputs!AV297</f>
        <v/>
      </c>
      <c r="AW58" s="13">
        <f>Inputs!$F$264*SUM($J$57:$BN$57)*Inputs!AW297</f>
        <v/>
      </c>
      <c r="AX58" s="13">
        <f>Inputs!$F$264*SUM($J$57:$BN$57)*Inputs!AX297</f>
        <v/>
      </c>
      <c r="AY58" s="13">
        <f>Inputs!$F$264*SUM($J$57:$BN$57)*Inputs!AY297</f>
        <v/>
      </c>
      <c r="AZ58" s="13">
        <f>Inputs!$F$264*SUM($J$57:$BN$57)*Inputs!AZ297</f>
        <v/>
      </c>
      <c r="BA58" s="13">
        <f>Inputs!$F$264*SUM($J$57:$BN$57)*Inputs!BA297</f>
        <v/>
      </c>
      <c r="BB58" s="13">
        <f>Inputs!$F$264*SUM($J$57:$BN$57)*Inputs!BB297</f>
        <v/>
      </c>
      <c r="BC58" s="13">
        <f>Inputs!$F$264*SUM($J$57:$BN$57)*Inputs!BC297</f>
        <v/>
      </c>
      <c r="BD58" s="13">
        <f>Inputs!$F$264*SUM($J$57:$BN$57)*Inputs!BD297</f>
        <v/>
      </c>
      <c r="BE58" s="13">
        <f>Inputs!$F$264*SUM($J$57:$BN$57)*Inputs!BE297</f>
        <v/>
      </c>
      <c r="BF58" s="13">
        <f>Inputs!$F$264*SUM($J$57:$BN$57)*Inputs!BF297</f>
        <v/>
      </c>
      <c r="BG58" s="13">
        <f>Inputs!$F$264*SUM($J$57:$BN$57)*Inputs!BG297</f>
        <v/>
      </c>
      <c r="BH58" s="13">
        <f>Inputs!$F$264*SUM($J$57:$BN$57)*Inputs!BH297</f>
        <v/>
      </c>
      <c r="BI58" s="13">
        <f>Inputs!$F$264*SUM($J$57:$BN$57)*Inputs!BI297</f>
        <v/>
      </c>
      <c r="BJ58" s="13">
        <f>Inputs!$F$264*SUM($J$57:$BN$57)*Inputs!BJ297</f>
        <v/>
      </c>
      <c r="BK58" s="13">
        <f>Inputs!$F$264*SUM($J$57:$BN$57)*Inputs!BK297</f>
        <v/>
      </c>
      <c r="BL58" s="13">
        <f>Inputs!$F$264*SUM($J$57:$BN$57)*Inputs!BL297</f>
        <v/>
      </c>
      <c r="BM58" s="13">
        <f>Inputs!$F$264*SUM($J$57:$BN$57)*Inputs!BM297</f>
        <v/>
      </c>
      <c r="BN58" s="13">
        <f>Inputs!$F$264*SUM($J$57:$BN$57)*Inputs!BN297</f>
        <v/>
      </c>
    </row>
    <row r="59">
      <c r="B59" s="2" t="inlineStr">
        <is>
          <t>Operating costs (USD m)</t>
        </is>
      </c>
    </row>
    <row r="60">
      <c r="D60" t="inlineStr">
        <is>
          <t>O&amp;M fixed fee</t>
        </is>
      </c>
      <c r="E60" t="inlineStr">
        <is>
          <t>USD m</t>
        </is>
      </c>
      <c r="G60" s="13">
        <f>SUM(J60:BN60)</f>
        <v/>
      </c>
      <c r="J60" s="13">
        <f>Inputs!$F$151*(Inputs!$F$152*J21+(1-Inputs!$F$152)*J27*Inputs!$F$153/J11)*Time!J30/12*Inputs!$F$40</f>
        <v/>
      </c>
      <c r="K60" s="13">
        <f>Inputs!$F$151*(Inputs!$F$152*K21+(1-Inputs!$F$152)*K27*Inputs!$F$153/K11)*Time!K30/12*Inputs!$F$40</f>
        <v/>
      </c>
      <c r="L60" s="13">
        <f>Inputs!$F$151*(Inputs!$F$152*L21+(1-Inputs!$F$152)*L27*Inputs!$F$153/L11)*Time!L30/12*Inputs!$F$40</f>
        <v/>
      </c>
      <c r="M60" s="13">
        <f>Inputs!$F$151*(Inputs!$F$152*M21+(1-Inputs!$F$152)*M27*Inputs!$F$153/M11)*Time!M30/12*Inputs!$F$40</f>
        <v/>
      </c>
      <c r="N60" s="13">
        <f>Inputs!$F$151*(Inputs!$F$152*N21+(1-Inputs!$F$152)*N27*Inputs!$F$153/N11)*Time!N30/12*Inputs!$F$40</f>
        <v/>
      </c>
      <c r="O60" s="13">
        <f>Inputs!$F$151*(Inputs!$F$152*O21+(1-Inputs!$F$152)*O27*Inputs!$F$153/O11)*Time!O30/12*Inputs!$F$40</f>
        <v/>
      </c>
      <c r="P60" s="13">
        <f>Inputs!$F$151*(Inputs!$F$152*P21+(1-Inputs!$F$152)*P27*Inputs!$F$153/P11)*Time!P30/12*Inputs!$F$40</f>
        <v/>
      </c>
      <c r="Q60" s="13">
        <f>Inputs!$F$151*(Inputs!$F$152*Q21+(1-Inputs!$F$152)*Q27*Inputs!$F$153/Q11)*Time!Q30/12*Inputs!$F$40</f>
        <v/>
      </c>
      <c r="R60" s="13">
        <f>Inputs!$F$151*(Inputs!$F$152*R21+(1-Inputs!$F$152)*R27*Inputs!$F$153/R11)*Time!R30/12*Inputs!$F$40</f>
        <v/>
      </c>
      <c r="S60" s="13">
        <f>Inputs!$F$151*(Inputs!$F$152*S21+(1-Inputs!$F$152)*S27*Inputs!$F$153/S11)*Time!S30/12*Inputs!$F$40</f>
        <v/>
      </c>
      <c r="T60" s="13">
        <f>Inputs!$F$151*(Inputs!$F$152*T21+(1-Inputs!$F$152)*T27*Inputs!$F$153/T11)*Time!T30/12*Inputs!$F$40</f>
        <v/>
      </c>
      <c r="U60" s="13">
        <f>Inputs!$F$151*(Inputs!$F$152*U21+(1-Inputs!$F$152)*U27*Inputs!$F$153/U11)*Time!U30/12*Inputs!$F$40</f>
        <v/>
      </c>
      <c r="V60" s="13">
        <f>Inputs!$F$151*(Inputs!$F$152*V21+(1-Inputs!$F$152)*V27*Inputs!$F$153/V11)*Time!V30/12*Inputs!$F$40</f>
        <v/>
      </c>
      <c r="W60" s="13">
        <f>Inputs!$F$151*(Inputs!$F$152*W21+(1-Inputs!$F$152)*W27*Inputs!$F$153/W11)*Time!W30/12*Inputs!$F$40</f>
        <v/>
      </c>
      <c r="X60" s="13">
        <f>Inputs!$F$151*(Inputs!$F$152*X21+(1-Inputs!$F$152)*X27*Inputs!$F$153/X11)*Time!X30/12*Inputs!$F$40</f>
        <v/>
      </c>
      <c r="Y60" s="13">
        <f>Inputs!$F$151*(Inputs!$F$152*Y21+(1-Inputs!$F$152)*Y27*Inputs!$F$153/Y11)*Time!Y30/12*Inputs!$F$40</f>
        <v/>
      </c>
      <c r="Z60" s="13">
        <f>Inputs!$F$151*(Inputs!$F$152*Z21+(1-Inputs!$F$152)*Z27*Inputs!$F$153/Z11)*Time!Z30/12*Inputs!$F$40</f>
        <v/>
      </c>
      <c r="AA60" s="13">
        <f>Inputs!$F$151*(Inputs!$F$152*AA21+(1-Inputs!$F$152)*AA27*Inputs!$F$153/AA11)*Time!AA30/12*Inputs!$F$40</f>
        <v/>
      </c>
      <c r="AB60" s="13">
        <f>Inputs!$F$151*(Inputs!$F$152*AB21+(1-Inputs!$F$152)*AB27*Inputs!$F$153/AB11)*Time!AB30/12*Inputs!$F$40</f>
        <v/>
      </c>
      <c r="AC60" s="13">
        <f>Inputs!$F$151*(Inputs!$F$152*AC21+(1-Inputs!$F$152)*AC27*Inputs!$F$153/AC11)*Time!AC30/12*Inputs!$F$40</f>
        <v/>
      </c>
      <c r="AD60" s="13">
        <f>Inputs!$F$151*(Inputs!$F$152*AD21+(1-Inputs!$F$152)*AD27*Inputs!$F$153/AD11)*Time!AD30/12*Inputs!$F$40</f>
        <v/>
      </c>
      <c r="AE60" s="13">
        <f>Inputs!$F$151*(Inputs!$F$152*AE21+(1-Inputs!$F$152)*AE27*Inputs!$F$153/AE11)*Time!AE30/12*Inputs!$F$40</f>
        <v/>
      </c>
      <c r="AF60" s="13">
        <f>Inputs!$F$151*(Inputs!$F$152*AF21+(1-Inputs!$F$152)*AF27*Inputs!$F$153/AF11)*Time!AF30/12*Inputs!$F$40</f>
        <v/>
      </c>
      <c r="AG60" s="13">
        <f>Inputs!$F$151*(Inputs!$F$152*AG21+(1-Inputs!$F$152)*AG27*Inputs!$F$153/AG11)*Time!AG30/12*Inputs!$F$40</f>
        <v/>
      </c>
      <c r="AH60" s="13">
        <f>Inputs!$F$151*(Inputs!$F$152*AH21+(1-Inputs!$F$152)*AH27*Inputs!$F$153/AH11)*Time!AH30/12*Inputs!$F$40</f>
        <v/>
      </c>
      <c r="AI60" s="13">
        <f>Inputs!$F$151*(Inputs!$F$152*AI21+(1-Inputs!$F$152)*AI27*Inputs!$F$153/AI11)*Time!AI30/12*Inputs!$F$40</f>
        <v/>
      </c>
      <c r="AJ60" s="13">
        <f>Inputs!$F$151*(Inputs!$F$152*AJ21+(1-Inputs!$F$152)*AJ27*Inputs!$F$153/AJ11)*Time!AJ30/12*Inputs!$F$40</f>
        <v/>
      </c>
      <c r="AK60" s="13">
        <f>Inputs!$F$151*(Inputs!$F$152*AK21+(1-Inputs!$F$152)*AK27*Inputs!$F$153/AK11)*Time!AK30/12*Inputs!$F$40</f>
        <v/>
      </c>
      <c r="AL60" s="13">
        <f>Inputs!$F$151*(Inputs!$F$152*AL21+(1-Inputs!$F$152)*AL27*Inputs!$F$153/AL11)*Time!AL30/12*Inputs!$F$40</f>
        <v/>
      </c>
      <c r="AM60" s="13">
        <f>Inputs!$F$151*(Inputs!$F$152*AM21+(1-Inputs!$F$152)*AM27*Inputs!$F$153/AM11)*Time!AM30/12*Inputs!$F$40</f>
        <v/>
      </c>
      <c r="AN60" s="13">
        <f>Inputs!$F$151*(Inputs!$F$152*AN21+(1-Inputs!$F$152)*AN27*Inputs!$F$153/AN11)*Time!AN30/12*Inputs!$F$40</f>
        <v/>
      </c>
      <c r="AO60" s="13">
        <f>Inputs!$F$151*(Inputs!$F$152*AO21+(1-Inputs!$F$152)*AO27*Inputs!$F$153/AO11)*Time!AO30/12*Inputs!$F$40</f>
        <v/>
      </c>
      <c r="AP60" s="13">
        <f>Inputs!$F$151*(Inputs!$F$152*AP21+(1-Inputs!$F$152)*AP27*Inputs!$F$153/AP11)*Time!AP30/12*Inputs!$F$40</f>
        <v/>
      </c>
      <c r="AQ60" s="13">
        <f>Inputs!$F$151*(Inputs!$F$152*AQ21+(1-Inputs!$F$152)*AQ27*Inputs!$F$153/AQ11)*Time!AQ30/12*Inputs!$F$40</f>
        <v/>
      </c>
      <c r="AR60" s="13">
        <f>Inputs!$F$151*(Inputs!$F$152*AR21+(1-Inputs!$F$152)*AR27*Inputs!$F$153/AR11)*Time!AR30/12*Inputs!$F$40</f>
        <v/>
      </c>
      <c r="AS60" s="13">
        <f>Inputs!$F$151*(Inputs!$F$152*AS21+(1-Inputs!$F$152)*AS27*Inputs!$F$153/AS11)*Time!AS30/12*Inputs!$F$40</f>
        <v/>
      </c>
      <c r="AT60" s="13">
        <f>Inputs!$F$151*(Inputs!$F$152*AT21+(1-Inputs!$F$152)*AT27*Inputs!$F$153/AT11)*Time!AT30/12*Inputs!$F$40</f>
        <v/>
      </c>
      <c r="AU60" s="13">
        <f>Inputs!$F$151*(Inputs!$F$152*AU21+(1-Inputs!$F$152)*AU27*Inputs!$F$153/AU11)*Time!AU30/12*Inputs!$F$40</f>
        <v/>
      </c>
      <c r="AV60" s="13">
        <f>Inputs!$F$151*(Inputs!$F$152*AV21+(1-Inputs!$F$152)*AV27*Inputs!$F$153/AV11)*Time!AV30/12*Inputs!$F$40</f>
        <v/>
      </c>
      <c r="AW60" s="13">
        <f>Inputs!$F$151*(Inputs!$F$152*AW21+(1-Inputs!$F$152)*AW27*Inputs!$F$153/AW11)*Time!AW30/12*Inputs!$F$40</f>
        <v/>
      </c>
      <c r="AX60" s="13">
        <f>Inputs!$F$151*(Inputs!$F$152*AX21+(1-Inputs!$F$152)*AX27*Inputs!$F$153/AX11)*Time!AX30/12*Inputs!$F$40</f>
        <v/>
      </c>
      <c r="AY60" s="13">
        <f>Inputs!$F$151*(Inputs!$F$152*AY21+(1-Inputs!$F$152)*AY27*Inputs!$F$153/AY11)*Time!AY30/12*Inputs!$F$40</f>
        <v/>
      </c>
      <c r="AZ60" s="13">
        <f>Inputs!$F$151*(Inputs!$F$152*AZ21+(1-Inputs!$F$152)*AZ27*Inputs!$F$153/AZ11)*Time!AZ30/12*Inputs!$F$40</f>
        <v/>
      </c>
      <c r="BA60" s="13">
        <f>Inputs!$F$151*(Inputs!$F$152*BA21+(1-Inputs!$F$152)*BA27*Inputs!$F$153/BA11)*Time!BA30/12*Inputs!$F$40</f>
        <v/>
      </c>
      <c r="BB60" s="13">
        <f>Inputs!$F$151*(Inputs!$F$152*BB21+(1-Inputs!$F$152)*BB27*Inputs!$F$153/BB11)*Time!BB30/12*Inputs!$F$40</f>
        <v/>
      </c>
      <c r="BC60" s="13">
        <f>Inputs!$F$151*(Inputs!$F$152*BC21+(1-Inputs!$F$152)*BC27*Inputs!$F$153/BC11)*Time!BC30/12*Inputs!$F$40</f>
        <v/>
      </c>
      <c r="BD60" s="13">
        <f>Inputs!$F$151*(Inputs!$F$152*BD21+(1-Inputs!$F$152)*BD27*Inputs!$F$153/BD11)*Time!BD30/12*Inputs!$F$40</f>
        <v/>
      </c>
      <c r="BE60" s="13">
        <f>Inputs!$F$151*(Inputs!$F$152*BE21+(1-Inputs!$F$152)*BE27*Inputs!$F$153/BE11)*Time!BE30/12*Inputs!$F$40</f>
        <v/>
      </c>
      <c r="BF60" s="13">
        <f>Inputs!$F$151*(Inputs!$F$152*BF21+(1-Inputs!$F$152)*BF27*Inputs!$F$153/BF11)*Time!BF30/12*Inputs!$F$40</f>
        <v/>
      </c>
      <c r="BG60" s="13">
        <f>Inputs!$F$151*(Inputs!$F$152*BG21+(1-Inputs!$F$152)*BG27*Inputs!$F$153/BG11)*Time!BG30/12*Inputs!$F$40</f>
        <v/>
      </c>
      <c r="BH60" s="13">
        <f>Inputs!$F$151*(Inputs!$F$152*BH21+(1-Inputs!$F$152)*BH27*Inputs!$F$153/BH11)*Time!BH30/12*Inputs!$F$40</f>
        <v/>
      </c>
      <c r="BI60" s="13">
        <f>Inputs!$F$151*(Inputs!$F$152*BI21+(1-Inputs!$F$152)*BI27*Inputs!$F$153/BI11)*Time!BI30/12*Inputs!$F$40</f>
        <v/>
      </c>
      <c r="BJ60" s="13">
        <f>Inputs!$F$151*(Inputs!$F$152*BJ21+(1-Inputs!$F$152)*BJ27*Inputs!$F$153/BJ11)*Time!BJ30/12*Inputs!$F$40</f>
        <v/>
      </c>
      <c r="BK60" s="13">
        <f>Inputs!$F$151*(Inputs!$F$152*BK21+(1-Inputs!$F$152)*BK27*Inputs!$F$153/BK11)*Time!BK30/12*Inputs!$F$40</f>
        <v/>
      </c>
      <c r="BL60" s="13">
        <f>Inputs!$F$151*(Inputs!$F$152*BL21+(1-Inputs!$F$152)*BL27*Inputs!$F$153/BL11)*Time!BL30/12*Inputs!$F$40</f>
        <v/>
      </c>
      <c r="BM60" s="13">
        <f>Inputs!$F$151*(Inputs!$F$152*BM21+(1-Inputs!$F$152)*BM27*Inputs!$F$153/BM11)*Time!BM30/12*Inputs!$F$40</f>
        <v/>
      </c>
      <c r="BN60" s="13">
        <f>Inputs!$F$151*(Inputs!$F$152*BN21+(1-Inputs!$F$152)*BN27*Inputs!$F$153/BN11)*Time!BN30/12*Inputs!$F$40</f>
        <v/>
      </c>
    </row>
    <row r="61">
      <c r="D61" t="inlineStr">
        <is>
          <t>O&amp;M availability incentive</t>
        </is>
      </c>
      <c r="E61" t="inlineStr">
        <is>
          <t>USD m</t>
        </is>
      </c>
      <c r="G61" s="13">
        <f>SUM(J61:BN61)</f>
        <v/>
      </c>
      <c r="J61" s="13">
        <f>IF(Time!J30&gt;0,Inputs!$F$154*MAX(-1,MIN(1,(J32-Inputs!$F$216)/Inputs!$F$217))*J21*Time!J30/12,0)</f>
        <v/>
      </c>
      <c r="K61" s="13">
        <f>IF(Time!K30&gt;0,Inputs!$F$154*MAX(-1,MIN(1,(K32-Inputs!$F$216)/Inputs!$F$217))*K21*Time!K30/12,0)</f>
        <v/>
      </c>
      <c r="L61" s="13">
        <f>IF(Time!L30&gt;0,Inputs!$F$154*MAX(-1,MIN(1,(L32-Inputs!$F$216)/Inputs!$F$217))*L21*Time!L30/12,0)</f>
        <v/>
      </c>
      <c r="M61" s="13">
        <f>IF(Time!M30&gt;0,Inputs!$F$154*MAX(-1,MIN(1,(M32-Inputs!$F$216)/Inputs!$F$217))*M21*Time!M30/12,0)</f>
        <v/>
      </c>
      <c r="N61" s="13">
        <f>IF(Time!N30&gt;0,Inputs!$F$154*MAX(-1,MIN(1,(N32-Inputs!$F$216)/Inputs!$F$217))*N21*Time!N30/12,0)</f>
        <v/>
      </c>
      <c r="O61" s="13">
        <f>IF(Time!O30&gt;0,Inputs!$F$154*MAX(-1,MIN(1,(O32-Inputs!$F$216)/Inputs!$F$217))*O21*Time!O30/12,0)</f>
        <v/>
      </c>
      <c r="P61" s="13">
        <f>IF(Time!P30&gt;0,Inputs!$F$154*MAX(-1,MIN(1,(P32-Inputs!$F$216)/Inputs!$F$217))*P21*Time!P30/12,0)</f>
        <v/>
      </c>
      <c r="Q61" s="13">
        <f>IF(Time!Q30&gt;0,Inputs!$F$154*MAX(-1,MIN(1,(Q32-Inputs!$F$216)/Inputs!$F$217))*Q21*Time!Q30/12,0)</f>
        <v/>
      </c>
      <c r="R61" s="13">
        <f>IF(Time!R30&gt;0,Inputs!$F$154*MAX(-1,MIN(1,(R32-Inputs!$F$216)/Inputs!$F$217))*R21*Time!R30/12,0)</f>
        <v/>
      </c>
      <c r="S61" s="13">
        <f>IF(Time!S30&gt;0,Inputs!$F$154*MAX(-1,MIN(1,(S32-Inputs!$F$216)/Inputs!$F$217))*S21*Time!S30/12,0)</f>
        <v/>
      </c>
      <c r="T61" s="13">
        <f>IF(Time!T30&gt;0,Inputs!$F$154*MAX(-1,MIN(1,(T32-Inputs!$F$216)/Inputs!$F$217))*T21*Time!T30/12,0)</f>
        <v/>
      </c>
      <c r="U61" s="13">
        <f>IF(Time!U30&gt;0,Inputs!$F$154*MAX(-1,MIN(1,(U32-Inputs!$F$216)/Inputs!$F$217))*U21*Time!U30/12,0)</f>
        <v/>
      </c>
      <c r="V61" s="13">
        <f>IF(Time!V30&gt;0,Inputs!$F$154*MAX(-1,MIN(1,(V32-Inputs!$F$216)/Inputs!$F$217))*V21*Time!V30/12,0)</f>
        <v/>
      </c>
      <c r="W61" s="13">
        <f>IF(Time!W30&gt;0,Inputs!$F$154*MAX(-1,MIN(1,(W32-Inputs!$F$216)/Inputs!$F$217))*W21*Time!W30/12,0)</f>
        <v/>
      </c>
      <c r="X61" s="13">
        <f>IF(Time!X30&gt;0,Inputs!$F$154*MAX(-1,MIN(1,(X32-Inputs!$F$216)/Inputs!$F$217))*X21*Time!X30/12,0)</f>
        <v/>
      </c>
      <c r="Y61" s="13">
        <f>IF(Time!Y30&gt;0,Inputs!$F$154*MAX(-1,MIN(1,(Y32-Inputs!$F$216)/Inputs!$F$217))*Y21*Time!Y30/12,0)</f>
        <v/>
      </c>
      <c r="Z61" s="13">
        <f>IF(Time!Z30&gt;0,Inputs!$F$154*MAX(-1,MIN(1,(Z32-Inputs!$F$216)/Inputs!$F$217))*Z21*Time!Z30/12,0)</f>
        <v/>
      </c>
      <c r="AA61" s="13">
        <f>IF(Time!AA30&gt;0,Inputs!$F$154*MAX(-1,MIN(1,(AA32-Inputs!$F$216)/Inputs!$F$217))*AA21*Time!AA30/12,0)</f>
        <v/>
      </c>
      <c r="AB61" s="13">
        <f>IF(Time!AB30&gt;0,Inputs!$F$154*MAX(-1,MIN(1,(AB32-Inputs!$F$216)/Inputs!$F$217))*AB21*Time!AB30/12,0)</f>
        <v/>
      </c>
      <c r="AC61" s="13">
        <f>IF(Time!AC30&gt;0,Inputs!$F$154*MAX(-1,MIN(1,(AC32-Inputs!$F$216)/Inputs!$F$217))*AC21*Time!AC30/12,0)</f>
        <v/>
      </c>
      <c r="AD61" s="13">
        <f>IF(Time!AD30&gt;0,Inputs!$F$154*MAX(-1,MIN(1,(AD32-Inputs!$F$216)/Inputs!$F$217))*AD21*Time!AD30/12,0)</f>
        <v/>
      </c>
      <c r="AE61" s="13">
        <f>IF(Time!AE30&gt;0,Inputs!$F$154*MAX(-1,MIN(1,(AE32-Inputs!$F$216)/Inputs!$F$217))*AE21*Time!AE30/12,0)</f>
        <v/>
      </c>
      <c r="AF61" s="13">
        <f>IF(Time!AF30&gt;0,Inputs!$F$154*MAX(-1,MIN(1,(AF32-Inputs!$F$216)/Inputs!$F$217))*AF21*Time!AF30/12,0)</f>
        <v/>
      </c>
      <c r="AG61" s="13">
        <f>IF(Time!AG30&gt;0,Inputs!$F$154*MAX(-1,MIN(1,(AG32-Inputs!$F$216)/Inputs!$F$217))*AG21*Time!AG30/12,0)</f>
        <v/>
      </c>
      <c r="AH61" s="13">
        <f>IF(Time!AH30&gt;0,Inputs!$F$154*MAX(-1,MIN(1,(AH32-Inputs!$F$216)/Inputs!$F$217))*AH21*Time!AH30/12,0)</f>
        <v/>
      </c>
      <c r="AI61" s="13">
        <f>IF(Time!AI30&gt;0,Inputs!$F$154*MAX(-1,MIN(1,(AI32-Inputs!$F$216)/Inputs!$F$217))*AI21*Time!AI30/12,0)</f>
        <v/>
      </c>
      <c r="AJ61" s="13">
        <f>IF(Time!AJ30&gt;0,Inputs!$F$154*MAX(-1,MIN(1,(AJ32-Inputs!$F$216)/Inputs!$F$217))*AJ21*Time!AJ30/12,0)</f>
        <v/>
      </c>
      <c r="AK61" s="13">
        <f>IF(Time!AK30&gt;0,Inputs!$F$154*MAX(-1,MIN(1,(AK32-Inputs!$F$216)/Inputs!$F$217))*AK21*Time!AK30/12,0)</f>
        <v/>
      </c>
      <c r="AL61" s="13">
        <f>IF(Time!AL30&gt;0,Inputs!$F$154*MAX(-1,MIN(1,(AL32-Inputs!$F$216)/Inputs!$F$217))*AL21*Time!AL30/12,0)</f>
        <v/>
      </c>
      <c r="AM61" s="13">
        <f>IF(Time!AM30&gt;0,Inputs!$F$154*MAX(-1,MIN(1,(AM32-Inputs!$F$216)/Inputs!$F$217))*AM21*Time!AM30/12,0)</f>
        <v/>
      </c>
      <c r="AN61" s="13">
        <f>IF(Time!AN30&gt;0,Inputs!$F$154*MAX(-1,MIN(1,(AN32-Inputs!$F$216)/Inputs!$F$217))*AN21*Time!AN30/12,0)</f>
        <v/>
      </c>
      <c r="AO61" s="13">
        <f>IF(Time!AO30&gt;0,Inputs!$F$154*MAX(-1,MIN(1,(AO32-Inputs!$F$216)/Inputs!$F$217))*AO21*Time!AO30/12,0)</f>
        <v/>
      </c>
      <c r="AP61" s="13">
        <f>IF(Time!AP30&gt;0,Inputs!$F$154*MAX(-1,MIN(1,(AP32-Inputs!$F$216)/Inputs!$F$217))*AP21*Time!AP30/12,0)</f>
        <v/>
      </c>
      <c r="AQ61" s="13">
        <f>IF(Time!AQ30&gt;0,Inputs!$F$154*MAX(-1,MIN(1,(AQ32-Inputs!$F$216)/Inputs!$F$217))*AQ21*Time!AQ30/12,0)</f>
        <v/>
      </c>
      <c r="AR61" s="13">
        <f>IF(Time!AR30&gt;0,Inputs!$F$154*MAX(-1,MIN(1,(AR32-Inputs!$F$216)/Inputs!$F$217))*AR21*Time!AR30/12,0)</f>
        <v/>
      </c>
      <c r="AS61" s="13">
        <f>IF(Time!AS30&gt;0,Inputs!$F$154*MAX(-1,MIN(1,(AS32-Inputs!$F$216)/Inputs!$F$217))*AS21*Time!AS30/12,0)</f>
        <v/>
      </c>
      <c r="AT61" s="13">
        <f>IF(Time!AT30&gt;0,Inputs!$F$154*MAX(-1,MIN(1,(AT32-Inputs!$F$216)/Inputs!$F$217))*AT21*Time!AT30/12,0)</f>
        <v/>
      </c>
      <c r="AU61" s="13">
        <f>IF(Time!AU30&gt;0,Inputs!$F$154*MAX(-1,MIN(1,(AU32-Inputs!$F$216)/Inputs!$F$217))*AU21*Time!AU30/12,0)</f>
        <v/>
      </c>
      <c r="AV61" s="13">
        <f>IF(Time!AV30&gt;0,Inputs!$F$154*MAX(-1,MIN(1,(AV32-Inputs!$F$216)/Inputs!$F$217))*AV21*Time!AV30/12,0)</f>
        <v/>
      </c>
      <c r="AW61" s="13">
        <f>IF(Time!AW30&gt;0,Inputs!$F$154*MAX(-1,MIN(1,(AW32-Inputs!$F$216)/Inputs!$F$217))*AW21*Time!AW30/12,0)</f>
        <v/>
      </c>
      <c r="AX61" s="13">
        <f>IF(Time!AX30&gt;0,Inputs!$F$154*MAX(-1,MIN(1,(AX32-Inputs!$F$216)/Inputs!$F$217))*AX21*Time!AX30/12,0)</f>
        <v/>
      </c>
      <c r="AY61" s="13">
        <f>IF(Time!AY30&gt;0,Inputs!$F$154*MAX(-1,MIN(1,(AY32-Inputs!$F$216)/Inputs!$F$217))*AY21*Time!AY30/12,0)</f>
        <v/>
      </c>
      <c r="AZ61" s="13">
        <f>IF(Time!AZ30&gt;0,Inputs!$F$154*MAX(-1,MIN(1,(AZ32-Inputs!$F$216)/Inputs!$F$217))*AZ21*Time!AZ30/12,0)</f>
        <v/>
      </c>
      <c r="BA61" s="13">
        <f>IF(Time!BA30&gt;0,Inputs!$F$154*MAX(-1,MIN(1,(BA32-Inputs!$F$216)/Inputs!$F$217))*BA21*Time!BA30/12,0)</f>
        <v/>
      </c>
      <c r="BB61" s="13">
        <f>IF(Time!BB30&gt;0,Inputs!$F$154*MAX(-1,MIN(1,(BB32-Inputs!$F$216)/Inputs!$F$217))*BB21*Time!BB30/12,0)</f>
        <v/>
      </c>
      <c r="BC61" s="13">
        <f>IF(Time!BC30&gt;0,Inputs!$F$154*MAX(-1,MIN(1,(BC32-Inputs!$F$216)/Inputs!$F$217))*BC21*Time!BC30/12,0)</f>
        <v/>
      </c>
      <c r="BD61" s="13">
        <f>IF(Time!BD30&gt;0,Inputs!$F$154*MAX(-1,MIN(1,(BD32-Inputs!$F$216)/Inputs!$F$217))*BD21*Time!BD30/12,0)</f>
        <v/>
      </c>
      <c r="BE61" s="13">
        <f>IF(Time!BE30&gt;0,Inputs!$F$154*MAX(-1,MIN(1,(BE32-Inputs!$F$216)/Inputs!$F$217))*BE21*Time!BE30/12,0)</f>
        <v/>
      </c>
      <c r="BF61" s="13">
        <f>IF(Time!BF30&gt;0,Inputs!$F$154*MAX(-1,MIN(1,(BF32-Inputs!$F$216)/Inputs!$F$217))*BF21*Time!BF30/12,0)</f>
        <v/>
      </c>
      <c r="BG61" s="13">
        <f>IF(Time!BG30&gt;0,Inputs!$F$154*MAX(-1,MIN(1,(BG32-Inputs!$F$216)/Inputs!$F$217))*BG21*Time!BG30/12,0)</f>
        <v/>
      </c>
      <c r="BH61" s="13">
        <f>IF(Time!BH30&gt;0,Inputs!$F$154*MAX(-1,MIN(1,(BH32-Inputs!$F$216)/Inputs!$F$217))*BH21*Time!BH30/12,0)</f>
        <v/>
      </c>
      <c r="BI61" s="13">
        <f>IF(Time!BI30&gt;0,Inputs!$F$154*MAX(-1,MIN(1,(BI32-Inputs!$F$216)/Inputs!$F$217))*BI21*Time!BI30/12,0)</f>
        <v/>
      </c>
      <c r="BJ61" s="13">
        <f>IF(Time!BJ30&gt;0,Inputs!$F$154*MAX(-1,MIN(1,(BJ32-Inputs!$F$216)/Inputs!$F$217))*BJ21*Time!BJ30/12,0)</f>
        <v/>
      </c>
      <c r="BK61" s="13">
        <f>IF(Time!BK30&gt;0,Inputs!$F$154*MAX(-1,MIN(1,(BK32-Inputs!$F$216)/Inputs!$F$217))*BK21*Time!BK30/12,0)</f>
        <v/>
      </c>
      <c r="BL61" s="13">
        <f>IF(Time!BL30&gt;0,Inputs!$F$154*MAX(-1,MIN(1,(BL32-Inputs!$F$216)/Inputs!$F$217))*BL21*Time!BL30/12,0)</f>
        <v/>
      </c>
      <c r="BM61" s="13">
        <f>IF(Time!BM30&gt;0,Inputs!$F$154*MAX(-1,MIN(1,(BM32-Inputs!$F$216)/Inputs!$F$217))*BM21*Time!BM30/12,0)</f>
        <v/>
      </c>
      <c r="BN61" s="13">
        <f>IF(Time!BN30&gt;0,Inputs!$F$154*MAX(-1,MIN(1,(BN32-Inputs!$F$216)/Inputs!$F$217))*BN21*Time!BN30/12,0)</f>
        <v/>
      </c>
    </row>
    <row r="62">
      <c r="D62" t="inlineStr">
        <is>
          <t>LTSA fixed fee</t>
        </is>
      </c>
      <c r="E62" t="inlineStr">
        <is>
          <t>USD m</t>
        </is>
      </c>
      <c r="G62" s="13">
        <f>SUM(J62:BN62)</f>
        <v/>
      </c>
      <c r="J62" s="13">
        <f>Inputs!$F$155*J21*Time!J30/12*Inputs!$F$40</f>
        <v/>
      </c>
      <c r="K62" s="13">
        <f>Inputs!$F$155*K21*Time!K30/12*Inputs!$F$40</f>
        <v/>
      </c>
      <c r="L62" s="13">
        <f>Inputs!$F$155*L21*Time!L30/12*Inputs!$F$40</f>
        <v/>
      </c>
      <c r="M62" s="13">
        <f>Inputs!$F$155*M21*Time!M30/12*Inputs!$F$40</f>
        <v/>
      </c>
      <c r="N62" s="13">
        <f>Inputs!$F$155*N21*Time!N30/12*Inputs!$F$40</f>
        <v/>
      </c>
      <c r="O62" s="13">
        <f>Inputs!$F$155*O21*Time!O30/12*Inputs!$F$40</f>
        <v/>
      </c>
      <c r="P62" s="13">
        <f>Inputs!$F$155*P21*Time!P30/12*Inputs!$F$40</f>
        <v/>
      </c>
      <c r="Q62" s="13">
        <f>Inputs!$F$155*Q21*Time!Q30/12*Inputs!$F$40</f>
        <v/>
      </c>
      <c r="R62" s="13">
        <f>Inputs!$F$155*R21*Time!R30/12*Inputs!$F$40</f>
        <v/>
      </c>
      <c r="S62" s="13">
        <f>Inputs!$F$155*S21*Time!S30/12*Inputs!$F$40</f>
        <v/>
      </c>
      <c r="T62" s="13">
        <f>Inputs!$F$155*T21*Time!T30/12*Inputs!$F$40</f>
        <v/>
      </c>
      <c r="U62" s="13">
        <f>Inputs!$F$155*U21*Time!U30/12*Inputs!$F$40</f>
        <v/>
      </c>
      <c r="V62" s="13">
        <f>Inputs!$F$155*V21*Time!V30/12*Inputs!$F$40</f>
        <v/>
      </c>
      <c r="W62" s="13">
        <f>Inputs!$F$155*W21*Time!W30/12*Inputs!$F$40</f>
        <v/>
      </c>
      <c r="X62" s="13">
        <f>Inputs!$F$155*X21*Time!X30/12*Inputs!$F$40</f>
        <v/>
      </c>
      <c r="Y62" s="13">
        <f>Inputs!$F$155*Y21*Time!Y30/12*Inputs!$F$40</f>
        <v/>
      </c>
      <c r="Z62" s="13">
        <f>Inputs!$F$155*Z21*Time!Z30/12*Inputs!$F$40</f>
        <v/>
      </c>
      <c r="AA62" s="13">
        <f>Inputs!$F$155*AA21*Time!AA30/12*Inputs!$F$40</f>
        <v/>
      </c>
      <c r="AB62" s="13">
        <f>Inputs!$F$155*AB21*Time!AB30/12*Inputs!$F$40</f>
        <v/>
      </c>
      <c r="AC62" s="13">
        <f>Inputs!$F$155*AC21*Time!AC30/12*Inputs!$F$40</f>
        <v/>
      </c>
      <c r="AD62" s="13">
        <f>Inputs!$F$155*AD21*Time!AD30/12*Inputs!$F$40</f>
        <v/>
      </c>
      <c r="AE62" s="13">
        <f>Inputs!$F$155*AE21*Time!AE30/12*Inputs!$F$40</f>
        <v/>
      </c>
      <c r="AF62" s="13">
        <f>Inputs!$F$155*AF21*Time!AF30/12*Inputs!$F$40</f>
        <v/>
      </c>
      <c r="AG62" s="13">
        <f>Inputs!$F$155*AG21*Time!AG30/12*Inputs!$F$40</f>
        <v/>
      </c>
      <c r="AH62" s="13">
        <f>Inputs!$F$155*AH21*Time!AH30/12*Inputs!$F$40</f>
        <v/>
      </c>
      <c r="AI62" s="13">
        <f>Inputs!$F$155*AI21*Time!AI30/12*Inputs!$F$40</f>
        <v/>
      </c>
      <c r="AJ62" s="13">
        <f>Inputs!$F$155*AJ21*Time!AJ30/12*Inputs!$F$40</f>
        <v/>
      </c>
      <c r="AK62" s="13">
        <f>Inputs!$F$155*AK21*Time!AK30/12*Inputs!$F$40</f>
        <v/>
      </c>
      <c r="AL62" s="13">
        <f>Inputs!$F$155*AL21*Time!AL30/12*Inputs!$F$40</f>
        <v/>
      </c>
      <c r="AM62" s="13">
        <f>Inputs!$F$155*AM21*Time!AM30/12*Inputs!$F$40</f>
        <v/>
      </c>
      <c r="AN62" s="13">
        <f>Inputs!$F$155*AN21*Time!AN30/12*Inputs!$F$40</f>
        <v/>
      </c>
      <c r="AO62" s="13">
        <f>Inputs!$F$155*AO21*Time!AO30/12*Inputs!$F$40</f>
        <v/>
      </c>
      <c r="AP62" s="13">
        <f>Inputs!$F$155*AP21*Time!AP30/12*Inputs!$F$40</f>
        <v/>
      </c>
      <c r="AQ62" s="13">
        <f>Inputs!$F$155*AQ21*Time!AQ30/12*Inputs!$F$40</f>
        <v/>
      </c>
      <c r="AR62" s="13">
        <f>Inputs!$F$155*AR21*Time!AR30/12*Inputs!$F$40</f>
        <v/>
      </c>
      <c r="AS62" s="13">
        <f>Inputs!$F$155*AS21*Time!AS30/12*Inputs!$F$40</f>
        <v/>
      </c>
      <c r="AT62" s="13">
        <f>Inputs!$F$155*AT21*Time!AT30/12*Inputs!$F$40</f>
        <v/>
      </c>
      <c r="AU62" s="13">
        <f>Inputs!$F$155*AU21*Time!AU30/12*Inputs!$F$40</f>
        <v/>
      </c>
      <c r="AV62" s="13">
        <f>Inputs!$F$155*AV21*Time!AV30/12*Inputs!$F$40</f>
        <v/>
      </c>
      <c r="AW62" s="13">
        <f>Inputs!$F$155*AW21*Time!AW30/12*Inputs!$F$40</f>
        <v/>
      </c>
      <c r="AX62" s="13">
        <f>Inputs!$F$155*AX21*Time!AX30/12*Inputs!$F$40</f>
        <v/>
      </c>
      <c r="AY62" s="13">
        <f>Inputs!$F$155*AY21*Time!AY30/12*Inputs!$F$40</f>
        <v/>
      </c>
      <c r="AZ62" s="13">
        <f>Inputs!$F$155*AZ21*Time!AZ30/12*Inputs!$F$40</f>
        <v/>
      </c>
      <c r="BA62" s="13">
        <f>Inputs!$F$155*BA21*Time!BA30/12*Inputs!$F$40</f>
        <v/>
      </c>
      <c r="BB62" s="13">
        <f>Inputs!$F$155*BB21*Time!BB30/12*Inputs!$F$40</f>
        <v/>
      </c>
      <c r="BC62" s="13">
        <f>Inputs!$F$155*BC21*Time!BC30/12*Inputs!$F$40</f>
        <v/>
      </c>
      <c r="BD62" s="13">
        <f>Inputs!$F$155*BD21*Time!BD30/12*Inputs!$F$40</f>
        <v/>
      </c>
      <c r="BE62" s="13">
        <f>Inputs!$F$155*BE21*Time!BE30/12*Inputs!$F$40</f>
        <v/>
      </c>
      <c r="BF62" s="13">
        <f>Inputs!$F$155*BF21*Time!BF30/12*Inputs!$F$40</f>
        <v/>
      </c>
      <c r="BG62" s="13">
        <f>Inputs!$F$155*BG21*Time!BG30/12*Inputs!$F$40</f>
        <v/>
      </c>
      <c r="BH62" s="13">
        <f>Inputs!$F$155*BH21*Time!BH30/12*Inputs!$F$40</f>
        <v/>
      </c>
      <c r="BI62" s="13">
        <f>Inputs!$F$155*BI21*Time!BI30/12*Inputs!$F$40</f>
        <v/>
      </c>
      <c r="BJ62" s="13">
        <f>Inputs!$F$155*BJ21*Time!BJ30/12*Inputs!$F$40</f>
        <v/>
      </c>
      <c r="BK62" s="13">
        <f>Inputs!$F$155*BK21*Time!BK30/12*Inputs!$F$40</f>
        <v/>
      </c>
      <c r="BL62" s="13">
        <f>Inputs!$F$155*BL21*Time!BL30/12*Inputs!$F$40</f>
        <v/>
      </c>
      <c r="BM62" s="13">
        <f>Inputs!$F$155*BM21*Time!BM30/12*Inputs!$F$40</f>
        <v/>
      </c>
      <c r="BN62" s="13">
        <f>Inputs!$F$155*BN21*Time!BN30/12*Inputs!$F$40</f>
        <v/>
      </c>
    </row>
    <row r="63">
      <c r="D63" t="inlineStr">
        <is>
          <t>Equivalent operating hours (2 GTs)</t>
        </is>
      </c>
      <c r="E63" t="inlineStr">
        <is>
          <t>EOH</t>
        </is>
      </c>
      <c r="J63" s="15">
        <f>IF(J31&gt;0,Inputs!$F$258*(Inputs!$F$129*J32/J31*J37/Inputs!$F$131+Inputs!$F$130*Inputs!$F$132)*Time!J30/12,0)</f>
        <v/>
      </c>
      <c r="K63" s="15">
        <f>IF(K31&gt;0,Inputs!$F$258*(Inputs!$F$129*K32/K31*K37/Inputs!$F$131+Inputs!$F$130*Inputs!$F$132)*Time!K30/12,0)</f>
        <v/>
      </c>
      <c r="L63" s="15">
        <f>IF(L31&gt;0,Inputs!$F$258*(Inputs!$F$129*L32/L31*L37/Inputs!$F$131+Inputs!$F$130*Inputs!$F$132)*Time!L30/12,0)</f>
        <v/>
      </c>
      <c r="M63" s="15">
        <f>IF(M31&gt;0,Inputs!$F$258*(Inputs!$F$129*M32/M31*M37/Inputs!$F$131+Inputs!$F$130*Inputs!$F$132)*Time!M30/12,0)</f>
        <v/>
      </c>
      <c r="N63" s="15">
        <f>IF(N31&gt;0,Inputs!$F$258*(Inputs!$F$129*N32/N31*N37/Inputs!$F$131+Inputs!$F$130*Inputs!$F$132)*Time!N30/12,0)</f>
        <v/>
      </c>
      <c r="O63" s="15">
        <f>IF(O31&gt;0,Inputs!$F$258*(Inputs!$F$129*O32/O31*O37/Inputs!$F$131+Inputs!$F$130*Inputs!$F$132)*Time!O30/12,0)</f>
        <v/>
      </c>
      <c r="P63" s="15">
        <f>IF(P31&gt;0,Inputs!$F$258*(Inputs!$F$129*P32/P31*P37/Inputs!$F$131+Inputs!$F$130*Inputs!$F$132)*Time!P30/12,0)</f>
        <v/>
      </c>
      <c r="Q63" s="15">
        <f>IF(Q31&gt;0,Inputs!$F$258*(Inputs!$F$129*Q32/Q31*Q37/Inputs!$F$131+Inputs!$F$130*Inputs!$F$132)*Time!Q30/12,0)</f>
        <v/>
      </c>
      <c r="R63" s="15">
        <f>IF(R31&gt;0,Inputs!$F$258*(Inputs!$F$129*R32/R31*R37/Inputs!$F$131+Inputs!$F$130*Inputs!$F$132)*Time!R30/12,0)</f>
        <v/>
      </c>
      <c r="S63" s="15">
        <f>IF(S31&gt;0,Inputs!$F$258*(Inputs!$F$129*S32/S31*S37/Inputs!$F$131+Inputs!$F$130*Inputs!$F$132)*Time!S30/12,0)</f>
        <v/>
      </c>
      <c r="T63" s="15">
        <f>IF(T31&gt;0,Inputs!$F$258*(Inputs!$F$129*T32/T31*T37/Inputs!$F$131+Inputs!$F$130*Inputs!$F$132)*Time!T30/12,0)</f>
        <v/>
      </c>
      <c r="U63" s="15">
        <f>IF(U31&gt;0,Inputs!$F$258*(Inputs!$F$129*U32/U31*U37/Inputs!$F$131+Inputs!$F$130*Inputs!$F$132)*Time!U30/12,0)</f>
        <v/>
      </c>
      <c r="V63" s="15">
        <f>IF(V31&gt;0,Inputs!$F$258*(Inputs!$F$129*V32/V31*V37/Inputs!$F$131+Inputs!$F$130*Inputs!$F$132)*Time!V30/12,0)</f>
        <v/>
      </c>
      <c r="W63" s="15">
        <f>IF(W31&gt;0,Inputs!$F$258*(Inputs!$F$129*W32/W31*W37/Inputs!$F$131+Inputs!$F$130*Inputs!$F$132)*Time!W30/12,0)</f>
        <v/>
      </c>
      <c r="X63" s="15">
        <f>IF(X31&gt;0,Inputs!$F$258*(Inputs!$F$129*X32/X31*X37/Inputs!$F$131+Inputs!$F$130*Inputs!$F$132)*Time!X30/12,0)</f>
        <v/>
      </c>
      <c r="Y63" s="15">
        <f>IF(Y31&gt;0,Inputs!$F$258*(Inputs!$F$129*Y32/Y31*Y37/Inputs!$F$131+Inputs!$F$130*Inputs!$F$132)*Time!Y30/12,0)</f>
        <v/>
      </c>
      <c r="Z63" s="15">
        <f>IF(Z31&gt;0,Inputs!$F$258*(Inputs!$F$129*Z32/Z31*Z37/Inputs!$F$131+Inputs!$F$130*Inputs!$F$132)*Time!Z30/12,0)</f>
        <v/>
      </c>
      <c r="AA63" s="15">
        <f>IF(AA31&gt;0,Inputs!$F$258*(Inputs!$F$129*AA32/AA31*AA37/Inputs!$F$131+Inputs!$F$130*Inputs!$F$132)*Time!AA30/12,0)</f>
        <v/>
      </c>
      <c r="AB63" s="15">
        <f>IF(AB31&gt;0,Inputs!$F$258*(Inputs!$F$129*AB32/AB31*AB37/Inputs!$F$131+Inputs!$F$130*Inputs!$F$132)*Time!AB30/12,0)</f>
        <v/>
      </c>
      <c r="AC63" s="15">
        <f>IF(AC31&gt;0,Inputs!$F$258*(Inputs!$F$129*AC32/AC31*AC37/Inputs!$F$131+Inputs!$F$130*Inputs!$F$132)*Time!AC30/12,0)</f>
        <v/>
      </c>
      <c r="AD63" s="15">
        <f>IF(AD31&gt;0,Inputs!$F$258*(Inputs!$F$129*AD32/AD31*AD37/Inputs!$F$131+Inputs!$F$130*Inputs!$F$132)*Time!AD30/12,0)</f>
        <v/>
      </c>
      <c r="AE63" s="15">
        <f>IF(AE31&gt;0,Inputs!$F$258*(Inputs!$F$129*AE32/AE31*AE37/Inputs!$F$131+Inputs!$F$130*Inputs!$F$132)*Time!AE30/12,0)</f>
        <v/>
      </c>
      <c r="AF63" s="15">
        <f>IF(AF31&gt;0,Inputs!$F$258*(Inputs!$F$129*AF32/AF31*AF37/Inputs!$F$131+Inputs!$F$130*Inputs!$F$132)*Time!AF30/12,0)</f>
        <v/>
      </c>
      <c r="AG63" s="15">
        <f>IF(AG31&gt;0,Inputs!$F$258*(Inputs!$F$129*AG32/AG31*AG37/Inputs!$F$131+Inputs!$F$130*Inputs!$F$132)*Time!AG30/12,0)</f>
        <v/>
      </c>
      <c r="AH63" s="15">
        <f>IF(AH31&gt;0,Inputs!$F$258*(Inputs!$F$129*AH32/AH31*AH37/Inputs!$F$131+Inputs!$F$130*Inputs!$F$132)*Time!AH30/12,0)</f>
        <v/>
      </c>
      <c r="AI63" s="15">
        <f>IF(AI31&gt;0,Inputs!$F$258*(Inputs!$F$129*AI32/AI31*AI37/Inputs!$F$131+Inputs!$F$130*Inputs!$F$132)*Time!AI30/12,0)</f>
        <v/>
      </c>
      <c r="AJ63" s="15">
        <f>IF(AJ31&gt;0,Inputs!$F$258*(Inputs!$F$129*AJ32/AJ31*AJ37/Inputs!$F$131+Inputs!$F$130*Inputs!$F$132)*Time!AJ30/12,0)</f>
        <v/>
      </c>
      <c r="AK63" s="15">
        <f>IF(AK31&gt;0,Inputs!$F$258*(Inputs!$F$129*AK32/AK31*AK37/Inputs!$F$131+Inputs!$F$130*Inputs!$F$132)*Time!AK30/12,0)</f>
        <v/>
      </c>
      <c r="AL63" s="15">
        <f>IF(AL31&gt;0,Inputs!$F$258*(Inputs!$F$129*AL32/AL31*AL37/Inputs!$F$131+Inputs!$F$130*Inputs!$F$132)*Time!AL30/12,0)</f>
        <v/>
      </c>
      <c r="AM63" s="15">
        <f>IF(AM31&gt;0,Inputs!$F$258*(Inputs!$F$129*AM32/AM31*AM37/Inputs!$F$131+Inputs!$F$130*Inputs!$F$132)*Time!AM30/12,0)</f>
        <v/>
      </c>
      <c r="AN63" s="15">
        <f>IF(AN31&gt;0,Inputs!$F$258*(Inputs!$F$129*AN32/AN31*AN37/Inputs!$F$131+Inputs!$F$130*Inputs!$F$132)*Time!AN30/12,0)</f>
        <v/>
      </c>
      <c r="AO63" s="15">
        <f>IF(AO31&gt;0,Inputs!$F$258*(Inputs!$F$129*AO32/AO31*AO37/Inputs!$F$131+Inputs!$F$130*Inputs!$F$132)*Time!AO30/12,0)</f>
        <v/>
      </c>
      <c r="AP63" s="15">
        <f>IF(AP31&gt;0,Inputs!$F$258*(Inputs!$F$129*AP32/AP31*AP37/Inputs!$F$131+Inputs!$F$130*Inputs!$F$132)*Time!AP30/12,0)</f>
        <v/>
      </c>
      <c r="AQ63" s="15">
        <f>IF(AQ31&gt;0,Inputs!$F$258*(Inputs!$F$129*AQ32/AQ31*AQ37/Inputs!$F$131+Inputs!$F$130*Inputs!$F$132)*Time!AQ30/12,0)</f>
        <v/>
      </c>
      <c r="AR63" s="15">
        <f>IF(AR31&gt;0,Inputs!$F$258*(Inputs!$F$129*AR32/AR31*AR37/Inputs!$F$131+Inputs!$F$130*Inputs!$F$132)*Time!AR30/12,0)</f>
        <v/>
      </c>
      <c r="AS63" s="15">
        <f>IF(AS31&gt;0,Inputs!$F$258*(Inputs!$F$129*AS32/AS31*AS37/Inputs!$F$131+Inputs!$F$130*Inputs!$F$132)*Time!AS30/12,0)</f>
        <v/>
      </c>
      <c r="AT63" s="15">
        <f>IF(AT31&gt;0,Inputs!$F$258*(Inputs!$F$129*AT32/AT31*AT37/Inputs!$F$131+Inputs!$F$130*Inputs!$F$132)*Time!AT30/12,0)</f>
        <v/>
      </c>
      <c r="AU63" s="15">
        <f>IF(AU31&gt;0,Inputs!$F$258*(Inputs!$F$129*AU32/AU31*AU37/Inputs!$F$131+Inputs!$F$130*Inputs!$F$132)*Time!AU30/12,0)</f>
        <v/>
      </c>
      <c r="AV63" s="15">
        <f>IF(AV31&gt;0,Inputs!$F$258*(Inputs!$F$129*AV32/AV31*AV37/Inputs!$F$131+Inputs!$F$130*Inputs!$F$132)*Time!AV30/12,0)</f>
        <v/>
      </c>
      <c r="AW63" s="15">
        <f>IF(AW31&gt;0,Inputs!$F$258*(Inputs!$F$129*AW32/AW31*AW37/Inputs!$F$131+Inputs!$F$130*Inputs!$F$132)*Time!AW30/12,0)</f>
        <v/>
      </c>
      <c r="AX63" s="15">
        <f>IF(AX31&gt;0,Inputs!$F$258*(Inputs!$F$129*AX32/AX31*AX37/Inputs!$F$131+Inputs!$F$130*Inputs!$F$132)*Time!AX30/12,0)</f>
        <v/>
      </c>
      <c r="AY63" s="15">
        <f>IF(AY31&gt;0,Inputs!$F$258*(Inputs!$F$129*AY32/AY31*AY37/Inputs!$F$131+Inputs!$F$130*Inputs!$F$132)*Time!AY30/12,0)</f>
        <v/>
      </c>
      <c r="AZ63" s="15">
        <f>IF(AZ31&gt;0,Inputs!$F$258*(Inputs!$F$129*AZ32/AZ31*AZ37/Inputs!$F$131+Inputs!$F$130*Inputs!$F$132)*Time!AZ30/12,0)</f>
        <v/>
      </c>
      <c r="BA63" s="15">
        <f>IF(BA31&gt;0,Inputs!$F$258*(Inputs!$F$129*BA32/BA31*BA37/Inputs!$F$131+Inputs!$F$130*Inputs!$F$132)*Time!BA30/12,0)</f>
        <v/>
      </c>
      <c r="BB63" s="15">
        <f>IF(BB31&gt;0,Inputs!$F$258*(Inputs!$F$129*BB32/BB31*BB37/Inputs!$F$131+Inputs!$F$130*Inputs!$F$132)*Time!BB30/12,0)</f>
        <v/>
      </c>
      <c r="BC63" s="15">
        <f>IF(BC31&gt;0,Inputs!$F$258*(Inputs!$F$129*BC32/BC31*BC37/Inputs!$F$131+Inputs!$F$130*Inputs!$F$132)*Time!BC30/12,0)</f>
        <v/>
      </c>
      <c r="BD63" s="15">
        <f>IF(BD31&gt;0,Inputs!$F$258*(Inputs!$F$129*BD32/BD31*BD37/Inputs!$F$131+Inputs!$F$130*Inputs!$F$132)*Time!BD30/12,0)</f>
        <v/>
      </c>
      <c r="BE63" s="15">
        <f>IF(BE31&gt;0,Inputs!$F$258*(Inputs!$F$129*BE32/BE31*BE37/Inputs!$F$131+Inputs!$F$130*Inputs!$F$132)*Time!BE30/12,0)</f>
        <v/>
      </c>
      <c r="BF63" s="15">
        <f>IF(BF31&gt;0,Inputs!$F$258*(Inputs!$F$129*BF32/BF31*BF37/Inputs!$F$131+Inputs!$F$130*Inputs!$F$132)*Time!BF30/12,0)</f>
        <v/>
      </c>
      <c r="BG63" s="15">
        <f>IF(BG31&gt;0,Inputs!$F$258*(Inputs!$F$129*BG32/BG31*BG37/Inputs!$F$131+Inputs!$F$130*Inputs!$F$132)*Time!BG30/12,0)</f>
        <v/>
      </c>
      <c r="BH63" s="15">
        <f>IF(BH31&gt;0,Inputs!$F$258*(Inputs!$F$129*BH32/BH31*BH37/Inputs!$F$131+Inputs!$F$130*Inputs!$F$132)*Time!BH30/12,0)</f>
        <v/>
      </c>
      <c r="BI63" s="15">
        <f>IF(BI31&gt;0,Inputs!$F$258*(Inputs!$F$129*BI32/BI31*BI37/Inputs!$F$131+Inputs!$F$130*Inputs!$F$132)*Time!BI30/12,0)</f>
        <v/>
      </c>
      <c r="BJ63" s="15">
        <f>IF(BJ31&gt;0,Inputs!$F$258*(Inputs!$F$129*BJ32/BJ31*BJ37/Inputs!$F$131+Inputs!$F$130*Inputs!$F$132)*Time!BJ30/12,0)</f>
        <v/>
      </c>
      <c r="BK63" s="15">
        <f>IF(BK31&gt;0,Inputs!$F$258*(Inputs!$F$129*BK32/BK31*BK37/Inputs!$F$131+Inputs!$F$130*Inputs!$F$132)*Time!BK30/12,0)</f>
        <v/>
      </c>
      <c r="BL63" s="15">
        <f>IF(BL31&gt;0,Inputs!$F$258*(Inputs!$F$129*BL32/BL31*BL37/Inputs!$F$131+Inputs!$F$130*Inputs!$F$132)*Time!BL30/12,0)</f>
        <v/>
      </c>
      <c r="BM63" s="15">
        <f>IF(BM31&gt;0,Inputs!$F$258*(Inputs!$F$129*BM32/BM31*BM37/Inputs!$F$131+Inputs!$F$130*Inputs!$F$132)*Time!BM30/12,0)</f>
        <v/>
      </c>
      <c r="BN63" s="15">
        <f>IF(BN31&gt;0,Inputs!$F$258*(Inputs!$F$129*BN32/BN31*BN37/Inputs!$F$131+Inputs!$F$130*Inputs!$F$132)*Time!BN30/12,0)</f>
        <v/>
      </c>
    </row>
    <row r="64">
      <c r="D64" t="inlineStr">
        <is>
          <t>LTSA variable fee</t>
        </is>
      </c>
      <c r="E64" t="inlineStr">
        <is>
          <t>USD m</t>
        </is>
      </c>
      <c r="G64" s="13">
        <f>SUM(J64:BN64)</f>
        <v/>
      </c>
      <c r="J64" s="13">
        <f>J63*Inputs!$F$156*J21/1000000</f>
        <v/>
      </c>
      <c r="K64" s="13">
        <f>K63*Inputs!$F$156*K21/1000000</f>
        <v/>
      </c>
      <c r="L64" s="13">
        <f>L63*Inputs!$F$156*L21/1000000</f>
        <v/>
      </c>
      <c r="M64" s="13">
        <f>M63*Inputs!$F$156*M21/1000000</f>
        <v/>
      </c>
      <c r="N64" s="13">
        <f>N63*Inputs!$F$156*N21/1000000</f>
        <v/>
      </c>
      <c r="O64" s="13">
        <f>O63*Inputs!$F$156*O21/1000000</f>
        <v/>
      </c>
      <c r="P64" s="13">
        <f>P63*Inputs!$F$156*P21/1000000</f>
        <v/>
      </c>
      <c r="Q64" s="13">
        <f>Q63*Inputs!$F$156*Q21/1000000</f>
        <v/>
      </c>
      <c r="R64" s="13">
        <f>R63*Inputs!$F$156*R21/1000000</f>
        <v/>
      </c>
      <c r="S64" s="13">
        <f>S63*Inputs!$F$156*S21/1000000</f>
        <v/>
      </c>
      <c r="T64" s="13">
        <f>T63*Inputs!$F$156*T21/1000000</f>
        <v/>
      </c>
      <c r="U64" s="13">
        <f>U63*Inputs!$F$156*U21/1000000</f>
        <v/>
      </c>
      <c r="V64" s="13">
        <f>V63*Inputs!$F$156*V21/1000000</f>
        <v/>
      </c>
      <c r="W64" s="13">
        <f>W63*Inputs!$F$156*W21/1000000</f>
        <v/>
      </c>
      <c r="X64" s="13">
        <f>X63*Inputs!$F$156*X21/1000000</f>
        <v/>
      </c>
      <c r="Y64" s="13">
        <f>Y63*Inputs!$F$156*Y21/1000000</f>
        <v/>
      </c>
      <c r="Z64" s="13">
        <f>Z63*Inputs!$F$156*Z21/1000000</f>
        <v/>
      </c>
      <c r="AA64" s="13">
        <f>AA63*Inputs!$F$156*AA21/1000000</f>
        <v/>
      </c>
      <c r="AB64" s="13">
        <f>AB63*Inputs!$F$156*AB21/1000000</f>
        <v/>
      </c>
      <c r="AC64" s="13">
        <f>AC63*Inputs!$F$156*AC21/1000000</f>
        <v/>
      </c>
      <c r="AD64" s="13">
        <f>AD63*Inputs!$F$156*AD21/1000000</f>
        <v/>
      </c>
      <c r="AE64" s="13">
        <f>AE63*Inputs!$F$156*AE21/1000000</f>
        <v/>
      </c>
      <c r="AF64" s="13">
        <f>AF63*Inputs!$F$156*AF21/1000000</f>
        <v/>
      </c>
      <c r="AG64" s="13">
        <f>AG63*Inputs!$F$156*AG21/1000000</f>
        <v/>
      </c>
      <c r="AH64" s="13">
        <f>AH63*Inputs!$F$156*AH21/1000000</f>
        <v/>
      </c>
      <c r="AI64" s="13">
        <f>AI63*Inputs!$F$156*AI21/1000000</f>
        <v/>
      </c>
      <c r="AJ64" s="13">
        <f>AJ63*Inputs!$F$156*AJ21/1000000</f>
        <v/>
      </c>
      <c r="AK64" s="13">
        <f>AK63*Inputs!$F$156*AK21/1000000</f>
        <v/>
      </c>
      <c r="AL64" s="13">
        <f>AL63*Inputs!$F$156*AL21/1000000</f>
        <v/>
      </c>
      <c r="AM64" s="13">
        <f>AM63*Inputs!$F$156*AM21/1000000</f>
        <v/>
      </c>
      <c r="AN64" s="13">
        <f>AN63*Inputs!$F$156*AN21/1000000</f>
        <v/>
      </c>
      <c r="AO64" s="13">
        <f>AO63*Inputs!$F$156*AO21/1000000</f>
        <v/>
      </c>
      <c r="AP64" s="13">
        <f>AP63*Inputs!$F$156*AP21/1000000</f>
        <v/>
      </c>
      <c r="AQ64" s="13">
        <f>AQ63*Inputs!$F$156*AQ21/1000000</f>
        <v/>
      </c>
      <c r="AR64" s="13">
        <f>AR63*Inputs!$F$156*AR21/1000000</f>
        <v/>
      </c>
      <c r="AS64" s="13">
        <f>AS63*Inputs!$F$156*AS21/1000000</f>
        <v/>
      </c>
      <c r="AT64" s="13">
        <f>AT63*Inputs!$F$156*AT21/1000000</f>
        <v/>
      </c>
      <c r="AU64" s="13">
        <f>AU63*Inputs!$F$156*AU21/1000000</f>
        <v/>
      </c>
      <c r="AV64" s="13">
        <f>AV63*Inputs!$F$156*AV21/1000000</f>
        <v/>
      </c>
      <c r="AW64" s="13">
        <f>AW63*Inputs!$F$156*AW21/1000000</f>
        <v/>
      </c>
      <c r="AX64" s="13">
        <f>AX63*Inputs!$F$156*AX21/1000000</f>
        <v/>
      </c>
      <c r="AY64" s="13">
        <f>AY63*Inputs!$F$156*AY21/1000000</f>
        <v/>
      </c>
      <c r="AZ64" s="13">
        <f>AZ63*Inputs!$F$156*AZ21/1000000</f>
        <v/>
      </c>
      <c r="BA64" s="13">
        <f>BA63*Inputs!$F$156*BA21/1000000</f>
        <v/>
      </c>
      <c r="BB64" s="13">
        <f>BB63*Inputs!$F$156*BB21/1000000</f>
        <v/>
      </c>
      <c r="BC64" s="13">
        <f>BC63*Inputs!$F$156*BC21/1000000</f>
        <v/>
      </c>
      <c r="BD64" s="13">
        <f>BD63*Inputs!$F$156*BD21/1000000</f>
        <v/>
      </c>
      <c r="BE64" s="13">
        <f>BE63*Inputs!$F$156*BE21/1000000</f>
        <v/>
      </c>
      <c r="BF64" s="13">
        <f>BF63*Inputs!$F$156*BF21/1000000</f>
        <v/>
      </c>
      <c r="BG64" s="13">
        <f>BG63*Inputs!$F$156*BG21/1000000</f>
        <v/>
      </c>
      <c r="BH64" s="13">
        <f>BH63*Inputs!$F$156*BH21/1000000</f>
        <v/>
      </c>
      <c r="BI64" s="13">
        <f>BI63*Inputs!$F$156*BI21/1000000</f>
        <v/>
      </c>
      <c r="BJ64" s="13">
        <f>BJ63*Inputs!$F$156*BJ21/1000000</f>
        <v/>
      </c>
      <c r="BK64" s="13">
        <f>BK63*Inputs!$F$156*BK21/1000000</f>
        <v/>
      </c>
      <c r="BL64" s="13">
        <f>BL63*Inputs!$F$156*BL21/1000000</f>
        <v/>
      </c>
      <c r="BM64" s="13">
        <f>BM63*Inputs!$F$156*BM21/1000000</f>
        <v/>
      </c>
      <c r="BN64" s="13">
        <f>BN63*Inputs!$F$156*BN21/1000000</f>
        <v/>
      </c>
    </row>
    <row r="65">
      <c r="D65" t="inlineStr">
        <is>
          <t>Operational insurance</t>
        </is>
      </c>
      <c r="E65" t="inlineStr">
        <is>
          <t>USD m</t>
        </is>
      </c>
      <c r="G65" s="13">
        <f>SUM(J65:BN65)</f>
        <v/>
      </c>
      <c r="J65" s="13">
        <f>Inputs!$F$157*J21*Time!J30/12*(1+Inputs!$F$158*Inputs!$F$46*Time!J41)*Inputs!$F$40</f>
        <v/>
      </c>
      <c r="K65" s="13">
        <f>Inputs!$F$157*K21*Time!K30/12*(1+Inputs!$F$158*Inputs!$F$46*Time!K41)*Inputs!$F$40</f>
        <v/>
      </c>
      <c r="L65" s="13">
        <f>Inputs!$F$157*L21*Time!L30/12*(1+Inputs!$F$158*Inputs!$F$46*Time!L41)*Inputs!$F$40</f>
        <v/>
      </c>
      <c r="M65" s="13">
        <f>Inputs!$F$157*M21*Time!M30/12*(1+Inputs!$F$158*Inputs!$F$46*Time!M41)*Inputs!$F$40</f>
        <v/>
      </c>
      <c r="N65" s="13">
        <f>Inputs!$F$157*N21*Time!N30/12*(1+Inputs!$F$158*Inputs!$F$46*Time!N41)*Inputs!$F$40</f>
        <v/>
      </c>
      <c r="O65" s="13">
        <f>Inputs!$F$157*O21*Time!O30/12*(1+Inputs!$F$158*Inputs!$F$46*Time!O41)*Inputs!$F$40</f>
        <v/>
      </c>
      <c r="P65" s="13">
        <f>Inputs!$F$157*P21*Time!P30/12*(1+Inputs!$F$158*Inputs!$F$46*Time!P41)*Inputs!$F$40</f>
        <v/>
      </c>
      <c r="Q65" s="13">
        <f>Inputs!$F$157*Q21*Time!Q30/12*(1+Inputs!$F$158*Inputs!$F$46*Time!Q41)*Inputs!$F$40</f>
        <v/>
      </c>
      <c r="R65" s="13">
        <f>Inputs!$F$157*R21*Time!R30/12*(1+Inputs!$F$158*Inputs!$F$46*Time!R41)*Inputs!$F$40</f>
        <v/>
      </c>
      <c r="S65" s="13">
        <f>Inputs!$F$157*S21*Time!S30/12*(1+Inputs!$F$158*Inputs!$F$46*Time!S41)*Inputs!$F$40</f>
        <v/>
      </c>
      <c r="T65" s="13">
        <f>Inputs!$F$157*T21*Time!T30/12*(1+Inputs!$F$158*Inputs!$F$46*Time!T41)*Inputs!$F$40</f>
        <v/>
      </c>
      <c r="U65" s="13">
        <f>Inputs!$F$157*U21*Time!U30/12*(1+Inputs!$F$158*Inputs!$F$46*Time!U41)*Inputs!$F$40</f>
        <v/>
      </c>
      <c r="V65" s="13">
        <f>Inputs!$F$157*V21*Time!V30/12*(1+Inputs!$F$158*Inputs!$F$46*Time!V41)*Inputs!$F$40</f>
        <v/>
      </c>
      <c r="W65" s="13">
        <f>Inputs!$F$157*W21*Time!W30/12*(1+Inputs!$F$158*Inputs!$F$46*Time!W41)*Inputs!$F$40</f>
        <v/>
      </c>
      <c r="X65" s="13">
        <f>Inputs!$F$157*X21*Time!X30/12*(1+Inputs!$F$158*Inputs!$F$46*Time!X41)*Inputs!$F$40</f>
        <v/>
      </c>
      <c r="Y65" s="13">
        <f>Inputs!$F$157*Y21*Time!Y30/12*(1+Inputs!$F$158*Inputs!$F$46*Time!Y41)*Inputs!$F$40</f>
        <v/>
      </c>
      <c r="Z65" s="13">
        <f>Inputs!$F$157*Z21*Time!Z30/12*(1+Inputs!$F$158*Inputs!$F$46*Time!Z41)*Inputs!$F$40</f>
        <v/>
      </c>
      <c r="AA65" s="13">
        <f>Inputs!$F$157*AA21*Time!AA30/12*(1+Inputs!$F$158*Inputs!$F$46*Time!AA41)*Inputs!$F$40</f>
        <v/>
      </c>
      <c r="AB65" s="13">
        <f>Inputs!$F$157*AB21*Time!AB30/12*(1+Inputs!$F$158*Inputs!$F$46*Time!AB41)*Inputs!$F$40</f>
        <v/>
      </c>
      <c r="AC65" s="13">
        <f>Inputs!$F$157*AC21*Time!AC30/12*(1+Inputs!$F$158*Inputs!$F$46*Time!AC41)*Inputs!$F$40</f>
        <v/>
      </c>
      <c r="AD65" s="13">
        <f>Inputs!$F$157*AD21*Time!AD30/12*(1+Inputs!$F$158*Inputs!$F$46*Time!AD41)*Inputs!$F$40</f>
        <v/>
      </c>
      <c r="AE65" s="13">
        <f>Inputs!$F$157*AE21*Time!AE30/12*(1+Inputs!$F$158*Inputs!$F$46*Time!AE41)*Inputs!$F$40</f>
        <v/>
      </c>
      <c r="AF65" s="13">
        <f>Inputs!$F$157*AF21*Time!AF30/12*(1+Inputs!$F$158*Inputs!$F$46*Time!AF41)*Inputs!$F$40</f>
        <v/>
      </c>
      <c r="AG65" s="13">
        <f>Inputs!$F$157*AG21*Time!AG30/12*(1+Inputs!$F$158*Inputs!$F$46*Time!AG41)*Inputs!$F$40</f>
        <v/>
      </c>
      <c r="AH65" s="13">
        <f>Inputs!$F$157*AH21*Time!AH30/12*(1+Inputs!$F$158*Inputs!$F$46*Time!AH41)*Inputs!$F$40</f>
        <v/>
      </c>
      <c r="AI65" s="13">
        <f>Inputs!$F$157*AI21*Time!AI30/12*(1+Inputs!$F$158*Inputs!$F$46*Time!AI41)*Inputs!$F$40</f>
        <v/>
      </c>
      <c r="AJ65" s="13">
        <f>Inputs!$F$157*AJ21*Time!AJ30/12*(1+Inputs!$F$158*Inputs!$F$46*Time!AJ41)*Inputs!$F$40</f>
        <v/>
      </c>
      <c r="AK65" s="13">
        <f>Inputs!$F$157*AK21*Time!AK30/12*(1+Inputs!$F$158*Inputs!$F$46*Time!AK41)*Inputs!$F$40</f>
        <v/>
      </c>
      <c r="AL65" s="13">
        <f>Inputs!$F$157*AL21*Time!AL30/12*(1+Inputs!$F$158*Inputs!$F$46*Time!AL41)*Inputs!$F$40</f>
        <v/>
      </c>
      <c r="AM65" s="13">
        <f>Inputs!$F$157*AM21*Time!AM30/12*(1+Inputs!$F$158*Inputs!$F$46*Time!AM41)*Inputs!$F$40</f>
        <v/>
      </c>
      <c r="AN65" s="13">
        <f>Inputs!$F$157*AN21*Time!AN30/12*(1+Inputs!$F$158*Inputs!$F$46*Time!AN41)*Inputs!$F$40</f>
        <v/>
      </c>
      <c r="AO65" s="13">
        <f>Inputs!$F$157*AO21*Time!AO30/12*(1+Inputs!$F$158*Inputs!$F$46*Time!AO41)*Inputs!$F$40</f>
        <v/>
      </c>
      <c r="AP65" s="13">
        <f>Inputs!$F$157*AP21*Time!AP30/12*(1+Inputs!$F$158*Inputs!$F$46*Time!AP41)*Inputs!$F$40</f>
        <v/>
      </c>
      <c r="AQ65" s="13">
        <f>Inputs!$F$157*AQ21*Time!AQ30/12*(1+Inputs!$F$158*Inputs!$F$46*Time!AQ41)*Inputs!$F$40</f>
        <v/>
      </c>
      <c r="AR65" s="13">
        <f>Inputs!$F$157*AR21*Time!AR30/12*(1+Inputs!$F$158*Inputs!$F$46*Time!AR41)*Inputs!$F$40</f>
        <v/>
      </c>
      <c r="AS65" s="13">
        <f>Inputs!$F$157*AS21*Time!AS30/12*(1+Inputs!$F$158*Inputs!$F$46*Time!AS41)*Inputs!$F$40</f>
        <v/>
      </c>
      <c r="AT65" s="13">
        <f>Inputs!$F$157*AT21*Time!AT30/12*(1+Inputs!$F$158*Inputs!$F$46*Time!AT41)*Inputs!$F$40</f>
        <v/>
      </c>
      <c r="AU65" s="13">
        <f>Inputs!$F$157*AU21*Time!AU30/12*(1+Inputs!$F$158*Inputs!$F$46*Time!AU41)*Inputs!$F$40</f>
        <v/>
      </c>
      <c r="AV65" s="13">
        <f>Inputs!$F$157*AV21*Time!AV30/12*(1+Inputs!$F$158*Inputs!$F$46*Time!AV41)*Inputs!$F$40</f>
        <v/>
      </c>
      <c r="AW65" s="13">
        <f>Inputs!$F$157*AW21*Time!AW30/12*(1+Inputs!$F$158*Inputs!$F$46*Time!AW41)*Inputs!$F$40</f>
        <v/>
      </c>
      <c r="AX65" s="13">
        <f>Inputs!$F$157*AX21*Time!AX30/12*(1+Inputs!$F$158*Inputs!$F$46*Time!AX41)*Inputs!$F$40</f>
        <v/>
      </c>
      <c r="AY65" s="13">
        <f>Inputs!$F$157*AY21*Time!AY30/12*(1+Inputs!$F$158*Inputs!$F$46*Time!AY41)*Inputs!$F$40</f>
        <v/>
      </c>
      <c r="AZ65" s="13">
        <f>Inputs!$F$157*AZ21*Time!AZ30/12*(1+Inputs!$F$158*Inputs!$F$46*Time!AZ41)*Inputs!$F$40</f>
        <v/>
      </c>
      <c r="BA65" s="13">
        <f>Inputs!$F$157*BA21*Time!BA30/12*(1+Inputs!$F$158*Inputs!$F$46*Time!BA41)*Inputs!$F$40</f>
        <v/>
      </c>
      <c r="BB65" s="13">
        <f>Inputs!$F$157*BB21*Time!BB30/12*(1+Inputs!$F$158*Inputs!$F$46*Time!BB41)*Inputs!$F$40</f>
        <v/>
      </c>
      <c r="BC65" s="13">
        <f>Inputs!$F$157*BC21*Time!BC30/12*(1+Inputs!$F$158*Inputs!$F$46*Time!BC41)*Inputs!$F$40</f>
        <v/>
      </c>
      <c r="BD65" s="13">
        <f>Inputs!$F$157*BD21*Time!BD30/12*(1+Inputs!$F$158*Inputs!$F$46*Time!BD41)*Inputs!$F$40</f>
        <v/>
      </c>
      <c r="BE65" s="13">
        <f>Inputs!$F$157*BE21*Time!BE30/12*(1+Inputs!$F$158*Inputs!$F$46*Time!BE41)*Inputs!$F$40</f>
        <v/>
      </c>
      <c r="BF65" s="13">
        <f>Inputs!$F$157*BF21*Time!BF30/12*(1+Inputs!$F$158*Inputs!$F$46*Time!BF41)*Inputs!$F$40</f>
        <v/>
      </c>
      <c r="BG65" s="13">
        <f>Inputs!$F$157*BG21*Time!BG30/12*(1+Inputs!$F$158*Inputs!$F$46*Time!BG41)*Inputs!$F$40</f>
        <v/>
      </c>
      <c r="BH65" s="13">
        <f>Inputs!$F$157*BH21*Time!BH30/12*(1+Inputs!$F$158*Inputs!$F$46*Time!BH41)*Inputs!$F$40</f>
        <v/>
      </c>
      <c r="BI65" s="13">
        <f>Inputs!$F$157*BI21*Time!BI30/12*(1+Inputs!$F$158*Inputs!$F$46*Time!BI41)*Inputs!$F$40</f>
        <v/>
      </c>
      <c r="BJ65" s="13">
        <f>Inputs!$F$157*BJ21*Time!BJ30/12*(1+Inputs!$F$158*Inputs!$F$46*Time!BJ41)*Inputs!$F$40</f>
        <v/>
      </c>
      <c r="BK65" s="13">
        <f>Inputs!$F$157*BK21*Time!BK30/12*(1+Inputs!$F$158*Inputs!$F$46*Time!BK41)*Inputs!$F$40</f>
        <v/>
      </c>
      <c r="BL65" s="13">
        <f>Inputs!$F$157*BL21*Time!BL30/12*(1+Inputs!$F$158*Inputs!$F$46*Time!BL41)*Inputs!$F$40</f>
        <v/>
      </c>
      <c r="BM65" s="13">
        <f>Inputs!$F$157*BM21*Time!BM30/12*(1+Inputs!$F$158*Inputs!$F$46*Time!BM41)*Inputs!$F$40</f>
        <v/>
      </c>
      <c r="BN65" s="13">
        <f>Inputs!$F$157*BN21*Time!BN30/12*(1+Inputs!$F$158*Inputs!$F$46*Time!BN41)*Inputs!$F$40</f>
        <v/>
      </c>
    </row>
    <row r="66">
      <c r="D66" t="inlineStr">
        <is>
          <t>G&amp;A</t>
        </is>
      </c>
      <c r="E66" t="inlineStr">
        <is>
          <t>USD m</t>
        </is>
      </c>
      <c r="G66" s="13">
        <f>SUM(J66:BN66)</f>
        <v/>
      </c>
      <c r="J66" s="13">
        <f>Inputs!$F$159*(Inputs!$F$218*J21+(1-Inputs!$F$218)*J27*Inputs!$F$153/J11)*Time!J30/12*Inputs!$F$40</f>
        <v/>
      </c>
      <c r="K66" s="13">
        <f>Inputs!$F$159*(Inputs!$F$218*K21+(1-Inputs!$F$218)*K27*Inputs!$F$153/K11)*Time!K30/12*Inputs!$F$40</f>
        <v/>
      </c>
      <c r="L66" s="13">
        <f>Inputs!$F$159*(Inputs!$F$218*L21+(1-Inputs!$F$218)*L27*Inputs!$F$153/L11)*Time!L30/12*Inputs!$F$40</f>
        <v/>
      </c>
      <c r="M66" s="13">
        <f>Inputs!$F$159*(Inputs!$F$218*M21+(1-Inputs!$F$218)*M27*Inputs!$F$153/M11)*Time!M30/12*Inputs!$F$40</f>
        <v/>
      </c>
      <c r="N66" s="13">
        <f>Inputs!$F$159*(Inputs!$F$218*N21+(1-Inputs!$F$218)*N27*Inputs!$F$153/N11)*Time!N30/12*Inputs!$F$40</f>
        <v/>
      </c>
      <c r="O66" s="13">
        <f>Inputs!$F$159*(Inputs!$F$218*O21+(1-Inputs!$F$218)*O27*Inputs!$F$153/O11)*Time!O30/12*Inputs!$F$40</f>
        <v/>
      </c>
      <c r="P66" s="13">
        <f>Inputs!$F$159*(Inputs!$F$218*P21+(1-Inputs!$F$218)*P27*Inputs!$F$153/P11)*Time!P30/12*Inputs!$F$40</f>
        <v/>
      </c>
      <c r="Q66" s="13">
        <f>Inputs!$F$159*(Inputs!$F$218*Q21+(1-Inputs!$F$218)*Q27*Inputs!$F$153/Q11)*Time!Q30/12*Inputs!$F$40</f>
        <v/>
      </c>
      <c r="R66" s="13">
        <f>Inputs!$F$159*(Inputs!$F$218*R21+(1-Inputs!$F$218)*R27*Inputs!$F$153/R11)*Time!R30/12*Inputs!$F$40</f>
        <v/>
      </c>
      <c r="S66" s="13">
        <f>Inputs!$F$159*(Inputs!$F$218*S21+(1-Inputs!$F$218)*S27*Inputs!$F$153/S11)*Time!S30/12*Inputs!$F$40</f>
        <v/>
      </c>
      <c r="T66" s="13">
        <f>Inputs!$F$159*(Inputs!$F$218*T21+(1-Inputs!$F$218)*T27*Inputs!$F$153/T11)*Time!T30/12*Inputs!$F$40</f>
        <v/>
      </c>
      <c r="U66" s="13">
        <f>Inputs!$F$159*(Inputs!$F$218*U21+(1-Inputs!$F$218)*U27*Inputs!$F$153/U11)*Time!U30/12*Inputs!$F$40</f>
        <v/>
      </c>
      <c r="V66" s="13">
        <f>Inputs!$F$159*(Inputs!$F$218*V21+(1-Inputs!$F$218)*V27*Inputs!$F$153/V11)*Time!V30/12*Inputs!$F$40</f>
        <v/>
      </c>
      <c r="W66" s="13">
        <f>Inputs!$F$159*(Inputs!$F$218*W21+(1-Inputs!$F$218)*W27*Inputs!$F$153/W11)*Time!W30/12*Inputs!$F$40</f>
        <v/>
      </c>
      <c r="X66" s="13">
        <f>Inputs!$F$159*(Inputs!$F$218*X21+(1-Inputs!$F$218)*X27*Inputs!$F$153/X11)*Time!X30/12*Inputs!$F$40</f>
        <v/>
      </c>
      <c r="Y66" s="13">
        <f>Inputs!$F$159*(Inputs!$F$218*Y21+(1-Inputs!$F$218)*Y27*Inputs!$F$153/Y11)*Time!Y30/12*Inputs!$F$40</f>
        <v/>
      </c>
      <c r="Z66" s="13">
        <f>Inputs!$F$159*(Inputs!$F$218*Z21+(1-Inputs!$F$218)*Z27*Inputs!$F$153/Z11)*Time!Z30/12*Inputs!$F$40</f>
        <v/>
      </c>
      <c r="AA66" s="13">
        <f>Inputs!$F$159*(Inputs!$F$218*AA21+(1-Inputs!$F$218)*AA27*Inputs!$F$153/AA11)*Time!AA30/12*Inputs!$F$40</f>
        <v/>
      </c>
      <c r="AB66" s="13">
        <f>Inputs!$F$159*(Inputs!$F$218*AB21+(1-Inputs!$F$218)*AB27*Inputs!$F$153/AB11)*Time!AB30/12*Inputs!$F$40</f>
        <v/>
      </c>
      <c r="AC66" s="13">
        <f>Inputs!$F$159*(Inputs!$F$218*AC21+(1-Inputs!$F$218)*AC27*Inputs!$F$153/AC11)*Time!AC30/12*Inputs!$F$40</f>
        <v/>
      </c>
      <c r="AD66" s="13">
        <f>Inputs!$F$159*(Inputs!$F$218*AD21+(1-Inputs!$F$218)*AD27*Inputs!$F$153/AD11)*Time!AD30/12*Inputs!$F$40</f>
        <v/>
      </c>
      <c r="AE66" s="13">
        <f>Inputs!$F$159*(Inputs!$F$218*AE21+(1-Inputs!$F$218)*AE27*Inputs!$F$153/AE11)*Time!AE30/12*Inputs!$F$40</f>
        <v/>
      </c>
      <c r="AF66" s="13">
        <f>Inputs!$F$159*(Inputs!$F$218*AF21+(1-Inputs!$F$218)*AF27*Inputs!$F$153/AF11)*Time!AF30/12*Inputs!$F$40</f>
        <v/>
      </c>
      <c r="AG66" s="13">
        <f>Inputs!$F$159*(Inputs!$F$218*AG21+(1-Inputs!$F$218)*AG27*Inputs!$F$153/AG11)*Time!AG30/12*Inputs!$F$40</f>
        <v/>
      </c>
      <c r="AH66" s="13">
        <f>Inputs!$F$159*(Inputs!$F$218*AH21+(1-Inputs!$F$218)*AH27*Inputs!$F$153/AH11)*Time!AH30/12*Inputs!$F$40</f>
        <v/>
      </c>
      <c r="AI66" s="13">
        <f>Inputs!$F$159*(Inputs!$F$218*AI21+(1-Inputs!$F$218)*AI27*Inputs!$F$153/AI11)*Time!AI30/12*Inputs!$F$40</f>
        <v/>
      </c>
      <c r="AJ66" s="13">
        <f>Inputs!$F$159*(Inputs!$F$218*AJ21+(1-Inputs!$F$218)*AJ27*Inputs!$F$153/AJ11)*Time!AJ30/12*Inputs!$F$40</f>
        <v/>
      </c>
      <c r="AK66" s="13">
        <f>Inputs!$F$159*(Inputs!$F$218*AK21+(1-Inputs!$F$218)*AK27*Inputs!$F$153/AK11)*Time!AK30/12*Inputs!$F$40</f>
        <v/>
      </c>
      <c r="AL66" s="13">
        <f>Inputs!$F$159*(Inputs!$F$218*AL21+(1-Inputs!$F$218)*AL27*Inputs!$F$153/AL11)*Time!AL30/12*Inputs!$F$40</f>
        <v/>
      </c>
      <c r="AM66" s="13">
        <f>Inputs!$F$159*(Inputs!$F$218*AM21+(1-Inputs!$F$218)*AM27*Inputs!$F$153/AM11)*Time!AM30/12*Inputs!$F$40</f>
        <v/>
      </c>
      <c r="AN66" s="13">
        <f>Inputs!$F$159*(Inputs!$F$218*AN21+(1-Inputs!$F$218)*AN27*Inputs!$F$153/AN11)*Time!AN30/12*Inputs!$F$40</f>
        <v/>
      </c>
      <c r="AO66" s="13">
        <f>Inputs!$F$159*(Inputs!$F$218*AO21+(1-Inputs!$F$218)*AO27*Inputs!$F$153/AO11)*Time!AO30/12*Inputs!$F$40</f>
        <v/>
      </c>
      <c r="AP66" s="13">
        <f>Inputs!$F$159*(Inputs!$F$218*AP21+(1-Inputs!$F$218)*AP27*Inputs!$F$153/AP11)*Time!AP30/12*Inputs!$F$40</f>
        <v/>
      </c>
      <c r="AQ66" s="13">
        <f>Inputs!$F$159*(Inputs!$F$218*AQ21+(1-Inputs!$F$218)*AQ27*Inputs!$F$153/AQ11)*Time!AQ30/12*Inputs!$F$40</f>
        <v/>
      </c>
      <c r="AR66" s="13">
        <f>Inputs!$F$159*(Inputs!$F$218*AR21+(1-Inputs!$F$218)*AR27*Inputs!$F$153/AR11)*Time!AR30/12*Inputs!$F$40</f>
        <v/>
      </c>
      <c r="AS66" s="13">
        <f>Inputs!$F$159*(Inputs!$F$218*AS21+(1-Inputs!$F$218)*AS27*Inputs!$F$153/AS11)*Time!AS30/12*Inputs!$F$40</f>
        <v/>
      </c>
      <c r="AT66" s="13">
        <f>Inputs!$F$159*(Inputs!$F$218*AT21+(1-Inputs!$F$218)*AT27*Inputs!$F$153/AT11)*Time!AT30/12*Inputs!$F$40</f>
        <v/>
      </c>
      <c r="AU66" s="13">
        <f>Inputs!$F$159*(Inputs!$F$218*AU21+(1-Inputs!$F$218)*AU27*Inputs!$F$153/AU11)*Time!AU30/12*Inputs!$F$40</f>
        <v/>
      </c>
      <c r="AV66" s="13">
        <f>Inputs!$F$159*(Inputs!$F$218*AV21+(1-Inputs!$F$218)*AV27*Inputs!$F$153/AV11)*Time!AV30/12*Inputs!$F$40</f>
        <v/>
      </c>
      <c r="AW66" s="13">
        <f>Inputs!$F$159*(Inputs!$F$218*AW21+(1-Inputs!$F$218)*AW27*Inputs!$F$153/AW11)*Time!AW30/12*Inputs!$F$40</f>
        <v/>
      </c>
      <c r="AX66" s="13">
        <f>Inputs!$F$159*(Inputs!$F$218*AX21+(1-Inputs!$F$218)*AX27*Inputs!$F$153/AX11)*Time!AX30/12*Inputs!$F$40</f>
        <v/>
      </c>
      <c r="AY66" s="13">
        <f>Inputs!$F$159*(Inputs!$F$218*AY21+(1-Inputs!$F$218)*AY27*Inputs!$F$153/AY11)*Time!AY30/12*Inputs!$F$40</f>
        <v/>
      </c>
      <c r="AZ66" s="13">
        <f>Inputs!$F$159*(Inputs!$F$218*AZ21+(1-Inputs!$F$218)*AZ27*Inputs!$F$153/AZ11)*Time!AZ30/12*Inputs!$F$40</f>
        <v/>
      </c>
      <c r="BA66" s="13">
        <f>Inputs!$F$159*(Inputs!$F$218*BA21+(1-Inputs!$F$218)*BA27*Inputs!$F$153/BA11)*Time!BA30/12*Inputs!$F$40</f>
        <v/>
      </c>
      <c r="BB66" s="13">
        <f>Inputs!$F$159*(Inputs!$F$218*BB21+(1-Inputs!$F$218)*BB27*Inputs!$F$153/BB11)*Time!BB30/12*Inputs!$F$40</f>
        <v/>
      </c>
      <c r="BC66" s="13">
        <f>Inputs!$F$159*(Inputs!$F$218*BC21+(1-Inputs!$F$218)*BC27*Inputs!$F$153/BC11)*Time!BC30/12*Inputs!$F$40</f>
        <v/>
      </c>
      <c r="BD66" s="13">
        <f>Inputs!$F$159*(Inputs!$F$218*BD21+(1-Inputs!$F$218)*BD27*Inputs!$F$153/BD11)*Time!BD30/12*Inputs!$F$40</f>
        <v/>
      </c>
      <c r="BE66" s="13">
        <f>Inputs!$F$159*(Inputs!$F$218*BE21+(1-Inputs!$F$218)*BE27*Inputs!$F$153/BE11)*Time!BE30/12*Inputs!$F$40</f>
        <v/>
      </c>
      <c r="BF66" s="13">
        <f>Inputs!$F$159*(Inputs!$F$218*BF21+(1-Inputs!$F$218)*BF27*Inputs!$F$153/BF11)*Time!BF30/12*Inputs!$F$40</f>
        <v/>
      </c>
      <c r="BG66" s="13">
        <f>Inputs!$F$159*(Inputs!$F$218*BG21+(1-Inputs!$F$218)*BG27*Inputs!$F$153/BG11)*Time!BG30/12*Inputs!$F$40</f>
        <v/>
      </c>
      <c r="BH66" s="13">
        <f>Inputs!$F$159*(Inputs!$F$218*BH21+(1-Inputs!$F$218)*BH27*Inputs!$F$153/BH11)*Time!BH30/12*Inputs!$F$40</f>
        <v/>
      </c>
      <c r="BI66" s="13">
        <f>Inputs!$F$159*(Inputs!$F$218*BI21+(1-Inputs!$F$218)*BI27*Inputs!$F$153/BI11)*Time!BI30/12*Inputs!$F$40</f>
        <v/>
      </c>
      <c r="BJ66" s="13">
        <f>Inputs!$F$159*(Inputs!$F$218*BJ21+(1-Inputs!$F$218)*BJ27*Inputs!$F$153/BJ11)*Time!BJ30/12*Inputs!$F$40</f>
        <v/>
      </c>
      <c r="BK66" s="13">
        <f>Inputs!$F$159*(Inputs!$F$218*BK21+(1-Inputs!$F$218)*BK27*Inputs!$F$153/BK11)*Time!BK30/12*Inputs!$F$40</f>
        <v/>
      </c>
      <c r="BL66" s="13">
        <f>Inputs!$F$159*(Inputs!$F$218*BL21+(1-Inputs!$F$218)*BL27*Inputs!$F$153/BL11)*Time!BL30/12*Inputs!$F$40</f>
        <v/>
      </c>
      <c r="BM66" s="13">
        <f>Inputs!$F$159*(Inputs!$F$218*BM21+(1-Inputs!$F$218)*BM27*Inputs!$F$153/BM11)*Time!BM30/12*Inputs!$F$40</f>
        <v/>
      </c>
      <c r="BN66" s="13">
        <f>Inputs!$F$159*(Inputs!$F$218*BN21+(1-Inputs!$F$218)*BN27*Inputs!$F$153/BN11)*Time!BN30/12*Inputs!$F$40</f>
        <v/>
      </c>
    </row>
    <row r="67">
      <c r="D67" t="inlineStr">
        <is>
          <t>Land lease and permits</t>
        </is>
      </c>
      <c r="E67" t="inlineStr">
        <is>
          <t>USD m</t>
        </is>
      </c>
      <c r="G67" s="13">
        <f>SUM(J67:BN67)</f>
        <v/>
      </c>
      <c r="J67" s="13">
        <f>Inputs!$F$160*J27/J11*Time!J30/12*Inputs!$F$40</f>
        <v/>
      </c>
      <c r="K67" s="13">
        <f>Inputs!$F$160*K27/K11*Time!K30/12*Inputs!$F$40</f>
        <v/>
      </c>
      <c r="L67" s="13">
        <f>Inputs!$F$160*L27/L11*Time!L30/12*Inputs!$F$40</f>
        <v/>
      </c>
      <c r="M67" s="13">
        <f>Inputs!$F$160*M27/M11*Time!M30/12*Inputs!$F$40</f>
        <v/>
      </c>
      <c r="N67" s="13">
        <f>Inputs!$F$160*N27/N11*Time!N30/12*Inputs!$F$40</f>
        <v/>
      </c>
      <c r="O67" s="13">
        <f>Inputs!$F$160*O27/O11*Time!O30/12*Inputs!$F$40</f>
        <v/>
      </c>
      <c r="P67" s="13">
        <f>Inputs!$F$160*P27/P11*Time!P30/12*Inputs!$F$40</f>
        <v/>
      </c>
      <c r="Q67" s="13">
        <f>Inputs!$F$160*Q27/Q11*Time!Q30/12*Inputs!$F$40</f>
        <v/>
      </c>
      <c r="R67" s="13">
        <f>Inputs!$F$160*R27/R11*Time!R30/12*Inputs!$F$40</f>
        <v/>
      </c>
      <c r="S67" s="13">
        <f>Inputs!$F$160*S27/S11*Time!S30/12*Inputs!$F$40</f>
        <v/>
      </c>
      <c r="T67" s="13">
        <f>Inputs!$F$160*T27/T11*Time!T30/12*Inputs!$F$40</f>
        <v/>
      </c>
      <c r="U67" s="13">
        <f>Inputs!$F$160*U27/U11*Time!U30/12*Inputs!$F$40</f>
        <v/>
      </c>
      <c r="V67" s="13">
        <f>Inputs!$F$160*V27/V11*Time!V30/12*Inputs!$F$40</f>
        <v/>
      </c>
      <c r="W67" s="13">
        <f>Inputs!$F$160*W27/W11*Time!W30/12*Inputs!$F$40</f>
        <v/>
      </c>
      <c r="X67" s="13">
        <f>Inputs!$F$160*X27/X11*Time!X30/12*Inputs!$F$40</f>
        <v/>
      </c>
      <c r="Y67" s="13">
        <f>Inputs!$F$160*Y27/Y11*Time!Y30/12*Inputs!$F$40</f>
        <v/>
      </c>
      <c r="Z67" s="13">
        <f>Inputs!$F$160*Z27/Z11*Time!Z30/12*Inputs!$F$40</f>
        <v/>
      </c>
      <c r="AA67" s="13">
        <f>Inputs!$F$160*AA27/AA11*Time!AA30/12*Inputs!$F$40</f>
        <v/>
      </c>
      <c r="AB67" s="13">
        <f>Inputs!$F$160*AB27/AB11*Time!AB30/12*Inputs!$F$40</f>
        <v/>
      </c>
      <c r="AC67" s="13">
        <f>Inputs!$F$160*AC27/AC11*Time!AC30/12*Inputs!$F$40</f>
        <v/>
      </c>
      <c r="AD67" s="13">
        <f>Inputs!$F$160*AD27/AD11*Time!AD30/12*Inputs!$F$40</f>
        <v/>
      </c>
      <c r="AE67" s="13">
        <f>Inputs!$F$160*AE27/AE11*Time!AE30/12*Inputs!$F$40</f>
        <v/>
      </c>
      <c r="AF67" s="13">
        <f>Inputs!$F$160*AF27/AF11*Time!AF30/12*Inputs!$F$40</f>
        <v/>
      </c>
      <c r="AG67" s="13">
        <f>Inputs!$F$160*AG27/AG11*Time!AG30/12*Inputs!$F$40</f>
        <v/>
      </c>
      <c r="AH67" s="13">
        <f>Inputs!$F$160*AH27/AH11*Time!AH30/12*Inputs!$F$40</f>
        <v/>
      </c>
      <c r="AI67" s="13">
        <f>Inputs!$F$160*AI27/AI11*Time!AI30/12*Inputs!$F$40</f>
        <v/>
      </c>
      <c r="AJ67" s="13">
        <f>Inputs!$F$160*AJ27/AJ11*Time!AJ30/12*Inputs!$F$40</f>
        <v/>
      </c>
      <c r="AK67" s="13">
        <f>Inputs!$F$160*AK27/AK11*Time!AK30/12*Inputs!$F$40</f>
        <v/>
      </c>
      <c r="AL67" s="13">
        <f>Inputs!$F$160*AL27/AL11*Time!AL30/12*Inputs!$F$40</f>
        <v/>
      </c>
      <c r="AM67" s="13">
        <f>Inputs!$F$160*AM27/AM11*Time!AM30/12*Inputs!$F$40</f>
        <v/>
      </c>
      <c r="AN67" s="13">
        <f>Inputs!$F$160*AN27/AN11*Time!AN30/12*Inputs!$F$40</f>
        <v/>
      </c>
      <c r="AO67" s="13">
        <f>Inputs!$F$160*AO27/AO11*Time!AO30/12*Inputs!$F$40</f>
        <v/>
      </c>
      <c r="AP67" s="13">
        <f>Inputs!$F$160*AP27/AP11*Time!AP30/12*Inputs!$F$40</f>
        <v/>
      </c>
      <c r="AQ67" s="13">
        <f>Inputs!$F$160*AQ27/AQ11*Time!AQ30/12*Inputs!$F$40</f>
        <v/>
      </c>
      <c r="AR67" s="13">
        <f>Inputs!$F$160*AR27/AR11*Time!AR30/12*Inputs!$F$40</f>
        <v/>
      </c>
      <c r="AS67" s="13">
        <f>Inputs!$F$160*AS27/AS11*Time!AS30/12*Inputs!$F$40</f>
        <v/>
      </c>
      <c r="AT67" s="13">
        <f>Inputs!$F$160*AT27/AT11*Time!AT30/12*Inputs!$F$40</f>
        <v/>
      </c>
      <c r="AU67" s="13">
        <f>Inputs!$F$160*AU27/AU11*Time!AU30/12*Inputs!$F$40</f>
        <v/>
      </c>
      <c r="AV67" s="13">
        <f>Inputs!$F$160*AV27/AV11*Time!AV30/12*Inputs!$F$40</f>
        <v/>
      </c>
      <c r="AW67" s="13">
        <f>Inputs!$F$160*AW27/AW11*Time!AW30/12*Inputs!$F$40</f>
        <v/>
      </c>
      <c r="AX67" s="13">
        <f>Inputs!$F$160*AX27/AX11*Time!AX30/12*Inputs!$F$40</f>
        <v/>
      </c>
      <c r="AY67" s="13">
        <f>Inputs!$F$160*AY27/AY11*Time!AY30/12*Inputs!$F$40</f>
        <v/>
      </c>
      <c r="AZ67" s="13">
        <f>Inputs!$F$160*AZ27/AZ11*Time!AZ30/12*Inputs!$F$40</f>
        <v/>
      </c>
      <c r="BA67" s="13">
        <f>Inputs!$F$160*BA27/BA11*Time!BA30/12*Inputs!$F$40</f>
        <v/>
      </c>
      <c r="BB67" s="13">
        <f>Inputs!$F$160*BB27/BB11*Time!BB30/12*Inputs!$F$40</f>
        <v/>
      </c>
      <c r="BC67" s="13">
        <f>Inputs!$F$160*BC27/BC11*Time!BC30/12*Inputs!$F$40</f>
        <v/>
      </c>
      <c r="BD67" s="13">
        <f>Inputs!$F$160*BD27/BD11*Time!BD30/12*Inputs!$F$40</f>
        <v/>
      </c>
      <c r="BE67" s="13">
        <f>Inputs!$F$160*BE27/BE11*Time!BE30/12*Inputs!$F$40</f>
        <v/>
      </c>
      <c r="BF67" s="13">
        <f>Inputs!$F$160*BF27/BF11*Time!BF30/12*Inputs!$F$40</f>
        <v/>
      </c>
      <c r="BG67" s="13">
        <f>Inputs!$F$160*BG27/BG11*Time!BG30/12*Inputs!$F$40</f>
        <v/>
      </c>
      <c r="BH67" s="13">
        <f>Inputs!$F$160*BH27/BH11*Time!BH30/12*Inputs!$F$40</f>
        <v/>
      </c>
      <c r="BI67" s="13">
        <f>Inputs!$F$160*BI27/BI11*Time!BI30/12*Inputs!$F$40</f>
        <v/>
      </c>
      <c r="BJ67" s="13">
        <f>Inputs!$F$160*BJ27/BJ11*Time!BJ30/12*Inputs!$F$40</f>
        <v/>
      </c>
      <c r="BK67" s="13">
        <f>Inputs!$F$160*BK27/BK11*Time!BK30/12*Inputs!$F$40</f>
        <v/>
      </c>
      <c r="BL67" s="13">
        <f>Inputs!$F$160*BL27/BL11*Time!BL30/12*Inputs!$F$40</f>
        <v/>
      </c>
      <c r="BM67" s="13">
        <f>Inputs!$F$160*BM27/BM11*Time!BM30/12*Inputs!$F$40</f>
        <v/>
      </c>
      <c r="BN67" s="13">
        <f>Inputs!$F$160*BN27/BN11*Time!BN30/12*Inputs!$F$40</f>
        <v/>
      </c>
    </row>
    <row r="68">
      <c r="D68" t="inlineStr">
        <is>
          <t>Community fund and OREK levy</t>
        </is>
      </c>
      <c r="E68" t="inlineStr">
        <is>
          <t>USD m</t>
        </is>
      </c>
      <c r="G68" s="13">
        <f>SUM(J68:BN68)</f>
        <v/>
      </c>
      <c r="J68" s="13">
        <f>Inputs!$F$161/100*J55</f>
        <v/>
      </c>
      <c r="K68" s="13">
        <f>Inputs!$F$161/100*K55</f>
        <v/>
      </c>
      <c r="L68" s="13">
        <f>Inputs!$F$161/100*L55</f>
        <v/>
      </c>
      <c r="M68" s="13">
        <f>Inputs!$F$161/100*M55</f>
        <v/>
      </c>
      <c r="N68" s="13">
        <f>Inputs!$F$161/100*N55</f>
        <v/>
      </c>
      <c r="O68" s="13">
        <f>Inputs!$F$161/100*O55</f>
        <v/>
      </c>
      <c r="P68" s="13">
        <f>Inputs!$F$161/100*P55</f>
        <v/>
      </c>
      <c r="Q68" s="13">
        <f>Inputs!$F$161/100*Q55</f>
        <v/>
      </c>
      <c r="R68" s="13">
        <f>Inputs!$F$161/100*R55</f>
        <v/>
      </c>
      <c r="S68" s="13">
        <f>Inputs!$F$161/100*S55</f>
        <v/>
      </c>
      <c r="T68" s="13">
        <f>Inputs!$F$161/100*T55</f>
        <v/>
      </c>
      <c r="U68" s="13">
        <f>Inputs!$F$161/100*U55</f>
        <v/>
      </c>
      <c r="V68" s="13">
        <f>Inputs!$F$161/100*V55</f>
        <v/>
      </c>
      <c r="W68" s="13">
        <f>Inputs!$F$161/100*W55</f>
        <v/>
      </c>
      <c r="X68" s="13">
        <f>Inputs!$F$161/100*X55</f>
        <v/>
      </c>
      <c r="Y68" s="13">
        <f>Inputs!$F$161/100*Y55</f>
        <v/>
      </c>
      <c r="Z68" s="13">
        <f>Inputs!$F$161/100*Z55</f>
        <v/>
      </c>
      <c r="AA68" s="13">
        <f>Inputs!$F$161/100*AA55</f>
        <v/>
      </c>
      <c r="AB68" s="13">
        <f>Inputs!$F$161/100*AB55</f>
        <v/>
      </c>
      <c r="AC68" s="13">
        <f>Inputs!$F$161/100*AC55</f>
        <v/>
      </c>
      <c r="AD68" s="13">
        <f>Inputs!$F$161/100*AD55</f>
        <v/>
      </c>
      <c r="AE68" s="13">
        <f>Inputs!$F$161/100*AE55</f>
        <v/>
      </c>
      <c r="AF68" s="13">
        <f>Inputs!$F$161/100*AF55</f>
        <v/>
      </c>
      <c r="AG68" s="13">
        <f>Inputs!$F$161/100*AG55</f>
        <v/>
      </c>
      <c r="AH68" s="13">
        <f>Inputs!$F$161/100*AH55</f>
        <v/>
      </c>
      <c r="AI68" s="13">
        <f>Inputs!$F$161/100*AI55</f>
        <v/>
      </c>
      <c r="AJ68" s="13">
        <f>Inputs!$F$161/100*AJ55</f>
        <v/>
      </c>
      <c r="AK68" s="13">
        <f>Inputs!$F$161/100*AK55</f>
        <v/>
      </c>
      <c r="AL68" s="13">
        <f>Inputs!$F$161/100*AL55</f>
        <v/>
      </c>
      <c r="AM68" s="13">
        <f>Inputs!$F$161/100*AM55</f>
        <v/>
      </c>
      <c r="AN68" s="13">
        <f>Inputs!$F$161/100*AN55</f>
        <v/>
      </c>
      <c r="AO68" s="13">
        <f>Inputs!$F$161/100*AO55</f>
        <v/>
      </c>
      <c r="AP68" s="13">
        <f>Inputs!$F$161/100*AP55</f>
        <v/>
      </c>
      <c r="AQ68" s="13">
        <f>Inputs!$F$161/100*AQ55</f>
        <v/>
      </c>
      <c r="AR68" s="13">
        <f>Inputs!$F$161/100*AR55</f>
        <v/>
      </c>
      <c r="AS68" s="13">
        <f>Inputs!$F$161/100*AS55</f>
        <v/>
      </c>
      <c r="AT68" s="13">
        <f>Inputs!$F$161/100*AT55</f>
        <v/>
      </c>
      <c r="AU68" s="13">
        <f>Inputs!$F$161/100*AU55</f>
        <v/>
      </c>
      <c r="AV68" s="13">
        <f>Inputs!$F$161/100*AV55</f>
        <v/>
      </c>
      <c r="AW68" s="13">
        <f>Inputs!$F$161/100*AW55</f>
        <v/>
      </c>
      <c r="AX68" s="13">
        <f>Inputs!$F$161/100*AX55</f>
        <v/>
      </c>
      <c r="AY68" s="13">
        <f>Inputs!$F$161/100*AY55</f>
        <v/>
      </c>
      <c r="AZ68" s="13">
        <f>Inputs!$F$161/100*AZ55</f>
        <v/>
      </c>
      <c r="BA68" s="13">
        <f>Inputs!$F$161/100*BA55</f>
        <v/>
      </c>
      <c r="BB68" s="13">
        <f>Inputs!$F$161/100*BB55</f>
        <v/>
      </c>
      <c r="BC68" s="13">
        <f>Inputs!$F$161/100*BC55</f>
        <v/>
      </c>
      <c r="BD68" s="13">
        <f>Inputs!$F$161/100*BD55</f>
        <v/>
      </c>
      <c r="BE68" s="13">
        <f>Inputs!$F$161/100*BE55</f>
        <v/>
      </c>
      <c r="BF68" s="13">
        <f>Inputs!$F$161/100*BF55</f>
        <v/>
      </c>
      <c r="BG68" s="13">
        <f>Inputs!$F$161/100*BG55</f>
        <v/>
      </c>
      <c r="BH68" s="13">
        <f>Inputs!$F$161/100*BH55</f>
        <v/>
      </c>
      <c r="BI68" s="13">
        <f>Inputs!$F$161/100*BI55</f>
        <v/>
      </c>
      <c r="BJ68" s="13">
        <f>Inputs!$F$161/100*BJ55</f>
        <v/>
      </c>
      <c r="BK68" s="13">
        <f>Inputs!$F$161/100*BK55</f>
        <v/>
      </c>
      <c r="BL68" s="13">
        <f>Inputs!$F$161/100*BL55</f>
        <v/>
      </c>
      <c r="BM68" s="13">
        <f>Inputs!$F$161/100*BM55</f>
        <v/>
      </c>
      <c r="BN68" s="13">
        <f>Inputs!$F$161/100*BN55</f>
        <v/>
      </c>
    </row>
    <row r="69">
      <c r="D69" t="inlineStr">
        <is>
          <t>Variable consumables</t>
        </is>
      </c>
      <c r="E69" t="inlineStr">
        <is>
          <t>USD m</t>
        </is>
      </c>
      <c r="G69" s="13">
        <f>SUM(J69:BN69)</f>
        <v/>
      </c>
      <c r="J69" s="13">
        <f>Inputs!$F$162*(Inputs!$F$219*J21+(1-Inputs!$F$219)*J27*Inputs!$F$153/J11)*J38/1000000</f>
        <v/>
      </c>
      <c r="K69" s="13">
        <f>Inputs!$F$162*(Inputs!$F$219*K21+(1-Inputs!$F$219)*K27*Inputs!$F$153/K11)*K38/1000000</f>
        <v/>
      </c>
      <c r="L69" s="13">
        <f>Inputs!$F$162*(Inputs!$F$219*L21+(1-Inputs!$F$219)*L27*Inputs!$F$153/L11)*L38/1000000</f>
        <v/>
      </c>
      <c r="M69" s="13">
        <f>Inputs!$F$162*(Inputs!$F$219*M21+(1-Inputs!$F$219)*M27*Inputs!$F$153/M11)*M38/1000000</f>
        <v/>
      </c>
      <c r="N69" s="13">
        <f>Inputs!$F$162*(Inputs!$F$219*N21+(1-Inputs!$F$219)*N27*Inputs!$F$153/N11)*N38/1000000</f>
        <v/>
      </c>
      <c r="O69" s="13">
        <f>Inputs!$F$162*(Inputs!$F$219*O21+(1-Inputs!$F$219)*O27*Inputs!$F$153/O11)*O38/1000000</f>
        <v/>
      </c>
      <c r="P69" s="13">
        <f>Inputs!$F$162*(Inputs!$F$219*P21+(1-Inputs!$F$219)*P27*Inputs!$F$153/P11)*P38/1000000</f>
        <v/>
      </c>
      <c r="Q69" s="13">
        <f>Inputs!$F$162*(Inputs!$F$219*Q21+(1-Inputs!$F$219)*Q27*Inputs!$F$153/Q11)*Q38/1000000</f>
        <v/>
      </c>
      <c r="R69" s="13">
        <f>Inputs!$F$162*(Inputs!$F$219*R21+(1-Inputs!$F$219)*R27*Inputs!$F$153/R11)*R38/1000000</f>
        <v/>
      </c>
      <c r="S69" s="13">
        <f>Inputs!$F$162*(Inputs!$F$219*S21+(1-Inputs!$F$219)*S27*Inputs!$F$153/S11)*S38/1000000</f>
        <v/>
      </c>
      <c r="T69" s="13">
        <f>Inputs!$F$162*(Inputs!$F$219*T21+(1-Inputs!$F$219)*T27*Inputs!$F$153/T11)*T38/1000000</f>
        <v/>
      </c>
      <c r="U69" s="13">
        <f>Inputs!$F$162*(Inputs!$F$219*U21+(1-Inputs!$F$219)*U27*Inputs!$F$153/U11)*U38/1000000</f>
        <v/>
      </c>
      <c r="V69" s="13">
        <f>Inputs!$F$162*(Inputs!$F$219*V21+(1-Inputs!$F$219)*V27*Inputs!$F$153/V11)*V38/1000000</f>
        <v/>
      </c>
      <c r="W69" s="13">
        <f>Inputs!$F$162*(Inputs!$F$219*W21+(1-Inputs!$F$219)*W27*Inputs!$F$153/W11)*W38/1000000</f>
        <v/>
      </c>
      <c r="X69" s="13">
        <f>Inputs!$F$162*(Inputs!$F$219*X21+(1-Inputs!$F$219)*X27*Inputs!$F$153/X11)*X38/1000000</f>
        <v/>
      </c>
      <c r="Y69" s="13">
        <f>Inputs!$F$162*(Inputs!$F$219*Y21+(1-Inputs!$F$219)*Y27*Inputs!$F$153/Y11)*Y38/1000000</f>
        <v/>
      </c>
      <c r="Z69" s="13">
        <f>Inputs!$F$162*(Inputs!$F$219*Z21+(1-Inputs!$F$219)*Z27*Inputs!$F$153/Z11)*Z38/1000000</f>
        <v/>
      </c>
      <c r="AA69" s="13">
        <f>Inputs!$F$162*(Inputs!$F$219*AA21+(1-Inputs!$F$219)*AA27*Inputs!$F$153/AA11)*AA38/1000000</f>
        <v/>
      </c>
      <c r="AB69" s="13">
        <f>Inputs!$F$162*(Inputs!$F$219*AB21+(1-Inputs!$F$219)*AB27*Inputs!$F$153/AB11)*AB38/1000000</f>
        <v/>
      </c>
      <c r="AC69" s="13">
        <f>Inputs!$F$162*(Inputs!$F$219*AC21+(1-Inputs!$F$219)*AC27*Inputs!$F$153/AC11)*AC38/1000000</f>
        <v/>
      </c>
      <c r="AD69" s="13">
        <f>Inputs!$F$162*(Inputs!$F$219*AD21+(1-Inputs!$F$219)*AD27*Inputs!$F$153/AD11)*AD38/1000000</f>
        <v/>
      </c>
      <c r="AE69" s="13">
        <f>Inputs!$F$162*(Inputs!$F$219*AE21+(1-Inputs!$F$219)*AE27*Inputs!$F$153/AE11)*AE38/1000000</f>
        <v/>
      </c>
      <c r="AF69" s="13">
        <f>Inputs!$F$162*(Inputs!$F$219*AF21+(1-Inputs!$F$219)*AF27*Inputs!$F$153/AF11)*AF38/1000000</f>
        <v/>
      </c>
      <c r="AG69" s="13">
        <f>Inputs!$F$162*(Inputs!$F$219*AG21+(1-Inputs!$F$219)*AG27*Inputs!$F$153/AG11)*AG38/1000000</f>
        <v/>
      </c>
      <c r="AH69" s="13">
        <f>Inputs!$F$162*(Inputs!$F$219*AH21+(1-Inputs!$F$219)*AH27*Inputs!$F$153/AH11)*AH38/1000000</f>
        <v/>
      </c>
      <c r="AI69" s="13">
        <f>Inputs!$F$162*(Inputs!$F$219*AI21+(1-Inputs!$F$219)*AI27*Inputs!$F$153/AI11)*AI38/1000000</f>
        <v/>
      </c>
      <c r="AJ69" s="13">
        <f>Inputs!$F$162*(Inputs!$F$219*AJ21+(1-Inputs!$F$219)*AJ27*Inputs!$F$153/AJ11)*AJ38/1000000</f>
        <v/>
      </c>
      <c r="AK69" s="13">
        <f>Inputs!$F$162*(Inputs!$F$219*AK21+(1-Inputs!$F$219)*AK27*Inputs!$F$153/AK11)*AK38/1000000</f>
        <v/>
      </c>
      <c r="AL69" s="13">
        <f>Inputs!$F$162*(Inputs!$F$219*AL21+(1-Inputs!$F$219)*AL27*Inputs!$F$153/AL11)*AL38/1000000</f>
        <v/>
      </c>
      <c r="AM69" s="13">
        <f>Inputs!$F$162*(Inputs!$F$219*AM21+(1-Inputs!$F$219)*AM27*Inputs!$F$153/AM11)*AM38/1000000</f>
        <v/>
      </c>
      <c r="AN69" s="13">
        <f>Inputs!$F$162*(Inputs!$F$219*AN21+(1-Inputs!$F$219)*AN27*Inputs!$F$153/AN11)*AN38/1000000</f>
        <v/>
      </c>
      <c r="AO69" s="13">
        <f>Inputs!$F$162*(Inputs!$F$219*AO21+(1-Inputs!$F$219)*AO27*Inputs!$F$153/AO11)*AO38/1000000</f>
        <v/>
      </c>
      <c r="AP69" s="13">
        <f>Inputs!$F$162*(Inputs!$F$219*AP21+(1-Inputs!$F$219)*AP27*Inputs!$F$153/AP11)*AP38/1000000</f>
        <v/>
      </c>
      <c r="AQ69" s="13">
        <f>Inputs!$F$162*(Inputs!$F$219*AQ21+(1-Inputs!$F$219)*AQ27*Inputs!$F$153/AQ11)*AQ38/1000000</f>
        <v/>
      </c>
      <c r="AR69" s="13">
        <f>Inputs!$F$162*(Inputs!$F$219*AR21+(1-Inputs!$F$219)*AR27*Inputs!$F$153/AR11)*AR38/1000000</f>
        <v/>
      </c>
      <c r="AS69" s="13">
        <f>Inputs!$F$162*(Inputs!$F$219*AS21+(1-Inputs!$F$219)*AS27*Inputs!$F$153/AS11)*AS38/1000000</f>
        <v/>
      </c>
      <c r="AT69" s="13">
        <f>Inputs!$F$162*(Inputs!$F$219*AT21+(1-Inputs!$F$219)*AT27*Inputs!$F$153/AT11)*AT38/1000000</f>
        <v/>
      </c>
      <c r="AU69" s="13">
        <f>Inputs!$F$162*(Inputs!$F$219*AU21+(1-Inputs!$F$219)*AU27*Inputs!$F$153/AU11)*AU38/1000000</f>
        <v/>
      </c>
      <c r="AV69" s="13">
        <f>Inputs!$F$162*(Inputs!$F$219*AV21+(1-Inputs!$F$219)*AV27*Inputs!$F$153/AV11)*AV38/1000000</f>
        <v/>
      </c>
      <c r="AW69" s="13">
        <f>Inputs!$F$162*(Inputs!$F$219*AW21+(1-Inputs!$F$219)*AW27*Inputs!$F$153/AW11)*AW38/1000000</f>
        <v/>
      </c>
      <c r="AX69" s="13">
        <f>Inputs!$F$162*(Inputs!$F$219*AX21+(1-Inputs!$F$219)*AX27*Inputs!$F$153/AX11)*AX38/1000000</f>
        <v/>
      </c>
      <c r="AY69" s="13">
        <f>Inputs!$F$162*(Inputs!$F$219*AY21+(1-Inputs!$F$219)*AY27*Inputs!$F$153/AY11)*AY38/1000000</f>
        <v/>
      </c>
      <c r="AZ69" s="13">
        <f>Inputs!$F$162*(Inputs!$F$219*AZ21+(1-Inputs!$F$219)*AZ27*Inputs!$F$153/AZ11)*AZ38/1000000</f>
        <v/>
      </c>
      <c r="BA69" s="13">
        <f>Inputs!$F$162*(Inputs!$F$219*BA21+(1-Inputs!$F$219)*BA27*Inputs!$F$153/BA11)*BA38/1000000</f>
        <v/>
      </c>
      <c r="BB69" s="13">
        <f>Inputs!$F$162*(Inputs!$F$219*BB21+(1-Inputs!$F$219)*BB27*Inputs!$F$153/BB11)*BB38/1000000</f>
        <v/>
      </c>
      <c r="BC69" s="13">
        <f>Inputs!$F$162*(Inputs!$F$219*BC21+(1-Inputs!$F$219)*BC27*Inputs!$F$153/BC11)*BC38/1000000</f>
        <v/>
      </c>
      <c r="BD69" s="13">
        <f>Inputs!$F$162*(Inputs!$F$219*BD21+(1-Inputs!$F$219)*BD27*Inputs!$F$153/BD11)*BD38/1000000</f>
        <v/>
      </c>
      <c r="BE69" s="13">
        <f>Inputs!$F$162*(Inputs!$F$219*BE21+(1-Inputs!$F$219)*BE27*Inputs!$F$153/BE11)*BE38/1000000</f>
        <v/>
      </c>
      <c r="BF69" s="13">
        <f>Inputs!$F$162*(Inputs!$F$219*BF21+(1-Inputs!$F$219)*BF27*Inputs!$F$153/BF11)*BF38/1000000</f>
        <v/>
      </c>
      <c r="BG69" s="13">
        <f>Inputs!$F$162*(Inputs!$F$219*BG21+(1-Inputs!$F$219)*BG27*Inputs!$F$153/BG11)*BG38/1000000</f>
        <v/>
      </c>
      <c r="BH69" s="13">
        <f>Inputs!$F$162*(Inputs!$F$219*BH21+(1-Inputs!$F$219)*BH27*Inputs!$F$153/BH11)*BH38/1000000</f>
        <v/>
      </c>
      <c r="BI69" s="13">
        <f>Inputs!$F$162*(Inputs!$F$219*BI21+(1-Inputs!$F$219)*BI27*Inputs!$F$153/BI11)*BI38/1000000</f>
        <v/>
      </c>
      <c r="BJ69" s="13">
        <f>Inputs!$F$162*(Inputs!$F$219*BJ21+(1-Inputs!$F$219)*BJ27*Inputs!$F$153/BJ11)*BJ38/1000000</f>
        <v/>
      </c>
      <c r="BK69" s="13">
        <f>Inputs!$F$162*(Inputs!$F$219*BK21+(1-Inputs!$F$219)*BK27*Inputs!$F$153/BK11)*BK38/1000000</f>
        <v/>
      </c>
      <c r="BL69" s="13">
        <f>Inputs!$F$162*(Inputs!$F$219*BL21+(1-Inputs!$F$219)*BL27*Inputs!$F$153/BL11)*BL38/1000000</f>
        <v/>
      </c>
      <c r="BM69" s="13">
        <f>Inputs!$F$162*(Inputs!$F$219*BM21+(1-Inputs!$F$219)*BM27*Inputs!$F$153/BM11)*BM38/1000000</f>
        <v/>
      </c>
      <c r="BN69" s="13">
        <f>Inputs!$F$162*(Inputs!$F$219*BN21+(1-Inputs!$F$219)*BN27*Inputs!$F$153/BN11)*BN38/1000000</f>
        <v/>
      </c>
    </row>
    <row r="70">
      <c r="D70" t="inlineStr">
        <is>
          <t>Agency and account fees</t>
        </is>
      </c>
      <c r="E70" t="inlineStr">
        <is>
          <t>USD m</t>
        </is>
      </c>
      <c r="G70" s="13">
        <f>SUM(J70:BN70)</f>
        <v/>
      </c>
      <c r="J70" s="13">
        <f>Inputs!$F$107*Time!J30/12</f>
        <v/>
      </c>
      <c r="K70" s="13">
        <f>Inputs!$F$107*Time!K30/12</f>
        <v/>
      </c>
      <c r="L70" s="13">
        <f>Inputs!$F$107*Time!L30/12</f>
        <v/>
      </c>
      <c r="M70" s="13">
        <f>Inputs!$F$107*Time!M30/12</f>
        <v/>
      </c>
      <c r="N70" s="13">
        <f>Inputs!$F$107*Time!N30/12</f>
        <v/>
      </c>
      <c r="O70" s="13">
        <f>Inputs!$F$107*Time!O30/12</f>
        <v/>
      </c>
      <c r="P70" s="13">
        <f>Inputs!$F$107*Time!P30/12</f>
        <v/>
      </c>
      <c r="Q70" s="13">
        <f>Inputs!$F$107*Time!Q30/12</f>
        <v/>
      </c>
      <c r="R70" s="13">
        <f>Inputs!$F$107*Time!R30/12</f>
        <v/>
      </c>
      <c r="S70" s="13">
        <f>Inputs!$F$107*Time!S30/12</f>
        <v/>
      </c>
      <c r="T70" s="13">
        <f>Inputs!$F$107*Time!T30/12</f>
        <v/>
      </c>
      <c r="U70" s="13">
        <f>Inputs!$F$107*Time!U30/12</f>
        <v/>
      </c>
      <c r="V70" s="13">
        <f>Inputs!$F$107*Time!V30/12</f>
        <v/>
      </c>
      <c r="W70" s="13">
        <f>Inputs!$F$107*Time!W30/12</f>
        <v/>
      </c>
      <c r="X70" s="13">
        <f>Inputs!$F$107*Time!X30/12</f>
        <v/>
      </c>
      <c r="Y70" s="13">
        <f>Inputs!$F$107*Time!Y30/12</f>
        <v/>
      </c>
      <c r="Z70" s="13">
        <f>Inputs!$F$107*Time!Z30/12</f>
        <v/>
      </c>
      <c r="AA70" s="13">
        <f>Inputs!$F$107*Time!AA30/12</f>
        <v/>
      </c>
      <c r="AB70" s="13">
        <f>Inputs!$F$107*Time!AB30/12</f>
        <v/>
      </c>
      <c r="AC70" s="13">
        <f>Inputs!$F$107*Time!AC30/12</f>
        <v/>
      </c>
      <c r="AD70" s="13">
        <f>Inputs!$F$107*Time!AD30/12</f>
        <v/>
      </c>
      <c r="AE70" s="13">
        <f>Inputs!$F$107*Time!AE30/12</f>
        <v/>
      </c>
      <c r="AF70" s="13">
        <f>Inputs!$F$107*Time!AF30/12</f>
        <v/>
      </c>
      <c r="AG70" s="13">
        <f>Inputs!$F$107*Time!AG30/12</f>
        <v/>
      </c>
      <c r="AH70" s="13">
        <f>Inputs!$F$107*Time!AH30/12</f>
        <v/>
      </c>
      <c r="AI70" s="13">
        <f>Inputs!$F$107*Time!AI30/12</f>
        <v/>
      </c>
      <c r="AJ70" s="13">
        <f>Inputs!$F$107*Time!AJ30/12</f>
        <v/>
      </c>
      <c r="AK70" s="13">
        <f>Inputs!$F$107*Time!AK30/12</f>
        <v/>
      </c>
      <c r="AL70" s="13">
        <f>Inputs!$F$107*Time!AL30/12</f>
        <v/>
      </c>
      <c r="AM70" s="13">
        <f>Inputs!$F$107*Time!AM30/12</f>
        <v/>
      </c>
      <c r="AN70" s="13">
        <f>Inputs!$F$107*Time!AN30/12</f>
        <v/>
      </c>
      <c r="AO70" s="13">
        <f>Inputs!$F$107*Time!AO30/12</f>
        <v/>
      </c>
      <c r="AP70" s="13">
        <f>Inputs!$F$107*Time!AP30/12</f>
        <v/>
      </c>
      <c r="AQ70" s="13">
        <f>Inputs!$F$107*Time!AQ30/12</f>
        <v/>
      </c>
      <c r="AR70" s="13">
        <f>Inputs!$F$107*Time!AR30/12</f>
        <v/>
      </c>
      <c r="AS70" s="13">
        <f>Inputs!$F$107*Time!AS30/12</f>
        <v/>
      </c>
      <c r="AT70" s="13">
        <f>Inputs!$F$107*Time!AT30/12</f>
        <v/>
      </c>
      <c r="AU70" s="13">
        <f>Inputs!$F$107*Time!AU30/12</f>
        <v/>
      </c>
      <c r="AV70" s="13">
        <f>Inputs!$F$107*Time!AV30/12</f>
        <v/>
      </c>
      <c r="AW70" s="13">
        <f>Inputs!$F$107*Time!AW30/12</f>
        <v/>
      </c>
      <c r="AX70" s="13">
        <f>Inputs!$F$107*Time!AX30/12</f>
        <v/>
      </c>
      <c r="AY70" s="13">
        <f>Inputs!$F$107*Time!AY30/12</f>
        <v/>
      </c>
      <c r="AZ70" s="13">
        <f>Inputs!$F$107*Time!AZ30/12</f>
        <v/>
      </c>
      <c r="BA70" s="13">
        <f>Inputs!$F$107*Time!BA30/12</f>
        <v/>
      </c>
      <c r="BB70" s="13">
        <f>Inputs!$F$107*Time!BB30/12</f>
        <v/>
      </c>
      <c r="BC70" s="13">
        <f>Inputs!$F$107*Time!BC30/12</f>
        <v/>
      </c>
      <c r="BD70" s="13">
        <f>Inputs!$F$107*Time!BD30/12</f>
        <v/>
      </c>
      <c r="BE70" s="13">
        <f>Inputs!$F$107*Time!BE30/12</f>
        <v/>
      </c>
      <c r="BF70" s="13">
        <f>Inputs!$F$107*Time!BF30/12</f>
        <v/>
      </c>
      <c r="BG70" s="13">
        <f>Inputs!$F$107*Time!BG30/12</f>
        <v/>
      </c>
      <c r="BH70" s="13">
        <f>Inputs!$F$107*Time!BH30/12</f>
        <v/>
      </c>
      <c r="BI70" s="13">
        <f>Inputs!$F$107*Time!BI30/12</f>
        <v/>
      </c>
      <c r="BJ70" s="13">
        <f>Inputs!$F$107*Time!BJ30/12</f>
        <v/>
      </c>
      <c r="BK70" s="13">
        <f>Inputs!$F$107*Time!BK30/12</f>
        <v/>
      </c>
      <c r="BL70" s="13">
        <f>Inputs!$F$107*Time!BL30/12</f>
        <v/>
      </c>
      <c r="BM70" s="13">
        <f>Inputs!$F$107*Time!BM30/12</f>
        <v/>
      </c>
      <c r="BN70" s="13">
        <f>Inputs!$F$107*Time!BN30/12</f>
        <v/>
      </c>
    </row>
    <row r="71">
      <c r="D71" t="inlineStr">
        <is>
          <t>ABDB PRG fee</t>
        </is>
      </c>
      <c r="E71" t="inlineStr">
        <is>
          <t>USD m</t>
        </is>
      </c>
      <c r="G71" s="13">
        <f>SUM(J71:BN71)</f>
        <v/>
      </c>
      <c r="J71" s="13">
        <f>Inputs!$F$163*Time!J30/12</f>
        <v/>
      </c>
      <c r="K71" s="13">
        <f>Inputs!$F$163*Time!K30/12</f>
        <v/>
      </c>
      <c r="L71" s="13">
        <f>Inputs!$F$163*Time!L30/12</f>
        <v/>
      </c>
      <c r="M71" s="13">
        <f>Inputs!$F$163*Time!M30/12</f>
        <v/>
      </c>
      <c r="N71" s="13">
        <f>Inputs!$F$163*Time!N30/12</f>
        <v/>
      </c>
      <c r="O71" s="13">
        <f>Inputs!$F$163*Time!O30/12</f>
        <v/>
      </c>
      <c r="P71" s="13">
        <f>Inputs!$F$163*Time!P30/12</f>
        <v/>
      </c>
      <c r="Q71" s="13">
        <f>Inputs!$F$163*Time!Q30/12</f>
        <v/>
      </c>
      <c r="R71" s="13">
        <f>Inputs!$F$163*Time!R30/12</f>
        <v/>
      </c>
      <c r="S71" s="13">
        <f>Inputs!$F$163*Time!S30/12</f>
        <v/>
      </c>
      <c r="T71" s="13">
        <f>Inputs!$F$163*Time!T30/12</f>
        <v/>
      </c>
      <c r="U71" s="13">
        <f>Inputs!$F$163*Time!U30/12</f>
        <v/>
      </c>
      <c r="V71" s="13">
        <f>Inputs!$F$163*Time!V30/12</f>
        <v/>
      </c>
      <c r="W71" s="13">
        <f>Inputs!$F$163*Time!W30/12</f>
        <v/>
      </c>
      <c r="X71" s="13">
        <f>Inputs!$F$163*Time!X30/12</f>
        <v/>
      </c>
      <c r="Y71" s="13">
        <f>Inputs!$F$163*Time!Y30/12</f>
        <v/>
      </c>
      <c r="Z71" s="13">
        <f>Inputs!$F$163*Time!Z30/12</f>
        <v/>
      </c>
      <c r="AA71" s="13">
        <f>Inputs!$F$163*Time!AA30/12</f>
        <v/>
      </c>
      <c r="AB71" s="13">
        <f>Inputs!$F$163*Time!AB30/12</f>
        <v/>
      </c>
      <c r="AC71" s="13">
        <f>Inputs!$F$163*Time!AC30/12</f>
        <v/>
      </c>
      <c r="AD71" s="13">
        <f>Inputs!$F$163*Time!AD30/12</f>
        <v/>
      </c>
      <c r="AE71" s="13">
        <f>Inputs!$F$163*Time!AE30/12</f>
        <v/>
      </c>
      <c r="AF71" s="13">
        <f>Inputs!$F$163*Time!AF30/12</f>
        <v/>
      </c>
      <c r="AG71" s="13">
        <f>Inputs!$F$163*Time!AG30/12</f>
        <v/>
      </c>
      <c r="AH71" s="13">
        <f>Inputs!$F$163*Time!AH30/12</f>
        <v/>
      </c>
      <c r="AI71" s="13">
        <f>Inputs!$F$163*Time!AI30/12</f>
        <v/>
      </c>
      <c r="AJ71" s="13">
        <f>Inputs!$F$163*Time!AJ30/12</f>
        <v/>
      </c>
      <c r="AK71" s="13">
        <f>Inputs!$F$163*Time!AK30/12</f>
        <v/>
      </c>
      <c r="AL71" s="13">
        <f>Inputs!$F$163*Time!AL30/12</f>
        <v/>
      </c>
      <c r="AM71" s="13">
        <f>Inputs!$F$163*Time!AM30/12</f>
        <v/>
      </c>
      <c r="AN71" s="13">
        <f>Inputs!$F$163*Time!AN30/12</f>
        <v/>
      </c>
      <c r="AO71" s="13">
        <f>Inputs!$F$163*Time!AO30/12</f>
        <v/>
      </c>
      <c r="AP71" s="13">
        <f>Inputs!$F$163*Time!AP30/12</f>
        <v/>
      </c>
      <c r="AQ71" s="13">
        <f>Inputs!$F$163*Time!AQ30/12</f>
        <v/>
      </c>
      <c r="AR71" s="13">
        <f>Inputs!$F$163*Time!AR30/12</f>
        <v/>
      </c>
      <c r="AS71" s="13">
        <f>Inputs!$F$163*Time!AS30/12</f>
        <v/>
      </c>
      <c r="AT71" s="13">
        <f>Inputs!$F$163*Time!AT30/12</f>
        <v/>
      </c>
      <c r="AU71" s="13">
        <f>Inputs!$F$163*Time!AU30/12</f>
        <v/>
      </c>
      <c r="AV71" s="13">
        <f>Inputs!$F$163*Time!AV30/12</f>
        <v/>
      </c>
      <c r="AW71" s="13">
        <f>Inputs!$F$163*Time!AW30/12</f>
        <v/>
      </c>
      <c r="AX71" s="13">
        <f>Inputs!$F$163*Time!AX30/12</f>
        <v/>
      </c>
      <c r="AY71" s="13">
        <f>Inputs!$F$163*Time!AY30/12</f>
        <v/>
      </c>
      <c r="AZ71" s="13">
        <f>Inputs!$F$163*Time!AZ30/12</f>
        <v/>
      </c>
      <c r="BA71" s="13">
        <f>Inputs!$F$163*Time!BA30/12</f>
        <v/>
      </c>
      <c r="BB71" s="13">
        <f>Inputs!$F$163*Time!BB30/12</f>
        <v/>
      </c>
      <c r="BC71" s="13">
        <f>Inputs!$F$163*Time!BC30/12</f>
        <v/>
      </c>
      <c r="BD71" s="13">
        <f>Inputs!$F$163*Time!BD30/12</f>
        <v/>
      </c>
      <c r="BE71" s="13">
        <f>Inputs!$F$163*Time!BE30/12</f>
        <v/>
      </c>
      <c r="BF71" s="13">
        <f>Inputs!$F$163*Time!BF30/12</f>
        <v/>
      </c>
      <c r="BG71" s="13">
        <f>Inputs!$F$163*Time!BG30/12</f>
        <v/>
      </c>
      <c r="BH71" s="13">
        <f>Inputs!$F$163*Time!BH30/12</f>
        <v/>
      </c>
      <c r="BI71" s="13">
        <f>Inputs!$F$163*Time!BI30/12</f>
        <v/>
      </c>
      <c r="BJ71" s="13">
        <f>Inputs!$F$163*Time!BJ30/12</f>
        <v/>
      </c>
      <c r="BK71" s="13">
        <f>Inputs!$F$163*Time!BK30/12</f>
        <v/>
      </c>
      <c r="BL71" s="13">
        <f>Inputs!$F$163*Time!BL30/12</f>
        <v/>
      </c>
      <c r="BM71" s="13">
        <f>Inputs!$F$163*Time!BM30/12</f>
        <v/>
      </c>
      <c r="BN71" s="13">
        <f>Inputs!$F$163*Time!BN30/12</f>
        <v/>
      </c>
    </row>
    <row r="72">
      <c r="D72" t="inlineStr">
        <is>
          <t>Operating costs before pass-through items</t>
        </is>
      </c>
      <c r="E72" t="inlineStr">
        <is>
          <t>USD m</t>
        </is>
      </c>
      <c r="G72" s="13">
        <f>SUM(J72:BN72)</f>
        <v/>
      </c>
      <c r="J72" s="13">
        <f>J60+J61+J62+J64+J65+J66+J67+J68+J69+J70+J71</f>
        <v/>
      </c>
      <c r="K72" s="13">
        <f>K60+K61+K62+K64+K65+K66+K67+K68+K69+K70+K71</f>
        <v/>
      </c>
      <c r="L72" s="13">
        <f>L60+L61+L62+L64+L65+L66+L67+L68+L69+L70+L71</f>
        <v/>
      </c>
      <c r="M72" s="13">
        <f>M60+M61+M62+M64+M65+M66+M67+M68+M69+M70+M71</f>
        <v/>
      </c>
      <c r="N72" s="13">
        <f>N60+N61+N62+N64+N65+N66+N67+N68+N69+N70+N71</f>
        <v/>
      </c>
      <c r="O72" s="13">
        <f>O60+O61+O62+O64+O65+O66+O67+O68+O69+O70+O71</f>
        <v/>
      </c>
      <c r="P72" s="13">
        <f>P60+P61+P62+P64+P65+P66+P67+P68+P69+P70+P71</f>
        <v/>
      </c>
      <c r="Q72" s="13">
        <f>Q60+Q61+Q62+Q64+Q65+Q66+Q67+Q68+Q69+Q70+Q71</f>
        <v/>
      </c>
      <c r="R72" s="13">
        <f>R60+R61+R62+R64+R65+R66+R67+R68+R69+R70+R71</f>
        <v/>
      </c>
      <c r="S72" s="13">
        <f>S60+S61+S62+S64+S65+S66+S67+S68+S69+S70+S71</f>
        <v/>
      </c>
      <c r="T72" s="13">
        <f>T60+T61+T62+T64+T65+T66+T67+T68+T69+T70+T71</f>
        <v/>
      </c>
      <c r="U72" s="13">
        <f>U60+U61+U62+U64+U65+U66+U67+U68+U69+U70+U71</f>
        <v/>
      </c>
      <c r="V72" s="13">
        <f>V60+V61+V62+V64+V65+V66+V67+V68+V69+V70+V71</f>
        <v/>
      </c>
      <c r="W72" s="13">
        <f>W60+W61+W62+W64+W65+W66+W67+W68+W69+W70+W71</f>
        <v/>
      </c>
      <c r="X72" s="13">
        <f>X60+X61+X62+X64+X65+X66+X67+X68+X69+X70+X71</f>
        <v/>
      </c>
      <c r="Y72" s="13">
        <f>Y60+Y61+Y62+Y64+Y65+Y66+Y67+Y68+Y69+Y70+Y71</f>
        <v/>
      </c>
      <c r="Z72" s="13">
        <f>Z60+Z61+Z62+Z64+Z65+Z66+Z67+Z68+Z69+Z70+Z71</f>
        <v/>
      </c>
      <c r="AA72" s="13">
        <f>AA60+AA61+AA62+AA64+AA65+AA66+AA67+AA68+AA69+AA70+AA71</f>
        <v/>
      </c>
      <c r="AB72" s="13">
        <f>AB60+AB61+AB62+AB64+AB65+AB66+AB67+AB68+AB69+AB70+AB71</f>
        <v/>
      </c>
      <c r="AC72" s="13">
        <f>AC60+AC61+AC62+AC64+AC65+AC66+AC67+AC68+AC69+AC70+AC71</f>
        <v/>
      </c>
      <c r="AD72" s="13">
        <f>AD60+AD61+AD62+AD64+AD65+AD66+AD67+AD68+AD69+AD70+AD71</f>
        <v/>
      </c>
      <c r="AE72" s="13">
        <f>AE60+AE61+AE62+AE64+AE65+AE66+AE67+AE68+AE69+AE70+AE71</f>
        <v/>
      </c>
      <c r="AF72" s="13">
        <f>AF60+AF61+AF62+AF64+AF65+AF66+AF67+AF68+AF69+AF70+AF71</f>
        <v/>
      </c>
      <c r="AG72" s="13">
        <f>AG60+AG61+AG62+AG64+AG65+AG66+AG67+AG68+AG69+AG70+AG71</f>
        <v/>
      </c>
      <c r="AH72" s="13">
        <f>AH60+AH61+AH62+AH64+AH65+AH66+AH67+AH68+AH69+AH70+AH71</f>
        <v/>
      </c>
      <c r="AI72" s="13">
        <f>AI60+AI61+AI62+AI64+AI65+AI66+AI67+AI68+AI69+AI70+AI71</f>
        <v/>
      </c>
      <c r="AJ72" s="13">
        <f>AJ60+AJ61+AJ62+AJ64+AJ65+AJ66+AJ67+AJ68+AJ69+AJ70+AJ71</f>
        <v/>
      </c>
      <c r="AK72" s="13">
        <f>AK60+AK61+AK62+AK64+AK65+AK66+AK67+AK68+AK69+AK70+AK71</f>
        <v/>
      </c>
      <c r="AL72" s="13">
        <f>AL60+AL61+AL62+AL64+AL65+AL66+AL67+AL68+AL69+AL70+AL71</f>
        <v/>
      </c>
      <c r="AM72" s="13">
        <f>AM60+AM61+AM62+AM64+AM65+AM66+AM67+AM68+AM69+AM70+AM71</f>
        <v/>
      </c>
      <c r="AN72" s="13">
        <f>AN60+AN61+AN62+AN64+AN65+AN66+AN67+AN68+AN69+AN70+AN71</f>
        <v/>
      </c>
      <c r="AO72" s="13">
        <f>AO60+AO61+AO62+AO64+AO65+AO66+AO67+AO68+AO69+AO70+AO71</f>
        <v/>
      </c>
      <c r="AP72" s="13">
        <f>AP60+AP61+AP62+AP64+AP65+AP66+AP67+AP68+AP69+AP70+AP71</f>
        <v/>
      </c>
      <c r="AQ72" s="13">
        <f>AQ60+AQ61+AQ62+AQ64+AQ65+AQ66+AQ67+AQ68+AQ69+AQ70+AQ71</f>
        <v/>
      </c>
      <c r="AR72" s="13">
        <f>AR60+AR61+AR62+AR64+AR65+AR66+AR67+AR68+AR69+AR70+AR71</f>
        <v/>
      </c>
      <c r="AS72" s="13">
        <f>AS60+AS61+AS62+AS64+AS65+AS66+AS67+AS68+AS69+AS70+AS71</f>
        <v/>
      </c>
      <c r="AT72" s="13">
        <f>AT60+AT61+AT62+AT64+AT65+AT66+AT67+AT68+AT69+AT70+AT71</f>
        <v/>
      </c>
      <c r="AU72" s="13">
        <f>AU60+AU61+AU62+AU64+AU65+AU66+AU67+AU68+AU69+AU70+AU71</f>
        <v/>
      </c>
      <c r="AV72" s="13">
        <f>AV60+AV61+AV62+AV64+AV65+AV66+AV67+AV68+AV69+AV70+AV71</f>
        <v/>
      </c>
      <c r="AW72" s="13">
        <f>AW60+AW61+AW62+AW64+AW65+AW66+AW67+AW68+AW69+AW70+AW71</f>
        <v/>
      </c>
      <c r="AX72" s="13">
        <f>AX60+AX61+AX62+AX64+AX65+AX66+AX67+AX68+AX69+AX70+AX71</f>
        <v/>
      </c>
      <c r="AY72" s="13">
        <f>AY60+AY61+AY62+AY64+AY65+AY66+AY67+AY68+AY69+AY70+AY71</f>
        <v/>
      </c>
      <c r="AZ72" s="13">
        <f>AZ60+AZ61+AZ62+AZ64+AZ65+AZ66+AZ67+AZ68+AZ69+AZ70+AZ71</f>
        <v/>
      </c>
      <c r="BA72" s="13">
        <f>BA60+BA61+BA62+BA64+BA65+BA66+BA67+BA68+BA69+BA70+BA71</f>
        <v/>
      </c>
      <c r="BB72" s="13">
        <f>BB60+BB61+BB62+BB64+BB65+BB66+BB67+BB68+BB69+BB70+BB71</f>
        <v/>
      </c>
      <c r="BC72" s="13">
        <f>BC60+BC61+BC62+BC64+BC65+BC66+BC67+BC68+BC69+BC70+BC71</f>
        <v/>
      </c>
      <c r="BD72" s="13">
        <f>BD60+BD61+BD62+BD64+BD65+BD66+BD67+BD68+BD69+BD70+BD71</f>
        <v/>
      </c>
      <c r="BE72" s="13">
        <f>BE60+BE61+BE62+BE64+BE65+BE66+BE67+BE68+BE69+BE70+BE71</f>
        <v/>
      </c>
      <c r="BF72" s="13">
        <f>BF60+BF61+BF62+BF64+BF65+BF66+BF67+BF68+BF69+BF70+BF71</f>
        <v/>
      </c>
      <c r="BG72" s="13">
        <f>BG60+BG61+BG62+BG64+BG65+BG66+BG67+BG68+BG69+BG70+BG71</f>
        <v/>
      </c>
      <c r="BH72" s="13">
        <f>BH60+BH61+BH62+BH64+BH65+BH66+BH67+BH68+BH69+BH70+BH71</f>
        <v/>
      </c>
      <c r="BI72" s="13">
        <f>BI60+BI61+BI62+BI64+BI65+BI66+BI67+BI68+BI69+BI70+BI71</f>
        <v/>
      </c>
      <c r="BJ72" s="13">
        <f>BJ60+BJ61+BJ62+BJ64+BJ65+BJ66+BJ67+BJ68+BJ69+BJ70+BJ71</f>
        <v/>
      </c>
      <c r="BK72" s="13">
        <f>BK60+BK61+BK62+BK64+BK65+BK66+BK67+BK68+BK69+BK70+BK71</f>
        <v/>
      </c>
      <c r="BL72" s="13">
        <f>BL60+BL61+BL62+BL64+BL65+BL66+BL67+BL68+BL69+BL70+BL71</f>
        <v/>
      </c>
      <c r="BM72" s="13">
        <f>BM60+BM61+BM62+BM64+BM65+BM66+BM67+BM68+BM69+BM70+BM71</f>
        <v/>
      </c>
      <c r="BN72" s="13">
        <f>BN60+BN61+BN62+BN64+BN65+BN66+BN67+BN68+BN69+BN70+BN71</f>
        <v/>
      </c>
    </row>
    <row r="73">
      <c r="D73" t="inlineStr">
        <is>
          <t>Gas purchases</t>
        </is>
      </c>
      <c r="E73" t="inlineStr">
        <is>
          <t>USD m</t>
        </is>
      </c>
      <c r="G73" s="13">
        <f>SUM(J73:BN73)</f>
        <v/>
      </c>
      <c r="J73" s="13">
        <f>J42*J41/1000000</f>
        <v/>
      </c>
      <c r="K73" s="13">
        <f>K42*K41/1000000</f>
        <v/>
      </c>
      <c r="L73" s="13">
        <f>L42*L41/1000000</f>
        <v/>
      </c>
      <c r="M73" s="13">
        <f>M42*M41/1000000</f>
        <v/>
      </c>
      <c r="N73" s="13">
        <f>N42*N41/1000000</f>
        <v/>
      </c>
      <c r="O73" s="13">
        <f>O42*O41/1000000</f>
        <v/>
      </c>
      <c r="P73" s="13">
        <f>P42*P41/1000000</f>
        <v/>
      </c>
      <c r="Q73" s="13">
        <f>Q42*Q41/1000000</f>
        <v/>
      </c>
      <c r="R73" s="13">
        <f>R42*R41/1000000</f>
        <v/>
      </c>
      <c r="S73" s="13">
        <f>S42*S41/1000000</f>
        <v/>
      </c>
      <c r="T73" s="13">
        <f>T42*T41/1000000</f>
        <v/>
      </c>
      <c r="U73" s="13">
        <f>U42*U41/1000000</f>
        <v/>
      </c>
      <c r="V73" s="13">
        <f>V42*V41/1000000</f>
        <v/>
      </c>
      <c r="W73" s="13">
        <f>W42*W41/1000000</f>
        <v/>
      </c>
      <c r="X73" s="13">
        <f>X42*X41/1000000</f>
        <v/>
      </c>
      <c r="Y73" s="13">
        <f>Y42*Y41/1000000</f>
        <v/>
      </c>
      <c r="Z73" s="13">
        <f>Z42*Z41/1000000</f>
        <v/>
      </c>
      <c r="AA73" s="13">
        <f>AA42*AA41/1000000</f>
        <v/>
      </c>
      <c r="AB73" s="13">
        <f>AB42*AB41/1000000</f>
        <v/>
      </c>
      <c r="AC73" s="13">
        <f>AC42*AC41/1000000</f>
        <v/>
      </c>
      <c r="AD73" s="13">
        <f>AD42*AD41/1000000</f>
        <v/>
      </c>
      <c r="AE73" s="13">
        <f>AE42*AE41/1000000</f>
        <v/>
      </c>
      <c r="AF73" s="13">
        <f>AF42*AF41/1000000</f>
        <v/>
      </c>
      <c r="AG73" s="13">
        <f>AG42*AG41/1000000</f>
        <v/>
      </c>
      <c r="AH73" s="13">
        <f>AH42*AH41/1000000</f>
        <v/>
      </c>
      <c r="AI73" s="13">
        <f>AI42*AI41/1000000</f>
        <v/>
      </c>
      <c r="AJ73" s="13">
        <f>AJ42*AJ41/1000000</f>
        <v/>
      </c>
      <c r="AK73" s="13">
        <f>AK42*AK41/1000000</f>
        <v/>
      </c>
      <c r="AL73" s="13">
        <f>AL42*AL41/1000000</f>
        <v/>
      </c>
      <c r="AM73" s="13">
        <f>AM42*AM41/1000000</f>
        <v/>
      </c>
      <c r="AN73" s="13">
        <f>AN42*AN41/1000000</f>
        <v/>
      </c>
      <c r="AO73" s="13">
        <f>AO42*AO41/1000000</f>
        <v/>
      </c>
      <c r="AP73" s="13">
        <f>AP42*AP41/1000000</f>
        <v/>
      </c>
      <c r="AQ73" s="13">
        <f>AQ42*AQ41/1000000</f>
        <v/>
      </c>
      <c r="AR73" s="13">
        <f>AR42*AR41/1000000</f>
        <v/>
      </c>
      <c r="AS73" s="13">
        <f>AS42*AS41/1000000</f>
        <v/>
      </c>
      <c r="AT73" s="13">
        <f>AT42*AT41/1000000</f>
        <v/>
      </c>
      <c r="AU73" s="13">
        <f>AU42*AU41/1000000</f>
        <v/>
      </c>
      <c r="AV73" s="13">
        <f>AV42*AV41/1000000</f>
        <v/>
      </c>
      <c r="AW73" s="13">
        <f>AW42*AW41/1000000</f>
        <v/>
      </c>
      <c r="AX73" s="13">
        <f>AX42*AX41/1000000</f>
        <v/>
      </c>
      <c r="AY73" s="13">
        <f>AY42*AY41/1000000</f>
        <v/>
      </c>
      <c r="AZ73" s="13">
        <f>AZ42*AZ41/1000000</f>
        <v/>
      </c>
      <c r="BA73" s="13">
        <f>BA42*BA41/1000000</f>
        <v/>
      </c>
      <c r="BB73" s="13">
        <f>BB42*BB41/1000000</f>
        <v/>
      </c>
      <c r="BC73" s="13">
        <f>BC42*BC41/1000000</f>
        <v/>
      </c>
      <c r="BD73" s="13">
        <f>BD42*BD41/1000000</f>
        <v/>
      </c>
      <c r="BE73" s="13">
        <f>BE42*BE41/1000000</f>
        <v/>
      </c>
      <c r="BF73" s="13">
        <f>BF42*BF41/1000000</f>
        <v/>
      </c>
      <c r="BG73" s="13">
        <f>BG42*BG41/1000000</f>
        <v/>
      </c>
      <c r="BH73" s="13">
        <f>BH42*BH41/1000000</f>
        <v/>
      </c>
      <c r="BI73" s="13">
        <f>BI42*BI41/1000000</f>
        <v/>
      </c>
      <c r="BJ73" s="13">
        <f>BJ42*BJ41/1000000</f>
        <v/>
      </c>
      <c r="BK73" s="13">
        <f>BK42*BK41/1000000</f>
        <v/>
      </c>
      <c r="BL73" s="13">
        <f>BL42*BL41/1000000</f>
        <v/>
      </c>
      <c r="BM73" s="13">
        <f>BM42*BM41/1000000</f>
        <v/>
      </c>
      <c r="BN73" s="13">
        <f>BN42*BN41/1000000</f>
        <v/>
      </c>
    </row>
    <row r="74">
      <c r="D74" t="inlineStr">
        <is>
          <t>Pass-through costs (gas, GTA, take-or-pay)</t>
        </is>
      </c>
      <c r="E74" t="inlineStr">
        <is>
          <t>USD m</t>
        </is>
      </c>
      <c r="G74" s="13">
        <f>SUM(J74:BN74)</f>
        <v/>
      </c>
      <c r="J74" s="13">
        <f>J73+J52+J53+J54</f>
        <v/>
      </c>
      <c r="K74" s="13">
        <f>K73+K52+K53+K54</f>
        <v/>
      </c>
      <c r="L74" s="13">
        <f>L73+L52+L53+L54</f>
        <v/>
      </c>
      <c r="M74" s="13">
        <f>M73+M52+M53+M54</f>
        <v/>
      </c>
      <c r="N74" s="13">
        <f>N73+N52+N53+N54</f>
        <v/>
      </c>
      <c r="O74" s="13">
        <f>O73+O52+O53+O54</f>
        <v/>
      </c>
      <c r="P74" s="13">
        <f>P73+P52+P53+P54</f>
        <v/>
      </c>
      <c r="Q74" s="13">
        <f>Q73+Q52+Q53+Q54</f>
        <v/>
      </c>
      <c r="R74" s="13">
        <f>R73+R52+R53+R54</f>
        <v/>
      </c>
      <c r="S74" s="13">
        <f>S73+S52+S53+S54</f>
        <v/>
      </c>
      <c r="T74" s="13">
        <f>T73+T52+T53+T54</f>
        <v/>
      </c>
      <c r="U74" s="13">
        <f>U73+U52+U53+U54</f>
        <v/>
      </c>
      <c r="V74" s="13">
        <f>V73+V52+V53+V54</f>
        <v/>
      </c>
      <c r="W74" s="13">
        <f>W73+W52+W53+W54</f>
        <v/>
      </c>
      <c r="X74" s="13">
        <f>X73+X52+X53+X54</f>
        <v/>
      </c>
      <c r="Y74" s="13">
        <f>Y73+Y52+Y53+Y54</f>
        <v/>
      </c>
      <c r="Z74" s="13">
        <f>Z73+Z52+Z53+Z54</f>
        <v/>
      </c>
      <c r="AA74" s="13">
        <f>AA73+AA52+AA53+AA54</f>
        <v/>
      </c>
      <c r="AB74" s="13">
        <f>AB73+AB52+AB53+AB54</f>
        <v/>
      </c>
      <c r="AC74" s="13">
        <f>AC73+AC52+AC53+AC54</f>
        <v/>
      </c>
      <c r="AD74" s="13">
        <f>AD73+AD52+AD53+AD54</f>
        <v/>
      </c>
      <c r="AE74" s="13">
        <f>AE73+AE52+AE53+AE54</f>
        <v/>
      </c>
      <c r="AF74" s="13">
        <f>AF73+AF52+AF53+AF54</f>
        <v/>
      </c>
      <c r="AG74" s="13">
        <f>AG73+AG52+AG53+AG54</f>
        <v/>
      </c>
      <c r="AH74" s="13">
        <f>AH73+AH52+AH53+AH54</f>
        <v/>
      </c>
      <c r="AI74" s="13">
        <f>AI73+AI52+AI53+AI54</f>
        <v/>
      </c>
      <c r="AJ74" s="13">
        <f>AJ73+AJ52+AJ53+AJ54</f>
        <v/>
      </c>
      <c r="AK74" s="13">
        <f>AK73+AK52+AK53+AK54</f>
        <v/>
      </c>
      <c r="AL74" s="13">
        <f>AL73+AL52+AL53+AL54</f>
        <v/>
      </c>
      <c r="AM74" s="13">
        <f>AM73+AM52+AM53+AM54</f>
        <v/>
      </c>
      <c r="AN74" s="13">
        <f>AN73+AN52+AN53+AN54</f>
        <v/>
      </c>
      <c r="AO74" s="13">
        <f>AO73+AO52+AO53+AO54</f>
        <v/>
      </c>
      <c r="AP74" s="13">
        <f>AP73+AP52+AP53+AP54</f>
        <v/>
      </c>
      <c r="AQ74" s="13">
        <f>AQ73+AQ52+AQ53+AQ54</f>
        <v/>
      </c>
      <c r="AR74" s="13">
        <f>AR73+AR52+AR53+AR54</f>
        <v/>
      </c>
      <c r="AS74" s="13">
        <f>AS73+AS52+AS53+AS54</f>
        <v/>
      </c>
      <c r="AT74" s="13">
        <f>AT73+AT52+AT53+AT54</f>
        <v/>
      </c>
      <c r="AU74" s="13">
        <f>AU73+AU52+AU53+AU54</f>
        <v/>
      </c>
      <c r="AV74" s="13">
        <f>AV73+AV52+AV53+AV54</f>
        <v/>
      </c>
      <c r="AW74" s="13">
        <f>AW73+AW52+AW53+AW54</f>
        <v/>
      </c>
      <c r="AX74" s="13">
        <f>AX73+AX52+AX53+AX54</f>
        <v/>
      </c>
      <c r="AY74" s="13">
        <f>AY73+AY52+AY53+AY54</f>
        <v/>
      </c>
      <c r="AZ74" s="13">
        <f>AZ73+AZ52+AZ53+AZ54</f>
        <v/>
      </c>
      <c r="BA74" s="13">
        <f>BA73+BA52+BA53+BA54</f>
        <v/>
      </c>
      <c r="BB74" s="13">
        <f>BB73+BB52+BB53+BB54</f>
        <v/>
      </c>
      <c r="BC74" s="13">
        <f>BC73+BC52+BC53+BC54</f>
        <v/>
      </c>
      <c r="BD74" s="13">
        <f>BD73+BD52+BD53+BD54</f>
        <v/>
      </c>
      <c r="BE74" s="13">
        <f>BE73+BE52+BE53+BE54</f>
        <v/>
      </c>
      <c r="BF74" s="13">
        <f>BF73+BF52+BF53+BF54</f>
        <v/>
      </c>
      <c r="BG74" s="13">
        <f>BG73+BG52+BG53+BG54</f>
        <v/>
      </c>
      <c r="BH74" s="13">
        <f>BH73+BH52+BH53+BH54</f>
        <v/>
      </c>
      <c r="BI74" s="13">
        <f>BI73+BI52+BI53+BI54</f>
        <v/>
      </c>
      <c r="BJ74" s="13">
        <f>BJ73+BJ52+BJ53+BJ54</f>
        <v/>
      </c>
      <c r="BK74" s="13">
        <f>BK73+BK52+BK53+BK54</f>
        <v/>
      </c>
      <c r="BL74" s="13">
        <f>BL73+BL52+BL53+BL54</f>
        <v/>
      </c>
      <c r="BM74" s="13">
        <f>BM73+BM52+BM53+BM54</f>
        <v/>
      </c>
      <c r="BN74" s="13">
        <f>BN73+BN52+BN53+BN54</f>
        <v/>
      </c>
    </row>
    <row r="75">
      <c r="D75" t="inlineStr">
        <is>
          <t>VAT facility interest after the funding period</t>
        </is>
      </c>
      <c r="E75" t="inlineStr">
        <is>
          <t>USD m</t>
        </is>
      </c>
      <c r="G75" s="13">
        <f>SUM(J75:BN75)</f>
        <v/>
      </c>
      <c r="J75" s="13">
        <f>SUMIFS(Construction!$J$38:$BJ$38,Construction!$J$12:$BJ$12,Time!J20,Construction!$J$8:$BJ$8,"&gt;"&amp;Time!$F$14)</f>
        <v/>
      </c>
      <c r="K75" s="13">
        <f>SUMIFS(Construction!$J$38:$BJ$38,Construction!$J$12:$BJ$12,Time!K20,Construction!$J$8:$BJ$8,"&gt;"&amp;Time!$F$14)</f>
        <v/>
      </c>
      <c r="L75" s="13">
        <f>SUMIFS(Construction!$J$38:$BJ$38,Construction!$J$12:$BJ$12,Time!L20,Construction!$J$8:$BJ$8,"&gt;"&amp;Time!$F$14)</f>
        <v/>
      </c>
      <c r="M75" s="13">
        <f>SUMIFS(Construction!$J$38:$BJ$38,Construction!$J$12:$BJ$12,Time!M20,Construction!$J$8:$BJ$8,"&gt;"&amp;Time!$F$14)</f>
        <v/>
      </c>
      <c r="N75" s="13">
        <f>SUMIFS(Construction!$J$38:$BJ$38,Construction!$J$12:$BJ$12,Time!N20,Construction!$J$8:$BJ$8,"&gt;"&amp;Time!$F$14)</f>
        <v/>
      </c>
      <c r="O75" s="13">
        <f>SUMIFS(Construction!$J$38:$BJ$38,Construction!$J$12:$BJ$12,Time!O20,Construction!$J$8:$BJ$8,"&gt;"&amp;Time!$F$14)</f>
        <v/>
      </c>
      <c r="P75" s="13">
        <f>SUMIFS(Construction!$J$38:$BJ$38,Construction!$J$12:$BJ$12,Time!P20,Construction!$J$8:$BJ$8,"&gt;"&amp;Time!$F$14)</f>
        <v/>
      </c>
      <c r="Q75" s="13">
        <f>SUMIFS(Construction!$J$38:$BJ$38,Construction!$J$12:$BJ$12,Time!Q20,Construction!$J$8:$BJ$8,"&gt;"&amp;Time!$F$14)</f>
        <v/>
      </c>
      <c r="R75" s="13">
        <f>SUMIFS(Construction!$J$38:$BJ$38,Construction!$J$12:$BJ$12,Time!R20,Construction!$J$8:$BJ$8,"&gt;"&amp;Time!$F$14)</f>
        <v/>
      </c>
      <c r="S75" s="13">
        <f>SUMIFS(Construction!$J$38:$BJ$38,Construction!$J$12:$BJ$12,Time!S20,Construction!$J$8:$BJ$8,"&gt;"&amp;Time!$F$14)</f>
        <v/>
      </c>
      <c r="T75" s="13">
        <f>SUMIFS(Construction!$J$38:$BJ$38,Construction!$J$12:$BJ$12,Time!T20,Construction!$J$8:$BJ$8,"&gt;"&amp;Time!$F$14)</f>
        <v/>
      </c>
      <c r="U75" s="13">
        <f>SUMIFS(Construction!$J$38:$BJ$38,Construction!$J$12:$BJ$12,Time!U20,Construction!$J$8:$BJ$8,"&gt;"&amp;Time!$F$14)</f>
        <v/>
      </c>
      <c r="V75" s="13">
        <f>SUMIFS(Construction!$J$38:$BJ$38,Construction!$J$12:$BJ$12,Time!V20,Construction!$J$8:$BJ$8,"&gt;"&amp;Time!$F$14)</f>
        <v/>
      </c>
      <c r="W75" s="13">
        <f>SUMIFS(Construction!$J$38:$BJ$38,Construction!$J$12:$BJ$12,Time!W20,Construction!$J$8:$BJ$8,"&gt;"&amp;Time!$F$14)</f>
        <v/>
      </c>
      <c r="X75" s="13">
        <f>SUMIFS(Construction!$J$38:$BJ$38,Construction!$J$12:$BJ$12,Time!X20,Construction!$J$8:$BJ$8,"&gt;"&amp;Time!$F$14)</f>
        <v/>
      </c>
      <c r="Y75" s="13">
        <f>SUMIFS(Construction!$J$38:$BJ$38,Construction!$J$12:$BJ$12,Time!Y20,Construction!$J$8:$BJ$8,"&gt;"&amp;Time!$F$14)</f>
        <v/>
      </c>
      <c r="Z75" s="13">
        <f>SUMIFS(Construction!$J$38:$BJ$38,Construction!$J$12:$BJ$12,Time!Z20,Construction!$J$8:$BJ$8,"&gt;"&amp;Time!$F$14)</f>
        <v/>
      </c>
      <c r="AA75" s="13">
        <f>SUMIFS(Construction!$J$38:$BJ$38,Construction!$J$12:$BJ$12,Time!AA20,Construction!$J$8:$BJ$8,"&gt;"&amp;Time!$F$14)</f>
        <v/>
      </c>
      <c r="AB75" s="13">
        <f>SUMIFS(Construction!$J$38:$BJ$38,Construction!$J$12:$BJ$12,Time!AB20,Construction!$J$8:$BJ$8,"&gt;"&amp;Time!$F$14)</f>
        <v/>
      </c>
      <c r="AC75" s="13">
        <f>SUMIFS(Construction!$J$38:$BJ$38,Construction!$J$12:$BJ$12,Time!AC20,Construction!$J$8:$BJ$8,"&gt;"&amp;Time!$F$14)</f>
        <v/>
      </c>
      <c r="AD75" s="13">
        <f>SUMIFS(Construction!$J$38:$BJ$38,Construction!$J$12:$BJ$12,Time!AD20,Construction!$J$8:$BJ$8,"&gt;"&amp;Time!$F$14)</f>
        <v/>
      </c>
      <c r="AE75" s="13">
        <f>SUMIFS(Construction!$J$38:$BJ$38,Construction!$J$12:$BJ$12,Time!AE20,Construction!$J$8:$BJ$8,"&gt;"&amp;Time!$F$14)</f>
        <v/>
      </c>
      <c r="AF75" s="13">
        <f>SUMIFS(Construction!$J$38:$BJ$38,Construction!$J$12:$BJ$12,Time!AF20,Construction!$J$8:$BJ$8,"&gt;"&amp;Time!$F$14)</f>
        <v/>
      </c>
      <c r="AG75" s="13">
        <f>SUMIFS(Construction!$J$38:$BJ$38,Construction!$J$12:$BJ$12,Time!AG20,Construction!$J$8:$BJ$8,"&gt;"&amp;Time!$F$14)</f>
        <v/>
      </c>
      <c r="AH75" s="13">
        <f>SUMIFS(Construction!$J$38:$BJ$38,Construction!$J$12:$BJ$12,Time!AH20,Construction!$J$8:$BJ$8,"&gt;"&amp;Time!$F$14)</f>
        <v/>
      </c>
      <c r="AI75" s="13">
        <f>SUMIFS(Construction!$J$38:$BJ$38,Construction!$J$12:$BJ$12,Time!AI20,Construction!$J$8:$BJ$8,"&gt;"&amp;Time!$F$14)</f>
        <v/>
      </c>
      <c r="AJ75" s="13">
        <f>SUMIFS(Construction!$J$38:$BJ$38,Construction!$J$12:$BJ$12,Time!AJ20,Construction!$J$8:$BJ$8,"&gt;"&amp;Time!$F$14)</f>
        <v/>
      </c>
      <c r="AK75" s="13">
        <f>SUMIFS(Construction!$J$38:$BJ$38,Construction!$J$12:$BJ$12,Time!AK20,Construction!$J$8:$BJ$8,"&gt;"&amp;Time!$F$14)</f>
        <v/>
      </c>
      <c r="AL75" s="13">
        <f>SUMIFS(Construction!$J$38:$BJ$38,Construction!$J$12:$BJ$12,Time!AL20,Construction!$J$8:$BJ$8,"&gt;"&amp;Time!$F$14)</f>
        <v/>
      </c>
      <c r="AM75" s="13">
        <f>SUMIFS(Construction!$J$38:$BJ$38,Construction!$J$12:$BJ$12,Time!AM20,Construction!$J$8:$BJ$8,"&gt;"&amp;Time!$F$14)</f>
        <v/>
      </c>
      <c r="AN75" s="13">
        <f>SUMIFS(Construction!$J$38:$BJ$38,Construction!$J$12:$BJ$12,Time!AN20,Construction!$J$8:$BJ$8,"&gt;"&amp;Time!$F$14)</f>
        <v/>
      </c>
      <c r="AO75" s="13">
        <f>SUMIFS(Construction!$J$38:$BJ$38,Construction!$J$12:$BJ$12,Time!AO20,Construction!$J$8:$BJ$8,"&gt;"&amp;Time!$F$14)</f>
        <v/>
      </c>
      <c r="AP75" s="13">
        <f>SUMIFS(Construction!$J$38:$BJ$38,Construction!$J$12:$BJ$12,Time!AP20,Construction!$J$8:$BJ$8,"&gt;"&amp;Time!$F$14)</f>
        <v/>
      </c>
      <c r="AQ75" s="13">
        <f>SUMIFS(Construction!$J$38:$BJ$38,Construction!$J$12:$BJ$12,Time!AQ20,Construction!$J$8:$BJ$8,"&gt;"&amp;Time!$F$14)</f>
        <v/>
      </c>
      <c r="AR75" s="13">
        <f>SUMIFS(Construction!$J$38:$BJ$38,Construction!$J$12:$BJ$12,Time!AR20,Construction!$J$8:$BJ$8,"&gt;"&amp;Time!$F$14)</f>
        <v/>
      </c>
      <c r="AS75" s="13">
        <f>SUMIFS(Construction!$J$38:$BJ$38,Construction!$J$12:$BJ$12,Time!AS20,Construction!$J$8:$BJ$8,"&gt;"&amp;Time!$F$14)</f>
        <v/>
      </c>
      <c r="AT75" s="13">
        <f>SUMIFS(Construction!$J$38:$BJ$38,Construction!$J$12:$BJ$12,Time!AT20,Construction!$J$8:$BJ$8,"&gt;"&amp;Time!$F$14)</f>
        <v/>
      </c>
      <c r="AU75" s="13">
        <f>SUMIFS(Construction!$J$38:$BJ$38,Construction!$J$12:$BJ$12,Time!AU20,Construction!$J$8:$BJ$8,"&gt;"&amp;Time!$F$14)</f>
        <v/>
      </c>
      <c r="AV75" s="13">
        <f>SUMIFS(Construction!$J$38:$BJ$38,Construction!$J$12:$BJ$12,Time!AV20,Construction!$J$8:$BJ$8,"&gt;"&amp;Time!$F$14)</f>
        <v/>
      </c>
      <c r="AW75" s="13">
        <f>SUMIFS(Construction!$J$38:$BJ$38,Construction!$J$12:$BJ$12,Time!AW20,Construction!$J$8:$BJ$8,"&gt;"&amp;Time!$F$14)</f>
        <v/>
      </c>
      <c r="AX75" s="13">
        <f>SUMIFS(Construction!$J$38:$BJ$38,Construction!$J$12:$BJ$12,Time!AX20,Construction!$J$8:$BJ$8,"&gt;"&amp;Time!$F$14)</f>
        <v/>
      </c>
      <c r="AY75" s="13">
        <f>SUMIFS(Construction!$J$38:$BJ$38,Construction!$J$12:$BJ$12,Time!AY20,Construction!$J$8:$BJ$8,"&gt;"&amp;Time!$F$14)</f>
        <v/>
      </c>
      <c r="AZ75" s="13">
        <f>SUMIFS(Construction!$J$38:$BJ$38,Construction!$J$12:$BJ$12,Time!AZ20,Construction!$J$8:$BJ$8,"&gt;"&amp;Time!$F$14)</f>
        <v/>
      </c>
      <c r="BA75" s="13">
        <f>SUMIFS(Construction!$J$38:$BJ$38,Construction!$J$12:$BJ$12,Time!BA20,Construction!$J$8:$BJ$8,"&gt;"&amp;Time!$F$14)</f>
        <v/>
      </c>
      <c r="BB75" s="13">
        <f>SUMIFS(Construction!$J$38:$BJ$38,Construction!$J$12:$BJ$12,Time!BB20,Construction!$J$8:$BJ$8,"&gt;"&amp;Time!$F$14)</f>
        <v/>
      </c>
      <c r="BC75" s="13">
        <f>SUMIFS(Construction!$J$38:$BJ$38,Construction!$J$12:$BJ$12,Time!BC20,Construction!$J$8:$BJ$8,"&gt;"&amp;Time!$F$14)</f>
        <v/>
      </c>
      <c r="BD75" s="13">
        <f>SUMIFS(Construction!$J$38:$BJ$38,Construction!$J$12:$BJ$12,Time!BD20,Construction!$J$8:$BJ$8,"&gt;"&amp;Time!$F$14)</f>
        <v/>
      </c>
      <c r="BE75" s="13">
        <f>SUMIFS(Construction!$J$38:$BJ$38,Construction!$J$12:$BJ$12,Time!BE20,Construction!$J$8:$BJ$8,"&gt;"&amp;Time!$F$14)</f>
        <v/>
      </c>
      <c r="BF75" s="13">
        <f>SUMIFS(Construction!$J$38:$BJ$38,Construction!$J$12:$BJ$12,Time!BF20,Construction!$J$8:$BJ$8,"&gt;"&amp;Time!$F$14)</f>
        <v/>
      </c>
      <c r="BG75" s="13">
        <f>SUMIFS(Construction!$J$38:$BJ$38,Construction!$J$12:$BJ$12,Time!BG20,Construction!$J$8:$BJ$8,"&gt;"&amp;Time!$F$14)</f>
        <v/>
      </c>
      <c r="BH75" s="13">
        <f>SUMIFS(Construction!$J$38:$BJ$38,Construction!$J$12:$BJ$12,Time!BH20,Construction!$J$8:$BJ$8,"&gt;"&amp;Time!$F$14)</f>
        <v/>
      </c>
      <c r="BI75" s="13">
        <f>SUMIFS(Construction!$J$38:$BJ$38,Construction!$J$12:$BJ$12,Time!BI20,Construction!$J$8:$BJ$8,"&gt;"&amp;Time!$F$14)</f>
        <v/>
      </c>
      <c r="BJ75" s="13">
        <f>SUMIFS(Construction!$J$38:$BJ$38,Construction!$J$12:$BJ$12,Time!BJ20,Construction!$J$8:$BJ$8,"&gt;"&amp;Time!$F$14)</f>
        <v/>
      </c>
      <c r="BK75" s="13">
        <f>SUMIFS(Construction!$J$38:$BJ$38,Construction!$J$12:$BJ$12,Time!BK20,Construction!$J$8:$BJ$8,"&gt;"&amp;Time!$F$14)</f>
        <v/>
      </c>
      <c r="BL75" s="13">
        <f>SUMIFS(Construction!$J$38:$BJ$38,Construction!$J$12:$BJ$12,Time!BL20,Construction!$J$8:$BJ$8,"&gt;"&amp;Time!$F$14)</f>
        <v/>
      </c>
      <c r="BM75" s="13">
        <f>SUMIFS(Construction!$J$38:$BJ$38,Construction!$J$12:$BJ$12,Time!BM20,Construction!$J$8:$BJ$8,"&gt;"&amp;Time!$F$14)</f>
        <v/>
      </c>
      <c r="BN75" s="13">
        <f>SUMIFS(Construction!$J$38:$BJ$38,Construction!$J$12:$BJ$12,Time!BN20,Construction!$J$8:$BJ$8,"&gt;"&amp;Time!$F$14)</f>
        <v/>
      </c>
    </row>
    <row r="76">
      <c r="D76" t="inlineStr">
        <is>
          <t>FX conversion losses</t>
        </is>
      </c>
      <c r="E76" t="inlineStr">
        <is>
          <t>USD m</t>
        </is>
      </c>
      <c r="G76" s="13">
        <f>SUM(J76:BN76)</f>
        <v/>
      </c>
      <c r="J76" s="13">
        <f>Inputs!$F$45*Inputs!J296</f>
        <v/>
      </c>
      <c r="K76" s="13">
        <f>Inputs!$F$45*Inputs!K296</f>
        <v/>
      </c>
      <c r="L76" s="13">
        <f>Inputs!$F$45*Inputs!L296</f>
        <v/>
      </c>
      <c r="M76" s="13">
        <f>Inputs!$F$45*Inputs!M296</f>
        <v/>
      </c>
      <c r="N76" s="13">
        <f>Inputs!$F$45*Inputs!N296</f>
        <v/>
      </c>
      <c r="O76" s="13">
        <f>Inputs!$F$45*Inputs!O296</f>
        <v/>
      </c>
      <c r="P76" s="13">
        <f>Inputs!$F$45*Inputs!P296</f>
        <v/>
      </c>
      <c r="Q76" s="13">
        <f>Inputs!$F$45*Inputs!Q296</f>
        <v/>
      </c>
      <c r="R76" s="13">
        <f>Inputs!$F$45*Inputs!R296</f>
        <v/>
      </c>
      <c r="S76" s="13">
        <f>Inputs!$F$45*Inputs!S296</f>
        <v/>
      </c>
      <c r="T76" s="13">
        <f>Inputs!$F$45*Inputs!T296</f>
        <v/>
      </c>
      <c r="U76" s="13">
        <f>Inputs!$F$45*Inputs!U296</f>
        <v/>
      </c>
      <c r="V76" s="13">
        <f>Inputs!$F$45*Inputs!V296</f>
        <v/>
      </c>
      <c r="W76" s="13">
        <f>Inputs!$F$45*Inputs!W296</f>
        <v/>
      </c>
      <c r="X76" s="13">
        <f>Inputs!$F$45*Inputs!X296</f>
        <v/>
      </c>
      <c r="Y76" s="13">
        <f>Inputs!$F$45*Inputs!Y296</f>
        <v/>
      </c>
      <c r="Z76" s="13">
        <f>Inputs!$F$45*Inputs!Z296</f>
        <v/>
      </c>
      <c r="AA76" s="13">
        <f>Inputs!$F$45*Inputs!AA296</f>
        <v/>
      </c>
      <c r="AB76" s="13">
        <f>Inputs!$F$45*Inputs!AB296</f>
        <v/>
      </c>
      <c r="AC76" s="13">
        <f>Inputs!$F$45*Inputs!AC296</f>
        <v/>
      </c>
      <c r="AD76" s="13">
        <f>Inputs!$F$45*Inputs!AD296</f>
        <v/>
      </c>
      <c r="AE76" s="13">
        <f>Inputs!$F$45*Inputs!AE296</f>
        <v/>
      </c>
      <c r="AF76" s="13">
        <f>Inputs!$F$45*Inputs!AF296</f>
        <v/>
      </c>
      <c r="AG76" s="13">
        <f>Inputs!$F$45*Inputs!AG296</f>
        <v/>
      </c>
      <c r="AH76" s="13">
        <f>Inputs!$F$45*Inputs!AH296</f>
        <v/>
      </c>
      <c r="AI76" s="13">
        <f>Inputs!$F$45*Inputs!AI296</f>
        <v/>
      </c>
      <c r="AJ76" s="13">
        <f>Inputs!$F$45*Inputs!AJ296</f>
        <v/>
      </c>
      <c r="AK76" s="13">
        <f>Inputs!$F$45*Inputs!AK296</f>
        <v/>
      </c>
      <c r="AL76" s="13">
        <f>Inputs!$F$45*Inputs!AL296</f>
        <v/>
      </c>
      <c r="AM76" s="13">
        <f>Inputs!$F$45*Inputs!AM296</f>
        <v/>
      </c>
      <c r="AN76" s="13">
        <f>Inputs!$F$45*Inputs!AN296</f>
        <v/>
      </c>
      <c r="AO76" s="13">
        <f>Inputs!$F$45*Inputs!AO296</f>
        <v/>
      </c>
      <c r="AP76" s="13">
        <f>Inputs!$F$45*Inputs!AP296</f>
        <v/>
      </c>
      <c r="AQ76" s="13">
        <f>Inputs!$F$45*Inputs!AQ296</f>
        <v/>
      </c>
      <c r="AR76" s="13">
        <f>Inputs!$F$45*Inputs!AR296</f>
        <v/>
      </c>
      <c r="AS76" s="13">
        <f>Inputs!$F$45*Inputs!AS296</f>
        <v/>
      </c>
      <c r="AT76" s="13">
        <f>Inputs!$F$45*Inputs!AT296</f>
        <v/>
      </c>
      <c r="AU76" s="13">
        <f>Inputs!$F$45*Inputs!AU296</f>
        <v/>
      </c>
      <c r="AV76" s="13">
        <f>Inputs!$F$45*Inputs!AV296</f>
        <v/>
      </c>
      <c r="AW76" s="13">
        <f>Inputs!$F$45*Inputs!AW296</f>
        <v/>
      </c>
      <c r="AX76" s="13">
        <f>Inputs!$F$45*Inputs!AX296</f>
        <v/>
      </c>
      <c r="AY76" s="13">
        <f>Inputs!$F$45*Inputs!AY296</f>
        <v/>
      </c>
      <c r="AZ76" s="13">
        <f>Inputs!$F$45*Inputs!AZ296</f>
        <v/>
      </c>
      <c r="BA76" s="13">
        <f>Inputs!$F$45*Inputs!BA296</f>
        <v/>
      </c>
      <c r="BB76" s="13">
        <f>Inputs!$F$45*Inputs!BB296</f>
        <v/>
      </c>
      <c r="BC76" s="13">
        <f>Inputs!$F$45*Inputs!BC296</f>
        <v/>
      </c>
      <c r="BD76" s="13">
        <f>Inputs!$F$45*Inputs!BD296</f>
        <v/>
      </c>
      <c r="BE76" s="13">
        <f>Inputs!$F$45*Inputs!BE296</f>
        <v/>
      </c>
      <c r="BF76" s="13">
        <f>Inputs!$F$45*Inputs!BF296</f>
        <v/>
      </c>
      <c r="BG76" s="13">
        <f>Inputs!$F$45*Inputs!BG296</f>
        <v/>
      </c>
      <c r="BH76" s="13">
        <f>Inputs!$F$45*Inputs!BH296</f>
        <v/>
      </c>
      <c r="BI76" s="13">
        <f>Inputs!$F$45*Inputs!BI296</f>
        <v/>
      </c>
      <c r="BJ76" s="13">
        <f>Inputs!$F$45*Inputs!BJ296</f>
        <v/>
      </c>
      <c r="BK76" s="13">
        <f>Inputs!$F$45*Inputs!BK296</f>
        <v/>
      </c>
      <c r="BL76" s="13">
        <f>Inputs!$F$45*Inputs!BL296</f>
        <v/>
      </c>
      <c r="BM76" s="13">
        <f>Inputs!$F$45*Inputs!BM296</f>
        <v/>
      </c>
      <c r="BN76" s="13">
        <f>Inputs!$F$45*Inputs!BN296</f>
        <v/>
      </c>
    </row>
    <row r="77">
      <c r="D77" t="inlineStr">
        <is>
          <t>OY whose maintenance month could fall in the period</t>
        </is>
      </c>
      <c r="E77" t="inlineStr">
        <is>
          <t>OY</t>
        </is>
      </c>
      <c r="J77" s="9">
        <f>INT((Time!J33-Inputs!$F$221)/12)+1</f>
        <v/>
      </c>
      <c r="K77" s="9">
        <f>INT((Time!K33-Inputs!$F$221)/12)+1</f>
        <v/>
      </c>
      <c r="L77" s="9">
        <f>INT((Time!L33-Inputs!$F$221)/12)+1</f>
        <v/>
      </c>
      <c r="M77" s="9">
        <f>INT((Time!M33-Inputs!$F$221)/12)+1</f>
        <v/>
      </c>
      <c r="N77" s="9">
        <f>INT((Time!N33-Inputs!$F$221)/12)+1</f>
        <v/>
      </c>
      <c r="O77" s="9">
        <f>INT((Time!O33-Inputs!$F$221)/12)+1</f>
        <v/>
      </c>
      <c r="P77" s="9">
        <f>INT((Time!P33-Inputs!$F$221)/12)+1</f>
        <v/>
      </c>
      <c r="Q77" s="9">
        <f>INT((Time!Q33-Inputs!$F$221)/12)+1</f>
        <v/>
      </c>
      <c r="R77" s="9">
        <f>INT((Time!R33-Inputs!$F$221)/12)+1</f>
        <v/>
      </c>
      <c r="S77" s="9">
        <f>INT((Time!S33-Inputs!$F$221)/12)+1</f>
        <v/>
      </c>
      <c r="T77" s="9">
        <f>INT((Time!T33-Inputs!$F$221)/12)+1</f>
        <v/>
      </c>
      <c r="U77" s="9">
        <f>INT((Time!U33-Inputs!$F$221)/12)+1</f>
        <v/>
      </c>
      <c r="V77" s="9">
        <f>INT((Time!V33-Inputs!$F$221)/12)+1</f>
        <v/>
      </c>
      <c r="W77" s="9">
        <f>INT((Time!W33-Inputs!$F$221)/12)+1</f>
        <v/>
      </c>
      <c r="X77" s="9">
        <f>INT((Time!X33-Inputs!$F$221)/12)+1</f>
        <v/>
      </c>
      <c r="Y77" s="9">
        <f>INT((Time!Y33-Inputs!$F$221)/12)+1</f>
        <v/>
      </c>
      <c r="Z77" s="9">
        <f>INT((Time!Z33-Inputs!$F$221)/12)+1</f>
        <v/>
      </c>
      <c r="AA77" s="9">
        <f>INT((Time!AA33-Inputs!$F$221)/12)+1</f>
        <v/>
      </c>
      <c r="AB77" s="9">
        <f>INT((Time!AB33-Inputs!$F$221)/12)+1</f>
        <v/>
      </c>
      <c r="AC77" s="9">
        <f>INT((Time!AC33-Inputs!$F$221)/12)+1</f>
        <v/>
      </c>
      <c r="AD77" s="9">
        <f>INT((Time!AD33-Inputs!$F$221)/12)+1</f>
        <v/>
      </c>
      <c r="AE77" s="9">
        <f>INT((Time!AE33-Inputs!$F$221)/12)+1</f>
        <v/>
      </c>
      <c r="AF77" s="9">
        <f>INT((Time!AF33-Inputs!$F$221)/12)+1</f>
        <v/>
      </c>
      <c r="AG77" s="9">
        <f>INT((Time!AG33-Inputs!$F$221)/12)+1</f>
        <v/>
      </c>
      <c r="AH77" s="9">
        <f>INT((Time!AH33-Inputs!$F$221)/12)+1</f>
        <v/>
      </c>
      <c r="AI77" s="9">
        <f>INT((Time!AI33-Inputs!$F$221)/12)+1</f>
        <v/>
      </c>
      <c r="AJ77" s="9">
        <f>INT((Time!AJ33-Inputs!$F$221)/12)+1</f>
        <v/>
      </c>
      <c r="AK77" s="9">
        <f>INT((Time!AK33-Inputs!$F$221)/12)+1</f>
        <v/>
      </c>
      <c r="AL77" s="9">
        <f>INT((Time!AL33-Inputs!$F$221)/12)+1</f>
        <v/>
      </c>
      <c r="AM77" s="9">
        <f>INT((Time!AM33-Inputs!$F$221)/12)+1</f>
        <v/>
      </c>
      <c r="AN77" s="9">
        <f>INT((Time!AN33-Inputs!$F$221)/12)+1</f>
        <v/>
      </c>
      <c r="AO77" s="9">
        <f>INT((Time!AO33-Inputs!$F$221)/12)+1</f>
        <v/>
      </c>
      <c r="AP77" s="9">
        <f>INT((Time!AP33-Inputs!$F$221)/12)+1</f>
        <v/>
      </c>
      <c r="AQ77" s="9">
        <f>INT((Time!AQ33-Inputs!$F$221)/12)+1</f>
        <v/>
      </c>
      <c r="AR77" s="9">
        <f>INT((Time!AR33-Inputs!$F$221)/12)+1</f>
        <v/>
      </c>
      <c r="AS77" s="9">
        <f>INT((Time!AS33-Inputs!$F$221)/12)+1</f>
        <v/>
      </c>
      <c r="AT77" s="9">
        <f>INT((Time!AT33-Inputs!$F$221)/12)+1</f>
        <v/>
      </c>
      <c r="AU77" s="9">
        <f>INT((Time!AU33-Inputs!$F$221)/12)+1</f>
        <v/>
      </c>
      <c r="AV77" s="9">
        <f>INT((Time!AV33-Inputs!$F$221)/12)+1</f>
        <v/>
      </c>
      <c r="AW77" s="9">
        <f>INT((Time!AW33-Inputs!$F$221)/12)+1</f>
        <v/>
      </c>
      <c r="AX77" s="9">
        <f>INT((Time!AX33-Inputs!$F$221)/12)+1</f>
        <v/>
      </c>
      <c r="AY77" s="9">
        <f>INT((Time!AY33-Inputs!$F$221)/12)+1</f>
        <v/>
      </c>
      <c r="AZ77" s="9">
        <f>INT((Time!AZ33-Inputs!$F$221)/12)+1</f>
        <v/>
      </c>
      <c r="BA77" s="9">
        <f>INT((Time!BA33-Inputs!$F$221)/12)+1</f>
        <v/>
      </c>
      <c r="BB77" s="9">
        <f>INT((Time!BB33-Inputs!$F$221)/12)+1</f>
        <v/>
      </c>
      <c r="BC77" s="9">
        <f>INT((Time!BC33-Inputs!$F$221)/12)+1</f>
        <v/>
      </c>
      <c r="BD77" s="9">
        <f>INT((Time!BD33-Inputs!$F$221)/12)+1</f>
        <v/>
      </c>
      <c r="BE77" s="9">
        <f>INT((Time!BE33-Inputs!$F$221)/12)+1</f>
        <v/>
      </c>
      <c r="BF77" s="9">
        <f>INT((Time!BF33-Inputs!$F$221)/12)+1</f>
        <v/>
      </c>
      <c r="BG77" s="9">
        <f>INT((Time!BG33-Inputs!$F$221)/12)+1</f>
        <v/>
      </c>
      <c r="BH77" s="9">
        <f>INT((Time!BH33-Inputs!$F$221)/12)+1</f>
        <v/>
      </c>
      <c r="BI77" s="9">
        <f>INT((Time!BI33-Inputs!$F$221)/12)+1</f>
        <v/>
      </c>
      <c r="BJ77" s="9">
        <f>INT((Time!BJ33-Inputs!$F$221)/12)+1</f>
        <v/>
      </c>
      <c r="BK77" s="9">
        <f>INT((Time!BK33-Inputs!$F$221)/12)+1</f>
        <v/>
      </c>
      <c r="BL77" s="9">
        <f>INT((Time!BL33-Inputs!$F$221)/12)+1</f>
        <v/>
      </c>
      <c r="BM77" s="9">
        <f>INT((Time!BM33-Inputs!$F$221)/12)+1</f>
        <v/>
      </c>
      <c r="BN77" s="9">
        <f>INT((Time!BN33-Inputs!$F$221)/12)+1</f>
        <v/>
      </c>
    </row>
    <row r="78">
      <c r="D78" t="inlineStr">
        <is>
          <t>Major maintenance outside LTSA (2018 prices)</t>
        </is>
      </c>
      <c r="E78" t="inlineStr">
        <is>
          <t>USD m</t>
        </is>
      </c>
      <c r="J78" s="13">
        <f>IF(AND(Time!J30&gt;0,J77&gt;=1,J77&lt;=Inputs!$F$222,Time!J32&lt;(J77-1)*12+Inputs!$F$221,(J77-1)*12+Inputs!$F$221&lt;=Time!J33),IF(MOD(J77,Inputs!$F$223)=0,Inputs!$F$164,IF(MOD(J77,Inputs!$F$224)=0,Inputs!$F$165,0)),0)</f>
        <v/>
      </c>
      <c r="K78" s="13">
        <f>IF(AND(Time!K30&gt;0,K77&gt;=1,K77&lt;=Inputs!$F$222,Time!K32&lt;(K77-1)*12+Inputs!$F$221,(K77-1)*12+Inputs!$F$221&lt;=Time!K33),IF(MOD(K77,Inputs!$F$223)=0,Inputs!$F$164,IF(MOD(K77,Inputs!$F$224)=0,Inputs!$F$165,0)),0)</f>
        <v/>
      </c>
      <c r="L78" s="13">
        <f>IF(AND(Time!L30&gt;0,L77&gt;=1,L77&lt;=Inputs!$F$222,Time!L32&lt;(L77-1)*12+Inputs!$F$221,(L77-1)*12+Inputs!$F$221&lt;=Time!L33),IF(MOD(L77,Inputs!$F$223)=0,Inputs!$F$164,IF(MOD(L77,Inputs!$F$224)=0,Inputs!$F$165,0)),0)</f>
        <v/>
      </c>
      <c r="M78" s="13">
        <f>IF(AND(Time!M30&gt;0,M77&gt;=1,M77&lt;=Inputs!$F$222,Time!M32&lt;(M77-1)*12+Inputs!$F$221,(M77-1)*12+Inputs!$F$221&lt;=Time!M33),IF(MOD(M77,Inputs!$F$223)=0,Inputs!$F$164,IF(MOD(M77,Inputs!$F$224)=0,Inputs!$F$165,0)),0)</f>
        <v/>
      </c>
      <c r="N78" s="13">
        <f>IF(AND(Time!N30&gt;0,N77&gt;=1,N77&lt;=Inputs!$F$222,Time!N32&lt;(N77-1)*12+Inputs!$F$221,(N77-1)*12+Inputs!$F$221&lt;=Time!N33),IF(MOD(N77,Inputs!$F$223)=0,Inputs!$F$164,IF(MOD(N77,Inputs!$F$224)=0,Inputs!$F$165,0)),0)</f>
        <v/>
      </c>
      <c r="O78" s="13">
        <f>IF(AND(Time!O30&gt;0,O77&gt;=1,O77&lt;=Inputs!$F$222,Time!O32&lt;(O77-1)*12+Inputs!$F$221,(O77-1)*12+Inputs!$F$221&lt;=Time!O33),IF(MOD(O77,Inputs!$F$223)=0,Inputs!$F$164,IF(MOD(O77,Inputs!$F$224)=0,Inputs!$F$165,0)),0)</f>
        <v/>
      </c>
      <c r="P78" s="13">
        <f>IF(AND(Time!P30&gt;0,P77&gt;=1,P77&lt;=Inputs!$F$222,Time!P32&lt;(P77-1)*12+Inputs!$F$221,(P77-1)*12+Inputs!$F$221&lt;=Time!P33),IF(MOD(P77,Inputs!$F$223)=0,Inputs!$F$164,IF(MOD(P77,Inputs!$F$224)=0,Inputs!$F$165,0)),0)</f>
        <v/>
      </c>
      <c r="Q78" s="13">
        <f>IF(AND(Time!Q30&gt;0,Q77&gt;=1,Q77&lt;=Inputs!$F$222,Time!Q32&lt;(Q77-1)*12+Inputs!$F$221,(Q77-1)*12+Inputs!$F$221&lt;=Time!Q33),IF(MOD(Q77,Inputs!$F$223)=0,Inputs!$F$164,IF(MOD(Q77,Inputs!$F$224)=0,Inputs!$F$165,0)),0)</f>
        <v/>
      </c>
      <c r="R78" s="13">
        <f>IF(AND(Time!R30&gt;0,R77&gt;=1,R77&lt;=Inputs!$F$222,Time!R32&lt;(R77-1)*12+Inputs!$F$221,(R77-1)*12+Inputs!$F$221&lt;=Time!R33),IF(MOD(R77,Inputs!$F$223)=0,Inputs!$F$164,IF(MOD(R77,Inputs!$F$224)=0,Inputs!$F$165,0)),0)</f>
        <v/>
      </c>
      <c r="S78" s="13">
        <f>IF(AND(Time!S30&gt;0,S77&gt;=1,S77&lt;=Inputs!$F$222,Time!S32&lt;(S77-1)*12+Inputs!$F$221,(S77-1)*12+Inputs!$F$221&lt;=Time!S33),IF(MOD(S77,Inputs!$F$223)=0,Inputs!$F$164,IF(MOD(S77,Inputs!$F$224)=0,Inputs!$F$165,0)),0)</f>
        <v/>
      </c>
      <c r="T78" s="13">
        <f>IF(AND(Time!T30&gt;0,T77&gt;=1,T77&lt;=Inputs!$F$222,Time!T32&lt;(T77-1)*12+Inputs!$F$221,(T77-1)*12+Inputs!$F$221&lt;=Time!T33),IF(MOD(T77,Inputs!$F$223)=0,Inputs!$F$164,IF(MOD(T77,Inputs!$F$224)=0,Inputs!$F$165,0)),0)</f>
        <v/>
      </c>
      <c r="U78" s="13">
        <f>IF(AND(Time!U30&gt;0,U77&gt;=1,U77&lt;=Inputs!$F$222,Time!U32&lt;(U77-1)*12+Inputs!$F$221,(U77-1)*12+Inputs!$F$221&lt;=Time!U33),IF(MOD(U77,Inputs!$F$223)=0,Inputs!$F$164,IF(MOD(U77,Inputs!$F$224)=0,Inputs!$F$165,0)),0)</f>
        <v/>
      </c>
      <c r="V78" s="13">
        <f>IF(AND(Time!V30&gt;0,V77&gt;=1,V77&lt;=Inputs!$F$222,Time!V32&lt;(V77-1)*12+Inputs!$F$221,(V77-1)*12+Inputs!$F$221&lt;=Time!V33),IF(MOD(V77,Inputs!$F$223)=0,Inputs!$F$164,IF(MOD(V77,Inputs!$F$224)=0,Inputs!$F$165,0)),0)</f>
        <v/>
      </c>
      <c r="W78" s="13">
        <f>IF(AND(Time!W30&gt;0,W77&gt;=1,W77&lt;=Inputs!$F$222,Time!W32&lt;(W77-1)*12+Inputs!$F$221,(W77-1)*12+Inputs!$F$221&lt;=Time!W33),IF(MOD(W77,Inputs!$F$223)=0,Inputs!$F$164,IF(MOD(W77,Inputs!$F$224)=0,Inputs!$F$165,0)),0)</f>
        <v/>
      </c>
      <c r="X78" s="13">
        <f>IF(AND(Time!X30&gt;0,X77&gt;=1,X77&lt;=Inputs!$F$222,Time!X32&lt;(X77-1)*12+Inputs!$F$221,(X77-1)*12+Inputs!$F$221&lt;=Time!X33),IF(MOD(X77,Inputs!$F$223)=0,Inputs!$F$164,IF(MOD(X77,Inputs!$F$224)=0,Inputs!$F$165,0)),0)</f>
        <v/>
      </c>
      <c r="Y78" s="13">
        <f>IF(AND(Time!Y30&gt;0,Y77&gt;=1,Y77&lt;=Inputs!$F$222,Time!Y32&lt;(Y77-1)*12+Inputs!$F$221,(Y77-1)*12+Inputs!$F$221&lt;=Time!Y33),IF(MOD(Y77,Inputs!$F$223)=0,Inputs!$F$164,IF(MOD(Y77,Inputs!$F$224)=0,Inputs!$F$165,0)),0)</f>
        <v/>
      </c>
      <c r="Z78" s="13">
        <f>IF(AND(Time!Z30&gt;0,Z77&gt;=1,Z77&lt;=Inputs!$F$222,Time!Z32&lt;(Z77-1)*12+Inputs!$F$221,(Z77-1)*12+Inputs!$F$221&lt;=Time!Z33),IF(MOD(Z77,Inputs!$F$223)=0,Inputs!$F$164,IF(MOD(Z77,Inputs!$F$224)=0,Inputs!$F$165,0)),0)</f>
        <v/>
      </c>
      <c r="AA78" s="13">
        <f>IF(AND(Time!AA30&gt;0,AA77&gt;=1,AA77&lt;=Inputs!$F$222,Time!AA32&lt;(AA77-1)*12+Inputs!$F$221,(AA77-1)*12+Inputs!$F$221&lt;=Time!AA33),IF(MOD(AA77,Inputs!$F$223)=0,Inputs!$F$164,IF(MOD(AA77,Inputs!$F$224)=0,Inputs!$F$165,0)),0)</f>
        <v/>
      </c>
      <c r="AB78" s="13">
        <f>IF(AND(Time!AB30&gt;0,AB77&gt;=1,AB77&lt;=Inputs!$F$222,Time!AB32&lt;(AB77-1)*12+Inputs!$F$221,(AB77-1)*12+Inputs!$F$221&lt;=Time!AB33),IF(MOD(AB77,Inputs!$F$223)=0,Inputs!$F$164,IF(MOD(AB77,Inputs!$F$224)=0,Inputs!$F$165,0)),0)</f>
        <v/>
      </c>
      <c r="AC78" s="13">
        <f>IF(AND(Time!AC30&gt;0,AC77&gt;=1,AC77&lt;=Inputs!$F$222,Time!AC32&lt;(AC77-1)*12+Inputs!$F$221,(AC77-1)*12+Inputs!$F$221&lt;=Time!AC33),IF(MOD(AC77,Inputs!$F$223)=0,Inputs!$F$164,IF(MOD(AC77,Inputs!$F$224)=0,Inputs!$F$165,0)),0)</f>
        <v/>
      </c>
      <c r="AD78" s="13">
        <f>IF(AND(Time!AD30&gt;0,AD77&gt;=1,AD77&lt;=Inputs!$F$222,Time!AD32&lt;(AD77-1)*12+Inputs!$F$221,(AD77-1)*12+Inputs!$F$221&lt;=Time!AD33),IF(MOD(AD77,Inputs!$F$223)=0,Inputs!$F$164,IF(MOD(AD77,Inputs!$F$224)=0,Inputs!$F$165,0)),0)</f>
        <v/>
      </c>
      <c r="AE78" s="13">
        <f>IF(AND(Time!AE30&gt;0,AE77&gt;=1,AE77&lt;=Inputs!$F$222,Time!AE32&lt;(AE77-1)*12+Inputs!$F$221,(AE77-1)*12+Inputs!$F$221&lt;=Time!AE33),IF(MOD(AE77,Inputs!$F$223)=0,Inputs!$F$164,IF(MOD(AE77,Inputs!$F$224)=0,Inputs!$F$165,0)),0)</f>
        <v/>
      </c>
      <c r="AF78" s="13">
        <f>IF(AND(Time!AF30&gt;0,AF77&gt;=1,AF77&lt;=Inputs!$F$222,Time!AF32&lt;(AF77-1)*12+Inputs!$F$221,(AF77-1)*12+Inputs!$F$221&lt;=Time!AF33),IF(MOD(AF77,Inputs!$F$223)=0,Inputs!$F$164,IF(MOD(AF77,Inputs!$F$224)=0,Inputs!$F$165,0)),0)</f>
        <v/>
      </c>
      <c r="AG78" s="13">
        <f>IF(AND(Time!AG30&gt;0,AG77&gt;=1,AG77&lt;=Inputs!$F$222,Time!AG32&lt;(AG77-1)*12+Inputs!$F$221,(AG77-1)*12+Inputs!$F$221&lt;=Time!AG33),IF(MOD(AG77,Inputs!$F$223)=0,Inputs!$F$164,IF(MOD(AG77,Inputs!$F$224)=0,Inputs!$F$165,0)),0)</f>
        <v/>
      </c>
      <c r="AH78" s="13">
        <f>IF(AND(Time!AH30&gt;0,AH77&gt;=1,AH77&lt;=Inputs!$F$222,Time!AH32&lt;(AH77-1)*12+Inputs!$F$221,(AH77-1)*12+Inputs!$F$221&lt;=Time!AH33),IF(MOD(AH77,Inputs!$F$223)=0,Inputs!$F$164,IF(MOD(AH77,Inputs!$F$224)=0,Inputs!$F$165,0)),0)</f>
        <v/>
      </c>
      <c r="AI78" s="13">
        <f>IF(AND(Time!AI30&gt;0,AI77&gt;=1,AI77&lt;=Inputs!$F$222,Time!AI32&lt;(AI77-1)*12+Inputs!$F$221,(AI77-1)*12+Inputs!$F$221&lt;=Time!AI33),IF(MOD(AI77,Inputs!$F$223)=0,Inputs!$F$164,IF(MOD(AI77,Inputs!$F$224)=0,Inputs!$F$165,0)),0)</f>
        <v/>
      </c>
      <c r="AJ78" s="13">
        <f>IF(AND(Time!AJ30&gt;0,AJ77&gt;=1,AJ77&lt;=Inputs!$F$222,Time!AJ32&lt;(AJ77-1)*12+Inputs!$F$221,(AJ77-1)*12+Inputs!$F$221&lt;=Time!AJ33),IF(MOD(AJ77,Inputs!$F$223)=0,Inputs!$F$164,IF(MOD(AJ77,Inputs!$F$224)=0,Inputs!$F$165,0)),0)</f>
        <v/>
      </c>
      <c r="AK78" s="13">
        <f>IF(AND(Time!AK30&gt;0,AK77&gt;=1,AK77&lt;=Inputs!$F$222,Time!AK32&lt;(AK77-1)*12+Inputs!$F$221,(AK77-1)*12+Inputs!$F$221&lt;=Time!AK33),IF(MOD(AK77,Inputs!$F$223)=0,Inputs!$F$164,IF(MOD(AK77,Inputs!$F$224)=0,Inputs!$F$165,0)),0)</f>
        <v/>
      </c>
      <c r="AL78" s="13">
        <f>IF(AND(Time!AL30&gt;0,AL77&gt;=1,AL77&lt;=Inputs!$F$222,Time!AL32&lt;(AL77-1)*12+Inputs!$F$221,(AL77-1)*12+Inputs!$F$221&lt;=Time!AL33),IF(MOD(AL77,Inputs!$F$223)=0,Inputs!$F$164,IF(MOD(AL77,Inputs!$F$224)=0,Inputs!$F$165,0)),0)</f>
        <v/>
      </c>
      <c r="AM78" s="13">
        <f>IF(AND(Time!AM30&gt;0,AM77&gt;=1,AM77&lt;=Inputs!$F$222,Time!AM32&lt;(AM77-1)*12+Inputs!$F$221,(AM77-1)*12+Inputs!$F$221&lt;=Time!AM33),IF(MOD(AM77,Inputs!$F$223)=0,Inputs!$F$164,IF(MOD(AM77,Inputs!$F$224)=0,Inputs!$F$165,0)),0)</f>
        <v/>
      </c>
      <c r="AN78" s="13">
        <f>IF(AND(Time!AN30&gt;0,AN77&gt;=1,AN77&lt;=Inputs!$F$222,Time!AN32&lt;(AN77-1)*12+Inputs!$F$221,(AN77-1)*12+Inputs!$F$221&lt;=Time!AN33),IF(MOD(AN77,Inputs!$F$223)=0,Inputs!$F$164,IF(MOD(AN77,Inputs!$F$224)=0,Inputs!$F$165,0)),0)</f>
        <v/>
      </c>
      <c r="AO78" s="13">
        <f>IF(AND(Time!AO30&gt;0,AO77&gt;=1,AO77&lt;=Inputs!$F$222,Time!AO32&lt;(AO77-1)*12+Inputs!$F$221,(AO77-1)*12+Inputs!$F$221&lt;=Time!AO33),IF(MOD(AO77,Inputs!$F$223)=0,Inputs!$F$164,IF(MOD(AO77,Inputs!$F$224)=0,Inputs!$F$165,0)),0)</f>
        <v/>
      </c>
      <c r="AP78" s="13">
        <f>IF(AND(Time!AP30&gt;0,AP77&gt;=1,AP77&lt;=Inputs!$F$222,Time!AP32&lt;(AP77-1)*12+Inputs!$F$221,(AP77-1)*12+Inputs!$F$221&lt;=Time!AP33),IF(MOD(AP77,Inputs!$F$223)=0,Inputs!$F$164,IF(MOD(AP77,Inputs!$F$224)=0,Inputs!$F$165,0)),0)</f>
        <v/>
      </c>
      <c r="AQ78" s="13">
        <f>IF(AND(Time!AQ30&gt;0,AQ77&gt;=1,AQ77&lt;=Inputs!$F$222,Time!AQ32&lt;(AQ77-1)*12+Inputs!$F$221,(AQ77-1)*12+Inputs!$F$221&lt;=Time!AQ33),IF(MOD(AQ77,Inputs!$F$223)=0,Inputs!$F$164,IF(MOD(AQ77,Inputs!$F$224)=0,Inputs!$F$165,0)),0)</f>
        <v/>
      </c>
      <c r="AR78" s="13">
        <f>IF(AND(Time!AR30&gt;0,AR77&gt;=1,AR77&lt;=Inputs!$F$222,Time!AR32&lt;(AR77-1)*12+Inputs!$F$221,(AR77-1)*12+Inputs!$F$221&lt;=Time!AR33),IF(MOD(AR77,Inputs!$F$223)=0,Inputs!$F$164,IF(MOD(AR77,Inputs!$F$224)=0,Inputs!$F$165,0)),0)</f>
        <v/>
      </c>
      <c r="AS78" s="13">
        <f>IF(AND(Time!AS30&gt;0,AS77&gt;=1,AS77&lt;=Inputs!$F$222,Time!AS32&lt;(AS77-1)*12+Inputs!$F$221,(AS77-1)*12+Inputs!$F$221&lt;=Time!AS33),IF(MOD(AS77,Inputs!$F$223)=0,Inputs!$F$164,IF(MOD(AS77,Inputs!$F$224)=0,Inputs!$F$165,0)),0)</f>
        <v/>
      </c>
      <c r="AT78" s="13">
        <f>IF(AND(Time!AT30&gt;0,AT77&gt;=1,AT77&lt;=Inputs!$F$222,Time!AT32&lt;(AT77-1)*12+Inputs!$F$221,(AT77-1)*12+Inputs!$F$221&lt;=Time!AT33),IF(MOD(AT77,Inputs!$F$223)=0,Inputs!$F$164,IF(MOD(AT77,Inputs!$F$224)=0,Inputs!$F$165,0)),0)</f>
        <v/>
      </c>
      <c r="AU78" s="13">
        <f>IF(AND(Time!AU30&gt;0,AU77&gt;=1,AU77&lt;=Inputs!$F$222,Time!AU32&lt;(AU77-1)*12+Inputs!$F$221,(AU77-1)*12+Inputs!$F$221&lt;=Time!AU33),IF(MOD(AU77,Inputs!$F$223)=0,Inputs!$F$164,IF(MOD(AU77,Inputs!$F$224)=0,Inputs!$F$165,0)),0)</f>
        <v/>
      </c>
      <c r="AV78" s="13">
        <f>IF(AND(Time!AV30&gt;0,AV77&gt;=1,AV77&lt;=Inputs!$F$222,Time!AV32&lt;(AV77-1)*12+Inputs!$F$221,(AV77-1)*12+Inputs!$F$221&lt;=Time!AV33),IF(MOD(AV77,Inputs!$F$223)=0,Inputs!$F$164,IF(MOD(AV77,Inputs!$F$224)=0,Inputs!$F$165,0)),0)</f>
        <v/>
      </c>
      <c r="AW78" s="13">
        <f>IF(AND(Time!AW30&gt;0,AW77&gt;=1,AW77&lt;=Inputs!$F$222,Time!AW32&lt;(AW77-1)*12+Inputs!$F$221,(AW77-1)*12+Inputs!$F$221&lt;=Time!AW33),IF(MOD(AW77,Inputs!$F$223)=0,Inputs!$F$164,IF(MOD(AW77,Inputs!$F$224)=0,Inputs!$F$165,0)),0)</f>
        <v/>
      </c>
      <c r="AX78" s="13">
        <f>IF(AND(Time!AX30&gt;0,AX77&gt;=1,AX77&lt;=Inputs!$F$222,Time!AX32&lt;(AX77-1)*12+Inputs!$F$221,(AX77-1)*12+Inputs!$F$221&lt;=Time!AX33),IF(MOD(AX77,Inputs!$F$223)=0,Inputs!$F$164,IF(MOD(AX77,Inputs!$F$224)=0,Inputs!$F$165,0)),0)</f>
        <v/>
      </c>
      <c r="AY78" s="13">
        <f>IF(AND(Time!AY30&gt;0,AY77&gt;=1,AY77&lt;=Inputs!$F$222,Time!AY32&lt;(AY77-1)*12+Inputs!$F$221,(AY77-1)*12+Inputs!$F$221&lt;=Time!AY33),IF(MOD(AY77,Inputs!$F$223)=0,Inputs!$F$164,IF(MOD(AY77,Inputs!$F$224)=0,Inputs!$F$165,0)),0)</f>
        <v/>
      </c>
      <c r="AZ78" s="13">
        <f>IF(AND(Time!AZ30&gt;0,AZ77&gt;=1,AZ77&lt;=Inputs!$F$222,Time!AZ32&lt;(AZ77-1)*12+Inputs!$F$221,(AZ77-1)*12+Inputs!$F$221&lt;=Time!AZ33),IF(MOD(AZ77,Inputs!$F$223)=0,Inputs!$F$164,IF(MOD(AZ77,Inputs!$F$224)=0,Inputs!$F$165,0)),0)</f>
        <v/>
      </c>
      <c r="BA78" s="13">
        <f>IF(AND(Time!BA30&gt;0,BA77&gt;=1,BA77&lt;=Inputs!$F$222,Time!BA32&lt;(BA77-1)*12+Inputs!$F$221,(BA77-1)*12+Inputs!$F$221&lt;=Time!BA33),IF(MOD(BA77,Inputs!$F$223)=0,Inputs!$F$164,IF(MOD(BA77,Inputs!$F$224)=0,Inputs!$F$165,0)),0)</f>
        <v/>
      </c>
      <c r="BB78" s="13">
        <f>IF(AND(Time!BB30&gt;0,BB77&gt;=1,BB77&lt;=Inputs!$F$222,Time!BB32&lt;(BB77-1)*12+Inputs!$F$221,(BB77-1)*12+Inputs!$F$221&lt;=Time!BB33),IF(MOD(BB77,Inputs!$F$223)=0,Inputs!$F$164,IF(MOD(BB77,Inputs!$F$224)=0,Inputs!$F$165,0)),0)</f>
        <v/>
      </c>
      <c r="BC78" s="13">
        <f>IF(AND(Time!BC30&gt;0,BC77&gt;=1,BC77&lt;=Inputs!$F$222,Time!BC32&lt;(BC77-1)*12+Inputs!$F$221,(BC77-1)*12+Inputs!$F$221&lt;=Time!BC33),IF(MOD(BC77,Inputs!$F$223)=0,Inputs!$F$164,IF(MOD(BC77,Inputs!$F$224)=0,Inputs!$F$165,0)),0)</f>
        <v/>
      </c>
      <c r="BD78" s="13">
        <f>IF(AND(Time!BD30&gt;0,BD77&gt;=1,BD77&lt;=Inputs!$F$222,Time!BD32&lt;(BD77-1)*12+Inputs!$F$221,(BD77-1)*12+Inputs!$F$221&lt;=Time!BD33),IF(MOD(BD77,Inputs!$F$223)=0,Inputs!$F$164,IF(MOD(BD77,Inputs!$F$224)=0,Inputs!$F$165,0)),0)</f>
        <v/>
      </c>
      <c r="BE78" s="13">
        <f>IF(AND(Time!BE30&gt;0,BE77&gt;=1,BE77&lt;=Inputs!$F$222,Time!BE32&lt;(BE77-1)*12+Inputs!$F$221,(BE77-1)*12+Inputs!$F$221&lt;=Time!BE33),IF(MOD(BE77,Inputs!$F$223)=0,Inputs!$F$164,IF(MOD(BE77,Inputs!$F$224)=0,Inputs!$F$165,0)),0)</f>
        <v/>
      </c>
      <c r="BF78" s="13">
        <f>IF(AND(Time!BF30&gt;0,BF77&gt;=1,BF77&lt;=Inputs!$F$222,Time!BF32&lt;(BF77-1)*12+Inputs!$F$221,(BF77-1)*12+Inputs!$F$221&lt;=Time!BF33),IF(MOD(BF77,Inputs!$F$223)=0,Inputs!$F$164,IF(MOD(BF77,Inputs!$F$224)=0,Inputs!$F$165,0)),0)</f>
        <v/>
      </c>
      <c r="BG78" s="13">
        <f>IF(AND(Time!BG30&gt;0,BG77&gt;=1,BG77&lt;=Inputs!$F$222,Time!BG32&lt;(BG77-1)*12+Inputs!$F$221,(BG77-1)*12+Inputs!$F$221&lt;=Time!BG33),IF(MOD(BG77,Inputs!$F$223)=0,Inputs!$F$164,IF(MOD(BG77,Inputs!$F$224)=0,Inputs!$F$165,0)),0)</f>
        <v/>
      </c>
      <c r="BH78" s="13">
        <f>IF(AND(Time!BH30&gt;0,BH77&gt;=1,BH77&lt;=Inputs!$F$222,Time!BH32&lt;(BH77-1)*12+Inputs!$F$221,(BH77-1)*12+Inputs!$F$221&lt;=Time!BH33),IF(MOD(BH77,Inputs!$F$223)=0,Inputs!$F$164,IF(MOD(BH77,Inputs!$F$224)=0,Inputs!$F$165,0)),0)</f>
        <v/>
      </c>
      <c r="BI78" s="13">
        <f>IF(AND(Time!BI30&gt;0,BI77&gt;=1,BI77&lt;=Inputs!$F$222,Time!BI32&lt;(BI77-1)*12+Inputs!$F$221,(BI77-1)*12+Inputs!$F$221&lt;=Time!BI33),IF(MOD(BI77,Inputs!$F$223)=0,Inputs!$F$164,IF(MOD(BI77,Inputs!$F$224)=0,Inputs!$F$165,0)),0)</f>
        <v/>
      </c>
      <c r="BJ78" s="13">
        <f>IF(AND(Time!BJ30&gt;0,BJ77&gt;=1,BJ77&lt;=Inputs!$F$222,Time!BJ32&lt;(BJ77-1)*12+Inputs!$F$221,(BJ77-1)*12+Inputs!$F$221&lt;=Time!BJ33),IF(MOD(BJ77,Inputs!$F$223)=0,Inputs!$F$164,IF(MOD(BJ77,Inputs!$F$224)=0,Inputs!$F$165,0)),0)</f>
        <v/>
      </c>
      <c r="BK78" s="13">
        <f>IF(AND(Time!BK30&gt;0,BK77&gt;=1,BK77&lt;=Inputs!$F$222,Time!BK32&lt;(BK77-1)*12+Inputs!$F$221,(BK77-1)*12+Inputs!$F$221&lt;=Time!BK33),IF(MOD(BK77,Inputs!$F$223)=0,Inputs!$F$164,IF(MOD(BK77,Inputs!$F$224)=0,Inputs!$F$165,0)),0)</f>
        <v/>
      </c>
      <c r="BL78" s="13">
        <f>IF(AND(Time!BL30&gt;0,BL77&gt;=1,BL77&lt;=Inputs!$F$222,Time!BL32&lt;(BL77-1)*12+Inputs!$F$221,(BL77-1)*12+Inputs!$F$221&lt;=Time!BL33),IF(MOD(BL77,Inputs!$F$223)=0,Inputs!$F$164,IF(MOD(BL77,Inputs!$F$224)=0,Inputs!$F$165,0)),0)</f>
        <v/>
      </c>
      <c r="BM78" s="13">
        <f>IF(AND(Time!BM30&gt;0,BM77&gt;=1,BM77&lt;=Inputs!$F$222,Time!BM32&lt;(BM77-1)*12+Inputs!$F$221,(BM77-1)*12+Inputs!$F$221&lt;=Time!BM33),IF(MOD(BM77,Inputs!$F$223)=0,Inputs!$F$164,IF(MOD(BM77,Inputs!$F$224)=0,Inputs!$F$165,0)),0)</f>
        <v/>
      </c>
      <c r="BN78" s="13">
        <f>IF(AND(Time!BN30&gt;0,BN77&gt;=1,BN77&lt;=Inputs!$F$222,Time!BN32&lt;(BN77-1)*12+Inputs!$F$221,(BN77-1)*12+Inputs!$F$221&lt;=Time!BN33),IF(MOD(BN77,Inputs!$F$223)=0,Inputs!$F$164,IF(MOD(BN77,Inputs!$F$224)=0,Inputs!$F$165,0)),0)</f>
        <v/>
      </c>
    </row>
    <row r="79">
      <c r="D79" t="inlineStr">
        <is>
          <t>Major maintenance spend</t>
        </is>
      </c>
      <c r="E79" t="inlineStr">
        <is>
          <t>USD m</t>
        </is>
      </c>
      <c r="G79" s="13">
        <f>SUM(J79:BN79)</f>
        <v/>
      </c>
      <c r="J79" s="13">
        <f>J78*J21</f>
        <v/>
      </c>
      <c r="K79" s="13">
        <f>K78*K21</f>
        <v/>
      </c>
      <c r="L79" s="13">
        <f>L78*L21</f>
        <v/>
      </c>
      <c r="M79" s="13">
        <f>M78*M21</f>
        <v/>
      </c>
      <c r="N79" s="13">
        <f>N78*N21</f>
        <v/>
      </c>
      <c r="O79" s="13">
        <f>O78*O21</f>
        <v/>
      </c>
      <c r="P79" s="13">
        <f>P78*P21</f>
        <v/>
      </c>
      <c r="Q79" s="13">
        <f>Q78*Q21</f>
        <v/>
      </c>
      <c r="R79" s="13">
        <f>R78*R21</f>
        <v/>
      </c>
      <c r="S79" s="13">
        <f>S78*S21</f>
        <v/>
      </c>
      <c r="T79" s="13">
        <f>T78*T21</f>
        <v/>
      </c>
      <c r="U79" s="13">
        <f>U78*U21</f>
        <v/>
      </c>
      <c r="V79" s="13">
        <f>V78*V21</f>
        <v/>
      </c>
      <c r="W79" s="13">
        <f>W78*W21</f>
        <v/>
      </c>
      <c r="X79" s="13">
        <f>X78*X21</f>
        <v/>
      </c>
      <c r="Y79" s="13">
        <f>Y78*Y21</f>
        <v/>
      </c>
      <c r="Z79" s="13">
        <f>Z78*Z21</f>
        <v/>
      </c>
      <c r="AA79" s="13">
        <f>AA78*AA21</f>
        <v/>
      </c>
      <c r="AB79" s="13">
        <f>AB78*AB21</f>
        <v/>
      </c>
      <c r="AC79" s="13">
        <f>AC78*AC21</f>
        <v/>
      </c>
      <c r="AD79" s="13">
        <f>AD78*AD21</f>
        <v/>
      </c>
      <c r="AE79" s="13">
        <f>AE78*AE21</f>
        <v/>
      </c>
      <c r="AF79" s="13">
        <f>AF78*AF21</f>
        <v/>
      </c>
      <c r="AG79" s="13">
        <f>AG78*AG21</f>
        <v/>
      </c>
      <c r="AH79" s="13">
        <f>AH78*AH21</f>
        <v/>
      </c>
      <c r="AI79" s="13">
        <f>AI78*AI21</f>
        <v/>
      </c>
      <c r="AJ79" s="13">
        <f>AJ78*AJ21</f>
        <v/>
      </c>
      <c r="AK79" s="13">
        <f>AK78*AK21</f>
        <v/>
      </c>
      <c r="AL79" s="13">
        <f>AL78*AL21</f>
        <v/>
      </c>
      <c r="AM79" s="13">
        <f>AM78*AM21</f>
        <v/>
      </c>
      <c r="AN79" s="13">
        <f>AN78*AN21</f>
        <v/>
      </c>
      <c r="AO79" s="13">
        <f>AO78*AO21</f>
        <v/>
      </c>
      <c r="AP79" s="13">
        <f>AP78*AP21</f>
        <v/>
      </c>
      <c r="AQ79" s="13">
        <f>AQ78*AQ21</f>
        <v/>
      </c>
      <c r="AR79" s="13">
        <f>AR78*AR21</f>
        <v/>
      </c>
      <c r="AS79" s="13">
        <f>AS78*AS21</f>
        <v/>
      </c>
      <c r="AT79" s="13">
        <f>AT78*AT21</f>
        <v/>
      </c>
      <c r="AU79" s="13">
        <f>AU78*AU21</f>
        <v/>
      </c>
      <c r="AV79" s="13">
        <f>AV78*AV21</f>
        <v/>
      </c>
      <c r="AW79" s="13">
        <f>AW78*AW21</f>
        <v/>
      </c>
      <c r="AX79" s="13">
        <f>AX78*AX21</f>
        <v/>
      </c>
      <c r="AY79" s="13">
        <f>AY78*AY21</f>
        <v/>
      </c>
      <c r="AZ79" s="13">
        <f>AZ78*AZ21</f>
        <v/>
      </c>
      <c r="BA79" s="13">
        <f>BA78*BA21</f>
        <v/>
      </c>
      <c r="BB79" s="13">
        <f>BB78*BB21</f>
        <v/>
      </c>
      <c r="BC79" s="13">
        <f>BC78*BC21</f>
        <v/>
      </c>
      <c r="BD79" s="13">
        <f>BD78*BD21</f>
        <v/>
      </c>
      <c r="BE79" s="13">
        <f>BE78*BE21</f>
        <v/>
      </c>
      <c r="BF79" s="13">
        <f>BF78*BF21</f>
        <v/>
      </c>
      <c r="BG79" s="13">
        <f>BG78*BG21</f>
        <v/>
      </c>
      <c r="BH79" s="13">
        <f>BH78*BH21</f>
        <v/>
      </c>
      <c r="BI79" s="13">
        <f>BI78*BI21</f>
        <v/>
      </c>
      <c r="BJ79" s="13">
        <f>BJ78*BJ21</f>
        <v/>
      </c>
      <c r="BK79" s="13">
        <f>BK78*BK21</f>
        <v/>
      </c>
      <c r="BL79" s="13">
        <f>BL78*BL21</f>
        <v/>
      </c>
      <c r="BM79" s="13">
        <f>BM78*BM21</f>
        <v/>
      </c>
      <c r="BN79" s="13">
        <f>BN78*BN21</f>
        <v/>
      </c>
    </row>
    <row r="80">
      <c r="D80" t="inlineStr">
        <is>
          <t>Months in period from the handback reserve year</t>
        </is>
      </c>
      <c r="E80" t="inlineStr">
        <is>
          <t>months</t>
        </is>
      </c>
      <c r="J80" s="9">
        <f>MAX(0,MIN(Time!J33,Time!$F$9)-MAX(Time!J32,(Inputs!$F$227-1)*12))</f>
        <v/>
      </c>
      <c r="K80" s="9">
        <f>MAX(0,MIN(Time!K33,Time!$F$9)-MAX(Time!K32,(Inputs!$F$227-1)*12))</f>
        <v/>
      </c>
      <c r="L80" s="9">
        <f>MAX(0,MIN(Time!L33,Time!$F$9)-MAX(Time!L32,(Inputs!$F$227-1)*12))</f>
        <v/>
      </c>
      <c r="M80" s="9">
        <f>MAX(0,MIN(Time!M33,Time!$F$9)-MAX(Time!M32,(Inputs!$F$227-1)*12))</f>
        <v/>
      </c>
      <c r="N80" s="9">
        <f>MAX(0,MIN(Time!N33,Time!$F$9)-MAX(Time!N32,(Inputs!$F$227-1)*12))</f>
        <v/>
      </c>
      <c r="O80" s="9">
        <f>MAX(0,MIN(Time!O33,Time!$F$9)-MAX(Time!O32,(Inputs!$F$227-1)*12))</f>
        <v/>
      </c>
      <c r="P80" s="9">
        <f>MAX(0,MIN(Time!P33,Time!$F$9)-MAX(Time!P32,(Inputs!$F$227-1)*12))</f>
        <v/>
      </c>
      <c r="Q80" s="9">
        <f>MAX(0,MIN(Time!Q33,Time!$F$9)-MAX(Time!Q32,(Inputs!$F$227-1)*12))</f>
        <v/>
      </c>
      <c r="R80" s="9">
        <f>MAX(0,MIN(Time!R33,Time!$F$9)-MAX(Time!R32,(Inputs!$F$227-1)*12))</f>
        <v/>
      </c>
      <c r="S80" s="9">
        <f>MAX(0,MIN(Time!S33,Time!$F$9)-MAX(Time!S32,(Inputs!$F$227-1)*12))</f>
        <v/>
      </c>
      <c r="T80" s="9">
        <f>MAX(0,MIN(Time!T33,Time!$F$9)-MAX(Time!T32,(Inputs!$F$227-1)*12))</f>
        <v/>
      </c>
      <c r="U80" s="9">
        <f>MAX(0,MIN(Time!U33,Time!$F$9)-MAX(Time!U32,(Inputs!$F$227-1)*12))</f>
        <v/>
      </c>
      <c r="V80" s="9">
        <f>MAX(0,MIN(Time!V33,Time!$F$9)-MAX(Time!V32,(Inputs!$F$227-1)*12))</f>
        <v/>
      </c>
      <c r="W80" s="9">
        <f>MAX(0,MIN(Time!W33,Time!$F$9)-MAX(Time!W32,(Inputs!$F$227-1)*12))</f>
        <v/>
      </c>
      <c r="X80" s="9">
        <f>MAX(0,MIN(Time!X33,Time!$F$9)-MAX(Time!X32,(Inputs!$F$227-1)*12))</f>
        <v/>
      </c>
      <c r="Y80" s="9">
        <f>MAX(0,MIN(Time!Y33,Time!$F$9)-MAX(Time!Y32,(Inputs!$F$227-1)*12))</f>
        <v/>
      </c>
      <c r="Z80" s="9">
        <f>MAX(0,MIN(Time!Z33,Time!$F$9)-MAX(Time!Z32,(Inputs!$F$227-1)*12))</f>
        <v/>
      </c>
      <c r="AA80" s="9">
        <f>MAX(0,MIN(Time!AA33,Time!$F$9)-MAX(Time!AA32,(Inputs!$F$227-1)*12))</f>
        <v/>
      </c>
      <c r="AB80" s="9">
        <f>MAX(0,MIN(Time!AB33,Time!$F$9)-MAX(Time!AB32,(Inputs!$F$227-1)*12))</f>
        <v/>
      </c>
      <c r="AC80" s="9">
        <f>MAX(0,MIN(Time!AC33,Time!$F$9)-MAX(Time!AC32,(Inputs!$F$227-1)*12))</f>
        <v/>
      </c>
      <c r="AD80" s="9">
        <f>MAX(0,MIN(Time!AD33,Time!$F$9)-MAX(Time!AD32,(Inputs!$F$227-1)*12))</f>
        <v/>
      </c>
      <c r="AE80" s="9">
        <f>MAX(0,MIN(Time!AE33,Time!$F$9)-MAX(Time!AE32,(Inputs!$F$227-1)*12))</f>
        <v/>
      </c>
      <c r="AF80" s="9">
        <f>MAX(0,MIN(Time!AF33,Time!$F$9)-MAX(Time!AF32,(Inputs!$F$227-1)*12))</f>
        <v/>
      </c>
      <c r="AG80" s="9">
        <f>MAX(0,MIN(Time!AG33,Time!$F$9)-MAX(Time!AG32,(Inputs!$F$227-1)*12))</f>
        <v/>
      </c>
      <c r="AH80" s="9">
        <f>MAX(0,MIN(Time!AH33,Time!$F$9)-MAX(Time!AH32,(Inputs!$F$227-1)*12))</f>
        <v/>
      </c>
      <c r="AI80" s="9">
        <f>MAX(0,MIN(Time!AI33,Time!$F$9)-MAX(Time!AI32,(Inputs!$F$227-1)*12))</f>
        <v/>
      </c>
      <c r="AJ80" s="9">
        <f>MAX(0,MIN(Time!AJ33,Time!$F$9)-MAX(Time!AJ32,(Inputs!$F$227-1)*12))</f>
        <v/>
      </c>
      <c r="AK80" s="9">
        <f>MAX(0,MIN(Time!AK33,Time!$F$9)-MAX(Time!AK32,(Inputs!$F$227-1)*12))</f>
        <v/>
      </c>
      <c r="AL80" s="9">
        <f>MAX(0,MIN(Time!AL33,Time!$F$9)-MAX(Time!AL32,(Inputs!$F$227-1)*12))</f>
        <v/>
      </c>
      <c r="AM80" s="9">
        <f>MAX(0,MIN(Time!AM33,Time!$F$9)-MAX(Time!AM32,(Inputs!$F$227-1)*12))</f>
        <v/>
      </c>
      <c r="AN80" s="9">
        <f>MAX(0,MIN(Time!AN33,Time!$F$9)-MAX(Time!AN32,(Inputs!$F$227-1)*12))</f>
        <v/>
      </c>
      <c r="AO80" s="9">
        <f>MAX(0,MIN(Time!AO33,Time!$F$9)-MAX(Time!AO32,(Inputs!$F$227-1)*12))</f>
        <v/>
      </c>
      <c r="AP80" s="9">
        <f>MAX(0,MIN(Time!AP33,Time!$F$9)-MAX(Time!AP32,(Inputs!$F$227-1)*12))</f>
        <v/>
      </c>
      <c r="AQ80" s="9">
        <f>MAX(0,MIN(Time!AQ33,Time!$F$9)-MAX(Time!AQ32,(Inputs!$F$227-1)*12))</f>
        <v/>
      </c>
      <c r="AR80" s="9">
        <f>MAX(0,MIN(Time!AR33,Time!$F$9)-MAX(Time!AR32,(Inputs!$F$227-1)*12))</f>
        <v/>
      </c>
      <c r="AS80" s="9">
        <f>MAX(0,MIN(Time!AS33,Time!$F$9)-MAX(Time!AS32,(Inputs!$F$227-1)*12))</f>
        <v/>
      </c>
      <c r="AT80" s="9">
        <f>MAX(0,MIN(Time!AT33,Time!$F$9)-MAX(Time!AT32,(Inputs!$F$227-1)*12))</f>
        <v/>
      </c>
      <c r="AU80" s="9">
        <f>MAX(0,MIN(Time!AU33,Time!$F$9)-MAX(Time!AU32,(Inputs!$F$227-1)*12))</f>
        <v/>
      </c>
      <c r="AV80" s="9">
        <f>MAX(0,MIN(Time!AV33,Time!$F$9)-MAX(Time!AV32,(Inputs!$F$227-1)*12))</f>
        <v/>
      </c>
      <c r="AW80" s="9">
        <f>MAX(0,MIN(Time!AW33,Time!$F$9)-MAX(Time!AW32,(Inputs!$F$227-1)*12))</f>
        <v/>
      </c>
      <c r="AX80" s="9">
        <f>MAX(0,MIN(Time!AX33,Time!$F$9)-MAX(Time!AX32,(Inputs!$F$227-1)*12))</f>
        <v/>
      </c>
      <c r="AY80" s="9">
        <f>MAX(0,MIN(Time!AY33,Time!$F$9)-MAX(Time!AY32,(Inputs!$F$227-1)*12))</f>
        <v/>
      </c>
      <c r="AZ80" s="9">
        <f>MAX(0,MIN(Time!AZ33,Time!$F$9)-MAX(Time!AZ32,(Inputs!$F$227-1)*12))</f>
        <v/>
      </c>
      <c r="BA80" s="9">
        <f>MAX(0,MIN(Time!BA33,Time!$F$9)-MAX(Time!BA32,(Inputs!$F$227-1)*12))</f>
        <v/>
      </c>
      <c r="BB80" s="9">
        <f>MAX(0,MIN(Time!BB33,Time!$F$9)-MAX(Time!BB32,(Inputs!$F$227-1)*12))</f>
        <v/>
      </c>
      <c r="BC80" s="9">
        <f>MAX(0,MIN(Time!BC33,Time!$F$9)-MAX(Time!BC32,(Inputs!$F$227-1)*12))</f>
        <v/>
      </c>
      <c r="BD80" s="9">
        <f>MAX(0,MIN(Time!BD33,Time!$F$9)-MAX(Time!BD32,(Inputs!$F$227-1)*12))</f>
        <v/>
      </c>
      <c r="BE80" s="9">
        <f>MAX(0,MIN(Time!BE33,Time!$F$9)-MAX(Time!BE32,(Inputs!$F$227-1)*12))</f>
        <v/>
      </c>
      <c r="BF80" s="9">
        <f>MAX(0,MIN(Time!BF33,Time!$F$9)-MAX(Time!BF32,(Inputs!$F$227-1)*12))</f>
        <v/>
      </c>
      <c r="BG80" s="9">
        <f>MAX(0,MIN(Time!BG33,Time!$F$9)-MAX(Time!BG32,(Inputs!$F$227-1)*12))</f>
        <v/>
      </c>
      <c r="BH80" s="9">
        <f>MAX(0,MIN(Time!BH33,Time!$F$9)-MAX(Time!BH32,(Inputs!$F$227-1)*12))</f>
        <v/>
      </c>
      <c r="BI80" s="9">
        <f>MAX(0,MIN(Time!BI33,Time!$F$9)-MAX(Time!BI32,(Inputs!$F$227-1)*12))</f>
        <v/>
      </c>
      <c r="BJ80" s="9">
        <f>MAX(0,MIN(Time!BJ33,Time!$F$9)-MAX(Time!BJ32,(Inputs!$F$227-1)*12))</f>
        <v/>
      </c>
      <c r="BK80" s="9">
        <f>MAX(0,MIN(Time!BK33,Time!$F$9)-MAX(Time!BK32,(Inputs!$F$227-1)*12))</f>
        <v/>
      </c>
      <c r="BL80" s="9">
        <f>MAX(0,MIN(Time!BL33,Time!$F$9)-MAX(Time!BL32,(Inputs!$F$227-1)*12))</f>
        <v/>
      </c>
      <c r="BM80" s="9">
        <f>MAX(0,MIN(Time!BM33,Time!$F$9)-MAX(Time!BM32,(Inputs!$F$227-1)*12))</f>
        <v/>
      </c>
      <c r="BN80" s="9">
        <f>MAX(0,MIN(Time!BN33,Time!$F$9)-MAX(Time!BN32,(Inputs!$F$227-1)*12))</f>
        <v/>
      </c>
    </row>
    <row r="81">
      <c r="D81" t="inlineStr">
        <is>
          <t>Handback reserve contribution required</t>
        </is>
      </c>
      <c r="E81" t="inlineStr">
        <is>
          <t>USD m</t>
        </is>
      </c>
      <c r="G81" s="13">
        <f>SUM(J81:BN81)</f>
        <v/>
      </c>
      <c r="J81" s="13">
        <f>Inputs!$F$166*J21*J80/12</f>
        <v/>
      </c>
      <c r="K81" s="13">
        <f>Inputs!$F$166*K21*K80/12</f>
        <v/>
      </c>
      <c r="L81" s="13">
        <f>Inputs!$F$166*L21*L80/12</f>
        <v/>
      </c>
      <c r="M81" s="13">
        <f>Inputs!$F$166*M21*M80/12</f>
        <v/>
      </c>
      <c r="N81" s="13">
        <f>Inputs!$F$166*N21*N80/12</f>
        <v/>
      </c>
      <c r="O81" s="13">
        <f>Inputs!$F$166*O21*O80/12</f>
        <v/>
      </c>
      <c r="P81" s="13">
        <f>Inputs!$F$166*P21*P80/12</f>
        <v/>
      </c>
      <c r="Q81" s="13">
        <f>Inputs!$F$166*Q21*Q80/12</f>
        <v/>
      </c>
      <c r="R81" s="13">
        <f>Inputs!$F$166*R21*R80/12</f>
        <v/>
      </c>
      <c r="S81" s="13">
        <f>Inputs!$F$166*S21*S80/12</f>
        <v/>
      </c>
      <c r="T81" s="13">
        <f>Inputs!$F$166*T21*T80/12</f>
        <v/>
      </c>
      <c r="U81" s="13">
        <f>Inputs!$F$166*U21*U80/12</f>
        <v/>
      </c>
      <c r="V81" s="13">
        <f>Inputs!$F$166*V21*V80/12</f>
        <v/>
      </c>
      <c r="W81" s="13">
        <f>Inputs!$F$166*W21*W80/12</f>
        <v/>
      </c>
      <c r="X81" s="13">
        <f>Inputs!$F$166*X21*X80/12</f>
        <v/>
      </c>
      <c r="Y81" s="13">
        <f>Inputs!$F$166*Y21*Y80/12</f>
        <v/>
      </c>
      <c r="Z81" s="13">
        <f>Inputs!$F$166*Z21*Z80/12</f>
        <v/>
      </c>
      <c r="AA81" s="13">
        <f>Inputs!$F$166*AA21*AA80/12</f>
        <v/>
      </c>
      <c r="AB81" s="13">
        <f>Inputs!$F$166*AB21*AB80/12</f>
        <v/>
      </c>
      <c r="AC81" s="13">
        <f>Inputs!$F$166*AC21*AC80/12</f>
        <v/>
      </c>
      <c r="AD81" s="13">
        <f>Inputs!$F$166*AD21*AD80/12</f>
        <v/>
      </c>
      <c r="AE81" s="13">
        <f>Inputs!$F$166*AE21*AE80/12</f>
        <v/>
      </c>
      <c r="AF81" s="13">
        <f>Inputs!$F$166*AF21*AF80/12</f>
        <v/>
      </c>
      <c r="AG81" s="13">
        <f>Inputs!$F$166*AG21*AG80/12</f>
        <v/>
      </c>
      <c r="AH81" s="13">
        <f>Inputs!$F$166*AH21*AH80/12</f>
        <v/>
      </c>
      <c r="AI81" s="13">
        <f>Inputs!$F$166*AI21*AI80/12</f>
        <v/>
      </c>
      <c r="AJ81" s="13">
        <f>Inputs!$F$166*AJ21*AJ80/12</f>
        <v/>
      </c>
      <c r="AK81" s="13">
        <f>Inputs!$F$166*AK21*AK80/12</f>
        <v/>
      </c>
      <c r="AL81" s="13">
        <f>Inputs!$F$166*AL21*AL80/12</f>
        <v/>
      </c>
      <c r="AM81" s="13">
        <f>Inputs!$F$166*AM21*AM80/12</f>
        <v/>
      </c>
      <c r="AN81" s="13">
        <f>Inputs!$F$166*AN21*AN80/12</f>
        <v/>
      </c>
      <c r="AO81" s="13">
        <f>Inputs!$F$166*AO21*AO80/12</f>
        <v/>
      </c>
      <c r="AP81" s="13">
        <f>Inputs!$F$166*AP21*AP80/12</f>
        <v/>
      </c>
      <c r="AQ81" s="13">
        <f>Inputs!$F$166*AQ21*AQ80/12</f>
        <v/>
      </c>
      <c r="AR81" s="13">
        <f>Inputs!$F$166*AR21*AR80/12</f>
        <v/>
      </c>
      <c r="AS81" s="13">
        <f>Inputs!$F$166*AS21*AS80/12</f>
        <v/>
      </c>
      <c r="AT81" s="13">
        <f>Inputs!$F$166*AT21*AT80/12</f>
        <v/>
      </c>
      <c r="AU81" s="13">
        <f>Inputs!$F$166*AU21*AU80/12</f>
        <v/>
      </c>
      <c r="AV81" s="13">
        <f>Inputs!$F$166*AV21*AV80/12</f>
        <v/>
      </c>
      <c r="AW81" s="13">
        <f>Inputs!$F$166*AW21*AW80/12</f>
        <v/>
      </c>
      <c r="AX81" s="13">
        <f>Inputs!$F$166*AX21*AX80/12</f>
        <v/>
      </c>
      <c r="AY81" s="13">
        <f>Inputs!$F$166*AY21*AY80/12</f>
        <v/>
      </c>
      <c r="AZ81" s="13">
        <f>Inputs!$F$166*AZ21*AZ80/12</f>
        <v/>
      </c>
      <c r="BA81" s="13">
        <f>Inputs!$F$166*BA21*BA80/12</f>
        <v/>
      </c>
      <c r="BB81" s="13">
        <f>Inputs!$F$166*BB21*BB80/12</f>
        <v/>
      </c>
      <c r="BC81" s="13">
        <f>Inputs!$F$166*BC21*BC80/12</f>
        <v/>
      </c>
      <c r="BD81" s="13">
        <f>Inputs!$F$166*BD21*BD80/12</f>
        <v/>
      </c>
      <c r="BE81" s="13">
        <f>Inputs!$F$166*BE21*BE80/12</f>
        <v/>
      </c>
      <c r="BF81" s="13">
        <f>Inputs!$F$166*BF21*BF80/12</f>
        <v/>
      </c>
      <c r="BG81" s="13">
        <f>Inputs!$F$166*BG21*BG80/12</f>
        <v/>
      </c>
      <c r="BH81" s="13">
        <f>Inputs!$F$166*BH21*BH80/12</f>
        <v/>
      </c>
      <c r="BI81" s="13">
        <f>Inputs!$F$166*BI21*BI80/12</f>
        <v/>
      </c>
      <c r="BJ81" s="13">
        <f>Inputs!$F$166*BJ21*BJ80/12</f>
        <v/>
      </c>
      <c r="BK81" s="13">
        <f>Inputs!$F$166*BK21*BK80/12</f>
        <v/>
      </c>
      <c r="BL81" s="13">
        <f>Inputs!$F$166*BL21*BL80/12</f>
        <v/>
      </c>
      <c r="BM81" s="13">
        <f>Inputs!$F$166*BM21*BM80/12</f>
        <v/>
      </c>
      <c r="BN81" s="13">
        <f>Inputs!$F$166*BN21*BN80/12</f>
        <v/>
      </c>
    </row>
    <row r="82">
      <c r="D82" t="inlineStr">
        <is>
          <t>Handback works at PPA expiry</t>
        </is>
      </c>
      <c r="E82" t="inlineStr">
        <is>
          <t>USD m</t>
        </is>
      </c>
      <c r="G82" s="13">
        <f>SUM(J82:BN82)</f>
        <v/>
      </c>
      <c r="J82" s="13">
        <f>Time!J37*SUM($J$81:$BN$81)</f>
        <v/>
      </c>
      <c r="K82" s="13">
        <f>Time!K37*SUM($J$81:$BN$81)</f>
        <v/>
      </c>
      <c r="L82" s="13">
        <f>Time!L37*SUM($J$81:$BN$81)</f>
        <v/>
      </c>
      <c r="M82" s="13">
        <f>Time!M37*SUM($J$81:$BN$81)</f>
        <v/>
      </c>
      <c r="N82" s="13">
        <f>Time!N37*SUM($J$81:$BN$81)</f>
        <v/>
      </c>
      <c r="O82" s="13">
        <f>Time!O37*SUM($J$81:$BN$81)</f>
        <v/>
      </c>
      <c r="P82" s="13">
        <f>Time!P37*SUM($J$81:$BN$81)</f>
        <v/>
      </c>
      <c r="Q82" s="13">
        <f>Time!Q37*SUM($J$81:$BN$81)</f>
        <v/>
      </c>
      <c r="R82" s="13">
        <f>Time!R37*SUM($J$81:$BN$81)</f>
        <v/>
      </c>
      <c r="S82" s="13">
        <f>Time!S37*SUM($J$81:$BN$81)</f>
        <v/>
      </c>
      <c r="T82" s="13">
        <f>Time!T37*SUM($J$81:$BN$81)</f>
        <v/>
      </c>
      <c r="U82" s="13">
        <f>Time!U37*SUM($J$81:$BN$81)</f>
        <v/>
      </c>
      <c r="V82" s="13">
        <f>Time!V37*SUM($J$81:$BN$81)</f>
        <v/>
      </c>
      <c r="W82" s="13">
        <f>Time!W37*SUM($J$81:$BN$81)</f>
        <v/>
      </c>
      <c r="X82" s="13">
        <f>Time!X37*SUM($J$81:$BN$81)</f>
        <v/>
      </c>
      <c r="Y82" s="13">
        <f>Time!Y37*SUM($J$81:$BN$81)</f>
        <v/>
      </c>
      <c r="Z82" s="13">
        <f>Time!Z37*SUM($J$81:$BN$81)</f>
        <v/>
      </c>
      <c r="AA82" s="13">
        <f>Time!AA37*SUM($J$81:$BN$81)</f>
        <v/>
      </c>
      <c r="AB82" s="13">
        <f>Time!AB37*SUM($J$81:$BN$81)</f>
        <v/>
      </c>
      <c r="AC82" s="13">
        <f>Time!AC37*SUM($J$81:$BN$81)</f>
        <v/>
      </c>
      <c r="AD82" s="13">
        <f>Time!AD37*SUM($J$81:$BN$81)</f>
        <v/>
      </c>
      <c r="AE82" s="13">
        <f>Time!AE37*SUM($J$81:$BN$81)</f>
        <v/>
      </c>
      <c r="AF82" s="13">
        <f>Time!AF37*SUM($J$81:$BN$81)</f>
        <v/>
      </c>
      <c r="AG82" s="13">
        <f>Time!AG37*SUM($J$81:$BN$81)</f>
        <v/>
      </c>
      <c r="AH82" s="13">
        <f>Time!AH37*SUM($J$81:$BN$81)</f>
        <v/>
      </c>
      <c r="AI82" s="13">
        <f>Time!AI37*SUM($J$81:$BN$81)</f>
        <v/>
      </c>
      <c r="AJ82" s="13">
        <f>Time!AJ37*SUM($J$81:$BN$81)</f>
        <v/>
      </c>
      <c r="AK82" s="13">
        <f>Time!AK37*SUM($J$81:$BN$81)</f>
        <v/>
      </c>
      <c r="AL82" s="13">
        <f>Time!AL37*SUM($J$81:$BN$81)</f>
        <v/>
      </c>
      <c r="AM82" s="13">
        <f>Time!AM37*SUM($J$81:$BN$81)</f>
        <v/>
      </c>
      <c r="AN82" s="13">
        <f>Time!AN37*SUM($J$81:$BN$81)</f>
        <v/>
      </c>
      <c r="AO82" s="13">
        <f>Time!AO37*SUM($J$81:$BN$81)</f>
        <v/>
      </c>
      <c r="AP82" s="13">
        <f>Time!AP37*SUM($J$81:$BN$81)</f>
        <v/>
      </c>
      <c r="AQ82" s="13">
        <f>Time!AQ37*SUM($J$81:$BN$81)</f>
        <v/>
      </c>
      <c r="AR82" s="13">
        <f>Time!AR37*SUM($J$81:$BN$81)</f>
        <v/>
      </c>
      <c r="AS82" s="13">
        <f>Time!AS37*SUM($J$81:$BN$81)</f>
        <v/>
      </c>
      <c r="AT82" s="13">
        <f>Time!AT37*SUM($J$81:$BN$81)</f>
        <v/>
      </c>
      <c r="AU82" s="13">
        <f>Time!AU37*SUM($J$81:$BN$81)</f>
        <v/>
      </c>
      <c r="AV82" s="13">
        <f>Time!AV37*SUM($J$81:$BN$81)</f>
        <v/>
      </c>
      <c r="AW82" s="13">
        <f>Time!AW37*SUM($J$81:$BN$81)</f>
        <v/>
      </c>
      <c r="AX82" s="13">
        <f>Time!AX37*SUM($J$81:$BN$81)</f>
        <v/>
      </c>
      <c r="AY82" s="13">
        <f>Time!AY37*SUM($J$81:$BN$81)</f>
        <v/>
      </c>
      <c r="AZ82" s="13">
        <f>Time!AZ37*SUM($J$81:$BN$81)</f>
        <v/>
      </c>
      <c r="BA82" s="13">
        <f>Time!BA37*SUM($J$81:$BN$81)</f>
        <v/>
      </c>
      <c r="BB82" s="13">
        <f>Time!BB37*SUM($J$81:$BN$81)</f>
        <v/>
      </c>
      <c r="BC82" s="13">
        <f>Time!BC37*SUM($J$81:$BN$81)</f>
        <v/>
      </c>
      <c r="BD82" s="13">
        <f>Time!BD37*SUM($J$81:$BN$81)</f>
        <v/>
      </c>
      <c r="BE82" s="13">
        <f>Time!BE37*SUM($J$81:$BN$81)</f>
        <v/>
      </c>
      <c r="BF82" s="13">
        <f>Time!BF37*SUM($J$81:$BN$81)</f>
        <v/>
      </c>
      <c r="BG82" s="13">
        <f>Time!BG37*SUM($J$81:$BN$81)</f>
        <v/>
      </c>
      <c r="BH82" s="13">
        <f>Time!BH37*SUM($J$81:$BN$81)</f>
        <v/>
      </c>
      <c r="BI82" s="13">
        <f>Time!BI37*SUM($J$81:$BN$81)</f>
        <v/>
      </c>
      <c r="BJ82" s="13">
        <f>Time!BJ37*SUM($J$81:$BN$81)</f>
        <v/>
      </c>
      <c r="BK82" s="13">
        <f>Time!BK37*SUM($J$81:$BN$81)</f>
        <v/>
      </c>
      <c r="BL82" s="13">
        <f>Time!BL37*SUM($J$81:$BN$81)</f>
        <v/>
      </c>
      <c r="BM82" s="13">
        <f>Time!BM37*SUM($J$81:$BN$81)</f>
        <v/>
      </c>
      <c r="BN82" s="13">
        <f>Time!BN37*SUM($J$81:$BN$81)</f>
        <v/>
      </c>
    </row>
    <row r="83">
      <c r="D83" t="inlineStr">
        <is>
          <t>Total operating costs</t>
        </is>
      </c>
      <c r="E83" t="inlineStr">
        <is>
          <t>USD m</t>
        </is>
      </c>
      <c r="G83" s="13">
        <f>SUM(J83:BN83)</f>
        <v/>
      </c>
      <c r="J83" s="13">
        <f>J72+J74+J75+J76+J79+J82</f>
        <v/>
      </c>
      <c r="K83" s="13">
        <f>K72+K74+K75+K76+K79+K82</f>
        <v/>
      </c>
      <c r="L83" s="13">
        <f>L72+L74+L75+L76+L79+L82</f>
        <v/>
      </c>
      <c r="M83" s="13">
        <f>M72+M74+M75+M76+M79+M82</f>
        <v/>
      </c>
      <c r="N83" s="13">
        <f>N72+N74+N75+N76+N79+N82</f>
        <v/>
      </c>
      <c r="O83" s="13">
        <f>O72+O74+O75+O76+O79+O82</f>
        <v/>
      </c>
      <c r="P83" s="13">
        <f>P72+P74+P75+P76+P79+P82</f>
        <v/>
      </c>
      <c r="Q83" s="13">
        <f>Q72+Q74+Q75+Q76+Q79+Q82</f>
        <v/>
      </c>
      <c r="R83" s="13">
        <f>R72+R74+R75+R76+R79+R82</f>
        <v/>
      </c>
      <c r="S83" s="13">
        <f>S72+S74+S75+S76+S79+S82</f>
        <v/>
      </c>
      <c r="T83" s="13">
        <f>T72+T74+T75+T76+T79+T82</f>
        <v/>
      </c>
      <c r="U83" s="13">
        <f>U72+U74+U75+U76+U79+U82</f>
        <v/>
      </c>
      <c r="V83" s="13">
        <f>V72+V74+V75+V76+V79+V82</f>
        <v/>
      </c>
      <c r="W83" s="13">
        <f>W72+W74+W75+W76+W79+W82</f>
        <v/>
      </c>
      <c r="X83" s="13">
        <f>X72+X74+X75+X76+X79+X82</f>
        <v/>
      </c>
      <c r="Y83" s="13">
        <f>Y72+Y74+Y75+Y76+Y79+Y82</f>
        <v/>
      </c>
      <c r="Z83" s="13">
        <f>Z72+Z74+Z75+Z76+Z79+Z82</f>
        <v/>
      </c>
      <c r="AA83" s="13">
        <f>AA72+AA74+AA75+AA76+AA79+AA82</f>
        <v/>
      </c>
      <c r="AB83" s="13">
        <f>AB72+AB74+AB75+AB76+AB79+AB82</f>
        <v/>
      </c>
      <c r="AC83" s="13">
        <f>AC72+AC74+AC75+AC76+AC79+AC82</f>
        <v/>
      </c>
      <c r="AD83" s="13">
        <f>AD72+AD74+AD75+AD76+AD79+AD82</f>
        <v/>
      </c>
      <c r="AE83" s="13">
        <f>AE72+AE74+AE75+AE76+AE79+AE82</f>
        <v/>
      </c>
      <c r="AF83" s="13">
        <f>AF72+AF74+AF75+AF76+AF79+AF82</f>
        <v/>
      </c>
      <c r="AG83" s="13">
        <f>AG72+AG74+AG75+AG76+AG79+AG82</f>
        <v/>
      </c>
      <c r="AH83" s="13">
        <f>AH72+AH74+AH75+AH76+AH79+AH82</f>
        <v/>
      </c>
      <c r="AI83" s="13">
        <f>AI72+AI74+AI75+AI76+AI79+AI82</f>
        <v/>
      </c>
      <c r="AJ83" s="13">
        <f>AJ72+AJ74+AJ75+AJ76+AJ79+AJ82</f>
        <v/>
      </c>
      <c r="AK83" s="13">
        <f>AK72+AK74+AK75+AK76+AK79+AK82</f>
        <v/>
      </c>
      <c r="AL83" s="13">
        <f>AL72+AL74+AL75+AL76+AL79+AL82</f>
        <v/>
      </c>
      <c r="AM83" s="13">
        <f>AM72+AM74+AM75+AM76+AM79+AM82</f>
        <v/>
      </c>
      <c r="AN83" s="13">
        <f>AN72+AN74+AN75+AN76+AN79+AN82</f>
        <v/>
      </c>
      <c r="AO83" s="13">
        <f>AO72+AO74+AO75+AO76+AO79+AO82</f>
        <v/>
      </c>
      <c r="AP83" s="13">
        <f>AP72+AP74+AP75+AP76+AP79+AP82</f>
        <v/>
      </c>
      <c r="AQ83" s="13">
        <f>AQ72+AQ74+AQ75+AQ76+AQ79+AQ82</f>
        <v/>
      </c>
      <c r="AR83" s="13">
        <f>AR72+AR74+AR75+AR76+AR79+AR82</f>
        <v/>
      </c>
      <c r="AS83" s="13">
        <f>AS72+AS74+AS75+AS76+AS79+AS82</f>
        <v/>
      </c>
      <c r="AT83" s="13">
        <f>AT72+AT74+AT75+AT76+AT79+AT82</f>
        <v/>
      </c>
      <c r="AU83" s="13">
        <f>AU72+AU74+AU75+AU76+AU79+AU82</f>
        <v/>
      </c>
      <c r="AV83" s="13">
        <f>AV72+AV74+AV75+AV76+AV79+AV82</f>
        <v/>
      </c>
      <c r="AW83" s="13">
        <f>AW72+AW74+AW75+AW76+AW79+AW82</f>
        <v/>
      </c>
      <c r="AX83" s="13">
        <f>AX72+AX74+AX75+AX76+AX79+AX82</f>
        <v/>
      </c>
      <c r="AY83" s="13">
        <f>AY72+AY74+AY75+AY76+AY79+AY82</f>
        <v/>
      </c>
      <c r="AZ83" s="13">
        <f>AZ72+AZ74+AZ75+AZ76+AZ79+AZ82</f>
        <v/>
      </c>
      <c r="BA83" s="13">
        <f>BA72+BA74+BA75+BA76+BA79+BA82</f>
        <v/>
      </c>
      <c r="BB83" s="13">
        <f>BB72+BB74+BB75+BB76+BB79+BB82</f>
        <v/>
      </c>
      <c r="BC83" s="13">
        <f>BC72+BC74+BC75+BC76+BC79+BC82</f>
        <v/>
      </c>
      <c r="BD83" s="13">
        <f>BD72+BD74+BD75+BD76+BD79+BD82</f>
        <v/>
      </c>
      <c r="BE83" s="13">
        <f>BE72+BE74+BE75+BE76+BE79+BE82</f>
        <v/>
      </c>
      <c r="BF83" s="13">
        <f>BF72+BF74+BF75+BF76+BF79+BF82</f>
        <v/>
      </c>
      <c r="BG83" s="13">
        <f>BG72+BG74+BG75+BG76+BG79+BG82</f>
        <v/>
      </c>
      <c r="BH83" s="13">
        <f>BH72+BH74+BH75+BH76+BH79+BH82</f>
        <v/>
      </c>
      <c r="BI83" s="13">
        <f>BI72+BI74+BI75+BI76+BI79+BI82</f>
        <v/>
      </c>
      <c r="BJ83" s="13">
        <f>BJ72+BJ74+BJ75+BJ76+BJ79+BJ82</f>
        <v/>
      </c>
      <c r="BK83" s="13">
        <f>BK72+BK74+BK75+BK76+BK79+BK82</f>
        <v/>
      </c>
      <c r="BL83" s="13">
        <f>BL72+BL74+BL75+BL76+BL79+BL82</f>
        <v/>
      </c>
      <c r="BM83" s="13">
        <f>BM72+BM74+BM75+BM76+BM79+BM82</f>
        <v/>
      </c>
      <c r="BN83" s="13">
        <f>BN72+BN74+BN75+BN76+BN79+BN82</f>
        <v/>
      </c>
    </row>
    <row r="84">
      <c r="D84" t="inlineStr">
        <is>
          <t>EBITDA</t>
        </is>
      </c>
      <c r="E84" t="inlineStr">
        <is>
          <t>USD m</t>
        </is>
      </c>
      <c r="G84" s="13">
        <f>SUM(J84:BN84)</f>
        <v/>
      </c>
      <c r="J84" s="13">
        <f>J56-J83+J58</f>
        <v/>
      </c>
      <c r="K84" s="13">
        <f>K56-K83+K58</f>
        <v/>
      </c>
      <c r="L84" s="13">
        <f>L56-L83+L58</f>
        <v/>
      </c>
      <c r="M84" s="13">
        <f>M56-M83+M58</f>
        <v/>
      </c>
      <c r="N84" s="13">
        <f>N56-N83+N58</f>
        <v/>
      </c>
      <c r="O84" s="13">
        <f>O56-O83+O58</f>
        <v/>
      </c>
      <c r="P84" s="13">
        <f>P56-P83+P58</f>
        <v/>
      </c>
      <c r="Q84" s="13">
        <f>Q56-Q83+Q58</f>
        <v/>
      </c>
      <c r="R84" s="13">
        <f>R56-R83+R58</f>
        <v/>
      </c>
      <c r="S84" s="13">
        <f>S56-S83+S58</f>
        <v/>
      </c>
      <c r="T84" s="13">
        <f>T56-T83+T58</f>
        <v/>
      </c>
      <c r="U84" s="13">
        <f>U56-U83+U58</f>
        <v/>
      </c>
      <c r="V84" s="13">
        <f>V56-V83+V58</f>
        <v/>
      </c>
      <c r="W84" s="13">
        <f>W56-W83+W58</f>
        <v/>
      </c>
      <c r="X84" s="13">
        <f>X56-X83+X58</f>
        <v/>
      </c>
      <c r="Y84" s="13">
        <f>Y56-Y83+Y58</f>
        <v/>
      </c>
      <c r="Z84" s="13">
        <f>Z56-Z83+Z58</f>
        <v/>
      </c>
      <c r="AA84" s="13">
        <f>AA56-AA83+AA58</f>
        <v/>
      </c>
      <c r="AB84" s="13">
        <f>AB56-AB83+AB58</f>
        <v/>
      </c>
      <c r="AC84" s="13">
        <f>AC56-AC83+AC58</f>
        <v/>
      </c>
      <c r="AD84" s="13">
        <f>AD56-AD83+AD58</f>
        <v/>
      </c>
      <c r="AE84" s="13">
        <f>AE56-AE83+AE58</f>
        <v/>
      </c>
      <c r="AF84" s="13">
        <f>AF56-AF83+AF58</f>
        <v/>
      </c>
      <c r="AG84" s="13">
        <f>AG56-AG83+AG58</f>
        <v/>
      </c>
      <c r="AH84" s="13">
        <f>AH56-AH83+AH58</f>
        <v/>
      </c>
      <c r="AI84" s="13">
        <f>AI56-AI83+AI58</f>
        <v/>
      </c>
      <c r="AJ84" s="13">
        <f>AJ56-AJ83+AJ58</f>
        <v/>
      </c>
      <c r="AK84" s="13">
        <f>AK56-AK83+AK58</f>
        <v/>
      </c>
      <c r="AL84" s="13">
        <f>AL56-AL83+AL58</f>
        <v/>
      </c>
      <c r="AM84" s="13">
        <f>AM56-AM83+AM58</f>
        <v/>
      </c>
      <c r="AN84" s="13">
        <f>AN56-AN83+AN58</f>
        <v/>
      </c>
      <c r="AO84" s="13">
        <f>AO56-AO83+AO58</f>
        <v/>
      </c>
      <c r="AP84" s="13">
        <f>AP56-AP83+AP58</f>
        <v/>
      </c>
      <c r="AQ84" s="13">
        <f>AQ56-AQ83+AQ58</f>
        <v/>
      </c>
      <c r="AR84" s="13">
        <f>AR56-AR83+AR58</f>
        <v/>
      </c>
      <c r="AS84" s="13">
        <f>AS56-AS83+AS58</f>
        <v/>
      </c>
      <c r="AT84" s="13">
        <f>AT56-AT83+AT58</f>
        <v/>
      </c>
      <c r="AU84" s="13">
        <f>AU56-AU83+AU58</f>
        <v/>
      </c>
      <c r="AV84" s="13">
        <f>AV56-AV83+AV58</f>
        <v/>
      </c>
      <c r="AW84" s="13">
        <f>AW56-AW83+AW58</f>
        <v/>
      </c>
      <c r="AX84" s="13">
        <f>AX56-AX83+AX58</f>
        <v/>
      </c>
      <c r="AY84" s="13">
        <f>AY56-AY83+AY58</f>
        <v/>
      </c>
      <c r="AZ84" s="13">
        <f>AZ56-AZ83+AZ58</f>
        <v/>
      </c>
      <c r="BA84" s="13">
        <f>BA56-BA83+BA58</f>
        <v/>
      </c>
      <c r="BB84" s="13">
        <f>BB56-BB83+BB58</f>
        <v/>
      </c>
      <c r="BC84" s="13">
        <f>BC56-BC83+BC58</f>
        <v/>
      </c>
      <c r="BD84" s="13">
        <f>BD56-BD83+BD58</f>
        <v/>
      </c>
      <c r="BE84" s="13">
        <f>BE56-BE83+BE58</f>
        <v/>
      </c>
      <c r="BF84" s="13">
        <f>BF56-BF83+BF58</f>
        <v/>
      </c>
      <c r="BG84" s="13">
        <f>BG56-BG83+BG58</f>
        <v/>
      </c>
      <c r="BH84" s="13">
        <f>BH56-BH83+BH58</f>
        <v/>
      </c>
      <c r="BI84" s="13">
        <f>BI56-BI83+BI58</f>
        <v/>
      </c>
      <c r="BJ84" s="13">
        <f>BJ56-BJ83+BJ58</f>
        <v/>
      </c>
      <c r="BK84" s="13">
        <f>BK56-BK83+BK58</f>
        <v/>
      </c>
      <c r="BL84" s="13">
        <f>BL56-BL83+BL58</f>
        <v/>
      </c>
      <c r="BM84" s="13">
        <f>BM56-BM83+BM58</f>
        <v/>
      </c>
      <c r="BN84" s="13">
        <f>BN56-BN83+BN58</f>
        <v/>
      </c>
    </row>
    <row r="85">
      <c r="B85" s="2" t="inlineStr">
        <is>
          <t>Working capital (USD m, period-end balances)</t>
        </is>
      </c>
    </row>
    <row r="86">
      <c r="D86" t="inlineStr">
        <is>
          <t>Flag: final operating period or later (working capital unwinds)</t>
        </is>
      </c>
      <c r="E86" t="inlineStr">
        <is>
          <t>flag</t>
        </is>
      </c>
      <c r="J86" s="9">
        <f>IF(Time!J20&gt;=Time!$F$15,1,0)</f>
        <v/>
      </c>
      <c r="K86" s="9">
        <f>IF(Time!K20&gt;=Time!$F$15,1,0)</f>
        <v/>
      </c>
      <c r="L86" s="9">
        <f>IF(Time!L20&gt;=Time!$F$15,1,0)</f>
        <v/>
      </c>
      <c r="M86" s="9">
        <f>IF(Time!M20&gt;=Time!$F$15,1,0)</f>
        <v/>
      </c>
      <c r="N86" s="9">
        <f>IF(Time!N20&gt;=Time!$F$15,1,0)</f>
        <v/>
      </c>
      <c r="O86" s="9">
        <f>IF(Time!O20&gt;=Time!$F$15,1,0)</f>
        <v/>
      </c>
      <c r="P86" s="9">
        <f>IF(Time!P20&gt;=Time!$F$15,1,0)</f>
        <v/>
      </c>
      <c r="Q86" s="9">
        <f>IF(Time!Q20&gt;=Time!$F$15,1,0)</f>
        <v/>
      </c>
      <c r="R86" s="9">
        <f>IF(Time!R20&gt;=Time!$F$15,1,0)</f>
        <v/>
      </c>
      <c r="S86" s="9">
        <f>IF(Time!S20&gt;=Time!$F$15,1,0)</f>
        <v/>
      </c>
      <c r="T86" s="9">
        <f>IF(Time!T20&gt;=Time!$F$15,1,0)</f>
        <v/>
      </c>
      <c r="U86" s="9">
        <f>IF(Time!U20&gt;=Time!$F$15,1,0)</f>
        <v/>
      </c>
      <c r="V86" s="9">
        <f>IF(Time!V20&gt;=Time!$F$15,1,0)</f>
        <v/>
      </c>
      <c r="W86" s="9">
        <f>IF(Time!W20&gt;=Time!$F$15,1,0)</f>
        <v/>
      </c>
      <c r="X86" s="9">
        <f>IF(Time!X20&gt;=Time!$F$15,1,0)</f>
        <v/>
      </c>
      <c r="Y86" s="9">
        <f>IF(Time!Y20&gt;=Time!$F$15,1,0)</f>
        <v/>
      </c>
      <c r="Z86" s="9">
        <f>IF(Time!Z20&gt;=Time!$F$15,1,0)</f>
        <v/>
      </c>
      <c r="AA86" s="9">
        <f>IF(Time!AA20&gt;=Time!$F$15,1,0)</f>
        <v/>
      </c>
      <c r="AB86" s="9">
        <f>IF(Time!AB20&gt;=Time!$F$15,1,0)</f>
        <v/>
      </c>
      <c r="AC86" s="9">
        <f>IF(Time!AC20&gt;=Time!$F$15,1,0)</f>
        <v/>
      </c>
      <c r="AD86" s="9">
        <f>IF(Time!AD20&gt;=Time!$F$15,1,0)</f>
        <v/>
      </c>
      <c r="AE86" s="9">
        <f>IF(Time!AE20&gt;=Time!$F$15,1,0)</f>
        <v/>
      </c>
      <c r="AF86" s="9">
        <f>IF(Time!AF20&gt;=Time!$F$15,1,0)</f>
        <v/>
      </c>
      <c r="AG86" s="9">
        <f>IF(Time!AG20&gt;=Time!$F$15,1,0)</f>
        <v/>
      </c>
      <c r="AH86" s="9">
        <f>IF(Time!AH20&gt;=Time!$F$15,1,0)</f>
        <v/>
      </c>
      <c r="AI86" s="9">
        <f>IF(Time!AI20&gt;=Time!$F$15,1,0)</f>
        <v/>
      </c>
      <c r="AJ86" s="9">
        <f>IF(Time!AJ20&gt;=Time!$F$15,1,0)</f>
        <v/>
      </c>
      <c r="AK86" s="9">
        <f>IF(Time!AK20&gt;=Time!$F$15,1,0)</f>
        <v/>
      </c>
      <c r="AL86" s="9">
        <f>IF(Time!AL20&gt;=Time!$F$15,1,0)</f>
        <v/>
      </c>
      <c r="AM86" s="9">
        <f>IF(Time!AM20&gt;=Time!$F$15,1,0)</f>
        <v/>
      </c>
      <c r="AN86" s="9">
        <f>IF(Time!AN20&gt;=Time!$F$15,1,0)</f>
        <v/>
      </c>
      <c r="AO86" s="9">
        <f>IF(Time!AO20&gt;=Time!$F$15,1,0)</f>
        <v/>
      </c>
      <c r="AP86" s="9">
        <f>IF(Time!AP20&gt;=Time!$F$15,1,0)</f>
        <v/>
      </c>
      <c r="AQ86" s="9">
        <f>IF(Time!AQ20&gt;=Time!$F$15,1,0)</f>
        <v/>
      </c>
      <c r="AR86" s="9">
        <f>IF(Time!AR20&gt;=Time!$F$15,1,0)</f>
        <v/>
      </c>
      <c r="AS86" s="9">
        <f>IF(Time!AS20&gt;=Time!$F$15,1,0)</f>
        <v/>
      </c>
      <c r="AT86" s="9">
        <f>IF(Time!AT20&gt;=Time!$F$15,1,0)</f>
        <v/>
      </c>
      <c r="AU86" s="9">
        <f>IF(Time!AU20&gt;=Time!$F$15,1,0)</f>
        <v/>
      </c>
      <c r="AV86" s="9">
        <f>IF(Time!AV20&gt;=Time!$F$15,1,0)</f>
        <v/>
      </c>
      <c r="AW86" s="9">
        <f>IF(Time!AW20&gt;=Time!$F$15,1,0)</f>
        <v/>
      </c>
      <c r="AX86" s="9">
        <f>IF(Time!AX20&gt;=Time!$F$15,1,0)</f>
        <v/>
      </c>
      <c r="AY86" s="9">
        <f>IF(Time!AY20&gt;=Time!$F$15,1,0)</f>
        <v/>
      </c>
      <c r="AZ86" s="9">
        <f>IF(Time!AZ20&gt;=Time!$F$15,1,0)</f>
        <v/>
      </c>
      <c r="BA86" s="9">
        <f>IF(Time!BA20&gt;=Time!$F$15,1,0)</f>
        <v/>
      </c>
      <c r="BB86" s="9">
        <f>IF(Time!BB20&gt;=Time!$F$15,1,0)</f>
        <v/>
      </c>
      <c r="BC86" s="9">
        <f>IF(Time!BC20&gt;=Time!$F$15,1,0)</f>
        <v/>
      </c>
      <c r="BD86" s="9">
        <f>IF(Time!BD20&gt;=Time!$F$15,1,0)</f>
        <v/>
      </c>
      <c r="BE86" s="9">
        <f>IF(Time!BE20&gt;=Time!$F$15,1,0)</f>
        <v/>
      </c>
      <c r="BF86" s="9">
        <f>IF(Time!BF20&gt;=Time!$F$15,1,0)</f>
        <v/>
      </c>
      <c r="BG86" s="9">
        <f>IF(Time!BG20&gt;=Time!$F$15,1,0)</f>
        <v/>
      </c>
      <c r="BH86" s="9">
        <f>IF(Time!BH20&gt;=Time!$F$15,1,0)</f>
        <v/>
      </c>
      <c r="BI86" s="9">
        <f>IF(Time!BI20&gt;=Time!$F$15,1,0)</f>
        <v/>
      </c>
      <c r="BJ86" s="9">
        <f>IF(Time!BJ20&gt;=Time!$F$15,1,0)</f>
        <v/>
      </c>
      <c r="BK86" s="9">
        <f>IF(Time!BK20&gt;=Time!$F$15,1,0)</f>
        <v/>
      </c>
      <c r="BL86" s="9">
        <f>IF(Time!BL20&gt;=Time!$F$15,1,0)</f>
        <v/>
      </c>
      <c r="BM86" s="9">
        <f>IF(Time!BM20&gt;=Time!$F$15,1,0)</f>
        <v/>
      </c>
      <c r="BN86" s="9">
        <f>IF(Time!BN20&gt;=Time!$F$15,1,0)</f>
        <v/>
      </c>
    </row>
    <row r="87">
      <c r="D87" t="inlineStr">
        <is>
          <t>Extra receivable days on capacity and VOM (sensitivities)</t>
        </is>
      </c>
      <c r="E87" t="inlineStr">
        <is>
          <t>days</t>
        </is>
      </c>
      <c r="J87" s="9">
        <f>Inputs!$F$44*Time!J38</f>
        <v/>
      </c>
      <c r="K87" s="9">
        <f>Inputs!$F$44*Time!K38</f>
        <v/>
      </c>
      <c r="L87" s="9">
        <f>Inputs!$F$44*Time!L38</f>
        <v/>
      </c>
      <c r="M87" s="9">
        <f>Inputs!$F$44*Time!M38</f>
        <v/>
      </c>
      <c r="N87" s="9">
        <f>Inputs!$F$44*Time!N38</f>
        <v/>
      </c>
      <c r="O87" s="9">
        <f>Inputs!$F$44*Time!O38</f>
        <v/>
      </c>
      <c r="P87" s="9">
        <f>Inputs!$F$44*Time!P38</f>
        <v/>
      </c>
      <c r="Q87" s="9">
        <f>Inputs!$F$44*Time!Q38</f>
        <v/>
      </c>
      <c r="R87" s="9">
        <f>Inputs!$F$44*Time!R38</f>
        <v/>
      </c>
      <c r="S87" s="9">
        <f>Inputs!$F$44*Time!S38</f>
        <v/>
      </c>
      <c r="T87" s="9">
        <f>Inputs!$F$44*Time!T38</f>
        <v/>
      </c>
      <c r="U87" s="9">
        <f>Inputs!$F$44*Time!U38</f>
        <v/>
      </c>
      <c r="V87" s="9">
        <f>Inputs!$F$44*Time!V38</f>
        <v/>
      </c>
      <c r="W87" s="9">
        <f>Inputs!$F$44*Time!W38</f>
        <v/>
      </c>
      <c r="X87" s="9">
        <f>Inputs!$F$44*Time!X38</f>
        <v/>
      </c>
      <c r="Y87" s="9">
        <f>Inputs!$F$44*Time!Y38</f>
        <v/>
      </c>
      <c r="Z87" s="9">
        <f>Inputs!$F$44*Time!Z38</f>
        <v/>
      </c>
      <c r="AA87" s="9">
        <f>Inputs!$F$44*Time!AA38</f>
        <v/>
      </c>
      <c r="AB87" s="9">
        <f>Inputs!$F$44*Time!AB38</f>
        <v/>
      </c>
      <c r="AC87" s="9">
        <f>Inputs!$F$44*Time!AC38</f>
        <v/>
      </c>
      <c r="AD87" s="9">
        <f>Inputs!$F$44*Time!AD38</f>
        <v/>
      </c>
      <c r="AE87" s="9">
        <f>Inputs!$F$44*Time!AE38</f>
        <v/>
      </c>
      <c r="AF87" s="9">
        <f>Inputs!$F$44*Time!AF38</f>
        <v/>
      </c>
      <c r="AG87" s="9">
        <f>Inputs!$F$44*Time!AG38</f>
        <v/>
      </c>
      <c r="AH87" s="9">
        <f>Inputs!$F$44*Time!AH38</f>
        <v/>
      </c>
      <c r="AI87" s="9">
        <f>Inputs!$F$44*Time!AI38</f>
        <v/>
      </c>
      <c r="AJ87" s="9">
        <f>Inputs!$F$44*Time!AJ38</f>
        <v/>
      </c>
      <c r="AK87" s="9">
        <f>Inputs!$F$44*Time!AK38</f>
        <v/>
      </c>
      <c r="AL87" s="9">
        <f>Inputs!$F$44*Time!AL38</f>
        <v/>
      </c>
      <c r="AM87" s="9">
        <f>Inputs!$F$44*Time!AM38</f>
        <v/>
      </c>
      <c r="AN87" s="9">
        <f>Inputs!$F$44*Time!AN38</f>
        <v/>
      </c>
      <c r="AO87" s="9">
        <f>Inputs!$F$44*Time!AO38</f>
        <v/>
      </c>
      <c r="AP87" s="9">
        <f>Inputs!$F$44*Time!AP38</f>
        <v/>
      </c>
      <c r="AQ87" s="9">
        <f>Inputs!$F$44*Time!AQ38</f>
        <v/>
      </c>
      <c r="AR87" s="9">
        <f>Inputs!$F$44*Time!AR38</f>
        <v/>
      </c>
      <c r="AS87" s="9">
        <f>Inputs!$F$44*Time!AS38</f>
        <v/>
      </c>
      <c r="AT87" s="9">
        <f>Inputs!$F$44*Time!AT38</f>
        <v/>
      </c>
      <c r="AU87" s="9">
        <f>Inputs!$F$44*Time!AU38</f>
        <v/>
      </c>
      <c r="AV87" s="9">
        <f>Inputs!$F$44*Time!AV38</f>
        <v/>
      </c>
      <c r="AW87" s="9">
        <f>Inputs!$F$44*Time!AW38</f>
        <v/>
      </c>
      <c r="AX87" s="9">
        <f>Inputs!$F$44*Time!AX38</f>
        <v/>
      </c>
      <c r="AY87" s="9">
        <f>Inputs!$F$44*Time!AY38</f>
        <v/>
      </c>
      <c r="AZ87" s="9">
        <f>Inputs!$F$44*Time!AZ38</f>
        <v/>
      </c>
      <c r="BA87" s="9">
        <f>Inputs!$F$44*Time!BA38</f>
        <v/>
      </c>
      <c r="BB87" s="9">
        <f>Inputs!$F$44*Time!BB38</f>
        <v/>
      </c>
      <c r="BC87" s="9">
        <f>Inputs!$F$44*Time!BC38</f>
        <v/>
      </c>
      <c r="BD87" s="9">
        <f>Inputs!$F$44*Time!BD38</f>
        <v/>
      </c>
      <c r="BE87" s="9">
        <f>Inputs!$F$44*Time!BE38</f>
        <v/>
      </c>
      <c r="BF87" s="9">
        <f>Inputs!$F$44*Time!BF38</f>
        <v/>
      </c>
      <c r="BG87" s="9">
        <f>Inputs!$F$44*Time!BG38</f>
        <v/>
      </c>
      <c r="BH87" s="9">
        <f>Inputs!$F$44*Time!BH38</f>
        <v/>
      </c>
      <c r="BI87" s="9">
        <f>Inputs!$F$44*Time!BI38</f>
        <v/>
      </c>
      <c r="BJ87" s="9">
        <f>Inputs!$F$44*Time!BJ38</f>
        <v/>
      </c>
      <c r="BK87" s="9">
        <f>Inputs!$F$44*Time!BK38</f>
        <v/>
      </c>
      <c r="BL87" s="9">
        <f>Inputs!$F$44*Time!BL38</f>
        <v/>
      </c>
      <c r="BM87" s="9">
        <f>Inputs!$F$44*Time!BM38</f>
        <v/>
      </c>
      <c r="BN87" s="9">
        <f>Inputs!$F$44*Time!BN38</f>
        <v/>
      </c>
    </row>
    <row r="88">
      <c r="D88" t="inlineStr">
        <is>
          <t>Trade receivables (normal terms)</t>
        </is>
      </c>
      <c r="E88" t="inlineStr">
        <is>
          <t>USD m</t>
        </is>
      </c>
      <c r="J88" s="13">
        <f>(1-J86)*(J56/MAX(Time!J31,1)*Inputs!$F$168+J55/MAX(Time!J31,1)*J87)</f>
        <v/>
      </c>
      <c r="K88" s="13">
        <f>(1-K86)*(K56/MAX(Time!K31,1)*Inputs!$F$168+K55/MAX(Time!K31,1)*K87)</f>
        <v/>
      </c>
      <c r="L88" s="13">
        <f>(1-L86)*(L56/MAX(Time!L31,1)*Inputs!$F$168+L55/MAX(Time!L31,1)*L87)</f>
        <v/>
      </c>
      <c r="M88" s="13">
        <f>(1-M86)*(M56/MAX(Time!M31,1)*Inputs!$F$168+M55/MAX(Time!M31,1)*M87)</f>
        <v/>
      </c>
      <c r="N88" s="13">
        <f>(1-N86)*(N56/MAX(Time!N31,1)*Inputs!$F$168+N55/MAX(Time!N31,1)*N87)</f>
        <v/>
      </c>
      <c r="O88" s="13">
        <f>(1-O86)*(O56/MAX(Time!O31,1)*Inputs!$F$168+O55/MAX(Time!O31,1)*O87)</f>
        <v/>
      </c>
      <c r="P88" s="13">
        <f>(1-P86)*(P56/MAX(Time!P31,1)*Inputs!$F$168+P55/MAX(Time!P31,1)*P87)</f>
        <v/>
      </c>
      <c r="Q88" s="13">
        <f>(1-Q86)*(Q56/MAX(Time!Q31,1)*Inputs!$F$168+Q55/MAX(Time!Q31,1)*Q87)</f>
        <v/>
      </c>
      <c r="R88" s="13">
        <f>(1-R86)*(R56/MAX(Time!R31,1)*Inputs!$F$168+R55/MAX(Time!R31,1)*R87)</f>
        <v/>
      </c>
      <c r="S88" s="13">
        <f>(1-S86)*(S56/MAX(Time!S31,1)*Inputs!$F$168+S55/MAX(Time!S31,1)*S87)</f>
        <v/>
      </c>
      <c r="T88" s="13">
        <f>(1-T86)*(T56/MAX(Time!T31,1)*Inputs!$F$168+T55/MAX(Time!T31,1)*T87)</f>
        <v/>
      </c>
      <c r="U88" s="13">
        <f>(1-U86)*(U56/MAX(Time!U31,1)*Inputs!$F$168+U55/MAX(Time!U31,1)*U87)</f>
        <v/>
      </c>
      <c r="V88" s="13">
        <f>(1-V86)*(V56/MAX(Time!V31,1)*Inputs!$F$168+V55/MAX(Time!V31,1)*V87)</f>
        <v/>
      </c>
      <c r="W88" s="13">
        <f>(1-W86)*(W56/MAX(Time!W31,1)*Inputs!$F$168+W55/MAX(Time!W31,1)*W87)</f>
        <v/>
      </c>
      <c r="X88" s="13">
        <f>(1-X86)*(X56/MAX(Time!X31,1)*Inputs!$F$168+X55/MAX(Time!X31,1)*X87)</f>
        <v/>
      </c>
      <c r="Y88" s="13">
        <f>(1-Y86)*(Y56/MAX(Time!Y31,1)*Inputs!$F$168+Y55/MAX(Time!Y31,1)*Y87)</f>
        <v/>
      </c>
      <c r="Z88" s="13">
        <f>(1-Z86)*(Z56/MAX(Time!Z31,1)*Inputs!$F$168+Z55/MAX(Time!Z31,1)*Z87)</f>
        <v/>
      </c>
      <c r="AA88" s="13">
        <f>(1-AA86)*(AA56/MAX(Time!AA31,1)*Inputs!$F$168+AA55/MAX(Time!AA31,1)*AA87)</f>
        <v/>
      </c>
      <c r="AB88" s="13">
        <f>(1-AB86)*(AB56/MAX(Time!AB31,1)*Inputs!$F$168+AB55/MAX(Time!AB31,1)*AB87)</f>
        <v/>
      </c>
      <c r="AC88" s="13">
        <f>(1-AC86)*(AC56/MAX(Time!AC31,1)*Inputs!$F$168+AC55/MAX(Time!AC31,1)*AC87)</f>
        <v/>
      </c>
      <c r="AD88" s="13">
        <f>(1-AD86)*(AD56/MAX(Time!AD31,1)*Inputs!$F$168+AD55/MAX(Time!AD31,1)*AD87)</f>
        <v/>
      </c>
      <c r="AE88" s="13">
        <f>(1-AE86)*(AE56/MAX(Time!AE31,1)*Inputs!$F$168+AE55/MAX(Time!AE31,1)*AE87)</f>
        <v/>
      </c>
      <c r="AF88" s="13">
        <f>(1-AF86)*(AF56/MAX(Time!AF31,1)*Inputs!$F$168+AF55/MAX(Time!AF31,1)*AF87)</f>
        <v/>
      </c>
      <c r="AG88" s="13">
        <f>(1-AG86)*(AG56/MAX(Time!AG31,1)*Inputs!$F$168+AG55/MAX(Time!AG31,1)*AG87)</f>
        <v/>
      </c>
      <c r="AH88" s="13">
        <f>(1-AH86)*(AH56/MAX(Time!AH31,1)*Inputs!$F$168+AH55/MAX(Time!AH31,1)*AH87)</f>
        <v/>
      </c>
      <c r="AI88" s="13">
        <f>(1-AI86)*(AI56/MAX(Time!AI31,1)*Inputs!$F$168+AI55/MAX(Time!AI31,1)*AI87)</f>
        <v/>
      </c>
      <c r="AJ88" s="13">
        <f>(1-AJ86)*(AJ56/MAX(Time!AJ31,1)*Inputs!$F$168+AJ55/MAX(Time!AJ31,1)*AJ87)</f>
        <v/>
      </c>
      <c r="AK88" s="13">
        <f>(1-AK86)*(AK56/MAX(Time!AK31,1)*Inputs!$F$168+AK55/MAX(Time!AK31,1)*AK87)</f>
        <v/>
      </c>
      <c r="AL88" s="13">
        <f>(1-AL86)*(AL56/MAX(Time!AL31,1)*Inputs!$F$168+AL55/MAX(Time!AL31,1)*AL87)</f>
        <v/>
      </c>
      <c r="AM88" s="13">
        <f>(1-AM86)*(AM56/MAX(Time!AM31,1)*Inputs!$F$168+AM55/MAX(Time!AM31,1)*AM87)</f>
        <v/>
      </c>
      <c r="AN88" s="13">
        <f>(1-AN86)*(AN56/MAX(Time!AN31,1)*Inputs!$F$168+AN55/MAX(Time!AN31,1)*AN87)</f>
        <v/>
      </c>
      <c r="AO88" s="13">
        <f>(1-AO86)*(AO56/MAX(Time!AO31,1)*Inputs!$F$168+AO55/MAX(Time!AO31,1)*AO87)</f>
        <v/>
      </c>
      <c r="AP88" s="13">
        <f>(1-AP86)*(AP56/MAX(Time!AP31,1)*Inputs!$F$168+AP55/MAX(Time!AP31,1)*AP87)</f>
        <v/>
      </c>
      <c r="AQ88" s="13">
        <f>(1-AQ86)*(AQ56/MAX(Time!AQ31,1)*Inputs!$F$168+AQ55/MAX(Time!AQ31,1)*AQ87)</f>
        <v/>
      </c>
      <c r="AR88" s="13">
        <f>(1-AR86)*(AR56/MAX(Time!AR31,1)*Inputs!$F$168+AR55/MAX(Time!AR31,1)*AR87)</f>
        <v/>
      </c>
      <c r="AS88" s="13">
        <f>(1-AS86)*(AS56/MAX(Time!AS31,1)*Inputs!$F$168+AS55/MAX(Time!AS31,1)*AS87)</f>
        <v/>
      </c>
      <c r="AT88" s="13">
        <f>(1-AT86)*(AT56/MAX(Time!AT31,1)*Inputs!$F$168+AT55/MAX(Time!AT31,1)*AT87)</f>
        <v/>
      </c>
      <c r="AU88" s="13">
        <f>(1-AU86)*(AU56/MAX(Time!AU31,1)*Inputs!$F$168+AU55/MAX(Time!AU31,1)*AU87)</f>
        <v/>
      </c>
      <c r="AV88" s="13">
        <f>(1-AV86)*(AV56/MAX(Time!AV31,1)*Inputs!$F$168+AV55/MAX(Time!AV31,1)*AV87)</f>
        <v/>
      </c>
      <c r="AW88" s="13">
        <f>(1-AW86)*(AW56/MAX(Time!AW31,1)*Inputs!$F$168+AW55/MAX(Time!AW31,1)*AW87)</f>
        <v/>
      </c>
      <c r="AX88" s="13">
        <f>(1-AX86)*(AX56/MAX(Time!AX31,1)*Inputs!$F$168+AX55/MAX(Time!AX31,1)*AX87)</f>
        <v/>
      </c>
      <c r="AY88" s="13">
        <f>(1-AY86)*(AY56/MAX(Time!AY31,1)*Inputs!$F$168+AY55/MAX(Time!AY31,1)*AY87)</f>
        <v/>
      </c>
      <c r="AZ88" s="13">
        <f>(1-AZ86)*(AZ56/MAX(Time!AZ31,1)*Inputs!$F$168+AZ55/MAX(Time!AZ31,1)*AZ87)</f>
        <v/>
      </c>
      <c r="BA88" s="13">
        <f>(1-BA86)*(BA56/MAX(Time!BA31,1)*Inputs!$F$168+BA55/MAX(Time!BA31,1)*BA87)</f>
        <v/>
      </c>
      <c r="BB88" s="13">
        <f>(1-BB86)*(BB56/MAX(Time!BB31,1)*Inputs!$F$168+BB55/MAX(Time!BB31,1)*BB87)</f>
        <v/>
      </c>
      <c r="BC88" s="13">
        <f>(1-BC86)*(BC56/MAX(Time!BC31,1)*Inputs!$F$168+BC55/MAX(Time!BC31,1)*BC87)</f>
        <v/>
      </c>
      <c r="BD88" s="13">
        <f>(1-BD86)*(BD56/MAX(Time!BD31,1)*Inputs!$F$168+BD55/MAX(Time!BD31,1)*BD87)</f>
        <v/>
      </c>
      <c r="BE88" s="13">
        <f>(1-BE86)*(BE56/MAX(Time!BE31,1)*Inputs!$F$168+BE55/MAX(Time!BE31,1)*BE87)</f>
        <v/>
      </c>
      <c r="BF88" s="13">
        <f>(1-BF86)*(BF56/MAX(Time!BF31,1)*Inputs!$F$168+BF55/MAX(Time!BF31,1)*BF87)</f>
        <v/>
      </c>
      <c r="BG88" s="13">
        <f>(1-BG86)*(BG56/MAX(Time!BG31,1)*Inputs!$F$168+BG55/MAX(Time!BG31,1)*BG87)</f>
        <v/>
      </c>
      <c r="BH88" s="13">
        <f>(1-BH86)*(BH56/MAX(Time!BH31,1)*Inputs!$F$168+BH55/MAX(Time!BH31,1)*BH87)</f>
        <v/>
      </c>
      <c r="BI88" s="13">
        <f>(1-BI86)*(BI56/MAX(Time!BI31,1)*Inputs!$F$168+BI55/MAX(Time!BI31,1)*BI87)</f>
        <v/>
      </c>
      <c r="BJ88" s="13">
        <f>(1-BJ86)*(BJ56/MAX(Time!BJ31,1)*Inputs!$F$168+BJ55/MAX(Time!BJ31,1)*BJ87)</f>
        <v/>
      </c>
      <c r="BK88" s="13">
        <f>(1-BK86)*(BK56/MAX(Time!BK31,1)*Inputs!$F$168+BK55/MAX(Time!BK31,1)*BK87)</f>
        <v/>
      </c>
      <c r="BL88" s="13">
        <f>(1-BL86)*(BL56/MAX(Time!BL31,1)*Inputs!$F$168+BL55/MAX(Time!BL31,1)*BL87)</f>
        <v/>
      </c>
      <c r="BM88" s="13">
        <f>(1-BM86)*(BM56/MAX(Time!BM31,1)*Inputs!$F$168+BM55/MAX(Time!BM31,1)*BM87)</f>
        <v/>
      </c>
      <c r="BN88" s="13">
        <f>(1-BN86)*(BN56/MAX(Time!BN31,1)*Inputs!$F$168+BN55/MAX(Time!BN31,1)*BN87)</f>
        <v/>
      </c>
    </row>
    <row r="89">
      <c r="D89" t="inlineStr">
        <is>
          <t>SEKA overdue receivables</t>
        </is>
      </c>
      <c r="E89" t="inlineStr">
        <is>
          <t>USD m</t>
        </is>
      </c>
      <c r="J89" s="13">
        <f>Inputs!$F$45*Inputs!J295</f>
        <v/>
      </c>
      <c r="K89" s="13">
        <f>Inputs!$F$45*Inputs!K295</f>
        <v/>
      </c>
      <c r="L89" s="13">
        <f>Inputs!$F$45*Inputs!L295</f>
        <v/>
      </c>
      <c r="M89" s="13">
        <f>Inputs!$F$45*Inputs!M295</f>
        <v/>
      </c>
      <c r="N89" s="13">
        <f>Inputs!$F$45*Inputs!N295</f>
        <v/>
      </c>
      <c r="O89" s="13">
        <f>Inputs!$F$45*Inputs!O295</f>
        <v/>
      </c>
      <c r="P89" s="13">
        <f>Inputs!$F$45*Inputs!P295</f>
        <v/>
      </c>
      <c r="Q89" s="13">
        <f>Inputs!$F$45*Inputs!Q295</f>
        <v/>
      </c>
      <c r="R89" s="13">
        <f>Inputs!$F$45*Inputs!R295</f>
        <v/>
      </c>
      <c r="S89" s="13">
        <f>Inputs!$F$45*Inputs!S295</f>
        <v/>
      </c>
      <c r="T89" s="13">
        <f>Inputs!$F$45*Inputs!T295</f>
        <v/>
      </c>
      <c r="U89" s="13">
        <f>Inputs!$F$45*Inputs!U295</f>
        <v/>
      </c>
      <c r="V89" s="13">
        <f>Inputs!$F$45*Inputs!V295</f>
        <v/>
      </c>
      <c r="W89" s="13">
        <f>Inputs!$F$45*Inputs!W295</f>
        <v/>
      </c>
      <c r="X89" s="13">
        <f>Inputs!$F$45*Inputs!X295</f>
        <v/>
      </c>
      <c r="Y89" s="13">
        <f>Inputs!$F$45*Inputs!Y295</f>
        <v/>
      </c>
      <c r="Z89" s="13">
        <f>Inputs!$F$45*Inputs!Z295</f>
        <v/>
      </c>
      <c r="AA89" s="13">
        <f>Inputs!$F$45*Inputs!AA295</f>
        <v/>
      </c>
      <c r="AB89" s="13">
        <f>Inputs!$F$45*Inputs!AB295</f>
        <v/>
      </c>
      <c r="AC89" s="13">
        <f>Inputs!$F$45*Inputs!AC295</f>
        <v/>
      </c>
      <c r="AD89" s="13">
        <f>Inputs!$F$45*Inputs!AD295</f>
        <v/>
      </c>
      <c r="AE89" s="13">
        <f>Inputs!$F$45*Inputs!AE295</f>
        <v/>
      </c>
      <c r="AF89" s="13">
        <f>Inputs!$F$45*Inputs!AF295</f>
        <v/>
      </c>
      <c r="AG89" s="13">
        <f>Inputs!$F$45*Inputs!AG295</f>
        <v/>
      </c>
      <c r="AH89" s="13">
        <f>Inputs!$F$45*Inputs!AH295</f>
        <v/>
      </c>
      <c r="AI89" s="13">
        <f>Inputs!$F$45*Inputs!AI295</f>
        <v/>
      </c>
      <c r="AJ89" s="13">
        <f>Inputs!$F$45*Inputs!AJ295</f>
        <v/>
      </c>
      <c r="AK89" s="13">
        <f>Inputs!$F$45*Inputs!AK295</f>
        <v/>
      </c>
      <c r="AL89" s="13">
        <f>Inputs!$F$45*Inputs!AL295</f>
        <v/>
      </c>
      <c r="AM89" s="13">
        <f>Inputs!$F$45*Inputs!AM295</f>
        <v/>
      </c>
      <c r="AN89" s="13">
        <f>Inputs!$F$45*Inputs!AN295</f>
        <v/>
      </c>
      <c r="AO89" s="13">
        <f>Inputs!$F$45*Inputs!AO295</f>
        <v/>
      </c>
      <c r="AP89" s="13">
        <f>Inputs!$F$45*Inputs!AP295</f>
        <v/>
      </c>
      <c r="AQ89" s="13">
        <f>Inputs!$F$45*Inputs!AQ295</f>
        <v/>
      </c>
      <c r="AR89" s="13">
        <f>Inputs!$F$45*Inputs!AR295</f>
        <v/>
      </c>
      <c r="AS89" s="13">
        <f>Inputs!$F$45*Inputs!AS295</f>
        <v/>
      </c>
      <c r="AT89" s="13">
        <f>Inputs!$F$45*Inputs!AT295</f>
        <v/>
      </c>
      <c r="AU89" s="13">
        <f>Inputs!$F$45*Inputs!AU295</f>
        <v/>
      </c>
      <c r="AV89" s="13">
        <f>Inputs!$F$45*Inputs!AV295</f>
        <v/>
      </c>
      <c r="AW89" s="13">
        <f>Inputs!$F$45*Inputs!AW295</f>
        <v/>
      </c>
      <c r="AX89" s="13">
        <f>Inputs!$F$45*Inputs!AX295</f>
        <v/>
      </c>
      <c r="AY89" s="13">
        <f>Inputs!$F$45*Inputs!AY295</f>
        <v/>
      </c>
      <c r="AZ89" s="13">
        <f>Inputs!$F$45*Inputs!AZ295</f>
        <v/>
      </c>
      <c r="BA89" s="13">
        <f>Inputs!$F$45*Inputs!BA295</f>
        <v/>
      </c>
      <c r="BB89" s="13">
        <f>Inputs!$F$45*Inputs!BB295</f>
        <v/>
      </c>
      <c r="BC89" s="13">
        <f>Inputs!$F$45*Inputs!BC295</f>
        <v/>
      </c>
      <c r="BD89" s="13">
        <f>Inputs!$F$45*Inputs!BD295</f>
        <v/>
      </c>
      <c r="BE89" s="13">
        <f>Inputs!$F$45*Inputs!BE295</f>
        <v/>
      </c>
      <c r="BF89" s="13">
        <f>Inputs!$F$45*Inputs!BF295</f>
        <v/>
      </c>
      <c r="BG89" s="13">
        <f>Inputs!$F$45*Inputs!BG295</f>
        <v/>
      </c>
      <c r="BH89" s="13">
        <f>Inputs!$F$45*Inputs!BH295</f>
        <v/>
      </c>
      <c r="BI89" s="13">
        <f>Inputs!$F$45*Inputs!BI295</f>
        <v/>
      </c>
      <c r="BJ89" s="13">
        <f>Inputs!$F$45*Inputs!BJ295</f>
        <v/>
      </c>
      <c r="BK89" s="13">
        <f>Inputs!$F$45*Inputs!BK295</f>
        <v/>
      </c>
      <c r="BL89" s="13">
        <f>Inputs!$F$45*Inputs!BL295</f>
        <v/>
      </c>
      <c r="BM89" s="13">
        <f>Inputs!$F$45*Inputs!BM295</f>
        <v/>
      </c>
      <c r="BN89" s="13">
        <f>Inputs!$F$45*Inputs!BN295</f>
        <v/>
      </c>
    </row>
    <row r="90">
      <c r="D90" t="inlineStr">
        <is>
          <t>Gas payables</t>
        </is>
      </c>
      <c r="E90" t="inlineStr">
        <is>
          <t>USD m</t>
        </is>
      </c>
      <c r="J90" s="13">
        <f>(1-J86)*(J73+J54)/MAX(Time!J31,1)*Inputs!$F$169</f>
        <v/>
      </c>
      <c r="K90" s="13">
        <f>(1-K86)*(K73+K54)/MAX(Time!K31,1)*Inputs!$F$169</f>
        <v/>
      </c>
      <c r="L90" s="13">
        <f>(1-L86)*(L73+L54)/MAX(Time!L31,1)*Inputs!$F$169</f>
        <v/>
      </c>
      <c r="M90" s="13">
        <f>(1-M86)*(M73+M54)/MAX(Time!M31,1)*Inputs!$F$169</f>
        <v/>
      </c>
      <c r="N90" s="13">
        <f>(1-N86)*(N73+N54)/MAX(Time!N31,1)*Inputs!$F$169</f>
        <v/>
      </c>
      <c r="O90" s="13">
        <f>(1-O86)*(O73+O54)/MAX(Time!O31,1)*Inputs!$F$169</f>
        <v/>
      </c>
      <c r="P90" s="13">
        <f>(1-P86)*(P73+P54)/MAX(Time!P31,1)*Inputs!$F$169</f>
        <v/>
      </c>
      <c r="Q90" s="13">
        <f>(1-Q86)*(Q73+Q54)/MAX(Time!Q31,1)*Inputs!$F$169</f>
        <v/>
      </c>
      <c r="R90" s="13">
        <f>(1-R86)*(R73+R54)/MAX(Time!R31,1)*Inputs!$F$169</f>
        <v/>
      </c>
      <c r="S90" s="13">
        <f>(1-S86)*(S73+S54)/MAX(Time!S31,1)*Inputs!$F$169</f>
        <v/>
      </c>
      <c r="T90" s="13">
        <f>(1-T86)*(T73+T54)/MAX(Time!T31,1)*Inputs!$F$169</f>
        <v/>
      </c>
      <c r="U90" s="13">
        <f>(1-U86)*(U73+U54)/MAX(Time!U31,1)*Inputs!$F$169</f>
        <v/>
      </c>
      <c r="V90" s="13">
        <f>(1-V86)*(V73+V54)/MAX(Time!V31,1)*Inputs!$F$169</f>
        <v/>
      </c>
      <c r="W90" s="13">
        <f>(1-W86)*(W73+W54)/MAX(Time!W31,1)*Inputs!$F$169</f>
        <v/>
      </c>
      <c r="X90" s="13">
        <f>(1-X86)*(X73+X54)/MAX(Time!X31,1)*Inputs!$F$169</f>
        <v/>
      </c>
      <c r="Y90" s="13">
        <f>(1-Y86)*(Y73+Y54)/MAX(Time!Y31,1)*Inputs!$F$169</f>
        <v/>
      </c>
      <c r="Z90" s="13">
        <f>(1-Z86)*(Z73+Z54)/MAX(Time!Z31,1)*Inputs!$F$169</f>
        <v/>
      </c>
      <c r="AA90" s="13">
        <f>(1-AA86)*(AA73+AA54)/MAX(Time!AA31,1)*Inputs!$F$169</f>
        <v/>
      </c>
      <c r="AB90" s="13">
        <f>(1-AB86)*(AB73+AB54)/MAX(Time!AB31,1)*Inputs!$F$169</f>
        <v/>
      </c>
      <c r="AC90" s="13">
        <f>(1-AC86)*(AC73+AC54)/MAX(Time!AC31,1)*Inputs!$F$169</f>
        <v/>
      </c>
      <c r="AD90" s="13">
        <f>(1-AD86)*(AD73+AD54)/MAX(Time!AD31,1)*Inputs!$F$169</f>
        <v/>
      </c>
      <c r="AE90" s="13">
        <f>(1-AE86)*(AE73+AE54)/MAX(Time!AE31,1)*Inputs!$F$169</f>
        <v/>
      </c>
      <c r="AF90" s="13">
        <f>(1-AF86)*(AF73+AF54)/MAX(Time!AF31,1)*Inputs!$F$169</f>
        <v/>
      </c>
      <c r="AG90" s="13">
        <f>(1-AG86)*(AG73+AG54)/MAX(Time!AG31,1)*Inputs!$F$169</f>
        <v/>
      </c>
      <c r="AH90" s="13">
        <f>(1-AH86)*(AH73+AH54)/MAX(Time!AH31,1)*Inputs!$F$169</f>
        <v/>
      </c>
      <c r="AI90" s="13">
        <f>(1-AI86)*(AI73+AI54)/MAX(Time!AI31,1)*Inputs!$F$169</f>
        <v/>
      </c>
      <c r="AJ90" s="13">
        <f>(1-AJ86)*(AJ73+AJ54)/MAX(Time!AJ31,1)*Inputs!$F$169</f>
        <v/>
      </c>
      <c r="AK90" s="13">
        <f>(1-AK86)*(AK73+AK54)/MAX(Time!AK31,1)*Inputs!$F$169</f>
        <v/>
      </c>
      <c r="AL90" s="13">
        <f>(1-AL86)*(AL73+AL54)/MAX(Time!AL31,1)*Inputs!$F$169</f>
        <v/>
      </c>
      <c r="AM90" s="13">
        <f>(1-AM86)*(AM73+AM54)/MAX(Time!AM31,1)*Inputs!$F$169</f>
        <v/>
      </c>
      <c r="AN90" s="13">
        <f>(1-AN86)*(AN73+AN54)/MAX(Time!AN31,1)*Inputs!$F$169</f>
        <v/>
      </c>
      <c r="AO90" s="13">
        <f>(1-AO86)*(AO73+AO54)/MAX(Time!AO31,1)*Inputs!$F$169</f>
        <v/>
      </c>
      <c r="AP90" s="13">
        <f>(1-AP86)*(AP73+AP54)/MAX(Time!AP31,1)*Inputs!$F$169</f>
        <v/>
      </c>
      <c r="AQ90" s="13">
        <f>(1-AQ86)*(AQ73+AQ54)/MAX(Time!AQ31,1)*Inputs!$F$169</f>
        <v/>
      </c>
      <c r="AR90" s="13">
        <f>(1-AR86)*(AR73+AR54)/MAX(Time!AR31,1)*Inputs!$F$169</f>
        <v/>
      </c>
      <c r="AS90" s="13">
        <f>(1-AS86)*(AS73+AS54)/MAX(Time!AS31,1)*Inputs!$F$169</f>
        <v/>
      </c>
      <c r="AT90" s="13">
        <f>(1-AT86)*(AT73+AT54)/MAX(Time!AT31,1)*Inputs!$F$169</f>
        <v/>
      </c>
      <c r="AU90" s="13">
        <f>(1-AU86)*(AU73+AU54)/MAX(Time!AU31,1)*Inputs!$F$169</f>
        <v/>
      </c>
      <c r="AV90" s="13">
        <f>(1-AV86)*(AV73+AV54)/MAX(Time!AV31,1)*Inputs!$F$169</f>
        <v/>
      </c>
      <c r="AW90" s="13">
        <f>(1-AW86)*(AW73+AW54)/MAX(Time!AW31,1)*Inputs!$F$169</f>
        <v/>
      </c>
      <c r="AX90" s="13">
        <f>(1-AX86)*(AX73+AX54)/MAX(Time!AX31,1)*Inputs!$F$169</f>
        <v/>
      </c>
      <c r="AY90" s="13">
        <f>(1-AY86)*(AY73+AY54)/MAX(Time!AY31,1)*Inputs!$F$169</f>
        <v/>
      </c>
      <c r="AZ90" s="13">
        <f>(1-AZ86)*(AZ73+AZ54)/MAX(Time!AZ31,1)*Inputs!$F$169</f>
        <v/>
      </c>
      <c r="BA90" s="13">
        <f>(1-BA86)*(BA73+BA54)/MAX(Time!BA31,1)*Inputs!$F$169</f>
        <v/>
      </c>
      <c r="BB90" s="13">
        <f>(1-BB86)*(BB73+BB54)/MAX(Time!BB31,1)*Inputs!$F$169</f>
        <v/>
      </c>
      <c r="BC90" s="13">
        <f>(1-BC86)*(BC73+BC54)/MAX(Time!BC31,1)*Inputs!$F$169</f>
        <v/>
      </c>
      <c r="BD90" s="13">
        <f>(1-BD86)*(BD73+BD54)/MAX(Time!BD31,1)*Inputs!$F$169</f>
        <v/>
      </c>
      <c r="BE90" s="13">
        <f>(1-BE86)*(BE73+BE54)/MAX(Time!BE31,1)*Inputs!$F$169</f>
        <v/>
      </c>
      <c r="BF90" s="13">
        <f>(1-BF86)*(BF73+BF54)/MAX(Time!BF31,1)*Inputs!$F$169</f>
        <v/>
      </c>
      <c r="BG90" s="13">
        <f>(1-BG86)*(BG73+BG54)/MAX(Time!BG31,1)*Inputs!$F$169</f>
        <v/>
      </c>
      <c r="BH90" s="13">
        <f>(1-BH86)*(BH73+BH54)/MAX(Time!BH31,1)*Inputs!$F$169</f>
        <v/>
      </c>
      <c r="BI90" s="13">
        <f>(1-BI86)*(BI73+BI54)/MAX(Time!BI31,1)*Inputs!$F$169</f>
        <v/>
      </c>
      <c r="BJ90" s="13">
        <f>(1-BJ86)*(BJ73+BJ54)/MAX(Time!BJ31,1)*Inputs!$F$169</f>
        <v/>
      </c>
      <c r="BK90" s="13">
        <f>(1-BK86)*(BK73+BK54)/MAX(Time!BK31,1)*Inputs!$F$169</f>
        <v/>
      </c>
      <c r="BL90" s="13">
        <f>(1-BL86)*(BL73+BL54)/MAX(Time!BL31,1)*Inputs!$F$169</f>
        <v/>
      </c>
      <c r="BM90" s="13">
        <f>(1-BM86)*(BM73+BM54)/MAX(Time!BM31,1)*Inputs!$F$169</f>
        <v/>
      </c>
      <c r="BN90" s="13">
        <f>(1-BN86)*(BN73+BN54)/MAX(Time!BN31,1)*Inputs!$F$169</f>
        <v/>
      </c>
    </row>
    <row r="91">
      <c r="D91" t="inlineStr">
        <is>
          <t>GTA payables</t>
        </is>
      </c>
      <c r="E91" t="inlineStr">
        <is>
          <t>USD m</t>
        </is>
      </c>
      <c r="J91" s="13">
        <f>(1-J86)*(J52+J53)/MAX(Time!J31,1)*Inputs!$F$170</f>
        <v/>
      </c>
      <c r="K91" s="13">
        <f>(1-K86)*(K52+K53)/MAX(Time!K31,1)*Inputs!$F$170</f>
        <v/>
      </c>
      <c r="L91" s="13">
        <f>(1-L86)*(L52+L53)/MAX(Time!L31,1)*Inputs!$F$170</f>
        <v/>
      </c>
      <c r="M91" s="13">
        <f>(1-M86)*(M52+M53)/MAX(Time!M31,1)*Inputs!$F$170</f>
        <v/>
      </c>
      <c r="N91" s="13">
        <f>(1-N86)*(N52+N53)/MAX(Time!N31,1)*Inputs!$F$170</f>
        <v/>
      </c>
      <c r="O91" s="13">
        <f>(1-O86)*(O52+O53)/MAX(Time!O31,1)*Inputs!$F$170</f>
        <v/>
      </c>
      <c r="P91" s="13">
        <f>(1-P86)*(P52+P53)/MAX(Time!P31,1)*Inputs!$F$170</f>
        <v/>
      </c>
      <c r="Q91" s="13">
        <f>(1-Q86)*(Q52+Q53)/MAX(Time!Q31,1)*Inputs!$F$170</f>
        <v/>
      </c>
      <c r="R91" s="13">
        <f>(1-R86)*(R52+R53)/MAX(Time!R31,1)*Inputs!$F$170</f>
        <v/>
      </c>
      <c r="S91" s="13">
        <f>(1-S86)*(S52+S53)/MAX(Time!S31,1)*Inputs!$F$170</f>
        <v/>
      </c>
      <c r="T91" s="13">
        <f>(1-T86)*(T52+T53)/MAX(Time!T31,1)*Inputs!$F$170</f>
        <v/>
      </c>
      <c r="U91" s="13">
        <f>(1-U86)*(U52+U53)/MAX(Time!U31,1)*Inputs!$F$170</f>
        <v/>
      </c>
      <c r="V91" s="13">
        <f>(1-V86)*(V52+V53)/MAX(Time!V31,1)*Inputs!$F$170</f>
        <v/>
      </c>
      <c r="W91" s="13">
        <f>(1-W86)*(W52+W53)/MAX(Time!W31,1)*Inputs!$F$170</f>
        <v/>
      </c>
      <c r="X91" s="13">
        <f>(1-X86)*(X52+X53)/MAX(Time!X31,1)*Inputs!$F$170</f>
        <v/>
      </c>
      <c r="Y91" s="13">
        <f>(1-Y86)*(Y52+Y53)/MAX(Time!Y31,1)*Inputs!$F$170</f>
        <v/>
      </c>
      <c r="Z91" s="13">
        <f>(1-Z86)*(Z52+Z53)/MAX(Time!Z31,1)*Inputs!$F$170</f>
        <v/>
      </c>
      <c r="AA91" s="13">
        <f>(1-AA86)*(AA52+AA53)/MAX(Time!AA31,1)*Inputs!$F$170</f>
        <v/>
      </c>
      <c r="AB91" s="13">
        <f>(1-AB86)*(AB52+AB53)/MAX(Time!AB31,1)*Inputs!$F$170</f>
        <v/>
      </c>
      <c r="AC91" s="13">
        <f>(1-AC86)*(AC52+AC53)/MAX(Time!AC31,1)*Inputs!$F$170</f>
        <v/>
      </c>
      <c r="AD91" s="13">
        <f>(1-AD86)*(AD52+AD53)/MAX(Time!AD31,1)*Inputs!$F$170</f>
        <v/>
      </c>
      <c r="AE91" s="13">
        <f>(1-AE86)*(AE52+AE53)/MAX(Time!AE31,1)*Inputs!$F$170</f>
        <v/>
      </c>
      <c r="AF91" s="13">
        <f>(1-AF86)*(AF52+AF53)/MAX(Time!AF31,1)*Inputs!$F$170</f>
        <v/>
      </c>
      <c r="AG91" s="13">
        <f>(1-AG86)*(AG52+AG53)/MAX(Time!AG31,1)*Inputs!$F$170</f>
        <v/>
      </c>
      <c r="AH91" s="13">
        <f>(1-AH86)*(AH52+AH53)/MAX(Time!AH31,1)*Inputs!$F$170</f>
        <v/>
      </c>
      <c r="AI91" s="13">
        <f>(1-AI86)*(AI52+AI53)/MAX(Time!AI31,1)*Inputs!$F$170</f>
        <v/>
      </c>
      <c r="AJ91" s="13">
        <f>(1-AJ86)*(AJ52+AJ53)/MAX(Time!AJ31,1)*Inputs!$F$170</f>
        <v/>
      </c>
      <c r="AK91" s="13">
        <f>(1-AK86)*(AK52+AK53)/MAX(Time!AK31,1)*Inputs!$F$170</f>
        <v/>
      </c>
      <c r="AL91" s="13">
        <f>(1-AL86)*(AL52+AL53)/MAX(Time!AL31,1)*Inputs!$F$170</f>
        <v/>
      </c>
      <c r="AM91" s="13">
        <f>(1-AM86)*(AM52+AM53)/MAX(Time!AM31,1)*Inputs!$F$170</f>
        <v/>
      </c>
      <c r="AN91" s="13">
        <f>(1-AN86)*(AN52+AN53)/MAX(Time!AN31,1)*Inputs!$F$170</f>
        <v/>
      </c>
      <c r="AO91" s="13">
        <f>(1-AO86)*(AO52+AO53)/MAX(Time!AO31,1)*Inputs!$F$170</f>
        <v/>
      </c>
      <c r="AP91" s="13">
        <f>(1-AP86)*(AP52+AP53)/MAX(Time!AP31,1)*Inputs!$F$170</f>
        <v/>
      </c>
      <c r="AQ91" s="13">
        <f>(1-AQ86)*(AQ52+AQ53)/MAX(Time!AQ31,1)*Inputs!$F$170</f>
        <v/>
      </c>
      <c r="AR91" s="13">
        <f>(1-AR86)*(AR52+AR53)/MAX(Time!AR31,1)*Inputs!$F$170</f>
        <v/>
      </c>
      <c r="AS91" s="13">
        <f>(1-AS86)*(AS52+AS53)/MAX(Time!AS31,1)*Inputs!$F$170</f>
        <v/>
      </c>
      <c r="AT91" s="13">
        <f>(1-AT86)*(AT52+AT53)/MAX(Time!AT31,1)*Inputs!$F$170</f>
        <v/>
      </c>
      <c r="AU91" s="13">
        <f>(1-AU86)*(AU52+AU53)/MAX(Time!AU31,1)*Inputs!$F$170</f>
        <v/>
      </c>
      <c r="AV91" s="13">
        <f>(1-AV86)*(AV52+AV53)/MAX(Time!AV31,1)*Inputs!$F$170</f>
        <v/>
      </c>
      <c r="AW91" s="13">
        <f>(1-AW86)*(AW52+AW53)/MAX(Time!AW31,1)*Inputs!$F$170</f>
        <v/>
      </c>
      <c r="AX91" s="13">
        <f>(1-AX86)*(AX52+AX53)/MAX(Time!AX31,1)*Inputs!$F$170</f>
        <v/>
      </c>
      <c r="AY91" s="13">
        <f>(1-AY86)*(AY52+AY53)/MAX(Time!AY31,1)*Inputs!$F$170</f>
        <v/>
      </c>
      <c r="AZ91" s="13">
        <f>(1-AZ86)*(AZ52+AZ53)/MAX(Time!AZ31,1)*Inputs!$F$170</f>
        <v/>
      </c>
      <c r="BA91" s="13">
        <f>(1-BA86)*(BA52+BA53)/MAX(Time!BA31,1)*Inputs!$F$170</f>
        <v/>
      </c>
      <c r="BB91" s="13">
        <f>(1-BB86)*(BB52+BB53)/MAX(Time!BB31,1)*Inputs!$F$170</f>
        <v/>
      </c>
      <c r="BC91" s="13">
        <f>(1-BC86)*(BC52+BC53)/MAX(Time!BC31,1)*Inputs!$F$170</f>
        <v/>
      </c>
      <c r="BD91" s="13">
        <f>(1-BD86)*(BD52+BD53)/MAX(Time!BD31,1)*Inputs!$F$170</f>
        <v/>
      </c>
      <c r="BE91" s="13">
        <f>(1-BE86)*(BE52+BE53)/MAX(Time!BE31,1)*Inputs!$F$170</f>
        <v/>
      </c>
      <c r="BF91" s="13">
        <f>(1-BF86)*(BF52+BF53)/MAX(Time!BF31,1)*Inputs!$F$170</f>
        <v/>
      </c>
      <c r="BG91" s="13">
        <f>(1-BG86)*(BG52+BG53)/MAX(Time!BG31,1)*Inputs!$F$170</f>
        <v/>
      </c>
      <c r="BH91" s="13">
        <f>(1-BH86)*(BH52+BH53)/MAX(Time!BH31,1)*Inputs!$F$170</f>
        <v/>
      </c>
      <c r="BI91" s="13">
        <f>(1-BI86)*(BI52+BI53)/MAX(Time!BI31,1)*Inputs!$F$170</f>
        <v/>
      </c>
      <c r="BJ91" s="13">
        <f>(1-BJ86)*(BJ52+BJ53)/MAX(Time!BJ31,1)*Inputs!$F$170</f>
        <v/>
      </c>
      <c r="BK91" s="13">
        <f>(1-BK86)*(BK52+BK53)/MAX(Time!BK31,1)*Inputs!$F$170</f>
        <v/>
      </c>
      <c r="BL91" s="13">
        <f>(1-BL86)*(BL52+BL53)/MAX(Time!BL31,1)*Inputs!$F$170</f>
        <v/>
      </c>
      <c r="BM91" s="13">
        <f>(1-BM86)*(BM52+BM53)/MAX(Time!BM31,1)*Inputs!$F$170</f>
        <v/>
      </c>
      <c r="BN91" s="13">
        <f>(1-BN86)*(BN52+BN53)/MAX(Time!BN31,1)*Inputs!$F$170</f>
        <v/>
      </c>
    </row>
    <row r="92">
      <c r="D92" t="inlineStr">
        <is>
          <t>O&amp;M and LTSA payables</t>
        </is>
      </c>
      <c r="E92" t="inlineStr">
        <is>
          <t>USD m</t>
        </is>
      </c>
      <c r="J92" s="13">
        <f>(1-J86)*(J60+J61+J62+J64)/MAX(Time!J31,1)*Inputs!$F$171</f>
        <v/>
      </c>
      <c r="K92" s="13">
        <f>(1-K86)*(K60+K61+K62+K64)/MAX(Time!K31,1)*Inputs!$F$171</f>
        <v/>
      </c>
      <c r="L92" s="13">
        <f>(1-L86)*(L60+L61+L62+L64)/MAX(Time!L31,1)*Inputs!$F$171</f>
        <v/>
      </c>
      <c r="M92" s="13">
        <f>(1-M86)*(M60+M61+M62+M64)/MAX(Time!M31,1)*Inputs!$F$171</f>
        <v/>
      </c>
      <c r="N92" s="13">
        <f>(1-N86)*(N60+N61+N62+N64)/MAX(Time!N31,1)*Inputs!$F$171</f>
        <v/>
      </c>
      <c r="O92" s="13">
        <f>(1-O86)*(O60+O61+O62+O64)/MAX(Time!O31,1)*Inputs!$F$171</f>
        <v/>
      </c>
      <c r="P92" s="13">
        <f>(1-P86)*(P60+P61+P62+P64)/MAX(Time!P31,1)*Inputs!$F$171</f>
        <v/>
      </c>
      <c r="Q92" s="13">
        <f>(1-Q86)*(Q60+Q61+Q62+Q64)/MAX(Time!Q31,1)*Inputs!$F$171</f>
        <v/>
      </c>
      <c r="R92" s="13">
        <f>(1-R86)*(R60+R61+R62+R64)/MAX(Time!R31,1)*Inputs!$F$171</f>
        <v/>
      </c>
      <c r="S92" s="13">
        <f>(1-S86)*(S60+S61+S62+S64)/MAX(Time!S31,1)*Inputs!$F$171</f>
        <v/>
      </c>
      <c r="T92" s="13">
        <f>(1-T86)*(T60+T61+T62+T64)/MAX(Time!T31,1)*Inputs!$F$171</f>
        <v/>
      </c>
      <c r="U92" s="13">
        <f>(1-U86)*(U60+U61+U62+U64)/MAX(Time!U31,1)*Inputs!$F$171</f>
        <v/>
      </c>
      <c r="V92" s="13">
        <f>(1-V86)*(V60+V61+V62+V64)/MAX(Time!V31,1)*Inputs!$F$171</f>
        <v/>
      </c>
      <c r="W92" s="13">
        <f>(1-W86)*(W60+W61+W62+W64)/MAX(Time!W31,1)*Inputs!$F$171</f>
        <v/>
      </c>
      <c r="X92" s="13">
        <f>(1-X86)*(X60+X61+X62+X64)/MAX(Time!X31,1)*Inputs!$F$171</f>
        <v/>
      </c>
      <c r="Y92" s="13">
        <f>(1-Y86)*(Y60+Y61+Y62+Y64)/MAX(Time!Y31,1)*Inputs!$F$171</f>
        <v/>
      </c>
      <c r="Z92" s="13">
        <f>(1-Z86)*(Z60+Z61+Z62+Z64)/MAX(Time!Z31,1)*Inputs!$F$171</f>
        <v/>
      </c>
      <c r="AA92" s="13">
        <f>(1-AA86)*(AA60+AA61+AA62+AA64)/MAX(Time!AA31,1)*Inputs!$F$171</f>
        <v/>
      </c>
      <c r="AB92" s="13">
        <f>(1-AB86)*(AB60+AB61+AB62+AB64)/MAX(Time!AB31,1)*Inputs!$F$171</f>
        <v/>
      </c>
      <c r="AC92" s="13">
        <f>(1-AC86)*(AC60+AC61+AC62+AC64)/MAX(Time!AC31,1)*Inputs!$F$171</f>
        <v/>
      </c>
      <c r="AD92" s="13">
        <f>(1-AD86)*(AD60+AD61+AD62+AD64)/MAX(Time!AD31,1)*Inputs!$F$171</f>
        <v/>
      </c>
      <c r="AE92" s="13">
        <f>(1-AE86)*(AE60+AE61+AE62+AE64)/MAX(Time!AE31,1)*Inputs!$F$171</f>
        <v/>
      </c>
      <c r="AF92" s="13">
        <f>(1-AF86)*(AF60+AF61+AF62+AF64)/MAX(Time!AF31,1)*Inputs!$F$171</f>
        <v/>
      </c>
      <c r="AG92" s="13">
        <f>(1-AG86)*(AG60+AG61+AG62+AG64)/MAX(Time!AG31,1)*Inputs!$F$171</f>
        <v/>
      </c>
      <c r="AH92" s="13">
        <f>(1-AH86)*(AH60+AH61+AH62+AH64)/MAX(Time!AH31,1)*Inputs!$F$171</f>
        <v/>
      </c>
      <c r="AI92" s="13">
        <f>(1-AI86)*(AI60+AI61+AI62+AI64)/MAX(Time!AI31,1)*Inputs!$F$171</f>
        <v/>
      </c>
      <c r="AJ92" s="13">
        <f>(1-AJ86)*(AJ60+AJ61+AJ62+AJ64)/MAX(Time!AJ31,1)*Inputs!$F$171</f>
        <v/>
      </c>
      <c r="AK92" s="13">
        <f>(1-AK86)*(AK60+AK61+AK62+AK64)/MAX(Time!AK31,1)*Inputs!$F$171</f>
        <v/>
      </c>
      <c r="AL92" s="13">
        <f>(1-AL86)*(AL60+AL61+AL62+AL64)/MAX(Time!AL31,1)*Inputs!$F$171</f>
        <v/>
      </c>
      <c r="AM92" s="13">
        <f>(1-AM86)*(AM60+AM61+AM62+AM64)/MAX(Time!AM31,1)*Inputs!$F$171</f>
        <v/>
      </c>
      <c r="AN92" s="13">
        <f>(1-AN86)*(AN60+AN61+AN62+AN64)/MAX(Time!AN31,1)*Inputs!$F$171</f>
        <v/>
      </c>
      <c r="AO92" s="13">
        <f>(1-AO86)*(AO60+AO61+AO62+AO64)/MAX(Time!AO31,1)*Inputs!$F$171</f>
        <v/>
      </c>
      <c r="AP92" s="13">
        <f>(1-AP86)*(AP60+AP61+AP62+AP64)/MAX(Time!AP31,1)*Inputs!$F$171</f>
        <v/>
      </c>
      <c r="AQ92" s="13">
        <f>(1-AQ86)*(AQ60+AQ61+AQ62+AQ64)/MAX(Time!AQ31,1)*Inputs!$F$171</f>
        <v/>
      </c>
      <c r="AR92" s="13">
        <f>(1-AR86)*(AR60+AR61+AR62+AR64)/MAX(Time!AR31,1)*Inputs!$F$171</f>
        <v/>
      </c>
      <c r="AS92" s="13">
        <f>(1-AS86)*(AS60+AS61+AS62+AS64)/MAX(Time!AS31,1)*Inputs!$F$171</f>
        <v/>
      </c>
      <c r="AT92" s="13">
        <f>(1-AT86)*(AT60+AT61+AT62+AT64)/MAX(Time!AT31,1)*Inputs!$F$171</f>
        <v/>
      </c>
      <c r="AU92" s="13">
        <f>(1-AU86)*(AU60+AU61+AU62+AU64)/MAX(Time!AU31,1)*Inputs!$F$171</f>
        <v/>
      </c>
      <c r="AV92" s="13">
        <f>(1-AV86)*(AV60+AV61+AV62+AV64)/MAX(Time!AV31,1)*Inputs!$F$171</f>
        <v/>
      </c>
      <c r="AW92" s="13">
        <f>(1-AW86)*(AW60+AW61+AW62+AW64)/MAX(Time!AW31,1)*Inputs!$F$171</f>
        <v/>
      </c>
      <c r="AX92" s="13">
        <f>(1-AX86)*(AX60+AX61+AX62+AX64)/MAX(Time!AX31,1)*Inputs!$F$171</f>
        <v/>
      </c>
      <c r="AY92" s="13">
        <f>(1-AY86)*(AY60+AY61+AY62+AY64)/MAX(Time!AY31,1)*Inputs!$F$171</f>
        <v/>
      </c>
      <c r="AZ92" s="13">
        <f>(1-AZ86)*(AZ60+AZ61+AZ62+AZ64)/MAX(Time!AZ31,1)*Inputs!$F$171</f>
        <v/>
      </c>
      <c r="BA92" s="13">
        <f>(1-BA86)*(BA60+BA61+BA62+BA64)/MAX(Time!BA31,1)*Inputs!$F$171</f>
        <v/>
      </c>
      <c r="BB92" s="13">
        <f>(1-BB86)*(BB60+BB61+BB62+BB64)/MAX(Time!BB31,1)*Inputs!$F$171</f>
        <v/>
      </c>
      <c r="BC92" s="13">
        <f>(1-BC86)*(BC60+BC61+BC62+BC64)/MAX(Time!BC31,1)*Inputs!$F$171</f>
        <v/>
      </c>
      <c r="BD92" s="13">
        <f>(1-BD86)*(BD60+BD61+BD62+BD64)/MAX(Time!BD31,1)*Inputs!$F$171</f>
        <v/>
      </c>
      <c r="BE92" s="13">
        <f>(1-BE86)*(BE60+BE61+BE62+BE64)/MAX(Time!BE31,1)*Inputs!$F$171</f>
        <v/>
      </c>
      <c r="BF92" s="13">
        <f>(1-BF86)*(BF60+BF61+BF62+BF64)/MAX(Time!BF31,1)*Inputs!$F$171</f>
        <v/>
      </c>
      <c r="BG92" s="13">
        <f>(1-BG86)*(BG60+BG61+BG62+BG64)/MAX(Time!BG31,1)*Inputs!$F$171</f>
        <v/>
      </c>
      <c r="BH92" s="13">
        <f>(1-BH86)*(BH60+BH61+BH62+BH64)/MAX(Time!BH31,1)*Inputs!$F$171</f>
        <v/>
      </c>
      <c r="BI92" s="13">
        <f>(1-BI86)*(BI60+BI61+BI62+BI64)/MAX(Time!BI31,1)*Inputs!$F$171</f>
        <v/>
      </c>
      <c r="BJ92" s="13">
        <f>(1-BJ86)*(BJ60+BJ61+BJ62+BJ64)/MAX(Time!BJ31,1)*Inputs!$F$171</f>
        <v/>
      </c>
      <c r="BK92" s="13">
        <f>(1-BK86)*(BK60+BK61+BK62+BK64)/MAX(Time!BK31,1)*Inputs!$F$171</f>
        <v/>
      </c>
      <c r="BL92" s="13">
        <f>(1-BL86)*(BL60+BL61+BL62+BL64)/MAX(Time!BL31,1)*Inputs!$F$171</f>
        <v/>
      </c>
      <c r="BM92" s="13">
        <f>(1-BM86)*(BM60+BM61+BM62+BM64)/MAX(Time!BM31,1)*Inputs!$F$171</f>
        <v/>
      </c>
      <c r="BN92" s="13">
        <f>(1-BN86)*(BN60+BN61+BN62+BN64)/MAX(Time!BN31,1)*Inputs!$F$171</f>
        <v/>
      </c>
    </row>
    <row r="93">
      <c r="D93" t="inlineStr">
        <is>
          <t>Other payables</t>
        </is>
      </c>
      <c r="E93" t="inlineStr">
        <is>
          <t>USD m</t>
        </is>
      </c>
      <c r="J93" s="13">
        <f>(1-J86)*(J65+J66+J67+J68+J69+J70+J71)/MAX(Time!J31,1)*Inputs!$F$172</f>
        <v/>
      </c>
      <c r="K93" s="13">
        <f>(1-K86)*(K65+K66+K67+K68+K69+K70+K71)/MAX(Time!K31,1)*Inputs!$F$172</f>
        <v/>
      </c>
      <c r="L93" s="13">
        <f>(1-L86)*(L65+L66+L67+L68+L69+L70+L71)/MAX(Time!L31,1)*Inputs!$F$172</f>
        <v/>
      </c>
      <c r="M93" s="13">
        <f>(1-M86)*(M65+M66+M67+M68+M69+M70+M71)/MAX(Time!M31,1)*Inputs!$F$172</f>
        <v/>
      </c>
      <c r="N93" s="13">
        <f>(1-N86)*(N65+N66+N67+N68+N69+N70+N71)/MAX(Time!N31,1)*Inputs!$F$172</f>
        <v/>
      </c>
      <c r="O93" s="13">
        <f>(1-O86)*(O65+O66+O67+O68+O69+O70+O71)/MAX(Time!O31,1)*Inputs!$F$172</f>
        <v/>
      </c>
      <c r="P93" s="13">
        <f>(1-P86)*(P65+P66+P67+P68+P69+P70+P71)/MAX(Time!P31,1)*Inputs!$F$172</f>
        <v/>
      </c>
      <c r="Q93" s="13">
        <f>(1-Q86)*(Q65+Q66+Q67+Q68+Q69+Q70+Q71)/MAX(Time!Q31,1)*Inputs!$F$172</f>
        <v/>
      </c>
      <c r="R93" s="13">
        <f>(1-R86)*(R65+R66+R67+R68+R69+R70+R71)/MAX(Time!R31,1)*Inputs!$F$172</f>
        <v/>
      </c>
      <c r="S93" s="13">
        <f>(1-S86)*(S65+S66+S67+S68+S69+S70+S71)/MAX(Time!S31,1)*Inputs!$F$172</f>
        <v/>
      </c>
      <c r="T93" s="13">
        <f>(1-T86)*(T65+T66+T67+T68+T69+T70+T71)/MAX(Time!T31,1)*Inputs!$F$172</f>
        <v/>
      </c>
      <c r="U93" s="13">
        <f>(1-U86)*(U65+U66+U67+U68+U69+U70+U71)/MAX(Time!U31,1)*Inputs!$F$172</f>
        <v/>
      </c>
      <c r="V93" s="13">
        <f>(1-V86)*(V65+V66+V67+V68+V69+V70+V71)/MAX(Time!V31,1)*Inputs!$F$172</f>
        <v/>
      </c>
      <c r="W93" s="13">
        <f>(1-W86)*(W65+W66+W67+W68+W69+W70+W71)/MAX(Time!W31,1)*Inputs!$F$172</f>
        <v/>
      </c>
      <c r="X93" s="13">
        <f>(1-X86)*(X65+X66+X67+X68+X69+X70+X71)/MAX(Time!X31,1)*Inputs!$F$172</f>
        <v/>
      </c>
      <c r="Y93" s="13">
        <f>(1-Y86)*(Y65+Y66+Y67+Y68+Y69+Y70+Y71)/MAX(Time!Y31,1)*Inputs!$F$172</f>
        <v/>
      </c>
      <c r="Z93" s="13">
        <f>(1-Z86)*(Z65+Z66+Z67+Z68+Z69+Z70+Z71)/MAX(Time!Z31,1)*Inputs!$F$172</f>
        <v/>
      </c>
      <c r="AA93" s="13">
        <f>(1-AA86)*(AA65+AA66+AA67+AA68+AA69+AA70+AA71)/MAX(Time!AA31,1)*Inputs!$F$172</f>
        <v/>
      </c>
      <c r="AB93" s="13">
        <f>(1-AB86)*(AB65+AB66+AB67+AB68+AB69+AB70+AB71)/MAX(Time!AB31,1)*Inputs!$F$172</f>
        <v/>
      </c>
      <c r="AC93" s="13">
        <f>(1-AC86)*(AC65+AC66+AC67+AC68+AC69+AC70+AC71)/MAX(Time!AC31,1)*Inputs!$F$172</f>
        <v/>
      </c>
      <c r="AD93" s="13">
        <f>(1-AD86)*(AD65+AD66+AD67+AD68+AD69+AD70+AD71)/MAX(Time!AD31,1)*Inputs!$F$172</f>
        <v/>
      </c>
      <c r="AE93" s="13">
        <f>(1-AE86)*(AE65+AE66+AE67+AE68+AE69+AE70+AE71)/MAX(Time!AE31,1)*Inputs!$F$172</f>
        <v/>
      </c>
      <c r="AF93" s="13">
        <f>(1-AF86)*(AF65+AF66+AF67+AF68+AF69+AF70+AF71)/MAX(Time!AF31,1)*Inputs!$F$172</f>
        <v/>
      </c>
      <c r="AG93" s="13">
        <f>(1-AG86)*(AG65+AG66+AG67+AG68+AG69+AG70+AG71)/MAX(Time!AG31,1)*Inputs!$F$172</f>
        <v/>
      </c>
      <c r="AH93" s="13">
        <f>(1-AH86)*(AH65+AH66+AH67+AH68+AH69+AH70+AH71)/MAX(Time!AH31,1)*Inputs!$F$172</f>
        <v/>
      </c>
      <c r="AI93" s="13">
        <f>(1-AI86)*(AI65+AI66+AI67+AI68+AI69+AI70+AI71)/MAX(Time!AI31,1)*Inputs!$F$172</f>
        <v/>
      </c>
      <c r="AJ93" s="13">
        <f>(1-AJ86)*(AJ65+AJ66+AJ67+AJ68+AJ69+AJ70+AJ71)/MAX(Time!AJ31,1)*Inputs!$F$172</f>
        <v/>
      </c>
      <c r="AK93" s="13">
        <f>(1-AK86)*(AK65+AK66+AK67+AK68+AK69+AK70+AK71)/MAX(Time!AK31,1)*Inputs!$F$172</f>
        <v/>
      </c>
      <c r="AL93" s="13">
        <f>(1-AL86)*(AL65+AL66+AL67+AL68+AL69+AL70+AL71)/MAX(Time!AL31,1)*Inputs!$F$172</f>
        <v/>
      </c>
      <c r="AM93" s="13">
        <f>(1-AM86)*(AM65+AM66+AM67+AM68+AM69+AM70+AM71)/MAX(Time!AM31,1)*Inputs!$F$172</f>
        <v/>
      </c>
      <c r="AN93" s="13">
        <f>(1-AN86)*(AN65+AN66+AN67+AN68+AN69+AN70+AN71)/MAX(Time!AN31,1)*Inputs!$F$172</f>
        <v/>
      </c>
      <c r="AO93" s="13">
        <f>(1-AO86)*(AO65+AO66+AO67+AO68+AO69+AO70+AO71)/MAX(Time!AO31,1)*Inputs!$F$172</f>
        <v/>
      </c>
      <c r="AP93" s="13">
        <f>(1-AP86)*(AP65+AP66+AP67+AP68+AP69+AP70+AP71)/MAX(Time!AP31,1)*Inputs!$F$172</f>
        <v/>
      </c>
      <c r="AQ93" s="13">
        <f>(1-AQ86)*(AQ65+AQ66+AQ67+AQ68+AQ69+AQ70+AQ71)/MAX(Time!AQ31,1)*Inputs!$F$172</f>
        <v/>
      </c>
      <c r="AR93" s="13">
        <f>(1-AR86)*(AR65+AR66+AR67+AR68+AR69+AR70+AR71)/MAX(Time!AR31,1)*Inputs!$F$172</f>
        <v/>
      </c>
      <c r="AS93" s="13">
        <f>(1-AS86)*(AS65+AS66+AS67+AS68+AS69+AS70+AS71)/MAX(Time!AS31,1)*Inputs!$F$172</f>
        <v/>
      </c>
      <c r="AT93" s="13">
        <f>(1-AT86)*(AT65+AT66+AT67+AT68+AT69+AT70+AT71)/MAX(Time!AT31,1)*Inputs!$F$172</f>
        <v/>
      </c>
      <c r="AU93" s="13">
        <f>(1-AU86)*(AU65+AU66+AU67+AU68+AU69+AU70+AU71)/MAX(Time!AU31,1)*Inputs!$F$172</f>
        <v/>
      </c>
      <c r="AV93" s="13">
        <f>(1-AV86)*(AV65+AV66+AV67+AV68+AV69+AV70+AV71)/MAX(Time!AV31,1)*Inputs!$F$172</f>
        <v/>
      </c>
      <c r="AW93" s="13">
        <f>(1-AW86)*(AW65+AW66+AW67+AW68+AW69+AW70+AW71)/MAX(Time!AW31,1)*Inputs!$F$172</f>
        <v/>
      </c>
      <c r="AX93" s="13">
        <f>(1-AX86)*(AX65+AX66+AX67+AX68+AX69+AX70+AX71)/MAX(Time!AX31,1)*Inputs!$F$172</f>
        <v/>
      </c>
      <c r="AY93" s="13">
        <f>(1-AY86)*(AY65+AY66+AY67+AY68+AY69+AY70+AY71)/MAX(Time!AY31,1)*Inputs!$F$172</f>
        <v/>
      </c>
      <c r="AZ93" s="13">
        <f>(1-AZ86)*(AZ65+AZ66+AZ67+AZ68+AZ69+AZ70+AZ71)/MAX(Time!AZ31,1)*Inputs!$F$172</f>
        <v/>
      </c>
      <c r="BA93" s="13">
        <f>(1-BA86)*(BA65+BA66+BA67+BA68+BA69+BA70+BA71)/MAX(Time!BA31,1)*Inputs!$F$172</f>
        <v/>
      </c>
      <c r="BB93" s="13">
        <f>(1-BB86)*(BB65+BB66+BB67+BB68+BB69+BB70+BB71)/MAX(Time!BB31,1)*Inputs!$F$172</f>
        <v/>
      </c>
      <c r="BC93" s="13">
        <f>(1-BC86)*(BC65+BC66+BC67+BC68+BC69+BC70+BC71)/MAX(Time!BC31,1)*Inputs!$F$172</f>
        <v/>
      </c>
      <c r="BD93" s="13">
        <f>(1-BD86)*(BD65+BD66+BD67+BD68+BD69+BD70+BD71)/MAX(Time!BD31,1)*Inputs!$F$172</f>
        <v/>
      </c>
      <c r="BE93" s="13">
        <f>(1-BE86)*(BE65+BE66+BE67+BE68+BE69+BE70+BE71)/MAX(Time!BE31,1)*Inputs!$F$172</f>
        <v/>
      </c>
      <c r="BF93" s="13">
        <f>(1-BF86)*(BF65+BF66+BF67+BF68+BF69+BF70+BF71)/MAX(Time!BF31,1)*Inputs!$F$172</f>
        <v/>
      </c>
      <c r="BG93" s="13">
        <f>(1-BG86)*(BG65+BG66+BG67+BG68+BG69+BG70+BG71)/MAX(Time!BG31,1)*Inputs!$F$172</f>
        <v/>
      </c>
      <c r="BH93" s="13">
        <f>(1-BH86)*(BH65+BH66+BH67+BH68+BH69+BH70+BH71)/MAX(Time!BH31,1)*Inputs!$F$172</f>
        <v/>
      </c>
      <c r="BI93" s="13">
        <f>(1-BI86)*(BI65+BI66+BI67+BI68+BI69+BI70+BI71)/MAX(Time!BI31,1)*Inputs!$F$172</f>
        <v/>
      </c>
      <c r="BJ93" s="13">
        <f>(1-BJ86)*(BJ65+BJ66+BJ67+BJ68+BJ69+BJ70+BJ71)/MAX(Time!BJ31,1)*Inputs!$F$172</f>
        <v/>
      </c>
      <c r="BK93" s="13">
        <f>(1-BK86)*(BK65+BK66+BK67+BK68+BK69+BK70+BK71)/MAX(Time!BK31,1)*Inputs!$F$172</f>
        <v/>
      </c>
      <c r="BL93" s="13">
        <f>(1-BL86)*(BL65+BL66+BL67+BL68+BL69+BL70+BL71)/MAX(Time!BL31,1)*Inputs!$F$172</f>
        <v/>
      </c>
      <c r="BM93" s="13">
        <f>(1-BM86)*(BM65+BM66+BM67+BM68+BM69+BM70+BM71)/MAX(Time!BM31,1)*Inputs!$F$172</f>
        <v/>
      </c>
      <c r="BN93" s="13">
        <f>(1-BN86)*(BN65+BN66+BN67+BN68+BN69+BN70+BN71)/MAX(Time!BN31,1)*Inputs!$F$172</f>
        <v/>
      </c>
    </row>
    <row r="94">
      <c r="D94" t="inlineStr">
        <is>
          <t>Deferred SNHK/GCK payables matching SEKA energy-charge arrears</t>
        </is>
      </c>
      <c r="E94" t="inlineStr">
        <is>
          <t>USD m</t>
        </is>
      </c>
      <c r="J94" s="13">
        <f>Inputs!$F$262*J89</f>
        <v/>
      </c>
      <c r="K94" s="13">
        <f>Inputs!$F$262*K89</f>
        <v/>
      </c>
      <c r="L94" s="13">
        <f>Inputs!$F$262*L89</f>
        <v/>
      </c>
      <c r="M94" s="13">
        <f>Inputs!$F$262*M89</f>
        <v/>
      </c>
      <c r="N94" s="13">
        <f>Inputs!$F$262*N89</f>
        <v/>
      </c>
      <c r="O94" s="13">
        <f>Inputs!$F$262*O89</f>
        <v/>
      </c>
      <c r="P94" s="13">
        <f>Inputs!$F$262*P89</f>
        <v/>
      </c>
      <c r="Q94" s="13">
        <f>Inputs!$F$262*Q89</f>
        <v/>
      </c>
      <c r="R94" s="13">
        <f>Inputs!$F$262*R89</f>
        <v/>
      </c>
      <c r="S94" s="13">
        <f>Inputs!$F$262*S89</f>
        <v/>
      </c>
      <c r="T94" s="13">
        <f>Inputs!$F$262*T89</f>
        <v/>
      </c>
      <c r="U94" s="13">
        <f>Inputs!$F$262*U89</f>
        <v/>
      </c>
      <c r="V94" s="13">
        <f>Inputs!$F$262*V89</f>
        <v/>
      </c>
      <c r="W94" s="13">
        <f>Inputs!$F$262*W89</f>
        <v/>
      </c>
      <c r="X94" s="13">
        <f>Inputs!$F$262*X89</f>
        <v/>
      </c>
      <c r="Y94" s="13">
        <f>Inputs!$F$262*Y89</f>
        <v/>
      </c>
      <c r="Z94" s="13">
        <f>Inputs!$F$262*Z89</f>
        <v/>
      </c>
      <c r="AA94" s="13">
        <f>Inputs!$F$262*AA89</f>
        <v/>
      </c>
      <c r="AB94" s="13">
        <f>Inputs!$F$262*AB89</f>
        <v/>
      </c>
      <c r="AC94" s="13">
        <f>Inputs!$F$262*AC89</f>
        <v/>
      </c>
      <c r="AD94" s="13">
        <f>Inputs!$F$262*AD89</f>
        <v/>
      </c>
      <c r="AE94" s="13">
        <f>Inputs!$F$262*AE89</f>
        <v/>
      </c>
      <c r="AF94" s="13">
        <f>Inputs!$F$262*AF89</f>
        <v/>
      </c>
      <c r="AG94" s="13">
        <f>Inputs!$F$262*AG89</f>
        <v/>
      </c>
      <c r="AH94" s="13">
        <f>Inputs!$F$262*AH89</f>
        <v/>
      </c>
      <c r="AI94" s="13">
        <f>Inputs!$F$262*AI89</f>
        <v/>
      </c>
      <c r="AJ94" s="13">
        <f>Inputs!$F$262*AJ89</f>
        <v/>
      </c>
      <c r="AK94" s="13">
        <f>Inputs!$F$262*AK89</f>
        <v/>
      </c>
      <c r="AL94" s="13">
        <f>Inputs!$F$262*AL89</f>
        <v/>
      </c>
      <c r="AM94" s="13">
        <f>Inputs!$F$262*AM89</f>
        <v/>
      </c>
      <c r="AN94" s="13">
        <f>Inputs!$F$262*AN89</f>
        <v/>
      </c>
      <c r="AO94" s="13">
        <f>Inputs!$F$262*AO89</f>
        <v/>
      </c>
      <c r="AP94" s="13">
        <f>Inputs!$F$262*AP89</f>
        <v/>
      </c>
      <c r="AQ94" s="13">
        <f>Inputs!$F$262*AQ89</f>
        <v/>
      </c>
      <c r="AR94" s="13">
        <f>Inputs!$F$262*AR89</f>
        <v/>
      </c>
      <c r="AS94" s="13">
        <f>Inputs!$F$262*AS89</f>
        <v/>
      </c>
      <c r="AT94" s="13">
        <f>Inputs!$F$262*AT89</f>
        <v/>
      </c>
      <c r="AU94" s="13">
        <f>Inputs!$F$262*AU89</f>
        <v/>
      </c>
      <c r="AV94" s="13">
        <f>Inputs!$F$262*AV89</f>
        <v/>
      </c>
      <c r="AW94" s="13">
        <f>Inputs!$F$262*AW89</f>
        <v/>
      </c>
      <c r="AX94" s="13">
        <f>Inputs!$F$262*AX89</f>
        <v/>
      </c>
      <c r="AY94" s="13">
        <f>Inputs!$F$262*AY89</f>
        <v/>
      </c>
      <c r="AZ94" s="13">
        <f>Inputs!$F$262*AZ89</f>
        <v/>
      </c>
      <c r="BA94" s="13">
        <f>Inputs!$F$262*BA89</f>
        <v/>
      </c>
      <c r="BB94" s="13">
        <f>Inputs!$F$262*BB89</f>
        <v/>
      </c>
      <c r="BC94" s="13">
        <f>Inputs!$F$262*BC89</f>
        <v/>
      </c>
      <c r="BD94" s="13">
        <f>Inputs!$F$262*BD89</f>
        <v/>
      </c>
      <c r="BE94" s="13">
        <f>Inputs!$F$262*BE89</f>
        <v/>
      </c>
      <c r="BF94" s="13">
        <f>Inputs!$F$262*BF89</f>
        <v/>
      </c>
      <c r="BG94" s="13">
        <f>Inputs!$F$262*BG89</f>
        <v/>
      </c>
      <c r="BH94" s="13">
        <f>Inputs!$F$262*BH89</f>
        <v/>
      </c>
      <c r="BI94" s="13">
        <f>Inputs!$F$262*BI89</f>
        <v/>
      </c>
      <c r="BJ94" s="13">
        <f>Inputs!$F$262*BJ89</f>
        <v/>
      </c>
      <c r="BK94" s="13">
        <f>Inputs!$F$262*BK89</f>
        <v/>
      </c>
      <c r="BL94" s="13">
        <f>Inputs!$F$262*BL89</f>
        <v/>
      </c>
      <c r="BM94" s="13">
        <f>Inputs!$F$262*BM89</f>
        <v/>
      </c>
      <c r="BN94" s="13">
        <f>Inputs!$F$262*BN89</f>
        <v/>
      </c>
    </row>
    <row r="95">
      <c r="D95" t="inlineStr">
        <is>
          <t>Net working capital (excl. spares inventory)</t>
        </is>
      </c>
      <c r="E95" t="inlineStr">
        <is>
          <t>USD m</t>
        </is>
      </c>
      <c r="J95" s="13">
        <f>J88+J89-J90-J91-J92-J93-J94</f>
        <v/>
      </c>
      <c r="K95" s="13">
        <f>K88+K89-K90-K91-K92-K93-K94</f>
        <v/>
      </c>
      <c r="L95" s="13">
        <f>L88+L89-L90-L91-L92-L93-L94</f>
        <v/>
      </c>
      <c r="M95" s="13">
        <f>M88+M89-M90-M91-M92-M93-M94</f>
        <v/>
      </c>
      <c r="N95" s="13">
        <f>N88+N89-N90-N91-N92-N93-N94</f>
        <v/>
      </c>
      <c r="O95" s="13">
        <f>O88+O89-O90-O91-O92-O93-O94</f>
        <v/>
      </c>
      <c r="P95" s="13">
        <f>P88+P89-P90-P91-P92-P93-P94</f>
        <v/>
      </c>
      <c r="Q95" s="13">
        <f>Q88+Q89-Q90-Q91-Q92-Q93-Q94</f>
        <v/>
      </c>
      <c r="R95" s="13">
        <f>R88+R89-R90-R91-R92-R93-R94</f>
        <v/>
      </c>
      <c r="S95" s="13">
        <f>S88+S89-S90-S91-S92-S93-S94</f>
        <v/>
      </c>
      <c r="T95" s="13">
        <f>T88+T89-T90-T91-T92-T93-T94</f>
        <v/>
      </c>
      <c r="U95" s="13">
        <f>U88+U89-U90-U91-U92-U93-U94</f>
        <v/>
      </c>
      <c r="V95" s="13">
        <f>V88+V89-V90-V91-V92-V93-V94</f>
        <v/>
      </c>
      <c r="W95" s="13">
        <f>W88+W89-W90-W91-W92-W93-W94</f>
        <v/>
      </c>
      <c r="X95" s="13">
        <f>X88+X89-X90-X91-X92-X93-X94</f>
        <v/>
      </c>
      <c r="Y95" s="13">
        <f>Y88+Y89-Y90-Y91-Y92-Y93-Y94</f>
        <v/>
      </c>
      <c r="Z95" s="13">
        <f>Z88+Z89-Z90-Z91-Z92-Z93-Z94</f>
        <v/>
      </c>
      <c r="AA95" s="13">
        <f>AA88+AA89-AA90-AA91-AA92-AA93-AA94</f>
        <v/>
      </c>
      <c r="AB95" s="13">
        <f>AB88+AB89-AB90-AB91-AB92-AB93-AB94</f>
        <v/>
      </c>
      <c r="AC95" s="13">
        <f>AC88+AC89-AC90-AC91-AC92-AC93-AC94</f>
        <v/>
      </c>
      <c r="AD95" s="13">
        <f>AD88+AD89-AD90-AD91-AD92-AD93-AD94</f>
        <v/>
      </c>
      <c r="AE95" s="13">
        <f>AE88+AE89-AE90-AE91-AE92-AE93-AE94</f>
        <v/>
      </c>
      <c r="AF95" s="13">
        <f>AF88+AF89-AF90-AF91-AF92-AF93-AF94</f>
        <v/>
      </c>
      <c r="AG95" s="13">
        <f>AG88+AG89-AG90-AG91-AG92-AG93-AG94</f>
        <v/>
      </c>
      <c r="AH95" s="13">
        <f>AH88+AH89-AH90-AH91-AH92-AH93-AH94</f>
        <v/>
      </c>
      <c r="AI95" s="13">
        <f>AI88+AI89-AI90-AI91-AI92-AI93-AI94</f>
        <v/>
      </c>
      <c r="AJ95" s="13">
        <f>AJ88+AJ89-AJ90-AJ91-AJ92-AJ93-AJ94</f>
        <v/>
      </c>
      <c r="AK95" s="13">
        <f>AK88+AK89-AK90-AK91-AK92-AK93-AK94</f>
        <v/>
      </c>
      <c r="AL95" s="13">
        <f>AL88+AL89-AL90-AL91-AL92-AL93-AL94</f>
        <v/>
      </c>
      <c r="AM95" s="13">
        <f>AM88+AM89-AM90-AM91-AM92-AM93-AM94</f>
        <v/>
      </c>
      <c r="AN95" s="13">
        <f>AN88+AN89-AN90-AN91-AN92-AN93-AN94</f>
        <v/>
      </c>
      <c r="AO95" s="13">
        <f>AO88+AO89-AO90-AO91-AO92-AO93-AO94</f>
        <v/>
      </c>
      <c r="AP95" s="13">
        <f>AP88+AP89-AP90-AP91-AP92-AP93-AP94</f>
        <v/>
      </c>
      <c r="AQ95" s="13">
        <f>AQ88+AQ89-AQ90-AQ91-AQ92-AQ93-AQ94</f>
        <v/>
      </c>
      <c r="AR95" s="13">
        <f>AR88+AR89-AR90-AR91-AR92-AR93-AR94</f>
        <v/>
      </c>
      <c r="AS95" s="13">
        <f>AS88+AS89-AS90-AS91-AS92-AS93-AS94</f>
        <v/>
      </c>
      <c r="AT95" s="13">
        <f>AT88+AT89-AT90-AT91-AT92-AT93-AT94</f>
        <v/>
      </c>
      <c r="AU95" s="13">
        <f>AU88+AU89-AU90-AU91-AU92-AU93-AU94</f>
        <v/>
      </c>
      <c r="AV95" s="13">
        <f>AV88+AV89-AV90-AV91-AV92-AV93-AV94</f>
        <v/>
      </c>
      <c r="AW95" s="13">
        <f>AW88+AW89-AW90-AW91-AW92-AW93-AW94</f>
        <v/>
      </c>
      <c r="AX95" s="13">
        <f>AX88+AX89-AX90-AX91-AX92-AX93-AX94</f>
        <v/>
      </c>
      <c r="AY95" s="13">
        <f>AY88+AY89-AY90-AY91-AY92-AY93-AY94</f>
        <v/>
      </c>
      <c r="AZ95" s="13">
        <f>AZ88+AZ89-AZ90-AZ91-AZ92-AZ93-AZ94</f>
        <v/>
      </c>
      <c r="BA95" s="13">
        <f>BA88+BA89-BA90-BA91-BA92-BA93-BA94</f>
        <v/>
      </c>
      <c r="BB95" s="13">
        <f>BB88+BB89-BB90-BB91-BB92-BB93-BB94</f>
        <v/>
      </c>
      <c r="BC95" s="13">
        <f>BC88+BC89-BC90-BC91-BC92-BC93-BC94</f>
        <v/>
      </c>
      <c r="BD95" s="13">
        <f>BD88+BD89-BD90-BD91-BD92-BD93-BD94</f>
        <v/>
      </c>
      <c r="BE95" s="13">
        <f>BE88+BE89-BE90-BE91-BE92-BE93-BE94</f>
        <v/>
      </c>
      <c r="BF95" s="13">
        <f>BF88+BF89-BF90-BF91-BF92-BF93-BF94</f>
        <v/>
      </c>
      <c r="BG95" s="13">
        <f>BG88+BG89-BG90-BG91-BG92-BG93-BG94</f>
        <v/>
      </c>
      <c r="BH95" s="13">
        <f>BH88+BH89-BH90-BH91-BH92-BH93-BH94</f>
        <v/>
      </c>
      <c r="BI95" s="13">
        <f>BI88+BI89-BI90-BI91-BI92-BI93-BI94</f>
        <v/>
      </c>
      <c r="BJ95" s="13">
        <f>BJ88+BJ89-BJ90-BJ91-BJ92-BJ93-BJ94</f>
        <v/>
      </c>
      <c r="BK95" s="13">
        <f>BK88+BK89-BK90-BK91-BK92-BK93-BK94</f>
        <v/>
      </c>
      <c r="BL95" s="13">
        <f>BL88+BL89-BL90-BL91-BL92-BL93-BL94</f>
        <v/>
      </c>
      <c r="BM95" s="13">
        <f>BM88+BM89-BM90-BM91-BM92-BM93-BM94</f>
        <v/>
      </c>
      <c r="BN95" s="13">
        <f>BN88+BN89-BN90-BN91-BN92-BN93-BN94</f>
        <v/>
      </c>
    </row>
    <row r="96">
      <c r="D96" t="inlineStr">
        <is>
          <t>Increase in net working capital</t>
        </is>
      </c>
      <c r="E96" t="inlineStr">
        <is>
          <t>USD m</t>
        </is>
      </c>
      <c r="G96" s="13">
        <f>SUM(J96:BN96)</f>
        <v/>
      </c>
      <c r="J96" s="13">
        <f>J95-I95</f>
        <v/>
      </c>
      <c r="K96" s="13">
        <f>K95-J95</f>
        <v/>
      </c>
      <c r="L96" s="13">
        <f>L95-K95</f>
        <v/>
      </c>
      <c r="M96" s="13">
        <f>M95-L95</f>
        <v/>
      </c>
      <c r="N96" s="13">
        <f>N95-M95</f>
        <v/>
      </c>
      <c r="O96" s="13">
        <f>O95-N95</f>
        <v/>
      </c>
      <c r="P96" s="13">
        <f>P95-O95</f>
        <v/>
      </c>
      <c r="Q96" s="13">
        <f>Q95-P95</f>
        <v/>
      </c>
      <c r="R96" s="13">
        <f>R95-Q95</f>
        <v/>
      </c>
      <c r="S96" s="13">
        <f>S95-R95</f>
        <v/>
      </c>
      <c r="T96" s="13">
        <f>T95-S95</f>
        <v/>
      </c>
      <c r="U96" s="13">
        <f>U95-T95</f>
        <v/>
      </c>
      <c r="V96" s="13">
        <f>V95-U95</f>
        <v/>
      </c>
      <c r="W96" s="13">
        <f>W95-V95</f>
        <v/>
      </c>
      <c r="X96" s="13">
        <f>X95-W95</f>
        <v/>
      </c>
      <c r="Y96" s="13">
        <f>Y95-X95</f>
        <v/>
      </c>
      <c r="Z96" s="13">
        <f>Z95-Y95</f>
        <v/>
      </c>
      <c r="AA96" s="13">
        <f>AA95-Z95</f>
        <v/>
      </c>
      <c r="AB96" s="13">
        <f>AB95-AA95</f>
        <v/>
      </c>
      <c r="AC96" s="13">
        <f>AC95-AB95</f>
        <v/>
      </c>
      <c r="AD96" s="13">
        <f>AD95-AC95</f>
        <v/>
      </c>
      <c r="AE96" s="13">
        <f>AE95-AD95</f>
        <v/>
      </c>
      <c r="AF96" s="13">
        <f>AF95-AE95</f>
        <v/>
      </c>
      <c r="AG96" s="13">
        <f>AG95-AF95</f>
        <v/>
      </c>
      <c r="AH96" s="13">
        <f>AH95-AG95</f>
        <v/>
      </c>
      <c r="AI96" s="13">
        <f>AI95-AH95</f>
        <v/>
      </c>
      <c r="AJ96" s="13">
        <f>AJ95-AI95</f>
        <v/>
      </c>
      <c r="AK96" s="13">
        <f>AK95-AJ95</f>
        <v/>
      </c>
      <c r="AL96" s="13">
        <f>AL95-AK95</f>
        <v/>
      </c>
      <c r="AM96" s="13">
        <f>AM95-AL95</f>
        <v/>
      </c>
      <c r="AN96" s="13">
        <f>AN95-AM95</f>
        <v/>
      </c>
      <c r="AO96" s="13">
        <f>AO95-AN95</f>
        <v/>
      </c>
      <c r="AP96" s="13">
        <f>AP95-AO95</f>
        <v/>
      </c>
      <c r="AQ96" s="13">
        <f>AQ95-AP95</f>
        <v/>
      </c>
      <c r="AR96" s="13">
        <f>AR95-AQ95</f>
        <v/>
      </c>
      <c r="AS96" s="13">
        <f>AS95-AR95</f>
        <v/>
      </c>
      <c r="AT96" s="13">
        <f>AT95-AS95</f>
        <v/>
      </c>
      <c r="AU96" s="13">
        <f>AU95-AT95</f>
        <v/>
      </c>
      <c r="AV96" s="13">
        <f>AV95-AU95</f>
        <v/>
      </c>
      <c r="AW96" s="13">
        <f>AW95-AV95</f>
        <v/>
      </c>
      <c r="AX96" s="13">
        <f>AX95-AW95</f>
        <v/>
      </c>
      <c r="AY96" s="13">
        <f>AY95-AX95</f>
        <v/>
      </c>
      <c r="AZ96" s="13">
        <f>AZ95-AY95</f>
        <v/>
      </c>
      <c r="BA96" s="13">
        <f>BA95-AZ95</f>
        <v/>
      </c>
      <c r="BB96" s="13">
        <f>BB95-BA95</f>
        <v/>
      </c>
      <c r="BC96" s="13">
        <f>BC95-BB95</f>
        <v/>
      </c>
      <c r="BD96" s="13">
        <f>BD95-BC95</f>
        <v/>
      </c>
      <c r="BE96" s="13">
        <f>BE95-BD95</f>
        <v/>
      </c>
      <c r="BF96" s="13">
        <f>BF95-BE95</f>
        <v/>
      </c>
      <c r="BG96" s="13">
        <f>BG95-BF95</f>
        <v/>
      </c>
      <c r="BH96" s="13">
        <f>BH95-BG95</f>
        <v/>
      </c>
      <c r="BI96" s="13">
        <f>BI95-BH95</f>
        <v/>
      </c>
      <c r="BJ96" s="13">
        <f>BJ95-BI95</f>
        <v/>
      </c>
      <c r="BK96" s="13">
        <f>BK95-BJ95</f>
        <v/>
      </c>
      <c r="BL96" s="13">
        <f>BL95-BK95</f>
        <v/>
      </c>
      <c r="BM96" s="13">
        <f>BM95-BL95</f>
        <v/>
      </c>
      <c r="BN96" s="13">
        <f>BN95-BM95</f>
        <v/>
      </c>
    </row>
    <row r="97">
      <c r="D97" t="inlineStr">
        <is>
          <t>Release of spares inventory at expiry</t>
        </is>
      </c>
      <c r="E97" t="inlineStr">
        <is>
          <t>USD m</t>
        </is>
      </c>
      <c r="G97" s="13">
        <f>SUM(J97:BN97)</f>
        <v/>
      </c>
      <c r="J97" s="13">
        <f>Time!J37*Inputs!$F$67*Inputs!$F$36</f>
        <v/>
      </c>
      <c r="K97" s="13">
        <f>Time!K37*Inputs!$F$67*Inputs!$F$36</f>
        <v/>
      </c>
      <c r="L97" s="13">
        <f>Time!L37*Inputs!$F$67*Inputs!$F$36</f>
        <v/>
      </c>
      <c r="M97" s="13">
        <f>Time!M37*Inputs!$F$67*Inputs!$F$36</f>
        <v/>
      </c>
      <c r="N97" s="13">
        <f>Time!N37*Inputs!$F$67*Inputs!$F$36</f>
        <v/>
      </c>
      <c r="O97" s="13">
        <f>Time!O37*Inputs!$F$67*Inputs!$F$36</f>
        <v/>
      </c>
      <c r="P97" s="13">
        <f>Time!P37*Inputs!$F$67*Inputs!$F$36</f>
        <v/>
      </c>
      <c r="Q97" s="13">
        <f>Time!Q37*Inputs!$F$67*Inputs!$F$36</f>
        <v/>
      </c>
      <c r="R97" s="13">
        <f>Time!R37*Inputs!$F$67*Inputs!$F$36</f>
        <v/>
      </c>
      <c r="S97" s="13">
        <f>Time!S37*Inputs!$F$67*Inputs!$F$36</f>
        <v/>
      </c>
      <c r="T97" s="13">
        <f>Time!T37*Inputs!$F$67*Inputs!$F$36</f>
        <v/>
      </c>
      <c r="U97" s="13">
        <f>Time!U37*Inputs!$F$67*Inputs!$F$36</f>
        <v/>
      </c>
      <c r="V97" s="13">
        <f>Time!V37*Inputs!$F$67*Inputs!$F$36</f>
        <v/>
      </c>
      <c r="W97" s="13">
        <f>Time!W37*Inputs!$F$67*Inputs!$F$36</f>
        <v/>
      </c>
      <c r="X97" s="13">
        <f>Time!X37*Inputs!$F$67*Inputs!$F$36</f>
        <v/>
      </c>
      <c r="Y97" s="13">
        <f>Time!Y37*Inputs!$F$67*Inputs!$F$36</f>
        <v/>
      </c>
      <c r="Z97" s="13">
        <f>Time!Z37*Inputs!$F$67*Inputs!$F$36</f>
        <v/>
      </c>
      <c r="AA97" s="13">
        <f>Time!AA37*Inputs!$F$67*Inputs!$F$36</f>
        <v/>
      </c>
      <c r="AB97" s="13">
        <f>Time!AB37*Inputs!$F$67*Inputs!$F$36</f>
        <v/>
      </c>
      <c r="AC97" s="13">
        <f>Time!AC37*Inputs!$F$67*Inputs!$F$36</f>
        <v/>
      </c>
      <c r="AD97" s="13">
        <f>Time!AD37*Inputs!$F$67*Inputs!$F$36</f>
        <v/>
      </c>
      <c r="AE97" s="13">
        <f>Time!AE37*Inputs!$F$67*Inputs!$F$36</f>
        <v/>
      </c>
      <c r="AF97" s="13">
        <f>Time!AF37*Inputs!$F$67*Inputs!$F$36</f>
        <v/>
      </c>
      <c r="AG97" s="13">
        <f>Time!AG37*Inputs!$F$67*Inputs!$F$36</f>
        <v/>
      </c>
      <c r="AH97" s="13">
        <f>Time!AH37*Inputs!$F$67*Inputs!$F$36</f>
        <v/>
      </c>
      <c r="AI97" s="13">
        <f>Time!AI37*Inputs!$F$67*Inputs!$F$36</f>
        <v/>
      </c>
      <c r="AJ97" s="13">
        <f>Time!AJ37*Inputs!$F$67*Inputs!$F$36</f>
        <v/>
      </c>
      <c r="AK97" s="13">
        <f>Time!AK37*Inputs!$F$67*Inputs!$F$36</f>
        <v/>
      </c>
      <c r="AL97" s="13">
        <f>Time!AL37*Inputs!$F$67*Inputs!$F$36</f>
        <v/>
      </c>
      <c r="AM97" s="13">
        <f>Time!AM37*Inputs!$F$67*Inputs!$F$36</f>
        <v/>
      </c>
      <c r="AN97" s="13">
        <f>Time!AN37*Inputs!$F$67*Inputs!$F$36</f>
        <v/>
      </c>
      <c r="AO97" s="13">
        <f>Time!AO37*Inputs!$F$67*Inputs!$F$36</f>
        <v/>
      </c>
      <c r="AP97" s="13">
        <f>Time!AP37*Inputs!$F$67*Inputs!$F$36</f>
        <v/>
      </c>
      <c r="AQ97" s="13">
        <f>Time!AQ37*Inputs!$F$67*Inputs!$F$36</f>
        <v/>
      </c>
      <c r="AR97" s="13">
        <f>Time!AR37*Inputs!$F$67*Inputs!$F$36</f>
        <v/>
      </c>
      <c r="AS97" s="13">
        <f>Time!AS37*Inputs!$F$67*Inputs!$F$36</f>
        <v/>
      </c>
      <c r="AT97" s="13">
        <f>Time!AT37*Inputs!$F$67*Inputs!$F$36</f>
        <v/>
      </c>
      <c r="AU97" s="13">
        <f>Time!AU37*Inputs!$F$67*Inputs!$F$36</f>
        <v/>
      </c>
      <c r="AV97" s="13">
        <f>Time!AV37*Inputs!$F$67*Inputs!$F$36</f>
        <v/>
      </c>
      <c r="AW97" s="13">
        <f>Time!AW37*Inputs!$F$67*Inputs!$F$36</f>
        <v/>
      </c>
      <c r="AX97" s="13">
        <f>Time!AX37*Inputs!$F$67*Inputs!$F$36</f>
        <v/>
      </c>
      <c r="AY97" s="13">
        <f>Time!AY37*Inputs!$F$67*Inputs!$F$36</f>
        <v/>
      </c>
      <c r="AZ97" s="13">
        <f>Time!AZ37*Inputs!$F$67*Inputs!$F$36</f>
        <v/>
      </c>
      <c r="BA97" s="13">
        <f>Time!BA37*Inputs!$F$67*Inputs!$F$36</f>
        <v/>
      </c>
      <c r="BB97" s="13">
        <f>Time!BB37*Inputs!$F$67*Inputs!$F$36</f>
        <v/>
      </c>
      <c r="BC97" s="13">
        <f>Time!BC37*Inputs!$F$67*Inputs!$F$36</f>
        <v/>
      </c>
      <c r="BD97" s="13">
        <f>Time!BD37*Inputs!$F$67*Inputs!$F$36</f>
        <v/>
      </c>
      <c r="BE97" s="13">
        <f>Time!BE37*Inputs!$F$67*Inputs!$F$36</f>
        <v/>
      </c>
      <c r="BF97" s="13">
        <f>Time!BF37*Inputs!$F$67*Inputs!$F$36</f>
        <v/>
      </c>
      <c r="BG97" s="13">
        <f>Time!BG37*Inputs!$F$67*Inputs!$F$36</f>
        <v/>
      </c>
      <c r="BH97" s="13">
        <f>Time!BH37*Inputs!$F$67*Inputs!$F$36</f>
        <v/>
      </c>
      <c r="BI97" s="13">
        <f>Time!BI37*Inputs!$F$67*Inputs!$F$36</f>
        <v/>
      </c>
      <c r="BJ97" s="13">
        <f>Time!BJ37*Inputs!$F$67*Inputs!$F$36</f>
        <v/>
      </c>
      <c r="BK97" s="13">
        <f>Time!BK37*Inputs!$F$67*Inputs!$F$36</f>
        <v/>
      </c>
      <c r="BL97" s="13">
        <f>Time!BL37*Inputs!$F$67*Inputs!$F$36</f>
        <v/>
      </c>
      <c r="BM97" s="13">
        <f>Time!BM37*Inputs!$F$67*Inputs!$F$36</f>
        <v/>
      </c>
      <c r="BN97" s="13">
        <f>Time!BN37*Inputs!$F$67*Inputs!$F$36</f>
        <v/>
      </c>
    </row>
    <row r="98">
      <c r="D98" t="inlineStr">
        <is>
          <t>Fuel pass-through test: fuel charge less gas purchases (= heat-rate headroom margin)</t>
        </is>
      </c>
      <c r="E98" t="inlineStr">
        <is>
          <t>USD m</t>
        </is>
      </c>
      <c r="G98" s="13">
        <f>SUM(J98:BN98)</f>
        <v/>
      </c>
      <c r="J98" s="13">
        <f>J51-J73</f>
        <v/>
      </c>
      <c r="K98" s="13">
        <f>K51-K73</f>
        <v/>
      </c>
      <c r="L98" s="13">
        <f>L51-L73</f>
        <v/>
      </c>
      <c r="M98" s="13">
        <f>M51-M73</f>
        <v/>
      </c>
      <c r="N98" s="13">
        <f>N51-N73</f>
        <v/>
      </c>
      <c r="O98" s="13">
        <f>O51-O73</f>
        <v/>
      </c>
      <c r="P98" s="13">
        <f>P51-P73</f>
        <v/>
      </c>
      <c r="Q98" s="13">
        <f>Q51-Q73</f>
        <v/>
      </c>
      <c r="R98" s="13">
        <f>R51-R73</f>
        <v/>
      </c>
      <c r="S98" s="13">
        <f>S51-S73</f>
        <v/>
      </c>
      <c r="T98" s="13">
        <f>T51-T73</f>
        <v/>
      </c>
      <c r="U98" s="13">
        <f>U51-U73</f>
        <v/>
      </c>
      <c r="V98" s="13">
        <f>V51-V73</f>
        <v/>
      </c>
      <c r="W98" s="13">
        <f>W51-W73</f>
        <v/>
      </c>
      <c r="X98" s="13">
        <f>X51-X73</f>
        <v/>
      </c>
      <c r="Y98" s="13">
        <f>Y51-Y73</f>
        <v/>
      </c>
      <c r="Z98" s="13">
        <f>Z51-Z73</f>
        <v/>
      </c>
      <c r="AA98" s="13">
        <f>AA51-AA73</f>
        <v/>
      </c>
      <c r="AB98" s="13">
        <f>AB51-AB73</f>
        <v/>
      </c>
      <c r="AC98" s="13">
        <f>AC51-AC73</f>
        <v/>
      </c>
      <c r="AD98" s="13">
        <f>AD51-AD73</f>
        <v/>
      </c>
      <c r="AE98" s="13">
        <f>AE51-AE73</f>
        <v/>
      </c>
      <c r="AF98" s="13">
        <f>AF51-AF73</f>
        <v/>
      </c>
      <c r="AG98" s="13">
        <f>AG51-AG73</f>
        <v/>
      </c>
      <c r="AH98" s="13">
        <f>AH51-AH73</f>
        <v/>
      </c>
      <c r="AI98" s="13">
        <f>AI51-AI73</f>
        <v/>
      </c>
      <c r="AJ98" s="13">
        <f>AJ51-AJ73</f>
        <v/>
      </c>
      <c r="AK98" s="13">
        <f>AK51-AK73</f>
        <v/>
      </c>
      <c r="AL98" s="13">
        <f>AL51-AL73</f>
        <v/>
      </c>
      <c r="AM98" s="13">
        <f>AM51-AM73</f>
        <v/>
      </c>
      <c r="AN98" s="13">
        <f>AN51-AN73</f>
        <v/>
      </c>
      <c r="AO98" s="13">
        <f>AO51-AO73</f>
        <v/>
      </c>
      <c r="AP98" s="13">
        <f>AP51-AP73</f>
        <v/>
      </c>
      <c r="AQ98" s="13">
        <f>AQ51-AQ73</f>
        <v/>
      </c>
      <c r="AR98" s="13">
        <f>AR51-AR73</f>
        <v/>
      </c>
      <c r="AS98" s="13">
        <f>AS51-AS73</f>
        <v/>
      </c>
      <c r="AT98" s="13">
        <f>AT51-AT73</f>
        <v/>
      </c>
      <c r="AU98" s="13">
        <f>AU51-AU73</f>
        <v/>
      </c>
      <c r="AV98" s="13">
        <f>AV51-AV73</f>
        <v/>
      </c>
      <c r="AW98" s="13">
        <f>AW51-AW73</f>
        <v/>
      </c>
      <c r="AX98" s="13">
        <f>AX51-AX73</f>
        <v/>
      </c>
      <c r="AY98" s="13">
        <f>AY51-AY73</f>
        <v/>
      </c>
      <c r="AZ98" s="13">
        <f>AZ51-AZ73</f>
        <v/>
      </c>
      <c r="BA98" s="13">
        <f>BA51-BA73</f>
        <v/>
      </c>
      <c r="BB98" s="13">
        <f>BB51-BB73</f>
        <v/>
      </c>
      <c r="BC98" s="13">
        <f>BC51-BC73</f>
        <v/>
      </c>
      <c r="BD98" s="13">
        <f>BD51-BD73</f>
        <v/>
      </c>
      <c r="BE98" s="13">
        <f>BE51-BE73</f>
        <v/>
      </c>
      <c r="BF98" s="13">
        <f>BF51-BF73</f>
        <v/>
      </c>
      <c r="BG98" s="13">
        <f>BG51-BG73</f>
        <v/>
      </c>
      <c r="BH98" s="13">
        <f>BH51-BH73</f>
        <v/>
      </c>
      <c r="BI98" s="13">
        <f>BI51-BI73</f>
        <v/>
      </c>
      <c r="BJ98" s="13">
        <f>BJ51-BJ73</f>
        <v/>
      </c>
      <c r="BK98" s="13">
        <f>BK51-BK73</f>
        <v/>
      </c>
      <c r="BL98" s="13">
        <f>BL51-BL73</f>
        <v/>
      </c>
      <c r="BM98" s="13">
        <f>BM51-BM73</f>
        <v/>
      </c>
      <c r="BN98" s="13">
        <f>BN51-BN73</f>
        <v/>
      </c>
    </row>
    <row r="99">
      <c r="D99" t="inlineStr">
        <is>
          <t>GTA pass-through test (0 in every period)</t>
        </is>
      </c>
      <c r="E99" t="inlineStr">
        <is>
          <t>USD m</t>
        </is>
      </c>
      <c r="G99" s="13">
        <f>SUM(J99:BN99)</f>
        <v/>
      </c>
      <c r="J99" s="13">
        <f>J52+J53-(J74-J73-J54)</f>
        <v/>
      </c>
      <c r="K99" s="13">
        <f>K52+K53-(K74-K73-K54)</f>
        <v/>
      </c>
      <c r="L99" s="13">
        <f>L52+L53-(L74-L73-L54)</f>
        <v/>
      </c>
      <c r="M99" s="13">
        <f>M52+M53-(M74-M73-M54)</f>
        <v/>
      </c>
      <c r="N99" s="13">
        <f>N52+N53-(N74-N73-N54)</f>
        <v/>
      </c>
      <c r="O99" s="13">
        <f>O52+O53-(O74-O73-O54)</f>
        <v/>
      </c>
      <c r="P99" s="13">
        <f>P52+P53-(P74-P73-P54)</f>
        <v/>
      </c>
      <c r="Q99" s="13">
        <f>Q52+Q53-(Q74-Q73-Q54)</f>
        <v/>
      </c>
      <c r="R99" s="13">
        <f>R52+R53-(R74-R73-R54)</f>
        <v/>
      </c>
      <c r="S99" s="13">
        <f>S52+S53-(S74-S73-S54)</f>
        <v/>
      </c>
      <c r="T99" s="13">
        <f>T52+T53-(T74-T73-T54)</f>
        <v/>
      </c>
      <c r="U99" s="13">
        <f>U52+U53-(U74-U73-U54)</f>
        <v/>
      </c>
      <c r="V99" s="13">
        <f>V52+V53-(V74-V73-V54)</f>
        <v/>
      </c>
      <c r="W99" s="13">
        <f>W52+W53-(W74-W73-W54)</f>
        <v/>
      </c>
      <c r="X99" s="13">
        <f>X52+X53-(X74-X73-X54)</f>
        <v/>
      </c>
      <c r="Y99" s="13">
        <f>Y52+Y53-(Y74-Y73-Y54)</f>
        <v/>
      </c>
      <c r="Z99" s="13">
        <f>Z52+Z53-(Z74-Z73-Z54)</f>
        <v/>
      </c>
      <c r="AA99" s="13">
        <f>AA52+AA53-(AA74-AA73-AA54)</f>
        <v/>
      </c>
      <c r="AB99" s="13">
        <f>AB52+AB53-(AB74-AB73-AB54)</f>
        <v/>
      </c>
      <c r="AC99" s="13">
        <f>AC52+AC53-(AC74-AC73-AC54)</f>
        <v/>
      </c>
      <c r="AD99" s="13">
        <f>AD52+AD53-(AD74-AD73-AD54)</f>
        <v/>
      </c>
      <c r="AE99" s="13">
        <f>AE52+AE53-(AE74-AE73-AE54)</f>
        <v/>
      </c>
      <c r="AF99" s="13">
        <f>AF52+AF53-(AF74-AF73-AF54)</f>
        <v/>
      </c>
      <c r="AG99" s="13">
        <f>AG52+AG53-(AG74-AG73-AG54)</f>
        <v/>
      </c>
      <c r="AH99" s="13">
        <f>AH52+AH53-(AH74-AH73-AH54)</f>
        <v/>
      </c>
      <c r="AI99" s="13">
        <f>AI52+AI53-(AI74-AI73-AI54)</f>
        <v/>
      </c>
      <c r="AJ99" s="13">
        <f>AJ52+AJ53-(AJ74-AJ73-AJ54)</f>
        <v/>
      </c>
      <c r="AK99" s="13">
        <f>AK52+AK53-(AK74-AK73-AK54)</f>
        <v/>
      </c>
      <c r="AL99" s="13">
        <f>AL52+AL53-(AL74-AL73-AL54)</f>
        <v/>
      </c>
      <c r="AM99" s="13">
        <f>AM52+AM53-(AM74-AM73-AM54)</f>
        <v/>
      </c>
      <c r="AN99" s="13">
        <f>AN52+AN53-(AN74-AN73-AN54)</f>
        <v/>
      </c>
      <c r="AO99" s="13">
        <f>AO52+AO53-(AO74-AO73-AO54)</f>
        <v/>
      </c>
      <c r="AP99" s="13">
        <f>AP52+AP53-(AP74-AP73-AP54)</f>
        <v/>
      </c>
      <c r="AQ99" s="13">
        <f>AQ52+AQ53-(AQ74-AQ73-AQ54)</f>
        <v/>
      </c>
      <c r="AR99" s="13">
        <f>AR52+AR53-(AR74-AR73-AR54)</f>
        <v/>
      </c>
      <c r="AS99" s="13">
        <f>AS52+AS53-(AS74-AS73-AS54)</f>
        <v/>
      </c>
      <c r="AT99" s="13">
        <f>AT52+AT53-(AT74-AT73-AT54)</f>
        <v/>
      </c>
      <c r="AU99" s="13">
        <f>AU52+AU53-(AU74-AU73-AU54)</f>
        <v/>
      </c>
      <c r="AV99" s="13">
        <f>AV52+AV53-(AV74-AV73-AV54)</f>
        <v/>
      </c>
      <c r="AW99" s="13">
        <f>AW52+AW53-(AW74-AW73-AW54)</f>
        <v/>
      </c>
      <c r="AX99" s="13">
        <f>AX52+AX53-(AX74-AX73-AX54)</f>
        <v/>
      </c>
      <c r="AY99" s="13">
        <f>AY52+AY53-(AY74-AY73-AY54)</f>
        <v/>
      </c>
      <c r="AZ99" s="13">
        <f>AZ52+AZ53-(AZ74-AZ73-AZ54)</f>
        <v/>
      </c>
      <c r="BA99" s="13">
        <f>BA52+BA53-(BA74-BA73-BA54)</f>
        <v/>
      </c>
      <c r="BB99" s="13">
        <f>BB52+BB53-(BB74-BB73-BB54)</f>
        <v/>
      </c>
      <c r="BC99" s="13">
        <f>BC52+BC53-(BC74-BC73-BC54)</f>
        <v/>
      </c>
      <c r="BD99" s="13">
        <f>BD52+BD53-(BD74-BD73-BD54)</f>
        <v/>
      </c>
      <c r="BE99" s="13">
        <f>BE52+BE53-(BE74-BE73-BE54)</f>
        <v/>
      </c>
      <c r="BF99" s="13">
        <f>BF52+BF53-(BF74-BF73-BF54)</f>
        <v/>
      </c>
      <c r="BG99" s="13">
        <f>BG52+BG53-(BG74-BG73-BG54)</f>
        <v/>
      </c>
      <c r="BH99" s="13">
        <f>BH52+BH53-(BH74-BH73-BH54)</f>
        <v/>
      </c>
      <c r="BI99" s="13">
        <f>BI52+BI53-(BI74-BI73-BI54)</f>
        <v/>
      </c>
      <c r="BJ99" s="13">
        <f>BJ52+BJ53-(BJ74-BJ73-BJ54)</f>
        <v/>
      </c>
      <c r="BK99" s="13">
        <f>BK52+BK53-(BK74-BK73-BK54)</f>
        <v/>
      </c>
      <c r="BL99" s="13">
        <f>BL52+BL53-(BL74-BL73-BL54)</f>
        <v/>
      </c>
      <c r="BM99" s="13">
        <f>BM52+BM53-(BM74-BM73-BM54)</f>
        <v/>
      </c>
      <c r="BN99" s="13">
        <f>BN52+BN53-(BN74-BN73-BN54)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N28"/>
  <sheetViews>
    <sheetView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s>
  <sheetData>
    <row r="1">
      <c r="A1" s="1" t="inlineStr">
        <is>
          <t>Case P: Belanou Combined Cycle Power Project, Republic of Kessara</t>
        </is>
      </c>
    </row>
    <row r="2">
      <c r="A2" t="inlineStr">
        <is>
          <t>Tax: holiday, deferred depreciation, thin capitalization, minimum turnover tax</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s="2" t="inlineStr">
        <is>
          <t>Period ending</t>
        </is>
      </c>
      <c r="J5" s="4" t="inlineStr">
        <is>
          <t>2018H2</t>
        </is>
      </c>
      <c r="K5" s="4" t="inlineStr">
        <is>
          <t>2019H1</t>
        </is>
      </c>
      <c r="L5" s="4" t="inlineStr">
        <is>
          <t>2019H2</t>
        </is>
      </c>
      <c r="M5" s="4" t="inlineStr">
        <is>
          <t>2020H1</t>
        </is>
      </c>
      <c r="N5" s="4" t="inlineStr">
        <is>
          <t>2020H2</t>
        </is>
      </c>
      <c r="O5" s="4" t="inlineStr">
        <is>
          <t>2021H1</t>
        </is>
      </c>
      <c r="P5" s="4" t="inlineStr">
        <is>
          <t>2021H2</t>
        </is>
      </c>
      <c r="Q5" s="4" t="inlineStr">
        <is>
          <t>2022H1</t>
        </is>
      </c>
      <c r="R5" s="4" t="inlineStr">
        <is>
          <t>2022H2</t>
        </is>
      </c>
      <c r="S5" s="4" t="inlineStr">
        <is>
          <t>2023H1</t>
        </is>
      </c>
      <c r="T5" s="4" t="inlineStr">
        <is>
          <t>2023H2</t>
        </is>
      </c>
      <c r="U5" s="4" t="inlineStr">
        <is>
          <t>2024H1</t>
        </is>
      </c>
      <c r="V5" s="4" t="inlineStr">
        <is>
          <t>2024H2</t>
        </is>
      </c>
      <c r="W5" s="4" t="inlineStr">
        <is>
          <t>2025H1</t>
        </is>
      </c>
      <c r="X5" s="4" t="inlineStr">
        <is>
          <t>2025H2</t>
        </is>
      </c>
      <c r="Y5" s="4" t="inlineStr">
        <is>
          <t>2026H1</t>
        </is>
      </c>
      <c r="Z5" s="4" t="inlineStr">
        <is>
          <t>2026H2</t>
        </is>
      </c>
      <c r="AA5" s="4" t="inlineStr">
        <is>
          <t>2027H1</t>
        </is>
      </c>
      <c r="AB5" s="4" t="inlineStr">
        <is>
          <t>2027H2</t>
        </is>
      </c>
      <c r="AC5" s="4" t="inlineStr">
        <is>
          <t>2028H1</t>
        </is>
      </c>
      <c r="AD5" s="4" t="inlineStr">
        <is>
          <t>2028H2</t>
        </is>
      </c>
      <c r="AE5" s="4" t="inlineStr">
        <is>
          <t>2029H1</t>
        </is>
      </c>
      <c r="AF5" s="4" t="inlineStr">
        <is>
          <t>2029H2</t>
        </is>
      </c>
      <c r="AG5" s="4" t="inlineStr">
        <is>
          <t>2030H1</t>
        </is>
      </c>
      <c r="AH5" s="4" t="inlineStr">
        <is>
          <t>2030H2</t>
        </is>
      </c>
      <c r="AI5" s="4" t="inlineStr">
        <is>
          <t>2031H1</t>
        </is>
      </c>
      <c r="AJ5" s="4" t="inlineStr">
        <is>
          <t>2031H2</t>
        </is>
      </c>
      <c r="AK5" s="4" t="inlineStr">
        <is>
          <t>2032H1</t>
        </is>
      </c>
      <c r="AL5" s="4" t="inlineStr">
        <is>
          <t>2032H2</t>
        </is>
      </c>
      <c r="AM5" s="4" t="inlineStr">
        <is>
          <t>2033H1</t>
        </is>
      </c>
      <c r="AN5" s="4" t="inlineStr">
        <is>
          <t>2033H2</t>
        </is>
      </c>
      <c r="AO5" s="4" t="inlineStr">
        <is>
          <t>2034H1</t>
        </is>
      </c>
      <c r="AP5" s="4" t="inlineStr">
        <is>
          <t>2034H2</t>
        </is>
      </c>
      <c r="AQ5" s="4" t="inlineStr">
        <is>
          <t>2035H1</t>
        </is>
      </c>
      <c r="AR5" s="4" t="inlineStr">
        <is>
          <t>2035H2</t>
        </is>
      </c>
      <c r="AS5" s="4" t="inlineStr">
        <is>
          <t>2036H1</t>
        </is>
      </c>
      <c r="AT5" s="4" t="inlineStr">
        <is>
          <t>2036H2</t>
        </is>
      </c>
      <c r="AU5" s="4" t="inlineStr">
        <is>
          <t>2037H1</t>
        </is>
      </c>
      <c r="AV5" s="4" t="inlineStr">
        <is>
          <t>2037H2</t>
        </is>
      </c>
      <c r="AW5" s="4" t="inlineStr">
        <is>
          <t>2038H1</t>
        </is>
      </c>
      <c r="AX5" s="4" t="inlineStr">
        <is>
          <t>2038H2</t>
        </is>
      </c>
      <c r="AY5" s="4" t="inlineStr">
        <is>
          <t>2039H1</t>
        </is>
      </c>
      <c r="AZ5" s="4" t="inlineStr">
        <is>
          <t>2039H2</t>
        </is>
      </c>
      <c r="BA5" s="4" t="inlineStr">
        <is>
          <t>2040H1</t>
        </is>
      </c>
      <c r="BB5" s="4" t="inlineStr">
        <is>
          <t>2040H2</t>
        </is>
      </c>
      <c r="BC5" s="4" t="inlineStr">
        <is>
          <t>2041H1</t>
        </is>
      </c>
      <c r="BD5" s="4" t="inlineStr">
        <is>
          <t>2041H2</t>
        </is>
      </c>
      <c r="BE5" s="4" t="inlineStr">
        <is>
          <t>2042H1</t>
        </is>
      </c>
      <c r="BF5" s="4" t="inlineStr">
        <is>
          <t>2042H2</t>
        </is>
      </c>
      <c r="BG5" s="4" t="inlineStr">
        <is>
          <t>2043H1</t>
        </is>
      </c>
      <c r="BH5" s="4" t="inlineStr">
        <is>
          <t>2043H2</t>
        </is>
      </c>
      <c r="BI5" s="4" t="inlineStr">
        <is>
          <t>2044H1</t>
        </is>
      </c>
      <c r="BJ5" s="4" t="inlineStr">
        <is>
          <t>2044H2</t>
        </is>
      </c>
      <c r="BK5" s="4" t="inlineStr">
        <is>
          <t>2045H1</t>
        </is>
      </c>
      <c r="BL5" s="4" t="inlineStr">
        <is>
          <t>2045H2</t>
        </is>
      </c>
      <c r="BM5" s="4" t="inlineStr">
        <is>
          <t>2046H1</t>
        </is>
      </c>
      <c r="BN5" s="4" t="inlineStr">
        <is>
          <t>2046H2</t>
        </is>
      </c>
    </row>
    <row r="7">
      <c r="D7" t="inlineStr">
        <is>
          <t>Holiday months (OY1-OY5)</t>
        </is>
      </c>
      <c r="E7" t="inlineStr">
        <is>
          <t>months</t>
        </is>
      </c>
      <c r="J7" s="9">
        <f>MAX(0,MIN(Time!J33,Inputs!$F$228*12)-MIN(Time!J32,Inputs!$F$228*12))</f>
        <v/>
      </c>
      <c r="K7" s="9">
        <f>MAX(0,MIN(Time!K33,Inputs!$F$228*12)-MIN(Time!K32,Inputs!$F$228*12))</f>
        <v/>
      </c>
      <c r="L7" s="9">
        <f>MAX(0,MIN(Time!L33,Inputs!$F$228*12)-MIN(Time!L32,Inputs!$F$228*12))</f>
        <v/>
      </c>
      <c r="M7" s="9">
        <f>MAX(0,MIN(Time!M33,Inputs!$F$228*12)-MIN(Time!M32,Inputs!$F$228*12))</f>
        <v/>
      </c>
      <c r="N7" s="9">
        <f>MAX(0,MIN(Time!N33,Inputs!$F$228*12)-MIN(Time!N32,Inputs!$F$228*12))</f>
        <v/>
      </c>
      <c r="O7" s="9">
        <f>MAX(0,MIN(Time!O33,Inputs!$F$228*12)-MIN(Time!O32,Inputs!$F$228*12))</f>
        <v/>
      </c>
      <c r="P7" s="9">
        <f>MAX(0,MIN(Time!P33,Inputs!$F$228*12)-MIN(Time!P32,Inputs!$F$228*12))</f>
        <v/>
      </c>
      <c r="Q7" s="9">
        <f>MAX(0,MIN(Time!Q33,Inputs!$F$228*12)-MIN(Time!Q32,Inputs!$F$228*12))</f>
        <v/>
      </c>
      <c r="R7" s="9">
        <f>MAX(0,MIN(Time!R33,Inputs!$F$228*12)-MIN(Time!R32,Inputs!$F$228*12))</f>
        <v/>
      </c>
      <c r="S7" s="9">
        <f>MAX(0,MIN(Time!S33,Inputs!$F$228*12)-MIN(Time!S32,Inputs!$F$228*12))</f>
        <v/>
      </c>
      <c r="T7" s="9">
        <f>MAX(0,MIN(Time!T33,Inputs!$F$228*12)-MIN(Time!T32,Inputs!$F$228*12))</f>
        <v/>
      </c>
      <c r="U7" s="9">
        <f>MAX(0,MIN(Time!U33,Inputs!$F$228*12)-MIN(Time!U32,Inputs!$F$228*12))</f>
        <v/>
      </c>
      <c r="V7" s="9">
        <f>MAX(0,MIN(Time!V33,Inputs!$F$228*12)-MIN(Time!V32,Inputs!$F$228*12))</f>
        <v/>
      </c>
      <c r="W7" s="9">
        <f>MAX(0,MIN(Time!W33,Inputs!$F$228*12)-MIN(Time!W32,Inputs!$F$228*12))</f>
        <v/>
      </c>
      <c r="X7" s="9">
        <f>MAX(0,MIN(Time!X33,Inputs!$F$228*12)-MIN(Time!X32,Inputs!$F$228*12))</f>
        <v/>
      </c>
      <c r="Y7" s="9">
        <f>MAX(0,MIN(Time!Y33,Inputs!$F$228*12)-MIN(Time!Y32,Inputs!$F$228*12))</f>
        <v/>
      </c>
      <c r="Z7" s="9">
        <f>MAX(0,MIN(Time!Z33,Inputs!$F$228*12)-MIN(Time!Z32,Inputs!$F$228*12))</f>
        <v/>
      </c>
      <c r="AA7" s="9">
        <f>MAX(0,MIN(Time!AA33,Inputs!$F$228*12)-MIN(Time!AA32,Inputs!$F$228*12))</f>
        <v/>
      </c>
      <c r="AB7" s="9">
        <f>MAX(0,MIN(Time!AB33,Inputs!$F$228*12)-MIN(Time!AB32,Inputs!$F$228*12))</f>
        <v/>
      </c>
      <c r="AC7" s="9">
        <f>MAX(0,MIN(Time!AC33,Inputs!$F$228*12)-MIN(Time!AC32,Inputs!$F$228*12))</f>
        <v/>
      </c>
      <c r="AD7" s="9">
        <f>MAX(0,MIN(Time!AD33,Inputs!$F$228*12)-MIN(Time!AD32,Inputs!$F$228*12))</f>
        <v/>
      </c>
      <c r="AE7" s="9">
        <f>MAX(0,MIN(Time!AE33,Inputs!$F$228*12)-MIN(Time!AE32,Inputs!$F$228*12))</f>
        <v/>
      </c>
      <c r="AF7" s="9">
        <f>MAX(0,MIN(Time!AF33,Inputs!$F$228*12)-MIN(Time!AF32,Inputs!$F$228*12))</f>
        <v/>
      </c>
      <c r="AG7" s="9">
        <f>MAX(0,MIN(Time!AG33,Inputs!$F$228*12)-MIN(Time!AG32,Inputs!$F$228*12))</f>
        <v/>
      </c>
      <c r="AH7" s="9">
        <f>MAX(0,MIN(Time!AH33,Inputs!$F$228*12)-MIN(Time!AH32,Inputs!$F$228*12))</f>
        <v/>
      </c>
      <c r="AI7" s="9">
        <f>MAX(0,MIN(Time!AI33,Inputs!$F$228*12)-MIN(Time!AI32,Inputs!$F$228*12))</f>
        <v/>
      </c>
      <c r="AJ7" s="9">
        <f>MAX(0,MIN(Time!AJ33,Inputs!$F$228*12)-MIN(Time!AJ32,Inputs!$F$228*12))</f>
        <v/>
      </c>
      <c r="AK7" s="9">
        <f>MAX(0,MIN(Time!AK33,Inputs!$F$228*12)-MIN(Time!AK32,Inputs!$F$228*12))</f>
        <v/>
      </c>
      <c r="AL7" s="9">
        <f>MAX(0,MIN(Time!AL33,Inputs!$F$228*12)-MIN(Time!AL32,Inputs!$F$228*12))</f>
        <v/>
      </c>
      <c r="AM7" s="9">
        <f>MAX(0,MIN(Time!AM33,Inputs!$F$228*12)-MIN(Time!AM32,Inputs!$F$228*12))</f>
        <v/>
      </c>
      <c r="AN7" s="9">
        <f>MAX(0,MIN(Time!AN33,Inputs!$F$228*12)-MIN(Time!AN32,Inputs!$F$228*12))</f>
        <v/>
      </c>
      <c r="AO7" s="9">
        <f>MAX(0,MIN(Time!AO33,Inputs!$F$228*12)-MIN(Time!AO32,Inputs!$F$228*12))</f>
        <v/>
      </c>
      <c r="AP7" s="9">
        <f>MAX(0,MIN(Time!AP33,Inputs!$F$228*12)-MIN(Time!AP32,Inputs!$F$228*12))</f>
        <v/>
      </c>
      <c r="AQ7" s="9">
        <f>MAX(0,MIN(Time!AQ33,Inputs!$F$228*12)-MIN(Time!AQ32,Inputs!$F$228*12))</f>
        <v/>
      </c>
      <c r="AR7" s="9">
        <f>MAX(0,MIN(Time!AR33,Inputs!$F$228*12)-MIN(Time!AR32,Inputs!$F$228*12))</f>
        <v/>
      </c>
      <c r="AS7" s="9">
        <f>MAX(0,MIN(Time!AS33,Inputs!$F$228*12)-MIN(Time!AS32,Inputs!$F$228*12))</f>
        <v/>
      </c>
      <c r="AT7" s="9">
        <f>MAX(0,MIN(Time!AT33,Inputs!$F$228*12)-MIN(Time!AT32,Inputs!$F$228*12))</f>
        <v/>
      </c>
      <c r="AU7" s="9">
        <f>MAX(0,MIN(Time!AU33,Inputs!$F$228*12)-MIN(Time!AU32,Inputs!$F$228*12))</f>
        <v/>
      </c>
      <c r="AV7" s="9">
        <f>MAX(0,MIN(Time!AV33,Inputs!$F$228*12)-MIN(Time!AV32,Inputs!$F$228*12))</f>
        <v/>
      </c>
      <c r="AW7" s="9">
        <f>MAX(0,MIN(Time!AW33,Inputs!$F$228*12)-MIN(Time!AW32,Inputs!$F$228*12))</f>
        <v/>
      </c>
      <c r="AX7" s="9">
        <f>MAX(0,MIN(Time!AX33,Inputs!$F$228*12)-MIN(Time!AX32,Inputs!$F$228*12))</f>
        <v/>
      </c>
      <c r="AY7" s="9">
        <f>MAX(0,MIN(Time!AY33,Inputs!$F$228*12)-MIN(Time!AY32,Inputs!$F$228*12))</f>
        <v/>
      </c>
      <c r="AZ7" s="9">
        <f>MAX(0,MIN(Time!AZ33,Inputs!$F$228*12)-MIN(Time!AZ32,Inputs!$F$228*12))</f>
        <v/>
      </c>
      <c r="BA7" s="9">
        <f>MAX(0,MIN(Time!BA33,Inputs!$F$228*12)-MIN(Time!BA32,Inputs!$F$228*12))</f>
        <v/>
      </c>
      <c r="BB7" s="9">
        <f>MAX(0,MIN(Time!BB33,Inputs!$F$228*12)-MIN(Time!BB32,Inputs!$F$228*12))</f>
        <v/>
      </c>
      <c r="BC7" s="9">
        <f>MAX(0,MIN(Time!BC33,Inputs!$F$228*12)-MIN(Time!BC32,Inputs!$F$228*12))</f>
        <v/>
      </c>
      <c r="BD7" s="9">
        <f>MAX(0,MIN(Time!BD33,Inputs!$F$228*12)-MIN(Time!BD32,Inputs!$F$228*12))</f>
        <v/>
      </c>
      <c r="BE7" s="9">
        <f>MAX(0,MIN(Time!BE33,Inputs!$F$228*12)-MIN(Time!BE32,Inputs!$F$228*12))</f>
        <v/>
      </c>
      <c r="BF7" s="9">
        <f>MAX(0,MIN(Time!BF33,Inputs!$F$228*12)-MIN(Time!BF32,Inputs!$F$228*12))</f>
        <v/>
      </c>
      <c r="BG7" s="9">
        <f>MAX(0,MIN(Time!BG33,Inputs!$F$228*12)-MIN(Time!BG32,Inputs!$F$228*12))</f>
        <v/>
      </c>
      <c r="BH7" s="9">
        <f>MAX(0,MIN(Time!BH33,Inputs!$F$228*12)-MIN(Time!BH32,Inputs!$F$228*12))</f>
        <v/>
      </c>
      <c r="BI7" s="9">
        <f>MAX(0,MIN(Time!BI33,Inputs!$F$228*12)-MIN(Time!BI32,Inputs!$F$228*12))</f>
        <v/>
      </c>
      <c r="BJ7" s="9">
        <f>MAX(0,MIN(Time!BJ33,Inputs!$F$228*12)-MIN(Time!BJ32,Inputs!$F$228*12))</f>
        <v/>
      </c>
      <c r="BK7" s="9">
        <f>MAX(0,MIN(Time!BK33,Inputs!$F$228*12)-MIN(Time!BK32,Inputs!$F$228*12))</f>
        <v/>
      </c>
      <c r="BL7" s="9">
        <f>MAX(0,MIN(Time!BL33,Inputs!$F$228*12)-MIN(Time!BL32,Inputs!$F$228*12))</f>
        <v/>
      </c>
      <c r="BM7" s="9">
        <f>MAX(0,MIN(Time!BM33,Inputs!$F$228*12)-MIN(Time!BM32,Inputs!$F$228*12))</f>
        <v/>
      </c>
      <c r="BN7" s="9">
        <f>MAX(0,MIN(Time!BN33,Inputs!$F$228*12)-MIN(Time!BN32,Inputs!$F$228*12))</f>
        <v/>
      </c>
    </row>
    <row r="8">
      <c r="D8" t="inlineStr">
        <is>
          <t>Reduced-rate months (OY6-OY8)</t>
        </is>
      </c>
      <c r="E8" t="inlineStr">
        <is>
          <t>months</t>
        </is>
      </c>
      <c r="J8" s="9">
        <f>MAX(0,MIN(Time!J33,Inputs!$F$229*12)-MIN(MAX(Time!J32,Inputs!$F$228*12),Inputs!$F$229*12))</f>
        <v/>
      </c>
      <c r="K8" s="9">
        <f>MAX(0,MIN(Time!K33,Inputs!$F$229*12)-MIN(MAX(Time!K32,Inputs!$F$228*12),Inputs!$F$229*12))</f>
        <v/>
      </c>
      <c r="L8" s="9">
        <f>MAX(0,MIN(Time!L33,Inputs!$F$229*12)-MIN(MAX(Time!L32,Inputs!$F$228*12),Inputs!$F$229*12))</f>
        <v/>
      </c>
      <c r="M8" s="9">
        <f>MAX(0,MIN(Time!M33,Inputs!$F$229*12)-MIN(MAX(Time!M32,Inputs!$F$228*12),Inputs!$F$229*12))</f>
        <v/>
      </c>
      <c r="N8" s="9">
        <f>MAX(0,MIN(Time!N33,Inputs!$F$229*12)-MIN(MAX(Time!N32,Inputs!$F$228*12),Inputs!$F$229*12))</f>
        <v/>
      </c>
      <c r="O8" s="9">
        <f>MAX(0,MIN(Time!O33,Inputs!$F$229*12)-MIN(MAX(Time!O32,Inputs!$F$228*12),Inputs!$F$229*12))</f>
        <v/>
      </c>
      <c r="P8" s="9">
        <f>MAX(0,MIN(Time!P33,Inputs!$F$229*12)-MIN(MAX(Time!P32,Inputs!$F$228*12),Inputs!$F$229*12))</f>
        <v/>
      </c>
      <c r="Q8" s="9">
        <f>MAX(0,MIN(Time!Q33,Inputs!$F$229*12)-MIN(MAX(Time!Q32,Inputs!$F$228*12),Inputs!$F$229*12))</f>
        <v/>
      </c>
      <c r="R8" s="9">
        <f>MAX(0,MIN(Time!R33,Inputs!$F$229*12)-MIN(MAX(Time!R32,Inputs!$F$228*12),Inputs!$F$229*12))</f>
        <v/>
      </c>
      <c r="S8" s="9">
        <f>MAX(0,MIN(Time!S33,Inputs!$F$229*12)-MIN(MAX(Time!S32,Inputs!$F$228*12),Inputs!$F$229*12))</f>
        <v/>
      </c>
      <c r="T8" s="9">
        <f>MAX(0,MIN(Time!T33,Inputs!$F$229*12)-MIN(MAX(Time!T32,Inputs!$F$228*12),Inputs!$F$229*12))</f>
        <v/>
      </c>
      <c r="U8" s="9">
        <f>MAX(0,MIN(Time!U33,Inputs!$F$229*12)-MIN(MAX(Time!U32,Inputs!$F$228*12),Inputs!$F$229*12))</f>
        <v/>
      </c>
      <c r="V8" s="9">
        <f>MAX(0,MIN(Time!V33,Inputs!$F$229*12)-MIN(MAX(Time!V32,Inputs!$F$228*12),Inputs!$F$229*12))</f>
        <v/>
      </c>
      <c r="W8" s="9">
        <f>MAX(0,MIN(Time!W33,Inputs!$F$229*12)-MIN(MAX(Time!W32,Inputs!$F$228*12),Inputs!$F$229*12))</f>
        <v/>
      </c>
      <c r="X8" s="9">
        <f>MAX(0,MIN(Time!X33,Inputs!$F$229*12)-MIN(MAX(Time!X32,Inputs!$F$228*12),Inputs!$F$229*12))</f>
        <v/>
      </c>
      <c r="Y8" s="9">
        <f>MAX(0,MIN(Time!Y33,Inputs!$F$229*12)-MIN(MAX(Time!Y32,Inputs!$F$228*12),Inputs!$F$229*12))</f>
        <v/>
      </c>
      <c r="Z8" s="9">
        <f>MAX(0,MIN(Time!Z33,Inputs!$F$229*12)-MIN(MAX(Time!Z32,Inputs!$F$228*12),Inputs!$F$229*12))</f>
        <v/>
      </c>
      <c r="AA8" s="9">
        <f>MAX(0,MIN(Time!AA33,Inputs!$F$229*12)-MIN(MAX(Time!AA32,Inputs!$F$228*12),Inputs!$F$229*12))</f>
        <v/>
      </c>
      <c r="AB8" s="9">
        <f>MAX(0,MIN(Time!AB33,Inputs!$F$229*12)-MIN(MAX(Time!AB32,Inputs!$F$228*12),Inputs!$F$229*12))</f>
        <v/>
      </c>
      <c r="AC8" s="9">
        <f>MAX(0,MIN(Time!AC33,Inputs!$F$229*12)-MIN(MAX(Time!AC32,Inputs!$F$228*12),Inputs!$F$229*12))</f>
        <v/>
      </c>
      <c r="AD8" s="9">
        <f>MAX(0,MIN(Time!AD33,Inputs!$F$229*12)-MIN(MAX(Time!AD32,Inputs!$F$228*12),Inputs!$F$229*12))</f>
        <v/>
      </c>
      <c r="AE8" s="9">
        <f>MAX(0,MIN(Time!AE33,Inputs!$F$229*12)-MIN(MAX(Time!AE32,Inputs!$F$228*12),Inputs!$F$229*12))</f>
        <v/>
      </c>
      <c r="AF8" s="9">
        <f>MAX(0,MIN(Time!AF33,Inputs!$F$229*12)-MIN(MAX(Time!AF32,Inputs!$F$228*12),Inputs!$F$229*12))</f>
        <v/>
      </c>
      <c r="AG8" s="9">
        <f>MAX(0,MIN(Time!AG33,Inputs!$F$229*12)-MIN(MAX(Time!AG32,Inputs!$F$228*12),Inputs!$F$229*12))</f>
        <v/>
      </c>
      <c r="AH8" s="9">
        <f>MAX(0,MIN(Time!AH33,Inputs!$F$229*12)-MIN(MAX(Time!AH32,Inputs!$F$228*12),Inputs!$F$229*12))</f>
        <v/>
      </c>
      <c r="AI8" s="9">
        <f>MAX(0,MIN(Time!AI33,Inputs!$F$229*12)-MIN(MAX(Time!AI32,Inputs!$F$228*12),Inputs!$F$229*12))</f>
        <v/>
      </c>
      <c r="AJ8" s="9">
        <f>MAX(0,MIN(Time!AJ33,Inputs!$F$229*12)-MIN(MAX(Time!AJ32,Inputs!$F$228*12),Inputs!$F$229*12))</f>
        <v/>
      </c>
      <c r="AK8" s="9">
        <f>MAX(0,MIN(Time!AK33,Inputs!$F$229*12)-MIN(MAX(Time!AK32,Inputs!$F$228*12),Inputs!$F$229*12))</f>
        <v/>
      </c>
      <c r="AL8" s="9">
        <f>MAX(0,MIN(Time!AL33,Inputs!$F$229*12)-MIN(MAX(Time!AL32,Inputs!$F$228*12),Inputs!$F$229*12))</f>
        <v/>
      </c>
      <c r="AM8" s="9">
        <f>MAX(0,MIN(Time!AM33,Inputs!$F$229*12)-MIN(MAX(Time!AM32,Inputs!$F$228*12),Inputs!$F$229*12))</f>
        <v/>
      </c>
      <c r="AN8" s="9">
        <f>MAX(0,MIN(Time!AN33,Inputs!$F$229*12)-MIN(MAX(Time!AN32,Inputs!$F$228*12),Inputs!$F$229*12))</f>
        <v/>
      </c>
      <c r="AO8" s="9">
        <f>MAX(0,MIN(Time!AO33,Inputs!$F$229*12)-MIN(MAX(Time!AO32,Inputs!$F$228*12),Inputs!$F$229*12))</f>
        <v/>
      </c>
      <c r="AP8" s="9">
        <f>MAX(0,MIN(Time!AP33,Inputs!$F$229*12)-MIN(MAX(Time!AP32,Inputs!$F$228*12),Inputs!$F$229*12))</f>
        <v/>
      </c>
      <c r="AQ8" s="9">
        <f>MAX(0,MIN(Time!AQ33,Inputs!$F$229*12)-MIN(MAX(Time!AQ32,Inputs!$F$228*12),Inputs!$F$229*12))</f>
        <v/>
      </c>
      <c r="AR8" s="9">
        <f>MAX(0,MIN(Time!AR33,Inputs!$F$229*12)-MIN(MAX(Time!AR32,Inputs!$F$228*12),Inputs!$F$229*12))</f>
        <v/>
      </c>
      <c r="AS8" s="9">
        <f>MAX(0,MIN(Time!AS33,Inputs!$F$229*12)-MIN(MAX(Time!AS32,Inputs!$F$228*12),Inputs!$F$229*12))</f>
        <v/>
      </c>
      <c r="AT8" s="9">
        <f>MAX(0,MIN(Time!AT33,Inputs!$F$229*12)-MIN(MAX(Time!AT32,Inputs!$F$228*12),Inputs!$F$229*12))</f>
        <v/>
      </c>
      <c r="AU8" s="9">
        <f>MAX(0,MIN(Time!AU33,Inputs!$F$229*12)-MIN(MAX(Time!AU32,Inputs!$F$228*12),Inputs!$F$229*12))</f>
        <v/>
      </c>
      <c r="AV8" s="9">
        <f>MAX(0,MIN(Time!AV33,Inputs!$F$229*12)-MIN(MAX(Time!AV32,Inputs!$F$228*12),Inputs!$F$229*12))</f>
        <v/>
      </c>
      <c r="AW8" s="9">
        <f>MAX(0,MIN(Time!AW33,Inputs!$F$229*12)-MIN(MAX(Time!AW32,Inputs!$F$228*12),Inputs!$F$229*12))</f>
        <v/>
      </c>
      <c r="AX8" s="9">
        <f>MAX(0,MIN(Time!AX33,Inputs!$F$229*12)-MIN(MAX(Time!AX32,Inputs!$F$228*12),Inputs!$F$229*12))</f>
        <v/>
      </c>
      <c r="AY8" s="9">
        <f>MAX(0,MIN(Time!AY33,Inputs!$F$229*12)-MIN(MAX(Time!AY32,Inputs!$F$228*12),Inputs!$F$229*12))</f>
        <v/>
      </c>
      <c r="AZ8" s="9">
        <f>MAX(0,MIN(Time!AZ33,Inputs!$F$229*12)-MIN(MAX(Time!AZ32,Inputs!$F$228*12),Inputs!$F$229*12))</f>
        <v/>
      </c>
      <c r="BA8" s="9">
        <f>MAX(0,MIN(Time!BA33,Inputs!$F$229*12)-MIN(MAX(Time!BA32,Inputs!$F$228*12),Inputs!$F$229*12))</f>
        <v/>
      </c>
      <c r="BB8" s="9">
        <f>MAX(0,MIN(Time!BB33,Inputs!$F$229*12)-MIN(MAX(Time!BB32,Inputs!$F$228*12),Inputs!$F$229*12))</f>
        <v/>
      </c>
      <c r="BC8" s="9">
        <f>MAX(0,MIN(Time!BC33,Inputs!$F$229*12)-MIN(MAX(Time!BC32,Inputs!$F$228*12),Inputs!$F$229*12))</f>
        <v/>
      </c>
      <c r="BD8" s="9">
        <f>MAX(0,MIN(Time!BD33,Inputs!$F$229*12)-MIN(MAX(Time!BD32,Inputs!$F$228*12),Inputs!$F$229*12))</f>
        <v/>
      </c>
      <c r="BE8" s="9">
        <f>MAX(0,MIN(Time!BE33,Inputs!$F$229*12)-MIN(MAX(Time!BE32,Inputs!$F$228*12),Inputs!$F$229*12))</f>
        <v/>
      </c>
      <c r="BF8" s="9">
        <f>MAX(0,MIN(Time!BF33,Inputs!$F$229*12)-MIN(MAX(Time!BF32,Inputs!$F$228*12),Inputs!$F$229*12))</f>
        <v/>
      </c>
      <c r="BG8" s="9">
        <f>MAX(0,MIN(Time!BG33,Inputs!$F$229*12)-MIN(MAX(Time!BG32,Inputs!$F$228*12),Inputs!$F$229*12))</f>
        <v/>
      </c>
      <c r="BH8" s="9">
        <f>MAX(0,MIN(Time!BH33,Inputs!$F$229*12)-MIN(MAX(Time!BH32,Inputs!$F$228*12),Inputs!$F$229*12))</f>
        <v/>
      </c>
      <c r="BI8" s="9">
        <f>MAX(0,MIN(Time!BI33,Inputs!$F$229*12)-MIN(MAX(Time!BI32,Inputs!$F$228*12),Inputs!$F$229*12))</f>
        <v/>
      </c>
      <c r="BJ8" s="9">
        <f>MAX(0,MIN(Time!BJ33,Inputs!$F$229*12)-MIN(MAX(Time!BJ32,Inputs!$F$228*12),Inputs!$F$229*12))</f>
        <v/>
      </c>
      <c r="BK8" s="9">
        <f>MAX(0,MIN(Time!BK33,Inputs!$F$229*12)-MIN(MAX(Time!BK32,Inputs!$F$228*12),Inputs!$F$229*12))</f>
        <v/>
      </c>
      <c r="BL8" s="9">
        <f>MAX(0,MIN(Time!BL33,Inputs!$F$229*12)-MIN(MAX(Time!BL32,Inputs!$F$228*12),Inputs!$F$229*12))</f>
        <v/>
      </c>
      <c r="BM8" s="9">
        <f>MAX(0,MIN(Time!BM33,Inputs!$F$229*12)-MIN(MAX(Time!BM32,Inputs!$F$228*12),Inputs!$F$229*12))</f>
        <v/>
      </c>
      <c r="BN8" s="9">
        <f>MAX(0,MIN(Time!BN33,Inputs!$F$229*12)-MIN(MAX(Time!BN32,Inputs!$F$228*12),Inputs!$F$229*12))</f>
        <v/>
      </c>
    </row>
    <row r="9">
      <c r="D9" t="inlineStr">
        <is>
          <t>Full-rate months (OY9+)</t>
        </is>
      </c>
      <c r="E9" t="inlineStr">
        <is>
          <t>months</t>
        </is>
      </c>
      <c r="J9" s="9">
        <f>Time!J30-J7-J8</f>
        <v/>
      </c>
      <c r="K9" s="9">
        <f>Time!K30-K7-K8</f>
        <v/>
      </c>
      <c r="L9" s="9">
        <f>Time!L30-L7-L8</f>
        <v/>
      </c>
      <c r="M9" s="9">
        <f>Time!M30-M7-M8</f>
        <v/>
      </c>
      <c r="N9" s="9">
        <f>Time!N30-N7-N8</f>
        <v/>
      </c>
      <c r="O9" s="9">
        <f>Time!O30-O7-O8</f>
        <v/>
      </c>
      <c r="P9" s="9">
        <f>Time!P30-P7-P8</f>
        <v/>
      </c>
      <c r="Q9" s="9">
        <f>Time!Q30-Q7-Q8</f>
        <v/>
      </c>
      <c r="R9" s="9">
        <f>Time!R30-R7-R8</f>
        <v/>
      </c>
      <c r="S9" s="9">
        <f>Time!S30-S7-S8</f>
        <v/>
      </c>
      <c r="T9" s="9">
        <f>Time!T30-T7-T8</f>
        <v/>
      </c>
      <c r="U9" s="9">
        <f>Time!U30-U7-U8</f>
        <v/>
      </c>
      <c r="V9" s="9">
        <f>Time!V30-V7-V8</f>
        <v/>
      </c>
      <c r="W9" s="9">
        <f>Time!W30-W7-W8</f>
        <v/>
      </c>
      <c r="X9" s="9">
        <f>Time!X30-X7-X8</f>
        <v/>
      </c>
      <c r="Y9" s="9">
        <f>Time!Y30-Y7-Y8</f>
        <v/>
      </c>
      <c r="Z9" s="9">
        <f>Time!Z30-Z7-Z8</f>
        <v/>
      </c>
      <c r="AA9" s="9">
        <f>Time!AA30-AA7-AA8</f>
        <v/>
      </c>
      <c r="AB9" s="9">
        <f>Time!AB30-AB7-AB8</f>
        <v/>
      </c>
      <c r="AC9" s="9">
        <f>Time!AC30-AC7-AC8</f>
        <v/>
      </c>
      <c r="AD9" s="9">
        <f>Time!AD30-AD7-AD8</f>
        <v/>
      </c>
      <c r="AE9" s="9">
        <f>Time!AE30-AE7-AE8</f>
        <v/>
      </c>
      <c r="AF9" s="9">
        <f>Time!AF30-AF7-AF8</f>
        <v/>
      </c>
      <c r="AG9" s="9">
        <f>Time!AG30-AG7-AG8</f>
        <v/>
      </c>
      <c r="AH9" s="9">
        <f>Time!AH30-AH7-AH8</f>
        <v/>
      </c>
      <c r="AI9" s="9">
        <f>Time!AI30-AI7-AI8</f>
        <v/>
      </c>
      <c r="AJ9" s="9">
        <f>Time!AJ30-AJ7-AJ8</f>
        <v/>
      </c>
      <c r="AK9" s="9">
        <f>Time!AK30-AK7-AK8</f>
        <v/>
      </c>
      <c r="AL9" s="9">
        <f>Time!AL30-AL7-AL8</f>
        <v/>
      </c>
      <c r="AM9" s="9">
        <f>Time!AM30-AM7-AM8</f>
        <v/>
      </c>
      <c r="AN9" s="9">
        <f>Time!AN30-AN7-AN8</f>
        <v/>
      </c>
      <c r="AO9" s="9">
        <f>Time!AO30-AO7-AO8</f>
        <v/>
      </c>
      <c r="AP9" s="9">
        <f>Time!AP30-AP7-AP8</f>
        <v/>
      </c>
      <c r="AQ9" s="9">
        <f>Time!AQ30-AQ7-AQ8</f>
        <v/>
      </c>
      <c r="AR9" s="9">
        <f>Time!AR30-AR7-AR8</f>
        <v/>
      </c>
      <c r="AS9" s="9">
        <f>Time!AS30-AS7-AS8</f>
        <v/>
      </c>
      <c r="AT9" s="9">
        <f>Time!AT30-AT7-AT8</f>
        <v/>
      </c>
      <c r="AU9" s="9">
        <f>Time!AU30-AU7-AU8</f>
        <v/>
      </c>
      <c r="AV9" s="9">
        <f>Time!AV30-AV7-AV8</f>
        <v/>
      </c>
      <c r="AW9" s="9">
        <f>Time!AW30-AW7-AW8</f>
        <v/>
      </c>
      <c r="AX9" s="9">
        <f>Time!AX30-AX7-AX8</f>
        <v/>
      </c>
      <c r="AY9" s="9">
        <f>Time!AY30-AY7-AY8</f>
        <v/>
      </c>
      <c r="AZ9" s="9">
        <f>Time!AZ30-AZ7-AZ8</f>
        <v/>
      </c>
      <c r="BA9" s="9">
        <f>Time!BA30-BA7-BA8</f>
        <v/>
      </c>
      <c r="BB9" s="9">
        <f>Time!BB30-BB7-BB8</f>
        <v/>
      </c>
      <c r="BC9" s="9">
        <f>Time!BC30-BC7-BC8</f>
        <v/>
      </c>
      <c r="BD9" s="9">
        <f>Time!BD30-BD7-BD8</f>
        <v/>
      </c>
      <c r="BE9" s="9">
        <f>Time!BE30-BE7-BE8</f>
        <v/>
      </c>
      <c r="BF9" s="9">
        <f>Time!BF30-BF7-BF8</f>
        <v/>
      </c>
      <c r="BG9" s="9">
        <f>Time!BG30-BG7-BG8</f>
        <v/>
      </c>
      <c r="BH9" s="9">
        <f>Time!BH30-BH7-BH8</f>
        <v/>
      </c>
      <c r="BI9" s="9">
        <f>Time!BI30-BI7-BI8</f>
        <v/>
      </c>
      <c r="BJ9" s="9">
        <f>Time!BJ30-BJ7-BJ8</f>
        <v/>
      </c>
      <c r="BK9" s="9">
        <f>Time!BK30-BK7-BK8</f>
        <v/>
      </c>
      <c r="BL9" s="9">
        <f>Time!BL30-BL7-BL8</f>
        <v/>
      </c>
      <c r="BM9" s="9">
        <f>Time!BM30-BM7-BM8</f>
        <v/>
      </c>
      <c r="BN9" s="9">
        <f>Time!BN30-BN7-BN8</f>
        <v/>
      </c>
    </row>
    <row r="10">
      <c r="D10" t="inlineStr">
        <is>
          <t>Tax depreciation (straight line from COD)</t>
        </is>
      </c>
      <c r="E10" t="inlineStr">
        <is>
          <t>USD m</t>
        </is>
      </c>
      <c r="G10" s="13">
        <f>SUM(J10:BN10)</f>
        <v/>
      </c>
      <c r="J10" s="13">
        <f>Inputs!$F$177*Funding!$F$76/Inputs!$F$178*MAX(0,MIN(Time!J33,Inputs!$F$178)-MIN(Time!J32,Inputs!$F$178))+Inputs!$F$179*Funding!$F$76/Inputs!$F$180*MAX(0,MIN(Time!J33,Inputs!$F$180)-MIN(Time!J32,Inputs!$F$180))+Inputs!$F$181*Funding!$F$76/Inputs!$F$182*MAX(0,MIN(Time!J33,Inputs!$F$182)-MIN(Time!J32,Inputs!$F$182))</f>
        <v/>
      </c>
      <c r="K10" s="13">
        <f>Inputs!$F$177*Funding!$F$76/Inputs!$F$178*MAX(0,MIN(Time!K33,Inputs!$F$178)-MIN(Time!K32,Inputs!$F$178))+Inputs!$F$179*Funding!$F$76/Inputs!$F$180*MAX(0,MIN(Time!K33,Inputs!$F$180)-MIN(Time!K32,Inputs!$F$180))+Inputs!$F$181*Funding!$F$76/Inputs!$F$182*MAX(0,MIN(Time!K33,Inputs!$F$182)-MIN(Time!K32,Inputs!$F$182))</f>
        <v/>
      </c>
      <c r="L10" s="13">
        <f>Inputs!$F$177*Funding!$F$76/Inputs!$F$178*MAX(0,MIN(Time!L33,Inputs!$F$178)-MIN(Time!L32,Inputs!$F$178))+Inputs!$F$179*Funding!$F$76/Inputs!$F$180*MAX(0,MIN(Time!L33,Inputs!$F$180)-MIN(Time!L32,Inputs!$F$180))+Inputs!$F$181*Funding!$F$76/Inputs!$F$182*MAX(0,MIN(Time!L33,Inputs!$F$182)-MIN(Time!L32,Inputs!$F$182))</f>
        <v/>
      </c>
      <c r="M10" s="13">
        <f>Inputs!$F$177*Funding!$F$76/Inputs!$F$178*MAX(0,MIN(Time!M33,Inputs!$F$178)-MIN(Time!M32,Inputs!$F$178))+Inputs!$F$179*Funding!$F$76/Inputs!$F$180*MAX(0,MIN(Time!M33,Inputs!$F$180)-MIN(Time!M32,Inputs!$F$180))+Inputs!$F$181*Funding!$F$76/Inputs!$F$182*MAX(0,MIN(Time!M33,Inputs!$F$182)-MIN(Time!M32,Inputs!$F$182))</f>
        <v/>
      </c>
      <c r="N10" s="13">
        <f>Inputs!$F$177*Funding!$F$76/Inputs!$F$178*MAX(0,MIN(Time!N33,Inputs!$F$178)-MIN(Time!N32,Inputs!$F$178))+Inputs!$F$179*Funding!$F$76/Inputs!$F$180*MAX(0,MIN(Time!N33,Inputs!$F$180)-MIN(Time!N32,Inputs!$F$180))+Inputs!$F$181*Funding!$F$76/Inputs!$F$182*MAX(0,MIN(Time!N33,Inputs!$F$182)-MIN(Time!N32,Inputs!$F$182))</f>
        <v/>
      </c>
      <c r="O10" s="13">
        <f>Inputs!$F$177*Funding!$F$76/Inputs!$F$178*MAX(0,MIN(Time!O33,Inputs!$F$178)-MIN(Time!O32,Inputs!$F$178))+Inputs!$F$179*Funding!$F$76/Inputs!$F$180*MAX(0,MIN(Time!O33,Inputs!$F$180)-MIN(Time!O32,Inputs!$F$180))+Inputs!$F$181*Funding!$F$76/Inputs!$F$182*MAX(0,MIN(Time!O33,Inputs!$F$182)-MIN(Time!O32,Inputs!$F$182))</f>
        <v/>
      </c>
      <c r="P10" s="13">
        <f>Inputs!$F$177*Funding!$F$76/Inputs!$F$178*MAX(0,MIN(Time!P33,Inputs!$F$178)-MIN(Time!P32,Inputs!$F$178))+Inputs!$F$179*Funding!$F$76/Inputs!$F$180*MAX(0,MIN(Time!P33,Inputs!$F$180)-MIN(Time!P32,Inputs!$F$180))+Inputs!$F$181*Funding!$F$76/Inputs!$F$182*MAX(0,MIN(Time!P33,Inputs!$F$182)-MIN(Time!P32,Inputs!$F$182))</f>
        <v/>
      </c>
      <c r="Q10" s="13">
        <f>Inputs!$F$177*Funding!$F$76/Inputs!$F$178*MAX(0,MIN(Time!Q33,Inputs!$F$178)-MIN(Time!Q32,Inputs!$F$178))+Inputs!$F$179*Funding!$F$76/Inputs!$F$180*MAX(0,MIN(Time!Q33,Inputs!$F$180)-MIN(Time!Q32,Inputs!$F$180))+Inputs!$F$181*Funding!$F$76/Inputs!$F$182*MAX(0,MIN(Time!Q33,Inputs!$F$182)-MIN(Time!Q32,Inputs!$F$182))</f>
        <v/>
      </c>
      <c r="R10" s="13">
        <f>Inputs!$F$177*Funding!$F$76/Inputs!$F$178*MAX(0,MIN(Time!R33,Inputs!$F$178)-MIN(Time!R32,Inputs!$F$178))+Inputs!$F$179*Funding!$F$76/Inputs!$F$180*MAX(0,MIN(Time!R33,Inputs!$F$180)-MIN(Time!R32,Inputs!$F$180))+Inputs!$F$181*Funding!$F$76/Inputs!$F$182*MAX(0,MIN(Time!R33,Inputs!$F$182)-MIN(Time!R32,Inputs!$F$182))</f>
        <v/>
      </c>
      <c r="S10" s="13">
        <f>Inputs!$F$177*Funding!$F$76/Inputs!$F$178*MAX(0,MIN(Time!S33,Inputs!$F$178)-MIN(Time!S32,Inputs!$F$178))+Inputs!$F$179*Funding!$F$76/Inputs!$F$180*MAX(0,MIN(Time!S33,Inputs!$F$180)-MIN(Time!S32,Inputs!$F$180))+Inputs!$F$181*Funding!$F$76/Inputs!$F$182*MAX(0,MIN(Time!S33,Inputs!$F$182)-MIN(Time!S32,Inputs!$F$182))</f>
        <v/>
      </c>
      <c r="T10" s="13">
        <f>Inputs!$F$177*Funding!$F$76/Inputs!$F$178*MAX(0,MIN(Time!T33,Inputs!$F$178)-MIN(Time!T32,Inputs!$F$178))+Inputs!$F$179*Funding!$F$76/Inputs!$F$180*MAX(0,MIN(Time!T33,Inputs!$F$180)-MIN(Time!T32,Inputs!$F$180))+Inputs!$F$181*Funding!$F$76/Inputs!$F$182*MAX(0,MIN(Time!T33,Inputs!$F$182)-MIN(Time!T32,Inputs!$F$182))</f>
        <v/>
      </c>
      <c r="U10" s="13">
        <f>Inputs!$F$177*Funding!$F$76/Inputs!$F$178*MAX(0,MIN(Time!U33,Inputs!$F$178)-MIN(Time!U32,Inputs!$F$178))+Inputs!$F$179*Funding!$F$76/Inputs!$F$180*MAX(0,MIN(Time!U33,Inputs!$F$180)-MIN(Time!U32,Inputs!$F$180))+Inputs!$F$181*Funding!$F$76/Inputs!$F$182*MAX(0,MIN(Time!U33,Inputs!$F$182)-MIN(Time!U32,Inputs!$F$182))</f>
        <v/>
      </c>
      <c r="V10" s="13">
        <f>Inputs!$F$177*Funding!$F$76/Inputs!$F$178*MAX(0,MIN(Time!V33,Inputs!$F$178)-MIN(Time!V32,Inputs!$F$178))+Inputs!$F$179*Funding!$F$76/Inputs!$F$180*MAX(0,MIN(Time!V33,Inputs!$F$180)-MIN(Time!V32,Inputs!$F$180))+Inputs!$F$181*Funding!$F$76/Inputs!$F$182*MAX(0,MIN(Time!V33,Inputs!$F$182)-MIN(Time!V32,Inputs!$F$182))</f>
        <v/>
      </c>
      <c r="W10" s="13">
        <f>Inputs!$F$177*Funding!$F$76/Inputs!$F$178*MAX(0,MIN(Time!W33,Inputs!$F$178)-MIN(Time!W32,Inputs!$F$178))+Inputs!$F$179*Funding!$F$76/Inputs!$F$180*MAX(0,MIN(Time!W33,Inputs!$F$180)-MIN(Time!W32,Inputs!$F$180))+Inputs!$F$181*Funding!$F$76/Inputs!$F$182*MAX(0,MIN(Time!W33,Inputs!$F$182)-MIN(Time!W32,Inputs!$F$182))</f>
        <v/>
      </c>
      <c r="X10" s="13">
        <f>Inputs!$F$177*Funding!$F$76/Inputs!$F$178*MAX(0,MIN(Time!X33,Inputs!$F$178)-MIN(Time!X32,Inputs!$F$178))+Inputs!$F$179*Funding!$F$76/Inputs!$F$180*MAX(0,MIN(Time!X33,Inputs!$F$180)-MIN(Time!X32,Inputs!$F$180))+Inputs!$F$181*Funding!$F$76/Inputs!$F$182*MAX(0,MIN(Time!X33,Inputs!$F$182)-MIN(Time!X32,Inputs!$F$182))</f>
        <v/>
      </c>
      <c r="Y10" s="13">
        <f>Inputs!$F$177*Funding!$F$76/Inputs!$F$178*MAX(0,MIN(Time!Y33,Inputs!$F$178)-MIN(Time!Y32,Inputs!$F$178))+Inputs!$F$179*Funding!$F$76/Inputs!$F$180*MAX(0,MIN(Time!Y33,Inputs!$F$180)-MIN(Time!Y32,Inputs!$F$180))+Inputs!$F$181*Funding!$F$76/Inputs!$F$182*MAX(0,MIN(Time!Y33,Inputs!$F$182)-MIN(Time!Y32,Inputs!$F$182))</f>
        <v/>
      </c>
      <c r="Z10" s="13">
        <f>Inputs!$F$177*Funding!$F$76/Inputs!$F$178*MAX(0,MIN(Time!Z33,Inputs!$F$178)-MIN(Time!Z32,Inputs!$F$178))+Inputs!$F$179*Funding!$F$76/Inputs!$F$180*MAX(0,MIN(Time!Z33,Inputs!$F$180)-MIN(Time!Z32,Inputs!$F$180))+Inputs!$F$181*Funding!$F$76/Inputs!$F$182*MAX(0,MIN(Time!Z33,Inputs!$F$182)-MIN(Time!Z32,Inputs!$F$182))</f>
        <v/>
      </c>
      <c r="AA10" s="13">
        <f>Inputs!$F$177*Funding!$F$76/Inputs!$F$178*MAX(0,MIN(Time!AA33,Inputs!$F$178)-MIN(Time!AA32,Inputs!$F$178))+Inputs!$F$179*Funding!$F$76/Inputs!$F$180*MAX(0,MIN(Time!AA33,Inputs!$F$180)-MIN(Time!AA32,Inputs!$F$180))+Inputs!$F$181*Funding!$F$76/Inputs!$F$182*MAX(0,MIN(Time!AA33,Inputs!$F$182)-MIN(Time!AA32,Inputs!$F$182))</f>
        <v/>
      </c>
      <c r="AB10" s="13">
        <f>Inputs!$F$177*Funding!$F$76/Inputs!$F$178*MAX(0,MIN(Time!AB33,Inputs!$F$178)-MIN(Time!AB32,Inputs!$F$178))+Inputs!$F$179*Funding!$F$76/Inputs!$F$180*MAX(0,MIN(Time!AB33,Inputs!$F$180)-MIN(Time!AB32,Inputs!$F$180))+Inputs!$F$181*Funding!$F$76/Inputs!$F$182*MAX(0,MIN(Time!AB33,Inputs!$F$182)-MIN(Time!AB32,Inputs!$F$182))</f>
        <v/>
      </c>
      <c r="AC10" s="13">
        <f>Inputs!$F$177*Funding!$F$76/Inputs!$F$178*MAX(0,MIN(Time!AC33,Inputs!$F$178)-MIN(Time!AC32,Inputs!$F$178))+Inputs!$F$179*Funding!$F$76/Inputs!$F$180*MAX(0,MIN(Time!AC33,Inputs!$F$180)-MIN(Time!AC32,Inputs!$F$180))+Inputs!$F$181*Funding!$F$76/Inputs!$F$182*MAX(0,MIN(Time!AC33,Inputs!$F$182)-MIN(Time!AC32,Inputs!$F$182))</f>
        <v/>
      </c>
      <c r="AD10" s="13">
        <f>Inputs!$F$177*Funding!$F$76/Inputs!$F$178*MAX(0,MIN(Time!AD33,Inputs!$F$178)-MIN(Time!AD32,Inputs!$F$178))+Inputs!$F$179*Funding!$F$76/Inputs!$F$180*MAX(0,MIN(Time!AD33,Inputs!$F$180)-MIN(Time!AD32,Inputs!$F$180))+Inputs!$F$181*Funding!$F$76/Inputs!$F$182*MAX(0,MIN(Time!AD33,Inputs!$F$182)-MIN(Time!AD32,Inputs!$F$182))</f>
        <v/>
      </c>
      <c r="AE10" s="13">
        <f>Inputs!$F$177*Funding!$F$76/Inputs!$F$178*MAX(0,MIN(Time!AE33,Inputs!$F$178)-MIN(Time!AE32,Inputs!$F$178))+Inputs!$F$179*Funding!$F$76/Inputs!$F$180*MAX(0,MIN(Time!AE33,Inputs!$F$180)-MIN(Time!AE32,Inputs!$F$180))+Inputs!$F$181*Funding!$F$76/Inputs!$F$182*MAX(0,MIN(Time!AE33,Inputs!$F$182)-MIN(Time!AE32,Inputs!$F$182))</f>
        <v/>
      </c>
      <c r="AF10" s="13">
        <f>Inputs!$F$177*Funding!$F$76/Inputs!$F$178*MAX(0,MIN(Time!AF33,Inputs!$F$178)-MIN(Time!AF32,Inputs!$F$178))+Inputs!$F$179*Funding!$F$76/Inputs!$F$180*MAX(0,MIN(Time!AF33,Inputs!$F$180)-MIN(Time!AF32,Inputs!$F$180))+Inputs!$F$181*Funding!$F$76/Inputs!$F$182*MAX(0,MIN(Time!AF33,Inputs!$F$182)-MIN(Time!AF32,Inputs!$F$182))</f>
        <v/>
      </c>
      <c r="AG10" s="13">
        <f>Inputs!$F$177*Funding!$F$76/Inputs!$F$178*MAX(0,MIN(Time!AG33,Inputs!$F$178)-MIN(Time!AG32,Inputs!$F$178))+Inputs!$F$179*Funding!$F$76/Inputs!$F$180*MAX(0,MIN(Time!AG33,Inputs!$F$180)-MIN(Time!AG32,Inputs!$F$180))+Inputs!$F$181*Funding!$F$76/Inputs!$F$182*MAX(0,MIN(Time!AG33,Inputs!$F$182)-MIN(Time!AG32,Inputs!$F$182))</f>
        <v/>
      </c>
      <c r="AH10" s="13">
        <f>Inputs!$F$177*Funding!$F$76/Inputs!$F$178*MAX(0,MIN(Time!AH33,Inputs!$F$178)-MIN(Time!AH32,Inputs!$F$178))+Inputs!$F$179*Funding!$F$76/Inputs!$F$180*MAX(0,MIN(Time!AH33,Inputs!$F$180)-MIN(Time!AH32,Inputs!$F$180))+Inputs!$F$181*Funding!$F$76/Inputs!$F$182*MAX(0,MIN(Time!AH33,Inputs!$F$182)-MIN(Time!AH32,Inputs!$F$182))</f>
        <v/>
      </c>
      <c r="AI10" s="13">
        <f>Inputs!$F$177*Funding!$F$76/Inputs!$F$178*MAX(0,MIN(Time!AI33,Inputs!$F$178)-MIN(Time!AI32,Inputs!$F$178))+Inputs!$F$179*Funding!$F$76/Inputs!$F$180*MAX(0,MIN(Time!AI33,Inputs!$F$180)-MIN(Time!AI32,Inputs!$F$180))+Inputs!$F$181*Funding!$F$76/Inputs!$F$182*MAX(0,MIN(Time!AI33,Inputs!$F$182)-MIN(Time!AI32,Inputs!$F$182))</f>
        <v/>
      </c>
      <c r="AJ10" s="13">
        <f>Inputs!$F$177*Funding!$F$76/Inputs!$F$178*MAX(0,MIN(Time!AJ33,Inputs!$F$178)-MIN(Time!AJ32,Inputs!$F$178))+Inputs!$F$179*Funding!$F$76/Inputs!$F$180*MAX(0,MIN(Time!AJ33,Inputs!$F$180)-MIN(Time!AJ32,Inputs!$F$180))+Inputs!$F$181*Funding!$F$76/Inputs!$F$182*MAX(0,MIN(Time!AJ33,Inputs!$F$182)-MIN(Time!AJ32,Inputs!$F$182))</f>
        <v/>
      </c>
      <c r="AK10" s="13">
        <f>Inputs!$F$177*Funding!$F$76/Inputs!$F$178*MAX(0,MIN(Time!AK33,Inputs!$F$178)-MIN(Time!AK32,Inputs!$F$178))+Inputs!$F$179*Funding!$F$76/Inputs!$F$180*MAX(0,MIN(Time!AK33,Inputs!$F$180)-MIN(Time!AK32,Inputs!$F$180))+Inputs!$F$181*Funding!$F$76/Inputs!$F$182*MAX(0,MIN(Time!AK33,Inputs!$F$182)-MIN(Time!AK32,Inputs!$F$182))</f>
        <v/>
      </c>
      <c r="AL10" s="13">
        <f>Inputs!$F$177*Funding!$F$76/Inputs!$F$178*MAX(0,MIN(Time!AL33,Inputs!$F$178)-MIN(Time!AL32,Inputs!$F$178))+Inputs!$F$179*Funding!$F$76/Inputs!$F$180*MAX(0,MIN(Time!AL33,Inputs!$F$180)-MIN(Time!AL32,Inputs!$F$180))+Inputs!$F$181*Funding!$F$76/Inputs!$F$182*MAX(0,MIN(Time!AL33,Inputs!$F$182)-MIN(Time!AL32,Inputs!$F$182))</f>
        <v/>
      </c>
      <c r="AM10" s="13">
        <f>Inputs!$F$177*Funding!$F$76/Inputs!$F$178*MAX(0,MIN(Time!AM33,Inputs!$F$178)-MIN(Time!AM32,Inputs!$F$178))+Inputs!$F$179*Funding!$F$76/Inputs!$F$180*MAX(0,MIN(Time!AM33,Inputs!$F$180)-MIN(Time!AM32,Inputs!$F$180))+Inputs!$F$181*Funding!$F$76/Inputs!$F$182*MAX(0,MIN(Time!AM33,Inputs!$F$182)-MIN(Time!AM32,Inputs!$F$182))</f>
        <v/>
      </c>
      <c r="AN10" s="13">
        <f>Inputs!$F$177*Funding!$F$76/Inputs!$F$178*MAX(0,MIN(Time!AN33,Inputs!$F$178)-MIN(Time!AN32,Inputs!$F$178))+Inputs!$F$179*Funding!$F$76/Inputs!$F$180*MAX(0,MIN(Time!AN33,Inputs!$F$180)-MIN(Time!AN32,Inputs!$F$180))+Inputs!$F$181*Funding!$F$76/Inputs!$F$182*MAX(0,MIN(Time!AN33,Inputs!$F$182)-MIN(Time!AN32,Inputs!$F$182))</f>
        <v/>
      </c>
      <c r="AO10" s="13">
        <f>Inputs!$F$177*Funding!$F$76/Inputs!$F$178*MAX(0,MIN(Time!AO33,Inputs!$F$178)-MIN(Time!AO32,Inputs!$F$178))+Inputs!$F$179*Funding!$F$76/Inputs!$F$180*MAX(0,MIN(Time!AO33,Inputs!$F$180)-MIN(Time!AO32,Inputs!$F$180))+Inputs!$F$181*Funding!$F$76/Inputs!$F$182*MAX(0,MIN(Time!AO33,Inputs!$F$182)-MIN(Time!AO32,Inputs!$F$182))</f>
        <v/>
      </c>
      <c r="AP10" s="13">
        <f>Inputs!$F$177*Funding!$F$76/Inputs!$F$178*MAX(0,MIN(Time!AP33,Inputs!$F$178)-MIN(Time!AP32,Inputs!$F$178))+Inputs!$F$179*Funding!$F$76/Inputs!$F$180*MAX(0,MIN(Time!AP33,Inputs!$F$180)-MIN(Time!AP32,Inputs!$F$180))+Inputs!$F$181*Funding!$F$76/Inputs!$F$182*MAX(0,MIN(Time!AP33,Inputs!$F$182)-MIN(Time!AP32,Inputs!$F$182))</f>
        <v/>
      </c>
      <c r="AQ10" s="13">
        <f>Inputs!$F$177*Funding!$F$76/Inputs!$F$178*MAX(0,MIN(Time!AQ33,Inputs!$F$178)-MIN(Time!AQ32,Inputs!$F$178))+Inputs!$F$179*Funding!$F$76/Inputs!$F$180*MAX(0,MIN(Time!AQ33,Inputs!$F$180)-MIN(Time!AQ32,Inputs!$F$180))+Inputs!$F$181*Funding!$F$76/Inputs!$F$182*MAX(0,MIN(Time!AQ33,Inputs!$F$182)-MIN(Time!AQ32,Inputs!$F$182))</f>
        <v/>
      </c>
      <c r="AR10" s="13">
        <f>Inputs!$F$177*Funding!$F$76/Inputs!$F$178*MAX(0,MIN(Time!AR33,Inputs!$F$178)-MIN(Time!AR32,Inputs!$F$178))+Inputs!$F$179*Funding!$F$76/Inputs!$F$180*MAX(0,MIN(Time!AR33,Inputs!$F$180)-MIN(Time!AR32,Inputs!$F$180))+Inputs!$F$181*Funding!$F$76/Inputs!$F$182*MAX(0,MIN(Time!AR33,Inputs!$F$182)-MIN(Time!AR32,Inputs!$F$182))</f>
        <v/>
      </c>
      <c r="AS10" s="13">
        <f>Inputs!$F$177*Funding!$F$76/Inputs!$F$178*MAX(0,MIN(Time!AS33,Inputs!$F$178)-MIN(Time!AS32,Inputs!$F$178))+Inputs!$F$179*Funding!$F$76/Inputs!$F$180*MAX(0,MIN(Time!AS33,Inputs!$F$180)-MIN(Time!AS32,Inputs!$F$180))+Inputs!$F$181*Funding!$F$76/Inputs!$F$182*MAX(0,MIN(Time!AS33,Inputs!$F$182)-MIN(Time!AS32,Inputs!$F$182))</f>
        <v/>
      </c>
      <c r="AT10" s="13">
        <f>Inputs!$F$177*Funding!$F$76/Inputs!$F$178*MAX(0,MIN(Time!AT33,Inputs!$F$178)-MIN(Time!AT32,Inputs!$F$178))+Inputs!$F$179*Funding!$F$76/Inputs!$F$180*MAX(0,MIN(Time!AT33,Inputs!$F$180)-MIN(Time!AT32,Inputs!$F$180))+Inputs!$F$181*Funding!$F$76/Inputs!$F$182*MAX(0,MIN(Time!AT33,Inputs!$F$182)-MIN(Time!AT32,Inputs!$F$182))</f>
        <v/>
      </c>
      <c r="AU10" s="13">
        <f>Inputs!$F$177*Funding!$F$76/Inputs!$F$178*MAX(0,MIN(Time!AU33,Inputs!$F$178)-MIN(Time!AU32,Inputs!$F$178))+Inputs!$F$179*Funding!$F$76/Inputs!$F$180*MAX(0,MIN(Time!AU33,Inputs!$F$180)-MIN(Time!AU32,Inputs!$F$180))+Inputs!$F$181*Funding!$F$76/Inputs!$F$182*MAX(0,MIN(Time!AU33,Inputs!$F$182)-MIN(Time!AU32,Inputs!$F$182))</f>
        <v/>
      </c>
      <c r="AV10" s="13">
        <f>Inputs!$F$177*Funding!$F$76/Inputs!$F$178*MAX(0,MIN(Time!AV33,Inputs!$F$178)-MIN(Time!AV32,Inputs!$F$178))+Inputs!$F$179*Funding!$F$76/Inputs!$F$180*MAX(0,MIN(Time!AV33,Inputs!$F$180)-MIN(Time!AV32,Inputs!$F$180))+Inputs!$F$181*Funding!$F$76/Inputs!$F$182*MAX(0,MIN(Time!AV33,Inputs!$F$182)-MIN(Time!AV32,Inputs!$F$182))</f>
        <v/>
      </c>
      <c r="AW10" s="13">
        <f>Inputs!$F$177*Funding!$F$76/Inputs!$F$178*MAX(0,MIN(Time!AW33,Inputs!$F$178)-MIN(Time!AW32,Inputs!$F$178))+Inputs!$F$179*Funding!$F$76/Inputs!$F$180*MAX(0,MIN(Time!AW33,Inputs!$F$180)-MIN(Time!AW32,Inputs!$F$180))+Inputs!$F$181*Funding!$F$76/Inputs!$F$182*MAX(0,MIN(Time!AW33,Inputs!$F$182)-MIN(Time!AW32,Inputs!$F$182))</f>
        <v/>
      </c>
      <c r="AX10" s="13">
        <f>Inputs!$F$177*Funding!$F$76/Inputs!$F$178*MAX(0,MIN(Time!AX33,Inputs!$F$178)-MIN(Time!AX32,Inputs!$F$178))+Inputs!$F$179*Funding!$F$76/Inputs!$F$180*MAX(0,MIN(Time!AX33,Inputs!$F$180)-MIN(Time!AX32,Inputs!$F$180))+Inputs!$F$181*Funding!$F$76/Inputs!$F$182*MAX(0,MIN(Time!AX33,Inputs!$F$182)-MIN(Time!AX32,Inputs!$F$182))</f>
        <v/>
      </c>
      <c r="AY10" s="13">
        <f>Inputs!$F$177*Funding!$F$76/Inputs!$F$178*MAX(0,MIN(Time!AY33,Inputs!$F$178)-MIN(Time!AY32,Inputs!$F$178))+Inputs!$F$179*Funding!$F$76/Inputs!$F$180*MAX(0,MIN(Time!AY33,Inputs!$F$180)-MIN(Time!AY32,Inputs!$F$180))+Inputs!$F$181*Funding!$F$76/Inputs!$F$182*MAX(0,MIN(Time!AY33,Inputs!$F$182)-MIN(Time!AY32,Inputs!$F$182))</f>
        <v/>
      </c>
      <c r="AZ10" s="13">
        <f>Inputs!$F$177*Funding!$F$76/Inputs!$F$178*MAX(0,MIN(Time!AZ33,Inputs!$F$178)-MIN(Time!AZ32,Inputs!$F$178))+Inputs!$F$179*Funding!$F$76/Inputs!$F$180*MAX(0,MIN(Time!AZ33,Inputs!$F$180)-MIN(Time!AZ32,Inputs!$F$180))+Inputs!$F$181*Funding!$F$76/Inputs!$F$182*MAX(0,MIN(Time!AZ33,Inputs!$F$182)-MIN(Time!AZ32,Inputs!$F$182))</f>
        <v/>
      </c>
      <c r="BA10" s="13">
        <f>Inputs!$F$177*Funding!$F$76/Inputs!$F$178*MAX(0,MIN(Time!BA33,Inputs!$F$178)-MIN(Time!BA32,Inputs!$F$178))+Inputs!$F$179*Funding!$F$76/Inputs!$F$180*MAX(0,MIN(Time!BA33,Inputs!$F$180)-MIN(Time!BA32,Inputs!$F$180))+Inputs!$F$181*Funding!$F$76/Inputs!$F$182*MAX(0,MIN(Time!BA33,Inputs!$F$182)-MIN(Time!BA32,Inputs!$F$182))</f>
        <v/>
      </c>
      <c r="BB10" s="13">
        <f>Inputs!$F$177*Funding!$F$76/Inputs!$F$178*MAX(0,MIN(Time!BB33,Inputs!$F$178)-MIN(Time!BB32,Inputs!$F$178))+Inputs!$F$179*Funding!$F$76/Inputs!$F$180*MAX(0,MIN(Time!BB33,Inputs!$F$180)-MIN(Time!BB32,Inputs!$F$180))+Inputs!$F$181*Funding!$F$76/Inputs!$F$182*MAX(0,MIN(Time!BB33,Inputs!$F$182)-MIN(Time!BB32,Inputs!$F$182))</f>
        <v/>
      </c>
      <c r="BC10" s="13">
        <f>Inputs!$F$177*Funding!$F$76/Inputs!$F$178*MAX(0,MIN(Time!BC33,Inputs!$F$178)-MIN(Time!BC32,Inputs!$F$178))+Inputs!$F$179*Funding!$F$76/Inputs!$F$180*MAX(0,MIN(Time!BC33,Inputs!$F$180)-MIN(Time!BC32,Inputs!$F$180))+Inputs!$F$181*Funding!$F$76/Inputs!$F$182*MAX(0,MIN(Time!BC33,Inputs!$F$182)-MIN(Time!BC32,Inputs!$F$182))</f>
        <v/>
      </c>
      <c r="BD10" s="13">
        <f>Inputs!$F$177*Funding!$F$76/Inputs!$F$178*MAX(0,MIN(Time!BD33,Inputs!$F$178)-MIN(Time!BD32,Inputs!$F$178))+Inputs!$F$179*Funding!$F$76/Inputs!$F$180*MAX(0,MIN(Time!BD33,Inputs!$F$180)-MIN(Time!BD32,Inputs!$F$180))+Inputs!$F$181*Funding!$F$76/Inputs!$F$182*MAX(0,MIN(Time!BD33,Inputs!$F$182)-MIN(Time!BD32,Inputs!$F$182))</f>
        <v/>
      </c>
      <c r="BE10" s="13">
        <f>Inputs!$F$177*Funding!$F$76/Inputs!$F$178*MAX(0,MIN(Time!BE33,Inputs!$F$178)-MIN(Time!BE32,Inputs!$F$178))+Inputs!$F$179*Funding!$F$76/Inputs!$F$180*MAX(0,MIN(Time!BE33,Inputs!$F$180)-MIN(Time!BE32,Inputs!$F$180))+Inputs!$F$181*Funding!$F$76/Inputs!$F$182*MAX(0,MIN(Time!BE33,Inputs!$F$182)-MIN(Time!BE32,Inputs!$F$182))</f>
        <v/>
      </c>
      <c r="BF10" s="13">
        <f>Inputs!$F$177*Funding!$F$76/Inputs!$F$178*MAX(0,MIN(Time!BF33,Inputs!$F$178)-MIN(Time!BF32,Inputs!$F$178))+Inputs!$F$179*Funding!$F$76/Inputs!$F$180*MAX(0,MIN(Time!BF33,Inputs!$F$180)-MIN(Time!BF32,Inputs!$F$180))+Inputs!$F$181*Funding!$F$76/Inputs!$F$182*MAX(0,MIN(Time!BF33,Inputs!$F$182)-MIN(Time!BF32,Inputs!$F$182))</f>
        <v/>
      </c>
      <c r="BG10" s="13">
        <f>Inputs!$F$177*Funding!$F$76/Inputs!$F$178*MAX(0,MIN(Time!BG33,Inputs!$F$178)-MIN(Time!BG32,Inputs!$F$178))+Inputs!$F$179*Funding!$F$76/Inputs!$F$180*MAX(0,MIN(Time!BG33,Inputs!$F$180)-MIN(Time!BG32,Inputs!$F$180))+Inputs!$F$181*Funding!$F$76/Inputs!$F$182*MAX(0,MIN(Time!BG33,Inputs!$F$182)-MIN(Time!BG32,Inputs!$F$182))</f>
        <v/>
      </c>
      <c r="BH10" s="13">
        <f>Inputs!$F$177*Funding!$F$76/Inputs!$F$178*MAX(0,MIN(Time!BH33,Inputs!$F$178)-MIN(Time!BH32,Inputs!$F$178))+Inputs!$F$179*Funding!$F$76/Inputs!$F$180*MAX(0,MIN(Time!BH33,Inputs!$F$180)-MIN(Time!BH32,Inputs!$F$180))+Inputs!$F$181*Funding!$F$76/Inputs!$F$182*MAX(0,MIN(Time!BH33,Inputs!$F$182)-MIN(Time!BH32,Inputs!$F$182))</f>
        <v/>
      </c>
      <c r="BI10" s="13">
        <f>Inputs!$F$177*Funding!$F$76/Inputs!$F$178*MAX(0,MIN(Time!BI33,Inputs!$F$178)-MIN(Time!BI32,Inputs!$F$178))+Inputs!$F$179*Funding!$F$76/Inputs!$F$180*MAX(0,MIN(Time!BI33,Inputs!$F$180)-MIN(Time!BI32,Inputs!$F$180))+Inputs!$F$181*Funding!$F$76/Inputs!$F$182*MAX(0,MIN(Time!BI33,Inputs!$F$182)-MIN(Time!BI32,Inputs!$F$182))</f>
        <v/>
      </c>
      <c r="BJ10" s="13">
        <f>Inputs!$F$177*Funding!$F$76/Inputs!$F$178*MAX(0,MIN(Time!BJ33,Inputs!$F$178)-MIN(Time!BJ32,Inputs!$F$178))+Inputs!$F$179*Funding!$F$76/Inputs!$F$180*MAX(0,MIN(Time!BJ33,Inputs!$F$180)-MIN(Time!BJ32,Inputs!$F$180))+Inputs!$F$181*Funding!$F$76/Inputs!$F$182*MAX(0,MIN(Time!BJ33,Inputs!$F$182)-MIN(Time!BJ32,Inputs!$F$182))</f>
        <v/>
      </c>
      <c r="BK10" s="13">
        <f>Inputs!$F$177*Funding!$F$76/Inputs!$F$178*MAX(0,MIN(Time!BK33,Inputs!$F$178)-MIN(Time!BK32,Inputs!$F$178))+Inputs!$F$179*Funding!$F$76/Inputs!$F$180*MAX(0,MIN(Time!BK33,Inputs!$F$180)-MIN(Time!BK32,Inputs!$F$180))+Inputs!$F$181*Funding!$F$76/Inputs!$F$182*MAX(0,MIN(Time!BK33,Inputs!$F$182)-MIN(Time!BK32,Inputs!$F$182))</f>
        <v/>
      </c>
      <c r="BL10" s="13">
        <f>Inputs!$F$177*Funding!$F$76/Inputs!$F$178*MAX(0,MIN(Time!BL33,Inputs!$F$178)-MIN(Time!BL32,Inputs!$F$178))+Inputs!$F$179*Funding!$F$76/Inputs!$F$180*MAX(0,MIN(Time!BL33,Inputs!$F$180)-MIN(Time!BL32,Inputs!$F$180))+Inputs!$F$181*Funding!$F$76/Inputs!$F$182*MAX(0,MIN(Time!BL33,Inputs!$F$182)-MIN(Time!BL32,Inputs!$F$182))</f>
        <v/>
      </c>
      <c r="BM10" s="13">
        <f>Inputs!$F$177*Funding!$F$76/Inputs!$F$178*MAX(0,MIN(Time!BM33,Inputs!$F$178)-MIN(Time!BM32,Inputs!$F$178))+Inputs!$F$179*Funding!$F$76/Inputs!$F$180*MAX(0,MIN(Time!BM33,Inputs!$F$180)-MIN(Time!BM32,Inputs!$F$180))+Inputs!$F$181*Funding!$F$76/Inputs!$F$182*MAX(0,MIN(Time!BM33,Inputs!$F$182)-MIN(Time!BM32,Inputs!$F$182))</f>
        <v/>
      </c>
      <c r="BN10" s="13">
        <f>Inputs!$F$177*Funding!$F$76/Inputs!$F$178*MAX(0,MIN(Time!BN33,Inputs!$F$178)-MIN(Time!BN32,Inputs!$F$178))+Inputs!$F$179*Funding!$F$76/Inputs!$F$180*MAX(0,MIN(Time!BN33,Inputs!$F$180)-MIN(Time!BN32,Inputs!$F$180))+Inputs!$F$181*Funding!$F$76/Inputs!$F$182*MAX(0,MIN(Time!BN33,Inputs!$F$182)-MIN(Time!BN32,Inputs!$F$182))</f>
        <v/>
      </c>
    </row>
    <row r="11">
      <c r="D11" t="inlineStr">
        <is>
          <t>Depreciation of holiday months (deemed deferred)</t>
        </is>
      </c>
      <c r="E11" t="inlineStr">
        <is>
          <t>USD m</t>
        </is>
      </c>
      <c r="G11" s="13">
        <f>SUM(J11:BN11)</f>
        <v/>
      </c>
      <c r="J11" s="13">
        <f>(Inputs!$F$177*Funding!$F$76/Inputs!$F$178+Inputs!$F$179*Funding!$F$76/Inputs!$F$180)*J7+Inputs!$F$181*Funding!$F$76/Inputs!$F$182*MAX(0,MIN(Time!J33,MIN(Inputs!$F$182,Inputs!$F$228*12))-MIN(Time!J32,MIN(Inputs!$F$182,Inputs!$F$228*12)))</f>
        <v/>
      </c>
      <c r="K11" s="13">
        <f>(Inputs!$F$177*Funding!$F$76/Inputs!$F$178+Inputs!$F$179*Funding!$F$76/Inputs!$F$180)*K7+Inputs!$F$181*Funding!$F$76/Inputs!$F$182*MAX(0,MIN(Time!K33,MIN(Inputs!$F$182,Inputs!$F$228*12))-MIN(Time!K32,MIN(Inputs!$F$182,Inputs!$F$228*12)))</f>
        <v/>
      </c>
      <c r="L11" s="13">
        <f>(Inputs!$F$177*Funding!$F$76/Inputs!$F$178+Inputs!$F$179*Funding!$F$76/Inputs!$F$180)*L7+Inputs!$F$181*Funding!$F$76/Inputs!$F$182*MAX(0,MIN(Time!L33,MIN(Inputs!$F$182,Inputs!$F$228*12))-MIN(Time!L32,MIN(Inputs!$F$182,Inputs!$F$228*12)))</f>
        <v/>
      </c>
      <c r="M11" s="13">
        <f>(Inputs!$F$177*Funding!$F$76/Inputs!$F$178+Inputs!$F$179*Funding!$F$76/Inputs!$F$180)*M7+Inputs!$F$181*Funding!$F$76/Inputs!$F$182*MAX(0,MIN(Time!M33,MIN(Inputs!$F$182,Inputs!$F$228*12))-MIN(Time!M32,MIN(Inputs!$F$182,Inputs!$F$228*12)))</f>
        <v/>
      </c>
      <c r="N11" s="13">
        <f>(Inputs!$F$177*Funding!$F$76/Inputs!$F$178+Inputs!$F$179*Funding!$F$76/Inputs!$F$180)*N7+Inputs!$F$181*Funding!$F$76/Inputs!$F$182*MAX(0,MIN(Time!N33,MIN(Inputs!$F$182,Inputs!$F$228*12))-MIN(Time!N32,MIN(Inputs!$F$182,Inputs!$F$228*12)))</f>
        <v/>
      </c>
      <c r="O11" s="13">
        <f>(Inputs!$F$177*Funding!$F$76/Inputs!$F$178+Inputs!$F$179*Funding!$F$76/Inputs!$F$180)*O7+Inputs!$F$181*Funding!$F$76/Inputs!$F$182*MAX(0,MIN(Time!O33,MIN(Inputs!$F$182,Inputs!$F$228*12))-MIN(Time!O32,MIN(Inputs!$F$182,Inputs!$F$228*12)))</f>
        <v/>
      </c>
      <c r="P11" s="13">
        <f>(Inputs!$F$177*Funding!$F$76/Inputs!$F$178+Inputs!$F$179*Funding!$F$76/Inputs!$F$180)*P7+Inputs!$F$181*Funding!$F$76/Inputs!$F$182*MAX(0,MIN(Time!P33,MIN(Inputs!$F$182,Inputs!$F$228*12))-MIN(Time!P32,MIN(Inputs!$F$182,Inputs!$F$228*12)))</f>
        <v/>
      </c>
      <c r="Q11" s="13">
        <f>(Inputs!$F$177*Funding!$F$76/Inputs!$F$178+Inputs!$F$179*Funding!$F$76/Inputs!$F$180)*Q7+Inputs!$F$181*Funding!$F$76/Inputs!$F$182*MAX(0,MIN(Time!Q33,MIN(Inputs!$F$182,Inputs!$F$228*12))-MIN(Time!Q32,MIN(Inputs!$F$182,Inputs!$F$228*12)))</f>
        <v/>
      </c>
      <c r="R11" s="13">
        <f>(Inputs!$F$177*Funding!$F$76/Inputs!$F$178+Inputs!$F$179*Funding!$F$76/Inputs!$F$180)*R7+Inputs!$F$181*Funding!$F$76/Inputs!$F$182*MAX(0,MIN(Time!R33,MIN(Inputs!$F$182,Inputs!$F$228*12))-MIN(Time!R32,MIN(Inputs!$F$182,Inputs!$F$228*12)))</f>
        <v/>
      </c>
      <c r="S11" s="13">
        <f>(Inputs!$F$177*Funding!$F$76/Inputs!$F$178+Inputs!$F$179*Funding!$F$76/Inputs!$F$180)*S7+Inputs!$F$181*Funding!$F$76/Inputs!$F$182*MAX(0,MIN(Time!S33,MIN(Inputs!$F$182,Inputs!$F$228*12))-MIN(Time!S32,MIN(Inputs!$F$182,Inputs!$F$228*12)))</f>
        <v/>
      </c>
      <c r="T11" s="13">
        <f>(Inputs!$F$177*Funding!$F$76/Inputs!$F$178+Inputs!$F$179*Funding!$F$76/Inputs!$F$180)*T7+Inputs!$F$181*Funding!$F$76/Inputs!$F$182*MAX(0,MIN(Time!T33,MIN(Inputs!$F$182,Inputs!$F$228*12))-MIN(Time!T32,MIN(Inputs!$F$182,Inputs!$F$228*12)))</f>
        <v/>
      </c>
      <c r="U11" s="13">
        <f>(Inputs!$F$177*Funding!$F$76/Inputs!$F$178+Inputs!$F$179*Funding!$F$76/Inputs!$F$180)*U7+Inputs!$F$181*Funding!$F$76/Inputs!$F$182*MAX(0,MIN(Time!U33,MIN(Inputs!$F$182,Inputs!$F$228*12))-MIN(Time!U32,MIN(Inputs!$F$182,Inputs!$F$228*12)))</f>
        <v/>
      </c>
      <c r="V11" s="13">
        <f>(Inputs!$F$177*Funding!$F$76/Inputs!$F$178+Inputs!$F$179*Funding!$F$76/Inputs!$F$180)*V7+Inputs!$F$181*Funding!$F$76/Inputs!$F$182*MAX(0,MIN(Time!V33,MIN(Inputs!$F$182,Inputs!$F$228*12))-MIN(Time!V32,MIN(Inputs!$F$182,Inputs!$F$228*12)))</f>
        <v/>
      </c>
      <c r="W11" s="13">
        <f>(Inputs!$F$177*Funding!$F$76/Inputs!$F$178+Inputs!$F$179*Funding!$F$76/Inputs!$F$180)*W7+Inputs!$F$181*Funding!$F$76/Inputs!$F$182*MAX(0,MIN(Time!W33,MIN(Inputs!$F$182,Inputs!$F$228*12))-MIN(Time!W32,MIN(Inputs!$F$182,Inputs!$F$228*12)))</f>
        <v/>
      </c>
      <c r="X11" s="13">
        <f>(Inputs!$F$177*Funding!$F$76/Inputs!$F$178+Inputs!$F$179*Funding!$F$76/Inputs!$F$180)*X7+Inputs!$F$181*Funding!$F$76/Inputs!$F$182*MAX(0,MIN(Time!X33,MIN(Inputs!$F$182,Inputs!$F$228*12))-MIN(Time!X32,MIN(Inputs!$F$182,Inputs!$F$228*12)))</f>
        <v/>
      </c>
      <c r="Y11" s="13">
        <f>(Inputs!$F$177*Funding!$F$76/Inputs!$F$178+Inputs!$F$179*Funding!$F$76/Inputs!$F$180)*Y7+Inputs!$F$181*Funding!$F$76/Inputs!$F$182*MAX(0,MIN(Time!Y33,MIN(Inputs!$F$182,Inputs!$F$228*12))-MIN(Time!Y32,MIN(Inputs!$F$182,Inputs!$F$228*12)))</f>
        <v/>
      </c>
      <c r="Z11" s="13">
        <f>(Inputs!$F$177*Funding!$F$76/Inputs!$F$178+Inputs!$F$179*Funding!$F$76/Inputs!$F$180)*Z7+Inputs!$F$181*Funding!$F$76/Inputs!$F$182*MAX(0,MIN(Time!Z33,MIN(Inputs!$F$182,Inputs!$F$228*12))-MIN(Time!Z32,MIN(Inputs!$F$182,Inputs!$F$228*12)))</f>
        <v/>
      </c>
      <c r="AA11" s="13">
        <f>(Inputs!$F$177*Funding!$F$76/Inputs!$F$178+Inputs!$F$179*Funding!$F$76/Inputs!$F$180)*AA7+Inputs!$F$181*Funding!$F$76/Inputs!$F$182*MAX(0,MIN(Time!AA33,MIN(Inputs!$F$182,Inputs!$F$228*12))-MIN(Time!AA32,MIN(Inputs!$F$182,Inputs!$F$228*12)))</f>
        <v/>
      </c>
      <c r="AB11" s="13">
        <f>(Inputs!$F$177*Funding!$F$76/Inputs!$F$178+Inputs!$F$179*Funding!$F$76/Inputs!$F$180)*AB7+Inputs!$F$181*Funding!$F$76/Inputs!$F$182*MAX(0,MIN(Time!AB33,MIN(Inputs!$F$182,Inputs!$F$228*12))-MIN(Time!AB32,MIN(Inputs!$F$182,Inputs!$F$228*12)))</f>
        <v/>
      </c>
      <c r="AC11" s="13">
        <f>(Inputs!$F$177*Funding!$F$76/Inputs!$F$178+Inputs!$F$179*Funding!$F$76/Inputs!$F$180)*AC7+Inputs!$F$181*Funding!$F$76/Inputs!$F$182*MAX(0,MIN(Time!AC33,MIN(Inputs!$F$182,Inputs!$F$228*12))-MIN(Time!AC32,MIN(Inputs!$F$182,Inputs!$F$228*12)))</f>
        <v/>
      </c>
      <c r="AD11" s="13">
        <f>(Inputs!$F$177*Funding!$F$76/Inputs!$F$178+Inputs!$F$179*Funding!$F$76/Inputs!$F$180)*AD7+Inputs!$F$181*Funding!$F$76/Inputs!$F$182*MAX(0,MIN(Time!AD33,MIN(Inputs!$F$182,Inputs!$F$228*12))-MIN(Time!AD32,MIN(Inputs!$F$182,Inputs!$F$228*12)))</f>
        <v/>
      </c>
      <c r="AE11" s="13">
        <f>(Inputs!$F$177*Funding!$F$76/Inputs!$F$178+Inputs!$F$179*Funding!$F$76/Inputs!$F$180)*AE7+Inputs!$F$181*Funding!$F$76/Inputs!$F$182*MAX(0,MIN(Time!AE33,MIN(Inputs!$F$182,Inputs!$F$228*12))-MIN(Time!AE32,MIN(Inputs!$F$182,Inputs!$F$228*12)))</f>
        <v/>
      </c>
      <c r="AF11" s="13">
        <f>(Inputs!$F$177*Funding!$F$76/Inputs!$F$178+Inputs!$F$179*Funding!$F$76/Inputs!$F$180)*AF7+Inputs!$F$181*Funding!$F$76/Inputs!$F$182*MAX(0,MIN(Time!AF33,MIN(Inputs!$F$182,Inputs!$F$228*12))-MIN(Time!AF32,MIN(Inputs!$F$182,Inputs!$F$228*12)))</f>
        <v/>
      </c>
      <c r="AG11" s="13">
        <f>(Inputs!$F$177*Funding!$F$76/Inputs!$F$178+Inputs!$F$179*Funding!$F$76/Inputs!$F$180)*AG7+Inputs!$F$181*Funding!$F$76/Inputs!$F$182*MAX(0,MIN(Time!AG33,MIN(Inputs!$F$182,Inputs!$F$228*12))-MIN(Time!AG32,MIN(Inputs!$F$182,Inputs!$F$228*12)))</f>
        <v/>
      </c>
      <c r="AH11" s="13">
        <f>(Inputs!$F$177*Funding!$F$76/Inputs!$F$178+Inputs!$F$179*Funding!$F$76/Inputs!$F$180)*AH7+Inputs!$F$181*Funding!$F$76/Inputs!$F$182*MAX(0,MIN(Time!AH33,MIN(Inputs!$F$182,Inputs!$F$228*12))-MIN(Time!AH32,MIN(Inputs!$F$182,Inputs!$F$228*12)))</f>
        <v/>
      </c>
      <c r="AI11" s="13">
        <f>(Inputs!$F$177*Funding!$F$76/Inputs!$F$178+Inputs!$F$179*Funding!$F$76/Inputs!$F$180)*AI7+Inputs!$F$181*Funding!$F$76/Inputs!$F$182*MAX(0,MIN(Time!AI33,MIN(Inputs!$F$182,Inputs!$F$228*12))-MIN(Time!AI32,MIN(Inputs!$F$182,Inputs!$F$228*12)))</f>
        <v/>
      </c>
      <c r="AJ11" s="13">
        <f>(Inputs!$F$177*Funding!$F$76/Inputs!$F$178+Inputs!$F$179*Funding!$F$76/Inputs!$F$180)*AJ7+Inputs!$F$181*Funding!$F$76/Inputs!$F$182*MAX(0,MIN(Time!AJ33,MIN(Inputs!$F$182,Inputs!$F$228*12))-MIN(Time!AJ32,MIN(Inputs!$F$182,Inputs!$F$228*12)))</f>
        <v/>
      </c>
      <c r="AK11" s="13">
        <f>(Inputs!$F$177*Funding!$F$76/Inputs!$F$178+Inputs!$F$179*Funding!$F$76/Inputs!$F$180)*AK7+Inputs!$F$181*Funding!$F$76/Inputs!$F$182*MAX(0,MIN(Time!AK33,MIN(Inputs!$F$182,Inputs!$F$228*12))-MIN(Time!AK32,MIN(Inputs!$F$182,Inputs!$F$228*12)))</f>
        <v/>
      </c>
      <c r="AL11" s="13">
        <f>(Inputs!$F$177*Funding!$F$76/Inputs!$F$178+Inputs!$F$179*Funding!$F$76/Inputs!$F$180)*AL7+Inputs!$F$181*Funding!$F$76/Inputs!$F$182*MAX(0,MIN(Time!AL33,MIN(Inputs!$F$182,Inputs!$F$228*12))-MIN(Time!AL32,MIN(Inputs!$F$182,Inputs!$F$228*12)))</f>
        <v/>
      </c>
      <c r="AM11" s="13">
        <f>(Inputs!$F$177*Funding!$F$76/Inputs!$F$178+Inputs!$F$179*Funding!$F$76/Inputs!$F$180)*AM7+Inputs!$F$181*Funding!$F$76/Inputs!$F$182*MAX(0,MIN(Time!AM33,MIN(Inputs!$F$182,Inputs!$F$228*12))-MIN(Time!AM32,MIN(Inputs!$F$182,Inputs!$F$228*12)))</f>
        <v/>
      </c>
      <c r="AN11" s="13">
        <f>(Inputs!$F$177*Funding!$F$76/Inputs!$F$178+Inputs!$F$179*Funding!$F$76/Inputs!$F$180)*AN7+Inputs!$F$181*Funding!$F$76/Inputs!$F$182*MAX(0,MIN(Time!AN33,MIN(Inputs!$F$182,Inputs!$F$228*12))-MIN(Time!AN32,MIN(Inputs!$F$182,Inputs!$F$228*12)))</f>
        <v/>
      </c>
      <c r="AO11" s="13">
        <f>(Inputs!$F$177*Funding!$F$76/Inputs!$F$178+Inputs!$F$179*Funding!$F$76/Inputs!$F$180)*AO7+Inputs!$F$181*Funding!$F$76/Inputs!$F$182*MAX(0,MIN(Time!AO33,MIN(Inputs!$F$182,Inputs!$F$228*12))-MIN(Time!AO32,MIN(Inputs!$F$182,Inputs!$F$228*12)))</f>
        <v/>
      </c>
      <c r="AP11" s="13">
        <f>(Inputs!$F$177*Funding!$F$76/Inputs!$F$178+Inputs!$F$179*Funding!$F$76/Inputs!$F$180)*AP7+Inputs!$F$181*Funding!$F$76/Inputs!$F$182*MAX(0,MIN(Time!AP33,MIN(Inputs!$F$182,Inputs!$F$228*12))-MIN(Time!AP32,MIN(Inputs!$F$182,Inputs!$F$228*12)))</f>
        <v/>
      </c>
      <c r="AQ11" s="13">
        <f>(Inputs!$F$177*Funding!$F$76/Inputs!$F$178+Inputs!$F$179*Funding!$F$76/Inputs!$F$180)*AQ7+Inputs!$F$181*Funding!$F$76/Inputs!$F$182*MAX(0,MIN(Time!AQ33,MIN(Inputs!$F$182,Inputs!$F$228*12))-MIN(Time!AQ32,MIN(Inputs!$F$182,Inputs!$F$228*12)))</f>
        <v/>
      </c>
      <c r="AR11" s="13">
        <f>(Inputs!$F$177*Funding!$F$76/Inputs!$F$178+Inputs!$F$179*Funding!$F$76/Inputs!$F$180)*AR7+Inputs!$F$181*Funding!$F$76/Inputs!$F$182*MAX(0,MIN(Time!AR33,MIN(Inputs!$F$182,Inputs!$F$228*12))-MIN(Time!AR32,MIN(Inputs!$F$182,Inputs!$F$228*12)))</f>
        <v/>
      </c>
      <c r="AS11" s="13">
        <f>(Inputs!$F$177*Funding!$F$76/Inputs!$F$178+Inputs!$F$179*Funding!$F$76/Inputs!$F$180)*AS7+Inputs!$F$181*Funding!$F$76/Inputs!$F$182*MAX(0,MIN(Time!AS33,MIN(Inputs!$F$182,Inputs!$F$228*12))-MIN(Time!AS32,MIN(Inputs!$F$182,Inputs!$F$228*12)))</f>
        <v/>
      </c>
      <c r="AT11" s="13">
        <f>(Inputs!$F$177*Funding!$F$76/Inputs!$F$178+Inputs!$F$179*Funding!$F$76/Inputs!$F$180)*AT7+Inputs!$F$181*Funding!$F$76/Inputs!$F$182*MAX(0,MIN(Time!AT33,MIN(Inputs!$F$182,Inputs!$F$228*12))-MIN(Time!AT32,MIN(Inputs!$F$182,Inputs!$F$228*12)))</f>
        <v/>
      </c>
      <c r="AU11" s="13">
        <f>(Inputs!$F$177*Funding!$F$76/Inputs!$F$178+Inputs!$F$179*Funding!$F$76/Inputs!$F$180)*AU7+Inputs!$F$181*Funding!$F$76/Inputs!$F$182*MAX(0,MIN(Time!AU33,MIN(Inputs!$F$182,Inputs!$F$228*12))-MIN(Time!AU32,MIN(Inputs!$F$182,Inputs!$F$228*12)))</f>
        <v/>
      </c>
      <c r="AV11" s="13">
        <f>(Inputs!$F$177*Funding!$F$76/Inputs!$F$178+Inputs!$F$179*Funding!$F$76/Inputs!$F$180)*AV7+Inputs!$F$181*Funding!$F$76/Inputs!$F$182*MAX(0,MIN(Time!AV33,MIN(Inputs!$F$182,Inputs!$F$228*12))-MIN(Time!AV32,MIN(Inputs!$F$182,Inputs!$F$228*12)))</f>
        <v/>
      </c>
      <c r="AW11" s="13">
        <f>(Inputs!$F$177*Funding!$F$76/Inputs!$F$178+Inputs!$F$179*Funding!$F$76/Inputs!$F$180)*AW7+Inputs!$F$181*Funding!$F$76/Inputs!$F$182*MAX(0,MIN(Time!AW33,MIN(Inputs!$F$182,Inputs!$F$228*12))-MIN(Time!AW32,MIN(Inputs!$F$182,Inputs!$F$228*12)))</f>
        <v/>
      </c>
      <c r="AX11" s="13">
        <f>(Inputs!$F$177*Funding!$F$76/Inputs!$F$178+Inputs!$F$179*Funding!$F$76/Inputs!$F$180)*AX7+Inputs!$F$181*Funding!$F$76/Inputs!$F$182*MAX(0,MIN(Time!AX33,MIN(Inputs!$F$182,Inputs!$F$228*12))-MIN(Time!AX32,MIN(Inputs!$F$182,Inputs!$F$228*12)))</f>
        <v/>
      </c>
      <c r="AY11" s="13">
        <f>(Inputs!$F$177*Funding!$F$76/Inputs!$F$178+Inputs!$F$179*Funding!$F$76/Inputs!$F$180)*AY7+Inputs!$F$181*Funding!$F$76/Inputs!$F$182*MAX(0,MIN(Time!AY33,MIN(Inputs!$F$182,Inputs!$F$228*12))-MIN(Time!AY32,MIN(Inputs!$F$182,Inputs!$F$228*12)))</f>
        <v/>
      </c>
      <c r="AZ11" s="13">
        <f>(Inputs!$F$177*Funding!$F$76/Inputs!$F$178+Inputs!$F$179*Funding!$F$76/Inputs!$F$180)*AZ7+Inputs!$F$181*Funding!$F$76/Inputs!$F$182*MAX(0,MIN(Time!AZ33,MIN(Inputs!$F$182,Inputs!$F$228*12))-MIN(Time!AZ32,MIN(Inputs!$F$182,Inputs!$F$228*12)))</f>
        <v/>
      </c>
      <c r="BA11" s="13">
        <f>(Inputs!$F$177*Funding!$F$76/Inputs!$F$178+Inputs!$F$179*Funding!$F$76/Inputs!$F$180)*BA7+Inputs!$F$181*Funding!$F$76/Inputs!$F$182*MAX(0,MIN(Time!BA33,MIN(Inputs!$F$182,Inputs!$F$228*12))-MIN(Time!BA32,MIN(Inputs!$F$182,Inputs!$F$228*12)))</f>
        <v/>
      </c>
      <c r="BB11" s="13">
        <f>(Inputs!$F$177*Funding!$F$76/Inputs!$F$178+Inputs!$F$179*Funding!$F$76/Inputs!$F$180)*BB7+Inputs!$F$181*Funding!$F$76/Inputs!$F$182*MAX(0,MIN(Time!BB33,MIN(Inputs!$F$182,Inputs!$F$228*12))-MIN(Time!BB32,MIN(Inputs!$F$182,Inputs!$F$228*12)))</f>
        <v/>
      </c>
      <c r="BC11" s="13">
        <f>(Inputs!$F$177*Funding!$F$76/Inputs!$F$178+Inputs!$F$179*Funding!$F$76/Inputs!$F$180)*BC7+Inputs!$F$181*Funding!$F$76/Inputs!$F$182*MAX(0,MIN(Time!BC33,MIN(Inputs!$F$182,Inputs!$F$228*12))-MIN(Time!BC32,MIN(Inputs!$F$182,Inputs!$F$228*12)))</f>
        <v/>
      </c>
      <c r="BD11" s="13">
        <f>(Inputs!$F$177*Funding!$F$76/Inputs!$F$178+Inputs!$F$179*Funding!$F$76/Inputs!$F$180)*BD7+Inputs!$F$181*Funding!$F$76/Inputs!$F$182*MAX(0,MIN(Time!BD33,MIN(Inputs!$F$182,Inputs!$F$228*12))-MIN(Time!BD32,MIN(Inputs!$F$182,Inputs!$F$228*12)))</f>
        <v/>
      </c>
      <c r="BE11" s="13">
        <f>(Inputs!$F$177*Funding!$F$76/Inputs!$F$178+Inputs!$F$179*Funding!$F$76/Inputs!$F$180)*BE7+Inputs!$F$181*Funding!$F$76/Inputs!$F$182*MAX(0,MIN(Time!BE33,MIN(Inputs!$F$182,Inputs!$F$228*12))-MIN(Time!BE32,MIN(Inputs!$F$182,Inputs!$F$228*12)))</f>
        <v/>
      </c>
      <c r="BF11" s="13">
        <f>(Inputs!$F$177*Funding!$F$76/Inputs!$F$178+Inputs!$F$179*Funding!$F$76/Inputs!$F$180)*BF7+Inputs!$F$181*Funding!$F$76/Inputs!$F$182*MAX(0,MIN(Time!BF33,MIN(Inputs!$F$182,Inputs!$F$228*12))-MIN(Time!BF32,MIN(Inputs!$F$182,Inputs!$F$228*12)))</f>
        <v/>
      </c>
      <c r="BG11" s="13">
        <f>(Inputs!$F$177*Funding!$F$76/Inputs!$F$178+Inputs!$F$179*Funding!$F$76/Inputs!$F$180)*BG7+Inputs!$F$181*Funding!$F$76/Inputs!$F$182*MAX(0,MIN(Time!BG33,MIN(Inputs!$F$182,Inputs!$F$228*12))-MIN(Time!BG32,MIN(Inputs!$F$182,Inputs!$F$228*12)))</f>
        <v/>
      </c>
      <c r="BH11" s="13">
        <f>(Inputs!$F$177*Funding!$F$76/Inputs!$F$178+Inputs!$F$179*Funding!$F$76/Inputs!$F$180)*BH7+Inputs!$F$181*Funding!$F$76/Inputs!$F$182*MAX(0,MIN(Time!BH33,MIN(Inputs!$F$182,Inputs!$F$228*12))-MIN(Time!BH32,MIN(Inputs!$F$182,Inputs!$F$228*12)))</f>
        <v/>
      </c>
      <c r="BI11" s="13">
        <f>(Inputs!$F$177*Funding!$F$76/Inputs!$F$178+Inputs!$F$179*Funding!$F$76/Inputs!$F$180)*BI7+Inputs!$F$181*Funding!$F$76/Inputs!$F$182*MAX(0,MIN(Time!BI33,MIN(Inputs!$F$182,Inputs!$F$228*12))-MIN(Time!BI32,MIN(Inputs!$F$182,Inputs!$F$228*12)))</f>
        <v/>
      </c>
      <c r="BJ11" s="13">
        <f>(Inputs!$F$177*Funding!$F$76/Inputs!$F$178+Inputs!$F$179*Funding!$F$76/Inputs!$F$180)*BJ7+Inputs!$F$181*Funding!$F$76/Inputs!$F$182*MAX(0,MIN(Time!BJ33,MIN(Inputs!$F$182,Inputs!$F$228*12))-MIN(Time!BJ32,MIN(Inputs!$F$182,Inputs!$F$228*12)))</f>
        <v/>
      </c>
      <c r="BK11" s="13">
        <f>(Inputs!$F$177*Funding!$F$76/Inputs!$F$178+Inputs!$F$179*Funding!$F$76/Inputs!$F$180)*BK7+Inputs!$F$181*Funding!$F$76/Inputs!$F$182*MAX(0,MIN(Time!BK33,MIN(Inputs!$F$182,Inputs!$F$228*12))-MIN(Time!BK32,MIN(Inputs!$F$182,Inputs!$F$228*12)))</f>
        <v/>
      </c>
      <c r="BL11" s="13">
        <f>(Inputs!$F$177*Funding!$F$76/Inputs!$F$178+Inputs!$F$179*Funding!$F$76/Inputs!$F$180)*BL7+Inputs!$F$181*Funding!$F$76/Inputs!$F$182*MAX(0,MIN(Time!BL33,MIN(Inputs!$F$182,Inputs!$F$228*12))-MIN(Time!BL32,MIN(Inputs!$F$182,Inputs!$F$228*12)))</f>
        <v/>
      </c>
      <c r="BM11" s="13">
        <f>(Inputs!$F$177*Funding!$F$76/Inputs!$F$178+Inputs!$F$179*Funding!$F$76/Inputs!$F$180)*BM7+Inputs!$F$181*Funding!$F$76/Inputs!$F$182*MAX(0,MIN(Time!BM33,MIN(Inputs!$F$182,Inputs!$F$228*12))-MIN(Time!BM32,MIN(Inputs!$F$182,Inputs!$F$228*12)))</f>
        <v/>
      </c>
      <c r="BN11" s="13">
        <f>(Inputs!$F$177*Funding!$F$76/Inputs!$F$178+Inputs!$F$179*Funding!$F$76/Inputs!$F$180)*BN7+Inputs!$F$181*Funding!$F$76/Inputs!$F$182*MAX(0,MIN(Time!BN33,MIN(Inputs!$F$182,Inputs!$F$228*12))-MIN(Time!BN32,MIN(Inputs!$F$182,Inputs!$F$228*12)))</f>
        <v/>
      </c>
    </row>
    <row r="12">
      <c r="D12" t="inlineStr">
        <is>
          <t>Depreciation deducted currently</t>
        </is>
      </c>
      <c r="E12" t="inlineStr">
        <is>
          <t>USD m</t>
        </is>
      </c>
      <c r="G12" s="13">
        <f>SUM(J12:BN12)</f>
        <v/>
      </c>
      <c r="J12" s="13">
        <f>J10-J11</f>
        <v/>
      </c>
      <c r="K12" s="13">
        <f>K10-K11</f>
        <v/>
      </c>
      <c r="L12" s="13">
        <f>L10-L11</f>
        <v/>
      </c>
      <c r="M12" s="13">
        <f>M10-M11</f>
        <v/>
      </c>
      <c r="N12" s="13">
        <f>N10-N11</f>
        <v/>
      </c>
      <c r="O12" s="13">
        <f>O10-O11</f>
        <v/>
      </c>
      <c r="P12" s="13">
        <f>P10-P11</f>
        <v/>
      </c>
      <c r="Q12" s="13">
        <f>Q10-Q11</f>
        <v/>
      </c>
      <c r="R12" s="13">
        <f>R10-R11</f>
        <v/>
      </c>
      <c r="S12" s="13">
        <f>S10-S11</f>
        <v/>
      </c>
      <c r="T12" s="13">
        <f>T10-T11</f>
        <v/>
      </c>
      <c r="U12" s="13">
        <f>U10-U11</f>
        <v/>
      </c>
      <c r="V12" s="13">
        <f>V10-V11</f>
        <v/>
      </c>
      <c r="W12" s="13">
        <f>W10-W11</f>
        <v/>
      </c>
      <c r="X12" s="13">
        <f>X10-X11</f>
        <v/>
      </c>
      <c r="Y12" s="13">
        <f>Y10-Y11</f>
        <v/>
      </c>
      <c r="Z12" s="13">
        <f>Z10-Z11</f>
        <v/>
      </c>
      <c r="AA12" s="13">
        <f>AA10-AA11</f>
        <v/>
      </c>
      <c r="AB12" s="13">
        <f>AB10-AB11</f>
        <v/>
      </c>
      <c r="AC12" s="13">
        <f>AC10-AC11</f>
        <v/>
      </c>
      <c r="AD12" s="13">
        <f>AD10-AD11</f>
        <v/>
      </c>
      <c r="AE12" s="13">
        <f>AE10-AE11</f>
        <v/>
      </c>
      <c r="AF12" s="13">
        <f>AF10-AF11</f>
        <v/>
      </c>
      <c r="AG12" s="13">
        <f>AG10-AG11</f>
        <v/>
      </c>
      <c r="AH12" s="13">
        <f>AH10-AH11</f>
        <v/>
      </c>
      <c r="AI12" s="13">
        <f>AI10-AI11</f>
        <v/>
      </c>
      <c r="AJ12" s="13">
        <f>AJ10-AJ11</f>
        <v/>
      </c>
      <c r="AK12" s="13">
        <f>AK10-AK11</f>
        <v/>
      </c>
      <c r="AL12" s="13">
        <f>AL10-AL11</f>
        <v/>
      </c>
      <c r="AM12" s="13">
        <f>AM10-AM11</f>
        <v/>
      </c>
      <c r="AN12" s="13">
        <f>AN10-AN11</f>
        <v/>
      </c>
      <c r="AO12" s="13">
        <f>AO10-AO11</f>
        <v/>
      </c>
      <c r="AP12" s="13">
        <f>AP10-AP11</f>
        <v/>
      </c>
      <c r="AQ12" s="13">
        <f>AQ10-AQ11</f>
        <v/>
      </c>
      <c r="AR12" s="13">
        <f>AR10-AR11</f>
        <v/>
      </c>
      <c r="AS12" s="13">
        <f>AS10-AS11</f>
        <v/>
      </c>
      <c r="AT12" s="13">
        <f>AT10-AT11</f>
        <v/>
      </c>
      <c r="AU12" s="13">
        <f>AU10-AU11</f>
        <v/>
      </c>
      <c r="AV12" s="13">
        <f>AV10-AV11</f>
        <v/>
      </c>
      <c r="AW12" s="13">
        <f>AW10-AW11</f>
        <v/>
      </c>
      <c r="AX12" s="13">
        <f>AX10-AX11</f>
        <v/>
      </c>
      <c r="AY12" s="13">
        <f>AY10-AY11</f>
        <v/>
      </c>
      <c r="AZ12" s="13">
        <f>AZ10-AZ11</f>
        <v/>
      </c>
      <c r="BA12" s="13">
        <f>BA10-BA11</f>
        <v/>
      </c>
      <c r="BB12" s="13">
        <f>BB10-BB11</f>
        <v/>
      </c>
      <c r="BC12" s="13">
        <f>BC10-BC11</f>
        <v/>
      </c>
      <c r="BD12" s="13">
        <f>BD10-BD11</f>
        <v/>
      </c>
      <c r="BE12" s="13">
        <f>BE10-BE11</f>
        <v/>
      </c>
      <c r="BF12" s="13">
        <f>BF10-BF11</f>
        <v/>
      </c>
      <c r="BG12" s="13">
        <f>BG10-BG11</f>
        <v/>
      </c>
      <c r="BH12" s="13">
        <f>BH10-BH11</f>
        <v/>
      </c>
      <c r="BI12" s="13">
        <f>BI10-BI11</f>
        <v/>
      </c>
      <c r="BJ12" s="13">
        <f>BJ10-BJ11</f>
        <v/>
      </c>
      <c r="BK12" s="13">
        <f>BK10-BK11</f>
        <v/>
      </c>
      <c r="BL12" s="13">
        <f>BL10-BL11</f>
        <v/>
      </c>
      <c r="BM12" s="13">
        <f>BM10-BM11</f>
        <v/>
      </c>
      <c r="BN12" s="13">
        <f>BN10-BN11</f>
        <v/>
      </c>
    </row>
    <row r="13">
      <c r="D13" t="inlineStr">
        <is>
          <t>Shareholder loan interest accrued</t>
        </is>
      </c>
      <c r="E13" t="inlineStr">
        <is>
          <t>USD m</t>
        </is>
      </c>
      <c r="G13" s="13">
        <f>SUM(J13:BN13)</f>
        <v/>
      </c>
      <c r="J13" s="13">
        <f>IF(Time!J20&gt;=Time!$F$12,Waterfall!J33*Inputs!$F$104/100*Time!J31/Inputs!$F$248,0)</f>
        <v/>
      </c>
      <c r="K13" s="13">
        <f>IF(Time!K20&gt;=Time!$F$12,Waterfall!K33*Inputs!$F$104/100*Time!K31/Inputs!$F$248,0)</f>
        <v/>
      </c>
      <c r="L13" s="13">
        <f>IF(Time!L20&gt;=Time!$F$12,Waterfall!L33*Inputs!$F$104/100*Time!L31/Inputs!$F$248,0)</f>
        <v/>
      </c>
      <c r="M13" s="13">
        <f>IF(Time!M20&gt;=Time!$F$12,Waterfall!M33*Inputs!$F$104/100*Time!M31/Inputs!$F$248,0)</f>
        <v/>
      </c>
      <c r="N13" s="13">
        <f>IF(Time!N20&gt;=Time!$F$12,Waterfall!N33*Inputs!$F$104/100*Time!N31/Inputs!$F$248,0)</f>
        <v/>
      </c>
      <c r="O13" s="13">
        <f>IF(Time!O20&gt;=Time!$F$12,Waterfall!O33*Inputs!$F$104/100*Time!O31/Inputs!$F$248,0)</f>
        <v/>
      </c>
      <c r="P13" s="13">
        <f>IF(Time!P20&gt;=Time!$F$12,Waterfall!P33*Inputs!$F$104/100*Time!P31/Inputs!$F$248,0)</f>
        <v/>
      </c>
      <c r="Q13" s="13">
        <f>IF(Time!Q20&gt;=Time!$F$12,Waterfall!Q33*Inputs!$F$104/100*Time!Q31/Inputs!$F$248,0)</f>
        <v/>
      </c>
      <c r="R13" s="13">
        <f>IF(Time!R20&gt;=Time!$F$12,Waterfall!R33*Inputs!$F$104/100*Time!R31/Inputs!$F$248,0)</f>
        <v/>
      </c>
      <c r="S13" s="13">
        <f>IF(Time!S20&gt;=Time!$F$12,Waterfall!S33*Inputs!$F$104/100*Time!S31/Inputs!$F$248,0)</f>
        <v/>
      </c>
      <c r="T13" s="13">
        <f>IF(Time!T20&gt;=Time!$F$12,Waterfall!T33*Inputs!$F$104/100*Time!T31/Inputs!$F$248,0)</f>
        <v/>
      </c>
      <c r="U13" s="13">
        <f>IF(Time!U20&gt;=Time!$F$12,Waterfall!U33*Inputs!$F$104/100*Time!U31/Inputs!$F$248,0)</f>
        <v/>
      </c>
      <c r="V13" s="13">
        <f>IF(Time!V20&gt;=Time!$F$12,Waterfall!V33*Inputs!$F$104/100*Time!V31/Inputs!$F$248,0)</f>
        <v/>
      </c>
      <c r="W13" s="13">
        <f>IF(Time!W20&gt;=Time!$F$12,Waterfall!W33*Inputs!$F$104/100*Time!W31/Inputs!$F$248,0)</f>
        <v/>
      </c>
      <c r="X13" s="13">
        <f>IF(Time!X20&gt;=Time!$F$12,Waterfall!X33*Inputs!$F$104/100*Time!X31/Inputs!$F$248,0)</f>
        <v/>
      </c>
      <c r="Y13" s="13">
        <f>IF(Time!Y20&gt;=Time!$F$12,Waterfall!Y33*Inputs!$F$104/100*Time!Y31/Inputs!$F$248,0)</f>
        <v/>
      </c>
      <c r="Z13" s="13">
        <f>IF(Time!Z20&gt;=Time!$F$12,Waterfall!Z33*Inputs!$F$104/100*Time!Z31/Inputs!$F$248,0)</f>
        <v/>
      </c>
      <c r="AA13" s="13">
        <f>IF(Time!AA20&gt;=Time!$F$12,Waterfall!AA33*Inputs!$F$104/100*Time!AA31/Inputs!$F$248,0)</f>
        <v/>
      </c>
      <c r="AB13" s="13">
        <f>IF(Time!AB20&gt;=Time!$F$12,Waterfall!AB33*Inputs!$F$104/100*Time!AB31/Inputs!$F$248,0)</f>
        <v/>
      </c>
      <c r="AC13" s="13">
        <f>IF(Time!AC20&gt;=Time!$F$12,Waterfall!AC33*Inputs!$F$104/100*Time!AC31/Inputs!$F$248,0)</f>
        <v/>
      </c>
      <c r="AD13" s="13">
        <f>IF(Time!AD20&gt;=Time!$F$12,Waterfall!AD33*Inputs!$F$104/100*Time!AD31/Inputs!$F$248,0)</f>
        <v/>
      </c>
      <c r="AE13" s="13">
        <f>IF(Time!AE20&gt;=Time!$F$12,Waterfall!AE33*Inputs!$F$104/100*Time!AE31/Inputs!$F$248,0)</f>
        <v/>
      </c>
      <c r="AF13" s="13">
        <f>IF(Time!AF20&gt;=Time!$F$12,Waterfall!AF33*Inputs!$F$104/100*Time!AF31/Inputs!$F$248,0)</f>
        <v/>
      </c>
      <c r="AG13" s="13">
        <f>IF(Time!AG20&gt;=Time!$F$12,Waterfall!AG33*Inputs!$F$104/100*Time!AG31/Inputs!$F$248,0)</f>
        <v/>
      </c>
      <c r="AH13" s="13">
        <f>IF(Time!AH20&gt;=Time!$F$12,Waterfall!AH33*Inputs!$F$104/100*Time!AH31/Inputs!$F$248,0)</f>
        <v/>
      </c>
      <c r="AI13" s="13">
        <f>IF(Time!AI20&gt;=Time!$F$12,Waterfall!AI33*Inputs!$F$104/100*Time!AI31/Inputs!$F$248,0)</f>
        <v/>
      </c>
      <c r="AJ13" s="13">
        <f>IF(Time!AJ20&gt;=Time!$F$12,Waterfall!AJ33*Inputs!$F$104/100*Time!AJ31/Inputs!$F$248,0)</f>
        <v/>
      </c>
      <c r="AK13" s="13">
        <f>IF(Time!AK20&gt;=Time!$F$12,Waterfall!AK33*Inputs!$F$104/100*Time!AK31/Inputs!$F$248,0)</f>
        <v/>
      </c>
      <c r="AL13" s="13">
        <f>IF(Time!AL20&gt;=Time!$F$12,Waterfall!AL33*Inputs!$F$104/100*Time!AL31/Inputs!$F$248,0)</f>
        <v/>
      </c>
      <c r="AM13" s="13">
        <f>IF(Time!AM20&gt;=Time!$F$12,Waterfall!AM33*Inputs!$F$104/100*Time!AM31/Inputs!$F$248,0)</f>
        <v/>
      </c>
      <c r="AN13" s="13">
        <f>IF(Time!AN20&gt;=Time!$F$12,Waterfall!AN33*Inputs!$F$104/100*Time!AN31/Inputs!$F$248,0)</f>
        <v/>
      </c>
      <c r="AO13" s="13">
        <f>IF(Time!AO20&gt;=Time!$F$12,Waterfall!AO33*Inputs!$F$104/100*Time!AO31/Inputs!$F$248,0)</f>
        <v/>
      </c>
      <c r="AP13" s="13">
        <f>IF(Time!AP20&gt;=Time!$F$12,Waterfall!AP33*Inputs!$F$104/100*Time!AP31/Inputs!$F$248,0)</f>
        <v/>
      </c>
      <c r="AQ13" s="13">
        <f>IF(Time!AQ20&gt;=Time!$F$12,Waterfall!AQ33*Inputs!$F$104/100*Time!AQ31/Inputs!$F$248,0)</f>
        <v/>
      </c>
      <c r="AR13" s="13">
        <f>IF(Time!AR20&gt;=Time!$F$12,Waterfall!AR33*Inputs!$F$104/100*Time!AR31/Inputs!$F$248,0)</f>
        <v/>
      </c>
      <c r="AS13" s="13">
        <f>IF(Time!AS20&gt;=Time!$F$12,Waterfall!AS33*Inputs!$F$104/100*Time!AS31/Inputs!$F$248,0)</f>
        <v/>
      </c>
      <c r="AT13" s="13">
        <f>IF(Time!AT20&gt;=Time!$F$12,Waterfall!AT33*Inputs!$F$104/100*Time!AT31/Inputs!$F$248,0)</f>
        <v/>
      </c>
      <c r="AU13" s="13">
        <f>IF(Time!AU20&gt;=Time!$F$12,Waterfall!AU33*Inputs!$F$104/100*Time!AU31/Inputs!$F$248,0)</f>
        <v/>
      </c>
      <c r="AV13" s="13">
        <f>IF(Time!AV20&gt;=Time!$F$12,Waterfall!AV33*Inputs!$F$104/100*Time!AV31/Inputs!$F$248,0)</f>
        <v/>
      </c>
      <c r="AW13" s="13">
        <f>IF(Time!AW20&gt;=Time!$F$12,Waterfall!AW33*Inputs!$F$104/100*Time!AW31/Inputs!$F$248,0)</f>
        <v/>
      </c>
      <c r="AX13" s="13">
        <f>IF(Time!AX20&gt;=Time!$F$12,Waterfall!AX33*Inputs!$F$104/100*Time!AX31/Inputs!$F$248,0)</f>
        <v/>
      </c>
      <c r="AY13" s="13">
        <f>IF(Time!AY20&gt;=Time!$F$12,Waterfall!AY33*Inputs!$F$104/100*Time!AY31/Inputs!$F$248,0)</f>
        <v/>
      </c>
      <c r="AZ13" s="13">
        <f>IF(Time!AZ20&gt;=Time!$F$12,Waterfall!AZ33*Inputs!$F$104/100*Time!AZ31/Inputs!$F$248,0)</f>
        <v/>
      </c>
      <c r="BA13" s="13">
        <f>IF(Time!BA20&gt;=Time!$F$12,Waterfall!BA33*Inputs!$F$104/100*Time!BA31/Inputs!$F$248,0)</f>
        <v/>
      </c>
      <c r="BB13" s="13">
        <f>IF(Time!BB20&gt;=Time!$F$12,Waterfall!BB33*Inputs!$F$104/100*Time!BB31/Inputs!$F$248,0)</f>
        <v/>
      </c>
      <c r="BC13" s="13">
        <f>IF(Time!BC20&gt;=Time!$F$12,Waterfall!BC33*Inputs!$F$104/100*Time!BC31/Inputs!$F$248,0)</f>
        <v/>
      </c>
      <c r="BD13" s="13">
        <f>IF(Time!BD20&gt;=Time!$F$12,Waterfall!BD33*Inputs!$F$104/100*Time!BD31/Inputs!$F$248,0)</f>
        <v/>
      </c>
      <c r="BE13" s="13">
        <f>IF(Time!BE20&gt;=Time!$F$12,Waterfall!BE33*Inputs!$F$104/100*Time!BE31/Inputs!$F$248,0)</f>
        <v/>
      </c>
      <c r="BF13" s="13">
        <f>IF(Time!BF20&gt;=Time!$F$12,Waterfall!BF33*Inputs!$F$104/100*Time!BF31/Inputs!$F$248,0)</f>
        <v/>
      </c>
      <c r="BG13" s="13">
        <f>IF(Time!BG20&gt;=Time!$F$12,Waterfall!BG33*Inputs!$F$104/100*Time!BG31/Inputs!$F$248,0)</f>
        <v/>
      </c>
      <c r="BH13" s="13">
        <f>IF(Time!BH20&gt;=Time!$F$12,Waterfall!BH33*Inputs!$F$104/100*Time!BH31/Inputs!$F$248,0)</f>
        <v/>
      </c>
      <c r="BI13" s="13">
        <f>IF(Time!BI20&gt;=Time!$F$12,Waterfall!BI33*Inputs!$F$104/100*Time!BI31/Inputs!$F$248,0)</f>
        <v/>
      </c>
      <c r="BJ13" s="13">
        <f>IF(Time!BJ20&gt;=Time!$F$12,Waterfall!BJ33*Inputs!$F$104/100*Time!BJ31/Inputs!$F$248,0)</f>
        <v/>
      </c>
      <c r="BK13" s="13">
        <f>IF(Time!BK20&gt;=Time!$F$12,Waterfall!BK33*Inputs!$F$104/100*Time!BK31/Inputs!$F$248,0)</f>
        <v/>
      </c>
      <c r="BL13" s="13">
        <f>IF(Time!BL20&gt;=Time!$F$12,Waterfall!BL33*Inputs!$F$104/100*Time!BL31/Inputs!$F$248,0)</f>
        <v/>
      </c>
      <c r="BM13" s="13">
        <f>IF(Time!BM20&gt;=Time!$F$12,Waterfall!BM33*Inputs!$F$104/100*Time!BM31/Inputs!$F$248,0)</f>
        <v/>
      </c>
      <c r="BN13" s="13">
        <f>IF(Time!BN20&gt;=Time!$F$12,Waterfall!BN33*Inputs!$F$104/100*Time!BN31/Inputs!$F$248,0)</f>
        <v/>
      </c>
    </row>
    <row r="14">
      <c r="D14" t="inlineStr">
        <is>
          <t>Thin cap: deductible share = min(1, 3 x equity / SHL)</t>
        </is>
      </c>
      <c r="E14" t="inlineStr">
        <is>
          <t>fraction</t>
        </is>
      </c>
      <c r="J14" s="3">
        <f>IF(Waterfall!J33&gt;0,MIN(1,Inputs!$F$183*(Waterfall!$F$32+MAX(0,Waterfall!I43))/Waterfall!J33),1)</f>
        <v/>
      </c>
      <c r="K14" s="3">
        <f>IF(Waterfall!K33&gt;0,MIN(1,Inputs!$F$183*(Waterfall!$F$32+MAX(0,Waterfall!J43))/Waterfall!K33),1)</f>
        <v/>
      </c>
      <c r="L14" s="3">
        <f>IF(Waterfall!L33&gt;0,MIN(1,Inputs!$F$183*(Waterfall!$F$32+MAX(0,Waterfall!K43))/Waterfall!L33),1)</f>
        <v/>
      </c>
      <c r="M14" s="3">
        <f>IF(Waterfall!M33&gt;0,MIN(1,Inputs!$F$183*(Waterfall!$F$32+MAX(0,Waterfall!L43))/Waterfall!M33),1)</f>
        <v/>
      </c>
      <c r="N14" s="3">
        <f>IF(Waterfall!N33&gt;0,MIN(1,Inputs!$F$183*(Waterfall!$F$32+MAX(0,Waterfall!M43))/Waterfall!N33),1)</f>
        <v/>
      </c>
      <c r="O14" s="3">
        <f>IF(Waterfall!O33&gt;0,MIN(1,Inputs!$F$183*(Waterfall!$F$32+MAX(0,Waterfall!N43))/Waterfall!O33),1)</f>
        <v/>
      </c>
      <c r="P14" s="3">
        <f>IF(Waterfall!P33&gt;0,MIN(1,Inputs!$F$183*(Waterfall!$F$32+MAX(0,Waterfall!O43))/Waterfall!P33),1)</f>
        <v/>
      </c>
      <c r="Q14" s="3">
        <f>IF(Waterfall!Q33&gt;0,MIN(1,Inputs!$F$183*(Waterfall!$F$32+MAX(0,Waterfall!P43))/Waterfall!Q33),1)</f>
        <v/>
      </c>
      <c r="R14" s="3">
        <f>IF(Waterfall!R33&gt;0,MIN(1,Inputs!$F$183*(Waterfall!$F$32+MAX(0,Waterfall!Q43))/Waterfall!R33),1)</f>
        <v/>
      </c>
      <c r="S14" s="3">
        <f>IF(Waterfall!S33&gt;0,MIN(1,Inputs!$F$183*(Waterfall!$F$32+MAX(0,Waterfall!R43))/Waterfall!S33),1)</f>
        <v/>
      </c>
      <c r="T14" s="3">
        <f>IF(Waterfall!T33&gt;0,MIN(1,Inputs!$F$183*(Waterfall!$F$32+MAX(0,Waterfall!S43))/Waterfall!T33),1)</f>
        <v/>
      </c>
      <c r="U14" s="3">
        <f>IF(Waterfall!U33&gt;0,MIN(1,Inputs!$F$183*(Waterfall!$F$32+MAX(0,Waterfall!T43))/Waterfall!U33),1)</f>
        <v/>
      </c>
      <c r="V14" s="3">
        <f>IF(Waterfall!V33&gt;0,MIN(1,Inputs!$F$183*(Waterfall!$F$32+MAX(0,Waterfall!U43))/Waterfall!V33),1)</f>
        <v/>
      </c>
      <c r="W14" s="3">
        <f>IF(Waterfall!W33&gt;0,MIN(1,Inputs!$F$183*(Waterfall!$F$32+MAX(0,Waterfall!V43))/Waterfall!W33),1)</f>
        <v/>
      </c>
      <c r="X14" s="3">
        <f>IF(Waterfall!X33&gt;0,MIN(1,Inputs!$F$183*(Waterfall!$F$32+MAX(0,Waterfall!W43))/Waterfall!X33),1)</f>
        <v/>
      </c>
      <c r="Y14" s="3">
        <f>IF(Waterfall!Y33&gt;0,MIN(1,Inputs!$F$183*(Waterfall!$F$32+MAX(0,Waterfall!X43))/Waterfall!Y33),1)</f>
        <v/>
      </c>
      <c r="Z14" s="3">
        <f>IF(Waterfall!Z33&gt;0,MIN(1,Inputs!$F$183*(Waterfall!$F$32+MAX(0,Waterfall!Y43))/Waterfall!Z33),1)</f>
        <v/>
      </c>
      <c r="AA14" s="3">
        <f>IF(Waterfall!AA33&gt;0,MIN(1,Inputs!$F$183*(Waterfall!$F$32+MAX(0,Waterfall!Z43))/Waterfall!AA33),1)</f>
        <v/>
      </c>
      <c r="AB14" s="3">
        <f>IF(Waterfall!AB33&gt;0,MIN(1,Inputs!$F$183*(Waterfall!$F$32+MAX(0,Waterfall!AA43))/Waterfall!AB33),1)</f>
        <v/>
      </c>
      <c r="AC14" s="3">
        <f>IF(Waterfall!AC33&gt;0,MIN(1,Inputs!$F$183*(Waterfall!$F$32+MAX(0,Waterfall!AB43))/Waterfall!AC33),1)</f>
        <v/>
      </c>
      <c r="AD14" s="3">
        <f>IF(Waterfall!AD33&gt;0,MIN(1,Inputs!$F$183*(Waterfall!$F$32+MAX(0,Waterfall!AC43))/Waterfall!AD33),1)</f>
        <v/>
      </c>
      <c r="AE14" s="3">
        <f>IF(Waterfall!AE33&gt;0,MIN(1,Inputs!$F$183*(Waterfall!$F$32+MAX(0,Waterfall!AD43))/Waterfall!AE33),1)</f>
        <v/>
      </c>
      <c r="AF14" s="3">
        <f>IF(Waterfall!AF33&gt;0,MIN(1,Inputs!$F$183*(Waterfall!$F$32+MAX(0,Waterfall!AE43))/Waterfall!AF33),1)</f>
        <v/>
      </c>
      <c r="AG14" s="3">
        <f>IF(Waterfall!AG33&gt;0,MIN(1,Inputs!$F$183*(Waterfall!$F$32+MAX(0,Waterfall!AF43))/Waterfall!AG33),1)</f>
        <v/>
      </c>
      <c r="AH14" s="3">
        <f>IF(Waterfall!AH33&gt;0,MIN(1,Inputs!$F$183*(Waterfall!$F$32+MAX(0,Waterfall!AG43))/Waterfall!AH33),1)</f>
        <v/>
      </c>
      <c r="AI14" s="3">
        <f>IF(Waterfall!AI33&gt;0,MIN(1,Inputs!$F$183*(Waterfall!$F$32+MAX(0,Waterfall!AH43))/Waterfall!AI33),1)</f>
        <v/>
      </c>
      <c r="AJ14" s="3">
        <f>IF(Waterfall!AJ33&gt;0,MIN(1,Inputs!$F$183*(Waterfall!$F$32+MAX(0,Waterfall!AI43))/Waterfall!AJ33),1)</f>
        <v/>
      </c>
      <c r="AK14" s="3">
        <f>IF(Waterfall!AK33&gt;0,MIN(1,Inputs!$F$183*(Waterfall!$F$32+MAX(0,Waterfall!AJ43))/Waterfall!AK33),1)</f>
        <v/>
      </c>
      <c r="AL14" s="3">
        <f>IF(Waterfall!AL33&gt;0,MIN(1,Inputs!$F$183*(Waterfall!$F$32+MAX(0,Waterfall!AK43))/Waterfall!AL33),1)</f>
        <v/>
      </c>
      <c r="AM14" s="3">
        <f>IF(Waterfall!AM33&gt;0,MIN(1,Inputs!$F$183*(Waterfall!$F$32+MAX(0,Waterfall!AL43))/Waterfall!AM33),1)</f>
        <v/>
      </c>
      <c r="AN14" s="3">
        <f>IF(Waterfall!AN33&gt;0,MIN(1,Inputs!$F$183*(Waterfall!$F$32+MAX(0,Waterfall!AM43))/Waterfall!AN33),1)</f>
        <v/>
      </c>
      <c r="AO14" s="3">
        <f>IF(Waterfall!AO33&gt;0,MIN(1,Inputs!$F$183*(Waterfall!$F$32+MAX(0,Waterfall!AN43))/Waterfall!AO33),1)</f>
        <v/>
      </c>
      <c r="AP14" s="3">
        <f>IF(Waterfall!AP33&gt;0,MIN(1,Inputs!$F$183*(Waterfall!$F$32+MAX(0,Waterfall!AO43))/Waterfall!AP33),1)</f>
        <v/>
      </c>
      <c r="AQ14" s="3">
        <f>IF(Waterfall!AQ33&gt;0,MIN(1,Inputs!$F$183*(Waterfall!$F$32+MAX(0,Waterfall!AP43))/Waterfall!AQ33),1)</f>
        <v/>
      </c>
      <c r="AR14" s="3">
        <f>IF(Waterfall!AR33&gt;0,MIN(1,Inputs!$F$183*(Waterfall!$F$32+MAX(0,Waterfall!AQ43))/Waterfall!AR33),1)</f>
        <v/>
      </c>
      <c r="AS14" s="3">
        <f>IF(Waterfall!AS33&gt;0,MIN(1,Inputs!$F$183*(Waterfall!$F$32+MAX(0,Waterfall!AR43))/Waterfall!AS33),1)</f>
        <v/>
      </c>
      <c r="AT14" s="3">
        <f>IF(Waterfall!AT33&gt;0,MIN(1,Inputs!$F$183*(Waterfall!$F$32+MAX(0,Waterfall!AS43))/Waterfall!AT33),1)</f>
        <v/>
      </c>
      <c r="AU14" s="3">
        <f>IF(Waterfall!AU33&gt;0,MIN(1,Inputs!$F$183*(Waterfall!$F$32+MAX(0,Waterfall!AT43))/Waterfall!AU33),1)</f>
        <v/>
      </c>
      <c r="AV14" s="3">
        <f>IF(Waterfall!AV33&gt;0,MIN(1,Inputs!$F$183*(Waterfall!$F$32+MAX(0,Waterfall!AU43))/Waterfall!AV33),1)</f>
        <v/>
      </c>
      <c r="AW14" s="3">
        <f>IF(Waterfall!AW33&gt;0,MIN(1,Inputs!$F$183*(Waterfall!$F$32+MAX(0,Waterfall!AV43))/Waterfall!AW33),1)</f>
        <v/>
      </c>
      <c r="AX14" s="3">
        <f>IF(Waterfall!AX33&gt;0,MIN(1,Inputs!$F$183*(Waterfall!$F$32+MAX(0,Waterfall!AW43))/Waterfall!AX33),1)</f>
        <v/>
      </c>
      <c r="AY14" s="3">
        <f>IF(Waterfall!AY33&gt;0,MIN(1,Inputs!$F$183*(Waterfall!$F$32+MAX(0,Waterfall!AX43))/Waterfall!AY33),1)</f>
        <v/>
      </c>
      <c r="AZ14" s="3">
        <f>IF(Waterfall!AZ33&gt;0,MIN(1,Inputs!$F$183*(Waterfall!$F$32+MAX(0,Waterfall!AY43))/Waterfall!AZ33),1)</f>
        <v/>
      </c>
      <c r="BA14" s="3">
        <f>IF(Waterfall!BA33&gt;0,MIN(1,Inputs!$F$183*(Waterfall!$F$32+MAX(0,Waterfall!AZ43))/Waterfall!BA33),1)</f>
        <v/>
      </c>
      <c r="BB14" s="3">
        <f>IF(Waterfall!BB33&gt;0,MIN(1,Inputs!$F$183*(Waterfall!$F$32+MAX(0,Waterfall!BA43))/Waterfall!BB33),1)</f>
        <v/>
      </c>
      <c r="BC14" s="3">
        <f>IF(Waterfall!BC33&gt;0,MIN(1,Inputs!$F$183*(Waterfall!$F$32+MAX(0,Waterfall!BB43))/Waterfall!BC33),1)</f>
        <v/>
      </c>
      <c r="BD14" s="3">
        <f>IF(Waterfall!BD33&gt;0,MIN(1,Inputs!$F$183*(Waterfall!$F$32+MAX(0,Waterfall!BC43))/Waterfall!BD33),1)</f>
        <v/>
      </c>
      <c r="BE14" s="3">
        <f>IF(Waterfall!BE33&gt;0,MIN(1,Inputs!$F$183*(Waterfall!$F$32+MAX(0,Waterfall!BD43))/Waterfall!BE33),1)</f>
        <v/>
      </c>
      <c r="BF14" s="3">
        <f>IF(Waterfall!BF33&gt;0,MIN(1,Inputs!$F$183*(Waterfall!$F$32+MAX(0,Waterfall!BE43))/Waterfall!BF33),1)</f>
        <v/>
      </c>
      <c r="BG14" s="3">
        <f>IF(Waterfall!BG33&gt;0,MIN(1,Inputs!$F$183*(Waterfall!$F$32+MAX(0,Waterfall!BF43))/Waterfall!BG33),1)</f>
        <v/>
      </c>
      <c r="BH14" s="3">
        <f>IF(Waterfall!BH33&gt;0,MIN(1,Inputs!$F$183*(Waterfall!$F$32+MAX(0,Waterfall!BG43))/Waterfall!BH33),1)</f>
        <v/>
      </c>
      <c r="BI14" s="3">
        <f>IF(Waterfall!BI33&gt;0,MIN(1,Inputs!$F$183*(Waterfall!$F$32+MAX(0,Waterfall!BH43))/Waterfall!BI33),1)</f>
        <v/>
      </c>
      <c r="BJ14" s="3">
        <f>IF(Waterfall!BJ33&gt;0,MIN(1,Inputs!$F$183*(Waterfall!$F$32+MAX(0,Waterfall!BI43))/Waterfall!BJ33),1)</f>
        <v/>
      </c>
      <c r="BK14" s="3">
        <f>IF(Waterfall!BK33&gt;0,MIN(1,Inputs!$F$183*(Waterfall!$F$32+MAX(0,Waterfall!BJ43))/Waterfall!BK33),1)</f>
        <v/>
      </c>
      <c r="BL14" s="3">
        <f>IF(Waterfall!BL33&gt;0,MIN(1,Inputs!$F$183*(Waterfall!$F$32+MAX(0,Waterfall!BK43))/Waterfall!BL33),1)</f>
        <v/>
      </c>
      <c r="BM14" s="3">
        <f>IF(Waterfall!BM33&gt;0,MIN(1,Inputs!$F$183*(Waterfall!$F$32+MAX(0,Waterfall!BL43))/Waterfall!BM33),1)</f>
        <v/>
      </c>
      <c r="BN14" s="3">
        <f>IF(Waterfall!BN33&gt;0,MIN(1,Inputs!$F$183*(Waterfall!$F$32+MAX(0,Waterfall!BM43))/Waterfall!BN33),1)</f>
        <v/>
      </c>
    </row>
    <row r="15">
      <c r="D15" t="inlineStr">
        <is>
          <t>Shareholder loan interest deductible</t>
        </is>
      </c>
      <c r="E15" t="inlineStr">
        <is>
          <t>USD m</t>
        </is>
      </c>
      <c r="G15" s="13">
        <f>SUM(J15:BN15)</f>
        <v/>
      </c>
      <c r="J15" s="13">
        <f>J13*J14</f>
        <v/>
      </c>
      <c r="K15" s="13">
        <f>K13*K14</f>
        <v/>
      </c>
      <c r="L15" s="13">
        <f>L13*L14</f>
        <v/>
      </c>
      <c r="M15" s="13">
        <f>M13*M14</f>
        <v/>
      </c>
      <c r="N15" s="13">
        <f>N13*N14</f>
        <v/>
      </c>
      <c r="O15" s="13">
        <f>O13*O14</f>
        <v/>
      </c>
      <c r="P15" s="13">
        <f>P13*P14</f>
        <v/>
      </c>
      <c r="Q15" s="13">
        <f>Q13*Q14</f>
        <v/>
      </c>
      <c r="R15" s="13">
        <f>R13*R14</f>
        <v/>
      </c>
      <c r="S15" s="13">
        <f>S13*S14</f>
        <v/>
      </c>
      <c r="T15" s="13">
        <f>T13*T14</f>
        <v/>
      </c>
      <c r="U15" s="13">
        <f>U13*U14</f>
        <v/>
      </c>
      <c r="V15" s="13">
        <f>V13*V14</f>
        <v/>
      </c>
      <c r="W15" s="13">
        <f>W13*W14</f>
        <v/>
      </c>
      <c r="X15" s="13">
        <f>X13*X14</f>
        <v/>
      </c>
      <c r="Y15" s="13">
        <f>Y13*Y14</f>
        <v/>
      </c>
      <c r="Z15" s="13">
        <f>Z13*Z14</f>
        <v/>
      </c>
      <c r="AA15" s="13">
        <f>AA13*AA14</f>
        <v/>
      </c>
      <c r="AB15" s="13">
        <f>AB13*AB14</f>
        <v/>
      </c>
      <c r="AC15" s="13">
        <f>AC13*AC14</f>
        <v/>
      </c>
      <c r="AD15" s="13">
        <f>AD13*AD14</f>
        <v/>
      </c>
      <c r="AE15" s="13">
        <f>AE13*AE14</f>
        <v/>
      </c>
      <c r="AF15" s="13">
        <f>AF13*AF14</f>
        <v/>
      </c>
      <c r="AG15" s="13">
        <f>AG13*AG14</f>
        <v/>
      </c>
      <c r="AH15" s="13">
        <f>AH13*AH14</f>
        <v/>
      </c>
      <c r="AI15" s="13">
        <f>AI13*AI14</f>
        <v/>
      </c>
      <c r="AJ15" s="13">
        <f>AJ13*AJ14</f>
        <v/>
      </c>
      <c r="AK15" s="13">
        <f>AK13*AK14</f>
        <v/>
      </c>
      <c r="AL15" s="13">
        <f>AL13*AL14</f>
        <v/>
      </c>
      <c r="AM15" s="13">
        <f>AM13*AM14</f>
        <v/>
      </c>
      <c r="AN15" s="13">
        <f>AN13*AN14</f>
        <v/>
      </c>
      <c r="AO15" s="13">
        <f>AO13*AO14</f>
        <v/>
      </c>
      <c r="AP15" s="13">
        <f>AP13*AP14</f>
        <v/>
      </c>
      <c r="AQ15" s="13">
        <f>AQ13*AQ14</f>
        <v/>
      </c>
      <c r="AR15" s="13">
        <f>AR13*AR14</f>
        <v/>
      </c>
      <c r="AS15" s="13">
        <f>AS13*AS14</f>
        <v/>
      </c>
      <c r="AT15" s="13">
        <f>AT13*AT14</f>
        <v/>
      </c>
      <c r="AU15" s="13">
        <f>AU13*AU14</f>
        <v/>
      </c>
      <c r="AV15" s="13">
        <f>AV13*AV14</f>
        <v/>
      </c>
      <c r="AW15" s="13">
        <f>AW13*AW14</f>
        <v/>
      </c>
      <c r="AX15" s="13">
        <f>AX13*AX14</f>
        <v/>
      </c>
      <c r="AY15" s="13">
        <f>AY13*AY14</f>
        <v/>
      </c>
      <c r="AZ15" s="13">
        <f>AZ13*AZ14</f>
        <v/>
      </c>
      <c r="BA15" s="13">
        <f>BA13*BA14</f>
        <v/>
      </c>
      <c r="BB15" s="13">
        <f>BB13*BB14</f>
        <v/>
      </c>
      <c r="BC15" s="13">
        <f>BC13*BC14</f>
        <v/>
      </c>
      <c r="BD15" s="13">
        <f>BD13*BD14</f>
        <v/>
      </c>
      <c r="BE15" s="13">
        <f>BE13*BE14</f>
        <v/>
      </c>
      <c r="BF15" s="13">
        <f>BF13*BF14</f>
        <v/>
      </c>
      <c r="BG15" s="13">
        <f>BG13*BG14</f>
        <v/>
      </c>
      <c r="BH15" s="13">
        <f>BH13*BH14</f>
        <v/>
      </c>
      <c r="BI15" s="13">
        <f>BI13*BI14</f>
        <v/>
      </c>
      <c r="BJ15" s="13">
        <f>BJ13*BJ14</f>
        <v/>
      </c>
      <c r="BK15" s="13">
        <f>BK13*BK14</f>
        <v/>
      </c>
      <c r="BL15" s="13">
        <f>BL13*BL14</f>
        <v/>
      </c>
      <c r="BM15" s="13">
        <f>BM13*BM14</f>
        <v/>
      </c>
      <c r="BN15" s="13">
        <f>BN13*BN14</f>
        <v/>
      </c>
    </row>
    <row r="16">
      <c r="D16" t="inlineStr">
        <is>
          <t>Senior financing costs deductible (all grandfathered)</t>
        </is>
      </c>
      <c r="E16" t="inlineStr">
        <is>
          <t>USD m</t>
        </is>
      </c>
      <c r="G16" s="13">
        <f>SUM(J16:BN16)</f>
        <v/>
      </c>
      <c r="J16" s="13">
        <f>Debt!J112+Debt!J110+Debt!J104-Debt!J103</f>
        <v/>
      </c>
      <c r="K16" s="13">
        <f>Debt!K112+Debt!K110+Debt!K104-Debt!K103</f>
        <v/>
      </c>
      <c r="L16" s="13">
        <f>Debt!L112+Debt!L110+Debt!L104-Debt!L103</f>
        <v/>
      </c>
      <c r="M16" s="13">
        <f>Debt!M112+Debt!M110+Debt!M104-Debt!M103</f>
        <v/>
      </c>
      <c r="N16" s="13">
        <f>Debt!N112+Debt!N110+Debt!N104-Debt!N103</f>
        <v/>
      </c>
      <c r="O16" s="13">
        <f>Debt!O112+Debt!O110+Debt!O104-Debt!O103</f>
        <v/>
      </c>
      <c r="P16" s="13">
        <f>Debt!P112+Debt!P110+Debt!P104-Debt!P103</f>
        <v/>
      </c>
      <c r="Q16" s="13">
        <f>Debt!Q112+Debt!Q110+Debt!Q104-Debt!Q103</f>
        <v/>
      </c>
      <c r="R16" s="13">
        <f>Debt!R112+Debt!R110+Debt!R104-Debt!R103</f>
        <v/>
      </c>
      <c r="S16" s="13">
        <f>Debt!S112+Debt!S110+Debt!S104-Debt!S103</f>
        <v/>
      </c>
      <c r="T16" s="13">
        <f>Debt!T112+Debt!T110+Debt!T104-Debt!T103</f>
        <v/>
      </c>
      <c r="U16" s="13">
        <f>Debt!U112+Debt!U110+Debt!U104-Debt!U103</f>
        <v/>
      </c>
      <c r="V16" s="13">
        <f>Debt!V112+Debt!V110+Debt!V104-Debt!V103</f>
        <v/>
      </c>
      <c r="W16" s="13">
        <f>Debt!W112+Debt!W110+Debt!W104-Debt!W103</f>
        <v/>
      </c>
      <c r="X16" s="13">
        <f>Debt!X112+Debt!X110+Debt!X104-Debt!X103</f>
        <v/>
      </c>
      <c r="Y16" s="13">
        <f>Debt!Y112+Debt!Y110+Debt!Y104-Debt!Y103</f>
        <v/>
      </c>
      <c r="Z16" s="13">
        <f>Debt!Z112+Debt!Z110+Debt!Z104-Debt!Z103</f>
        <v/>
      </c>
      <c r="AA16" s="13">
        <f>Debt!AA112+Debt!AA110+Debt!AA104-Debt!AA103</f>
        <v/>
      </c>
      <c r="AB16" s="13">
        <f>Debt!AB112+Debt!AB110+Debt!AB104-Debt!AB103</f>
        <v/>
      </c>
      <c r="AC16" s="13">
        <f>Debt!AC112+Debt!AC110+Debt!AC104-Debt!AC103</f>
        <v/>
      </c>
      <c r="AD16" s="13">
        <f>Debt!AD112+Debt!AD110+Debt!AD104-Debt!AD103</f>
        <v/>
      </c>
      <c r="AE16" s="13">
        <f>Debt!AE112+Debt!AE110+Debt!AE104-Debt!AE103</f>
        <v/>
      </c>
      <c r="AF16" s="13">
        <f>Debt!AF112+Debt!AF110+Debt!AF104-Debt!AF103</f>
        <v/>
      </c>
      <c r="AG16" s="13">
        <f>Debt!AG112+Debt!AG110+Debt!AG104-Debt!AG103</f>
        <v/>
      </c>
      <c r="AH16" s="13">
        <f>Debt!AH112+Debt!AH110+Debt!AH104-Debt!AH103</f>
        <v/>
      </c>
      <c r="AI16" s="13">
        <f>Debt!AI112+Debt!AI110+Debt!AI104-Debt!AI103</f>
        <v/>
      </c>
      <c r="AJ16" s="13">
        <f>Debt!AJ112+Debt!AJ110+Debt!AJ104-Debt!AJ103</f>
        <v/>
      </c>
      <c r="AK16" s="13">
        <f>Debt!AK112+Debt!AK110+Debt!AK104-Debt!AK103</f>
        <v/>
      </c>
      <c r="AL16" s="13">
        <f>Debt!AL112+Debt!AL110+Debt!AL104-Debt!AL103</f>
        <v/>
      </c>
      <c r="AM16" s="13">
        <f>Debt!AM112+Debt!AM110+Debt!AM104-Debt!AM103</f>
        <v/>
      </c>
      <c r="AN16" s="13">
        <f>Debt!AN112+Debt!AN110+Debt!AN104-Debt!AN103</f>
        <v/>
      </c>
      <c r="AO16" s="13">
        <f>Debt!AO112+Debt!AO110+Debt!AO104-Debt!AO103</f>
        <v/>
      </c>
      <c r="AP16" s="13">
        <f>Debt!AP112+Debt!AP110+Debt!AP104-Debt!AP103</f>
        <v/>
      </c>
      <c r="AQ16" s="13">
        <f>Debt!AQ112+Debt!AQ110+Debt!AQ104-Debt!AQ103</f>
        <v/>
      </c>
      <c r="AR16" s="13">
        <f>Debt!AR112+Debt!AR110+Debt!AR104-Debt!AR103</f>
        <v/>
      </c>
      <c r="AS16" s="13">
        <f>Debt!AS112+Debt!AS110+Debt!AS104-Debt!AS103</f>
        <v/>
      </c>
      <c r="AT16" s="13">
        <f>Debt!AT112+Debt!AT110+Debt!AT104-Debt!AT103</f>
        <v/>
      </c>
      <c r="AU16" s="13">
        <f>Debt!AU112+Debt!AU110+Debt!AU104-Debt!AU103</f>
        <v/>
      </c>
      <c r="AV16" s="13">
        <f>Debt!AV112+Debt!AV110+Debt!AV104-Debt!AV103</f>
        <v/>
      </c>
      <c r="AW16" s="13">
        <f>Debt!AW112+Debt!AW110+Debt!AW104-Debt!AW103</f>
        <v/>
      </c>
      <c r="AX16" s="13">
        <f>Debt!AX112+Debt!AX110+Debt!AX104-Debt!AX103</f>
        <v/>
      </c>
      <c r="AY16" s="13">
        <f>Debt!AY112+Debt!AY110+Debt!AY104-Debt!AY103</f>
        <v/>
      </c>
      <c r="AZ16" s="13">
        <f>Debt!AZ112+Debt!AZ110+Debt!AZ104-Debt!AZ103</f>
        <v/>
      </c>
      <c r="BA16" s="13">
        <f>Debt!BA112+Debt!BA110+Debt!BA104-Debt!BA103</f>
        <v/>
      </c>
      <c r="BB16" s="13">
        <f>Debt!BB112+Debt!BB110+Debt!BB104-Debt!BB103</f>
        <v/>
      </c>
      <c r="BC16" s="13">
        <f>Debt!BC112+Debt!BC110+Debt!BC104-Debt!BC103</f>
        <v/>
      </c>
      <c r="BD16" s="13">
        <f>Debt!BD112+Debt!BD110+Debt!BD104-Debt!BD103</f>
        <v/>
      </c>
      <c r="BE16" s="13">
        <f>Debt!BE112+Debt!BE110+Debt!BE104-Debt!BE103</f>
        <v/>
      </c>
      <c r="BF16" s="13">
        <f>Debt!BF112+Debt!BF110+Debt!BF104-Debt!BF103</f>
        <v/>
      </c>
      <c r="BG16" s="13">
        <f>Debt!BG112+Debt!BG110+Debt!BG104-Debt!BG103</f>
        <v/>
      </c>
      <c r="BH16" s="13">
        <f>Debt!BH112+Debt!BH110+Debt!BH104-Debt!BH103</f>
        <v/>
      </c>
      <c r="BI16" s="13">
        <f>Debt!BI112+Debt!BI110+Debt!BI104-Debt!BI103</f>
        <v/>
      </c>
      <c r="BJ16" s="13">
        <f>Debt!BJ112+Debt!BJ110+Debt!BJ104-Debt!BJ103</f>
        <v/>
      </c>
      <c r="BK16" s="13">
        <f>Debt!BK112+Debt!BK110+Debt!BK104-Debt!BK103</f>
        <v/>
      </c>
      <c r="BL16" s="13">
        <f>Debt!BL112+Debt!BL110+Debt!BL104-Debt!BL103</f>
        <v/>
      </c>
      <c r="BM16" s="13">
        <f>Debt!BM112+Debt!BM110+Debt!BM104-Debt!BM103</f>
        <v/>
      </c>
      <c r="BN16" s="13">
        <f>Debt!BN112+Debt!BN110+Debt!BN104-Debt!BN103</f>
        <v/>
      </c>
    </row>
    <row r="17">
      <c r="D17" t="inlineStr">
        <is>
          <t>Non-holiday share of operating months</t>
        </is>
      </c>
      <c r="E17" t="inlineStr">
        <is>
          <t>fraction</t>
        </is>
      </c>
      <c r="J17" s="13">
        <f>IF(Time!J30&gt;0,(Time!J30-J7)/Time!J30,0)</f>
        <v/>
      </c>
      <c r="K17" s="13">
        <f>IF(Time!K30&gt;0,(Time!K30-K7)/Time!K30,0)</f>
        <v/>
      </c>
      <c r="L17" s="13">
        <f>IF(Time!L30&gt;0,(Time!L30-L7)/Time!L30,0)</f>
        <v/>
      </c>
      <c r="M17" s="13">
        <f>IF(Time!M30&gt;0,(Time!M30-M7)/Time!M30,0)</f>
        <v/>
      </c>
      <c r="N17" s="13">
        <f>IF(Time!N30&gt;0,(Time!N30-N7)/Time!N30,0)</f>
        <v/>
      </c>
      <c r="O17" s="13">
        <f>IF(Time!O30&gt;0,(Time!O30-O7)/Time!O30,0)</f>
        <v/>
      </c>
      <c r="P17" s="13">
        <f>IF(Time!P30&gt;0,(Time!P30-P7)/Time!P30,0)</f>
        <v/>
      </c>
      <c r="Q17" s="13">
        <f>IF(Time!Q30&gt;0,(Time!Q30-Q7)/Time!Q30,0)</f>
        <v/>
      </c>
      <c r="R17" s="13">
        <f>IF(Time!R30&gt;0,(Time!R30-R7)/Time!R30,0)</f>
        <v/>
      </c>
      <c r="S17" s="13">
        <f>IF(Time!S30&gt;0,(Time!S30-S7)/Time!S30,0)</f>
        <v/>
      </c>
      <c r="T17" s="13">
        <f>IF(Time!T30&gt;0,(Time!T30-T7)/Time!T30,0)</f>
        <v/>
      </c>
      <c r="U17" s="13">
        <f>IF(Time!U30&gt;0,(Time!U30-U7)/Time!U30,0)</f>
        <v/>
      </c>
      <c r="V17" s="13">
        <f>IF(Time!V30&gt;0,(Time!V30-V7)/Time!V30,0)</f>
        <v/>
      </c>
      <c r="W17" s="13">
        <f>IF(Time!W30&gt;0,(Time!W30-W7)/Time!W30,0)</f>
        <v/>
      </c>
      <c r="X17" s="13">
        <f>IF(Time!X30&gt;0,(Time!X30-X7)/Time!X30,0)</f>
        <v/>
      </c>
      <c r="Y17" s="13">
        <f>IF(Time!Y30&gt;0,(Time!Y30-Y7)/Time!Y30,0)</f>
        <v/>
      </c>
      <c r="Z17" s="13">
        <f>IF(Time!Z30&gt;0,(Time!Z30-Z7)/Time!Z30,0)</f>
        <v/>
      </c>
      <c r="AA17" s="13">
        <f>IF(Time!AA30&gt;0,(Time!AA30-AA7)/Time!AA30,0)</f>
        <v/>
      </c>
      <c r="AB17" s="13">
        <f>IF(Time!AB30&gt;0,(Time!AB30-AB7)/Time!AB30,0)</f>
        <v/>
      </c>
      <c r="AC17" s="13">
        <f>IF(Time!AC30&gt;0,(Time!AC30-AC7)/Time!AC30,0)</f>
        <v/>
      </c>
      <c r="AD17" s="13">
        <f>IF(Time!AD30&gt;0,(Time!AD30-AD7)/Time!AD30,0)</f>
        <v/>
      </c>
      <c r="AE17" s="13">
        <f>IF(Time!AE30&gt;0,(Time!AE30-AE7)/Time!AE30,0)</f>
        <v/>
      </c>
      <c r="AF17" s="13">
        <f>IF(Time!AF30&gt;0,(Time!AF30-AF7)/Time!AF30,0)</f>
        <v/>
      </c>
      <c r="AG17" s="13">
        <f>IF(Time!AG30&gt;0,(Time!AG30-AG7)/Time!AG30,0)</f>
        <v/>
      </c>
      <c r="AH17" s="13">
        <f>IF(Time!AH30&gt;0,(Time!AH30-AH7)/Time!AH30,0)</f>
        <v/>
      </c>
      <c r="AI17" s="13">
        <f>IF(Time!AI30&gt;0,(Time!AI30-AI7)/Time!AI30,0)</f>
        <v/>
      </c>
      <c r="AJ17" s="13">
        <f>IF(Time!AJ30&gt;0,(Time!AJ30-AJ7)/Time!AJ30,0)</f>
        <v/>
      </c>
      <c r="AK17" s="13">
        <f>IF(Time!AK30&gt;0,(Time!AK30-AK7)/Time!AK30,0)</f>
        <v/>
      </c>
      <c r="AL17" s="13">
        <f>IF(Time!AL30&gt;0,(Time!AL30-AL7)/Time!AL30,0)</f>
        <v/>
      </c>
      <c r="AM17" s="13">
        <f>IF(Time!AM30&gt;0,(Time!AM30-AM7)/Time!AM30,0)</f>
        <v/>
      </c>
      <c r="AN17" s="13">
        <f>IF(Time!AN30&gt;0,(Time!AN30-AN7)/Time!AN30,0)</f>
        <v/>
      </c>
      <c r="AO17" s="13">
        <f>IF(Time!AO30&gt;0,(Time!AO30-AO7)/Time!AO30,0)</f>
        <v/>
      </c>
      <c r="AP17" s="13">
        <f>IF(Time!AP30&gt;0,(Time!AP30-AP7)/Time!AP30,0)</f>
        <v/>
      </c>
      <c r="AQ17" s="13">
        <f>IF(Time!AQ30&gt;0,(Time!AQ30-AQ7)/Time!AQ30,0)</f>
        <v/>
      </c>
      <c r="AR17" s="13">
        <f>IF(Time!AR30&gt;0,(Time!AR30-AR7)/Time!AR30,0)</f>
        <v/>
      </c>
      <c r="AS17" s="13">
        <f>IF(Time!AS30&gt;0,(Time!AS30-AS7)/Time!AS30,0)</f>
        <v/>
      </c>
      <c r="AT17" s="13">
        <f>IF(Time!AT30&gt;0,(Time!AT30-AT7)/Time!AT30,0)</f>
        <v/>
      </c>
      <c r="AU17" s="13">
        <f>IF(Time!AU30&gt;0,(Time!AU30-AU7)/Time!AU30,0)</f>
        <v/>
      </c>
      <c r="AV17" s="13">
        <f>IF(Time!AV30&gt;0,(Time!AV30-AV7)/Time!AV30,0)</f>
        <v/>
      </c>
      <c r="AW17" s="13">
        <f>IF(Time!AW30&gt;0,(Time!AW30-AW7)/Time!AW30,0)</f>
        <v/>
      </c>
      <c r="AX17" s="13">
        <f>IF(Time!AX30&gt;0,(Time!AX30-AX7)/Time!AX30,0)</f>
        <v/>
      </c>
      <c r="AY17" s="13">
        <f>IF(Time!AY30&gt;0,(Time!AY30-AY7)/Time!AY30,0)</f>
        <v/>
      </c>
      <c r="AZ17" s="13">
        <f>IF(Time!AZ30&gt;0,(Time!AZ30-AZ7)/Time!AZ30,0)</f>
        <v/>
      </c>
      <c r="BA17" s="13">
        <f>IF(Time!BA30&gt;0,(Time!BA30-BA7)/Time!BA30,0)</f>
        <v/>
      </c>
      <c r="BB17" s="13">
        <f>IF(Time!BB30&gt;0,(Time!BB30-BB7)/Time!BB30,0)</f>
        <v/>
      </c>
      <c r="BC17" s="13">
        <f>IF(Time!BC30&gt;0,(Time!BC30-BC7)/Time!BC30,0)</f>
        <v/>
      </c>
      <c r="BD17" s="13">
        <f>IF(Time!BD30&gt;0,(Time!BD30-BD7)/Time!BD30,0)</f>
        <v/>
      </c>
      <c r="BE17" s="13">
        <f>IF(Time!BE30&gt;0,(Time!BE30-BE7)/Time!BE30,0)</f>
        <v/>
      </c>
      <c r="BF17" s="13">
        <f>IF(Time!BF30&gt;0,(Time!BF30-BF7)/Time!BF30,0)</f>
        <v/>
      </c>
      <c r="BG17" s="13">
        <f>IF(Time!BG30&gt;0,(Time!BG30-BG7)/Time!BG30,0)</f>
        <v/>
      </c>
      <c r="BH17" s="13">
        <f>IF(Time!BH30&gt;0,(Time!BH30-BH7)/Time!BH30,0)</f>
        <v/>
      </c>
      <c r="BI17" s="13">
        <f>IF(Time!BI30&gt;0,(Time!BI30-BI7)/Time!BI30,0)</f>
        <v/>
      </c>
      <c r="BJ17" s="13">
        <f>IF(Time!BJ30&gt;0,(Time!BJ30-BJ7)/Time!BJ30,0)</f>
        <v/>
      </c>
      <c r="BK17" s="13">
        <f>IF(Time!BK30&gt;0,(Time!BK30-BK7)/Time!BK30,0)</f>
        <v/>
      </c>
      <c r="BL17" s="13">
        <f>IF(Time!BL30&gt;0,(Time!BL30-BL7)/Time!BL30,0)</f>
        <v/>
      </c>
      <c r="BM17" s="13">
        <f>IF(Time!BM30&gt;0,(Time!BM30-BM7)/Time!BM30,0)</f>
        <v/>
      </c>
      <c r="BN17" s="13">
        <f>IF(Time!BN30&gt;0,(Time!BN30-BN7)/Time!BN30,0)</f>
        <v/>
      </c>
    </row>
    <row r="18">
      <c r="D18" t="inlineStr">
        <is>
          <t>Taxable income before losses and deferred depreciation</t>
        </is>
      </c>
      <c r="E18" t="inlineStr">
        <is>
          <t>USD m</t>
        </is>
      </c>
      <c r="G18" s="13">
        <f>SUM(J18:BN18)</f>
        <v/>
      </c>
      <c r="J18" s="13">
        <f>(Operations!J84-J16-J15)*J17-J12</f>
        <v/>
      </c>
      <c r="K18" s="13">
        <f>(Operations!K84-K16-K15)*K17-K12</f>
        <v/>
      </c>
      <c r="L18" s="13">
        <f>(Operations!L84-L16-L15)*L17-L12</f>
        <v/>
      </c>
      <c r="M18" s="13">
        <f>(Operations!M84-M16-M15)*M17-M12</f>
        <v/>
      </c>
      <c r="N18" s="13">
        <f>(Operations!N84-N16-N15)*N17-N12</f>
        <v/>
      </c>
      <c r="O18" s="13">
        <f>(Operations!O84-O16-O15)*O17-O12</f>
        <v/>
      </c>
      <c r="P18" s="13">
        <f>(Operations!P84-P16-P15)*P17-P12</f>
        <v/>
      </c>
      <c r="Q18" s="13">
        <f>(Operations!Q84-Q16-Q15)*Q17-Q12</f>
        <v/>
      </c>
      <c r="R18" s="13">
        <f>(Operations!R84-R16-R15)*R17-R12</f>
        <v/>
      </c>
      <c r="S18" s="13">
        <f>(Operations!S84-S16-S15)*S17-S12</f>
        <v/>
      </c>
      <c r="T18" s="13">
        <f>(Operations!T84-T16-T15)*T17-T12</f>
        <v/>
      </c>
      <c r="U18" s="13">
        <f>(Operations!U84-U16-U15)*U17-U12</f>
        <v/>
      </c>
      <c r="V18" s="13">
        <f>(Operations!V84-V16-V15)*V17-V12</f>
        <v/>
      </c>
      <c r="W18" s="13">
        <f>(Operations!W84-W16-W15)*W17-W12</f>
        <v/>
      </c>
      <c r="X18" s="13">
        <f>(Operations!X84-X16-X15)*X17-X12</f>
        <v/>
      </c>
      <c r="Y18" s="13">
        <f>(Operations!Y84-Y16-Y15)*Y17-Y12</f>
        <v/>
      </c>
      <c r="Z18" s="13">
        <f>(Operations!Z84-Z16-Z15)*Z17-Z12</f>
        <v/>
      </c>
      <c r="AA18" s="13">
        <f>(Operations!AA84-AA16-AA15)*AA17-AA12</f>
        <v/>
      </c>
      <c r="AB18" s="13">
        <f>(Operations!AB84-AB16-AB15)*AB17-AB12</f>
        <v/>
      </c>
      <c r="AC18" s="13">
        <f>(Operations!AC84-AC16-AC15)*AC17-AC12</f>
        <v/>
      </c>
      <c r="AD18" s="13">
        <f>(Operations!AD84-AD16-AD15)*AD17-AD12</f>
        <v/>
      </c>
      <c r="AE18" s="13">
        <f>(Operations!AE84-AE16-AE15)*AE17-AE12</f>
        <v/>
      </c>
      <c r="AF18" s="13">
        <f>(Operations!AF84-AF16-AF15)*AF17-AF12</f>
        <v/>
      </c>
      <c r="AG18" s="13">
        <f>(Operations!AG84-AG16-AG15)*AG17-AG12</f>
        <v/>
      </c>
      <c r="AH18" s="13">
        <f>(Operations!AH84-AH16-AH15)*AH17-AH12</f>
        <v/>
      </c>
      <c r="AI18" s="13">
        <f>(Operations!AI84-AI16-AI15)*AI17-AI12</f>
        <v/>
      </c>
      <c r="AJ18" s="13">
        <f>(Operations!AJ84-AJ16-AJ15)*AJ17-AJ12</f>
        <v/>
      </c>
      <c r="AK18" s="13">
        <f>(Operations!AK84-AK16-AK15)*AK17-AK12</f>
        <v/>
      </c>
      <c r="AL18" s="13">
        <f>(Operations!AL84-AL16-AL15)*AL17-AL12</f>
        <v/>
      </c>
      <c r="AM18" s="13">
        <f>(Operations!AM84-AM16-AM15)*AM17-AM12</f>
        <v/>
      </c>
      <c r="AN18" s="13">
        <f>(Operations!AN84-AN16-AN15)*AN17-AN12</f>
        <v/>
      </c>
      <c r="AO18" s="13">
        <f>(Operations!AO84-AO16-AO15)*AO17-AO12</f>
        <v/>
      </c>
      <c r="AP18" s="13">
        <f>(Operations!AP84-AP16-AP15)*AP17-AP12</f>
        <v/>
      </c>
      <c r="AQ18" s="13">
        <f>(Operations!AQ84-AQ16-AQ15)*AQ17-AQ12</f>
        <v/>
      </c>
      <c r="AR18" s="13">
        <f>(Operations!AR84-AR16-AR15)*AR17-AR12</f>
        <v/>
      </c>
      <c r="AS18" s="13">
        <f>(Operations!AS84-AS16-AS15)*AS17-AS12</f>
        <v/>
      </c>
      <c r="AT18" s="13">
        <f>(Operations!AT84-AT16-AT15)*AT17-AT12</f>
        <v/>
      </c>
      <c r="AU18" s="13">
        <f>(Operations!AU84-AU16-AU15)*AU17-AU12</f>
        <v/>
      </c>
      <c r="AV18" s="13">
        <f>(Operations!AV84-AV16-AV15)*AV17-AV12</f>
        <v/>
      </c>
      <c r="AW18" s="13">
        <f>(Operations!AW84-AW16-AW15)*AW17-AW12</f>
        <v/>
      </c>
      <c r="AX18" s="13">
        <f>(Operations!AX84-AX16-AX15)*AX17-AX12</f>
        <v/>
      </c>
      <c r="AY18" s="13">
        <f>(Operations!AY84-AY16-AY15)*AY17-AY12</f>
        <v/>
      </c>
      <c r="AZ18" s="13">
        <f>(Operations!AZ84-AZ16-AZ15)*AZ17-AZ12</f>
        <v/>
      </c>
      <c r="BA18" s="13">
        <f>(Operations!BA84-BA16-BA15)*BA17-BA12</f>
        <v/>
      </c>
      <c r="BB18" s="13">
        <f>(Operations!BB84-BB16-BB15)*BB17-BB12</f>
        <v/>
      </c>
      <c r="BC18" s="13">
        <f>(Operations!BC84-BC16-BC15)*BC17-BC12</f>
        <v/>
      </c>
      <c r="BD18" s="13">
        <f>(Operations!BD84-BD16-BD15)*BD17-BD12</f>
        <v/>
      </c>
      <c r="BE18" s="13">
        <f>(Operations!BE84-BE16-BE15)*BE17-BE12</f>
        <v/>
      </c>
      <c r="BF18" s="13">
        <f>(Operations!BF84-BF16-BF15)*BF17-BF12</f>
        <v/>
      </c>
      <c r="BG18" s="13">
        <f>(Operations!BG84-BG16-BG15)*BG17-BG12</f>
        <v/>
      </c>
      <c r="BH18" s="13">
        <f>(Operations!BH84-BH16-BH15)*BH17-BH12</f>
        <v/>
      </c>
      <c r="BI18" s="13">
        <f>(Operations!BI84-BI16-BI15)*BI17-BI12</f>
        <v/>
      </c>
      <c r="BJ18" s="13">
        <f>(Operations!BJ84-BJ16-BJ15)*BJ17-BJ12</f>
        <v/>
      </c>
      <c r="BK18" s="13">
        <f>(Operations!BK84-BK16-BK15)*BK17-BK12</f>
        <v/>
      </c>
      <c r="BL18" s="13">
        <f>(Operations!BL84-BL16-BL15)*BL17-BL12</f>
        <v/>
      </c>
      <c r="BM18" s="13">
        <f>(Operations!BM84-BM16-BM15)*BM17-BM12</f>
        <v/>
      </c>
      <c r="BN18" s="13">
        <f>(Operations!BN84-BN16-BN15)*BN17-BN12</f>
        <v/>
      </c>
    </row>
    <row r="19">
      <c r="D19" t="inlineStr">
        <is>
          <t>Tax losses used</t>
        </is>
      </c>
      <c r="E19" t="inlineStr">
        <is>
          <t>USD m</t>
        </is>
      </c>
      <c r="G19" s="13">
        <f>SUM(J19:BN19)</f>
        <v/>
      </c>
      <c r="J19" s="13">
        <f>MIN(I22,MAX(0,J18))</f>
        <v/>
      </c>
      <c r="K19" s="13">
        <f>MIN(J22,MAX(0,K18))</f>
        <v/>
      </c>
      <c r="L19" s="13">
        <f>MIN(K22,MAX(0,L18))</f>
        <v/>
      </c>
      <c r="M19" s="13">
        <f>MIN(L22,MAX(0,M18))</f>
        <v/>
      </c>
      <c r="N19" s="13">
        <f>MIN(M22,MAX(0,N18))</f>
        <v/>
      </c>
      <c r="O19" s="13">
        <f>MIN(N22,MAX(0,O18))</f>
        <v/>
      </c>
      <c r="P19" s="13">
        <f>MIN(O22,MAX(0,P18))</f>
        <v/>
      </c>
      <c r="Q19" s="13">
        <f>MIN(P22,MAX(0,Q18))</f>
        <v/>
      </c>
      <c r="R19" s="13">
        <f>MIN(Q22,MAX(0,R18))</f>
        <v/>
      </c>
      <c r="S19" s="13">
        <f>MIN(R22,MAX(0,S18))</f>
        <v/>
      </c>
      <c r="T19" s="13">
        <f>MIN(S22,MAX(0,T18))</f>
        <v/>
      </c>
      <c r="U19" s="13">
        <f>MIN(T22,MAX(0,U18))</f>
        <v/>
      </c>
      <c r="V19" s="13">
        <f>MIN(U22,MAX(0,V18))</f>
        <v/>
      </c>
      <c r="W19" s="13">
        <f>MIN(V22,MAX(0,W18))</f>
        <v/>
      </c>
      <c r="X19" s="13">
        <f>MIN(W22,MAX(0,X18))</f>
        <v/>
      </c>
      <c r="Y19" s="13">
        <f>MIN(X22,MAX(0,Y18))</f>
        <v/>
      </c>
      <c r="Z19" s="13">
        <f>MIN(Y22,MAX(0,Z18))</f>
        <v/>
      </c>
      <c r="AA19" s="13">
        <f>MIN(Z22,MAX(0,AA18))</f>
        <v/>
      </c>
      <c r="AB19" s="13">
        <f>MIN(AA22,MAX(0,AB18))</f>
        <v/>
      </c>
      <c r="AC19" s="13">
        <f>MIN(AB22,MAX(0,AC18))</f>
        <v/>
      </c>
      <c r="AD19" s="13">
        <f>MIN(AC22,MAX(0,AD18))</f>
        <v/>
      </c>
      <c r="AE19" s="13">
        <f>MIN(AD22,MAX(0,AE18))</f>
        <v/>
      </c>
      <c r="AF19" s="13">
        <f>MIN(AE22,MAX(0,AF18))</f>
        <v/>
      </c>
      <c r="AG19" s="13">
        <f>MIN(AF22,MAX(0,AG18))</f>
        <v/>
      </c>
      <c r="AH19" s="13">
        <f>MIN(AG22,MAX(0,AH18))</f>
        <v/>
      </c>
      <c r="AI19" s="13">
        <f>MIN(AH22,MAX(0,AI18))</f>
        <v/>
      </c>
      <c r="AJ19" s="13">
        <f>MIN(AI22,MAX(0,AJ18))</f>
        <v/>
      </c>
      <c r="AK19" s="13">
        <f>MIN(AJ22,MAX(0,AK18))</f>
        <v/>
      </c>
      <c r="AL19" s="13">
        <f>MIN(AK22,MAX(0,AL18))</f>
        <v/>
      </c>
      <c r="AM19" s="13">
        <f>MIN(AL22,MAX(0,AM18))</f>
        <v/>
      </c>
      <c r="AN19" s="13">
        <f>MIN(AM22,MAX(0,AN18))</f>
        <v/>
      </c>
      <c r="AO19" s="13">
        <f>MIN(AN22,MAX(0,AO18))</f>
        <v/>
      </c>
      <c r="AP19" s="13">
        <f>MIN(AO22,MAX(0,AP18))</f>
        <v/>
      </c>
      <c r="AQ19" s="13">
        <f>MIN(AP22,MAX(0,AQ18))</f>
        <v/>
      </c>
      <c r="AR19" s="13">
        <f>MIN(AQ22,MAX(0,AR18))</f>
        <v/>
      </c>
      <c r="AS19" s="13">
        <f>MIN(AR22,MAX(0,AS18))</f>
        <v/>
      </c>
      <c r="AT19" s="13">
        <f>MIN(AS22,MAX(0,AT18))</f>
        <v/>
      </c>
      <c r="AU19" s="13">
        <f>MIN(AT22,MAX(0,AU18))</f>
        <v/>
      </c>
      <c r="AV19" s="13">
        <f>MIN(AU22,MAX(0,AV18))</f>
        <v/>
      </c>
      <c r="AW19" s="13">
        <f>MIN(AV22,MAX(0,AW18))</f>
        <v/>
      </c>
      <c r="AX19" s="13">
        <f>MIN(AW22,MAX(0,AX18))</f>
        <v/>
      </c>
      <c r="AY19" s="13">
        <f>MIN(AX22,MAX(0,AY18))</f>
        <v/>
      </c>
      <c r="AZ19" s="13">
        <f>MIN(AY22,MAX(0,AZ18))</f>
        <v/>
      </c>
      <c r="BA19" s="13">
        <f>MIN(AZ22,MAX(0,BA18))</f>
        <v/>
      </c>
      <c r="BB19" s="13">
        <f>MIN(BA22,MAX(0,BB18))</f>
        <v/>
      </c>
      <c r="BC19" s="13">
        <f>MIN(BB22,MAX(0,BC18))</f>
        <v/>
      </c>
      <c r="BD19" s="13">
        <f>MIN(BC22,MAX(0,BD18))</f>
        <v/>
      </c>
      <c r="BE19" s="13">
        <f>MIN(BD22,MAX(0,BE18))</f>
        <v/>
      </c>
      <c r="BF19" s="13">
        <f>MIN(BE22,MAX(0,BF18))</f>
        <v/>
      </c>
      <c r="BG19" s="13">
        <f>MIN(BF22,MAX(0,BG18))</f>
        <v/>
      </c>
      <c r="BH19" s="13">
        <f>MIN(BG22,MAX(0,BH18))</f>
        <v/>
      </c>
      <c r="BI19" s="13">
        <f>MIN(BH22,MAX(0,BI18))</f>
        <v/>
      </c>
      <c r="BJ19" s="13">
        <f>MIN(BI22,MAX(0,BJ18))</f>
        <v/>
      </c>
      <c r="BK19" s="13">
        <f>MIN(BJ22,MAX(0,BK18))</f>
        <v/>
      </c>
      <c r="BL19" s="13">
        <f>MIN(BK22,MAX(0,BL18))</f>
        <v/>
      </c>
      <c r="BM19" s="13">
        <f>MIN(BL22,MAX(0,BM18))</f>
        <v/>
      </c>
      <c r="BN19" s="13">
        <f>MIN(BM22,MAX(0,BN18))</f>
        <v/>
      </c>
    </row>
    <row r="20">
      <c r="D20" t="inlineStr">
        <is>
          <t>Deferred depreciation used</t>
        </is>
      </c>
      <c r="E20" t="inlineStr">
        <is>
          <t>USD m</t>
        </is>
      </c>
      <c r="G20" s="13">
        <f>SUM(J20:BN20)</f>
        <v/>
      </c>
      <c r="J20" s="13">
        <f>MIN(I21,MAX(0,J18-J19))</f>
        <v/>
      </c>
      <c r="K20" s="13">
        <f>MIN(J21,MAX(0,K18-K19))</f>
        <v/>
      </c>
      <c r="L20" s="13">
        <f>MIN(K21,MAX(0,L18-L19))</f>
        <v/>
      </c>
      <c r="M20" s="13">
        <f>MIN(L21,MAX(0,M18-M19))</f>
        <v/>
      </c>
      <c r="N20" s="13">
        <f>MIN(M21,MAX(0,N18-N19))</f>
        <v/>
      </c>
      <c r="O20" s="13">
        <f>MIN(N21,MAX(0,O18-O19))</f>
        <v/>
      </c>
      <c r="P20" s="13">
        <f>MIN(O21,MAX(0,P18-P19))</f>
        <v/>
      </c>
      <c r="Q20" s="13">
        <f>MIN(P21,MAX(0,Q18-Q19))</f>
        <v/>
      </c>
      <c r="R20" s="13">
        <f>MIN(Q21,MAX(0,R18-R19))</f>
        <v/>
      </c>
      <c r="S20" s="13">
        <f>MIN(R21,MAX(0,S18-S19))</f>
        <v/>
      </c>
      <c r="T20" s="13">
        <f>MIN(S21,MAX(0,T18-T19))</f>
        <v/>
      </c>
      <c r="U20" s="13">
        <f>MIN(T21,MAX(0,U18-U19))</f>
        <v/>
      </c>
      <c r="V20" s="13">
        <f>MIN(U21,MAX(0,V18-V19))</f>
        <v/>
      </c>
      <c r="W20" s="13">
        <f>MIN(V21,MAX(0,W18-W19))</f>
        <v/>
      </c>
      <c r="X20" s="13">
        <f>MIN(W21,MAX(0,X18-X19))</f>
        <v/>
      </c>
      <c r="Y20" s="13">
        <f>MIN(X21,MAX(0,Y18-Y19))</f>
        <v/>
      </c>
      <c r="Z20" s="13">
        <f>MIN(Y21,MAX(0,Z18-Z19))</f>
        <v/>
      </c>
      <c r="AA20" s="13">
        <f>MIN(Z21,MAX(0,AA18-AA19))</f>
        <v/>
      </c>
      <c r="AB20" s="13">
        <f>MIN(AA21,MAX(0,AB18-AB19))</f>
        <v/>
      </c>
      <c r="AC20" s="13">
        <f>MIN(AB21,MAX(0,AC18-AC19))</f>
        <v/>
      </c>
      <c r="AD20" s="13">
        <f>MIN(AC21,MAX(0,AD18-AD19))</f>
        <v/>
      </c>
      <c r="AE20" s="13">
        <f>MIN(AD21,MAX(0,AE18-AE19))</f>
        <v/>
      </c>
      <c r="AF20" s="13">
        <f>MIN(AE21,MAX(0,AF18-AF19))</f>
        <v/>
      </c>
      <c r="AG20" s="13">
        <f>MIN(AF21,MAX(0,AG18-AG19))</f>
        <v/>
      </c>
      <c r="AH20" s="13">
        <f>MIN(AG21,MAX(0,AH18-AH19))</f>
        <v/>
      </c>
      <c r="AI20" s="13">
        <f>MIN(AH21,MAX(0,AI18-AI19))</f>
        <v/>
      </c>
      <c r="AJ20" s="13">
        <f>MIN(AI21,MAX(0,AJ18-AJ19))</f>
        <v/>
      </c>
      <c r="AK20" s="13">
        <f>MIN(AJ21,MAX(0,AK18-AK19))</f>
        <v/>
      </c>
      <c r="AL20" s="13">
        <f>MIN(AK21,MAX(0,AL18-AL19))</f>
        <v/>
      </c>
      <c r="AM20" s="13">
        <f>MIN(AL21,MAX(0,AM18-AM19))</f>
        <v/>
      </c>
      <c r="AN20" s="13">
        <f>MIN(AM21,MAX(0,AN18-AN19))</f>
        <v/>
      </c>
      <c r="AO20" s="13">
        <f>MIN(AN21,MAX(0,AO18-AO19))</f>
        <v/>
      </c>
      <c r="AP20" s="13">
        <f>MIN(AO21,MAX(0,AP18-AP19))</f>
        <v/>
      </c>
      <c r="AQ20" s="13">
        <f>MIN(AP21,MAX(0,AQ18-AQ19))</f>
        <v/>
      </c>
      <c r="AR20" s="13">
        <f>MIN(AQ21,MAX(0,AR18-AR19))</f>
        <v/>
      </c>
      <c r="AS20" s="13">
        <f>MIN(AR21,MAX(0,AS18-AS19))</f>
        <v/>
      </c>
      <c r="AT20" s="13">
        <f>MIN(AS21,MAX(0,AT18-AT19))</f>
        <v/>
      </c>
      <c r="AU20" s="13">
        <f>MIN(AT21,MAX(0,AU18-AU19))</f>
        <v/>
      </c>
      <c r="AV20" s="13">
        <f>MIN(AU21,MAX(0,AV18-AV19))</f>
        <v/>
      </c>
      <c r="AW20" s="13">
        <f>MIN(AV21,MAX(0,AW18-AW19))</f>
        <v/>
      </c>
      <c r="AX20" s="13">
        <f>MIN(AW21,MAX(0,AX18-AX19))</f>
        <v/>
      </c>
      <c r="AY20" s="13">
        <f>MIN(AX21,MAX(0,AY18-AY19))</f>
        <v/>
      </c>
      <c r="AZ20" s="13">
        <f>MIN(AY21,MAX(0,AZ18-AZ19))</f>
        <v/>
      </c>
      <c r="BA20" s="13">
        <f>MIN(AZ21,MAX(0,BA18-BA19))</f>
        <v/>
      </c>
      <c r="BB20" s="13">
        <f>MIN(BA21,MAX(0,BB18-BB19))</f>
        <v/>
      </c>
      <c r="BC20" s="13">
        <f>MIN(BB21,MAX(0,BC18-BC19))</f>
        <v/>
      </c>
      <c r="BD20" s="13">
        <f>MIN(BC21,MAX(0,BD18-BD19))</f>
        <v/>
      </c>
      <c r="BE20" s="13">
        <f>MIN(BD21,MAX(0,BE18-BE19))</f>
        <v/>
      </c>
      <c r="BF20" s="13">
        <f>MIN(BE21,MAX(0,BF18-BF19))</f>
        <v/>
      </c>
      <c r="BG20" s="13">
        <f>MIN(BF21,MAX(0,BG18-BG19))</f>
        <v/>
      </c>
      <c r="BH20" s="13">
        <f>MIN(BG21,MAX(0,BH18-BH19))</f>
        <v/>
      </c>
      <c r="BI20" s="13">
        <f>MIN(BH21,MAX(0,BI18-BI19))</f>
        <v/>
      </c>
      <c r="BJ20" s="13">
        <f>MIN(BI21,MAX(0,BJ18-BJ19))</f>
        <v/>
      </c>
      <c r="BK20" s="13">
        <f>MIN(BJ21,MAX(0,BK18-BK19))</f>
        <v/>
      </c>
      <c r="BL20" s="13">
        <f>MIN(BK21,MAX(0,BL18-BL19))</f>
        <v/>
      </c>
      <c r="BM20" s="13">
        <f>MIN(BL21,MAX(0,BM18-BM19))</f>
        <v/>
      </c>
      <c r="BN20" s="13">
        <f>MIN(BM21,MAX(0,BN18-BN19))</f>
        <v/>
      </c>
    </row>
    <row r="21">
      <c r="D21" t="inlineStr">
        <is>
          <t>Deferred depreciation pool, closing</t>
        </is>
      </c>
      <c r="E21" t="inlineStr">
        <is>
          <t>USD m</t>
        </is>
      </c>
      <c r="J21" s="13">
        <f>I21+J11-J20</f>
        <v/>
      </c>
      <c r="K21" s="13">
        <f>J21+K11-K20</f>
        <v/>
      </c>
      <c r="L21" s="13">
        <f>K21+L11-L20</f>
        <v/>
      </c>
      <c r="M21" s="13">
        <f>L21+M11-M20</f>
        <v/>
      </c>
      <c r="N21" s="13">
        <f>M21+N11-N20</f>
        <v/>
      </c>
      <c r="O21" s="13">
        <f>N21+O11-O20</f>
        <v/>
      </c>
      <c r="P21" s="13">
        <f>O21+P11-P20</f>
        <v/>
      </c>
      <c r="Q21" s="13">
        <f>P21+Q11-Q20</f>
        <v/>
      </c>
      <c r="R21" s="13">
        <f>Q21+R11-R20</f>
        <v/>
      </c>
      <c r="S21" s="13">
        <f>R21+S11-S20</f>
        <v/>
      </c>
      <c r="T21" s="13">
        <f>S21+T11-T20</f>
        <v/>
      </c>
      <c r="U21" s="13">
        <f>T21+U11-U20</f>
        <v/>
      </c>
      <c r="V21" s="13">
        <f>U21+V11-V20</f>
        <v/>
      </c>
      <c r="W21" s="13">
        <f>V21+W11-W20</f>
        <v/>
      </c>
      <c r="X21" s="13">
        <f>W21+X11-X20</f>
        <v/>
      </c>
      <c r="Y21" s="13">
        <f>X21+Y11-Y20</f>
        <v/>
      </c>
      <c r="Z21" s="13">
        <f>Y21+Z11-Z20</f>
        <v/>
      </c>
      <c r="AA21" s="13">
        <f>Z21+AA11-AA20</f>
        <v/>
      </c>
      <c r="AB21" s="13">
        <f>AA21+AB11-AB20</f>
        <v/>
      </c>
      <c r="AC21" s="13">
        <f>AB21+AC11-AC20</f>
        <v/>
      </c>
      <c r="AD21" s="13">
        <f>AC21+AD11-AD20</f>
        <v/>
      </c>
      <c r="AE21" s="13">
        <f>AD21+AE11-AE20</f>
        <v/>
      </c>
      <c r="AF21" s="13">
        <f>AE21+AF11-AF20</f>
        <v/>
      </c>
      <c r="AG21" s="13">
        <f>AF21+AG11-AG20</f>
        <v/>
      </c>
      <c r="AH21" s="13">
        <f>AG21+AH11-AH20</f>
        <v/>
      </c>
      <c r="AI21" s="13">
        <f>AH21+AI11-AI20</f>
        <v/>
      </c>
      <c r="AJ21" s="13">
        <f>AI21+AJ11-AJ20</f>
        <v/>
      </c>
      <c r="AK21" s="13">
        <f>AJ21+AK11-AK20</f>
        <v/>
      </c>
      <c r="AL21" s="13">
        <f>AK21+AL11-AL20</f>
        <v/>
      </c>
      <c r="AM21" s="13">
        <f>AL21+AM11-AM20</f>
        <v/>
      </c>
      <c r="AN21" s="13">
        <f>AM21+AN11-AN20</f>
        <v/>
      </c>
      <c r="AO21" s="13">
        <f>AN21+AO11-AO20</f>
        <v/>
      </c>
      <c r="AP21" s="13">
        <f>AO21+AP11-AP20</f>
        <v/>
      </c>
      <c r="AQ21" s="13">
        <f>AP21+AQ11-AQ20</f>
        <v/>
      </c>
      <c r="AR21" s="13">
        <f>AQ21+AR11-AR20</f>
        <v/>
      </c>
      <c r="AS21" s="13">
        <f>AR21+AS11-AS20</f>
        <v/>
      </c>
      <c r="AT21" s="13">
        <f>AS21+AT11-AT20</f>
        <v/>
      </c>
      <c r="AU21" s="13">
        <f>AT21+AU11-AU20</f>
        <v/>
      </c>
      <c r="AV21" s="13">
        <f>AU21+AV11-AV20</f>
        <v/>
      </c>
      <c r="AW21" s="13">
        <f>AV21+AW11-AW20</f>
        <v/>
      </c>
      <c r="AX21" s="13">
        <f>AW21+AX11-AX20</f>
        <v/>
      </c>
      <c r="AY21" s="13">
        <f>AX21+AY11-AY20</f>
        <v/>
      </c>
      <c r="AZ21" s="13">
        <f>AY21+AZ11-AZ20</f>
        <v/>
      </c>
      <c r="BA21" s="13">
        <f>AZ21+BA11-BA20</f>
        <v/>
      </c>
      <c r="BB21" s="13">
        <f>BA21+BB11-BB20</f>
        <v/>
      </c>
      <c r="BC21" s="13">
        <f>BB21+BC11-BC20</f>
        <v/>
      </c>
      <c r="BD21" s="13">
        <f>BC21+BD11-BD20</f>
        <v/>
      </c>
      <c r="BE21" s="13">
        <f>BD21+BE11-BE20</f>
        <v/>
      </c>
      <c r="BF21" s="13">
        <f>BE21+BF11-BF20</f>
        <v/>
      </c>
      <c r="BG21" s="13">
        <f>BF21+BG11-BG20</f>
        <v/>
      </c>
      <c r="BH21" s="13">
        <f>BG21+BH11-BH20</f>
        <v/>
      </c>
      <c r="BI21" s="13">
        <f>BH21+BI11-BI20</f>
        <v/>
      </c>
      <c r="BJ21" s="13">
        <f>BI21+BJ11-BJ20</f>
        <v/>
      </c>
      <c r="BK21" s="13">
        <f>BJ21+BK11-BK20</f>
        <v/>
      </c>
      <c r="BL21" s="13">
        <f>BK21+BL11-BL20</f>
        <v/>
      </c>
      <c r="BM21" s="13">
        <f>BL21+BM11-BM20</f>
        <v/>
      </c>
      <c r="BN21" s="13">
        <f>BM21+BN11-BN20</f>
        <v/>
      </c>
    </row>
    <row r="22">
      <c r="D22" t="inlineStr">
        <is>
          <t>Tax losses carried forward, closing</t>
        </is>
      </c>
      <c r="E22" t="inlineStr">
        <is>
          <t>USD m</t>
        </is>
      </c>
      <c r="J22" s="13">
        <f>I22-J19+MAX(0,-J18)</f>
        <v/>
      </c>
      <c r="K22" s="13">
        <f>J22-K19+MAX(0,-K18)</f>
        <v/>
      </c>
      <c r="L22" s="13">
        <f>K22-L19+MAX(0,-L18)</f>
        <v/>
      </c>
      <c r="M22" s="13">
        <f>L22-M19+MAX(0,-M18)</f>
        <v/>
      </c>
      <c r="N22" s="13">
        <f>M22-N19+MAX(0,-N18)</f>
        <v/>
      </c>
      <c r="O22" s="13">
        <f>N22-O19+MAX(0,-O18)</f>
        <v/>
      </c>
      <c r="P22" s="13">
        <f>O22-P19+MAX(0,-P18)</f>
        <v/>
      </c>
      <c r="Q22" s="13">
        <f>P22-Q19+MAX(0,-Q18)</f>
        <v/>
      </c>
      <c r="R22" s="13">
        <f>Q22-R19+MAX(0,-R18)</f>
        <v/>
      </c>
      <c r="S22" s="13">
        <f>R22-S19+MAX(0,-S18)</f>
        <v/>
      </c>
      <c r="T22" s="13">
        <f>S22-T19+MAX(0,-T18)</f>
        <v/>
      </c>
      <c r="U22" s="13">
        <f>T22-U19+MAX(0,-U18)</f>
        <v/>
      </c>
      <c r="V22" s="13">
        <f>U22-V19+MAX(0,-V18)</f>
        <v/>
      </c>
      <c r="W22" s="13">
        <f>V22-W19+MAX(0,-W18)</f>
        <v/>
      </c>
      <c r="X22" s="13">
        <f>W22-X19+MAX(0,-X18)</f>
        <v/>
      </c>
      <c r="Y22" s="13">
        <f>X22-Y19+MAX(0,-Y18)</f>
        <v/>
      </c>
      <c r="Z22" s="13">
        <f>Y22-Z19+MAX(0,-Z18)</f>
        <v/>
      </c>
      <c r="AA22" s="13">
        <f>Z22-AA19+MAX(0,-AA18)</f>
        <v/>
      </c>
      <c r="AB22" s="13">
        <f>AA22-AB19+MAX(0,-AB18)</f>
        <v/>
      </c>
      <c r="AC22" s="13">
        <f>AB22-AC19+MAX(0,-AC18)</f>
        <v/>
      </c>
      <c r="AD22" s="13">
        <f>AC22-AD19+MAX(0,-AD18)</f>
        <v/>
      </c>
      <c r="AE22" s="13">
        <f>AD22-AE19+MAX(0,-AE18)</f>
        <v/>
      </c>
      <c r="AF22" s="13">
        <f>AE22-AF19+MAX(0,-AF18)</f>
        <v/>
      </c>
      <c r="AG22" s="13">
        <f>AF22-AG19+MAX(0,-AG18)</f>
        <v/>
      </c>
      <c r="AH22" s="13">
        <f>AG22-AH19+MAX(0,-AH18)</f>
        <v/>
      </c>
      <c r="AI22" s="13">
        <f>AH22-AI19+MAX(0,-AI18)</f>
        <v/>
      </c>
      <c r="AJ22" s="13">
        <f>AI22-AJ19+MAX(0,-AJ18)</f>
        <v/>
      </c>
      <c r="AK22" s="13">
        <f>AJ22-AK19+MAX(0,-AK18)</f>
        <v/>
      </c>
      <c r="AL22" s="13">
        <f>AK22-AL19+MAX(0,-AL18)</f>
        <v/>
      </c>
      <c r="AM22" s="13">
        <f>AL22-AM19+MAX(0,-AM18)</f>
        <v/>
      </c>
      <c r="AN22" s="13">
        <f>AM22-AN19+MAX(0,-AN18)</f>
        <v/>
      </c>
      <c r="AO22" s="13">
        <f>AN22-AO19+MAX(0,-AO18)</f>
        <v/>
      </c>
      <c r="AP22" s="13">
        <f>AO22-AP19+MAX(0,-AP18)</f>
        <v/>
      </c>
      <c r="AQ22" s="13">
        <f>AP22-AQ19+MAX(0,-AQ18)</f>
        <v/>
      </c>
      <c r="AR22" s="13">
        <f>AQ22-AR19+MAX(0,-AR18)</f>
        <v/>
      </c>
      <c r="AS22" s="13">
        <f>AR22-AS19+MAX(0,-AS18)</f>
        <v/>
      </c>
      <c r="AT22" s="13">
        <f>AS22-AT19+MAX(0,-AT18)</f>
        <v/>
      </c>
      <c r="AU22" s="13">
        <f>AT22-AU19+MAX(0,-AU18)</f>
        <v/>
      </c>
      <c r="AV22" s="13">
        <f>AU22-AV19+MAX(0,-AV18)</f>
        <v/>
      </c>
      <c r="AW22" s="13">
        <f>AV22-AW19+MAX(0,-AW18)</f>
        <v/>
      </c>
      <c r="AX22" s="13">
        <f>AW22-AX19+MAX(0,-AX18)</f>
        <v/>
      </c>
      <c r="AY22" s="13">
        <f>AX22-AY19+MAX(0,-AY18)</f>
        <v/>
      </c>
      <c r="AZ22" s="13">
        <f>AY22-AZ19+MAX(0,-AZ18)</f>
        <v/>
      </c>
      <c r="BA22" s="13">
        <f>AZ22-BA19+MAX(0,-BA18)</f>
        <v/>
      </c>
      <c r="BB22" s="13">
        <f>BA22-BB19+MAX(0,-BB18)</f>
        <v/>
      </c>
      <c r="BC22" s="13">
        <f>BB22-BC19+MAX(0,-BC18)</f>
        <v/>
      </c>
      <c r="BD22" s="13">
        <f>BC22-BD19+MAX(0,-BD18)</f>
        <v/>
      </c>
      <c r="BE22" s="13">
        <f>BD22-BE19+MAX(0,-BE18)</f>
        <v/>
      </c>
      <c r="BF22" s="13">
        <f>BE22-BF19+MAX(0,-BF18)</f>
        <v/>
      </c>
      <c r="BG22" s="13">
        <f>BF22-BG19+MAX(0,-BG18)</f>
        <v/>
      </c>
      <c r="BH22" s="13">
        <f>BG22-BH19+MAX(0,-BH18)</f>
        <v/>
      </c>
      <c r="BI22" s="13">
        <f>BH22-BI19+MAX(0,-BI18)</f>
        <v/>
      </c>
      <c r="BJ22" s="13">
        <f>BI22-BJ19+MAX(0,-BJ18)</f>
        <v/>
      </c>
      <c r="BK22" s="13">
        <f>BJ22-BK19+MAX(0,-BK18)</f>
        <v/>
      </c>
      <c r="BL22" s="13">
        <f>BK22-BL19+MAX(0,-BL18)</f>
        <v/>
      </c>
      <c r="BM22" s="13">
        <f>BL22-BM19+MAX(0,-BM18)</f>
        <v/>
      </c>
      <c r="BN22" s="13">
        <f>BM22-BN19+MAX(0,-BN18)</f>
        <v/>
      </c>
    </row>
    <row r="23">
      <c r="D23" t="inlineStr">
        <is>
          <t>Taxable income</t>
        </is>
      </c>
      <c r="E23" t="inlineStr">
        <is>
          <t>USD m</t>
        </is>
      </c>
      <c r="G23" s="13">
        <f>SUM(J23:BN23)</f>
        <v/>
      </c>
      <c r="J23" s="13">
        <f>MAX(0,J18-J19-J20)</f>
        <v/>
      </c>
      <c r="K23" s="13">
        <f>MAX(0,K18-K19-K20)</f>
        <v/>
      </c>
      <c r="L23" s="13">
        <f>MAX(0,L18-L19-L20)</f>
        <v/>
      </c>
      <c r="M23" s="13">
        <f>MAX(0,M18-M19-M20)</f>
        <v/>
      </c>
      <c r="N23" s="13">
        <f>MAX(0,N18-N19-N20)</f>
        <v/>
      </c>
      <c r="O23" s="13">
        <f>MAX(0,O18-O19-O20)</f>
        <v/>
      </c>
      <c r="P23" s="13">
        <f>MAX(0,P18-P19-P20)</f>
        <v/>
      </c>
      <c r="Q23" s="13">
        <f>MAX(0,Q18-Q19-Q20)</f>
        <v/>
      </c>
      <c r="R23" s="13">
        <f>MAX(0,R18-R19-R20)</f>
        <v/>
      </c>
      <c r="S23" s="13">
        <f>MAX(0,S18-S19-S20)</f>
        <v/>
      </c>
      <c r="T23" s="13">
        <f>MAX(0,T18-T19-T20)</f>
        <v/>
      </c>
      <c r="U23" s="13">
        <f>MAX(0,U18-U19-U20)</f>
        <v/>
      </c>
      <c r="V23" s="13">
        <f>MAX(0,V18-V19-V20)</f>
        <v/>
      </c>
      <c r="W23" s="13">
        <f>MAX(0,W18-W19-W20)</f>
        <v/>
      </c>
      <c r="X23" s="13">
        <f>MAX(0,X18-X19-X20)</f>
        <v/>
      </c>
      <c r="Y23" s="13">
        <f>MAX(0,Y18-Y19-Y20)</f>
        <v/>
      </c>
      <c r="Z23" s="13">
        <f>MAX(0,Z18-Z19-Z20)</f>
        <v/>
      </c>
      <c r="AA23" s="13">
        <f>MAX(0,AA18-AA19-AA20)</f>
        <v/>
      </c>
      <c r="AB23" s="13">
        <f>MAX(0,AB18-AB19-AB20)</f>
        <v/>
      </c>
      <c r="AC23" s="13">
        <f>MAX(0,AC18-AC19-AC20)</f>
        <v/>
      </c>
      <c r="AD23" s="13">
        <f>MAX(0,AD18-AD19-AD20)</f>
        <v/>
      </c>
      <c r="AE23" s="13">
        <f>MAX(0,AE18-AE19-AE20)</f>
        <v/>
      </c>
      <c r="AF23" s="13">
        <f>MAX(0,AF18-AF19-AF20)</f>
        <v/>
      </c>
      <c r="AG23" s="13">
        <f>MAX(0,AG18-AG19-AG20)</f>
        <v/>
      </c>
      <c r="AH23" s="13">
        <f>MAX(0,AH18-AH19-AH20)</f>
        <v/>
      </c>
      <c r="AI23" s="13">
        <f>MAX(0,AI18-AI19-AI20)</f>
        <v/>
      </c>
      <c r="AJ23" s="13">
        <f>MAX(0,AJ18-AJ19-AJ20)</f>
        <v/>
      </c>
      <c r="AK23" s="13">
        <f>MAX(0,AK18-AK19-AK20)</f>
        <v/>
      </c>
      <c r="AL23" s="13">
        <f>MAX(0,AL18-AL19-AL20)</f>
        <v/>
      </c>
      <c r="AM23" s="13">
        <f>MAX(0,AM18-AM19-AM20)</f>
        <v/>
      </c>
      <c r="AN23" s="13">
        <f>MAX(0,AN18-AN19-AN20)</f>
        <v/>
      </c>
      <c r="AO23" s="13">
        <f>MAX(0,AO18-AO19-AO20)</f>
        <v/>
      </c>
      <c r="AP23" s="13">
        <f>MAX(0,AP18-AP19-AP20)</f>
        <v/>
      </c>
      <c r="AQ23" s="13">
        <f>MAX(0,AQ18-AQ19-AQ20)</f>
        <v/>
      </c>
      <c r="AR23" s="13">
        <f>MAX(0,AR18-AR19-AR20)</f>
        <v/>
      </c>
      <c r="AS23" s="13">
        <f>MAX(0,AS18-AS19-AS20)</f>
        <v/>
      </c>
      <c r="AT23" s="13">
        <f>MAX(0,AT18-AT19-AT20)</f>
        <v/>
      </c>
      <c r="AU23" s="13">
        <f>MAX(0,AU18-AU19-AU20)</f>
        <v/>
      </c>
      <c r="AV23" s="13">
        <f>MAX(0,AV18-AV19-AV20)</f>
        <v/>
      </c>
      <c r="AW23" s="13">
        <f>MAX(0,AW18-AW19-AW20)</f>
        <v/>
      </c>
      <c r="AX23" s="13">
        <f>MAX(0,AX18-AX19-AX20)</f>
        <v/>
      </c>
      <c r="AY23" s="13">
        <f>MAX(0,AY18-AY19-AY20)</f>
        <v/>
      </c>
      <c r="AZ23" s="13">
        <f>MAX(0,AZ18-AZ19-AZ20)</f>
        <v/>
      </c>
      <c r="BA23" s="13">
        <f>MAX(0,BA18-BA19-BA20)</f>
        <v/>
      </c>
      <c r="BB23" s="13">
        <f>MAX(0,BB18-BB19-BB20)</f>
        <v/>
      </c>
      <c r="BC23" s="13">
        <f>MAX(0,BC18-BC19-BC20)</f>
        <v/>
      </c>
      <c r="BD23" s="13">
        <f>MAX(0,BD18-BD19-BD20)</f>
        <v/>
      </c>
      <c r="BE23" s="13">
        <f>MAX(0,BE18-BE19-BE20)</f>
        <v/>
      </c>
      <c r="BF23" s="13">
        <f>MAX(0,BF18-BF19-BF20)</f>
        <v/>
      </c>
      <c r="BG23" s="13">
        <f>MAX(0,BG18-BG19-BG20)</f>
        <v/>
      </c>
      <c r="BH23" s="13">
        <f>MAX(0,BH18-BH19-BH20)</f>
        <v/>
      </c>
      <c r="BI23" s="13">
        <f>MAX(0,BI18-BI19-BI20)</f>
        <v/>
      </c>
      <c r="BJ23" s="13">
        <f>MAX(0,BJ18-BJ19-BJ20)</f>
        <v/>
      </c>
      <c r="BK23" s="13">
        <f>MAX(0,BK18-BK19-BK20)</f>
        <v/>
      </c>
      <c r="BL23" s="13">
        <f>MAX(0,BL18-BL19-BL20)</f>
        <v/>
      </c>
      <c r="BM23" s="13">
        <f>MAX(0,BM18-BM19-BM20)</f>
        <v/>
      </c>
      <c r="BN23" s="13">
        <f>MAX(0,BN18-BN19-BN20)</f>
        <v/>
      </c>
    </row>
    <row r="24">
      <c r="D24" t="inlineStr">
        <is>
          <t>Applicable CIT rate (month-weighted)</t>
        </is>
      </c>
      <c r="E24" t="inlineStr">
        <is>
          <t>%</t>
        </is>
      </c>
      <c r="J24" s="3">
        <f>IF(J8+J9&gt;0,(J8*Inputs!$F$175+J9*Inputs!$F$174)/(J8+J9)/100,0)</f>
        <v/>
      </c>
      <c r="K24" s="3">
        <f>IF(K8+K9&gt;0,(K8*Inputs!$F$175+K9*Inputs!$F$174)/(K8+K9)/100,0)</f>
        <v/>
      </c>
      <c r="L24" s="3">
        <f>IF(L8+L9&gt;0,(L8*Inputs!$F$175+L9*Inputs!$F$174)/(L8+L9)/100,0)</f>
        <v/>
      </c>
      <c r="M24" s="3">
        <f>IF(M8+M9&gt;0,(M8*Inputs!$F$175+M9*Inputs!$F$174)/(M8+M9)/100,0)</f>
        <v/>
      </c>
      <c r="N24" s="3">
        <f>IF(N8+N9&gt;0,(N8*Inputs!$F$175+N9*Inputs!$F$174)/(N8+N9)/100,0)</f>
        <v/>
      </c>
      <c r="O24" s="3">
        <f>IF(O8+O9&gt;0,(O8*Inputs!$F$175+O9*Inputs!$F$174)/(O8+O9)/100,0)</f>
        <v/>
      </c>
      <c r="P24" s="3">
        <f>IF(P8+P9&gt;0,(P8*Inputs!$F$175+P9*Inputs!$F$174)/(P8+P9)/100,0)</f>
        <v/>
      </c>
      <c r="Q24" s="3">
        <f>IF(Q8+Q9&gt;0,(Q8*Inputs!$F$175+Q9*Inputs!$F$174)/(Q8+Q9)/100,0)</f>
        <v/>
      </c>
      <c r="R24" s="3">
        <f>IF(R8+R9&gt;0,(R8*Inputs!$F$175+R9*Inputs!$F$174)/(R8+R9)/100,0)</f>
        <v/>
      </c>
      <c r="S24" s="3">
        <f>IF(S8+S9&gt;0,(S8*Inputs!$F$175+S9*Inputs!$F$174)/(S8+S9)/100,0)</f>
        <v/>
      </c>
      <c r="T24" s="3">
        <f>IF(T8+T9&gt;0,(T8*Inputs!$F$175+T9*Inputs!$F$174)/(T8+T9)/100,0)</f>
        <v/>
      </c>
      <c r="U24" s="3">
        <f>IF(U8+U9&gt;0,(U8*Inputs!$F$175+U9*Inputs!$F$174)/(U8+U9)/100,0)</f>
        <v/>
      </c>
      <c r="V24" s="3">
        <f>IF(V8+V9&gt;0,(V8*Inputs!$F$175+V9*Inputs!$F$174)/(V8+V9)/100,0)</f>
        <v/>
      </c>
      <c r="W24" s="3">
        <f>IF(W8+W9&gt;0,(W8*Inputs!$F$175+W9*Inputs!$F$174)/(W8+W9)/100,0)</f>
        <v/>
      </c>
      <c r="X24" s="3">
        <f>IF(X8+X9&gt;0,(X8*Inputs!$F$175+X9*Inputs!$F$174)/(X8+X9)/100,0)</f>
        <v/>
      </c>
      <c r="Y24" s="3">
        <f>IF(Y8+Y9&gt;0,(Y8*Inputs!$F$175+Y9*Inputs!$F$174)/(Y8+Y9)/100,0)</f>
        <v/>
      </c>
      <c r="Z24" s="3">
        <f>IF(Z8+Z9&gt;0,(Z8*Inputs!$F$175+Z9*Inputs!$F$174)/(Z8+Z9)/100,0)</f>
        <v/>
      </c>
      <c r="AA24" s="3">
        <f>IF(AA8+AA9&gt;0,(AA8*Inputs!$F$175+AA9*Inputs!$F$174)/(AA8+AA9)/100,0)</f>
        <v/>
      </c>
      <c r="AB24" s="3">
        <f>IF(AB8+AB9&gt;0,(AB8*Inputs!$F$175+AB9*Inputs!$F$174)/(AB8+AB9)/100,0)</f>
        <v/>
      </c>
      <c r="AC24" s="3">
        <f>IF(AC8+AC9&gt;0,(AC8*Inputs!$F$175+AC9*Inputs!$F$174)/(AC8+AC9)/100,0)</f>
        <v/>
      </c>
      <c r="AD24" s="3">
        <f>IF(AD8+AD9&gt;0,(AD8*Inputs!$F$175+AD9*Inputs!$F$174)/(AD8+AD9)/100,0)</f>
        <v/>
      </c>
      <c r="AE24" s="3">
        <f>IF(AE8+AE9&gt;0,(AE8*Inputs!$F$175+AE9*Inputs!$F$174)/(AE8+AE9)/100,0)</f>
        <v/>
      </c>
      <c r="AF24" s="3">
        <f>IF(AF8+AF9&gt;0,(AF8*Inputs!$F$175+AF9*Inputs!$F$174)/(AF8+AF9)/100,0)</f>
        <v/>
      </c>
      <c r="AG24" s="3">
        <f>IF(AG8+AG9&gt;0,(AG8*Inputs!$F$175+AG9*Inputs!$F$174)/(AG8+AG9)/100,0)</f>
        <v/>
      </c>
      <c r="AH24" s="3">
        <f>IF(AH8+AH9&gt;0,(AH8*Inputs!$F$175+AH9*Inputs!$F$174)/(AH8+AH9)/100,0)</f>
        <v/>
      </c>
      <c r="AI24" s="3">
        <f>IF(AI8+AI9&gt;0,(AI8*Inputs!$F$175+AI9*Inputs!$F$174)/(AI8+AI9)/100,0)</f>
        <v/>
      </c>
      <c r="AJ24" s="3">
        <f>IF(AJ8+AJ9&gt;0,(AJ8*Inputs!$F$175+AJ9*Inputs!$F$174)/(AJ8+AJ9)/100,0)</f>
        <v/>
      </c>
      <c r="AK24" s="3">
        <f>IF(AK8+AK9&gt;0,(AK8*Inputs!$F$175+AK9*Inputs!$F$174)/(AK8+AK9)/100,0)</f>
        <v/>
      </c>
      <c r="AL24" s="3">
        <f>IF(AL8+AL9&gt;0,(AL8*Inputs!$F$175+AL9*Inputs!$F$174)/(AL8+AL9)/100,0)</f>
        <v/>
      </c>
      <c r="AM24" s="3">
        <f>IF(AM8+AM9&gt;0,(AM8*Inputs!$F$175+AM9*Inputs!$F$174)/(AM8+AM9)/100,0)</f>
        <v/>
      </c>
      <c r="AN24" s="3">
        <f>IF(AN8+AN9&gt;0,(AN8*Inputs!$F$175+AN9*Inputs!$F$174)/(AN8+AN9)/100,0)</f>
        <v/>
      </c>
      <c r="AO24" s="3">
        <f>IF(AO8+AO9&gt;0,(AO8*Inputs!$F$175+AO9*Inputs!$F$174)/(AO8+AO9)/100,0)</f>
        <v/>
      </c>
      <c r="AP24" s="3">
        <f>IF(AP8+AP9&gt;0,(AP8*Inputs!$F$175+AP9*Inputs!$F$174)/(AP8+AP9)/100,0)</f>
        <v/>
      </c>
      <c r="AQ24" s="3">
        <f>IF(AQ8+AQ9&gt;0,(AQ8*Inputs!$F$175+AQ9*Inputs!$F$174)/(AQ8+AQ9)/100,0)</f>
        <v/>
      </c>
      <c r="AR24" s="3">
        <f>IF(AR8+AR9&gt;0,(AR8*Inputs!$F$175+AR9*Inputs!$F$174)/(AR8+AR9)/100,0)</f>
        <v/>
      </c>
      <c r="AS24" s="3">
        <f>IF(AS8+AS9&gt;0,(AS8*Inputs!$F$175+AS9*Inputs!$F$174)/(AS8+AS9)/100,0)</f>
        <v/>
      </c>
      <c r="AT24" s="3">
        <f>IF(AT8+AT9&gt;0,(AT8*Inputs!$F$175+AT9*Inputs!$F$174)/(AT8+AT9)/100,0)</f>
        <v/>
      </c>
      <c r="AU24" s="3">
        <f>IF(AU8+AU9&gt;0,(AU8*Inputs!$F$175+AU9*Inputs!$F$174)/(AU8+AU9)/100,0)</f>
        <v/>
      </c>
      <c r="AV24" s="3">
        <f>IF(AV8+AV9&gt;0,(AV8*Inputs!$F$175+AV9*Inputs!$F$174)/(AV8+AV9)/100,0)</f>
        <v/>
      </c>
      <c r="AW24" s="3">
        <f>IF(AW8+AW9&gt;0,(AW8*Inputs!$F$175+AW9*Inputs!$F$174)/(AW8+AW9)/100,0)</f>
        <v/>
      </c>
      <c r="AX24" s="3">
        <f>IF(AX8+AX9&gt;0,(AX8*Inputs!$F$175+AX9*Inputs!$F$174)/(AX8+AX9)/100,0)</f>
        <v/>
      </c>
      <c r="AY24" s="3">
        <f>IF(AY8+AY9&gt;0,(AY8*Inputs!$F$175+AY9*Inputs!$F$174)/(AY8+AY9)/100,0)</f>
        <v/>
      </c>
      <c r="AZ24" s="3">
        <f>IF(AZ8+AZ9&gt;0,(AZ8*Inputs!$F$175+AZ9*Inputs!$F$174)/(AZ8+AZ9)/100,0)</f>
        <v/>
      </c>
      <c r="BA24" s="3">
        <f>IF(BA8+BA9&gt;0,(BA8*Inputs!$F$175+BA9*Inputs!$F$174)/(BA8+BA9)/100,0)</f>
        <v/>
      </c>
      <c r="BB24" s="3">
        <f>IF(BB8+BB9&gt;0,(BB8*Inputs!$F$175+BB9*Inputs!$F$174)/(BB8+BB9)/100,0)</f>
        <v/>
      </c>
      <c r="BC24" s="3">
        <f>IF(BC8+BC9&gt;0,(BC8*Inputs!$F$175+BC9*Inputs!$F$174)/(BC8+BC9)/100,0)</f>
        <v/>
      </c>
      <c r="BD24" s="3">
        <f>IF(BD8+BD9&gt;0,(BD8*Inputs!$F$175+BD9*Inputs!$F$174)/(BD8+BD9)/100,0)</f>
        <v/>
      </c>
      <c r="BE24" s="3">
        <f>IF(BE8+BE9&gt;0,(BE8*Inputs!$F$175+BE9*Inputs!$F$174)/(BE8+BE9)/100,0)</f>
        <v/>
      </c>
      <c r="BF24" s="3">
        <f>IF(BF8+BF9&gt;0,(BF8*Inputs!$F$175+BF9*Inputs!$F$174)/(BF8+BF9)/100,0)</f>
        <v/>
      </c>
      <c r="BG24" s="3">
        <f>IF(BG8+BG9&gt;0,(BG8*Inputs!$F$175+BG9*Inputs!$F$174)/(BG8+BG9)/100,0)</f>
        <v/>
      </c>
      <c r="BH24" s="3">
        <f>IF(BH8+BH9&gt;0,(BH8*Inputs!$F$175+BH9*Inputs!$F$174)/(BH8+BH9)/100,0)</f>
        <v/>
      </c>
      <c r="BI24" s="3">
        <f>IF(BI8+BI9&gt;0,(BI8*Inputs!$F$175+BI9*Inputs!$F$174)/(BI8+BI9)/100,0)</f>
        <v/>
      </c>
      <c r="BJ24" s="3">
        <f>IF(BJ8+BJ9&gt;0,(BJ8*Inputs!$F$175+BJ9*Inputs!$F$174)/(BJ8+BJ9)/100,0)</f>
        <v/>
      </c>
      <c r="BK24" s="3">
        <f>IF(BK8+BK9&gt;0,(BK8*Inputs!$F$175+BK9*Inputs!$F$174)/(BK8+BK9)/100,0)</f>
        <v/>
      </c>
      <c r="BL24" s="3">
        <f>IF(BL8+BL9&gt;0,(BL8*Inputs!$F$175+BL9*Inputs!$F$174)/(BL8+BL9)/100,0)</f>
        <v/>
      </c>
      <c r="BM24" s="3">
        <f>IF(BM8+BM9&gt;0,(BM8*Inputs!$F$175+BM9*Inputs!$F$174)/(BM8+BM9)/100,0)</f>
        <v/>
      </c>
      <c r="BN24" s="3">
        <f>IF(BN8+BN9&gt;0,(BN8*Inputs!$F$175+BN9*Inputs!$F$174)/(BN8+BN9)/100,0)</f>
        <v/>
      </c>
    </row>
    <row r="25">
      <c r="D25" t="inlineStr">
        <is>
          <t>Corporate income tax</t>
        </is>
      </c>
      <c r="E25" t="inlineStr">
        <is>
          <t>USD m</t>
        </is>
      </c>
      <c r="G25" s="13">
        <f>SUM(J25:BN25)</f>
        <v/>
      </c>
      <c r="J25" s="13">
        <f>J23*J24</f>
        <v/>
      </c>
      <c r="K25" s="13">
        <f>K23*K24</f>
        <v/>
      </c>
      <c r="L25" s="13">
        <f>L23*L24</f>
        <v/>
      </c>
      <c r="M25" s="13">
        <f>M23*M24</f>
        <v/>
      </c>
      <c r="N25" s="13">
        <f>N23*N24</f>
        <v/>
      </c>
      <c r="O25" s="13">
        <f>O23*O24</f>
        <v/>
      </c>
      <c r="P25" s="13">
        <f>P23*P24</f>
        <v/>
      </c>
      <c r="Q25" s="13">
        <f>Q23*Q24</f>
        <v/>
      </c>
      <c r="R25" s="13">
        <f>R23*R24</f>
        <v/>
      </c>
      <c r="S25" s="13">
        <f>S23*S24</f>
        <v/>
      </c>
      <c r="T25" s="13">
        <f>T23*T24</f>
        <v/>
      </c>
      <c r="U25" s="13">
        <f>U23*U24</f>
        <v/>
      </c>
      <c r="V25" s="13">
        <f>V23*V24</f>
        <v/>
      </c>
      <c r="W25" s="13">
        <f>W23*W24</f>
        <v/>
      </c>
      <c r="X25" s="13">
        <f>X23*X24</f>
        <v/>
      </c>
      <c r="Y25" s="13">
        <f>Y23*Y24</f>
        <v/>
      </c>
      <c r="Z25" s="13">
        <f>Z23*Z24</f>
        <v/>
      </c>
      <c r="AA25" s="13">
        <f>AA23*AA24</f>
        <v/>
      </c>
      <c r="AB25" s="13">
        <f>AB23*AB24</f>
        <v/>
      </c>
      <c r="AC25" s="13">
        <f>AC23*AC24</f>
        <v/>
      </c>
      <c r="AD25" s="13">
        <f>AD23*AD24</f>
        <v/>
      </c>
      <c r="AE25" s="13">
        <f>AE23*AE24</f>
        <v/>
      </c>
      <c r="AF25" s="13">
        <f>AF23*AF24</f>
        <v/>
      </c>
      <c r="AG25" s="13">
        <f>AG23*AG24</f>
        <v/>
      </c>
      <c r="AH25" s="13">
        <f>AH23*AH24</f>
        <v/>
      </c>
      <c r="AI25" s="13">
        <f>AI23*AI24</f>
        <v/>
      </c>
      <c r="AJ25" s="13">
        <f>AJ23*AJ24</f>
        <v/>
      </c>
      <c r="AK25" s="13">
        <f>AK23*AK24</f>
        <v/>
      </c>
      <c r="AL25" s="13">
        <f>AL23*AL24</f>
        <v/>
      </c>
      <c r="AM25" s="13">
        <f>AM23*AM24</f>
        <v/>
      </c>
      <c r="AN25" s="13">
        <f>AN23*AN24</f>
        <v/>
      </c>
      <c r="AO25" s="13">
        <f>AO23*AO24</f>
        <v/>
      </c>
      <c r="AP25" s="13">
        <f>AP23*AP24</f>
        <v/>
      </c>
      <c r="AQ25" s="13">
        <f>AQ23*AQ24</f>
        <v/>
      </c>
      <c r="AR25" s="13">
        <f>AR23*AR24</f>
        <v/>
      </c>
      <c r="AS25" s="13">
        <f>AS23*AS24</f>
        <v/>
      </c>
      <c r="AT25" s="13">
        <f>AT23*AT24</f>
        <v/>
      </c>
      <c r="AU25" s="13">
        <f>AU23*AU24</f>
        <v/>
      </c>
      <c r="AV25" s="13">
        <f>AV23*AV24</f>
        <v/>
      </c>
      <c r="AW25" s="13">
        <f>AW23*AW24</f>
        <v/>
      </c>
      <c r="AX25" s="13">
        <f>AX23*AX24</f>
        <v/>
      </c>
      <c r="AY25" s="13">
        <f>AY23*AY24</f>
        <v/>
      </c>
      <c r="AZ25" s="13">
        <f>AZ23*AZ24</f>
        <v/>
      </c>
      <c r="BA25" s="13">
        <f>BA23*BA24</f>
        <v/>
      </c>
      <c r="BB25" s="13">
        <f>BB23*BB24</f>
        <v/>
      </c>
      <c r="BC25" s="13">
        <f>BC23*BC24</f>
        <v/>
      </c>
      <c r="BD25" s="13">
        <f>BD23*BD24</f>
        <v/>
      </c>
      <c r="BE25" s="13">
        <f>BE23*BE24</f>
        <v/>
      </c>
      <c r="BF25" s="13">
        <f>BF23*BF24</f>
        <v/>
      </c>
      <c r="BG25" s="13">
        <f>BG23*BG24</f>
        <v/>
      </c>
      <c r="BH25" s="13">
        <f>BH23*BH24</f>
        <v/>
      </c>
      <c r="BI25" s="13">
        <f>BI23*BI24</f>
        <v/>
      </c>
      <c r="BJ25" s="13">
        <f>BJ23*BJ24</f>
        <v/>
      </c>
      <c r="BK25" s="13">
        <f>BK23*BK24</f>
        <v/>
      </c>
      <c r="BL25" s="13">
        <f>BL23*BL24</f>
        <v/>
      </c>
      <c r="BM25" s="13">
        <f>BM23*BM24</f>
        <v/>
      </c>
      <c r="BN25" s="13">
        <f>BN23*BN24</f>
        <v/>
      </c>
    </row>
    <row r="26">
      <c r="D26" t="inlineStr">
        <is>
          <t>Minimum turnover tax</t>
        </is>
      </c>
      <c r="E26" t="inlineStr">
        <is>
          <t>USD m</t>
        </is>
      </c>
      <c r="G26" s="13">
        <f>SUM(J26:BN26)</f>
        <v/>
      </c>
      <c r="J26" s="13">
        <f>IF(Time!J30&gt;0,Inputs!$F$176/100*Operations!J55*(J8+J9)/Time!J30,0)</f>
        <v/>
      </c>
      <c r="K26" s="13">
        <f>IF(Time!K30&gt;0,Inputs!$F$176/100*Operations!K55*(K8+K9)/Time!K30,0)</f>
        <v/>
      </c>
      <c r="L26" s="13">
        <f>IF(Time!L30&gt;0,Inputs!$F$176/100*Operations!L55*(L8+L9)/Time!L30,0)</f>
        <v/>
      </c>
      <c r="M26" s="13">
        <f>IF(Time!M30&gt;0,Inputs!$F$176/100*Operations!M55*(M8+M9)/Time!M30,0)</f>
        <v/>
      </c>
      <c r="N26" s="13">
        <f>IF(Time!N30&gt;0,Inputs!$F$176/100*Operations!N55*(N8+N9)/Time!N30,0)</f>
        <v/>
      </c>
      <c r="O26" s="13">
        <f>IF(Time!O30&gt;0,Inputs!$F$176/100*Operations!O55*(O8+O9)/Time!O30,0)</f>
        <v/>
      </c>
      <c r="P26" s="13">
        <f>IF(Time!P30&gt;0,Inputs!$F$176/100*Operations!P55*(P8+P9)/Time!P30,0)</f>
        <v/>
      </c>
      <c r="Q26" s="13">
        <f>IF(Time!Q30&gt;0,Inputs!$F$176/100*Operations!Q55*(Q8+Q9)/Time!Q30,0)</f>
        <v/>
      </c>
      <c r="R26" s="13">
        <f>IF(Time!R30&gt;0,Inputs!$F$176/100*Operations!R55*(R8+R9)/Time!R30,0)</f>
        <v/>
      </c>
      <c r="S26" s="13">
        <f>IF(Time!S30&gt;0,Inputs!$F$176/100*Operations!S55*(S8+S9)/Time!S30,0)</f>
        <v/>
      </c>
      <c r="T26" s="13">
        <f>IF(Time!T30&gt;0,Inputs!$F$176/100*Operations!T55*(T8+T9)/Time!T30,0)</f>
        <v/>
      </c>
      <c r="U26" s="13">
        <f>IF(Time!U30&gt;0,Inputs!$F$176/100*Operations!U55*(U8+U9)/Time!U30,0)</f>
        <v/>
      </c>
      <c r="V26" s="13">
        <f>IF(Time!V30&gt;0,Inputs!$F$176/100*Operations!V55*(V8+V9)/Time!V30,0)</f>
        <v/>
      </c>
      <c r="W26" s="13">
        <f>IF(Time!W30&gt;0,Inputs!$F$176/100*Operations!W55*(W8+W9)/Time!W30,0)</f>
        <v/>
      </c>
      <c r="X26" s="13">
        <f>IF(Time!X30&gt;0,Inputs!$F$176/100*Operations!X55*(X8+X9)/Time!X30,0)</f>
        <v/>
      </c>
      <c r="Y26" s="13">
        <f>IF(Time!Y30&gt;0,Inputs!$F$176/100*Operations!Y55*(Y8+Y9)/Time!Y30,0)</f>
        <v/>
      </c>
      <c r="Z26" s="13">
        <f>IF(Time!Z30&gt;0,Inputs!$F$176/100*Operations!Z55*(Z8+Z9)/Time!Z30,0)</f>
        <v/>
      </c>
      <c r="AA26" s="13">
        <f>IF(Time!AA30&gt;0,Inputs!$F$176/100*Operations!AA55*(AA8+AA9)/Time!AA30,0)</f>
        <v/>
      </c>
      <c r="AB26" s="13">
        <f>IF(Time!AB30&gt;0,Inputs!$F$176/100*Operations!AB55*(AB8+AB9)/Time!AB30,0)</f>
        <v/>
      </c>
      <c r="AC26" s="13">
        <f>IF(Time!AC30&gt;0,Inputs!$F$176/100*Operations!AC55*(AC8+AC9)/Time!AC30,0)</f>
        <v/>
      </c>
      <c r="AD26" s="13">
        <f>IF(Time!AD30&gt;0,Inputs!$F$176/100*Operations!AD55*(AD8+AD9)/Time!AD30,0)</f>
        <v/>
      </c>
      <c r="AE26" s="13">
        <f>IF(Time!AE30&gt;0,Inputs!$F$176/100*Operations!AE55*(AE8+AE9)/Time!AE30,0)</f>
        <v/>
      </c>
      <c r="AF26" s="13">
        <f>IF(Time!AF30&gt;0,Inputs!$F$176/100*Operations!AF55*(AF8+AF9)/Time!AF30,0)</f>
        <v/>
      </c>
      <c r="AG26" s="13">
        <f>IF(Time!AG30&gt;0,Inputs!$F$176/100*Operations!AG55*(AG8+AG9)/Time!AG30,0)</f>
        <v/>
      </c>
      <c r="AH26" s="13">
        <f>IF(Time!AH30&gt;0,Inputs!$F$176/100*Operations!AH55*(AH8+AH9)/Time!AH30,0)</f>
        <v/>
      </c>
      <c r="AI26" s="13">
        <f>IF(Time!AI30&gt;0,Inputs!$F$176/100*Operations!AI55*(AI8+AI9)/Time!AI30,0)</f>
        <v/>
      </c>
      <c r="AJ26" s="13">
        <f>IF(Time!AJ30&gt;0,Inputs!$F$176/100*Operations!AJ55*(AJ8+AJ9)/Time!AJ30,0)</f>
        <v/>
      </c>
      <c r="AK26" s="13">
        <f>IF(Time!AK30&gt;0,Inputs!$F$176/100*Operations!AK55*(AK8+AK9)/Time!AK30,0)</f>
        <v/>
      </c>
      <c r="AL26" s="13">
        <f>IF(Time!AL30&gt;0,Inputs!$F$176/100*Operations!AL55*(AL8+AL9)/Time!AL30,0)</f>
        <v/>
      </c>
      <c r="AM26" s="13">
        <f>IF(Time!AM30&gt;0,Inputs!$F$176/100*Operations!AM55*(AM8+AM9)/Time!AM30,0)</f>
        <v/>
      </c>
      <c r="AN26" s="13">
        <f>IF(Time!AN30&gt;0,Inputs!$F$176/100*Operations!AN55*(AN8+AN9)/Time!AN30,0)</f>
        <v/>
      </c>
      <c r="AO26" s="13">
        <f>IF(Time!AO30&gt;0,Inputs!$F$176/100*Operations!AO55*(AO8+AO9)/Time!AO30,0)</f>
        <v/>
      </c>
      <c r="AP26" s="13">
        <f>IF(Time!AP30&gt;0,Inputs!$F$176/100*Operations!AP55*(AP8+AP9)/Time!AP30,0)</f>
        <v/>
      </c>
      <c r="AQ26" s="13">
        <f>IF(Time!AQ30&gt;0,Inputs!$F$176/100*Operations!AQ55*(AQ8+AQ9)/Time!AQ30,0)</f>
        <v/>
      </c>
      <c r="AR26" s="13">
        <f>IF(Time!AR30&gt;0,Inputs!$F$176/100*Operations!AR55*(AR8+AR9)/Time!AR30,0)</f>
        <v/>
      </c>
      <c r="AS26" s="13">
        <f>IF(Time!AS30&gt;0,Inputs!$F$176/100*Operations!AS55*(AS8+AS9)/Time!AS30,0)</f>
        <v/>
      </c>
      <c r="AT26" s="13">
        <f>IF(Time!AT30&gt;0,Inputs!$F$176/100*Operations!AT55*(AT8+AT9)/Time!AT30,0)</f>
        <v/>
      </c>
      <c r="AU26" s="13">
        <f>IF(Time!AU30&gt;0,Inputs!$F$176/100*Operations!AU55*(AU8+AU9)/Time!AU30,0)</f>
        <v/>
      </c>
      <c r="AV26" s="13">
        <f>IF(Time!AV30&gt;0,Inputs!$F$176/100*Operations!AV55*(AV8+AV9)/Time!AV30,0)</f>
        <v/>
      </c>
      <c r="AW26" s="13">
        <f>IF(Time!AW30&gt;0,Inputs!$F$176/100*Operations!AW55*(AW8+AW9)/Time!AW30,0)</f>
        <v/>
      </c>
      <c r="AX26" s="13">
        <f>IF(Time!AX30&gt;0,Inputs!$F$176/100*Operations!AX55*(AX8+AX9)/Time!AX30,0)</f>
        <v/>
      </c>
      <c r="AY26" s="13">
        <f>IF(Time!AY30&gt;0,Inputs!$F$176/100*Operations!AY55*(AY8+AY9)/Time!AY30,0)</f>
        <v/>
      </c>
      <c r="AZ26" s="13">
        <f>IF(Time!AZ30&gt;0,Inputs!$F$176/100*Operations!AZ55*(AZ8+AZ9)/Time!AZ30,0)</f>
        <v/>
      </c>
      <c r="BA26" s="13">
        <f>IF(Time!BA30&gt;0,Inputs!$F$176/100*Operations!BA55*(BA8+BA9)/Time!BA30,0)</f>
        <v/>
      </c>
      <c r="BB26" s="13">
        <f>IF(Time!BB30&gt;0,Inputs!$F$176/100*Operations!BB55*(BB8+BB9)/Time!BB30,0)</f>
        <v/>
      </c>
      <c r="BC26" s="13">
        <f>IF(Time!BC30&gt;0,Inputs!$F$176/100*Operations!BC55*(BC8+BC9)/Time!BC30,0)</f>
        <v/>
      </c>
      <c r="BD26" s="13">
        <f>IF(Time!BD30&gt;0,Inputs!$F$176/100*Operations!BD55*(BD8+BD9)/Time!BD30,0)</f>
        <v/>
      </c>
      <c r="BE26" s="13">
        <f>IF(Time!BE30&gt;0,Inputs!$F$176/100*Operations!BE55*(BE8+BE9)/Time!BE30,0)</f>
        <v/>
      </c>
      <c r="BF26" s="13">
        <f>IF(Time!BF30&gt;0,Inputs!$F$176/100*Operations!BF55*(BF8+BF9)/Time!BF30,0)</f>
        <v/>
      </c>
      <c r="BG26" s="13">
        <f>IF(Time!BG30&gt;0,Inputs!$F$176/100*Operations!BG55*(BG8+BG9)/Time!BG30,0)</f>
        <v/>
      </c>
      <c r="BH26" s="13">
        <f>IF(Time!BH30&gt;0,Inputs!$F$176/100*Operations!BH55*(BH8+BH9)/Time!BH30,0)</f>
        <v/>
      </c>
      <c r="BI26" s="13">
        <f>IF(Time!BI30&gt;0,Inputs!$F$176/100*Operations!BI55*(BI8+BI9)/Time!BI30,0)</f>
        <v/>
      </c>
      <c r="BJ26" s="13">
        <f>IF(Time!BJ30&gt;0,Inputs!$F$176/100*Operations!BJ55*(BJ8+BJ9)/Time!BJ30,0)</f>
        <v/>
      </c>
      <c r="BK26" s="13">
        <f>IF(Time!BK30&gt;0,Inputs!$F$176/100*Operations!BK55*(BK8+BK9)/Time!BK30,0)</f>
        <v/>
      </c>
      <c r="BL26" s="13">
        <f>IF(Time!BL30&gt;0,Inputs!$F$176/100*Operations!BL55*(BL8+BL9)/Time!BL30,0)</f>
        <v/>
      </c>
      <c r="BM26" s="13">
        <f>IF(Time!BM30&gt;0,Inputs!$F$176/100*Operations!BM55*(BM8+BM9)/Time!BM30,0)</f>
        <v/>
      </c>
      <c r="BN26" s="13">
        <f>IF(Time!BN30&gt;0,Inputs!$F$176/100*Operations!BN55*(BN8+BN9)/Time!BN30,0)</f>
        <v/>
      </c>
    </row>
    <row r="27">
      <c r="D27" t="inlineStr">
        <is>
          <t>Tax paid = max(CIT, MTT)</t>
        </is>
      </c>
      <c r="E27" t="inlineStr">
        <is>
          <t>USD m</t>
        </is>
      </c>
      <c r="G27" s="13">
        <f>SUM(J27:BN27)</f>
        <v/>
      </c>
      <c r="J27" s="13">
        <f>MAX(J25,J26)</f>
        <v/>
      </c>
      <c r="K27" s="13">
        <f>MAX(K25,K26)</f>
        <v/>
      </c>
      <c r="L27" s="13">
        <f>MAX(L25,L26)</f>
        <v/>
      </c>
      <c r="M27" s="13">
        <f>MAX(M25,M26)</f>
        <v/>
      </c>
      <c r="N27" s="13">
        <f>MAX(N25,N26)</f>
        <v/>
      </c>
      <c r="O27" s="13">
        <f>MAX(O25,O26)</f>
        <v/>
      </c>
      <c r="P27" s="13">
        <f>MAX(P25,P26)</f>
        <v/>
      </c>
      <c r="Q27" s="13">
        <f>MAX(Q25,Q26)</f>
        <v/>
      </c>
      <c r="R27" s="13">
        <f>MAX(R25,R26)</f>
        <v/>
      </c>
      <c r="S27" s="13">
        <f>MAX(S25,S26)</f>
        <v/>
      </c>
      <c r="T27" s="13">
        <f>MAX(T25,T26)</f>
        <v/>
      </c>
      <c r="U27" s="13">
        <f>MAX(U25,U26)</f>
        <v/>
      </c>
      <c r="V27" s="13">
        <f>MAX(V25,V26)</f>
        <v/>
      </c>
      <c r="W27" s="13">
        <f>MAX(W25,W26)</f>
        <v/>
      </c>
      <c r="X27" s="13">
        <f>MAX(X25,X26)</f>
        <v/>
      </c>
      <c r="Y27" s="13">
        <f>MAX(Y25,Y26)</f>
        <v/>
      </c>
      <c r="Z27" s="13">
        <f>MAX(Z25,Z26)</f>
        <v/>
      </c>
      <c r="AA27" s="13">
        <f>MAX(AA25,AA26)</f>
        <v/>
      </c>
      <c r="AB27" s="13">
        <f>MAX(AB25,AB26)</f>
        <v/>
      </c>
      <c r="AC27" s="13">
        <f>MAX(AC25,AC26)</f>
        <v/>
      </c>
      <c r="AD27" s="13">
        <f>MAX(AD25,AD26)</f>
        <v/>
      </c>
      <c r="AE27" s="13">
        <f>MAX(AE25,AE26)</f>
        <v/>
      </c>
      <c r="AF27" s="13">
        <f>MAX(AF25,AF26)</f>
        <v/>
      </c>
      <c r="AG27" s="13">
        <f>MAX(AG25,AG26)</f>
        <v/>
      </c>
      <c r="AH27" s="13">
        <f>MAX(AH25,AH26)</f>
        <v/>
      </c>
      <c r="AI27" s="13">
        <f>MAX(AI25,AI26)</f>
        <v/>
      </c>
      <c r="AJ27" s="13">
        <f>MAX(AJ25,AJ26)</f>
        <v/>
      </c>
      <c r="AK27" s="13">
        <f>MAX(AK25,AK26)</f>
        <v/>
      </c>
      <c r="AL27" s="13">
        <f>MAX(AL25,AL26)</f>
        <v/>
      </c>
      <c r="AM27" s="13">
        <f>MAX(AM25,AM26)</f>
        <v/>
      </c>
      <c r="AN27" s="13">
        <f>MAX(AN25,AN26)</f>
        <v/>
      </c>
      <c r="AO27" s="13">
        <f>MAX(AO25,AO26)</f>
        <v/>
      </c>
      <c r="AP27" s="13">
        <f>MAX(AP25,AP26)</f>
        <v/>
      </c>
      <c r="AQ27" s="13">
        <f>MAX(AQ25,AQ26)</f>
        <v/>
      </c>
      <c r="AR27" s="13">
        <f>MAX(AR25,AR26)</f>
        <v/>
      </c>
      <c r="AS27" s="13">
        <f>MAX(AS25,AS26)</f>
        <v/>
      </c>
      <c r="AT27" s="13">
        <f>MAX(AT25,AT26)</f>
        <v/>
      </c>
      <c r="AU27" s="13">
        <f>MAX(AU25,AU26)</f>
        <v/>
      </c>
      <c r="AV27" s="13">
        <f>MAX(AV25,AV26)</f>
        <v/>
      </c>
      <c r="AW27" s="13">
        <f>MAX(AW25,AW26)</f>
        <v/>
      </c>
      <c r="AX27" s="13">
        <f>MAX(AX25,AX26)</f>
        <v/>
      </c>
      <c r="AY27" s="13">
        <f>MAX(AY25,AY26)</f>
        <v/>
      </c>
      <c r="AZ27" s="13">
        <f>MAX(AZ25,AZ26)</f>
        <v/>
      </c>
      <c r="BA27" s="13">
        <f>MAX(BA25,BA26)</f>
        <v/>
      </c>
      <c r="BB27" s="13">
        <f>MAX(BB25,BB26)</f>
        <v/>
      </c>
      <c r="BC27" s="13">
        <f>MAX(BC25,BC26)</f>
        <v/>
      </c>
      <c r="BD27" s="13">
        <f>MAX(BD25,BD26)</f>
        <v/>
      </c>
      <c r="BE27" s="13">
        <f>MAX(BE25,BE26)</f>
        <v/>
      </c>
      <c r="BF27" s="13">
        <f>MAX(BF25,BF26)</f>
        <v/>
      </c>
      <c r="BG27" s="13">
        <f>MAX(BG25,BG26)</f>
        <v/>
      </c>
      <c r="BH27" s="13">
        <f>MAX(BH25,BH26)</f>
        <v/>
      </c>
      <c r="BI27" s="13">
        <f>MAX(BI25,BI26)</f>
        <v/>
      </c>
      <c r="BJ27" s="13">
        <f>MAX(BJ25,BJ26)</f>
        <v/>
      </c>
      <c r="BK27" s="13">
        <f>MAX(BK25,BK26)</f>
        <v/>
      </c>
      <c r="BL27" s="13">
        <f>MAX(BL25,BL26)</f>
        <v/>
      </c>
      <c r="BM27" s="13">
        <f>MAX(BM25,BM26)</f>
        <v/>
      </c>
      <c r="BN27" s="13">
        <f>MAX(BN25,BN26)</f>
        <v/>
      </c>
    </row>
    <row r="28">
      <c r="D28" t="inlineStr">
        <is>
          <t>Thin-cap disallowance</t>
        </is>
      </c>
      <c r="E28" t="inlineStr">
        <is>
          <t>USD m</t>
        </is>
      </c>
      <c r="G28" s="13">
        <f>SUM(J28:BN28)</f>
        <v/>
      </c>
      <c r="J28" s="13">
        <f>J13-J15</f>
        <v/>
      </c>
      <c r="K28" s="13">
        <f>K13-K15</f>
        <v/>
      </c>
      <c r="L28" s="13">
        <f>L13-L15</f>
        <v/>
      </c>
      <c r="M28" s="13">
        <f>M13-M15</f>
        <v/>
      </c>
      <c r="N28" s="13">
        <f>N13-N15</f>
        <v/>
      </c>
      <c r="O28" s="13">
        <f>O13-O15</f>
        <v/>
      </c>
      <c r="P28" s="13">
        <f>P13-P15</f>
        <v/>
      </c>
      <c r="Q28" s="13">
        <f>Q13-Q15</f>
        <v/>
      </c>
      <c r="R28" s="13">
        <f>R13-R15</f>
        <v/>
      </c>
      <c r="S28" s="13">
        <f>S13-S15</f>
        <v/>
      </c>
      <c r="T28" s="13">
        <f>T13-T15</f>
        <v/>
      </c>
      <c r="U28" s="13">
        <f>U13-U15</f>
        <v/>
      </c>
      <c r="V28" s="13">
        <f>V13-V15</f>
        <v/>
      </c>
      <c r="W28" s="13">
        <f>W13-W15</f>
        <v/>
      </c>
      <c r="X28" s="13">
        <f>X13-X15</f>
        <v/>
      </c>
      <c r="Y28" s="13">
        <f>Y13-Y15</f>
        <v/>
      </c>
      <c r="Z28" s="13">
        <f>Z13-Z15</f>
        <v/>
      </c>
      <c r="AA28" s="13">
        <f>AA13-AA15</f>
        <v/>
      </c>
      <c r="AB28" s="13">
        <f>AB13-AB15</f>
        <v/>
      </c>
      <c r="AC28" s="13">
        <f>AC13-AC15</f>
        <v/>
      </c>
      <c r="AD28" s="13">
        <f>AD13-AD15</f>
        <v/>
      </c>
      <c r="AE28" s="13">
        <f>AE13-AE15</f>
        <v/>
      </c>
      <c r="AF28" s="13">
        <f>AF13-AF15</f>
        <v/>
      </c>
      <c r="AG28" s="13">
        <f>AG13-AG15</f>
        <v/>
      </c>
      <c r="AH28" s="13">
        <f>AH13-AH15</f>
        <v/>
      </c>
      <c r="AI28" s="13">
        <f>AI13-AI15</f>
        <v/>
      </c>
      <c r="AJ28" s="13">
        <f>AJ13-AJ15</f>
        <v/>
      </c>
      <c r="AK28" s="13">
        <f>AK13-AK15</f>
        <v/>
      </c>
      <c r="AL28" s="13">
        <f>AL13-AL15</f>
        <v/>
      </c>
      <c r="AM28" s="13">
        <f>AM13-AM15</f>
        <v/>
      </c>
      <c r="AN28" s="13">
        <f>AN13-AN15</f>
        <v/>
      </c>
      <c r="AO28" s="13">
        <f>AO13-AO15</f>
        <v/>
      </c>
      <c r="AP28" s="13">
        <f>AP13-AP15</f>
        <v/>
      </c>
      <c r="AQ28" s="13">
        <f>AQ13-AQ15</f>
        <v/>
      </c>
      <c r="AR28" s="13">
        <f>AR13-AR15</f>
        <v/>
      </c>
      <c r="AS28" s="13">
        <f>AS13-AS15</f>
        <v/>
      </c>
      <c r="AT28" s="13">
        <f>AT13-AT15</f>
        <v/>
      </c>
      <c r="AU28" s="13">
        <f>AU13-AU15</f>
        <v/>
      </c>
      <c r="AV28" s="13">
        <f>AV13-AV15</f>
        <v/>
      </c>
      <c r="AW28" s="13">
        <f>AW13-AW15</f>
        <v/>
      </c>
      <c r="AX28" s="13">
        <f>AX13-AX15</f>
        <v/>
      </c>
      <c r="AY28" s="13">
        <f>AY13-AY15</f>
        <v/>
      </c>
      <c r="AZ28" s="13">
        <f>AZ13-AZ15</f>
        <v/>
      </c>
      <c r="BA28" s="13">
        <f>BA13-BA15</f>
        <v/>
      </c>
      <c r="BB28" s="13">
        <f>BB13-BB15</f>
        <v/>
      </c>
      <c r="BC28" s="13">
        <f>BC13-BC15</f>
        <v/>
      </c>
      <c r="BD28" s="13">
        <f>BD13-BD15</f>
        <v/>
      </c>
      <c r="BE28" s="13">
        <f>BE13-BE15</f>
        <v/>
      </c>
      <c r="BF28" s="13">
        <f>BF13-BF15</f>
        <v/>
      </c>
      <c r="BG28" s="13">
        <f>BG13-BG15</f>
        <v/>
      </c>
      <c r="BH28" s="13">
        <f>BH13-BH15</f>
        <v/>
      </c>
      <c r="BI28" s="13">
        <f>BI13-BI15</f>
        <v/>
      </c>
      <c r="BJ28" s="13">
        <f>BJ13-BJ15</f>
        <v/>
      </c>
      <c r="BK28" s="13">
        <f>BK13-BK15</f>
        <v/>
      </c>
      <c r="BL28" s="13">
        <f>BL13-BL15</f>
        <v/>
      </c>
      <c r="BM28" s="13">
        <f>BM13-BM15</f>
        <v/>
      </c>
      <c r="BN28" s="13">
        <f>BN13-BN15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76"/>
  <sheetViews>
    <sheetView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s>
  <sheetData>
    <row r="1">
      <c r="A1" s="1" t="inlineStr">
        <is>
          <t>Case P: Belanou Combined Cycle Power Project, Republic of Kessara</t>
        </is>
      </c>
    </row>
    <row r="2">
      <c r="A2" t="inlineStr">
        <is>
          <t>Funding: closed-form gross-up, drawdowns by tranche, IDC, fees, equity</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s="2" t="inlineStr">
        <is>
          <t>Month</t>
        </is>
      </c>
      <c r="J5" s="4" t="inlineStr">
        <is>
          <t>2018-08</t>
        </is>
      </c>
      <c r="K5" s="4" t="inlineStr">
        <is>
          <t>2018-09</t>
        </is>
      </c>
      <c r="L5" s="4" t="inlineStr">
        <is>
          <t>2018-10</t>
        </is>
      </c>
      <c r="M5" s="4" t="inlineStr">
        <is>
          <t>2018-11</t>
        </is>
      </c>
      <c r="N5" s="4" t="inlineStr">
        <is>
          <t>2018-12</t>
        </is>
      </c>
      <c r="O5" s="4" t="inlineStr">
        <is>
          <t>2019-01</t>
        </is>
      </c>
      <c r="P5" s="4" t="inlineStr">
        <is>
          <t>2019-02</t>
        </is>
      </c>
      <c r="Q5" s="4" t="inlineStr">
        <is>
          <t>2019-03</t>
        </is>
      </c>
      <c r="R5" s="4" t="inlineStr">
        <is>
          <t>2019-04</t>
        </is>
      </c>
      <c r="S5" s="4" t="inlineStr">
        <is>
          <t>2019-05</t>
        </is>
      </c>
      <c r="T5" s="4" t="inlineStr">
        <is>
          <t>2019-06</t>
        </is>
      </c>
      <c r="U5" s="4" t="inlineStr">
        <is>
          <t>2019-07</t>
        </is>
      </c>
      <c r="V5" s="4" t="inlineStr">
        <is>
          <t>2019-08</t>
        </is>
      </c>
      <c r="W5" s="4" t="inlineStr">
        <is>
          <t>2019-09</t>
        </is>
      </c>
      <c r="X5" s="4" t="inlineStr">
        <is>
          <t>2019-10</t>
        </is>
      </c>
      <c r="Y5" s="4" t="inlineStr">
        <is>
          <t>2019-11</t>
        </is>
      </c>
      <c r="Z5" s="4" t="inlineStr">
        <is>
          <t>2019-12</t>
        </is>
      </c>
      <c r="AA5" s="4" t="inlineStr">
        <is>
          <t>2020-01</t>
        </is>
      </c>
      <c r="AB5" s="4" t="inlineStr">
        <is>
          <t>2020-02</t>
        </is>
      </c>
      <c r="AC5" s="4" t="inlineStr">
        <is>
          <t>2020-03</t>
        </is>
      </c>
      <c r="AD5" s="4" t="inlineStr">
        <is>
          <t>2020-04</t>
        </is>
      </c>
      <c r="AE5" s="4" t="inlineStr">
        <is>
          <t>2020-05</t>
        </is>
      </c>
      <c r="AF5" s="4" t="inlineStr">
        <is>
          <t>2020-06</t>
        </is>
      </c>
      <c r="AG5" s="4" t="inlineStr">
        <is>
          <t>2020-07</t>
        </is>
      </c>
      <c r="AH5" s="4" t="inlineStr">
        <is>
          <t>2020-08</t>
        </is>
      </c>
      <c r="AI5" s="4" t="inlineStr">
        <is>
          <t>2020-09</t>
        </is>
      </c>
      <c r="AJ5" s="4" t="inlineStr">
        <is>
          <t>2020-10</t>
        </is>
      </c>
      <c r="AK5" s="4" t="inlineStr">
        <is>
          <t>2020-11</t>
        </is>
      </c>
      <c r="AL5" s="4" t="inlineStr">
        <is>
          <t>2020-12</t>
        </is>
      </c>
      <c r="AM5" s="4" t="inlineStr">
        <is>
          <t>2021-01</t>
        </is>
      </c>
      <c r="AN5" s="4" t="inlineStr">
        <is>
          <t>2021-02</t>
        </is>
      </c>
      <c r="AO5" s="4" t="inlineStr">
        <is>
          <t>2021-03</t>
        </is>
      </c>
      <c r="AP5" s="4" t="inlineStr">
        <is>
          <t>2021-04</t>
        </is>
      </c>
      <c r="AQ5" s="4" t="inlineStr">
        <is>
          <t>2021-05</t>
        </is>
      </c>
      <c r="AR5" s="4" t="inlineStr">
        <is>
          <t>2021-06</t>
        </is>
      </c>
      <c r="AS5" s="4" t="inlineStr">
        <is>
          <t>2021-07</t>
        </is>
      </c>
      <c r="AT5" s="4" t="inlineStr">
        <is>
          <t>2021-08</t>
        </is>
      </c>
      <c r="AU5" s="4" t="inlineStr">
        <is>
          <t>2021-09</t>
        </is>
      </c>
      <c r="AV5" s="4" t="inlineStr">
        <is>
          <t>2021-10</t>
        </is>
      </c>
      <c r="AW5" s="4" t="inlineStr">
        <is>
          <t>2021-11</t>
        </is>
      </c>
      <c r="AX5" s="4" t="inlineStr">
        <is>
          <t>2021-12</t>
        </is>
      </c>
      <c r="AY5" s="4" t="inlineStr">
        <is>
          <t>2022-01</t>
        </is>
      </c>
      <c r="AZ5" s="4" t="inlineStr">
        <is>
          <t>2022-02</t>
        </is>
      </c>
      <c r="BA5" s="4" t="inlineStr">
        <is>
          <t>2022-03</t>
        </is>
      </c>
      <c r="BB5" s="4" t="inlineStr">
        <is>
          <t>2022-04</t>
        </is>
      </c>
      <c r="BC5" s="4" t="inlineStr">
        <is>
          <t>2022-05</t>
        </is>
      </c>
      <c r="BD5" s="4" t="inlineStr">
        <is>
          <t>2022-06</t>
        </is>
      </c>
      <c r="BE5" s="4" t="inlineStr">
        <is>
          <t>2022-07</t>
        </is>
      </c>
      <c r="BF5" s="4" t="inlineStr">
        <is>
          <t>2022-08</t>
        </is>
      </c>
      <c r="BG5" s="4" t="inlineStr">
        <is>
          <t>2022-09</t>
        </is>
      </c>
      <c r="BH5" s="4" t="inlineStr">
        <is>
          <t>2022-10</t>
        </is>
      </c>
      <c r="BI5" s="4" t="inlineStr">
        <is>
          <t>2022-11</t>
        </is>
      </c>
      <c r="BJ5" s="4" t="inlineStr">
        <is>
          <t>2022-12</t>
        </is>
      </c>
    </row>
    <row r="7">
      <c r="B7" s="2" t="inlineStr">
        <is>
          <t>Constants</t>
        </is>
      </c>
    </row>
    <row r="8">
      <c r="D8" t="inlineStr">
        <is>
          <t>Contract debt share of funding g = D/(D+E)</t>
        </is>
      </c>
      <c r="E8" t="inlineStr">
        <is>
          <t>fraction</t>
        </is>
      </c>
      <c r="F8" s="11">
        <f>Inputs!$F$113/(Inputs!$F$113+Inputs!$F$114)</f>
        <v/>
      </c>
    </row>
    <row r="9">
      <c r="D9" t="inlineStr">
        <is>
          <t>Gearing used in the closed-form gross-up</t>
        </is>
      </c>
      <c r="E9" t="inlineStr">
        <is>
          <t>fraction</t>
        </is>
      </c>
      <c r="F9" s="11">
        <f>IF(Inputs!$F$51&lt;&gt;1,Funding!$F$8,Inputs!$F$105)</f>
        <v/>
      </c>
    </row>
    <row r="10">
      <c r="D10" t="inlineStr">
        <is>
          <t>ECA premium gross-up denominator 1 - prem x share x g</t>
        </is>
      </c>
      <c r="E10" t="inlineStr">
        <is>
          <t>factor</t>
        </is>
      </c>
      <c r="F10" s="11">
        <f>1-Inputs!$F$94/100*Inputs!$F$75*Funding!$F$9</f>
        <v/>
      </c>
    </row>
    <row r="11">
      <c r="D11" t="inlineStr">
        <is>
          <t>First installment share of remaining profile</t>
        </is>
      </c>
      <c r="E11" t="inlineStr">
        <is>
          <t>fraction</t>
        </is>
      </c>
      <c r="F11" s="11">
        <f>INDEX(Debt!$J$17:$BN$17,1,Time!$F$13)/INDEX(Debt!$J$18:$BN$18,1,Time!$F$13)</f>
        <v/>
      </c>
    </row>
    <row r="12">
      <c r="D12" t="inlineStr">
        <is>
          <t>DSRA coefficient per USD of E balance</t>
        </is>
      </c>
      <c r="E12" t="inlineStr">
        <is>
          <t>factor</t>
        </is>
      </c>
      <c r="F12" s="11">
        <f>$F$11+(INDEX(Operations!$J$9:$BN$9,1,Time!$F$13)+Inputs!$F$79)/100*INDEX(Time!$J$25:$BN$25,1,Time!$F$13)/Inputs!$F$247*1</f>
        <v/>
      </c>
    </row>
    <row r="13">
      <c r="D13" t="inlineStr">
        <is>
          <t>DSRA coefficient per USD of A balance</t>
        </is>
      </c>
      <c r="E13" t="inlineStr">
        <is>
          <t>factor</t>
        </is>
      </c>
      <c r="F13" s="11">
        <f>$F$11+(INDEX(Operations!$J$9:$BN$9,1,Time!$F$13)+Inputs!$F$80)/100*INDEX(Time!$J$25:$BN$25,1,Time!$F$13)/Inputs!$F$247*1</f>
        <v/>
      </c>
    </row>
    <row r="14">
      <c r="D14" t="inlineStr">
        <is>
          <t>DSRA coefficient per USD of B balance</t>
        </is>
      </c>
      <c r="E14" t="inlineStr">
        <is>
          <t>factor</t>
        </is>
      </c>
      <c r="F14" s="11">
        <f>$F$11+(INDEX(Operations!$J$9:$BN$9,1,Time!$F$13)+Inputs!$F$81)/100*INDEX(Time!$J$25:$BN$25,1,Time!$F$13)/Inputs!$F$247*1</f>
        <v/>
      </c>
    </row>
    <row r="15">
      <c r="D15" t="inlineStr">
        <is>
          <t>DSRA coefficient per USD of C balance</t>
        </is>
      </c>
      <c r="E15" t="inlineStr">
        <is>
          <t>factor</t>
        </is>
      </c>
      <c r="F15" s="11">
        <f>$F$11+(INDEX(Operations!$J$9:$BN$9,1,Time!$F$13)+INDEX(Debt!$J$8:$BN$8,1,Time!$F$13))/100*INDEX(Time!$J$25:$BN$25,1,Time!$F$13)/Inputs!$F$247*(1/(1-Inputs!$F$93/100))+(Inputs!$F$95/100*Inputs!$F$96/100)*INDEX(Time!$J$25:$BN$25,1,Time!$F$13)/Inputs!$F$248</f>
        <v/>
      </c>
    </row>
    <row r="16">
      <c r="D16" t="inlineStr">
        <is>
          <t>DSRA coefficient per USD of standby balance</t>
        </is>
      </c>
      <c r="E16" t="inlineStr">
        <is>
          <t>factor</t>
        </is>
      </c>
      <c r="F16" s="11">
        <f>$F$11+INDEX(Debt!$J$14:$BN$14,1,Time!$F$13)</f>
        <v/>
      </c>
    </row>
    <row r="17">
      <c r="D17" t="inlineStr">
        <is>
          <t>DSRA constant (swap net payment)</t>
        </is>
      </c>
      <c r="E17" t="inlineStr">
        <is>
          <t>USD m</t>
        </is>
      </c>
      <c r="F17" s="11">
        <f>INDEX(Inputs!$J$301:$BN$301,1,Time!$F$13)*(Inputs!$F$97/100*INDEX(Time!$J$24:$BN$24,1,Time!$F$13)-INDEX(Operations!$J$9:$BN$9,1,Time!$F$13)/100*INDEX(Time!$J$25:$BN$25,1,Time!$F$13)/Inputs!$F$247)</f>
        <v/>
      </c>
    </row>
    <row r="18">
      <c r="B18" s="2" t="inlineStr">
        <is>
          <t>Closed-form gross-up: debt balance = alpha + beta x T (FC-type cases)</t>
        </is>
      </c>
    </row>
    <row r="19">
      <c r="D19" t="inlineStr">
        <is>
          <t>Blended loan rate per month (rho)</t>
        </is>
      </c>
      <c r="E19" t="inlineStr">
        <is>
          <t>factor</t>
        </is>
      </c>
      <c r="J19" s="16">
        <f>Inputs!$F$75*(Construction!J17+Inputs!$F$79)/100*Construction!J11/Inputs!$F$247*1+Inputs!$F$76*(Construction!J17+Inputs!$F$80)/100*Construction!J11/Inputs!$F$247*1+Inputs!$F$77*(Construction!J17+Inputs!$F$81)/100*Construction!J11/Inputs!$F$247*1+Inputs!$F$78*(Construction!J17+Inputs!$F$82)/100*Construction!J11/Inputs!$F$247*(1/(1-Inputs!$F$93/100))+Inputs!$F$78*(Inputs!$F$95/100*Inputs!$F$96/100)*Construction!J11/Inputs!$F$248</f>
        <v/>
      </c>
      <c r="K19" s="16">
        <f>Inputs!$F$75*(Construction!K17+Inputs!$F$79)/100*Construction!K11/Inputs!$F$247*1+Inputs!$F$76*(Construction!K17+Inputs!$F$80)/100*Construction!K11/Inputs!$F$247*1+Inputs!$F$77*(Construction!K17+Inputs!$F$81)/100*Construction!K11/Inputs!$F$247*1+Inputs!$F$78*(Construction!K17+Inputs!$F$82)/100*Construction!K11/Inputs!$F$247*(1/(1-Inputs!$F$93/100))+Inputs!$F$78*(Inputs!$F$95/100*Inputs!$F$96/100)*Construction!K11/Inputs!$F$248</f>
        <v/>
      </c>
      <c r="L19" s="16">
        <f>Inputs!$F$75*(Construction!L17+Inputs!$F$79)/100*Construction!L11/Inputs!$F$247*1+Inputs!$F$76*(Construction!L17+Inputs!$F$80)/100*Construction!L11/Inputs!$F$247*1+Inputs!$F$77*(Construction!L17+Inputs!$F$81)/100*Construction!L11/Inputs!$F$247*1+Inputs!$F$78*(Construction!L17+Inputs!$F$82)/100*Construction!L11/Inputs!$F$247*(1/(1-Inputs!$F$93/100))+Inputs!$F$78*(Inputs!$F$95/100*Inputs!$F$96/100)*Construction!L11/Inputs!$F$248</f>
        <v/>
      </c>
      <c r="M19" s="16">
        <f>Inputs!$F$75*(Construction!M17+Inputs!$F$79)/100*Construction!M11/Inputs!$F$247*1+Inputs!$F$76*(Construction!M17+Inputs!$F$80)/100*Construction!M11/Inputs!$F$247*1+Inputs!$F$77*(Construction!M17+Inputs!$F$81)/100*Construction!M11/Inputs!$F$247*1+Inputs!$F$78*(Construction!M17+Inputs!$F$82)/100*Construction!M11/Inputs!$F$247*(1/(1-Inputs!$F$93/100))+Inputs!$F$78*(Inputs!$F$95/100*Inputs!$F$96/100)*Construction!M11/Inputs!$F$248</f>
        <v/>
      </c>
      <c r="N19" s="16">
        <f>Inputs!$F$75*(Construction!N17+Inputs!$F$79)/100*Construction!N11/Inputs!$F$247*1+Inputs!$F$76*(Construction!N17+Inputs!$F$80)/100*Construction!N11/Inputs!$F$247*1+Inputs!$F$77*(Construction!N17+Inputs!$F$81)/100*Construction!N11/Inputs!$F$247*1+Inputs!$F$78*(Construction!N17+Inputs!$F$82)/100*Construction!N11/Inputs!$F$247*(1/(1-Inputs!$F$93/100))+Inputs!$F$78*(Inputs!$F$95/100*Inputs!$F$96/100)*Construction!N11/Inputs!$F$248</f>
        <v/>
      </c>
      <c r="O19" s="16">
        <f>Inputs!$F$75*(Construction!O17+Inputs!$F$79)/100*Construction!O11/Inputs!$F$247*1+Inputs!$F$76*(Construction!O17+Inputs!$F$80)/100*Construction!O11/Inputs!$F$247*1+Inputs!$F$77*(Construction!O17+Inputs!$F$81)/100*Construction!O11/Inputs!$F$247*1+Inputs!$F$78*(Construction!O17+Inputs!$F$82)/100*Construction!O11/Inputs!$F$247*(1/(1-Inputs!$F$93/100))+Inputs!$F$78*(Inputs!$F$95/100*Inputs!$F$96/100)*Construction!O11/Inputs!$F$248</f>
        <v/>
      </c>
      <c r="P19" s="16">
        <f>Inputs!$F$75*(Construction!P17+Inputs!$F$79)/100*Construction!P11/Inputs!$F$247*1+Inputs!$F$76*(Construction!P17+Inputs!$F$80)/100*Construction!P11/Inputs!$F$247*1+Inputs!$F$77*(Construction!P17+Inputs!$F$81)/100*Construction!P11/Inputs!$F$247*1+Inputs!$F$78*(Construction!P17+Inputs!$F$82)/100*Construction!P11/Inputs!$F$247*(1/(1-Inputs!$F$93/100))+Inputs!$F$78*(Inputs!$F$95/100*Inputs!$F$96/100)*Construction!P11/Inputs!$F$248</f>
        <v/>
      </c>
      <c r="Q19" s="16">
        <f>Inputs!$F$75*(Construction!Q17+Inputs!$F$79)/100*Construction!Q11/Inputs!$F$247*1+Inputs!$F$76*(Construction!Q17+Inputs!$F$80)/100*Construction!Q11/Inputs!$F$247*1+Inputs!$F$77*(Construction!Q17+Inputs!$F$81)/100*Construction!Q11/Inputs!$F$247*1+Inputs!$F$78*(Construction!Q17+Inputs!$F$82)/100*Construction!Q11/Inputs!$F$247*(1/(1-Inputs!$F$93/100))+Inputs!$F$78*(Inputs!$F$95/100*Inputs!$F$96/100)*Construction!Q11/Inputs!$F$248</f>
        <v/>
      </c>
      <c r="R19" s="16">
        <f>Inputs!$F$75*(Construction!R17+Inputs!$F$79)/100*Construction!R11/Inputs!$F$247*1+Inputs!$F$76*(Construction!R17+Inputs!$F$80)/100*Construction!R11/Inputs!$F$247*1+Inputs!$F$77*(Construction!R17+Inputs!$F$81)/100*Construction!R11/Inputs!$F$247*1+Inputs!$F$78*(Construction!R17+Inputs!$F$82)/100*Construction!R11/Inputs!$F$247*(1/(1-Inputs!$F$93/100))+Inputs!$F$78*(Inputs!$F$95/100*Inputs!$F$96/100)*Construction!R11/Inputs!$F$248</f>
        <v/>
      </c>
      <c r="S19" s="16">
        <f>Inputs!$F$75*(Construction!S17+Inputs!$F$79)/100*Construction!S11/Inputs!$F$247*1+Inputs!$F$76*(Construction!S17+Inputs!$F$80)/100*Construction!S11/Inputs!$F$247*1+Inputs!$F$77*(Construction!S17+Inputs!$F$81)/100*Construction!S11/Inputs!$F$247*1+Inputs!$F$78*(Construction!S17+Inputs!$F$82)/100*Construction!S11/Inputs!$F$247*(1/(1-Inputs!$F$93/100))+Inputs!$F$78*(Inputs!$F$95/100*Inputs!$F$96/100)*Construction!S11/Inputs!$F$248</f>
        <v/>
      </c>
      <c r="T19" s="16">
        <f>Inputs!$F$75*(Construction!T17+Inputs!$F$79)/100*Construction!T11/Inputs!$F$247*1+Inputs!$F$76*(Construction!T17+Inputs!$F$80)/100*Construction!T11/Inputs!$F$247*1+Inputs!$F$77*(Construction!T17+Inputs!$F$81)/100*Construction!T11/Inputs!$F$247*1+Inputs!$F$78*(Construction!T17+Inputs!$F$82)/100*Construction!T11/Inputs!$F$247*(1/(1-Inputs!$F$93/100))+Inputs!$F$78*(Inputs!$F$95/100*Inputs!$F$96/100)*Construction!T11/Inputs!$F$248</f>
        <v/>
      </c>
      <c r="U19" s="16">
        <f>Inputs!$F$75*(Construction!U17+Inputs!$F$79)/100*Construction!U11/Inputs!$F$247*1+Inputs!$F$76*(Construction!U17+Inputs!$F$80)/100*Construction!U11/Inputs!$F$247*1+Inputs!$F$77*(Construction!U17+Inputs!$F$81)/100*Construction!U11/Inputs!$F$247*1+Inputs!$F$78*(Construction!U17+Inputs!$F$82)/100*Construction!U11/Inputs!$F$247*(1/(1-Inputs!$F$93/100))+Inputs!$F$78*(Inputs!$F$95/100*Inputs!$F$96/100)*Construction!U11/Inputs!$F$248</f>
        <v/>
      </c>
      <c r="V19" s="16">
        <f>Inputs!$F$75*(Construction!V17+Inputs!$F$79)/100*Construction!V11/Inputs!$F$247*1+Inputs!$F$76*(Construction!V17+Inputs!$F$80)/100*Construction!V11/Inputs!$F$247*1+Inputs!$F$77*(Construction!V17+Inputs!$F$81)/100*Construction!V11/Inputs!$F$247*1+Inputs!$F$78*(Construction!V17+Inputs!$F$82)/100*Construction!V11/Inputs!$F$247*(1/(1-Inputs!$F$93/100))+Inputs!$F$78*(Inputs!$F$95/100*Inputs!$F$96/100)*Construction!V11/Inputs!$F$248</f>
        <v/>
      </c>
      <c r="W19" s="16">
        <f>Inputs!$F$75*(Construction!W17+Inputs!$F$79)/100*Construction!W11/Inputs!$F$247*1+Inputs!$F$76*(Construction!W17+Inputs!$F$80)/100*Construction!W11/Inputs!$F$247*1+Inputs!$F$77*(Construction!W17+Inputs!$F$81)/100*Construction!W11/Inputs!$F$247*1+Inputs!$F$78*(Construction!W17+Inputs!$F$82)/100*Construction!W11/Inputs!$F$247*(1/(1-Inputs!$F$93/100))+Inputs!$F$78*(Inputs!$F$95/100*Inputs!$F$96/100)*Construction!W11/Inputs!$F$248</f>
        <v/>
      </c>
      <c r="X19" s="16">
        <f>Inputs!$F$75*(Construction!X17+Inputs!$F$79)/100*Construction!X11/Inputs!$F$247*1+Inputs!$F$76*(Construction!X17+Inputs!$F$80)/100*Construction!X11/Inputs!$F$247*1+Inputs!$F$77*(Construction!X17+Inputs!$F$81)/100*Construction!X11/Inputs!$F$247*1+Inputs!$F$78*(Construction!X17+Inputs!$F$82)/100*Construction!X11/Inputs!$F$247*(1/(1-Inputs!$F$93/100))+Inputs!$F$78*(Inputs!$F$95/100*Inputs!$F$96/100)*Construction!X11/Inputs!$F$248</f>
        <v/>
      </c>
      <c r="Y19" s="16">
        <f>Inputs!$F$75*(Construction!Y17+Inputs!$F$79)/100*Construction!Y11/Inputs!$F$247*1+Inputs!$F$76*(Construction!Y17+Inputs!$F$80)/100*Construction!Y11/Inputs!$F$247*1+Inputs!$F$77*(Construction!Y17+Inputs!$F$81)/100*Construction!Y11/Inputs!$F$247*1+Inputs!$F$78*(Construction!Y17+Inputs!$F$82)/100*Construction!Y11/Inputs!$F$247*(1/(1-Inputs!$F$93/100))+Inputs!$F$78*(Inputs!$F$95/100*Inputs!$F$96/100)*Construction!Y11/Inputs!$F$248</f>
        <v/>
      </c>
      <c r="Z19" s="16">
        <f>Inputs!$F$75*(Construction!Z17+Inputs!$F$79)/100*Construction!Z11/Inputs!$F$247*1+Inputs!$F$76*(Construction!Z17+Inputs!$F$80)/100*Construction!Z11/Inputs!$F$247*1+Inputs!$F$77*(Construction!Z17+Inputs!$F$81)/100*Construction!Z11/Inputs!$F$247*1+Inputs!$F$78*(Construction!Z17+Inputs!$F$82)/100*Construction!Z11/Inputs!$F$247*(1/(1-Inputs!$F$93/100))+Inputs!$F$78*(Inputs!$F$95/100*Inputs!$F$96/100)*Construction!Z11/Inputs!$F$248</f>
        <v/>
      </c>
      <c r="AA19" s="16">
        <f>Inputs!$F$75*(Construction!AA17+Inputs!$F$79)/100*Construction!AA11/Inputs!$F$247*1+Inputs!$F$76*(Construction!AA17+Inputs!$F$80)/100*Construction!AA11/Inputs!$F$247*1+Inputs!$F$77*(Construction!AA17+Inputs!$F$81)/100*Construction!AA11/Inputs!$F$247*1+Inputs!$F$78*(Construction!AA17+Inputs!$F$82)/100*Construction!AA11/Inputs!$F$247*(1/(1-Inputs!$F$93/100))+Inputs!$F$78*(Inputs!$F$95/100*Inputs!$F$96/100)*Construction!AA11/Inputs!$F$248</f>
        <v/>
      </c>
      <c r="AB19" s="16">
        <f>Inputs!$F$75*(Construction!AB17+Inputs!$F$79)/100*Construction!AB11/Inputs!$F$247*1+Inputs!$F$76*(Construction!AB17+Inputs!$F$80)/100*Construction!AB11/Inputs!$F$247*1+Inputs!$F$77*(Construction!AB17+Inputs!$F$81)/100*Construction!AB11/Inputs!$F$247*1+Inputs!$F$78*(Construction!AB17+Inputs!$F$82)/100*Construction!AB11/Inputs!$F$247*(1/(1-Inputs!$F$93/100))+Inputs!$F$78*(Inputs!$F$95/100*Inputs!$F$96/100)*Construction!AB11/Inputs!$F$248</f>
        <v/>
      </c>
      <c r="AC19" s="16">
        <f>Inputs!$F$75*(Construction!AC17+Inputs!$F$79)/100*Construction!AC11/Inputs!$F$247*1+Inputs!$F$76*(Construction!AC17+Inputs!$F$80)/100*Construction!AC11/Inputs!$F$247*1+Inputs!$F$77*(Construction!AC17+Inputs!$F$81)/100*Construction!AC11/Inputs!$F$247*1+Inputs!$F$78*(Construction!AC17+Inputs!$F$82)/100*Construction!AC11/Inputs!$F$247*(1/(1-Inputs!$F$93/100))+Inputs!$F$78*(Inputs!$F$95/100*Inputs!$F$96/100)*Construction!AC11/Inputs!$F$248</f>
        <v/>
      </c>
      <c r="AD19" s="16">
        <f>Inputs!$F$75*(Construction!AD17+Inputs!$F$79)/100*Construction!AD11/Inputs!$F$247*1+Inputs!$F$76*(Construction!AD17+Inputs!$F$80)/100*Construction!AD11/Inputs!$F$247*1+Inputs!$F$77*(Construction!AD17+Inputs!$F$81)/100*Construction!AD11/Inputs!$F$247*1+Inputs!$F$78*(Construction!AD17+Inputs!$F$82)/100*Construction!AD11/Inputs!$F$247*(1/(1-Inputs!$F$93/100))+Inputs!$F$78*(Inputs!$F$95/100*Inputs!$F$96/100)*Construction!AD11/Inputs!$F$248</f>
        <v/>
      </c>
      <c r="AE19" s="16">
        <f>Inputs!$F$75*(Construction!AE17+Inputs!$F$79)/100*Construction!AE11/Inputs!$F$247*1+Inputs!$F$76*(Construction!AE17+Inputs!$F$80)/100*Construction!AE11/Inputs!$F$247*1+Inputs!$F$77*(Construction!AE17+Inputs!$F$81)/100*Construction!AE11/Inputs!$F$247*1+Inputs!$F$78*(Construction!AE17+Inputs!$F$82)/100*Construction!AE11/Inputs!$F$247*(1/(1-Inputs!$F$93/100))+Inputs!$F$78*(Inputs!$F$95/100*Inputs!$F$96/100)*Construction!AE11/Inputs!$F$248</f>
        <v/>
      </c>
      <c r="AF19" s="16">
        <f>Inputs!$F$75*(Construction!AF17+Inputs!$F$79)/100*Construction!AF11/Inputs!$F$247*1+Inputs!$F$76*(Construction!AF17+Inputs!$F$80)/100*Construction!AF11/Inputs!$F$247*1+Inputs!$F$77*(Construction!AF17+Inputs!$F$81)/100*Construction!AF11/Inputs!$F$247*1+Inputs!$F$78*(Construction!AF17+Inputs!$F$82)/100*Construction!AF11/Inputs!$F$247*(1/(1-Inputs!$F$93/100))+Inputs!$F$78*(Inputs!$F$95/100*Inputs!$F$96/100)*Construction!AF11/Inputs!$F$248</f>
        <v/>
      </c>
      <c r="AG19" s="16">
        <f>Inputs!$F$75*(Construction!AG17+Inputs!$F$79)/100*Construction!AG11/Inputs!$F$247*1+Inputs!$F$76*(Construction!AG17+Inputs!$F$80)/100*Construction!AG11/Inputs!$F$247*1+Inputs!$F$77*(Construction!AG17+Inputs!$F$81)/100*Construction!AG11/Inputs!$F$247*1+Inputs!$F$78*(Construction!AG17+Inputs!$F$82)/100*Construction!AG11/Inputs!$F$247*(1/(1-Inputs!$F$93/100))+Inputs!$F$78*(Inputs!$F$95/100*Inputs!$F$96/100)*Construction!AG11/Inputs!$F$248</f>
        <v/>
      </c>
      <c r="AH19" s="16">
        <f>Inputs!$F$75*(Construction!AH17+Inputs!$F$79)/100*Construction!AH11/Inputs!$F$247*1+Inputs!$F$76*(Construction!AH17+Inputs!$F$80)/100*Construction!AH11/Inputs!$F$247*1+Inputs!$F$77*(Construction!AH17+Inputs!$F$81)/100*Construction!AH11/Inputs!$F$247*1+Inputs!$F$78*(Construction!AH17+Inputs!$F$82)/100*Construction!AH11/Inputs!$F$247*(1/(1-Inputs!$F$93/100))+Inputs!$F$78*(Inputs!$F$95/100*Inputs!$F$96/100)*Construction!AH11/Inputs!$F$248</f>
        <v/>
      </c>
      <c r="AI19" s="16">
        <f>Inputs!$F$75*(Construction!AI17+Inputs!$F$79)/100*Construction!AI11/Inputs!$F$247*1+Inputs!$F$76*(Construction!AI17+Inputs!$F$80)/100*Construction!AI11/Inputs!$F$247*1+Inputs!$F$77*(Construction!AI17+Inputs!$F$81)/100*Construction!AI11/Inputs!$F$247*1+Inputs!$F$78*(Construction!AI17+Inputs!$F$82)/100*Construction!AI11/Inputs!$F$247*(1/(1-Inputs!$F$93/100))+Inputs!$F$78*(Inputs!$F$95/100*Inputs!$F$96/100)*Construction!AI11/Inputs!$F$248</f>
        <v/>
      </c>
      <c r="AJ19" s="16">
        <f>Inputs!$F$75*(Construction!AJ17+Inputs!$F$79)/100*Construction!AJ11/Inputs!$F$247*1+Inputs!$F$76*(Construction!AJ17+Inputs!$F$80)/100*Construction!AJ11/Inputs!$F$247*1+Inputs!$F$77*(Construction!AJ17+Inputs!$F$81)/100*Construction!AJ11/Inputs!$F$247*1+Inputs!$F$78*(Construction!AJ17+Inputs!$F$82)/100*Construction!AJ11/Inputs!$F$247*(1/(1-Inputs!$F$93/100))+Inputs!$F$78*(Inputs!$F$95/100*Inputs!$F$96/100)*Construction!AJ11/Inputs!$F$248</f>
        <v/>
      </c>
      <c r="AK19" s="16">
        <f>Inputs!$F$75*(Construction!AK17+Inputs!$F$79)/100*Construction!AK11/Inputs!$F$247*1+Inputs!$F$76*(Construction!AK17+Inputs!$F$80)/100*Construction!AK11/Inputs!$F$247*1+Inputs!$F$77*(Construction!AK17+Inputs!$F$81)/100*Construction!AK11/Inputs!$F$247*1+Inputs!$F$78*(Construction!AK17+Inputs!$F$82)/100*Construction!AK11/Inputs!$F$247*(1/(1-Inputs!$F$93/100))+Inputs!$F$78*(Inputs!$F$95/100*Inputs!$F$96/100)*Construction!AK11/Inputs!$F$248</f>
        <v/>
      </c>
      <c r="AL19" s="16">
        <f>Inputs!$F$75*(Construction!AL17+Inputs!$F$79)/100*Construction!AL11/Inputs!$F$247*1+Inputs!$F$76*(Construction!AL17+Inputs!$F$80)/100*Construction!AL11/Inputs!$F$247*1+Inputs!$F$77*(Construction!AL17+Inputs!$F$81)/100*Construction!AL11/Inputs!$F$247*1+Inputs!$F$78*(Construction!AL17+Inputs!$F$82)/100*Construction!AL11/Inputs!$F$247*(1/(1-Inputs!$F$93/100))+Inputs!$F$78*(Inputs!$F$95/100*Inputs!$F$96/100)*Construction!AL11/Inputs!$F$248</f>
        <v/>
      </c>
      <c r="AM19" s="16">
        <f>Inputs!$F$75*(Construction!AM17+Inputs!$F$79)/100*Construction!AM11/Inputs!$F$247*1+Inputs!$F$76*(Construction!AM17+Inputs!$F$80)/100*Construction!AM11/Inputs!$F$247*1+Inputs!$F$77*(Construction!AM17+Inputs!$F$81)/100*Construction!AM11/Inputs!$F$247*1+Inputs!$F$78*(Construction!AM17+Inputs!$F$82)/100*Construction!AM11/Inputs!$F$247*(1/(1-Inputs!$F$93/100))+Inputs!$F$78*(Inputs!$F$95/100*Inputs!$F$96/100)*Construction!AM11/Inputs!$F$248</f>
        <v/>
      </c>
      <c r="AN19" s="16">
        <f>Inputs!$F$75*(Construction!AN17+Inputs!$F$79)/100*Construction!AN11/Inputs!$F$247*1+Inputs!$F$76*(Construction!AN17+Inputs!$F$80)/100*Construction!AN11/Inputs!$F$247*1+Inputs!$F$77*(Construction!AN17+Inputs!$F$81)/100*Construction!AN11/Inputs!$F$247*1+Inputs!$F$78*(Construction!AN17+Inputs!$F$82)/100*Construction!AN11/Inputs!$F$247*(1/(1-Inputs!$F$93/100))+Inputs!$F$78*(Inputs!$F$95/100*Inputs!$F$96/100)*Construction!AN11/Inputs!$F$248</f>
        <v/>
      </c>
      <c r="AO19" s="16">
        <f>Inputs!$F$75*(Construction!AO17+Inputs!$F$79)/100*Construction!AO11/Inputs!$F$247*1+Inputs!$F$76*(Construction!AO17+Inputs!$F$80)/100*Construction!AO11/Inputs!$F$247*1+Inputs!$F$77*(Construction!AO17+Inputs!$F$81)/100*Construction!AO11/Inputs!$F$247*1+Inputs!$F$78*(Construction!AO17+Inputs!$F$82)/100*Construction!AO11/Inputs!$F$247*(1/(1-Inputs!$F$93/100))+Inputs!$F$78*(Inputs!$F$95/100*Inputs!$F$96/100)*Construction!AO11/Inputs!$F$248</f>
        <v/>
      </c>
      <c r="AP19" s="16">
        <f>Inputs!$F$75*(Construction!AP17+Inputs!$F$79)/100*Construction!AP11/Inputs!$F$247*1+Inputs!$F$76*(Construction!AP17+Inputs!$F$80)/100*Construction!AP11/Inputs!$F$247*1+Inputs!$F$77*(Construction!AP17+Inputs!$F$81)/100*Construction!AP11/Inputs!$F$247*1+Inputs!$F$78*(Construction!AP17+Inputs!$F$82)/100*Construction!AP11/Inputs!$F$247*(1/(1-Inputs!$F$93/100))+Inputs!$F$78*(Inputs!$F$95/100*Inputs!$F$96/100)*Construction!AP11/Inputs!$F$248</f>
        <v/>
      </c>
      <c r="AQ19" s="16">
        <f>Inputs!$F$75*(Construction!AQ17+Inputs!$F$79)/100*Construction!AQ11/Inputs!$F$247*1+Inputs!$F$76*(Construction!AQ17+Inputs!$F$80)/100*Construction!AQ11/Inputs!$F$247*1+Inputs!$F$77*(Construction!AQ17+Inputs!$F$81)/100*Construction!AQ11/Inputs!$F$247*1+Inputs!$F$78*(Construction!AQ17+Inputs!$F$82)/100*Construction!AQ11/Inputs!$F$247*(1/(1-Inputs!$F$93/100))+Inputs!$F$78*(Inputs!$F$95/100*Inputs!$F$96/100)*Construction!AQ11/Inputs!$F$248</f>
        <v/>
      </c>
      <c r="AR19" s="16">
        <f>Inputs!$F$75*(Construction!AR17+Inputs!$F$79)/100*Construction!AR11/Inputs!$F$247*1+Inputs!$F$76*(Construction!AR17+Inputs!$F$80)/100*Construction!AR11/Inputs!$F$247*1+Inputs!$F$77*(Construction!AR17+Inputs!$F$81)/100*Construction!AR11/Inputs!$F$247*1+Inputs!$F$78*(Construction!AR17+Inputs!$F$82)/100*Construction!AR11/Inputs!$F$247*(1/(1-Inputs!$F$93/100))+Inputs!$F$78*(Inputs!$F$95/100*Inputs!$F$96/100)*Construction!AR11/Inputs!$F$248</f>
        <v/>
      </c>
      <c r="AS19" s="16">
        <f>Inputs!$F$75*(Construction!AS17+Inputs!$F$79)/100*Construction!AS11/Inputs!$F$247*1+Inputs!$F$76*(Construction!AS17+Inputs!$F$80)/100*Construction!AS11/Inputs!$F$247*1+Inputs!$F$77*(Construction!AS17+Inputs!$F$81)/100*Construction!AS11/Inputs!$F$247*1+Inputs!$F$78*(Construction!AS17+Inputs!$F$82)/100*Construction!AS11/Inputs!$F$247*(1/(1-Inputs!$F$93/100))+Inputs!$F$78*(Inputs!$F$95/100*Inputs!$F$96/100)*Construction!AS11/Inputs!$F$248</f>
        <v/>
      </c>
      <c r="AT19" s="16">
        <f>Inputs!$F$75*(Construction!AT17+Inputs!$F$79)/100*Construction!AT11/Inputs!$F$247*1+Inputs!$F$76*(Construction!AT17+Inputs!$F$80)/100*Construction!AT11/Inputs!$F$247*1+Inputs!$F$77*(Construction!AT17+Inputs!$F$81)/100*Construction!AT11/Inputs!$F$247*1+Inputs!$F$78*(Construction!AT17+Inputs!$F$82)/100*Construction!AT11/Inputs!$F$247*(1/(1-Inputs!$F$93/100))+Inputs!$F$78*(Inputs!$F$95/100*Inputs!$F$96/100)*Construction!AT11/Inputs!$F$248</f>
        <v/>
      </c>
      <c r="AU19" s="16">
        <f>Inputs!$F$75*(Construction!AU17+Inputs!$F$79)/100*Construction!AU11/Inputs!$F$247*1+Inputs!$F$76*(Construction!AU17+Inputs!$F$80)/100*Construction!AU11/Inputs!$F$247*1+Inputs!$F$77*(Construction!AU17+Inputs!$F$81)/100*Construction!AU11/Inputs!$F$247*1+Inputs!$F$78*(Construction!AU17+Inputs!$F$82)/100*Construction!AU11/Inputs!$F$247*(1/(1-Inputs!$F$93/100))+Inputs!$F$78*(Inputs!$F$95/100*Inputs!$F$96/100)*Construction!AU11/Inputs!$F$248</f>
        <v/>
      </c>
      <c r="AV19" s="16">
        <f>Inputs!$F$75*(Construction!AV17+Inputs!$F$79)/100*Construction!AV11/Inputs!$F$247*1+Inputs!$F$76*(Construction!AV17+Inputs!$F$80)/100*Construction!AV11/Inputs!$F$247*1+Inputs!$F$77*(Construction!AV17+Inputs!$F$81)/100*Construction!AV11/Inputs!$F$247*1+Inputs!$F$78*(Construction!AV17+Inputs!$F$82)/100*Construction!AV11/Inputs!$F$247*(1/(1-Inputs!$F$93/100))+Inputs!$F$78*(Inputs!$F$95/100*Inputs!$F$96/100)*Construction!AV11/Inputs!$F$248</f>
        <v/>
      </c>
      <c r="AW19" s="16">
        <f>Inputs!$F$75*(Construction!AW17+Inputs!$F$79)/100*Construction!AW11/Inputs!$F$247*1+Inputs!$F$76*(Construction!AW17+Inputs!$F$80)/100*Construction!AW11/Inputs!$F$247*1+Inputs!$F$77*(Construction!AW17+Inputs!$F$81)/100*Construction!AW11/Inputs!$F$247*1+Inputs!$F$78*(Construction!AW17+Inputs!$F$82)/100*Construction!AW11/Inputs!$F$247*(1/(1-Inputs!$F$93/100))+Inputs!$F$78*(Inputs!$F$95/100*Inputs!$F$96/100)*Construction!AW11/Inputs!$F$248</f>
        <v/>
      </c>
      <c r="AX19" s="16">
        <f>Inputs!$F$75*(Construction!AX17+Inputs!$F$79)/100*Construction!AX11/Inputs!$F$247*1+Inputs!$F$76*(Construction!AX17+Inputs!$F$80)/100*Construction!AX11/Inputs!$F$247*1+Inputs!$F$77*(Construction!AX17+Inputs!$F$81)/100*Construction!AX11/Inputs!$F$247*1+Inputs!$F$78*(Construction!AX17+Inputs!$F$82)/100*Construction!AX11/Inputs!$F$247*(1/(1-Inputs!$F$93/100))+Inputs!$F$78*(Inputs!$F$95/100*Inputs!$F$96/100)*Construction!AX11/Inputs!$F$248</f>
        <v/>
      </c>
      <c r="AY19" s="16">
        <f>Inputs!$F$75*(Construction!AY17+Inputs!$F$79)/100*Construction!AY11/Inputs!$F$247*1+Inputs!$F$76*(Construction!AY17+Inputs!$F$80)/100*Construction!AY11/Inputs!$F$247*1+Inputs!$F$77*(Construction!AY17+Inputs!$F$81)/100*Construction!AY11/Inputs!$F$247*1+Inputs!$F$78*(Construction!AY17+Inputs!$F$82)/100*Construction!AY11/Inputs!$F$247*(1/(1-Inputs!$F$93/100))+Inputs!$F$78*(Inputs!$F$95/100*Inputs!$F$96/100)*Construction!AY11/Inputs!$F$248</f>
        <v/>
      </c>
      <c r="AZ19" s="16">
        <f>Inputs!$F$75*(Construction!AZ17+Inputs!$F$79)/100*Construction!AZ11/Inputs!$F$247*1+Inputs!$F$76*(Construction!AZ17+Inputs!$F$80)/100*Construction!AZ11/Inputs!$F$247*1+Inputs!$F$77*(Construction!AZ17+Inputs!$F$81)/100*Construction!AZ11/Inputs!$F$247*1+Inputs!$F$78*(Construction!AZ17+Inputs!$F$82)/100*Construction!AZ11/Inputs!$F$247*(1/(1-Inputs!$F$93/100))+Inputs!$F$78*(Inputs!$F$95/100*Inputs!$F$96/100)*Construction!AZ11/Inputs!$F$248</f>
        <v/>
      </c>
      <c r="BA19" s="16">
        <f>Inputs!$F$75*(Construction!BA17+Inputs!$F$79)/100*Construction!BA11/Inputs!$F$247*1+Inputs!$F$76*(Construction!BA17+Inputs!$F$80)/100*Construction!BA11/Inputs!$F$247*1+Inputs!$F$77*(Construction!BA17+Inputs!$F$81)/100*Construction!BA11/Inputs!$F$247*1+Inputs!$F$78*(Construction!BA17+Inputs!$F$82)/100*Construction!BA11/Inputs!$F$247*(1/(1-Inputs!$F$93/100))+Inputs!$F$78*(Inputs!$F$95/100*Inputs!$F$96/100)*Construction!BA11/Inputs!$F$248</f>
        <v/>
      </c>
      <c r="BB19" s="16">
        <f>Inputs!$F$75*(Construction!BB17+Inputs!$F$79)/100*Construction!BB11/Inputs!$F$247*1+Inputs!$F$76*(Construction!BB17+Inputs!$F$80)/100*Construction!BB11/Inputs!$F$247*1+Inputs!$F$77*(Construction!BB17+Inputs!$F$81)/100*Construction!BB11/Inputs!$F$247*1+Inputs!$F$78*(Construction!BB17+Inputs!$F$82)/100*Construction!BB11/Inputs!$F$247*(1/(1-Inputs!$F$93/100))+Inputs!$F$78*(Inputs!$F$95/100*Inputs!$F$96/100)*Construction!BB11/Inputs!$F$248</f>
        <v/>
      </c>
      <c r="BC19" s="16">
        <f>Inputs!$F$75*(Construction!BC17+Inputs!$F$79)/100*Construction!BC11/Inputs!$F$247*1+Inputs!$F$76*(Construction!BC17+Inputs!$F$80)/100*Construction!BC11/Inputs!$F$247*1+Inputs!$F$77*(Construction!BC17+Inputs!$F$81)/100*Construction!BC11/Inputs!$F$247*1+Inputs!$F$78*(Construction!BC17+Inputs!$F$82)/100*Construction!BC11/Inputs!$F$247*(1/(1-Inputs!$F$93/100))+Inputs!$F$78*(Inputs!$F$95/100*Inputs!$F$96/100)*Construction!BC11/Inputs!$F$248</f>
        <v/>
      </c>
      <c r="BD19" s="16">
        <f>Inputs!$F$75*(Construction!BD17+Inputs!$F$79)/100*Construction!BD11/Inputs!$F$247*1+Inputs!$F$76*(Construction!BD17+Inputs!$F$80)/100*Construction!BD11/Inputs!$F$247*1+Inputs!$F$77*(Construction!BD17+Inputs!$F$81)/100*Construction!BD11/Inputs!$F$247*1+Inputs!$F$78*(Construction!BD17+Inputs!$F$82)/100*Construction!BD11/Inputs!$F$247*(1/(1-Inputs!$F$93/100))+Inputs!$F$78*(Inputs!$F$95/100*Inputs!$F$96/100)*Construction!BD11/Inputs!$F$248</f>
        <v/>
      </c>
      <c r="BE19" s="16">
        <f>Inputs!$F$75*(Construction!BE17+Inputs!$F$79)/100*Construction!BE11/Inputs!$F$247*1+Inputs!$F$76*(Construction!BE17+Inputs!$F$80)/100*Construction!BE11/Inputs!$F$247*1+Inputs!$F$77*(Construction!BE17+Inputs!$F$81)/100*Construction!BE11/Inputs!$F$247*1+Inputs!$F$78*(Construction!BE17+Inputs!$F$82)/100*Construction!BE11/Inputs!$F$247*(1/(1-Inputs!$F$93/100))+Inputs!$F$78*(Inputs!$F$95/100*Inputs!$F$96/100)*Construction!BE11/Inputs!$F$248</f>
        <v/>
      </c>
      <c r="BF19" s="16">
        <f>Inputs!$F$75*(Construction!BF17+Inputs!$F$79)/100*Construction!BF11/Inputs!$F$247*1+Inputs!$F$76*(Construction!BF17+Inputs!$F$80)/100*Construction!BF11/Inputs!$F$247*1+Inputs!$F$77*(Construction!BF17+Inputs!$F$81)/100*Construction!BF11/Inputs!$F$247*1+Inputs!$F$78*(Construction!BF17+Inputs!$F$82)/100*Construction!BF11/Inputs!$F$247*(1/(1-Inputs!$F$93/100))+Inputs!$F$78*(Inputs!$F$95/100*Inputs!$F$96/100)*Construction!BF11/Inputs!$F$248</f>
        <v/>
      </c>
      <c r="BG19" s="16">
        <f>Inputs!$F$75*(Construction!BG17+Inputs!$F$79)/100*Construction!BG11/Inputs!$F$247*1+Inputs!$F$76*(Construction!BG17+Inputs!$F$80)/100*Construction!BG11/Inputs!$F$247*1+Inputs!$F$77*(Construction!BG17+Inputs!$F$81)/100*Construction!BG11/Inputs!$F$247*1+Inputs!$F$78*(Construction!BG17+Inputs!$F$82)/100*Construction!BG11/Inputs!$F$247*(1/(1-Inputs!$F$93/100))+Inputs!$F$78*(Inputs!$F$95/100*Inputs!$F$96/100)*Construction!BG11/Inputs!$F$248</f>
        <v/>
      </c>
      <c r="BH19" s="16">
        <f>Inputs!$F$75*(Construction!BH17+Inputs!$F$79)/100*Construction!BH11/Inputs!$F$247*1+Inputs!$F$76*(Construction!BH17+Inputs!$F$80)/100*Construction!BH11/Inputs!$F$247*1+Inputs!$F$77*(Construction!BH17+Inputs!$F$81)/100*Construction!BH11/Inputs!$F$247*1+Inputs!$F$78*(Construction!BH17+Inputs!$F$82)/100*Construction!BH11/Inputs!$F$247*(1/(1-Inputs!$F$93/100))+Inputs!$F$78*(Inputs!$F$95/100*Inputs!$F$96/100)*Construction!BH11/Inputs!$F$248</f>
        <v/>
      </c>
      <c r="BI19" s="16">
        <f>Inputs!$F$75*(Construction!BI17+Inputs!$F$79)/100*Construction!BI11/Inputs!$F$247*1+Inputs!$F$76*(Construction!BI17+Inputs!$F$80)/100*Construction!BI11/Inputs!$F$247*1+Inputs!$F$77*(Construction!BI17+Inputs!$F$81)/100*Construction!BI11/Inputs!$F$247*1+Inputs!$F$78*(Construction!BI17+Inputs!$F$82)/100*Construction!BI11/Inputs!$F$247*(1/(1-Inputs!$F$93/100))+Inputs!$F$78*(Inputs!$F$95/100*Inputs!$F$96/100)*Construction!BI11/Inputs!$F$248</f>
        <v/>
      </c>
      <c r="BJ19" s="16">
        <f>Inputs!$F$75*(Construction!BJ17+Inputs!$F$79)/100*Construction!BJ11/Inputs!$F$247*1+Inputs!$F$76*(Construction!BJ17+Inputs!$F$80)/100*Construction!BJ11/Inputs!$F$247*1+Inputs!$F$77*(Construction!BJ17+Inputs!$F$81)/100*Construction!BJ11/Inputs!$F$247*1+Inputs!$F$78*(Construction!BJ17+Inputs!$F$82)/100*Construction!BJ11/Inputs!$F$247*(1/(1-Inputs!$F$93/100))+Inputs!$F$78*(Inputs!$F$95/100*Inputs!$F$96/100)*Construction!BJ11/Inputs!$F$248</f>
        <v/>
      </c>
    </row>
    <row r="20">
      <c r="D20" t="inlineStr">
        <is>
          <t>Blended commitment fee per month (kappa)</t>
        </is>
      </c>
      <c r="E20" t="inlineStr">
        <is>
          <t>factor</t>
        </is>
      </c>
      <c r="J20" s="16">
        <f>Inputs!$F$75*Inputs!$F$85/100*Construction!J11/Inputs!$F$247+Inputs!$F$76*Inputs!$F$86/100*Construction!J11/Inputs!$F$247+Inputs!$F$77*Inputs!$F$87/100*Construction!J11/Inputs!$F$247+Inputs!$F$78*(Inputs!$F$88/100*Inputs!$F$82)/100*Construction!J11/Inputs!$F$247</f>
        <v/>
      </c>
      <c r="K20" s="16">
        <f>Inputs!$F$75*Inputs!$F$85/100*Construction!K11/Inputs!$F$247+Inputs!$F$76*Inputs!$F$86/100*Construction!K11/Inputs!$F$247+Inputs!$F$77*Inputs!$F$87/100*Construction!K11/Inputs!$F$247+Inputs!$F$78*(Inputs!$F$88/100*Inputs!$F$82)/100*Construction!K11/Inputs!$F$247</f>
        <v/>
      </c>
      <c r="L20" s="16">
        <f>Inputs!$F$75*Inputs!$F$85/100*Construction!L11/Inputs!$F$247+Inputs!$F$76*Inputs!$F$86/100*Construction!L11/Inputs!$F$247+Inputs!$F$77*Inputs!$F$87/100*Construction!L11/Inputs!$F$247+Inputs!$F$78*(Inputs!$F$88/100*Inputs!$F$82)/100*Construction!L11/Inputs!$F$247</f>
        <v/>
      </c>
      <c r="M20" s="16">
        <f>Inputs!$F$75*Inputs!$F$85/100*Construction!M11/Inputs!$F$247+Inputs!$F$76*Inputs!$F$86/100*Construction!M11/Inputs!$F$247+Inputs!$F$77*Inputs!$F$87/100*Construction!M11/Inputs!$F$247+Inputs!$F$78*(Inputs!$F$88/100*Inputs!$F$82)/100*Construction!M11/Inputs!$F$247</f>
        <v/>
      </c>
      <c r="N20" s="16">
        <f>Inputs!$F$75*Inputs!$F$85/100*Construction!N11/Inputs!$F$247+Inputs!$F$76*Inputs!$F$86/100*Construction!N11/Inputs!$F$247+Inputs!$F$77*Inputs!$F$87/100*Construction!N11/Inputs!$F$247+Inputs!$F$78*(Inputs!$F$88/100*Inputs!$F$82)/100*Construction!N11/Inputs!$F$247</f>
        <v/>
      </c>
      <c r="O20" s="16">
        <f>Inputs!$F$75*Inputs!$F$85/100*Construction!O11/Inputs!$F$247+Inputs!$F$76*Inputs!$F$86/100*Construction!O11/Inputs!$F$247+Inputs!$F$77*Inputs!$F$87/100*Construction!O11/Inputs!$F$247+Inputs!$F$78*(Inputs!$F$88/100*Inputs!$F$82)/100*Construction!O11/Inputs!$F$247</f>
        <v/>
      </c>
      <c r="P20" s="16">
        <f>Inputs!$F$75*Inputs!$F$85/100*Construction!P11/Inputs!$F$247+Inputs!$F$76*Inputs!$F$86/100*Construction!P11/Inputs!$F$247+Inputs!$F$77*Inputs!$F$87/100*Construction!P11/Inputs!$F$247+Inputs!$F$78*(Inputs!$F$88/100*Inputs!$F$82)/100*Construction!P11/Inputs!$F$247</f>
        <v/>
      </c>
      <c r="Q20" s="16">
        <f>Inputs!$F$75*Inputs!$F$85/100*Construction!Q11/Inputs!$F$247+Inputs!$F$76*Inputs!$F$86/100*Construction!Q11/Inputs!$F$247+Inputs!$F$77*Inputs!$F$87/100*Construction!Q11/Inputs!$F$247+Inputs!$F$78*(Inputs!$F$88/100*Inputs!$F$82)/100*Construction!Q11/Inputs!$F$247</f>
        <v/>
      </c>
      <c r="R20" s="16">
        <f>Inputs!$F$75*Inputs!$F$85/100*Construction!R11/Inputs!$F$247+Inputs!$F$76*Inputs!$F$86/100*Construction!R11/Inputs!$F$247+Inputs!$F$77*Inputs!$F$87/100*Construction!R11/Inputs!$F$247+Inputs!$F$78*(Inputs!$F$88/100*Inputs!$F$82)/100*Construction!R11/Inputs!$F$247</f>
        <v/>
      </c>
      <c r="S20" s="16">
        <f>Inputs!$F$75*Inputs!$F$85/100*Construction!S11/Inputs!$F$247+Inputs!$F$76*Inputs!$F$86/100*Construction!S11/Inputs!$F$247+Inputs!$F$77*Inputs!$F$87/100*Construction!S11/Inputs!$F$247+Inputs!$F$78*(Inputs!$F$88/100*Inputs!$F$82)/100*Construction!S11/Inputs!$F$247</f>
        <v/>
      </c>
      <c r="T20" s="16">
        <f>Inputs!$F$75*Inputs!$F$85/100*Construction!T11/Inputs!$F$247+Inputs!$F$76*Inputs!$F$86/100*Construction!T11/Inputs!$F$247+Inputs!$F$77*Inputs!$F$87/100*Construction!T11/Inputs!$F$247+Inputs!$F$78*(Inputs!$F$88/100*Inputs!$F$82)/100*Construction!T11/Inputs!$F$247</f>
        <v/>
      </c>
      <c r="U20" s="16">
        <f>Inputs!$F$75*Inputs!$F$85/100*Construction!U11/Inputs!$F$247+Inputs!$F$76*Inputs!$F$86/100*Construction!U11/Inputs!$F$247+Inputs!$F$77*Inputs!$F$87/100*Construction!U11/Inputs!$F$247+Inputs!$F$78*(Inputs!$F$88/100*Inputs!$F$82)/100*Construction!U11/Inputs!$F$247</f>
        <v/>
      </c>
      <c r="V20" s="16">
        <f>Inputs!$F$75*Inputs!$F$85/100*Construction!V11/Inputs!$F$247+Inputs!$F$76*Inputs!$F$86/100*Construction!V11/Inputs!$F$247+Inputs!$F$77*Inputs!$F$87/100*Construction!V11/Inputs!$F$247+Inputs!$F$78*(Inputs!$F$88/100*Inputs!$F$82)/100*Construction!V11/Inputs!$F$247</f>
        <v/>
      </c>
      <c r="W20" s="16">
        <f>Inputs!$F$75*Inputs!$F$85/100*Construction!W11/Inputs!$F$247+Inputs!$F$76*Inputs!$F$86/100*Construction!W11/Inputs!$F$247+Inputs!$F$77*Inputs!$F$87/100*Construction!W11/Inputs!$F$247+Inputs!$F$78*(Inputs!$F$88/100*Inputs!$F$82)/100*Construction!W11/Inputs!$F$247</f>
        <v/>
      </c>
      <c r="X20" s="16">
        <f>Inputs!$F$75*Inputs!$F$85/100*Construction!X11/Inputs!$F$247+Inputs!$F$76*Inputs!$F$86/100*Construction!X11/Inputs!$F$247+Inputs!$F$77*Inputs!$F$87/100*Construction!X11/Inputs!$F$247+Inputs!$F$78*(Inputs!$F$88/100*Inputs!$F$82)/100*Construction!X11/Inputs!$F$247</f>
        <v/>
      </c>
      <c r="Y20" s="16">
        <f>Inputs!$F$75*Inputs!$F$85/100*Construction!Y11/Inputs!$F$247+Inputs!$F$76*Inputs!$F$86/100*Construction!Y11/Inputs!$F$247+Inputs!$F$77*Inputs!$F$87/100*Construction!Y11/Inputs!$F$247+Inputs!$F$78*(Inputs!$F$88/100*Inputs!$F$82)/100*Construction!Y11/Inputs!$F$247</f>
        <v/>
      </c>
      <c r="Z20" s="16">
        <f>Inputs!$F$75*Inputs!$F$85/100*Construction!Z11/Inputs!$F$247+Inputs!$F$76*Inputs!$F$86/100*Construction!Z11/Inputs!$F$247+Inputs!$F$77*Inputs!$F$87/100*Construction!Z11/Inputs!$F$247+Inputs!$F$78*(Inputs!$F$88/100*Inputs!$F$82)/100*Construction!Z11/Inputs!$F$247</f>
        <v/>
      </c>
      <c r="AA20" s="16">
        <f>Inputs!$F$75*Inputs!$F$85/100*Construction!AA11/Inputs!$F$247+Inputs!$F$76*Inputs!$F$86/100*Construction!AA11/Inputs!$F$247+Inputs!$F$77*Inputs!$F$87/100*Construction!AA11/Inputs!$F$247+Inputs!$F$78*(Inputs!$F$88/100*Inputs!$F$82)/100*Construction!AA11/Inputs!$F$247</f>
        <v/>
      </c>
      <c r="AB20" s="16">
        <f>Inputs!$F$75*Inputs!$F$85/100*Construction!AB11/Inputs!$F$247+Inputs!$F$76*Inputs!$F$86/100*Construction!AB11/Inputs!$F$247+Inputs!$F$77*Inputs!$F$87/100*Construction!AB11/Inputs!$F$247+Inputs!$F$78*(Inputs!$F$88/100*Inputs!$F$82)/100*Construction!AB11/Inputs!$F$247</f>
        <v/>
      </c>
      <c r="AC20" s="16">
        <f>Inputs!$F$75*Inputs!$F$85/100*Construction!AC11/Inputs!$F$247+Inputs!$F$76*Inputs!$F$86/100*Construction!AC11/Inputs!$F$247+Inputs!$F$77*Inputs!$F$87/100*Construction!AC11/Inputs!$F$247+Inputs!$F$78*(Inputs!$F$88/100*Inputs!$F$82)/100*Construction!AC11/Inputs!$F$247</f>
        <v/>
      </c>
      <c r="AD20" s="16">
        <f>Inputs!$F$75*Inputs!$F$85/100*Construction!AD11/Inputs!$F$247+Inputs!$F$76*Inputs!$F$86/100*Construction!AD11/Inputs!$F$247+Inputs!$F$77*Inputs!$F$87/100*Construction!AD11/Inputs!$F$247+Inputs!$F$78*(Inputs!$F$88/100*Inputs!$F$82)/100*Construction!AD11/Inputs!$F$247</f>
        <v/>
      </c>
      <c r="AE20" s="16">
        <f>Inputs!$F$75*Inputs!$F$85/100*Construction!AE11/Inputs!$F$247+Inputs!$F$76*Inputs!$F$86/100*Construction!AE11/Inputs!$F$247+Inputs!$F$77*Inputs!$F$87/100*Construction!AE11/Inputs!$F$247+Inputs!$F$78*(Inputs!$F$88/100*Inputs!$F$82)/100*Construction!AE11/Inputs!$F$247</f>
        <v/>
      </c>
      <c r="AF20" s="16">
        <f>Inputs!$F$75*Inputs!$F$85/100*Construction!AF11/Inputs!$F$247+Inputs!$F$76*Inputs!$F$86/100*Construction!AF11/Inputs!$F$247+Inputs!$F$77*Inputs!$F$87/100*Construction!AF11/Inputs!$F$247+Inputs!$F$78*(Inputs!$F$88/100*Inputs!$F$82)/100*Construction!AF11/Inputs!$F$247</f>
        <v/>
      </c>
      <c r="AG20" s="16">
        <f>Inputs!$F$75*Inputs!$F$85/100*Construction!AG11/Inputs!$F$247+Inputs!$F$76*Inputs!$F$86/100*Construction!AG11/Inputs!$F$247+Inputs!$F$77*Inputs!$F$87/100*Construction!AG11/Inputs!$F$247+Inputs!$F$78*(Inputs!$F$88/100*Inputs!$F$82)/100*Construction!AG11/Inputs!$F$247</f>
        <v/>
      </c>
      <c r="AH20" s="16">
        <f>Inputs!$F$75*Inputs!$F$85/100*Construction!AH11/Inputs!$F$247+Inputs!$F$76*Inputs!$F$86/100*Construction!AH11/Inputs!$F$247+Inputs!$F$77*Inputs!$F$87/100*Construction!AH11/Inputs!$F$247+Inputs!$F$78*(Inputs!$F$88/100*Inputs!$F$82)/100*Construction!AH11/Inputs!$F$247</f>
        <v/>
      </c>
      <c r="AI20" s="16">
        <f>Inputs!$F$75*Inputs!$F$85/100*Construction!AI11/Inputs!$F$247+Inputs!$F$76*Inputs!$F$86/100*Construction!AI11/Inputs!$F$247+Inputs!$F$77*Inputs!$F$87/100*Construction!AI11/Inputs!$F$247+Inputs!$F$78*(Inputs!$F$88/100*Inputs!$F$82)/100*Construction!AI11/Inputs!$F$247</f>
        <v/>
      </c>
      <c r="AJ20" s="16">
        <f>Inputs!$F$75*Inputs!$F$85/100*Construction!AJ11/Inputs!$F$247+Inputs!$F$76*Inputs!$F$86/100*Construction!AJ11/Inputs!$F$247+Inputs!$F$77*Inputs!$F$87/100*Construction!AJ11/Inputs!$F$247+Inputs!$F$78*(Inputs!$F$88/100*Inputs!$F$82)/100*Construction!AJ11/Inputs!$F$247</f>
        <v/>
      </c>
      <c r="AK20" s="16">
        <f>Inputs!$F$75*Inputs!$F$85/100*Construction!AK11/Inputs!$F$247+Inputs!$F$76*Inputs!$F$86/100*Construction!AK11/Inputs!$F$247+Inputs!$F$77*Inputs!$F$87/100*Construction!AK11/Inputs!$F$247+Inputs!$F$78*(Inputs!$F$88/100*Inputs!$F$82)/100*Construction!AK11/Inputs!$F$247</f>
        <v/>
      </c>
      <c r="AL20" s="16">
        <f>Inputs!$F$75*Inputs!$F$85/100*Construction!AL11/Inputs!$F$247+Inputs!$F$76*Inputs!$F$86/100*Construction!AL11/Inputs!$F$247+Inputs!$F$77*Inputs!$F$87/100*Construction!AL11/Inputs!$F$247+Inputs!$F$78*(Inputs!$F$88/100*Inputs!$F$82)/100*Construction!AL11/Inputs!$F$247</f>
        <v/>
      </c>
      <c r="AM20" s="16">
        <f>Inputs!$F$75*Inputs!$F$85/100*Construction!AM11/Inputs!$F$247+Inputs!$F$76*Inputs!$F$86/100*Construction!AM11/Inputs!$F$247+Inputs!$F$77*Inputs!$F$87/100*Construction!AM11/Inputs!$F$247+Inputs!$F$78*(Inputs!$F$88/100*Inputs!$F$82)/100*Construction!AM11/Inputs!$F$247</f>
        <v/>
      </c>
      <c r="AN20" s="16">
        <f>Inputs!$F$75*Inputs!$F$85/100*Construction!AN11/Inputs!$F$247+Inputs!$F$76*Inputs!$F$86/100*Construction!AN11/Inputs!$F$247+Inputs!$F$77*Inputs!$F$87/100*Construction!AN11/Inputs!$F$247+Inputs!$F$78*(Inputs!$F$88/100*Inputs!$F$82)/100*Construction!AN11/Inputs!$F$247</f>
        <v/>
      </c>
      <c r="AO20" s="16">
        <f>Inputs!$F$75*Inputs!$F$85/100*Construction!AO11/Inputs!$F$247+Inputs!$F$76*Inputs!$F$86/100*Construction!AO11/Inputs!$F$247+Inputs!$F$77*Inputs!$F$87/100*Construction!AO11/Inputs!$F$247+Inputs!$F$78*(Inputs!$F$88/100*Inputs!$F$82)/100*Construction!AO11/Inputs!$F$247</f>
        <v/>
      </c>
      <c r="AP20" s="16">
        <f>Inputs!$F$75*Inputs!$F$85/100*Construction!AP11/Inputs!$F$247+Inputs!$F$76*Inputs!$F$86/100*Construction!AP11/Inputs!$F$247+Inputs!$F$77*Inputs!$F$87/100*Construction!AP11/Inputs!$F$247+Inputs!$F$78*(Inputs!$F$88/100*Inputs!$F$82)/100*Construction!AP11/Inputs!$F$247</f>
        <v/>
      </c>
      <c r="AQ20" s="16">
        <f>Inputs!$F$75*Inputs!$F$85/100*Construction!AQ11/Inputs!$F$247+Inputs!$F$76*Inputs!$F$86/100*Construction!AQ11/Inputs!$F$247+Inputs!$F$77*Inputs!$F$87/100*Construction!AQ11/Inputs!$F$247+Inputs!$F$78*(Inputs!$F$88/100*Inputs!$F$82)/100*Construction!AQ11/Inputs!$F$247</f>
        <v/>
      </c>
      <c r="AR20" s="16">
        <f>Inputs!$F$75*Inputs!$F$85/100*Construction!AR11/Inputs!$F$247+Inputs!$F$76*Inputs!$F$86/100*Construction!AR11/Inputs!$F$247+Inputs!$F$77*Inputs!$F$87/100*Construction!AR11/Inputs!$F$247+Inputs!$F$78*(Inputs!$F$88/100*Inputs!$F$82)/100*Construction!AR11/Inputs!$F$247</f>
        <v/>
      </c>
      <c r="AS20" s="16">
        <f>Inputs!$F$75*Inputs!$F$85/100*Construction!AS11/Inputs!$F$247+Inputs!$F$76*Inputs!$F$86/100*Construction!AS11/Inputs!$F$247+Inputs!$F$77*Inputs!$F$87/100*Construction!AS11/Inputs!$F$247+Inputs!$F$78*(Inputs!$F$88/100*Inputs!$F$82)/100*Construction!AS11/Inputs!$F$247</f>
        <v/>
      </c>
      <c r="AT20" s="16">
        <f>Inputs!$F$75*Inputs!$F$85/100*Construction!AT11/Inputs!$F$247+Inputs!$F$76*Inputs!$F$86/100*Construction!AT11/Inputs!$F$247+Inputs!$F$77*Inputs!$F$87/100*Construction!AT11/Inputs!$F$247+Inputs!$F$78*(Inputs!$F$88/100*Inputs!$F$82)/100*Construction!AT11/Inputs!$F$247</f>
        <v/>
      </c>
      <c r="AU20" s="16">
        <f>Inputs!$F$75*Inputs!$F$85/100*Construction!AU11/Inputs!$F$247+Inputs!$F$76*Inputs!$F$86/100*Construction!AU11/Inputs!$F$247+Inputs!$F$77*Inputs!$F$87/100*Construction!AU11/Inputs!$F$247+Inputs!$F$78*(Inputs!$F$88/100*Inputs!$F$82)/100*Construction!AU11/Inputs!$F$247</f>
        <v/>
      </c>
      <c r="AV20" s="16">
        <f>Inputs!$F$75*Inputs!$F$85/100*Construction!AV11/Inputs!$F$247+Inputs!$F$76*Inputs!$F$86/100*Construction!AV11/Inputs!$F$247+Inputs!$F$77*Inputs!$F$87/100*Construction!AV11/Inputs!$F$247+Inputs!$F$78*(Inputs!$F$88/100*Inputs!$F$82)/100*Construction!AV11/Inputs!$F$247</f>
        <v/>
      </c>
      <c r="AW20" s="16">
        <f>Inputs!$F$75*Inputs!$F$85/100*Construction!AW11/Inputs!$F$247+Inputs!$F$76*Inputs!$F$86/100*Construction!AW11/Inputs!$F$247+Inputs!$F$77*Inputs!$F$87/100*Construction!AW11/Inputs!$F$247+Inputs!$F$78*(Inputs!$F$88/100*Inputs!$F$82)/100*Construction!AW11/Inputs!$F$247</f>
        <v/>
      </c>
      <c r="AX20" s="16">
        <f>Inputs!$F$75*Inputs!$F$85/100*Construction!AX11/Inputs!$F$247+Inputs!$F$76*Inputs!$F$86/100*Construction!AX11/Inputs!$F$247+Inputs!$F$77*Inputs!$F$87/100*Construction!AX11/Inputs!$F$247+Inputs!$F$78*(Inputs!$F$88/100*Inputs!$F$82)/100*Construction!AX11/Inputs!$F$247</f>
        <v/>
      </c>
      <c r="AY20" s="16">
        <f>Inputs!$F$75*Inputs!$F$85/100*Construction!AY11/Inputs!$F$247+Inputs!$F$76*Inputs!$F$86/100*Construction!AY11/Inputs!$F$247+Inputs!$F$77*Inputs!$F$87/100*Construction!AY11/Inputs!$F$247+Inputs!$F$78*(Inputs!$F$88/100*Inputs!$F$82)/100*Construction!AY11/Inputs!$F$247</f>
        <v/>
      </c>
      <c r="AZ20" s="16">
        <f>Inputs!$F$75*Inputs!$F$85/100*Construction!AZ11/Inputs!$F$247+Inputs!$F$76*Inputs!$F$86/100*Construction!AZ11/Inputs!$F$247+Inputs!$F$77*Inputs!$F$87/100*Construction!AZ11/Inputs!$F$247+Inputs!$F$78*(Inputs!$F$88/100*Inputs!$F$82)/100*Construction!AZ11/Inputs!$F$247</f>
        <v/>
      </c>
      <c r="BA20" s="16">
        <f>Inputs!$F$75*Inputs!$F$85/100*Construction!BA11/Inputs!$F$247+Inputs!$F$76*Inputs!$F$86/100*Construction!BA11/Inputs!$F$247+Inputs!$F$77*Inputs!$F$87/100*Construction!BA11/Inputs!$F$247+Inputs!$F$78*(Inputs!$F$88/100*Inputs!$F$82)/100*Construction!BA11/Inputs!$F$247</f>
        <v/>
      </c>
      <c r="BB20" s="16">
        <f>Inputs!$F$75*Inputs!$F$85/100*Construction!BB11/Inputs!$F$247+Inputs!$F$76*Inputs!$F$86/100*Construction!BB11/Inputs!$F$247+Inputs!$F$77*Inputs!$F$87/100*Construction!BB11/Inputs!$F$247+Inputs!$F$78*(Inputs!$F$88/100*Inputs!$F$82)/100*Construction!BB11/Inputs!$F$247</f>
        <v/>
      </c>
      <c r="BC20" s="16">
        <f>Inputs!$F$75*Inputs!$F$85/100*Construction!BC11/Inputs!$F$247+Inputs!$F$76*Inputs!$F$86/100*Construction!BC11/Inputs!$F$247+Inputs!$F$77*Inputs!$F$87/100*Construction!BC11/Inputs!$F$247+Inputs!$F$78*(Inputs!$F$88/100*Inputs!$F$82)/100*Construction!BC11/Inputs!$F$247</f>
        <v/>
      </c>
      <c r="BD20" s="16">
        <f>Inputs!$F$75*Inputs!$F$85/100*Construction!BD11/Inputs!$F$247+Inputs!$F$76*Inputs!$F$86/100*Construction!BD11/Inputs!$F$247+Inputs!$F$77*Inputs!$F$87/100*Construction!BD11/Inputs!$F$247+Inputs!$F$78*(Inputs!$F$88/100*Inputs!$F$82)/100*Construction!BD11/Inputs!$F$247</f>
        <v/>
      </c>
      <c r="BE20" s="16">
        <f>Inputs!$F$75*Inputs!$F$85/100*Construction!BE11/Inputs!$F$247+Inputs!$F$76*Inputs!$F$86/100*Construction!BE11/Inputs!$F$247+Inputs!$F$77*Inputs!$F$87/100*Construction!BE11/Inputs!$F$247+Inputs!$F$78*(Inputs!$F$88/100*Inputs!$F$82)/100*Construction!BE11/Inputs!$F$247</f>
        <v/>
      </c>
      <c r="BF20" s="16">
        <f>Inputs!$F$75*Inputs!$F$85/100*Construction!BF11/Inputs!$F$247+Inputs!$F$76*Inputs!$F$86/100*Construction!BF11/Inputs!$F$247+Inputs!$F$77*Inputs!$F$87/100*Construction!BF11/Inputs!$F$247+Inputs!$F$78*(Inputs!$F$88/100*Inputs!$F$82)/100*Construction!BF11/Inputs!$F$247</f>
        <v/>
      </c>
      <c r="BG20" s="16">
        <f>Inputs!$F$75*Inputs!$F$85/100*Construction!BG11/Inputs!$F$247+Inputs!$F$76*Inputs!$F$86/100*Construction!BG11/Inputs!$F$247+Inputs!$F$77*Inputs!$F$87/100*Construction!BG11/Inputs!$F$247+Inputs!$F$78*(Inputs!$F$88/100*Inputs!$F$82)/100*Construction!BG11/Inputs!$F$247</f>
        <v/>
      </c>
      <c r="BH20" s="16">
        <f>Inputs!$F$75*Inputs!$F$85/100*Construction!BH11/Inputs!$F$247+Inputs!$F$76*Inputs!$F$86/100*Construction!BH11/Inputs!$F$247+Inputs!$F$77*Inputs!$F$87/100*Construction!BH11/Inputs!$F$247+Inputs!$F$78*(Inputs!$F$88/100*Inputs!$F$82)/100*Construction!BH11/Inputs!$F$247</f>
        <v/>
      </c>
      <c r="BI20" s="16">
        <f>Inputs!$F$75*Inputs!$F$85/100*Construction!BI11/Inputs!$F$247+Inputs!$F$76*Inputs!$F$86/100*Construction!BI11/Inputs!$F$247+Inputs!$F$77*Inputs!$F$87/100*Construction!BI11/Inputs!$F$247+Inputs!$F$78*(Inputs!$F$88/100*Inputs!$F$82)/100*Construction!BI11/Inputs!$F$247</f>
        <v/>
      </c>
      <c r="BJ20" s="16">
        <f>Inputs!$F$75*Inputs!$F$85/100*Construction!BJ11/Inputs!$F$247+Inputs!$F$76*Inputs!$F$86/100*Construction!BJ11/Inputs!$F$247+Inputs!$F$77*Inputs!$F$87/100*Construction!BJ11/Inputs!$F$247+Inputs!$F$78*(Inputs!$F$88/100*Inputs!$F$82)/100*Construction!BJ11/Inputs!$F$247</f>
        <v/>
      </c>
    </row>
    <row r="21">
      <c r="D21" t="inlineStr">
        <is>
          <t>Costs independent of facility size</t>
        </is>
      </c>
      <c r="E21" t="inlineStr">
        <is>
          <t>USD m</t>
        </is>
      </c>
      <c r="J21" s="13">
        <f>Construction!J14*(Construction!J32+Construction!J38+Inputs!$F$107/12+Inputs!J309*(Inputs!$F$97/100/12-Construction!J17/100*Construction!J11/Inputs!$F$247)+Inputs!$F$99*Inputs!$F$100/100*Construction!J11/Inputs!$F$247+Construction!J15*$F$17)</f>
        <v/>
      </c>
      <c r="K21" s="13">
        <f>Construction!K14*(Construction!K32+Construction!K38+Inputs!$F$107/12+Inputs!K309*(Inputs!$F$97/100/12-Construction!K17/100*Construction!K11/Inputs!$F$247)+Inputs!$F$99*Inputs!$F$100/100*Construction!K11/Inputs!$F$247+Construction!K15*$F$17)</f>
        <v/>
      </c>
      <c r="L21" s="13">
        <f>Construction!L14*(Construction!L32+Construction!L38+Inputs!$F$107/12+Inputs!L309*(Inputs!$F$97/100/12-Construction!L17/100*Construction!L11/Inputs!$F$247)+Inputs!$F$99*Inputs!$F$100/100*Construction!L11/Inputs!$F$247+Construction!L15*$F$17)</f>
        <v/>
      </c>
      <c r="M21" s="13">
        <f>Construction!M14*(Construction!M32+Construction!M38+Inputs!$F$107/12+Inputs!M309*(Inputs!$F$97/100/12-Construction!M17/100*Construction!M11/Inputs!$F$247)+Inputs!$F$99*Inputs!$F$100/100*Construction!M11/Inputs!$F$247+Construction!M15*$F$17)</f>
        <v/>
      </c>
      <c r="N21" s="13">
        <f>Construction!N14*(Construction!N32+Construction!N38+Inputs!$F$107/12+Inputs!N309*(Inputs!$F$97/100/12-Construction!N17/100*Construction!N11/Inputs!$F$247)+Inputs!$F$99*Inputs!$F$100/100*Construction!N11/Inputs!$F$247+Construction!N15*$F$17)</f>
        <v/>
      </c>
      <c r="O21" s="13">
        <f>Construction!O14*(Construction!O32+Construction!O38+Inputs!$F$107/12+Inputs!O309*(Inputs!$F$97/100/12-Construction!O17/100*Construction!O11/Inputs!$F$247)+Inputs!$F$99*Inputs!$F$100/100*Construction!O11/Inputs!$F$247+Construction!O15*$F$17)</f>
        <v/>
      </c>
      <c r="P21" s="13">
        <f>Construction!P14*(Construction!P32+Construction!P38+Inputs!$F$107/12+Inputs!P309*(Inputs!$F$97/100/12-Construction!P17/100*Construction!P11/Inputs!$F$247)+Inputs!$F$99*Inputs!$F$100/100*Construction!P11/Inputs!$F$247+Construction!P15*$F$17)</f>
        <v/>
      </c>
      <c r="Q21" s="13">
        <f>Construction!Q14*(Construction!Q32+Construction!Q38+Inputs!$F$107/12+Inputs!Q309*(Inputs!$F$97/100/12-Construction!Q17/100*Construction!Q11/Inputs!$F$247)+Inputs!$F$99*Inputs!$F$100/100*Construction!Q11/Inputs!$F$247+Construction!Q15*$F$17)</f>
        <v/>
      </c>
      <c r="R21" s="13">
        <f>Construction!R14*(Construction!R32+Construction!R38+Inputs!$F$107/12+Inputs!R309*(Inputs!$F$97/100/12-Construction!R17/100*Construction!R11/Inputs!$F$247)+Inputs!$F$99*Inputs!$F$100/100*Construction!R11/Inputs!$F$247+Construction!R15*$F$17)</f>
        <v/>
      </c>
      <c r="S21" s="13">
        <f>Construction!S14*(Construction!S32+Construction!S38+Inputs!$F$107/12+Inputs!S309*(Inputs!$F$97/100/12-Construction!S17/100*Construction!S11/Inputs!$F$247)+Inputs!$F$99*Inputs!$F$100/100*Construction!S11/Inputs!$F$247+Construction!S15*$F$17)</f>
        <v/>
      </c>
      <c r="T21" s="13">
        <f>Construction!T14*(Construction!T32+Construction!T38+Inputs!$F$107/12+Inputs!T309*(Inputs!$F$97/100/12-Construction!T17/100*Construction!T11/Inputs!$F$247)+Inputs!$F$99*Inputs!$F$100/100*Construction!T11/Inputs!$F$247+Construction!T15*$F$17)</f>
        <v/>
      </c>
      <c r="U21" s="13">
        <f>Construction!U14*(Construction!U32+Construction!U38+Inputs!$F$107/12+Inputs!U309*(Inputs!$F$97/100/12-Construction!U17/100*Construction!U11/Inputs!$F$247)+Inputs!$F$99*Inputs!$F$100/100*Construction!U11/Inputs!$F$247+Construction!U15*$F$17)</f>
        <v/>
      </c>
      <c r="V21" s="13">
        <f>Construction!V14*(Construction!V32+Construction!V38+Inputs!$F$107/12+Inputs!V309*(Inputs!$F$97/100/12-Construction!V17/100*Construction!V11/Inputs!$F$247)+Inputs!$F$99*Inputs!$F$100/100*Construction!V11/Inputs!$F$247+Construction!V15*$F$17)</f>
        <v/>
      </c>
      <c r="W21" s="13">
        <f>Construction!W14*(Construction!W32+Construction!W38+Inputs!$F$107/12+Inputs!W309*(Inputs!$F$97/100/12-Construction!W17/100*Construction!W11/Inputs!$F$247)+Inputs!$F$99*Inputs!$F$100/100*Construction!W11/Inputs!$F$247+Construction!W15*$F$17)</f>
        <v/>
      </c>
      <c r="X21" s="13">
        <f>Construction!X14*(Construction!X32+Construction!X38+Inputs!$F$107/12+Inputs!X309*(Inputs!$F$97/100/12-Construction!X17/100*Construction!X11/Inputs!$F$247)+Inputs!$F$99*Inputs!$F$100/100*Construction!X11/Inputs!$F$247+Construction!X15*$F$17)</f>
        <v/>
      </c>
      <c r="Y21" s="13">
        <f>Construction!Y14*(Construction!Y32+Construction!Y38+Inputs!$F$107/12+Inputs!Y309*(Inputs!$F$97/100/12-Construction!Y17/100*Construction!Y11/Inputs!$F$247)+Inputs!$F$99*Inputs!$F$100/100*Construction!Y11/Inputs!$F$247+Construction!Y15*$F$17)</f>
        <v/>
      </c>
      <c r="Z21" s="13">
        <f>Construction!Z14*(Construction!Z32+Construction!Z38+Inputs!$F$107/12+Inputs!Z309*(Inputs!$F$97/100/12-Construction!Z17/100*Construction!Z11/Inputs!$F$247)+Inputs!$F$99*Inputs!$F$100/100*Construction!Z11/Inputs!$F$247+Construction!Z15*$F$17)</f>
        <v/>
      </c>
      <c r="AA21" s="13">
        <f>Construction!AA14*(Construction!AA32+Construction!AA38+Inputs!$F$107/12+Inputs!AA309*(Inputs!$F$97/100/12-Construction!AA17/100*Construction!AA11/Inputs!$F$247)+Inputs!$F$99*Inputs!$F$100/100*Construction!AA11/Inputs!$F$247+Construction!AA15*$F$17)</f>
        <v/>
      </c>
      <c r="AB21" s="13">
        <f>Construction!AB14*(Construction!AB32+Construction!AB38+Inputs!$F$107/12+Inputs!AB309*(Inputs!$F$97/100/12-Construction!AB17/100*Construction!AB11/Inputs!$F$247)+Inputs!$F$99*Inputs!$F$100/100*Construction!AB11/Inputs!$F$247+Construction!AB15*$F$17)</f>
        <v/>
      </c>
      <c r="AC21" s="13">
        <f>Construction!AC14*(Construction!AC32+Construction!AC38+Inputs!$F$107/12+Inputs!AC309*(Inputs!$F$97/100/12-Construction!AC17/100*Construction!AC11/Inputs!$F$247)+Inputs!$F$99*Inputs!$F$100/100*Construction!AC11/Inputs!$F$247+Construction!AC15*$F$17)</f>
        <v/>
      </c>
      <c r="AD21" s="13">
        <f>Construction!AD14*(Construction!AD32+Construction!AD38+Inputs!$F$107/12+Inputs!AD309*(Inputs!$F$97/100/12-Construction!AD17/100*Construction!AD11/Inputs!$F$247)+Inputs!$F$99*Inputs!$F$100/100*Construction!AD11/Inputs!$F$247+Construction!AD15*$F$17)</f>
        <v/>
      </c>
      <c r="AE21" s="13">
        <f>Construction!AE14*(Construction!AE32+Construction!AE38+Inputs!$F$107/12+Inputs!AE309*(Inputs!$F$97/100/12-Construction!AE17/100*Construction!AE11/Inputs!$F$247)+Inputs!$F$99*Inputs!$F$100/100*Construction!AE11/Inputs!$F$247+Construction!AE15*$F$17)</f>
        <v/>
      </c>
      <c r="AF21" s="13">
        <f>Construction!AF14*(Construction!AF32+Construction!AF38+Inputs!$F$107/12+Inputs!AF309*(Inputs!$F$97/100/12-Construction!AF17/100*Construction!AF11/Inputs!$F$247)+Inputs!$F$99*Inputs!$F$100/100*Construction!AF11/Inputs!$F$247+Construction!AF15*$F$17)</f>
        <v/>
      </c>
      <c r="AG21" s="13">
        <f>Construction!AG14*(Construction!AG32+Construction!AG38+Inputs!$F$107/12+Inputs!AG309*(Inputs!$F$97/100/12-Construction!AG17/100*Construction!AG11/Inputs!$F$247)+Inputs!$F$99*Inputs!$F$100/100*Construction!AG11/Inputs!$F$247+Construction!AG15*$F$17)</f>
        <v/>
      </c>
      <c r="AH21" s="13">
        <f>Construction!AH14*(Construction!AH32+Construction!AH38+Inputs!$F$107/12+Inputs!AH309*(Inputs!$F$97/100/12-Construction!AH17/100*Construction!AH11/Inputs!$F$247)+Inputs!$F$99*Inputs!$F$100/100*Construction!AH11/Inputs!$F$247+Construction!AH15*$F$17)</f>
        <v/>
      </c>
      <c r="AI21" s="13">
        <f>Construction!AI14*(Construction!AI32+Construction!AI38+Inputs!$F$107/12+Inputs!AI309*(Inputs!$F$97/100/12-Construction!AI17/100*Construction!AI11/Inputs!$F$247)+Inputs!$F$99*Inputs!$F$100/100*Construction!AI11/Inputs!$F$247+Construction!AI15*$F$17)</f>
        <v/>
      </c>
      <c r="AJ21" s="13">
        <f>Construction!AJ14*(Construction!AJ32+Construction!AJ38+Inputs!$F$107/12+Inputs!AJ309*(Inputs!$F$97/100/12-Construction!AJ17/100*Construction!AJ11/Inputs!$F$247)+Inputs!$F$99*Inputs!$F$100/100*Construction!AJ11/Inputs!$F$247+Construction!AJ15*$F$17)</f>
        <v/>
      </c>
      <c r="AK21" s="13">
        <f>Construction!AK14*(Construction!AK32+Construction!AK38+Inputs!$F$107/12+Inputs!AK309*(Inputs!$F$97/100/12-Construction!AK17/100*Construction!AK11/Inputs!$F$247)+Inputs!$F$99*Inputs!$F$100/100*Construction!AK11/Inputs!$F$247+Construction!AK15*$F$17)</f>
        <v/>
      </c>
      <c r="AL21" s="13">
        <f>Construction!AL14*(Construction!AL32+Construction!AL38+Inputs!$F$107/12+Inputs!AL309*(Inputs!$F$97/100/12-Construction!AL17/100*Construction!AL11/Inputs!$F$247)+Inputs!$F$99*Inputs!$F$100/100*Construction!AL11/Inputs!$F$247+Construction!AL15*$F$17)</f>
        <v/>
      </c>
      <c r="AM21" s="13">
        <f>Construction!AM14*(Construction!AM32+Construction!AM38+Inputs!$F$107/12+Inputs!AM309*(Inputs!$F$97/100/12-Construction!AM17/100*Construction!AM11/Inputs!$F$247)+Inputs!$F$99*Inputs!$F$100/100*Construction!AM11/Inputs!$F$247+Construction!AM15*$F$17)</f>
        <v/>
      </c>
      <c r="AN21" s="13">
        <f>Construction!AN14*(Construction!AN32+Construction!AN38+Inputs!$F$107/12+Inputs!AN309*(Inputs!$F$97/100/12-Construction!AN17/100*Construction!AN11/Inputs!$F$247)+Inputs!$F$99*Inputs!$F$100/100*Construction!AN11/Inputs!$F$247+Construction!AN15*$F$17)</f>
        <v/>
      </c>
      <c r="AO21" s="13">
        <f>Construction!AO14*(Construction!AO32+Construction!AO38+Inputs!$F$107/12+Inputs!AO309*(Inputs!$F$97/100/12-Construction!AO17/100*Construction!AO11/Inputs!$F$247)+Inputs!$F$99*Inputs!$F$100/100*Construction!AO11/Inputs!$F$247+Construction!AO15*$F$17)</f>
        <v/>
      </c>
      <c r="AP21" s="13">
        <f>Construction!AP14*(Construction!AP32+Construction!AP38+Inputs!$F$107/12+Inputs!AP309*(Inputs!$F$97/100/12-Construction!AP17/100*Construction!AP11/Inputs!$F$247)+Inputs!$F$99*Inputs!$F$100/100*Construction!AP11/Inputs!$F$247+Construction!AP15*$F$17)</f>
        <v/>
      </c>
      <c r="AQ21" s="13">
        <f>Construction!AQ14*(Construction!AQ32+Construction!AQ38+Inputs!$F$107/12+Inputs!AQ309*(Inputs!$F$97/100/12-Construction!AQ17/100*Construction!AQ11/Inputs!$F$247)+Inputs!$F$99*Inputs!$F$100/100*Construction!AQ11/Inputs!$F$247+Construction!AQ15*$F$17)</f>
        <v/>
      </c>
      <c r="AR21" s="13">
        <f>Construction!AR14*(Construction!AR32+Construction!AR38+Inputs!$F$107/12+Inputs!AR309*(Inputs!$F$97/100/12-Construction!AR17/100*Construction!AR11/Inputs!$F$247)+Inputs!$F$99*Inputs!$F$100/100*Construction!AR11/Inputs!$F$247+Construction!AR15*$F$17)</f>
        <v/>
      </c>
      <c r="AS21" s="13">
        <f>Construction!AS14*(Construction!AS32+Construction!AS38+Inputs!$F$107/12+Inputs!AS309*(Inputs!$F$97/100/12-Construction!AS17/100*Construction!AS11/Inputs!$F$247)+Inputs!$F$99*Inputs!$F$100/100*Construction!AS11/Inputs!$F$247+Construction!AS15*$F$17)</f>
        <v/>
      </c>
      <c r="AT21" s="13">
        <f>Construction!AT14*(Construction!AT32+Construction!AT38+Inputs!$F$107/12+Inputs!AT309*(Inputs!$F$97/100/12-Construction!AT17/100*Construction!AT11/Inputs!$F$247)+Inputs!$F$99*Inputs!$F$100/100*Construction!AT11/Inputs!$F$247+Construction!AT15*$F$17)</f>
        <v/>
      </c>
      <c r="AU21" s="13">
        <f>Construction!AU14*(Construction!AU32+Construction!AU38+Inputs!$F$107/12+Inputs!AU309*(Inputs!$F$97/100/12-Construction!AU17/100*Construction!AU11/Inputs!$F$247)+Inputs!$F$99*Inputs!$F$100/100*Construction!AU11/Inputs!$F$247+Construction!AU15*$F$17)</f>
        <v/>
      </c>
      <c r="AV21" s="13">
        <f>Construction!AV14*(Construction!AV32+Construction!AV38+Inputs!$F$107/12+Inputs!AV309*(Inputs!$F$97/100/12-Construction!AV17/100*Construction!AV11/Inputs!$F$247)+Inputs!$F$99*Inputs!$F$100/100*Construction!AV11/Inputs!$F$247+Construction!AV15*$F$17)</f>
        <v/>
      </c>
      <c r="AW21" s="13">
        <f>Construction!AW14*(Construction!AW32+Construction!AW38+Inputs!$F$107/12+Inputs!AW309*(Inputs!$F$97/100/12-Construction!AW17/100*Construction!AW11/Inputs!$F$247)+Inputs!$F$99*Inputs!$F$100/100*Construction!AW11/Inputs!$F$247+Construction!AW15*$F$17)</f>
        <v/>
      </c>
      <c r="AX21" s="13">
        <f>Construction!AX14*(Construction!AX32+Construction!AX38+Inputs!$F$107/12+Inputs!AX309*(Inputs!$F$97/100/12-Construction!AX17/100*Construction!AX11/Inputs!$F$247)+Inputs!$F$99*Inputs!$F$100/100*Construction!AX11/Inputs!$F$247+Construction!AX15*$F$17)</f>
        <v/>
      </c>
      <c r="AY21" s="13">
        <f>Construction!AY14*(Construction!AY32+Construction!AY38+Inputs!$F$107/12+Inputs!AY309*(Inputs!$F$97/100/12-Construction!AY17/100*Construction!AY11/Inputs!$F$247)+Inputs!$F$99*Inputs!$F$100/100*Construction!AY11/Inputs!$F$247+Construction!AY15*$F$17)</f>
        <v/>
      </c>
      <c r="AZ21" s="13">
        <f>Construction!AZ14*(Construction!AZ32+Construction!AZ38+Inputs!$F$107/12+Inputs!AZ309*(Inputs!$F$97/100/12-Construction!AZ17/100*Construction!AZ11/Inputs!$F$247)+Inputs!$F$99*Inputs!$F$100/100*Construction!AZ11/Inputs!$F$247+Construction!AZ15*$F$17)</f>
        <v/>
      </c>
      <c r="BA21" s="13">
        <f>Construction!BA14*(Construction!BA32+Construction!BA38+Inputs!$F$107/12+Inputs!BA309*(Inputs!$F$97/100/12-Construction!BA17/100*Construction!BA11/Inputs!$F$247)+Inputs!$F$99*Inputs!$F$100/100*Construction!BA11/Inputs!$F$247+Construction!BA15*$F$17)</f>
        <v/>
      </c>
      <c r="BB21" s="13">
        <f>Construction!BB14*(Construction!BB32+Construction!BB38+Inputs!$F$107/12+Inputs!BB309*(Inputs!$F$97/100/12-Construction!BB17/100*Construction!BB11/Inputs!$F$247)+Inputs!$F$99*Inputs!$F$100/100*Construction!BB11/Inputs!$F$247+Construction!BB15*$F$17)</f>
        <v/>
      </c>
      <c r="BC21" s="13">
        <f>Construction!BC14*(Construction!BC32+Construction!BC38+Inputs!$F$107/12+Inputs!BC309*(Inputs!$F$97/100/12-Construction!BC17/100*Construction!BC11/Inputs!$F$247)+Inputs!$F$99*Inputs!$F$100/100*Construction!BC11/Inputs!$F$247+Construction!BC15*$F$17)</f>
        <v/>
      </c>
      <c r="BD21" s="13">
        <f>Construction!BD14*(Construction!BD32+Construction!BD38+Inputs!$F$107/12+Inputs!BD309*(Inputs!$F$97/100/12-Construction!BD17/100*Construction!BD11/Inputs!$F$247)+Inputs!$F$99*Inputs!$F$100/100*Construction!BD11/Inputs!$F$247+Construction!BD15*$F$17)</f>
        <v/>
      </c>
      <c r="BE21" s="13">
        <f>Construction!BE14*(Construction!BE32+Construction!BE38+Inputs!$F$107/12+Inputs!BE309*(Inputs!$F$97/100/12-Construction!BE17/100*Construction!BE11/Inputs!$F$247)+Inputs!$F$99*Inputs!$F$100/100*Construction!BE11/Inputs!$F$247+Construction!BE15*$F$17)</f>
        <v/>
      </c>
      <c r="BF21" s="13">
        <f>Construction!BF14*(Construction!BF32+Construction!BF38+Inputs!$F$107/12+Inputs!BF309*(Inputs!$F$97/100/12-Construction!BF17/100*Construction!BF11/Inputs!$F$247)+Inputs!$F$99*Inputs!$F$100/100*Construction!BF11/Inputs!$F$247+Construction!BF15*$F$17)</f>
        <v/>
      </c>
      <c r="BG21" s="13">
        <f>Construction!BG14*(Construction!BG32+Construction!BG38+Inputs!$F$107/12+Inputs!BG309*(Inputs!$F$97/100/12-Construction!BG17/100*Construction!BG11/Inputs!$F$247)+Inputs!$F$99*Inputs!$F$100/100*Construction!BG11/Inputs!$F$247+Construction!BG15*$F$17)</f>
        <v/>
      </c>
      <c r="BH21" s="13">
        <f>Construction!BH14*(Construction!BH32+Construction!BH38+Inputs!$F$107/12+Inputs!BH309*(Inputs!$F$97/100/12-Construction!BH17/100*Construction!BH11/Inputs!$F$247)+Inputs!$F$99*Inputs!$F$100/100*Construction!BH11/Inputs!$F$247+Construction!BH15*$F$17)</f>
        <v/>
      </c>
      <c r="BI21" s="13">
        <f>Construction!BI14*(Construction!BI32+Construction!BI38+Inputs!$F$107/12+Inputs!BI309*(Inputs!$F$97/100/12-Construction!BI17/100*Construction!BI11/Inputs!$F$247)+Inputs!$F$99*Inputs!$F$100/100*Construction!BI11/Inputs!$F$247+Construction!BI15*$F$17)</f>
        <v/>
      </c>
      <c r="BJ21" s="13">
        <f>Construction!BJ14*(Construction!BJ32+Construction!BJ38+Inputs!$F$107/12+Inputs!BJ309*(Inputs!$F$97/100/12-Construction!BJ17/100*Construction!BJ11/Inputs!$F$247)+Inputs!$F$99*Inputs!$F$100/100*Construction!BJ11/Inputs!$F$247+Construction!BJ15*$F$17)</f>
        <v/>
      </c>
    </row>
    <row r="22">
      <c r="D22" t="inlineStr">
        <is>
          <t>Balance, constant part (alpha)</t>
        </is>
      </c>
      <c r="E22" t="inlineStr">
        <is>
          <t>USD m</t>
        </is>
      </c>
      <c r="J22" s="13">
        <f>I22+Construction!J14*$F$9/$F$10*(J21+(J19-J20)*I22)</f>
        <v/>
      </c>
      <c r="K22" s="13">
        <f>J22+Construction!K14*$F$9/$F$10*(K21+(K19-K20)*J22)</f>
        <v/>
      </c>
      <c r="L22" s="13">
        <f>K22+Construction!L14*$F$9/$F$10*(L21+(L19-L20)*K22)</f>
        <v/>
      </c>
      <c r="M22" s="13">
        <f>L22+Construction!M14*$F$9/$F$10*(M21+(M19-M20)*L22)</f>
        <v/>
      </c>
      <c r="N22" s="13">
        <f>M22+Construction!N14*$F$9/$F$10*(N21+(N19-N20)*M22)</f>
        <v/>
      </c>
      <c r="O22" s="13">
        <f>N22+Construction!O14*$F$9/$F$10*(O21+(O19-O20)*N22)</f>
        <v/>
      </c>
      <c r="P22" s="13">
        <f>O22+Construction!P14*$F$9/$F$10*(P21+(P19-P20)*O22)</f>
        <v/>
      </c>
      <c r="Q22" s="13">
        <f>P22+Construction!Q14*$F$9/$F$10*(Q21+(Q19-Q20)*P22)</f>
        <v/>
      </c>
      <c r="R22" s="13">
        <f>Q22+Construction!R14*$F$9/$F$10*(R21+(R19-R20)*Q22)</f>
        <v/>
      </c>
      <c r="S22" s="13">
        <f>R22+Construction!S14*$F$9/$F$10*(S21+(S19-S20)*R22)</f>
        <v/>
      </c>
      <c r="T22" s="13">
        <f>S22+Construction!T14*$F$9/$F$10*(T21+(T19-T20)*S22)</f>
        <v/>
      </c>
      <c r="U22" s="13">
        <f>T22+Construction!U14*$F$9/$F$10*(U21+(U19-U20)*T22)</f>
        <v/>
      </c>
      <c r="V22" s="13">
        <f>U22+Construction!V14*$F$9/$F$10*(V21+(V19-V20)*U22)</f>
        <v/>
      </c>
      <c r="W22" s="13">
        <f>V22+Construction!W14*$F$9/$F$10*(W21+(W19-W20)*V22)</f>
        <v/>
      </c>
      <c r="X22" s="13">
        <f>W22+Construction!X14*$F$9/$F$10*(X21+(X19-X20)*W22)</f>
        <v/>
      </c>
      <c r="Y22" s="13">
        <f>X22+Construction!Y14*$F$9/$F$10*(Y21+(Y19-Y20)*X22)</f>
        <v/>
      </c>
      <c r="Z22" s="13">
        <f>Y22+Construction!Z14*$F$9/$F$10*(Z21+(Z19-Z20)*Y22)</f>
        <v/>
      </c>
      <c r="AA22" s="13">
        <f>Z22+Construction!AA14*$F$9/$F$10*(AA21+(AA19-AA20)*Z22)</f>
        <v/>
      </c>
      <c r="AB22" s="13">
        <f>AA22+Construction!AB14*$F$9/$F$10*(AB21+(AB19-AB20)*AA22)</f>
        <v/>
      </c>
      <c r="AC22" s="13">
        <f>AB22+Construction!AC14*$F$9/$F$10*(AC21+(AC19-AC20)*AB22)</f>
        <v/>
      </c>
      <c r="AD22" s="13">
        <f>AC22+Construction!AD14*$F$9/$F$10*(AD21+(AD19-AD20)*AC22)</f>
        <v/>
      </c>
      <c r="AE22" s="13">
        <f>AD22+Construction!AE14*$F$9/$F$10*(AE21+(AE19-AE20)*AD22)</f>
        <v/>
      </c>
      <c r="AF22" s="13">
        <f>AE22+Construction!AF14*$F$9/$F$10*(AF21+(AF19-AF20)*AE22)</f>
        <v/>
      </c>
      <c r="AG22" s="13">
        <f>AF22+Construction!AG14*$F$9/$F$10*(AG21+(AG19-AG20)*AF22)</f>
        <v/>
      </c>
      <c r="AH22" s="13">
        <f>AG22+Construction!AH14*$F$9/$F$10*(AH21+(AH19-AH20)*AG22)</f>
        <v/>
      </c>
      <c r="AI22" s="13">
        <f>AH22+Construction!AI14*$F$9/$F$10*(AI21+(AI19-AI20)*AH22)</f>
        <v/>
      </c>
      <c r="AJ22" s="13">
        <f>AI22+Construction!AJ14*$F$9/$F$10*(AJ21+(AJ19-AJ20)*AI22)</f>
        <v/>
      </c>
      <c r="AK22" s="13">
        <f>AJ22+Construction!AK14*$F$9/$F$10*(AK21+(AK19-AK20)*AJ22)</f>
        <v/>
      </c>
      <c r="AL22" s="13">
        <f>AK22+Construction!AL14*$F$9/$F$10*(AL21+(AL19-AL20)*AK22)</f>
        <v/>
      </c>
      <c r="AM22" s="13">
        <f>AL22+Construction!AM14*$F$9/$F$10*(AM21+(AM19-AM20)*AL22)</f>
        <v/>
      </c>
      <c r="AN22" s="13">
        <f>AM22+Construction!AN14*$F$9/$F$10*(AN21+(AN19-AN20)*AM22)</f>
        <v/>
      </c>
      <c r="AO22" s="13">
        <f>AN22+Construction!AO14*$F$9/$F$10*(AO21+(AO19-AO20)*AN22)</f>
        <v/>
      </c>
      <c r="AP22" s="13">
        <f>AO22+Construction!AP14*$F$9/$F$10*(AP21+(AP19-AP20)*AO22)</f>
        <v/>
      </c>
      <c r="AQ22" s="13">
        <f>AP22+Construction!AQ14*$F$9/$F$10*(AQ21+(AQ19-AQ20)*AP22)</f>
        <v/>
      </c>
      <c r="AR22" s="13">
        <f>AQ22+Construction!AR14*$F$9/$F$10*(AR21+(AR19-AR20)*AQ22)</f>
        <v/>
      </c>
      <c r="AS22" s="13">
        <f>AR22+Construction!AS14*$F$9/$F$10*(AS21+(AS19-AS20)*AR22)</f>
        <v/>
      </c>
      <c r="AT22" s="13">
        <f>AS22+Construction!AT14*$F$9/$F$10*(AT21+(AT19-AT20)*AS22)</f>
        <v/>
      </c>
      <c r="AU22" s="13">
        <f>AT22+Construction!AU14*$F$9/$F$10*(AU21+(AU19-AU20)*AT22)</f>
        <v/>
      </c>
      <c r="AV22" s="13">
        <f>AU22+Construction!AV14*$F$9/$F$10*(AV21+(AV19-AV20)*AU22)</f>
        <v/>
      </c>
      <c r="AW22" s="13">
        <f>AV22+Construction!AW14*$F$9/$F$10*(AW21+(AW19-AW20)*AV22)</f>
        <v/>
      </c>
      <c r="AX22" s="13">
        <f>AW22+Construction!AX14*$F$9/$F$10*(AX21+(AX19-AX20)*AW22)</f>
        <v/>
      </c>
      <c r="AY22" s="13">
        <f>AX22+Construction!AY14*$F$9/$F$10*(AY21+(AY19-AY20)*AX22)</f>
        <v/>
      </c>
      <c r="AZ22" s="13">
        <f>AY22+Construction!AZ14*$F$9/$F$10*(AZ21+(AZ19-AZ20)*AY22)</f>
        <v/>
      </c>
      <c r="BA22" s="13">
        <f>AZ22+Construction!BA14*$F$9/$F$10*(BA21+(BA19-BA20)*AZ22)</f>
        <v/>
      </c>
      <c r="BB22" s="13">
        <f>BA22+Construction!BB14*$F$9/$F$10*(BB21+(BB19-BB20)*BA22)</f>
        <v/>
      </c>
      <c r="BC22" s="13">
        <f>BB22+Construction!BC14*$F$9/$F$10*(BC21+(BC19-BC20)*BB22)</f>
        <v/>
      </c>
      <c r="BD22" s="13">
        <f>BC22+Construction!BD14*$F$9/$F$10*(BD21+(BD19-BD20)*BC22)</f>
        <v/>
      </c>
      <c r="BE22" s="13">
        <f>BD22+Construction!BE14*$F$9/$F$10*(BE21+(BE19-BE20)*BD22)</f>
        <v/>
      </c>
      <c r="BF22" s="13">
        <f>BE22+Construction!BF14*$F$9/$F$10*(BF21+(BF19-BF20)*BE22)</f>
        <v/>
      </c>
      <c r="BG22" s="13">
        <f>BF22+Construction!BG14*$F$9/$F$10*(BG21+(BG19-BG20)*BF22)</f>
        <v/>
      </c>
      <c r="BH22" s="13">
        <f>BG22+Construction!BH14*$F$9/$F$10*(BH21+(BH19-BH20)*BG22)</f>
        <v/>
      </c>
      <c r="BI22" s="13">
        <f>BH22+Construction!BI14*$F$9/$F$10*(BI21+(BI19-BI20)*BH22)</f>
        <v/>
      </c>
      <c r="BJ22" s="13">
        <f>BI22+Construction!BJ14*$F$9/$F$10*(BJ21+(BJ19-BJ20)*BI22)</f>
        <v/>
      </c>
    </row>
    <row r="23">
      <c r="D23" t="inlineStr">
        <is>
          <t>Balance per USD of total funding (beta)</t>
        </is>
      </c>
      <c r="E23" t="inlineStr">
        <is>
          <t>factor</t>
        </is>
      </c>
      <c r="J23" s="16">
        <f>I23+Construction!J14*$F$9/$F$10*(J19*I23+J20*($F$9-I23)+IF(Construction!J8=1,$F$9*(Inputs!$F$75*Inputs!$F$89/100+Inputs!$F$76*Inputs!$F$90/100+Inputs!$F$77*Inputs!$F$91/100+Inputs!$F$78*Inputs!$F$92/100),0)+Construction!J15*$F$9*(Inputs!$F$75*$F$12+Inputs!$F$76*$F$13+Inputs!$F$77*$F$14+Inputs!$F$78*$F$15))</f>
        <v/>
      </c>
      <c r="K23" s="16">
        <f>J23+Construction!K14*$F$9/$F$10*(K19*J23+K20*($F$9-J23)+IF(Construction!K8=1,$F$9*(Inputs!$F$75*Inputs!$F$89/100+Inputs!$F$76*Inputs!$F$90/100+Inputs!$F$77*Inputs!$F$91/100+Inputs!$F$78*Inputs!$F$92/100),0)+Construction!K15*$F$9*(Inputs!$F$75*$F$12+Inputs!$F$76*$F$13+Inputs!$F$77*$F$14+Inputs!$F$78*$F$15))</f>
        <v/>
      </c>
      <c r="L23" s="16">
        <f>K23+Construction!L14*$F$9/$F$10*(L19*K23+L20*($F$9-K23)+IF(Construction!L8=1,$F$9*(Inputs!$F$75*Inputs!$F$89/100+Inputs!$F$76*Inputs!$F$90/100+Inputs!$F$77*Inputs!$F$91/100+Inputs!$F$78*Inputs!$F$92/100),0)+Construction!L15*$F$9*(Inputs!$F$75*$F$12+Inputs!$F$76*$F$13+Inputs!$F$77*$F$14+Inputs!$F$78*$F$15))</f>
        <v/>
      </c>
      <c r="M23" s="16">
        <f>L23+Construction!M14*$F$9/$F$10*(M19*L23+M20*($F$9-L23)+IF(Construction!M8=1,$F$9*(Inputs!$F$75*Inputs!$F$89/100+Inputs!$F$76*Inputs!$F$90/100+Inputs!$F$77*Inputs!$F$91/100+Inputs!$F$78*Inputs!$F$92/100),0)+Construction!M15*$F$9*(Inputs!$F$75*$F$12+Inputs!$F$76*$F$13+Inputs!$F$77*$F$14+Inputs!$F$78*$F$15))</f>
        <v/>
      </c>
      <c r="N23" s="16">
        <f>M23+Construction!N14*$F$9/$F$10*(N19*M23+N20*($F$9-M23)+IF(Construction!N8=1,$F$9*(Inputs!$F$75*Inputs!$F$89/100+Inputs!$F$76*Inputs!$F$90/100+Inputs!$F$77*Inputs!$F$91/100+Inputs!$F$78*Inputs!$F$92/100),0)+Construction!N15*$F$9*(Inputs!$F$75*$F$12+Inputs!$F$76*$F$13+Inputs!$F$77*$F$14+Inputs!$F$78*$F$15))</f>
        <v/>
      </c>
      <c r="O23" s="16">
        <f>N23+Construction!O14*$F$9/$F$10*(O19*N23+O20*($F$9-N23)+IF(Construction!O8=1,$F$9*(Inputs!$F$75*Inputs!$F$89/100+Inputs!$F$76*Inputs!$F$90/100+Inputs!$F$77*Inputs!$F$91/100+Inputs!$F$78*Inputs!$F$92/100),0)+Construction!O15*$F$9*(Inputs!$F$75*$F$12+Inputs!$F$76*$F$13+Inputs!$F$77*$F$14+Inputs!$F$78*$F$15))</f>
        <v/>
      </c>
      <c r="P23" s="16">
        <f>O23+Construction!P14*$F$9/$F$10*(P19*O23+P20*($F$9-O23)+IF(Construction!P8=1,$F$9*(Inputs!$F$75*Inputs!$F$89/100+Inputs!$F$76*Inputs!$F$90/100+Inputs!$F$77*Inputs!$F$91/100+Inputs!$F$78*Inputs!$F$92/100),0)+Construction!P15*$F$9*(Inputs!$F$75*$F$12+Inputs!$F$76*$F$13+Inputs!$F$77*$F$14+Inputs!$F$78*$F$15))</f>
        <v/>
      </c>
      <c r="Q23" s="16">
        <f>P23+Construction!Q14*$F$9/$F$10*(Q19*P23+Q20*($F$9-P23)+IF(Construction!Q8=1,$F$9*(Inputs!$F$75*Inputs!$F$89/100+Inputs!$F$76*Inputs!$F$90/100+Inputs!$F$77*Inputs!$F$91/100+Inputs!$F$78*Inputs!$F$92/100),0)+Construction!Q15*$F$9*(Inputs!$F$75*$F$12+Inputs!$F$76*$F$13+Inputs!$F$77*$F$14+Inputs!$F$78*$F$15))</f>
        <v/>
      </c>
      <c r="R23" s="16">
        <f>Q23+Construction!R14*$F$9/$F$10*(R19*Q23+R20*($F$9-Q23)+IF(Construction!R8=1,$F$9*(Inputs!$F$75*Inputs!$F$89/100+Inputs!$F$76*Inputs!$F$90/100+Inputs!$F$77*Inputs!$F$91/100+Inputs!$F$78*Inputs!$F$92/100),0)+Construction!R15*$F$9*(Inputs!$F$75*$F$12+Inputs!$F$76*$F$13+Inputs!$F$77*$F$14+Inputs!$F$78*$F$15))</f>
        <v/>
      </c>
      <c r="S23" s="16">
        <f>R23+Construction!S14*$F$9/$F$10*(S19*R23+S20*($F$9-R23)+IF(Construction!S8=1,$F$9*(Inputs!$F$75*Inputs!$F$89/100+Inputs!$F$76*Inputs!$F$90/100+Inputs!$F$77*Inputs!$F$91/100+Inputs!$F$78*Inputs!$F$92/100),0)+Construction!S15*$F$9*(Inputs!$F$75*$F$12+Inputs!$F$76*$F$13+Inputs!$F$77*$F$14+Inputs!$F$78*$F$15))</f>
        <v/>
      </c>
      <c r="T23" s="16">
        <f>S23+Construction!T14*$F$9/$F$10*(T19*S23+T20*($F$9-S23)+IF(Construction!T8=1,$F$9*(Inputs!$F$75*Inputs!$F$89/100+Inputs!$F$76*Inputs!$F$90/100+Inputs!$F$77*Inputs!$F$91/100+Inputs!$F$78*Inputs!$F$92/100),0)+Construction!T15*$F$9*(Inputs!$F$75*$F$12+Inputs!$F$76*$F$13+Inputs!$F$77*$F$14+Inputs!$F$78*$F$15))</f>
        <v/>
      </c>
      <c r="U23" s="16">
        <f>T23+Construction!U14*$F$9/$F$10*(U19*T23+U20*($F$9-T23)+IF(Construction!U8=1,$F$9*(Inputs!$F$75*Inputs!$F$89/100+Inputs!$F$76*Inputs!$F$90/100+Inputs!$F$77*Inputs!$F$91/100+Inputs!$F$78*Inputs!$F$92/100),0)+Construction!U15*$F$9*(Inputs!$F$75*$F$12+Inputs!$F$76*$F$13+Inputs!$F$77*$F$14+Inputs!$F$78*$F$15))</f>
        <v/>
      </c>
      <c r="V23" s="16">
        <f>U23+Construction!V14*$F$9/$F$10*(V19*U23+V20*($F$9-U23)+IF(Construction!V8=1,$F$9*(Inputs!$F$75*Inputs!$F$89/100+Inputs!$F$76*Inputs!$F$90/100+Inputs!$F$77*Inputs!$F$91/100+Inputs!$F$78*Inputs!$F$92/100),0)+Construction!V15*$F$9*(Inputs!$F$75*$F$12+Inputs!$F$76*$F$13+Inputs!$F$77*$F$14+Inputs!$F$78*$F$15))</f>
        <v/>
      </c>
      <c r="W23" s="16">
        <f>V23+Construction!W14*$F$9/$F$10*(W19*V23+W20*($F$9-V23)+IF(Construction!W8=1,$F$9*(Inputs!$F$75*Inputs!$F$89/100+Inputs!$F$76*Inputs!$F$90/100+Inputs!$F$77*Inputs!$F$91/100+Inputs!$F$78*Inputs!$F$92/100),0)+Construction!W15*$F$9*(Inputs!$F$75*$F$12+Inputs!$F$76*$F$13+Inputs!$F$77*$F$14+Inputs!$F$78*$F$15))</f>
        <v/>
      </c>
      <c r="X23" s="16">
        <f>W23+Construction!X14*$F$9/$F$10*(X19*W23+X20*($F$9-W23)+IF(Construction!X8=1,$F$9*(Inputs!$F$75*Inputs!$F$89/100+Inputs!$F$76*Inputs!$F$90/100+Inputs!$F$77*Inputs!$F$91/100+Inputs!$F$78*Inputs!$F$92/100),0)+Construction!X15*$F$9*(Inputs!$F$75*$F$12+Inputs!$F$76*$F$13+Inputs!$F$77*$F$14+Inputs!$F$78*$F$15))</f>
        <v/>
      </c>
      <c r="Y23" s="16">
        <f>X23+Construction!Y14*$F$9/$F$10*(Y19*X23+Y20*($F$9-X23)+IF(Construction!Y8=1,$F$9*(Inputs!$F$75*Inputs!$F$89/100+Inputs!$F$76*Inputs!$F$90/100+Inputs!$F$77*Inputs!$F$91/100+Inputs!$F$78*Inputs!$F$92/100),0)+Construction!Y15*$F$9*(Inputs!$F$75*$F$12+Inputs!$F$76*$F$13+Inputs!$F$77*$F$14+Inputs!$F$78*$F$15))</f>
        <v/>
      </c>
      <c r="Z23" s="16">
        <f>Y23+Construction!Z14*$F$9/$F$10*(Z19*Y23+Z20*($F$9-Y23)+IF(Construction!Z8=1,$F$9*(Inputs!$F$75*Inputs!$F$89/100+Inputs!$F$76*Inputs!$F$90/100+Inputs!$F$77*Inputs!$F$91/100+Inputs!$F$78*Inputs!$F$92/100),0)+Construction!Z15*$F$9*(Inputs!$F$75*$F$12+Inputs!$F$76*$F$13+Inputs!$F$77*$F$14+Inputs!$F$78*$F$15))</f>
        <v/>
      </c>
      <c r="AA23" s="16">
        <f>Z23+Construction!AA14*$F$9/$F$10*(AA19*Z23+AA20*($F$9-Z23)+IF(Construction!AA8=1,$F$9*(Inputs!$F$75*Inputs!$F$89/100+Inputs!$F$76*Inputs!$F$90/100+Inputs!$F$77*Inputs!$F$91/100+Inputs!$F$78*Inputs!$F$92/100),0)+Construction!AA15*$F$9*(Inputs!$F$75*$F$12+Inputs!$F$76*$F$13+Inputs!$F$77*$F$14+Inputs!$F$78*$F$15))</f>
        <v/>
      </c>
      <c r="AB23" s="16">
        <f>AA23+Construction!AB14*$F$9/$F$10*(AB19*AA23+AB20*($F$9-AA23)+IF(Construction!AB8=1,$F$9*(Inputs!$F$75*Inputs!$F$89/100+Inputs!$F$76*Inputs!$F$90/100+Inputs!$F$77*Inputs!$F$91/100+Inputs!$F$78*Inputs!$F$92/100),0)+Construction!AB15*$F$9*(Inputs!$F$75*$F$12+Inputs!$F$76*$F$13+Inputs!$F$77*$F$14+Inputs!$F$78*$F$15))</f>
        <v/>
      </c>
      <c r="AC23" s="16">
        <f>AB23+Construction!AC14*$F$9/$F$10*(AC19*AB23+AC20*($F$9-AB23)+IF(Construction!AC8=1,$F$9*(Inputs!$F$75*Inputs!$F$89/100+Inputs!$F$76*Inputs!$F$90/100+Inputs!$F$77*Inputs!$F$91/100+Inputs!$F$78*Inputs!$F$92/100),0)+Construction!AC15*$F$9*(Inputs!$F$75*$F$12+Inputs!$F$76*$F$13+Inputs!$F$77*$F$14+Inputs!$F$78*$F$15))</f>
        <v/>
      </c>
      <c r="AD23" s="16">
        <f>AC23+Construction!AD14*$F$9/$F$10*(AD19*AC23+AD20*($F$9-AC23)+IF(Construction!AD8=1,$F$9*(Inputs!$F$75*Inputs!$F$89/100+Inputs!$F$76*Inputs!$F$90/100+Inputs!$F$77*Inputs!$F$91/100+Inputs!$F$78*Inputs!$F$92/100),0)+Construction!AD15*$F$9*(Inputs!$F$75*$F$12+Inputs!$F$76*$F$13+Inputs!$F$77*$F$14+Inputs!$F$78*$F$15))</f>
        <v/>
      </c>
      <c r="AE23" s="16">
        <f>AD23+Construction!AE14*$F$9/$F$10*(AE19*AD23+AE20*($F$9-AD23)+IF(Construction!AE8=1,$F$9*(Inputs!$F$75*Inputs!$F$89/100+Inputs!$F$76*Inputs!$F$90/100+Inputs!$F$77*Inputs!$F$91/100+Inputs!$F$78*Inputs!$F$92/100),0)+Construction!AE15*$F$9*(Inputs!$F$75*$F$12+Inputs!$F$76*$F$13+Inputs!$F$77*$F$14+Inputs!$F$78*$F$15))</f>
        <v/>
      </c>
      <c r="AF23" s="16">
        <f>AE23+Construction!AF14*$F$9/$F$10*(AF19*AE23+AF20*($F$9-AE23)+IF(Construction!AF8=1,$F$9*(Inputs!$F$75*Inputs!$F$89/100+Inputs!$F$76*Inputs!$F$90/100+Inputs!$F$77*Inputs!$F$91/100+Inputs!$F$78*Inputs!$F$92/100),0)+Construction!AF15*$F$9*(Inputs!$F$75*$F$12+Inputs!$F$76*$F$13+Inputs!$F$77*$F$14+Inputs!$F$78*$F$15))</f>
        <v/>
      </c>
      <c r="AG23" s="16">
        <f>AF23+Construction!AG14*$F$9/$F$10*(AG19*AF23+AG20*($F$9-AF23)+IF(Construction!AG8=1,$F$9*(Inputs!$F$75*Inputs!$F$89/100+Inputs!$F$76*Inputs!$F$90/100+Inputs!$F$77*Inputs!$F$91/100+Inputs!$F$78*Inputs!$F$92/100),0)+Construction!AG15*$F$9*(Inputs!$F$75*$F$12+Inputs!$F$76*$F$13+Inputs!$F$77*$F$14+Inputs!$F$78*$F$15))</f>
        <v/>
      </c>
      <c r="AH23" s="16">
        <f>AG23+Construction!AH14*$F$9/$F$10*(AH19*AG23+AH20*($F$9-AG23)+IF(Construction!AH8=1,$F$9*(Inputs!$F$75*Inputs!$F$89/100+Inputs!$F$76*Inputs!$F$90/100+Inputs!$F$77*Inputs!$F$91/100+Inputs!$F$78*Inputs!$F$92/100),0)+Construction!AH15*$F$9*(Inputs!$F$75*$F$12+Inputs!$F$76*$F$13+Inputs!$F$77*$F$14+Inputs!$F$78*$F$15))</f>
        <v/>
      </c>
      <c r="AI23" s="16">
        <f>AH23+Construction!AI14*$F$9/$F$10*(AI19*AH23+AI20*($F$9-AH23)+IF(Construction!AI8=1,$F$9*(Inputs!$F$75*Inputs!$F$89/100+Inputs!$F$76*Inputs!$F$90/100+Inputs!$F$77*Inputs!$F$91/100+Inputs!$F$78*Inputs!$F$92/100),0)+Construction!AI15*$F$9*(Inputs!$F$75*$F$12+Inputs!$F$76*$F$13+Inputs!$F$77*$F$14+Inputs!$F$78*$F$15))</f>
        <v/>
      </c>
      <c r="AJ23" s="16">
        <f>AI23+Construction!AJ14*$F$9/$F$10*(AJ19*AI23+AJ20*($F$9-AI23)+IF(Construction!AJ8=1,$F$9*(Inputs!$F$75*Inputs!$F$89/100+Inputs!$F$76*Inputs!$F$90/100+Inputs!$F$77*Inputs!$F$91/100+Inputs!$F$78*Inputs!$F$92/100),0)+Construction!AJ15*$F$9*(Inputs!$F$75*$F$12+Inputs!$F$76*$F$13+Inputs!$F$77*$F$14+Inputs!$F$78*$F$15))</f>
        <v/>
      </c>
      <c r="AK23" s="16">
        <f>AJ23+Construction!AK14*$F$9/$F$10*(AK19*AJ23+AK20*($F$9-AJ23)+IF(Construction!AK8=1,$F$9*(Inputs!$F$75*Inputs!$F$89/100+Inputs!$F$76*Inputs!$F$90/100+Inputs!$F$77*Inputs!$F$91/100+Inputs!$F$78*Inputs!$F$92/100),0)+Construction!AK15*$F$9*(Inputs!$F$75*$F$12+Inputs!$F$76*$F$13+Inputs!$F$77*$F$14+Inputs!$F$78*$F$15))</f>
        <v/>
      </c>
      <c r="AL23" s="16">
        <f>AK23+Construction!AL14*$F$9/$F$10*(AL19*AK23+AL20*($F$9-AK23)+IF(Construction!AL8=1,$F$9*(Inputs!$F$75*Inputs!$F$89/100+Inputs!$F$76*Inputs!$F$90/100+Inputs!$F$77*Inputs!$F$91/100+Inputs!$F$78*Inputs!$F$92/100),0)+Construction!AL15*$F$9*(Inputs!$F$75*$F$12+Inputs!$F$76*$F$13+Inputs!$F$77*$F$14+Inputs!$F$78*$F$15))</f>
        <v/>
      </c>
      <c r="AM23" s="16">
        <f>AL23+Construction!AM14*$F$9/$F$10*(AM19*AL23+AM20*($F$9-AL23)+IF(Construction!AM8=1,$F$9*(Inputs!$F$75*Inputs!$F$89/100+Inputs!$F$76*Inputs!$F$90/100+Inputs!$F$77*Inputs!$F$91/100+Inputs!$F$78*Inputs!$F$92/100),0)+Construction!AM15*$F$9*(Inputs!$F$75*$F$12+Inputs!$F$76*$F$13+Inputs!$F$77*$F$14+Inputs!$F$78*$F$15))</f>
        <v/>
      </c>
      <c r="AN23" s="16">
        <f>AM23+Construction!AN14*$F$9/$F$10*(AN19*AM23+AN20*($F$9-AM23)+IF(Construction!AN8=1,$F$9*(Inputs!$F$75*Inputs!$F$89/100+Inputs!$F$76*Inputs!$F$90/100+Inputs!$F$77*Inputs!$F$91/100+Inputs!$F$78*Inputs!$F$92/100),0)+Construction!AN15*$F$9*(Inputs!$F$75*$F$12+Inputs!$F$76*$F$13+Inputs!$F$77*$F$14+Inputs!$F$78*$F$15))</f>
        <v/>
      </c>
      <c r="AO23" s="16">
        <f>AN23+Construction!AO14*$F$9/$F$10*(AO19*AN23+AO20*($F$9-AN23)+IF(Construction!AO8=1,$F$9*(Inputs!$F$75*Inputs!$F$89/100+Inputs!$F$76*Inputs!$F$90/100+Inputs!$F$77*Inputs!$F$91/100+Inputs!$F$78*Inputs!$F$92/100),0)+Construction!AO15*$F$9*(Inputs!$F$75*$F$12+Inputs!$F$76*$F$13+Inputs!$F$77*$F$14+Inputs!$F$78*$F$15))</f>
        <v/>
      </c>
      <c r="AP23" s="16">
        <f>AO23+Construction!AP14*$F$9/$F$10*(AP19*AO23+AP20*($F$9-AO23)+IF(Construction!AP8=1,$F$9*(Inputs!$F$75*Inputs!$F$89/100+Inputs!$F$76*Inputs!$F$90/100+Inputs!$F$77*Inputs!$F$91/100+Inputs!$F$78*Inputs!$F$92/100),0)+Construction!AP15*$F$9*(Inputs!$F$75*$F$12+Inputs!$F$76*$F$13+Inputs!$F$77*$F$14+Inputs!$F$78*$F$15))</f>
        <v/>
      </c>
      <c r="AQ23" s="16">
        <f>AP23+Construction!AQ14*$F$9/$F$10*(AQ19*AP23+AQ20*($F$9-AP23)+IF(Construction!AQ8=1,$F$9*(Inputs!$F$75*Inputs!$F$89/100+Inputs!$F$76*Inputs!$F$90/100+Inputs!$F$77*Inputs!$F$91/100+Inputs!$F$78*Inputs!$F$92/100),0)+Construction!AQ15*$F$9*(Inputs!$F$75*$F$12+Inputs!$F$76*$F$13+Inputs!$F$77*$F$14+Inputs!$F$78*$F$15))</f>
        <v/>
      </c>
      <c r="AR23" s="16">
        <f>AQ23+Construction!AR14*$F$9/$F$10*(AR19*AQ23+AR20*($F$9-AQ23)+IF(Construction!AR8=1,$F$9*(Inputs!$F$75*Inputs!$F$89/100+Inputs!$F$76*Inputs!$F$90/100+Inputs!$F$77*Inputs!$F$91/100+Inputs!$F$78*Inputs!$F$92/100),0)+Construction!AR15*$F$9*(Inputs!$F$75*$F$12+Inputs!$F$76*$F$13+Inputs!$F$77*$F$14+Inputs!$F$78*$F$15))</f>
        <v/>
      </c>
      <c r="AS23" s="16">
        <f>AR23+Construction!AS14*$F$9/$F$10*(AS19*AR23+AS20*($F$9-AR23)+IF(Construction!AS8=1,$F$9*(Inputs!$F$75*Inputs!$F$89/100+Inputs!$F$76*Inputs!$F$90/100+Inputs!$F$77*Inputs!$F$91/100+Inputs!$F$78*Inputs!$F$92/100),0)+Construction!AS15*$F$9*(Inputs!$F$75*$F$12+Inputs!$F$76*$F$13+Inputs!$F$77*$F$14+Inputs!$F$78*$F$15))</f>
        <v/>
      </c>
      <c r="AT23" s="16">
        <f>AS23+Construction!AT14*$F$9/$F$10*(AT19*AS23+AT20*($F$9-AS23)+IF(Construction!AT8=1,$F$9*(Inputs!$F$75*Inputs!$F$89/100+Inputs!$F$76*Inputs!$F$90/100+Inputs!$F$77*Inputs!$F$91/100+Inputs!$F$78*Inputs!$F$92/100),0)+Construction!AT15*$F$9*(Inputs!$F$75*$F$12+Inputs!$F$76*$F$13+Inputs!$F$77*$F$14+Inputs!$F$78*$F$15))</f>
        <v/>
      </c>
      <c r="AU23" s="16">
        <f>AT23+Construction!AU14*$F$9/$F$10*(AU19*AT23+AU20*($F$9-AT23)+IF(Construction!AU8=1,$F$9*(Inputs!$F$75*Inputs!$F$89/100+Inputs!$F$76*Inputs!$F$90/100+Inputs!$F$77*Inputs!$F$91/100+Inputs!$F$78*Inputs!$F$92/100),0)+Construction!AU15*$F$9*(Inputs!$F$75*$F$12+Inputs!$F$76*$F$13+Inputs!$F$77*$F$14+Inputs!$F$78*$F$15))</f>
        <v/>
      </c>
      <c r="AV23" s="16">
        <f>AU23+Construction!AV14*$F$9/$F$10*(AV19*AU23+AV20*($F$9-AU23)+IF(Construction!AV8=1,$F$9*(Inputs!$F$75*Inputs!$F$89/100+Inputs!$F$76*Inputs!$F$90/100+Inputs!$F$77*Inputs!$F$91/100+Inputs!$F$78*Inputs!$F$92/100),0)+Construction!AV15*$F$9*(Inputs!$F$75*$F$12+Inputs!$F$76*$F$13+Inputs!$F$77*$F$14+Inputs!$F$78*$F$15))</f>
        <v/>
      </c>
      <c r="AW23" s="16">
        <f>AV23+Construction!AW14*$F$9/$F$10*(AW19*AV23+AW20*($F$9-AV23)+IF(Construction!AW8=1,$F$9*(Inputs!$F$75*Inputs!$F$89/100+Inputs!$F$76*Inputs!$F$90/100+Inputs!$F$77*Inputs!$F$91/100+Inputs!$F$78*Inputs!$F$92/100),0)+Construction!AW15*$F$9*(Inputs!$F$75*$F$12+Inputs!$F$76*$F$13+Inputs!$F$77*$F$14+Inputs!$F$78*$F$15))</f>
        <v/>
      </c>
      <c r="AX23" s="16">
        <f>AW23+Construction!AX14*$F$9/$F$10*(AX19*AW23+AX20*($F$9-AW23)+IF(Construction!AX8=1,$F$9*(Inputs!$F$75*Inputs!$F$89/100+Inputs!$F$76*Inputs!$F$90/100+Inputs!$F$77*Inputs!$F$91/100+Inputs!$F$78*Inputs!$F$92/100),0)+Construction!AX15*$F$9*(Inputs!$F$75*$F$12+Inputs!$F$76*$F$13+Inputs!$F$77*$F$14+Inputs!$F$78*$F$15))</f>
        <v/>
      </c>
      <c r="AY23" s="16">
        <f>AX23+Construction!AY14*$F$9/$F$10*(AY19*AX23+AY20*($F$9-AX23)+IF(Construction!AY8=1,$F$9*(Inputs!$F$75*Inputs!$F$89/100+Inputs!$F$76*Inputs!$F$90/100+Inputs!$F$77*Inputs!$F$91/100+Inputs!$F$78*Inputs!$F$92/100),0)+Construction!AY15*$F$9*(Inputs!$F$75*$F$12+Inputs!$F$76*$F$13+Inputs!$F$77*$F$14+Inputs!$F$78*$F$15))</f>
        <v/>
      </c>
      <c r="AZ23" s="16">
        <f>AY23+Construction!AZ14*$F$9/$F$10*(AZ19*AY23+AZ20*($F$9-AY23)+IF(Construction!AZ8=1,$F$9*(Inputs!$F$75*Inputs!$F$89/100+Inputs!$F$76*Inputs!$F$90/100+Inputs!$F$77*Inputs!$F$91/100+Inputs!$F$78*Inputs!$F$92/100),0)+Construction!AZ15*$F$9*(Inputs!$F$75*$F$12+Inputs!$F$76*$F$13+Inputs!$F$77*$F$14+Inputs!$F$78*$F$15))</f>
        <v/>
      </c>
      <c r="BA23" s="16">
        <f>AZ23+Construction!BA14*$F$9/$F$10*(BA19*AZ23+BA20*($F$9-AZ23)+IF(Construction!BA8=1,$F$9*(Inputs!$F$75*Inputs!$F$89/100+Inputs!$F$76*Inputs!$F$90/100+Inputs!$F$77*Inputs!$F$91/100+Inputs!$F$78*Inputs!$F$92/100),0)+Construction!BA15*$F$9*(Inputs!$F$75*$F$12+Inputs!$F$76*$F$13+Inputs!$F$77*$F$14+Inputs!$F$78*$F$15))</f>
        <v/>
      </c>
      <c r="BB23" s="16">
        <f>BA23+Construction!BB14*$F$9/$F$10*(BB19*BA23+BB20*($F$9-BA23)+IF(Construction!BB8=1,$F$9*(Inputs!$F$75*Inputs!$F$89/100+Inputs!$F$76*Inputs!$F$90/100+Inputs!$F$77*Inputs!$F$91/100+Inputs!$F$78*Inputs!$F$92/100),0)+Construction!BB15*$F$9*(Inputs!$F$75*$F$12+Inputs!$F$76*$F$13+Inputs!$F$77*$F$14+Inputs!$F$78*$F$15))</f>
        <v/>
      </c>
      <c r="BC23" s="16">
        <f>BB23+Construction!BC14*$F$9/$F$10*(BC19*BB23+BC20*($F$9-BB23)+IF(Construction!BC8=1,$F$9*(Inputs!$F$75*Inputs!$F$89/100+Inputs!$F$76*Inputs!$F$90/100+Inputs!$F$77*Inputs!$F$91/100+Inputs!$F$78*Inputs!$F$92/100),0)+Construction!BC15*$F$9*(Inputs!$F$75*$F$12+Inputs!$F$76*$F$13+Inputs!$F$77*$F$14+Inputs!$F$78*$F$15))</f>
        <v/>
      </c>
      <c r="BD23" s="16">
        <f>BC23+Construction!BD14*$F$9/$F$10*(BD19*BC23+BD20*($F$9-BC23)+IF(Construction!BD8=1,$F$9*(Inputs!$F$75*Inputs!$F$89/100+Inputs!$F$76*Inputs!$F$90/100+Inputs!$F$77*Inputs!$F$91/100+Inputs!$F$78*Inputs!$F$92/100),0)+Construction!BD15*$F$9*(Inputs!$F$75*$F$12+Inputs!$F$76*$F$13+Inputs!$F$77*$F$14+Inputs!$F$78*$F$15))</f>
        <v/>
      </c>
      <c r="BE23" s="16">
        <f>BD23+Construction!BE14*$F$9/$F$10*(BE19*BD23+BE20*($F$9-BD23)+IF(Construction!BE8=1,$F$9*(Inputs!$F$75*Inputs!$F$89/100+Inputs!$F$76*Inputs!$F$90/100+Inputs!$F$77*Inputs!$F$91/100+Inputs!$F$78*Inputs!$F$92/100),0)+Construction!BE15*$F$9*(Inputs!$F$75*$F$12+Inputs!$F$76*$F$13+Inputs!$F$77*$F$14+Inputs!$F$78*$F$15))</f>
        <v/>
      </c>
      <c r="BF23" s="16">
        <f>BE23+Construction!BF14*$F$9/$F$10*(BF19*BE23+BF20*($F$9-BE23)+IF(Construction!BF8=1,$F$9*(Inputs!$F$75*Inputs!$F$89/100+Inputs!$F$76*Inputs!$F$90/100+Inputs!$F$77*Inputs!$F$91/100+Inputs!$F$78*Inputs!$F$92/100),0)+Construction!BF15*$F$9*(Inputs!$F$75*$F$12+Inputs!$F$76*$F$13+Inputs!$F$77*$F$14+Inputs!$F$78*$F$15))</f>
        <v/>
      </c>
      <c r="BG23" s="16">
        <f>BF23+Construction!BG14*$F$9/$F$10*(BG19*BF23+BG20*($F$9-BF23)+IF(Construction!BG8=1,$F$9*(Inputs!$F$75*Inputs!$F$89/100+Inputs!$F$76*Inputs!$F$90/100+Inputs!$F$77*Inputs!$F$91/100+Inputs!$F$78*Inputs!$F$92/100),0)+Construction!BG15*$F$9*(Inputs!$F$75*$F$12+Inputs!$F$76*$F$13+Inputs!$F$77*$F$14+Inputs!$F$78*$F$15))</f>
        <v/>
      </c>
      <c r="BH23" s="16">
        <f>BG23+Construction!BH14*$F$9/$F$10*(BH19*BG23+BH20*($F$9-BG23)+IF(Construction!BH8=1,$F$9*(Inputs!$F$75*Inputs!$F$89/100+Inputs!$F$76*Inputs!$F$90/100+Inputs!$F$77*Inputs!$F$91/100+Inputs!$F$78*Inputs!$F$92/100),0)+Construction!BH15*$F$9*(Inputs!$F$75*$F$12+Inputs!$F$76*$F$13+Inputs!$F$77*$F$14+Inputs!$F$78*$F$15))</f>
        <v/>
      </c>
      <c r="BI23" s="16">
        <f>BH23+Construction!BI14*$F$9/$F$10*(BI19*BH23+BI20*($F$9-BH23)+IF(Construction!BI8=1,$F$9*(Inputs!$F$75*Inputs!$F$89/100+Inputs!$F$76*Inputs!$F$90/100+Inputs!$F$77*Inputs!$F$91/100+Inputs!$F$78*Inputs!$F$92/100),0)+Construction!BI15*$F$9*(Inputs!$F$75*$F$12+Inputs!$F$76*$F$13+Inputs!$F$77*$F$14+Inputs!$F$78*$F$15))</f>
        <v/>
      </c>
      <c r="BJ23" s="16">
        <f>BI23+Construction!BJ14*$F$9/$F$10*(BJ19*BI23+BJ20*($F$9-BI23)+IF(Construction!BJ8=1,$F$9*(Inputs!$F$75*Inputs!$F$89/100+Inputs!$F$76*Inputs!$F$90/100+Inputs!$F$77*Inputs!$F$91/100+Inputs!$F$78*Inputs!$F$92/100),0)+Construction!BJ15*$F$9*(Inputs!$F$75*$F$12+Inputs!$F$76*$F$13+Inputs!$F$77*$F$14+Inputs!$F$78*$F$15))</f>
        <v/>
      </c>
    </row>
    <row r="24">
      <c r="D24" t="inlineStr">
        <is>
          <t>Total funding requirement at this gearing, closed form T = alpha/(g - beta)</t>
        </is>
      </c>
      <c r="E24" t="inlineStr">
        <is>
          <t>USD m</t>
        </is>
      </c>
      <c r="F24" s="17">
        <f>INDEX(Funding!$J$22:$BJ$22,1,Time!$F$14)/(Funding!$F$9-INDEX(Funding!$J$23:$BJ$23,1,Time!$F$14))</f>
        <v/>
      </c>
    </row>
    <row r="25">
      <c r="D25" t="inlineStr">
        <is>
          <t>Senior debt (committed tranches)</t>
        </is>
      </c>
      <c r="E25" t="inlineStr">
        <is>
          <t>USD m</t>
        </is>
      </c>
      <c r="F25" s="17">
        <f>IF(Inputs!$F$51&lt;&gt;1,Funding!$F$8*Funding!$F$24,Inputs!$F$113)</f>
        <v/>
      </c>
    </row>
    <row r="26">
      <c r="D26" t="inlineStr">
        <is>
          <t>Debt share of monthly funding</t>
        </is>
      </c>
      <c r="E26" t="inlineStr">
        <is>
          <t>fraction</t>
        </is>
      </c>
      <c r="F26" s="11">
        <f>$F$8</f>
        <v/>
      </c>
    </row>
    <row r="27">
      <c r="B27" s="2" t="inlineStr">
        <is>
          <t>Monthly funding schedule (USD m)</t>
        </is>
      </c>
    </row>
    <row r="28">
      <c r="D28" t="inlineStr">
        <is>
          <t>ECA-covered tranche: opening balance</t>
        </is>
      </c>
      <c r="E28" t="inlineStr">
        <is>
          <t>USD m</t>
        </is>
      </c>
      <c r="J28" s="13">
        <f>I61</f>
        <v/>
      </c>
      <c r="K28" s="13">
        <f>J61</f>
        <v/>
      </c>
      <c r="L28" s="13">
        <f>K61</f>
        <v/>
      </c>
      <c r="M28" s="13">
        <f>L61</f>
        <v/>
      </c>
      <c r="N28" s="13">
        <f>M61</f>
        <v/>
      </c>
      <c r="O28" s="13">
        <f>N61</f>
        <v/>
      </c>
      <c r="P28" s="13">
        <f>O61</f>
        <v/>
      </c>
      <c r="Q28" s="13">
        <f>P61</f>
        <v/>
      </c>
      <c r="R28" s="13">
        <f>Q61</f>
        <v/>
      </c>
      <c r="S28" s="13">
        <f>R61</f>
        <v/>
      </c>
      <c r="T28" s="13">
        <f>S61</f>
        <v/>
      </c>
      <c r="U28" s="13">
        <f>T61</f>
        <v/>
      </c>
      <c r="V28" s="13">
        <f>U61</f>
        <v/>
      </c>
      <c r="W28" s="13">
        <f>V61</f>
        <v/>
      </c>
      <c r="X28" s="13">
        <f>W61</f>
        <v/>
      </c>
      <c r="Y28" s="13">
        <f>X61</f>
        <v/>
      </c>
      <c r="Z28" s="13">
        <f>Y61</f>
        <v/>
      </c>
      <c r="AA28" s="13">
        <f>Z61</f>
        <v/>
      </c>
      <c r="AB28" s="13">
        <f>AA61</f>
        <v/>
      </c>
      <c r="AC28" s="13">
        <f>AB61</f>
        <v/>
      </c>
      <c r="AD28" s="13">
        <f>AC61</f>
        <v/>
      </c>
      <c r="AE28" s="13">
        <f>AD61</f>
        <v/>
      </c>
      <c r="AF28" s="13">
        <f>AE61</f>
        <v/>
      </c>
      <c r="AG28" s="13">
        <f>AF61</f>
        <v/>
      </c>
      <c r="AH28" s="13">
        <f>AG61</f>
        <v/>
      </c>
      <c r="AI28" s="13">
        <f>AH61</f>
        <v/>
      </c>
      <c r="AJ28" s="13">
        <f>AI61</f>
        <v/>
      </c>
      <c r="AK28" s="13">
        <f>AJ61</f>
        <v/>
      </c>
      <c r="AL28" s="13">
        <f>AK61</f>
        <v/>
      </c>
      <c r="AM28" s="13">
        <f>AL61</f>
        <v/>
      </c>
      <c r="AN28" s="13">
        <f>AM61</f>
        <v/>
      </c>
      <c r="AO28" s="13">
        <f>AN61</f>
        <v/>
      </c>
      <c r="AP28" s="13">
        <f>AO61</f>
        <v/>
      </c>
      <c r="AQ28" s="13">
        <f>AP61</f>
        <v/>
      </c>
      <c r="AR28" s="13">
        <f>AQ61</f>
        <v/>
      </c>
      <c r="AS28" s="13">
        <f>AR61</f>
        <v/>
      </c>
      <c r="AT28" s="13">
        <f>AS61</f>
        <v/>
      </c>
      <c r="AU28" s="13">
        <f>AT61</f>
        <v/>
      </c>
      <c r="AV28" s="13">
        <f>AU61</f>
        <v/>
      </c>
      <c r="AW28" s="13">
        <f>AV61</f>
        <v/>
      </c>
      <c r="AX28" s="13">
        <f>AW61</f>
        <v/>
      </c>
      <c r="AY28" s="13">
        <f>AX61</f>
        <v/>
      </c>
      <c r="AZ28" s="13">
        <f>AY61</f>
        <v/>
      </c>
      <c r="BA28" s="13">
        <f>AZ61</f>
        <v/>
      </c>
      <c r="BB28" s="13">
        <f>BA61</f>
        <v/>
      </c>
      <c r="BC28" s="13">
        <f>BB61</f>
        <v/>
      </c>
      <c r="BD28" s="13">
        <f>BC61</f>
        <v/>
      </c>
      <c r="BE28" s="13">
        <f>BD61</f>
        <v/>
      </c>
      <c r="BF28" s="13">
        <f>BE61</f>
        <v/>
      </c>
      <c r="BG28" s="13">
        <f>BF61</f>
        <v/>
      </c>
      <c r="BH28" s="13">
        <f>BG61</f>
        <v/>
      </c>
      <c r="BI28" s="13">
        <f>BH61</f>
        <v/>
      </c>
      <c r="BJ28" s="13">
        <f>BI61</f>
        <v/>
      </c>
    </row>
    <row r="29">
      <c r="D29" t="inlineStr">
        <is>
          <t>ABDB A-loan: opening balance</t>
        </is>
      </c>
      <c r="E29" t="inlineStr">
        <is>
          <t>USD m</t>
        </is>
      </c>
      <c r="J29" s="13">
        <f>I62</f>
        <v/>
      </c>
      <c r="K29" s="13">
        <f>J62</f>
        <v/>
      </c>
      <c r="L29" s="13">
        <f>K62</f>
        <v/>
      </c>
      <c r="M29" s="13">
        <f>L62</f>
        <v/>
      </c>
      <c r="N29" s="13">
        <f>M62</f>
        <v/>
      </c>
      <c r="O29" s="13">
        <f>N62</f>
        <v/>
      </c>
      <c r="P29" s="13">
        <f>O62</f>
        <v/>
      </c>
      <c r="Q29" s="13">
        <f>P62</f>
        <v/>
      </c>
      <c r="R29" s="13">
        <f>Q62</f>
        <v/>
      </c>
      <c r="S29" s="13">
        <f>R62</f>
        <v/>
      </c>
      <c r="T29" s="13">
        <f>S62</f>
        <v/>
      </c>
      <c r="U29" s="13">
        <f>T62</f>
        <v/>
      </c>
      <c r="V29" s="13">
        <f>U62</f>
        <v/>
      </c>
      <c r="W29" s="13">
        <f>V62</f>
        <v/>
      </c>
      <c r="X29" s="13">
        <f>W62</f>
        <v/>
      </c>
      <c r="Y29" s="13">
        <f>X62</f>
        <v/>
      </c>
      <c r="Z29" s="13">
        <f>Y62</f>
        <v/>
      </c>
      <c r="AA29" s="13">
        <f>Z62</f>
        <v/>
      </c>
      <c r="AB29" s="13">
        <f>AA62</f>
        <v/>
      </c>
      <c r="AC29" s="13">
        <f>AB62</f>
        <v/>
      </c>
      <c r="AD29" s="13">
        <f>AC62</f>
        <v/>
      </c>
      <c r="AE29" s="13">
        <f>AD62</f>
        <v/>
      </c>
      <c r="AF29" s="13">
        <f>AE62</f>
        <v/>
      </c>
      <c r="AG29" s="13">
        <f>AF62</f>
        <v/>
      </c>
      <c r="AH29" s="13">
        <f>AG62</f>
        <v/>
      </c>
      <c r="AI29" s="13">
        <f>AH62</f>
        <v/>
      </c>
      <c r="AJ29" s="13">
        <f>AI62</f>
        <v/>
      </c>
      <c r="AK29" s="13">
        <f>AJ62</f>
        <v/>
      </c>
      <c r="AL29" s="13">
        <f>AK62</f>
        <v/>
      </c>
      <c r="AM29" s="13">
        <f>AL62</f>
        <v/>
      </c>
      <c r="AN29" s="13">
        <f>AM62</f>
        <v/>
      </c>
      <c r="AO29" s="13">
        <f>AN62</f>
        <v/>
      </c>
      <c r="AP29" s="13">
        <f>AO62</f>
        <v/>
      </c>
      <c r="AQ29" s="13">
        <f>AP62</f>
        <v/>
      </c>
      <c r="AR29" s="13">
        <f>AQ62</f>
        <v/>
      </c>
      <c r="AS29" s="13">
        <f>AR62</f>
        <v/>
      </c>
      <c r="AT29" s="13">
        <f>AS62</f>
        <v/>
      </c>
      <c r="AU29" s="13">
        <f>AT62</f>
        <v/>
      </c>
      <c r="AV29" s="13">
        <f>AU62</f>
        <v/>
      </c>
      <c r="AW29" s="13">
        <f>AV62</f>
        <v/>
      </c>
      <c r="AX29" s="13">
        <f>AW62</f>
        <v/>
      </c>
      <c r="AY29" s="13">
        <f>AX62</f>
        <v/>
      </c>
      <c r="AZ29" s="13">
        <f>AY62</f>
        <v/>
      </c>
      <c r="BA29" s="13">
        <f>AZ62</f>
        <v/>
      </c>
      <c r="BB29" s="13">
        <f>BA62</f>
        <v/>
      </c>
      <c r="BC29" s="13">
        <f>BB62</f>
        <v/>
      </c>
      <c r="BD29" s="13">
        <f>BC62</f>
        <v/>
      </c>
      <c r="BE29" s="13">
        <f>BD62</f>
        <v/>
      </c>
      <c r="BF29" s="13">
        <f>BE62</f>
        <v/>
      </c>
      <c r="BG29" s="13">
        <f>BF62</f>
        <v/>
      </c>
      <c r="BH29" s="13">
        <f>BG62</f>
        <v/>
      </c>
      <c r="BI29" s="13">
        <f>BH62</f>
        <v/>
      </c>
      <c r="BJ29" s="13">
        <f>BI62</f>
        <v/>
      </c>
    </row>
    <row r="30">
      <c r="D30" t="inlineStr">
        <is>
          <t>ABDB B-loan: opening balance</t>
        </is>
      </c>
      <c r="E30" t="inlineStr">
        <is>
          <t>USD m</t>
        </is>
      </c>
      <c r="J30" s="13">
        <f>I63</f>
        <v/>
      </c>
      <c r="K30" s="13">
        <f>J63</f>
        <v/>
      </c>
      <c r="L30" s="13">
        <f>K63</f>
        <v/>
      </c>
      <c r="M30" s="13">
        <f>L63</f>
        <v/>
      </c>
      <c r="N30" s="13">
        <f>M63</f>
        <v/>
      </c>
      <c r="O30" s="13">
        <f>N63</f>
        <v/>
      </c>
      <c r="P30" s="13">
        <f>O63</f>
        <v/>
      </c>
      <c r="Q30" s="13">
        <f>P63</f>
        <v/>
      </c>
      <c r="R30" s="13">
        <f>Q63</f>
        <v/>
      </c>
      <c r="S30" s="13">
        <f>R63</f>
        <v/>
      </c>
      <c r="T30" s="13">
        <f>S63</f>
        <v/>
      </c>
      <c r="U30" s="13">
        <f>T63</f>
        <v/>
      </c>
      <c r="V30" s="13">
        <f>U63</f>
        <v/>
      </c>
      <c r="W30" s="13">
        <f>V63</f>
        <v/>
      </c>
      <c r="X30" s="13">
        <f>W63</f>
        <v/>
      </c>
      <c r="Y30" s="13">
        <f>X63</f>
        <v/>
      </c>
      <c r="Z30" s="13">
        <f>Y63</f>
        <v/>
      </c>
      <c r="AA30" s="13">
        <f>Z63</f>
        <v/>
      </c>
      <c r="AB30" s="13">
        <f>AA63</f>
        <v/>
      </c>
      <c r="AC30" s="13">
        <f>AB63</f>
        <v/>
      </c>
      <c r="AD30" s="13">
        <f>AC63</f>
        <v/>
      </c>
      <c r="AE30" s="13">
        <f>AD63</f>
        <v/>
      </c>
      <c r="AF30" s="13">
        <f>AE63</f>
        <v/>
      </c>
      <c r="AG30" s="13">
        <f>AF63</f>
        <v/>
      </c>
      <c r="AH30" s="13">
        <f>AG63</f>
        <v/>
      </c>
      <c r="AI30" s="13">
        <f>AH63</f>
        <v/>
      </c>
      <c r="AJ30" s="13">
        <f>AI63</f>
        <v/>
      </c>
      <c r="AK30" s="13">
        <f>AJ63</f>
        <v/>
      </c>
      <c r="AL30" s="13">
        <f>AK63</f>
        <v/>
      </c>
      <c r="AM30" s="13">
        <f>AL63</f>
        <v/>
      </c>
      <c r="AN30" s="13">
        <f>AM63</f>
        <v/>
      </c>
      <c r="AO30" s="13">
        <f>AN63</f>
        <v/>
      </c>
      <c r="AP30" s="13">
        <f>AO63</f>
        <v/>
      </c>
      <c r="AQ30" s="13">
        <f>AP63</f>
        <v/>
      </c>
      <c r="AR30" s="13">
        <f>AQ63</f>
        <v/>
      </c>
      <c r="AS30" s="13">
        <f>AR63</f>
        <v/>
      </c>
      <c r="AT30" s="13">
        <f>AS63</f>
        <v/>
      </c>
      <c r="AU30" s="13">
        <f>AT63</f>
        <v/>
      </c>
      <c r="AV30" s="13">
        <f>AU63</f>
        <v/>
      </c>
      <c r="AW30" s="13">
        <f>AV63</f>
        <v/>
      </c>
      <c r="AX30" s="13">
        <f>AW63</f>
        <v/>
      </c>
      <c r="AY30" s="13">
        <f>AX63</f>
        <v/>
      </c>
      <c r="AZ30" s="13">
        <f>AY63</f>
        <v/>
      </c>
      <c r="BA30" s="13">
        <f>AZ63</f>
        <v/>
      </c>
      <c r="BB30" s="13">
        <f>BA63</f>
        <v/>
      </c>
      <c r="BC30" s="13">
        <f>BB63</f>
        <v/>
      </c>
      <c r="BD30" s="13">
        <f>BC63</f>
        <v/>
      </c>
      <c r="BE30" s="13">
        <f>BD63</f>
        <v/>
      </c>
      <c r="BF30" s="13">
        <f>BE63</f>
        <v/>
      </c>
      <c r="BG30" s="13">
        <f>BF63</f>
        <v/>
      </c>
      <c r="BH30" s="13">
        <f>BG63</f>
        <v/>
      </c>
      <c r="BI30" s="13">
        <f>BH63</f>
        <v/>
      </c>
      <c r="BJ30" s="13">
        <f>BI63</f>
        <v/>
      </c>
    </row>
    <row r="31">
      <c r="D31" t="inlineStr">
        <is>
          <t>Commercial tranche: opening balance</t>
        </is>
      </c>
      <c r="E31" t="inlineStr">
        <is>
          <t>USD m</t>
        </is>
      </c>
      <c r="J31" s="13">
        <f>I64</f>
        <v/>
      </c>
      <c r="K31" s="13">
        <f>J64</f>
        <v/>
      </c>
      <c r="L31" s="13">
        <f>K64</f>
        <v/>
      </c>
      <c r="M31" s="13">
        <f>L64</f>
        <v/>
      </c>
      <c r="N31" s="13">
        <f>M64</f>
        <v/>
      </c>
      <c r="O31" s="13">
        <f>N64</f>
        <v/>
      </c>
      <c r="P31" s="13">
        <f>O64</f>
        <v/>
      </c>
      <c r="Q31" s="13">
        <f>P64</f>
        <v/>
      </c>
      <c r="R31" s="13">
        <f>Q64</f>
        <v/>
      </c>
      <c r="S31" s="13">
        <f>R64</f>
        <v/>
      </c>
      <c r="T31" s="13">
        <f>S64</f>
        <v/>
      </c>
      <c r="U31" s="13">
        <f>T64</f>
        <v/>
      </c>
      <c r="V31" s="13">
        <f>U64</f>
        <v/>
      </c>
      <c r="W31" s="13">
        <f>V64</f>
        <v/>
      </c>
      <c r="X31" s="13">
        <f>W64</f>
        <v/>
      </c>
      <c r="Y31" s="13">
        <f>X64</f>
        <v/>
      </c>
      <c r="Z31" s="13">
        <f>Y64</f>
        <v/>
      </c>
      <c r="AA31" s="13">
        <f>Z64</f>
        <v/>
      </c>
      <c r="AB31" s="13">
        <f>AA64</f>
        <v/>
      </c>
      <c r="AC31" s="13">
        <f>AB64</f>
        <v/>
      </c>
      <c r="AD31" s="13">
        <f>AC64</f>
        <v/>
      </c>
      <c r="AE31" s="13">
        <f>AD64</f>
        <v/>
      </c>
      <c r="AF31" s="13">
        <f>AE64</f>
        <v/>
      </c>
      <c r="AG31" s="13">
        <f>AF64</f>
        <v/>
      </c>
      <c r="AH31" s="13">
        <f>AG64</f>
        <v/>
      </c>
      <c r="AI31" s="13">
        <f>AH64</f>
        <v/>
      </c>
      <c r="AJ31" s="13">
        <f>AI64</f>
        <v/>
      </c>
      <c r="AK31" s="13">
        <f>AJ64</f>
        <v/>
      </c>
      <c r="AL31" s="13">
        <f>AK64</f>
        <v/>
      </c>
      <c r="AM31" s="13">
        <f>AL64</f>
        <v/>
      </c>
      <c r="AN31" s="13">
        <f>AM64</f>
        <v/>
      </c>
      <c r="AO31" s="13">
        <f>AN64</f>
        <v/>
      </c>
      <c r="AP31" s="13">
        <f>AO64</f>
        <v/>
      </c>
      <c r="AQ31" s="13">
        <f>AP64</f>
        <v/>
      </c>
      <c r="AR31" s="13">
        <f>AQ64</f>
        <v/>
      </c>
      <c r="AS31" s="13">
        <f>AR64</f>
        <v/>
      </c>
      <c r="AT31" s="13">
        <f>AS64</f>
        <v/>
      </c>
      <c r="AU31" s="13">
        <f>AT64</f>
        <v/>
      </c>
      <c r="AV31" s="13">
        <f>AU64</f>
        <v/>
      </c>
      <c r="AW31" s="13">
        <f>AV64</f>
        <v/>
      </c>
      <c r="AX31" s="13">
        <f>AW64</f>
        <v/>
      </c>
      <c r="AY31" s="13">
        <f>AX64</f>
        <v/>
      </c>
      <c r="AZ31" s="13">
        <f>AY64</f>
        <v/>
      </c>
      <c r="BA31" s="13">
        <f>AZ64</f>
        <v/>
      </c>
      <c r="BB31" s="13">
        <f>BA64</f>
        <v/>
      </c>
      <c r="BC31" s="13">
        <f>BB64</f>
        <v/>
      </c>
      <c r="BD31" s="13">
        <f>BC64</f>
        <v/>
      </c>
      <c r="BE31" s="13">
        <f>BD64</f>
        <v/>
      </c>
      <c r="BF31" s="13">
        <f>BE64</f>
        <v/>
      </c>
      <c r="BG31" s="13">
        <f>BF64</f>
        <v/>
      </c>
      <c r="BH31" s="13">
        <f>BG64</f>
        <v/>
      </c>
      <c r="BI31" s="13">
        <f>BH64</f>
        <v/>
      </c>
      <c r="BJ31" s="13">
        <f>BI64</f>
        <v/>
      </c>
    </row>
    <row r="32">
      <c r="D32" t="inlineStr">
        <is>
          <t>Standby facility: opening balance</t>
        </is>
      </c>
      <c r="E32" t="inlineStr">
        <is>
          <t>USD m</t>
        </is>
      </c>
      <c r="J32" s="13">
        <f>I65</f>
        <v/>
      </c>
      <c r="K32" s="13">
        <f>J65</f>
        <v/>
      </c>
      <c r="L32" s="13">
        <f>K65</f>
        <v/>
      </c>
      <c r="M32" s="13">
        <f>L65</f>
        <v/>
      </c>
      <c r="N32" s="13">
        <f>M65</f>
        <v/>
      </c>
      <c r="O32" s="13">
        <f>N65</f>
        <v/>
      </c>
      <c r="P32" s="13">
        <f>O65</f>
        <v/>
      </c>
      <c r="Q32" s="13">
        <f>P65</f>
        <v/>
      </c>
      <c r="R32" s="13">
        <f>Q65</f>
        <v/>
      </c>
      <c r="S32" s="13">
        <f>R65</f>
        <v/>
      </c>
      <c r="T32" s="13">
        <f>S65</f>
        <v/>
      </c>
      <c r="U32" s="13">
        <f>T65</f>
        <v/>
      </c>
      <c r="V32" s="13">
        <f>U65</f>
        <v/>
      </c>
      <c r="W32" s="13">
        <f>V65</f>
        <v/>
      </c>
      <c r="X32" s="13">
        <f>W65</f>
        <v/>
      </c>
      <c r="Y32" s="13">
        <f>X65</f>
        <v/>
      </c>
      <c r="Z32" s="13">
        <f>Y65</f>
        <v/>
      </c>
      <c r="AA32" s="13">
        <f>Z65</f>
        <v/>
      </c>
      <c r="AB32" s="13">
        <f>AA65</f>
        <v/>
      </c>
      <c r="AC32" s="13">
        <f>AB65</f>
        <v/>
      </c>
      <c r="AD32" s="13">
        <f>AC65</f>
        <v/>
      </c>
      <c r="AE32" s="13">
        <f>AD65</f>
        <v/>
      </c>
      <c r="AF32" s="13">
        <f>AE65</f>
        <v/>
      </c>
      <c r="AG32" s="13">
        <f>AF65</f>
        <v/>
      </c>
      <c r="AH32" s="13">
        <f>AG65</f>
        <v/>
      </c>
      <c r="AI32" s="13">
        <f>AH65</f>
        <v/>
      </c>
      <c r="AJ32" s="13">
        <f>AI65</f>
        <v/>
      </c>
      <c r="AK32" s="13">
        <f>AJ65</f>
        <v/>
      </c>
      <c r="AL32" s="13">
        <f>AK65</f>
        <v/>
      </c>
      <c r="AM32" s="13">
        <f>AL65</f>
        <v/>
      </c>
      <c r="AN32" s="13">
        <f>AM65</f>
        <v/>
      </c>
      <c r="AO32" s="13">
        <f>AN65</f>
        <v/>
      </c>
      <c r="AP32" s="13">
        <f>AO65</f>
        <v/>
      </c>
      <c r="AQ32" s="13">
        <f>AP65</f>
        <v/>
      </c>
      <c r="AR32" s="13">
        <f>AQ65</f>
        <v/>
      </c>
      <c r="AS32" s="13">
        <f>AR65</f>
        <v/>
      </c>
      <c r="AT32" s="13">
        <f>AS65</f>
        <v/>
      </c>
      <c r="AU32" s="13">
        <f>AT65</f>
        <v/>
      </c>
      <c r="AV32" s="13">
        <f>AU65</f>
        <v/>
      </c>
      <c r="AW32" s="13">
        <f>AV65</f>
        <v/>
      </c>
      <c r="AX32" s="13">
        <f>AW65</f>
        <v/>
      </c>
      <c r="AY32" s="13">
        <f>AX65</f>
        <v/>
      </c>
      <c r="AZ32" s="13">
        <f>AY65</f>
        <v/>
      </c>
      <c r="BA32" s="13">
        <f>AZ65</f>
        <v/>
      </c>
      <c r="BB32" s="13">
        <f>BA65</f>
        <v/>
      </c>
      <c r="BC32" s="13">
        <f>BB65</f>
        <v/>
      </c>
      <c r="BD32" s="13">
        <f>BC65</f>
        <v/>
      </c>
      <c r="BE32" s="13">
        <f>BD65</f>
        <v/>
      </c>
      <c r="BF32" s="13">
        <f>BE65</f>
        <v/>
      </c>
      <c r="BG32" s="13">
        <f>BF65</f>
        <v/>
      </c>
      <c r="BH32" s="13">
        <f>BG65</f>
        <v/>
      </c>
      <c r="BI32" s="13">
        <f>BH65</f>
        <v/>
      </c>
      <c r="BJ32" s="13">
        <f>BI65</f>
        <v/>
      </c>
    </row>
    <row r="33">
      <c r="D33" t="inlineStr">
        <is>
          <t>ECA-covered tranche: interest</t>
        </is>
      </c>
      <c r="E33" t="inlineStr">
        <is>
          <t>USD m</t>
        </is>
      </c>
      <c r="G33" s="13">
        <f>SUM(J33:BJ33)</f>
        <v/>
      </c>
      <c r="J33" s="13">
        <f>Construction!J14*J28*(Construction!J17+Inputs!$F$79)/100*Construction!J11/Inputs!$F$247*1</f>
        <v/>
      </c>
      <c r="K33" s="13">
        <f>Construction!K14*K28*(Construction!K17+Inputs!$F$79)/100*Construction!K11/Inputs!$F$247*1</f>
        <v/>
      </c>
      <c r="L33" s="13">
        <f>Construction!L14*L28*(Construction!L17+Inputs!$F$79)/100*Construction!L11/Inputs!$F$247*1</f>
        <v/>
      </c>
      <c r="M33" s="13">
        <f>Construction!M14*M28*(Construction!M17+Inputs!$F$79)/100*Construction!M11/Inputs!$F$247*1</f>
        <v/>
      </c>
      <c r="N33" s="13">
        <f>Construction!N14*N28*(Construction!N17+Inputs!$F$79)/100*Construction!N11/Inputs!$F$247*1</f>
        <v/>
      </c>
      <c r="O33" s="13">
        <f>Construction!O14*O28*(Construction!O17+Inputs!$F$79)/100*Construction!O11/Inputs!$F$247*1</f>
        <v/>
      </c>
      <c r="P33" s="13">
        <f>Construction!P14*P28*(Construction!P17+Inputs!$F$79)/100*Construction!P11/Inputs!$F$247*1</f>
        <v/>
      </c>
      <c r="Q33" s="13">
        <f>Construction!Q14*Q28*(Construction!Q17+Inputs!$F$79)/100*Construction!Q11/Inputs!$F$247*1</f>
        <v/>
      </c>
      <c r="R33" s="13">
        <f>Construction!R14*R28*(Construction!R17+Inputs!$F$79)/100*Construction!R11/Inputs!$F$247*1</f>
        <v/>
      </c>
      <c r="S33" s="13">
        <f>Construction!S14*S28*(Construction!S17+Inputs!$F$79)/100*Construction!S11/Inputs!$F$247*1</f>
        <v/>
      </c>
      <c r="T33" s="13">
        <f>Construction!T14*T28*(Construction!T17+Inputs!$F$79)/100*Construction!T11/Inputs!$F$247*1</f>
        <v/>
      </c>
      <c r="U33" s="13">
        <f>Construction!U14*U28*(Construction!U17+Inputs!$F$79)/100*Construction!U11/Inputs!$F$247*1</f>
        <v/>
      </c>
      <c r="V33" s="13">
        <f>Construction!V14*V28*(Construction!V17+Inputs!$F$79)/100*Construction!V11/Inputs!$F$247*1</f>
        <v/>
      </c>
      <c r="W33" s="13">
        <f>Construction!W14*W28*(Construction!W17+Inputs!$F$79)/100*Construction!W11/Inputs!$F$247*1</f>
        <v/>
      </c>
      <c r="X33" s="13">
        <f>Construction!X14*X28*(Construction!X17+Inputs!$F$79)/100*Construction!X11/Inputs!$F$247*1</f>
        <v/>
      </c>
      <c r="Y33" s="13">
        <f>Construction!Y14*Y28*(Construction!Y17+Inputs!$F$79)/100*Construction!Y11/Inputs!$F$247*1</f>
        <v/>
      </c>
      <c r="Z33" s="13">
        <f>Construction!Z14*Z28*(Construction!Z17+Inputs!$F$79)/100*Construction!Z11/Inputs!$F$247*1</f>
        <v/>
      </c>
      <c r="AA33" s="13">
        <f>Construction!AA14*AA28*(Construction!AA17+Inputs!$F$79)/100*Construction!AA11/Inputs!$F$247*1</f>
        <v/>
      </c>
      <c r="AB33" s="13">
        <f>Construction!AB14*AB28*(Construction!AB17+Inputs!$F$79)/100*Construction!AB11/Inputs!$F$247*1</f>
        <v/>
      </c>
      <c r="AC33" s="13">
        <f>Construction!AC14*AC28*(Construction!AC17+Inputs!$F$79)/100*Construction!AC11/Inputs!$F$247*1</f>
        <v/>
      </c>
      <c r="AD33" s="13">
        <f>Construction!AD14*AD28*(Construction!AD17+Inputs!$F$79)/100*Construction!AD11/Inputs!$F$247*1</f>
        <v/>
      </c>
      <c r="AE33" s="13">
        <f>Construction!AE14*AE28*(Construction!AE17+Inputs!$F$79)/100*Construction!AE11/Inputs!$F$247*1</f>
        <v/>
      </c>
      <c r="AF33" s="13">
        <f>Construction!AF14*AF28*(Construction!AF17+Inputs!$F$79)/100*Construction!AF11/Inputs!$F$247*1</f>
        <v/>
      </c>
      <c r="AG33" s="13">
        <f>Construction!AG14*AG28*(Construction!AG17+Inputs!$F$79)/100*Construction!AG11/Inputs!$F$247*1</f>
        <v/>
      </c>
      <c r="AH33" s="13">
        <f>Construction!AH14*AH28*(Construction!AH17+Inputs!$F$79)/100*Construction!AH11/Inputs!$F$247*1</f>
        <v/>
      </c>
      <c r="AI33" s="13">
        <f>Construction!AI14*AI28*(Construction!AI17+Inputs!$F$79)/100*Construction!AI11/Inputs!$F$247*1</f>
        <v/>
      </c>
      <c r="AJ33" s="13">
        <f>Construction!AJ14*AJ28*(Construction!AJ17+Inputs!$F$79)/100*Construction!AJ11/Inputs!$F$247*1</f>
        <v/>
      </c>
      <c r="AK33" s="13">
        <f>Construction!AK14*AK28*(Construction!AK17+Inputs!$F$79)/100*Construction!AK11/Inputs!$F$247*1</f>
        <v/>
      </c>
      <c r="AL33" s="13">
        <f>Construction!AL14*AL28*(Construction!AL17+Inputs!$F$79)/100*Construction!AL11/Inputs!$F$247*1</f>
        <v/>
      </c>
      <c r="AM33" s="13">
        <f>Construction!AM14*AM28*(Construction!AM17+Inputs!$F$79)/100*Construction!AM11/Inputs!$F$247*1</f>
        <v/>
      </c>
      <c r="AN33" s="13">
        <f>Construction!AN14*AN28*(Construction!AN17+Inputs!$F$79)/100*Construction!AN11/Inputs!$F$247*1</f>
        <v/>
      </c>
      <c r="AO33" s="13">
        <f>Construction!AO14*AO28*(Construction!AO17+Inputs!$F$79)/100*Construction!AO11/Inputs!$F$247*1</f>
        <v/>
      </c>
      <c r="AP33" s="13">
        <f>Construction!AP14*AP28*(Construction!AP17+Inputs!$F$79)/100*Construction!AP11/Inputs!$F$247*1</f>
        <v/>
      </c>
      <c r="AQ33" s="13">
        <f>Construction!AQ14*AQ28*(Construction!AQ17+Inputs!$F$79)/100*Construction!AQ11/Inputs!$F$247*1</f>
        <v/>
      </c>
      <c r="AR33" s="13">
        <f>Construction!AR14*AR28*(Construction!AR17+Inputs!$F$79)/100*Construction!AR11/Inputs!$F$247*1</f>
        <v/>
      </c>
      <c r="AS33" s="13">
        <f>Construction!AS14*AS28*(Construction!AS17+Inputs!$F$79)/100*Construction!AS11/Inputs!$F$247*1</f>
        <v/>
      </c>
      <c r="AT33" s="13">
        <f>Construction!AT14*AT28*(Construction!AT17+Inputs!$F$79)/100*Construction!AT11/Inputs!$F$247*1</f>
        <v/>
      </c>
      <c r="AU33" s="13">
        <f>Construction!AU14*AU28*(Construction!AU17+Inputs!$F$79)/100*Construction!AU11/Inputs!$F$247*1</f>
        <v/>
      </c>
      <c r="AV33" s="13">
        <f>Construction!AV14*AV28*(Construction!AV17+Inputs!$F$79)/100*Construction!AV11/Inputs!$F$247*1</f>
        <v/>
      </c>
      <c r="AW33" s="13">
        <f>Construction!AW14*AW28*(Construction!AW17+Inputs!$F$79)/100*Construction!AW11/Inputs!$F$247*1</f>
        <v/>
      </c>
      <c r="AX33" s="13">
        <f>Construction!AX14*AX28*(Construction!AX17+Inputs!$F$79)/100*Construction!AX11/Inputs!$F$247*1</f>
        <v/>
      </c>
      <c r="AY33" s="13">
        <f>Construction!AY14*AY28*(Construction!AY17+Inputs!$F$79)/100*Construction!AY11/Inputs!$F$247*1</f>
        <v/>
      </c>
      <c r="AZ33" s="13">
        <f>Construction!AZ14*AZ28*(Construction!AZ17+Inputs!$F$79)/100*Construction!AZ11/Inputs!$F$247*1</f>
        <v/>
      </c>
      <c r="BA33" s="13">
        <f>Construction!BA14*BA28*(Construction!BA17+Inputs!$F$79)/100*Construction!BA11/Inputs!$F$247*1</f>
        <v/>
      </c>
      <c r="BB33" s="13">
        <f>Construction!BB14*BB28*(Construction!BB17+Inputs!$F$79)/100*Construction!BB11/Inputs!$F$247*1</f>
        <v/>
      </c>
      <c r="BC33" s="13">
        <f>Construction!BC14*BC28*(Construction!BC17+Inputs!$F$79)/100*Construction!BC11/Inputs!$F$247*1</f>
        <v/>
      </c>
      <c r="BD33" s="13">
        <f>Construction!BD14*BD28*(Construction!BD17+Inputs!$F$79)/100*Construction!BD11/Inputs!$F$247*1</f>
        <v/>
      </c>
      <c r="BE33" s="13">
        <f>Construction!BE14*BE28*(Construction!BE17+Inputs!$F$79)/100*Construction!BE11/Inputs!$F$247*1</f>
        <v/>
      </c>
      <c r="BF33" s="13">
        <f>Construction!BF14*BF28*(Construction!BF17+Inputs!$F$79)/100*Construction!BF11/Inputs!$F$247*1</f>
        <v/>
      </c>
      <c r="BG33" s="13">
        <f>Construction!BG14*BG28*(Construction!BG17+Inputs!$F$79)/100*Construction!BG11/Inputs!$F$247*1</f>
        <v/>
      </c>
      <c r="BH33" s="13">
        <f>Construction!BH14*BH28*(Construction!BH17+Inputs!$F$79)/100*Construction!BH11/Inputs!$F$247*1</f>
        <v/>
      </c>
      <c r="BI33" s="13">
        <f>Construction!BI14*BI28*(Construction!BI17+Inputs!$F$79)/100*Construction!BI11/Inputs!$F$247*1</f>
        <v/>
      </c>
      <c r="BJ33" s="13">
        <f>Construction!BJ14*BJ28*(Construction!BJ17+Inputs!$F$79)/100*Construction!BJ11/Inputs!$F$247*1</f>
        <v/>
      </c>
    </row>
    <row r="34">
      <c r="D34" t="inlineStr">
        <is>
          <t>ABDB A-loan: interest</t>
        </is>
      </c>
      <c r="E34" t="inlineStr">
        <is>
          <t>USD m</t>
        </is>
      </c>
      <c r="G34" s="13">
        <f>SUM(J34:BJ34)</f>
        <v/>
      </c>
      <c r="J34" s="13">
        <f>Construction!J14*J29*(Construction!J17+Inputs!$F$80)/100*Construction!J11/Inputs!$F$247*1</f>
        <v/>
      </c>
      <c r="K34" s="13">
        <f>Construction!K14*K29*(Construction!K17+Inputs!$F$80)/100*Construction!K11/Inputs!$F$247*1</f>
        <v/>
      </c>
      <c r="L34" s="13">
        <f>Construction!L14*L29*(Construction!L17+Inputs!$F$80)/100*Construction!L11/Inputs!$F$247*1</f>
        <v/>
      </c>
      <c r="M34" s="13">
        <f>Construction!M14*M29*(Construction!M17+Inputs!$F$80)/100*Construction!M11/Inputs!$F$247*1</f>
        <v/>
      </c>
      <c r="N34" s="13">
        <f>Construction!N14*N29*(Construction!N17+Inputs!$F$80)/100*Construction!N11/Inputs!$F$247*1</f>
        <v/>
      </c>
      <c r="O34" s="13">
        <f>Construction!O14*O29*(Construction!O17+Inputs!$F$80)/100*Construction!O11/Inputs!$F$247*1</f>
        <v/>
      </c>
      <c r="P34" s="13">
        <f>Construction!P14*P29*(Construction!P17+Inputs!$F$80)/100*Construction!P11/Inputs!$F$247*1</f>
        <v/>
      </c>
      <c r="Q34" s="13">
        <f>Construction!Q14*Q29*(Construction!Q17+Inputs!$F$80)/100*Construction!Q11/Inputs!$F$247*1</f>
        <v/>
      </c>
      <c r="R34" s="13">
        <f>Construction!R14*R29*(Construction!R17+Inputs!$F$80)/100*Construction!R11/Inputs!$F$247*1</f>
        <v/>
      </c>
      <c r="S34" s="13">
        <f>Construction!S14*S29*(Construction!S17+Inputs!$F$80)/100*Construction!S11/Inputs!$F$247*1</f>
        <v/>
      </c>
      <c r="T34" s="13">
        <f>Construction!T14*T29*(Construction!T17+Inputs!$F$80)/100*Construction!T11/Inputs!$F$247*1</f>
        <v/>
      </c>
      <c r="U34" s="13">
        <f>Construction!U14*U29*(Construction!U17+Inputs!$F$80)/100*Construction!U11/Inputs!$F$247*1</f>
        <v/>
      </c>
      <c r="V34" s="13">
        <f>Construction!V14*V29*(Construction!V17+Inputs!$F$80)/100*Construction!V11/Inputs!$F$247*1</f>
        <v/>
      </c>
      <c r="W34" s="13">
        <f>Construction!W14*W29*(Construction!W17+Inputs!$F$80)/100*Construction!W11/Inputs!$F$247*1</f>
        <v/>
      </c>
      <c r="X34" s="13">
        <f>Construction!X14*X29*(Construction!X17+Inputs!$F$80)/100*Construction!X11/Inputs!$F$247*1</f>
        <v/>
      </c>
      <c r="Y34" s="13">
        <f>Construction!Y14*Y29*(Construction!Y17+Inputs!$F$80)/100*Construction!Y11/Inputs!$F$247*1</f>
        <v/>
      </c>
      <c r="Z34" s="13">
        <f>Construction!Z14*Z29*(Construction!Z17+Inputs!$F$80)/100*Construction!Z11/Inputs!$F$247*1</f>
        <v/>
      </c>
      <c r="AA34" s="13">
        <f>Construction!AA14*AA29*(Construction!AA17+Inputs!$F$80)/100*Construction!AA11/Inputs!$F$247*1</f>
        <v/>
      </c>
      <c r="AB34" s="13">
        <f>Construction!AB14*AB29*(Construction!AB17+Inputs!$F$80)/100*Construction!AB11/Inputs!$F$247*1</f>
        <v/>
      </c>
      <c r="AC34" s="13">
        <f>Construction!AC14*AC29*(Construction!AC17+Inputs!$F$80)/100*Construction!AC11/Inputs!$F$247*1</f>
        <v/>
      </c>
      <c r="AD34" s="13">
        <f>Construction!AD14*AD29*(Construction!AD17+Inputs!$F$80)/100*Construction!AD11/Inputs!$F$247*1</f>
        <v/>
      </c>
      <c r="AE34" s="13">
        <f>Construction!AE14*AE29*(Construction!AE17+Inputs!$F$80)/100*Construction!AE11/Inputs!$F$247*1</f>
        <v/>
      </c>
      <c r="AF34" s="13">
        <f>Construction!AF14*AF29*(Construction!AF17+Inputs!$F$80)/100*Construction!AF11/Inputs!$F$247*1</f>
        <v/>
      </c>
      <c r="AG34" s="13">
        <f>Construction!AG14*AG29*(Construction!AG17+Inputs!$F$80)/100*Construction!AG11/Inputs!$F$247*1</f>
        <v/>
      </c>
      <c r="AH34" s="13">
        <f>Construction!AH14*AH29*(Construction!AH17+Inputs!$F$80)/100*Construction!AH11/Inputs!$F$247*1</f>
        <v/>
      </c>
      <c r="AI34" s="13">
        <f>Construction!AI14*AI29*(Construction!AI17+Inputs!$F$80)/100*Construction!AI11/Inputs!$F$247*1</f>
        <v/>
      </c>
      <c r="AJ34" s="13">
        <f>Construction!AJ14*AJ29*(Construction!AJ17+Inputs!$F$80)/100*Construction!AJ11/Inputs!$F$247*1</f>
        <v/>
      </c>
      <c r="AK34" s="13">
        <f>Construction!AK14*AK29*(Construction!AK17+Inputs!$F$80)/100*Construction!AK11/Inputs!$F$247*1</f>
        <v/>
      </c>
      <c r="AL34" s="13">
        <f>Construction!AL14*AL29*(Construction!AL17+Inputs!$F$80)/100*Construction!AL11/Inputs!$F$247*1</f>
        <v/>
      </c>
      <c r="AM34" s="13">
        <f>Construction!AM14*AM29*(Construction!AM17+Inputs!$F$80)/100*Construction!AM11/Inputs!$F$247*1</f>
        <v/>
      </c>
      <c r="AN34" s="13">
        <f>Construction!AN14*AN29*(Construction!AN17+Inputs!$F$80)/100*Construction!AN11/Inputs!$F$247*1</f>
        <v/>
      </c>
      <c r="AO34" s="13">
        <f>Construction!AO14*AO29*(Construction!AO17+Inputs!$F$80)/100*Construction!AO11/Inputs!$F$247*1</f>
        <v/>
      </c>
      <c r="AP34" s="13">
        <f>Construction!AP14*AP29*(Construction!AP17+Inputs!$F$80)/100*Construction!AP11/Inputs!$F$247*1</f>
        <v/>
      </c>
      <c r="AQ34" s="13">
        <f>Construction!AQ14*AQ29*(Construction!AQ17+Inputs!$F$80)/100*Construction!AQ11/Inputs!$F$247*1</f>
        <v/>
      </c>
      <c r="AR34" s="13">
        <f>Construction!AR14*AR29*(Construction!AR17+Inputs!$F$80)/100*Construction!AR11/Inputs!$F$247*1</f>
        <v/>
      </c>
      <c r="AS34" s="13">
        <f>Construction!AS14*AS29*(Construction!AS17+Inputs!$F$80)/100*Construction!AS11/Inputs!$F$247*1</f>
        <v/>
      </c>
      <c r="AT34" s="13">
        <f>Construction!AT14*AT29*(Construction!AT17+Inputs!$F$80)/100*Construction!AT11/Inputs!$F$247*1</f>
        <v/>
      </c>
      <c r="AU34" s="13">
        <f>Construction!AU14*AU29*(Construction!AU17+Inputs!$F$80)/100*Construction!AU11/Inputs!$F$247*1</f>
        <v/>
      </c>
      <c r="AV34" s="13">
        <f>Construction!AV14*AV29*(Construction!AV17+Inputs!$F$80)/100*Construction!AV11/Inputs!$F$247*1</f>
        <v/>
      </c>
      <c r="AW34" s="13">
        <f>Construction!AW14*AW29*(Construction!AW17+Inputs!$F$80)/100*Construction!AW11/Inputs!$F$247*1</f>
        <v/>
      </c>
      <c r="AX34" s="13">
        <f>Construction!AX14*AX29*(Construction!AX17+Inputs!$F$80)/100*Construction!AX11/Inputs!$F$247*1</f>
        <v/>
      </c>
      <c r="AY34" s="13">
        <f>Construction!AY14*AY29*(Construction!AY17+Inputs!$F$80)/100*Construction!AY11/Inputs!$F$247*1</f>
        <v/>
      </c>
      <c r="AZ34" s="13">
        <f>Construction!AZ14*AZ29*(Construction!AZ17+Inputs!$F$80)/100*Construction!AZ11/Inputs!$F$247*1</f>
        <v/>
      </c>
      <c r="BA34" s="13">
        <f>Construction!BA14*BA29*(Construction!BA17+Inputs!$F$80)/100*Construction!BA11/Inputs!$F$247*1</f>
        <v/>
      </c>
      <c r="BB34" s="13">
        <f>Construction!BB14*BB29*(Construction!BB17+Inputs!$F$80)/100*Construction!BB11/Inputs!$F$247*1</f>
        <v/>
      </c>
      <c r="BC34" s="13">
        <f>Construction!BC14*BC29*(Construction!BC17+Inputs!$F$80)/100*Construction!BC11/Inputs!$F$247*1</f>
        <v/>
      </c>
      <c r="BD34" s="13">
        <f>Construction!BD14*BD29*(Construction!BD17+Inputs!$F$80)/100*Construction!BD11/Inputs!$F$247*1</f>
        <v/>
      </c>
      <c r="BE34" s="13">
        <f>Construction!BE14*BE29*(Construction!BE17+Inputs!$F$80)/100*Construction!BE11/Inputs!$F$247*1</f>
        <v/>
      </c>
      <c r="BF34" s="13">
        <f>Construction!BF14*BF29*(Construction!BF17+Inputs!$F$80)/100*Construction!BF11/Inputs!$F$247*1</f>
        <v/>
      </c>
      <c r="BG34" s="13">
        <f>Construction!BG14*BG29*(Construction!BG17+Inputs!$F$80)/100*Construction!BG11/Inputs!$F$247*1</f>
        <v/>
      </c>
      <c r="BH34" s="13">
        <f>Construction!BH14*BH29*(Construction!BH17+Inputs!$F$80)/100*Construction!BH11/Inputs!$F$247*1</f>
        <v/>
      </c>
      <c r="BI34" s="13">
        <f>Construction!BI14*BI29*(Construction!BI17+Inputs!$F$80)/100*Construction!BI11/Inputs!$F$247*1</f>
        <v/>
      </c>
      <c r="BJ34" s="13">
        <f>Construction!BJ14*BJ29*(Construction!BJ17+Inputs!$F$80)/100*Construction!BJ11/Inputs!$F$247*1</f>
        <v/>
      </c>
    </row>
    <row r="35">
      <c r="D35" t="inlineStr">
        <is>
          <t>ABDB B-loan: interest</t>
        </is>
      </c>
      <c r="E35" t="inlineStr">
        <is>
          <t>USD m</t>
        </is>
      </c>
      <c r="G35" s="13">
        <f>SUM(J35:BJ35)</f>
        <v/>
      </c>
      <c r="J35" s="13">
        <f>Construction!J14*J30*(Construction!J17+Inputs!$F$81)/100*Construction!J11/Inputs!$F$247*1</f>
        <v/>
      </c>
      <c r="K35" s="13">
        <f>Construction!K14*K30*(Construction!K17+Inputs!$F$81)/100*Construction!K11/Inputs!$F$247*1</f>
        <v/>
      </c>
      <c r="L35" s="13">
        <f>Construction!L14*L30*(Construction!L17+Inputs!$F$81)/100*Construction!L11/Inputs!$F$247*1</f>
        <v/>
      </c>
      <c r="M35" s="13">
        <f>Construction!M14*M30*(Construction!M17+Inputs!$F$81)/100*Construction!M11/Inputs!$F$247*1</f>
        <v/>
      </c>
      <c r="N35" s="13">
        <f>Construction!N14*N30*(Construction!N17+Inputs!$F$81)/100*Construction!N11/Inputs!$F$247*1</f>
        <v/>
      </c>
      <c r="O35" s="13">
        <f>Construction!O14*O30*(Construction!O17+Inputs!$F$81)/100*Construction!O11/Inputs!$F$247*1</f>
        <v/>
      </c>
      <c r="P35" s="13">
        <f>Construction!P14*P30*(Construction!P17+Inputs!$F$81)/100*Construction!P11/Inputs!$F$247*1</f>
        <v/>
      </c>
      <c r="Q35" s="13">
        <f>Construction!Q14*Q30*(Construction!Q17+Inputs!$F$81)/100*Construction!Q11/Inputs!$F$247*1</f>
        <v/>
      </c>
      <c r="R35" s="13">
        <f>Construction!R14*R30*(Construction!R17+Inputs!$F$81)/100*Construction!R11/Inputs!$F$247*1</f>
        <v/>
      </c>
      <c r="S35" s="13">
        <f>Construction!S14*S30*(Construction!S17+Inputs!$F$81)/100*Construction!S11/Inputs!$F$247*1</f>
        <v/>
      </c>
      <c r="T35" s="13">
        <f>Construction!T14*T30*(Construction!T17+Inputs!$F$81)/100*Construction!T11/Inputs!$F$247*1</f>
        <v/>
      </c>
      <c r="U35" s="13">
        <f>Construction!U14*U30*(Construction!U17+Inputs!$F$81)/100*Construction!U11/Inputs!$F$247*1</f>
        <v/>
      </c>
      <c r="V35" s="13">
        <f>Construction!V14*V30*(Construction!V17+Inputs!$F$81)/100*Construction!V11/Inputs!$F$247*1</f>
        <v/>
      </c>
      <c r="W35" s="13">
        <f>Construction!W14*W30*(Construction!W17+Inputs!$F$81)/100*Construction!W11/Inputs!$F$247*1</f>
        <v/>
      </c>
      <c r="X35" s="13">
        <f>Construction!X14*X30*(Construction!X17+Inputs!$F$81)/100*Construction!X11/Inputs!$F$247*1</f>
        <v/>
      </c>
      <c r="Y35" s="13">
        <f>Construction!Y14*Y30*(Construction!Y17+Inputs!$F$81)/100*Construction!Y11/Inputs!$F$247*1</f>
        <v/>
      </c>
      <c r="Z35" s="13">
        <f>Construction!Z14*Z30*(Construction!Z17+Inputs!$F$81)/100*Construction!Z11/Inputs!$F$247*1</f>
        <v/>
      </c>
      <c r="AA35" s="13">
        <f>Construction!AA14*AA30*(Construction!AA17+Inputs!$F$81)/100*Construction!AA11/Inputs!$F$247*1</f>
        <v/>
      </c>
      <c r="AB35" s="13">
        <f>Construction!AB14*AB30*(Construction!AB17+Inputs!$F$81)/100*Construction!AB11/Inputs!$F$247*1</f>
        <v/>
      </c>
      <c r="AC35" s="13">
        <f>Construction!AC14*AC30*(Construction!AC17+Inputs!$F$81)/100*Construction!AC11/Inputs!$F$247*1</f>
        <v/>
      </c>
      <c r="AD35" s="13">
        <f>Construction!AD14*AD30*(Construction!AD17+Inputs!$F$81)/100*Construction!AD11/Inputs!$F$247*1</f>
        <v/>
      </c>
      <c r="AE35" s="13">
        <f>Construction!AE14*AE30*(Construction!AE17+Inputs!$F$81)/100*Construction!AE11/Inputs!$F$247*1</f>
        <v/>
      </c>
      <c r="AF35" s="13">
        <f>Construction!AF14*AF30*(Construction!AF17+Inputs!$F$81)/100*Construction!AF11/Inputs!$F$247*1</f>
        <v/>
      </c>
      <c r="AG35" s="13">
        <f>Construction!AG14*AG30*(Construction!AG17+Inputs!$F$81)/100*Construction!AG11/Inputs!$F$247*1</f>
        <v/>
      </c>
      <c r="AH35" s="13">
        <f>Construction!AH14*AH30*(Construction!AH17+Inputs!$F$81)/100*Construction!AH11/Inputs!$F$247*1</f>
        <v/>
      </c>
      <c r="AI35" s="13">
        <f>Construction!AI14*AI30*(Construction!AI17+Inputs!$F$81)/100*Construction!AI11/Inputs!$F$247*1</f>
        <v/>
      </c>
      <c r="AJ35" s="13">
        <f>Construction!AJ14*AJ30*(Construction!AJ17+Inputs!$F$81)/100*Construction!AJ11/Inputs!$F$247*1</f>
        <v/>
      </c>
      <c r="AK35" s="13">
        <f>Construction!AK14*AK30*(Construction!AK17+Inputs!$F$81)/100*Construction!AK11/Inputs!$F$247*1</f>
        <v/>
      </c>
      <c r="AL35" s="13">
        <f>Construction!AL14*AL30*(Construction!AL17+Inputs!$F$81)/100*Construction!AL11/Inputs!$F$247*1</f>
        <v/>
      </c>
      <c r="AM35" s="13">
        <f>Construction!AM14*AM30*(Construction!AM17+Inputs!$F$81)/100*Construction!AM11/Inputs!$F$247*1</f>
        <v/>
      </c>
      <c r="AN35" s="13">
        <f>Construction!AN14*AN30*(Construction!AN17+Inputs!$F$81)/100*Construction!AN11/Inputs!$F$247*1</f>
        <v/>
      </c>
      <c r="AO35" s="13">
        <f>Construction!AO14*AO30*(Construction!AO17+Inputs!$F$81)/100*Construction!AO11/Inputs!$F$247*1</f>
        <v/>
      </c>
      <c r="AP35" s="13">
        <f>Construction!AP14*AP30*(Construction!AP17+Inputs!$F$81)/100*Construction!AP11/Inputs!$F$247*1</f>
        <v/>
      </c>
      <c r="AQ35" s="13">
        <f>Construction!AQ14*AQ30*(Construction!AQ17+Inputs!$F$81)/100*Construction!AQ11/Inputs!$F$247*1</f>
        <v/>
      </c>
      <c r="AR35" s="13">
        <f>Construction!AR14*AR30*(Construction!AR17+Inputs!$F$81)/100*Construction!AR11/Inputs!$F$247*1</f>
        <v/>
      </c>
      <c r="AS35" s="13">
        <f>Construction!AS14*AS30*(Construction!AS17+Inputs!$F$81)/100*Construction!AS11/Inputs!$F$247*1</f>
        <v/>
      </c>
      <c r="AT35" s="13">
        <f>Construction!AT14*AT30*(Construction!AT17+Inputs!$F$81)/100*Construction!AT11/Inputs!$F$247*1</f>
        <v/>
      </c>
      <c r="AU35" s="13">
        <f>Construction!AU14*AU30*(Construction!AU17+Inputs!$F$81)/100*Construction!AU11/Inputs!$F$247*1</f>
        <v/>
      </c>
      <c r="AV35" s="13">
        <f>Construction!AV14*AV30*(Construction!AV17+Inputs!$F$81)/100*Construction!AV11/Inputs!$F$247*1</f>
        <v/>
      </c>
      <c r="AW35" s="13">
        <f>Construction!AW14*AW30*(Construction!AW17+Inputs!$F$81)/100*Construction!AW11/Inputs!$F$247*1</f>
        <v/>
      </c>
      <c r="AX35" s="13">
        <f>Construction!AX14*AX30*(Construction!AX17+Inputs!$F$81)/100*Construction!AX11/Inputs!$F$247*1</f>
        <v/>
      </c>
      <c r="AY35" s="13">
        <f>Construction!AY14*AY30*(Construction!AY17+Inputs!$F$81)/100*Construction!AY11/Inputs!$F$247*1</f>
        <v/>
      </c>
      <c r="AZ35" s="13">
        <f>Construction!AZ14*AZ30*(Construction!AZ17+Inputs!$F$81)/100*Construction!AZ11/Inputs!$F$247*1</f>
        <v/>
      </c>
      <c r="BA35" s="13">
        <f>Construction!BA14*BA30*(Construction!BA17+Inputs!$F$81)/100*Construction!BA11/Inputs!$F$247*1</f>
        <v/>
      </c>
      <c r="BB35" s="13">
        <f>Construction!BB14*BB30*(Construction!BB17+Inputs!$F$81)/100*Construction!BB11/Inputs!$F$247*1</f>
        <v/>
      </c>
      <c r="BC35" s="13">
        <f>Construction!BC14*BC30*(Construction!BC17+Inputs!$F$81)/100*Construction!BC11/Inputs!$F$247*1</f>
        <v/>
      </c>
      <c r="BD35" s="13">
        <f>Construction!BD14*BD30*(Construction!BD17+Inputs!$F$81)/100*Construction!BD11/Inputs!$F$247*1</f>
        <v/>
      </c>
      <c r="BE35" s="13">
        <f>Construction!BE14*BE30*(Construction!BE17+Inputs!$F$81)/100*Construction!BE11/Inputs!$F$247*1</f>
        <v/>
      </c>
      <c r="BF35" s="13">
        <f>Construction!BF14*BF30*(Construction!BF17+Inputs!$F$81)/100*Construction!BF11/Inputs!$F$247*1</f>
        <v/>
      </c>
      <c r="BG35" s="13">
        <f>Construction!BG14*BG30*(Construction!BG17+Inputs!$F$81)/100*Construction!BG11/Inputs!$F$247*1</f>
        <v/>
      </c>
      <c r="BH35" s="13">
        <f>Construction!BH14*BH30*(Construction!BH17+Inputs!$F$81)/100*Construction!BH11/Inputs!$F$247*1</f>
        <v/>
      </c>
      <c r="BI35" s="13">
        <f>Construction!BI14*BI30*(Construction!BI17+Inputs!$F$81)/100*Construction!BI11/Inputs!$F$247*1</f>
        <v/>
      </c>
      <c r="BJ35" s="13">
        <f>Construction!BJ14*BJ30*(Construction!BJ17+Inputs!$F$81)/100*Construction!BJ11/Inputs!$F$247*1</f>
        <v/>
      </c>
    </row>
    <row r="36">
      <c r="D36" t="inlineStr">
        <is>
          <t>Commercial tranche: interest</t>
        </is>
      </c>
      <c r="E36" t="inlineStr">
        <is>
          <t>USD m</t>
        </is>
      </c>
      <c r="G36" s="13">
        <f>SUM(J36:BJ36)</f>
        <v/>
      </c>
      <c r="J36" s="13">
        <f>Construction!J14*J31*(Construction!J17+Inputs!$F$82)/100*Construction!J11/Inputs!$F$247*(1/(1-Inputs!$F$93/100))</f>
        <v/>
      </c>
      <c r="K36" s="13">
        <f>Construction!K14*K31*(Construction!K17+Inputs!$F$82)/100*Construction!K11/Inputs!$F$247*(1/(1-Inputs!$F$93/100))</f>
        <v/>
      </c>
      <c r="L36" s="13">
        <f>Construction!L14*L31*(Construction!L17+Inputs!$F$82)/100*Construction!L11/Inputs!$F$247*(1/(1-Inputs!$F$93/100))</f>
        <v/>
      </c>
      <c r="M36" s="13">
        <f>Construction!M14*M31*(Construction!M17+Inputs!$F$82)/100*Construction!M11/Inputs!$F$247*(1/(1-Inputs!$F$93/100))</f>
        <v/>
      </c>
      <c r="N36" s="13">
        <f>Construction!N14*N31*(Construction!N17+Inputs!$F$82)/100*Construction!N11/Inputs!$F$247*(1/(1-Inputs!$F$93/100))</f>
        <v/>
      </c>
      <c r="O36" s="13">
        <f>Construction!O14*O31*(Construction!O17+Inputs!$F$82)/100*Construction!O11/Inputs!$F$247*(1/(1-Inputs!$F$93/100))</f>
        <v/>
      </c>
      <c r="P36" s="13">
        <f>Construction!P14*P31*(Construction!P17+Inputs!$F$82)/100*Construction!P11/Inputs!$F$247*(1/(1-Inputs!$F$93/100))</f>
        <v/>
      </c>
      <c r="Q36" s="13">
        <f>Construction!Q14*Q31*(Construction!Q17+Inputs!$F$82)/100*Construction!Q11/Inputs!$F$247*(1/(1-Inputs!$F$93/100))</f>
        <v/>
      </c>
      <c r="R36" s="13">
        <f>Construction!R14*R31*(Construction!R17+Inputs!$F$82)/100*Construction!R11/Inputs!$F$247*(1/(1-Inputs!$F$93/100))</f>
        <v/>
      </c>
      <c r="S36" s="13">
        <f>Construction!S14*S31*(Construction!S17+Inputs!$F$82)/100*Construction!S11/Inputs!$F$247*(1/(1-Inputs!$F$93/100))</f>
        <v/>
      </c>
      <c r="T36" s="13">
        <f>Construction!T14*T31*(Construction!T17+Inputs!$F$82)/100*Construction!T11/Inputs!$F$247*(1/(1-Inputs!$F$93/100))</f>
        <v/>
      </c>
      <c r="U36" s="13">
        <f>Construction!U14*U31*(Construction!U17+Inputs!$F$82)/100*Construction!U11/Inputs!$F$247*(1/(1-Inputs!$F$93/100))</f>
        <v/>
      </c>
      <c r="V36" s="13">
        <f>Construction!V14*V31*(Construction!V17+Inputs!$F$82)/100*Construction!V11/Inputs!$F$247*(1/(1-Inputs!$F$93/100))</f>
        <v/>
      </c>
      <c r="W36" s="13">
        <f>Construction!W14*W31*(Construction!W17+Inputs!$F$82)/100*Construction!W11/Inputs!$F$247*(1/(1-Inputs!$F$93/100))</f>
        <v/>
      </c>
      <c r="X36" s="13">
        <f>Construction!X14*X31*(Construction!X17+Inputs!$F$82)/100*Construction!X11/Inputs!$F$247*(1/(1-Inputs!$F$93/100))</f>
        <v/>
      </c>
      <c r="Y36" s="13">
        <f>Construction!Y14*Y31*(Construction!Y17+Inputs!$F$82)/100*Construction!Y11/Inputs!$F$247*(1/(1-Inputs!$F$93/100))</f>
        <v/>
      </c>
      <c r="Z36" s="13">
        <f>Construction!Z14*Z31*(Construction!Z17+Inputs!$F$82)/100*Construction!Z11/Inputs!$F$247*(1/(1-Inputs!$F$93/100))</f>
        <v/>
      </c>
      <c r="AA36" s="13">
        <f>Construction!AA14*AA31*(Construction!AA17+Inputs!$F$82)/100*Construction!AA11/Inputs!$F$247*(1/(1-Inputs!$F$93/100))</f>
        <v/>
      </c>
      <c r="AB36" s="13">
        <f>Construction!AB14*AB31*(Construction!AB17+Inputs!$F$82)/100*Construction!AB11/Inputs!$F$247*(1/(1-Inputs!$F$93/100))</f>
        <v/>
      </c>
      <c r="AC36" s="13">
        <f>Construction!AC14*AC31*(Construction!AC17+Inputs!$F$82)/100*Construction!AC11/Inputs!$F$247*(1/(1-Inputs!$F$93/100))</f>
        <v/>
      </c>
      <c r="AD36" s="13">
        <f>Construction!AD14*AD31*(Construction!AD17+Inputs!$F$82)/100*Construction!AD11/Inputs!$F$247*(1/(1-Inputs!$F$93/100))</f>
        <v/>
      </c>
      <c r="AE36" s="13">
        <f>Construction!AE14*AE31*(Construction!AE17+Inputs!$F$82)/100*Construction!AE11/Inputs!$F$247*(1/(1-Inputs!$F$93/100))</f>
        <v/>
      </c>
      <c r="AF36" s="13">
        <f>Construction!AF14*AF31*(Construction!AF17+Inputs!$F$82)/100*Construction!AF11/Inputs!$F$247*(1/(1-Inputs!$F$93/100))</f>
        <v/>
      </c>
      <c r="AG36" s="13">
        <f>Construction!AG14*AG31*(Construction!AG17+Inputs!$F$82)/100*Construction!AG11/Inputs!$F$247*(1/(1-Inputs!$F$93/100))</f>
        <v/>
      </c>
      <c r="AH36" s="13">
        <f>Construction!AH14*AH31*(Construction!AH17+Inputs!$F$82)/100*Construction!AH11/Inputs!$F$247*(1/(1-Inputs!$F$93/100))</f>
        <v/>
      </c>
      <c r="AI36" s="13">
        <f>Construction!AI14*AI31*(Construction!AI17+Inputs!$F$82)/100*Construction!AI11/Inputs!$F$247*(1/(1-Inputs!$F$93/100))</f>
        <v/>
      </c>
      <c r="AJ36" s="13">
        <f>Construction!AJ14*AJ31*(Construction!AJ17+Inputs!$F$82)/100*Construction!AJ11/Inputs!$F$247*(1/(1-Inputs!$F$93/100))</f>
        <v/>
      </c>
      <c r="AK36" s="13">
        <f>Construction!AK14*AK31*(Construction!AK17+Inputs!$F$82)/100*Construction!AK11/Inputs!$F$247*(1/(1-Inputs!$F$93/100))</f>
        <v/>
      </c>
      <c r="AL36" s="13">
        <f>Construction!AL14*AL31*(Construction!AL17+Inputs!$F$82)/100*Construction!AL11/Inputs!$F$247*(1/(1-Inputs!$F$93/100))</f>
        <v/>
      </c>
      <c r="AM36" s="13">
        <f>Construction!AM14*AM31*(Construction!AM17+Inputs!$F$82)/100*Construction!AM11/Inputs!$F$247*(1/(1-Inputs!$F$93/100))</f>
        <v/>
      </c>
      <c r="AN36" s="13">
        <f>Construction!AN14*AN31*(Construction!AN17+Inputs!$F$82)/100*Construction!AN11/Inputs!$F$247*(1/(1-Inputs!$F$93/100))</f>
        <v/>
      </c>
      <c r="AO36" s="13">
        <f>Construction!AO14*AO31*(Construction!AO17+Inputs!$F$82)/100*Construction!AO11/Inputs!$F$247*(1/(1-Inputs!$F$93/100))</f>
        <v/>
      </c>
      <c r="AP36" s="13">
        <f>Construction!AP14*AP31*(Construction!AP17+Inputs!$F$82)/100*Construction!AP11/Inputs!$F$247*(1/(1-Inputs!$F$93/100))</f>
        <v/>
      </c>
      <c r="AQ36" s="13">
        <f>Construction!AQ14*AQ31*(Construction!AQ17+Inputs!$F$82)/100*Construction!AQ11/Inputs!$F$247*(1/(1-Inputs!$F$93/100))</f>
        <v/>
      </c>
      <c r="AR36" s="13">
        <f>Construction!AR14*AR31*(Construction!AR17+Inputs!$F$82)/100*Construction!AR11/Inputs!$F$247*(1/(1-Inputs!$F$93/100))</f>
        <v/>
      </c>
      <c r="AS36" s="13">
        <f>Construction!AS14*AS31*(Construction!AS17+Inputs!$F$82)/100*Construction!AS11/Inputs!$F$247*(1/(1-Inputs!$F$93/100))</f>
        <v/>
      </c>
      <c r="AT36" s="13">
        <f>Construction!AT14*AT31*(Construction!AT17+Inputs!$F$82)/100*Construction!AT11/Inputs!$F$247*(1/(1-Inputs!$F$93/100))</f>
        <v/>
      </c>
      <c r="AU36" s="13">
        <f>Construction!AU14*AU31*(Construction!AU17+Inputs!$F$82)/100*Construction!AU11/Inputs!$F$247*(1/(1-Inputs!$F$93/100))</f>
        <v/>
      </c>
      <c r="AV36" s="13">
        <f>Construction!AV14*AV31*(Construction!AV17+Inputs!$F$82)/100*Construction!AV11/Inputs!$F$247*(1/(1-Inputs!$F$93/100))</f>
        <v/>
      </c>
      <c r="AW36" s="13">
        <f>Construction!AW14*AW31*(Construction!AW17+Inputs!$F$82)/100*Construction!AW11/Inputs!$F$247*(1/(1-Inputs!$F$93/100))</f>
        <v/>
      </c>
      <c r="AX36" s="13">
        <f>Construction!AX14*AX31*(Construction!AX17+Inputs!$F$82)/100*Construction!AX11/Inputs!$F$247*(1/(1-Inputs!$F$93/100))</f>
        <v/>
      </c>
      <c r="AY36" s="13">
        <f>Construction!AY14*AY31*(Construction!AY17+Inputs!$F$82)/100*Construction!AY11/Inputs!$F$247*(1/(1-Inputs!$F$93/100))</f>
        <v/>
      </c>
      <c r="AZ36" s="13">
        <f>Construction!AZ14*AZ31*(Construction!AZ17+Inputs!$F$82)/100*Construction!AZ11/Inputs!$F$247*(1/(1-Inputs!$F$93/100))</f>
        <v/>
      </c>
      <c r="BA36" s="13">
        <f>Construction!BA14*BA31*(Construction!BA17+Inputs!$F$82)/100*Construction!BA11/Inputs!$F$247*(1/(1-Inputs!$F$93/100))</f>
        <v/>
      </c>
      <c r="BB36" s="13">
        <f>Construction!BB14*BB31*(Construction!BB17+Inputs!$F$82)/100*Construction!BB11/Inputs!$F$247*(1/(1-Inputs!$F$93/100))</f>
        <v/>
      </c>
      <c r="BC36" s="13">
        <f>Construction!BC14*BC31*(Construction!BC17+Inputs!$F$82)/100*Construction!BC11/Inputs!$F$247*(1/(1-Inputs!$F$93/100))</f>
        <v/>
      </c>
      <c r="BD36" s="13">
        <f>Construction!BD14*BD31*(Construction!BD17+Inputs!$F$82)/100*Construction!BD11/Inputs!$F$247*(1/(1-Inputs!$F$93/100))</f>
        <v/>
      </c>
      <c r="BE36" s="13">
        <f>Construction!BE14*BE31*(Construction!BE17+Inputs!$F$82)/100*Construction!BE11/Inputs!$F$247*(1/(1-Inputs!$F$93/100))</f>
        <v/>
      </c>
      <c r="BF36" s="13">
        <f>Construction!BF14*BF31*(Construction!BF17+Inputs!$F$82)/100*Construction!BF11/Inputs!$F$247*(1/(1-Inputs!$F$93/100))</f>
        <v/>
      </c>
      <c r="BG36" s="13">
        <f>Construction!BG14*BG31*(Construction!BG17+Inputs!$F$82)/100*Construction!BG11/Inputs!$F$247*(1/(1-Inputs!$F$93/100))</f>
        <v/>
      </c>
      <c r="BH36" s="13">
        <f>Construction!BH14*BH31*(Construction!BH17+Inputs!$F$82)/100*Construction!BH11/Inputs!$F$247*(1/(1-Inputs!$F$93/100))</f>
        <v/>
      </c>
      <c r="BI36" s="13">
        <f>Construction!BI14*BI31*(Construction!BI17+Inputs!$F$82)/100*Construction!BI11/Inputs!$F$247*(1/(1-Inputs!$F$93/100))</f>
        <v/>
      </c>
      <c r="BJ36" s="13">
        <f>Construction!BJ14*BJ31*(Construction!BJ17+Inputs!$F$82)/100*Construction!BJ11/Inputs!$F$247*(1/(1-Inputs!$F$93/100))</f>
        <v/>
      </c>
    </row>
    <row r="37">
      <c r="D37" t="inlineStr">
        <is>
          <t>Standby facility: interest</t>
        </is>
      </c>
      <c r="E37" t="inlineStr">
        <is>
          <t>USD m</t>
        </is>
      </c>
      <c r="G37" s="13">
        <f>SUM(J37:BJ37)</f>
        <v/>
      </c>
      <c r="J37" s="13">
        <f>Construction!J14*J32*(Inputs!$F$102*(Construction!J17+Inputs!$F$82+Inputs!$F$101)/(1-Inputs!$F$93/100)+(1-Inputs!$F$102)*(Construction!J17+Inputs!$F$80+Inputs!$F$101))/100*Construction!J11/Inputs!$F$247</f>
        <v/>
      </c>
      <c r="K37" s="13">
        <f>Construction!K14*K32*(Inputs!$F$102*(Construction!K17+Inputs!$F$82+Inputs!$F$101)/(1-Inputs!$F$93/100)+(1-Inputs!$F$102)*(Construction!K17+Inputs!$F$80+Inputs!$F$101))/100*Construction!K11/Inputs!$F$247</f>
        <v/>
      </c>
      <c r="L37" s="13">
        <f>Construction!L14*L32*(Inputs!$F$102*(Construction!L17+Inputs!$F$82+Inputs!$F$101)/(1-Inputs!$F$93/100)+(1-Inputs!$F$102)*(Construction!L17+Inputs!$F$80+Inputs!$F$101))/100*Construction!L11/Inputs!$F$247</f>
        <v/>
      </c>
      <c r="M37" s="13">
        <f>Construction!M14*M32*(Inputs!$F$102*(Construction!M17+Inputs!$F$82+Inputs!$F$101)/(1-Inputs!$F$93/100)+(1-Inputs!$F$102)*(Construction!M17+Inputs!$F$80+Inputs!$F$101))/100*Construction!M11/Inputs!$F$247</f>
        <v/>
      </c>
      <c r="N37" s="13">
        <f>Construction!N14*N32*(Inputs!$F$102*(Construction!N17+Inputs!$F$82+Inputs!$F$101)/(1-Inputs!$F$93/100)+(1-Inputs!$F$102)*(Construction!N17+Inputs!$F$80+Inputs!$F$101))/100*Construction!N11/Inputs!$F$247</f>
        <v/>
      </c>
      <c r="O37" s="13">
        <f>Construction!O14*O32*(Inputs!$F$102*(Construction!O17+Inputs!$F$82+Inputs!$F$101)/(1-Inputs!$F$93/100)+(1-Inputs!$F$102)*(Construction!O17+Inputs!$F$80+Inputs!$F$101))/100*Construction!O11/Inputs!$F$247</f>
        <v/>
      </c>
      <c r="P37" s="13">
        <f>Construction!P14*P32*(Inputs!$F$102*(Construction!P17+Inputs!$F$82+Inputs!$F$101)/(1-Inputs!$F$93/100)+(1-Inputs!$F$102)*(Construction!P17+Inputs!$F$80+Inputs!$F$101))/100*Construction!P11/Inputs!$F$247</f>
        <v/>
      </c>
      <c r="Q37" s="13">
        <f>Construction!Q14*Q32*(Inputs!$F$102*(Construction!Q17+Inputs!$F$82+Inputs!$F$101)/(1-Inputs!$F$93/100)+(1-Inputs!$F$102)*(Construction!Q17+Inputs!$F$80+Inputs!$F$101))/100*Construction!Q11/Inputs!$F$247</f>
        <v/>
      </c>
      <c r="R37" s="13">
        <f>Construction!R14*R32*(Inputs!$F$102*(Construction!R17+Inputs!$F$82+Inputs!$F$101)/(1-Inputs!$F$93/100)+(1-Inputs!$F$102)*(Construction!R17+Inputs!$F$80+Inputs!$F$101))/100*Construction!R11/Inputs!$F$247</f>
        <v/>
      </c>
      <c r="S37" s="13">
        <f>Construction!S14*S32*(Inputs!$F$102*(Construction!S17+Inputs!$F$82+Inputs!$F$101)/(1-Inputs!$F$93/100)+(1-Inputs!$F$102)*(Construction!S17+Inputs!$F$80+Inputs!$F$101))/100*Construction!S11/Inputs!$F$247</f>
        <v/>
      </c>
      <c r="T37" s="13">
        <f>Construction!T14*T32*(Inputs!$F$102*(Construction!T17+Inputs!$F$82+Inputs!$F$101)/(1-Inputs!$F$93/100)+(1-Inputs!$F$102)*(Construction!T17+Inputs!$F$80+Inputs!$F$101))/100*Construction!T11/Inputs!$F$247</f>
        <v/>
      </c>
      <c r="U37" s="13">
        <f>Construction!U14*U32*(Inputs!$F$102*(Construction!U17+Inputs!$F$82+Inputs!$F$101)/(1-Inputs!$F$93/100)+(1-Inputs!$F$102)*(Construction!U17+Inputs!$F$80+Inputs!$F$101))/100*Construction!U11/Inputs!$F$247</f>
        <v/>
      </c>
      <c r="V37" s="13">
        <f>Construction!V14*V32*(Inputs!$F$102*(Construction!V17+Inputs!$F$82+Inputs!$F$101)/(1-Inputs!$F$93/100)+(1-Inputs!$F$102)*(Construction!V17+Inputs!$F$80+Inputs!$F$101))/100*Construction!V11/Inputs!$F$247</f>
        <v/>
      </c>
      <c r="W37" s="13">
        <f>Construction!W14*W32*(Inputs!$F$102*(Construction!W17+Inputs!$F$82+Inputs!$F$101)/(1-Inputs!$F$93/100)+(1-Inputs!$F$102)*(Construction!W17+Inputs!$F$80+Inputs!$F$101))/100*Construction!W11/Inputs!$F$247</f>
        <v/>
      </c>
      <c r="X37" s="13">
        <f>Construction!X14*X32*(Inputs!$F$102*(Construction!X17+Inputs!$F$82+Inputs!$F$101)/(1-Inputs!$F$93/100)+(1-Inputs!$F$102)*(Construction!X17+Inputs!$F$80+Inputs!$F$101))/100*Construction!X11/Inputs!$F$247</f>
        <v/>
      </c>
      <c r="Y37" s="13">
        <f>Construction!Y14*Y32*(Inputs!$F$102*(Construction!Y17+Inputs!$F$82+Inputs!$F$101)/(1-Inputs!$F$93/100)+(1-Inputs!$F$102)*(Construction!Y17+Inputs!$F$80+Inputs!$F$101))/100*Construction!Y11/Inputs!$F$247</f>
        <v/>
      </c>
      <c r="Z37" s="13">
        <f>Construction!Z14*Z32*(Inputs!$F$102*(Construction!Z17+Inputs!$F$82+Inputs!$F$101)/(1-Inputs!$F$93/100)+(1-Inputs!$F$102)*(Construction!Z17+Inputs!$F$80+Inputs!$F$101))/100*Construction!Z11/Inputs!$F$247</f>
        <v/>
      </c>
      <c r="AA37" s="13">
        <f>Construction!AA14*AA32*(Inputs!$F$102*(Construction!AA17+Inputs!$F$82+Inputs!$F$101)/(1-Inputs!$F$93/100)+(1-Inputs!$F$102)*(Construction!AA17+Inputs!$F$80+Inputs!$F$101))/100*Construction!AA11/Inputs!$F$247</f>
        <v/>
      </c>
      <c r="AB37" s="13">
        <f>Construction!AB14*AB32*(Inputs!$F$102*(Construction!AB17+Inputs!$F$82+Inputs!$F$101)/(1-Inputs!$F$93/100)+(1-Inputs!$F$102)*(Construction!AB17+Inputs!$F$80+Inputs!$F$101))/100*Construction!AB11/Inputs!$F$247</f>
        <v/>
      </c>
      <c r="AC37" s="13">
        <f>Construction!AC14*AC32*(Inputs!$F$102*(Construction!AC17+Inputs!$F$82+Inputs!$F$101)/(1-Inputs!$F$93/100)+(1-Inputs!$F$102)*(Construction!AC17+Inputs!$F$80+Inputs!$F$101))/100*Construction!AC11/Inputs!$F$247</f>
        <v/>
      </c>
      <c r="AD37" s="13">
        <f>Construction!AD14*AD32*(Inputs!$F$102*(Construction!AD17+Inputs!$F$82+Inputs!$F$101)/(1-Inputs!$F$93/100)+(1-Inputs!$F$102)*(Construction!AD17+Inputs!$F$80+Inputs!$F$101))/100*Construction!AD11/Inputs!$F$247</f>
        <v/>
      </c>
      <c r="AE37" s="13">
        <f>Construction!AE14*AE32*(Inputs!$F$102*(Construction!AE17+Inputs!$F$82+Inputs!$F$101)/(1-Inputs!$F$93/100)+(1-Inputs!$F$102)*(Construction!AE17+Inputs!$F$80+Inputs!$F$101))/100*Construction!AE11/Inputs!$F$247</f>
        <v/>
      </c>
      <c r="AF37" s="13">
        <f>Construction!AF14*AF32*(Inputs!$F$102*(Construction!AF17+Inputs!$F$82+Inputs!$F$101)/(1-Inputs!$F$93/100)+(1-Inputs!$F$102)*(Construction!AF17+Inputs!$F$80+Inputs!$F$101))/100*Construction!AF11/Inputs!$F$247</f>
        <v/>
      </c>
      <c r="AG37" s="13">
        <f>Construction!AG14*AG32*(Inputs!$F$102*(Construction!AG17+Inputs!$F$82+Inputs!$F$101)/(1-Inputs!$F$93/100)+(1-Inputs!$F$102)*(Construction!AG17+Inputs!$F$80+Inputs!$F$101))/100*Construction!AG11/Inputs!$F$247</f>
        <v/>
      </c>
      <c r="AH37" s="13">
        <f>Construction!AH14*AH32*(Inputs!$F$102*(Construction!AH17+Inputs!$F$82+Inputs!$F$101)/(1-Inputs!$F$93/100)+(1-Inputs!$F$102)*(Construction!AH17+Inputs!$F$80+Inputs!$F$101))/100*Construction!AH11/Inputs!$F$247</f>
        <v/>
      </c>
      <c r="AI37" s="13">
        <f>Construction!AI14*AI32*(Inputs!$F$102*(Construction!AI17+Inputs!$F$82+Inputs!$F$101)/(1-Inputs!$F$93/100)+(1-Inputs!$F$102)*(Construction!AI17+Inputs!$F$80+Inputs!$F$101))/100*Construction!AI11/Inputs!$F$247</f>
        <v/>
      </c>
      <c r="AJ37" s="13">
        <f>Construction!AJ14*AJ32*(Inputs!$F$102*(Construction!AJ17+Inputs!$F$82+Inputs!$F$101)/(1-Inputs!$F$93/100)+(1-Inputs!$F$102)*(Construction!AJ17+Inputs!$F$80+Inputs!$F$101))/100*Construction!AJ11/Inputs!$F$247</f>
        <v/>
      </c>
      <c r="AK37" s="13">
        <f>Construction!AK14*AK32*(Inputs!$F$102*(Construction!AK17+Inputs!$F$82+Inputs!$F$101)/(1-Inputs!$F$93/100)+(1-Inputs!$F$102)*(Construction!AK17+Inputs!$F$80+Inputs!$F$101))/100*Construction!AK11/Inputs!$F$247</f>
        <v/>
      </c>
      <c r="AL37" s="13">
        <f>Construction!AL14*AL32*(Inputs!$F$102*(Construction!AL17+Inputs!$F$82+Inputs!$F$101)/(1-Inputs!$F$93/100)+(1-Inputs!$F$102)*(Construction!AL17+Inputs!$F$80+Inputs!$F$101))/100*Construction!AL11/Inputs!$F$247</f>
        <v/>
      </c>
      <c r="AM37" s="13">
        <f>Construction!AM14*AM32*(Inputs!$F$102*(Construction!AM17+Inputs!$F$82+Inputs!$F$101)/(1-Inputs!$F$93/100)+(1-Inputs!$F$102)*(Construction!AM17+Inputs!$F$80+Inputs!$F$101))/100*Construction!AM11/Inputs!$F$247</f>
        <v/>
      </c>
      <c r="AN37" s="13">
        <f>Construction!AN14*AN32*(Inputs!$F$102*(Construction!AN17+Inputs!$F$82+Inputs!$F$101)/(1-Inputs!$F$93/100)+(1-Inputs!$F$102)*(Construction!AN17+Inputs!$F$80+Inputs!$F$101))/100*Construction!AN11/Inputs!$F$247</f>
        <v/>
      </c>
      <c r="AO37" s="13">
        <f>Construction!AO14*AO32*(Inputs!$F$102*(Construction!AO17+Inputs!$F$82+Inputs!$F$101)/(1-Inputs!$F$93/100)+(1-Inputs!$F$102)*(Construction!AO17+Inputs!$F$80+Inputs!$F$101))/100*Construction!AO11/Inputs!$F$247</f>
        <v/>
      </c>
      <c r="AP37" s="13">
        <f>Construction!AP14*AP32*(Inputs!$F$102*(Construction!AP17+Inputs!$F$82+Inputs!$F$101)/(1-Inputs!$F$93/100)+(1-Inputs!$F$102)*(Construction!AP17+Inputs!$F$80+Inputs!$F$101))/100*Construction!AP11/Inputs!$F$247</f>
        <v/>
      </c>
      <c r="AQ37" s="13">
        <f>Construction!AQ14*AQ32*(Inputs!$F$102*(Construction!AQ17+Inputs!$F$82+Inputs!$F$101)/(1-Inputs!$F$93/100)+(1-Inputs!$F$102)*(Construction!AQ17+Inputs!$F$80+Inputs!$F$101))/100*Construction!AQ11/Inputs!$F$247</f>
        <v/>
      </c>
      <c r="AR37" s="13">
        <f>Construction!AR14*AR32*(Inputs!$F$102*(Construction!AR17+Inputs!$F$82+Inputs!$F$101)/(1-Inputs!$F$93/100)+(1-Inputs!$F$102)*(Construction!AR17+Inputs!$F$80+Inputs!$F$101))/100*Construction!AR11/Inputs!$F$247</f>
        <v/>
      </c>
      <c r="AS37" s="13">
        <f>Construction!AS14*AS32*(Inputs!$F$102*(Construction!AS17+Inputs!$F$82+Inputs!$F$101)/(1-Inputs!$F$93/100)+(1-Inputs!$F$102)*(Construction!AS17+Inputs!$F$80+Inputs!$F$101))/100*Construction!AS11/Inputs!$F$247</f>
        <v/>
      </c>
      <c r="AT37" s="13">
        <f>Construction!AT14*AT32*(Inputs!$F$102*(Construction!AT17+Inputs!$F$82+Inputs!$F$101)/(1-Inputs!$F$93/100)+(1-Inputs!$F$102)*(Construction!AT17+Inputs!$F$80+Inputs!$F$101))/100*Construction!AT11/Inputs!$F$247</f>
        <v/>
      </c>
      <c r="AU37" s="13">
        <f>Construction!AU14*AU32*(Inputs!$F$102*(Construction!AU17+Inputs!$F$82+Inputs!$F$101)/(1-Inputs!$F$93/100)+(1-Inputs!$F$102)*(Construction!AU17+Inputs!$F$80+Inputs!$F$101))/100*Construction!AU11/Inputs!$F$247</f>
        <v/>
      </c>
      <c r="AV37" s="13">
        <f>Construction!AV14*AV32*(Inputs!$F$102*(Construction!AV17+Inputs!$F$82+Inputs!$F$101)/(1-Inputs!$F$93/100)+(1-Inputs!$F$102)*(Construction!AV17+Inputs!$F$80+Inputs!$F$101))/100*Construction!AV11/Inputs!$F$247</f>
        <v/>
      </c>
      <c r="AW37" s="13">
        <f>Construction!AW14*AW32*(Inputs!$F$102*(Construction!AW17+Inputs!$F$82+Inputs!$F$101)/(1-Inputs!$F$93/100)+(1-Inputs!$F$102)*(Construction!AW17+Inputs!$F$80+Inputs!$F$101))/100*Construction!AW11/Inputs!$F$247</f>
        <v/>
      </c>
      <c r="AX37" s="13">
        <f>Construction!AX14*AX32*(Inputs!$F$102*(Construction!AX17+Inputs!$F$82+Inputs!$F$101)/(1-Inputs!$F$93/100)+(1-Inputs!$F$102)*(Construction!AX17+Inputs!$F$80+Inputs!$F$101))/100*Construction!AX11/Inputs!$F$247</f>
        <v/>
      </c>
      <c r="AY37" s="13">
        <f>Construction!AY14*AY32*(Inputs!$F$102*(Construction!AY17+Inputs!$F$82+Inputs!$F$101)/(1-Inputs!$F$93/100)+(1-Inputs!$F$102)*(Construction!AY17+Inputs!$F$80+Inputs!$F$101))/100*Construction!AY11/Inputs!$F$247</f>
        <v/>
      </c>
      <c r="AZ37" s="13">
        <f>Construction!AZ14*AZ32*(Inputs!$F$102*(Construction!AZ17+Inputs!$F$82+Inputs!$F$101)/(1-Inputs!$F$93/100)+(1-Inputs!$F$102)*(Construction!AZ17+Inputs!$F$80+Inputs!$F$101))/100*Construction!AZ11/Inputs!$F$247</f>
        <v/>
      </c>
      <c r="BA37" s="13">
        <f>Construction!BA14*BA32*(Inputs!$F$102*(Construction!BA17+Inputs!$F$82+Inputs!$F$101)/(1-Inputs!$F$93/100)+(1-Inputs!$F$102)*(Construction!BA17+Inputs!$F$80+Inputs!$F$101))/100*Construction!BA11/Inputs!$F$247</f>
        <v/>
      </c>
      <c r="BB37" s="13">
        <f>Construction!BB14*BB32*(Inputs!$F$102*(Construction!BB17+Inputs!$F$82+Inputs!$F$101)/(1-Inputs!$F$93/100)+(1-Inputs!$F$102)*(Construction!BB17+Inputs!$F$80+Inputs!$F$101))/100*Construction!BB11/Inputs!$F$247</f>
        <v/>
      </c>
      <c r="BC37" s="13">
        <f>Construction!BC14*BC32*(Inputs!$F$102*(Construction!BC17+Inputs!$F$82+Inputs!$F$101)/(1-Inputs!$F$93/100)+(1-Inputs!$F$102)*(Construction!BC17+Inputs!$F$80+Inputs!$F$101))/100*Construction!BC11/Inputs!$F$247</f>
        <v/>
      </c>
      <c r="BD37" s="13">
        <f>Construction!BD14*BD32*(Inputs!$F$102*(Construction!BD17+Inputs!$F$82+Inputs!$F$101)/(1-Inputs!$F$93/100)+(1-Inputs!$F$102)*(Construction!BD17+Inputs!$F$80+Inputs!$F$101))/100*Construction!BD11/Inputs!$F$247</f>
        <v/>
      </c>
      <c r="BE37" s="13">
        <f>Construction!BE14*BE32*(Inputs!$F$102*(Construction!BE17+Inputs!$F$82+Inputs!$F$101)/(1-Inputs!$F$93/100)+(1-Inputs!$F$102)*(Construction!BE17+Inputs!$F$80+Inputs!$F$101))/100*Construction!BE11/Inputs!$F$247</f>
        <v/>
      </c>
      <c r="BF37" s="13">
        <f>Construction!BF14*BF32*(Inputs!$F$102*(Construction!BF17+Inputs!$F$82+Inputs!$F$101)/(1-Inputs!$F$93/100)+(1-Inputs!$F$102)*(Construction!BF17+Inputs!$F$80+Inputs!$F$101))/100*Construction!BF11/Inputs!$F$247</f>
        <v/>
      </c>
      <c r="BG37" s="13">
        <f>Construction!BG14*BG32*(Inputs!$F$102*(Construction!BG17+Inputs!$F$82+Inputs!$F$101)/(1-Inputs!$F$93/100)+(1-Inputs!$F$102)*(Construction!BG17+Inputs!$F$80+Inputs!$F$101))/100*Construction!BG11/Inputs!$F$247</f>
        <v/>
      </c>
      <c r="BH37" s="13">
        <f>Construction!BH14*BH32*(Inputs!$F$102*(Construction!BH17+Inputs!$F$82+Inputs!$F$101)/(1-Inputs!$F$93/100)+(1-Inputs!$F$102)*(Construction!BH17+Inputs!$F$80+Inputs!$F$101))/100*Construction!BH11/Inputs!$F$247</f>
        <v/>
      </c>
      <c r="BI37" s="13">
        <f>Construction!BI14*BI32*(Inputs!$F$102*(Construction!BI17+Inputs!$F$82+Inputs!$F$101)/(1-Inputs!$F$93/100)+(1-Inputs!$F$102)*(Construction!BI17+Inputs!$F$80+Inputs!$F$101))/100*Construction!BI11/Inputs!$F$247</f>
        <v/>
      </c>
      <c r="BJ37" s="13">
        <f>Construction!BJ14*BJ32*(Inputs!$F$102*(Construction!BJ17+Inputs!$F$82+Inputs!$F$101)/(1-Inputs!$F$93/100)+(1-Inputs!$F$102)*(Construction!BJ17+Inputs!$F$80+Inputs!$F$101))/100*Construction!BJ11/Inputs!$F$247</f>
        <v/>
      </c>
    </row>
    <row r="38">
      <c r="D38" t="inlineStr">
        <is>
          <t>PRI premium on commercial tranche</t>
        </is>
      </c>
      <c r="E38" t="inlineStr">
        <is>
          <t>USD m</t>
        </is>
      </c>
      <c r="G38" s="13">
        <f>SUM(J38:BJ38)</f>
        <v/>
      </c>
      <c r="J38" s="13">
        <f>Construction!J14*(Inputs!$F$95/100*Inputs!$F$96/100)*J31*Construction!J11/Inputs!$F$248</f>
        <v/>
      </c>
      <c r="K38" s="13">
        <f>Construction!K14*(Inputs!$F$95/100*Inputs!$F$96/100)*K31*Construction!K11/Inputs!$F$248</f>
        <v/>
      </c>
      <c r="L38" s="13">
        <f>Construction!L14*(Inputs!$F$95/100*Inputs!$F$96/100)*L31*Construction!L11/Inputs!$F$248</f>
        <v/>
      </c>
      <c r="M38" s="13">
        <f>Construction!M14*(Inputs!$F$95/100*Inputs!$F$96/100)*M31*Construction!M11/Inputs!$F$248</f>
        <v/>
      </c>
      <c r="N38" s="13">
        <f>Construction!N14*(Inputs!$F$95/100*Inputs!$F$96/100)*N31*Construction!N11/Inputs!$F$248</f>
        <v/>
      </c>
      <c r="O38" s="13">
        <f>Construction!O14*(Inputs!$F$95/100*Inputs!$F$96/100)*O31*Construction!O11/Inputs!$F$248</f>
        <v/>
      </c>
      <c r="P38" s="13">
        <f>Construction!P14*(Inputs!$F$95/100*Inputs!$F$96/100)*P31*Construction!P11/Inputs!$F$248</f>
        <v/>
      </c>
      <c r="Q38" s="13">
        <f>Construction!Q14*(Inputs!$F$95/100*Inputs!$F$96/100)*Q31*Construction!Q11/Inputs!$F$248</f>
        <v/>
      </c>
      <c r="R38" s="13">
        <f>Construction!R14*(Inputs!$F$95/100*Inputs!$F$96/100)*R31*Construction!R11/Inputs!$F$248</f>
        <v/>
      </c>
      <c r="S38" s="13">
        <f>Construction!S14*(Inputs!$F$95/100*Inputs!$F$96/100)*S31*Construction!S11/Inputs!$F$248</f>
        <v/>
      </c>
      <c r="T38" s="13">
        <f>Construction!T14*(Inputs!$F$95/100*Inputs!$F$96/100)*T31*Construction!T11/Inputs!$F$248</f>
        <v/>
      </c>
      <c r="U38" s="13">
        <f>Construction!U14*(Inputs!$F$95/100*Inputs!$F$96/100)*U31*Construction!U11/Inputs!$F$248</f>
        <v/>
      </c>
      <c r="V38" s="13">
        <f>Construction!V14*(Inputs!$F$95/100*Inputs!$F$96/100)*V31*Construction!V11/Inputs!$F$248</f>
        <v/>
      </c>
      <c r="W38" s="13">
        <f>Construction!W14*(Inputs!$F$95/100*Inputs!$F$96/100)*W31*Construction!W11/Inputs!$F$248</f>
        <v/>
      </c>
      <c r="X38" s="13">
        <f>Construction!X14*(Inputs!$F$95/100*Inputs!$F$96/100)*X31*Construction!X11/Inputs!$F$248</f>
        <v/>
      </c>
      <c r="Y38" s="13">
        <f>Construction!Y14*(Inputs!$F$95/100*Inputs!$F$96/100)*Y31*Construction!Y11/Inputs!$F$248</f>
        <v/>
      </c>
      <c r="Z38" s="13">
        <f>Construction!Z14*(Inputs!$F$95/100*Inputs!$F$96/100)*Z31*Construction!Z11/Inputs!$F$248</f>
        <v/>
      </c>
      <c r="AA38" s="13">
        <f>Construction!AA14*(Inputs!$F$95/100*Inputs!$F$96/100)*AA31*Construction!AA11/Inputs!$F$248</f>
        <v/>
      </c>
      <c r="AB38" s="13">
        <f>Construction!AB14*(Inputs!$F$95/100*Inputs!$F$96/100)*AB31*Construction!AB11/Inputs!$F$248</f>
        <v/>
      </c>
      <c r="AC38" s="13">
        <f>Construction!AC14*(Inputs!$F$95/100*Inputs!$F$96/100)*AC31*Construction!AC11/Inputs!$F$248</f>
        <v/>
      </c>
      <c r="AD38" s="13">
        <f>Construction!AD14*(Inputs!$F$95/100*Inputs!$F$96/100)*AD31*Construction!AD11/Inputs!$F$248</f>
        <v/>
      </c>
      <c r="AE38" s="13">
        <f>Construction!AE14*(Inputs!$F$95/100*Inputs!$F$96/100)*AE31*Construction!AE11/Inputs!$F$248</f>
        <v/>
      </c>
      <c r="AF38" s="13">
        <f>Construction!AF14*(Inputs!$F$95/100*Inputs!$F$96/100)*AF31*Construction!AF11/Inputs!$F$248</f>
        <v/>
      </c>
      <c r="AG38" s="13">
        <f>Construction!AG14*(Inputs!$F$95/100*Inputs!$F$96/100)*AG31*Construction!AG11/Inputs!$F$248</f>
        <v/>
      </c>
      <c r="AH38" s="13">
        <f>Construction!AH14*(Inputs!$F$95/100*Inputs!$F$96/100)*AH31*Construction!AH11/Inputs!$F$248</f>
        <v/>
      </c>
      <c r="AI38" s="13">
        <f>Construction!AI14*(Inputs!$F$95/100*Inputs!$F$96/100)*AI31*Construction!AI11/Inputs!$F$248</f>
        <v/>
      </c>
      <c r="AJ38" s="13">
        <f>Construction!AJ14*(Inputs!$F$95/100*Inputs!$F$96/100)*AJ31*Construction!AJ11/Inputs!$F$248</f>
        <v/>
      </c>
      <c r="AK38" s="13">
        <f>Construction!AK14*(Inputs!$F$95/100*Inputs!$F$96/100)*AK31*Construction!AK11/Inputs!$F$248</f>
        <v/>
      </c>
      <c r="AL38" s="13">
        <f>Construction!AL14*(Inputs!$F$95/100*Inputs!$F$96/100)*AL31*Construction!AL11/Inputs!$F$248</f>
        <v/>
      </c>
      <c r="AM38" s="13">
        <f>Construction!AM14*(Inputs!$F$95/100*Inputs!$F$96/100)*AM31*Construction!AM11/Inputs!$F$248</f>
        <v/>
      </c>
      <c r="AN38" s="13">
        <f>Construction!AN14*(Inputs!$F$95/100*Inputs!$F$96/100)*AN31*Construction!AN11/Inputs!$F$248</f>
        <v/>
      </c>
      <c r="AO38" s="13">
        <f>Construction!AO14*(Inputs!$F$95/100*Inputs!$F$96/100)*AO31*Construction!AO11/Inputs!$F$248</f>
        <v/>
      </c>
      <c r="AP38" s="13">
        <f>Construction!AP14*(Inputs!$F$95/100*Inputs!$F$96/100)*AP31*Construction!AP11/Inputs!$F$248</f>
        <v/>
      </c>
      <c r="AQ38" s="13">
        <f>Construction!AQ14*(Inputs!$F$95/100*Inputs!$F$96/100)*AQ31*Construction!AQ11/Inputs!$F$248</f>
        <v/>
      </c>
      <c r="AR38" s="13">
        <f>Construction!AR14*(Inputs!$F$95/100*Inputs!$F$96/100)*AR31*Construction!AR11/Inputs!$F$248</f>
        <v/>
      </c>
      <c r="AS38" s="13">
        <f>Construction!AS14*(Inputs!$F$95/100*Inputs!$F$96/100)*AS31*Construction!AS11/Inputs!$F$248</f>
        <v/>
      </c>
      <c r="AT38" s="13">
        <f>Construction!AT14*(Inputs!$F$95/100*Inputs!$F$96/100)*AT31*Construction!AT11/Inputs!$F$248</f>
        <v/>
      </c>
      <c r="AU38" s="13">
        <f>Construction!AU14*(Inputs!$F$95/100*Inputs!$F$96/100)*AU31*Construction!AU11/Inputs!$F$248</f>
        <v/>
      </c>
      <c r="AV38" s="13">
        <f>Construction!AV14*(Inputs!$F$95/100*Inputs!$F$96/100)*AV31*Construction!AV11/Inputs!$F$248</f>
        <v/>
      </c>
      <c r="AW38" s="13">
        <f>Construction!AW14*(Inputs!$F$95/100*Inputs!$F$96/100)*AW31*Construction!AW11/Inputs!$F$248</f>
        <v/>
      </c>
      <c r="AX38" s="13">
        <f>Construction!AX14*(Inputs!$F$95/100*Inputs!$F$96/100)*AX31*Construction!AX11/Inputs!$F$248</f>
        <v/>
      </c>
      <c r="AY38" s="13">
        <f>Construction!AY14*(Inputs!$F$95/100*Inputs!$F$96/100)*AY31*Construction!AY11/Inputs!$F$248</f>
        <v/>
      </c>
      <c r="AZ38" s="13">
        <f>Construction!AZ14*(Inputs!$F$95/100*Inputs!$F$96/100)*AZ31*Construction!AZ11/Inputs!$F$248</f>
        <v/>
      </c>
      <c r="BA38" s="13">
        <f>Construction!BA14*(Inputs!$F$95/100*Inputs!$F$96/100)*BA31*Construction!BA11/Inputs!$F$248</f>
        <v/>
      </c>
      <c r="BB38" s="13">
        <f>Construction!BB14*(Inputs!$F$95/100*Inputs!$F$96/100)*BB31*Construction!BB11/Inputs!$F$248</f>
        <v/>
      </c>
      <c r="BC38" s="13">
        <f>Construction!BC14*(Inputs!$F$95/100*Inputs!$F$96/100)*BC31*Construction!BC11/Inputs!$F$248</f>
        <v/>
      </c>
      <c r="BD38" s="13">
        <f>Construction!BD14*(Inputs!$F$95/100*Inputs!$F$96/100)*BD31*Construction!BD11/Inputs!$F$248</f>
        <v/>
      </c>
      <c r="BE38" s="13">
        <f>Construction!BE14*(Inputs!$F$95/100*Inputs!$F$96/100)*BE31*Construction!BE11/Inputs!$F$248</f>
        <v/>
      </c>
      <c r="BF38" s="13">
        <f>Construction!BF14*(Inputs!$F$95/100*Inputs!$F$96/100)*BF31*Construction!BF11/Inputs!$F$248</f>
        <v/>
      </c>
      <c r="BG38" s="13">
        <f>Construction!BG14*(Inputs!$F$95/100*Inputs!$F$96/100)*BG31*Construction!BG11/Inputs!$F$248</f>
        <v/>
      </c>
      <c r="BH38" s="13">
        <f>Construction!BH14*(Inputs!$F$95/100*Inputs!$F$96/100)*BH31*Construction!BH11/Inputs!$F$248</f>
        <v/>
      </c>
      <c r="BI38" s="13">
        <f>Construction!BI14*(Inputs!$F$95/100*Inputs!$F$96/100)*BI31*Construction!BI11/Inputs!$F$248</f>
        <v/>
      </c>
      <c r="BJ38" s="13">
        <f>Construction!BJ14*(Inputs!$F$95/100*Inputs!$F$96/100)*BJ31*Construction!BJ11/Inputs!$F$248</f>
        <v/>
      </c>
    </row>
    <row r="39">
      <c r="D39" t="inlineStr">
        <is>
          <t>Swap net payment</t>
        </is>
      </c>
      <c r="E39" t="inlineStr">
        <is>
          <t>USD m</t>
        </is>
      </c>
      <c r="G39" s="13">
        <f>SUM(J39:BJ39)</f>
        <v/>
      </c>
      <c r="J39" s="13">
        <f>Construction!J14*Inputs!J309*(Inputs!$F$97/100/12-Construction!J17/100*Construction!J11/Inputs!$F$247)</f>
        <v/>
      </c>
      <c r="K39" s="13">
        <f>Construction!K14*Inputs!K309*(Inputs!$F$97/100/12-Construction!K17/100*Construction!K11/Inputs!$F$247)</f>
        <v/>
      </c>
      <c r="L39" s="13">
        <f>Construction!L14*Inputs!L309*(Inputs!$F$97/100/12-Construction!L17/100*Construction!L11/Inputs!$F$247)</f>
        <v/>
      </c>
      <c r="M39" s="13">
        <f>Construction!M14*Inputs!M309*(Inputs!$F$97/100/12-Construction!M17/100*Construction!M11/Inputs!$F$247)</f>
        <v/>
      </c>
      <c r="N39" s="13">
        <f>Construction!N14*Inputs!N309*(Inputs!$F$97/100/12-Construction!N17/100*Construction!N11/Inputs!$F$247)</f>
        <v/>
      </c>
      <c r="O39" s="13">
        <f>Construction!O14*Inputs!O309*(Inputs!$F$97/100/12-Construction!O17/100*Construction!O11/Inputs!$F$247)</f>
        <v/>
      </c>
      <c r="P39" s="13">
        <f>Construction!P14*Inputs!P309*(Inputs!$F$97/100/12-Construction!P17/100*Construction!P11/Inputs!$F$247)</f>
        <v/>
      </c>
      <c r="Q39" s="13">
        <f>Construction!Q14*Inputs!Q309*(Inputs!$F$97/100/12-Construction!Q17/100*Construction!Q11/Inputs!$F$247)</f>
        <v/>
      </c>
      <c r="R39" s="13">
        <f>Construction!R14*Inputs!R309*(Inputs!$F$97/100/12-Construction!R17/100*Construction!R11/Inputs!$F$247)</f>
        <v/>
      </c>
      <c r="S39" s="13">
        <f>Construction!S14*Inputs!S309*(Inputs!$F$97/100/12-Construction!S17/100*Construction!S11/Inputs!$F$247)</f>
        <v/>
      </c>
      <c r="T39" s="13">
        <f>Construction!T14*Inputs!T309*(Inputs!$F$97/100/12-Construction!T17/100*Construction!T11/Inputs!$F$247)</f>
        <v/>
      </c>
      <c r="U39" s="13">
        <f>Construction!U14*Inputs!U309*(Inputs!$F$97/100/12-Construction!U17/100*Construction!U11/Inputs!$F$247)</f>
        <v/>
      </c>
      <c r="V39" s="13">
        <f>Construction!V14*Inputs!V309*(Inputs!$F$97/100/12-Construction!V17/100*Construction!V11/Inputs!$F$247)</f>
        <v/>
      </c>
      <c r="W39" s="13">
        <f>Construction!W14*Inputs!W309*(Inputs!$F$97/100/12-Construction!W17/100*Construction!W11/Inputs!$F$247)</f>
        <v/>
      </c>
      <c r="X39" s="13">
        <f>Construction!X14*Inputs!X309*(Inputs!$F$97/100/12-Construction!X17/100*Construction!X11/Inputs!$F$247)</f>
        <v/>
      </c>
      <c r="Y39" s="13">
        <f>Construction!Y14*Inputs!Y309*(Inputs!$F$97/100/12-Construction!Y17/100*Construction!Y11/Inputs!$F$247)</f>
        <v/>
      </c>
      <c r="Z39" s="13">
        <f>Construction!Z14*Inputs!Z309*(Inputs!$F$97/100/12-Construction!Z17/100*Construction!Z11/Inputs!$F$247)</f>
        <v/>
      </c>
      <c r="AA39" s="13">
        <f>Construction!AA14*Inputs!AA309*(Inputs!$F$97/100/12-Construction!AA17/100*Construction!AA11/Inputs!$F$247)</f>
        <v/>
      </c>
      <c r="AB39" s="13">
        <f>Construction!AB14*Inputs!AB309*(Inputs!$F$97/100/12-Construction!AB17/100*Construction!AB11/Inputs!$F$247)</f>
        <v/>
      </c>
      <c r="AC39" s="13">
        <f>Construction!AC14*Inputs!AC309*(Inputs!$F$97/100/12-Construction!AC17/100*Construction!AC11/Inputs!$F$247)</f>
        <v/>
      </c>
      <c r="AD39" s="13">
        <f>Construction!AD14*Inputs!AD309*(Inputs!$F$97/100/12-Construction!AD17/100*Construction!AD11/Inputs!$F$247)</f>
        <v/>
      </c>
      <c r="AE39" s="13">
        <f>Construction!AE14*Inputs!AE309*(Inputs!$F$97/100/12-Construction!AE17/100*Construction!AE11/Inputs!$F$247)</f>
        <v/>
      </c>
      <c r="AF39" s="13">
        <f>Construction!AF14*Inputs!AF309*(Inputs!$F$97/100/12-Construction!AF17/100*Construction!AF11/Inputs!$F$247)</f>
        <v/>
      </c>
      <c r="AG39" s="13">
        <f>Construction!AG14*Inputs!AG309*(Inputs!$F$97/100/12-Construction!AG17/100*Construction!AG11/Inputs!$F$247)</f>
        <v/>
      </c>
      <c r="AH39" s="13">
        <f>Construction!AH14*Inputs!AH309*(Inputs!$F$97/100/12-Construction!AH17/100*Construction!AH11/Inputs!$F$247)</f>
        <v/>
      </c>
      <c r="AI39" s="13">
        <f>Construction!AI14*Inputs!AI309*(Inputs!$F$97/100/12-Construction!AI17/100*Construction!AI11/Inputs!$F$247)</f>
        <v/>
      </c>
      <c r="AJ39" s="13">
        <f>Construction!AJ14*Inputs!AJ309*(Inputs!$F$97/100/12-Construction!AJ17/100*Construction!AJ11/Inputs!$F$247)</f>
        <v/>
      </c>
      <c r="AK39" s="13">
        <f>Construction!AK14*Inputs!AK309*(Inputs!$F$97/100/12-Construction!AK17/100*Construction!AK11/Inputs!$F$247)</f>
        <v/>
      </c>
      <c r="AL39" s="13">
        <f>Construction!AL14*Inputs!AL309*(Inputs!$F$97/100/12-Construction!AL17/100*Construction!AL11/Inputs!$F$247)</f>
        <v/>
      </c>
      <c r="AM39" s="13">
        <f>Construction!AM14*Inputs!AM309*(Inputs!$F$97/100/12-Construction!AM17/100*Construction!AM11/Inputs!$F$247)</f>
        <v/>
      </c>
      <c r="AN39" s="13">
        <f>Construction!AN14*Inputs!AN309*(Inputs!$F$97/100/12-Construction!AN17/100*Construction!AN11/Inputs!$F$247)</f>
        <v/>
      </c>
      <c r="AO39" s="13">
        <f>Construction!AO14*Inputs!AO309*(Inputs!$F$97/100/12-Construction!AO17/100*Construction!AO11/Inputs!$F$247)</f>
        <v/>
      </c>
      <c r="AP39" s="13">
        <f>Construction!AP14*Inputs!AP309*(Inputs!$F$97/100/12-Construction!AP17/100*Construction!AP11/Inputs!$F$247)</f>
        <v/>
      </c>
      <c r="AQ39" s="13">
        <f>Construction!AQ14*Inputs!AQ309*(Inputs!$F$97/100/12-Construction!AQ17/100*Construction!AQ11/Inputs!$F$247)</f>
        <v/>
      </c>
      <c r="AR39" s="13">
        <f>Construction!AR14*Inputs!AR309*(Inputs!$F$97/100/12-Construction!AR17/100*Construction!AR11/Inputs!$F$247)</f>
        <v/>
      </c>
      <c r="AS39" s="13">
        <f>Construction!AS14*Inputs!AS309*(Inputs!$F$97/100/12-Construction!AS17/100*Construction!AS11/Inputs!$F$247)</f>
        <v/>
      </c>
      <c r="AT39" s="13">
        <f>Construction!AT14*Inputs!AT309*(Inputs!$F$97/100/12-Construction!AT17/100*Construction!AT11/Inputs!$F$247)</f>
        <v/>
      </c>
      <c r="AU39" s="13">
        <f>Construction!AU14*Inputs!AU309*(Inputs!$F$97/100/12-Construction!AU17/100*Construction!AU11/Inputs!$F$247)</f>
        <v/>
      </c>
      <c r="AV39" s="13">
        <f>Construction!AV14*Inputs!AV309*(Inputs!$F$97/100/12-Construction!AV17/100*Construction!AV11/Inputs!$F$247)</f>
        <v/>
      </c>
      <c r="AW39" s="13">
        <f>Construction!AW14*Inputs!AW309*(Inputs!$F$97/100/12-Construction!AW17/100*Construction!AW11/Inputs!$F$247)</f>
        <v/>
      </c>
      <c r="AX39" s="13">
        <f>Construction!AX14*Inputs!AX309*(Inputs!$F$97/100/12-Construction!AX17/100*Construction!AX11/Inputs!$F$247)</f>
        <v/>
      </c>
      <c r="AY39" s="13">
        <f>Construction!AY14*Inputs!AY309*(Inputs!$F$97/100/12-Construction!AY17/100*Construction!AY11/Inputs!$F$247)</f>
        <v/>
      </c>
      <c r="AZ39" s="13">
        <f>Construction!AZ14*Inputs!AZ309*(Inputs!$F$97/100/12-Construction!AZ17/100*Construction!AZ11/Inputs!$F$247)</f>
        <v/>
      </c>
      <c r="BA39" s="13">
        <f>Construction!BA14*Inputs!BA309*(Inputs!$F$97/100/12-Construction!BA17/100*Construction!BA11/Inputs!$F$247)</f>
        <v/>
      </c>
      <c r="BB39" s="13">
        <f>Construction!BB14*Inputs!BB309*(Inputs!$F$97/100/12-Construction!BB17/100*Construction!BB11/Inputs!$F$247)</f>
        <v/>
      </c>
      <c r="BC39" s="13">
        <f>Construction!BC14*Inputs!BC309*(Inputs!$F$97/100/12-Construction!BC17/100*Construction!BC11/Inputs!$F$247)</f>
        <v/>
      </c>
      <c r="BD39" s="13">
        <f>Construction!BD14*Inputs!BD309*(Inputs!$F$97/100/12-Construction!BD17/100*Construction!BD11/Inputs!$F$247)</f>
        <v/>
      </c>
      <c r="BE39" s="13">
        <f>Construction!BE14*Inputs!BE309*(Inputs!$F$97/100/12-Construction!BE17/100*Construction!BE11/Inputs!$F$247)</f>
        <v/>
      </c>
      <c r="BF39" s="13">
        <f>Construction!BF14*Inputs!BF309*(Inputs!$F$97/100/12-Construction!BF17/100*Construction!BF11/Inputs!$F$247)</f>
        <v/>
      </c>
      <c r="BG39" s="13">
        <f>Construction!BG14*Inputs!BG309*(Inputs!$F$97/100/12-Construction!BG17/100*Construction!BG11/Inputs!$F$247)</f>
        <v/>
      </c>
      <c r="BH39" s="13">
        <f>Construction!BH14*Inputs!BH309*(Inputs!$F$97/100/12-Construction!BH17/100*Construction!BH11/Inputs!$F$247)</f>
        <v/>
      </c>
      <c r="BI39" s="13">
        <f>Construction!BI14*Inputs!BI309*(Inputs!$F$97/100/12-Construction!BI17/100*Construction!BI11/Inputs!$F$247)</f>
        <v/>
      </c>
      <c r="BJ39" s="13">
        <f>Construction!BJ14*Inputs!BJ309*(Inputs!$F$97/100/12-Construction!BJ17/100*Construction!BJ11/Inputs!$F$247)</f>
        <v/>
      </c>
    </row>
    <row r="40">
      <c r="D40" t="inlineStr">
        <is>
          <t>Commitment fees, senior tranches</t>
        </is>
      </c>
      <c r="E40" t="inlineStr">
        <is>
          <t>USD m</t>
        </is>
      </c>
      <c r="G40" s="13">
        <f>SUM(J40:BJ40)</f>
        <v/>
      </c>
      <c r="J40" s="13">
        <f>Construction!J14*((Inputs!$F$75*$F$25-J28)*Inputs!$F$85/100+(Inputs!$F$76*$F$25-J29)*Inputs!$F$86/100+(Inputs!$F$77*$F$25-J30)*Inputs!$F$87/100+(Inputs!$F$78*$F$25-J31)*(Inputs!$F$88/100*Inputs!$F$82)/100)*Construction!J11/Inputs!$F$247</f>
        <v/>
      </c>
      <c r="K40" s="13">
        <f>Construction!K14*((Inputs!$F$75*$F$25-K28)*Inputs!$F$85/100+(Inputs!$F$76*$F$25-K29)*Inputs!$F$86/100+(Inputs!$F$77*$F$25-K30)*Inputs!$F$87/100+(Inputs!$F$78*$F$25-K31)*(Inputs!$F$88/100*Inputs!$F$82)/100)*Construction!K11/Inputs!$F$247</f>
        <v/>
      </c>
      <c r="L40" s="13">
        <f>Construction!L14*((Inputs!$F$75*$F$25-L28)*Inputs!$F$85/100+(Inputs!$F$76*$F$25-L29)*Inputs!$F$86/100+(Inputs!$F$77*$F$25-L30)*Inputs!$F$87/100+(Inputs!$F$78*$F$25-L31)*(Inputs!$F$88/100*Inputs!$F$82)/100)*Construction!L11/Inputs!$F$247</f>
        <v/>
      </c>
      <c r="M40" s="13">
        <f>Construction!M14*((Inputs!$F$75*$F$25-M28)*Inputs!$F$85/100+(Inputs!$F$76*$F$25-M29)*Inputs!$F$86/100+(Inputs!$F$77*$F$25-M30)*Inputs!$F$87/100+(Inputs!$F$78*$F$25-M31)*(Inputs!$F$88/100*Inputs!$F$82)/100)*Construction!M11/Inputs!$F$247</f>
        <v/>
      </c>
      <c r="N40" s="13">
        <f>Construction!N14*((Inputs!$F$75*$F$25-N28)*Inputs!$F$85/100+(Inputs!$F$76*$F$25-N29)*Inputs!$F$86/100+(Inputs!$F$77*$F$25-N30)*Inputs!$F$87/100+(Inputs!$F$78*$F$25-N31)*(Inputs!$F$88/100*Inputs!$F$82)/100)*Construction!N11/Inputs!$F$247</f>
        <v/>
      </c>
      <c r="O40" s="13">
        <f>Construction!O14*((Inputs!$F$75*$F$25-O28)*Inputs!$F$85/100+(Inputs!$F$76*$F$25-O29)*Inputs!$F$86/100+(Inputs!$F$77*$F$25-O30)*Inputs!$F$87/100+(Inputs!$F$78*$F$25-O31)*(Inputs!$F$88/100*Inputs!$F$82)/100)*Construction!O11/Inputs!$F$247</f>
        <v/>
      </c>
      <c r="P40" s="13">
        <f>Construction!P14*((Inputs!$F$75*$F$25-P28)*Inputs!$F$85/100+(Inputs!$F$76*$F$25-P29)*Inputs!$F$86/100+(Inputs!$F$77*$F$25-P30)*Inputs!$F$87/100+(Inputs!$F$78*$F$25-P31)*(Inputs!$F$88/100*Inputs!$F$82)/100)*Construction!P11/Inputs!$F$247</f>
        <v/>
      </c>
      <c r="Q40" s="13">
        <f>Construction!Q14*((Inputs!$F$75*$F$25-Q28)*Inputs!$F$85/100+(Inputs!$F$76*$F$25-Q29)*Inputs!$F$86/100+(Inputs!$F$77*$F$25-Q30)*Inputs!$F$87/100+(Inputs!$F$78*$F$25-Q31)*(Inputs!$F$88/100*Inputs!$F$82)/100)*Construction!Q11/Inputs!$F$247</f>
        <v/>
      </c>
      <c r="R40" s="13">
        <f>Construction!R14*((Inputs!$F$75*$F$25-R28)*Inputs!$F$85/100+(Inputs!$F$76*$F$25-R29)*Inputs!$F$86/100+(Inputs!$F$77*$F$25-R30)*Inputs!$F$87/100+(Inputs!$F$78*$F$25-R31)*(Inputs!$F$88/100*Inputs!$F$82)/100)*Construction!R11/Inputs!$F$247</f>
        <v/>
      </c>
      <c r="S40" s="13">
        <f>Construction!S14*((Inputs!$F$75*$F$25-S28)*Inputs!$F$85/100+(Inputs!$F$76*$F$25-S29)*Inputs!$F$86/100+(Inputs!$F$77*$F$25-S30)*Inputs!$F$87/100+(Inputs!$F$78*$F$25-S31)*(Inputs!$F$88/100*Inputs!$F$82)/100)*Construction!S11/Inputs!$F$247</f>
        <v/>
      </c>
      <c r="T40" s="13">
        <f>Construction!T14*((Inputs!$F$75*$F$25-T28)*Inputs!$F$85/100+(Inputs!$F$76*$F$25-T29)*Inputs!$F$86/100+(Inputs!$F$77*$F$25-T30)*Inputs!$F$87/100+(Inputs!$F$78*$F$25-T31)*(Inputs!$F$88/100*Inputs!$F$82)/100)*Construction!T11/Inputs!$F$247</f>
        <v/>
      </c>
      <c r="U40" s="13">
        <f>Construction!U14*((Inputs!$F$75*$F$25-U28)*Inputs!$F$85/100+(Inputs!$F$76*$F$25-U29)*Inputs!$F$86/100+(Inputs!$F$77*$F$25-U30)*Inputs!$F$87/100+(Inputs!$F$78*$F$25-U31)*(Inputs!$F$88/100*Inputs!$F$82)/100)*Construction!U11/Inputs!$F$247</f>
        <v/>
      </c>
      <c r="V40" s="13">
        <f>Construction!V14*((Inputs!$F$75*$F$25-V28)*Inputs!$F$85/100+(Inputs!$F$76*$F$25-V29)*Inputs!$F$86/100+(Inputs!$F$77*$F$25-V30)*Inputs!$F$87/100+(Inputs!$F$78*$F$25-V31)*(Inputs!$F$88/100*Inputs!$F$82)/100)*Construction!V11/Inputs!$F$247</f>
        <v/>
      </c>
      <c r="W40" s="13">
        <f>Construction!W14*((Inputs!$F$75*$F$25-W28)*Inputs!$F$85/100+(Inputs!$F$76*$F$25-W29)*Inputs!$F$86/100+(Inputs!$F$77*$F$25-W30)*Inputs!$F$87/100+(Inputs!$F$78*$F$25-W31)*(Inputs!$F$88/100*Inputs!$F$82)/100)*Construction!W11/Inputs!$F$247</f>
        <v/>
      </c>
      <c r="X40" s="13">
        <f>Construction!X14*((Inputs!$F$75*$F$25-X28)*Inputs!$F$85/100+(Inputs!$F$76*$F$25-X29)*Inputs!$F$86/100+(Inputs!$F$77*$F$25-X30)*Inputs!$F$87/100+(Inputs!$F$78*$F$25-X31)*(Inputs!$F$88/100*Inputs!$F$82)/100)*Construction!X11/Inputs!$F$247</f>
        <v/>
      </c>
      <c r="Y40" s="13">
        <f>Construction!Y14*((Inputs!$F$75*$F$25-Y28)*Inputs!$F$85/100+(Inputs!$F$76*$F$25-Y29)*Inputs!$F$86/100+(Inputs!$F$77*$F$25-Y30)*Inputs!$F$87/100+(Inputs!$F$78*$F$25-Y31)*(Inputs!$F$88/100*Inputs!$F$82)/100)*Construction!Y11/Inputs!$F$247</f>
        <v/>
      </c>
      <c r="Z40" s="13">
        <f>Construction!Z14*((Inputs!$F$75*$F$25-Z28)*Inputs!$F$85/100+(Inputs!$F$76*$F$25-Z29)*Inputs!$F$86/100+(Inputs!$F$77*$F$25-Z30)*Inputs!$F$87/100+(Inputs!$F$78*$F$25-Z31)*(Inputs!$F$88/100*Inputs!$F$82)/100)*Construction!Z11/Inputs!$F$247</f>
        <v/>
      </c>
      <c r="AA40" s="13">
        <f>Construction!AA14*((Inputs!$F$75*$F$25-AA28)*Inputs!$F$85/100+(Inputs!$F$76*$F$25-AA29)*Inputs!$F$86/100+(Inputs!$F$77*$F$25-AA30)*Inputs!$F$87/100+(Inputs!$F$78*$F$25-AA31)*(Inputs!$F$88/100*Inputs!$F$82)/100)*Construction!AA11/Inputs!$F$247</f>
        <v/>
      </c>
      <c r="AB40" s="13">
        <f>Construction!AB14*((Inputs!$F$75*$F$25-AB28)*Inputs!$F$85/100+(Inputs!$F$76*$F$25-AB29)*Inputs!$F$86/100+(Inputs!$F$77*$F$25-AB30)*Inputs!$F$87/100+(Inputs!$F$78*$F$25-AB31)*(Inputs!$F$88/100*Inputs!$F$82)/100)*Construction!AB11/Inputs!$F$247</f>
        <v/>
      </c>
      <c r="AC40" s="13">
        <f>Construction!AC14*((Inputs!$F$75*$F$25-AC28)*Inputs!$F$85/100+(Inputs!$F$76*$F$25-AC29)*Inputs!$F$86/100+(Inputs!$F$77*$F$25-AC30)*Inputs!$F$87/100+(Inputs!$F$78*$F$25-AC31)*(Inputs!$F$88/100*Inputs!$F$82)/100)*Construction!AC11/Inputs!$F$247</f>
        <v/>
      </c>
      <c r="AD40" s="13">
        <f>Construction!AD14*((Inputs!$F$75*$F$25-AD28)*Inputs!$F$85/100+(Inputs!$F$76*$F$25-AD29)*Inputs!$F$86/100+(Inputs!$F$77*$F$25-AD30)*Inputs!$F$87/100+(Inputs!$F$78*$F$25-AD31)*(Inputs!$F$88/100*Inputs!$F$82)/100)*Construction!AD11/Inputs!$F$247</f>
        <v/>
      </c>
      <c r="AE40" s="13">
        <f>Construction!AE14*((Inputs!$F$75*$F$25-AE28)*Inputs!$F$85/100+(Inputs!$F$76*$F$25-AE29)*Inputs!$F$86/100+(Inputs!$F$77*$F$25-AE30)*Inputs!$F$87/100+(Inputs!$F$78*$F$25-AE31)*(Inputs!$F$88/100*Inputs!$F$82)/100)*Construction!AE11/Inputs!$F$247</f>
        <v/>
      </c>
      <c r="AF40" s="13">
        <f>Construction!AF14*((Inputs!$F$75*$F$25-AF28)*Inputs!$F$85/100+(Inputs!$F$76*$F$25-AF29)*Inputs!$F$86/100+(Inputs!$F$77*$F$25-AF30)*Inputs!$F$87/100+(Inputs!$F$78*$F$25-AF31)*(Inputs!$F$88/100*Inputs!$F$82)/100)*Construction!AF11/Inputs!$F$247</f>
        <v/>
      </c>
      <c r="AG40" s="13">
        <f>Construction!AG14*((Inputs!$F$75*$F$25-AG28)*Inputs!$F$85/100+(Inputs!$F$76*$F$25-AG29)*Inputs!$F$86/100+(Inputs!$F$77*$F$25-AG30)*Inputs!$F$87/100+(Inputs!$F$78*$F$25-AG31)*(Inputs!$F$88/100*Inputs!$F$82)/100)*Construction!AG11/Inputs!$F$247</f>
        <v/>
      </c>
      <c r="AH40" s="13">
        <f>Construction!AH14*((Inputs!$F$75*$F$25-AH28)*Inputs!$F$85/100+(Inputs!$F$76*$F$25-AH29)*Inputs!$F$86/100+(Inputs!$F$77*$F$25-AH30)*Inputs!$F$87/100+(Inputs!$F$78*$F$25-AH31)*(Inputs!$F$88/100*Inputs!$F$82)/100)*Construction!AH11/Inputs!$F$247</f>
        <v/>
      </c>
      <c r="AI40" s="13">
        <f>Construction!AI14*((Inputs!$F$75*$F$25-AI28)*Inputs!$F$85/100+(Inputs!$F$76*$F$25-AI29)*Inputs!$F$86/100+(Inputs!$F$77*$F$25-AI30)*Inputs!$F$87/100+(Inputs!$F$78*$F$25-AI31)*(Inputs!$F$88/100*Inputs!$F$82)/100)*Construction!AI11/Inputs!$F$247</f>
        <v/>
      </c>
      <c r="AJ40" s="13">
        <f>Construction!AJ14*((Inputs!$F$75*$F$25-AJ28)*Inputs!$F$85/100+(Inputs!$F$76*$F$25-AJ29)*Inputs!$F$86/100+(Inputs!$F$77*$F$25-AJ30)*Inputs!$F$87/100+(Inputs!$F$78*$F$25-AJ31)*(Inputs!$F$88/100*Inputs!$F$82)/100)*Construction!AJ11/Inputs!$F$247</f>
        <v/>
      </c>
      <c r="AK40" s="13">
        <f>Construction!AK14*((Inputs!$F$75*$F$25-AK28)*Inputs!$F$85/100+(Inputs!$F$76*$F$25-AK29)*Inputs!$F$86/100+(Inputs!$F$77*$F$25-AK30)*Inputs!$F$87/100+(Inputs!$F$78*$F$25-AK31)*(Inputs!$F$88/100*Inputs!$F$82)/100)*Construction!AK11/Inputs!$F$247</f>
        <v/>
      </c>
      <c r="AL40" s="13">
        <f>Construction!AL14*((Inputs!$F$75*$F$25-AL28)*Inputs!$F$85/100+(Inputs!$F$76*$F$25-AL29)*Inputs!$F$86/100+(Inputs!$F$77*$F$25-AL30)*Inputs!$F$87/100+(Inputs!$F$78*$F$25-AL31)*(Inputs!$F$88/100*Inputs!$F$82)/100)*Construction!AL11/Inputs!$F$247</f>
        <v/>
      </c>
      <c r="AM40" s="13">
        <f>Construction!AM14*((Inputs!$F$75*$F$25-AM28)*Inputs!$F$85/100+(Inputs!$F$76*$F$25-AM29)*Inputs!$F$86/100+(Inputs!$F$77*$F$25-AM30)*Inputs!$F$87/100+(Inputs!$F$78*$F$25-AM31)*(Inputs!$F$88/100*Inputs!$F$82)/100)*Construction!AM11/Inputs!$F$247</f>
        <v/>
      </c>
      <c r="AN40" s="13">
        <f>Construction!AN14*((Inputs!$F$75*$F$25-AN28)*Inputs!$F$85/100+(Inputs!$F$76*$F$25-AN29)*Inputs!$F$86/100+(Inputs!$F$77*$F$25-AN30)*Inputs!$F$87/100+(Inputs!$F$78*$F$25-AN31)*(Inputs!$F$88/100*Inputs!$F$82)/100)*Construction!AN11/Inputs!$F$247</f>
        <v/>
      </c>
      <c r="AO40" s="13">
        <f>Construction!AO14*((Inputs!$F$75*$F$25-AO28)*Inputs!$F$85/100+(Inputs!$F$76*$F$25-AO29)*Inputs!$F$86/100+(Inputs!$F$77*$F$25-AO30)*Inputs!$F$87/100+(Inputs!$F$78*$F$25-AO31)*(Inputs!$F$88/100*Inputs!$F$82)/100)*Construction!AO11/Inputs!$F$247</f>
        <v/>
      </c>
      <c r="AP40" s="13">
        <f>Construction!AP14*((Inputs!$F$75*$F$25-AP28)*Inputs!$F$85/100+(Inputs!$F$76*$F$25-AP29)*Inputs!$F$86/100+(Inputs!$F$77*$F$25-AP30)*Inputs!$F$87/100+(Inputs!$F$78*$F$25-AP31)*(Inputs!$F$88/100*Inputs!$F$82)/100)*Construction!AP11/Inputs!$F$247</f>
        <v/>
      </c>
      <c r="AQ40" s="13">
        <f>Construction!AQ14*((Inputs!$F$75*$F$25-AQ28)*Inputs!$F$85/100+(Inputs!$F$76*$F$25-AQ29)*Inputs!$F$86/100+(Inputs!$F$77*$F$25-AQ30)*Inputs!$F$87/100+(Inputs!$F$78*$F$25-AQ31)*(Inputs!$F$88/100*Inputs!$F$82)/100)*Construction!AQ11/Inputs!$F$247</f>
        <v/>
      </c>
      <c r="AR40" s="13">
        <f>Construction!AR14*((Inputs!$F$75*$F$25-AR28)*Inputs!$F$85/100+(Inputs!$F$76*$F$25-AR29)*Inputs!$F$86/100+(Inputs!$F$77*$F$25-AR30)*Inputs!$F$87/100+(Inputs!$F$78*$F$25-AR31)*(Inputs!$F$88/100*Inputs!$F$82)/100)*Construction!AR11/Inputs!$F$247</f>
        <v/>
      </c>
      <c r="AS40" s="13">
        <f>Construction!AS14*((Inputs!$F$75*$F$25-AS28)*Inputs!$F$85/100+(Inputs!$F$76*$F$25-AS29)*Inputs!$F$86/100+(Inputs!$F$77*$F$25-AS30)*Inputs!$F$87/100+(Inputs!$F$78*$F$25-AS31)*(Inputs!$F$88/100*Inputs!$F$82)/100)*Construction!AS11/Inputs!$F$247</f>
        <v/>
      </c>
      <c r="AT40" s="13">
        <f>Construction!AT14*((Inputs!$F$75*$F$25-AT28)*Inputs!$F$85/100+(Inputs!$F$76*$F$25-AT29)*Inputs!$F$86/100+(Inputs!$F$77*$F$25-AT30)*Inputs!$F$87/100+(Inputs!$F$78*$F$25-AT31)*(Inputs!$F$88/100*Inputs!$F$82)/100)*Construction!AT11/Inputs!$F$247</f>
        <v/>
      </c>
      <c r="AU40" s="13">
        <f>Construction!AU14*((Inputs!$F$75*$F$25-AU28)*Inputs!$F$85/100+(Inputs!$F$76*$F$25-AU29)*Inputs!$F$86/100+(Inputs!$F$77*$F$25-AU30)*Inputs!$F$87/100+(Inputs!$F$78*$F$25-AU31)*(Inputs!$F$88/100*Inputs!$F$82)/100)*Construction!AU11/Inputs!$F$247</f>
        <v/>
      </c>
      <c r="AV40" s="13">
        <f>Construction!AV14*((Inputs!$F$75*$F$25-AV28)*Inputs!$F$85/100+(Inputs!$F$76*$F$25-AV29)*Inputs!$F$86/100+(Inputs!$F$77*$F$25-AV30)*Inputs!$F$87/100+(Inputs!$F$78*$F$25-AV31)*(Inputs!$F$88/100*Inputs!$F$82)/100)*Construction!AV11/Inputs!$F$247</f>
        <v/>
      </c>
      <c r="AW40" s="13">
        <f>Construction!AW14*((Inputs!$F$75*$F$25-AW28)*Inputs!$F$85/100+(Inputs!$F$76*$F$25-AW29)*Inputs!$F$86/100+(Inputs!$F$77*$F$25-AW30)*Inputs!$F$87/100+(Inputs!$F$78*$F$25-AW31)*(Inputs!$F$88/100*Inputs!$F$82)/100)*Construction!AW11/Inputs!$F$247</f>
        <v/>
      </c>
      <c r="AX40" s="13">
        <f>Construction!AX14*((Inputs!$F$75*$F$25-AX28)*Inputs!$F$85/100+(Inputs!$F$76*$F$25-AX29)*Inputs!$F$86/100+(Inputs!$F$77*$F$25-AX30)*Inputs!$F$87/100+(Inputs!$F$78*$F$25-AX31)*(Inputs!$F$88/100*Inputs!$F$82)/100)*Construction!AX11/Inputs!$F$247</f>
        <v/>
      </c>
      <c r="AY40" s="13">
        <f>Construction!AY14*((Inputs!$F$75*$F$25-AY28)*Inputs!$F$85/100+(Inputs!$F$76*$F$25-AY29)*Inputs!$F$86/100+(Inputs!$F$77*$F$25-AY30)*Inputs!$F$87/100+(Inputs!$F$78*$F$25-AY31)*(Inputs!$F$88/100*Inputs!$F$82)/100)*Construction!AY11/Inputs!$F$247</f>
        <v/>
      </c>
      <c r="AZ40" s="13">
        <f>Construction!AZ14*((Inputs!$F$75*$F$25-AZ28)*Inputs!$F$85/100+(Inputs!$F$76*$F$25-AZ29)*Inputs!$F$86/100+(Inputs!$F$77*$F$25-AZ30)*Inputs!$F$87/100+(Inputs!$F$78*$F$25-AZ31)*(Inputs!$F$88/100*Inputs!$F$82)/100)*Construction!AZ11/Inputs!$F$247</f>
        <v/>
      </c>
      <c r="BA40" s="13">
        <f>Construction!BA14*((Inputs!$F$75*$F$25-BA28)*Inputs!$F$85/100+(Inputs!$F$76*$F$25-BA29)*Inputs!$F$86/100+(Inputs!$F$77*$F$25-BA30)*Inputs!$F$87/100+(Inputs!$F$78*$F$25-BA31)*(Inputs!$F$88/100*Inputs!$F$82)/100)*Construction!BA11/Inputs!$F$247</f>
        <v/>
      </c>
      <c r="BB40" s="13">
        <f>Construction!BB14*((Inputs!$F$75*$F$25-BB28)*Inputs!$F$85/100+(Inputs!$F$76*$F$25-BB29)*Inputs!$F$86/100+(Inputs!$F$77*$F$25-BB30)*Inputs!$F$87/100+(Inputs!$F$78*$F$25-BB31)*(Inputs!$F$88/100*Inputs!$F$82)/100)*Construction!BB11/Inputs!$F$247</f>
        <v/>
      </c>
      <c r="BC40" s="13">
        <f>Construction!BC14*((Inputs!$F$75*$F$25-BC28)*Inputs!$F$85/100+(Inputs!$F$76*$F$25-BC29)*Inputs!$F$86/100+(Inputs!$F$77*$F$25-BC30)*Inputs!$F$87/100+(Inputs!$F$78*$F$25-BC31)*(Inputs!$F$88/100*Inputs!$F$82)/100)*Construction!BC11/Inputs!$F$247</f>
        <v/>
      </c>
      <c r="BD40" s="13">
        <f>Construction!BD14*((Inputs!$F$75*$F$25-BD28)*Inputs!$F$85/100+(Inputs!$F$76*$F$25-BD29)*Inputs!$F$86/100+(Inputs!$F$77*$F$25-BD30)*Inputs!$F$87/100+(Inputs!$F$78*$F$25-BD31)*(Inputs!$F$88/100*Inputs!$F$82)/100)*Construction!BD11/Inputs!$F$247</f>
        <v/>
      </c>
      <c r="BE40" s="13">
        <f>Construction!BE14*((Inputs!$F$75*$F$25-BE28)*Inputs!$F$85/100+(Inputs!$F$76*$F$25-BE29)*Inputs!$F$86/100+(Inputs!$F$77*$F$25-BE30)*Inputs!$F$87/100+(Inputs!$F$78*$F$25-BE31)*(Inputs!$F$88/100*Inputs!$F$82)/100)*Construction!BE11/Inputs!$F$247</f>
        <v/>
      </c>
      <c r="BF40" s="13">
        <f>Construction!BF14*((Inputs!$F$75*$F$25-BF28)*Inputs!$F$85/100+(Inputs!$F$76*$F$25-BF29)*Inputs!$F$86/100+(Inputs!$F$77*$F$25-BF30)*Inputs!$F$87/100+(Inputs!$F$78*$F$25-BF31)*(Inputs!$F$88/100*Inputs!$F$82)/100)*Construction!BF11/Inputs!$F$247</f>
        <v/>
      </c>
      <c r="BG40" s="13">
        <f>Construction!BG14*((Inputs!$F$75*$F$25-BG28)*Inputs!$F$85/100+(Inputs!$F$76*$F$25-BG29)*Inputs!$F$86/100+(Inputs!$F$77*$F$25-BG30)*Inputs!$F$87/100+(Inputs!$F$78*$F$25-BG31)*(Inputs!$F$88/100*Inputs!$F$82)/100)*Construction!BG11/Inputs!$F$247</f>
        <v/>
      </c>
      <c r="BH40" s="13">
        <f>Construction!BH14*((Inputs!$F$75*$F$25-BH28)*Inputs!$F$85/100+(Inputs!$F$76*$F$25-BH29)*Inputs!$F$86/100+(Inputs!$F$77*$F$25-BH30)*Inputs!$F$87/100+(Inputs!$F$78*$F$25-BH31)*(Inputs!$F$88/100*Inputs!$F$82)/100)*Construction!BH11/Inputs!$F$247</f>
        <v/>
      </c>
      <c r="BI40" s="13">
        <f>Construction!BI14*((Inputs!$F$75*$F$25-BI28)*Inputs!$F$85/100+(Inputs!$F$76*$F$25-BI29)*Inputs!$F$86/100+(Inputs!$F$77*$F$25-BI30)*Inputs!$F$87/100+(Inputs!$F$78*$F$25-BI31)*(Inputs!$F$88/100*Inputs!$F$82)/100)*Construction!BI11/Inputs!$F$247</f>
        <v/>
      </c>
      <c r="BJ40" s="13">
        <f>Construction!BJ14*((Inputs!$F$75*$F$25-BJ28)*Inputs!$F$85/100+(Inputs!$F$76*$F$25-BJ29)*Inputs!$F$86/100+(Inputs!$F$77*$F$25-BJ30)*Inputs!$F$87/100+(Inputs!$F$78*$F$25-BJ31)*(Inputs!$F$88/100*Inputs!$F$82)/100)*Construction!BJ11/Inputs!$F$247</f>
        <v/>
      </c>
    </row>
    <row r="41">
      <c r="D41" t="inlineStr">
        <is>
          <t>Commitment fee, standby facility</t>
        </is>
      </c>
      <c r="E41" t="inlineStr">
        <is>
          <t>USD m</t>
        </is>
      </c>
      <c r="G41" s="13">
        <f>SUM(J41:BJ41)</f>
        <v/>
      </c>
      <c r="J41" s="13">
        <f>Construction!J14*(Inputs!$F$99-J32)*Inputs!$F$100/100*Construction!J11/Inputs!$F$247</f>
        <v/>
      </c>
      <c r="K41" s="13">
        <f>Construction!K14*(Inputs!$F$99-K32)*Inputs!$F$100/100*Construction!K11/Inputs!$F$247</f>
        <v/>
      </c>
      <c r="L41" s="13">
        <f>Construction!L14*(Inputs!$F$99-L32)*Inputs!$F$100/100*Construction!L11/Inputs!$F$247</f>
        <v/>
      </c>
      <c r="M41" s="13">
        <f>Construction!M14*(Inputs!$F$99-M32)*Inputs!$F$100/100*Construction!M11/Inputs!$F$247</f>
        <v/>
      </c>
      <c r="N41" s="13">
        <f>Construction!N14*(Inputs!$F$99-N32)*Inputs!$F$100/100*Construction!N11/Inputs!$F$247</f>
        <v/>
      </c>
      <c r="O41" s="13">
        <f>Construction!O14*(Inputs!$F$99-O32)*Inputs!$F$100/100*Construction!O11/Inputs!$F$247</f>
        <v/>
      </c>
      <c r="P41" s="13">
        <f>Construction!P14*(Inputs!$F$99-P32)*Inputs!$F$100/100*Construction!P11/Inputs!$F$247</f>
        <v/>
      </c>
      <c r="Q41" s="13">
        <f>Construction!Q14*(Inputs!$F$99-Q32)*Inputs!$F$100/100*Construction!Q11/Inputs!$F$247</f>
        <v/>
      </c>
      <c r="R41" s="13">
        <f>Construction!R14*(Inputs!$F$99-R32)*Inputs!$F$100/100*Construction!R11/Inputs!$F$247</f>
        <v/>
      </c>
      <c r="S41" s="13">
        <f>Construction!S14*(Inputs!$F$99-S32)*Inputs!$F$100/100*Construction!S11/Inputs!$F$247</f>
        <v/>
      </c>
      <c r="T41" s="13">
        <f>Construction!T14*(Inputs!$F$99-T32)*Inputs!$F$100/100*Construction!T11/Inputs!$F$247</f>
        <v/>
      </c>
      <c r="U41" s="13">
        <f>Construction!U14*(Inputs!$F$99-U32)*Inputs!$F$100/100*Construction!U11/Inputs!$F$247</f>
        <v/>
      </c>
      <c r="V41" s="13">
        <f>Construction!V14*(Inputs!$F$99-V32)*Inputs!$F$100/100*Construction!V11/Inputs!$F$247</f>
        <v/>
      </c>
      <c r="W41" s="13">
        <f>Construction!W14*(Inputs!$F$99-W32)*Inputs!$F$100/100*Construction!W11/Inputs!$F$247</f>
        <v/>
      </c>
      <c r="X41" s="13">
        <f>Construction!X14*(Inputs!$F$99-X32)*Inputs!$F$100/100*Construction!X11/Inputs!$F$247</f>
        <v/>
      </c>
      <c r="Y41" s="13">
        <f>Construction!Y14*(Inputs!$F$99-Y32)*Inputs!$F$100/100*Construction!Y11/Inputs!$F$247</f>
        <v/>
      </c>
      <c r="Z41" s="13">
        <f>Construction!Z14*(Inputs!$F$99-Z32)*Inputs!$F$100/100*Construction!Z11/Inputs!$F$247</f>
        <v/>
      </c>
      <c r="AA41" s="13">
        <f>Construction!AA14*(Inputs!$F$99-AA32)*Inputs!$F$100/100*Construction!AA11/Inputs!$F$247</f>
        <v/>
      </c>
      <c r="AB41" s="13">
        <f>Construction!AB14*(Inputs!$F$99-AB32)*Inputs!$F$100/100*Construction!AB11/Inputs!$F$247</f>
        <v/>
      </c>
      <c r="AC41" s="13">
        <f>Construction!AC14*(Inputs!$F$99-AC32)*Inputs!$F$100/100*Construction!AC11/Inputs!$F$247</f>
        <v/>
      </c>
      <c r="AD41" s="13">
        <f>Construction!AD14*(Inputs!$F$99-AD32)*Inputs!$F$100/100*Construction!AD11/Inputs!$F$247</f>
        <v/>
      </c>
      <c r="AE41" s="13">
        <f>Construction!AE14*(Inputs!$F$99-AE32)*Inputs!$F$100/100*Construction!AE11/Inputs!$F$247</f>
        <v/>
      </c>
      <c r="AF41" s="13">
        <f>Construction!AF14*(Inputs!$F$99-AF32)*Inputs!$F$100/100*Construction!AF11/Inputs!$F$247</f>
        <v/>
      </c>
      <c r="AG41" s="13">
        <f>Construction!AG14*(Inputs!$F$99-AG32)*Inputs!$F$100/100*Construction!AG11/Inputs!$F$247</f>
        <v/>
      </c>
      <c r="AH41" s="13">
        <f>Construction!AH14*(Inputs!$F$99-AH32)*Inputs!$F$100/100*Construction!AH11/Inputs!$F$247</f>
        <v/>
      </c>
      <c r="AI41" s="13">
        <f>Construction!AI14*(Inputs!$F$99-AI32)*Inputs!$F$100/100*Construction!AI11/Inputs!$F$247</f>
        <v/>
      </c>
      <c r="AJ41" s="13">
        <f>Construction!AJ14*(Inputs!$F$99-AJ32)*Inputs!$F$100/100*Construction!AJ11/Inputs!$F$247</f>
        <v/>
      </c>
      <c r="AK41" s="13">
        <f>Construction!AK14*(Inputs!$F$99-AK32)*Inputs!$F$100/100*Construction!AK11/Inputs!$F$247</f>
        <v/>
      </c>
      <c r="AL41" s="13">
        <f>Construction!AL14*(Inputs!$F$99-AL32)*Inputs!$F$100/100*Construction!AL11/Inputs!$F$247</f>
        <v/>
      </c>
      <c r="AM41" s="13">
        <f>Construction!AM14*(Inputs!$F$99-AM32)*Inputs!$F$100/100*Construction!AM11/Inputs!$F$247</f>
        <v/>
      </c>
      <c r="AN41" s="13">
        <f>Construction!AN14*(Inputs!$F$99-AN32)*Inputs!$F$100/100*Construction!AN11/Inputs!$F$247</f>
        <v/>
      </c>
      <c r="AO41" s="13">
        <f>Construction!AO14*(Inputs!$F$99-AO32)*Inputs!$F$100/100*Construction!AO11/Inputs!$F$247</f>
        <v/>
      </c>
      <c r="AP41" s="13">
        <f>Construction!AP14*(Inputs!$F$99-AP32)*Inputs!$F$100/100*Construction!AP11/Inputs!$F$247</f>
        <v/>
      </c>
      <c r="AQ41" s="13">
        <f>Construction!AQ14*(Inputs!$F$99-AQ32)*Inputs!$F$100/100*Construction!AQ11/Inputs!$F$247</f>
        <v/>
      </c>
      <c r="AR41" s="13">
        <f>Construction!AR14*(Inputs!$F$99-AR32)*Inputs!$F$100/100*Construction!AR11/Inputs!$F$247</f>
        <v/>
      </c>
      <c r="AS41" s="13">
        <f>Construction!AS14*(Inputs!$F$99-AS32)*Inputs!$F$100/100*Construction!AS11/Inputs!$F$247</f>
        <v/>
      </c>
      <c r="AT41" s="13">
        <f>Construction!AT14*(Inputs!$F$99-AT32)*Inputs!$F$100/100*Construction!AT11/Inputs!$F$247</f>
        <v/>
      </c>
      <c r="AU41" s="13">
        <f>Construction!AU14*(Inputs!$F$99-AU32)*Inputs!$F$100/100*Construction!AU11/Inputs!$F$247</f>
        <v/>
      </c>
      <c r="AV41" s="13">
        <f>Construction!AV14*(Inputs!$F$99-AV32)*Inputs!$F$100/100*Construction!AV11/Inputs!$F$247</f>
        <v/>
      </c>
      <c r="AW41" s="13">
        <f>Construction!AW14*(Inputs!$F$99-AW32)*Inputs!$F$100/100*Construction!AW11/Inputs!$F$247</f>
        <v/>
      </c>
      <c r="AX41" s="13">
        <f>Construction!AX14*(Inputs!$F$99-AX32)*Inputs!$F$100/100*Construction!AX11/Inputs!$F$247</f>
        <v/>
      </c>
      <c r="AY41" s="13">
        <f>Construction!AY14*(Inputs!$F$99-AY32)*Inputs!$F$100/100*Construction!AY11/Inputs!$F$247</f>
        <v/>
      </c>
      <c r="AZ41" s="13">
        <f>Construction!AZ14*(Inputs!$F$99-AZ32)*Inputs!$F$100/100*Construction!AZ11/Inputs!$F$247</f>
        <v/>
      </c>
      <c r="BA41" s="13">
        <f>Construction!BA14*(Inputs!$F$99-BA32)*Inputs!$F$100/100*Construction!BA11/Inputs!$F$247</f>
        <v/>
      </c>
      <c r="BB41" s="13">
        <f>Construction!BB14*(Inputs!$F$99-BB32)*Inputs!$F$100/100*Construction!BB11/Inputs!$F$247</f>
        <v/>
      </c>
      <c r="BC41" s="13">
        <f>Construction!BC14*(Inputs!$F$99-BC32)*Inputs!$F$100/100*Construction!BC11/Inputs!$F$247</f>
        <v/>
      </c>
      <c r="BD41" s="13">
        <f>Construction!BD14*(Inputs!$F$99-BD32)*Inputs!$F$100/100*Construction!BD11/Inputs!$F$247</f>
        <v/>
      </c>
      <c r="BE41" s="13">
        <f>Construction!BE14*(Inputs!$F$99-BE32)*Inputs!$F$100/100*Construction!BE11/Inputs!$F$247</f>
        <v/>
      </c>
      <c r="BF41" s="13">
        <f>Construction!BF14*(Inputs!$F$99-BF32)*Inputs!$F$100/100*Construction!BF11/Inputs!$F$247</f>
        <v/>
      </c>
      <c r="BG41" s="13">
        <f>Construction!BG14*(Inputs!$F$99-BG32)*Inputs!$F$100/100*Construction!BG11/Inputs!$F$247</f>
        <v/>
      </c>
      <c r="BH41" s="13">
        <f>Construction!BH14*(Inputs!$F$99-BH32)*Inputs!$F$100/100*Construction!BH11/Inputs!$F$247</f>
        <v/>
      </c>
      <c r="BI41" s="13">
        <f>Construction!BI14*(Inputs!$F$99-BI32)*Inputs!$F$100/100*Construction!BI11/Inputs!$F$247</f>
        <v/>
      </c>
      <c r="BJ41" s="13">
        <f>Construction!BJ14*(Inputs!$F$99-BJ32)*Inputs!$F$100/100*Construction!BJ11/Inputs!$F$247</f>
        <v/>
      </c>
    </row>
    <row r="42">
      <c r="D42" t="inlineStr">
        <is>
          <t>Upfront and arrangement fees</t>
        </is>
      </c>
      <c r="E42" t="inlineStr">
        <is>
          <t>USD m</t>
        </is>
      </c>
      <c r="G42" s="13">
        <f>SUM(J42:BJ42)</f>
        <v/>
      </c>
      <c r="J42" s="13">
        <f>IF(Construction!J8=1,Inputs!$F$75*$F$25*Inputs!$F$89/100+Inputs!$F$76*$F$25*Inputs!$F$90/100+Inputs!$F$77*$F$25*Inputs!$F$91/100+Inputs!$F$78*$F$25*Inputs!$F$92/100,0)</f>
        <v/>
      </c>
      <c r="K42" s="13">
        <f>IF(Construction!K8=1,Inputs!$F$75*$F$25*Inputs!$F$89/100+Inputs!$F$76*$F$25*Inputs!$F$90/100+Inputs!$F$77*$F$25*Inputs!$F$91/100+Inputs!$F$78*$F$25*Inputs!$F$92/100,0)</f>
        <v/>
      </c>
      <c r="L42" s="13">
        <f>IF(Construction!L8=1,Inputs!$F$75*$F$25*Inputs!$F$89/100+Inputs!$F$76*$F$25*Inputs!$F$90/100+Inputs!$F$77*$F$25*Inputs!$F$91/100+Inputs!$F$78*$F$25*Inputs!$F$92/100,0)</f>
        <v/>
      </c>
      <c r="M42" s="13">
        <f>IF(Construction!M8=1,Inputs!$F$75*$F$25*Inputs!$F$89/100+Inputs!$F$76*$F$25*Inputs!$F$90/100+Inputs!$F$77*$F$25*Inputs!$F$91/100+Inputs!$F$78*$F$25*Inputs!$F$92/100,0)</f>
        <v/>
      </c>
      <c r="N42" s="13">
        <f>IF(Construction!N8=1,Inputs!$F$75*$F$25*Inputs!$F$89/100+Inputs!$F$76*$F$25*Inputs!$F$90/100+Inputs!$F$77*$F$25*Inputs!$F$91/100+Inputs!$F$78*$F$25*Inputs!$F$92/100,0)</f>
        <v/>
      </c>
      <c r="O42" s="13">
        <f>IF(Construction!O8=1,Inputs!$F$75*$F$25*Inputs!$F$89/100+Inputs!$F$76*$F$25*Inputs!$F$90/100+Inputs!$F$77*$F$25*Inputs!$F$91/100+Inputs!$F$78*$F$25*Inputs!$F$92/100,0)</f>
        <v/>
      </c>
      <c r="P42" s="13">
        <f>IF(Construction!P8=1,Inputs!$F$75*$F$25*Inputs!$F$89/100+Inputs!$F$76*$F$25*Inputs!$F$90/100+Inputs!$F$77*$F$25*Inputs!$F$91/100+Inputs!$F$78*$F$25*Inputs!$F$92/100,0)</f>
        <v/>
      </c>
      <c r="Q42" s="13">
        <f>IF(Construction!Q8=1,Inputs!$F$75*$F$25*Inputs!$F$89/100+Inputs!$F$76*$F$25*Inputs!$F$90/100+Inputs!$F$77*$F$25*Inputs!$F$91/100+Inputs!$F$78*$F$25*Inputs!$F$92/100,0)</f>
        <v/>
      </c>
      <c r="R42" s="13">
        <f>IF(Construction!R8=1,Inputs!$F$75*$F$25*Inputs!$F$89/100+Inputs!$F$76*$F$25*Inputs!$F$90/100+Inputs!$F$77*$F$25*Inputs!$F$91/100+Inputs!$F$78*$F$25*Inputs!$F$92/100,0)</f>
        <v/>
      </c>
      <c r="S42" s="13">
        <f>IF(Construction!S8=1,Inputs!$F$75*$F$25*Inputs!$F$89/100+Inputs!$F$76*$F$25*Inputs!$F$90/100+Inputs!$F$77*$F$25*Inputs!$F$91/100+Inputs!$F$78*$F$25*Inputs!$F$92/100,0)</f>
        <v/>
      </c>
      <c r="T42" s="13">
        <f>IF(Construction!T8=1,Inputs!$F$75*$F$25*Inputs!$F$89/100+Inputs!$F$76*$F$25*Inputs!$F$90/100+Inputs!$F$77*$F$25*Inputs!$F$91/100+Inputs!$F$78*$F$25*Inputs!$F$92/100,0)</f>
        <v/>
      </c>
      <c r="U42" s="13">
        <f>IF(Construction!U8=1,Inputs!$F$75*$F$25*Inputs!$F$89/100+Inputs!$F$76*$F$25*Inputs!$F$90/100+Inputs!$F$77*$F$25*Inputs!$F$91/100+Inputs!$F$78*$F$25*Inputs!$F$92/100,0)</f>
        <v/>
      </c>
      <c r="V42" s="13">
        <f>IF(Construction!V8=1,Inputs!$F$75*$F$25*Inputs!$F$89/100+Inputs!$F$76*$F$25*Inputs!$F$90/100+Inputs!$F$77*$F$25*Inputs!$F$91/100+Inputs!$F$78*$F$25*Inputs!$F$92/100,0)</f>
        <v/>
      </c>
      <c r="W42" s="13">
        <f>IF(Construction!W8=1,Inputs!$F$75*$F$25*Inputs!$F$89/100+Inputs!$F$76*$F$25*Inputs!$F$90/100+Inputs!$F$77*$F$25*Inputs!$F$91/100+Inputs!$F$78*$F$25*Inputs!$F$92/100,0)</f>
        <v/>
      </c>
      <c r="X42" s="13">
        <f>IF(Construction!X8=1,Inputs!$F$75*$F$25*Inputs!$F$89/100+Inputs!$F$76*$F$25*Inputs!$F$90/100+Inputs!$F$77*$F$25*Inputs!$F$91/100+Inputs!$F$78*$F$25*Inputs!$F$92/100,0)</f>
        <v/>
      </c>
      <c r="Y42" s="13">
        <f>IF(Construction!Y8=1,Inputs!$F$75*$F$25*Inputs!$F$89/100+Inputs!$F$76*$F$25*Inputs!$F$90/100+Inputs!$F$77*$F$25*Inputs!$F$91/100+Inputs!$F$78*$F$25*Inputs!$F$92/100,0)</f>
        <v/>
      </c>
      <c r="Z42" s="13">
        <f>IF(Construction!Z8=1,Inputs!$F$75*$F$25*Inputs!$F$89/100+Inputs!$F$76*$F$25*Inputs!$F$90/100+Inputs!$F$77*$F$25*Inputs!$F$91/100+Inputs!$F$78*$F$25*Inputs!$F$92/100,0)</f>
        <v/>
      </c>
      <c r="AA42" s="13">
        <f>IF(Construction!AA8=1,Inputs!$F$75*$F$25*Inputs!$F$89/100+Inputs!$F$76*$F$25*Inputs!$F$90/100+Inputs!$F$77*$F$25*Inputs!$F$91/100+Inputs!$F$78*$F$25*Inputs!$F$92/100,0)</f>
        <v/>
      </c>
      <c r="AB42" s="13">
        <f>IF(Construction!AB8=1,Inputs!$F$75*$F$25*Inputs!$F$89/100+Inputs!$F$76*$F$25*Inputs!$F$90/100+Inputs!$F$77*$F$25*Inputs!$F$91/100+Inputs!$F$78*$F$25*Inputs!$F$92/100,0)</f>
        <v/>
      </c>
      <c r="AC42" s="13">
        <f>IF(Construction!AC8=1,Inputs!$F$75*$F$25*Inputs!$F$89/100+Inputs!$F$76*$F$25*Inputs!$F$90/100+Inputs!$F$77*$F$25*Inputs!$F$91/100+Inputs!$F$78*$F$25*Inputs!$F$92/100,0)</f>
        <v/>
      </c>
      <c r="AD42" s="13">
        <f>IF(Construction!AD8=1,Inputs!$F$75*$F$25*Inputs!$F$89/100+Inputs!$F$76*$F$25*Inputs!$F$90/100+Inputs!$F$77*$F$25*Inputs!$F$91/100+Inputs!$F$78*$F$25*Inputs!$F$92/100,0)</f>
        <v/>
      </c>
      <c r="AE42" s="13">
        <f>IF(Construction!AE8=1,Inputs!$F$75*$F$25*Inputs!$F$89/100+Inputs!$F$76*$F$25*Inputs!$F$90/100+Inputs!$F$77*$F$25*Inputs!$F$91/100+Inputs!$F$78*$F$25*Inputs!$F$92/100,0)</f>
        <v/>
      </c>
      <c r="AF42" s="13">
        <f>IF(Construction!AF8=1,Inputs!$F$75*$F$25*Inputs!$F$89/100+Inputs!$F$76*$F$25*Inputs!$F$90/100+Inputs!$F$77*$F$25*Inputs!$F$91/100+Inputs!$F$78*$F$25*Inputs!$F$92/100,0)</f>
        <v/>
      </c>
      <c r="AG42" s="13">
        <f>IF(Construction!AG8=1,Inputs!$F$75*$F$25*Inputs!$F$89/100+Inputs!$F$76*$F$25*Inputs!$F$90/100+Inputs!$F$77*$F$25*Inputs!$F$91/100+Inputs!$F$78*$F$25*Inputs!$F$92/100,0)</f>
        <v/>
      </c>
      <c r="AH42" s="13">
        <f>IF(Construction!AH8=1,Inputs!$F$75*$F$25*Inputs!$F$89/100+Inputs!$F$76*$F$25*Inputs!$F$90/100+Inputs!$F$77*$F$25*Inputs!$F$91/100+Inputs!$F$78*$F$25*Inputs!$F$92/100,0)</f>
        <v/>
      </c>
      <c r="AI42" s="13">
        <f>IF(Construction!AI8=1,Inputs!$F$75*$F$25*Inputs!$F$89/100+Inputs!$F$76*$F$25*Inputs!$F$90/100+Inputs!$F$77*$F$25*Inputs!$F$91/100+Inputs!$F$78*$F$25*Inputs!$F$92/100,0)</f>
        <v/>
      </c>
      <c r="AJ42" s="13">
        <f>IF(Construction!AJ8=1,Inputs!$F$75*$F$25*Inputs!$F$89/100+Inputs!$F$76*$F$25*Inputs!$F$90/100+Inputs!$F$77*$F$25*Inputs!$F$91/100+Inputs!$F$78*$F$25*Inputs!$F$92/100,0)</f>
        <v/>
      </c>
      <c r="AK42" s="13">
        <f>IF(Construction!AK8=1,Inputs!$F$75*$F$25*Inputs!$F$89/100+Inputs!$F$76*$F$25*Inputs!$F$90/100+Inputs!$F$77*$F$25*Inputs!$F$91/100+Inputs!$F$78*$F$25*Inputs!$F$92/100,0)</f>
        <v/>
      </c>
      <c r="AL42" s="13">
        <f>IF(Construction!AL8=1,Inputs!$F$75*$F$25*Inputs!$F$89/100+Inputs!$F$76*$F$25*Inputs!$F$90/100+Inputs!$F$77*$F$25*Inputs!$F$91/100+Inputs!$F$78*$F$25*Inputs!$F$92/100,0)</f>
        <v/>
      </c>
      <c r="AM42" s="13">
        <f>IF(Construction!AM8=1,Inputs!$F$75*$F$25*Inputs!$F$89/100+Inputs!$F$76*$F$25*Inputs!$F$90/100+Inputs!$F$77*$F$25*Inputs!$F$91/100+Inputs!$F$78*$F$25*Inputs!$F$92/100,0)</f>
        <v/>
      </c>
      <c r="AN42" s="13">
        <f>IF(Construction!AN8=1,Inputs!$F$75*$F$25*Inputs!$F$89/100+Inputs!$F$76*$F$25*Inputs!$F$90/100+Inputs!$F$77*$F$25*Inputs!$F$91/100+Inputs!$F$78*$F$25*Inputs!$F$92/100,0)</f>
        <v/>
      </c>
      <c r="AO42" s="13">
        <f>IF(Construction!AO8=1,Inputs!$F$75*$F$25*Inputs!$F$89/100+Inputs!$F$76*$F$25*Inputs!$F$90/100+Inputs!$F$77*$F$25*Inputs!$F$91/100+Inputs!$F$78*$F$25*Inputs!$F$92/100,0)</f>
        <v/>
      </c>
      <c r="AP42" s="13">
        <f>IF(Construction!AP8=1,Inputs!$F$75*$F$25*Inputs!$F$89/100+Inputs!$F$76*$F$25*Inputs!$F$90/100+Inputs!$F$77*$F$25*Inputs!$F$91/100+Inputs!$F$78*$F$25*Inputs!$F$92/100,0)</f>
        <v/>
      </c>
      <c r="AQ42" s="13">
        <f>IF(Construction!AQ8=1,Inputs!$F$75*$F$25*Inputs!$F$89/100+Inputs!$F$76*$F$25*Inputs!$F$90/100+Inputs!$F$77*$F$25*Inputs!$F$91/100+Inputs!$F$78*$F$25*Inputs!$F$92/100,0)</f>
        <v/>
      </c>
      <c r="AR42" s="13">
        <f>IF(Construction!AR8=1,Inputs!$F$75*$F$25*Inputs!$F$89/100+Inputs!$F$76*$F$25*Inputs!$F$90/100+Inputs!$F$77*$F$25*Inputs!$F$91/100+Inputs!$F$78*$F$25*Inputs!$F$92/100,0)</f>
        <v/>
      </c>
      <c r="AS42" s="13">
        <f>IF(Construction!AS8=1,Inputs!$F$75*$F$25*Inputs!$F$89/100+Inputs!$F$76*$F$25*Inputs!$F$90/100+Inputs!$F$77*$F$25*Inputs!$F$91/100+Inputs!$F$78*$F$25*Inputs!$F$92/100,0)</f>
        <v/>
      </c>
      <c r="AT42" s="13">
        <f>IF(Construction!AT8=1,Inputs!$F$75*$F$25*Inputs!$F$89/100+Inputs!$F$76*$F$25*Inputs!$F$90/100+Inputs!$F$77*$F$25*Inputs!$F$91/100+Inputs!$F$78*$F$25*Inputs!$F$92/100,0)</f>
        <v/>
      </c>
      <c r="AU42" s="13">
        <f>IF(Construction!AU8=1,Inputs!$F$75*$F$25*Inputs!$F$89/100+Inputs!$F$76*$F$25*Inputs!$F$90/100+Inputs!$F$77*$F$25*Inputs!$F$91/100+Inputs!$F$78*$F$25*Inputs!$F$92/100,0)</f>
        <v/>
      </c>
      <c r="AV42" s="13">
        <f>IF(Construction!AV8=1,Inputs!$F$75*$F$25*Inputs!$F$89/100+Inputs!$F$76*$F$25*Inputs!$F$90/100+Inputs!$F$77*$F$25*Inputs!$F$91/100+Inputs!$F$78*$F$25*Inputs!$F$92/100,0)</f>
        <v/>
      </c>
      <c r="AW42" s="13">
        <f>IF(Construction!AW8=1,Inputs!$F$75*$F$25*Inputs!$F$89/100+Inputs!$F$76*$F$25*Inputs!$F$90/100+Inputs!$F$77*$F$25*Inputs!$F$91/100+Inputs!$F$78*$F$25*Inputs!$F$92/100,0)</f>
        <v/>
      </c>
      <c r="AX42" s="13">
        <f>IF(Construction!AX8=1,Inputs!$F$75*$F$25*Inputs!$F$89/100+Inputs!$F$76*$F$25*Inputs!$F$90/100+Inputs!$F$77*$F$25*Inputs!$F$91/100+Inputs!$F$78*$F$25*Inputs!$F$92/100,0)</f>
        <v/>
      </c>
      <c r="AY42" s="13">
        <f>IF(Construction!AY8=1,Inputs!$F$75*$F$25*Inputs!$F$89/100+Inputs!$F$76*$F$25*Inputs!$F$90/100+Inputs!$F$77*$F$25*Inputs!$F$91/100+Inputs!$F$78*$F$25*Inputs!$F$92/100,0)</f>
        <v/>
      </c>
      <c r="AZ42" s="13">
        <f>IF(Construction!AZ8=1,Inputs!$F$75*$F$25*Inputs!$F$89/100+Inputs!$F$76*$F$25*Inputs!$F$90/100+Inputs!$F$77*$F$25*Inputs!$F$91/100+Inputs!$F$78*$F$25*Inputs!$F$92/100,0)</f>
        <v/>
      </c>
      <c r="BA42" s="13">
        <f>IF(Construction!BA8=1,Inputs!$F$75*$F$25*Inputs!$F$89/100+Inputs!$F$76*$F$25*Inputs!$F$90/100+Inputs!$F$77*$F$25*Inputs!$F$91/100+Inputs!$F$78*$F$25*Inputs!$F$92/100,0)</f>
        <v/>
      </c>
      <c r="BB42" s="13">
        <f>IF(Construction!BB8=1,Inputs!$F$75*$F$25*Inputs!$F$89/100+Inputs!$F$76*$F$25*Inputs!$F$90/100+Inputs!$F$77*$F$25*Inputs!$F$91/100+Inputs!$F$78*$F$25*Inputs!$F$92/100,0)</f>
        <v/>
      </c>
      <c r="BC42" s="13">
        <f>IF(Construction!BC8=1,Inputs!$F$75*$F$25*Inputs!$F$89/100+Inputs!$F$76*$F$25*Inputs!$F$90/100+Inputs!$F$77*$F$25*Inputs!$F$91/100+Inputs!$F$78*$F$25*Inputs!$F$92/100,0)</f>
        <v/>
      </c>
      <c r="BD42" s="13">
        <f>IF(Construction!BD8=1,Inputs!$F$75*$F$25*Inputs!$F$89/100+Inputs!$F$76*$F$25*Inputs!$F$90/100+Inputs!$F$77*$F$25*Inputs!$F$91/100+Inputs!$F$78*$F$25*Inputs!$F$92/100,0)</f>
        <v/>
      </c>
      <c r="BE42" s="13">
        <f>IF(Construction!BE8=1,Inputs!$F$75*$F$25*Inputs!$F$89/100+Inputs!$F$76*$F$25*Inputs!$F$90/100+Inputs!$F$77*$F$25*Inputs!$F$91/100+Inputs!$F$78*$F$25*Inputs!$F$92/100,0)</f>
        <v/>
      </c>
      <c r="BF42" s="13">
        <f>IF(Construction!BF8=1,Inputs!$F$75*$F$25*Inputs!$F$89/100+Inputs!$F$76*$F$25*Inputs!$F$90/100+Inputs!$F$77*$F$25*Inputs!$F$91/100+Inputs!$F$78*$F$25*Inputs!$F$92/100,0)</f>
        <v/>
      </c>
      <c r="BG42" s="13">
        <f>IF(Construction!BG8=1,Inputs!$F$75*$F$25*Inputs!$F$89/100+Inputs!$F$76*$F$25*Inputs!$F$90/100+Inputs!$F$77*$F$25*Inputs!$F$91/100+Inputs!$F$78*$F$25*Inputs!$F$92/100,0)</f>
        <v/>
      </c>
      <c r="BH42" s="13">
        <f>IF(Construction!BH8=1,Inputs!$F$75*$F$25*Inputs!$F$89/100+Inputs!$F$76*$F$25*Inputs!$F$90/100+Inputs!$F$77*$F$25*Inputs!$F$91/100+Inputs!$F$78*$F$25*Inputs!$F$92/100,0)</f>
        <v/>
      </c>
      <c r="BI42" s="13">
        <f>IF(Construction!BI8=1,Inputs!$F$75*$F$25*Inputs!$F$89/100+Inputs!$F$76*$F$25*Inputs!$F$90/100+Inputs!$F$77*$F$25*Inputs!$F$91/100+Inputs!$F$78*$F$25*Inputs!$F$92/100,0)</f>
        <v/>
      </c>
      <c r="BJ42" s="13">
        <f>IF(Construction!BJ8=1,Inputs!$F$75*$F$25*Inputs!$F$89/100+Inputs!$F$76*$F$25*Inputs!$F$90/100+Inputs!$F$77*$F$25*Inputs!$F$91/100+Inputs!$F$78*$F$25*Inputs!$F$92/100,0)</f>
        <v/>
      </c>
    </row>
    <row r="43">
      <c r="D43" t="inlineStr">
        <is>
          <t>Agency fees during construction</t>
        </is>
      </c>
      <c r="E43" t="inlineStr">
        <is>
          <t>USD m</t>
        </is>
      </c>
      <c r="G43" s="13">
        <f>SUM(J43:BJ43)</f>
        <v/>
      </c>
      <c r="J43" s="13">
        <f>Construction!J14*Inputs!$F$107/12</f>
        <v/>
      </c>
      <c r="K43" s="13">
        <f>Construction!K14*Inputs!$F$107/12</f>
        <v/>
      </c>
      <c r="L43" s="13">
        <f>Construction!L14*Inputs!$F$107/12</f>
        <v/>
      </c>
      <c r="M43" s="13">
        <f>Construction!M14*Inputs!$F$107/12</f>
        <v/>
      </c>
      <c r="N43" s="13">
        <f>Construction!N14*Inputs!$F$107/12</f>
        <v/>
      </c>
      <c r="O43" s="13">
        <f>Construction!O14*Inputs!$F$107/12</f>
        <v/>
      </c>
      <c r="P43" s="13">
        <f>Construction!P14*Inputs!$F$107/12</f>
        <v/>
      </c>
      <c r="Q43" s="13">
        <f>Construction!Q14*Inputs!$F$107/12</f>
        <v/>
      </c>
      <c r="R43" s="13">
        <f>Construction!R14*Inputs!$F$107/12</f>
        <v/>
      </c>
      <c r="S43" s="13">
        <f>Construction!S14*Inputs!$F$107/12</f>
        <v/>
      </c>
      <c r="T43" s="13">
        <f>Construction!T14*Inputs!$F$107/12</f>
        <v/>
      </c>
      <c r="U43" s="13">
        <f>Construction!U14*Inputs!$F$107/12</f>
        <v/>
      </c>
      <c r="V43" s="13">
        <f>Construction!V14*Inputs!$F$107/12</f>
        <v/>
      </c>
      <c r="W43" s="13">
        <f>Construction!W14*Inputs!$F$107/12</f>
        <v/>
      </c>
      <c r="X43" s="13">
        <f>Construction!X14*Inputs!$F$107/12</f>
        <v/>
      </c>
      <c r="Y43" s="13">
        <f>Construction!Y14*Inputs!$F$107/12</f>
        <v/>
      </c>
      <c r="Z43" s="13">
        <f>Construction!Z14*Inputs!$F$107/12</f>
        <v/>
      </c>
      <c r="AA43" s="13">
        <f>Construction!AA14*Inputs!$F$107/12</f>
        <v/>
      </c>
      <c r="AB43" s="13">
        <f>Construction!AB14*Inputs!$F$107/12</f>
        <v/>
      </c>
      <c r="AC43" s="13">
        <f>Construction!AC14*Inputs!$F$107/12</f>
        <v/>
      </c>
      <c r="AD43" s="13">
        <f>Construction!AD14*Inputs!$F$107/12</f>
        <v/>
      </c>
      <c r="AE43" s="13">
        <f>Construction!AE14*Inputs!$F$107/12</f>
        <v/>
      </c>
      <c r="AF43" s="13">
        <f>Construction!AF14*Inputs!$F$107/12</f>
        <v/>
      </c>
      <c r="AG43" s="13">
        <f>Construction!AG14*Inputs!$F$107/12</f>
        <v/>
      </c>
      <c r="AH43" s="13">
        <f>Construction!AH14*Inputs!$F$107/12</f>
        <v/>
      </c>
      <c r="AI43" s="13">
        <f>Construction!AI14*Inputs!$F$107/12</f>
        <v/>
      </c>
      <c r="AJ43" s="13">
        <f>Construction!AJ14*Inputs!$F$107/12</f>
        <v/>
      </c>
      <c r="AK43" s="13">
        <f>Construction!AK14*Inputs!$F$107/12</f>
        <v/>
      </c>
      <c r="AL43" s="13">
        <f>Construction!AL14*Inputs!$F$107/12</f>
        <v/>
      </c>
      <c r="AM43" s="13">
        <f>Construction!AM14*Inputs!$F$107/12</f>
        <v/>
      </c>
      <c r="AN43" s="13">
        <f>Construction!AN14*Inputs!$F$107/12</f>
        <v/>
      </c>
      <c r="AO43" s="13">
        <f>Construction!AO14*Inputs!$F$107/12</f>
        <v/>
      </c>
      <c r="AP43" s="13">
        <f>Construction!AP14*Inputs!$F$107/12</f>
        <v/>
      </c>
      <c r="AQ43" s="13">
        <f>Construction!AQ14*Inputs!$F$107/12</f>
        <v/>
      </c>
      <c r="AR43" s="13">
        <f>Construction!AR14*Inputs!$F$107/12</f>
        <v/>
      </c>
      <c r="AS43" s="13">
        <f>Construction!AS14*Inputs!$F$107/12</f>
        <v/>
      </c>
      <c r="AT43" s="13">
        <f>Construction!AT14*Inputs!$F$107/12</f>
        <v/>
      </c>
      <c r="AU43" s="13">
        <f>Construction!AU14*Inputs!$F$107/12</f>
        <v/>
      </c>
      <c r="AV43" s="13">
        <f>Construction!AV14*Inputs!$F$107/12</f>
        <v/>
      </c>
      <c r="AW43" s="13">
        <f>Construction!AW14*Inputs!$F$107/12</f>
        <v/>
      </c>
      <c r="AX43" s="13">
        <f>Construction!AX14*Inputs!$F$107/12</f>
        <v/>
      </c>
      <c r="AY43" s="13">
        <f>Construction!AY14*Inputs!$F$107/12</f>
        <v/>
      </c>
      <c r="AZ43" s="13">
        <f>Construction!AZ14*Inputs!$F$107/12</f>
        <v/>
      </c>
      <c r="BA43" s="13">
        <f>Construction!BA14*Inputs!$F$107/12</f>
        <v/>
      </c>
      <c r="BB43" s="13">
        <f>Construction!BB14*Inputs!$F$107/12</f>
        <v/>
      </c>
      <c r="BC43" s="13">
        <f>Construction!BC14*Inputs!$F$107/12</f>
        <v/>
      </c>
      <c r="BD43" s="13">
        <f>Construction!BD14*Inputs!$F$107/12</f>
        <v/>
      </c>
      <c r="BE43" s="13">
        <f>Construction!BE14*Inputs!$F$107/12</f>
        <v/>
      </c>
      <c r="BF43" s="13">
        <f>Construction!BF14*Inputs!$F$107/12</f>
        <v/>
      </c>
      <c r="BG43" s="13">
        <f>Construction!BG14*Inputs!$F$107/12</f>
        <v/>
      </c>
      <c r="BH43" s="13">
        <f>Construction!BH14*Inputs!$F$107/12</f>
        <v/>
      </c>
      <c r="BI43" s="13">
        <f>Construction!BI14*Inputs!$F$107/12</f>
        <v/>
      </c>
      <c r="BJ43" s="13">
        <f>Construction!BJ14*Inputs!$F$107/12</f>
        <v/>
      </c>
    </row>
    <row r="44">
      <c r="D44" t="inlineStr">
        <is>
          <t>DSRA initial funding (COD month)</t>
        </is>
      </c>
      <c r="E44" t="inlineStr">
        <is>
          <t>USD m</t>
        </is>
      </c>
      <c r="G44" s="13">
        <f>SUM(J44:BJ44)</f>
        <v/>
      </c>
      <c r="J44" s="13">
        <f>Construction!J15*IF(Inputs!$F$34=1,$F$12*Inputs!$F$75*$F$25+$F$13*Inputs!$F$76*$F$25+$F$14*Inputs!$F$77*$F$25+$F$15*Inputs!$F$78*$F$25+$F$17,$F$12*J28+$F$13*J29+$F$14*J30+$F$15*J31+$F$16*J32+$F$17)</f>
        <v/>
      </c>
      <c r="K44" s="13">
        <f>Construction!K15*IF(Inputs!$F$34=1,$F$12*Inputs!$F$75*$F$25+$F$13*Inputs!$F$76*$F$25+$F$14*Inputs!$F$77*$F$25+$F$15*Inputs!$F$78*$F$25+$F$17,$F$12*K28+$F$13*K29+$F$14*K30+$F$15*K31+$F$16*K32+$F$17)</f>
        <v/>
      </c>
      <c r="L44" s="13">
        <f>Construction!L15*IF(Inputs!$F$34=1,$F$12*Inputs!$F$75*$F$25+$F$13*Inputs!$F$76*$F$25+$F$14*Inputs!$F$77*$F$25+$F$15*Inputs!$F$78*$F$25+$F$17,$F$12*L28+$F$13*L29+$F$14*L30+$F$15*L31+$F$16*L32+$F$17)</f>
        <v/>
      </c>
      <c r="M44" s="13">
        <f>Construction!M15*IF(Inputs!$F$34=1,$F$12*Inputs!$F$75*$F$25+$F$13*Inputs!$F$76*$F$25+$F$14*Inputs!$F$77*$F$25+$F$15*Inputs!$F$78*$F$25+$F$17,$F$12*M28+$F$13*M29+$F$14*M30+$F$15*M31+$F$16*M32+$F$17)</f>
        <v/>
      </c>
      <c r="N44" s="13">
        <f>Construction!N15*IF(Inputs!$F$34=1,$F$12*Inputs!$F$75*$F$25+$F$13*Inputs!$F$76*$F$25+$F$14*Inputs!$F$77*$F$25+$F$15*Inputs!$F$78*$F$25+$F$17,$F$12*N28+$F$13*N29+$F$14*N30+$F$15*N31+$F$16*N32+$F$17)</f>
        <v/>
      </c>
      <c r="O44" s="13">
        <f>Construction!O15*IF(Inputs!$F$34=1,$F$12*Inputs!$F$75*$F$25+$F$13*Inputs!$F$76*$F$25+$F$14*Inputs!$F$77*$F$25+$F$15*Inputs!$F$78*$F$25+$F$17,$F$12*O28+$F$13*O29+$F$14*O30+$F$15*O31+$F$16*O32+$F$17)</f>
        <v/>
      </c>
      <c r="P44" s="13">
        <f>Construction!P15*IF(Inputs!$F$34=1,$F$12*Inputs!$F$75*$F$25+$F$13*Inputs!$F$76*$F$25+$F$14*Inputs!$F$77*$F$25+$F$15*Inputs!$F$78*$F$25+$F$17,$F$12*P28+$F$13*P29+$F$14*P30+$F$15*P31+$F$16*P32+$F$17)</f>
        <v/>
      </c>
      <c r="Q44" s="13">
        <f>Construction!Q15*IF(Inputs!$F$34=1,$F$12*Inputs!$F$75*$F$25+$F$13*Inputs!$F$76*$F$25+$F$14*Inputs!$F$77*$F$25+$F$15*Inputs!$F$78*$F$25+$F$17,$F$12*Q28+$F$13*Q29+$F$14*Q30+$F$15*Q31+$F$16*Q32+$F$17)</f>
        <v/>
      </c>
      <c r="R44" s="13">
        <f>Construction!R15*IF(Inputs!$F$34=1,$F$12*Inputs!$F$75*$F$25+$F$13*Inputs!$F$76*$F$25+$F$14*Inputs!$F$77*$F$25+$F$15*Inputs!$F$78*$F$25+$F$17,$F$12*R28+$F$13*R29+$F$14*R30+$F$15*R31+$F$16*R32+$F$17)</f>
        <v/>
      </c>
      <c r="S44" s="13">
        <f>Construction!S15*IF(Inputs!$F$34=1,$F$12*Inputs!$F$75*$F$25+$F$13*Inputs!$F$76*$F$25+$F$14*Inputs!$F$77*$F$25+$F$15*Inputs!$F$78*$F$25+$F$17,$F$12*S28+$F$13*S29+$F$14*S30+$F$15*S31+$F$16*S32+$F$17)</f>
        <v/>
      </c>
      <c r="T44" s="13">
        <f>Construction!T15*IF(Inputs!$F$34=1,$F$12*Inputs!$F$75*$F$25+$F$13*Inputs!$F$76*$F$25+$F$14*Inputs!$F$77*$F$25+$F$15*Inputs!$F$78*$F$25+$F$17,$F$12*T28+$F$13*T29+$F$14*T30+$F$15*T31+$F$16*T32+$F$17)</f>
        <v/>
      </c>
      <c r="U44" s="13">
        <f>Construction!U15*IF(Inputs!$F$34=1,$F$12*Inputs!$F$75*$F$25+$F$13*Inputs!$F$76*$F$25+$F$14*Inputs!$F$77*$F$25+$F$15*Inputs!$F$78*$F$25+$F$17,$F$12*U28+$F$13*U29+$F$14*U30+$F$15*U31+$F$16*U32+$F$17)</f>
        <v/>
      </c>
      <c r="V44" s="13">
        <f>Construction!V15*IF(Inputs!$F$34=1,$F$12*Inputs!$F$75*$F$25+$F$13*Inputs!$F$76*$F$25+$F$14*Inputs!$F$77*$F$25+$F$15*Inputs!$F$78*$F$25+$F$17,$F$12*V28+$F$13*V29+$F$14*V30+$F$15*V31+$F$16*V32+$F$17)</f>
        <v/>
      </c>
      <c r="W44" s="13">
        <f>Construction!W15*IF(Inputs!$F$34=1,$F$12*Inputs!$F$75*$F$25+$F$13*Inputs!$F$76*$F$25+$F$14*Inputs!$F$77*$F$25+$F$15*Inputs!$F$78*$F$25+$F$17,$F$12*W28+$F$13*W29+$F$14*W30+$F$15*W31+$F$16*W32+$F$17)</f>
        <v/>
      </c>
      <c r="X44" s="13">
        <f>Construction!X15*IF(Inputs!$F$34=1,$F$12*Inputs!$F$75*$F$25+$F$13*Inputs!$F$76*$F$25+$F$14*Inputs!$F$77*$F$25+$F$15*Inputs!$F$78*$F$25+$F$17,$F$12*X28+$F$13*X29+$F$14*X30+$F$15*X31+$F$16*X32+$F$17)</f>
        <v/>
      </c>
      <c r="Y44" s="13">
        <f>Construction!Y15*IF(Inputs!$F$34=1,$F$12*Inputs!$F$75*$F$25+$F$13*Inputs!$F$76*$F$25+$F$14*Inputs!$F$77*$F$25+$F$15*Inputs!$F$78*$F$25+$F$17,$F$12*Y28+$F$13*Y29+$F$14*Y30+$F$15*Y31+$F$16*Y32+$F$17)</f>
        <v/>
      </c>
      <c r="Z44" s="13">
        <f>Construction!Z15*IF(Inputs!$F$34=1,$F$12*Inputs!$F$75*$F$25+$F$13*Inputs!$F$76*$F$25+$F$14*Inputs!$F$77*$F$25+$F$15*Inputs!$F$78*$F$25+$F$17,$F$12*Z28+$F$13*Z29+$F$14*Z30+$F$15*Z31+$F$16*Z32+$F$17)</f>
        <v/>
      </c>
      <c r="AA44" s="13">
        <f>Construction!AA15*IF(Inputs!$F$34=1,$F$12*Inputs!$F$75*$F$25+$F$13*Inputs!$F$76*$F$25+$F$14*Inputs!$F$77*$F$25+$F$15*Inputs!$F$78*$F$25+$F$17,$F$12*AA28+$F$13*AA29+$F$14*AA30+$F$15*AA31+$F$16*AA32+$F$17)</f>
        <v/>
      </c>
      <c r="AB44" s="13">
        <f>Construction!AB15*IF(Inputs!$F$34=1,$F$12*Inputs!$F$75*$F$25+$F$13*Inputs!$F$76*$F$25+$F$14*Inputs!$F$77*$F$25+$F$15*Inputs!$F$78*$F$25+$F$17,$F$12*AB28+$F$13*AB29+$F$14*AB30+$F$15*AB31+$F$16*AB32+$F$17)</f>
        <v/>
      </c>
      <c r="AC44" s="13">
        <f>Construction!AC15*IF(Inputs!$F$34=1,$F$12*Inputs!$F$75*$F$25+$F$13*Inputs!$F$76*$F$25+$F$14*Inputs!$F$77*$F$25+$F$15*Inputs!$F$78*$F$25+$F$17,$F$12*AC28+$F$13*AC29+$F$14*AC30+$F$15*AC31+$F$16*AC32+$F$17)</f>
        <v/>
      </c>
      <c r="AD44" s="13">
        <f>Construction!AD15*IF(Inputs!$F$34=1,$F$12*Inputs!$F$75*$F$25+$F$13*Inputs!$F$76*$F$25+$F$14*Inputs!$F$77*$F$25+$F$15*Inputs!$F$78*$F$25+$F$17,$F$12*AD28+$F$13*AD29+$F$14*AD30+$F$15*AD31+$F$16*AD32+$F$17)</f>
        <v/>
      </c>
      <c r="AE44" s="13">
        <f>Construction!AE15*IF(Inputs!$F$34=1,$F$12*Inputs!$F$75*$F$25+$F$13*Inputs!$F$76*$F$25+$F$14*Inputs!$F$77*$F$25+$F$15*Inputs!$F$78*$F$25+$F$17,$F$12*AE28+$F$13*AE29+$F$14*AE30+$F$15*AE31+$F$16*AE32+$F$17)</f>
        <v/>
      </c>
      <c r="AF44" s="13">
        <f>Construction!AF15*IF(Inputs!$F$34=1,$F$12*Inputs!$F$75*$F$25+$F$13*Inputs!$F$76*$F$25+$F$14*Inputs!$F$77*$F$25+$F$15*Inputs!$F$78*$F$25+$F$17,$F$12*AF28+$F$13*AF29+$F$14*AF30+$F$15*AF31+$F$16*AF32+$F$17)</f>
        <v/>
      </c>
      <c r="AG44" s="13">
        <f>Construction!AG15*IF(Inputs!$F$34=1,$F$12*Inputs!$F$75*$F$25+$F$13*Inputs!$F$76*$F$25+$F$14*Inputs!$F$77*$F$25+$F$15*Inputs!$F$78*$F$25+$F$17,$F$12*AG28+$F$13*AG29+$F$14*AG30+$F$15*AG31+$F$16*AG32+$F$17)</f>
        <v/>
      </c>
      <c r="AH44" s="13">
        <f>Construction!AH15*IF(Inputs!$F$34=1,$F$12*Inputs!$F$75*$F$25+$F$13*Inputs!$F$76*$F$25+$F$14*Inputs!$F$77*$F$25+$F$15*Inputs!$F$78*$F$25+$F$17,$F$12*AH28+$F$13*AH29+$F$14*AH30+$F$15*AH31+$F$16*AH32+$F$17)</f>
        <v/>
      </c>
      <c r="AI44" s="13">
        <f>Construction!AI15*IF(Inputs!$F$34=1,$F$12*Inputs!$F$75*$F$25+$F$13*Inputs!$F$76*$F$25+$F$14*Inputs!$F$77*$F$25+$F$15*Inputs!$F$78*$F$25+$F$17,$F$12*AI28+$F$13*AI29+$F$14*AI30+$F$15*AI31+$F$16*AI32+$F$17)</f>
        <v/>
      </c>
      <c r="AJ44" s="13">
        <f>Construction!AJ15*IF(Inputs!$F$34=1,$F$12*Inputs!$F$75*$F$25+$F$13*Inputs!$F$76*$F$25+$F$14*Inputs!$F$77*$F$25+$F$15*Inputs!$F$78*$F$25+$F$17,$F$12*AJ28+$F$13*AJ29+$F$14*AJ30+$F$15*AJ31+$F$16*AJ32+$F$17)</f>
        <v/>
      </c>
      <c r="AK44" s="13">
        <f>Construction!AK15*IF(Inputs!$F$34=1,$F$12*Inputs!$F$75*$F$25+$F$13*Inputs!$F$76*$F$25+$F$14*Inputs!$F$77*$F$25+$F$15*Inputs!$F$78*$F$25+$F$17,$F$12*AK28+$F$13*AK29+$F$14*AK30+$F$15*AK31+$F$16*AK32+$F$17)</f>
        <v/>
      </c>
      <c r="AL44" s="13">
        <f>Construction!AL15*IF(Inputs!$F$34=1,$F$12*Inputs!$F$75*$F$25+$F$13*Inputs!$F$76*$F$25+$F$14*Inputs!$F$77*$F$25+$F$15*Inputs!$F$78*$F$25+$F$17,$F$12*AL28+$F$13*AL29+$F$14*AL30+$F$15*AL31+$F$16*AL32+$F$17)</f>
        <v/>
      </c>
      <c r="AM44" s="13">
        <f>Construction!AM15*IF(Inputs!$F$34=1,$F$12*Inputs!$F$75*$F$25+$F$13*Inputs!$F$76*$F$25+$F$14*Inputs!$F$77*$F$25+$F$15*Inputs!$F$78*$F$25+$F$17,$F$12*AM28+$F$13*AM29+$F$14*AM30+$F$15*AM31+$F$16*AM32+$F$17)</f>
        <v/>
      </c>
      <c r="AN44" s="13">
        <f>Construction!AN15*IF(Inputs!$F$34=1,$F$12*Inputs!$F$75*$F$25+$F$13*Inputs!$F$76*$F$25+$F$14*Inputs!$F$77*$F$25+$F$15*Inputs!$F$78*$F$25+$F$17,$F$12*AN28+$F$13*AN29+$F$14*AN30+$F$15*AN31+$F$16*AN32+$F$17)</f>
        <v/>
      </c>
      <c r="AO44" s="13">
        <f>Construction!AO15*IF(Inputs!$F$34=1,$F$12*Inputs!$F$75*$F$25+$F$13*Inputs!$F$76*$F$25+$F$14*Inputs!$F$77*$F$25+$F$15*Inputs!$F$78*$F$25+$F$17,$F$12*AO28+$F$13*AO29+$F$14*AO30+$F$15*AO31+$F$16*AO32+$F$17)</f>
        <v/>
      </c>
      <c r="AP44" s="13">
        <f>Construction!AP15*IF(Inputs!$F$34=1,$F$12*Inputs!$F$75*$F$25+$F$13*Inputs!$F$76*$F$25+$F$14*Inputs!$F$77*$F$25+$F$15*Inputs!$F$78*$F$25+$F$17,$F$12*AP28+$F$13*AP29+$F$14*AP30+$F$15*AP31+$F$16*AP32+$F$17)</f>
        <v/>
      </c>
      <c r="AQ44" s="13">
        <f>Construction!AQ15*IF(Inputs!$F$34=1,$F$12*Inputs!$F$75*$F$25+$F$13*Inputs!$F$76*$F$25+$F$14*Inputs!$F$77*$F$25+$F$15*Inputs!$F$78*$F$25+$F$17,$F$12*AQ28+$F$13*AQ29+$F$14*AQ30+$F$15*AQ31+$F$16*AQ32+$F$17)</f>
        <v/>
      </c>
      <c r="AR44" s="13">
        <f>Construction!AR15*IF(Inputs!$F$34=1,$F$12*Inputs!$F$75*$F$25+$F$13*Inputs!$F$76*$F$25+$F$14*Inputs!$F$77*$F$25+$F$15*Inputs!$F$78*$F$25+$F$17,$F$12*AR28+$F$13*AR29+$F$14*AR30+$F$15*AR31+$F$16*AR32+$F$17)</f>
        <v/>
      </c>
      <c r="AS44" s="13">
        <f>Construction!AS15*IF(Inputs!$F$34=1,$F$12*Inputs!$F$75*$F$25+$F$13*Inputs!$F$76*$F$25+$F$14*Inputs!$F$77*$F$25+$F$15*Inputs!$F$78*$F$25+$F$17,$F$12*AS28+$F$13*AS29+$F$14*AS30+$F$15*AS31+$F$16*AS32+$F$17)</f>
        <v/>
      </c>
      <c r="AT44" s="13">
        <f>Construction!AT15*IF(Inputs!$F$34=1,$F$12*Inputs!$F$75*$F$25+$F$13*Inputs!$F$76*$F$25+$F$14*Inputs!$F$77*$F$25+$F$15*Inputs!$F$78*$F$25+$F$17,$F$12*AT28+$F$13*AT29+$F$14*AT30+$F$15*AT31+$F$16*AT32+$F$17)</f>
        <v/>
      </c>
      <c r="AU44" s="13">
        <f>Construction!AU15*IF(Inputs!$F$34=1,$F$12*Inputs!$F$75*$F$25+$F$13*Inputs!$F$76*$F$25+$F$14*Inputs!$F$77*$F$25+$F$15*Inputs!$F$78*$F$25+$F$17,$F$12*AU28+$F$13*AU29+$F$14*AU30+$F$15*AU31+$F$16*AU32+$F$17)</f>
        <v/>
      </c>
      <c r="AV44" s="13">
        <f>Construction!AV15*IF(Inputs!$F$34=1,$F$12*Inputs!$F$75*$F$25+$F$13*Inputs!$F$76*$F$25+$F$14*Inputs!$F$77*$F$25+$F$15*Inputs!$F$78*$F$25+$F$17,$F$12*AV28+$F$13*AV29+$F$14*AV30+$F$15*AV31+$F$16*AV32+$F$17)</f>
        <v/>
      </c>
      <c r="AW44" s="13">
        <f>Construction!AW15*IF(Inputs!$F$34=1,$F$12*Inputs!$F$75*$F$25+$F$13*Inputs!$F$76*$F$25+$F$14*Inputs!$F$77*$F$25+$F$15*Inputs!$F$78*$F$25+$F$17,$F$12*AW28+$F$13*AW29+$F$14*AW30+$F$15*AW31+$F$16*AW32+$F$17)</f>
        <v/>
      </c>
      <c r="AX44" s="13">
        <f>Construction!AX15*IF(Inputs!$F$34=1,$F$12*Inputs!$F$75*$F$25+$F$13*Inputs!$F$76*$F$25+$F$14*Inputs!$F$77*$F$25+$F$15*Inputs!$F$78*$F$25+$F$17,$F$12*AX28+$F$13*AX29+$F$14*AX30+$F$15*AX31+$F$16*AX32+$F$17)</f>
        <v/>
      </c>
      <c r="AY44" s="13">
        <f>Construction!AY15*IF(Inputs!$F$34=1,$F$12*Inputs!$F$75*$F$25+$F$13*Inputs!$F$76*$F$25+$F$14*Inputs!$F$77*$F$25+$F$15*Inputs!$F$78*$F$25+$F$17,$F$12*AY28+$F$13*AY29+$F$14*AY30+$F$15*AY31+$F$16*AY32+$F$17)</f>
        <v/>
      </c>
      <c r="AZ44" s="13">
        <f>Construction!AZ15*IF(Inputs!$F$34=1,$F$12*Inputs!$F$75*$F$25+$F$13*Inputs!$F$76*$F$25+$F$14*Inputs!$F$77*$F$25+$F$15*Inputs!$F$78*$F$25+$F$17,$F$12*AZ28+$F$13*AZ29+$F$14*AZ30+$F$15*AZ31+$F$16*AZ32+$F$17)</f>
        <v/>
      </c>
      <c r="BA44" s="13">
        <f>Construction!BA15*IF(Inputs!$F$34=1,$F$12*Inputs!$F$75*$F$25+$F$13*Inputs!$F$76*$F$25+$F$14*Inputs!$F$77*$F$25+$F$15*Inputs!$F$78*$F$25+$F$17,$F$12*BA28+$F$13*BA29+$F$14*BA30+$F$15*BA31+$F$16*BA32+$F$17)</f>
        <v/>
      </c>
      <c r="BB44" s="13">
        <f>Construction!BB15*IF(Inputs!$F$34=1,$F$12*Inputs!$F$75*$F$25+$F$13*Inputs!$F$76*$F$25+$F$14*Inputs!$F$77*$F$25+$F$15*Inputs!$F$78*$F$25+$F$17,$F$12*BB28+$F$13*BB29+$F$14*BB30+$F$15*BB31+$F$16*BB32+$F$17)</f>
        <v/>
      </c>
      <c r="BC44" s="13">
        <f>Construction!BC15*IF(Inputs!$F$34=1,$F$12*Inputs!$F$75*$F$25+$F$13*Inputs!$F$76*$F$25+$F$14*Inputs!$F$77*$F$25+$F$15*Inputs!$F$78*$F$25+$F$17,$F$12*BC28+$F$13*BC29+$F$14*BC30+$F$15*BC31+$F$16*BC32+$F$17)</f>
        <v/>
      </c>
      <c r="BD44" s="13">
        <f>Construction!BD15*IF(Inputs!$F$34=1,$F$12*Inputs!$F$75*$F$25+$F$13*Inputs!$F$76*$F$25+$F$14*Inputs!$F$77*$F$25+$F$15*Inputs!$F$78*$F$25+$F$17,$F$12*BD28+$F$13*BD29+$F$14*BD30+$F$15*BD31+$F$16*BD32+$F$17)</f>
        <v/>
      </c>
      <c r="BE44" s="13">
        <f>Construction!BE15*IF(Inputs!$F$34=1,$F$12*Inputs!$F$75*$F$25+$F$13*Inputs!$F$76*$F$25+$F$14*Inputs!$F$77*$F$25+$F$15*Inputs!$F$78*$F$25+$F$17,$F$12*BE28+$F$13*BE29+$F$14*BE30+$F$15*BE31+$F$16*BE32+$F$17)</f>
        <v/>
      </c>
      <c r="BF44" s="13">
        <f>Construction!BF15*IF(Inputs!$F$34=1,$F$12*Inputs!$F$75*$F$25+$F$13*Inputs!$F$76*$F$25+$F$14*Inputs!$F$77*$F$25+$F$15*Inputs!$F$78*$F$25+$F$17,$F$12*BF28+$F$13*BF29+$F$14*BF30+$F$15*BF31+$F$16*BF32+$F$17)</f>
        <v/>
      </c>
      <c r="BG44" s="13">
        <f>Construction!BG15*IF(Inputs!$F$34=1,$F$12*Inputs!$F$75*$F$25+$F$13*Inputs!$F$76*$F$25+$F$14*Inputs!$F$77*$F$25+$F$15*Inputs!$F$78*$F$25+$F$17,$F$12*BG28+$F$13*BG29+$F$14*BG30+$F$15*BG31+$F$16*BG32+$F$17)</f>
        <v/>
      </c>
      <c r="BH44" s="13">
        <f>Construction!BH15*IF(Inputs!$F$34=1,$F$12*Inputs!$F$75*$F$25+$F$13*Inputs!$F$76*$F$25+$F$14*Inputs!$F$77*$F$25+$F$15*Inputs!$F$78*$F$25+$F$17,$F$12*BH28+$F$13*BH29+$F$14*BH30+$F$15*BH31+$F$16*BH32+$F$17)</f>
        <v/>
      </c>
      <c r="BI44" s="13">
        <f>Construction!BI15*IF(Inputs!$F$34=1,$F$12*Inputs!$F$75*$F$25+$F$13*Inputs!$F$76*$F$25+$F$14*Inputs!$F$77*$F$25+$F$15*Inputs!$F$78*$F$25+$F$17,$F$12*BI28+$F$13*BI29+$F$14*BI30+$F$15*BI31+$F$16*BI32+$F$17)</f>
        <v/>
      </c>
      <c r="BJ44" s="13">
        <f>Construction!BJ15*IF(Inputs!$F$34=1,$F$12*Inputs!$F$75*$F$25+$F$13*Inputs!$F$76*$F$25+$F$14*Inputs!$F$77*$F$25+$F$15*Inputs!$F$78*$F$25+$F$17,$F$12*BJ28+$F$13*BJ29+$F$14*BJ30+$F$15*BJ31+$F$16*BJ32+$F$17)</f>
        <v/>
      </c>
    </row>
    <row r="45">
      <c r="D45" t="inlineStr">
        <is>
          <t>Uses before ECA premium</t>
        </is>
      </c>
      <c r="E45" t="inlineStr">
        <is>
          <t>USD m</t>
        </is>
      </c>
      <c r="J45" s="13">
        <f>Construction!J14*(Construction!J32+Construction!J38)+J33+J34+J35+J36+J37+J38+J39+J40+J41+J42+J43+J44</f>
        <v/>
      </c>
      <c r="K45" s="13">
        <f>Construction!K14*(Construction!K32+Construction!K38)+K33+K34+K35+K36+K37+K38+K39+K40+K41+K42+K43+K44</f>
        <v/>
      </c>
      <c r="L45" s="13">
        <f>Construction!L14*(Construction!L32+Construction!L38)+L33+L34+L35+L36+L37+L38+L39+L40+L41+L42+L43+L44</f>
        <v/>
      </c>
      <c r="M45" s="13">
        <f>Construction!M14*(Construction!M32+Construction!M38)+M33+M34+M35+M36+M37+M38+M39+M40+M41+M42+M43+M44</f>
        <v/>
      </c>
      <c r="N45" s="13">
        <f>Construction!N14*(Construction!N32+Construction!N38)+N33+N34+N35+N36+N37+N38+N39+N40+N41+N42+N43+N44</f>
        <v/>
      </c>
      <c r="O45" s="13">
        <f>Construction!O14*(Construction!O32+Construction!O38)+O33+O34+O35+O36+O37+O38+O39+O40+O41+O42+O43+O44</f>
        <v/>
      </c>
      <c r="P45" s="13">
        <f>Construction!P14*(Construction!P32+Construction!P38)+P33+P34+P35+P36+P37+P38+P39+P40+P41+P42+P43+P44</f>
        <v/>
      </c>
      <c r="Q45" s="13">
        <f>Construction!Q14*(Construction!Q32+Construction!Q38)+Q33+Q34+Q35+Q36+Q37+Q38+Q39+Q40+Q41+Q42+Q43+Q44</f>
        <v/>
      </c>
      <c r="R45" s="13">
        <f>Construction!R14*(Construction!R32+Construction!R38)+R33+R34+R35+R36+R37+R38+R39+R40+R41+R42+R43+R44</f>
        <v/>
      </c>
      <c r="S45" s="13">
        <f>Construction!S14*(Construction!S32+Construction!S38)+S33+S34+S35+S36+S37+S38+S39+S40+S41+S42+S43+S44</f>
        <v/>
      </c>
      <c r="T45" s="13">
        <f>Construction!T14*(Construction!T32+Construction!T38)+T33+T34+T35+T36+T37+T38+T39+T40+T41+T42+T43+T44</f>
        <v/>
      </c>
      <c r="U45" s="13">
        <f>Construction!U14*(Construction!U32+Construction!U38)+U33+U34+U35+U36+U37+U38+U39+U40+U41+U42+U43+U44</f>
        <v/>
      </c>
      <c r="V45" s="13">
        <f>Construction!V14*(Construction!V32+Construction!V38)+V33+V34+V35+V36+V37+V38+V39+V40+V41+V42+V43+V44</f>
        <v/>
      </c>
      <c r="W45" s="13">
        <f>Construction!W14*(Construction!W32+Construction!W38)+W33+W34+W35+W36+W37+W38+W39+W40+W41+W42+W43+W44</f>
        <v/>
      </c>
      <c r="X45" s="13">
        <f>Construction!X14*(Construction!X32+Construction!X38)+X33+X34+X35+X36+X37+X38+X39+X40+X41+X42+X43+X44</f>
        <v/>
      </c>
      <c r="Y45" s="13">
        <f>Construction!Y14*(Construction!Y32+Construction!Y38)+Y33+Y34+Y35+Y36+Y37+Y38+Y39+Y40+Y41+Y42+Y43+Y44</f>
        <v/>
      </c>
      <c r="Z45" s="13">
        <f>Construction!Z14*(Construction!Z32+Construction!Z38)+Z33+Z34+Z35+Z36+Z37+Z38+Z39+Z40+Z41+Z42+Z43+Z44</f>
        <v/>
      </c>
      <c r="AA45" s="13">
        <f>Construction!AA14*(Construction!AA32+Construction!AA38)+AA33+AA34+AA35+AA36+AA37+AA38+AA39+AA40+AA41+AA42+AA43+AA44</f>
        <v/>
      </c>
      <c r="AB45" s="13">
        <f>Construction!AB14*(Construction!AB32+Construction!AB38)+AB33+AB34+AB35+AB36+AB37+AB38+AB39+AB40+AB41+AB42+AB43+AB44</f>
        <v/>
      </c>
      <c r="AC45" s="13">
        <f>Construction!AC14*(Construction!AC32+Construction!AC38)+AC33+AC34+AC35+AC36+AC37+AC38+AC39+AC40+AC41+AC42+AC43+AC44</f>
        <v/>
      </c>
      <c r="AD45" s="13">
        <f>Construction!AD14*(Construction!AD32+Construction!AD38)+AD33+AD34+AD35+AD36+AD37+AD38+AD39+AD40+AD41+AD42+AD43+AD44</f>
        <v/>
      </c>
      <c r="AE45" s="13">
        <f>Construction!AE14*(Construction!AE32+Construction!AE38)+AE33+AE34+AE35+AE36+AE37+AE38+AE39+AE40+AE41+AE42+AE43+AE44</f>
        <v/>
      </c>
      <c r="AF45" s="13">
        <f>Construction!AF14*(Construction!AF32+Construction!AF38)+AF33+AF34+AF35+AF36+AF37+AF38+AF39+AF40+AF41+AF42+AF43+AF44</f>
        <v/>
      </c>
      <c r="AG45" s="13">
        <f>Construction!AG14*(Construction!AG32+Construction!AG38)+AG33+AG34+AG35+AG36+AG37+AG38+AG39+AG40+AG41+AG42+AG43+AG44</f>
        <v/>
      </c>
      <c r="AH45" s="13">
        <f>Construction!AH14*(Construction!AH32+Construction!AH38)+AH33+AH34+AH35+AH36+AH37+AH38+AH39+AH40+AH41+AH42+AH43+AH44</f>
        <v/>
      </c>
      <c r="AI45" s="13">
        <f>Construction!AI14*(Construction!AI32+Construction!AI38)+AI33+AI34+AI35+AI36+AI37+AI38+AI39+AI40+AI41+AI42+AI43+AI44</f>
        <v/>
      </c>
      <c r="AJ45" s="13">
        <f>Construction!AJ14*(Construction!AJ32+Construction!AJ38)+AJ33+AJ34+AJ35+AJ36+AJ37+AJ38+AJ39+AJ40+AJ41+AJ42+AJ43+AJ44</f>
        <v/>
      </c>
      <c r="AK45" s="13">
        <f>Construction!AK14*(Construction!AK32+Construction!AK38)+AK33+AK34+AK35+AK36+AK37+AK38+AK39+AK40+AK41+AK42+AK43+AK44</f>
        <v/>
      </c>
      <c r="AL45" s="13">
        <f>Construction!AL14*(Construction!AL32+Construction!AL38)+AL33+AL34+AL35+AL36+AL37+AL38+AL39+AL40+AL41+AL42+AL43+AL44</f>
        <v/>
      </c>
      <c r="AM45" s="13">
        <f>Construction!AM14*(Construction!AM32+Construction!AM38)+AM33+AM34+AM35+AM36+AM37+AM38+AM39+AM40+AM41+AM42+AM43+AM44</f>
        <v/>
      </c>
      <c r="AN45" s="13">
        <f>Construction!AN14*(Construction!AN32+Construction!AN38)+AN33+AN34+AN35+AN36+AN37+AN38+AN39+AN40+AN41+AN42+AN43+AN44</f>
        <v/>
      </c>
      <c r="AO45" s="13">
        <f>Construction!AO14*(Construction!AO32+Construction!AO38)+AO33+AO34+AO35+AO36+AO37+AO38+AO39+AO40+AO41+AO42+AO43+AO44</f>
        <v/>
      </c>
      <c r="AP45" s="13">
        <f>Construction!AP14*(Construction!AP32+Construction!AP38)+AP33+AP34+AP35+AP36+AP37+AP38+AP39+AP40+AP41+AP42+AP43+AP44</f>
        <v/>
      </c>
      <c r="AQ45" s="13">
        <f>Construction!AQ14*(Construction!AQ32+Construction!AQ38)+AQ33+AQ34+AQ35+AQ36+AQ37+AQ38+AQ39+AQ40+AQ41+AQ42+AQ43+AQ44</f>
        <v/>
      </c>
      <c r="AR45" s="13">
        <f>Construction!AR14*(Construction!AR32+Construction!AR38)+AR33+AR34+AR35+AR36+AR37+AR38+AR39+AR40+AR41+AR42+AR43+AR44</f>
        <v/>
      </c>
      <c r="AS45" s="13">
        <f>Construction!AS14*(Construction!AS32+Construction!AS38)+AS33+AS34+AS35+AS36+AS37+AS38+AS39+AS40+AS41+AS42+AS43+AS44</f>
        <v/>
      </c>
      <c r="AT45" s="13">
        <f>Construction!AT14*(Construction!AT32+Construction!AT38)+AT33+AT34+AT35+AT36+AT37+AT38+AT39+AT40+AT41+AT42+AT43+AT44</f>
        <v/>
      </c>
      <c r="AU45" s="13">
        <f>Construction!AU14*(Construction!AU32+Construction!AU38)+AU33+AU34+AU35+AU36+AU37+AU38+AU39+AU40+AU41+AU42+AU43+AU44</f>
        <v/>
      </c>
      <c r="AV45" s="13">
        <f>Construction!AV14*(Construction!AV32+Construction!AV38)+AV33+AV34+AV35+AV36+AV37+AV38+AV39+AV40+AV41+AV42+AV43+AV44</f>
        <v/>
      </c>
      <c r="AW45" s="13">
        <f>Construction!AW14*(Construction!AW32+Construction!AW38)+AW33+AW34+AW35+AW36+AW37+AW38+AW39+AW40+AW41+AW42+AW43+AW44</f>
        <v/>
      </c>
      <c r="AX45" s="13">
        <f>Construction!AX14*(Construction!AX32+Construction!AX38)+AX33+AX34+AX35+AX36+AX37+AX38+AX39+AX40+AX41+AX42+AX43+AX44</f>
        <v/>
      </c>
      <c r="AY45" s="13">
        <f>Construction!AY14*(Construction!AY32+Construction!AY38)+AY33+AY34+AY35+AY36+AY37+AY38+AY39+AY40+AY41+AY42+AY43+AY44</f>
        <v/>
      </c>
      <c r="AZ45" s="13">
        <f>Construction!AZ14*(Construction!AZ32+Construction!AZ38)+AZ33+AZ34+AZ35+AZ36+AZ37+AZ38+AZ39+AZ40+AZ41+AZ42+AZ43+AZ44</f>
        <v/>
      </c>
      <c r="BA45" s="13">
        <f>Construction!BA14*(Construction!BA32+Construction!BA38)+BA33+BA34+BA35+BA36+BA37+BA38+BA39+BA40+BA41+BA42+BA43+BA44</f>
        <v/>
      </c>
      <c r="BB45" s="13">
        <f>Construction!BB14*(Construction!BB32+Construction!BB38)+BB33+BB34+BB35+BB36+BB37+BB38+BB39+BB40+BB41+BB42+BB43+BB44</f>
        <v/>
      </c>
      <c r="BC45" s="13">
        <f>Construction!BC14*(Construction!BC32+Construction!BC38)+BC33+BC34+BC35+BC36+BC37+BC38+BC39+BC40+BC41+BC42+BC43+BC44</f>
        <v/>
      </c>
      <c r="BD45" s="13">
        <f>Construction!BD14*(Construction!BD32+Construction!BD38)+BD33+BD34+BD35+BD36+BD37+BD38+BD39+BD40+BD41+BD42+BD43+BD44</f>
        <v/>
      </c>
      <c r="BE45" s="13">
        <f>Construction!BE14*(Construction!BE32+Construction!BE38)+BE33+BE34+BE35+BE36+BE37+BE38+BE39+BE40+BE41+BE42+BE43+BE44</f>
        <v/>
      </c>
      <c r="BF45" s="13">
        <f>Construction!BF14*(Construction!BF32+Construction!BF38)+BF33+BF34+BF35+BF36+BF37+BF38+BF39+BF40+BF41+BF42+BF43+BF44</f>
        <v/>
      </c>
      <c r="BG45" s="13">
        <f>Construction!BG14*(Construction!BG32+Construction!BG38)+BG33+BG34+BG35+BG36+BG37+BG38+BG39+BG40+BG41+BG42+BG43+BG44</f>
        <v/>
      </c>
      <c r="BH45" s="13">
        <f>Construction!BH14*(Construction!BH32+Construction!BH38)+BH33+BH34+BH35+BH36+BH37+BH38+BH39+BH40+BH41+BH42+BH43+BH44</f>
        <v/>
      </c>
      <c r="BI45" s="13">
        <f>Construction!BI14*(Construction!BI32+Construction!BI38)+BI33+BI34+BI35+BI36+BI37+BI38+BI39+BI40+BI41+BI42+BI43+BI44</f>
        <v/>
      </c>
      <c r="BJ45" s="13">
        <f>Construction!BJ14*(Construction!BJ32+Construction!BJ38)+BJ33+BJ34+BJ35+BJ36+BJ37+BJ38+BJ39+BJ40+BJ41+BJ42+BJ43+BJ44</f>
        <v/>
      </c>
    </row>
    <row r="46">
      <c r="D46" t="inlineStr">
        <is>
          <t>Headroom on committed senior tranches</t>
        </is>
      </c>
      <c r="E46" t="inlineStr">
        <is>
          <t>USD m</t>
        </is>
      </c>
      <c r="J46" s="13">
        <f>$F$25-J28-J29-J30-J31</f>
        <v/>
      </c>
      <c r="K46" s="13">
        <f>$F$25-K28-K29-K30-K31</f>
        <v/>
      </c>
      <c r="L46" s="13">
        <f>$F$25-L28-L29-L30-L31</f>
        <v/>
      </c>
      <c r="M46" s="13">
        <f>$F$25-M28-M29-M30-M31</f>
        <v/>
      </c>
      <c r="N46" s="13">
        <f>$F$25-N28-N29-N30-N31</f>
        <v/>
      </c>
      <c r="O46" s="13">
        <f>$F$25-O28-O29-O30-O31</f>
        <v/>
      </c>
      <c r="P46" s="13">
        <f>$F$25-P28-P29-P30-P31</f>
        <v/>
      </c>
      <c r="Q46" s="13">
        <f>$F$25-Q28-Q29-Q30-Q31</f>
        <v/>
      </c>
      <c r="R46" s="13">
        <f>$F$25-R28-R29-R30-R31</f>
        <v/>
      </c>
      <c r="S46" s="13">
        <f>$F$25-S28-S29-S30-S31</f>
        <v/>
      </c>
      <c r="T46" s="13">
        <f>$F$25-T28-T29-T30-T31</f>
        <v/>
      </c>
      <c r="U46" s="13">
        <f>$F$25-U28-U29-U30-U31</f>
        <v/>
      </c>
      <c r="V46" s="13">
        <f>$F$25-V28-V29-V30-V31</f>
        <v/>
      </c>
      <c r="W46" s="13">
        <f>$F$25-W28-W29-W30-W31</f>
        <v/>
      </c>
      <c r="X46" s="13">
        <f>$F$25-X28-X29-X30-X31</f>
        <v/>
      </c>
      <c r="Y46" s="13">
        <f>$F$25-Y28-Y29-Y30-Y31</f>
        <v/>
      </c>
      <c r="Z46" s="13">
        <f>$F$25-Z28-Z29-Z30-Z31</f>
        <v/>
      </c>
      <c r="AA46" s="13">
        <f>$F$25-AA28-AA29-AA30-AA31</f>
        <v/>
      </c>
      <c r="AB46" s="13">
        <f>$F$25-AB28-AB29-AB30-AB31</f>
        <v/>
      </c>
      <c r="AC46" s="13">
        <f>$F$25-AC28-AC29-AC30-AC31</f>
        <v/>
      </c>
      <c r="AD46" s="13">
        <f>$F$25-AD28-AD29-AD30-AD31</f>
        <v/>
      </c>
      <c r="AE46" s="13">
        <f>$F$25-AE28-AE29-AE30-AE31</f>
        <v/>
      </c>
      <c r="AF46" s="13">
        <f>$F$25-AF28-AF29-AF30-AF31</f>
        <v/>
      </c>
      <c r="AG46" s="13">
        <f>$F$25-AG28-AG29-AG30-AG31</f>
        <v/>
      </c>
      <c r="AH46" s="13">
        <f>$F$25-AH28-AH29-AH30-AH31</f>
        <v/>
      </c>
      <c r="AI46" s="13">
        <f>$F$25-AI28-AI29-AI30-AI31</f>
        <v/>
      </c>
      <c r="AJ46" s="13">
        <f>$F$25-AJ28-AJ29-AJ30-AJ31</f>
        <v/>
      </c>
      <c r="AK46" s="13">
        <f>$F$25-AK28-AK29-AK30-AK31</f>
        <v/>
      </c>
      <c r="AL46" s="13">
        <f>$F$25-AL28-AL29-AL30-AL31</f>
        <v/>
      </c>
      <c r="AM46" s="13">
        <f>$F$25-AM28-AM29-AM30-AM31</f>
        <v/>
      </c>
      <c r="AN46" s="13">
        <f>$F$25-AN28-AN29-AN30-AN31</f>
        <v/>
      </c>
      <c r="AO46" s="13">
        <f>$F$25-AO28-AO29-AO30-AO31</f>
        <v/>
      </c>
      <c r="AP46" s="13">
        <f>$F$25-AP28-AP29-AP30-AP31</f>
        <v/>
      </c>
      <c r="AQ46" s="13">
        <f>$F$25-AQ28-AQ29-AQ30-AQ31</f>
        <v/>
      </c>
      <c r="AR46" s="13">
        <f>$F$25-AR28-AR29-AR30-AR31</f>
        <v/>
      </c>
      <c r="AS46" s="13">
        <f>$F$25-AS28-AS29-AS30-AS31</f>
        <v/>
      </c>
      <c r="AT46" s="13">
        <f>$F$25-AT28-AT29-AT30-AT31</f>
        <v/>
      </c>
      <c r="AU46" s="13">
        <f>$F$25-AU28-AU29-AU30-AU31</f>
        <v/>
      </c>
      <c r="AV46" s="13">
        <f>$F$25-AV28-AV29-AV30-AV31</f>
        <v/>
      </c>
      <c r="AW46" s="13">
        <f>$F$25-AW28-AW29-AW30-AW31</f>
        <v/>
      </c>
      <c r="AX46" s="13">
        <f>$F$25-AX28-AX29-AX30-AX31</f>
        <v/>
      </c>
      <c r="AY46" s="13">
        <f>$F$25-AY28-AY29-AY30-AY31</f>
        <v/>
      </c>
      <c r="AZ46" s="13">
        <f>$F$25-AZ28-AZ29-AZ30-AZ31</f>
        <v/>
      </c>
      <c r="BA46" s="13">
        <f>$F$25-BA28-BA29-BA30-BA31</f>
        <v/>
      </c>
      <c r="BB46" s="13">
        <f>$F$25-BB28-BB29-BB30-BB31</f>
        <v/>
      </c>
      <c r="BC46" s="13">
        <f>$F$25-BC28-BC29-BC30-BC31</f>
        <v/>
      </c>
      <c r="BD46" s="13">
        <f>$F$25-BD28-BD29-BD30-BD31</f>
        <v/>
      </c>
      <c r="BE46" s="13">
        <f>$F$25-BE28-BE29-BE30-BE31</f>
        <v/>
      </c>
      <c r="BF46" s="13">
        <f>$F$25-BF28-BF29-BF30-BF31</f>
        <v/>
      </c>
      <c r="BG46" s="13">
        <f>$F$25-BG28-BG29-BG30-BG31</f>
        <v/>
      </c>
      <c r="BH46" s="13">
        <f>$F$25-BH28-BH29-BH30-BH31</f>
        <v/>
      </c>
      <c r="BI46" s="13">
        <f>$F$25-BI28-BI29-BI30-BI31</f>
        <v/>
      </c>
      <c r="BJ46" s="13">
        <f>$F$25-BJ28-BJ29-BJ30-BJ31</f>
        <v/>
      </c>
    </row>
    <row r="47">
      <c r="D47" t="inlineStr">
        <is>
          <t>Senior tranche drawdown (pro rata)</t>
        </is>
      </c>
      <c r="E47" t="inlineStr">
        <is>
          <t>USD m</t>
        </is>
      </c>
      <c r="G47" s="13">
        <f>SUM(J47:BJ47)</f>
        <v/>
      </c>
      <c r="J47" s="13">
        <f>MIN($F$26*J45/(1-Inputs!$F$94/100*Inputs!$F$75*$F$26),J46)</f>
        <v/>
      </c>
      <c r="K47" s="13">
        <f>MIN($F$26*K45/(1-Inputs!$F$94/100*Inputs!$F$75*$F$26),K46)</f>
        <v/>
      </c>
      <c r="L47" s="13">
        <f>MIN($F$26*L45/(1-Inputs!$F$94/100*Inputs!$F$75*$F$26),L46)</f>
        <v/>
      </c>
      <c r="M47" s="13">
        <f>MIN($F$26*M45/(1-Inputs!$F$94/100*Inputs!$F$75*$F$26),M46)</f>
        <v/>
      </c>
      <c r="N47" s="13">
        <f>MIN($F$26*N45/(1-Inputs!$F$94/100*Inputs!$F$75*$F$26),N46)</f>
        <v/>
      </c>
      <c r="O47" s="13">
        <f>MIN($F$26*O45/(1-Inputs!$F$94/100*Inputs!$F$75*$F$26),O46)</f>
        <v/>
      </c>
      <c r="P47" s="13">
        <f>MIN($F$26*P45/(1-Inputs!$F$94/100*Inputs!$F$75*$F$26),P46)</f>
        <v/>
      </c>
      <c r="Q47" s="13">
        <f>MIN($F$26*Q45/(1-Inputs!$F$94/100*Inputs!$F$75*$F$26),Q46)</f>
        <v/>
      </c>
      <c r="R47" s="13">
        <f>MIN($F$26*R45/(1-Inputs!$F$94/100*Inputs!$F$75*$F$26),R46)</f>
        <v/>
      </c>
      <c r="S47" s="13">
        <f>MIN($F$26*S45/(1-Inputs!$F$94/100*Inputs!$F$75*$F$26),S46)</f>
        <v/>
      </c>
      <c r="T47" s="13">
        <f>MIN($F$26*T45/(1-Inputs!$F$94/100*Inputs!$F$75*$F$26),T46)</f>
        <v/>
      </c>
      <c r="U47" s="13">
        <f>MIN($F$26*U45/(1-Inputs!$F$94/100*Inputs!$F$75*$F$26),U46)</f>
        <v/>
      </c>
      <c r="V47" s="13">
        <f>MIN($F$26*V45/(1-Inputs!$F$94/100*Inputs!$F$75*$F$26),V46)</f>
        <v/>
      </c>
      <c r="W47" s="13">
        <f>MIN($F$26*W45/(1-Inputs!$F$94/100*Inputs!$F$75*$F$26),W46)</f>
        <v/>
      </c>
      <c r="X47" s="13">
        <f>MIN($F$26*X45/(1-Inputs!$F$94/100*Inputs!$F$75*$F$26),X46)</f>
        <v/>
      </c>
      <c r="Y47" s="13">
        <f>MIN($F$26*Y45/(1-Inputs!$F$94/100*Inputs!$F$75*$F$26),Y46)</f>
        <v/>
      </c>
      <c r="Z47" s="13">
        <f>MIN($F$26*Z45/(1-Inputs!$F$94/100*Inputs!$F$75*$F$26),Z46)</f>
        <v/>
      </c>
      <c r="AA47" s="13">
        <f>MIN($F$26*AA45/(1-Inputs!$F$94/100*Inputs!$F$75*$F$26),AA46)</f>
        <v/>
      </c>
      <c r="AB47" s="13">
        <f>MIN($F$26*AB45/(1-Inputs!$F$94/100*Inputs!$F$75*$F$26),AB46)</f>
        <v/>
      </c>
      <c r="AC47" s="13">
        <f>MIN($F$26*AC45/(1-Inputs!$F$94/100*Inputs!$F$75*$F$26),AC46)</f>
        <v/>
      </c>
      <c r="AD47" s="13">
        <f>MIN($F$26*AD45/(1-Inputs!$F$94/100*Inputs!$F$75*$F$26),AD46)</f>
        <v/>
      </c>
      <c r="AE47" s="13">
        <f>MIN($F$26*AE45/(1-Inputs!$F$94/100*Inputs!$F$75*$F$26),AE46)</f>
        <v/>
      </c>
      <c r="AF47" s="13">
        <f>MIN($F$26*AF45/(1-Inputs!$F$94/100*Inputs!$F$75*$F$26),AF46)</f>
        <v/>
      </c>
      <c r="AG47" s="13">
        <f>MIN($F$26*AG45/(1-Inputs!$F$94/100*Inputs!$F$75*$F$26),AG46)</f>
        <v/>
      </c>
      <c r="AH47" s="13">
        <f>MIN($F$26*AH45/(1-Inputs!$F$94/100*Inputs!$F$75*$F$26),AH46)</f>
        <v/>
      </c>
      <c r="AI47" s="13">
        <f>MIN($F$26*AI45/(1-Inputs!$F$94/100*Inputs!$F$75*$F$26),AI46)</f>
        <v/>
      </c>
      <c r="AJ47" s="13">
        <f>MIN($F$26*AJ45/(1-Inputs!$F$94/100*Inputs!$F$75*$F$26),AJ46)</f>
        <v/>
      </c>
      <c r="AK47" s="13">
        <f>MIN($F$26*AK45/(1-Inputs!$F$94/100*Inputs!$F$75*$F$26),AK46)</f>
        <v/>
      </c>
      <c r="AL47" s="13">
        <f>MIN($F$26*AL45/(1-Inputs!$F$94/100*Inputs!$F$75*$F$26),AL46)</f>
        <v/>
      </c>
      <c r="AM47" s="13">
        <f>MIN($F$26*AM45/(1-Inputs!$F$94/100*Inputs!$F$75*$F$26),AM46)</f>
        <v/>
      </c>
      <c r="AN47" s="13">
        <f>MIN($F$26*AN45/(1-Inputs!$F$94/100*Inputs!$F$75*$F$26),AN46)</f>
        <v/>
      </c>
      <c r="AO47" s="13">
        <f>MIN($F$26*AO45/(1-Inputs!$F$94/100*Inputs!$F$75*$F$26),AO46)</f>
        <v/>
      </c>
      <c r="AP47" s="13">
        <f>MIN($F$26*AP45/(1-Inputs!$F$94/100*Inputs!$F$75*$F$26),AP46)</f>
        <v/>
      </c>
      <c r="AQ47" s="13">
        <f>MIN($F$26*AQ45/(1-Inputs!$F$94/100*Inputs!$F$75*$F$26),AQ46)</f>
        <v/>
      </c>
      <c r="AR47" s="13">
        <f>MIN($F$26*AR45/(1-Inputs!$F$94/100*Inputs!$F$75*$F$26),AR46)</f>
        <v/>
      </c>
      <c r="AS47" s="13">
        <f>MIN($F$26*AS45/(1-Inputs!$F$94/100*Inputs!$F$75*$F$26),AS46)</f>
        <v/>
      </c>
      <c r="AT47" s="13">
        <f>MIN($F$26*AT45/(1-Inputs!$F$94/100*Inputs!$F$75*$F$26),AT46)</f>
        <v/>
      </c>
      <c r="AU47" s="13">
        <f>MIN($F$26*AU45/(1-Inputs!$F$94/100*Inputs!$F$75*$F$26),AU46)</f>
        <v/>
      </c>
      <c r="AV47" s="13">
        <f>MIN($F$26*AV45/(1-Inputs!$F$94/100*Inputs!$F$75*$F$26),AV46)</f>
        <v/>
      </c>
      <c r="AW47" s="13">
        <f>MIN($F$26*AW45/(1-Inputs!$F$94/100*Inputs!$F$75*$F$26),AW46)</f>
        <v/>
      </c>
      <c r="AX47" s="13">
        <f>MIN($F$26*AX45/(1-Inputs!$F$94/100*Inputs!$F$75*$F$26),AX46)</f>
        <v/>
      </c>
      <c r="AY47" s="13">
        <f>MIN($F$26*AY45/(1-Inputs!$F$94/100*Inputs!$F$75*$F$26),AY46)</f>
        <v/>
      </c>
      <c r="AZ47" s="13">
        <f>MIN($F$26*AZ45/(1-Inputs!$F$94/100*Inputs!$F$75*$F$26),AZ46)</f>
        <v/>
      </c>
      <c r="BA47" s="13">
        <f>MIN($F$26*BA45/(1-Inputs!$F$94/100*Inputs!$F$75*$F$26),BA46)</f>
        <v/>
      </c>
      <c r="BB47" s="13">
        <f>MIN($F$26*BB45/(1-Inputs!$F$94/100*Inputs!$F$75*$F$26),BB46)</f>
        <v/>
      </c>
      <c r="BC47" s="13">
        <f>MIN($F$26*BC45/(1-Inputs!$F$94/100*Inputs!$F$75*$F$26),BC46)</f>
        <v/>
      </c>
      <c r="BD47" s="13">
        <f>MIN($F$26*BD45/(1-Inputs!$F$94/100*Inputs!$F$75*$F$26),BD46)</f>
        <v/>
      </c>
      <c r="BE47" s="13">
        <f>MIN($F$26*BE45/(1-Inputs!$F$94/100*Inputs!$F$75*$F$26),BE46)</f>
        <v/>
      </c>
      <c r="BF47" s="13">
        <f>MIN($F$26*BF45/(1-Inputs!$F$94/100*Inputs!$F$75*$F$26),BF46)</f>
        <v/>
      </c>
      <c r="BG47" s="13">
        <f>MIN($F$26*BG45/(1-Inputs!$F$94/100*Inputs!$F$75*$F$26),BG46)</f>
        <v/>
      </c>
      <c r="BH47" s="13">
        <f>MIN($F$26*BH45/(1-Inputs!$F$94/100*Inputs!$F$75*$F$26),BH46)</f>
        <v/>
      </c>
      <c r="BI47" s="13">
        <f>MIN($F$26*BI45/(1-Inputs!$F$94/100*Inputs!$F$75*$F$26),BI46)</f>
        <v/>
      </c>
      <c r="BJ47" s="13">
        <f>MIN($F$26*BJ45/(1-Inputs!$F$94/100*Inputs!$F$75*$F$26),BJ46)</f>
        <v/>
      </c>
    </row>
    <row r="48">
      <c r="D48" t="inlineStr">
        <is>
          <t>ECA premium (financed)</t>
        </is>
      </c>
      <c r="E48" t="inlineStr">
        <is>
          <t>USD m</t>
        </is>
      </c>
      <c r="G48" s="13">
        <f>SUM(J48:BJ48)</f>
        <v/>
      </c>
      <c r="J48" s="13">
        <f>Inputs!$F$94/100*Inputs!$F$75*J47</f>
        <v/>
      </c>
      <c r="K48" s="13">
        <f>Inputs!$F$94/100*Inputs!$F$75*K47</f>
        <v/>
      </c>
      <c r="L48" s="13">
        <f>Inputs!$F$94/100*Inputs!$F$75*L47</f>
        <v/>
      </c>
      <c r="M48" s="13">
        <f>Inputs!$F$94/100*Inputs!$F$75*M47</f>
        <v/>
      </c>
      <c r="N48" s="13">
        <f>Inputs!$F$94/100*Inputs!$F$75*N47</f>
        <v/>
      </c>
      <c r="O48" s="13">
        <f>Inputs!$F$94/100*Inputs!$F$75*O47</f>
        <v/>
      </c>
      <c r="P48" s="13">
        <f>Inputs!$F$94/100*Inputs!$F$75*P47</f>
        <v/>
      </c>
      <c r="Q48" s="13">
        <f>Inputs!$F$94/100*Inputs!$F$75*Q47</f>
        <v/>
      </c>
      <c r="R48" s="13">
        <f>Inputs!$F$94/100*Inputs!$F$75*R47</f>
        <v/>
      </c>
      <c r="S48" s="13">
        <f>Inputs!$F$94/100*Inputs!$F$75*S47</f>
        <v/>
      </c>
      <c r="T48" s="13">
        <f>Inputs!$F$94/100*Inputs!$F$75*T47</f>
        <v/>
      </c>
      <c r="U48" s="13">
        <f>Inputs!$F$94/100*Inputs!$F$75*U47</f>
        <v/>
      </c>
      <c r="V48" s="13">
        <f>Inputs!$F$94/100*Inputs!$F$75*V47</f>
        <v/>
      </c>
      <c r="W48" s="13">
        <f>Inputs!$F$94/100*Inputs!$F$75*W47</f>
        <v/>
      </c>
      <c r="X48" s="13">
        <f>Inputs!$F$94/100*Inputs!$F$75*X47</f>
        <v/>
      </c>
      <c r="Y48" s="13">
        <f>Inputs!$F$94/100*Inputs!$F$75*Y47</f>
        <v/>
      </c>
      <c r="Z48" s="13">
        <f>Inputs!$F$94/100*Inputs!$F$75*Z47</f>
        <v/>
      </c>
      <c r="AA48" s="13">
        <f>Inputs!$F$94/100*Inputs!$F$75*AA47</f>
        <v/>
      </c>
      <c r="AB48" s="13">
        <f>Inputs!$F$94/100*Inputs!$F$75*AB47</f>
        <v/>
      </c>
      <c r="AC48" s="13">
        <f>Inputs!$F$94/100*Inputs!$F$75*AC47</f>
        <v/>
      </c>
      <c r="AD48" s="13">
        <f>Inputs!$F$94/100*Inputs!$F$75*AD47</f>
        <v/>
      </c>
      <c r="AE48" s="13">
        <f>Inputs!$F$94/100*Inputs!$F$75*AE47</f>
        <v/>
      </c>
      <c r="AF48" s="13">
        <f>Inputs!$F$94/100*Inputs!$F$75*AF47</f>
        <v/>
      </c>
      <c r="AG48" s="13">
        <f>Inputs!$F$94/100*Inputs!$F$75*AG47</f>
        <v/>
      </c>
      <c r="AH48" s="13">
        <f>Inputs!$F$94/100*Inputs!$F$75*AH47</f>
        <v/>
      </c>
      <c r="AI48" s="13">
        <f>Inputs!$F$94/100*Inputs!$F$75*AI47</f>
        <v/>
      </c>
      <c r="AJ48" s="13">
        <f>Inputs!$F$94/100*Inputs!$F$75*AJ47</f>
        <v/>
      </c>
      <c r="AK48" s="13">
        <f>Inputs!$F$94/100*Inputs!$F$75*AK47</f>
        <v/>
      </c>
      <c r="AL48" s="13">
        <f>Inputs!$F$94/100*Inputs!$F$75*AL47</f>
        <v/>
      </c>
      <c r="AM48" s="13">
        <f>Inputs!$F$94/100*Inputs!$F$75*AM47</f>
        <v/>
      </c>
      <c r="AN48" s="13">
        <f>Inputs!$F$94/100*Inputs!$F$75*AN47</f>
        <v/>
      </c>
      <c r="AO48" s="13">
        <f>Inputs!$F$94/100*Inputs!$F$75*AO47</f>
        <v/>
      </c>
      <c r="AP48" s="13">
        <f>Inputs!$F$94/100*Inputs!$F$75*AP47</f>
        <v/>
      </c>
      <c r="AQ48" s="13">
        <f>Inputs!$F$94/100*Inputs!$F$75*AQ47</f>
        <v/>
      </c>
      <c r="AR48" s="13">
        <f>Inputs!$F$94/100*Inputs!$F$75*AR47</f>
        <v/>
      </c>
      <c r="AS48" s="13">
        <f>Inputs!$F$94/100*Inputs!$F$75*AS47</f>
        <v/>
      </c>
      <c r="AT48" s="13">
        <f>Inputs!$F$94/100*Inputs!$F$75*AT47</f>
        <v/>
      </c>
      <c r="AU48" s="13">
        <f>Inputs!$F$94/100*Inputs!$F$75*AU47</f>
        <v/>
      </c>
      <c r="AV48" s="13">
        <f>Inputs!$F$94/100*Inputs!$F$75*AV47</f>
        <v/>
      </c>
      <c r="AW48" s="13">
        <f>Inputs!$F$94/100*Inputs!$F$75*AW47</f>
        <v/>
      </c>
      <c r="AX48" s="13">
        <f>Inputs!$F$94/100*Inputs!$F$75*AX47</f>
        <v/>
      </c>
      <c r="AY48" s="13">
        <f>Inputs!$F$94/100*Inputs!$F$75*AY47</f>
        <v/>
      </c>
      <c r="AZ48" s="13">
        <f>Inputs!$F$94/100*Inputs!$F$75*AZ47</f>
        <v/>
      </c>
      <c r="BA48" s="13">
        <f>Inputs!$F$94/100*Inputs!$F$75*BA47</f>
        <v/>
      </c>
      <c r="BB48" s="13">
        <f>Inputs!$F$94/100*Inputs!$F$75*BB47</f>
        <v/>
      </c>
      <c r="BC48" s="13">
        <f>Inputs!$F$94/100*Inputs!$F$75*BC47</f>
        <v/>
      </c>
      <c r="BD48" s="13">
        <f>Inputs!$F$94/100*Inputs!$F$75*BD47</f>
        <v/>
      </c>
      <c r="BE48" s="13">
        <f>Inputs!$F$94/100*Inputs!$F$75*BE47</f>
        <v/>
      </c>
      <c r="BF48" s="13">
        <f>Inputs!$F$94/100*Inputs!$F$75*BF47</f>
        <v/>
      </c>
      <c r="BG48" s="13">
        <f>Inputs!$F$94/100*Inputs!$F$75*BG47</f>
        <v/>
      </c>
      <c r="BH48" s="13">
        <f>Inputs!$F$94/100*Inputs!$F$75*BH47</f>
        <v/>
      </c>
      <c r="BI48" s="13">
        <f>Inputs!$F$94/100*Inputs!$F$75*BI47</f>
        <v/>
      </c>
      <c r="BJ48" s="13">
        <f>Inputs!$F$94/100*Inputs!$F$75*BJ47</f>
        <v/>
      </c>
    </row>
    <row r="49">
      <c r="D49" t="inlineStr">
        <is>
          <t>Total uses of funds</t>
        </is>
      </c>
      <c r="E49" t="inlineStr">
        <is>
          <t>USD m</t>
        </is>
      </c>
      <c r="G49" s="13">
        <f>SUM(J49:BJ49)</f>
        <v/>
      </c>
      <c r="J49" s="13">
        <f>J45+J48</f>
        <v/>
      </c>
      <c r="K49" s="13">
        <f>K45+K48</f>
        <v/>
      </c>
      <c r="L49" s="13">
        <f>L45+L48</f>
        <v/>
      </c>
      <c r="M49" s="13">
        <f>M45+M48</f>
        <v/>
      </c>
      <c r="N49" s="13">
        <f>N45+N48</f>
        <v/>
      </c>
      <c r="O49" s="13">
        <f>O45+O48</f>
        <v/>
      </c>
      <c r="P49" s="13">
        <f>P45+P48</f>
        <v/>
      </c>
      <c r="Q49" s="13">
        <f>Q45+Q48</f>
        <v/>
      </c>
      <c r="R49" s="13">
        <f>R45+R48</f>
        <v/>
      </c>
      <c r="S49" s="13">
        <f>S45+S48</f>
        <v/>
      </c>
      <c r="T49" s="13">
        <f>T45+T48</f>
        <v/>
      </c>
      <c r="U49" s="13">
        <f>U45+U48</f>
        <v/>
      </c>
      <c r="V49" s="13">
        <f>V45+V48</f>
        <v/>
      </c>
      <c r="W49" s="13">
        <f>W45+W48</f>
        <v/>
      </c>
      <c r="X49" s="13">
        <f>X45+X48</f>
        <v/>
      </c>
      <c r="Y49" s="13">
        <f>Y45+Y48</f>
        <v/>
      </c>
      <c r="Z49" s="13">
        <f>Z45+Z48</f>
        <v/>
      </c>
      <c r="AA49" s="13">
        <f>AA45+AA48</f>
        <v/>
      </c>
      <c r="AB49" s="13">
        <f>AB45+AB48</f>
        <v/>
      </c>
      <c r="AC49" s="13">
        <f>AC45+AC48</f>
        <v/>
      </c>
      <c r="AD49" s="13">
        <f>AD45+AD48</f>
        <v/>
      </c>
      <c r="AE49" s="13">
        <f>AE45+AE48</f>
        <v/>
      </c>
      <c r="AF49" s="13">
        <f>AF45+AF48</f>
        <v/>
      </c>
      <c r="AG49" s="13">
        <f>AG45+AG48</f>
        <v/>
      </c>
      <c r="AH49" s="13">
        <f>AH45+AH48</f>
        <v/>
      </c>
      <c r="AI49" s="13">
        <f>AI45+AI48</f>
        <v/>
      </c>
      <c r="AJ49" s="13">
        <f>AJ45+AJ48</f>
        <v/>
      </c>
      <c r="AK49" s="13">
        <f>AK45+AK48</f>
        <v/>
      </c>
      <c r="AL49" s="13">
        <f>AL45+AL48</f>
        <v/>
      </c>
      <c r="AM49" s="13">
        <f>AM45+AM48</f>
        <v/>
      </c>
      <c r="AN49" s="13">
        <f>AN45+AN48</f>
        <v/>
      </c>
      <c r="AO49" s="13">
        <f>AO45+AO48</f>
        <v/>
      </c>
      <c r="AP49" s="13">
        <f>AP45+AP48</f>
        <v/>
      </c>
      <c r="AQ49" s="13">
        <f>AQ45+AQ48</f>
        <v/>
      </c>
      <c r="AR49" s="13">
        <f>AR45+AR48</f>
        <v/>
      </c>
      <c r="AS49" s="13">
        <f>AS45+AS48</f>
        <v/>
      </c>
      <c r="AT49" s="13">
        <f>AT45+AT48</f>
        <v/>
      </c>
      <c r="AU49" s="13">
        <f>AU45+AU48</f>
        <v/>
      </c>
      <c r="AV49" s="13">
        <f>AV45+AV48</f>
        <v/>
      </c>
      <c r="AW49" s="13">
        <f>AW45+AW48</f>
        <v/>
      </c>
      <c r="AX49" s="13">
        <f>AX45+AX48</f>
        <v/>
      </c>
      <c r="AY49" s="13">
        <f>AY45+AY48</f>
        <v/>
      </c>
      <c r="AZ49" s="13">
        <f>AZ45+AZ48</f>
        <v/>
      </c>
      <c r="BA49" s="13">
        <f>BA45+BA48</f>
        <v/>
      </c>
      <c r="BB49" s="13">
        <f>BB45+BB48</f>
        <v/>
      </c>
      <c r="BC49" s="13">
        <f>BC45+BC48</f>
        <v/>
      </c>
      <c r="BD49" s="13">
        <f>BD45+BD48</f>
        <v/>
      </c>
      <c r="BE49" s="13">
        <f>BE45+BE48</f>
        <v/>
      </c>
      <c r="BF49" s="13">
        <f>BF45+BF48</f>
        <v/>
      </c>
      <c r="BG49" s="13">
        <f>BG45+BG48</f>
        <v/>
      </c>
      <c r="BH49" s="13">
        <f>BH45+BH48</f>
        <v/>
      </c>
      <c r="BI49" s="13">
        <f>BI45+BI48</f>
        <v/>
      </c>
      <c r="BJ49" s="13">
        <f>BJ45+BJ48</f>
        <v/>
      </c>
    </row>
    <row r="50">
      <c r="D50" t="inlineStr">
        <is>
          <t>Funded pro rata from committed debt and equity</t>
        </is>
      </c>
      <c r="E50" t="inlineStr">
        <is>
          <t>USD m</t>
        </is>
      </c>
      <c r="G50" s="13">
        <f>SUM(J50:BJ50)</f>
        <v/>
      </c>
      <c r="J50" s="13">
        <f>J47/$F$26</f>
        <v/>
      </c>
      <c r="K50" s="13">
        <f>K47/$F$26</f>
        <v/>
      </c>
      <c r="L50" s="13">
        <f>L47/$F$26</f>
        <v/>
      </c>
      <c r="M50" s="13">
        <f>M47/$F$26</f>
        <v/>
      </c>
      <c r="N50" s="13">
        <f>N47/$F$26</f>
        <v/>
      </c>
      <c r="O50" s="13">
        <f>O47/$F$26</f>
        <v/>
      </c>
      <c r="P50" s="13">
        <f>P47/$F$26</f>
        <v/>
      </c>
      <c r="Q50" s="13">
        <f>Q47/$F$26</f>
        <v/>
      </c>
      <c r="R50" s="13">
        <f>R47/$F$26</f>
        <v/>
      </c>
      <c r="S50" s="13">
        <f>S47/$F$26</f>
        <v/>
      </c>
      <c r="T50" s="13">
        <f>T47/$F$26</f>
        <v/>
      </c>
      <c r="U50" s="13">
        <f>U47/$F$26</f>
        <v/>
      </c>
      <c r="V50" s="13">
        <f>V47/$F$26</f>
        <v/>
      </c>
      <c r="W50" s="13">
        <f>W47/$F$26</f>
        <v/>
      </c>
      <c r="X50" s="13">
        <f>X47/$F$26</f>
        <v/>
      </c>
      <c r="Y50" s="13">
        <f>Y47/$F$26</f>
        <v/>
      </c>
      <c r="Z50" s="13">
        <f>Z47/$F$26</f>
        <v/>
      </c>
      <c r="AA50" s="13">
        <f>AA47/$F$26</f>
        <v/>
      </c>
      <c r="AB50" s="13">
        <f>AB47/$F$26</f>
        <v/>
      </c>
      <c r="AC50" s="13">
        <f>AC47/$F$26</f>
        <v/>
      </c>
      <c r="AD50" s="13">
        <f>AD47/$F$26</f>
        <v/>
      </c>
      <c r="AE50" s="13">
        <f>AE47/$F$26</f>
        <v/>
      </c>
      <c r="AF50" s="13">
        <f>AF47/$F$26</f>
        <v/>
      </c>
      <c r="AG50" s="13">
        <f>AG47/$F$26</f>
        <v/>
      </c>
      <c r="AH50" s="13">
        <f>AH47/$F$26</f>
        <v/>
      </c>
      <c r="AI50" s="13">
        <f>AI47/$F$26</f>
        <v/>
      </c>
      <c r="AJ50" s="13">
        <f>AJ47/$F$26</f>
        <v/>
      </c>
      <c r="AK50" s="13">
        <f>AK47/$F$26</f>
        <v/>
      </c>
      <c r="AL50" s="13">
        <f>AL47/$F$26</f>
        <v/>
      </c>
      <c r="AM50" s="13">
        <f>AM47/$F$26</f>
        <v/>
      </c>
      <c r="AN50" s="13">
        <f>AN47/$F$26</f>
        <v/>
      </c>
      <c r="AO50" s="13">
        <f>AO47/$F$26</f>
        <v/>
      </c>
      <c r="AP50" s="13">
        <f>AP47/$F$26</f>
        <v/>
      </c>
      <c r="AQ50" s="13">
        <f>AQ47/$F$26</f>
        <v/>
      </c>
      <c r="AR50" s="13">
        <f>AR47/$F$26</f>
        <v/>
      </c>
      <c r="AS50" s="13">
        <f>AS47/$F$26</f>
        <v/>
      </c>
      <c r="AT50" s="13">
        <f>AT47/$F$26</f>
        <v/>
      </c>
      <c r="AU50" s="13">
        <f>AU47/$F$26</f>
        <v/>
      </c>
      <c r="AV50" s="13">
        <f>AV47/$F$26</f>
        <v/>
      </c>
      <c r="AW50" s="13">
        <f>AW47/$F$26</f>
        <v/>
      </c>
      <c r="AX50" s="13">
        <f>AX47/$F$26</f>
        <v/>
      </c>
      <c r="AY50" s="13">
        <f>AY47/$F$26</f>
        <v/>
      </c>
      <c r="AZ50" s="13">
        <f>AZ47/$F$26</f>
        <v/>
      </c>
      <c r="BA50" s="13">
        <f>BA47/$F$26</f>
        <v/>
      </c>
      <c r="BB50" s="13">
        <f>BB47/$F$26</f>
        <v/>
      </c>
      <c r="BC50" s="13">
        <f>BC47/$F$26</f>
        <v/>
      </c>
      <c r="BD50" s="13">
        <f>BD47/$F$26</f>
        <v/>
      </c>
      <c r="BE50" s="13">
        <f>BE47/$F$26</f>
        <v/>
      </c>
      <c r="BF50" s="13">
        <f>BF47/$F$26</f>
        <v/>
      </c>
      <c r="BG50" s="13">
        <f>BG47/$F$26</f>
        <v/>
      </c>
      <c r="BH50" s="13">
        <f>BH47/$F$26</f>
        <v/>
      </c>
      <c r="BI50" s="13">
        <f>BI47/$F$26</f>
        <v/>
      </c>
      <c r="BJ50" s="13">
        <f>BJ47/$F$26</f>
        <v/>
      </c>
    </row>
    <row r="51">
      <c r="D51" t="inlineStr">
        <is>
          <t>Remaining uses after committed facilities</t>
        </is>
      </c>
      <c r="E51" t="inlineStr">
        <is>
          <t>USD m</t>
        </is>
      </c>
      <c r="J51" s="13">
        <f>J49-J50</f>
        <v/>
      </c>
      <c r="K51" s="13">
        <f>K49-K50</f>
        <v/>
      </c>
      <c r="L51" s="13">
        <f>L49-L50</f>
        <v/>
      </c>
      <c r="M51" s="13">
        <f>M49-M50</f>
        <v/>
      </c>
      <c r="N51" s="13">
        <f>N49-N50</f>
        <v/>
      </c>
      <c r="O51" s="13">
        <f>O49-O50</f>
        <v/>
      </c>
      <c r="P51" s="13">
        <f>P49-P50</f>
        <v/>
      </c>
      <c r="Q51" s="13">
        <f>Q49-Q50</f>
        <v/>
      </c>
      <c r="R51" s="13">
        <f>R49-R50</f>
        <v/>
      </c>
      <c r="S51" s="13">
        <f>S49-S50</f>
        <v/>
      </c>
      <c r="T51" s="13">
        <f>T49-T50</f>
        <v/>
      </c>
      <c r="U51" s="13">
        <f>U49-U50</f>
        <v/>
      </c>
      <c r="V51" s="13">
        <f>V49-V50</f>
        <v/>
      </c>
      <c r="W51" s="13">
        <f>W49-W50</f>
        <v/>
      </c>
      <c r="X51" s="13">
        <f>X49-X50</f>
        <v/>
      </c>
      <c r="Y51" s="13">
        <f>Y49-Y50</f>
        <v/>
      </c>
      <c r="Z51" s="13">
        <f>Z49-Z50</f>
        <v/>
      </c>
      <c r="AA51" s="13">
        <f>AA49-AA50</f>
        <v/>
      </c>
      <c r="AB51" s="13">
        <f>AB49-AB50</f>
        <v/>
      </c>
      <c r="AC51" s="13">
        <f>AC49-AC50</f>
        <v/>
      </c>
      <c r="AD51" s="13">
        <f>AD49-AD50</f>
        <v/>
      </c>
      <c r="AE51" s="13">
        <f>AE49-AE50</f>
        <v/>
      </c>
      <c r="AF51" s="13">
        <f>AF49-AF50</f>
        <v/>
      </c>
      <c r="AG51" s="13">
        <f>AG49-AG50</f>
        <v/>
      </c>
      <c r="AH51" s="13">
        <f>AH49-AH50</f>
        <v/>
      </c>
      <c r="AI51" s="13">
        <f>AI49-AI50</f>
        <v/>
      </c>
      <c r="AJ51" s="13">
        <f>AJ49-AJ50</f>
        <v/>
      </c>
      <c r="AK51" s="13">
        <f>AK49-AK50</f>
        <v/>
      </c>
      <c r="AL51" s="13">
        <f>AL49-AL50</f>
        <v/>
      </c>
      <c r="AM51" s="13">
        <f>AM49-AM50</f>
        <v/>
      </c>
      <c r="AN51" s="13">
        <f>AN49-AN50</f>
        <v/>
      </c>
      <c r="AO51" s="13">
        <f>AO49-AO50</f>
        <v/>
      </c>
      <c r="AP51" s="13">
        <f>AP49-AP50</f>
        <v/>
      </c>
      <c r="AQ51" s="13">
        <f>AQ49-AQ50</f>
        <v/>
      </c>
      <c r="AR51" s="13">
        <f>AR49-AR50</f>
        <v/>
      </c>
      <c r="AS51" s="13">
        <f>AS49-AS50</f>
        <v/>
      </c>
      <c r="AT51" s="13">
        <f>AT49-AT50</f>
        <v/>
      </c>
      <c r="AU51" s="13">
        <f>AU49-AU50</f>
        <v/>
      </c>
      <c r="AV51" s="13">
        <f>AV49-AV50</f>
        <v/>
      </c>
      <c r="AW51" s="13">
        <f>AW49-AW50</f>
        <v/>
      </c>
      <c r="AX51" s="13">
        <f>AX49-AX50</f>
        <v/>
      </c>
      <c r="AY51" s="13">
        <f>AY49-AY50</f>
        <v/>
      </c>
      <c r="AZ51" s="13">
        <f>AZ49-AZ50</f>
        <v/>
      </c>
      <c r="BA51" s="13">
        <f>BA49-BA50</f>
        <v/>
      </c>
      <c r="BB51" s="13">
        <f>BB49-BB50</f>
        <v/>
      </c>
      <c r="BC51" s="13">
        <f>BC49-BC50</f>
        <v/>
      </c>
      <c r="BD51" s="13">
        <f>BD49-BD50</f>
        <v/>
      </c>
      <c r="BE51" s="13">
        <f>BE49-BE50</f>
        <v/>
      </c>
      <c r="BF51" s="13">
        <f>BF49-BF50</f>
        <v/>
      </c>
      <c r="BG51" s="13">
        <f>BG49-BG50</f>
        <v/>
      </c>
      <c r="BH51" s="13">
        <f>BH49-BH50</f>
        <v/>
      </c>
      <c r="BI51" s="13">
        <f>BI49-BI50</f>
        <v/>
      </c>
      <c r="BJ51" s="13">
        <f>BJ49-BJ50</f>
        <v/>
      </c>
    </row>
    <row r="52">
      <c r="D52" t="inlineStr">
        <is>
          <t>Delay LDs and DSU proceeds received</t>
        </is>
      </c>
      <c r="E52" t="inlineStr">
        <is>
          <t>USD m</t>
        </is>
      </c>
      <c r="G52" s="13">
        <f>SUM(J52:BJ52)</f>
        <v/>
      </c>
      <c r="J52" s="13">
        <f>IF(AND(Inputs!$F$34&lt;&gt;1,Construction!J8=Inputs!$F$245),Inputs!$F$265+Inputs!$F$266,0)</f>
        <v/>
      </c>
      <c r="K52" s="13">
        <f>IF(AND(Inputs!$F$34&lt;&gt;1,Construction!K8=Inputs!$F$245),Inputs!$F$265+Inputs!$F$266,0)</f>
        <v/>
      </c>
      <c r="L52" s="13">
        <f>IF(AND(Inputs!$F$34&lt;&gt;1,Construction!L8=Inputs!$F$245),Inputs!$F$265+Inputs!$F$266,0)</f>
        <v/>
      </c>
      <c r="M52" s="13">
        <f>IF(AND(Inputs!$F$34&lt;&gt;1,Construction!M8=Inputs!$F$245),Inputs!$F$265+Inputs!$F$266,0)</f>
        <v/>
      </c>
      <c r="N52" s="13">
        <f>IF(AND(Inputs!$F$34&lt;&gt;1,Construction!N8=Inputs!$F$245),Inputs!$F$265+Inputs!$F$266,0)</f>
        <v/>
      </c>
      <c r="O52" s="13">
        <f>IF(AND(Inputs!$F$34&lt;&gt;1,Construction!O8=Inputs!$F$245),Inputs!$F$265+Inputs!$F$266,0)</f>
        <v/>
      </c>
      <c r="P52" s="13">
        <f>IF(AND(Inputs!$F$34&lt;&gt;1,Construction!P8=Inputs!$F$245),Inputs!$F$265+Inputs!$F$266,0)</f>
        <v/>
      </c>
      <c r="Q52" s="13">
        <f>IF(AND(Inputs!$F$34&lt;&gt;1,Construction!Q8=Inputs!$F$245),Inputs!$F$265+Inputs!$F$266,0)</f>
        <v/>
      </c>
      <c r="R52" s="13">
        <f>IF(AND(Inputs!$F$34&lt;&gt;1,Construction!R8=Inputs!$F$245),Inputs!$F$265+Inputs!$F$266,0)</f>
        <v/>
      </c>
      <c r="S52" s="13">
        <f>IF(AND(Inputs!$F$34&lt;&gt;1,Construction!S8=Inputs!$F$245),Inputs!$F$265+Inputs!$F$266,0)</f>
        <v/>
      </c>
      <c r="T52" s="13">
        <f>IF(AND(Inputs!$F$34&lt;&gt;1,Construction!T8=Inputs!$F$245),Inputs!$F$265+Inputs!$F$266,0)</f>
        <v/>
      </c>
      <c r="U52" s="13">
        <f>IF(AND(Inputs!$F$34&lt;&gt;1,Construction!U8=Inputs!$F$245),Inputs!$F$265+Inputs!$F$266,0)</f>
        <v/>
      </c>
      <c r="V52" s="13">
        <f>IF(AND(Inputs!$F$34&lt;&gt;1,Construction!V8=Inputs!$F$245),Inputs!$F$265+Inputs!$F$266,0)</f>
        <v/>
      </c>
      <c r="W52" s="13">
        <f>IF(AND(Inputs!$F$34&lt;&gt;1,Construction!W8=Inputs!$F$245),Inputs!$F$265+Inputs!$F$266,0)</f>
        <v/>
      </c>
      <c r="X52" s="13">
        <f>IF(AND(Inputs!$F$34&lt;&gt;1,Construction!X8=Inputs!$F$245),Inputs!$F$265+Inputs!$F$266,0)</f>
        <v/>
      </c>
      <c r="Y52" s="13">
        <f>IF(AND(Inputs!$F$34&lt;&gt;1,Construction!Y8=Inputs!$F$245),Inputs!$F$265+Inputs!$F$266,0)</f>
        <v/>
      </c>
      <c r="Z52" s="13">
        <f>IF(AND(Inputs!$F$34&lt;&gt;1,Construction!Z8=Inputs!$F$245),Inputs!$F$265+Inputs!$F$266,0)</f>
        <v/>
      </c>
      <c r="AA52" s="13">
        <f>IF(AND(Inputs!$F$34&lt;&gt;1,Construction!AA8=Inputs!$F$245),Inputs!$F$265+Inputs!$F$266,0)</f>
        <v/>
      </c>
      <c r="AB52" s="13">
        <f>IF(AND(Inputs!$F$34&lt;&gt;1,Construction!AB8=Inputs!$F$245),Inputs!$F$265+Inputs!$F$266,0)</f>
        <v/>
      </c>
      <c r="AC52" s="13">
        <f>IF(AND(Inputs!$F$34&lt;&gt;1,Construction!AC8=Inputs!$F$245),Inputs!$F$265+Inputs!$F$266,0)</f>
        <v/>
      </c>
      <c r="AD52" s="13">
        <f>IF(AND(Inputs!$F$34&lt;&gt;1,Construction!AD8=Inputs!$F$245),Inputs!$F$265+Inputs!$F$266,0)</f>
        <v/>
      </c>
      <c r="AE52" s="13">
        <f>IF(AND(Inputs!$F$34&lt;&gt;1,Construction!AE8=Inputs!$F$245),Inputs!$F$265+Inputs!$F$266,0)</f>
        <v/>
      </c>
      <c r="AF52" s="13">
        <f>IF(AND(Inputs!$F$34&lt;&gt;1,Construction!AF8=Inputs!$F$245),Inputs!$F$265+Inputs!$F$266,0)</f>
        <v/>
      </c>
      <c r="AG52" s="13">
        <f>IF(AND(Inputs!$F$34&lt;&gt;1,Construction!AG8=Inputs!$F$245),Inputs!$F$265+Inputs!$F$266,0)</f>
        <v/>
      </c>
      <c r="AH52" s="13">
        <f>IF(AND(Inputs!$F$34&lt;&gt;1,Construction!AH8=Inputs!$F$245),Inputs!$F$265+Inputs!$F$266,0)</f>
        <v/>
      </c>
      <c r="AI52" s="13">
        <f>IF(AND(Inputs!$F$34&lt;&gt;1,Construction!AI8=Inputs!$F$245),Inputs!$F$265+Inputs!$F$266,0)</f>
        <v/>
      </c>
      <c r="AJ52" s="13">
        <f>IF(AND(Inputs!$F$34&lt;&gt;1,Construction!AJ8=Inputs!$F$245),Inputs!$F$265+Inputs!$F$266,0)</f>
        <v/>
      </c>
      <c r="AK52" s="13">
        <f>IF(AND(Inputs!$F$34&lt;&gt;1,Construction!AK8=Inputs!$F$245),Inputs!$F$265+Inputs!$F$266,0)</f>
        <v/>
      </c>
      <c r="AL52" s="13">
        <f>IF(AND(Inputs!$F$34&lt;&gt;1,Construction!AL8=Inputs!$F$245),Inputs!$F$265+Inputs!$F$266,0)</f>
        <v/>
      </c>
      <c r="AM52" s="13">
        <f>IF(AND(Inputs!$F$34&lt;&gt;1,Construction!AM8=Inputs!$F$245),Inputs!$F$265+Inputs!$F$266,0)</f>
        <v/>
      </c>
      <c r="AN52" s="13">
        <f>IF(AND(Inputs!$F$34&lt;&gt;1,Construction!AN8=Inputs!$F$245),Inputs!$F$265+Inputs!$F$266,0)</f>
        <v/>
      </c>
      <c r="AO52" s="13">
        <f>IF(AND(Inputs!$F$34&lt;&gt;1,Construction!AO8=Inputs!$F$245),Inputs!$F$265+Inputs!$F$266,0)</f>
        <v/>
      </c>
      <c r="AP52" s="13">
        <f>IF(AND(Inputs!$F$34&lt;&gt;1,Construction!AP8=Inputs!$F$245),Inputs!$F$265+Inputs!$F$266,0)</f>
        <v/>
      </c>
      <c r="AQ52" s="13">
        <f>IF(AND(Inputs!$F$34&lt;&gt;1,Construction!AQ8=Inputs!$F$245),Inputs!$F$265+Inputs!$F$266,0)</f>
        <v/>
      </c>
      <c r="AR52" s="13">
        <f>IF(AND(Inputs!$F$34&lt;&gt;1,Construction!AR8=Inputs!$F$245),Inputs!$F$265+Inputs!$F$266,0)</f>
        <v/>
      </c>
      <c r="AS52" s="13">
        <f>IF(AND(Inputs!$F$34&lt;&gt;1,Construction!AS8=Inputs!$F$245),Inputs!$F$265+Inputs!$F$266,0)</f>
        <v/>
      </c>
      <c r="AT52" s="13">
        <f>IF(AND(Inputs!$F$34&lt;&gt;1,Construction!AT8=Inputs!$F$245),Inputs!$F$265+Inputs!$F$266,0)</f>
        <v/>
      </c>
      <c r="AU52" s="13">
        <f>IF(AND(Inputs!$F$34&lt;&gt;1,Construction!AU8=Inputs!$F$245),Inputs!$F$265+Inputs!$F$266,0)</f>
        <v/>
      </c>
      <c r="AV52" s="13">
        <f>IF(AND(Inputs!$F$34&lt;&gt;1,Construction!AV8=Inputs!$F$245),Inputs!$F$265+Inputs!$F$266,0)</f>
        <v/>
      </c>
      <c r="AW52" s="13">
        <f>IF(AND(Inputs!$F$34&lt;&gt;1,Construction!AW8=Inputs!$F$245),Inputs!$F$265+Inputs!$F$266,0)</f>
        <v/>
      </c>
      <c r="AX52" s="13">
        <f>IF(AND(Inputs!$F$34&lt;&gt;1,Construction!AX8=Inputs!$F$245),Inputs!$F$265+Inputs!$F$266,0)</f>
        <v/>
      </c>
      <c r="AY52" s="13">
        <f>IF(AND(Inputs!$F$34&lt;&gt;1,Construction!AY8=Inputs!$F$245),Inputs!$F$265+Inputs!$F$266,0)</f>
        <v/>
      </c>
      <c r="AZ52" s="13">
        <f>IF(AND(Inputs!$F$34&lt;&gt;1,Construction!AZ8=Inputs!$F$245),Inputs!$F$265+Inputs!$F$266,0)</f>
        <v/>
      </c>
      <c r="BA52" s="13">
        <f>IF(AND(Inputs!$F$34&lt;&gt;1,Construction!BA8=Inputs!$F$245),Inputs!$F$265+Inputs!$F$266,0)</f>
        <v/>
      </c>
      <c r="BB52" s="13">
        <f>IF(AND(Inputs!$F$34&lt;&gt;1,Construction!BB8=Inputs!$F$245),Inputs!$F$265+Inputs!$F$266,0)</f>
        <v/>
      </c>
      <c r="BC52" s="13">
        <f>IF(AND(Inputs!$F$34&lt;&gt;1,Construction!BC8=Inputs!$F$245),Inputs!$F$265+Inputs!$F$266,0)</f>
        <v/>
      </c>
      <c r="BD52" s="13">
        <f>IF(AND(Inputs!$F$34&lt;&gt;1,Construction!BD8=Inputs!$F$245),Inputs!$F$265+Inputs!$F$266,0)</f>
        <v/>
      </c>
      <c r="BE52" s="13">
        <f>IF(AND(Inputs!$F$34&lt;&gt;1,Construction!BE8=Inputs!$F$245),Inputs!$F$265+Inputs!$F$266,0)</f>
        <v/>
      </c>
      <c r="BF52" s="13">
        <f>IF(AND(Inputs!$F$34&lt;&gt;1,Construction!BF8=Inputs!$F$245),Inputs!$F$265+Inputs!$F$266,0)</f>
        <v/>
      </c>
      <c r="BG52" s="13">
        <f>IF(AND(Inputs!$F$34&lt;&gt;1,Construction!BG8=Inputs!$F$245),Inputs!$F$265+Inputs!$F$266,0)</f>
        <v/>
      </c>
      <c r="BH52" s="13">
        <f>IF(AND(Inputs!$F$34&lt;&gt;1,Construction!BH8=Inputs!$F$245),Inputs!$F$265+Inputs!$F$266,0)</f>
        <v/>
      </c>
      <c r="BI52" s="13">
        <f>IF(AND(Inputs!$F$34&lt;&gt;1,Construction!BI8=Inputs!$F$245),Inputs!$F$265+Inputs!$F$266,0)</f>
        <v/>
      </c>
      <c r="BJ52" s="13">
        <f>IF(AND(Inputs!$F$34&lt;&gt;1,Construction!BJ8=Inputs!$F$245),Inputs!$F$265+Inputs!$F$266,0)</f>
        <v/>
      </c>
    </row>
    <row r="53">
      <c r="D53" t="inlineStr">
        <is>
          <t>LD and DSU proceeds applied</t>
        </is>
      </c>
      <c r="E53" t="inlineStr">
        <is>
          <t>USD m</t>
        </is>
      </c>
      <c r="G53" s="13">
        <f>SUM(J53:BJ53)</f>
        <v/>
      </c>
      <c r="J53" s="13">
        <f>MIN(J51,I54+J52)</f>
        <v/>
      </c>
      <c r="K53" s="13">
        <f>MIN(K51,J54+K52)</f>
        <v/>
      </c>
      <c r="L53" s="13">
        <f>MIN(L51,K54+L52)</f>
        <v/>
      </c>
      <c r="M53" s="13">
        <f>MIN(M51,L54+M52)</f>
        <v/>
      </c>
      <c r="N53" s="13">
        <f>MIN(N51,M54+N52)</f>
        <v/>
      </c>
      <c r="O53" s="13">
        <f>MIN(O51,N54+O52)</f>
        <v/>
      </c>
      <c r="P53" s="13">
        <f>MIN(P51,O54+P52)</f>
        <v/>
      </c>
      <c r="Q53" s="13">
        <f>MIN(Q51,P54+Q52)</f>
        <v/>
      </c>
      <c r="R53" s="13">
        <f>MIN(R51,Q54+R52)</f>
        <v/>
      </c>
      <c r="S53" s="13">
        <f>MIN(S51,R54+S52)</f>
        <v/>
      </c>
      <c r="T53" s="13">
        <f>MIN(T51,S54+T52)</f>
        <v/>
      </c>
      <c r="U53" s="13">
        <f>MIN(U51,T54+U52)</f>
        <v/>
      </c>
      <c r="V53" s="13">
        <f>MIN(V51,U54+V52)</f>
        <v/>
      </c>
      <c r="W53" s="13">
        <f>MIN(W51,V54+W52)</f>
        <v/>
      </c>
      <c r="X53" s="13">
        <f>MIN(X51,W54+X52)</f>
        <v/>
      </c>
      <c r="Y53" s="13">
        <f>MIN(Y51,X54+Y52)</f>
        <v/>
      </c>
      <c r="Z53" s="13">
        <f>MIN(Z51,Y54+Z52)</f>
        <v/>
      </c>
      <c r="AA53" s="13">
        <f>MIN(AA51,Z54+AA52)</f>
        <v/>
      </c>
      <c r="AB53" s="13">
        <f>MIN(AB51,AA54+AB52)</f>
        <v/>
      </c>
      <c r="AC53" s="13">
        <f>MIN(AC51,AB54+AC52)</f>
        <v/>
      </c>
      <c r="AD53" s="13">
        <f>MIN(AD51,AC54+AD52)</f>
        <v/>
      </c>
      <c r="AE53" s="13">
        <f>MIN(AE51,AD54+AE52)</f>
        <v/>
      </c>
      <c r="AF53" s="13">
        <f>MIN(AF51,AE54+AF52)</f>
        <v/>
      </c>
      <c r="AG53" s="13">
        <f>MIN(AG51,AF54+AG52)</f>
        <v/>
      </c>
      <c r="AH53" s="13">
        <f>MIN(AH51,AG54+AH52)</f>
        <v/>
      </c>
      <c r="AI53" s="13">
        <f>MIN(AI51,AH54+AI52)</f>
        <v/>
      </c>
      <c r="AJ53" s="13">
        <f>MIN(AJ51,AI54+AJ52)</f>
        <v/>
      </c>
      <c r="AK53" s="13">
        <f>MIN(AK51,AJ54+AK52)</f>
        <v/>
      </c>
      <c r="AL53" s="13">
        <f>MIN(AL51,AK54+AL52)</f>
        <v/>
      </c>
      <c r="AM53" s="13">
        <f>MIN(AM51,AL54+AM52)</f>
        <v/>
      </c>
      <c r="AN53" s="13">
        <f>MIN(AN51,AM54+AN52)</f>
        <v/>
      </c>
      <c r="AO53" s="13">
        <f>MIN(AO51,AN54+AO52)</f>
        <v/>
      </c>
      <c r="AP53" s="13">
        <f>MIN(AP51,AO54+AP52)</f>
        <v/>
      </c>
      <c r="AQ53" s="13">
        <f>MIN(AQ51,AP54+AQ52)</f>
        <v/>
      </c>
      <c r="AR53" s="13">
        <f>MIN(AR51,AQ54+AR52)</f>
        <v/>
      </c>
      <c r="AS53" s="13">
        <f>MIN(AS51,AR54+AS52)</f>
        <v/>
      </c>
      <c r="AT53" s="13">
        <f>MIN(AT51,AS54+AT52)</f>
        <v/>
      </c>
      <c r="AU53" s="13">
        <f>MIN(AU51,AT54+AU52)</f>
        <v/>
      </c>
      <c r="AV53" s="13">
        <f>MIN(AV51,AU54+AV52)</f>
        <v/>
      </c>
      <c r="AW53" s="13">
        <f>MIN(AW51,AV54+AW52)</f>
        <v/>
      </c>
      <c r="AX53" s="13">
        <f>MIN(AX51,AW54+AX52)</f>
        <v/>
      </c>
      <c r="AY53" s="13">
        <f>MIN(AY51,AX54+AY52)</f>
        <v/>
      </c>
      <c r="AZ53" s="13">
        <f>MIN(AZ51,AY54+AZ52)</f>
        <v/>
      </c>
      <c r="BA53" s="13">
        <f>MIN(BA51,AZ54+BA52)</f>
        <v/>
      </c>
      <c r="BB53" s="13">
        <f>MIN(BB51,BA54+BB52)</f>
        <v/>
      </c>
      <c r="BC53" s="13">
        <f>MIN(BC51,BB54+BC52)</f>
        <v/>
      </c>
      <c r="BD53" s="13">
        <f>MIN(BD51,BC54+BD52)</f>
        <v/>
      </c>
      <c r="BE53" s="13">
        <f>MIN(BE51,BD54+BE52)</f>
        <v/>
      </c>
      <c r="BF53" s="13">
        <f>MIN(BF51,BE54+BF52)</f>
        <v/>
      </c>
      <c r="BG53" s="13">
        <f>MIN(BG51,BF54+BG52)</f>
        <v/>
      </c>
      <c r="BH53" s="13">
        <f>MIN(BH51,BG54+BH52)</f>
        <v/>
      </c>
      <c r="BI53" s="13">
        <f>MIN(BI51,BH54+BI52)</f>
        <v/>
      </c>
      <c r="BJ53" s="13">
        <f>MIN(BJ51,BI54+BJ52)</f>
        <v/>
      </c>
    </row>
    <row r="54">
      <c r="D54" t="inlineStr">
        <is>
          <t>LD and DSU proceeds held (Proceeds Account)</t>
        </is>
      </c>
      <c r="E54" t="inlineStr">
        <is>
          <t>USD m</t>
        </is>
      </c>
      <c r="J54" s="13">
        <f>I54+J52-J53</f>
        <v/>
      </c>
      <c r="K54" s="13">
        <f>J54+K52-K53</f>
        <v/>
      </c>
      <c r="L54" s="13">
        <f>K54+L52-L53</f>
        <v/>
      </c>
      <c r="M54" s="13">
        <f>L54+M52-M53</f>
        <v/>
      </c>
      <c r="N54" s="13">
        <f>M54+N52-N53</f>
        <v/>
      </c>
      <c r="O54" s="13">
        <f>N54+O52-O53</f>
        <v/>
      </c>
      <c r="P54" s="13">
        <f>O54+P52-P53</f>
        <v/>
      </c>
      <c r="Q54" s="13">
        <f>P54+Q52-Q53</f>
        <v/>
      </c>
      <c r="R54" s="13">
        <f>Q54+R52-R53</f>
        <v/>
      </c>
      <c r="S54" s="13">
        <f>R54+S52-S53</f>
        <v/>
      </c>
      <c r="T54" s="13">
        <f>S54+T52-T53</f>
        <v/>
      </c>
      <c r="U54" s="13">
        <f>T54+U52-U53</f>
        <v/>
      </c>
      <c r="V54" s="13">
        <f>U54+V52-V53</f>
        <v/>
      </c>
      <c r="W54" s="13">
        <f>V54+W52-W53</f>
        <v/>
      </c>
      <c r="X54" s="13">
        <f>W54+X52-X53</f>
        <v/>
      </c>
      <c r="Y54" s="13">
        <f>X54+Y52-Y53</f>
        <v/>
      </c>
      <c r="Z54" s="13">
        <f>Y54+Z52-Z53</f>
        <v/>
      </c>
      <c r="AA54" s="13">
        <f>Z54+AA52-AA53</f>
        <v/>
      </c>
      <c r="AB54" s="13">
        <f>AA54+AB52-AB53</f>
        <v/>
      </c>
      <c r="AC54" s="13">
        <f>AB54+AC52-AC53</f>
        <v/>
      </c>
      <c r="AD54" s="13">
        <f>AC54+AD52-AD53</f>
        <v/>
      </c>
      <c r="AE54" s="13">
        <f>AD54+AE52-AE53</f>
        <v/>
      </c>
      <c r="AF54" s="13">
        <f>AE54+AF52-AF53</f>
        <v/>
      </c>
      <c r="AG54" s="13">
        <f>AF54+AG52-AG53</f>
        <v/>
      </c>
      <c r="AH54" s="13">
        <f>AG54+AH52-AH53</f>
        <v/>
      </c>
      <c r="AI54" s="13">
        <f>AH54+AI52-AI53</f>
        <v/>
      </c>
      <c r="AJ54" s="13">
        <f>AI54+AJ52-AJ53</f>
        <v/>
      </c>
      <c r="AK54" s="13">
        <f>AJ54+AK52-AK53</f>
        <v/>
      </c>
      <c r="AL54" s="13">
        <f>AK54+AL52-AL53</f>
        <v/>
      </c>
      <c r="AM54" s="13">
        <f>AL54+AM52-AM53</f>
        <v/>
      </c>
      <c r="AN54" s="13">
        <f>AM54+AN52-AN53</f>
        <v/>
      </c>
      <c r="AO54" s="13">
        <f>AN54+AO52-AO53</f>
        <v/>
      </c>
      <c r="AP54" s="13">
        <f>AO54+AP52-AP53</f>
        <v/>
      </c>
      <c r="AQ54" s="13">
        <f>AP54+AQ52-AQ53</f>
        <v/>
      </c>
      <c r="AR54" s="13">
        <f>AQ54+AR52-AR53</f>
        <v/>
      </c>
      <c r="AS54" s="13">
        <f>AR54+AS52-AS53</f>
        <v/>
      </c>
      <c r="AT54" s="13">
        <f>AS54+AT52-AT53</f>
        <v/>
      </c>
      <c r="AU54" s="13">
        <f>AT54+AU52-AU53</f>
        <v/>
      </c>
      <c r="AV54" s="13">
        <f>AU54+AV52-AV53</f>
        <v/>
      </c>
      <c r="AW54" s="13">
        <f>AV54+AW52-AW53</f>
        <v/>
      </c>
      <c r="AX54" s="13">
        <f>AW54+AX52-AX53</f>
        <v/>
      </c>
      <c r="AY54" s="13">
        <f>AX54+AY52-AY53</f>
        <v/>
      </c>
      <c r="AZ54" s="13">
        <f>AY54+AZ52-AZ53</f>
        <v/>
      </c>
      <c r="BA54" s="13">
        <f>AZ54+BA52-BA53</f>
        <v/>
      </c>
      <c r="BB54" s="13">
        <f>BA54+BB52-BB53</f>
        <v/>
      </c>
      <c r="BC54" s="13">
        <f>BB54+BC52-BC53</f>
        <v/>
      </c>
      <c r="BD54" s="13">
        <f>BC54+BD52-BD53</f>
        <v/>
      </c>
      <c r="BE54" s="13">
        <f>BD54+BE52-BE53</f>
        <v/>
      </c>
      <c r="BF54" s="13">
        <f>BE54+BF52-BF53</f>
        <v/>
      </c>
      <c r="BG54" s="13">
        <f>BF54+BG52-BG53</f>
        <v/>
      </c>
      <c r="BH54" s="13">
        <f>BG54+BH52-BH53</f>
        <v/>
      </c>
      <c r="BI54" s="13">
        <f>BH54+BI52-BI53</f>
        <v/>
      </c>
      <c r="BJ54" s="13">
        <f>BI54+BJ52-BJ53</f>
        <v/>
      </c>
    </row>
    <row r="55">
      <c r="D55" t="inlineStr">
        <is>
          <t>Standby facility drawdown (75%)</t>
        </is>
      </c>
      <c r="E55" t="inlineStr">
        <is>
          <t>USD m</t>
        </is>
      </c>
      <c r="G55" s="13">
        <f>SUM(J55:BJ55)</f>
        <v/>
      </c>
      <c r="J55" s="13">
        <f>Inputs!$F$249*(J51-J53)</f>
        <v/>
      </c>
      <c r="K55" s="13">
        <f>Inputs!$F$249*(K51-K53)</f>
        <v/>
      </c>
      <c r="L55" s="13">
        <f>Inputs!$F$249*(L51-L53)</f>
        <v/>
      </c>
      <c r="M55" s="13">
        <f>Inputs!$F$249*(M51-M53)</f>
        <v/>
      </c>
      <c r="N55" s="13">
        <f>Inputs!$F$249*(N51-N53)</f>
        <v/>
      </c>
      <c r="O55" s="13">
        <f>Inputs!$F$249*(O51-O53)</f>
        <v/>
      </c>
      <c r="P55" s="13">
        <f>Inputs!$F$249*(P51-P53)</f>
        <v/>
      </c>
      <c r="Q55" s="13">
        <f>Inputs!$F$249*(Q51-Q53)</f>
        <v/>
      </c>
      <c r="R55" s="13">
        <f>Inputs!$F$249*(R51-R53)</f>
        <v/>
      </c>
      <c r="S55" s="13">
        <f>Inputs!$F$249*(S51-S53)</f>
        <v/>
      </c>
      <c r="T55" s="13">
        <f>Inputs!$F$249*(T51-T53)</f>
        <v/>
      </c>
      <c r="U55" s="13">
        <f>Inputs!$F$249*(U51-U53)</f>
        <v/>
      </c>
      <c r="V55" s="13">
        <f>Inputs!$F$249*(V51-V53)</f>
        <v/>
      </c>
      <c r="W55" s="13">
        <f>Inputs!$F$249*(W51-W53)</f>
        <v/>
      </c>
      <c r="X55" s="13">
        <f>Inputs!$F$249*(X51-X53)</f>
        <v/>
      </c>
      <c r="Y55" s="13">
        <f>Inputs!$F$249*(Y51-Y53)</f>
        <v/>
      </c>
      <c r="Z55" s="13">
        <f>Inputs!$F$249*(Z51-Z53)</f>
        <v/>
      </c>
      <c r="AA55" s="13">
        <f>Inputs!$F$249*(AA51-AA53)</f>
        <v/>
      </c>
      <c r="AB55" s="13">
        <f>Inputs!$F$249*(AB51-AB53)</f>
        <v/>
      </c>
      <c r="AC55" s="13">
        <f>Inputs!$F$249*(AC51-AC53)</f>
        <v/>
      </c>
      <c r="AD55" s="13">
        <f>Inputs!$F$249*(AD51-AD53)</f>
        <v/>
      </c>
      <c r="AE55" s="13">
        <f>Inputs!$F$249*(AE51-AE53)</f>
        <v/>
      </c>
      <c r="AF55" s="13">
        <f>Inputs!$F$249*(AF51-AF53)</f>
        <v/>
      </c>
      <c r="AG55" s="13">
        <f>Inputs!$F$249*(AG51-AG53)</f>
        <v/>
      </c>
      <c r="AH55" s="13">
        <f>Inputs!$F$249*(AH51-AH53)</f>
        <v/>
      </c>
      <c r="AI55" s="13">
        <f>Inputs!$F$249*(AI51-AI53)</f>
        <v/>
      </c>
      <c r="AJ55" s="13">
        <f>Inputs!$F$249*(AJ51-AJ53)</f>
        <v/>
      </c>
      <c r="AK55" s="13">
        <f>Inputs!$F$249*(AK51-AK53)</f>
        <v/>
      </c>
      <c r="AL55" s="13">
        <f>Inputs!$F$249*(AL51-AL53)</f>
        <v/>
      </c>
      <c r="AM55" s="13">
        <f>Inputs!$F$249*(AM51-AM53)</f>
        <v/>
      </c>
      <c r="AN55" s="13">
        <f>Inputs!$F$249*(AN51-AN53)</f>
        <v/>
      </c>
      <c r="AO55" s="13">
        <f>Inputs!$F$249*(AO51-AO53)</f>
        <v/>
      </c>
      <c r="AP55" s="13">
        <f>Inputs!$F$249*(AP51-AP53)</f>
        <v/>
      </c>
      <c r="AQ55" s="13">
        <f>Inputs!$F$249*(AQ51-AQ53)</f>
        <v/>
      </c>
      <c r="AR55" s="13">
        <f>Inputs!$F$249*(AR51-AR53)</f>
        <v/>
      </c>
      <c r="AS55" s="13">
        <f>Inputs!$F$249*(AS51-AS53)</f>
        <v/>
      </c>
      <c r="AT55" s="13">
        <f>Inputs!$F$249*(AT51-AT53)</f>
        <v/>
      </c>
      <c r="AU55" s="13">
        <f>Inputs!$F$249*(AU51-AU53)</f>
        <v/>
      </c>
      <c r="AV55" s="13">
        <f>Inputs!$F$249*(AV51-AV53)</f>
        <v/>
      </c>
      <c r="AW55" s="13">
        <f>Inputs!$F$249*(AW51-AW53)</f>
        <v/>
      </c>
      <c r="AX55" s="13">
        <f>Inputs!$F$249*(AX51-AX53)</f>
        <v/>
      </c>
      <c r="AY55" s="13">
        <f>Inputs!$F$249*(AY51-AY53)</f>
        <v/>
      </c>
      <c r="AZ55" s="13">
        <f>Inputs!$F$249*(AZ51-AZ53)</f>
        <v/>
      </c>
      <c r="BA55" s="13">
        <f>Inputs!$F$249*(BA51-BA53)</f>
        <v/>
      </c>
      <c r="BB55" s="13">
        <f>Inputs!$F$249*(BB51-BB53)</f>
        <v/>
      </c>
      <c r="BC55" s="13">
        <f>Inputs!$F$249*(BC51-BC53)</f>
        <v/>
      </c>
      <c r="BD55" s="13">
        <f>Inputs!$F$249*(BD51-BD53)</f>
        <v/>
      </c>
      <c r="BE55" s="13">
        <f>Inputs!$F$249*(BE51-BE53)</f>
        <v/>
      </c>
      <c r="BF55" s="13">
        <f>Inputs!$F$249*(BF51-BF53)</f>
        <v/>
      </c>
      <c r="BG55" s="13">
        <f>Inputs!$F$249*(BG51-BG53)</f>
        <v/>
      </c>
      <c r="BH55" s="13">
        <f>Inputs!$F$249*(BH51-BH53)</f>
        <v/>
      </c>
      <c r="BI55" s="13">
        <f>Inputs!$F$249*(BI51-BI53)</f>
        <v/>
      </c>
      <c r="BJ55" s="13">
        <f>Inputs!$F$249*(BJ51-BJ53)</f>
        <v/>
      </c>
    </row>
    <row r="56">
      <c r="D56" t="inlineStr">
        <is>
          <t>Contingent equity (25%)</t>
        </is>
      </c>
      <c r="E56" t="inlineStr">
        <is>
          <t>USD m</t>
        </is>
      </c>
      <c r="G56" s="13">
        <f>SUM(J56:BJ56)</f>
        <v/>
      </c>
      <c r="J56" s="13">
        <f>(1-Inputs!$F$249)*(J51-J53)</f>
        <v/>
      </c>
      <c r="K56" s="13">
        <f>(1-Inputs!$F$249)*(K51-K53)</f>
        <v/>
      </c>
      <c r="L56" s="13">
        <f>(1-Inputs!$F$249)*(L51-L53)</f>
        <v/>
      </c>
      <c r="M56" s="13">
        <f>(1-Inputs!$F$249)*(M51-M53)</f>
        <v/>
      </c>
      <c r="N56" s="13">
        <f>(1-Inputs!$F$249)*(N51-N53)</f>
        <v/>
      </c>
      <c r="O56" s="13">
        <f>(1-Inputs!$F$249)*(O51-O53)</f>
        <v/>
      </c>
      <c r="P56" s="13">
        <f>(1-Inputs!$F$249)*(P51-P53)</f>
        <v/>
      </c>
      <c r="Q56" s="13">
        <f>(1-Inputs!$F$249)*(Q51-Q53)</f>
        <v/>
      </c>
      <c r="R56" s="13">
        <f>(1-Inputs!$F$249)*(R51-R53)</f>
        <v/>
      </c>
      <c r="S56" s="13">
        <f>(1-Inputs!$F$249)*(S51-S53)</f>
        <v/>
      </c>
      <c r="T56" s="13">
        <f>(1-Inputs!$F$249)*(T51-T53)</f>
        <v/>
      </c>
      <c r="U56" s="13">
        <f>(1-Inputs!$F$249)*(U51-U53)</f>
        <v/>
      </c>
      <c r="V56" s="13">
        <f>(1-Inputs!$F$249)*(V51-V53)</f>
        <v/>
      </c>
      <c r="W56" s="13">
        <f>(1-Inputs!$F$249)*(W51-W53)</f>
        <v/>
      </c>
      <c r="X56" s="13">
        <f>(1-Inputs!$F$249)*(X51-X53)</f>
        <v/>
      </c>
      <c r="Y56" s="13">
        <f>(1-Inputs!$F$249)*(Y51-Y53)</f>
        <v/>
      </c>
      <c r="Z56" s="13">
        <f>(1-Inputs!$F$249)*(Z51-Z53)</f>
        <v/>
      </c>
      <c r="AA56" s="13">
        <f>(1-Inputs!$F$249)*(AA51-AA53)</f>
        <v/>
      </c>
      <c r="AB56" s="13">
        <f>(1-Inputs!$F$249)*(AB51-AB53)</f>
        <v/>
      </c>
      <c r="AC56" s="13">
        <f>(1-Inputs!$F$249)*(AC51-AC53)</f>
        <v/>
      </c>
      <c r="AD56" s="13">
        <f>(1-Inputs!$F$249)*(AD51-AD53)</f>
        <v/>
      </c>
      <c r="AE56" s="13">
        <f>(1-Inputs!$F$249)*(AE51-AE53)</f>
        <v/>
      </c>
      <c r="AF56" s="13">
        <f>(1-Inputs!$F$249)*(AF51-AF53)</f>
        <v/>
      </c>
      <c r="AG56" s="13">
        <f>(1-Inputs!$F$249)*(AG51-AG53)</f>
        <v/>
      </c>
      <c r="AH56" s="13">
        <f>(1-Inputs!$F$249)*(AH51-AH53)</f>
        <v/>
      </c>
      <c r="AI56" s="13">
        <f>(1-Inputs!$F$249)*(AI51-AI53)</f>
        <v/>
      </c>
      <c r="AJ56" s="13">
        <f>(1-Inputs!$F$249)*(AJ51-AJ53)</f>
        <v/>
      </c>
      <c r="AK56" s="13">
        <f>(1-Inputs!$F$249)*(AK51-AK53)</f>
        <v/>
      </c>
      <c r="AL56" s="13">
        <f>(1-Inputs!$F$249)*(AL51-AL53)</f>
        <v/>
      </c>
      <c r="AM56" s="13">
        <f>(1-Inputs!$F$249)*(AM51-AM53)</f>
        <v/>
      </c>
      <c r="AN56" s="13">
        <f>(1-Inputs!$F$249)*(AN51-AN53)</f>
        <v/>
      </c>
      <c r="AO56" s="13">
        <f>(1-Inputs!$F$249)*(AO51-AO53)</f>
        <v/>
      </c>
      <c r="AP56" s="13">
        <f>(1-Inputs!$F$249)*(AP51-AP53)</f>
        <v/>
      </c>
      <c r="AQ56" s="13">
        <f>(1-Inputs!$F$249)*(AQ51-AQ53)</f>
        <v/>
      </c>
      <c r="AR56" s="13">
        <f>(1-Inputs!$F$249)*(AR51-AR53)</f>
        <v/>
      </c>
      <c r="AS56" s="13">
        <f>(1-Inputs!$F$249)*(AS51-AS53)</f>
        <v/>
      </c>
      <c r="AT56" s="13">
        <f>(1-Inputs!$F$249)*(AT51-AT53)</f>
        <v/>
      </c>
      <c r="AU56" s="13">
        <f>(1-Inputs!$F$249)*(AU51-AU53)</f>
        <v/>
      </c>
      <c r="AV56" s="13">
        <f>(1-Inputs!$F$249)*(AV51-AV53)</f>
        <v/>
      </c>
      <c r="AW56" s="13">
        <f>(1-Inputs!$F$249)*(AW51-AW53)</f>
        <v/>
      </c>
      <c r="AX56" s="13">
        <f>(1-Inputs!$F$249)*(AX51-AX53)</f>
        <v/>
      </c>
      <c r="AY56" s="13">
        <f>(1-Inputs!$F$249)*(AY51-AY53)</f>
        <v/>
      </c>
      <c r="AZ56" s="13">
        <f>(1-Inputs!$F$249)*(AZ51-AZ53)</f>
        <v/>
      </c>
      <c r="BA56" s="13">
        <f>(1-Inputs!$F$249)*(BA51-BA53)</f>
        <v/>
      </c>
      <c r="BB56" s="13">
        <f>(1-Inputs!$F$249)*(BB51-BB53)</f>
        <v/>
      </c>
      <c r="BC56" s="13">
        <f>(1-Inputs!$F$249)*(BC51-BC53)</f>
        <v/>
      </c>
      <c r="BD56" s="13">
        <f>(1-Inputs!$F$249)*(BD51-BD53)</f>
        <v/>
      </c>
      <c r="BE56" s="13">
        <f>(1-Inputs!$F$249)*(BE51-BE53)</f>
        <v/>
      </c>
      <c r="BF56" s="13">
        <f>(1-Inputs!$F$249)*(BF51-BF53)</f>
        <v/>
      </c>
      <c r="BG56" s="13">
        <f>(1-Inputs!$F$249)*(BG51-BG53)</f>
        <v/>
      </c>
      <c r="BH56" s="13">
        <f>(1-Inputs!$F$249)*(BH51-BH53)</f>
        <v/>
      </c>
      <c r="BI56" s="13">
        <f>(1-Inputs!$F$249)*(BI51-BI53)</f>
        <v/>
      </c>
      <c r="BJ56" s="13">
        <f>(1-Inputs!$F$249)*(BJ51-BJ53)</f>
        <v/>
      </c>
    </row>
    <row r="57">
      <c r="D57" t="inlineStr">
        <is>
          <t>ECA-covered tranche: drawdown</t>
        </is>
      </c>
      <c r="E57" t="inlineStr">
        <is>
          <t>USD m</t>
        </is>
      </c>
      <c r="G57" s="13">
        <f>SUM(J57:BJ57)</f>
        <v/>
      </c>
      <c r="J57" s="13">
        <f>Inputs!$F$75*J47</f>
        <v/>
      </c>
      <c r="K57" s="13">
        <f>Inputs!$F$75*K47</f>
        <v/>
      </c>
      <c r="L57" s="13">
        <f>Inputs!$F$75*L47</f>
        <v/>
      </c>
      <c r="M57" s="13">
        <f>Inputs!$F$75*M47</f>
        <v/>
      </c>
      <c r="N57" s="13">
        <f>Inputs!$F$75*N47</f>
        <v/>
      </c>
      <c r="O57" s="13">
        <f>Inputs!$F$75*O47</f>
        <v/>
      </c>
      <c r="P57" s="13">
        <f>Inputs!$F$75*P47</f>
        <v/>
      </c>
      <c r="Q57" s="13">
        <f>Inputs!$F$75*Q47</f>
        <v/>
      </c>
      <c r="R57" s="13">
        <f>Inputs!$F$75*R47</f>
        <v/>
      </c>
      <c r="S57" s="13">
        <f>Inputs!$F$75*S47</f>
        <v/>
      </c>
      <c r="T57" s="13">
        <f>Inputs!$F$75*T47</f>
        <v/>
      </c>
      <c r="U57" s="13">
        <f>Inputs!$F$75*U47</f>
        <v/>
      </c>
      <c r="V57" s="13">
        <f>Inputs!$F$75*V47</f>
        <v/>
      </c>
      <c r="W57" s="13">
        <f>Inputs!$F$75*W47</f>
        <v/>
      </c>
      <c r="X57" s="13">
        <f>Inputs!$F$75*X47</f>
        <v/>
      </c>
      <c r="Y57" s="13">
        <f>Inputs!$F$75*Y47</f>
        <v/>
      </c>
      <c r="Z57" s="13">
        <f>Inputs!$F$75*Z47</f>
        <v/>
      </c>
      <c r="AA57" s="13">
        <f>Inputs!$F$75*AA47</f>
        <v/>
      </c>
      <c r="AB57" s="13">
        <f>Inputs!$F$75*AB47</f>
        <v/>
      </c>
      <c r="AC57" s="13">
        <f>Inputs!$F$75*AC47</f>
        <v/>
      </c>
      <c r="AD57" s="13">
        <f>Inputs!$F$75*AD47</f>
        <v/>
      </c>
      <c r="AE57" s="13">
        <f>Inputs!$F$75*AE47</f>
        <v/>
      </c>
      <c r="AF57" s="13">
        <f>Inputs!$F$75*AF47</f>
        <v/>
      </c>
      <c r="AG57" s="13">
        <f>Inputs!$F$75*AG47</f>
        <v/>
      </c>
      <c r="AH57" s="13">
        <f>Inputs!$F$75*AH47</f>
        <v/>
      </c>
      <c r="AI57" s="13">
        <f>Inputs!$F$75*AI47</f>
        <v/>
      </c>
      <c r="AJ57" s="13">
        <f>Inputs!$F$75*AJ47</f>
        <v/>
      </c>
      <c r="AK57" s="13">
        <f>Inputs!$F$75*AK47</f>
        <v/>
      </c>
      <c r="AL57" s="13">
        <f>Inputs!$F$75*AL47</f>
        <v/>
      </c>
      <c r="AM57" s="13">
        <f>Inputs!$F$75*AM47</f>
        <v/>
      </c>
      <c r="AN57" s="13">
        <f>Inputs!$F$75*AN47</f>
        <v/>
      </c>
      <c r="AO57" s="13">
        <f>Inputs!$F$75*AO47</f>
        <v/>
      </c>
      <c r="AP57" s="13">
        <f>Inputs!$F$75*AP47</f>
        <v/>
      </c>
      <c r="AQ57" s="13">
        <f>Inputs!$F$75*AQ47</f>
        <v/>
      </c>
      <c r="AR57" s="13">
        <f>Inputs!$F$75*AR47</f>
        <v/>
      </c>
      <c r="AS57" s="13">
        <f>Inputs!$F$75*AS47</f>
        <v/>
      </c>
      <c r="AT57" s="13">
        <f>Inputs!$F$75*AT47</f>
        <v/>
      </c>
      <c r="AU57" s="13">
        <f>Inputs!$F$75*AU47</f>
        <v/>
      </c>
      <c r="AV57" s="13">
        <f>Inputs!$F$75*AV47</f>
        <v/>
      </c>
      <c r="AW57" s="13">
        <f>Inputs!$F$75*AW47</f>
        <v/>
      </c>
      <c r="AX57" s="13">
        <f>Inputs!$F$75*AX47</f>
        <v/>
      </c>
      <c r="AY57" s="13">
        <f>Inputs!$F$75*AY47</f>
        <v/>
      </c>
      <c r="AZ57" s="13">
        <f>Inputs!$F$75*AZ47</f>
        <v/>
      </c>
      <c r="BA57" s="13">
        <f>Inputs!$F$75*BA47</f>
        <v/>
      </c>
      <c r="BB57" s="13">
        <f>Inputs!$F$75*BB47</f>
        <v/>
      </c>
      <c r="BC57" s="13">
        <f>Inputs!$F$75*BC47</f>
        <v/>
      </c>
      <c r="BD57" s="13">
        <f>Inputs!$F$75*BD47</f>
        <v/>
      </c>
      <c r="BE57" s="13">
        <f>Inputs!$F$75*BE47</f>
        <v/>
      </c>
      <c r="BF57" s="13">
        <f>Inputs!$F$75*BF47</f>
        <v/>
      </c>
      <c r="BG57" s="13">
        <f>Inputs!$F$75*BG47</f>
        <v/>
      </c>
      <c r="BH57" s="13">
        <f>Inputs!$F$75*BH47</f>
        <v/>
      </c>
      <c r="BI57" s="13">
        <f>Inputs!$F$75*BI47</f>
        <v/>
      </c>
      <c r="BJ57" s="13">
        <f>Inputs!$F$75*BJ47</f>
        <v/>
      </c>
    </row>
    <row r="58">
      <c r="D58" t="inlineStr">
        <is>
          <t>ABDB A-loan: drawdown</t>
        </is>
      </c>
      <c r="E58" t="inlineStr">
        <is>
          <t>USD m</t>
        </is>
      </c>
      <c r="G58" s="13">
        <f>SUM(J58:BJ58)</f>
        <v/>
      </c>
      <c r="J58" s="13">
        <f>Inputs!$F$76*J47</f>
        <v/>
      </c>
      <c r="K58" s="13">
        <f>Inputs!$F$76*K47</f>
        <v/>
      </c>
      <c r="L58" s="13">
        <f>Inputs!$F$76*L47</f>
        <v/>
      </c>
      <c r="M58" s="13">
        <f>Inputs!$F$76*M47</f>
        <v/>
      </c>
      <c r="N58" s="13">
        <f>Inputs!$F$76*N47</f>
        <v/>
      </c>
      <c r="O58" s="13">
        <f>Inputs!$F$76*O47</f>
        <v/>
      </c>
      <c r="P58" s="13">
        <f>Inputs!$F$76*P47</f>
        <v/>
      </c>
      <c r="Q58" s="13">
        <f>Inputs!$F$76*Q47</f>
        <v/>
      </c>
      <c r="R58" s="13">
        <f>Inputs!$F$76*R47</f>
        <v/>
      </c>
      <c r="S58" s="13">
        <f>Inputs!$F$76*S47</f>
        <v/>
      </c>
      <c r="T58" s="13">
        <f>Inputs!$F$76*T47</f>
        <v/>
      </c>
      <c r="U58" s="13">
        <f>Inputs!$F$76*U47</f>
        <v/>
      </c>
      <c r="V58" s="13">
        <f>Inputs!$F$76*V47</f>
        <v/>
      </c>
      <c r="W58" s="13">
        <f>Inputs!$F$76*W47</f>
        <v/>
      </c>
      <c r="X58" s="13">
        <f>Inputs!$F$76*X47</f>
        <v/>
      </c>
      <c r="Y58" s="13">
        <f>Inputs!$F$76*Y47</f>
        <v/>
      </c>
      <c r="Z58" s="13">
        <f>Inputs!$F$76*Z47</f>
        <v/>
      </c>
      <c r="AA58" s="13">
        <f>Inputs!$F$76*AA47</f>
        <v/>
      </c>
      <c r="AB58" s="13">
        <f>Inputs!$F$76*AB47</f>
        <v/>
      </c>
      <c r="AC58" s="13">
        <f>Inputs!$F$76*AC47</f>
        <v/>
      </c>
      <c r="AD58" s="13">
        <f>Inputs!$F$76*AD47</f>
        <v/>
      </c>
      <c r="AE58" s="13">
        <f>Inputs!$F$76*AE47</f>
        <v/>
      </c>
      <c r="AF58" s="13">
        <f>Inputs!$F$76*AF47</f>
        <v/>
      </c>
      <c r="AG58" s="13">
        <f>Inputs!$F$76*AG47</f>
        <v/>
      </c>
      <c r="AH58" s="13">
        <f>Inputs!$F$76*AH47</f>
        <v/>
      </c>
      <c r="AI58" s="13">
        <f>Inputs!$F$76*AI47</f>
        <v/>
      </c>
      <c r="AJ58" s="13">
        <f>Inputs!$F$76*AJ47</f>
        <v/>
      </c>
      <c r="AK58" s="13">
        <f>Inputs!$F$76*AK47</f>
        <v/>
      </c>
      <c r="AL58" s="13">
        <f>Inputs!$F$76*AL47</f>
        <v/>
      </c>
      <c r="AM58" s="13">
        <f>Inputs!$F$76*AM47</f>
        <v/>
      </c>
      <c r="AN58" s="13">
        <f>Inputs!$F$76*AN47</f>
        <v/>
      </c>
      <c r="AO58" s="13">
        <f>Inputs!$F$76*AO47</f>
        <v/>
      </c>
      <c r="AP58" s="13">
        <f>Inputs!$F$76*AP47</f>
        <v/>
      </c>
      <c r="AQ58" s="13">
        <f>Inputs!$F$76*AQ47</f>
        <v/>
      </c>
      <c r="AR58" s="13">
        <f>Inputs!$F$76*AR47</f>
        <v/>
      </c>
      <c r="AS58" s="13">
        <f>Inputs!$F$76*AS47</f>
        <v/>
      </c>
      <c r="AT58" s="13">
        <f>Inputs!$F$76*AT47</f>
        <v/>
      </c>
      <c r="AU58" s="13">
        <f>Inputs!$F$76*AU47</f>
        <v/>
      </c>
      <c r="AV58" s="13">
        <f>Inputs!$F$76*AV47</f>
        <v/>
      </c>
      <c r="AW58" s="13">
        <f>Inputs!$F$76*AW47</f>
        <v/>
      </c>
      <c r="AX58" s="13">
        <f>Inputs!$F$76*AX47</f>
        <v/>
      </c>
      <c r="AY58" s="13">
        <f>Inputs!$F$76*AY47</f>
        <v/>
      </c>
      <c r="AZ58" s="13">
        <f>Inputs!$F$76*AZ47</f>
        <v/>
      </c>
      <c r="BA58" s="13">
        <f>Inputs!$F$76*BA47</f>
        <v/>
      </c>
      <c r="BB58" s="13">
        <f>Inputs!$F$76*BB47</f>
        <v/>
      </c>
      <c r="BC58" s="13">
        <f>Inputs!$F$76*BC47</f>
        <v/>
      </c>
      <c r="BD58" s="13">
        <f>Inputs!$F$76*BD47</f>
        <v/>
      </c>
      <c r="BE58" s="13">
        <f>Inputs!$F$76*BE47</f>
        <v/>
      </c>
      <c r="BF58" s="13">
        <f>Inputs!$F$76*BF47</f>
        <v/>
      </c>
      <c r="BG58" s="13">
        <f>Inputs!$F$76*BG47</f>
        <v/>
      </c>
      <c r="BH58" s="13">
        <f>Inputs!$F$76*BH47</f>
        <v/>
      </c>
      <c r="BI58" s="13">
        <f>Inputs!$F$76*BI47</f>
        <v/>
      </c>
      <c r="BJ58" s="13">
        <f>Inputs!$F$76*BJ47</f>
        <v/>
      </c>
    </row>
    <row r="59">
      <c r="D59" t="inlineStr">
        <is>
          <t>ABDB B-loan: drawdown</t>
        </is>
      </c>
      <c r="E59" t="inlineStr">
        <is>
          <t>USD m</t>
        </is>
      </c>
      <c r="G59" s="13">
        <f>SUM(J59:BJ59)</f>
        <v/>
      </c>
      <c r="J59" s="13">
        <f>Inputs!$F$77*J47</f>
        <v/>
      </c>
      <c r="K59" s="13">
        <f>Inputs!$F$77*K47</f>
        <v/>
      </c>
      <c r="L59" s="13">
        <f>Inputs!$F$77*L47</f>
        <v/>
      </c>
      <c r="M59" s="13">
        <f>Inputs!$F$77*M47</f>
        <v/>
      </c>
      <c r="N59" s="13">
        <f>Inputs!$F$77*N47</f>
        <v/>
      </c>
      <c r="O59" s="13">
        <f>Inputs!$F$77*O47</f>
        <v/>
      </c>
      <c r="P59" s="13">
        <f>Inputs!$F$77*P47</f>
        <v/>
      </c>
      <c r="Q59" s="13">
        <f>Inputs!$F$77*Q47</f>
        <v/>
      </c>
      <c r="R59" s="13">
        <f>Inputs!$F$77*R47</f>
        <v/>
      </c>
      <c r="S59" s="13">
        <f>Inputs!$F$77*S47</f>
        <v/>
      </c>
      <c r="T59" s="13">
        <f>Inputs!$F$77*T47</f>
        <v/>
      </c>
      <c r="U59" s="13">
        <f>Inputs!$F$77*U47</f>
        <v/>
      </c>
      <c r="V59" s="13">
        <f>Inputs!$F$77*V47</f>
        <v/>
      </c>
      <c r="W59" s="13">
        <f>Inputs!$F$77*W47</f>
        <v/>
      </c>
      <c r="X59" s="13">
        <f>Inputs!$F$77*X47</f>
        <v/>
      </c>
      <c r="Y59" s="13">
        <f>Inputs!$F$77*Y47</f>
        <v/>
      </c>
      <c r="Z59" s="13">
        <f>Inputs!$F$77*Z47</f>
        <v/>
      </c>
      <c r="AA59" s="13">
        <f>Inputs!$F$77*AA47</f>
        <v/>
      </c>
      <c r="AB59" s="13">
        <f>Inputs!$F$77*AB47</f>
        <v/>
      </c>
      <c r="AC59" s="13">
        <f>Inputs!$F$77*AC47</f>
        <v/>
      </c>
      <c r="AD59" s="13">
        <f>Inputs!$F$77*AD47</f>
        <v/>
      </c>
      <c r="AE59" s="13">
        <f>Inputs!$F$77*AE47</f>
        <v/>
      </c>
      <c r="AF59" s="13">
        <f>Inputs!$F$77*AF47</f>
        <v/>
      </c>
      <c r="AG59" s="13">
        <f>Inputs!$F$77*AG47</f>
        <v/>
      </c>
      <c r="AH59" s="13">
        <f>Inputs!$F$77*AH47</f>
        <v/>
      </c>
      <c r="AI59" s="13">
        <f>Inputs!$F$77*AI47</f>
        <v/>
      </c>
      <c r="AJ59" s="13">
        <f>Inputs!$F$77*AJ47</f>
        <v/>
      </c>
      <c r="AK59" s="13">
        <f>Inputs!$F$77*AK47</f>
        <v/>
      </c>
      <c r="AL59" s="13">
        <f>Inputs!$F$77*AL47</f>
        <v/>
      </c>
      <c r="AM59" s="13">
        <f>Inputs!$F$77*AM47</f>
        <v/>
      </c>
      <c r="AN59" s="13">
        <f>Inputs!$F$77*AN47</f>
        <v/>
      </c>
      <c r="AO59" s="13">
        <f>Inputs!$F$77*AO47</f>
        <v/>
      </c>
      <c r="AP59" s="13">
        <f>Inputs!$F$77*AP47</f>
        <v/>
      </c>
      <c r="AQ59" s="13">
        <f>Inputs!$F$77*AQ47</f>
        <v/>
      </c>
      <c r="AR59" s="13">
        <f>Inputs!$F$77*AR47</f>
        <v/>
      </c>
      <c r="AS59" s="13">
        <f>Inputs!$F$77*AS47</f>
        <v/>
      </c>
      <c r="AT59" s="13">
        <f>Inputs!$F$77*AT47</f>
        <v/>
      </c>
      <c r="AU59" s="13">
        <f>Inputs!$F$77*AU47</f>
        <v/>
      </c>
      <c r="AV59" s="13">
        <f>Inputs!$F$77*AV47</f>
        <v/>
      </c>
      <c r="AW59" s="13">
        <f>Inputs!$F$77*AW47</f>
        <v/>
      </c>
      <c r="AX59" s="13">
        <f>Inputs!$F$77*AX47</f>
        <v/>
      </c>
      <c r="AY59" s="13">
        <f>Inputs!$F$77*AY47</f>
        <v/>
      </c>
      <c r="AZ59" s="13">
        <f>Inputs!$F$77*AZ47</f>
        <v/>
      </c>
      <c r="BA59" s="13">
        <f>Inputs!$F$77*BA47</f>
        <v/>
      </c>
      <c r="BB59" s="13">
        <f>Inputs!$F$77*BB47</f>
        <v/>
      </c>
      <c r="BC59" s="13">
        <f>Inputs!$F$77*BC47</f>
        <v/>
      </c>
      <c r="BD59" s="13">
        <f>Inputs!$F$77*BD47</f>
        <v/>
      </c>
      <c r="BE59" s="13">
        <f>Inputs!$F$77*BE47</f>
        <v/>
      </c>
      <c r="BF59" s="13">
        <f>Inputs!$F$77*BF47</f>
        <v/>
      </c>
      <c r="BG59" s="13">
        <f>Inputs!$F$77*BG47</f>
        <v/>
      </c>
      <c r="BH59" s="13">
        <f>Inputs!$F$77*BH47</f>
        <v/>
      </c>
      <c r="BI59" s="13">
        <f>Inputs!$F$77*BI47</f>
        <v/>
      </c>
      <c r="BJ59" s="13">
        <f>Inputs!$F$77*BJ47</f>
        <v/>
      </c>
    </row>
    <row r="60">
      <c r="D60" t="inlineStr">
        <is>
          <t>Commercial tranche: drawdown</t>
        </is>
      </c>
      <c r="E60" t="inlineStr">
        <is>
          <t>USD m</t>
        </is>
      </c>
      <c r="G60" s="13">
        <f>SUM(J60:BJ60)</f>
        <v/>
      </c>
      <c r="J60" s="13">
        <f>Inputs!$F$78*J47</f>
        <v/>
      </c>
      <c r="K60" s="13">
        <f>Inputs!$F$78*K47</f>
        <v/>
      </c>
      <c r="L60" s="13">
        <f>Inputs!$F$78*L47</f>
        <v/>
      </c>
      <c r="M60" s="13">
        <f>Inputs!$F$78*M47</f>
        <v/>
      </c>
      <c r="N60" s="13">
        <f>Inputs!$F$78*N47</f>
        <v/>
      </c>
      <c r="O60" s="13">
        <f>Inputs!$F$78*O47</f>
        <v/>
      </c>
      <c r="P60" s="13">
        <f>Inputs!$F$78*P47</f>
        <v/>
      </c>
      <c r="Q60" s="13">
        <f>Inputs!$F$78*Q47</f>
        <v/>
      </c>
      <c r="R60" s="13">
        <f>Inputs!$F$78*R47</f>
        <v/>
      </c>
      <c r="S60" s="13">
        <f>Inputs!$F$78*S47</f>
        <v/>
      </c>
      <c r="T60" s="13">
        <f>Inputs!$F$78*T47</f>
        <v/>
      </c>
      <c r="U60" s="13">
        <f>Inputs!$F$78*U47</f>
        <v/>
      </c>
      <c r="V60" s="13">
        <f>Inputs!$F$78*V47</f>
        <v/>
      </c>
      <c r="W60" s="13">
        <f>Inputs!$F$78*W47</f>
        <v/>
      </c>
      <c r="X60" s="13">
        <f>Inputs!$F$78*X47</f>
        <v/>
      </c>
      <c r="Y60" s="13">
        <f>Inputs!$F$78*Y47</f>
        <v/>
      </c>
      <c r="Z60" s="13">
        <f>Inputs!$F$78*Z47</f>
        <v/>
      </c>
      <c r="AA60" s="13">
        <f>Inputs!$F$78*AA47</f>
        <v/>
      </c>
      <c r="AB60" s="13">
        <f>Inputs!$F$78*AB47</f>
        <v/>
      </c>
      <c r="AC60" s="13">
        <f>Inputs!$F$78*AC47</f>
        <v/>
      </c>
      <c r="AD60" s="13">
        <f>Inputs!$F$78*AD47</f>
        <v/>
      </c>
      <c r="AE60" s="13">
        <f>Inputs!$F$78*AE47</f>
        <v/>
      </c>
      <c r="AF60" s="13">
        <f>Inputs!$F$78*AF47</f>
        <v/>
      </c>
      <c r="AG60" s="13">
        <f>Inputs!$F$78*AG47</f>
        <v/>
      </c>
      <c r="AH60" s="13">
        <f>Inputs!$F$78*AH47</f>
        <v/>
      </c>
      <c r="AI60" s="13">
        <f>Inputs!$F$78*AI47</f>
        <v/>
      </c>
      <c r="AJ60" s="13">
        <f>Inputs!$F$78*AJ47</f>
        <v/>
      </c>
      <c r="AK60" s="13">
        <f>Inputs!$F$78*AK47</f>
        <v/>
      </c>
      <c r="AL60" s="13">
        <f>Inputs!$F$78*AL47</f>
        <v/>
      </c>
      <c r="AM60" s="13">
        <f>Inputs!$F$78*AM47</f>
        <v/>
      </c>
      <c r="AN60" s="13">
        <f>Inputs!$F$78*AN47</f>
        <v/>
      </c>
      <c r="AO60" s="13">
        <f>Inputs!$F$78*AO47</f>
        <v/>
      </c>
      <c r="AP60" s="13">
        <f>Inputs!$F$78*AP47</f>
        <v/>
      </c>
      <c r="AQ60" s="13">
        <f>Inputs!$F$78*AQ47</f>
        <v/>
      </c>
      <c r="AR60" s="13">
        <f>Inputs!$F$78*AR47</f>
        <v/>
      </c>
      <c r="AS60" s="13">
        <f>Inputs!$F$78*AS47</f>
        <v/>
      </c>
      <c r="AT60" s="13">
        <f>Inputs!$F$78*AT47</f>
        <v/>
      </c>
      <c r="AU60" s="13">
        <f>Inputs!$F$78*AU47</f>
        <v/>
      </c>
      <c r="AV60" s="13">
        <f>Inputs!$F$78*AV47</f>
        <v/>
      </c>
      <c r="AW60" s="13">
        <f>Inputs!$F$78*AW47</f>
        <v/>
      </c>
      <c r="AX60" s="13">
        <f>Inputs!$F$78*AX47</f>
        <v/>
      </c>
      <c r="AY60" s="13">
        <f>Inputs!$F$78*AY47</f>
        <v/>
      </c>
      <c r="AZ60" s="13">
        <f>Inputs!$F$78*AZ47</f>
        <v/>
      </c>
      <c r="BA60" s="13">
        <f>Inputs!$F$78*BA47</f>
        <v/>
      </c>
      <c r="BB60" s="13">
        <f>Inputs!$F$78*BB47</f>
        <v/>
      </c>
      <c r="BC60" s="13">
        <f>Inputs!$F$78*BC47</f>
        <v/>
      </c>
      <c r="BD60" s="13">
        <f>Inputs!$F$78*BD47</f>
        <v/>
      </c>
      <c r="BE60" s="13">
        <f>Inputs!$F$78*BE47</f>
        <v/>
      </c>
      <c r="BF60" s="13">
        <f>Inputs!$F$78*BF47</f>
        <v/>
      </c>
      <c r="BG60" s="13">
        <f>Inputs!$F$78*BG47</f>
        <v/>
      </c>
      <c r="BH60" s="13">
        <f>Inputs!$F$78*BH47</f>
        <v/>
      </c>
      <c r="BI60" s="13">
        <f>Inputs!$F$78*BI47</f>
        <v/>
      </c>
      <c r="BJ60" s="13">
        <f>Inputs!$F$78*BJ47</f>
        <v/>
      </c>
    </row>
    <row r="61">
      <c r="D61" t="inlineStr">
        <is>
          <t>ECA-covered tranche: closing balance</t>
        </is>
      </c>
      <c r="E61" t="inlineStr">
        <is>
          <t>USD m</t>
        </is>
      </c>
      <c r="J61" s="13">
        <f>J28+J57</f>
        <v/>
      </c>
      <c r="K61" s="13">
        <f>K28+K57</f>
        <v/>
      </c>
      <c r="L61" s="13">
        <f>L28+L57</f>
        <v/>
      </c>
      <c r="M61" s="13">
        <f>M28+M57</f>
        <v/>
      </c>
      <c r="N61" s="13">
        <f>N28+N57</f>
        <v/>
      </c>
      <c r="O61" s="13">
        <f>O28+O57</f>
        <v/>
      </c>
      <c r="P61" s="13">
        <f>P28+P57</f>
        <v/>
      </c>
      <c r="Q61" s="13">
        <f>Q28+Q57</f>
        <v/>
      </c>
      <c r="R61" s="13">
        <f>R28+R57</f>
        <v/>
      </c>
      <c r="S61" s="13">
        <f>S28+S57</f>
        <v/>
      </c>
      <c r="T61" s="13">
        <f>T28+T57</f>
        <v/>
      </c>
      <c r="U61" s="13">
        <f>U28+U57</f>
        <v/>
      </c>
      <c r="V61" s="13">
        <f>V28+V57</f>
        <v/>
      </c>
      <c r="W61" s="13">
        <f>W28+W57</f>
        <v/>
      </c>
      <c r="X61" s="13">
        <f>X28+X57</f>
        <v/>
      </c>
      <c r="Y61" s="13">
        <f>Y28+Y57</f>
        <v/>
      </c>
      <c r="Z61" s="13">
        <f>Z28+Z57</f>
        <v/>
      </c>
      <c r="AA61" s="13">
        <f>AA28+AA57</f>
        <v/>
      </c>
      <c r="AB61" s="13">
        <f>AB28+AB57</f>
        <v/>
      </c>
      <c r="AC61" s="13">
        <f>AC28+AC57</f>
        <v/>
      </c>
      <c r="AD61" s="13">
        <f>AD28+AD57</f>
        <v/>
      </c>
      <c r="AE61" s="13">
        <f>AE28+AE57</f>
        <v/>
      </c>
      <c r="AF61" s="13">
        <f>AF28+AF57</f>
        <v/>
      </c>
      <c r="AG61" s="13">
        <f>AG28+AG57</f>
        <v/>
      </c>
      <c r="AH61" s="13">
        <f>AH28+AH57</f>
        <v/>
      </c>
      <c r="AI61" s="13">
        <f>AI28+AI57</f>
        <v/>
      </c>
      <c r="AJ61" s="13">
        <f>AJ28+AJ57</f>
        <v/>
      </c>
      <c r="AK61" s="13">
        <f>AK28+AK57</f>
        <v/>
      </c>
      <c r="AL61" s="13">
        <f>AL28+AL57</f>
        <v/>
      </c>
      <c r="AM61" s="13">
        <f>AM28+AM57</f>
        <v/>
      </c>
      <c r="AN61" s="13">
        <f>AN28+AN57</f>
        <v/>
      </c>
      <c r="AO61" s="13">
        <f>AO28+AO57</f>
        <v/>
      </c>
      <c r="AP61" s="13">
        <f>AP28+AP57</f>
        <v/>
      </c>
      <c r="AQ61" s="13">
        <f>AQ28+AQ57</f>
        <v/>
      </c>
      <c r="AR61" s="13">
        <f>AR28+AR57</f>
        <v/>
      </c>
      <c r="AS61" s="13">
        <f>AS28+AS57</f>
        <v/>
      </c>
      <c r="AT61" s="13">
        <f>AT28+AT57</f>
        <v/>
      </c>
      <c r="AU61" s="13">
        <f>AU28+AU57</f>
        <v/>
      </c>
      <c r="AV61" s="13">
        <f>AV28+AV57</f>
        <v/>
      </c>
      <c r="AW61" s="13">
        <f>AW28+AW57</f>
        <v/>
      </c>
      <c r="AX61" s="13">
        <f>AX28+AX57</f>
        <v/>
      </c>
      <c r="AY61" s="13">
        <f>AY28+AY57</f>
        <v/>
      </c>
      <c r="AZ61" s="13">
        <f>AZ28+AZ57</f>
        <v/>
      </c>
      <c r="BA61" s="13">
        <f>BA28+BA57</f>
        <v/>
      </c>
      <c r="BB61" s="13">
        <f>BB28+BB57</f>
        <v/>
      </c>
      <c r="BC61" s="13">
        <f>BC28+BC57</f>
        <v/>
      </c>
      <c r="BD61" s="13">
        <f>BD28+BD57</f>
        <v/>
      </c>
      <c r="BE61" s="13">
        <f>BE28+BE57</f>
        <v/>
      </c>
      <c r="BF61" s="13">
        <f>BF28+BF57</f>
        <v/>
      </c>
      <c r="BG61" s="13">
        <f>BG28+BG57</f>
        <v/>
      </c>
      <c r="BH61" s="13">
        <f>BH28+BH57</f>
        <v/>
      </c>
      <c r="BI61" s="13">
        <f>BI28+BI57</f>
        <v/>
      </c>
      <c r="BJ61" s="13">
        <f>BJ28+BJ57</f>
        <v/>
      </c>
    </row>
    <row r="62">
      <c r="D62" t="inlineStr">
        <is>
          <t>ABDB A-loan: closing balance</t>
        </is>
      </c>
      <c r="E62" t="inlineStr">
        <is>
          <t>USD m</t>
        </is>
      </c>
      <c r="J62" s="13">
        <f>J29+J58</f>
        <v/>
      </c>
      <c r="K62" s="13">
        <f>K29+K58</f>
        <v/>
      </c>
      <c r="L62" s="13">
        <f>L29+L58</f>
        <v/>
      </c>
      <c r="M62" s="13">
        <f>M29+M58</f>
        <v/>
      </c>
      <c r="N62" s="13">
        <f>N29+N58</f>
        <v/>
      </c>
      <c r="O62" s="13">
        <f>O29+O58</f>
        <v/>
      </c>
      <c r="P62" s="13">
        <f>P29+P58</f>
        <v/>
      </c>
      <c r="Q62" s="13">
        <f>Q29+Q58</f>
        <v/>
      </c>
      <c r="R62" s="13">
        <f>R29+R58</f>
        <v/>
      </c>
      <c r="S62" s="13">
        <f>S29+S58</f>
        <v/>
      </c>
      <c r="T62" s="13">
        <f>T29+T58</f>
        <v/>
      </c>
      <c r="U62" s="13">
        <f>U29+U58</f>
        <v/>
      </c>
      <c r="V62" s="13">
        <f>V29+V58</f>
        <v/>
      </c>
      <c r="W62" s="13">
        <f>W29+W58</f>
        <v/>
      </c>
      <c r="X62" s="13">
        <f>X29+X58</f>
        <v/>
      </c>
      <c r="Y62" s="13">
        <f>Y29+Y58</f>
        <v/>
      </c>
      <c r="Z62" s="13">
        <f>Z29+Z58</f>
        <v/>
      </c>
      <c r="AA62" s="13">
        <f>AA29+AA58</f>
        <v/>
      </c>
      <c r="AB62" s="13">
        <f>AB29+AB58</f>
        <v/>
      </c>
      <c r="AC62" s="13">
        <f>AC29+AC58</f>
        <v/>
      </c>
      <c r="AD62" s="13">
        <f>AD29+AD58</f>
        <v/>
      </c>
      <c r="AE62" s="13">
        <f>AE29+AE58</f>
        <v/>
      </c>
      <c r="AF62" s="13">
        <f>AF29+AF58</f>
        <v/>
      </c>
      <c r="AG62" s="13">
        <f>AG29+AG58</f>
        <v/>
      </c>
      <c r="AH62" s="13">
        <f>AH29+AH58</f>
        <v/>
      </c>
      <c r="AI62" s="13">
        <f>AI29+AI58</f>
        <v/>
      </c>
      <c r="AJ62" s="13">
        <f>AJ29+AJ58</f>
        <v/>
      </c>
      <c r="AK62" s="13">
        <f>AK29+AK58</f>
        <v/>
      </c>
      <c r="AL62" s="13">
        <f>AL29+AL58</f>
        <v/>
      </c>
      <c r="AM62" s="13">
        <f>AM29+AM58</f>
        <v/>
      </c>
      <c r="AN62" s="13">
        <f>AN29+AN58</f>
        <v/>
      </c>
      <c r="AO62" s="13">
        <f>AO29+AO58</f>
        <v/>
      </c>
      <c r="AP62" s="13">
        <f>AP29+AP58</f>
        <v/>
      </c>
      <c r="AQ62" s="13">
        <f>AQ29+AQ58</f>
        <v/>
      </c>
      <c r="AR62" s="13">
        <f>AR29+AR58</f>
        <v/>
      </c>
      <c r="AS62" s="13">
        <f>AS29+AS58</f>
        <v/>
      </c>
      <c r="AT62" s="13">
        <f>AT29+AT58</f>
        <v/>
      </c>
      <c r="AU62" s="13">
        <f>AU29+AU58</f>
        <v/>
      </c>
      <c r="AV62" s="13">
        <f>AV29+AV58</f>
        <v/>
      </c>
      <c r="AW62" s="13">
        <f>AW29+AW58</f>
        <v/>
      </c>
      <c r="AX62" s="13">
        <f>AX29+AX58</f>
        <v/>
      </c>
      <c r="AY62" s="13">
        <f>AY29+AY58</f>
        <v/>
      </c>
      <c r="AZ62" s="13">
        <f>AZ29+AZ58</f>
        <v/>
      </c>
      <c r="BA62" s="13">
        <f>BA29+BA58</f>
        <v/>
      </c>
      <c r="BB62" s="13">
        <f>BB29+BB58</f>
        <v/>
      </c>
      <c r="BC62" s="13">
        <f>BC29+BC58</f>
        <v/>
      </c>
      <c r="BD62" s="13">
        <f>BD29+BD58</f>
        <v/>
      </c>
      <c r="BE62" s="13">
        <f>BE29+BE58</f>
        <v/>
      </c>
      <c r="BF62" s="13">
        <f>BF29+BF58</f>
        <v/>
      </c>
      <c r="BG62" s="13">
        <f>BG29+BG58</f>
        <v/>
      </c>
      <c r="BH62" s="13">
        <f>BH29+BH58</f>
        <v/>
      </c>
      <c r="BI62" s="13">
        <f>BI29+BI58</f>
        <v/>
      </c>
      <c r="BJ62" s="13">
        <f>BJ29+BJ58</f>
        <v/>
      </c>
    </row>
    <row r="63">
      <c r="D63" t="inlineStr">
        <is>
          <t>ABDB B-loan: closing balance</t>
        </is>
      </c>
      <c r="E63" t="inlineStr">
        <is>
          <t>USD m</t>
        </is>
      </c>
      <c r="J63" s="13">
        <f>J30+J59</f>
        <v/>
      </c>
      <c r="K63" s="13">
        <f>K30+K59</f>
        <v/>
      </c>
      <c r="L63" s="13">
        <f>L30+L59</f>
        <v/>
      </c>
      <c r="M63" s="13">
        <f>M30+M59</f>
        <v/>
      </c>
      <c r="N63" s="13">
        <f>N30+N59</f>
        <v/>
      </c>
      <c r="O63" s="13">
        <f>O30+O59</f>
        <v/>
      </c>
      <c r="P63" s="13">
        <f>P30+P59</f>
        <v/>
      </c>
      <c r="Q63" s="13">
        <f>Q30+Q59</f>
        <v/>
      </c>
      <c r="R63" s="13">
        <f>R30+R59</f>
        <v/>
      </c>
      <c r="S63" s="13">
        <f>S30+S59</f>
        <v/>
      </c>
      <c r="T63" s="13">
        <f>T30+T59</f>
        <v/>
      </c>
      <c r="U63" s="13">
        <f>U30+U59</f>
        <v/>
      </c>
      <c r="V63" s="13">
        <f>V30+V59</f>
        <v/>
      </c>
      <c r="W63" s="13">
        <f>W30+W59</f>
        <v/>
      </c>
      <c r="X63" s="13">
        <f>X30+X59</f>
        <v/>
      </c>
      <c r="Y63" s="13">
        <f>Y30+Y59</f>
        <v/>
      </c>
      <c r="Z63" s="13">
        <f>Z30+Z59</f>
        <v/>
      </c>
      <c r="AA63" s="13">
        <f>AA30+AA59</f>
        <v/>
      </c>
      <c r="AB63" s="13">
        <f>AB30+AB59</f>
        <v/>
      </c>
      <c r="AC63" s="13">
        <f>AC30+AC59</f>
        <v/>
      </c>
      <c r="AD63" s="13">
        <f>AD30+AD59</f>
        <v/>
      </c>
      <c r="AE63" s="13">
        <f>AE30+AE59</f>
        <v/>
      </c>
      <c r="AF63" s="13">
        <f>AF30+AF59</f>
        <v/>
      </c>
      <c r="AG63" s="13">
        <f>AG30+AG59</f>
        <v/>
      </c>
      <c r="AH63" s="13">
        <f>AH30+AH59</f>
        <v/>
      </c>
      <c r="AI63" s="13">
        <f>AI30+AI59</f>
        <v/>
      </c>
      <c r="AJ63" s="13">
        <f>AJ30+AJ59</f>
        <v/>
      </c>
      <c r="AK63" s="13">
        <f>AK30+AK59</f>
        <v/>
      </c>
      <c r="AL63" s="13">
        <f>AL30+AL59</f>
        <v/>
      </c>
      <c r="AM63" s="13">
        <f>AM30+AM59</f>
        <v/>
      </c>
      <c r="AN63" s="13">
        <f>AN30+AN59</f>
        <v/>
      </c>
      <c r="AO63" s="13">
        <f>AO30+AO59</f>
        <v/>
      </c>
      <c r="AP63" s="13">
        <f>AP30+AP59</f>
        <v/>
      </c>
      <c r="AQ63" s="13">
        <f>AQ30+AQ59</f>
        <v/>
      </c>
      <c r="AR63" s="13">
        <f>AR30+AR59</f>
        <v/>
      </c>
      <c r="AS63" s="13">
        <f>AS30+AS59</f>
        <v/>
      </c>
      <c r="AT63" s="13">
        <f>AT30+AT59</f>
        <v/>
      </c>
      <c r="AU63" s="13">
        <f>AU30+AU59</f>
        <v/>
      </c>
      <c r="AV63" s="13">
        <f>AV30+AV59</f>
        <v/>
      </c>
      <c r="AW63" s="13">
        <f>AW30+AW59</f>
        <v/>
      </c>
      <c r="AX63" s="13">
        <f>AX30+AX59</f>
        <v/>
      </c>
      <c r="AY63" s="13">
        <f>AY30+AY59</f>
        <v/>
      </c>
      <c r="AZ63" s="13">
        <f>AZ30+AZ59</f>
        <v/>
      </c>
      <c r="BA63" s="13">
        <f>BA30+BA59</f>
        <v/>
      </c>
      <c r="BB63" s="13">
        <f>BB30+BB59</f>
        <v/>
      </c>
      <c r="BC63" s="13">
        <f>BC30+BC59</f>
        <v/>
      </c>
      <c r="BD63" s="13">
        <f>BD30+BD59</f>
        <v/>
      </c>
      <c r="BE63" s="13">
        <f>BE30+BE59</f>
        <v/>
      </c>
      <c r="BF63" s="13">
        <f>BF30+BF59</f>
        <v/>
      </c>
      <c r="BG63" s="13">
        <f>BG30+BG59</f>
        <v/>
      </c>
      <c r="BH63" s="13">
        <f>BH30+BH59</f>
        <v/>
      </c>
      <c r="BI63" s="13">
        <f>BI30+BI59</f>
        <v/>
      </c>
      <c r="BJ63" s="13">
        <f>BJ30+BJ59</f>
        <v/>
      </c>
    </row>
    <row r="64">
      <c r="D64" t="inlineStr">
        <is>
          <t>Commercial tranche: closing balance</t>
        </is>
      </c>
      <c r="E64" t="inlineStr">
        <is>
          <t>USD m</t>
        </is>
      </c>
      <c r="J64" s="13">
        <f>J31+J60</f>
        <v/>
      </c>
      <c r="K64" s="13">
        <f>K31+K60</f>
        <v/>
      </c>
      <c r="L64" s="13">
        <f>L31+L60</f>
        <v/>
      </c>
      <c r="M64" s="13">
        <f>M31+M60</f>
        <v/>
      </c>
      <c r="N64" s="13">
        <f>N31+N60</f>
        <v/>
      </c>
      <c r="O64" s="13">
        <f>O31+O60</f>
        <v/>
      </c>
      <c r="P64" s="13">
        <f>P31+P60</f>
        <v/>
      </c>
      <c r="Q64" s="13">
        <f>Q31+Q60</f>
        <v/>
      </c>
      <c r="R64" s="13">
        <f>R31+R60</f>
        <v/>
      </c>
      <c r="S64" s="13">
        <f>S31+S60</f>
        <v/>
      </c>
      <c r="T64" s="13">
        <f>T31+T60</f>
        <v/>
      </c>
      <c r="U64" s="13">
        <f>U31+U60</f>
        <v/>
      </c>
      <c r="V64" s="13">
        <f>V31+V60</f>
        <v/>
      </c>
      <c r="W64" s="13">
        <f>W31+W60</f>
        <v/>
      </c>
      <c r="X64" s="13">
        <f>X31+X60</f>
        <v/>
      </c>
      <c r="Y64" s="13">
        <f>Y31+Y60</f>
        <v/>
      </c>
      <c r="Z64" s="13">
        <f>Z31+Z60</f>
        <v/>
      </c>
      <c r="AA64" s="13">
        <f>AA31+AA60</f>
        <v/>
      </c>
      <c r="AB64" s="13">
        <f>AB31+AB60</f>
        <v/>
      </c>
      <c r="AC64" s="13">
        <f>AC31+AC60</f>
        <v/>
      </c>
      <c r="AD64" s="13">
        <f>AD31+AD60</f>
        <v/>
      </c>
      <c r="AE64" s="13">
        <f>AE31+AE60</f>
        <v/>
      </c>
      <c r="AF64" s="13">
        <f>AF31+AF60</f>
        <v/>
      </c>
      <c r="AG64" s="13">
        <f>AG31+AG60</f>
        <v/>
      </c>
      <c r="AH64" s="13">
        <f>AH31+AH60</f>
        <v/>
      </c>
      <c r="AI64" s="13">
        <f>AI31+AI60</f>
        <v/>
      </c>
      <c r="AJ64" s="13">
        <f>AJ31+AJ60</f>
        <v/>
      </c>
      <c r="AK64" s="13">
        <f>AK31+AK60</f>
        <v/>
      </c>
      <c r="AL64" s="13">
        <f>AL31+AL60</f>
        <v/>
      </c>
      <c r="AM64" s="13">
        <f>AM31+AM60</f>
        <v/>
      </c>
      <c r="AN64" s="13">
        <f>AN31+AN60</f>
        <v/>
      </c>
      <c r="AO64" s="13">
        <f>AO31+AO60</f>
        <v/>
      </c>
      <c r="AP64" s="13">
        <f>AP31+AP60</f>
        <v/>
      </c>
      <c r="AQ64" s="13">
        <f>AQ31+AQ60</f>
        <v/>
      </c>
      <c r="AR64" s="13">
        <f>AR31+AR60</f>
        <v/>
      </c>
      <c r="AS64" s="13">
        <f>AS31+AS60</f>
        <v/>
      </c>
      <c r="AT64" s="13">
        <f>AT31+AT60</f>
        <v/>
      </c>
      <c r="AU64" s="13">
        <f>AU31+AU60</f>
        <v/>
      </c>
      <c r="AV64" s="13">
        <f>AV31+AV60</f>
        <v/>
      </c>
      <c r="AW64" s="13">
        <f>AW31+AW60</f>
        <v/>
      </c>
      <c r="AX64" s="13">
        <f>AX31+AX60</f>
        <v/>
      </c>
      <c r="AY64" s="13">
        <f>AY31+AY60</f>
        <v/>
      </c>
      <c r="AZ64" s="13">
        <f>AZ31+AZ60</f>
        <v/>
      </c>
      <c r="BA64" s="13">
        <f>BA31+BA60</f>
        <v/>
      </c>
      <c r="BB64" s="13">
        <f>BB31+BB60</f>
        <v/>
      </c>
      <c r="BC64" s="13">
        <f>BC31+BC60</f>
        <v/>
      </c>
      <c r="BD64" s="13">
        <f>BD31+BD60</f>
        <v/>
      </c>
      <c r="BE64" s="13">
        <f>BE31+BE60</f>
        <v/>
      </c>
      <c r="BF64" s="13">
        <f>BF31+BF60</f>
        <v/>
      </c>
      <c r="BG64" s="13">
        <f>BG31+BG60</f>
        <v/>
      </c>
      <c r="BH64" s="13">
        <f>BH31+BH60</f>
        <v/>
      </c>
      <c r="BI64" s="13">
        <f>BI31+BI60</f>
        <v/>
      </c>
      <c r="BJ64" s="13">
        <f>BJ31+BJ60</f>
        <v/>
      </c>
    </row>
    <row r="65">
      <c r="D65" t="inlineStr">
        <is>
          <t>Standby facility: closing balance</t>
        </is>
      </c>
      <c r="E65" t="inlineStr">
        <is>
          <t>USD m</t>
        </is>
      </c>
      <c r="J65" s="13">
        <f>J32+J55</f>
        <v/>
      </c>
      <c r="K65" s="13">
        <f>K32+K55</f>
        <v/>
      </c>
      <c r="L65" s="13">
        <f>L32+L55</f>
        <v/>
      </c>
      <c r="M65" s="13">
        <f>M32+M55</f>
        <v/>
      </c>
      <c r="N65" s="13">
        <f>N32+N55</f>
        <v/>
      </c>
      <c r="O65" s="13">
        <f>O32+O55</f>
        <v/>
      </c>
      <c r="P65" s="13">
        <f>P32+P55</f>
        <v/>
      </c>
      <c r="Q65" s="13">
        <f>Q32+Q55</f>
        <v/>
      </c>
      <c r="R65" s="13">
        <f>R32+R55</f>
        <v/>
      </c>
      <c r="S65" s="13">
        <f>S32+S55</f>
        <v/>
      </c>
      <c r="T65" s="13">
        <f>T32+T55</f>
        <v/>
      </c>
      <c r="U65" s="13">
        <f>U32+U55</f>
        <v/>
      </c>
      <c r="V65" s="13">
        <f>V32+V55</f>
        <v/>
      </c>
      <c r="W65" s="13">
        <f>W32+W55</f>
        <v/>
      </c>
      <c r="X65" s="13">
        <f>X32+X55</f>
        <v/>
      </c>
      <c r="Y65" s="13">
        <f>Y32+Y55</f>
        <v/>
      </c>
      <c r="Z65" s="13">
        <f>Z32+Z55</f>
        <v/>
      </c>
      <c r="AA65" s="13">
        <f>AA32+AA55</f>
        <v/>
      </c>
      <c r="AB65" s="13">
        <f>AB32+AB55</f>
        <v/>
      </c>
      <c r="AC65" s="13">
        <f>AC32+AC55</f>
        <v/>
      </c>
      <c r="AD65" s="13">
        <f>AD32+AD55</f>
        <v/>
      </c>
      <c r="AE65" s="13">
        <f>AE32+AE55</f>
        <v/>
      </c>
      <c r="AF65" s="13">
        <f>AF32+AF55</f>
        <v/>
      </c>
      <c r="AG65" s="13">
        <f>AG32+AG55</f>
        <v/>
      </c>
      <c r="AH65" s="13">
        <f>AH32+AH55</f>
        <v/>
      </c>
      <c r="AI65" s="13">
        <f>AI32+AI55</f>
        <v/>
      </c>
      <c r="AJ65" s="13">
        <f>AJ32+AJ55</f>
        <v/>
      </c>
      <c r="AK65" s="13">
        <f>AK32+AK55</f>
        <v/>
      </c>
      <c r="AL65" s="13">
        <f>AL32+AL55</f>
        <v/>
      </c>
      <c r="AM65" s="13">
        <f>AM32+AM55</f>
        <v/>
      </c>
      <c r="AN65" s="13">
        <f>AN32+AN55</f>
        <v/>
      </c>
      <c r="AO65" s="13">
        <f>AO32+AO55</f>
        <v/>
      </c>
      <c r="AP65" s="13">
        <f>AP32+AP55</f>
        <v/>
      </c>
      <c r="AQ65" s="13">
        <f>AQ32+AQ55</f>
        <v/>
      </c>
      <c r="AR65" s="13">
        <f>AR32+AR55</f>
        <v/>
      </c>
      <c r="AS65" s="13">
        <f>AS32+AS55</f>
        <v/>
      </c>
      <c r="AT65" s="13">
        <f>AT32+AT55</f>
        <v/>
      </c>
      <c r="AU65" s="13">
        <f>AU32+AU55</f>
        <v/>
      </c>
      <c r="AV65" s="13">
        <f>AV32+AV55</f>
        <v/>
      </c>
      <c r="AW65" s="13">
        <f>AW32+AW55</f>
        <v/>
      </c>
      <c r="AX65" s="13">
        <f>AX32+AX55</f>
        <v/>
      </c>
      <c r="AY65" s="13">
        <f>AY32+AY55</f>
        <v/>
      </c>
      <c r="AZ65" s="13">
        <f>AZ32+AZ55</f>
        <v/>
      </c>
      <c r="BA65" s="13">
        <f>BA32+BA55</f>
        <v/>
      </c>
      <c r="BB65" s="13">
        <f>BB32+BB55</f>
        <v/>
      </c>
      <c r="BC65" s="13">
        <f>BC32+BC55</f>
        <v/>
      </c>
      <c r="BD65" s="13">
        <f>BD32+BD55</f>
        <v/>
      </c>
      <c r="BE65" s="13">
        <f>BE32+BE55</f>
        <v/>
      </c>
      <c r="BF65" s="13">
        <f>BF32+BF55</f>
        <v/>
      </c>
      <c r="BG65" s="13">
        <f>BG32+BG55</f>
        <v/>
      </c>
      <c r="BH65" s="13">
        <f>BH32+BH55</f>
        <v/>
      </c>
      <c r="BI65" s="13">
        <f>BI32+BI55</f>
        <v/>
      </c>
      <c r="BJ65" s="13">
        <f>BJ32+BJ55</f>
        <v/>
      </c>
    </row>
    <row r="66">
      <c r="B66" s="2" t="inlineStr">
        <is>
          <t>Equity (USD m)</t>
        </is>
      </c>
    </row>
    <row r="67">
      <c r="D67" t="inlineStr">
        <is>
          <t>Equity contributions (incl. LNTP credit in month 1)</t>
        </is>
      </c>
      <c r="E67" t="inlineStr">
        <is>
          <t>USD m</t>
        </is>
      </c>
      <c r="G67" s="13">
        <f>SUM(J67:BJ67)</f>
        <v/>
      </c>
      <c r="J67" s="13">
        <f>J50-J47+J56</f>
        <v/>
      </c>
      <c r="K67" s="13">
        <f>K50-K47+K56</f>
        <v/>
      </c>
      <c r="L67" s="13">
        <f>L50-L47+L56</f>
        <v/>
      </c>
      <c r="M67" s="13">
        <f>M50-M47+M56</f>
        <v/>
      </c>
      <c r="N67" s="13">
        <f>N50-N47+N56</f>
        <v/>
      </c>
      <c r="O67" s="13">
        <f>O50-O47+O56</f>
        <v/>
      </c>
      <c r="P67" s="13">
        <f>P50-P47+P56</f>
        <v/>
      </c>
      <c r="Q67" s="13">
        <f>Q50-Q47+Q56</f>
        <v/>
      </c>
      <c r="R67" s="13">
        <f>R50-R47+R56</f>
        <v/>
      </c>
      <c r="S67" s="13">
        <f>S50-S47+S56</f>
        <v/>
      </c>
      <c r="T67" s="13">
        <f>T50-T47+T56</f>
        <v/>
      </c>
      <c r="U67" s="13">
        <f>U50-U47+U56</f>
        <v/>
      </c>
      <c r="V67" s="13">
        <f>V50-V47+V56</f>
        <v/>
      </c>
      <c r="W67" s="13">
        <f>W50-W47+W56</f>
        <v/>
      </c>
      <c r="X67" s="13">
        <f>X50-X47+X56</f>
        <v/>
      </c>
      <c r="Y67" s="13">
        <f>Y50-Y47+Y56</f>
        <v/>
      </c>
      <c r="Z67" s="13">
        <f>Z50-Z47+Z56</f>
        <v/>
      </c>
      <c r="AA67" s="13">
        <f>AA50-AA47+AA56</f>
        <v/>
      </c>
      <c r="AB67" s="13">
        <f>AB50-AB47+AB56</f>
        <v/>
      </c>
      <c r="AC67" s="13">
        <f>AC50-AC47+AC56</f>
        <v/>
      </c>
      <c r="AD67" s="13">
        <f>AD50-AD47+AD56</f>
        <v/>
      </c>
      <c r="AE67" s="13">
        <f>AE50-AE47+AE56</f>
        <v/>
      </c>
      <c r="AF67" s="13">
        <f>AF50-AF47+AF56</f>
        <v/>
      </c>
      <c r="AG67" s="13">
        <f>AG50-AG47+AG56</f>
        <v/>
      </c>
      <c r="AH67" s="13">
        <f>AH50-AH47+AH56</f>
        <v/>
      </c>
      <c r="AI67" s="13">
        <f>AI50-AI47+AI56</f>
        <v/>
      </c>
      <c r="AJ67" s="13">
        <f>AJ50-AJ47+AJ56</f>
        <v/>
      </c>
      <c r="AK67" s="13">
        <f>AK50-AK47+AK56</f>
        <v/>
      </c>
      <c r="AL67" s="13">
        <f>AL50-AL47+AL56</f>
        <v/>
      </c>
      <c r="AM67" s="13">
        <f>AM50-AM47+AM56</f>
        <v/>
      </c>
      <c r="AN67" s="13">
        <f>AN50-AN47+AN56</f>
        <v/>
      </c>
      <c r="AO67" s="13">
        <f>AO50-AO47+AO56</f>
        <v/>
      </c>
      <c r="AP67" s="13">
        <f>AP50-AP47+AP56</f>
        <v/>
      </c>
      <c r="AQ67" s="13">
        <f>AQ50-AQ47+AQ56</f>
        <v/>
      </c>
      <c r="AR67" s="13">
        <f>AR50-AR47+AR56</f>
        <v/>
      </c>
      <c r="AS67" s="13">
        <f>AS50-AS47+AS56</f>
        <v/>
      </c>
      <c r="AT67" s="13">
        <f>AT50-AT47+AT56</f>
        <v/>
      </c>
      <c r="AU67" s="13">
        <f>AU50-AU47+AU56</f>
        <v/>
      </c>
      <c r="AV67" s="13">
        <f>AV50-AV47+AV56</f>
        <v/>
      </c>
      <c r="AW67" s="13">
        <f>AW50-AW47+AW56</f>
        <v/>
      </c>
      <c r="AX67" s="13">
        <f>AX50-AX47+AX56</f>
        <v/>
      </c>
      <c r="AY67" s="13">
        <f>AY50-AY47+AY56</f>
        <v/>
      </c>
      <c r="AZ67" s="13">
        <f>AZ50-AZ47+AZ56</f>
        <v/>
      </c>
      <c r="BA67" s="13">
        <f>BA50-BA47+BA56</f>
        <v/>
      </c>
      <c r="BB67" s="13">
        <f>BB50-BB47+BB56</f>
        <v/>
      </c>
      <c r="BC67" s="13">
        <f>BC50-BC47+BC56</f>
        <v/>
      </c>
      <c r="BD67" s="13">
        <f>BD50-BD47+BD56</f>
        <v/>
      </c>
      <c r="BE67" s="13">
        <f>BE50-BE47+BE56</f>
        <v/>
      </c>
      <c r="BF67" s="13">
        <f>BF50-BF47+BF56</f>
        <v/>
      </c>
      <c r="BG67" s="13">
        <f>BG50-BG47+BG56</f>
        <v/>
      </c>
      <c r="BH67" s="13">
        <f>BH50-BH47+BH56</f>
        <v/>
      </c>
      <c r="BI67" s="13">
        <f>BI50-BI47+BI56</f>
        <v/>
      </c>
      <c r="BJ67" s="13">
        <f>BJ50-BJ47+BJ56</f>
        <v/>
      </c>
    </row>
    <row r="68">
      <c r="D68" t="inlineStr">
        <is>
          <t>Equity contributed in cash</t>
        </is>
      </c>
      <c r="E68" t="inlineStr">
        <is>
          <t>USD m</t>
        </is>
      </c>
      <c r="G68" s="13">
        <f>SUM(J68:BJ68)</f>
        <v/>
      </c>
      <c r="J68" s="13">
        <f>J67-IF(Construction!J8=1,Inputs!$F$68,0)</f>
        <v/>
      </c>
      <c r="K68" s="13">
        <f>K67-IF(Construction!K8=1,Inputs!$F$68,0)</f>
        <v/>
      </c>
      <c r="L68" s="13">
        <f>L67-IF(Construction!L8=1,Inputs!$F$68,0)</f>
        <v/>
      </c>
      <c r="M68" s="13">
        <f>M67-IF(Construction!M8=1,Inputs!$F$68,0)</f>
        <v/>
      </c>
      <c r="N68" s="13">
        <f>N67-IF(Construction!N8=1,Inputs!$F$68,0)</f>
        <v/>
      </c>
      <c r="O68" s="13">
        <f>O67-IF(Construction!O8=1,Inputs!$F$68,0)</f>
        <v/>
      </c>
      <c r="P68" s="13">
        <f>P67-IF(Construction!P8=1,Inputs!$F$68,0)</f>
        <v/>
      </c>
      <c r="Q68" s="13">
        <f>Q67-IF(Construction!Q8=1,Inputs!$F$68,0)</f>
        <v/>
      </c>
      <c r="R68" s="13">
        <f>R67-IF(Construction!R8=1,Inputs!$F$68,0)</f>
        <v/>
      </c>
      <c r="S68" s="13">
        <f>S67-IF(Construction!S8=1,Inputs!$F$68,0)</f>
        <v/>
      </c>
      <c r="T68" s="13">
        <f>T67-IF(Construction!T8=1,Inputs!$F$68,0)</f>
        <v/>
      </c>
      <c r="U68" s="13">
        <f>U67-IF(Construction!U8=1,Inputs!$F$68,0)</f>
        <v/>
      </c>
      <c r="V68" s="13">
        <f>V67-IF(Construction!V8=1,Inputs!$F$68,0)</f>
        <v/>
      </c>
      <c r="W68" s="13">
        <f>W67-IF(Construction!W8=1,Inputs!$F$68,0)</f>
        <v/>
      </c>
      <c r="X68" s="13">
        <f>X67-IF(Construction!X8=1,Inputs!$F$68,0)</f>
        <v/>
      </c>
      <c r="Y68" s="13">
        <f>Y67-IF(Construction!Y8=1,Inputs!$F$68,0)</f>
        <v/>
      </c>
      <c r="Z68" s="13">
        <f>Z67-IF(Construction!Z8=1,Inputs!$F$68,0)</f>
        <v/>
      </c>
      <c r="AA68" s="13">
        <f>AA67-IF(Construction!AA8=1,Inputs!$F$68,0)</f>
        <v/>
      </c>
      <c r="AB68" s="13">
        <f>AB67-IF(Construction!AB8=1,Inputs!$F$68,0)</f>
        <v/>
      </c>
      <c r="AC68" s="13">
        <f>AC67-IF(Construction!AC8=1,Inputs!$F$68,0)</f>
        <v/>
      </c>
      <c r="AD68" s="13">
        <f>AD67-IF(Construction!AD8=1,Inputs!$F$68,0)</f>
        <v/>
      </c>
      <c r="AE68" s="13">
        <f>AE67-IF(Construction!AE8=1,Inputs!$F$68,0)</f>
        <v/>
      </c>
      <c r="AF68" s="13">
        <f>AF67-IF(Construction!AF8=1,Inputs!$F$68,0)</f>
        <v/>
      </c>
      <c r="AG68" s="13">
        <f>AG67-IF(Construction!AG8=1,Inputs!$F$68,0)</f>
        <v/>
      </c>
      <c r="AH68" s="13">
        <f>AH67-IF(Construction!AH8=1,Inputs!$F$68,0)</f>
        <v/>
      </c>
      <c r="AI68" s="13">
        <f>AI67-IF(Construction!AI8=1,Inputs!$F$68,0)</f>
        <v/>
      </c>
      <c r="AJ68" s="13">
        <f>AJ67-IF(Construction!AJ8=1,Inputs!$F$68,0)</f>
        <v/>
      </c>
      <c r="AK68" s="13">
        <f>AK67-IF(Construction!AK8=1,Inputs!$F$68,0)</f>
        <v/>
      </c>
      <c r="AL68" s="13">
        <f>AL67-IF(Construction!AL8=1,Inputs!$F$68,0)</f>
        <v/>
      </c>
      <c r="AM68" s="13">
        <f>AM67-IF(Construction!AM8=1,Inputs!$F$68,0)</f>
        <v/>
      </c>
      <c r="AN68" s="13">
        <f>AN67-IF(Construction!AN8=1,Inputs!$F$68,0)</f>
        <v/>
      </c>
      <c r="AO68" s="13">
        <f>AO67-IF(Construction!AO8=1,Inputs!$F$68,0)</f>
        <v/>
      </c>
      <c r="AP68" s="13">
        <f>AP67-IF(Construction!AP8=1,Inputs!$F$68,0)</f>
        <v/>
      </c>
      <c r="AQ68" s="13">
        <f>AQ67-IF(Construction!AQ8=1,Inputs!$F$68,0)</f>
        <v/>
      </c>
      <c r="AR68" s="13">
        <f>AR67-IF(Construction!AR8=1,Inputs!$F$68,0)</f>
        <v/>
      </c>
      <c r="AS68" s="13">
        <f>AS67-IF(Construction!AS8=1,Inputs!$F$68,0)</f>
        <v/>
      </c>
      <c r="AT68" s="13">
        <f>AT67-IF(Construction!AT8=1,Inputs!$F$68,0)</f>
        <v/>
      </c>
      <c r="AU68" s="13">
        <f>AU67-IF(Construction!AU8=1,Inputs!$F$68,0)</f>
        <v/>
      </c>
      <c r="AV68" s="13">
        <f>AV67-IF(Construction!AV8=1,Inputs!$F$68,0)</f>
        <v/>
      </c>
      <c r="AW68" s="13">
        <f>AW67-IF(Construction!AW8=1,Inputs!$F$68,0)</f>
        <v/>
      </c>
      <c r="AX68" s="13">
        <f>AX67-IF(Construction!AX8=1,Inputs!$F$68,0)</f>
        <v/>
      </c>
      <c r="AY68" s="13">
        <f>AY67-IF(Construction!AY8=1,Inputs!$F$68,0)</f>
        <v/>
      </c>
      <c r="AZ68" s="13">
        <f>AZ67-IF(Construction!AZ8=1,Inputs!$F$68,0)</f>
        <v/>
      </c>
      <c r="BA68" s="13">
        <f>BA67-IF(Construction!BA8=1,Inputs!$F$68,0)</f>
        <v/>
      </c>
      <c r="BB68" s="13">
        <f>BB67-IF(Construction!BB8=1,Inputs!$F$68,0)</f>
        <v/>
      </c>
      <c r="BC68" s="13">
        <f>BC67-IF(Construction!BC8=1,Inputs!$F$68,0)</f>
        <v/>
      </c>
      <c r="BD68" s="13">
        <f>BD67-IF(Construction!BD8=1,Inputs!$F$68,0)</f>
        <v/>
      </c>
      <c r="BE68" s="13">
        <f>BE67-IF(Construction!BE8=1,Inputs!$F$68,0)</f>
        <v/>
      </c>
      <c r="BF68" s="13">
        <f>BF67-IF(Construction!BF8=1,Inputs!$F$68,0)</f>
        <v/>
      </c>
      <c r="BG68" s="13">
        <f>BG67-IF(Construction!BG8=1,Inputs!$F$68,0)</f>
        <v/>
      </c>
      <c r="BH68" s="13">
        <f>BH67-IF(Construction!BH8=1,Inputs!$F$68,0)</f>
        <v/>
      </c>
      <c r="BI68" s="13">
        <f>BI67-IF(Construction!BI8=1,Inputs!$F$68,0)</f>
        <v/>
      </c>
      <c r="BJ68" s="13">
        <f>BJ67-IF(Construction!BJ8=1,Inputs!$F$68,0)</f>
        <v/>
      </c>
    </row>
    <row r="69">
      <c r="D69" t="inlineStr">
        <is>
          <t>Share capital</t>
        </is>
      </c>
      <c r="E69" t="inlineStr">
        <is>
          <t>USD m</t>
        </is>
      </c>
      <c r="G69" s="13">
        <f>SUM(J69:BJ69)</f>
        <v/>
      </c>
      <c r="J69" s="13">
        <f>(1-Inputs!$F$53)*J67</f>
        <v/>
      </c>
      <c r="K69" s="13">
        <f>(1-Inputs!$F$53)*K67</f>
        <v/>
      </c>
      <c r="L69" s="13">
        <f>(1-Inputs!$F$53)*L67</f>
        <v/>
      </c>
      <c r="M69" s="13">
        <f>(1-Inputs!$F$53)*M67</f>
        <v/>
      </c>
      <c r="N69" s="13">
        <f>(1-Inputs!$F$53)*N67</f>
        <v/>
      </c>
      <c r="O69" s="13">
        <f>(1-Inputs!$F$53)*O67</f>
        <v/>
      </c>
      <c r="P69" s="13">
        <f>(1-Inputs!$F$53)*P67</f>
        <v/>
      </c>
      <c r="Q69" s="13">
        <f>(1-Inputs!$F$53)*Q67</f>
        <v/>
      </c>
      <c r="R69" s="13">
        <f>(1-Inputs!$F$53)*R67</f>
        <v/>
      </c>
      <c r="S69" s="13">
        <f>(1-Inputs!$F$53)*S67</f>
        <v/>
      </c>
      <c r="T69" s="13">
        <f>(1-Inputs!$F$53)*T67</f>
        <v/>
      </c>
      <c r="U69" s="13">
        <f>(1-Inputs!$F$53)*U67</f>
        <v/>
      </c>
      <c r="V69" s="13">
        <f>(1-Inputs!$F$53)*V67</f>
        <v/>
      </c>
      <c r="W69" s="13">
        <f>(1-Inputs!$F$53)*W67</f>
        <v/>
      </c>
      <c r="X69" s="13">
        <f>(1-Inputs!$F$53)*X67</f>
        <v/>
      </c>
      <c r="Y69" s="13">
        <f>(1-Inputs!$F$53)*Y67</f>
        <v/>
      </c>
      <c r="Z69" s="13">
        <f>(1-Inputs!$F$53)*Z67</f>
        <v/>
      </c>
      <c r="AA69" s="13">
        <f>(1-Inputs!$F$53)*AA67</f>
        <v/>
      </c>
      <c r="AB69" s="13">
        <f>(1-Inputs!$F$53)*AB67</f>
        <v/>
      </c>
      <c r="AC69" s="13">
        <f>(1-Inputs!$F$53)*AC67</f>
        <v/>
      </c>
      <c r="AD69" s="13">
        <f>(1-Inputs!$F$53)*AD67</f>
        <v/>
      </c>
      <c r="AE69" s="13">
        <f>(1-Inputs!$F$53)*AE67</f>
        <v/>
      </c>
      <c r="AF69" s="13">
        <f>(1-Inputs!$F$53)*AF67</f>
        <v/>
      </c>
      <c r="AG69" s="13">
        <f>(1-Inputs!$F$53)*AG67</f>
        <v/>
      </c>
      <c r="AH69" s="13">
        <f>(1-Inputs!$F$53)*AH67</f>
        <v/>
      </c>
      <c r="AI69" s="13">
        <f>(1-Inputs!$F$53)*AI67</f>
        <v/>
      </c>
      <c r="AJ69" s="13">
        <f>(1-Inputs!$F$53)*AJ67</f>
        <v/>
      </c>
      <c r="AK69" s="13">
        <f>(1-Inputs!$F$53)*AK67</f>
        <v/>
      </c>
      <c r="AL69" s="13">
        <f>(1-Inputs!$F$53)*AL67</f>
        <v/>
      </c>
      <c r="AM69" s="13">
        <f>(1-Inputs!$F$53)*AM67</f>
        <v/>
      </c>
      <c r="AN69" s="13">
        <f>(1-Inputs!$F$53)*AN67</f>
        <v/>
      </c>
      <c r="AO69" s="13">
        <f>(1-Inputs!$F$53)*AO67</f>
        <v/>
      </c>
      <c r="AP69" s="13">
        <f>(1-Inputs!$F$53)*AP67</f>
        <v/>
      </c>
      <c r="AQ69" s="13">
        <f>(1-Inputs!$F$53)*AQ67</f>
        <v/>
      </c>
      <c r="AR69" s="13">
        <f>(1-Inputs!$F$53)*AR67</f>
        <v/>
      </c>
      <c r="AS69" s="13">
        <f>(1-Inputs!$F$53)*AS67</f>
        <v/>
      </c>
      <c r="AT69" s="13">
        <f>(1-Inputs!$F$53)*AT67</f>
        <v/>
      </c>
      <c r="AU69" s="13">
        <f>(1-Inputs!$F$53)*AU67</f>
        <v/>
      </c>
      <c r="AV69" s="13">
        <f>(1-Inputs!$F$53)*AV67</f>
        <v/>
      </c>
      <c r="AW69" s="13">
        <f>(1-Inputs!$F$53)*AW67</f>
        <v/>
      </c>
      <c r="AX69" s="13">
        <f>(1-Inputs!$F$53)*AX67</f>
        <v/>
      </c>
      <c r="AY69" s="13">
        <f>(1-Inputs!$F$53)*AY67</f>
        <v/>
      </c>
      <c r="AZ69" s="13">
        <f>(1-Inputs!$F$53)*AZ67</f>
        <v/>
      </c>
      <c r="BA69" s="13">
        <f>(1-Inputs!$F$53)*BA67</f>
        <v/>
      </c>
      <c r="BB69" s="13">
        <f>(1-Inputs!$F$53)*BB67</f>
        <v/>
      </c>
      <c r="BC69" s="13">
        <f>(1-Inputs!$F$53)*BC67</f>
        <v/>
      </c>
      <c r="BD69" s="13">
        <f>(1-Inputs!$F$53)*BD67</f>
        <v/>
      </c>
      <c r="BE69" s="13">
        <f>(1-Inputs!$F$53)*BE67</f>
        <v/>
      </c>
      <c r="BF69" s="13">
        <f>(1-Inputs!$F$53)*BF67</f>
        <v/>
      </c>
      <c r="BG69" s="13">
        <f>(1-Inputs!$F$53)*BG67</f>
        <v/>
      </c>
      <c r="BH69" s="13">
        <f>(1-Inputs!$F$53)*BH67</f>
        <v/>
      </c>
      <c r="BI69" s="13">
        <f>(1-Inputs!$F$53)*BI67</f>
        <v/>
      </c>
      <c r="BJ69" s="13">
        <f>(1-Inputs!$F$53)*BJ67</f>
        <v/>
      </c>
    </row>
    <row r="70">
      <c r="D70" t="inlineStr">
        <is>
          <t>Shareholder loans advanced</t>
        </is>
      </c>
      <c r="E70" t="inlineStr">
        <is>
          <t>USD m</t>
        </is>
      </c>
      <c r="G70" s="13">
        <f>SUM(J70:BJ70)</f>
        <v/>
      </c>
      <c r="J70" s="13">
        <f>Inputs!$F$53*J67</f>
        <v/>
      </c>
      <c r="K70" s="13">
        <f>Inputs!$F$53*K67</f>
        <v/>
      </c>
      <c r="L70" s="13">
        <f>Inputs!$F$53*L67</f>
        <v/>
      </c>
      <c r="M70" s="13">
        <f>Inputs!$F$53*M67</f>
        <v/>
      </c>
      <c r="N70" s="13">
        <f>Inputs!$F$53*N67</f>
        <v/>
      </c>
      <c r="O70" s="13">
        <f>Inputs!$F$53*O67</f>
        <v/>
      </c>
      <c r="P70" s="13">
        <f>Inputs!$F$53*P67</f>
        <v/>
      </c>
      <c r="Q70" s="13">
        <f>Inputs!$F$53*Q67</f>
        <v/>
      </c>
      <c r="R70" s="13">
        <f>Inputs!$F$53*R67</f>
        <v/>
      </c>
      <c r="S70" s="13">
        <f>Inputs!$F$53*S67</f>
        <v/>
      </c>
      <c r="T70" s="13">
        <f>Inputs!$F$53*T67</f>
        <v/>
      </c>
      <c r="U70" s="13">
        <f>Inputs!$F$53*U67</f>
        <v/>
      </c>
      <c r="V70" s="13">
        <f>Inputs!$F$53*V67</f>
        <v/>
      </c>
      <c r="W70" s="13">
        <f>Inputs!$F$53*W67</f>
        <v/>
      </c>
      <c r="X70" s="13">
        <f>Inputs!$F$53*X67</f>
        <v/>
      </c>
      <c r="Y70" s="13">
        <f>Inputs!$F$53*Y67</f>
        <v/>
      </c>
      <c r="Z70" s="13">
        <f>Inputs!$F$53*Z67</f>
        <v/>
      </c>
      <c r="AA70" s="13">
        <f>Inputs!$F$53*AA67</f>
        <v/>
      </c>
      <c r="AB70" s="13">
        <f>Inputs!$F$53*AB67</f>
        <v/>
      </c>
      <c r="AC70" s="13">
        <f>Inputs!$F$53*AC67</f>
        <v/>
      </c>
      <c r="AD70" s="13">
        <f>Inputs!$F$53*AD67</f>
        <v/>
      </c>
      <c r="AE70" s="13">
        <f>Inputs!$F$53*AE67</f>
        <v/>
      </c>
      <c r="AF70" s="13">
        <f>Inputs!$F$53*AF67</f>
        <v/>
      </c>
      <c r="AG70" s="13">
        <f>Inputs!$F$53*AG67</f>
        <v/>
      </c>
      <c r="AH70" s="13">
        <f>Inputs!$F$53*AH67</f>
        <v/>
      </c>
      <c r="AI70" s="13">
        <f>Inputs!$F$53*AI67</f>
        <v/>
      </c>
      <c r="AJ70" s="13">
        <f>Inputs!$F$53*AJ67</f>
        <v/>
      </c>
      <c r="AK70" s="13">
        <f>Inputs!$F$53*AK67</f>
        <v/>
      </c>
      <c r="AL70" s="13">
        <f>Inputs!$F$53*AL67</f>
        <v/>
      </c>
      <c r="AM70" s="13">
        <f>Inputs!$F$53*AM67</f>
        <v/>
      </c>
      <c r="AN70" s="13">
        <f>Inputs!$F$53*AN67</f>
        <v/>
      </c>
      <c r="AO70" s="13">
        <f>Inputs!$F$53*AO67</f>
        <v/>
      </c>
      <c r="AP70" s="13">
        <f>Inputs!$F$53*AP67</f>
        <v/>
      </c>
      <c r="AQ70" s="13">
        <f>Inputs!$F$53*AQ67</f>
        <v/>
      </c>
      <c r="AR70" s="13">
        <f>Inputs!$F$53*AR67</f>
        <v/>
      </c>
      <c r="AS70" s="13">
        <f>Inputs!$F$53*AS67</f>
        <v/>
      </c>
      <c r="AT70" s="13">
        <f>Inputs!$F$53*AT67</f>
        <v/>
      </c>
      <c r="AU70" s="13">
        <f>Inputs!$F$53*AU67</f>
        <v/>
      </c>
      <c r="AV70" s="13">
        <f>Inputs!$F$53*AV67</f>
        <v/>
      </c>
      <c r="AW70" s="13">
        <f>Inputs!$F$53*AW67</f>
        <v/>
      </c>
      <c r="AX70" s="13">
        <f>Inputs!$F$53*AX67</f>
        <v/>
      </c>
      <c r="AY70" s="13">
        <f>Inputs!$F$53*AY67</f>
        <v/>
      </c>
      <c r="AZ70" s="13">
        <f>Inputs!$F$53*AZ67</f>
        <v/>
      </c>
      <c r="BA70" s="13">
        <f>Inputs!$F$53*BA67</f>
        <v/>
      </c>
      <c r="BB70" s="13">
        <f>Inputs!$F$53*BB67</f>
        <v/>
      </c>
      <c r="BC70" s="13">
        <f>Inputs!$F$53*BC67</f>
        <v/>
      </c>
      <c r="BD70" s="13">
        <f>Inputs!$F$53*BD67</f>
        <v/>
      </c>
      <c r="BE70" s="13">
        <f>Inputs!$F$53*BE67</f>
        <v/>
      </c>
      <c r="BF70" s="13">
        <f>Inputs!$F$53*BF67</f>
        <v/>
      </c>
      <c r="BG70" s="13">
        <f>Inputs!$F$53*BG67</f>
        <v/>
      </c>
      <c r="BH70" s="13">
        <f>Inputs!$F$53*BH67</f>
        <v/>
      </c>
      <c r="BI70" s="13">
        <f>Inputs!$F$53*BI67</f>
        <v/>
      </c>
      <c r="BJ70" s="13">
        <f>Inputs!$F$53*BJ67</f>
        <v/>
      </c>
    </row>
    <row r="71">
      <c r="D71" t="inlineStr">
        <is>
          <t>Shareholder loan interest capitalized (to COD)</t>
        </is>
      </c>
      <c r="E71" t="inlineStr">
        <is>
          <t>USD m</t>
        </is>
      </c>
      <c r="G71" s="13">
        <f>SUM(J71:BJ71)</f>
        <v/>
      </c>
      <c r="J71" s="13">
        <f>IF(Construction!J8&lt;=Time!$F$11,I72*Inputs!$F$104/100*Construction!J11/Inputs!$F$248,0)</f>
        <v/>
      </c>
      <c r="K71" s="13">
        <f>IF(Construction!K8&lt;=Time!$F$11,J72*Inputs!$F$104/100*Construction!K11/Inputs!$F$248,0)</f>
        <v/>
      </c>
      <c r="L71" s="13">
        <f>IF(Construction!L8&lt;=Time!$F$11,K72*Inputs!$F$104/100*Construction!L11/Inputs!$F$248,0)</f>
        <v/>
      </c>
      <c r="M71" s="13">
        <f>IF(Construction!M8&lt;=Time!$F$11,L72*Inputs!$F$104/100*Construction!M11/Inputs!$F$248,0)</f>
        <v/>
      </c>
      <c r="N71" s="13">
        <f>IF(Construction!N8&lt;=Time!$F$11,M72*Inputs!$F$104/100*Construction!N11/Inputs!$F$248,0)</f>
        <v/>
      </c>
      <c r="O71" s="13">
        <f>IF(Construction!O8&lt;=Time!$F$11,N72*Inputs!$F$104/100*Construction!O11/Inputs!$F$248,0)</f>
        <v/>
      </c>
      <c r="P71" s="13">
        <f>IF(Construction!P8&lt;=Time!$F$11,O72*Inputs!$F$104/100*Construction!P11/Inputs!$F$248,0)</f>
        <v/>
      </c>
      <c r="Q71" s="13">
        <f>IF(Construction!Q8&lt;=Time!$F$11,P72*Inputs!$F$104/100*Construction!Q11/Inputs!$F$248,0)</f>
        <v/>
      </c>
      <c r="R71" s="13">
        <f>IF(Construction!R8&lt;=Time!$F$11,Q72*Inputs!$F$104/100*Construction!R11/Inputs!$F$248,0)</f>
        <v/>
      </c>
      <c r="S71" s="13">
        <f>IF(Construction!S8&lt;=Time!$F$11,R72*Inputs!$F$104/100*Construction!S11/Inputs!$F$248,0)</f>
        <v/>
      </c>
      <c r="T71" s="13">
        <f>IF(Construction!T8&lt;=Time!$F$11,S72*Inputs!$F$104/100*Construction!T11/Inputs!$F$248,0)</f>
        <v/>
      </c>
      <c r="U71" s="13">
        <f>IF(Construction!U8&lt;=Time!$F$11,T72*Inputs!$F$104/100*Construction!U11/Inputs!$F$248,0)</f>
        <v/>
      </c>
      <c r="V71" s="13">
        <f>IF(Construction!V8&lt;=Time!$F$11,U72*Inputs!$F$104/100*Construction!V11/Inputs!$F$248,0)</f>
        <v/>
      </c>
      <c r="W71" s="13">
        <f>IF(Construction!W8&lt;=Time!$F$11,V72*Inputs!$F$104/100*Construction!W11/Inputs!$F$248,0)</f>
        <v/>
      </c>
      <c r="X71" s="13">
        <f>IF(Construction!X8&lt;=Time!$F$11,W72*Inputs!$F$104/100*Construction!X11/Inputs!$F$248,0)</f>
        <v/>
      </c>
      <c r="Y71" s="13">
        <f>IF(Construction!Y8&lt;=Time!$F$11,X72*Inputs!$F$104/100*Construction!Y11/Inputs!$F$248,0)</f>
        <v/>
      </c>
      <c r="Z71" s="13">
        <f>IF(Construction!Z8&lt;=Time!$F$11,Y72*Inputs!$F$104/100*Construction!Z11/Inputs!$F$248,0)</f>
        <v/>
      </c>
      <c r="AA71" s="13">
        <f>IF(Construction!AA8&lt;=Time!$F$11,Z72*Inputs!$F$104/100*Construction!AA11/Inputs!$F$248,0)</f>
        <v/>
      </c>
      <c r="AB71" s="13">
        <f>IF(Construction!AB8&lt;=Time!$F$11,AA72*Inputs!$F$104/100*Construction!AB11/Inputs!$F$248,0)</f>
        <v/>
      </c>
      <c r="AC71" s="13">
        <f>IF(Construction!AC8&lt;=Time!$F$11,AB72*Inputs!$F$104/100*Construction!AC11/Inputs!$F$248,0)</f>
        <v/>
      </c>
      <c r="AD71" s="13">
        <f>IF(Construction!AD8&lt;=Time!$F$11,AC72*Inputs!$F$104/100*Construction!AD11/Inputs!$F$248,0)</f>
        <v/>
      </c>
      <c r="AE71" s="13">
        <f>IF(Construction!AE8&lt;=Time!$F$11,AD72*Inputs!$F$104/100*Construction!AE11/Inputs!$F$248,0)</f>
        <v/>
      </c>
      <c r="AF71" s="13">
        <f>IF(Construction!AF8&lt;=Time!$F$11,AE72*Inputs!$F$104/100*Construction!AF11/Inputs!$F$248,0)</f>
        <v/>
      </c>
      <c r="AG71" s="13">
        <f>IF(Construction!AG8&lt;=Time!$F$11,AF72*Inputs!$F$104/100*Construction!AG11/Inputs!$F$248,0)</f>
        <v/>
      </c>
      <c r="AH71" s="13">
        <f>IF(Construction!AH8&lt;=Time!$F$11,AG72*Inputs!$F$104/100*Construction!AH11/Inputs!$F$248,0)</f>
        <v/>
      </c>
      <c r="AI71" s="13">
        <f>IF(Construction!AI8&lt;=Time!$F$11,AH72*Inputs!$F$104/100*Construction!AI11/Inputs!$F$248,0)</f>
        <v/>
      </c>
      <c r="AJ71" s="13">
        <f>IF(Construction!AJ8&lt;=Time!$F$11,AI72*Inputs!$F$104/100*Construction!AJ11/Inputs!$F$248,0)</f>
        <v/>
      </c>
      <c r="AK71" s="13">
        <f>IF(Construction!AK8&lt;=Time!$F$11,AJ72*Inputs!$F$104/100*Construction!AK11/Inputs!$F$248,0)</f>
        <v/>
      </c>
      <c r="AL71" s="13">
        <f>IF(Construction!AL8&lt;=Time!$F$11,AK72*Inputs!$F$104/100*Construction!AL11/Inputs!$F$248,0)</f>
        <v/>
      </c>
      <c r="AM71" s="13">
        <f>IF(Construction!AM8&lt;=Time!$F$11,AL72*Inputs!$F$104/100*Construction!AM11/Inputs!$F$248,0)</f>
        <v/>
      </c>
      <c r="AN71" s="13">
        <f>IF(Construction!AN8&lt;=Time!$F$11,AM72*Inputs!$F$104/100*Construction!AN11/Inputs!$F$248,0)</f>
        <v/>
      </c>
      <c r="AO71" s="13">
        <f>IF(Construction!AO8&lt;=Time!$F$11,AN72*Inputs!$F$104/100*Construction!AO11/Inputs!$F$248,0)</f>
        <v/>
      </c>
      <c r="AP71" s="13">
        <f>IF(Construction!AP8&lt;=Time!$F$11,AO72*Inputs!$F$104/100*Construction!AP11/Inputs!$F$248,0)</f>
        <v/>
      </c>
      <c r="AQ71" s="13">
        <f>IF(Construction!AQ8&lt;=Time!$F$11,AP72*Inputs!$F$104/100*Construction!AQ11/Inputs!$F$248,0)</f>
        <v/>
      </c>
      <c r="AR71" s="13">
        <f>IF(Construction!AR8&lt;=Time!$F$11,AQ72*Inputs!$F$104/100*Construction!AR11/Inputs!$F$248,0)</f>
        <v/>
      </c>
      <c r="AS71" s="13">
        <f>IF(Construction!AS8&lt;=Time!$F$11,AR72*Inputs!$F$104/100*Construction!AS11/Inputs!$F$248,0)</f>
        <v/>
      </c>
      <c r="AT71" s="13">
        <f>IF(Construction!AT8&lt;=Time!$F$11,AS72*Inputs!$F$104/100*Construction!AT11/Inputs!$F$248,0)</f>
        <v/>
      </c>
      <c r="AU71" s="13">
        <f>IF(Construction!AU8&lt;=Time!$F$11,AT72*Inputs!$F$104/100*Construction!AU11/Inputs!$F$248,0)</f>
        <v/>
      </c>
      <c r="AV71" s="13">
        <f>IF(Construction!AV8&lt;=Time!$F$11,AU72*Inputs!$F$104/100*Construction!AV11/Inputs!$F$248,0)</f>
        <v/>
      </c>
      <c r="AW71" s="13">
        <f>IF(Construction!AW8&lt;=Time!$F$11,AV72*Inputs!$F$104/100*Construction!AW11/Inputs!$F$248,0)</f>
        <v/>
      </c>
      <c r="AX71" s="13">
        <f>IF(Construction!AX8&lt;=Time!$F$11,AW72*Inputs!$F$104/100*Construction!AX11/Inputs!$F$248,0)</f>
        <v/>
      </c>
      <c r="AY71" s="13">
        <f>IF(Construction!AY8&lt;=Time!$F$11,AX72*Inputs!$F$104/100*Construction!AY11/Inputs!$F$248,0)</f>
        <v/>
      </c>
      <c r="AZ71" s="13">
        <f>IF(Construction!AZ8&lt;=Time!$F$11,AY72*Inputs!$F$104/100*Construction!AZ11/Inputs!$F$248,0)</f>
        <v/>
      </c>
      <c r="BA71" s="13">
        <f>IF(Construction!BA8&lt;=Time!$F$11,AZ72*Inputs!$F$104/100*Construction!BA11/Inputs!$F$248,0)</f>
        <v/>
      </c>
      <c r="BB71" s="13">
        <f>IF(Construction!BB8&lt;=Time!$F$11,BA72*Inputs!$F$104/100*Construction!BB11/Inputs!$F$248,0)</f>
        <v/>
      </c>
      <c r="BC71" s="13">
        <f>IF(Construction!BC8&lt;=Time!$F$11,BB72*Inputs!$F$104/100*Construction!BC11/Inputs!$F$248,0)</f>
        <v/>
      </c>
      <c r="BD71" s="13">
        <f>IF(Construction!BD8&lt;=Time!$F$11,BC72*Inputs!$F$104/100*Construction!BD11/Inputs!$F$248,0)</f>
        <v/>
      </c>
      <c r="BE71" s="13">
        <f>IF(Construction!BE8&lt;=Time!$F$11,BD72*Inputs!$F$104/100*Construction!BE11/Inputs!$F$248,0)</f>
        <v/>
      </c>
      <c r="BF71" s="13">
        <f>IF(Construction!BF8&lt;=Time!$F$11,BE72*Inputs!$F$104/100*Construction!BF11/Inputs!$F$248,0)</f>
        <v/>
      </c>
      <c r="BG71" s="13">
        <f>IF(Construction!BG8&lt;=Time!$F$11,BF72*Inputs!$F$104/100*Construction!BG11/Inputs!$F$248,0)</f>
        <v/>
      </c>
      <c r="BH71" s="13">
        <f>IF(Construction!BH8&lt;=Time!$F$11,BG72*Inputs!$F$104/100*Construction!BH11/Inputs!$F$248,0)</f>
        <v/>
      </c>
      <c r="BI71" s="13">
        <f>IF(Construction!BI8&lt;=Time!$F$11,BH72*Inputs!$F$104/100*Construction!BI11/Inputs!$F$248,0)</f>
        <v/>
      </c>
      <c r="BJ71" s="13">
        <f>IF(Construction!BJ8&lt;=Time!$F$11,BI72*Inputs!$F$104/100*Construction!BJ11/Inputs!$F$248,0)</f>
        <v/>
      </c>
    </row>
    <row r="72">
      <c r="D72" t="inlineStr">
        <is>
          <t>Shareholder loan balance</t>
        </is>
      </c>
      <c r="E72" t="inlineStr">
        <is>
          <t>USD m</t>
        </is>
      </c>
      <c r="J72" s="13">
        <f>I72+J71+J70</f>
        <v/>
      </c>
      <c r="K72" s="13">
        <f>J72+K71+K70</f>
        <v/>
      </c>
      <c r="L72" s="13">
        <f>K72+L71+L70</f>
        <v/>
      </c>
      <c r="M72" s="13">
        <f>L72+M71+M70</f>
        <v/>
      </c>
      <c r="N72" s="13">
        <f>M72+N71+N70</f>
        <v/>
      </c>
      <c r="O72" s="13">
        <f>N72+O71+O70</f>
        <v/>
      </c>
      <c r="P72" s="13">
        <f>O72+P71+P70</f>
        <v/>
      </c>
      <c r="Q72" s="13">
        <f>P72+Q71+Q70</f>
        <v/>
      </c>
      <c r="R72" s="13">
        <f>Q72+R71+R70</f>
        <v/>
      </c>
      <c r="S72" s="13">
        <f>R72+S71+S70</f>
        <v/>
      </c>
      <c r="T72" s="13">
        <f>S72+T71+T70</f>
        <v/>
      </c>
      <c r="U72" s="13">
        <f>T72+U71+U70</f>
        <v/>
      </c>
      <c r="V72" s="13">
        <f>U72+V71+V70</f>
        <v/>
      </c>
      <c r="W72" s="13">
        <f>V72+W71+W70</f>
        <v/>
      </c>
      <c r="X72" s="13">
        <f>W72+X71+X70</f>
        <v/>
      </c>
      <c r="Y72" s="13">
        <f>X72+Y71+Y70</f>
        <v/>
      </c>
      <c r="Z72" s="13">
        <f>Y72+Z71+Z70</f>
        <v/>
      </c>
      <c r="AA72" s="13">
        <f>Z72+AA71+AA70</f>
        <v/>
      </c>
      <c r="AB72" s="13">
        <f>AA72+AB71+AB70</f>
        <v/>
      </c>
      <c r="AC72" s="13">
        <f>AB72+AC71+AC70</f>
        <v/>
      </c>
      <c r="AD72" s="13">
        <f>AC72+AD71+AD70</f>
        <v/>
      </c>
      <c r="AE72" s="13">
        <f>AD72+AE71+AE70</f>
        <v/>
      </c>
      <c r="AF72" s="13">
        <f>AE72+AF71+AF70</f>
        <v/>
      </c>
      <c r="AG72" s="13">
        <f>AF72+AG71+AG70</f>
        <v/>
      </c>
      <c r="AH72" s="13">
        <f>AG72+AH71+AH70</f>
        <v/>
      </c>
      <c r="AI72" s="13">
        <f>AH72+AI71+AI70</f>
        <v/>
      </c>
      <c r="AJ72" s="13">
        <f>AI72+AJ71+AJ70</f>
        <v/>
      </c>
      <c r="AK72" s="13">
        <f>AJ72+AK71+AK70</f>
        <v/>
      </c>
      <c r="AL72" s="13">
        <f>AK72+AL71+AL70</f>
        <v/>
      </c>
      <c r="AM72" s="13">
        <f>AL72+AM71+AM70</f>
        <v/>
      </c>
      <c r="AN72" s="13">
        <f>AM72+AN71+AN70</f>
        <v/>
      </c>
      <c r="AO72" s="13">
        <f>AN72+AO71+AO70</f>
        <v/>
      </c>
      <c r="AP72" s="13">
        <f>AO72+AP71+AP70</f>
        <v/>
      </c>
      <c r="AQ72" s="13">
        <f>AP72+AQ71+AQ70</f>
        <v/>
      </c>
      <c r="AR72" s="13">
        <f>AQ72+AR71+AR70</f>
        <v/>
      </c>
      <c r="AS72" s="13">
        <f>AR72+AS71+AS70</f>
        <v/>
      </c>
      <c r="AT72" s="13">
        <f>AS72+AT71+AT70</f>
        <v/>
      </c>
      <c r="AU72" s="13">
        <f>AT72+AU71+AU70</f>
        <v/>
      </c>
      <c r="AV72" s="13">
        <f>AU72+AV71+AV70</f>
        <v/>
      </c>
      <c r="AW72" s="13">
        <f>AV72+AW71+AW70</f>
        <v/>
      </c>
      <c r="AX72" s="13">
        <f>AW72+AX71+AX70</f>
        <v/>
      </c>
      <c r="AY72" s="13">
        <f>AX72+AY71+AY70</f>
        <v/>
      </c>
      <c r="AZ72" s="13">
        <f>AY72+AZ71+AZ70</f>
        <v/>
      </c>
      <c r="BA72" s="13">
        <f>AZ72+BA71+BA70</f>
        <v/>
      </c>
      <c r="BB72" s="13">
        <f>BA72+BB71+BB70</f>
        <v/>
      </c>
      <c r="BC72" s="13">
        <f>BB72+BC71+BC70</f>
        <v/>
      </c>
      <c r="BD72" s="13">
        <f>BC72+BD71+BD70</f>
        <v/>
      </c>
      <c r="BE72" s="13">
        <f>BD72+BE71+BE70</f>
        <v/>
      </c>
      <c r="BF72" s="13">
        <f>BE72+BF71+BF70</f>
        <v/>
      </c>
      <c r="BG72" s="13">
        <f>BF72+BG71+BG70</f>
        <v/>
      </c>
      <c r="BH72" s="13">
        <f>BG72+BH71+BH70</f>
        <v/>
      </c>
      <c r="BI72" s="13">
        <f>BH72+BI71+BI70</f>
        <v/>
      </c>
      <c r="BJ72" s="13">
        <f>BI72+BJ71+BJ70</f>
        <v/>
      </c>
    </row>
    <row r="73">
      <c r="D73" t="inlineStr">
        <is>
          <t>Total debt drawdowns (incl. standby)</t>
        </is>
      </c>
      <c r="E73" t="inlineStr">
        <is>
          <t>USD m</t>
        </is>
      </c>
      <c r="G73" s="13">
        <f>SUM(J73:BJ73)</f>
        <v/>
      </c>
      <c r="J73" s="13">
        <f>J47+J55</f>
        <v/>
      </c>
      <c r="K73" s="13">
        <f>K47+K55</f>
        <v/>
      </c>
      <c r="L73" s="13">
        <f>L47+L55</f>
        <v/>
      </c>
      <c r="M73" s="13">
        <f>M47+M55</f>
        <v/>
      </c>
      <c r="N73" s="13">
        <f>N47+N55</f>
        <v/>
      </c>
      <c r="O73" s="13">
        <f>O47+O55</f>
        <v/>
      </c>
      <c r="P73" s="13">
        <f>P47+P55</f>
        <v/>
      </c>
      <c r="Q73" s="13">
        <f>Q47+Q55</f>
        <v/>
      </c>
      <c r="R73" s="13">
        <f>R47+R55</f>
        <v/>
      </c>
      <c r="S73" s="13">
        <f>S47+S55</f>
        <v/>
      </c>
      <c r="T73" s="13">
        <f>T47+T55</f>
        <v/>
      </c>
      <c r="U73" s="13">
        <f>U47+U55</f>
        <v/>
      </c>
      <c r="V73" s="13">
        <f>V47+V55</f>
        <v/>
      </c>
      <c r="W73" s="13">
        <f>W47+W55</f>
        <v/>
      </c>
      <c r="X73" s="13">
        <f>X47+X55</f>
        <v/>
      </c>
      <c r="Y73" s="13">
        <f>Y47+Y55</f>
        <v/>
      </c>
      <c r="Z73" s="13">
        <f>Z47+Z55</f>
        <v/>
      </c>
      <c r="AA73" s="13">
        <f>AA47+AA55</f>
        <v/>
      </c>
      <c r="AB73" s="13">
        <f>AB47+AB55</f>
        <v/>
      </c>
      <c r="AC73" s="13">
        <f>AC47+AC55</f>
        <v/>
      </c>
      <c r="AD73" s="13">
        <f>AD47+AD55</f>
        <v/>
      </c>
      <c r="AE73" s="13">
        <f>AE47+AE55</f>
        <v/>
      </c>
      <c r="AF73" s="13">
        <f>AF47+AF55</f>
        <v/>
      </c>
      <c r="AG73" s="13">
        <f>AG47+AG55</f>
        <v/>
      </c>
      <c r="AH73" s="13">
        <f>AH47+AH55</f>
        <v/>
      </c>
      <c r="AI73" s="13">
        <f>AI47+AI55</f>
        <v/>
      </c>
      <c r="AJ73" s="13">
        <f>AJ47+AJ55</f>
        <v/>
      </c>
      <c r="AK73" s="13">
        <f>AK47+AK55</f>
        <v/>
      </c>
      <c r="AL73" s="13">
        <f>AL47+AL55</f>
        <v/>
      </c>
      <c r="AM73" s="13">
        <f>AM47+AM55</f>
        <v/>
      </c>
      <c r="AN73" s="13">
        <f>AN47+AN55</f>
        <v/>
      </c>
      <c r="AO73" s="13">
        <f>AO47+AO55</f>
        <v/>
      </c>
      <c r="AP73" s="13">
        <f>AP47+AP55</f>
        <v/>
      </c>
      <c r="AQ73" s="13">
        <f>AQ47+AQ55</f>
        <v/>
      </c>
      <c r="AR73" s="13">
        <f>AR47+AR55</f>
        <v/>
      </c>
      <c r="AS73" s="13">
        <f>AS47+AS55</f>
        <v/>
      </c>
      <c r="AT73" s="13">
        <f>AT47+AT55</f>
        <v/>
      </c>
      <c r="AU73" s="13">
        <f>AU47+AU55</f>
        <v/>
      </c>
      <c r="AV73" s="13">
        <f>AV47+AV55</f>
        <v/>
      </c>
      <c r="AW73" s="13">
        <f>AW47+AW55</f>
        <v/>
      </c>
      <c r="AX73" s="13">
        <f>AX47+AX55</f>
        <v/>
      </c>
      <c r="AY73" s="13">
        <f>AY47+AY55</f>
        <v/>
      </c>
      <c r="AZ73" s="13">
        <f>AZ47+AZ55</f>
        <v/>
      </c>
      <c r="BA73" s="13">
        <f>BA47+BA55</f>
        <v/>
      </c>
      <c r="BB73" s="13">
        <f>BB47+BB55</f>
        <v/>
      </c>
      <c r="BC73" s="13">
        <f>BC47+BC55</f>
        <v/>
      </c>
      <c r="BD73" s="13">
        <f>BD47+BD55</f>
        <v/>
      </c>
      <c r="BE73" s="13">
        <f>BE47+BE55</f>
        <v/>
      </c>
      <c r="BF73" s="13">
        <f>BF47+BF55</f>
        <v/>
      </c>
      <c r="BG73" s="13">
        <f>BG47+BG55</f>
        <v/>
      </c>
      <c r="BH73" s="13">
        <f>BH47+BH55</f>
        <v/>
      </c>
      <c r="BI73" s="13">
        <f>BI47+BI55</f>
        <v/>
      </c>
      <c r="BJ73" s="13">
        <f>BJ47+BJ55</f>
        <v/>
      </c>
    </row>
    <row r="74">
      <c r="D74" t="inlineStr">
        <is>
          <t>Financing costs (IDC, fees, premium, VAT interest)</t>
        </is>
      </c>
      <c r="E74" t="inlineStr">
        <is>
          <t>USD m</t>
        </is>
      </c>
      <c r="G74" s="13">
        <f>SUM(J74:BJ74)</f>
        <v/>
      </c>
      <c r="J74" s="13">
        <f>J33+J34+J35+J36+J37+J38+J39+J40+J41+J42+J43+J48+Construction!J14*Construction!J38</f>
        <v/>
      </c>
      <c r="K74" s="13">
        <f>K33+K34+K35+K36+K37+K38+K39+K40+K41+K42+K43+K48+Construction!K14*Construction!K38</f>
        <v/>
      </c>
      <c r="L74" s="13">
        <f>L33+L34+L35+L36+L37+L38+L39+L40+L41+L42+L43+L48+Construction!L14*Construction!L38</f>
        <v/>
      </c>
      <c r="M74" s="13">
        <f>M33+M34+M35+M36+M37+M38+M39+M40+M41+M42+M43+M48+Construction!M14*Construction!M38</f>
        <v/>
      </c>
      <c r="N74" s="13">
        <f>N33+N34+N35+N36+N37+N38+N39+N40+N41+N42+N43+N48+Construction!N14*Construction!N38</f>
        <v/>
      </c>
      <c r="O74" s="13">
        <f>O33+O34+O35+O36+O37+O38+O39+O40+O41+O42+O43+O48+Construction!O14*Construction!O38</f>
        <v/>
      </c>
      <c r="P74" s="13">
        <f>P33+P34+P35+P36+P37+P38+P39+P40+P41+P42+P43+P48+Construction!P14*Construction!P38</f>
        <v/>
      </c>
      <c r="Q74" s="13">
        <f>Q33+Q34+Q35+Q36+Q37+Q38+Q39+Q40+Q41+Q42+Q43+Q48+Construction!Q14*Construction!Q38</f>
        <v/>
      </c>
      <c r="R74" s="13">
        <f>R33+R34+R35+R36+R37+R38+R39+R40+R41+R42+R43+R48+Construction!R14*Construction!R38</f>
        <v/>
      </c>
      <c r="S74" s="13">
        <f>S33+S34+S35+S36+S37+S38+S39+S40+S41+S42+S43+S48+Construction!S14*Construction!S38</f>
        <v/>
      </c>
      <c r="T74" s="13">
        <f>T33+T34+T35+T36+T37+T38+T39+T40+T41+T42+T43+T48+Construction!T14*Construction!T38</f>
        <v/>
      </c>
      <c r="U74" s="13">
        <f>U33+U34+U35+U36+U37+U38+U39+U40+U41+U42+U43+U48+Construction!U14*Construction!U38</f>
        <v/>
      </c>
      <c r="V74" s="13">
        <f>V33+V34+V35+V36+V37+V38+V39+V40+V41+V42+V43+V48+Construction!V14*Construction!V38</f>
        <v/>
      </c>
      <c r="W74" s="13">
        <f>W33+W34+W35+W36+W37+W38+W39+W40+W41+W42+W43+W48+Construction!W14*Construction!W38</f>
        <v/>
      </c>
      <c r="X74" s="13">
        <f>X33+X34+X35+X36+X37+X38+X39+X40+X41+X42+X43+X48+Construction!X14*Construction!X38</f>
        <v/>
      </c>
      <c r="Y74" s="13">
        <f>Y33+Y34+Y35+Y36+Y37+Y38+Y39+Y40+Y41+Y42+Y43+Y48+Construction!Y14*Construction!Y38</f>
        <v/>
      </c>
      <c r="Z74" s="13">
        <f>Z33+Z34+Z35+Z36+Z37+Z38+Z39+Z40+Z41+Z42+Z43+Z48+Construction!Z14*Construction!Z38</f>
        <v/>
      </c>
      <c r="AA74" s="13">
        <f>AA33+AA34+AA35+AA36+AA37+AA38+AA39+AA40+AA41+AA42+AA43+AA48+Construction!AA14*Construction!AA38</f>
        <v/>
      </c>
      <c r="AB74" s="13">
        <f>AB33+AB34+AB35+AB36+AB37+AB38+AB39+AB40+AB41+AB42+AB43+AB48+Construction!AB14*Construction!AB38</f>
        <v/>
      </c>
      <c r="AC74" s="13">
        <f>AC33+AC34+AC35+AC36+AC37+AC38+AC39+AC40+AC41+AC42+AC43+AC48+Construction!AC14*Construction!AC38</f>
        <v/>
      </c>
      <c r="AD74" s="13">
        <f>AD33+AD34+AD35+AD36+AD37+AD38+AD39+AD40+AD41+AD42+AD43+AD48+Construction!AD14*Construction!AD38</f>
        <v/>
      </c>
      <c r="AE74" s="13">
        <f>AE33+AE34+AE35+AE36+AE37+AE38+AE39+AE40+AE41+AE42+AE43+AE48+Construction!AE14*Construction!AE38</f>
        <v/>
      </c>
      <c r="AF74" s="13">
        <f>AF33+AF34+AF35+AF36+AF37+AF38+AF39+AF40+AF41+AF42+AF43+AF48+Construction!AF14*Construction!AF38</f>
        <v/>
      </c>
      <c r="AG74" s="13">
        <f>AG33+AG34+AG35+AG36+AG37+AG38+AG39+AG40+AG41+AG42+AG43+AG48+Construction!AG14*Construction!AG38</f>
        <v/>
      </c>
      <c r="AH74" s="13">
        <f>AH33+AH34+AH35+AH36+AH37+AH38+AH39+AH40+AH41+AH42+AH43+AH48+Construction!AH14*Construction!AH38</f>
        <v/>
      </c>
      <c r="AI74" s="13">
        <f>AI33+AI34+AI35+AI36+AI37+AI38+AI39+AI40+AI41+AI42+AI43+AI48+Construction!AI14*Construction!AI38</f>
        <v/>
      </c>
      <c r="AJ74" s="13">
        <f>AJ33+AJ34+AJ35+AJ36+AJ37+AJ38+AJ39+AJ40+AJ41+AJ42+AJ43+AJ48+Construction!AJ14*Construction!AJ38</f>
        <v/>
      </c>
      <c r="AK74" s="13">
        <f>AK33+AK34+AK35+AK36+AK37+AK38+AK39+AK40+AK41+AK42+AK43+AK48+Construction!AK14*Construction!AK38</f>
        <v/>
      </c>
      <c r="AL74" s="13">
        <f>AL33+AL34+AL35+AL36+AL37+AL38+AL39+AL40+AL41+AL42+AL43+AL48+Construction!AL14*Construction!AL38</f>
        <v/>
      </c>
      <c r="AM74" s="13">
        <f>AM33+AM34+AM35+AM36+AM37+AM38+AM39+AM40+AM41+AM42+AM43+AM48+Construction!AM14*Construction!AM38</f>
        <v/>
      </c>
      <c r="AN74" s="13">
        <f>AN33+AN34+AN35+AN36+AN37+AN38+AN39+AN40+AN41+AN42+AN43+AN48+Construction!AN14*Construction!AN38</f>
        <v/>
      </c>
      <c r="AO74" s="13">
        <f>AO33+AO34+AO35+AO36+AO37+AO38+AO39+AO40+AO41+AO42+AO43+AO48+Construction!AO14*Construction!AO38</f>
        <v/>
      </c>
      <c r="AP74" s="13">
        <f>AP33+AP34+AP35+AP36+AP37+AP38+AP39+AP40+AP41+AP42+AP43+AP48+Construction!AP14*Construction!AP38</f>
        <v/>
      </c>
      <c r="AQ74" s="13">
        <f>AQ33+AQ34+AQ35+AQ36+AQ37+AQ38+AQ39+AQ40+AQ41+AQ42+AQ43+AQ48+Construction!AQ14*Construction!AQ38</f>
        <v/>
      </c>
      <c r="AR74" s="13">
        <f>AR33+AR34+AR35+AR36+AR37+AR38+AR39+AR40+AR41+AR42+AR43+AR48+Construction!AR14*Construction!AR38</f>
        <v/>
      </c>
      <c r="AS74" s="13">
        <f>AS33+AS34+AS35+AS36+AS37+AS38+AS39+AS40+AS41+AS42+AS43+AS48+Construction!AS14*Construction!AS38</f>
        <v/>
      </c>
      <c r="AT74" s="13">
        <f>AT33+AT34+AT35+AT36+AT37+AT38+AT39+AT40+AT41+AT42+AT43+AT48+Construction!AT14*Construction!AT38</f>
        <v/>
      </c>
      <c r="AU74" s="13">
        <f>AU33+AU34+AU35+AU36+AU37+AU38+AU39+AU40+AU41+AU42+AU43+AU48+Construction!AU14*Construction!AU38</f>
        <v/>
      </c>
      <c r="AV74" s="13">
        <f>AV33+AV34+AV35+AV36+AV37+AV38+AV39+AV40+AV41+AV42+AV43+AV48+Construction!AV14*Construction!AV38</f>
        <v/>
      </c>
      <c r="AW74" s="13">
        <f>AW33+AW34+AW35+AW36+AW37+AW38+AW39+AW40+AW41+AW42+AW43+AW48+Construction!AW14*Construction!AW38</f>
        <v/>
      </c>
      <c r="AX74" s="13">
        <f>AX33+AX34+AX35+AX36+AX37+AX38+AX39+AX40+AX41+AX42+AX43+AX48+Construction!AX14*Construction!AX38</f>
        <v/>
      </c>
      <c r="AY74" s="13">
        <f>AY33+AY34+AY35+AY36+AY37+AY38+AY39+AY40+AY41+AY42+AY43+AY48+Construction!AY14*Construction!AY38</f>
        <v/>
      </c>
      <c r="AZ74" s="13">
        <f>AZ33+AZ34+AZ35+AZ36+AZ37+AZ38+AZ39+AZ40+AZ41+AZ42+AZ43+AZ48+Construction!AZ14*Construction!AZ38</f>
        <v/>
      </c>
      <c r="BA74" s="13">
        <f>BA33+BA34+BA35+BA36+BA37+BA38+BA39+BA40+BA41+BA42+BA43+BA48+Construction!BA14*Construction!BA38</f>
        <v/>
      </c>
      <c r="BB74" s="13">
        <f>BB33+BB34+BB35+BB36+BB37+BB38+BB39+BB40+BB41+BB42+BB43+BB48+Construction!BB14*Construction!BB38</f>
        <v/>
      </c>
      <c r="BC74" s="13">
        <f>BC33+BC34+BC35+BC36+BC37+BC38+BC39+BC40+BC41+BC42+BC43+BC48+Construction!BC14*Construction!BC38</f>
        <v/>
      </c>
      <c r="BD74" s="13">
        <f>BD33+BD34+BD35+BD36+BD37+BD38+BD39+BD40+BD41+BD42+BD43+BD48+Construction!BD14*Construction!BD38</f>
        <v/>
      </c>
      <c r="BE74" s="13">
        <f>BE33+BE34+BE35+BE36+BE37+BE38+BE39+BE40+BE41+BE42+BE43+BE48+Construction!BE14*Construction!BE38</f>
        <v/>
      </c>
      <c r="BF74" s="13">
        <f>BF33+BF34+BF35+BF36+BF37+BF38+BF39+BF40+BF41+BF42+BF43+BF48+Construction!BF14*Construction!BF38</f>
        <v/>
      </c>
      <c r="BG74" s="13">
        <f>BG33+BG34+BG35+BG36+BG37+BG38+BG39+BG40+BG41+BG42+BG43+BG48+Construction!BG14*Construction!BG38</f>
        <v/>
      </c>
      <c r="BH74" s="13">
        <f>BH33+BH34+BH35+BH36+BH37+BH38+BH39+BH40+BH41+BH42+BH43+BH48+Construction!BH14*Construction!BH38</f>
        <v/>
      </c>
      <c r="BI74" s="13">
        <f>BI33+BI34+BI35+BI36+BI37+BI38+BI39+BI40+BI41+BI42+BI43+BI48+Construction!BI14*Construction!BI38</f>
        <v/>
      </c>
      <c r="BJ74" s="13">
        <f>BJ33+BJ34+BJ35+BJ36+BJ37+BJ38+BJ39+BJ40+BJ41+BJ42+BJ43+BJ48+Construction!BJ14*Construction!BJ38</f>
        <v/>
      </c>
    </row>
    <row r="75">
      <c r="D75" t="inlineStr">
        <is>
          <t>Total funding requirement (sum of uses)</t>
        </is>
      </c>
      <c r="E75" t="inlineStr">
        <is>
          <t>USD m</t>
        </is>
      </c>
      <c r="F75" s="17">
        <f>SUM(Funding!$J$49:$BJ$49)</f>
        <v/>
      </c>
    </row>
    <row r="76">
      <c r="D76" t="inlineStr">
        <is>
          <t>Capitalized cost (book and tax)</t>
        </is>
      </c>
      <c r="E76" t="inlineStr">
        <is>
          <t>USD m</t>
        </is>
      </c>
      <c r="F76" s="17">
        <f>SUM(Funding!$J$49:$BJ$49)-SUM(Funding!$J$44:$BJ$44)-SUM(Construction!$J$28:$BJ$28)+SUM(Funding!$J$71:$BJ$71)-SUM(Funding!$J$52:$BJ$52)-Inputs!$F$48*Inputs!$F$267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N112"/>
  <sheetViews>
    <sheetView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s>
  <sheetData>
    <row r="1">
      <c r="A1" s="1" t="inlineStr">
        <is>
          <t>Case P: Belanou Combined Cycle Power Project, Republic of Kessara</t>
        </is>
      </c>
    </row>
    <row r="2">
      <c r="A2" t="inlineStr">
        <is>
          <t>Debt: tranches, scheduled repayment, waiver, refinancing, swap, sculpting</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s="2" t="inlineStr">
        <is>
          <t>Period ending</t>
        </is>
      </c>
      <c r="J5" s="4" t="inlineStr">
        <is>
          <t>2018H2</t>
        </is>
      </c>
      <c r="K5" s="4" t="inlineStr">
        <is>
          <t>2019H1</t>
        </is>
      </c>
      <c r="L5" s="4" t="inlineStr">
        <is>
          <t>2019H2</t>
        </is>
      </c>
      <c r="M5" s="4" t="inlineStr">
        <is>
          <t>2020H1</t>
        </is>
      </c>
      <c r="N5" s="4" t="inlineStr">
        <is>
          <t>2020H2</t>
        </is>
      </c>
      <c r="O5" s="4" t="inlineStr">
        <is>
          <t>2021H1</t>
        </is>
      </c>
      <c r="P5" s="4" t="inlineStr">
        <is>
          <t>2021H2</t>
        </is>
      </c>
      <c r="Q5" s="4" t="inlineStr">
        <is>
          <t>2022H1</t>
        </is>
      </c>
      <c r="R5" s="4" t="inlineStr">
        <is>
          <t>2022H2</t>
        </is>
      </c>
      <c r="S5" s="4" t="inlineStr">
        <is>
          <t>2023H1</t>
        </is>
      </c>
      <c r="T5" s="4" t="inlineStr">
        <is>
          <t>2023H2</t>
        </is>
      </c>
      <c r="U5" s="4" t="inlineStr">
        <is>
          <t>2024H1</t>
        </is>
      </c>
      <c r="V5" s="4" t="inlineStr">
        <is>
          <t>2024H2</t>
        </is>
      </c>
      <c r="W5" s="4" t="inlineStr">
        <is>
          <t>2025H1</t>
        </is>
      </c>
      <c r="X5" s="4" t="inlineStr">
        <is>
          <t>2025H2</t>
        </is>
      </c>
      <c r="Y5" s="4" t="inlineStr">
        <is>
          <t>2026H1</t>
        </is>
      </c>
      <c r="Z5" s="4" t="inlineStr">
        <is>
          <t>2026H2</t>
        </is>
      </c>
      <c r="AA5" s="4" t="inlineStr">
        <is>
          <t>2027H1</t>
        </is>
      </c>
      <c r="AB5" s="4" t="inlineStr">
        <is>
          <t>2027H2</t>
        </is>
      </c>
      <c r="AC5" s="4" t="inlineStr">
        <is>
          <t>2028H1</t>
        </is>
      </c>
      <c r="AD5" s="4" t="inlineStr">
        <is>
          <t>2028H2</t>
        </is>
      </c>
      <c r="AE5" s="4" t="inlineStr">
        <is>
          <t>2029H1</t>
        </is>
      </c>
      <c r="AF5" s="4" t="inlineStr">
        <is>
          <t>2029H2</t>
        </is>
      </c>
      <c r="AG5" s="4" t="inlineStr">
        <is>
          <t>2030H1</t>
        </is>
      </c>
      <c r="AH5" s="4" t="inlineStr">
        <is>
          <t>2030H2</t>
        </is>
      </c>
      <c r="AI5" s="4" t="inlineStr">
        <is>
          <t>2031H1</t>
        </is>
      </c>
      <c r="AJ5" s="4" t="inlineStr">
        <is>
          <t>2031H2</t>
        </is>
      </c>
      <c r="AK5" s="4" t="inlineStr">
        <is>
          <t>2032H1</t>
        </is>
      </c>
      <c r="AL5" s="4" t="inlineStr">
        <is>
          <t>2032H2</t>
        </is>
      </c>
      <c r="AM5" s="4" t="inlineStr">
        <is>
          <t>2033H1</t>
        </is>
      </c>
      <c r="AN5" s="4" t="inlineStr">
        <is>
          <t>2033H2</t>
        </is>
      </c>
      <c r="AO5" s="4" t="inlineStr">
        <is>
          <t>2034H1</t>
        </is>
      </c>
      <c r="AP5" s="4" t="inlineStr">
        <is>
          <t>2034H2</t>
        </is>
      </c>
      <c r="AQ5" s="4" t="inlineStr">
        <is>
          <t>2035H1</t>
        </is>
      </c>
      <c r="AR5" s="4" t="inlineStr">
        <is>
          <t>2035H2</t>
        </is>
      </c>
      <c r="AS5" s="4" t="inlineStr">
        <is>
          <t>2036H1</t>
        </is>
      </c>
      <c r="AT5" s="4" t="inlineStr">
        <is>
          <t>2036H2</t>
        </is>
      </c>
      <c r="AU5" s="4" t="inlineStr">
        <is>
          <t>2037H1</t>
        </is>
      </c>
      <c r="AV5" s="4" t="inlineStr">
        <is>
          <t>2037H2</t>
        </is>
      </c>
      <c r="AW5" s="4" t="inlineStr">
        <is>
          <t>2038H1</t>
        </is>
      </c>
      <c r="AX5" s="4" t="inlineStr">
        <is>
          <t>2038H2</t>
        </is>
      </c>
      <c r="AY5" s="4" t="inlineStr">
        <is>
          <t>2039H1</t>
        </is>
      </c>
      <c r="AZ5" s="4" t="inlineStr">
        <is>
          <t>2039H2</t>
        </is>
      </c>
      <c r="BA5" s="4" t="inlineStr">
        <is>
          <t>2040H1</t>
        </is>
      </c>
      <c r="BB5" s="4" t="inlineStr">
        <is>
          <t>2040H2</t>
        </is>
      </c>
      <c r="BC5" s="4" t="inlineStr">
        <is>
          <t>2041H1</t>
        </is>
      </c>
      <c r="BD5" s="4" t="inlineStr">
        <is>
          <t>2041H2</t>
        </is>
      </c>
      <c r="BE5" s="4" t="inlineStr">
        <is>
          <t>2042H1</t>
        </is>
      </c>
      <c r="BF5" s="4" t="inlineStr">
        <is>
          <t>2042H2</t>
        </is>
      </c>
      <c r="BG5" s="4" t="inlineStr">
        <is>
          <t>2043H1</t>
        </is>
      </c>
      <c r="BH5" s="4" t="inlineStr">
        <is>
          <t>2043H2</t>
        </is>
      </c>
      <c r="BI5" s="4" t="inlineStr">
        <is>
          <t>2044H1</t>
        </is>
      </c>
      <c r="BJ5" s="4" t="inlineStr">
        <is>
          <t>2044H2</t>
        </is>
      </c>
      <c r="BK5" s="4" t="inlineStr">
        <is>
          <t>2045H1</t>
        </is>
      </c>
      <c r="BL5" s="4" t="inlineStr">
        <is>
          <t>2045H2</t>
        </is>
      </c>
      <c r="BM5" s="4" t="inlineStr">
        <is>
          <t>2046H1</t>
        </is>
      </c>
      <c r="BN5" s="4" t="inlineStr">
        <is>
          <t>2046H2</t>
        </is>
      </c>
    </row>
    <row r="7">
      <c r="B7" s="2" t="inlineStr">
        <is>
          <t>Rates</t>
        </is>
      </c>
    </row>
    <row r="8">
      <c r="D8" t="inlineStr">
        <is>
          <t>Commercial margin (step-ups)</t>
        </is>
      </c>
      <c r="E8" t="inlineStr">
        <is>
          <t>%</t>
        </is>
      </c>
      <c r="J8" s="13">
        <f>IF(Time!J22&lt;Inputs!$F$207,Inputs!$F$82,IF(Time!J22&lt;Inputs!$F$208,Inputs!$F$83,Inputs!$F$84))</f>
        <v/>
      </c>
      <c r="K8" s="13">
        <f>IF(Time!K22&lt;Inputs!$F$207,Inputs!$F$82,IF(Time!K22&lt;Inputs!$F$208,Inputs!$F$83,Inputs!$F$84))</f>
        <v/>
      </c>
      <c r="L8" s="13">
        <f>IF(Time!L22&lt;Inputs!$F$207,Inputs!$F$82,IF(Time!L22&lt;Inputs!$F$208,Inputs!$F$83,Inputs!$F$84))</f>
        <v/>
      </c>
      <c r="M8" s="13">
        <f>IF(Time!M22&lt;Inputs!$F$207,Inputs!$F$82,IF(Time!M22&lt;Inputs!$F$208,Inputs!$F$83,Inputs!$F$84))</f>
        <v/>
      </c>
      <c r="N8" s="13">
        <f>IF(Time!N22&lt;Inputs!$F$207,Inputs!$F$82,IF(Time!N22&lt;Inputs!$F$208,Inputs!$F$83,Inputs!$F$84))</f>
        <v/>
      </c>
      <c r="O8" s="13">
        <f>IF(Time!O22&lt;Inputs!$F$207,Inputs!$F$82,IF(Time!O22&lt;Inputs!$F$208,Inputs!$F$83,Inputs!$F$84))</f>
        <v/>
      </c>
      <c r="P8" s="13">
        <f>IF(Time!P22&lt;Inputs!$F$207,Inputs!$F$82,IF(Time!P22&lt;Inputs!$F$208,Inputs!$F$83,Inputs!$F$84))</f>
        <v/>
      </c>
      <c r="Q8" s="13">
        <f>IF(Time!Q22&lt;Inputs!$F$207,Inputs!$F$82,IF(Time!Q22&lt;Inputs!$F$208,Inputs!$F$83,Inputs!$F$84))</f>
        <v/>
      </c>
      <c r="R8" s="13">
        <f>IF(Time!R22&lt;Inputs!$F$207,Inputs!$F$82,IF(Time!R22&lt;Inputs!$F$208,Inputs!$F$83,Inputs!$F$84))</f>
        <v/>
      </c>
      <c r="S8" s="13">
        <f>IF(Time!S22&lt;Inputs!$F$207,Inputs!$F$82,IF(Time!S22&lt;Inputs!$F$208,Inputs!$F$83,Inputs!$F$84))</f>
        <v/>
      </c>
      <c r="T8" s="13">
        <f>IF(Time!T22&lt;Inputs!$F$207,Inputs!$F$82,IF(Time!T22&lt;Inputs!$F$208,Inputs!$F$83,Inputs!$F$84))</f>
        <v/>
      </c>
      <c r="U8" s="13">
        <f>IF(Time!U22&lt;Inputs!$F$207,Inputs!$F$82,IF(Time!U22&lt;Inputs!$F$208,Inputs!$F$83,Inputs!$F$84))</f>
        <v/>
      </c>
      <c r="V8" s="13">
        <f>IF(Time!V22&lt;Inputs!$F$207,Inputs!$F$82,IF(Time!V22&lt;Inputs!$F$208,Inputs!$F$83,Inputs!$F$84))</f>
        <v/>
      </c>
      <c r="W8" s="13">
        <f>IF(Time!W22&lt;Inputs!$F$207,Inputs!$F$82,IF(Time!W22&lt;Inputs!$F$208,Inputs!$F$83,Inputs!$F$84))</f>
        <v/>
      </c>
      <c r="X8" s="13">
        <f>IF(Time!X22&lt;Inputs!$F$207,Inputs!$F$82,IF(Time!X22&lt;Inputs!$F$208,Inputs!$F$83,Inputs!$F$84))</f>
        <v/>
      </c>
      <c r="Y8" s="13">
        <f>IF(Time!Y22&lt;Inputs!$F$207,Inputs!$F$82,IF(Time!Y22&lt;Inputs!$F$208,Inputs!$F$83,Inputs!$F$84))</f>
        <v/>
      </c>
      <c r="Z8" s="13">
        <f>IF(Time!Z22&lt;Inputs!$F$207,Inputs!$F$82,IF(Time!Z22&lt;Inputs!$F$208,Inputs!$F$83,Inputs!$F$84))</f>
        <v/>
      </c>
      <c r="AA8" s="13">
        <f>IF(Time!AA22&lt;Inputs!$F$207,Inputs!$F$82,IF(Time!AA22&lt;Inputs!$F$208,Inputs!$F$83,Inputs!$F$84))</f>
        <v/>
      </c>
      <c r="AB8" s="13">
        <f>IF(Time!AB22&lt;Inputs!$F$207,Inputs!$F$82,IF(Time!AB22&lt;Inputs!$F$208,Inputs!$F$83,Inputs!$F$84))</f>
        <v/>
      </c>
      <c r="AC8" s="13">
        <f>IF(Time!AC22&lt;Inputs!$F$207,Inputs!$F$82,IF(Time!AC22&lt;Inputs!$F$208,Inputs!$F$83,Inputs!$F$84))</f>
        <v/>
      </c>
      <c r="AD8" s="13">
        <f>IF(Time!AD22&lt;Inputs!$F$207,Inputs!$F$82,IF(Time!AD22&lt;Inputs!$F$208,Inputs!$F$83,Inputs!$F$84))</f>
        <v/>
      </c>
      <c r="AE8" s="13">
        <f>IF(Time!AE22&lt;Inputs!$F$207,Inputs!$F$82,IF(Time!AE22&lt;Inputs!$F$208,Inputs!$F$83,Inputs!$F$84))</f>
        <v/>
      </c>
      <c r="AF8" s="13">
        <f>IF(Time!AF22&lt;Inputs!$F$207,Inputs!$F$82,IF(Time!AF22&lt;Inputs!$F$208,Inputs!$F$83,Inputs!$F$84))</f>
        <v/>
      </c>
      <c r="AG8" s="13">
        <f>IF(Time!AG22&lt;Inputs!$F$207,Inputs!$F$82,IF(Time!AG22&lt;Inputs!$F$208,Inputs!$F$83,Inputs!$F$84))</f>
        <v/>
      </c>
      <c r="AH8" s="13">
        <f>IF(Time!AH22&lt;Inputs!$F$207,Inputs!$F$82,IF(Time!AH22&lt;Inputs!$F$208,Inputs!$F$83,Inputs!$F$84))</f>
        <v/>
      </c>
      <c r="AI8" s="13">
        <f>IF(Time!AI22&lt;Inputs!$F$207,Inputs!$F$82,IF(Time!AI22&lt;Inputs!$F$208,Inputs!$F$83,Inputs!$F$84))</f>
        <v/>
      </c>
      <c r="AJ8" s="13">
        <f>IF(Time!AJ22&lt;Inputs!$F$207,Inputs!$F$82,IF(Time!AJ22&lt;Inputs!$F$208,Inputs!$F$83,Inputs!$F$84))</f>
        <v/>
      </c>
      <c r="AK8" s="13">
        <f>IF(Time!AK22&lt;Inputs!$F$207,Inputs!$F$82,IF(Time!AK22&lt;Inputs!$F$208,Inputs!$F$83,Inputs!$F$84))</f>
        <v/>
      </c>
      <c r="AL8" s="13">
        <f>IF(Time!AL22&lt;Inputs!$F$207,Inputs!$F$82,IF(Time!AL22&lt;Inputs!$F$208,Inputs!$F$83,Inputs!$F$84))</f>
        <v/>
      </c>
      <c r="AM8" s="13">
        <f>IF(Time!AM22&lt;Inputs!$F$207,Inputs!$F$82,IF(Time!AM22&lt;Inputs!$F$208,Inputs!$F$83,Inputs!$F$84))</f>
        <v/>
      </c>
      <c r="AN8" s="13">
        <f>IF(Time!AN22&lt;Inputs!$F$207,Inputs!$F$82,IF(Time!AN22&lt;Inputs!$F$208,Inputs!$F$83,Inputs!$F$84))</f>
        <v/>
      </c>
      <c r="AO8" s="13">
        <f>IF(Time!AO22&lt;Inputs!$F$207,Inputs!$F$82,IF(Time!AO22&lt;Inputs!$F$208,Inputs!$F$83,Inputs!$F$84))</f>
        <v/>
      </c>
      <c r="AP8" s="13">
        <f>IF(Time!AP22&lt;Inputs!$F$207,Inputs!$F$82,IF(Time!AP22&lt;Inputs!$F$208,Inputs!$F$83,Inputs!$F$84))</f>
        <v/>
      </c>
      <c r="AQ8" s="13">
        <f>IF(Time!AQ22&lt;Inputs!$F$207,Inputs!$F$82,IF(Time!AQ22&lt;Inputs!$F$208,Inputs!$F$83,Inputs!$F$84))</f>
        <v/>
      </c>
      <c r="AR8" s="13">
        <f>IF(Time!AR22&lt;Inputs!$F$207,Inputs!$F$82,IF(Time!AR22&lt;Inputs!$F$208,Inputs!$F$83,Inputs!$F$84))</f>
        <v/>
      </c>
      <c r="AS8" s="13">
        <f>IF(Time!AS22&lt;Inputs!$F$207,Inputs!$F$82,IF(Time!AS22&lt;Inputs!$F$208,Inputs!$F$83,Inputs!$F$84))</f>
        <v/>
      </c>
      <c r="AT8" s="13">
        <f>IF(Time!AT22&lt;Inputs!$F$207,Inputs!$F$82,IF(Time!AT22&lt;Inputs!$F$208,Inputs!$F$83,Inputs!$F$84))</f>
        <v/>
      </c>
      <c r="AU8" s="13">
        <f>IF(Time!AU22&lt;Inputs!$F$207,Inputs!$F$82,IF(Time!AU22&lt;Inputs!$F$208,Inputs!$F$83,Inputs!$F$84))</f>
        <v/>
      </c>
      <c r="AV8" s="13">
        <f>IF(Time!AV22&lt;Inputs!$F$207,Inputs!$F$82,IF(Time!AV22&lt;Inputs!$F$208,Inputs!$F$83,Inputs!$F$84))</f>
        <v/>
      </c>
      <c r="AW8" s="13">
        <f>IF(Time!AW22&lt;Inputs!$F$207,Inputs!$F$82,IF(Time!AW22&lt;Inputs!$F$208,Inputs!$F$83,Inputs!$F$84))</f>
        <v/>
      </c>
      <c r="AX8" s="13">
        <f>IF(Time!AX22&lt;Inputs!$F$207,Inputs!$F$82,IF(Time!AX22&lt;Inputs!$F$208,Inputs!$F$83,Inputs!$F$84))</f>
        <v/>
      </c>
      <c r="AY8" s="13">
        <f>IF(Time!AY22&lt;Inputs!$F$207,Inputs!$F$82,IF(Time!AY22&lt;Inputs!$F$208,Inputs!$F$83,Inputs!$F$84))</f>
        <v/>
      </c>
      <c r="AZ8" s="13">
        <f>IF(Time!AZ22&lt;Inputs!$F$207,Inputs!$F$82,IF(Time!AZ22&lt;Inputs!$F$208,Inputs!$F$83,Inputs!$F$84))</f>
        <v/>
      </c>
      <c r="BA8" s="13">
        <f>IF(Time!BA22&lt;Inputs!$F$207,Inputs!$F$82,IF(Time!BA22&lt;Inputs!$F$208,Inputs!$F$83,Inputs!$F$84))</f>
        <v/>
      </c>
      <c r="BB8" s="13">
        <f>IF(Time!BB22&lt;Inputs!$F$207,Inputs!$F$82,IF(Time!BB22&lt;Inputs!$F$208,Inputs!$F$83,Inputs!$F$84))</f>
        <v/>
      </c>
      <c r="BC8" s="13">
        <f>IF(Time!BC22&lt;Inputs!$F$207,Inputs!$F$82,IF(Time!BC22&lt;Inputs!$F$208,Inputs!$F$83,Inputs!$F$84))</f>
        <v/>
      </c>
      <c r="BD8" s="13">
        <f>IF(Time!BD22&lt;Inputs!$F$207,Inputs!$F$82,IF(Time!BD22&lt;Inputs!$F$208,Inputs!$F$83,Inputs!$F$84))</f>
        <v/>
      </c>
      <c r="BE8" s="13">
        <f>IF(Time!BE22&lt;Inputs!$F$207,Inputs!$F$82,IF(Time!BE22&lt;Inputs!$F$208,Inputs!$F$83,Inputs!$F$84))</f>
        <v/>
      </c>
      <c r="BF8" s="13">
        <f>IF(Time!BF22&lt;Inputs!$F$207,Inputs!$F$82,IF(Time!BF22&lt;Inputs!$F$208,Inputs!$F$83,Inputs!$F$84))</f>
        <v/>
      </c>
      <c r="BG8" s="13">
        <f>IF(Time!BG22&lt;Inputs!$F$207,Inputs!$F$82,IF(Time!BG22&lt;Inputs!$F$208,Inputs!$F$83,Inputs!$F$84))</f>
        <v/>
      </c>
      <c r="BH8" s="13">
        <f>IF(Time!BH22&lt;Inputs!$F$207,Inputs!$F$82,IF(Time!BH22&lt;Inputs!$F$208,Inputs!$F$83,Inputs!$F$84))</f>
        <v/>
      </c>
      <c r="BI8" s="13">
        <f>IF(Time!BI22&lt;Inputs!$F$207,Inputs!$F$82,IF(Time!BI22&lt;Inputs!$F$208,Inputs!$F$83,Inputs!$F$84))</f>
        <v/>
      </c>
      <c r="BJ8" s="13">
        <f>IF(Time!BJ22&lt;Inputs!$F$207,Inputs!$F$82,IF(Time!BJ22&lt;Inputs!$F$208,Inputs!$F$83,Inputs!$F$84))</f>
        <v/>
      </c>
      <c r="BK8" s="13">
        <f>IF(Time!BK22&lt;Inputs!$F$207,Inputs!$F$82,IF(Time!BK22&lt;Inputs!$F$208,Inputs!$F$83,Inputs!$F$84))</f>
        <v/>
      </c>
      <c r="BL8" s="13">
        <f>IF(Time!BL22&lt;Inputs!$F$207,Inputs!$F$82,IF(Time!BL22&lt;Inputs!$F$208,Inputs!$F$83,Inputs!$F$84))</f>
        <v/>
      </c>
      <c r="BM8" s="13">
        <f>IF(Time!BM22&lt;Inputs!$F$207,Inputs!$F$82,IF(Time!BM22&lt;Inputs!$F$208,Inputs!$F$83,Inputs!$F$84))</f>
        <v/>
      </c>
      <c r="BN8" s="13">
        <f>IF(Time!BN22&lt;Inputs!$F$207,Inputs!$F$82,IF(Time!BN22&lt;Inputs!$F$208,Inputs!$F$83,Inputs!$F$84))</f>
        <v/>
      </c>
    </row>
    <row r="9">
      <c r="D9" t="inlineStr">
        <is>
          <t>Waiver margin uplift</t>
        </is>
      </c>
      <c r="E9" t="inlineStr">
        <is>
          <t>%</t>
        </is>
      </c>
      <c r="J9" s="13">
        <f>Time!J44*Inputs!$F$269</f>
        <v/>
      </c>
      <c r="K9" s="13">
        <f>Time!K44*Inputs!$F$269</f>
        <v/>
      </c>
      <c r="L9" s="13">
        <f>Time!L44*Inputs!$F$269</f>
        <v/>
      </c>
      <c r="M9" s="13">
        <f>Time!M44*Inputs!$F$269</f>
        <v/>
      </c>
      <c r="N9" s="13">
        <f>Time!N44*Inputs!$F$269</f>
        <v/>
      </c>
      <c r="O9" s="13">
        <f>Time!O44*Inputs!$F$269</f>
        <v/>
      </c>
      <c r="P9" s="13">
        <f>Time!P44*Inputs!$F$269</f>
        <v/>
      </c>
      <c r="Q9" s="13">
        <f>Time!Q44*Inputs!$F$269</f>
        <v/>
      </c>
      <c r="R9" s="13">
        <f>Time!R44*Inputs!$F$269</f>
        <v/>
      </c>
      <c r="S9" s="13">
        <f>Time!S44*Inputs!$F$269</f>
        <v/>
      </c>
      <c r="T9" s="13">
        <f>Time!T44*Inputs!$F$269</f>
        <v/>
      </c>
      <c r="U9" s="13">
        <f>Time!U44*Inputs!$F$269</f>
        <v/>
      </c>
      <c r="V9" s="13">
        <f>Time!V44*Inputs!$F$269</f>
        <v/>
      </c>
      <c r="W9" s="13">
        <f>Time!W44*Inputs!$F$269</f>
        <v/>
      </c>
      <c r="X9" s="13">
        <f>Time!X44*Inputs!$F$269</f>
        <v/>
      </c>
      <c r="Y9" s="13">
        <f>Time!Y44*Inputs!$F$269</f>
        <v/>
      </c>
      <c r="Z9" s="13">
        <f>Time!Z44*Inputs!$F$269</f>
        <v/>
      </c>
      <c r="AA9" s="13">
        <f>Time!AA44*Inputs!$F$269</f>
        <v/>
      </c>
      <c r="AB9" s="13">
        <f>Time!AB44*Inputs!$F$269</f>
        <v/>
      </c>
      <c r="AC9" s="13">
        <f>Time!AC44*Inputs!$F$269</f>
        <v/>
      </c>
      <c r="AD9" s="13">
        <f>Time!AD44*Inputs!$F$269</f>
        <v/>
      </c>
      <c r="AE9" s="13">
        <f>Time!AE44*Inputs!$F$269</f>
        <v/>
      </c>
      <c r="AF9" s="13">
        <f>Time!AF44*Inputs!$F$269</f>
        <v/>
      </c>
      <c r="AG9" s="13">
        <f>Time!AG44*Inputs!$F$269</f>
        <v/>
      </c>
      <c r="AH9" s="13">
        <f>Time!AH44*Inputs!$F$269</f>
        <v/>
      </c>
      <c r="AI9" s="13">
        <f>Time!AI44*Inputs!$F$269</f>
        <v/>
      </c>
      <c r="AJ9" s="13">
        <f>Time!AJ44*Inputs!$F$269</f>
        <v/>
      </c>
      <c r="AK9" s="13">
        <f>Time!AK44*Inputs!$F$269</f>
        <v/>
      </c>
      <c r="AL9" s="13">
        <f>Time!AL44*Inputs!$F$269</f>
        <v/>
      </c>
      <c r="AM9" s="13">
        <f>Time!AM44*Inputs!$F$269</f>
        <v/>
      </c>
      <c r="AN9" s="13">
        <f>Time!AN44*Inputs!$F$269</f>
        <v/>
      </c>
      <c r="AO9" s="13">
        <f>Time!AO44*Inputs!$F$269</f>
        <v/>
      </c>
      <c r="AP9" s="13">
        <f>Time!AP44*Inputs!$F$269</f>
        <v/>
      </c>
      <c r="AQ9" s="13">
        <f>Time!AQ44*Inputs!$F$269</f>
        <v/>
      </c>
      <c r="AR9" s="13">
        <f>Time!AR44*Inputs!$F$269</f>
        <v/>
      </c>
      <c r="AS9" s="13">
        <f>Time!AS44*Inputs!$F$269</f>
        <v/>
      </c>
      <c r="AT9" s="13">
        <f>Time!AT44*Inputs!$F$269</f>
        <v/>
      </c>
      <c r="AU9" s="13">
        <f>Time!AU44*Inputs!$F$269</f>
        <v/>
      </c>
      <c r="AV9" s="13">
        <f>Time!AV44*Inputs!$F$269</f>
        <v/>
      </c>
      <c r="AW9" s="13">
        <f>Time!AW44*Inputs!$F$269</f>
        <v/>
      </c>
      <c r="AX9" s="13">
        <f>Time!AX44*Inputs!$F$269</f>
        <v/>
      </c>
      <c r="AY9" s="13">
        <f>Time!AY44*Inputs!$F$269</f>
        <v/>
      </c>
      <c r="AZ9" s="13">
        <f>Time!AZ44*Inputs!$F$269</f>
        <v/>
      </c>
      <c r="BA9" s="13">
        <f>Time!BA44*Inputs!$F$269</f>
        <v/>
      </c>
      <c r="BB9" s="13">
        <f>Time!BB44*Inputs!$F$269</f>
        <v/>
      </c>
      <c r="BC9" s="13">
        <f>Time!BC44*Inputs!$F$269</f>
        <v/>
      </c>
      <c r="BD9" s="13">
        <f>Time!BD44*Inputs!$F$269</f>
        <v/>
      </c>
      <c r="BE9" s="13">
        <f>Time!BE44*Inputs!$F$269</f>
        <v/>
      </c>
      <c r="BF9" s="13">
        <f>Time!BF44*Inputs!$F$269</f>
        <v/>
      </c>
      <c r="BG9" s="13">
        <f>Time!BG44*Inputs!$F$269</f>
        <v/>
      </c>
      <c r="BH9" s="13">
        <f>Time!BH44*Inputs!$F$269</f>
        <v/>
      </c>
      <c r="BI9" s="13">
        <f>Time!BI44*Inputs!$F$269</f>
        <v/>
      </c>
      <c r="BJ9" s="13">
        <f>Time!BJ44*Inputs!$F$269</f>
        <v/>
      </c>
      <c r="BK9" s="13">
        <f>Time!BK44*Inputs!$F$269</f>
        <v/>
      </c>
      <c r="BL9" s="13">
        <f>Time!BL44*Inputs!$F$269</f>
        <v/>
      </c>
      <c r="BM9" s="13">
        <f>Time!BM44*Inputs!$F$269</f>
        <v/>
      </c>
      <c r="BN9" s="13">
        <f>Time!BN44*Inputs!$F$269</f>
        <v/>
      </c>
    </row>
    <row r="10">
      <c r="D10" t="inlineStr">
        <is>
          <t>ECA-covered tranche: rate per period</t>
        </is>
      </c>
      <c r="E10" t="inlineStr">
        <is>
          <t>factor</t>
        </is>
      </c>
      <c r="J10" s="16">
        <f>(Operations!J9+Inputs!$F$79+J9)/100*Time!J25/Inputs!$F$247</f>
        <v/>
      </c>
      <c r="K10" s="16">
        <f>(Operations!K9+Inputs!$F$79+K9)/100*Time!K25/Inputs!$F$247</f>
        <v/>
      </c>
      <c r="L10" s="16">
        <f>(Operations!L9+Inputs!$F$79+L9)/100*Time!L25/Inputs!$F$247</f>
        <v/>
      </c>
      <c r="M10" s="16">
        <f>(Operations!M9+Inputs!$F$79+M9)/100*Time!M25/Inputs!$F$247</f>
        <v/>
      </c>
      <c r="N10" s="16">
        <f>(Operations!N9+Inputs!$F$79+N9)/100*Time!N25/Inputs!$F$247</f>
        <v/>
      </c>
      <c r="O10" s="16">
        <f>(Operations!O9+Inputs!$F$79+O9)/100*Time!O25/Inputs!$F$247</f>
        <v/>
      </c>
      <c r="P10" s="16">
        <f>(Operations!P9+Inputs!$F$79+P9)/100*Time!P25/Inputs!$F$247</f>
        <v/>
      </c>
      <c r="Q10" s="16">
        <f>(Operations!Q9+Inputs!$F$79+Q9)/100*Time!Q25/Inputs!$F$247</f>
        <v/>
      </c>
      <c r="R10" s="16">
        <f>(Operations!R9+Inputs!$F$79+R9)/100*Time!R25/Inputs!$F$247</f>
        <v/>
      </c>
      <c r="S10" s="16">
        <f>(Operations!S9+Inputs!$F$79+S9)/100*Time!S25/Inputs!$F$247</f>
        <v/>
      </c>
      <c r="T10" s="16">
        <f>(Operations!T9+Inputs!$F$79+T9)/100*Time!T25/Inputs!$F$247</f>
        <v/>
      </c>
      <c r="U10" s="16">
        <f>(Operations!U9+Inputs!$F$79+U9)/100*Time!U25/Inputs!$F$247</f>
        <v/>
      </c>
      <c r="V10" s="16">
        <f>(Operations!V9+Inputs!$F$79+V9)/100*Time!V25/Inputs!$F$247</f>
        <v/>
      </c>
      <c r="W10" s="16">
        <f>(Operations!W9+Inputs!$F$79+W9)/100*Time!W25/Inputs!$F$247</f>
        <v/>
      </c>
      <c r="X10" s="16">
        <f>(Operations!X9+Inputs!$F$79+X9)/100*Time!X25/Inputs!$F$247</f>
        <v/>
      </c>
      <c r="Y10" s="16">
        <f>(Operations!Y9+Inputs!$F$79+Y9)/100*Time!Y25/Inputs!$F$247</f>
        <v/>
      </c>
      <c r="Z10" s="16">
        <f>(Operations!Z9+Inputs!$F$79+Z9)/100*Time!Z25/Inputs!$F$247</f>
        <v/>
      </c>
      <c r="AA10" s="16">
        <f>(Operations!AA9+Inputs!$F$79+AA9)/100*Time!AA25/Inputs!$F$247</f>
        <v/>
      </c>
      <c r="AB10" s="16">
        <f>(Operations!AB9+Inputs!$F$79+AB9)/100*Time!AB25/Inputs!$F$247</f>
        <v/>
      </c>
      <c r="AC10" s="16">
        <f>(Operations!AC9+Inputs!$F$79+AC9)/100*Time!AC25/Inputs!$F$247</f>
        <v/>
      </c>
      <c r="AD10" s="16">
        <f>(Operations!AD9+Inputs!$F$79+AD9)/100*Time!AD25/Inputs!$F$247</f>
        <v/>
      </c>
      <c r="AE10" s="16">
        <f>(Operations!AE9+Inputs!$F$79+AE9)/100*Time!AE25/Inputs!$F$247</f>
        <v/>
      </c>
      <c r="AF10" s="16">
        <f>(Operations!AF9+Inputs!$F$79+AF9)/100*Time!AF25/Inputs!$F$247</f>
        <v/>
      </c>
      <c r="AG10" s="16">
        <f>(Operations!AG9+Inputs!$F$79+AG9)/100*Time!AG25/Inputs!$F$247</f>
        <v/>
      </c>
      <c r="AH10" s="16">
        <f>(Operations!AH9+Inputs!$F$79+AH9)/100*Time!AH25/Inputs!$F$247</f>
        <v/>
      </c>
      <c r="AI10" s="16">
        <f>(Operations!AI9+Inputs!$F$79+AI9)/100*Time!AI25/Inputs!$F$247</f>
        <v/>
      </c>
      <c r="AJ10" s="16">
        <f>(Operations!AJ9+Inputs!$F$79+AJ9)/100*Time!AJ25/Inputs!$F$247</f>
        <v/>
      </c>
      <c r="AK10" s="16">
        <f>(Operations!AK9+Inputs!$F$79+AK9)/100*Time!AK25/Inputs!$F$247</f>
        <v/>
      </c>
      <c r="AL10" s="16">
        <f>(Operations!AL9+Inputs!$F$79+AL9)/100*Time!AL25/Inputs!$F$247</f>
        <v/>
      </c>
      <c r="AM10" s="16">
        <f>(Operations!AM9+Inputs!$F$79+AM9)/100*Time!AM25/Inputs!$F$247</f>
        <v/>
      </c>
      <c r="AN10" s="16">
        <f>(Operations!AN9+Inputs!$F$79+AN9)/100*Time!AN25/Inputs!$F$247</f>
        <v/>
      </c>
      <c r="AO10" s="16">
        <f>(Operations!AO9+Inputs!$F$79+AO9)/100*Time!AO25/Inputs!$F$247</f>
        <v/>
      </c>
      <c r="AP10" s="16">
        <f>(Operations!AP9+Inputs!$F$79+AP9)/100*Time!AP25/Inputs!$F$247</f>
        <v/>
      </c>
      <c r="AQ10" s="16">
        <f>(Operations!AQ9+Inputs!$F$79+AQ9)/100*Time!AQ25/Inputs!$F$247</f>
        <v/>
      </c>
      <c r="AR10" s="16">
        <f>(Operations!AR9+Inputs!$F$79+AR9)/100*Time!AR25/Inputs!$F$247</f>
        <v/>
      </c>
      <c r="AS10" s="16">
        <f>(Operations!AS9+Inputs!$F$79+AS9)/100*Time!AS25/Inputs!$F$247</f>
        <v/>
      </c>
      <c r="AT10" s="16">
        <f>(Operations!AT9+Inputs!$F$79+AT9)/100*Time!AT25/Inputs!$F$247</f>
        <v/>
      </c>
      <c r="AU10" s="16">
        <f>(Operations!AU9+Inputs!$F$79+AU9)/100*Time!AU25/Inputs!$F$247</f>
        <v/>
      </c>
      <c r="AV10" s="16">
        <f>(Operations!AV9+Inputs!$F$79+AV9)/100*Time!AV25/Inputs!$F$247</f>
        <v/>
      </c>
      <c r="AW10" s="16">
        <f>(Operations!AW9+Inputs!$F$79+AW9)/100*Time!AW25/Inputs!$F$247</f>
        <v/>
      </c>
      <c r="AX10" s="16">
        <f>(Operations!AX9+Inputs!$F$79+AX9)/100*Time!AX25/Inputs!$F$247</f>
        <v/>
      </c>
      <c r="AY10" s="16">
        <f>(Operations!AY9+Inputs!$F$79+AY9)/100*Time!AY25/Inputs!$F$247</f>
        <v/>
      </c>
      <c r="AZ10" s="16">
        <f>(Operations!AZ9+Inputs!$F$79+AZ9)/100*Time!AZ25/Inputs!$F$247</f>
        <v/>
      </c>
      <c r="BA10" s="16">
        <f>(Operations!BA9+Inputs!$F$79+BA9)/100*Time!BA25/Inputs!$F$247</f>
        <v/>
      </c>
      <c r="BB10" s="16">
        <f>(Operations!BB9+Inputs!$F$79+BB9)/100*Time!BB25/Inputs!$F$247</f>
        <v/>
      </c>
      <c r="BC10" s="16">
        <f>(Operations!BC9+Inputs!$F$79+BC9)/100*Time!BC25/Inputs!$F$247</f>
        <v/>
      </c>
      <c r="BD10" s="16">
        <f>(Operations!BD9+Inputs!$F$79+BD9)/100*Time!BD25/Inputs!$F$247</f>
        <v/>
      </c>
      <c r="BE10" s="16">
        <f>(Operations!BE9+Inputs!$F$79+BE9)/100*Time!BE25/Inputs!$F$247</f>
        <v/>
      </c>
      <c r="BF10" s="16">
        <f>(Operations!BF9+Inputs!$F$79+BF9)/100*Time!BF25/Inputs!$F$247</f>
        <v/>
      </c>
      <c r="BG10" s="16">
        <f>(Operations!BG9+Inputs!$F$79+BG9)/100*Time!BG25/Inputs!$F$247</f>
        <v/>
      </c>
      <c r="BH10" s="16">
        <f>(Operations!BH9+Inputs!$F$79+BH9)/100*Time!BH25/Inputs!$F$247</f>
        <v/>
      </c>
      <c r="BI10" s="16">
        <f>(Operations!BI9+Inputs!$F$79+BI9)/100*Time!BI25/Inputs!$F$247</f>
        <v/>
      </c>
      <c r="BJ10" s="16">
        <f>(Operations!BJ9+Inputs!$F$79+BJ9)/100*Time!BJ25/Inputs!$F$247</f>
        <v/>
      </c>
      <c r="BK10" s="16">
        <f>(Operations!BK9+Inputs!$F$79+BK9)/100*Time!BK25/Inputs!$F$247</f>
        <v/>
      </c>
      <c r="BL10" s="16">
        <f>(Operations!BL9+Inputs!$F$79+BL9)/100*Time!BL25/Inputs!$F$247</f>
        <v/>
      </c>
      <c r="BM10" s="16">
        <f>(Operations!BM9+Inputs!$F$79+BM9)/100*Time!BM25/Inputs!$F$247</f>
        <v/>
      </c>
      <c r="BN10" s="16">
        <f>(Operations!BN9+Inputs!$F$79+BN9)/100*Time!BN25/Inputs!$F$247</f>
        <v/>
      </c>
    </row>
    <row r="11">
      <c r="D11" t="inlineStr">
        <is>
          <t>ABDB A-loan: rate per period</t>
        </is>
      </c>
      <c r="E11" t="inlineStr">
        <is>
          <t>factor</t>
        </is>
      </c>
      <c r="J11" s="16">
        <f>(Operations!J9+Inputs!$F$80+J9)/100*Time!J25/Inputs!$F$247</f>
        <v/>
      </c>
      <c r="K11" s="16">
        <f>(Operations!K9+Inputs!$F$80+K9)/100*Time!K25/Inputs!$F$247</f>
        <v/>
      </c>
      <c r="L11" s="16">
        <f>(Operations!L9+Inputs!$F$80+L9)/100*Time!L25/Inputs!$F$247</f>
        <v/>
      </c>
      <c r="M11" s="16">
        <f>(Operations!M9+Inputs!$F$80+M9)/100*Time!M25/Inputs!$F$247</f>
        <v/>
      </c>
      <c r="N11" s="16">
        <f>(Operations!N9+Inputs!$F$80+N9)/100*Time!N25/Inputs!$F$247</f>
        <v/>
      </c>
      <c r="O11" s="16">
        <f>(Operations!O9+Inputs!$F$80+O9)/100*Time!O25/Inputs!$F$247</f>
        <v/>
      </c>
      <c r="P11" s="16">
        <f>(Operations!P9+Inputs!$F$80+P9)/100*Time!P25/Inputs!$F$247</f>
        <v/>
      </c>
      <c r="Q11" s="16">
        <f>(Operations!Q9+Inputs!$F$80+Q9)/100*Time!Q25/Inputs!$F$247</f>
        <v/>
      </c>
      <c r="R11" s="16">
        <f>(Operations!R9+Inputs!$F$80+R9)/100*Time!R25/Inputs!$F$247</f>
        <v/>
      </c>
      <c r="S11" s="16">
        <f>(Operations!S9+Inputs!$F$80+S9)/100*Time!S25/Inputs!$F$247</f>
        <v/>
      </c>
      <c r="T11" s="16">
        <f>(Operations!T9+Inputs!$F$80+T9)/100*Time!T25/Inputs!$F$247</f>
        <v/>
      </c>
      <c r="U11" s="16">
        <f>(Operations!U9+Inputs!$F$80+U9)/100*Time!U25/Inputs!$F$247</f>
        <v/>
      </c>
      <c r="V11" s="16">
        <f>(Operations!V9+Inputs!$F$80+V9)/100*Time!V25/Inputs!$F$247</f>
        <v/>
      </c>
      <c r="W11" s="16">
        <f>(Operations!W9+Inputs!$F$80+W9)/100*Time!W25/Inputs!$F$247</f>
        <v/>
      </c>
      <c r="X11" s="16">
        <f>(Operations!X9+Inputs!$F$80+X9)/100*Time!X25/Inputs!$F$247</f>
        <v/>
      </c>
      <c r="Y11" s="16">
        <f>(Operations!Y9+Inputs!$F$80+Y9)/100*Time!Y25/Inputs!$F$247</f>
        <v/>
      </c>
      <c r="Z11" s="16">
        <f>(Operations!Z9+Inputs!$F$80+Z9)/100*Time!Z25/Inputs!$F$247</f>
        <v/>
      </c>
      <c r="AA11" s="16">
        <f>(Operations!AA9+Inputs!$F$80+AA9)/100*Time!AA25/Inputs!$F$247</f>
        <v/>
      </c>
      <c r="AB11" s="16">
        <f>(Operations!AB9+Inputs!$F$80+AB9)/100*Time!AB25/Inputs!$F$247</f>
        <v/>
      </c>
      <c r="AC11" s="16">
        <f>(Operations!AC9+Inputs!$F$80+AC9)/100*Time!AC25/Inputs!$F$247</f>
        <v/>
      </c>
      <c r="AD11" s="16">
        <f>(Operations!AD9+Inputs!$F$80+AD9)/100*Time!AD25/Inputs!$F$247</f>
        <v/>
      </c>
      <c r="AE11" s="16">
        <f>(Operations!AE9+Inputs!$F$80+AE9)/100*Time!AE25/Inputs!$F$247</f>
        <v/>
      </c>
      <c r="AF11" s="16">
        <f>(Operations!AF9+Inputs!$F$80+AF9)/100*Time!AF25/Inputs!$F$247</f>
        <v/>
      </c>
      <c r="AG11" s="16">
        <f>(Operations!AG9+Inputs!$F$80+AG9)/100*Time!AG25/Inputs!$F$247</f>
        <v/>
      </c>
      <c r="AH11" s="16">
        <f>(Operations!AH9+Inputs!$F$80+AH9)/100*Time!AH25/Inputs!$F$247</f>
        <v/>
      </c>
      <c r="AI11" s="16">
        <f>(Operations!AI9+Inputs!$F$80+AI9)/100*Time!AI25/Inputs!$F$247</f>
        <v/>
      </c>
      <c r="AJ11" s="16">
        <f>(Operations!AJ9+Inputs!$F$80+AJ9)/100*Time!AJ25/Inputs!$F$247</f>
        <v/>
      </c>
      <c r="AK11" s="16">
        <f>(Operations!AK9+Inputs!$F$80+AK9)/100*Time!AK25/Inputs!$F$247</f>
        <v/>
      </c>
      <c r="AL11" s="16">
        <f>(Operations!AL9+Inputs!$F$80+AL9)/100*Time!AL25/Inputs!$F$247</f>
        <v/>
      </c>
      <c r="AM11" s="16">
        <f>(Operations!AM9+Inputs!$F$80+AM9)/100*Time!AM25/Inputs!$F$247</f>
        <v/>
      </c>
      <c r="AN11" s="16">
        <f>(Operations!AN9+Inputs!$F$80+AN9)/100*Time!AN25/Inputs!$F$247</f>
        <v/>
      </c>
      <c r="AO11" s="16">
        <f>(Operations!AO9+Inputs!$F$80+AO9)/100*Time!AO25/Inputs!$F$247</f>
        <v/>
      </c>
      <c r="AP11" s="16">
        <f>(Operations!AP9+Inputs!$F$80+AP9)/100*Time!AP25/Inputs!$F$247</f>
        <v/>
      </c>
      <c r="AQ11" s="16">
        <f>(Operations!AQ9+Inputs!$F$80+AQ9)/100*Time!AQ25/Inputs!$F$247</f>
        <v/>
      </c>
      <c r="AR11" s="16">
        <f>(Operations!AR9+Inputs!$F$80+AR9)/100*Time!AR25/Inputs!$F$247</f>
        <v/>
      </c>
      <c r="AS11" s="16">
        <f>(Operations!AS9+Inputs!$F$80+AS9)/100*Time!AS25/Inputs!$F$247</f>
        <v/>
      </c>
      <c r="AT11" s="16">
        <f>(Operations!AT9+Inputs!$F$80+AT9)/100*Time!AT25/Inputs!$F$247</f>
        <v/>
      </c>
      <c r="AU11" s="16">
        <f>(Operations!AU9+Inputs!$F$80+AU9)/100*Time!AU25/Inputs!$F$247</f>
        <v/>
      </c>
      <c r="AV11" s="16">
        <f>(Operations!AV9+Inputs!$F$80+AV9)/100*Time!AV25/Inputs!$F$247</f>
        <v/>
      </c>
      <c r="AW11" s="16">
        <f>(Operations!AW9+Inputs!$F$80+AW9)/100*Time!AW25/Inputs!$F$247</f>
        <v/>
      </c>
      <c r="AX11" s="16">
        <f>(Operations!AX9+Inputs!$F$80+AX9)/100*Time!AX25/Inputs!$F$247</f>
        <v/>
      </c>
      <c r="AY11" s="16">
        <f>(Operations!AY9+Inputs!$F$80+AY9)/100*Time!AY25/Inputs!$F$247</f>
        <v/>
      </c>
      <c r="AZ11" s="16">
        <f>(Operations!AZ9+Inputs!$F$80+AZ9)/100*Time!AZ25/Inputs!$F$247</f>
        <v/>
      </c>
      <c r="BA11" s="16">
        <f>(Operations!BA9+Inputs!$F$80+BA9)/100*Time!BA25/Inputs!$F$247</f>
        <v/>
      </c>
      <c r="BB11" s="16">
        <f>(Operations!BB9+Inputs!$F$80+BB9)/100*Time!BB25/Inputs!$F$247</f>
        <v/>
      </c>
      <c r="BC11" s="16">
        <f>(Operations!BC9+Inputs!$F$80+BC9)/100*Time!BC25/Inputs!$F$247</f>
        <v/>
      </c>
      <c r="BD11" s="16">
        <f>(Operations!BD9+Inputs!$F$80+BD9)/100*Time!BD25/Inputs!$F$247</f>
        <v/>
      </c>
      <c r="BE11" s="16">
        <f>(Operations!BE9+Inputs!$F$80+BE9)/100*Time!BE25/Inputs!$F$247</f>
        <v/>
      </c>
      <c r="BF11" s="16">
        <f>(Operations!BF9+Inputs!$F$80+BF9)/100*Time!BF25/Inputs!$F$247</f>
        <v/>
      </c>
      <c r="BG11" s="16">
        <f>(Operations!BG9+Inputs!$F$80+BG9)/100*Time!BG25/Inputs!$F$247</f>
        <v/>
      </c>
      <c r="BH11" s="16">
        <f>(Operations!BH9+Inputs!$F$80+BH9)/100*Time!BH25/Inputs!$F$247</f>
        <v/>
      </c>
      <c r="BI11" s="16">
        <f>(Operations!BI9+Inputs!$F$80+BI9)/100*Time!BI25/Inputs!$F$247</f>
        <v/>
      </c>
      <c r="BJ11" s="16">
        <f>(Operations!BJ9+Inputs!$F$80+BJ9)/100*Time!BJ25/Inputs!$F$247</f>
        <v/>
      </c>
      <c r="BK11" s="16">
        <f>(Operations!BK9+Inputs!$F$80+BK9)/100*Time!BK25/Inputs!$F$247</f>
        <v/>
      </c>
      <c r="BL11" s="16">
        <f>(Operations!BL9+Inputs!$F$80+BL9)/100*Time!BL25/Inputs!$F$247</f>
        <v/>
      </c>
      <c r="BM11" s="16">
        <f>(Operations!BM9+Inputs!$F$80+BM9)/100*Time!BM25/Inputs!$F$247</f>
        <v/>
      </c>
      <c r="BN11" s="16">
        <f>(Operations!BN9+Inputs!$F$80+BN9)/100*Time!BN25/Inputs!$F$247</f>
        <v/>
      </c>
    </row>
    <row r="12">
      <c r="D12" t="inlineStr">
        <is>
          <t>ABDB B-loan: rate per period</t>
        </is>
      </c>
      <c r="E12" t="inlineStr">
        <is>
          <t>factor</t>
        </is>
      </c>
      <c r="J12" s="16">
        <f>(Operations!J9+Inputs!$F$81+J9)/100*Time!J25/Inputs!$F$247</f>
        <v/>
      </c>
      <c r="K12" s="16">
        <f>(Operations!K9+Inputs!$F$81+K9)/100*Time!K25/Inputs!$F$247</f>
        <v/>
      </c>
      <c r="L12" s="16">
        <f>(Operations!L9+Inputs!$F$81+L9)/100*Time!L25/Inputs!$F$247</f>
        <v/>
      </c>
      <c r="M12" s="16">
        <f>(Operations!M9+Inputs!$F$81+M9)/100*Time!M25/Inputs!$F$247</f>
        <v/>
      </c>
      <c r="N12" s="16">
        <f>(Operations!N9+Inputs!$F$81+N9)/100*Time!N25/Inputs!$F$247</f>
        <v/>
      </c>
      <c r="O12" s="16">
        <f>(Operations!O9+Inputs!$F$81+O9)/100*Time!O25/Inputs!$F$247</f>
        <v/>
      </c>
      <c r="P12" s="16">
        <f>(Operations!P9+Inputs!$F$81+P9)/100*Time!P25/Inputs!$F$247</f>
        <v/>
      </c>
      <c r="Q12" s="16">
        <f>(Operations!Q9+Inputs!$F$81+Q9)/100*Time!Q25/Inputs!$F$247</f>
        <v/>
      </c>
      <c r="R12" s="16">
        <f>(Operations!R9+Inputs!$F$81+R9)/100*Time!R25/Inputs!$F$247</f>
        <v/>
      </c>
      <c r="S12" s="16">
        <f>(Operations!S9+Inputs!$F$81+S9)/100*Time!S25/Inputs!$F$247</f>
        <v/>
      </c>
      <c r="T12" s="16">
        <f>(Operations!T9+Inputs!$F$81+T9)/100*Time!T25/Inputs!$F$247</f>
        <v/>
      </c>
      <c r="U12" s="16">
        <f>(Operations!U9+Inputs!$F$81+U9)/100*Time!U25/Inputs!$F$247</f>
        <v/>
      </c>
      <c r="V12" s="16">
        <f>(Operations!V9+Inputs!$F$81+V9)/100*Time!V25/Inputs!$F$247</f>
        <v/>
      </c>
      <c r="W12" s="16">
        <f>(Operations!W9+Inputs!$F$81+W9)/100*Time!W25/Inputs!$F$247</f>
        <v/>
      </c>
      <c r="X12" s="16">
        <f>(Operations!X9+Inputs!$F$81+X9)/100*Time!X25/Inputs!$F$247</f>
        <v/>
      </c>
      <c r="Y12" s="16">
        <f>(Operations!Y9+Inputs!$F$81+Y9)/100*Time!Y25/Inputs!$F$247</f>
        <v/>
      </c>
      <c r="Z12" s="16">
        <f>(Operations!Z9+Inputs!$F$81+Z9)/100*Time!Z25/Inputs!$F$247</f>
        <v/>
      </c>
      <c r="AA12" s="16">
        <f>(Operations!AA9+Inputs!$F$81+AA9)/100*Time!AA25/Inputs!$F$247</f>
        <v/>
      </c>
      <c r="AB12" s="16">
        <f>(Operations!AB9+Inputs!$F$81+AB9)/100*Time!AB25/Inputs!$F$247</f>
        <v/>
      </c>
      <c r="AC12" s="16">
        <f>(Operations!AC9+Inputs!$F$81+AC9)/100*Time!AC25/Inputs!$F$247</f>
        <v/>
      </c>
      <c r="AD12" s="16">
        <f>(Operations!AD9+Inputs!$F$81+AD9)/100*Time!AD25/Inputs!$F$247</f>
        <v/>
      </c>
      <c r="AE12" s="16">
        <f>(Operations!AE9+Inputs!$F$81+AE9)/100*Time!AE25/Inputs!$F$247</f>
        <v/>
      </c>
      <c r="AF12" s="16">
        <f>(Operations!AF9+Inputs!$F$81+AF9)/100*Time!AF25/Inputs!$F$247</f>
        <v/>
      </c>
      <c r="AG12" s="16">
        <f>(Operations!AG9+Inputs!$F$81+AG9)/100*Time!AG25/Inputs!$F$247</f>
        <v/>
      </c>
      <c r="AH12" s="16">
        <f>(Operations!AH9+Inputs!$F$81+AH9)/100*Time!AH25/Inputs!$F$247</f>
        <v/>
      </c>
      <c r="AI12" s="16">
        <f>(Operations!AI9+Inputs!$F$81+AI9)/100*Time!AI25/Inputs!$F$247</f>
        <v/>
      </c>
      <c r="AJ12" s="16">
        <f>(Operations!AJ9+Inputs!$F$81+AJ9)/100*Time!AJ25/Inputs!$F$247</f>
        <v/>
      </c>
      <c r="AK12" s="16">
        <f>(Operations!AK9+Inputs!$F$81+AK9)/100*Time!AK25/Inputs!$F$247</f>
        <v/>
      </c>
      <c r="AL12" s="16">
        <f>(Operations!AL9+Inputs!$F$81+AL9)/100*Time!AL25/Inputs!$F$247</f>
        <v/>
      </c>
      <c r="AM12" s="16">
        <f>(Operations!AM9+Inputs!$F$81+AM9)/100*Time!AM25/Inputs!$F$247</f>
        <v/>
      </c>
      <c r="AN12" s="16">
        <f>(Operations!AN9+Inputs!$F$81+AN9)/100*Time!AN25/Inputs!$F$247</f>
        <v/>
      </c>
      <c r="AO12" s="16">
        <f>(Operations!AO9+Inputs!$F$81+AO9)/100*Time!AO25/Inputs!$F$247</f>
        <v/>
      </c>
      <c r="AP12" s="16">
        <f>(Operations!AP9+Inputs!$F$81+AP9)/100*Time!AP25/Inputs!$F$247</f>
        <v/>
      </c>
      <c r="AQ12" s="16">
        <f>(Operations!AQ9+Inputs!$F$81+AQ9)/100*Time!AQ25/Inputs!$F$247</f>
        <v/>
      </c>
      <c r="AR12" s="16">
        <f>(Operations!AR9+Inputs!$F$81+AR9)/100*Time!AR25/Inputs!$F$247</f>
        <v/>
      </c>
      <c r="AS12" s="16">
        <f>(Operations!AS9+Inputs!$F$81+AS9)/100*Time!AS25/Inputs!$F$247</f>
        <v/>
      </c>
      <c r="AT12" s="16">
        <f>(Operations!AT9+Inputs!$F$81+AT9)/100*Time!AT25/Inputs!$F$247</f>
        <v/>
      </c>
      <c r="AU12" s="16">
        <f>(Operations!AU9+Inputs!$F$81+AU9)/100*Time!AU25/Inputs!$F$247</f>
        <v/>
      </c>
      <c r="AV12" s="16">
        <f>(Operations!AV9+Inputs!$F$81+AV9)/100*Time!AV25/Inputs!$F$247</f>
        <v/>
      </c>
      <c r="AW12" s="16">
        <f>(Operations!AW9+Inputs!$F$81+AW9)/100*Time!AW25/Inputs!$F$247</f>
        <v/>
      </c>
      <c r="AX12" s="16">
        <f>(Operations!AX9+Inputs!$F$81+AX9)/100*Time!AX25/Inputs!$F$247</f>
        <v/>
      </c>
      <c r="AY12" s="16">
        <f>(Operations!AY9+Inputs!$F$81+AY9)/100*Time!AY25/Inputs!$F$247</f>
        <v/>
      </c>
      <c r="AZ12" s="16">
        <f>(Operations!AZ9+Inputs!$F$81+AZ9)/100*Time!AZ25/Inputs!$F$247</f>
        <v/>
      </c>
      <c r="BA12" s="16">
        <f>(Operations!BA9+Inputs!$F$81+BA9)/100*Time!BA25/Inputs!$F$247</f>
        <v/>
      </c>
      <c r="BB12" s="16">
        <f>(Operations!BB9+Inputs!$F$81+BB9)/100*Time!BB25/Inputs!$F$247</f>
        <v/>
      </c>
      <c r="BC12" s="16">
        <f>(Operations!BC9+Inputs!$F$81+BC9)/100*Time!BC25/Inputs!$F$247</f>
        <v/>
      </c>
      <c r="BD12" s="16">
        <f>(Operations!BD9+Inputs!$F$81+BD9)/100*Time!BD25/Inputs!$F$247</f>
        <v/>
      </c>
      <c r="BE12" s="16">
        <f>(Operations!BE9+Inputs!$F$81+BE9)/100*Time!BE25/Inputs!$F$247</f>
        <v/>
      </c>
      <c r="BF12" s="16">
        <f>(Operations!BF9+Inputs!$F$81+BF9)/100*Time!BF25/Inputs!$F$247</f>
        <v/>
      </c>
      <c r="BG12" s="16">
        <f>(Operations!BG9+Inputs!$F$81+BG9)/100*Time!BG25/Inputs!$F$247</f>
        <v/>
      </c>
      <c r="BH12" s="16">
        <f>(Operations!BH9+Inputs!$F$81+BH9)/100*Time!BH25/Inputs!$F$247</f>
        <v/>
      </c>
      <c r="BI12" s="16">
        <f>(Operations!BI9+Inputs!$F$81+BI9)/100*Time!BI25/Inputs!$F$247</f>
        <v/>
      </c>
      <c r="BJ12" s="16">
        <f>(Operations!BJ9+Inputs!$F$81+BJ9)/100*Time!BJ25/Inputs!$F$247</f>
        <v/>
      </c>
      <c r="BK12" s="16">
        <f>(Operations!BK9+Inputs!$F$81+BK9)/100*Time!BK25/Inputs!$F$247</f>
        <v/>
      </c>
      <c r="BL12" s="16">
        <f>(Operations!BL9+Inputs!$F$81+BL9)/100*Time!BL25/Inputs!$F$247</f>
        <v/>
      </c>
      <c r="BM12" s="16">
        <f>(Operations!BM9+Inputs!$F$81+BM9)/100*Time!BM25/Inputs!$F$247</f>
        <v/>
      </c>
      <c r="BN12" s="16">
        <f>(Operations!BN9+Inputs!$F$81+BN9)/100*Time!BN25/Inputs!$F$247</f>
        <v/>
      </c>
    </row>
    <row r="13">
      <c r="D13" t="inlineStr">
        <is>
          <t>Commercial tranche: rate per period</t>
        </is>
      </c>
      <c r="E13" t="inlineStr">
        <is>
          <t>factor</t>
        </is>
      </c>
      <c r="J13" s="16">
        <f>(Operations!J9+J8+J9)/100*Time!J25/Inputs!$F$247/(1-Inputs!$F$93/100)</f>
        <v/>
      </c>
      <c r="K13" s="16">
        <f>(Operations!K9+K8+K9)/100*Time!K25/Inputs!$F$247/(1-Inputs!$F$93/100)</f>
        <v/>
      </c>
      <c r="L13" s="16">
        <f>(Operations!L9+L8+L9)/100*Time!L25/Inputs!$F$247/(1-Inputs!$F$93/100)</f>
        <v/>
      </c>
      <c r="M13" s="16">
        <f>(Operations!M9+M8+M9)/100*Time!M25/Inputs!$F$247/(1-Inputs!$F$93/100)</f>
        <v/>
      </c>
      <c r="N13" s="16">
        <f>(Operations!N9+N8+N9)/100*Time!N25/Inputs!$F$247/(1-Inputs!$F$93/100)</f>
        <v/>
      </c>
      <c r="O13" s="16">
        <f>(Operations!O9+O8+O9)/100*Time!O25/Inputs!$F$247/(1-Inputs!$F$93/100)</f>
        <v/>
      </c>
      <c r="P13" s="16">
        <f>(Operations!P9+P8+P9)/100*Time!P25/Inputs!$F$247/(1-Inputs!$F$93/100)</f>
        <v/>
      </c>
      <c r="Q13" s="16">
        <f>(Operations!Q9+Q8+Q9)/100*Time!Q25/Inputs!$F$247/(1-Inputs!$F$93/100)</f>
        <v/>
      </c>
      <c r="R13" s="16">
        <f>(Operations!R9+R8+R9)/100*Time!R25/Inputs!$F$247/(1-Inputs!$F$93/100)</f>
        <v/>
      </c>
      <c r="S13" s="16">
        <f>(Operations!S9+S8+S9)/100*Time!S25/Inputs!$F$247/(1-Inputs!$F$93/100)</f>
        <v/>
      </c>
      <c r="T13" s="16">
        <f>(Operations!T9+T8+T9)/100*Time!T25/Inputs!$F$247/(1-Inputs!$F$93/100)</f>
        <v/>
      </c>
      <c r="U13" s="16">
        <f>(Operations!U9+U8+U9)/100*Time!U25/Inputs!$F$247/(1-Inputs!$F$93/100)</f>
        <v/>
      </c>
      <c r="V13" s="16">
        <f>(Operations!V9+V8+V9)/100*Time!V25/Inputs!$F$247/(1-Inputs!$F$93/100)</f>
        <v/>
      </c>
      <c r="W13" s="16">
        <f>(Operations!W9+W8+W9)/100*Time!W25/Inputs!$F$247/(1-Inputs!$F$93/100)</f>
        <v/>
      </c>
      <c r="X13" s="16">
        <f>(Operations!X9+X8+X9)/100*Time!X25/Inputs!$F$247/(1-Inputs!$F$93/100)</f>
        <v/>
      </c>
      <c r="Y13" s="16">
        <f>(Operations!Y9+Y8+Y9)/100*Time!Y25/Inputs!$F$247/(1-Inputs!$F$93/100)</f>
        <v/>
      </c>
      <c r="Z13" s="16">
        <f>(Operations!Z9+Z8+Z9)/100*Time!Z25/Inputs!$F$247/(1-Inputs!$F$93/100)</f>
        <v/>
      </c>
      <c r="AA13" s="16">
        <f>(Operations!AA9+AA8+AA9)/100*Time!AA25/Inputs!$F$247/(1-Inputs!$F$93/100)</f>
        <v/>
      </c>
      <c r="AB13" s="16">
        <f>(Operations!AB9+AB8+AB9)/100*Time!AB25/Inputs!$F$247/(1-Inputs!$F$93/100)</f>
        <v/>
      </c>
      <c r="AC13" s="16">
        <f>(Operations!AC9+AC8+AC9)/100*Time!AC25/Inputs!$F$247/(1-Inputs!$F$93/100)</f>
        <v/>
      </c>
      <c r="AD13" s="16">
        <f>(Operations!AD9+AD8+AD9)/100*Time!AD25/Inputs!$F$247/(1-Inputs!$F$93/100)</f>
        <v/>
      </c>
      <c r="AE13" s="16">
        <f>(Operations!AE9+AE8+AE9)/100*Time!AE25/Inputs!$F$247/(1-Inputs!$F$93/100)</f>
        <v/>
      </c>
      <c r="AF13" s="16">
        <f>(Operations!AF9+AF8+AF9)/100*Time!AF25/Inputs!$F$247/(1-Inputs!$F$93/100)</f>
        <v/>
      </c>
      <c r="AG13" s="16">
        <f>(Operations!AG9+AG8+AG9)/100*Time!AG25/Inputs!$F$247/(1-Inputs!$F$93/100)</f>
        <v/>
      </c>
      <c r="AH13" s="16">
        <f>(Operations!AH9+AH8+AH9)/100*Time!AH25/Inputs!$F$247/(1-Inputs!$F$93/100)</f>
        <v/>
      </c>
      <c r="AI13" s="16">
        <f>(Operations!AI9+AI8+AI9)/100*Time!AI25/Inputs!$F$247/(1-Inputs!$F$93/100)</f>
        <v/>
      </c>
      <c r="AJ13" s="16">
        <f>(Operations!AJ9+AJ8+AJ9)/100*Time!AJ25/Inputs!$F$247/(1-Inputs!$F$93/100)</f>
        <v/>
      </c>
      <c r="AK13" s="16">
        <f>(Operations!AK9+AK8+AK9)/100*Time!AK25/Inputs!$F$247/(1-Inputs!$F$93/100)</f>
        <v/>
      </c>
      <c r="AL13" s="16">
        <f>(Operations!AL9+AL8+AL9)/100*Time!AL25/Inputs!$F$247/(1-Inputs!$F$93/100)</f>
        <v/>
      </c>
      <c r="AM13" s="16">
        <f>(Operations!AM9+AM8+AM9)/100*Time!AM25/Inputs!$F$247/(1-Inputs!$F$93/100)</f>
        <v/>
      </c>
      <c r="AN13" s="16">
        <f>(Operations!AN9+AN8+AN9)/100*Time!AN25/Inputs!$F$247/(1-Inputs!$F$93/100)</f>
        <v/>
      </c>
      <c r="AO13" s="16">
        <f>(Operations!AO9+AO8+AO9)/100*Time!AO25/Inputs!$F$247/(1-Inputs!$F$93/100)</f>
        <v/>
      </c>
      <c r="AP13" s="16">
        <f>(Operations!AP9+AP8+AP9)/100*Time!AP25/Inputs!$F$247/(1-Inputs!$F$93/100)</f>
        <v/>
      </c>
      <c r="AQ13" s="16">
        <f>(Operations!AQ9+AQ8+AQ9)/100*Time!AQ25/Inputs!$F$247/(1-Inputs!$F$93/100)</f>
        <v/>
      </c>
      <c r="AR13" s="16">
        <f>(Operations!AR9+AR8+AR9)/100*Time!AR25/Inputs!$F$247/(1-Inputs!$F$93/100)</f>
        <v/>
      </c>
      <c r="AS13" s="16">
        <f>(Operations!AS9+AS8+AS9)/100*Time!AS25/Inputs!$F$247/(1-Inputs!$F$93/100)</f>
        <v/>
      </c>
      <c r="AT13" s="16">
        <f>(Operations!AT9+AT8+AT9)/100*Time!AT25/Inputs!$F$247/(1-Inputs!$F$93/100)</f>
        <v/>
      </c>
      <c r="AU13" s="16">
        <f>(Operations!AU9+AU8+AU9)/100*Time!AU25/Inputs!$F$247/(1-Inputs!$F$93/100)</f>
        <v/>
      </c>
      <c r="AV13" s="16">
        <f>(Operations!AV9+AV8+AV9)/100*Time!AV25/Inputs!$F$247/(1-Inputs!$F$93/100)</f>
        <v/>
      </c>
      <c r="AW13" s="16">
        <f>(Operations!AW9+AW8+AW9)/100*Time!AW25/Inputs!$F$247/(1-Inputs!$F$93/100)</f>
        <v/>
      </c>
      <c r="AX13" s="16">
        <f>(Operations!AX9+AX8+AX9)/100*Time!AX25/Inputs!$F$247/(1-Inputs!$F$93/100)</f>
        <v/>
      </c>
      <c r="AY13" s="16">
        <f>(Operations!AY9+AY8+AY9)/100*Time!AY25/Inputs!$F$247/(1-Inputs!$F$93/100)</f>
        <v/>
      </c>
      <c r="AZ13" s="16">
        <f>(Operations!AZ9+AZ8+AZ9)/100*Time!AZ25/Inputs!$F$247/(1-Inputs!$F$93/100)</f>
        <v/>
      </c>
      <c r="BA13" s="16">
        <f>(Operations!BA9+BA8+BA9)/100*Time!BA25/Inputs!$F$247/(1-Inputs!$F$93/100)</f>
        <v/>
      </c>
      <c r="BB13" s="16">
        <f>(Operations!BB9+BB8+BB9)/100*Time!BB25/Inputs!$F$247/(1-Inputs!$F$93/100)</f>
        <v/>
      </c>
      <c r="BC13" s="16">
        <f>(Operations!BC9+BC8+BC9)/100*Time!BC25/Inputs!$F$247/(1-Inputs!$F$93/100)</f>
        <v/>
      </c>
      <c r="BD13" s="16">
        <f>(Operations!BD9+BD8+BD9)/100*Time!BD25/Inputs!$F$247/(1-Inputs!$F$93/100)</f>
        <v/>
      </c>
      <c r="BE13" s="16">
        <f>(Operations!BE9+BE8+BE9)/100*Time!BE25/Inputs!$F$247/(1-Inputs!$F$93/100)</f>
        <v/>
      </c>
      <c r="BF13" s="16">
        <f>(Operations!BF9+BF8+BF9)/100*Time!BF25/Inputs!$F$247/(1-Inputs!$F$93/100)</f>
        <v/>
      </c>
      <c r="BG13" s="16">
        <f>(Operations!BG9+BG8+BG9)/100*Time!BG25/Inputs!$F$247/(1-Inputs!$F$93/100)</f>
        <v/>
      </c>
      <c r="BH13" s="16">
        <f>(Operations!BH9+BH8+BH9)/100*Time!BH25/Inputs!$F$247/(1-Inputs!$F$93/100)</f>
        <v/>
      </c>
      <c r="BI13" s="16">
        <f>(Operations!BI9+BI8+BI9)/100*Time!BI25/Inputs!$F$247/(1-Inputs!$F$93/100)</f>
        <v/>
      </c>
      <c r="BJ13" s="16">
        <f>(Operations!BJ9+BJ8+BJ9)/100*Time!BJ25/Inputs!$F$247/(1-Inputs!$F$93/100)</f>
        <v/>
      </c>
      <c r="BK13" s="16">
        <f>(Operations!BK9+BK8+BK9)/100*Time!BK25/Inputs!$F$247/(1-Inputs!$F$93/100)</f>
        <v/>
      </c>
      <c r="BL13" s="16">
        <f>(Operations!BL9+BL8+BL9)/100*Time!BL25/Inputs!$F$247/(1-Inputs!$F$93/100)</f>
        <v/>
      </c>
      <c r="BM13" s="16">
        <f>(Operations!BM9+BM8+BM9)/100*Time!BM25/Inputs!$F$247/(1-Inputs!$F$93/100)</f>
        <v/>
      </c>
      <c r="BN13" s="16">
        <f>(Operations!BN9+BN8+BN9)/100*Time!BN25/Inputs!$F$247/(1-Inputs!$F$93/100)</f>
        <v/>
      </c>
    </row>
    <row r="14">
      <c r="D14" t="inlineStr">
        <is>
          <t>Standby facility: rate per period</t>
        </is>
      </c>
      <c r="E14" t="inlineStr">
        <is>
          <t>factor</t>
        </is>
      </c>
      <c r="J14" s="16">
        <f>(Inputs!$F$102*(Operations!J9+J8+Inputs!$F$101+J9)/(1-Inputs!$F$93/100)+(1-Inputs!$F$102)*(Operations!J9+Inputs!$F$80+Inputs!$F$101+J9))/100*Time!J25/Inputs!$F$247</f>
        <v/>
      </c>
      <c r="K14" s="16">
        <f>(Inputs!$F$102*(Operations!K9+K8+Inputs!$F$101+K9)/(1-Inputs!$F$93/100)+(1-Inputs!$F$102)*(Operations!K9+Inputs!$F$80+Inputs!$F$101+K9))/100*Time!K25/Inputs!$F$247</f>
        <v/>
      </c>
      <c r="L14" s="16">
        <f>(Inputs!$F$102*(Operations!L9+L8+Inputs!$F$101+L9)/(1-Inputs!$F$93/100)+(1-Inputs!$F$102)*(Operations!L9+Inputs!$F$80+Inputs!$F$101+L9))/100*Time!L25/Inputs!$F$247</f>
        <v/>
      </c>
      <c r="M14" s="16">
        <f>(Inputs!$F$102*(Operations!M9+M8+Inputs!$F$101+M9)/(1-Inputs!$F$93/100)+(1-Inputs!$F$102)*(Operations!M9+Inputs!$F$80+Inputs!$F$101+M9))/100*Time!M25/Inputs!$F$247</f>
        <v/>
      </c>
      <c r="N14" s="16">
        <f>(Inputs!$F$102*(Operations!N9+N8+Inputs!$F$101+N9)/(1-Inputs!$F$93/100)+(1-Inputs!$F$102)*(Operations!N9+Inputs!$F$80+Inputs!$F$101+N9))/100*Time!N25/Inputs!$F$247</f>
        <v/>
      </c>
      <c r="O14" s="16">
        <f>(Inputs!$F$102*(Operations!O9+O8+Inputs!$F$101+O9)/(1-Inputs!$F$93/100)+(1-Inputs!$F$102)*(Operations!O9+Inputs!$F$80+Inputs!$F$101+O9))/100*Time!O25/Inputs!$F$247</f>
        <v/>
      </c>
      <c r="P14" s="16">
        <f>(Inputs!$F$102*(Operations!P9+P8+Inputs!$F$101+P9)/(1-Inputs!$F$93/100)+(1-Inputs!$F$102)*(Operations!P9+Inputs!$F$80+Inputs!$F$101+P9))/100*Time!P25/Inputs!$F$247</f>
        <v/>
      </c>
      <c r="Q14" s="16">
        <f>(Inputs!$F$102*(Operations!Q9+Q8+Inputs!$F$101+Q9)/(1-Inputs!$F$93/100)+(1-Inputs!$F$102)*(Operations!Q9+Inputs!$F$80+Inputs!$F$101+Q9))/100*Time!Q25/Inputs!$F$247</f>
        <v/>
      </c>
      <c r="R14" s="16">
        <f>(Inputs!$F$102*(Operations!R9+R8+Inputs!$F$101+R9)/(1-Inputs!$F$93/100)+(1-Inputs!$F$102)*(Operations!R9+Inputs!$F$80+Inputs!$F$101+R9))/100*Time!R25/Inputs!$F$247</f>
        <v/>
      </c>
      <c r="S14" s="16">
        <f>(Inputs!$F$102*(Operations!S9+S8+Inputs!$F$101+S9)/(1-Inputs!$F$93/100)+(1-Inputs!$F$102)*(Operations!S9+Inputs!$F$80+Inputs!$F$101+S9))/100*Time!S25/Inputs!$F$247</f>
        <v/>
      </c>
      <c r="T14" s="16">
        <f>(Inputs!$F$102*(Operations!T9+T8+Inputs!$F$101+T9)/(1-Inputs!$F$93/100)+(1-Inputs!$F$102)*(Operations!T9+Inputs!$F$80+Inputs!$F$101+T9))/100*Time!T25/Inputs!$F$247</f>
        <v/>
      </c>
      <c r="U14" s="16">
        <f>(Inputs!$F$102*(Operations!U9+U8+Inputs!$F$101+U9)/(1-Inputs!$F$93/100)+(1-Inputs!$F$102)*(Operations!U9+Inputs!$F$80+Inputs!$F$101+U9))/100*Time!U25/Inputs!$F$247</f>
        <v/>
      </c>
      <c r="V14" s="16">
        <f>(Inputs!$F$102*(Operations!V9+V8+Inputs!$F$101+V9)/(1-Inputs!$F$93/100)+(1-Inputs!$F$102)*(Operations!V9+Inputs!$F$80+Inputs!$F$101+V9))/100*Time!V25/Inputs!$F$247</f>
        <v/>
      </c>
      <c r="W14" s="16">
        <f>(Inputs!$F$102*(Operations!W9+W8+Inputs!$F$101+W9)/(1-Inputs!$F$93/100)+(1-Inputs!$F$102)*(Operations!W9+Inputs!$F$80+Inputs!$F$101+W9))/100*Time!W25/Inputs!$F$247</f>
        <v/>
      </c>
      <c r="X14" s="16">
        <f>(Inputs!$F$102*(Operations!X9+X8+Inputs!$F$101+X9)/(1-Inputs!$F$93/100)+(1-Inputs!$F$102)*(Operations!X9+Inputs!$F$80+Inputs!$F$101+X9))/100*Time!X25/Inputs!$F$247</f>
        <v/>
      </c>
      <c r="Y14" s="16">
        <f>(Inputs!$F$102*(Operations!Y9+Y8+Inputs!$F$101+Y9)/(1-Inputs!$F$93/100)+(1-Inputs!$F$102)*(Operations!Y9+Inputs!$F$80+Inputs!$F$101+Y9))/100*Time!Y25/Inputs!$F$247</f>
        <v/>
      </c>
      <c r="Z14" s="16">
        <f>(Inputs!$F$102*(Operations!Z9+Z8+Inputs!$F$101+Z9)/(1-Inputs!$F$93/100)+(1-Inputs!$F$102)*(Operations!Z9+Inputs!$F$80+Inputs!$F$101+Z9))/100*Time!Z25/Inputs!$F$247</f>
        <v/>
      </c>
      <c r="AA14" s="16">
        <f>(Inputs!$F$102*(Operations!AA9+AA8+Inputs!$F$101+AA9)/(1-Inputs!$F$93/100)+(1-Inputs!$F$102)*(Operations!AA9+Inputs!$F$80+Inputs!$F$101+AA9))/100*Time!AA25/Inputs!$F$247</f>
        <v/>
      </c>
      <c r="AB14" s="16">
        <f>(Inputs!$F$102*(Operations!AB9+AB8+Inputs!$F$101+AB9)/(1-Inputs!$F$93/100)+(1-Inputs!$F$102)*(Operations!AB9+Inputs!$F$80+Inputs!$F$101+AB9))/100*Time!AB25/Inputs!$F$247</f>
        <v/>
      </c>
      <c r="AC14" s="16">
        <f>(Inputs!$F$102*(Operations!AC9+AC8+Inputs!$F$101+AC9)/(1-Inputs!$F$93/100)+(1-Inputs!$F$102)*(Operations!AC9+Inputs!$F$80+Inputs!$F$101+AC9))/100*Time!AC25/Inputs!$F$247</f>
        <v/>
      </c>
      <c r="AD14" s="16">
        <f>(Inputs!$F$102*(Operations!AD9+AD8+Inputs!$F$101+AD9)/(1-Inputs!$F$93/100)+(1-Inputs!$F$102)*(Operations!AD9+Inputs!$F$80+Inputs!$F$101+AD9))/100*Time!AD25/Inputs!$F$247</f>
        <v/>
      </c>
      <c r="AE14" s="16">
        <f>(Inputs!$F$102*(Operations!AE9+AE8+Inputs!$F$101+AE9)/(1-Inputs!$F$93/100)+(1-Inputs!$F$102)*(Operations!AE9+Inputs!$F$80+Inputs!$F$101+AE9))/100*Time!AE25/Inputs!$F$247</f>
        <v/>
      </c>
      <c r="AF14" s="16">
        <f>(Inputs!$F$102*(Operations!AF9+AF8+Inputs!$F$101+AF9)/(1-Inputs!$F$93/100)+(1-Inputs!$F$102)*(Operations!AF9+Inputs!$F$80+Inputs!$F$101+AF9))/100*Time!AF25/Inputs!$F$247</f>
        <v/>
      </c>
      <c r="AG14" s="16">
        <f>(Inputs!$F$102*(Operations!AG9+AG8+Inputs!$F$101+AG9)/(1-Inputs!$F$93/100)+(1-Inputs!$F$102)*(Operations!AG9+Inputs!$F$80+Inputs!$F$101+AG9))/100*Time!AG25/Inputs!$F$247</f>
        <v/>
      </c>
      <c r="AH14" s="16">
        <f>(Inputs!$F$102*(Operations!AH9+AH8+Inputs!$F$101+AH9)/(1-Inputs!$F$93/100)+(1-Inputs!$F$102)*(Operations!AH9+Inputs!$F$80+Inputs!$F$101+AH9))/100*Time!AH25/Inputs!$F$247</f>
        <v/>
      </c>
      <c r="AI14" s="16">
        <f>(Inputs!$F$102*(Operations!AI9+AI8+Inputs!$F$101+AI9)/(1-Inputs!$F$93/100)+(1-Inputs!$F$102)*(Operations!AI9+Inputs!$F$80+Inputs!$F$101+AI9))/100*Time!AI25/Inputs!$F$247</f>
        <v/>
      </c>
      <c r="AJ14" s="16">
        <f>(Inputs!$F$102*(Operations!AJ9+AJ8+Inputs!$F$101+AJ9)/(1-Inputs!$F$93/100)+(1-Inputs!$F$102)*(Operations!AJ9+Inputs!$F$80+Inputs!$F$101+AJ9))/100*Time!AJ25/Inputs!$F$247</f>
        <v/>
      </c>
      <c r="AK14" s="16">
        <f>(Inputs!$F$102*(Operations!AK9+AK8+Inputs!$F$101+AK9)/(1-Inputs!$F$93/100)+(1-Inputs!$F$102)*(Operations!AK9+Inputs!$F$80+Inputs!$F$101+AK9))/100*Time!AK25/Inputs!$F$247</f>
        <v/>
      </c>
      <c r="AL14" s="16">
        <f>(Inputs!$F$102*(Operations!AL9+AL8+Inputs!$F$101+AL9)/(1-Inputs!$F$93/100)+(1-Inputs!$F$102)*(Operations!AL9+Inputs!$F$80+Inputs!$F$101+AL9))/100*Time!AL25/Inputs!$F$247</f>
        <v/>
      </c>
      <c r="AM14" s="16">
        <f>(Inputs!$F$102*(Operations!AM9+AM8+Inputs!$F$101+AM9)/(1-Inputs!$F$93/100)+(1-Inputs!$F$102)*(Operations!AM9+Inputs!$F$80+Inputs!$F$101+AM9))/100*Time!AM25/Inputs!$F$247</f>
        <v/>
      </c>
      <c r="AN14" s="16">
        <f>(Inputs!$F$102*(Operations!AN9+AN8+Inputs!$F$101+AN9)/(1-Inputs!$F$93/100)+(1-Inputs!$F$102)*(Operations!AN9+Inputs!$F$80+Inputs!$F$101+AN9))/100*Time!AN25/Inputs!$F$247</f>
        <v/>
      </c>
      <c r="AO14" s="16">
        <f>(Inputs!$F$102*(Operations!AO9+AO8+Inputs!$F$101+AO9)/(1-Inputs!$F$93/100)+(1-Inputs!$F$102)*(Operations!AO9+Inputs!$F$80+Inputs!$F$101+AO9))/100*Time!AO25/Inputs!$F$247</f>
        <v/>
      </c>
      <c r="AP14" s="16">
        <f>(Inputs!$F$102*(Operations!AP9+AP8+Inputs!$F$101+AP9)/(1-Inputs!$F$93/100)+(1-Inputs!$F$102)*(Operations!AP9+Inputs!$F$80+Inputs!$F$101+AP9))/100*Time!AP25/Inputs!$F$247</f>
        <v/>
      </c>
      <c r="AQ14" s="16">
        <f>(Inputs!$F$102*(Operations!AQ9+AQ8+Inputs!$F$101+AQ9)/(1-Inputs!$F$93/100)+(1-Inputs!$F$102)*(Operations!AQ9+Inputs!$F$80+Inputs!$F$101+AQ9))/100*Time!AQ25/Inputs!$F$247</f>
        <v/>
      </c>
      <c r="AR14" s="16">
        <f>(Inputs!$F$102*(Operations!AR9+AR8+Inputs!$F$101+AR9)/(1-Inputs!$F$93/100)+(1-Inputs!$F$102)*(Operations!AR9+Inputs!$F$80+Inputs!$F$101+AR9))/100*Time!AR25/Inputs!$F$247</f>
        <v/>
      </c>
      <c r="AS14" s="16">
        <f>(Inputs!$F$102*(Operations!AS9+AS8+Inputs!$F$101+AS9)/(1-Inputs!$F$93/100)+(1-Inputs!$F$102)*(Operations!AS9+Inputs!$F$80+Inputs!$F$101+AS9))/100*Time!AS25/Inputs!$F$247</f>
        <v/>
      </c>
      <c r="AT14" s="16">
        <f>(Inputs!$F$102*(Operations!AT9+AT8+Inputs!$F$101+AT9)/(1-Inputs!$F$93/100)+(1-Inputs!$F$102)*(Operations!AT9+Inputs!$F$80+Inputs!$F$101+AT9))/100*Time!AT25/Inputs!$F$247</f>
        <v/>
      </c>
      <c r="AU14" s="16">
        <f>(Inputs!$F$102*(Operations!AU9+AU8+Inputs!$F$101+AU9)/(1-Inputs!$F$93/100)+(1-Inputs!$F$102)*(Operations!AU9+Inputs!$F$80+Inputs!$F$101+AU9))/100*Time!AU25/Inputs!$F$247</f>
        <v/>
      </c>
      <c r="AV14" s="16">
        <f>(Inputs!$F$102*(Operations!AV9+AV8+Inputs!$F$101+AV9)/(1-Inputs!$F$93/100)+(1-Inputs!$F$102)*(Operations!AV9+Inputs!$F$80+Inputs!$F$101+AV9))/100*Time!AV25/Inputs!$F$247</f>
        <v/>
      </c>
      <c r="AW14" s="16">
        <f>(Inputs!$F$102*(Operations!AW9+AW8+Inputs!$F$101+AW9)/(1-Inputs!$F$93/100)+(1-Inputs!$F$102)*(Operations!AW9+Inputs!$F$80+Inputs!$F$101+AW9))/100*Time!AW25/Inputs!$F$247</f>
        <v/>
      </c>
      <c r="AX14" s="16">
        <f>(Inputs!$F$102*(Operations!AX9+AX8+Inputs!$F$101+AX9)/(1-Inputs!$F$93/100)+(1-Inputs!$F$102)*(Operations!AX9+Inputs!$F$80+Inputs!$F$101+AX9))/100*Time!AX25/Inputs!$F$247</f>
        <v/>
      </c>
      <c r="AY14" s="16">
        <f>(Inputs!$F$102*(Operations!AY9+AY8+Inputs!$F$101+AY9)/(1-Inputs!$F$93/100)+(1-Inputs!$F$102)*(Operations!AY9+Inputs!$F$80+Inputs!$F$101+AY9))/100*Time!AY25/Inputs!$F$247</f>
        <v/>
      </c>
      <c r="AZ14" s="16">
        <f>(Inputs!$F$102*(Operations!AZ9+AZ8+Inputs!$F$101+AZ9)/(1-Inputs!$F$93/100)+(1-Inputs!$F$102)*(Operations!AZ9+Inputs!$F$80+Inputs!$F$101+AZ9))/100*Time!AZ25/Inputs!$F$247</f>
        <v/>
      </c>
      <c r="BA14" s="16">
        <f>(Inputs!$F$102*(Operations!BA9+BA8+Inputs!$F$101+BA9)/(1-Inputs!$F$93/100)+(1-Inputs!$F$102)*(Operations!BA9+Inputs!$F$80+Inputs!$F$101+BA9))/100*Time!BA25/Inputs!$F$247</f>
        <v/>
      </c>
      <c r="BB14" s="16">
        <f>(Inputs!$F$102*(Operations!BB9+BB8+Inputs!$F$101+BB9)/(1-Inputs!$F$93/100)+(1-Inputs!$F$102)*(Operations!BB9+Inputs!$F$80+Inputs!$F$101+BB9))/100*Time!BB25/Inputs!$F$247</f>
        <v/>
      </c>
      <c r="BC14" s="16">
        <f>(Inputs!$F$102*(Operations!BC9+BC8+Inputs!$F$101+BC9)/(1-Inputs!$F$93/100)+(1-Inputs!$F$102)*(Operations!BC9+Inputs!$F$80+Inputs!$F$101+BC9))/100*Time!BC25/Inputs!$F$247</f>
        <v/>
      </c>
      <c r="BD14" s="16">
        <f>(Inputs!$F$102*(Operations!BD9+BD8+Inputs!$F$101+BD9)/(1-Inputs!$F$93/100)+(1-Inputs!$F$102)*(Operations!BD9+Inputs!$F$80+Inputs!$F$101+BD9))/100*Time!BD25/Inputs!$F$247</f>
        <v/>
      </c>
      <c r="BE14" s="16">
        <f>(Inputs!$F$102*(Operations!BE9+BE8+Inputs!$F$101+BE9)/(1-Inputs!$F$93/100)+(1-Inputs!$F$102)*(Operations!BE9+Inputs!$F$80+Inputs!$F$101+BE9))/100*Time!BE25/Inputs!$F$247</f>
        <v/>
      </c>
      <c r="BF14" s="16">
        <f>(Inputs!$F$102*(Operations!BF9+BF8+Inputs!$F$101+BF9)/(1-Inputs!$F$93/100)+(1-Inputs!$F$102)*(Operations!BF9+Inputs!$F$80+Inputs!$F$101+BF9))/100*Time!BF25/Inputs!$F$247</f>
        <v/>
      </c>
      <c r="BG14" s="16">
        <f>(Inputs!$F$102*(Operations!BG9+BG8+Inputs!$F$101+BG9)/(1-Inputs!$F$93/100)+(1-Inputs!$F$102)*(Operations!BG9+Inputs!$F$80+Inputs!$F$101+BG9))/100*Time!BG25/Inputs!$F$247</f>
        <v/>
      </c>
      <c r="BH14" s="16">
        <f>(Inputs!$F$102*(Operations!BH9+BH8+Inputs!$F$101+BH9)/(1-Inputs!$F$93/100)+(1-Inputs!$F$102)*(Operations!BH9+Inputs!$F$80+Inputs!$F$101+BH9))/100*Time!BH25/Inputs!$F$247</f>
        <v/>
      </c>
      <c r="BI14" s="16">
        <f>(Inputs!$F$102*(Operations!BI9+BI8+Inputs!$F$101+BI9)/(1-Inputs!$F$93/100)+(1-Inputs!$F$102)*(Operations!BI9+Inputs!$F$80+Inputs!$F$101+BI9))/100*Time!BI25/Inputs!$F$247</f>
        <v/>
      </c>
      <c r="BJ14" s="16">
        <f>(Inputs!$F$102*(Operations!BJ9+BJ8+Inputs!$F$101+BJ9)/(1-Inputs!$F$93/100)+(1-Inputs!$F$102)*(Operations!BJ9+Inputs!$F$80+Inputs!$F$101+BJ9))/100*Time!BJ25/Inputs!$F$247</f>
        <v/>
      </c>
      <c r="BK14" s="16">
        <f>(Inputs!$F$102*(Operations!BK9+BK8+Inputs!$F$101+BK9)/(1-Inputs!$F$93/100)+(1-Inputs!$F$102)*(Operations!BK9+Inputs!$F$80+Inputs!$F$101+BK9))/100*Time!BK25/Inputs!$F$247</f>
        <v/>
      </c>
      <c r="BL14" s="16">
        <f>(Inputs!$F$102*(Operations!BL9+BL8+Inputs!$F$101+BL9)/(1-Inputs!$F$93/100)+(1-Inputs!$F$102)*(Operations!BL9+Inputs!$F$80+Inputs!$F$101+BL9))/100*Time!BL25/Inputs!$F$247</f>
        <v/>
      </c>
      <c r="BM14" s="16">
        <f>(Inputs!$F$102*(Operations!BM9+BM8+Inputs!$F$101+BM9)/(1-Inputs!$F$93/100)+(1-Inputs!$F$102)*(Operations!BM9+Inputs!$F$80+Inputs!$F$101+BM9))/100*Time!BM25/Inputs!$F$247</f>
        <v/>
      </c>
      <c r="BN14" s="16">
        <f>(Inputs!$F$102*(Operations!BN9+BN8+Inputs!$F$101+BN9)/(1-Inputs!$F$93/100)+(1-Inputs!$F$102)*(Operations!BN9+Inputs!$F$80+Inputs!$F$101+BN9))/100*Time!BN25/Inputs!$F$247</f>
        <v/>
      </c>
    </row>
    <row r="15">
      <c r="D15" t="inlineStr">
        <is>
          <t>2025 project bond: rate per period</t>
        </is>
      </c>
      <c r="E15" t="inlineStr">
        <is>
          <t>factor</t>
        </is>
      </c>
      <c r="J15" s="16">
        <f>Inputs!$F$271/100*Time!J24</f>
        <v/>
      </c>
      <c r="K15" s="16">
        <f>Inputs!$F$271/100*Time!K24</f>
        <v/>
      </c>
      <c r="L15" s="16">
        <f>Inputs!$F$271/100*Time!L24</f>
        <v/>
      </c>
      <c r="M15" s="16">
        <f>Inputs!$F$271/100*Time!M24</f>
        <v/>
      </c>
      <c r="N15" s="16">
        <f>Inputs!$F$271/100*Time!N24</f>
        <v/>
      </c>
      <c r="O15" s="16">
        <f>Inputs!$F$271/100*Time!O24</f>
        <v/>
      </c>
      <c r="P15" s="16">
        <f>Inputs!$F$271/100*Time!P24</f>
        <v/>
      </c>
      <c r="Q15" s="16">
        <f>Inputs!$F$271/100*Time!Q24</f>
        <v/>
      </c>
      <c r="R15" s="16">
        <f>Inputs!$F$271/100*Time!R24</f>
        <v/>
      </c>
      <c r="S15" s="16">
        <f>Inputs!$F$271/100*Time!S24</f>
        <v/>
      </c>
      <c r="T15" s="16">
        <f>Inputs!$F$271/100*Time!T24</f>
        <v/>
      </c>
      <c r="U15" s="16">
        <f>Inputs!$F$271/100*Time!U24</f>
        <v/>
      </c>
      <c r="V15" s="16">
        <f>Inputs!$F$271/100*Time!V24</f>
        <v/>
      </c>
      <c r="W15" s="16">
        <f>Inputs!$F$271/100*Time!W24</f>
        <v/>
      </c>
      <c r="X15" s="16">
        <f>Inputs!$F$271/100*Time!X24</f>
        <v/>
      </c>
      <c r="Y15" s="16">
        <f>Inputs!$F$271/100*Time!Y24</f>
        <v/>
      </c>
      <c r="Z15" s="16">
        <f>Inputs!$F$271/100*Time!Z24</f>
        <v/>
      </c>
      <c r="AA15" s="16">
        <f>Inputs!$F$271/100*Time!AA24</f>
        <v/>
      </c>
      <c r="AB15" s="16">
        <f>Inputs!$F$271/100*Time!AB24</f>
        <v/>
      </c>
      <c r="AC15" s="16">
        <f>Inputs!$F$271/100*Time!AC24</f>
        <v/>
      </c>
      <c r="AD15" s="16">
        <f>Inputs!$F$271/100*Time!AD24</f>
        <v/>
      </c>
      <c r="AE15" s="16">
        <f>Inputs!$F$271/100*Time!AE24</f>
        <v/>
      </c>
      <c r="AF15" s="16">
        <f>Inputs!$F$271/100*Time!AF24</f>
        <v/>
      </c>
      <c r="AG15" s="16">
        <f>Inputs!$F$271/100*Time!AG24</f>
        <v/>
      </c>
      <c r="AH15" s="16">
        <f>Inputs!$F$271/100*Time!AH24</f>
        <v/>
      </c>
      <c r="AI15" s="16">
        <f>Inputs!$F$271/100*Time!AI24</f>
        <v/>
      </c>
      <c r="AJ15" s="16">
        <f>Inputs!$F$271/100*Time!AJ24</f>
        <v/>
      </c>
      <c r="AK15" s="16">
        <f>Inputs!$F$271/100*Time!AK24</f>
        <v/>
      </c>
      <c r="AL15" s="16">
        <f>Inputs!$F$271/100*Time!AL24</f>
        <v/>
      </c>
      <c r="AM15" s="16">
        <f>Inputs!$F$271/100*Time!AM24</f>
        <v/>
      </c>
      <c r="AN15" s="16">
        <f>Inputs!$F$271/100*Time!AN24</f>
        <v/>
      </c>
      <c r="AO15" s="16">
        <f>Inputs!$F$271/100*Time!AO24</f>
        <v/>
      </c>
      <c r="AP15" s="16">
        <f>Inputs!$F$271/100*Time!AP24</f>
        <v/>
      </c>
      <c r="AQ15" s="16">
        <f>Inputs!$F$271/100*Time!AQ24</f>
        <v/>
      </c>
      <c r="AR15" s="16">
        <f>Inputs!$F$271/100*Time!AR24</f>
        <v/>
      </c>
      <c r="AS15" s="16">
        <f>Inputs!$F$271/100*Time!AS24</f>
        <v/>
      </c>
      <c r="AT15" s="16">
        <f>Inputs!$F$271/100*Time!AT24</f>
        <v/>
      </c>
      <c r="AU15" s="16">
        <f>Inputs!$F$271/100*Time!AU24</f>
        <v/>
      </c>
      <c r="AV15" s="16">
        <f>Inputs!$F$271/100*Time!AV24</f>
        <v/>
      </c>
      <c r="AW15" s="16">
        <f>Inputs!$F$271/100*Time!AW24</f>
        <v/>
      </c>
      <c r="AX15" s="16">
        <f>Inputs!$F$271/100*Time!AX24</f>
        <v/>
      </c>
      <c r="AY15" s="16">
        <f>Inputs!$F$271/100*Time!AY24</f>
        <v/>
      </c>
      <c r="AZ15" s="16">
        <f>Inputs!$F$271/100*Time!AZ24</f>
        <v/>
      </c>
      <c r="BA15" s="16">
        <f>Inputs!$F$271/100*Time!BA24</f>
        <v/>
      </c>
      <c r="BB15" s="16">
        <f>Inputs!$F$271/100*Time!BB24</f>
        <v/>
      </c>
      <c r="BC15" s="16">
        <f>Inputs!$F$271/100*Time!BC24</f>
        <v/>
      </c>
      <c r="BD15" s="16">
        <f>Inputs!$F$271/100*Time!BD24</f>
        <v/>
      </c>
      <c r="BE15" s="16">
        <f>Inputs!$F$271/100*Time!BE24</f>
        <v/>
      </c>
      <c r="BF15" s="16">
        <f>Inputs!$F$271/100*Time!BF24</f>
        <v/>
      </c>
      <c r="BG15" s="16">
        <f>Inputs!$F$271/100*Time!BG24</f>
        <v/>
      </c>
      <c r="BH15" s="16">
        <f>Inputs!$F$271/100*Time!BH24</f>
        <v/>
      </c>
      <c r="BI15" s="16">
        <f>Inputs!$F$271/100*Time!BI24</f>
        <v/>
      </c>
      <c r="BJ15" s="16">
        <f>Inputs!$F$271/100*Time!BJ24</f>
        <v/>
      </c>
      <c r="BK15" s="16">
        <f>Inputs!$F$271/100*Time!BK24</f>
        <v/>
      </c>
      <c r="BL15" s="16">
        <f>Inputs!$F$271/100*Time!BL24</f>
        <v/>
      </c>
      <c r="BM15" s="16">
        <f>Inputs!$F$271/100*Time!BM24</f>
        <v/>
      </c>
      <c r="BN15" s="16">
        <f>Inputs!$F$271/100*Time!BN24</f>
        <v/>
      </c>
    </row>
    <row r="16">
      <c r="B16" s="2" t="inlineStr">
        <is>
          <t>Contract repayment profile</t>
        </is>
      </c>
    </row>
    <row r="17">
      <c r="D17" t="inlineStr">
        <is>
          <t>Repayment profile, selected</t>
        </is>
      </c>
      <c r="E17" t="inlineStr">
        <is>
          <t>fraction</t>
        </is>
      </c>
      <c r="J17" s="11">
        <f>IF(Inputs!$F$47=1,Inputs!J298,Inputs!J299)</f>
        <v/>
      </c>
      <c r="K17" s="11">
        <f>IF(Inputs!$F$47=1,Inputs!K298,Inputs!K299)</f>
        <v/>
      </c>
      <c r="L17" s="11">
        <f>IF(Inputs!$F$47=1,Inputs!L298,Inputs!L299)</f>
        <v/>
      </c>
      <c r="M17" s="11">
        <f>IF(Inputs!$F$47=1,Inputs!M298,Inputs!M299)</f>
        <v/>
      </c>
      <c r="N17" s="11">
        <f>IF(Inputs!$F$47=1,Inputs!N298,Inputs!N299)</f>
        <v/>
      </c>
      <c r="O17" s="11">
        <f>IF(Inputs!$F$47=1,Inputs!O298,Inputs!O299)</f>
        <v/>
      </c>
      <c r="P17" s="11">
        <f>IF(Inputs!$F$47=1,Inputs!P298,Inputs!P299)</f>
        <v/>
      </c>
      <c r="Q17" s="11">
        <f>IF(Inputs!$F$47=1,Inputs!Q298,Inputs!Q299)</f>
        <v/>
      </c>
      <c r="R17" s="11">
        <f>IF(Inputs!$F$47=1,Inputs!R298,Inputs!R299)</f>
        <v/>
      </c>
      <c r="S17" s="11">
        <f>IF(Inputs!$F$47=1,Inputs!S298,Inputs!S299)</f>
        <v/>
      </c>
      <c r="T17" s="11">
        <f>IF(Inputs!$F$47=1,Inputs!T298,Inputs!T299)</f>
        <v/>
      </c>
      <c r="U17" s="11">
        <f>IF(Inputs!$F$47=1,Inputs!U298,Inputs!U299)</f>
        <v/>
      </c>
      <c r="V17" s="11">
        <f>IF(Inputs!$F$47=1,Inputs!V298,Inputs!V299)</f>
        <v/>
      </c>
      <c r="W17" s="11">
        <f>IF(Inputs!$F$47=1,Inputs!W298,Inputs!W299)</f>
        <v/>
      </c>
      <c r="X17" s="11">
        <f>IF(Inputs!$F$47=1,Inputs!X298,Inputs!X299)</f>
        <v/>
      </c>
      <c r="Y17" s="11">
        <f>IF(Inputs!$F$47=1,Inputs!Y298,Inputs!Y299)</f>
        <v/>
      </c>
      <c r="Z17" s="11">
        <f>IF(Inputs!$F$47=1,Inputs!Z298,Inputs!Z299)</f>
        <v/>
      </c>
      <c r="AA17" s="11">
        <f>IF(Inputs!$F$47=1,Inputs!AA298,Inputs!AA299)</f>
        <v/>
      </c>
      <c r="AB17" s="11">
        <f>IF(Inputs!$F$47=1,Inputs!AB298,Inputs!AB299)</f>
        <v/>
      </c>
      <c r="AC17" s="11">
        <f>IF(Inputs!$F$47=1,Inputs!AC298,Inputs!AC299)</f>
        <v/>
      </c>
      <c r="AD17" s="11">
        <f>IF(Inputs!$F$47=1,Inputs!AD298,Inputs!AD299)</f>
        <v/>
      </c>
      <c r="AE17" s="11">
        <f>IF(Inputs!$F$47=1,Inputs!AE298,Inputs!AE299)</f>
        <v/>
      </c>
      <c r="AF17" s="11">
        <f>IF(Inputs!$F$47=1,Inputs!AF298,Inputs!AF299)</f>
        <v/>
      </c>
      <c r="AG17" s="11">
        <f>IF(Inputs!$F$47=1,Inputs!AG298,Inputs!AG299)</f>
        <v/>
      </c>
      <c r="AH17" s="11">
        <f>IF(Inputs!$F$47=1,Inputs!AH298,Inputs!AH299)</f>
        <v/>
      </c>
      <c r="AI17" s="11">
        <f>IF(Inputs!$F$47=1,Inputs!AI298,Inputs!AI299)</f>
        <v/>
      </c>
      <c r="AJ17" s="11">
        <f>IF(Inputs!$F$47=1,Inputs!AJ298,Inputs!AJ299)</f>
        <v/>
      </c>
      <c r="AK17" s="11">
        <f>IF(Inputs!$F$47=1,Inputs!AK298,Inputs!AK299)</f>
        <v/>
      </c>
      <c r="AL17" s="11">
        <f>IF(Inputs!$F$47=1,Inputs!AL298,Inputs!AL299)</f>
        <v/>
      </c>
      <c r="AM17" s="11">
        <f>IF(Inputs!$F$47=1,Inputs!AM298,Inputs!AM299)</f>
        <v/>
      </c>
      <c r="AN17" s="11">
        <f>IF(Inputs!$F$47=1,Inputs!AN298,Inputs!AN299)</f>
        <v/>
      </c>
      <c r="AO17" s="11">
        <f>IF(Inputs!$F$47=1,Inputs!AO298,Inputs!AO299)</f>
        <v/>
      </c>
      <c r="AP17" s="11">
        <f>IF(Inputs!$F$47=1,Inputs!AP298,Inputs!AP299)</f>
        <v/>
      </c>
      <c r="AQ17" s="11">
        <f>IF(Inputs!$F$47=1,Inputs!AQ298,Inputs!AQ299)</f>
        <v/>
      </c>
      <c r="AR17" s="11">
        <f>IF(Inputs!$F$47=1,Inputs!AR298,Inputs!AR299)</f>
        <v/>
      </c>
      <c r="AS17" s="11">
        <f>IF(Inputs!$F$47=1,Inputs!AS298,Inputs!AS299)</f>
        <v/>
      </c>
      <c r="AT17" s="11">
        <f>IF(Inputs!$F$47=1,Inputs!AT298,Inputs!AT299)</f>
        <v/>
      </c>
      <c r="AU17" s="11">
        <f>IF(Inputs!$F$47=1,Inputs!AU298,Inputs!AU299)</f>
        <v/>
      </c>
      <c r="AV17" s="11">
        <f>IF(Inputs!$F$47=1,Inputs!AV298,Inputs!AV299)</f>
        <v/>
      </c>
      <c r="AW17" s="11">
        <f>IF(Inputs!$F$47=1,Inputs!AW298,Inputs!AW299)</f>
        <v/>
      </c>
      <c r="AX17" s="11">
        <f>IF(Inputs!$F$47=1,Inputs!AX298,Inputs!AX299)</f>
        <v/>
      </c>
      <c r="AY17" s="11">
        <f>IF(Inputs!$F$47=1,Inputs!AY298,Inputs!AY299)</f>
        <v/>
      </c>
      <c r="AZ17" s="11">
        <f>IF(Inputs!$F$47=1,Inputs!AZ298,Inputs!AZ299)</f>
        <v/>
      </c>
      <c r="BA17" s="11">
        <f>IF(Inputs!$F$47=1,Inputs!BA298,Inputs!BA299)</f>
        <v/>
      </c>
      <c r="BB17" s="11">
        <f>IF(Inputs!$F$47=1,Inputs!BB298,Inputs!BB299)</f>
        <v/>
      </c>
      <c r="BC17" s="11">
        <f>IF(Inputs!$F$47=1,Inputs!BC298,Inputs!BC299)</f>
        <v/>
      </c>
      <c r="BD17" s="11">
        <f>IF(Inputs!$F$47=1,Inputs!BD298,Inputs!BD299)</f>
        <v/>
      </c>
      <c r="BE17" s="11">
        <f>IF(Inputs!$F$47=1,Inputs!BE298,Inputs!BE299)</f>
        <v/>
      </c>
      <c r="BF17" s="11">
        <f>IF(Inputs!$F$47=1,Inputs!BF298,Inputs!BF299)</f>
        <v/>
      </c>
      <c r="BG17" s="11">
        <f>IF(Inputs!$F$47=1,Inputs!BG298,Inputs!BG299)</f>
        <v/>
      </c>
      <c r="BH17" s="11">
        <f>IF(Inputs!$F$47=1,Inputs!BH298,Inputs!BH299)</f>
        <v/>
      </c>
      <c r="BI17" s="11">
        <f>IF(Inputs!$F$47=1,Inputs!BI298,Inputs!BI299)</f>
        <v/>
      </c>
      <c r="BJ17" s="11">
        <f>IF(Inputs!$F$47=1,Inputs!BJ298,Inputs!BJ299)</f>
        <v/>
      </c>
      <c r="BK17" s="11">
        <f>IF(Inputs!$F$47=1,Inputs!BK298,Inputs!BK299)</f>
        <v/>
      </c>
      <c r="BL17" s="11">
        <f>IF(Inputs!$F$47=1,Inputs!BL298,Inputs!BL299)</f>
        <v/>
      </c>
      <c r="BM17" s="11">
        <f>IF(Inputs!$F$47=1,Inputs!BM298,Inputs!BM299)</f>
        <v/>
      </c>
      <c r="BN17" s="11">
        <f>IF(Inputs!$F$47=1,Inputs!BN298,Inputs!BN299)</f>
        <v/>
      </c>
    </row>
    <row r="18">
      <c r="D18" t="inlineStr">
        <is>
          <t>Remaining profile (this and later installments)</t>
        </is>
      </c>
      <c r="E18" t="inlineStr">
        <is>
          <t>fraction</t>
        </is>
      </c>
      <c r="J18" s="11">
        <f>SUM(J17:BN17)</f>
        <v/>
      </c>
      <c r="K18" s="11">
        <f>SUM(K17:BN17)</f>
        <v/>
      </c>
      <c r="L18" s="11">
        <f>SUM(L17:BN17)</f>
        <v/>
      </c>
      <c r="M18" s="11">
        <f>SUM(M17:BN17)</f>
        <v/>
      </c>
      <c r="N18" s="11">
        <f>SUM(N17:BN17)</f>
        <v/>
      </c>
      <c r="O18" s="11">
        <f>SUM(O17:BN17)</f>
        <v/>
      </c>
      <c r="P18" s="11">
        <f>SUM(P17:BN17)</f>
        <v/>
      </c>
      <c r="Q18" s="11">
        <f>SUM(Q17:BN17)</f>
        <v/>
      </c>
      <c r="R18" s="11">
        <f>SUM(R17:BN17)</f>
        <v/>
      </c>
      <c r="S18" s="11">
        <f>SUM(S17:BN17)</f>
        <v/>
      </c>
      <c r="T18" s="11">
        <f>SUM(T17:BN17)</f>
        <v/>
      </c>
      <c r="U18" s="11">
        <f>SUM(U17:BN17)</f>
        <v/>
      </c>
      <c r="V18" s="11">
        <f>SUM(V17:BN17)</f>
        <v/>
      </c>
      <c r="W18" s="11">
        <f>SUM(W17:BN17)</f>
        <v/>
      </c>
      <c r="X18" s="11">
        <f>SUM(X17:BN17)</f>
        <v/>
      </c>
      <c r="Y18" s="11">
        <f>SUM(Y17:BN17)</f>
        <v/>
      </c>
      <c r="Z18" s="11">
        <f>SUM(Z17:BN17)</f>
        <v/>
      </c>
      <c r="AA18" s="11">
        <f>SUM(AA17:BN17)</f>
        <v/>
      </c>
      <c r="AB18" s="11">
        <f>SUM(AB17:BN17)</f>
        <v/>
      </c>
      <c r="AC18" s="11">
        <f>SUM(AC17:BN17)</f>
        <v/>
      </c>
      <c r="AD18" s="11">
        <f>SUM(AD17:BN17)</f>
        <v/>
      </c>
      <c r="AE18" s="11">
        <f>SUM(AE17:BN17)</f>
        <v/>
      </c>
      <c r="AF18" s="11">
        <f>SUM(AF17:BN17)</f>
        <v/>
      </c>
      <c r="AG18" s="11">
        <f>SUM(AG17:BN17)</f>
        <v/>
      </c>
      <c r="AH18" s="11">
        <f>SUM(AH17:BN17)</f>
        <v/>
      </c>
      <c r="AI18" s="11">
        <f>SUM(AI17:BN17)</f>
        <v/>
      </c>
      <c r="AJ18" s="11">
        <f>SUM(AJ17:BN17)</f>
        <v/>
      </c>
      <c r="AK18" s="11">
        <f>SUM(AK17:BN17)</f>
        <v/>
      </c>
      <c r="AL18" s="11">
        <f>SUM(AL17:BN17)</f>
        <v/>
      </c>
      <c r="AM18" s="11">
        <f>SUM(AM17:BN17)</f>
        <v/>
      </c>
      <c r="AN18" s="11">
        <f>SUM(AN17:BN17)</f>
        <v/>
      </c>
      <c r="AO18" s="11">
        <f>SUM(AO17:BN17)</f>
        <v/>
      </c>
      <c r="AP18" s="11">
        <f>SUM(AP17:BN17)</f>
        <v/>
      </c>
      <c r="AQ18" s="11">
        <f>SUM(AQ17:BN17)</f>
        <v/>
      </c>
      <c r="AR18" s="11">
        <f>SUM(AR17:BN17)</f>
        <v/>
      </c>
      <c r="AS18" s="11">
        <f>SUM(AS17:BN17)</f>
        <v/>
      </c>
      <c r="AT18" s="11">
        <f>SUM(AT17:BN17)</f>
        <v/>
      </c>
      <c r="AU18" s="11">
        <f>SUM(AU17:BN17)</f>
        <v/>
      </c>
      <c r="AV18" s="11">
        <f>SUM(AV17:BN17)</f>
        <v/>
      </c>
      <c r="AW18" s="11">
        <f>SUM(AW17:BN17)</f>
        <v/>
      </c>
      <c r="AX18" s="11">
        <f>SUM(AX17:BN17)</f>
        <v/>
      </c>
      <c r="AY18" s="11">
        <f>SUM(AY17:BN17)</f>
        <v/>
      </c>
      <c r="AZ18" s="11">
        <f>SUM(AZ17:BN17)</f>
        <v/>
      </c>
      <c r="BA18" s="11">
        <f>SUM(BA17:BN17)</f>
        <v/>
      </c>
      <c r="BB18" s="11">
        <f>SUM(BB17:BN17)</f>
        <v/>
      </c>
      <c r="BC18" s="11">
        <f>SUM(BC17:BN17)</f>
        <v/>
      </c>
      <c r="BD18" s="11">
        <f>SUM(BD17:BN17)</f>
        <v/>
      </c>
      <c r="BE18" s="11">
        <f>SUM(BE17:BN17)</f>
        <v/>
      </c>
      <c r="BF18" s="11">
        <f>SUM(BF17:BN17)</f>
        <v/>
      </c>
      <c r="BG18" s="11">
        <f>SUM(BG17:BN17)</f>
        <v/>
      </c>
      <c r="BH18" s="11">
        <f>SUM(BH17:BN17)</f>
        <v/>
      </c>
      <c r="BI18" s="11">
        <f>SUM(BI17:BN17)</f>
        <v/>
      </c>
      <c r="BJ18" s="11">
        <f>SUM(BJ17:BN17)</f>
        <v/>
      </c>
      <c r="BK18" s="11">
        <f>SUM(BK17:BN17)</f>
        <v/>
      </c>
      <c r="BL18" s="11">
        <f>SUM(BL17:BN17)</f>
        <v/>
      </c>
      <c r="BM18" s="11">
        <f>SUM(BM17:BN17)</f>
        <v/>
      </c>
      <c r="BN18" s="11">
        <f>SUM(BN17:BN17)</f>
        <v/>
      </c>
    </row>
    <row r="19">
      <c r="D19" t="inlineStr">
        <is>
          <t>Installment share of remaining balance</t>
        </is>
      </c>
      <c r="E19" t="inlineStr">
        <is>
          <t>fraction</t>
        </is>
      </c>
      <c r="J19" s="11">
        <f>IF(J18&gt;Inputs!$F$253,J17/J18,0)</f>
        <v/>
      </c>
      <c r="K19" s="11">
        <f>IF(K18&gt;Inputs!$F$253,K17/K18,0)</f>
        <v/>
      </c>
      <c r="L19" s="11">
        <f>IF(L18&gt;Inputs!$F$253,L17/L18,0)</f>
        <v/>
      </c>
      <c r="M19" s="11">
        <f>IF(M18&gt;Inputs!$F$253,M17/M18,0)</f>
        <v/>
      </c>
      <c r="N19" s="11">
        <f>IF(N18&gt;Inputs!$F$253,N17/N18,0)</f>
        <v/>
      </c>
      <c r="O19" s="11">
        <f>IF(O18&gt;Inputs!$F$253,O17/O18,0)</f>
        <v/>
      </c>
      <c r="P19" s="11">
        <f>IF(P18&gt;Inputs!$F$253,P17/P18,0)</f>
        <v/>
      </c>
      <c r="Q19" s="11">
        <f>IF(Q18&gt;Inputs!$F$253,Q17/Q18,0)</f>
        <v/>
      </c>
      <c r="R19" s="11">
        <f>IF(R18&gt;Inputs!$F$253,R17/R18,0)</f>
        <v/>
      </c>
      <c r="S19" s="11">
        <f>IF(S18&gt;Inputs!$F$253,S17/S18,0)</f>
        <v/>
      </c>
      <c r="T19" s="11">
        <f>IF(T18&gt;Inputs!$F$253,T17/T18,0)</f>
        <v/>
      </c>
      <c r="U19" s="11">
        <f>IF(U18&gt;Inputs!$F$253,U17/U18,0)</f>
        <v/>
      </c>
      <c r="V19" s="11">
        <f>IF(V18&gt;Inputs!$F$253,V17/V18,0)</f>
        <v/>
      </c>
      <c r="W19" s="11">
        <f>IF(W18&gt;Inputs!$F$253,W17/W18,0)</f>
        <v/>
      </c>
      <c r="X19" s="11">
        <f>IF(X18&gt;Inputs!$F$253,X17/X18,0)</f>
        <v/>
      </c>
      <c r="Y19" s="11">
        <f>IF(Y18&gt;Inputs!$F$253,Y17/Y18,0)</f>
        <v/>
      </c>
      <c r="Z19" s="11">
        <f>IF(Z18&gt;Inputs!$F$253,Z17/Z18,0)</f>
        <v/>
      </c>
      <c r="AA19" s="11">
        <f>IF(AA18&gt;Inputs!$F$253,AA17/AA18,0)</f>
        <v/>
      </c>
      <c r="AB19" s="11">
        <f>IF(AB18&gt;Inputs!$F$253,AB17/AB18,0)</f>
        <v/>
      </c>
      <c r="AC19" s="11">
        <f>IF(AC18&gt;Inputs!$F$253,AC17/AC18,0)</f>
        <v/>
      </c>
      <c r="AD19" s="11">
        <f>IF(AD18&gt;Inputs!$F$253,AD17/AD18,0)</f>
        <v/>
      </c>
      <c r="AE19" s="11">
        <f>IF(AE18&gt;Inputs!$F$253,AE17/AE18,0)</f>
        <v/>
      </c>
      <c r="AF19" s="11">
        <f>IF(AF18&gt;Inputs!$F$253,AF17/AF18,0)</f>
        <v/>
      </c>
      <c r="AG19" s="11">
        <f>IF(AG18&gt;Inputs!$F$253,AG17/AG18,0)</f>
        <v/>
      </c>
      <c r="AH19" s="11">
        <f>IF(AH18&gt;Inputs!$F$253,AH17/AH18,0)</f>
        <v/>
      </c>
      <c r="AI19" s="11">
        <f>IF(AI18&gt;Inputs!$F$253,AI17/AI18,0)</f>
        <v/>
      </c>
      <c r="AJ19" s="11">
        <f>IF(AJ18&gt;Inputs!$F$253,AJ17/AJ18,0)</f>
        <v/>
      </c>
      <c r="AK19" s="11">
        <f>IF(AK18&gt;Inputs!$F$253,AK17/AK18,0)</f>
        <v/>
      </c>
      <c r="AL19" s="11">
        <f>IF(AL18&gt;Inputs!$F$253,AL17/AL18,0)</f>
        <v/>
      </c>
      <c r="AM19" s="11">
        <f>IF(AM18&gt;Inputs!$F$253,AM17/AM18,0)</f>
        <v/>
      </c>
      <c r="AN19" s="11">
        <f>IF(AN18&gt;Inputs!$F$253,AN17/AN18,0)</f>
        <v/>
      </c>
      <c r="AO19" s="11">
        <f>IF(AO18&gt;Inputs!$F$253,AO17/AO18,0)</f>
        <v/>
      </c>
      <c r="AP19" s="11">
        <f>IF(AP18&gt;Inputs!$F$253,AP17/AP18,0)</f>
        <v/>
      </c>
      <c r="AQ19" s="11">
        <f>IF(AQ18&gt;Inputs!$F$253,AQ17/AQ18,0)</f>
        <v/>
      </c>
      <c r="AR19" s="11">
        <f>IF(AR18&gt;Inputs!$F$253,AR17/AR18,0)</f>
        <v/>
      </c>
      <c r="AS19" s="11">
        <f>IF(AS18&gt;Inputs!$F$253,AS17/AS18,0)</f>
        <v/>
      </c>
      <c r="AT19" s="11">
        <f>IF(AT18&gt;Inputs!$F$253,AT17/AT18,0)</f>
        <v/>
      </c>
      <c r="AU19" s="11">
        <f>IF(AU18&gt;Inputs!$F$253,AU17/AU18,0)</f>
        <v/>
      </c>
      <c r="AV19" s="11">
        <f>IF(AV18&gt;Inputs!$F$253,AV17/AV18,0)</f>
        <v/>
      </c>
      <c r="AW19" s="11">
        <f>IF(AW18&gt;Inputs!$F$253,AW17/AW18,0)</f>
        <v/>
      </c>
      <c r="AX19" s="11">
        <f>IF(AX18&gt;Inputs!$F$253,AX17/AX18,0)</f>
        <v/>
      </c>
      <c r="AY19" s="11">
        <f>IF(AY18&gt;Inputs!$F$253,AY17/AY18,0)</f>
        <v/>
      </c>
      <c r="AZ19" s="11">
        <f>IF(AZ18&gt;Inputs!$F$253,AZ17/AZ18,0)</f>
        <v/>
      </c>
      <c r="BA19" s="11">
        <f>IF(BA18&gt;Inputs!$F$253,BA17/BA18,0)</f>
        <v/>
      </c>
      <c r="BB19" s="11">
        <f>IF(BB18&gt;Inputs!$F$253,BB17/BB18,0)</f>
        <v/>
      </c>
      <c r="BC19" s="11">
        <f>IF(BC18&gt;Inputs!$F$253,BC17/BC18,0)</f>
        <v/>
      </c>
      <c r="BD19" s="11">
        <f>IF(BD18&gt;Inputs!$F$253,BD17/BD18,0)</f>
        <v/>
      </c>
      <c r="BE19" s="11">
        <f>IF(BE18&gt;Inputs!$F$253,BE17/BE18,0)</f>
        <v/>
      </c>
      <c r="BF19" s="11">
        <f>IF(BF18&gt;Inputs!$F$253,BF17/BF18,0)</f>
        <v/>
      </c>
      <c r="BG19" s="11">
        <f>IF(BG18&gt;Inputs!$F$253,BG17/BG18,0)</f>
        <v/>
      </c>
      <c r="BH19" s="11">
        <f>IF(BH18&gt;Inputs!$F$253,BH17/BH18,0)</f>
        <v/>
      </c>
      <c r="BI19" s="11">
        <f>IF(BI18&gt;Inputs!$F$253,BI17/BI18,0)</f>
        <v/>
      </c>
      <c r="BJ19" s="11">
        <f>IF(BJ18&gt;Inputs!$F$253,BJ17/BJ18,0)</f>
        <v/>
      </c>
      <c r="BK19" s="11">
        <f>IF(BK18&gt;Inputs!$F$253,BK17/BK18,0)</f>
        <v/>
      </c>
      <c r="BL19" s="11">
        <f>IF(BL18&gt;Inputs!$F$253,BL17/BL18,0)</f>
        <v/>
      </c>
      <c r="BM19" s="11">
        <f>IF(BM18&gt;Inputs!$F$253,BM17/BM18,0)</f>
        <v/>
      </c>
      <c r="BN19" s="11">
        <f>IF(BN18&gt;Inputs!$F$253,BN17/BN18,0)</f>
        <v/>
      </c>
    </row>
    <row r="103">
      <c r="D103" t="inlineStr">
        <is>
          <t>Swap unwind receipt (provisional: pasted FC base values; replaced by formulas in Chapter 42)</t>
        </is>
      </c>
      <c r="E103" t="inlineStr">
        <is>
          <t>USD m</t>
        </is>
      </c>
      <c r="G103" s="13">
        <f>SUM(J103:BN103)</f>
        <v/>
      </c>
      <c r="J103" s="25" t="n">
        <v>0</v>
      </c>
      <c r="K103" s="25" t="n">
        <v>0</v>
      </c>
      <c r="L103" s="25" t="n">
        <v>0</v>
      </c>
      <c r="M103" s="25" t="n">
        <v>0</v>
      </c>
      <c r="N103" s="25" t="n">
        <v>0</v>
      </c>
      <c r="O103" s="25" t="n">
        <v>0</v>
      </c>
      <c r="P103" s="25" t="n">
        <v>0</v>
      </c>
      <c r="Q103" s="25" t="n">
        <v>0</v>
      </c>
      <c r="R103" s="25" t="n">
        <v>0</v>
      </c>
      <c r="S103" s="25" t="n">
        <v>0</v>
      </c>
      <c r="T103" s="25" t="n">
        <v>0</v>
      </c>
      <c r="U103" s="25" t="n">
        <v>0</v>
      </c>
      <c r="V103" s="25" t="n">
        <v>0</v>
      </c>
      <c r="W103" s="25" t="n">
        <v>0</v>
      </c>
      <c r="X103" s="25" t="n">
        <v>0</v>
      </c>
      <c r="Y103" s="25" t="n">
        <v>0</v>
      </c>
      <c r="Z103" s="25" t="n">
        <v>0</v>
      </c>
      <c r="AA103" s="25" t="n">
        <v>0</v>
      </c>
      <c r="AB103" s="25" t="n">
        <v>0</v>
      </c>
      <c r="AC103" s="25" t="n">
        <v>0</v>
      </c>
      <c r="AD103" s="25" t="n">
        <v>0</v>
      </c>
      <c r="AE103" s="25" t="n">
        <v>0</v>
      </c>
      <c r="AF103" s="25" t="n">
        <v>0</v>
      </c>
      <c r="AG103" s="25" t="n">
        <v>0</v>
      </c>
      <c r="AH103" s="25" t="n">
        <v>0</v>
      </c>
      <c r="AI103" s="25" t="n">
        <v>0</v>
      </c>
      <c r="AJ103" s="25" t="n">
        <v>0</v>
      </c>
      <c r="AK103" s="25" t="n">
        <v>0</v>
      </c>
      <c r="AL103" s="25" t="n">
        <v>0</v>
      </c>
      <c r="AM103" s="25" t="n">
        <v>0</v>
      </c>
      <c r="AN103" s="25" t="n">
        <v>0</v>
      </c>
      <c r="AO103" s="25" t="n">
        <v>0</v>
      </c>
      <c r="AP103" s="25" t="n">
        <v>0</v>
      </c>
      <c r="AQ103" s="25" t="n">
        <v>0</v>
      </c>
      <c r="AR103" s="25" t="n">
        <v>0</v>
      </c>
      <c r="AS103" s="25" t="n">
        <v>0</v>
      </c>
      <c r="AT103" s="25" t="n">
        <v>0</v>
      </c>
      <c r="AU103" s="25" t="n">
        <v>0</v>
      </c>
      <c r="AV103" s="25" t="n">
        <v>0</v>
      </c>
      <c r="AW103" s="25" t="n">
        <v>0</v>
      </c>
      <c r="AX103" s="25" t="n">
        <v>0</v>
      </c>
      <c r="AY103" s="25" t="n">
        <v>0</v>
      </c>
      <c r="AZ103" s="25" t="n">
        <v>0</v>
      </c>
      <c r="BA103" s="25" t="n">
        <v>0</v>
      </c>
      <c r="BB103" s="25" t="n">
        <v>0</v>
      </c>
      <c r="BC103" s="25" t="n">
        <v>0</v>
      </c>
      <c r="BD103" s="25" t="n">
        <v>0</v>
      </c>
      <c r="BE103" s="25" t="n">
        <v>0</v>
      </c>
      <c r="BF103" s="25" t="n">
        <v>0</v>
      </c>
      <c r="BG103" s="25" t="n">
        <v>0</v>
      </c>
      <c r="BH103" s="25" t="n">
        <v>0</v>
      </c>
      <c r="BI103" s="25" t="n">
        <v>0</v>
      </c>
      <c r="BJ103" s="25" t="n">
        <v>0</v>
      </c>
      <c r="BK103" s="25" t="n">
        <v>0</v>
      </c>
      <c r="BL103" s="25" t="n">
        <v>0</v>
      </c>
      <c r="BM103" s="25" t="n">
        <v>0</v>
      </c>
      <c r="BN103" s="25" t="n">
        <v>0</v>
      </c>
    </row>
    <row r="104">
      <c r="D104" t="inlineStr">
        <is>
          <t>Refinancing costs (OID, underwriting, other, PCG upfront) (provisional: pasted FC base values; replaced by formulas in Chapter 42)</t>
        </is>
      </c>
      <c r="E104" t="inlineStr">
        <is>
          <t>USD m</t>
        </is>
      </c>
      <c r="G104" s="13">
        <f>SUM(J104:BN104)</f>
        <v/>
      </c>
      <c r="J104" s="25" t="n">
        <v>0</v>
      </c>
      <c r="K104" s="25" t="n">
        <v>0</v>
      </c>
      <c r="L104" s="25" t="n">
        <v>0</v>
      </c>
      <c r="M104" s="25" t="n">
        <v>0</v>
      </c>
      <c r="N104" s="25" t="n">
        <v>0</v>
      </c>
      <c r="O104" s="25" t="n">
        <v>0</v>
      </c>
      <c r="P104" s="25" t="n">
        <v>0</v>
      </c>
      <c r="Q104" s="25" t="n">
        <v>0</v>
      </c>
      <c r="R104" s="25" t="n">
        <v>0</v>
      </c>
      <c r="S104" s="25" t="n">
        <v>0</v>
      </c>
      <c r="T104" s="25" t="n">
        <v>0</v>
      </c>
      <c r="U104" s="25" t="n">
        <v>0</v>
      </c>
      <c r="V104" s="25" t="n">
        <v>0</v>
      </c>
      <c r="W104" s="25" t="n">
        <v>0</v>
      </c>
      <c r="X104" s="25" t="n">
        <v>0</v>
      </c>
      <c r="Y104" s="25" t="n">
        <v>0</v>
      </c>
      <c r="Z104" s="25" t="n">
        <v>0</v>
      </c>
      <c r="AA104" s="25" t="n">
        <v>0</v>
      </c>
      <c r="AB104" s="25" t="n">
        <v>0</v>
      </c>
      <c r="AC104" s="25" t="n">
        <v>0</v>
      </c>
      <c r="AD104" s="25" t="n">
        <v>0</v>
      </c>
      <c r="AE104" s="25" t="n">
        <v>0</v>
      </c>
      <c r="AF104" s="25" t="n">
        <v>0</v>
      </c>
      <c r="AG104" s="25" t="n">
        <v>0</v>
      </c>
      <c r="AH104" s="25" t="n">
        <v>0</v>
      </c>
      <c r="AI104" s="25" t="n">
        <v>0</v>
      </c>
      <c r="AJ104" s="25" t="n">
        <v>0</v>
      </c>
      <c r="AK104" s="25" t="n">
        <v>0</v>
      </c>
      <c r="AL104" s="25" t="n">
        <v>0</v>
      </c>
      <c r="AM104" s="25" t="n">
        <v>0</v>
      </c>
      <c r="AN104" s="25" t="n">
        <v>0</v>
      </c>
      <c r="AO104" s="25" t="n">
        <v>0</v>
      </c>
      <c r="AP104" s="25" t="n">
        <v>0</v>
      </c>
      <c r="AQ104" s="25" t="n">
        <v>0</v>
      </c>
      <c r="AR104" s="25" t="n">
        <v>0</v>
      </c>
      <c r="AS104" s="25" t="n">
        <v>0</v>
      </c>
      <c r="AT104" s="25" t="n">
        <v>0</v>
      </c>
      <c r="AU104" s="25" t="n">
        <v>0</v>
      </c>
      <c r="AV104" s="25" t="n">
        <v>0</v>
      </c>
      <c r="AW104" s="25" t="n">
        <v>0</v>
      </c>
      <c r="AX104" s="25" t="n">
        <v>0</v>
      </c>
      <c r="AY104" s="25" t="n">
        <v>0</v>
      </c>
      <c r="AZ104" s="25" t="n">
        <v>0</v>
      </c>
      <c r="BA104" s="25" t="n">
        <v>0</v>
      </c>
      <c r="BB104" s="25" t="n">
        <v>0</v>
      </c>
      <c r="BC104" s="25" t="n">
        <v>0</v>
      </c>
      <c r="BD104" s="25" t="n">
        <v>0</v>
      </c>
      <c r="BE104" s="25" t="n">
        <v>0</v>
      </c>
      <c r="BF104" s="25" t="n">
        <v>0</v>
      </c>
      <c r="BG104" s="25" t="n">
        <v>0</v>
      </c>
      <c r="BH104" s="25" t="n">
        <v>0</v>
      </c>
      <c r="BI104" s="25" t="n">
        <v>0</v>
      </c>
      <c r="BJ104" s="25" t="n">
        <v>0</v>
      </c>
      <c r="BK104" s="25" t="n">
        <v>0</v>
      </c>
      <c r="BL104" s="25" t="n">
        <v>0</v>
      </c>
      <c r="BM104" s="25" t="n">
        <v>0</v>
      </c>
      <c r="BN104" s="25" t="n">
        <v>0</v>
      </c>
    </row>
    <row r="110">
      <c r="D110" t="inlineStr">
        <is>
          <t>Waiver fee (provisional: pasted FC base values; replaced by formulas in Chapter 42)</t>
        </is>
      </c>
      <c r="E110" t="inlineStr">
        <is>
          <t>USD m</t>
        </is>
      </c>
      <c r="G110" s="13">
        <f>SUM(J110:BN110)</f>
        <v/>
      </c>
      <c r="J110" s="25" t="n">
        <v>0</v>
      </c>
      <c r="K110" s="25" t="n">
        <v>0</v>
      </c>
      <c r="L110" s="25" t="n">
        <v>0</v>
      </c>
      <c r="M110" s="25" t="n">
        <v>0</v>
      </c>
      <c r="N110" s="25" t="n">
        <v>0</v>
      </c>
      <c r="O110" s="25" t="n">
        <v>0</v>
      </c>
      <c r="P110" s="25" t="n">
        <v>0</v>
      </c>
      <c r="Q110" s="25" t="n">
        <v>0</v>
      </c>
      <c r="R110" s="25" t="n">
        <v>0</v>
      </c>
      <c r="S110" s="25" t="n">
        <v>0</v>
      </c>
      <c r="T110" s="25" t="n">
        <v>0</v>
      </c>
      <c r="U110" s="25" t="n">
        <v>0</v>
      </c>
      <c r="V110" s="25" t="n">
        <v>0</v>
      </c>
      <c r="W110" s="25" t="n">
        <v>0</v>
      </c>
      <c r="X110" s="25" t="n">
        <v>0</v>
      </c>
      <c r="Y110" s="25" t="n">
        <v>0</v>
      </c>
      <c r="Z110" s="25" t="n">
        <v>0</v>
      </c>
      <c r="AA110" s="25" t="n">
        <v>0</v>
      </c>
      <c r="AB110" s="25" t="n">
        <v>0</v>
      </c>
      <c r="AC110" s="25" t="n">
        <v>0</v>
      </c>
      <c r="AD110" s="25" t="n">
        <v>0</v>
      </c>
      <c r="AE110" s="25" t="n">
        <v>0</v>
      </c>
      <c r="AF110" s="25" t="n">
        <v>0</v>
      </c>
      <c r="AG110" s="25" t="n">
        <v>0</v>
      </c>
      <c r="AH110" s="25" t="n">
        <v>0</v>
      </c>
      <c r="AI110" s="25" t="n">
        <v>0</v>
      </c>
      <c r="AJ110" s="25" t="n">
        <v>0</v>
      </c>
      <c r="AK110" s="25" t="n">
        <v>0</v>
      </c>
      <c r="AL110" s="25" t="n">
        <v>0</v>
      </c>
      <c r="AM110" s="25" t="n">
        <v>0</v>
      </c>
      <c r="AN110" s="25" t="n">
        <v>0</v>
      </c>
      <c r="AO110" s="25" t="n">
        <v>0</v>
      </c>
      <c r="AP110" s="25" t="n">
        <v>0</v>
      </c>
      <c r="AQ110" s="25" t="n">
        <v>0</v>
      </c>
      <c r="AR110" s="25" t="n">
        <v>0</v>
      </c>
      <c r="AS110" s="25" t="n">
        <v>0</v>
      </c>
      <c r="AT110" s="25" t="n">
        <v>0</v>
      </c>
      <c r="AU110" s="25" t="n">
        <v>0</v>
      </c>
      <c r="AV110" s="25" t="n">
        <v>0</v>
      </c>
      <c r="AW110" s="25" t="n">
        <v>0</v>
      </c>
      <c r="AX110" s="25" t="n">
        <v>0</v>
      </c>
      <c r="AY110" s="25" t="n">
        <v>0</v>
      </c>
      <c r="AZ110" s="25" t="n">
        <v>0</v>
      </c>
      <c r="BA110" s="25" t="n">
        <v>0</v>
      </c>
      <c r="BB110" s="25" t="n">
        <v>0</v>
      </c>
      <c r="BC110" s="25" t="n">
        <v>0</v>
      </c>
      <c r="BD110" s="25" t="n">
        <v>0</v>
      </c>
      <c r="BE110" s="25" t="n">
        <v>0</v>
      </c>
      <c r="BF110" s="25" t="n">
        <v>0</v>
      </c>
      <c r="BG110" s="25" t="n">
        <v>0</v>
      </c>
      <c r="BH110" s="25" t="n">
        <v>0</v>
      </c>
      <c r="BI110" s="25" t="n">
        <v>0</v>
      </c>
      <c r="BJ110" s="25" t="n">
        <v>0</v>
      </c>
      <c r="BK110" s="25" t="n">
        <v>0</v>
      </c>
      <c r="BL110" s="25" t="n">
        <v>0</v>
      </c>
      <c r="BM110" s="25" t="n">
        <v>0</v>
      </c>
      <c r="BN110" s="25" t="n">
        <v>0</v>
      </c>
    </row>
    <row r="112">
      <c r="D112" t="inlineStr">
        <is>
          <t>Senior financing costs (interest, swap, PRI, PCG) (provisional: pasted FC base values; replaced by formulas in Chapter 42)</t>
        </is>
      </c>
      <c r="E112" t="inlineStr">
        <is>
          <t>USD m</t>
        </is>
      </c>
      <c r="G112" s="13">
        <f>SUM(J112:BN112)</f>
        <v/>
      </c>
      <c r="J112" s="25" t="n">
        <v>0</v>
      </c>
      <c r="K112" s="25" t="n">
        <v>0</v>
      </c>
      <c r="L112" s="25" t="n">
        <v>0</v>
      </c>
      <c r="M112" s="25" t="n">
        <v>0</v>
      </c>
      <c r="N112" s="25" t="n">
        <v>0</v>
      </c>
      <c r="O112" s="25" t="n">
        <v>0</v>
      </c>
      <c r="P112" s="25" t="n">
        <v>21.7561806363521</v>
      </c>
      <c r="Q112" s="25" t="n">
        <v>21.0117501255587</v>
      </c>
      <c r="R112" s="25" t="n">
        <v>20.6842237422474</v>
      </c>
      <c r="S112" s="25" t="n">
        <v>19.8935402102571</v>
      </c>
      <c r="T112" s="25" t="n">
        <v>19.5092222239857</v>
      </c>
      <c r="U112" s="25" t="n">
        <v>18.7469278452348</v>
      </c>
      <c r="V112" s="25" t="n">
        <v>18.2344120634116</v>
      </c>
      <c r="W112" s="25" t="n">
        <v>17.3566958167685</v>
      </c>
      <c r="X112" s="25" t="n">
        <v>16.8339195388541</v>
      </c>
      <c r="Y112" s="25" t="n">
        <v>16.4680618167729</v>
      </c>
      <c r="Z112" s="25" t="n">
        <v>15.9362344502122</v>
      </c>
      <c r="AA112" s="25" t="n">
        <v>15.0282191551691</v>
      </c>
      <c r="AB112" s="25" t="n">
        <v>14.125886064444</v>
      </c>
      <c r="AC112" s="25" t="n">
        <v>12.8970280129363</v>
      </c>
      <c r="AD112" s="25" t="n">
        <v>11.8635981529339</v>
      </c>
      <c r="AE112" s="25" t="n">
        <v>10.514913346323</v>
      </c>
      <c r="AF112" s="25" t="n">
        <v>9.34952923503765</v>
      </c>
      <c r="AG112" s="25" t="n">
        <v>8.15157515258252</v>
      </c>
      <c r="AH112" s="25" t="n">
        <v>6.88523395233094</v>
      </c>
      <c r="AI112" s="25" t="n">
        <v>5.44061486127451</v>
      </c>
      <c r="AJ112" s="25" t="n">
        <v>4.10072340070946</v>
      </c>
      <c r="AK112" s="25" t="n">
        <v>2.71621064713489</v>
      </c>
      <c r="AL112" s="25" t="n">
        <v>2.17365325142159</v>
      </c>
      <c r="AM112" s="25" t="n">
        <v>1.58118904940136</v>
      </c>
      <c r="AN112" s="25" t="n">
        <v>0.992093469110137</v>
      </c>
      <c r="AO112" s="25" t="n">
        <v>0.497253384030616</v>
      </c>
      <c r="AP112" s="25" t="n">
        <v>0</v>
      </c>
      <c r="AQ112" s="25" t="n">
        <v>0</v>
      </c>
      <c r="AR112" s="25" t="n">
        <v>0</v>
      </c>
      <c r="AS112" s="25" t="n">
        <v>0</v>
      </c>
      <c r="AT112" s="25" t="n">
        <v>0</v>
      </c>
      <c r="AU112" s="25" t="n">
        <v>0</v>
      </c>
      <c r="AV112" s="25" t="n">
        <v>0</v>
      </c>
      <c r="AW112" s="25" t="n">
        <v>0</v>
      </c>
      <c r="AX112" s="25" t="n">
        <v>0</v>
      </c>
      <c r="AY112" s="25" t="n">
        <v>0</v>
      </c>
      <c r="AZ112" s="25" t="n">
        <v>0</v>
      </c>
      <c r="BA112" s="25" t="n">
        <v>0</v>
      </c>
      <c r="BB112" s="25" t="n">
        <v>0</v>
      </c>
      <c r="BC112" s="25" t="n">
        <v>0</v>
      </c>
      <c r="BD112" s="25" t="n">
        <v>0</v>
      </c>
      <c r="BE112" s="25" t="n">
        <v>0</v>
      </c>
      <c r="BF112" s="25" t="n">
        <v>0</v>
      </c>
      <c r="BG112" s="25" t="n">
        <v>0</v>
      </c>
      <c r="BH112" s="25" t="n">
        <v>0</v>
      </c>
      <c r="BI112" s="25" t="n">
        <v>0</v>
      </c>
      <c r="BJ112" s="25" t="n">
        <v>0</v>
      </c>
      <c r="BK112" s="25" t="n">
        <v>0</v>
      </c>
      <c r="BL112" s="25" t="n">
        <v>0</v>
      </c>
      <c r="BM112" s="25" t="n">
        <v>0</v>
      </c>
      <c r="BN112" s="25"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N43"/>
  <sheetViews>
    <sheetView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s>
  <sheetData>
    <row r="1">
      <c r="A1" s="1" t="inlineStr">
        <is>
          <t>Case P: Belanou Combined Cycle Power Project, Republic of Kessara</t>
        </is>
      </c>
    </row>
    <row r="2">
      <c r="A2" t="inlineStr">
        <is>
          <t>Waterfall: CFADS, debt service, reserves, tests, sweeps, distributions</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5">
      <c r="D5" s="2" t="inlineStr">
        <is>
          <t>Period ending</t>
        </is>
      </c>
      <c r="J5" s="4" t="inlineStr">
        <is>
          <t>2018H2</t>
        </is>
      </c>
      <c r="K5" s="4" t="inlineStr">
        <is>
          <t>2019H1</t>
        </is>
      </c>
      <c r="L5" s="4" t="inlineStr">
        <is>
          <t>2019H2</t>
        </is>
      </c>
      <c r="M5" s="4" t="inlineStr">
        <is>
          <t>2020H1</t>
        </is>
      </c>
      <c r="N5" s="4" t="inlineStr">
        <is>
          <t>2020H2</t>
        </is>
      </c>
      <c r="O5" s="4" t="inlineStr">
        <is>
          <t>2021H1</t>
        </is>
      </c>
      <c r="P5" s="4" t="inlineStr">
        <is>
          <t>2021H2</t>
        </is>
      </c>
      <c r="Q5" s="4" t="inlineStr">
        <is>
          <t>2022H1</t>
        </is>
      </c>
      <c r="R5" s="4" t="inlineStr">
        <is>
          <t>2022H2</t>
        </is>
      </c>
      <c r="S5" s="4" t="inlineStr">
        <is>
          <t>2023H1</t>
        </is>
      </c>
      <c r="T5" s="4" t="inlineStr">
        <is>
          <t>2023H2</t>
        </is>
      </c>
      <c r="U5" s="4" t="inlineStr">
        <is>
          <t>2024H1</t>
        </is>
      </c>
      <c r="V5" s="4" t="inlineStr">
        <is>
          <t>2024H2</t>
        </is>
      </c>
      <c r="W5" s="4" t="inlineStr">
        <is>
          <t>2025H1</t>
        </is>
      </c>
      <c r="X5" s="4" t="inlineStr">
        <is>
          <t>2025H2</t>
        </is>
      </c>
      <c r="Y5" s="4" t="inlineStr">
        <is>
          <t>2026H1</t>
        </is>
      </c>
      <c r="Z5" s="4" t="inlineStr">
        <is>
          <t>2026H2</t>
        </is>
      </c>
      <c r="AA5" s="4" t="inlineStr">
        <is>
          <t>2027H1</t>
        </is>
      </c>
      <c r="AB5" s="4" t="inlineStr">
        <is>
          <t>2027H2</t>
        </is>
      </c>
      <c r="AC5" s="4" t="inlineStr">
        <is>
          <t>2028H1</t>
        </is>
      </c>
      <c r="AD5" s="4" t="inlineStr">
        <is>
          <t>2028H2</t>
        </is>
      </c>
      <c r="AE5" s="4" t="inlineStr">
        <is>
          <t>2029H1</t>
        </is>
      </c>
      <c r="AF5" s="4" t="inlineStr">
        <is>
          <t>2029H2</t>
        </is>
      </c>
      <c r="AG5" s="4" t="inlineStr">
        <is>
          <t>2030H1</t>
        </is>
      </c>
      <c r="AH5" s="4" t="inlineStr">
        <is>
          <t>2030H2</t>
        </is>
      </c>
      <c r="AI5" s="4" t="inlineStr">
        <is>
          <t>2031H1</t>
        </is>
      </c>
      <c r="AJ5" s="4" t="inlineStr">
        <is>
          <t>2031H2</t>
        </is>
      </c>
      <c r="AK5" s="4" t="inlineStr">
        <is>
          <t>2032H1</t>
        </is>
      </c>
      <c r="AL5" s="4" t="inlineStr">
        <is>
          <t>2032H2</t>
        </is>
      </c>
      <c r="AM5" s="4" t="inlineStr">
        <is>
          <t>2033H1</t>
        </is>
      </c>
      <c r="AN5" s="4" t="inlineStr">
        <is>
          <t>2033H2</t>
        </is>
      </c>
      <c r="AO5" s="4" t="inlineStr">
        <is>
          <t>2034H1</t>
        </is>
      </c>
      <c r="AP5" s="4" t="inlineStr">
        <is>
          <t>2034H2</t>
        </is>
      </c>
      <c r="AQ5" s="4" t="inlineStr">
        <is>
          <t>2035H1</t>
        </is>
      </c>
      <c r="AR5" s="4" t="inlineStr">
        <is>
          <t>2035H2</t>
        </is>
      </c>
      <c r="AS5" s="4" t="inlineStr">
        <is>
          <t>2036H1</t>
        </is>
      </c>
      <c r="AT5" s="4" t="inlineStr">
        <is>
          <t>2036H2</t>
        </is>
      </c>
      <c r="AU5" s="4" t="inlineStr">
        <is>
          <t>2037H1</t>
        </is>
      </c>
      <c r="AV5" s="4" t="inlineStr">
        <is>
          <t>2037H2</t>
        </is>
      </c>
      <c r="AW5" s="4" t="inlineStr">
        <is>
          <t>2038H1</t>
        </is>
      </c>
      <c r="AX5" s="4" t="inlineStr">
        <is>
          <t>2038H2</t>
        </is>
      </c>
      <c r="AY5" s="4" t="inlineStr">
        <is>
          <t>2039H1</t>
        </is>
      </c>
      <c r="AZ5" s="4" t="inlineStr">
        <is>
          <t>2039H2</t>
        </is>
      </c>
      <c r="BA5" s="4" t="inlineStr">
        <is>
          <t>2040H1</t>
        </is>
      </c>
      <c r="BB5" s="4" t="inlineStr">
        <is>
          <t>2040H2</t>
        </is>
      </c>
      <c r="BC5" s="4" t="inlineStr">
        <is>
          <t>2041H1</t>
        </is>
      </c>
      <c r="BD5" s="4" t="inlineStr">
        <is>
          <t>2041H2</t>
        </is>
      </c>
      <c r="BE5" s="4" t="inlineStr">
        <is>
          <t>2042H1</t>
        </is>
      </c>
      <c r="BF5" s="4" t="inlineStr">
        <is>
          <t>2042H2</t>
        </is>
      </c>
      <c r="BG5" s="4" t="inlineStr">
        <is>
          <t>2043H1</t>
        </is>
      </c>
      <c r="BH5" s="4" t="inlineStr">
        <is>
          <t>2043H2</t>
        </is>
      </c>
      <c r="BI5" s="4" t="inlineStr">
        <is>
          <t>2044H1</t>
        </is>
      </c>
      <c r="BJ5" s="4" t="inlineStr">
        <is>
          <t>2044H2</t>
        </is>
      </c>
      <c r="BK5" s="4" t="inlineStr">
        <is>
          <t>2045H1</t>
        </is>
      </c>
      <c r="BL5" s="4" t="inlineStr">
        <is>
          <t>2045H2</t>
        </is>
      </c>
      <c r="BM5" s="4" t="inlineStr">
        <is>
          <t>2046H1</t>
        </is>
      </c>
      <c r="BN5" s="4" t="inlineStr">
        <is>
          <t>2046H2</t>
        </is>
      </c>
    </row>
    <row r="32">
      <c r="D32" t="inlineStr">
        <is>
          <t>Share capital contributed</t>
        </is>
      </c>
      <c r="E32" t="inlineStr">
        <is>
          <t>USD m</t>
        </is>
      </c>
      <c r="F32" s="17">
        <f>SUM(Funding!$J$69:$BJ$69)</f>
        <v/>
      </c>
    </row>
    <row r="33">
      <c r="D33" t="inlineStr">
        <is>
          <t>Shareholder loan balance, opening (provisional: pasted FC base values; replaced by formulas in Chapter 42)</t>
        </is>
      </c>
      <c r="E33" t="inlineStr">
        <is>
          <t>USD m</t>
        </is>
      </c>
      <c r="J33" s="25" t="n">
        <v>0</v>
      </c>
      <c r="K33" s="25" t="n">
        <v>0</v>
      </c>
      <c r="L33" s="25" t="n">
        <v>0</v>
      </c>
      <c r="M33" s="25" t="n">
        <v>0</v>
      </c>
      <c r="N33" s="25" t="n">
        <v>0</v>
      </c>
      <c r="O33" s="25" t="n">
        <v>201.659718724773</v>
      </c>
      <c r="P33" s="25" t="n">
        <v>204.861412067266</v>
      </c>
      <c r="Q33" s="25" t="n">
        <v>199.675119693527</v>
      </c>
      <c r="R33" s="25" t="n">
        <v>196.544545393509</v>
      </c>
      <c r="S33" s="25" t="n">
        <v>192.496997063632</v>
      </c>
      <c r="T33" s="25" t="n">
        <v>188.916697400001</v>
      </c>
      <c r="U33" s="25" t="n">
        <v>184.570544420358</v>
      </c>
      <c r="V33" s="25" t="n">
        <v>180.881110838189</v>
      </c>
      <c r="W33" s="25" t="n">
        <v>175.878116675021</v>
      </c>
      <c r="X33" s="25" t="n">
        <v>169.759100519305</v>
      </c>
      <c r="Y33" s="25" t="n">
        <v>164.608152297051</v>
      </c>
      <c r="Z33" s="25" t="n">
        <v>159.864108549955</v>
      </c>
      <c r="AA33" s="25" t="n">
        <v>154.318013560692</v>
      </c>
      <c r="AB33" s="25" t="n">
        <v>155.402602111266</v>
      </c>
      <c r="AC33" s="25" t="n">
        <v>155.650731062038</v>
      </c>
      <c r="AD33" s="25" t="n">
        <v>156.157095899551</v>
      </c>
      <c r="AE33" s="25" t="n">
        <v>155.42668614414</v>
      </c>
      <c r="AF33" s="25" t="n">
        <v>153.926361191679</v>
      </c>
      <c r="AG33" s="25" t="n">
        <v>151.578532576946</v>
      </c>
      <c r="AH33" s="25" t="n">
        <v>148.563570937916</v>
      </c>
      <c r="AI33" s="25" t="n">
        <v>144.139628303026</v>
      </c>
      <c r="AJ33" s="25" t="n">
        <v>138.512408961071</v>
      </c>
      <c r="AK33" s="25" t="n">
        <v>130.090628863644</v>
      </c>
      <c r="AL33" s="25" t="n">
        <v>104.3632884289</v>
      </c>
      <c r="AM33" s="25" t="n">
        <v>79.65500504264141</v>
      </c>
      <c r="AN33" s="25" t="n">
        <v>50.0548984009019</v>
      </c>
      <c r="AO33" s="25" t="n">
        <v>28.9509302882274</v>
      </c>
      <c r="AP33" s="25" t="n">
        <v>0</v>
      </c>
      <c r="AQ33" s="25" t="n">
        <v>0</v>
      </c>
      <c r="AR33" s="25" t="n">
        <v>0</v>
      </c>
      <c r="AS33" s="25" t="n">
        <v>0</v>
      </c>
      <c r="AT33" s="25" t="n">
        <v>0</v>
      </c>
      <c r="AU33" s="25" t="n">
        <v>0</v>
      </c>
      <c r="AV33" s="25" t="n">
        <v>0</v>
      </c>
      <c r="AW33" s="25" t="n">
        <v>0</v>
      </c>
      <c r="AX33" s="25" t="n">
        <v>0</v>
      </c>
      <c r="AY33" s="25" t="n">
        <v>0</v>
      </c>
      <c r="AZ33" s="25" t="n">
        <v>0</v>
      </c>
      <c r="BA33" s="25" t="n">
        <v>0</v>
      </c>
      <c r="BB33" s="25" t="n">
        <v>0</v>
      </c>
      <c r="BC33" s="25" t="n">
        <v>0</v>
      </c>
      <c r="BD33" s="25" t="n">
        <v>0</v>
      </c>
      <c r="BE33" s="25" t="n">
        <v>0</v>
      </c>
      <c r="BF33" s="25" t="n">
        <v>0</v>
      </c>
      <c r="BG33" s="25" t="n">
        <v>0</v>
      </c>
      <c r="BH33" s="25" t="n">
        <v>0</v>
      </c>
      <c r="BI33" s="25" t="n">
        <v>0</v>
      </c>
      <c r="BJ33" s="25" t="n">
        <v>0</v>
      </c>
      <c r="BK33" s="25" t="n">
        <v>0</v>
      </c>
      <c r="BL33" s="25" t="n">
        <v>0</v>
      </c>
      <c r="BM33" s="25" t="n">
        <v>0</v>
      </c>
      <c r="BN33" s="25" t="n">
        <v>0</v>
      </c>
    </row>
    <row r="43">
      <c r="D43" t="inlineStr">
        <is>
          <t>Retained earnings, closing (provisional: pasted FC base values; replaced by formulas in Chapter 42)</t>
        </is>
      </c>
      <c r="E43" t="inlineStr">
        <is>
          <t>USD m</t>
        </is>
      </c>
      <c r="J43" s="25" t="n">
        <v>0</v>
      </c>
      <c r="K43" s="25" t="n">
        <v>0</v>
      </c>
      <c r="L43" s="25" t="n">
        <v>0</v>
      </c>
      <c r="M43" s="25" t="n">
        <v>0</v>
      </c>
      <c r="N43" s="25" t="n">
        <v>0</v>
      </c>
      <c r="O43" s="25" t="n">
        <v>9.77868877042472</v>
      </c>
      <c r="P43" s="25" t="n">
        <v>17.1606352308563</v>
      </c>
      <c r="Q43" s="25" t="n">
        <v>25.898034096354</v>
      </c>
      <c r="R43" s="25" t="n">
        <v>35.1040275901293</v>
      </c>
      <c r="S43" s="25" t="n">
        <v>45.5389417020597</v>
      </c>
      <c r="T43" s="25" t="n">
        <v>56.456669276486</v>
      </c>
      <c r="U43" s="25" t="n">
        <v>68.60552336294791</v>
      </c>
      <c r="V43" s="25" t="n">
        <v>79.0699942459125</v>
      </c>
      <c r="W43" s="25" t="n">
        <v>93.34558809874029</v>
      </c>
      <c r="X43" s="25" t="n">
        <v>108.299883177138</v>
      </c>
      <c r="Y43" s="25" t="n">
        <v>121.253833874482</v>
      </c>
      <c r="Z43" s="25" t="n">
        <v>129.006645978886</v>
      </c>
      <c r="AA43" s="25" t="n">
        <v>137.734064885907</v>
      </c>
      <c r="AB43" s="25" t="n">
        <v>147.028896786851</v>
      </c>
      <c r="AC43" s="25" t="n">
        <v>157.381988410481</v>
      </c>
      <c r="AD43" s="25" t="n">
        <v>159.657652830825</v>
      </c>
      <c r="AE43" s="25" t="n">
        <v>171.950471413052</v>
      </c>
      <c r="AF43" s="25" t="n">
        <v>184.96769001954</v>
      </c>
      <c r="AG43" s="25" t="n">
        <v>199.082224294238</v>
      </c>
      <c r="AH43" s="25" t="n">
        <v>214.212506978461</v>
      </c>
      <c r="AI43" s="25" t="n">
        <v>230.654646682377</v>
      </c>
      <c r="AJ43" s="25" t="n">
        <v>248.205503788557</v>
      </c>
      <c r="AK43" s="25" t="n">
        <v>267.190510035761</v>
      </c>
      <c r="AL43" s="25" t="n">
        <v>285.475579328215</v>
      </c>
      <c r="AM43" s="25" t="n">
        <v>307.54791859368</v>
      </c>
      <c r="AN43" s="25" t="n">
        <v>330.977364778949</v>
      </c>
      <c r="AO43" s="25" t="n">
        <v>344.36581595806</v>
      </c>
      <c r="AP43" s="25" t="n">
        <v>328.77603947434</v>
      </c>
      <c r="AQ43" s="25" t="n">
        <v>313.714089783177</v>
      </c>
      <c r="AR43" s="25" t="n">
        <v>298.123800916729</v>
      </c>
      <c r="AS43" s="25" t="n">
        <v>282.978611470769</v>
      </c>
      <c r="AT43" s="25" t="n">
        <v>250.791823764192</v>
      </c>
      <c r="AU43" s="25" t="n">
        <v>233.635519935914</v>
      </c>
      <c r="AV43" s="25" t="n">
        <v>216.285266680756</v>
      </c>
      <c r="AW43" s="25" t="n">
        <v>199.474851696834</v>
      </c>
      <c r="AX43" s="25" t="n">
        <v>182.124316369977</v>
      </c>
      <c r="AY43" s="25" t="n">
        <v>165.317191851896</v>
      </c>
      <c r="AZ43" s="25" t="n">
        <v>147.965578199659</v>
      </c>
      <c r="BA43" s="25" t="n">
        <v>131.568444049442</v>
      </c>
      <c r="BB43" s="25" t="n">
        <v>111.67999825487</v>
      </c>
      <c r="BC43" s="25" t="n">
        <v>97.7318221903982</v>
      </c>
      <c r="BD43" s="25" t="n">
        <v>89.8897839692382</v>
      </c>
      <c r="BE43" s="25" t="n">
        <v>82.6223382422656</v>
      </c>
      <c r="BF43" s="25" t="n">
        <v>74.8149197117576</v>
      </c>
      <c r="BG43" s="25" t="n">
        <v>67.58488143306469</v>
      </c>
      <c r="BH43" s="25" t="n">
        <v>59.8102249018335</v>
      </c>
      <c r="BI43" s="25" t="n">
        <v>52.5288168313341</v>
      </c>
      <c r="BJ43" s="25" t="n">
        <v>25.0569291745698</v>
      </c>
      <c r="BK43" s="25" t="n">
        <v>15.3762162684428</v>
      </c>
      <c r="BL43" s="25" t="n">
        <v>4.8736332599167</v>
      </c>
      <c r="BM43" s="25" t="n">
        <v>-44.3667535168116</v>
      </c>
      <c r="BN43" s="25" t="n">
        <v>-44.3667535168116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1"/>
  <sheetViews>
    <sheetView workbookViewId="0">
      <pane ySplit="4" topLeftCell="A5" activePane="bottomLeft" state="frozen"/>
      <selection pane="bottomLeft" activeCell="A1" sqref="A1"/>
    </sheetView>
  </sheetViews>
  <sheetFormatPr baseColWidth="8" defaultRowHeight="15"/>
  <cols>
    <col width="2" customWidth="1" min="1" max="1"/>
    <col width="2" customWidth="1" min="2" max="2"/>
    <col width="2" customWidth="1" min="3" max="3"/>
    <col width="58" customWidth="1" min="4" max="4"/>
    <col width="12" customWidth="1" min="5" max="5"/>
    <col width="14" customWidth="1" min="6" max="6"/>
    <col width="14" customWidth="1" min="7" max="7"/>
    <col width="2" customWidth="1" min="8" max="8"/>
    <col width="2" customWidth="1" min="9" max="9"/>
  </cols>
  <sheetData>
    <row r="1">
      <c r="A1" s="1" t="inlineStr">
        <is>
          <t>Case P: Belanou Combined Cycle Power Project, Republic of Kessara</t>
        </is>
      </c>
    </row>
    <row r="2">
      <c r="A2" t="inlineStr">
        <is>
          <t>Checks: every check shows 0 when passing</t>
        </is>
      </c>
    </row>
    <row r="3">
      <c r="A3" t="inlineStr">
        <is>
          <t>Units in column E; constants in column F; row totals in column G; first period in column J. Inputs: blue on yellow. Links from other sheets: green.</t>
        </is>
      </c>
    </row>
    <row r="4">
      <c r="D4" s="2" t="inlineStr">
        <is>
          <t>Label</t>
        </is>
      </c>
      <c r="E4" s="2" t="inlineStr">
        <is>
          <t>Unit</t>
        </is>
      </c>
      <c r="F4" s="2" t="inlineStr">
        <is>
          <t>Constant</t>
        </is>
      </c>
      <c r="G4" s="2" t="inlineStr">
        <is>
          <t>Total</t>
        </is>
      </c>
    </row>
    <row r="7">
      <c r="D7" t="inlineStr">
        <is>
          <t>Sources less uses (construction)</t>
        </is>
      </c>
      <c r="E7" t="inlineStr">
        <is>
          <t>check</t>
        </is>
      </c>
      <c r="F7" s="3">
        <f>IF(ABS(SUM(Funding!$J$73:$BJ$73)+SUM(Funding!$J$67:$BJ$67)+SUM(Funding!$J$53:$BJ$53)-SUM(Funding!$J$49:$BJ$49))&lt;=Inputs!$F$254,0,SUM(Funding!$J$73:$BJ$73)+SUM(Funding!$J$67:$BJ$67)+SUM(Funding!$J$53:$BJ$53)-SUM(Funding!$J$49:$BJ$49))</f>
        <v/>
      </c>
    </row>
    <row r="8">
      <c r="D8" t="inlineStr">
        <is>
          <t>Committed debt drawn in full (FC-type), USD m</t>
        </is>
      </c>
      <c r="E8" t="inlineStr">
        <is>
          <t>check</t>
        </is>
      </c>
      <c r="F8" s="3">
        <f>IF(Inputs!$F$34=1,IF(ABS(SUM(Funding!$J$47:$BJ$47)-Funding!$F$25)&lt;=Inputs!$F$254,0,SUM(Funding!$J$47:$BJ$47)-Funding!$F$25),0)</f>
        <v/>
      </c>
    </row>
    <row r="9">
      <c r="D9" t="inlineStr">
        <is>
          <t>Closed-form T less live T (re-grossed cases), USD m</t>
        </is>
      </c>
      <c r="E9" t="inlineStr">
        <is>
          <t>check</t>
        </is>
      </c>
      <c r="F9" s="3">
        <f>IF(Inputs!$F$51&lt;&gt;1,IF(ABS(Funding!$F$24-Funding!$F$75)&lt;=Inputs!$F$254,0,Funding!$F$24-Funding!$F$75),0)</f>
        <v/>
      </c>
    </row>
    <row r="15">
      <c r="D15" t="inlineStr">
        <is>
          <t>VAT facility within limit</t>
        </is>
      </c>
      <c r="E15" t="inlineStr">
        <is>
          <t>check</t>
        </is>
      </c>
      <c r="F15" s="3">
        <f>IF(MAX(Construction!$J$37:$BJ$37)&lt;=Inputs!$F$72,0,1)</f>
        <v/>
      </c>
    </row>
    <row r="16">
      <c r="D16" t="inlineStr">
        <is>
          <t>Standby and contingent equity within commitments</t>
        </is>
      </c>
      <c r="E16" t="inlineStr">
        <is>
          <t>check</t>
        </is>
      </c>
      <c r="F16" s="3">
        <f>IF(AND(SUM(Funding!$J$55:$BJ$55)&lt;=Inputs!$F$99+Inputs!$F$254,SUM(Funding!$J$56:$BJ$56)&lt;=Inputs!$F$103+Inputs!$F$254),0,1)</f>
        <v/>
      </c>
    </row>
    <row r="17">
      <c r="D17" t="inlineStr">
        <is>
          <t>ECA tranche within cap</t>
        </is>
      </c>
      <c r="E17" t="inlineStr">
        <is>
          <t>check</t>
        </is>
      </c>
      <c r="F17" s="3">
        <f>IF(Inputs!$F$75*Funding!$F$25&lt;=Inputs!$F$251,0,1)</f>
        <v/>
      </c>
    </row>
    <row r="19">
      <c r="D19" t="inlineStr">
        <is>
          <t>Sum of checks (0 = all pass)</t>
        </is>
      </c>
      <c r="E19" t="inlineStr">
        <is>
          <t>check</t>
        </is>
      </c>
      <c r="F19" s="3">
        <f>ABS($F$7)+ABS($F$8)+ABS($F$9)+ABS($F$15)+ABS($F$16)+ABS($F$17)+ABS($F$20)+ABS($F$21)</f>
        <v/>
      </c>
    </row>
    <row r="20">
      <c r="D20" t="inlineStr">
        <is>
          <t>Time: operating months sum to the PPA term</t>
        </is>
      </c>
      <c r="E20" t="inlineStr">
        <is>
          <t>check</t>
        </is>
      </c>
      <c r="F20" s="3">
        <f>SUM(Time!$J$30:$BN$30)-Time!$F$9</f>
        <v/>
      </c>
    </row>
    <row r="21">
      <c r="D21" t="inlineStr">
        <is>
          <t>Construction flags sum to construction months</t>
        </is>
      </c>
      <c r="E21" t="inlineStr">
        <is>
          <t>check</t>
        </is>
      </c>
      <c r="F21" s="3">
        <f>SUM(Construction!$J$13:$BJ$13)-Time!$F$11</f>
        <v/>
      </c>
    </row>
  </sheetData>
  <conditionalFormatting sqref="F7:F26">
    <cfRule type="cellIs" priority="1" operator="notEqual"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2026-10-03T22:57:29Z</dcterms:created>
  <dcterms:modified xsi:type="dcterms:W3CDTF">2026-10-03T22:57:44Z</dcterms:modified>
</cp:coreProperties>
</file>